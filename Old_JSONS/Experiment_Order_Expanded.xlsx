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Studies\M.Sc\Haifa\Multidimensional Explanatory AI\Visualizations\"/>
    </mc:Choice>
  </mc:AlternateContent>
  <xr:revisionPtr revIDLastSave="0" documentId="13_ncr:1_{4948EE67-EE75-4F43-90C4-B967B4301A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קידוד_ניסוי" sheetId="2" r:id="rId1"/>
    <sheet name="תיעוד_תגובות" sheetId="3" r:id="rId2"/>
    <sheet name="קטלוג תרחישים" sheetId="1" r:id="rId3"/>
  </sheets>
  <definedNames>
    <definedName name="_xlnm._FilterDatabase" localSheetId="2" hidden="1">'קטלוג תרחישים'!$A$1:$I$31</definedName>
    <definedName name="_xlnm._FilterDatabase" localSheetId="0" hidden="1">קידוד_ניסוי!$A$1:$IK$31</definedName>
    <definedName name="_xlnm._FilterDatabase" localSheetId="1" hidden="1">תיעוד_תגובות!$A$1:$BF$1021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467" i="3" l="1"/>
  <c r="AE4467" i="3"/>
  <c r="AD4467" i="3"/>
  <c r="AH4467" i="3" s="1"/>
  <c r="AC4467" i="3"/>
  <c r="AG4467" i="3" s="1"/>
  <c r="AF4443" i="3"/>
  <c r="AE4443" i="3"/>
  <c r="AD4443" i="3"/>
  <c r="AH4443" i="3" s="1"/>
  <c r="AC4443" i="3"/>
  <c r="AG4443" i="3" s="1"/>
  <c r="AF4419" i="3"/>
  <c r="AE4419" i="3"/>
  <c r="AD4419" i="3"/>
  <c r="AH4419" i="3" s="1"/>
  <c r="AC4419" i="3"/>
  <c r="AG4419" i="3" s="1"/>
  <c r="AH4395" i="3"/>
  <c r="AG4395" i="3"/>
  <c r="AF4395" i="3"/>
  <c r="AE4395" i="3"/>
  <c r="AD4395" i="3"/>
  <c r="AC4395" i="3"/>
  <c r="AF4371" i="3"/>
  <c r="AE4371" i="3"/>
  <c r="AD4371" i="3"/>
  <c r="AH4371" i="3" s="1"/>
  <c r="AC4371" i="3"/>
  <c r="AG4371" i="3" s="1"/>
  <c r="AF4347" i="3"/>
  <c r="AE4347" i="3"/>
  <c r="AD4347" i="3"/>
  <c r="AH4347" i="3" s="1"/>
  <c r="AC4347" i="3"/>
  <c r="AG4347" i="3" s="1"/>
  <c r="AH4318" i="3"/>
  <c r="AG4318" i="3"/>
  <c r="AF4318" i="3"/>
  <c r="AE4318" i="3"/>
  <c r="AD4318" i="3"/>
  <c r="AC4318" i="3"/>
  <c r="AG4294" i="3"/>
  <c r="AF4294" i="3"/>
  <c r="AE4294" i="3"/>
  <c r="AD4294" i="3"/>
  <c r="AH4294" i="3" s="1"/>
  <c r="AC4294" i="3"/>
  <c r="AF4270" i="3"/>
  <c r="AE4270" i="3"/>
  <c r="AD4270" i="3"/>
  <c r="AH4270" i="3" s="1"/>
  <c r="AC4270" i="3"/>
  <c r="AG4270" i="3" s="1"/>
  <c r="AF4247" i="3"/>
  <c r="AE4247" i="3"/>
  <c r="AD4247" i="3"/>
  <c r="AH4247" i="3" s="1"/>
  <c r="AC4247" i="3"/>
  <c r="AG4247" i="3" s="1"/>
  <c r="AF4222" i="3"/>
  <c r="AE4222" i="3"/>
  <c r="AD4222" i="3"/>
  <c r="AH4222" i="3" s="1"/>
  <c r="AC4222" i="3"/>
  <c r="AG4222" i="3" s="1"/>
  <c r="AH4198" i="3"/>
  <c r="AG4198" i="3"/>
  <c r="AF4198" i="3"/>
  <c r="AE4198" i="3"/>
  <c r="AD4198" i="3"/>
  <c r="AC4198" i="3"/>
  <c r="AH4169" i="3"/>
  <c r="AF4169" i="3"/>
  <c r="AE4169" i="3"/>
  <c r="AD4169" i="3"/>
  <c r="AC4169" i="3"/>
  <c r="AG4169" i="3" s="1"/>
  <c r="AF4145" i="3"/>
  <c r="AE4145" i="3"/>
  <c r="AD4145" i="3"/>
  <c r="AH4145" i="3" s="1"/>
  <c r="AC4145" i="3"/>
  <c r="AG4145" i="3" s="1"/>
  <c r="AG4121" i="3"/>
  <c r="AF4121" i="3"/>
  <c r="AE4121" i="3"/>
  <c r="AD4121" i="3"/>
  <c r="AH4121" i="3" s="1"/>
  <c r="AC4121" i="3"/>
  <c r="AG4098" i="3"/>
  <c r="AF4098" i="3"/>
  <c r="AE4098" i="3"/>
  <c r="AD4098" i="3"/>
  <c r="AH4098" i="3" s="1"/>
  <c r="AC4098" i="3"/>
  <c r="AH4073" i="3"/>
  <c r="AF4073" i="3"/>
  <c r="AE4073" i="3"/>
  <c r="AD4073" i="3"/>
  <c r="AC4073" i="3"/>
  <c r="AG4073" i="3" s="1"/>
  <c r="AF4049" i="3"/>
  <c r="AE4049" i="3"/>
  <c r="AD4049" i="3"/>
  <c r="AH4049" i="3" s="1"/>
  <c r="AC4049" i="3"/>
  <c r="AG4049" i="3" s="1"/>
  <c r="AF4020" i="3"/>
  <c r="AE4020" i="3"/>
  <c r="AD4020" i="3"/>
  <c r="AH4020" i="3" s="1"/>
  <c r="AC4020" i="3"/>
  <c r="AG4020" i="3" s="1"/>
  <c r="AH3996" i="3"/>
  <c r="AG3996" i="3"/>
  <c r="AF3996" i="3"/>
  <c r="AE3996" i="3"/>
  <c r="AD3996" i="3"/>
  <c r="AC3996" i="3"/>
  <c r="AH3972" i="3"/>
  <c r="AF3972" i="3"/>
  <c r="AE3972" i="3"/>
  <c r="AD3972" i="3"/>
  <c r="AC3972" i="3"/>
  <c r="AG3972" i="3" s="1"/>
  <c r="AF3948" i="3"/>
  <c r="AE3948" i="3"/>
  <c r="AD3948" i="3"/>
  <c r="AH3948" i="3" s="1"/>
  <c r="AC3948" i="3"/>
  <c r="AG3948" i="3" s="1"/>
  <c r="AG3924" i="3"/>
  <c r="AF3924" i="3"/>
  <c r="AE3924" i="3"/>
  <c r="AD3924" i="3"/>
  <c r="AH3924" i="3" s="1"/>
  <c r="AC3924" i="3"/>
  <c r="AG3900" i="3"/>
  <c r="AF3900" i="3"/>
  <c r="AE3900" i="3"/>
  <c r="AD3900" i="3"/>
  <c r="AH3900" i="3" s="1"/>
  <c r="AC3900" i="3"/>
  <c r="AH3871" i="3"/>
  <c r="AF3871" i="3"/>
  <c r="AE3871" i="3"/>
  <c r="AD3871" i="3"/>
  <c r="AC3871" i="3"/>
  <c r="AG3871" i="3" s="1"/>
  <c r="AF3848" i="3"/>
  <c r="AE3848" i="3"/>
  <c r="AD3848" i="3"/>
  <c r="AH3848" i="3" s="1"/>
  <c r="AC3848" i="3"/>
  <c r="AG3848" i="3" s="1"/>
  <c r="AF3823" i="3"/>
  <c r="AE3823" i="3"/>
  <c r="AD3823" i="3"/>
  <c r="AH3823" i="3" s="1"/>
  <c r="AC3823" i="3"/>
  <c r="AG3823" i="3" s="1"/>
  <c r="AH3799" i="3"/>
  <c r="AG3799" i="3"/>
  <c r="AF3799" i="3"/>
  <c r="AE3799" i="3"/>
  <c r="AD3799" i="3"/>
  <c r="AC3799" i="3"/>
  <c r="AH3775" i="3"/>
  <c r="AF3775" i="3"/>
  <c r="AE3775" i="3"/>
  <c r="AD3775" i="3"/>
  <c r="AC3775" i="3"/>
  <c r="AG3775" i="3" s="1"/>
  <c r="AF3751" i="3"/>
  <c r="AE3751" i="3"/>
  <c r="AD3751" i="3"/>
  <c r="AH3751" i="3" s="1"/>
  <c r="AC3751" i="3"/>
  <c r="AG3751" i="3" s="1"/>
  <c r="AG3722" i="3"/>
  <c r="AF3722" i="3"/>
  <c r="AE3722" i="3"/>
  <c r="AD3722" i="3"/>
  <c r="AH3722" i="3" s="1"/>
  <c r="AC3722" i="3"/>
  <c r="AG3698" i="3"/>
  <c r="AF3698" i="3"/>
  <c r="AE3698" i="3"/>
  <c r="AD3698" i="3"/>
  <c r="AH3698" i="3" s="1"/>
  <c r="AC3698" i="3"/>
  <c r="AH3674" i="3"/>
  <c r="AF3674" i="3"/>
  <c r="AE3674" i="3"/>
  <c r="AD3674" i="3"/>
  <c r="AC3674" i="3"/>
  <c r="AG3674" i="3" s="1"/>
  <c r="AF3650" i="3"/>
  <c r="AE3650" i="3"/>
  <c r="AD3650" i="3"/>
  <c r="AH3650" i="3" s="1"/>
  <c r="AC3650" i="3"/>
  <c r="AG3650" i="3" s="1"/>
  <c r="AF3626" i="3"/>
  <c r="AE3626" i="3"/>
  <c r="AD3626" i="3"/>
  <c r="AH3626" i="3" s="1"/>
  <c r="AC3626" i="3"/>
  <c r="AG3626" i="3" s="1"/>
  <c r="AH3602" i="3"/>
  <c r="AG3602" i="3"/>
  <c r="AF3602" i="3"/>
  <c r="AE3602" i="3"/>
  <c r="AD3602" i="3"/>
  <c r="AC3602" i="3"/>
  <c r="AH3573" i="3"/>
  <c r="AG3573" i="3"/>
  <c r="AF3573" i="3"/>
  <c r="AE3573" i="3"/>
  <c r="AD3573" i="3"/>
  <c r="AC3573" i="3"/>
  <c r="AF3549" i="3"/>
  <c r="AE3549" i="3"/>
  <c r="AD3549" i="3"/>
  <c r="AH3549" i="3" s="1"/>
  <c r="AC3549" i="3"/>
  <c r="AG3549" i="3" s="1"/>
  <c r="AF3525" i="3"/>
  <c r="AE3525" i="3"/>
  <c r="AD3525" i="3"/>
  <c r="AH3525" i="3" s="1"/>
  <c r="AC3525" i="3"/>
  <c r="AG3525" i="3" s="1"/>
  <c r="AG3501" i="3"/>
  <c r="AF3501" i="3"/>
  <c r="AE3501" i="3"/>
  <c r="AD3501" i="3"/>
  <c r="AH3501" i="3" s="1"/>
  <c r="AC3501" i="3"/>
  <c r="AH3477" i="3"/>
  <c r="AF3477" i="3"/>
  <c r="AE3477" i="3"/>
  <c r="AD3477" i="3"/>
  <c r="AC3477" i="3"/>
  <c r="AG3477" i="3" s="1"/>
  <c r="AF3454" i="3"/>
  <c r="AE3454" i="3"/>
  <c r="AD3454" i="3"/>
  <c r="AH3454" i="3" s="1"/>
  <c r="AC3454" i="3"/>
  <c r="AG3454" i="3" s="1"/>
  <c r="AF3424" i="3"/>
  <c r="AE3424" i="3"/>
  <c r="AD3424" i="3"/>
  <c r="AH3424" i="3" s="1"/>
  <c r="AC3424" i="3"/>
  <c r="AG3424" i="3" s="1"/>
  <c r="AH3400" i="3"/>
  <c r="AG3400" i="3"/>
  <c r="AF3400" i="3"/>
  <c r="AE3400" i="3"/>
  <c r="AD3400" i="3"/>
  <c r="AC3400" i="3"/>
  <c r="AG3376" i="3"/>
  <c r="AF3376" i="3"/>
  <c r="AE3376" i="3"/>
  <c r="AD3376" i="3"/>
  <c r="AH3376" i="3" s="1"/>
  <c r="AC3376" i="3"/>
  <c r="AF3353" i="3"/>
  <c r="AE3353" i="3"/>
  <c r="AD3353" i="3"/>
  <c r="AH3353" i="3" s="1"/>
  <c r="AC3353" i="3"/>
  <c r="AG3353" i="3" s="1"/>
  <c r="AF3328" i="3"/>
  <c r="AE3328" i="3"/>
  <c r="AD3328" i="3"/>
  <c r="AH3328" i="3" s="1"/>
  <c r="AC3328" i="3"/>
  <c r="AG3328" i="3" s="1"/>
  <c r="AH3305" i="3"/>
  <c r="AF3305" i="3"/>
  <c r="AE3305" i="3"/>
  <c r="AD3305" i="3"/>
  <c r="AC3305" i="3"/>
  <c r="AG3305" i="3" s="1"/>
  <c r="AH3275" i="3"/>
  <c r="AG3275" i="3"/>
  <c r="AF3275" i="3"/>
  <c r="AE3275" i="3"/>
  <c r="AD3275" i="3"/>
  <c r="AC3275" i="3"/>
  <c r="AF3252" i="3"/>
  <c r="AE3252" i="3"/>
  <c r="AD3252" i="3"/>
  <c r="AH3252" i="3" s="1"/>
  <c r="AC3252" i="3"/>
  <c r="AG3252" i="3" s="1"/>
  <c r="AF3227" i="3"/>
  <c r="AE3227" i="3"/>
  <c r="AD3227" i="3"/>
  <c r="AH3227" i="3" s="1"/>
  <c r="AC3227" i="3"/>
  <c r="AG3227" i="3" s="1"/>
  <c r="AH3203" i="3"/>
  <c r="AG3203" i="3"/>
  <c r="AF3203" i="3"/>
  <c r="AE3203" i="3"/>
  <c r="AD3203" i="3"/>
  <c r="AC3203" i="3"/>
  <c r="AG3179" i="3"/>
  <c r="AF3179" i="3"/>
  <c r="AE3179" i="3"/>
  <c r="AD3179" i="3"/>
  <c r="AH3179" i="3" s="1"/>
  <c r="AC3179" i="3"/>
  <c r="AF3155" i="3"/>
  <c r="AE3155" i="3"/>
  <c r="AD3155" i="3"/>
  <c r="AH3155" i="3" s="1"/>
  <c r="AC3155" i="3"/>
  <c r="AG3155" i="3" s="1"/>
  <c r="AH3126" i="3"/>
  <c r="AF3126" i="3"/>
  <c r="AE3126" i="3"/>
  <c r="AD3126" i="3"/>
  <c r="AC3126" i="3"/>
  <c r="AG3126" i="3" s="1"/>
  <c r="AH3102" i="3"/>
  <c r="AF3102" i="3"/>
  <c r="AE3102" i="3"/>
  <c r="AD3102" i="3"/>
  <c r="AC3102" i="3"/>
  <c r="AG3102" i="3" s="1"/>
  <c r="AG3078" i="3"/>
  <c r="AF3078" i="3"/>
  <c r="AE3078" i="3"/>
  <c r="AD3078" i="3"/>
  <c r="AH3078" i="3" s="1"/>
  <c r="AC3078" i="3"/>
  <c r="AF3054" i="3"/>
  <c r="AE3054" i="3"/>
  <c r="AD3054" i="3"/>
  <c r="AH3054" i="3" s="1"/>
  <c r="AC3054" i="3"/>
  <c r="AG3054" i="3" s="1"/>
  <c r="AF3030" i="3"/>
  <c r="AE3030" i="3"/>
  <c r="AD3030" i="3"/>
  <c r="AH3030" i="3" s="1"/>
  <c r="AC3030" i="3"/>
  <c r="AG3030" i="3" s="1"/>
  <c r="AH3007" i="3"/>
  <c r="AG3007" i="3"/>
  <c r="AF3007" i="3"/>
  <c r="AE3007" i="3"/>
  <c r="AD3007" i="3"/>
  <c r="AC3007" i="3"/>
  <c r="AG2977" i="3"/>
  <c r="AF2977" i="3"/>
  <c r="AE2977" i="3"/>
  <c r="AD2977" i="3"/>
  <c r="AH2977" i="3" s="1"/>
  <c r="AC2977" i="3"/>
  <c r="AG2954" i="3"/>
  <c r="AF2954" i="3"/>
  <c r="AE2954" i="3"/>
  <c r="AD2954" i="3"/>
  <c r="AH2954" i="3" s="1"/>
  <c r="AC2954" i="3"/>
  <c r="AH2929" i="3"/>
  <c r="AF2929" i="3"/>
  <c r="AE2929" i="3"/>
  <c r="AD2929" i="3"/>
  <c r="AC2929" i="3"/>
  <c r="AG2929" i="3" s="1"/>
  <c r="AH2905" i="3"/>
  <c r="AF2905" i="3"/>
  <c r="AE2905" i="3"/>
  <c r="AD2905" i="3"/>
  <c r="AC2905" i="3"/>
  <c r="AG2905" i="3" s="1"/>
  <c r="AH2881" i="3"/>
  <c r="AG2881" i="3"/>
  <c r="AF2881" i="3"/>
  <c r="AE2881" i="3"/>
  <c r="AD2881" i="3"/>
  <c r="AC2881" i="3"/>
  <c r="AF2857" i="3"/>
  <c r="AE2857" i="3"/>
  <c r="AD2857" i="3"/>
  <c r="AH2857" i="3" s="1"/>
  <c r="AC2857" i="3"/>
  <c r="AG2857" i="3" s="1"/>
  <c r="AF2828" i="3"/>
  <c r="AE2828" i="3"/>
  <c r="AD2828" i="3"/>
  <c r="AH2828" i="3" s="1"/>
  <c r="AC2828" i="3"/>
  <c r="AG2828" i="3" s="1"/>
  <c r="AH2805" i="3"/>
  <c r="AG2805" i="3"/>
  <c r="AF2805" i="3"/>
  <c r="AE2805" i="3"/>
  <c r="AD2805" i="3"/>
  <c r="AC2805" i="3"/>
  <c r="AG2780" i="3"/>
  <c r="AF2780" i="3"/>
  <c r="AE2780" i="3"/>
  <c r="AD2780" i="3"/>
  <c r="AH2780" i="3" s="1"/>
  <c r="AC2780" i="3"/>
  <c r="AG2756" i="3"/>
  <c r="AF2756" i="3"/>
  <c r="AE2756" i="3"/>
  <c r="AD2756" i="3"/>
  <c r="AH2756" i="3" s="1"/>
  <c r="AC2756" i="3"/>
  <c r="AH2732" i="3"/>
  <c r="AF2732" i="3"/>
  <c r="AE2732" i="3"/>
  <c r="AD2732" i="3"/>
  <c r="AC2732" i="3"/>
  <c r="AG2732" i="3" s="1"/>
  <c r="AF2709" i="3"/>
  <c r="AE2709" i="3"/>
  <c r="AD2709" i="3"/>
  <c r="AH2709" i="3" s="1"/>
  <c r="AC2709" i="3"/>
  <c r="AG2709" i="3" s="1"/>
  <c r="AG2679" i="3"/>
  <c r="AF2679" i="3"/>
  <c r="AE2679" i="3"/>
  <c r="AD2679" i="3"/>
  <c r="AH2679" i="3" s="1"/>
  <c r="AC2679" i="3"/>
  <c r="AF2655" i="3"/>
  <c r="AE2655" i="3"/>
  <c r="AD2655" i="3"/>
  <c r="AH2655" i="3" s="1"/>
  <c r="AC2655" i="3"/>
  <c r="AG2655" i="3" s="1"/>
  <c r="AF2631" i="3"/>
  <c r="AE2631" i="3"/>
  <c r="AD2631" i="3"/>
  <c r="AH2631" i="3" s="1"/>
  <c r="AC2631" i="3"/>
  <c r="AG2631" i="3" s="1"/>
  <c r="AH2608" i="3"/>
  <c r="AG2608" i="3"/>
  <c r="AF2608" i="3"/>
  <c r="AE2608" i="3"/>
  <c r="AD2608" i="3"/>
  <c r="AC2608" i="3"/>
  <c r="AH2583" i="3"/>
  <c r="AG2583" i="3"/>
  <c r="AF2583" i="3"/>
  <c r="AE2583" i="3"/>
  <c r="AD2583" i="3"/>
  <c r="AC2583" i="3"/>
  <c r="AG2560" i="3"/>
  <c r="AF2560" i="3"/>
  <c r="AE2560" i="3"/>
  <c r="AD2560" i="3"/>
  <c r="AH2560" i="3" s="1"/>
  <c r="AC2560" i="3"/>
  <c r="AH2530" i="3"/>
  <c r="AF2530" i="3"/>
  <c r="AE2530" i="3"/>
  <c r="AD2530" i="3"/>
  <c r="AC2530" i="3"/>
  <c r="AG2530" i="3" s="1"/>
  <c r="AF2507" i="3"/>
  <c r="AE2507" i="3"/>
  <c r="AD2507" i="3"/>
  <c r="AH2507" i="3" s="1"/>
  <c r="AC2507" i="3"/>
  <c r="AG2507" i="3" s="1"/>
  <c r="AF2482" i="3"/>
  <c r="AE2482" i="3"/>
  <c r="AD2482" i="3"/>
  <c r="AH2482" i="3" s="1"/>
  <c r="AC2482" i="3"/>
  <c r="AG2482" i="3" s="1"/>
  <c r="AH2458" i="3"/>
  <c r="AF2458" i="3"/>
  <c r="AE2458" i="3"/>
  <c r="AD2458" i="3"/>
  <c r="AC2458" i="3"/>
  <c r="AG2458" i="3" s="1"/>
  <c r="AF2434" i="3"/>
  <c r="AE2434" i="3"/>
  <c r="AD2434" i="3"/>
  <c r="AH2434" i="3" s="1"/>
  <c r="AC2434" i="3"/>
  <c r="AG2434" i="3" s="1"/>
  <c r="AH2410" i="3"/>
  <c r="AG2410" i="3"/>
  <c r="AF2410" i="3"/>
  <c r="AE2410" i="3"/>
  <c r="AD2410" i="3"/>
  <c r="AC2410" i="3"/>
  <c r="AH2381" i="3"/>
  <c r="AG2381" i="3"/>
  <c r="AF2381" i="3"/>
  <c r="AE2381" i="3"/>
  <c r="AD2381" i="3"/>
  <c r="AC2381" i="3"/>
  <c r="AF2358" i="3"/>
  <c r="AE2358" i="3"/>
  <c r="AD2358" i="3"/>
  <c r="AH2358" i="3" s="1"/>
  <c r="AC2358" i="3"/>
  <c r="AG2358" i="3" s="1"/>
  <c r="AH2333" i="3"/>
  <c r="AG2333" i="3"/>
  <c r="AF2333" i="3"/>
  <c r="AE2333" i="3"/>
  <c r="AD2333" i="3"/>
  <c r="AC2333" i="3"/>
  <c r="AH2309" i="3"/>
  <c r="AG2309" i="3"/>
  <c r="AF2309" i="3"/>
  <c r="AE2309" i="3"/>
  <c r="AD2309" i="3"/>
  <c r="AC2309" i="3"/>
  <c r="AF2285" i="3"/>
  <c r="AE2285" i="3"/>
  <c r="AD2285" i="3"/>
  <c r="AH2285" i="3" s="1"/>
  <c r="AC2285" i="3"/>
  <c r="AG2285" i="3" s="1"/>
  <c r="AH2262" i="3"/>
  <c r="AF2262" i="3"/>
  <c r="AE2262" i="3"/>
  <c r="AD2262" i="3"/>
  <c r="AC2262" i="3"/>
  <c r="AG2262" i="3" s="1"/>
  <c r="AF2232" i="3"/>
  <c r="AE2232" i="3"/>
  <c r="AD2232" i="3"/>
  <c r="AH2232" i="3" s="1"/>
  <c r="AC2232" i="3"/>
  <c r="AG2232" i="3" s="1"/>
  <c r="AH2208" i="3"/>
  <c r="AG2208" i="3"/>
  <c r="AF2208" i="3"/>
  <c r="AE2208" i="3"/>
  <c r="AD2208" i="3"/>
  <c r="AC2208" i="3"/>
  <c r="AG2184" i="3"/>
  <c r="AF2184" i="3"/>
  <c r="AE2184" i="3"/>
  <c r="AD2184" i="3"/>
  <c r="AH2184" i="3" s="1"/>
  <c r="AC2184" i="3"/>
  <c r="AF2161" i="3"/>
  <c r="AE2161" i="3"/>
  <c r="AD2161" i="3"/>
  <c r="AH2161" i="3" s="1"/>
  <c r="AC2161" i="3"/>
  <c r="AG2161" i="3" s="1"/>
  <c r="AG2136" i="3"/>
  <c r="AF2136" i="3"/>
  <c r="AE2136" i="3"/>
  <c r="AD2136" i="3"/>
  <c r="AH2136" i="3" s="1"/>
  <c r="AC2136" i="3"/>
  <c r="AH2112" i="3"/>
  <c r="AG2112" i="3"/>
  <c r="AF2112" i="3"/>
  <c r="AE2112" i="3"/>
  <c r="AD2112" i="3"/>
  <c r="AC2112" i="3"/>
  <c r="AG2083" i="3"/>
  <c r="AF2083" i="3"/>
  <c r="AE2083" i="3"/>
  <c r="AD2083" i="3"/>
  <c r="AH2083" i="3" s="1"/>
  <c r="AC2083" i="3"/>
  <c r="AH2059" i="3"/>
  <c r="AF2059" i="3"/>
  <c r="AE2059" i="3"/>
  <c r="AD2059" i="3"/>
  <c r="AC2059" i="3"/>
  <c r="AG2059" i="3" s="1"/>
  <c r="AF2035" i="3"/>
  <c r="AE2035" i="3"/>
  <c r="AD2035" i="3"/>
  <c r="AH2035" i="3" s="1"/>
  <c r="AC2035" i="3"/>
  <c r="AG2035" i="3" s="1"/>
  <c r="AH2011" i="3"/>
  <c r="AG2011" i="3"/>
  <c r="AF2011" i="3"/>
  <c r="AE2011" i="3"/>
  <c r="AD2011" i="3"/>
  <c r="AC2011" i="3"/>
  <c r="AH1987" i="3"/>
  <c r="AF1987" i="3"/>
  <c r="AE1987" i="3"/>
  <c r="AD1987" i="3"/>
  <c r="AC1987" i="3"/>
  <c r="AG1987" i="3" s="1"/>
  <c r="AF1963" i="3"/>
  <c r="AE1963" i="3"/>
  <c r="AD1963" i="3"/>
  <c r="AH1963" i="3" s="1"/>
  <c r="AC1963" i="3"/>
  <c r="AG1963" i="3" s="1"/>
  <c r="AH1934" i="3"/>
  <c r="AG1934" i="3"/>
  <c r="AF1934" i="3"/>
  <c r="AE1934" i="3"/>
  <c r="AD1934" i="3"/>
  <c r="AC1934" i="3"/>
  <c r="AH1911" i="3"/>
  <c r="AG1911" i="3"/>
  <c r="AF1911" i="3"/>
  <c r="AE1911" i="3"/>
  <c r="AD1911" i="3"/>
  <c r="AC1911" i="3"/>
  <c r="AF1886" i="3"/>
  <c r="AE1886" i="3"/>
  <c r="AD1886" i="3"/>
  <c r="AH1886" i="3" s="1"/>
  <c r="AC1886" i="3"/>
  <c r="AG1886" i="3" s="1"/>
  <c r="AF1863" i="3"/>
  <c r="AE1863" i="3"/>
  <c r="AD1863" i="3"/>
  <c r="AH1863" i="3" s="1"/>
  <c r="AC1863" i="3"/>
  <c r="AG1863" i="3" s="1"/>
  <c r="AF1838" i="3"/>
  <c r="AE1838" i="3"/>
  <c r="AD1838" i="3"/>
  <c r="AH1838" i="3" s="1"/>
  <c r="AC1838" i="3"/>
  <c r="AG1838" i="3" s="1"/>
  <c r="AH1814" i="3"/>
  <c r="AG1814" i="3"/>
  <c r="AF1814" i="3"/>
  <c r="AE1814" i="3"/>
  <c r="AD1814" i="3"/>
  <c r="AC1814" i="3"/>
  <c r="AH1785" i="3"/>
  <c r="AF1785" i="3"/>
  <c r="AE1785" i="3"/>
  <c r="AD1785" i="3"/>
  <c r="AC1785" i="3"/>
  <c r="AG1785" i="3" s="1"/>
  <c r="AG1761" i="3"/>
  <c r="AF1761" i="3"/>
  <c r="AE1761" i="3"/>
  <c r="AD1761" i="3"/>
  <c r="AH1761" i="3" s="1"/>
  <c r="AC1761" i="3"/>
  <c r="AG1737" i="3"/>
  <c r="AF1737" i="3"/>
  <c r="AE1737" i="3"/>
  <c r="AD1737" i="3"/>
  <c r="AH1737" i="3" s="1"/>
  <c r="AC1737" i="3"/>
  <c r="AH1713" i="3"/>
  <c r="AF1713" i="3"/>
  <c r="AE1713" i="3"/>
  <c r="AD1713" i="3"/>
  <c r="AC1713" i="3"/>
  <c r="AG1713" i="3" s="1"/>
  <c r="AF1689" i="3"/>
  <c r="AE1689" i="3"/>
  <c r="AD1689" i="3"/>
  <c r="AH1689" i="3" s="1"/>
  <c r="AC1689" i="3"/>
  <c r="AG1689" i="3" s="1"/>
  <c r="AH1665" i="3"/>
  <c r="AF1665" i="3"/>
  <c r="AE1665" i="3"/>
  <c r="AD1665" i="3"/>
  <c r="AC1665" i="3"/>
  <c r="AG1665" i="3" s="1"/>
  <c r="AF1636" i="3"/>
  <c r="AE1636" i="3"/>
  <c r="AD1636" i="3"/>
  <c r="AH1636" i="3" s="1"/>
  <c r="AC1636" i="3"/>
  <c r="AG1636" i="3" s="1"/>
  <c r="AH1613" i="3"/>
  <c r="AG1613" i="3"/>
  <c r="AF1613" i="3"/>
  <c r="AE1613" i="3"/>
  <c r="AD1613" i="3"/>
  <c r="AC1613" i="3"/>
  <c r="AH1588" i="3"/>
  <c r="AF1588" i="3"/>
  <c r="AE1588" i="3"/>
  <c r="AD1588" i="3"/>
  <c r="AC1588" i="3"/>
  <c r="AG1588" i="3" s="1"/>
  <c r="AG1565" i="3"/>
  <c r="AF1565" i="3"/>
  <c r="AE1565" i="3"/>
  <c r="AD1565" i="3"/>
  <c r="AH1565" i="3" s="1"/>
  <c r="AC1565" i="3"/>
  <c r="AG1540" i="3"/>
  <c r="AF1540" i="3"/>
  <c r="AE1540" i="3"/>
  <c r="AD1540" i="3"/>
  <c r="AH1540" i="3" s="1"/>
  <c r="AC1540" i="3"/>
  <c r="AF1517" i="3"/>
  <c r="AE1517" i="3"/>
  <c r="AD1517" i="3"/>
  <c r="AH1517" i="3" s="1"/>
  <c r="AC1517" i="3"/>
  <c r="AG1517" i="3" s="1"/>
  <c r="AF1487" i="3"/>
  <c r="AE1487" i="3"/>
  <c r="AD1487" i="3"/>
  <c r="AH1487" i="3" s="1"/>
  <c r="AC1487" i="3"/>
  <c r="AG1487" i="3" s="1"/>
  <c r="AH1463" i="3"/>
  <c r="AF1463" i="3"/>
  <c r="AE1463" i="3"/>
  <c r="AD1463" i="3"/>
  <c r="AC1463" i="3"/>
  <c r="AG1463" i="3" s="1"/>
  <c r="AF1439" i="3"/>
  <c r="AE1439" i="3"/>
  <c r="AD1439" i="3"/>
  <c r="AH1439" i="3" s="1"/>
  <c r="AC1439" i="3"/>
  <c r="AG1439" i="3" s="1"/>
  <c r="AH1416" i="3"/>
  <c r="AG1416" i="3"/>
  <c r="AF1416" i="3"/>
  <c r="AE1416" i="3"/>
  <c r="AD1416" i="3"/>
  <c r="AC1416" i="3"/>
  <c r="AH1391" i="3"/>
  <c r="AF1391" i="3"/>
  <c r="AE1391" i="3"/>
  <c r="AD1391" i="3"/>
  <c r="AC1391" i="3"/>
  <c r="AG1391" i="3" s="1"/>
  <c r="AG1368" i="3"/>
  <c r="AF1368" i="3"/>
  <c r="AE1368" i="3"/>
  <c r="AD1368" i="3"/>
  <c r="AH1368" i="3" s="1"/>
  <c r="AC1368" i="3"/>
  <c r="AG1338" i="3"/>
  <c r="AF1338" i="3"/>
  <c r="AE1338" i="3"/>
  <c r="AD1338" i="3"/>
  <c r="AH1338" i="3" s="1"/>
  <c r="AC1338" i="3"/>
  <c r="AF1315" i="3"/>
  <c r="AE1315" i="3"/>
  <c r="AD1315" i="3"/>
  <c r="AH1315" i="3" s="1"/>
  <c r="AC1315" i="3"/>
  <c r="AG1315" i="3" s="1"/>
  <c r="AF1290" i="3"/>
  <c r="AE1290" i="3"/>
  <c r="AD1290" i="3"/>
  <c r="AH1290" i="3" s="1"/>
  <c r="AC1290" i="3"/>
  <c r="AG1290" i="3" s="1"/>
  <c r="AH1267" i="3"/>
  <c r="AF1267" i="3"/>
  <c r="AE1267" i="3"/>
  <c r="AD1267" i="3"/>
  <c r="AC1267" i="3"/>
  <c r="AG1267" i="3" s="1"/>
  <c r="AG1242" i="3"/>
  <c r="AF1242" i="3"/>
  <c r="AE1242" i="3"/>
  <c r="AD1242" i="3"/>
  <c r="AH1242" i="3" s="1"/>
  <c r="AC1242" i="3"/>
  <c r="AH1218" i="3"/>
  <c r="AG1218" i="3"/>
  <c r="AF1218" i="3"/>
  <c r="AE1218" i="3"/>
  <c r="AD1218" i="3"/>
  <c r="AC1218" i="3"/>
  <c r="AH1189" i="3"/>
  <c r="AF1189" i="3"/>
  <c r="AE1189" i="3"/>
  <c r="AD1189" i="3"/>
  <c r="AC1189" i="3"/>
  <c r="AG1189" i="3" s="1"/>
  <c r="AG1166" i="3"/>
  <c r="AF1166" i="3"/>
  <c r="AE1166" i="3"/>
  <c r="AD1166" i="3"/>
  <c r="AH1166" i="3" s="1"/>
  <c r="AC1166" i="3"/>
  <c r="AG1141" i="3"/>
  <c r="AF1141" i="3"/>
  <c r="AE1141" i="3"/>
  <c r="AD1141" i="3"/>
  <c r="AH1141" i="3" s="1"/>
  <c r="AC1141" i="3"/>
  <c r="AF1118" i="3"/>
  <c r="AE1118" i="3"/>
  <c r="AD1118" i="3"/>
  <c r="AH1118" i="3" s="1"/>
  <c r="AC1118" i="3"/>
  <c r="AG1118" i="3" s="1"/>
  <c r="AH1093" i="3"/>
  <c r="AF1093" i="3"/>
  <c r="AE1093" i="3"/>
  <c r="AD1093" i="3"/>
  <c r="AC1093" i="3"/>
  <c r="AG1093" i="3" s="1"/>
  <c r="AH1069" i="3"/>
  <c r="AF1069" i="3"/>
  <c r="AE1069" i="3"/>
  <c r="AD1069" i="3"/>
  <c r="AC1069" i="3"/>
  <c r="AG1069" i="3" s="1"/>
  <c r="AG1040" i="3"/>
  <c r="AF1040" i="3"/>
  <c r="AE1040" i="3"/>
  <c r="AD1040" i="3"/>
  <c r="AH1040" i="3" s="1"/>
  <c r="AC1040" i="3"/>
  <c r="AH1016" i="3"/>
  <c r="AG1016" i="3"/>
  <c r="AF1016" i="3"/>
  <c r="AE1016" i="3"/>
  <c r="AD1016" i="3"/>
  <c r="AC1016" i="3"/>
  <c r="AH992" i="3"/>
  <c r="AF992" i="3"/>
  <c r="AE992" i="3"/>
  <c r="AD992" i="3"/>
  <c r="AC992" i="3"/>
  <c r="AG992" i="3" s="1"/>
  <c r="AG969" i="3"/>
  <c r="AF969" i="3"/>
  <c r="AE969" i="3"/>
  <c r="AD969" i="3"/>
  <c r="AH969" i="3" s="1"/>
  <c r="AC969" i="3"/>
  <c r="AG944" i="3"/>
  <c r="AF944" i="3"/>
  <c r="AE944" i="3"/>
  <c r="AD944" i="3"/>
  <c r="AH944" i="3" s="1"/>
  <c r="AC944" i="3"/>
  <c r="AF921" i="3"/>
  <c r="AE921" i="3"/>
  <c r="AD921" i="3"/>
  <c r="AH921" i="3" s="1"/>
  <c r="AC921" i="3"/>
  <c r="AG921" i="3" s="1"/>
  <c r="AF891" i="3"/>
  <c r="AE891" i="3"/>
  <c r="AD891" i="3"/>
  <c r="AH891" i="3" s="1"/>
  <c r="AC891" i="3"/>
  <c r="AG891" i="3" s="1"/>
  <c r="AH867" i="3"/>
  <c r="AF867" i="3"/>
  <c r="AE867" i="3"/>
  <c r="AD867" i="3"/>
  <c r="AC867" i="3"/>
  <c r="AG867" i="3" s="1"/>
  <c r="AF843" i="3"/>
  <c r="AE843" i="3"/>
  <c r="AD843" i="3"/>
  <c r="AH843" i="3" s="1"/>
  <c r="AC843" i="3"/>
  <c r="AG843" i="3" s="1"/>
  <c r="AH820" i="3"/>
  <c r="AG820" i="3"/>
  <c r="AF820" i="3"/>
  <c r="AE820" i="3"/>
  <c r="AD820" i="3"/>
  <c r="AC820" i="3"/>
  <c r="AF795" i="3"/>
  <c r="AE795" i="3"/>
  <c r="AD795" i="3"/>
  <c r="AH795" i="3" s="1"/>
  <c r="AC795" i="3"/>
  <c r="AG795" i="3" s="1"/>
  <c r="AG771" i="3"/>
  <c r="AF771" i="3"/>
  <c r="AE771" i="3"/>
  <c r="AD771" i="3"/>
  <c r="AH771" i="3" s="1"/>
  <c r="AC771" i="3"/>
  <c r="AG742" i="3"/>
  <c r="AF742" i="3"/>
  <c r="AE742" i="3"/>
  <c r="AD742" i="3"/>
  <c r="AH742" i="3" s="1"/>
  <c r="AC742" i="3"/>
  <c r="AF719" i="3"/>
  <c r="AE719" i="3"/>
  <c r="AD719" i="3"/>
  <c r="AH719" i="3" s="1"/>
  <c r="AC719" i="3"/>
  <c r="AG719" i="3" s="1"/>
  <c r="AG694" i="3"/>
  <c r="AF694" i="3"/>
  <c r="AE694" i="3"/>
  <c r="AD694" i="3"/>
  <c r="AH694" i="3" s="1"/>
  <c r="AC694" i="3"/>
  <c r="AH670" i="3"/>
  <c r="AF670" i="3"/>
  <c r="AE670" i="3"/>
  <c r="AD670" i="3"/>
  <c r="AC670" i="3"/>
  <c r="AG670" i="3" s="1"/>
  <c r="AF646" i="3"/>
  <c r="AE646" i="3"/>
  <c r="AD646" i="3"/>
  <c r="AH646" i="3" s="1"/>
  <c r="AC646" i="3"/>
  <c r="AG646" i="3" s="1"/>
  <c r="AH623" i="3"/>
  <c r="AG623" i="3"/>
  <c r="AF623" i="3"/>
  <c r="AE623" i="3"/>
  <c r="AD623" i="3"/>
  <c r="AC623" i="3"/>
  <c r="AH593" i="3"/>
  <c r="AF593" i="3"/>
  <c r="AE593" i="3"/>
  <c r="AD593" i="3"/>
  <c r="AC593" i="3"/>
  <c r="AG593" i="3" s="1"/>
  <c r="AG570" i="3"/>
  <c r="AF570" i="3"/>
  <c r="AE570" i="3"/>
  <c r="AD570" i="3"/>
  <c r="AH570" i="3" s="1"/>
  <c r="AC570" i="3"/>
  <c r="AG545" i="3"/>
  <c r="AF545" i="3"/>
  <c r="AE545" i="3"/>
  <c r="AD545" i="3"/>
  <c r="AH545" i="3" s="1"/>
  <c r="AC545" i="3"/>
  <c r="AF522" i="3"/>
  <c r="AE522" i="3"/>
  <c r="AD522" i="3"/>
  <c r="AH522" i="3" s="1"/>
  <c r="AC522" i="3"/>
  <c r="AG522" i="3" s="1"/>
  <c r="AG497" i="3"/>
  <c r="AF497" i="3"/>
  <c r="AE497" i="3"/>
  <c r="AD497" i="3"/>
  <c r="AH497" i="3" s="1"/>
  <c r="AC497" i="3"/>
  <c r="AH474" i="3"/>
  <c r="AF474" i="3"/>
  <c r="AE474" i="3"/>
  <c r="AD474" i="3"/>
  <c r="AC474" i="3"/>
  <c r="AG474" i="3" s="1"/>
  <c r="AG444" i="3"/>
  <c r="AF444" i="3"/>
  <c r="AE444" i="3"/>
  <c r="AD444" i="3"/>
  <c r="AH444" i="3" s="1"/>
  <c r="AC444" i="3"/>
  <c r="AH421" i="3"/>
  <c r="AG421" i="3"/>
  <c r="AF421" i="3"/>
  <c r="AE421" i="3"/>
  <c r="AD421" i="3"/>
  <c r="AC421" i="3"/>
  <c r="AF396" i="3"/>
  <c r="AE396" i="3"/>
  <c r="AD396" i="3"/>
  <c r="AH396" i="3" s="1"/>
  <c r="AC396" i="3"/>
  <c r="AG396" i="3" s="1"/>
  <c r="AG373" i="3"/>
  <c r="AF373" i="3"/>
  <c r="AE373" i="3"/>
  <c r="AD373" i="3"/>
  <c r="AH373" i="3" s="1"/>
  <c r="AC373" i="3"/>
  <c r="AH348" i="3"/>
  <c r="AF348" i="3"/>
  <c r="AE348" i="3"/>
  <c r="AD348" i="3"/>
  <c r="AC348" i="3"/>
  <c r="AG348" i="3" s="1"/>
  <c r="AF325" i="3"/>
  <c r="AE325" i="3"/>
  <c r="AD325" i="3"/>
  <c r="AH325" i="3" s="1"/>
  <c r="AC325" i="3"/>
  <c r="AG325" i="3" s="1"/>
  <c r="AG295" i="3"/>
  <c r="AF295" i="3"/>
  <c r="AE295" i="3"/>
  <c r="AD295" i="3"/>
  <c r="AH295" i="3" s="1"/>
  <c r="AC295" i="3"/>
  <c r="AH272" i="3"/>
  <c r="AF272" i="3"/>
  <c r="AE272" i="3"/>
  <c r="AD272" i="3"/>
  <c r="AC272" i="3"/>
  <c r="AG272" i="3" s="1"/>
  <c r="AF247" i="3"/>
  <c r="AE247" i="3"/>
  <c r="AD247" i="3"/>
  <c r="AH247" i="3" s="1"/>
  <c r="AC247" i="3"/>
  <c r="AG247" i="3" s="1"/>
  <c r="AH224" i="3"/>
  <c r="AG224" i="3"/>
  <c r="AF224" i="3"/>
  <c r="AE224" i="3"/>
  <c r="AD224" i="3"/>
  <c r="AC224" i="3"/>
  <c r="AF199" i="3"/>
  <c r="AE199" i="3"/>
  <c r="AD199" i="3"/>
  <c r="AH199" i="3" s="1"/>
  <c r="AC199" i="3"/>
  <c r="AG199" i="3" s="1"/>
  <c r="AG175" i="3"/>
  <c r="AF175" i="3"/>
  <c r="AE175" i="3"/>
  <c r="AD175" i="3"/>
  <c r="AH175" i="3" s="1"/>
  <c r="AC175" i="3"/>
  <c r="AH146" i="3"/>
  <c r="AF146" i="3"/>
  <c r="AE146" i="3"/>
  <c r="AD146" i="3"/>
  <c r="AC146" i="3"/>
  <c r="AG146" i="3" s="1"/>
  <c r="AF122" i="3"/>
  <c r="AE122" i="3"/>
  <c r="AD122" i="3"/>
  <c r="AH122" i="3" s="1"/>
  <c r="AC122" i="3"/>
  <c r="AG122" i="3" s="1"/>
  <c r="AH98" i="3"/>
  <c r="AG98" i="3"/>
  <c r="AF98" i="3"/>
  <c r="AE98" i="3"/>
  <c r="AD98" i="3"/>
  <c r="AC98" i="3"/>
  <c r="AH74" i="3"/>
  <c r="AG74" i="3"/>
  <c r="AF74" i="3"/>
  <c r="AE74" i="3"/>
  <c r="AD74" i="3"/>
  <c r="AC74" i="3"/>
  <c r="AF50" i="3"/>
  <c r="AE50" i="3"/>
  <c r="AD50" i="3"/>
  <c r="AH50" i="3" s="1"/>
  <c r="AC50" i="3"/>
  <c r="AG50" i="3" s="1"/>
  <c r="AF27" i="3"/>
  <c r="AE27" i="3"/>
  <c r="AD27" i="3"/>
  <c r="AH27" i="3" s="1"/>
  <c r="AC27" i="3"/>
  <c r="AG27" i="3" s="1"/>
</calcChain>
</file>

<file path=xl/sharedStrings.xml><?xml version="1.0" encoding="utf-8"?>
<sst xmlns="http://schemas.openxmlformats.org/spreadsheetml/2006/main" count="54896" uniqueCount="750">
  <si>
    <t>Scenario_ID</t>
  </si>
  <si>
    <t>Type</t>
  </si>
  <si>
    <t>Practice</t>
  </si>
  <si>
    <t>Base_Difficulty</t>
  </si>
  <si>
    <t>תשובה_נכונה_לתרחיש</t>
  </si>
  <si>
    <t>Priority_Task</t>
  </si>
  <si>
    <t>Q1_נכון</t>
  </si>
  <si>
    <t>Q2_נכון</t>
  </si>
  <si>
    <t>Q3_נכון</t>
  </si>
  <si>
    <t>SCN_001</t>
  </si>
  <si>
    <t>SCN_002</t>
  </si>
  <si>
    <t>SCN_003</t>
  </si>
  <si>
    <t>SCN_004</t>
  </si>
  <si>
    <t>SCN_005</t>
  </si>
  <si>
    <t>SCN_006</t>
  </si>
  <si>
    <t>SCN_007</t>
  </si>
  <si>
    <t>SCN_008</t>
  </si>
  <si>
    <t>SCN_009</t>
  </si>
  <si>
    <t>SCN_010</t>
  </si>
  <si>
    <t>SCN_011</t>
  </si>
  <si>
    <t>SCN_012</t>
  </si>
  <si>
    <t>SCN_013</t>
  </si>
  <si>
    <t>SCN_014</t>
  </si>
  <si>
    <t>SCN_015</t>
  </si>
  <si>
    <t>SCN_016</t>
  </si>
  <si>
    <t>SCN_017</t>
  </si>
  <si>
    <t>SCN_018</t>
  </si>
  <si>
    <t>SCN_019</t>
  </si>
  <si>
    <t>SCN_020</t>
  </si>
  <si>
    <t>SCN_021</t>
  </si>
  <si>
    <t>SCN_022</t>
  </si>
  <si>
    <t>SCN_023</t>
  </si>
  <si>
    <t>SCN_024</t>
  </si>
  <si>
    <t>SCN_025</t>
  </si>
  <si>
    <t>SCN_026</t>
  </si>
  <si>
    <t>SCN_027</t>
  </si>
  <si>
    <t>SCN_028</t>
  </si>
  <si>
    <t>SCN_029</t>
  </si>
  <si>
    <t>SCN_030</t>
  </si>
  <si>
    <t>OPT</t>
  </si>
  <si>
    <t>SUB</t>
  </si>
  <si>
    <t>Y</t>
  </si>
  <si>
    <t>N</t>
  </si>
  <si>
    <t>E</t>
  </si>
  <si>
    <t>H</t>
  </si>
  <si>
    <t>א׳</t>
  </si>
  <si>
    <t>ג׳</t>
  </si>
  <si>
    <t>ב׳</t>
  </si>
  <si>
    <t>תקשורת</t>
  </si>
  <si>
    <t>נוף</t>
  </si>
  <si>
    <t>מהירות + תקשורת</t>
  </si>
  <si>
    <t>מהירות</t>
  </si>
  <si>
    <t>נוף + תקשורת</t>
  </si>
  <si>
    <t>נוף + עלות</t>
  </si>
  <si>
    <t>עלות</t>
  </si>
  <si>
    <t>מהירות + נוף</t>
  </si>
  <si>
    <t>עלות + תקשורת</t>
  </si>
  <si>
    <t>ב</t>
  </si>
  <si>
    <t>ג</t>
  </si>
  <si>
    <t>ד</t>
  </si>
  <si>
    <t>א</t>
  </si>
  <si>
    <t>Participant_ID</t>
  </si>
  <si>
    <t>סדר_תנאים</t>
  </si>
  <si>
    <t>תרגול_R1_Scenario_ID</t>
  </si>
  <si>
    <t>תרגול_R1_קושי</t>
  </si>
  <si>
    <t>תרגול_R1_תשובה_נכונה_לתרחיש</t>
  </si>
  <si>
    <t>תרגול_R1_המלצת_מערכת</t>
  </si>
  <si>
    <t>תרגול_R1_Q1_נכון</t>
  </si>
  <si>
    <t>תרגול_R1_Q2_נכון</t>
  </si>
  <si>
    <t>תרגול_R1_Q3_נכון</t>
  </si>
  <si>
    <t>תרגול_R2_Scenario_ID</t>
  </si>
  <si>
    <t>תרגול_R2_קושי</t>
  </si>
  <si>
    <t>תרגול_R2_תשובה_נכונה_לתרחיש</t>
  </si>
  <si>
    <t>תרגול_R2_המלצת_מערכת</t>
  </si>
  <si>
    <t>תרגול_R2_Q1_נכון</t>
  </si>
  <si>
    <t>תרגול_R2_Q2_נכון</t>
  </si>
  <si>
    <t>תרגול_R2_Q3_נכון</t>
  </si>
  <si>
    <t>תרגול_R3_Scenario_ID</t>
  </si>
  <si>
    <t>תרגול_R3_קושי</t>
  </si>
  <si>
    <t>תרגול_R3_תשובה_נכונה_לתרחיש</t>
  </si>
  <si>
    <t>תרגול_R3_המלצת_מערכת</t>
  </si>
  <si>
    <t>תרגול_R3_Q1_נכון</t>
  </si>
  <si>
    <t>תרגול_R3_Q2_נכון</t>
  </si>
  <si>
    <t>תרגול_R3_Q3_נכון</t>
  </si>
  <si>
    <t>תנאי_1_ויזואליזציה</t>
  </si>
  <si>
    <t>תנאי_1_סדר_מודלים</t>
  </si>
  <si>
    <t>תנאי_1_M1_סוג_מודל</t>
  </si>
  <si>
    <t>תנאי_1_M1_R1_Scenario_ID</t>
  </si>
  <si>
    <t>תנאי_1_M1_R1_קושי</t>
  </si>
  <si>
    <t>תנאי_1_M1_R1_תשובה_נכונה_לתרחיש</t>
  </si>
  <si>
    <t>תנאי_1_M1_R1_המלצת_מערכת</t>
  </si>
  <si>
    <t>תנאי_1_M1_R1_Q1_נכון</t>
  </si>
  <si>
    <t>תנאי_1_M1_R1_Q2_נכון</t>
  </si>
  <si>
    <t>תנאי_1_M1_R1_Q3_נכון</t>
  </si>
  <si>
    <t>תנאי_1_M1_R2_Scenario_ID</t>
  </si>
  <si>
    <t>תנאי_1_M1_R2_קושי</t>
  </si>
  <si>
    <t>תנאי_1_M1_R2_תשובה_נכונה_לתרחיש</t>
  </si>
  <si>
    <t>תנאי_1_M1_R2_המלצת_מערכת</t>
  </si>
  <si>
    <t>תנאי_1_M1_R2_Q1_נכון</t>
  </si>
  <si>
    <t>תנאי_1_M1_R2_Q2_נכון</t>
  </si>
  <si>
    <t>תנאי_1_M1_R2_Q3_נכון</t>
  </si>
  <si>
    <t>תנאי_1_M1_R3_Scenario_ID</t>
  </si>
  <si>
    <t>תנאי_1_M1_R3_קושי</t>
  </si>
  <si>
    <t>תנאי_1_M1_R3_תשובה_נכונה_לתרחיש</t>
  </si>
  <si>
    <t>תנאי_1_M1_R3_המלצת_מערכת</t>
  </si>
  <si>
    <t>תנאי_1_M1_R3_Q1_נכון</t>
  </si>
  <si>
    <t>תנאי_1_M1_R3_Q2_נכון</t>
  </si>
  <si>
    <t>תנאי_1_M1_R3_Q3_נכון</t>
  </si>
  <si>
    <t>תנאי_1_M1_R4_Scenario_ID</t>
  </si>
  <si>
    <t>תנאי_1_M1_R4_קושי</t>
  </si>
  <si>
    <t>תנאי_1_M1_R4_תשובה_נכונה_לתרחיש</t>
  </si>
  <si>
    <t>תנאי_1_M1_R4_המלצת_מערכת</t>
  </si>
  <si>
    <t>תנאי_1_M1_R4_Q1_נכון</t>
  </si>
  <si>
    <t>תנאי_1_M1_R4_Q2_נכון</t>
  </si>
  <si>
    <t>תנאי_1_M1_R4_Q3_נכון</t>
  </si>
  <si>
    <t>תנאי_1_M1_R5_Scenario_ID</t>
  </si>
  <si>
    <t>תנאי_1_M1_R5_קושי</t>
  </si>
  <si>
    <t>תנאי_1_M1_R5_תשובה_נכונה_לתרחיש</t>
  </si>
  <si>
    <t>תנאי_1_M1_R5_המלצת_מערכת</t>
  </si>
  <si>
    <t>תנאי_1_M1_R5_Q1_נכון</t>
  </si>
  <si>
    <t>תנאי_1_M1_R5_Q2_נכון</t>
  </si>
  <si>
    <t>תנאי_1_M1_R5_Q3_נכון</t>
  </si>
  <si>
    <t>תנאי_1_M2_סוג_מודל</t>
  </si>
  <si>
    <t>תנאי_1_M2_R1_Scenario_ID</t>
  </si>
  <si>
    <t>תנאי_1_M2_R1_קושי</t>
  </si>
  <si>
    <t>תנאי_1_M2_R1_תשובה_נכונה_לתרחיש</t>
  </si>
  <si>
    <t>תנאי_1_M2_R1_המלצת_מערכת</t>
  </si>
  <si>
    <t>תנאי_1_M2_R1_Q1_נכון</t>
  </si>
  <si>
    <t>תנאי_1_M2_R1_Q2_נכון</t>
  </si>
  <si>
    <t>תנאי_1_M2_R1_Q3_נכון</t>
  </si>
  <si>
    <t>תנאי_1_M2_R2_Scenario_ID</t>
  </si>
  <si>
    <t>תנאי_1_M2_R2_קושי</t>
  </si>
  <si>
    <t>תנאי_1_M2_R2_תשובה_נכונה_לתרחיש</t>
  </si>
  <si>
    <t>תנאי_1_M2_R2_המלצת_מערכת</t>
  </si>
  <si>
    <t>תנאי_1_M2_R2_Q1_נכון</t>
  </si>
  <si>
    <t>תנאי_1_M2_R2_Q2_נכון</t>
  </si>
  <si>
    <t>תנאי_1_M2_R2_Q3_נכון</t>
  </si>
  <si>
    <t>תנאי_1_M2_R3_Scenario_ID</t>
  </si>
  <si>
    <t>תנאי_1_M2_R3_קושי</t>
  </si>
  <si>
    <t>תנאי_1_M2_R3_תשובה_נכונה_לתרחיש</t>
  </si>
  <si>
    <t>תנאי_1_M2_R3_המלצת_מערכת</t>
  </si>
  <si>
    <t>תנאי_1_M2_R3_Q1_נכון</t>
  </si>
  <si>
    <t>תנאי_1_M2_R3_Q2_נכון</t>
  </si>
  <si>
    <t>תנאי_1_M2_R3_Q3_נכון</t>
  </si>
  <si>
    <t>תנאי_1_M2_R4_Scenario_ID</t>
  </si>
  <si>
    <t>תנאי_1_M2_R4_קושי</t>
  </si>
  <si>
    <t>תנאי_1_M2_R4_תשובה_נכונה_לתרחיש</t>
  </si>
  <si>
    <t>תנאי_1_M2_R4_המלצת_מערכת</t>
  </si>
  <si>
    <t>תנאי_1_M2_R4_Q1_נכון</t>
  </si>
  <si>
    <t>תנאי_1_M2_R4_Q2_נכון</t>
  </si>
  <si>
    <t>תנאי_1_M2_R4_Q3_נכון</t>
  </si>
  <si>
    <t>תנאי_1_M2_R5_Scenario_ID</t>
  </si>
  <si>
    <t>תנאי_1_M2_R5_קושי</t>
  </si>
  <si>
    <t>תנאי_1_M2_R5_תשובה_נכונה_לתרחיש</t>
  </si>
  <si>
    <t>תנאי_1_M2_R5_המלצת_מערכת</t>
  </si>
  <si>
    <t>תנאי_1_M2_R5_Q1_נכון</t>
  </si>
  <si>
    <t>תנאי_1_M2_R5_Q2_נכון</t>
  </si>
  <si>
    <t>תנאי_1_M2_R5_Q3_נכון</t>
  </si>
  <si>
    <t>תנאי_2_ויזואליזציה</t>
  </si>
  <si>
    <t>תנאי_2_סדר_מודלים</t>
  </si>
  <si>
    <t>תנאי_2_M1_סוג_מודל</t>
  </si>
  <si>
    <t>תנאי_2_M1_R1_Scenario_ID</t>
  </si>
  <si>
    <t>תנאי_2_M1_R1_קושי</t>
  </si>
  <si>
    <t>תנאי_2_M1_R1_תשובה_נכונה_לתרחיש</t>
  </si>
  <si>
    <t>תנאי_2_M1_R1_המלצת_מערכת</t>
  </si>
  <si>
    <t>תנאי_2_M1_R1_Q1_נכון</t>
  </si>
  <si>
    <t>תנאי_2_M1_R1_Q2_נכון</t>
  </si>
  <si>
    <t>תנאי_2_M1_R1_Q3_נכון</t>
  </si>
  <si>
    <t>תנאי_2_M1_R2_Scenario_ID</t>
  </si>
  <si>
    <t>תנאי_2_M1_R2_קושי</t>
  </si>
  <si>
    <t>תנאי_2_M1_R2_תשובה_נכונה_לתרחיש</t>
  </si>
  <si>
    <t>תנאי_2_M1_R2_המלצת_מערכת</t>
  </si>
  <si>
    <t>תנאי_2_M1_R2_Q1_נכון</t>
  </si>
  <si>
    <t>תנאי_2_M1_R2_Q2_נכון</t>
  </si>
  <si>
    <t>תנאי_2_M1_R2_Q3_נכון</t>
  </si>
  <si>
    <t>תנאי_2_M1_R3_Scenario_ID</t>
  </si>
  <si>
    <t>תנאי_2_M1_R3_קושי</t>
  </si>
  <si>
    <t>תנאי_2_M1_R3_תשובה_נכונה_לתרחיש</t>
  </si>
  <si>
    <t>תנאי_2_M1_R3_המלצת_מערכת</t>
  </si>
  <si>
    <t>תנאי_2_M1_R3_Q1_נכון</t>
  </si>
  <si>
    <t>תנאי_2_M1_R3_Q2_נכון</t>
  </si>
  <si>
    <t>תנאי_2_M1_R3_Q3_נכון</t>
  </si>
  <si>
    <t>תנאי_2_M1_R4_Scenario_ID</t>
  </si>
  <si>
    <t>תנאי_2_M1_R4_קושי</t>
  </si>
  <si>
    <t>תנאי_2_M1_R4_תשובה_נכונה_לתרחיש</t>
  </si>
  <si>
    <t>תנאי_2_M1_R4_המלצת_מערכת</t>
  </si>
  <si>
    <t>תנאי_2_M1_R4_Q1_נכון</t>
  </si>
  <si>
    <t>תנאי_2_M1_R4_Q2_נכון</t>
  </si>
  <si>
    <t>תנאי_2_M1_R4_Q3_נכון</t>
  </si>
  <si>
    <t>תנאי_2_M1_R5_Scenario_ID</t>
  </si>
  <si>
    <t>תנאי_2_M1_R5_קושי</t>
  </si>
  <si>
    <t>תנאי_2_M1_R5_תשובה_נכונה_לתרחיש</t>
  </si>
  <si>
    <t>תנאי_2_M1_R5_המלצת_מערכת</t>
  </si>
  <si>
    <t>תנאי_2_M1_R5_Q1_נכון</t>
  </si>
  <si>
    <t>תנאי_2_M1_R5_Q2_נכון</t>
  </si>
  <si>
    <t>תנאי_2_M1_R5_Q3_נכון</t>
  </si>
  <si>
    <t>תנאי_2_M2_סוג_מודל</t>
  </si>
  <si>
    <t>תנאי_2_M2_R1_Scenario_ID</t>
  </si>
  <si>
    <t>תנאי_2_M2_R1_קושי</t>
  </si>
  <si>
    <t>תנאי_2_M2_R1_תשובה_נכונה_לתרחיש</t>
  </si>
  <si>
    <t>תנאי_2_M2_R1_המלצת_מערכת</t>
  </si>
  <si>
    <t>תנאי_2_M2_R1_Q1_נכון</t>
  </si>
  <si>
    <t>תנאי_2_M2_R1_Q2_נכון</t>
  </si>
  <si>
    <t>תנאי_2_M2_R1_Q3_נכון</t>
  </si>
  <si>
    <t>תנאי_2_M2_R2_Scenario_ID</t>
  </si>
  <si>
    <t>תנאי_2_M2_R2_קושי</t>
  </si>
  <si>
    <t>תנאי_2_M2_R2_תשובה_נכונה_לתרחיש</t>
  </si>
  <si>
    <t>תנאי_2_M2_R2_המלצת_מערכת</t>
  </si>
  <si>
    <t>תנאי_2_M2_R2_Q1_נכון</t>
  </si>
  <si>
    <t>תנאי_2_M2_R2_Q2_נכון</t>
  </si>
  <si>
    <t>תנאי_2_M2_R2_Q3_נכון</t>
  </si>
  <si>
    <t>תנאי_2_M2_R3_Scenario_ID</t>
  </si>
  <si>
    <t>תנאי_2_M2_R3_קושי</t>
  </si>
  <si>
    <t>תנאי_2_M2_R3_תשובה_נכונה_לתרחיש</t>
  </si>
  <si>
    <t>תנאי_2_M2_R3_המלצת_מערכת</t>
  </si>
  <si>
    <t>תנאי_2_M2_R3_Q1_נכון</t>
  </si>
  <si>
    <t>תנאי_2_M2_R3_Q2_נכון</t>
  </si>
  <si>
    <t>תנאי_2_M2_R3_Q3_נכון</t>
  </si>
  <si>
    <t>תנאי_2_M2_R4_Scenario_ID</t>
  </si>
  <si>
    <t>תנאי_2_M2_R4_קושי</t>
  </si>
  <si>
    <t>תנאי_2_M2_R4_תשובה_נכונה_לתרחיש</t>
  </si>
  <si>
    <t>תנאי_2_M2_R4_המלצת_מערכת</t>
  </si>
  <si>
    <t>תנאי_2_M2_R4_Q1_נכון</t>
  </si>
  <si>
    <t>תנאי_2_M2_R4_Q2_נכון</t>
  </si>
  <si>
    <t>תנאי_2_M2_R4_Q3_נכון</t>
  </si>
  <si>
    <t>תנאי_2_M2_R5_Scenario_ID</t>
  </si>
  <si>
    <t>תנאי_2_M2_R5_קושי</t>
  </si>
  <si>
    <t>תנאי_2_M2_R5_תשובה_נכונה_לתרחיש</t>
  </si>
  <si>
    <t>תנאי_2_M2_R5_המלצת_מערכת</t>
  </si>
  <si>
    <t>תנאי_2_M2_R5_Q1_נכון</t>
  </si>
  <si>
    <t>תנאי_2_M2_R5_Q2_נכון</t>
  </si>
  <si>
    <t>תנאי_2_M2_R5_Q3_נכון</t>
  </si>
  <si>
    <t>תנאי_3_ויזואליזציה</t>
  </si>
  <si>
    <t>תנאי_3_סדר_מודלים</t>
  </si>
  <si>
    <t>תנאי_3_M1_סוג_מודל</t>
  </si>
  <si>
    <t>תנאי_3_M1_R1_Scenario_ID</t>
  </si>
  <si>
    <t>תנאי_3_M1_R1_קושי</t>
  </si>
  <si>
    <t>תנאי_3_M1_R1_תשובה_נכונה_לתרחיש</t>
  </si>
  <si>
    <t>תנאי_3_M1_R1_המלצת_מערכת</t>
  </si>
  <si>
    <t>תנאי_3_M1_R1_Q1_נכון</t>
  </si>
  <si>
    <t>תנאי_3_M1_R1_Q2_נכון</t>
  </si>
  <si>
    <t>תנאי_3_M1_R1_Q3_נכון</t>
  </si>
  <si>
    <t>תנאי_3_M1_R2_Scenario_ID</t>
  </si>
  <si>
    <t>תנאי_3_M1_R2_קושי</t>
  </si>
  <si>
    <t>תנאי_3_M1_R2_תשובה_נכונה_לתרחיש</t>
  </si>
  <si>
    <t>תנאי_3_M1_R2_המלצת_מערכת</t>
  </si>
  <si>
    <t>תנאי_3_M1_R2_Q1_נכון</t>
  </si>
  <si>
    <t>תנאי_3_M1_R2_Q2_נכון</t>
  </si>
  <si>
    <t>תנאי_3_M1_R2_Q3_נכון</t>
  </si>
  <si>
    <t>תנאי_3_M1_R3_Scenario_ID</t>
  </si>
  <si>
    <t>תנאי_3_M1_R3_קושי</t>
  </si>
  <si>
    <t>תנאי_3_M1_R3_תשובה_נכונה_לתרחיש</t>
  </si>
  <si>
    <t>תנאי_3_M1_R3_המלצת_מערכת</t>
  </si>
  <si>
    <t>תנאי_3_M1_R3_Q1_נכון</t>
  </si>
  <si>
    <t>תנאי_3_M1_R3_Q2_נכון</t>
  </si>
  <si>
    <t>תנאי_3_M1_R3_Q3_נכון</t>
  </si>
  <si>
    <t>תנאי_3_M1_R4_Scenario_ID</t>
  </si>
  <si>
    <t>תנאי_3_M1_R4_קושי</t>
  </si>
  <si>
    <t>תנאי_3_M1_R4_תשובה_נכונה_לתרחיש</t>
  </si>
  <si>
    <t>תנאי_3_M1_R4_המלצת_מערכת</t>
  </si>
  <si>
    <t>תנאי_3_M1_R4_Q1_נכון</t>
  </si>
  <si>
    <t>תנאי_3_M1_R4_Q2_נכון</t>
  </si>
  <si>
    <t>תנאי_3_M1_R4_Q3_נכון</t>
  </si>
  <si>
    <t>תנאי_3_M1_R5_Scenario_ID</t>
  </si>
  <si>
    <t>תנאי_3_M1_R5_קושי</t>
  </si>
  <si>
    <t>תנאי_3_M1_R5_תשובה_נכונה_לתרחיש</t>
  </si>
  <si>
    <t>תנאי_3_M1_R5_המלצת_מערכת</t>
  </si>
  <si>
    <t>תנאי_3_M1_R5_Q1_נכון</t>
  </si>
  <si>
    <t>תנאי_3_M1_R5_Q2_נכון</t>
  </si>
  <si>
    <t>תנאי_3_M1_R5_Q3_נכון</t>
  </si>
  <si>
    <t>תנאי_3_M2_סוג_מודל</t>
  </si>
  <si>
    <t>תנאי_3_M2_R1_Scenario_ID</t>
  </si>
  <si>
    <t>תנאי_3_M2_R1_קושי</t>
  </si>
  <si>
    <t>תנאי_3_M2_R1_תשובה_נכונה_לתרחיש</t>
  </si>
  <si>
    <t>תנאי_3_M2_R1_המלצת_מערכת</t>
  </si>
  <si>
    <t>תנאי_3_M2_R1_Q1_נכון</t>
  </si>
  <si>
    <t>תנאי_3_M2_R1_Q2_נכון</t>
  </si>
  <si>
    <t>תנאי_3_M2_R1_Q3_נכון</t>
  </si>
  <si>
    <t>תנאי_3_M2_R2_Scenario_ID</t>
  </si>
  <si>
    <t>תנאי_3_M2_R2_קושי</t>
  </si>
  <si>
    <t>תנאי_3_M2_R2_תשובה_נכונה_לתרחיש</t>
  </si>
  <si>
    <t>תנאי_3_M2_R2_המלצת_מערכת</t>
  </si>
  <si>
    <t>תנאי_3_M2_R2_Q1_נכון</t>
  </si>
  <si>
    <t>תנאי_3_M2_R2_Q2_נכון</t>
  </si>
  <si>
    <t>תנאי_3_M2_R2_Q3_נכון</t>
  </si>
  <si>
    <t>תנאי_3_M2_R3_Scenario_ID</t>
  </si>
  <si>
    <t>תנאי_3_M2_R3_קושי</t>
  </si>
  <si>
    <t>תנאי_3_M2_R3_תשובה_נכונה_לתרחיש</t>
  </si>
  <si>
    <t>תנאי_3_M2_R3_המלצת_מערכת</t>
  </si>
  <si>
    <t>תנאי_3_M2_R3_Q1_נכון</t>
  </si>
  <si>
    <t>תנאי_3_M2_R3_Q2_נכון</t>
  </si>
  <si>
    <t>תנאי_3_M2_R3_Q3_נכון</t>
  </si>
  <si>
    <t>תנאי_3_M2_R4_Scenario_ID</t>
  </si>
  <si>
    <t>תנאי_3_M2_R4_קושי</t>
  </si>
  <si>
    <t>תנאי_3_M2_R4_תשובה_נכונה_לתרחיש</t>
  </si>
  <si>
    <t>תנאי_3_M2_R4_המלצת_מערכת</t>
  </si>
  <si>
    <t>תנאי_3_M2_R4_Q1_נכון</t>
  </si>
  <si>
    <t>תנאי_3_M2_R4_Q2_נכון</t>
  </si>
  <si>
    <t>תנאי_3_M2_R4_Q3_נכון</t>
  </si>
  <si>
    <t>תנאי_3_M2_R5_Scenario_ID</t>
  </si>
  <si>
    <t>תנאי_3_M2_R5_קושי</t>
  </si>
  <si>
    <t>תנאי_3_M2_R5_תשובה_נכונה_לתרחיש</t>
  </si>
  <si>
    <t>תנאי_3_M2_R5_המלצת_מערכת</t>
  </si>
  <si>
    <t>תנאי_3_M2_R5_Q1_נכון</t>
  </si>
  <si>
    <t>תנאי_3_M2_R5_Q2_נכון</t>
  </si>
  <si>
    <t>תנאי_3_M2_R5_Q3_נכון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</si>
  <si>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</si>
  <si>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</si>
  <si>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</si>
  <si>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</si>
  <si>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</si>
  <si>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</si>
  <si>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</si>
  <si>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</si>
  <si>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</si>
  <si>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</si>
  <si>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</si>
  <si>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</si>
  <si>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</si>
  <si>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</si>
  <si>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</si>
  <si>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</si>
  <si>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</si>
  <si>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</si>
  <si>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</si>
  <si>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</si>
  <si>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</si>
  <si>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</si>
  <si>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</si>
  <si>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</si>
  <si>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</si>
  <si>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</si>
  <si>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</si>
  <si>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</si>
  <si>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</si>
  <si>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</si>
  <si>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עמודות מוערמות ← רדאר ← מפת חום</t>
  </si>
  <si>
    <t>רדאר ← מפת חום ← עמודות מוערמות</t>
  </si>
  <si>
    <t>מפת חום ← עמודות מוערמות ← רדאר</t>
  </si>
  <si>
    <t>SCN_001_OPT</t>
  </si>
  <si>
    <t>SCN_002_OPT</t>
  </si>
  <si>
    <t>SCN_003_OPT</t>
  </si>
  <si>
    <t>עמודות מוערמות</t>
  </si>
  <si>
    <t>רדאר</t>
  </si>
  <si>
    <t>מפת חום</t>
  </si>
  <si>
    <t>אופטימלי ← תת-אופטימלי</t>
  </si>
  <si>
    <t>תת-אופטימלי ← אופטימלי</t>
  </si>
  <si>
    <t>SCN_026_OPT</t>
  </si>
  <si>
    <t>SCN_018_SUB</t>
  </si>
  <si>
    <t>SCN_004_OPT</t>
  </si>
  <si>
    <t>SCN_006_OPT</t>
  </si>
  <si>
    <t>SCN_022_SUB</t>
  </si>
  <si>
    <t>SCN_010_SUB</t>
  </si>
  <si>
    <t>SCN_028_OPT</t>
  </si>
  <si>
    <t>SCN_029_SUB</t>
  </si>
  <si>
    <t>SCN_017_OPT</t>
  </si>
  <si>
    <t>SCN_030_OPT</t>
  </si>
  <si>
    <t>SCN_021_SUB</t>
  </si>
  <si>
    <t>SCN_015_SUB</t>
  </si>
  <si>
    <t>SCN_009_OPT</t>
  </si>
  <si>
    <t>SCN_020_SUB</t>
  </si>
  <si>
    <t>SCN_008_OPT</t>
  </si>
  <si>
    <t>SCN_016_OPT</t>
  </si>
  <si>
    <t>SCN_011_SUB</t>
  </si>
  <si>
    <t>SCN_005_SUB</t>
  </si>
  <si>
    <t>SCN_024_OPT</t>
  </si>
  <si>
    <t>SCN_023_SUB</t>
  </si>
  <si>
    <t>SCN_014_OPT</t>
  </si>
  <si>
    <t>SCN_007_OPT</t>
  </si>
  <si>
    <t>SCN_019_SUB</t>
  </si>
  <si>
    <t>SCN_013_SUB</t>
  </si>
  <si>
    <t>SCN_025_OPT</t>
  </si>
  <si>
    <t>N/A</t>
  </si>
  <si>
    <t>SCN_012_OPT</t>
  </si>
  <si>
    <t>SCN_027_OPT</t>
  </si>
  <si>
    <t>Record_Type</t>
  </si>
  <si>
    <t>Condition_Index</t>
  </si>
  <si>
    <t>Viz_Code</t>
  </si>
  <si>
    <t>Model_Pos</t>
  </si>
  <si>
    <t>Model_Code</t>
  </si>
  <si>
    <t>Scenario_Index</t>
  </si>
  <si>
    <t>בחירת_נבדק</t>
  </si>
  <si>
    <t>זמן_ms</t>
  </si>
  <si>
    <t>שאלת_בטחון_תשובת_נבדק</t>
  </si>
  <si>
    <t>שאלת_עומס_תשובת_נבדק</t>
  </si>
  <si>
    <t>שאלון_Q1_הבנה_תשובה_נכונה</t>
  </si>
  <si>
    <t>שאלון_Q1_הבנה_תשובת_נבדק</t>
  </si>
  <si>
    <t>שאלון_Q2_הבנה_תשובה_נכונה</t>
  </si>
  <si>
    <t>שאלון_Q2_הבנה_תשובת_נבדק</t>
  </si>
  <si>
    <t>שאלון_Q3_הבנה_תשובה_נכונה</t>
  </si>
  <si>
    <t>שאלון_Q3_הבנה_תשובת_נבדק</t>
  </si>
  <si>
    <t>MODEL_ID</t>
  </si>
  <si>
    <t>PA_ID</t>
  </si>
  <si>
    <t>ORDER_STRING</t>
  </si>
  <si>
    <t>דמוגרפיה_Q1</t>
  </si>
  <si>
    <t>דמוגרפיה_Q2</t>
  </si>
  <si>
    <t>דמוגרפיה_Q3</t>
  </si>
  <si>
    <t>דמוגרפיה_Q4</t>
  </si>
  <si>
    <t>דמוגרפיה_Q5</t>
  </si>
  <si>
    <t>דמוגרפיה_Q6</t>
  </si>
  <si>
    <t>דמוגרפיה_Q7</t>
  </si>
  <si>
    <t>דמוגרפיה_Q8</t>
  </si>
  <si>
    <t>SCENARIO</t>
  </si>
  <si>
    <t>VIZ_BLOCK</t>
  </si>
  <si>
    <t>ORDER_SUMMARY</t>
  </si>
  <si>
    <t>DEMOGRAPHICS</t>
  </si>
  <si>
    <t>INTERVIEW</t>
  </si>
  <si>
    <t>C1</t>
  </si>
  <si>
    <t>C2</t>
  </si>
  <si>
    <t>C3</t>
  </si>
  <si>
    <t>RAD</t>
  </si>
  <si>
    <t>HMP</t>
  </si>
  <si>
    <t>STC</t>
  </si>
  <si>
    <t>M1</t>
  </si>
  <si>
    <t>M2</t>
  </si>
  <si>
    <t>R01</t>
  </si>
  <si>
    <t>R02</t>
  </si>
  <si>
    <t>R03</t>
  </si>
  <si>
    <t>R04</t>
  </si>
  <si>
    <t>R05</t>
  </si>
  <si>
    <t>P001_C1_RAD_PA</t>
  </si>
  <si>
    <t>P001_C2_HMP_PA</t>
  </si>
  <si>
    <t>P001_C3_STC_PA</t>
  </si>
  <si>
    <t>P002_C1_HMP_PA</t>
  </si>
  <si>
    <t>P002_C2_STC_PA</t>
  </si>
  <si>
    <t>P002_C3_RAD_PA</t>
  </si>
  <si>
    <t>P003_C1_STC_PA</t>
  </si>
  <si>
    <t>P003_C2_RAD_PA</t>
  </si>
  <si>
    <t>P003_C3_HMP_PA</t>
  </si>
  <si>
    <t>P004_C1_RAD_PA</t>
  </si>
  <si>
    <t>P004_C2_HMP_PA</t>
  </si>
  <si>
    <t>P004_C3_STC_PA</t>
  </si>
  <si>
    <t>P005_C1_HMP_PA</t>
  </si>
  <si>
    <t>P005_C2_STC_PA</t>
  </si>
  <si>
    <t>P005_C3_RAD_PA</t>
  </si>
  <si>
    <t>P006_C1_STC_PA</t>
  </si>
  <si>
    <t>P006_C2_RAD_PA</t>
  </si>
  <si>
    <t>P006_C3_HMP_PA</t>
  </si>
  <si>
    <t>P007_C1_RAD_PA</t>
  </si>
  <si>
    <t>P007_C2_HMP_PA</t>
  </si>
  <si>
    <t>P007_C3_STC_PA</t>
  </si>
  <si>
    <t>P008_C1_HMP_PA</t>
  </si>
  <si>
    <t>P008_C2_STC_PA</t>
  </si>
  <si>
    <t>P008_C3_RAD_PA</t>
  </si>
  <si>
    <t>P009_C1_STC_PA</t>
  </si>
  <si>
    <t>P009_C2_RAD_PA</t>
  </si>
  <si>
    <t>P009_C3_HMP_PA</t>
  </si>
  <si>
    <t>P010_C1_RAD_PA</t>
  </si>
  <si>
    <t>P010_C2_HMP_PA</t>
  </si>
  <si>
    <t>P010_C3_STC_PA</t>
  </si>
  <si>
    <t>P011_C1_HMP_PA</t>
  </si>
  <si>
    <t>P011_C2_STC_PA</t>
  </si>
  <si>
    <t>P011_C3_RAD_PA</t>
  </si>
  <si>
    <t>P012_C1_STC_PA</t>
  </si>
  <si>
    <t>P012_C2_RAD_PA</t>
  </si>
  <si>
    <t>P012_C3_HMP_PA</t>
  </si>
  <si>
    <t>P013_C1_RAD_PA</t>
  </si>
  <si>
    <t>P013_C2_HMP_PA</t>
  </si>
  <si>
    <t>P013_C3_STC_PA</t>
  </si>
  <si>
    <t>P014_C1_HMP_PA</t>
  </si>
  <si>
    <t>P014_C2_STC_PA</t>
  </si>
  <si>
    <t>P014_C3_RAD_PA</t>
  </si>
  <si>
    <t>P015_C1_STC_PA</t>
  </si>
  <si>
    <t>P015_C2_RAD_PA</t>
  </si>
  <si>
    <t>P015_C3_HMP_PA</t>
  </si>
  <si>
    <t>P016_C1_RAD_PA</t>
  </si>
  <si>
    <t>P016_C2_HMP_PA</t>
  </si>
  <si>
    <t>P016_C3_STC_PA</t>
  </si>
  <si>
    <t>P017_C1_HMP_PA</t>
  </si>
  <si>
    <t>P017_C2_STC_PA</t>
  </si>
  <si>
    <t>P017_C3_RAD_PA</t>
  </si>
  <si>
    <t>P018_C1_STC_PA</t>
  </si>
  <si>
    <t>P018_C2_RAD_PA</t>
  </si>
  <si>
    <t>P018_C3_HMP_PA</t>
  </si>
  <si>
    <t>P019_C1_RAD_PA</t>
  </si>
  <si>
    <t>P019_C2_HMP_PA</t>
  </si>
  <si>
    <t>P019_C3_STC_PA</t>
  </si>
  <si>
    <t>P020_C1_HMP_PA</t>
  </si>
  <si>
    <t>P020_C2_STC_PA</t>
  </si>
  <si>
    <t>P020_C3_RAD_PA</t>
  </si>
  <si>
    <t>P021_C1_STC_PA</t>
  </si>
  <si>
    <t>P021_C2_RAD_PA</t>
  </si>
  <si>
    <t>P021_C3_HMP_PA</t>
  </si>
  <si>
    <t>P022_C1_RAD_PA</t>
  </si>
  <si>
    <t>P022_C2_HMP_PA</t>
  </si>
  <si>
    <t>P022_C3_STC_PA</t>
  </si>
  <si>
    <t>P023_C1_HMP_PA</t>
  </si>
  <si>
    <t>P023_C2_STC_PA</t>
  </si>
  <si>
    <t>P023_C3_RAD_PA</t>
  </si>
  <si>
    <t>P024_C1_STC_PA</t>
  </si>
  <si>
    <t>P024_C2_RAD_PA</t>
  </si>
  <si>
    <t>P024_C3_HMP_PA</t>
  </si>
  <si>
    <t>P025_C1_RAD_PA</t>
  </si>
  <si>
    <t>P025_C2_HMP_PA</t>
  </si>
  <si>
    <t>P025_C3_STC_PA</t>
  </si>
  <si>
    <t>P026_C1_HMP_PA</t>
  </si>
  <si>
    <t>P026_C2_STC_PA</t>
  </si>
  <si>
    <t>P026_C3_RAD_PA</t>
  </si>
  <si>
    <t>P027_C1_STC_PA</t>
  </si>
  <si>
    <t>P027_C2_RAD_PA</t>
  </si>
  <si>
    <t>P027_C3_HMP_PA</t>
  </si>
  <si>
    <t>P028_C1_RAD_PA</t>
  </si>
  <si>
    <t>P028_C2_HMP_PA</t>
  </si>
  <si>
    <t>P028_C3_STC_PA</t>
  </si>
  <si>
    <t>P029_C1_HMP_PA</t>
  </si>
  <si>
    <t>P029_C2_STC_PA</t>
  </si>
  <si>
    <t>P029_C3_RAD_PA</t>
  </si>
  <si>
    <t>P030_C1_STC_PA</t>
  </si>
  <si>
    <t>P030_C2_RAD_PA</t>
  </si>
  <si>
    <t>P030_C3_HMP_PA</t>
  </si>
  <si>
    <t>Timestamp</t>
  </si>
  <si>
    <t>Details</t>
  </si>
  <si>
    <t>Question_Domain</t>
  </si>
  <si>
    <t>Question_Index</t>
  </si>
  <si>
    <t>Question_ID</t>
  </si>
  <si>
    <t>Response_Value</t>
  </si>
  <si>
    <t>Mismatch_Count</t>
  </si>
  <si>
    <t>Load_Q_Count</t>
  </si>
  <si>
    <t>Trust_Q_Count</t>
  </si>
  <si>
    <t>Mean_RT_Load_ms</t>
  </si>
  <si>
    <t>Mean_RT_Trust_ms</t>
  </si>
  <si>
    <t>Load_Q_Missing</t>
  </si>
  <si>
    <t>Trust_Q_Missing</t>
  </si>
  <si>
    <t>CONSENT</t>
  </si>
  <si>
    <t>NA</t>
  </si>
  <si>
    <t>חתימה על הסכמה מדעת</t>
  </si>
  <si>
    <t>BRIEFING</t>
  </si>
  <si>
    <t>תדרוך</t>
  </si>
  <si>
    <t>SCN_023_OPT</t>
  </si>
  <si>
    <t>SCN_020_OPT</t>
  </si>
  <si>
    <t>SCN_015_OPT</t>
  </si>
  <si>
    <t>BLOCK_LOAD_Q</t>
  </si>
  <si>
    <t>שאלת עומס בלוק</t>
  </si>
  <si>
    <t>LOAD</t>
  </si>
  <si>
    <t>LOAD_Q1</t>
  </si>
  <si>
    <t>P001_C1_RAD_M1_OPT</t>
  </si>
  <si>
    <t>LOAD_Q2</t>
  </si>
  <si>
    <t>LOAD_Q3</t>
  </si>
  <si>
    <t>LOAD_Q4</t>
  </si>
  <si>
    <t>LOAD_Q5</t>
  </si>
  <si>
    <t>BLOCK_TRUST_Q</t>
  </si>
  <si>
    <t>שאלת אמון בלוק</t>
  </si>
  <si>
    <t>TRUST</t>
  </si>
  <si>
    <t>TRUST_Q1</t>
  </si>
  <si>
    <t>TRUST_Q2</t>
  </si>
  <si>
    <t>TRUST_Q3</t>
  </si>
  <si>
    <t>TRUST_Q4</t>
  </si>
  <si>
    <t>TRUST_Q5</t>
  </si>
  <si>
    <t>TRUST_Q6</t>
  </si>
  <si>
    <t>TRUST_Q7</t>
  </si>
  <si>
    <t>TRUST_Q8</t>
  </si>
  <si>
    <t>TRUST_Q9</t>
  </si>
  <si>
    <t>TRUST_Q10</t>
  </si>
  <si>
    <t>TRUST_Q11</t>
  </si>
  <si>
    <t>TRUST_Q12</t>
  </si>
  <si>
    <t>MODEL_SUMMARY</t>
  </si>
  <si>
    <t>סיכום מודל: מונה אי-התאמות</t>
  </si>
  <si>
    <t>MODEL_AGG</t>
  </si>
  <si>
    <t>Aggregations (COUNTIFS/AVERAGEIFS)</t>
  </si>
  <si>
    <t>SCN_009_SUB</t>
  </si>
  <si>
    <t>SCN_030_SUB</t>
  </si>
  <si>
    <t>P001_C1_RAD_M2_SUB</t>
  </si>
  <si>
    <t>SCN_017_SUB</t>
  </si>
  <si>
    <t>SCN_014_SUB</t>
  </si>
  <si>
    <t>P001_C2_HMP_M1_SUB</t>
  </si>
  <si>
    <t>SCN_005_OPT</t>
  </si>
  <si>
    <t>P001_C2_HMP_M2_OPT</t>
  </si>
  <si>
    <t>SCN_027_SUB</t>
  </si>
  <si>
    <t>SCN_007_SUB</t>
  </si>
  <si>
    <t>SCN_016_SUB</t>
  </si>
  <si>
    <t>P001_C3_STC_M1_SUB</t>
  </si>
  <si>
    <t>SCN_010_OPT</t>
  </si>
  <si>
    <t>SCN_019_OPT</t>
  </si>
  <si>
    <t>SCN_011_OPT</t>
  </si>
  <si>
    <t>P001_C3_STC_M2_OPT</t>
  </si>
  <si>
    <t>סיכום סדר ויזואליזציות</t>
  </si>
  <si>
    <t>P002_C1_HMP_M1_SUB</t>
  </si>
  <si>
    <t>P002_C1_HMP_M2_OPT</t>
  </si>
  <si>
    <t>P002_C2_STC_M1_OPT</t>
  </si>
  <si>
    <t>P002_C2_STC_M2_SUB</t>
  </si>
  <si>
    <t>P002_C3_RAD_M1_OPT</t>
  </si>
  <si>
    <t>P002_C3_RAD_M2_SUB</t>
  </si>
  <si>
    <t>P003_C1_STC_M1_OPT</t>
  </si>
  <si>
    <t>P003_C1_STC_M2_SUB</t>
  </si>
  <si>
    <t>P003_C2_RAD_M1_OPT</t>
  </si>
  <si>
    <t>P003_C2_RAD_M2_SUB</t>
  </si>
  <si>
    <t>P003_C3_HMP_M1_OPT</t>
  </si>
  <si>
    <t>P003_C3_HMP_M2_SUB</t>
  </si>
  <si>
    <t>P004_C1_RAD_M1_OPT</t>
  </si>
  <si>
    <t>P004_C1_RAD_M2_SUB</t>
  </si>
  <si>
    <t>P004_C2_HMP_M1_OPT</t>
  </si>
  <si>
    <t>P004_C2_HMP_M2_SUB</t>
  </si>
  <si>
    <t>P004_C3_STC_M1_OPT</t>
  </si>
  <si>
    <t>P004_C3_STC_M2_SUB</t>
  </si>
  <si>
    <t>P005_C1_HMP_M1_OPT</t>
  </si>
  <si>
    <t>P005_C1_HMP_M2_SUB</t>
  </si>
  <si>
    <t>P005_C2_STC_M1_SUB</t>
  </si>
  <si>
    <t>P005_C2_STC_M2_OPT</t>
  </si>
  <si>
    <t>P005_C3_RAD_M1_OPT</t>
  </si>
  <si>
    <t>P005_C3_RAD_M2_SUB</t>
  </si>
  <si>
    <t>P006_C1_STC_M1_SUB</t>
  </si>
  <si>
    <t>P006_C1_STC_M2_OPT</t>
  </si>
  <si>
    <t>P006_C2_RAD_M1_OPT</t>
  </si>
  <si>
    <t>P006_C2_RAD_M2_SUB</t>
  </si>
  <si>
    <t>P006_C3_HMP_M1_SUB</t>
  </si>
  <si>
    <t>P006_C3_HMP_M2_OPT</t>
  </si>
  <si>
    <t>P007_C1_RAD_M1_OPT</t>
  </si>
  <si>
    <t>P007_C1_RAD_M2_SUB</t>
  </si>
  <si>
    <t>P007_C2_HMP_M1_OPT</t>
  </si>
  <si>
    <t>P007_C2_HMP_M2_SUB</t>
  </si>
  <si>
    <t>P007_C3_STC_M1_SUB</t>
  </si>
  <si>
    <t>P007_C3_STC_M2_OPT</t>
  </si>
  <si>
    <t>P008_C1_HMP_M1_SUB</t>
  </si>
  <si>
    <t>P008_C1_HMP_M2_OPT</t>
  </si>
  <si>
    <t>P008_C2_STC_M1_OPT</t>
  </si>
  <si>
    <t>P008_C2_STC_M2_SUB</t>
  </si>
  <si>
    <t>P008_C3_RAD_M1_OPT</t>
  </si>
  <si>
    <t>P008_C3_RAD_M2_SUB</t>
  </si>
  <si>
    <t>P009_C1_STC_M1_SUB</t>
  </si>
  <si>
    <t>P009_C1_STC_M2_OPT</t>
  </si>
  <si>
    <t>P009_C2_RAD_M1_OPT</t>
  </si>
  <si>
    <t>P009_C2_RAD_M2_SUB</t>
  </si>
  <si>
    <t>P009_C3_HMP_M1_OPT</t>
  </si>
  <si>
    <t>P009_C3_HMP_M2_SUB</t>
  </si>
  <si>
    <t>P010_C1_RAD_M1_OPT</t>
  </si>
  <si>
    <t>P010_C1_RAD_M2_SUB</t>
  </si>
  <si>
    <t>P010_C2_HMP_M1_OPT</t>
  </si>
  <si>
    <t>P010_C2_HMP_M2_SUB</t>
  </si>
  <si>
    <t>P010_C3_STC_M1_SUB</t>
  </si>
  <si>
    <t>P010_C3_STC_M2_OPT</t>
  </si>
  <si>
    <t>P011_C1_HMP_M1_OPT</t>
  </si>
  <si>
    <t>P011_C1_HMP_M2_SUB</t>
  </si>
  <si>
    <t>P011_C2_STC_M1_OPT</t>
  </si>
  <si>
    <t>P011_C2_STC_M2_SUB</t>
  </si>
  <si>
    <t>P011_C3_RAD_M1_OPT</t>
  </si>
  <si>
    <t>P011_C3_RAD_M2_SUB</t>
  </si>
  <si>
    <t>P012_C1_STC_M1_SUB</t>
  </si>
  <si>
    <t>P012_C1_STC_M2_OPT</t>
  </si>
  <si>
    <t>P012_C2_RAD_M1_SUB</t>
  </si>
  <si>
    <t>P012_C2_RAD_M2_OPT</t>
  </si>
  <si>
    <t>P012_C3_HMP_M1_SUB</t>
  </si>
  <si>
    <t>P012_C3_HMP_M2_OPT</t>
  </si>
  <si>
    <t>P013_C1_RAD_M1_SUB</t>
  </si>
  <si>
    <t>P013_C1_RAD_M2_OPT</t>
  </si>
  <si>
    <t>P013_C2_HMP_M1_OPT</t>
  </si>
  <si>
    <t>P013_C2_HMP_M2_SUB</t>
  </si>
  <si>
    <t>P013_C3_STC_M1_OPT</t>
  </si>
  <si>
    <t>P013_C3_STC_M2_SUB</t>
  </si>
  <si>
    <t>P014_C1_HMP_M1_SUB</t>
  </si>
  <si>
    <t>P014_C1_HMP_M2_OPT</t>
  </si>
  <si>
    <t>P014_C2_STC_M1_SUB</t>
  </si>
  <si>
    <t>P014_C2_STC_M2_OPT</t>
  </si>
  <si>
    <t>P014_C3_RAD_M1_SUB</t>
  </si>
  <si>
    <t>P014_C3_RAD_M2_OPT</t>
  </si>
  <si>
    <t>P015_C1_STC_M1_SUB</t>
  </si>
  <si>
    <t>P015_C1_STC_M2_OPT</t>
  </si>
  <si>
    <t>P015_C2_RAD_M1_OPT</t>
  </si>
  <si>
    <t>P015_C2_RAD_M2_SUB</t>
  </si>
  <si>
    <t>P015_C3_HMP_M1_SUB</t>
  </si>
  <si>
    <t>P015_C3_HMP_M2_OPT</t>
  </si>
  <si>
    <t>P016_C1_RAD_M1_OPT</t>
  </si>
  <si>
    <t>P016_C1_RAD_M2_SUB</t>
  </si>
  <si>
    <t>P016_C2_HMP_M1_SUB</t>
  </si>
  <si>
    <t>P016_C2_HMP_M2_OPT</t>
  </si>
  <si>
    <t>P016_C3_STC_M1_OPT</t>
  </si>
  <si>
    <t>P016_C3_STC_M2_SUB</t>
  </si>
  <si>
    <t>P017_C1_HMP_M1_SUB</t>
  </si>
  <si>
    <t>P017_C1_HMP_M2_OPT</t>
  </si>
  <si>
    <t>P017_C2_STC_M1_SUB</t>
  </si>
  <si>
    <t>P017_C2_STC_M2_OPT</t>
  </si>
  <si>
    <t>P017_C3_RAD_M1_OPT</t>
  </si>
  <si>
    <t>P017_C3_RAD_M2_SUB</t>
  </si>
  <si>
    <t>P018_C1_STC_M1_OPT</t>
  </si>
  <si>
    <t>P018_C1_STC_M2_SUB</t>
  </si>
  <si>
    <t>P018_C2_RAD_M1_OPT</t>
  </si>
  <si>
    <t>P018_C2_RAD_M2_SUB</t>
  </si>
  <si>
    <t>P018_C3_HMP_M1_SUB</t>
  </si>
  <si>
    <t>P018_C3_HMP_M2_OPT</t>
  </si>
  <si>
    <t>P019_C1_RAD_M1_OPT</t>
  </si>
  <si>
    <t>P019_C1_RAD_M2_SUB</t>
  </si>
  <si>
    <t>P019_C2_HMP_M1_SUB</t>
  </si>
  <si>
    <t>P019_C2_HMP_M2_OPT</t>
  </si>
  <si>
    <t>P019_C3_STC_M1_OPT</t>
  </si>
  <si>
    <t>P019_C3_STC_M2_SUB</t>
  </si>
  <si>
    <t>P020_C1_HMP_M1_SUB</t>
  </si>
  <si>
    <t>P020_C1_HMP_M2_OPT</t>
  </si>
  <si>
    <t>P020_C2_STC_M1_SUB</t>
  </si>
  <si>
    <t>P020_C2_STC_M2_OPT</t>
  </si>
  <si>
    <t>P020_C3_RAD_M1_OPT</t>
  </si>
  <si>
    <t>P020_C3_RAD_M2_SUB</t>
  </si>
  <si>
    <t>P021_C1_STC_M1_OPT</t>
  </si>
  <si>
    <t>P021_C1_STC_M2_SUB</t>
  </si>
  <si>
    <t>P021_C2_RAD_M1_SUB</t>
  </si>
  <si>
    <t>P021_C2_RAD_M2_OPT</t>
  </si>
  <si>
    <t>P021_C3_HMP_M1_SUB</t>
  </si>
  <si>
    <t>P021_C3_HMP_M2_OPT</t>
  </si>
  <si>
    <t>P022_C1_RAD_M1_SUB</t>
  </si>
  <si>
    <t>P022_C1_RAD_M2_OPT</t>
  </si>
  <si>
    <t>P022_C2_HMP_M1_SUB</t>
  </si>
  <si>
    <t>P022_C2_HMP_M2_OPT</t>
  </si>
  <si>
    <t>P022_C3_STC_M1_OPT</t>
  </si>
  <si>
    <t>P022_C3_STC_M2_SUB</t>
  </si>
  <si>
    <t>P023_C1_HMP_M1_OPT</t>
  </si>
  <si>
    <t>P023_C1_HMP_M2_SUB</t>
  </si>
  <si>
    <t>P023_C2_STC_M1_OPT</t>
  </si>
  <si>
    <t>P023_C2_STC_M2_SUB</t>
  </si>
  <si>
    <t>P023_C3_RAD_M1_SUB</t>
  </si>
  <si>
    <t>P023_C3_RAD_M2_OPT</t>
  </si>
  <si>
    <t>P024_C1_STC_M1_OPT</t>
  </si>
  <si>
    <t>P024_C1_STC_M2_SUB</t>
  </si>
  <si>
    <t>P024_C2_RAD_M1_SUB</t>
  </si>
  <si>
    <t>P024_C2_RAD_M2_OPT</t>
  </si>
  <si>
    <t>P024_C3_HMP_M1_SUB</t>
  </si>
  <si>
    <t>P024_C3_HMP_M2_OPT</t>
  </si>
  <si>
    <t>P025_C1_RAD_M1_SUB</t>
  </si>
  <si>
    <t>P025_C1_RAD_M2_OPT</t>
  </si>
  <si>
    <t>P025_C2_HMP_M1_SUB</t>
  </si>
  <si>
    <t>P025_C2_HMP_M2_OPT</t>
  </si>
  <si>
    <t>P025_C3_STC_M1_SUB</t>
  </si>
  <si>
    <t>P025_C3_STC_M2_OPT</t>
  </si>
  <si>
    <t>P026_C1_HMP_M1_SUB</t>
  </si>
  <si>
    <t>P026_C1_HMP_M2_OPT</t>
  </si>
  <si>
    <t>P026_C2_STC_M1_SUB</t>
  </si>
  <si>
    <t>P026_C2_STC_M2_OPT</t>
  </si>
  <si>
    <t>P026_C3_RAD_M1_OPT</t>
  </si>
  <si>
    <t>P026_C3_RAD_M2_SUB</t>
  </si>
  <si>
    <t>P027_C1_STC_M1_SUB</t>
  </si>
  <si>
    <t>P027_C1_STC_M2_OPT</t>
  </si>
  <si>
    <t>P027_C2_RAD_M1_SUB</t>
  </si>
  <si>
    <t>P027_C2_RAD_M2_OPT</t>
  </si>
  <si>
    <t>P027_C3_HMP_M1_SUB</t>
  </si>
  <si>
    <t>P027_C3_HMP_M2_OPT</t>
  </si>
  <si>
    <t>P028_C1_RAD_M1_SUB</t>
  </si>
  <si>
    <t>P028_C1_RAD_M2_OPT</t>
  </si>
  <si>
    <t>P028_C2_HMP_M1_OPT</t>
  </si>
  <si>
    <t>P028_C2_HMP_M2_SUB</t>
  </si>
  <si>
    <t>P028_C3_STC_M1_SUB</t>
  </si>
  <si>
    <t>P028_C3_STC_M2_OPT</t>
  </si>
  <si>
    <t>P029_C1_HMP_M1_SUB</t>
  </si>
  <si>
    <t>P029_C1_HMP_M2_OPT</t>
  </si>
  <si>
    <t>P029_C2_STC_M1_OPT</t>
  </si>
  <si>
    <t>P029_C2_STC_M2_SUB</t>
  </si>
  <si>
    <t>P029_C3_RAD_M1_SUB</t>
  </si>
  <si>
    <t>P029_C3_RAD_M2_OPT</t>
  </si>
  <si>
    <t>P030_C1_STC_M1_SUB</t>
  </si>
  <si>
    <t>P030_C1_STC_M2_OPT</t>
  </si>
  <si>
    <t>P030_C2_RAD_M1_SUB</t>
  </si>
  <si>
    <t>P030_C2_RAD_M2_OPT</t>
  </si>
  <si>
    <t>P030_C3_HMP_M1_SUB</t>
  </si>
  <si>
    <t>P030_C3_HMP_M2_OPT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</si>
</sst>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890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9C4"/>
        </patternFill>
      </fill>
    </dxf>
    <dxf>
      <fill>
        <patternFill>
          <bgColor rgb="FFBBDEFB"/>
        </patternFill>
      </fill>
    </dxf>
    <dxf>
      <fill>
        <patternFill>
          <bgColor rgb="FFE3F2FD"/>
        </patternFill>
      </fill>
    </dxf>
    <dxf>
      <fill>
        <patternFill>
          <bgColor rgb="FFE8F5E9"/>
        </patternFill>
      </fill>
    </dxf>
    <dxf>
      <fill>
        <patternFill>
          <bgColor rgb="FFF3E5F5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C5E1A5"/>
        </patternFill>
      </fill>
    </dxf>
    <dxf>
      <fill>
        <patternFill>
          <bgColor rgb="FFD1C4E9"/>
        </patternFill>
      </fill>
    </dxf>
    <dxf>
      <fill>
        <patternFill>
          <bgColor rgb="FFE3F2FD"/>
        </patternFill>
      </fill>
    </dxf>
    <dxf>
      <fill>
        <patternFill>
          <bgColor rgb="FFF3E5F5"/>
        </patternFill>
      </fill>
    </dxf>
    <dxf>
      <fill>
        <patternFill>
          <bgColor rgb="FFE8F5E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C8E6C9"/>
        </patternFill>
      </fill>
    </dxf>
    <dxf>
      <fill>
        <patternFill>
          <bgColor rgb="FFFFE0B2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B2DFDB"/>
        </patternFill>
      </fill>
    </dxf>
    <dxf>
      <fill>
        <patternFill>
          <bgColor rgb="FFE8F5E9"/>
        </patternFill>
      </fill>
    </dxf>
    <dxf>
      <fill>
        <patternFill>
          <bgColor rgb="FFF3E5F5"/>
        </patternFill>
      </fill>
    </dxf>
    <dxf>
      <fill>
        <patternFill>
          <bgColor rgb="FFE3F2FD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9C4"/>
        </patternFill>
      </fill>
    </dxf>
    <dxf>
      <fill>
        <patternFill>
          <bgColor rgb="FFBBDEFB"/>
        </patternFill>
      </fill>
    </dxf>
    <dxf>
      <fill>
        <patternFill>
          <bgColor rgb="FFE3F2FD"/>
        </patternFill>
      </fill>
    </dxf>
    <dxf>
      <fill>
        <patternFill>
          <bgColor rgb="FFE8F5E9"/>
        </patternFill>
      </fill>
    </dxf>
    <dxf>
      <fill>
        <patternFill>
          <bgColor rgb="FFF3E5F5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C5E1A5"/>
        </patternFill>
      </fill>
    </dxf>
    <dxf>
      <fill>
        <patternFill>
          <bgColor rgb="FFD1C4E9"/>
        </patternFill>
      </fill>
    </dxf>
    <dxf>
      <fill>
        <patternFill>
          <bgColor rgb="FFE3F2FD"/>
        </patternFill>
      </fill>
    </dxf>
    <dxf>
      <fill>
        <patternFill>
          <bgColor rgb="FFF3E5F5"/>
        </patternFill>
      </fill>
    </dxf>
    <dxf>
      <fill>
        <patternFill>
          <bgColor rgb="FFE8F5E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C8E6C9"/>
        </patternFill>
      </fill>
    </dxf>
    <dxf>
      <fill>
        <patternFill>
          <bgColor rgb="FFFFE0B2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B2DFDB"/>
        </patternFill>
      </fill>
    </dxf>
    <dxf>
      <fill>
        <patternFill>
          <bgColor rgb="FFE8F5E9"/>
        </patternFill>
      </fill>
    </dxf>
    <dxf>
      <fill>
        <patternFill>
          <bgColor rgb="FFF3E5F5"/>
        </patternFill>
      </fill>
    </dxf>
    <dxf>
      <fill>
        <patternFill>
          <bgColor rgb="FFE3F2FD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9C4"/>
        </patternFill>
      </fill>
    </dxf>
    <dxf>
      <fill>
        <patternFill>
          <bgColor rgb="FFBBDEFB"/>
        </patternFill>
      </fill>
    </dxf>
    <dxf>
      <fill>
        <patternFill>
          <bgColor rgb="FFE3F2FD"/>
        </patternFill>
      </fill>
    </dxf>
    <dxf>
      <fill>
        <patternFill>
          <bgColor rgb="FFE8F5E9"/>
        </patternFill>
      </fill>
    </dxf>
    <dxf>
      <fill>
        <patternFill>
          <bgColor rgb="FFF3E5F5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C5E1A5"/>
        </patternFill>
      </fill>
    </dxf>
    <dxf>
      <fill>
        <patternFill>
          <bgColor rgb="FFD1C4E9"/>
        </patternFill>
      </fill>
    </dxf>
    <dxf>
      <fill>
        <patternFill>
          <bgColor rgb="FFE3F2FD"/>
        </patternFill>
      </fill>
    </dxf>
    <dxf>
      <fill>
        <patternFill>
          <bgColor rgb="FFF3E5F5"/>
        </patternFill>
      </fill>
    </dxf>
    <dxf>
      <fill>
        <patternFill>
          <bgColor rgb="FFE8F5E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C8E6C9"/>
        </patternFill>
      </fill>
    </dxf>
    <dxf>
      <fill>
        <patternFill>
          <bgColor rgb="FFFFE0B2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B2DFDB"/>
        </patternFill>
      </fill>
    </dxf>
    <dxf>
      <fill>
        <patternFill>
          <bgColor rgb="FFE8F5E9"/>
        </patternFill>
      </fill>
    </dxf>
    <dxf>
      <fill>
        <patternFill>
          <bgColor rgb="FFF3E5F5"/>
        </patternFill>
      </fill>
    </dxf>
    <dxf>
      <fill>
        <patternFill>
          <bgColor rgb="FFE3F2FD"/>
        </patternFill>
      </fill>
    </dxf>
    <dxf>
      <fill>
        <patternFill>
          <bgColor rgb="FF00B0F0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9C4"/>
        </patternFill>
      </fill>
    </dxf>
    <dxf>
      <fill>
        <patternFill>
          <bgColor rgb="FFBBDEFB"/>
        </patternFill>
      </fill>
    </dxf>
    <dxf>
      <fill>
        <patternFill>
          <bgColor rgb="FFE3F2FD"/>
        </patternFill>
      </fill>
    </dxf>
    <dxf>
      <fill>
        <patternFill>
          <bgColor rgb="FFE8F5E9"/>
        </patternFill>
      </fill>
    </dxf>
    <dxf>
      <fill>
        <patternFill>
          <bgColor rgb="FFF3E5F5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C5E1A5"/>
        </patternFill>
      </fill>
    </dxf>
    <dxf>
      <fill>
        <patternFill>
          <bgColor rgb="FFD1C4E9"/>
        </patternFill>
      </fill>
    </dxf>
    <dxf>
      <fill>
        <patternFill>
          <bgColor rgb="FFE3F2FD"/>
        </patternFill>
      </fill>
    </dxf>
    <dxf>
      <fill>
        <patternFill>
          <bgColor rgb="FFF3E5F5"/>
        </patternFill>
      </fill>
    </dxf>
    <dxf>
      <fill>
        <patternFill>
          <bgColor rgb="FFE8F5E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C8E6C9"/>
        </patternFill>
      </fill>
    </dxf>
    <dxf>
      <fill>
        <patternFill>
          <bgColor rgb="FFFFE0B2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B2DFDB"/>
        </patternFill>
      </fill>
    </dxf>
    <dxf>
      <fill>
        <patternFill>
          <bgColor rgb="FFE8F5E9"/>
        </patternFill>
      </fill>
    </dxf>
    <dxf>
      <fill>
        <patternFill>
          <bgColor rgb="FFF3E5F5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9C4"/>
        </patternFill>
      </fill>
    </dxf>
    <dxf>
      <fill>
        <patternFill>
          <bgColor rgb="FFBBDEFB"/>
        </patternFill>
      </fill>
    </dxf>
    <dxf>
      <fill>
        <patternFill>
          <bgColor rgb="FFE3F2FD"/>
        </patternFill>
      </fill>
    </dxf>
    <dxf>
      <fill>
        <patternFill>
          <bgColor rgb="FFE8F5E9"/>
        </patternFill>
      </fill>
    </dxf>
    <dxf>
      <fill>
        <patternFill>
          <bgColor rgb="FFF3E5F5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C5E1A5"/>
        </patternFill>
      </fill>
    </dxf>
    <dxf>
      <fill>
        <patternFill>
          <bgColor rgb="FFD1C4E9"/>
        </patternFill>
      </fill>
    </dxf>
    <dxf>
      <fill>
        <patternFill>
          <bgColor rgb="FFE3F2FD"/>
        </patternFill>
      </fill>
    </dxf>
    <dxf>
      <fill>
        <patternFill>
          <bgColor rgb="FFF3E5F5"/>
        </patternFill>
      </fill>
    </dxf>
    <dxf>
      <fill>
        <patternFill>
          <bgColor rgb="FFE8F5E9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C8E6C9"/>
        </patternFill>
      </fill>
    </dxf>
    <dxf>
      <fill>
        <patternFill>
          <bgColor rgb="FFFFE0B2"/>
        </patternFill>
      </fill>
    </dxf>
    <dxf>
      <fill>
        <patternFill>
          <bgColor rgb="FFFFF59D"/>
        </patternFill>
      </fill>
    </dxf>
    <dxf>
      <fill>
        <patternFill>
          <bgColor rgb="FFE3F2FD"/>
        </patternFill>
      </fill>
    </dxf>
    <dxf>
      <fill>
        <patternFill>
          <bgColor rgb="FFFFEBEE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F59D"/>
        </patternFill>
      </fill>
    </dxf>
    <dxf>
      <fill>
        <patternFill>
          <bgColor rgb="FFFFEBEE"/>
        </patternFill>
      </fill>
    </dxf>
    <dxf>
      <fill>
        <patternFill>
          <bgColor rgb="FFE3F2FD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B2DFDB"/>
        </patternFill>
      </fill>
    </dxf>
    <dxf>
      <fill>
        <patternFill>
          <bgColor rgb="FFE8F5E9"/>
        </patternFill>
      </fill>
    </dxf>
    <dxf>
      <fill>
        <patternFill>
          <bgColor rgb="FFF3E5F5"/>
        </patternFill>
      </fill>
    </dxf>
    <dxf>
      <fill>
        <patternFill>
          <bgColor rgb="FFE3F2FD"/>
        </patternFill>
      </fill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F6BD3D-5BD2-4389-BC73-456EEFADAF48}" name="Table1" displayName="Table1" ref="A1:IK31" totalsRowShown="0" headerRowDxfId="644" dataDxfId="643">
  <autoFilter ref="A1:IK31" xr:uid="{D1F6BD3D-5BD2-4389-BC73-456EEFADAF48}"/>
  <tableColumns count="245">
    <tableColumn id="1" xr3:uid="{990BDC93-A598-467D-8B51-8C9FD7706981}" name="Participant_ID" dataDxfId="889"/>
    <tableColumn id="2" xr3:uid="{08A2AFBA-1F5D-432C-8D43-22CA6FB8DF52}" name="סדר_תנאים" dataDxfId="888"/>
    <tableColumn id="3" xr3:uid="{6C972C3B-C532-40F2-9E25-46148F914213}" name="תרגול_R1_Scenario_ID" dataDxfId="887"/>
    <tableColumn id="4" xr3:uid="{920471EC-86ED-4811-A25F-78EA7DB2CA56}" name="תרגול_R1_קושי" dataDxfId="886"/>
    <tableColumn id="5" xr3:uid="{EC6FDB49-01C3-4C9C-91EA-19E006988855}" name="תרגול_R1_תשובה_נכונה_לתרחיש" dataDxfId="885"/>
    <tableColumn id="6" xr3:uid="{10ED00A8-B2BC-419E-A4F3-F38D1CF5A71B}" name="תרגול_R1_המלצת_מערכת" dataDxfId="884"/>
    <tableColumn id="7" xr3:uid="{237C59A6-1628-47B5-8FFB-095CF6C221D9}" name="תרגול_R1_Q1_נכון" dataDxfId="883"/>
    <tableColumn id="8" xr3:uid="{EE504395-9176-467A-8202-21800BE436AF}" name="תרגול_R1_Q2_נכון" dataDxfId="882"/>
    <tableColumn id="9" xr3:uid="{B94AF54E-C8E6-41E4-BC46-4E194A74C554}" name="תרגול_R1_Q3_נכון" dataDxfId="881"/>
    <tableColumn id="10" xr3:uid="{0003042A-5B11-4142-B31F-7C364C379C1B}" name="תרגול_R2_Scenario_ID" dataDxfId="880"/>
    <tableColumn id="11" xr3:uid="{71C8A2F2-B1D1-4117-A7E9-C606AF10B0CA}" name="תרגול_R2_קושי" dataDxfId="879"/>
    <tableColumn id="12" xr3:uid="{DE9FA2D6-A9EB-4BAE-A23A-BC8E860A9173}" name="תרגול_R2_תשובה_נכונה_לתרחיש" dataDxfId="878"/>
    <tableColumn id="13" xr3:uid="{EA17EED6-4946-40B3-BA74-BB0898B06C2F}" name="תרגול_R2_המלצת_מערכת" dataDxfId="877"/>
    <tableColumn id="14" xr3:uid="{EA789B61-ECBF-4AA1-9E9B-EB1C0029BB74}" name="תרגול_R2_Q1_נכון" dataDxfId="876"/>
    <tableColumn id="15" xr3:uid="{ABA1761B-7ECF-4CC9-8320-A787A71C9ED0}" name="תרגול_R2_Q2_נכון" dataDxfId="875"/>
    <tableColumn id="16" xr3:uid="{DA51B3F6-1758-44AA-AD99-85C7B43C0094}" name="תרגול_R2_Q3_נכון" dataDxfId="874"/>
    <tableColumn id="17" xr3:uid="{2412A389-1B0C-4949-8B30-79DCF974AC32}" name="תרגול_R3_Scenario_ID" dataDxfId="873"/>
    <tableColumn id="18" xr3:uid="{6BE9A88E-9B78-4A4B-B554-EF41B2D711A5}" name="תרגול_R3_קושי" dataDxfId="872"/>
    <tableColumn id="19" xr3:uid="{635E93F1-C0A1-4C0D-9739-CF3F44B9EADE}" name="תרגול_R3_תשובה_נכונה_לתרחיש" dataDxfId="871"/>
    <tableColumn id="20" xr3:uid="{D575C78F-5C55-46B6-B709-857EEAC756EF}" name="תרגול_R3_המלצת_מערכת" dataDxfId="870"/>
    <tableColumn id="21" xr3:uid="{B9766C6C-E675-4303-A241-03D0BF77FA2C}" name="תרגול_R3_Q1_נכון" dataDxfId="869"/>
    <tableColumn id="22" xr3:uid="{91111BE5-30F0-453B-9911-CEC854955759}" name="תרגול_R3_Q2_נכון" dataDxfId="868"/>
    <tableColumn id="23" xr3:uid="{83B28885-A721-4998-99BD-E2FEA6756D5A}" name="תרגול_R3_Q3_נכון" dataDxfId="867"/>
    <tableColumn id="24" xr3:uid="{317D5EC9-5790-411D-B91C-7DCE781A44E6}" name="תנאי_1_ויזואליזציה" dataDxfId="866"/>
    <tableColumn id="25" xr3:uid="{80545514-23C7-43C3-8A12-9BDB075BE8A5}" name="תנאי_1_סדר_מודלים" dataDxfId="865"/>
    <tableColumn id="26" xr3:uid="{F489BDB7-CF4A-45A4-936B-08B876E9A7BC}" name="תנאי_1_M1_סוג_מודל" dataDxfId="864"/>
    <tableColumn id="27" xr3:uid="{F9FD4611-0139-41D1-ADB2-00B506C5DEFB}" name="תנאי_1_M1_R1_Scenario_ID" dataDxfId="863"/>
    <tableColumn id="28" xr3:uid="{6E9756C7-E2CA-4678-8400-5D6804488B68}" name="תנאי_1_M1_R1_קושי" dataDxfId="862"/>
    <tableColumn id="29" xr3:uid="{C69B6F7C-2218-407E-9C0B-41167A30E39E}" name="תנאי_1_M1_R1_תשובה_נכונה_לתרחיש" dataDxfId="861"/>
    <tableColumn id="30" xr3:uid="{F4905FE2-730E-4AC8-823A-A201896668EB}" name="תנאי_1_M1_R1_המלצת_מערכת" dataDxfId="860"/>
    <tableColumn id="31" xr3:uid="{56E7439A-816F-4492-A242-1E4CA7C2D5E3}" name="תנאי_1_M1_R1_Q1_נכון" dataDxfId="859"/>
    <tableColumn id="32" xr3:uid="{BE1880DF-001C-4FFF-B218-341520D6A0E2}" name="תנאי_1_M1_R1_Q2_נכון" dataDxfId="858"/>
    <tableColumn id="33" xr3:uid="{9D52FC24-213A-428A-93ED-A0FFA55DD759}" name="תנאי_1_M1_R1_Q3_נכון" dataDxfId="857"/>
    <tableColumn id="34" xr3:uid="{EE29349D-BF71-49F3-A31B-3EEEA6A44177}" name="תנאי_1_M1_R2_Scenario_ID" dataDxfId="856"/>
    <tableColumn id="35" xr3:uid="{A68EDC52-4BA1-4BD5-B0DC-9CBAF0E869FE}" name="תנאי_1_M1_R2_קושי" dataDxfId="855"/>
    <tableColumn id="36" xr3:uid="{5093C26D-54AD-4B36-9698-F5925DA24338}" name="תנאי_1_M1_R2_תשובה_נכונה_לתרחיש" dataDxfId="854"/>
    <tableColumn id="37" xr3:uid="{4ECD9568-83F4-4275-AC88-CFC0731BB365}" name="תנאי_1_M1_R2_המלצת_מערכת" dataDxfId="853"/>
    <tableColumn id="38" xr3:uid="{65D8322A-0891-4C6D-B761-ACA651882636}" name="תנאי_1_M1_R2_Q1_נכון" dataDxfId="852"/>
    <tableColumn id="39" xr3:uid="{18EC2741-0482-462A-B79A-A03FD02E221E}" name="תנאי_1_M1_R2_Q2_נכון" dataDxfId="851"/>
    <tableColumn id="40" xr3:uid="{ECDB0C51-D800-490B-BF3A-291B7788793E}" name="תנאי_1_M1_R2_Q3_נכון" dataDxfId="850"/>
    <tableColumn id="41" xr3:uid="{052C475C-579B-471D-A4F8-92207C7E014B}" name="תנאי_1_M1_R3_Scenario_ID" dataDxfId="849"/>
    <tableColumn id="42" xr3:uid="{7593CFD2-A215-4848-991E-FC23BABCABBB}" name="תנאי_1_M1_R3_קושי" dataDxfId="848"/>
    <tableColumn id="43" xr3:uid="{2458D158-48F7-4A64-AFDE-E0D8B88CF63C}" name="תנאי_1_M1_R3_תשובה_נכונה_לתרחיש" dataDxfId="847"/>
    <tableColumn id="44" xr3:uid="{263AD85F-2F0A-41BF-8A97-759DF0D15CE4}" name="תנאי_1_M1_R3_המלצת_מערכת" dataDxfId="846"/>
    <tableColumn id="45" xr3:uid="{B45B7EB7-E457-491B-8490-6FC27C5DC8F7}" name="תנאי_1_M1_R3_Q1_נכון" dataDxfId="845"/>
    <tableColumn id="46" xr3:uid="{E8B02142-D68F-4BF9-A41D-C391AEC21185}" name="תנאי_1_M1_R3_Q2_נכון" dataDxfId="844"/>
    <tableColumn id="47" xr3:uid="{DB8AD64F-85DD-40C7-AA73-41A2E3B9DC9F}" name="תנאי_1_M1_R3_Q3_נכון" dataDxfId="843"/>
    <tableColumn id="48" xr3:uid="{E76DF6BB-5762-4488-8CD1-A6188494415D}" name="תנאי_1_M1_R4_Scenario_ID" dataDxfId="842"/>
    <tableColumn id="49" xr3:uid="{97153DC7-B08F-433A-938F-FC155270D5D4}" name="תנאי_1_M1_R4_קושי" dataDxfId="841"/>
    <tableColumn id="50" xr3:uid="{72B82851-9D39-4D55-ACB3-7DDCD152BD43}" name="תנאי_1_M1_R4_תשובה_נכונה_לתרחיש" dataDxfId="840"/>
    <tableColumn id="51" xr3:uid="{F5F38908-12C7-4818-BA2D-2AF067C3EC4C}" name="תנאי_1_M1_R4_המלצת_מערכת" dataDxfId="839"/>
    <tableColumn id="52" xr3:uid="{7DC10920-BC44-4D1C-8EE8-61F5089109E0}" name="תנאי_1_M1_R4_Q1_נכון" dataDxfId="838"/>
    <tableColumn id="53" xr3:uid="{0E93243E-91DF-43F6-AE18-0D746BC12504}" name="תנאי_1_M1_R4_Q2_נכון" dataDxfId="837"/>
    <tableColumn id="54" xr3:uid="{61671F0E-1327-47DE-A871-2EC6D370717C}" name="תנאי_1_M1_R4_Q3_נכון" dataDxfId="836"/>
    <tableColumn id="55" xr3:uid="{6F81F01A-1F60-41DA-A347-88E28AE71BF8}" name="תנאי_1_M1_R5_Scenario_ID" dataDxfId="835"/>
    <tableColumn id="56" xr3:uid="{E5A23C2F-2D22-4A57-8133-D9A508661A84}" name="תנאי_1_M1_R5_קושי" dataDxfId="834"/>
    <tableColumn id="57" xr3:uid="{D5F27EAA-4FD3-4B03-8699-96924DBAC5A6}" name="תנאי_1_M1_R5_תשובה_נכונה_לתרחיש" dataDxfId="833"/>
    <tableColumn id="58" xr3:uid="{541989DA-86FC-407F-A3AD-91170B5BE7A4}" name="תנאי_1_M1_R5_המלצת_מערכת" dataDxfId="832"/>
    <tableColumn id="59" xr3:uid="{561AE6DD-4404-4645-99E2-FD7EB86B9398}" name="תנאי_1_M1_R5_Q1_נכון" dataDxfId="831"/>
    <tableColumn id="60" xr3:uid="{9FF91764-2CA2-40A0-9828-2F5F1EF679DE}" name="תנאי_1_M1_R5_Q2_נכון" dataDxfId="830"/>
    <tableColumn id="61" xr3:uid="{4A69C8AF-389A-4591-981C-ED761ABEC566}" name="תנאי_1_M1_R5_Q3_נכון" dataDxfId="829"/>
    <tableColumn id="62" xr3:uid="{1BD49CB7-FBAB-4F4F-A130-27A788D0F9FD}" name="תנאי_1_M2_סוג_מודל" dataDxfId="828"/>
    <tableColumn id="63" xr3:uid="{F0267AF6-1E34-4DC0-A793-907530161958}" name="תנאי_1_M2_R1_Scenario_ID" dataDxfId="827"/>
    <tableColumn id="64" xr3:uid="{0C2CB714-5283-4038-AFE5-4BD7865F1F45}" name="תנאי_1_M2_R1_קושי" dataDxfId="826"/>
    <tableColumn id="65" xr3:uid="{DAD62B83-1A27-4D76-8E1A-455D28BF8389}" name="תנאי_1_M2_R1_תשובה_נכונה_לתרחיש" dataDxfId="825"/>
    <tableColumn id="66" xr3:uid="{11E1DE55-248A-411A-994B-90A6E64E9708}" name="תנאי_1_M2_R1_המלצת_מערכת" dataDxfId="824"/>
    <tableColumn id="67" xr3:uid="{84D9150B-C8C2-4EC2-8C42-38AB6F4882D3}" name="תנאי_1_M2_R1_Q1_נכון" dataDxfId="823"/>
    <tableColumn id="68" xr3:uid="{AB4BBE9D-2026-4790-8255-FA1F9AB3A70B}" name="תנאי_1_M2_R1_Q2_נכון" dataDxfId="822"/>
    <tableColumn id="69" xr3:uid="{6431F17B-6EAC-46AB-8539-50D6A06C0CF1}" name="תנאי_1_M2_R1_Q3_נכון" dataDxfId="821"/>
    <tableColumn id="70" xr3:uid="{EF32340B-91E8-4ECB-A504-2076D4E80F19}" name="תנאי_1_M2_R2_Scenario_ID" dataDxfId="820"/>
    <tableColumn id="71" xr3:uid="{6E5A1078-A333-4E2C-AC2F-31FAD9D24266}" name="תנאי_1_M2_R2_קושי" dataDxfId="819"/>
    <tableColumn id="72" xr3:uid="{E0ACE23C-7220-4555-80D0-1659D1F5590A}" name="תנאי_1_M2_R2_תשובה_נכונה_לתרחיש" dataDxfId="818"/>
    <tableColumn id="73" xr3:uid="{6913208C-49DA-45E5-BE2E-6B1A19ED5870}" name="תנאי_1_M2_R2_המלצת_מערכת" dataDxfId="817"/>
    <tableColumn id="74" xr3:uid="{778AC729-D376-4D68-97CD-FDC4EFDC637E}" name="תנאי_1_M2_R2_Q1_נכון" dataDxfId="816"/>
    <tableColumn id="75" xr3:uid="{20A5F9E5-5FDC-44B6-A8F8-A731C163BBC2}" name="תנאי_1_M2_R2_Q2_נכון" dataDxfId="815"/>
    <tableColumn id="76" xr3:uid="{F1C3FDAD-49D9-487D-B43F-69BB08F5BC5E}" name="תנאי_1_M2_R2_Q3_נכון" dataDxfId="814"/>
    <tableColumn id="77" xr3:uid="{3AB1E62D-DCA8-4C15-ADF9-3DFEB7B7881A}" name="תנאי_1_M2_R3_Scenario_ID" dataDxfId="813"/>
    <tableColumn id="78" xr3:uid="{81C6FC83-22FC-4BC1-8CA0-39CEFAC9ACB5}" name="תנאי_1_M2_R3_קושי" dataDxfId="812"/>
    <tableColumn id="79" xr3:uid="{91439C8A-17CB-4AFF-993E-4C23A84BA02C}" name="תנאי_1_M2_R3_תשובה_נכונה_לתרחיש" dataDxfId="811"/>
    <tableColumn id="80" xr3:uid="{81D22D0B-2762-4B45-8D6E-53D8C8DED722}" name="תנאי_1_M2_R3_המלצת_מערכת" dataDxfId="810"/>
    <tableColumn id="81" xr3:uid="{151B228F-8FA1-46E3-886B-8FB7BD14FDE6}" name="תנאי_1_M2_R3_Q1_נכון" dataDxfId="809"/>
    <tableColumn id="82" xr3:uid="{D32F03FA-3D1F-4332-AB69-7C5EE3A863F1}" name="תנאי_1_M2_R3_Q2_נכון" dataDxfId="808"/>
    <tableColumn id="83" xr3:uid="{4488B7FC-D4A3-4C76-A411-B9C0F857CDCD}" name="תנאי_1_M2_R3_Q3_נכון" dataDxfId="807"/>
    <tableColumn id="84" xr3:uid="{70BAB964-CEC2-46B5-B10A-35D4681767F6}" name="תנאי_1_M2_R4_Scenario_ID" dataDxfId="806"/>
    <tableColumn id="85" xr3:uid="{A46C49C9-A732-4F1E-B16D-3E3B2744CAE5}" name="תנאי_1_M2_R4_קושי" dataDxfId="805"/>
    <tableColumn id="86" xr3:uid="{32280451-AEB5-4C18-8F4E-2B5EA3F65513}" name="תנאי_1_M2_R4_תשובה_נכונה_לתרחיש" dataDxfId="804"/>
    <tableColumn id="87" xr3:uid="{090E7B97-A6D6-4E50-8923-3CBB4D27C03C}" name="תנאי_1_M2_R4_המלצת_מערכת" dataDxfId="803"/>
    <tableColumn id="88" xr3:uid="{C42F5F0D-EB70-486C-98B0-4455C30B2AB1}" name="תנאי_1_M2_R4_Q1_נכון" dataDxfId="802"/>
    <tableColumn id="89" xr3:uid="{A90AC5DB-07A5-40B6-994C-2182539743A3}" name="תנאי_1_M2_R4_Q2_נכון" dataDxfId="801"/>
    <tableColumn id="90" xr3:uid="{3E1EEEE9-5EFD-4FF8-AEB8-F9EA305ECA02}" name="תנאי_1_M2_R4_Q3_נכון" dataDxfId="800"/>
    <tableColumn id="91" xr3:uid="{3ECB7157-13FB-430F-A805-9595D8409A1D}" name="תנאי_1_M2_R5_Scenario_ID" dataDxfId="799"/>
    <tableColumn id="92" xr3:uid="{A3836B3E-CDC4-42B3-AE4F-73133205CE87}" name="תנאי_1_M2_R5_קושי" dataDxfId="798"/>
    <tableColumn id="93" xr3:uid="{40D2B3E8-8697-49C4-A22A-A859A9D70A37}" name="תנאי_1_M2_R5_תשובה_נכונה_לתרחיש" dataDxfId="797"/>
    <tableColumn id="94" xr3:uid="{51867D6E-53A3-4180-9E18-06020493BA5F}" name="תנאי_1_M2_R5_המלצת_מערכת" dataDxfId="796"/>
    <tableColumn id="95" xr3:uid="{EB1AC428-EA60-4B6C-ACEB-427F43ABDB63}" name="תנאי_1_M2_R5_Q1_נכון" dataDxfId="795"/>
    <tableColumn id="96" xr3:uid="{72DBDEA9-A412-4F54-80D4-469901863E4F}" name="תנאי_1_M2_R5_Q2_נכון" dataDxfId="794"/>
    <tableColumn id="97" xr3:uid="{A52900A9-8C64-40AB-ABBF-F8F07FA08A1C}" name="תנאי_1_M2_R5_Q3_נכון" dataDxfId="793"/>
    <tableColumn id="98" xr3:uid="{1A101A33-CF5C-47C9-98B2-A382A923D6BB}" name="תנאי_2_ויזואליזציה" dataDxfId="792"/>
    <tableColumn id="99" xr3:uid="{882D9668-6BE4-4210-A0E2-CCE352730268}" name="תנאי_2_סדר_מודלים" dataDxfId="791"/>
    <tableColumn id="100" xr3:uid="{3E722552-4BD2-48DB-AC08-7A76AA21398B}" name="תנאי_2_M1_סוג_מודל" dataDxfId="790"/>
    <tableColumn id="101" xr3:uid="{994BD812-B89D-418B-BF44-A17D872F198E}" name="תנאי_2_M1_R1_Scenario_ID" dataDxfId="789"/>
    <tableColumn id="102" xr3:uid="{032CEDDD-EBD0-4B35-B595-F7F2D1725B8E}" name="תנאי_2_M1_R1_קושי" dataDxfId="788"/>
    <tableColumn id="103" xr3:uid="{CCE32B0F-BC8F-4B88-82AC-6645D51CDD7A}" name="תנאי_2_M1_R1_תשובה_נכונה_לתרחיש" dataDxfId="787"/>
    <tableColumn id="104" xr3:uid="{E4733C9B-8809-44D0-B10C-7E1CF4B93A78}" name="תנאי_2_M1_R1_המלצת_מערכת" dataDxfId="786"/>
    <tableColumn id="105" xr3:uid="{737702DD-154C-4229-8B88-EC92F5D9FD73}" name="תנאי_2_M1_R1_Q1_נכון" dataDxfId="785"/>
    <tableColumn id="106" xr3:uid="{1469E52A-CEB4-40AA-89DD-C57716AD0CAC}" name="תנאי_2_M1_R1_Q2_נכון" dataDxfId="784"/>
    <tableColumn id="107" xr3:uid="{6C8133A4-93F0-4112-B701-D6A43331D4C7}" name="תנאי_2_M1_R1_Q3_נכון" dataDxfId="783"/>
    <tableColumn id="108" xr3:uid="{6F07AC2E-03EF-4572-9E10-D7C16047FB8C}" name="תנאי_2_M1_R2_Scenario_ID" dataDxfId="782"/>
    <tableColumn id="109" xr3:uid="{3A39ACB0-9940-49AC-9973-543864C3464C}" name="תנאי_2_M1_R2_קושי" dataDxfId="781"/>
    <tableColumn id="110" xr3:uid="{044A772B-6703-4231-A84E-F4B3AE3A7580}" name="תנאי_2_M1_R2_תשובה_נכונה_לתרחיש" dataDxfId="780"/>
    <tableColumn id="111" xr3:uid="{C72DA0FF-AEDB-4012-8DFB-A4D152BABFF6}" name="תנאי_2_M1_R2_המלצת_מערכת" dataDxfId="779"/>
    <tableColumn id="112" xr3:uid="{2CEDF862-5886-41D4-AC76-441703690EDA}" name="תנאי_2_M1_R2_Q1_נכון" dataDxfId="778"/>
    <tableColumn id="113" xr3:uid="{AD79E6D6-6570-445C-A3A3-B5E19CA0F6EF}" name="תנאי_2_M1_R2_Q2_נכון" dataDxfId="777"/>
    <tableColumn id="114" xr3:uid="{7FDF79FC-78C6-480F-B087-D1C5AEA031F1}" name="תנאי_2_M1_R2_Q3_נכון" dataDxfId="776"/>
    <tableColumn id="115" xr3:uid="{4CAA3375-703B-4445-8B47-9FE4DF219708}" name="תנאי_2_M1_R3_Scenario_ID" dataDxfId="775"/>
    <tableColumn id="116" xr3:uid="{F90B8B9B-EAB1-4EBE-BFFA-A96938CA4C66}" name="תנאי_2_M1_R3_קושי" dataDxfId="774"/>
    <tableColumn id="117" xr3:uid="{677225BA-EFD9-4702-865D-2747D4086E72}" name="תנאי_2_M1_R3_תשובה_נכונה_לתרחיש" dataDxfId="773"/>
    <tableColumn id="118" xr3:uid="{6628202C-C852-43C4-901C-3B66BD87B428}" name="תנאי_2_M1_R3_המלצת_מערכת" dataDxfId="772"/>
    <tableColumn id="119" xr3:uid="{53B1AD5E-9F2E-47A6-8C29-636679002A93}" name="תנאי_2_M1_R3_Q1_נכון" dataDxfId="771"/>
    <tableColumn id="120" xr3:uid="{CD71C5A4-0095-4B97-9499-095D08281437}" name="תנאי_2_M1_R3_Q2_נכון" dataDxfId="770"/>
    <tableColumn id="121" xr3:uid="{6E85681D-E1F1-46CD-9A08-4C97EB19693B}" name="תנאי_2_M1_R3_Q3_נכון" dataDxfId="769"/>
    <tableColumn id="122" xr3:uid="{B26F1717-067B-4680-A58A-3382C1B14946}" name="תנאי_2_M1_R4_Scenario_ID" dataDxfId="768"/>
    <tableColumn id="123" xr3:uid="{222BE126-951E-4B19-83E9-D5C5A9E9D32F}" name="תנאי_2_M1_R4_קושי" dataDxfId="767"/>
    <tableColumn id="124" xr3:uid="{801BE58E-60AA-4D66-A366-03EE1942B223}" name="תנאי_2_M1_R4_תשובה_נכונה_לתרחיש" dataDxfId="766"/>
    <tableColumn id="125" xr3:uid="{4229D475-31CE-4160-BAEB-F4289A2CB4D9}" name="תנאי_2_M1_R4_המלצת_מערכת" dataDxfId="765"/>
    <tableColumn id="126" xr3:uid="{9C051665-9BE1-4279-A0BE-A4021816A280}" name="תנאי_2_M1_R4_Q1_נכון" dataDxfId="764"/>
    <tableColumn id="127" xr3:uid="{377477DC-0759-4C16-8689-C6A9342095B5}" name="תנאי_2_M1_R4_Q2_נכון" dataDxfId="763"/>
    <tableColumn id="128" xr3:uid="{904F3C05-1193-46E5-8D45-3AA3B704F624}" name="תנאי_2_M1_R4_Q3_נכון" dataDxfId="762"/>
    <tableColumn id="129" xr3:uid="{BF213D92-4F9D-40D4-82DD-72B395646E4C}" name="תנאי_2_M1_R5_Scenario_ID" dataDxfId="761"/>
    <tableColumn id="130" xr3:uid="{A153BD73-A9D1-4DEF-9017-7D501312F3CE}" name="תנאי_2_M1_R5_קושי" dataDxfId="760"/>
    <tableColumn id="131" xr3:uid="{28529507-DA8A-4900-AD6D-BFE6D38185D2}" name="תנאי_2_M1_R5_תשובה_נכונה_לתרחיש" dataDxfId="759"/>
    <tableColumn id="132" xr3:uid="{D92D97BF-D46F-4541-9624-E03D89CCEC7A}" name="תנאי_2_M1_R5_המלצת_מערכת" dataDxfId="758"/>
    <tableColumn id="133" xr3:uid="{82DD6A49-2C2A-4C97-AA72-3B873F63722A}" name="תנאי_2_M1_R5_Q1_נכון" dataDxfId="757"/>
    <tableColumn id="134" xr3:uid="{638848D8-4A5C-45E5-9CA6-8AD9A27C63FD}" name="תנאי_2_M1_R5_Q2_נכון" dataDxfId="756"/>
    <tableColumn id="135" xr3:uid="{AEB8B166-F888-4686-B058-C3637325E7B2}" name="תנאי_2_M1_R5_Q3_נכון" dataDxfId="755"/>
    <tableColumn id="136" xr3:uid="{15A6DC08-A808-4D8A-B88E-F891E4060CDD}" name="תנאי_2_M2_סוג_מודל" dataDxfId="754"/>
    <tableColumn id="137" xr3:uid="{F5BE5134-190B-4FB4-A65F-20574E11FB49}" name="תנאי_2_M2_R1_Scenario_ID" dataDxfId="753"/>
    <tableColumn id="138" xr3:uid="{30A65BD6-A0EC-498F-942B-5B31DB6579E6}" name="תנאי_2_M2_R1_קושי" dataDxfId="752"/>
    <tableColumn id="139" xr3:uid="{B3C6F315-8A08-4F01-9434-DBDCA606ED06}" name="תנאי_2_M2_R1_תשובה_נכונה_לתרחיש" dataDxfId="751"/>
    <tableColumn id="140" xr3:uid="{6EA779FF-F97B-4FE6-B1C3-CCA7FA42BA39}" name="תנאי_2_M2_R1_המלצת_מערכת" dataDxfId="750"/>
    <tableColumn id="141" xr3:uid="{A844EF45-948C-4505-9D9E-A075BA7C4D0A}" name="תנאי_2_M2_R1_Q1_נכון" dataDxfId="749"/>
    <tableColumn id="142" xr3:uid="{E1468779-526A-4B73-BD24-2D89F768C46A}" name="תנאי_2_M2_R1_Q2_נכון" dataDxfId="748"/>
    <tableColumn id="143" xr3:uid="{7F9A9F6C-555E-40F6-ADF9-362C9A71A9D7}" name="תנאי_2_M2_R1_Q3_נכון" dataDxfId="747"/>
    <tableColumn id="144" xr3:uid="{E23B36C1-0857-4C51-A127-3F7E44551071}" name="תנאי_2_M2_R2_Scenario_ID" dataDxfId="746"/>
    <tableColumn id="145" xr3:uid="{441710AA-2049-4671-9BA7-B1184FBDE351}" name="תנאי_2_M2_R2_קושי" dataDxfId="745"/>
    <tableColumn id="146" xr3:uid="{434FFEF7-92F4-4E03-927E-1CA26EB3808E}" name="תנאי_2_M2_R2_תשובה_נכונה_לתרחיש" dataDxfId="744"/>
    <tableColumn id="147" xr3:uid="{0E0129B9-92D2-474B-96BF-D0839953BDC6}" name="תנאי_2_M2_R2_המלצת_מערכת" dataDxfId="743"/>
    <tableColumn id="148" xr3:uid="{784D967C-5E26-4AE0-B01F-AE97660FFA8E}" name="תנאי_2_M2_R2_Q1_נכון" dataDxfId="742"/>
    <tableColumn id="149" xr3:uid="{8DD7E97B-48E5-49C3-B5EE-6294ADC9D3E9}" name="תנאי_2_M2_R2_Q2_נכון" dataDxfId="741"/>
    <tableColumn id="150" xr3:uid="{DDF7BC5A-C786-4094-9D63-07183279AABA}" name="תנאי_2_M2_R2_Q3_נכון" dataDxfId="740"/>
    <tableColumn id="151" xr3:uid="{5C05554C-3ED1-4D28-B797-65B90C3C6F37}" name="תנאי_2_M2_R3_Scenario_ID" dataDxfId="739"/>
    <tableColumn id="152" xr3:uid="{E2DDA8DF-68F4-4C22-8659-421D558CC2BC}" name="תנאי_2_M2_R3_קושי" dataDxfId="738"/>
    <tableColumn id="153" xr3:uid="{589F72A1-9C09-428E-B14A-CF3613BDC950}" name="תנאי_2_M2_R3_תשובה_נכונה_לתרחיש" dataDxfId="737"/>
    <tableColumn id="154" xr3:uid="{27FAB7E4-76AE-46FF-AB07-EBAC5E021879}" name="תנאי_2_M2_R3_המלצת_מערכת" dataDxfId="736"/>
    <tableColumn id="155" xr3:uid="{0D8A62A9-2E7C-4FB9-829D-88CFC43C0DBE}" name="תנאי_2_M2_R3_Q1_נכון" dataDxfId="735"/>
    <tableColumn id="156" xr3:uid="{B5868E62-21B1-4638-AF4F-A2153EB572BE}" name="תנאי_2_M2_R3_Q2_נכון" dataDxfId="734"/>
    <tableColumn id="157" xr3:uid="{5579451A-EAE2-4872-B83A-ECCC74ABF2D9}" name="תנאי_2_M2_R3_Q3_נכון" dataDxfId="733"/>
    <tableColumn id="158" xr3:uid="{6C870301-3171-4F87-8562-1647C41516D8}" name="תנאי_2_M2_R4_Scenario_ID" dataDxfId="732"/>
    <tableColumn id="159" xr3:uid="{E3A1AB26-ECAF-4F82-8528-88AE13E9E2D6}" name="תנאי_2_M2_R4_קושי" dataDxfId="731"/>
    <tableColumn id="160" xr3:uid="{332293B6-C24F-434D-BE16-DF2B8DA0224A}" name="תנאי_2_M2_R4_תשובה_נכונה_לתרחיש" dataDxfId="730"/>
    <tableColumn id="161" xr3:uid="{48FD50F8-96B6-4840-8810-B0F6A14E7CE0}" name="תנאי_2_M2_R4_המלצת_מערכת" dataDxfId="729"/>
    <tableColumn id="162" xr3:uid="{CFDEC06A-3A88-4D66-B8C8-F7BBFECFC891}" name="תנאי_2_M2_R4_Q1_נכון" dataDxfId="728"/>
    <tableColumn id="163" xr3:uid="{4355F5D9-7C2D-4A4C-A502-D7A93DD94E22}" name="תנאי_2_M2_R4_Q2_נכון" dataDxfId="727"/>
    <tableColumn id="164" xr3:uid="{725AB2B0-7AD3-4452-818D-F5A106B9140A}" name="תנאי_2_M2_R4_Q3_נכון" dataDxfId="726"/>
    <tableColumn id="165" xr3:uid="{3E4B015E-D75B-4FA6-9CF7-7FBD87D5E248}" name="תנאי_2_M2_R5_Scenario_ID" dataDxfId="725"/>
    <tableColumn id="166" xr3:uid="{EE87CFF8-6521-4B0F-B9E0-251CCE958362}" name="תנאי_2_M2_R5_קושי" dataDxfId="724"/>
    <tableColumn id="167" xr3:uid="{6E9AD05A-5F50-4E2E-8D2E-C5C86EBE1E1E}" name="תנאי_2_M2_R5_תשובה_נכונה_לתרחיש" dataDxfId="723"/>
    <tableColumn id="168" xr3:uid="{D0638489-8A6B-44D7-B770-361D686477BA}" name="תנאי_2_M2_R5_המלצת_מערכת" dataDxfId="722"/>
    <tableColumn id="169" xr3:uid="{1CB67AFA-BB0E-4B00-8815-48EFAE54CBFE}" name="תנאי_2_M2_R5_Q1_נכון" dataDxfId="721"/>
    <tableColumn id="170" xr3:uid="{0EE18A1E-14D2-4A09-849F-3910BA5E5A7A}" name="תנאי_2_M2_R5_Q2_נכון" dataDxfId="720"/>
    <tableColumn id="171" xr3:uid="{242E9A61-A329-4E23-9F27-64FDC2E96472}" name="תנאי_2_M2_R5_Q3_נכון" dataDxfId="719"/>
    <tableColumn id="172" xr3:uid="{EE691D3E-F949-49B3-AA9D-C57801F8B540}" name="תנאי_3_ויזואליזציה" dataDxfId="718"/>
    <tableColumn id="173" xr3:uid="{FAE64C68-4983-4BAF-8928-53A5B00F99BA}" name="תנאי_3_סדר_מודלים" dataDxfId="717"/>
    <tableColumn id="174" xr3:uid="{4F489344-7202-4C16-B3E5-22E5A3C4ADBB}" name="תנאי_3_M1_סוג_מודל" dataDxfId="716"/>
    <tableColumn id="175" xr3:uid="{62B864B2-2719-4709-9E5D-E6E41FC6997B}" name="תנאי_3_M1_R1_Scenario_ID" dataDxfId="715"/>
    <tableColumn id="176" xr3:uid="{3E8296AA-7931-4A72-945E-98BE322F459D}" name="תנאי_3_M1_R1_קושי" dataDxfId="714"/>
    <tableColumn id="177" xr3:uid="{53E72C7C-5A09-4502-AFE4-23D49BEFD1B2}" name="תנאי_3_M1_R1_תשובה_נכונה_לתרחיש" dataDxfId="713"/>
    <tableColumn id="178" xr3:uid="{F6B40C79-33B8-4076-B769-1A38A72406A9}" name="תנאי_3_M1_R1_המלצת_מערכת" dataDxfId="712"/>
    <tableColumn id="179" xr3:uid="{7F741104-D9B4-4C18-89E0-6F8AE825E8B8}" name="תנאי_3_M1_R1_Q1_נכון" dataDxfId="711"/>
    <tableColumn id="180" xr3:uid="{13F55E9B-D639-4B90-AE23-665948475394}" name="תנאי_3_M1_R1_Q2_נכון" dataDxfId="710"/>
    <tableColumn id="181" xr3:uid="{68787F8E-A01A-4D5B-B38A-3EA782F4A05F}" name="תנאי_3_M1_R1_Q3_נכון" dataDxfId="709"/>
    <tableColumn id="182" xr3:uid="{89503460-AA15-4105-9298-15709DE18753}" name="תנאי_3_M1_R2_Scenario_ID" dataDxfId="708"/>
    <tableColumn id="183" xr3:uid="{52556797-16D2-49AA-BE3D-D653917BDFA1}" name="תנאי_3_M1_R2_קושי" dataDxfId="707"/>
    <tableColumn id="184" xr3:uid="{A63CF5E3-0CA1-439E-B90B-6D6B0B3C6E0F}" name="תנאי_3_M1_R2_תשובה_נכונה_לתרחיש" dataDxfId="706"/>
    <tableColumn id="185" xr3:uid="{A56C1CE5-E036-4FA6-B95B-D19320A53138}" name="תנאי_3_M1_R2_המלצת_מערכת" dataDxfId="705"/>
    <tableColumn id="186" xr3:uid="{9C6B0FE4-E395-45D8-8015-26E07875EF0C}" name="תנאי_3_M1_R2_Q1_נכון" dataDxfId="704"/>
    <tableColumn id="187" xr3:uid="{F519C12D-EAB3-4D53-967B-B83EBD2440B9}" name="תנאי_3_M1_R2_Q2_נכון" dataDxfId="703"/>
    <tableColumn id="188" xr3:uid="{8163CF95-4396-42EB-BEE9-087A66588B42}" name="תנאי_3_M1_R2_Q3_נכון" dataDxfId="702"/>
    <tableColumn id="189" xr3:uid="{484A19A7-572F-47C5-AAEF-5C4BBD769BED}" name="תנאי_3_M1_R3_Scenario_ID" dataDxfId="701"/>
    <tableColumn id="190" xr3:uid="{15C6FB64-7466-4621-A616-FFC87FB738AA}" name="תנאי_3_M1_R3_קושי" dataDxfId="700"/>
    <tableColumn id="191" xr3:uid="{192F0A2F-2EA1-4D47-B79F-C4F096D54ED4}" name="תנאי_3_M1_R3_תשובה_נכונה_לתרחיש" dataDxfId="699"/>
    <tableColumn id="192" xr3:uid="{D497EF2C-5568-4C55-81E7-3B9A21E65F02}" name="תנאי_3_M1_R3_המלצת_מערכת" dataDxfId="698"/>
    <tableColumn id="193" xr3:uid="{5151558B-EC82-43D1-8FDD-0ACFD626E7B8}" name="תנאי_3_M1_R3_Q1_נכון" dataDxfId="697"/>
    <tableColumn id="194" xr3:uid="{F8A9B31F-4C63-4617-806F-905490C03BFA}" name="תנאי_3_M1_R3_Q2_נכון" dataDxfId="696"/>
    <tableColumn id="195" xr3:uid="{34995697-B1A7-4E37-9DC1-95F1E6C17F03}" name="תנאי_3_M1_R3_Q3_נכון" dataDxfId="695"/>
    <tableColumn id="196" xr3:uid="{3F4A78E4-207E-49F9-BFD7-E67E99D3612A}" name="תנאי_3_M1_R4_Scenario_ID" dataDxfId="694"/>
    <tableColumn id="197" xr3:uid="{4DC940C6-D9EF-483A-BEC6-BB8CEC8D3815}" name="תנאי_3_M1_R4_קושי" dataDxfId="693"/>
    <tableColumn id="198" xr3:uid="{02EDCF63-47F7-4BFE-BFB1-73B162DC501A}" name="תנאי_3_M1_R4_תשובה_נכונה_לתרחיש" dataDxfId="692"/>
    <tableColumn id="199" xr3:uid="{C20F30A1-6A6D-4F85-8538-B36029ED32E4}" name="תנאי_3_M1_R4_המלצת_מערכת" dataDxfId="691"/>
    <tableColumn id="200" xr3:uid="{048114EF-5F19-4DDB-A20F-91335470BD9C}" name="תנאי_3_M1_R4_Q1_נכון" dataDxfId="690"/>
    <tableColumn id="201" xr3:uid="{64D4BA4E-9496-48A4-944F-EEB7E25140B1}" name="תנאי_3_M1_R4_Q2_נכון" dataDxfId="689"/>
    <tableColumn id="202" xr3:uid="{D7914067-DC3D-46CC-A135-98BF36F53B0F}" name="תנאי_3_M1_R4_Q3_נכון" dataDxfId="688"/>
    <tableColumn id="203" xr3:uid="{6EED2D9A-0418-4A60-8110-B709F7432217}" name="תנאי_3_M1_R5_Scenario_ID" dataDxfId="687"/>
    <tableColumn id="204" xr3:uid="{9B5A67E0-D672-4943-A5A2-A0D337F0236A}" name="תנאי_3_M1_R5_קושי" dataDxfId="686"/>
    <tableColumn id="205" xr3:uid="{62C9E370-74FC-4581-B4AE-59838C5852F0}" name="תנאי_3_M1_R5_תשובה_נכונה_לתרחיש" dataDxfId="685"/>
    <tableColumn id="206" xr3:uid="{EF4DA3C6-1F40-4D2C-A659-607C65FF9B5A}" name="תנאי_3_M1_R5_המלצת_מערכת" dataDxfId="684"/>
    <tableColumn id="207" xr3:uid="{A3FFA22A-C23F-46E5-9E44-8179AB4FB246}" name="תנאי_3_M1_R5_Q1_נכון" dataDxfId="683"/>
    <tableColumn id="208" xr3:uid="{A520ACED-8BAD-4929-9D81-0D80B1DBCA71}" name="תנאי_3_M1_R5_Q2_נכון" dataDxfId="682"/>
    <tableColumn id="209" xr3:uid="{2BD1CD6B-EE9A-4F8B-8701-568BD50C9810}" name="תנאי_3_M1_R5_Q3_נכון" dataDxfId="681"/>
    <tableColumn id="210" xr3:uid="{FD3BD5DC-0F9A-426D-ABF8-060279E38BD0}" name="תנאי_3_M2_סוג_מודל" dataDxfId="680"/>
    <tableColumn id="211" xr3:uid="{D1EC4C3C-1906-48EE-9FAC-A6B5206238E4}" name="תנאי_3_M2_R1_Scenario_ID" dataDxfId="679"/>
    <tableColumn id="212" xr3:uid="{1AFCF9B0-99C2-4AC9-B431-2CBF9D98783C}" name="תנאי_3_M2_R1_קושי" dataDxfId="678"/>
    <tableColumn id="213" xr3:uid="{D2415475-10A0-4CBB-BEEC-4F0D37410B26}" name="תנאי_3_M2_R1_תשובה_נכונה_לתרחיש" dataDxfId="677"/>
    <tableColumn id="214" xr3:uid="{42D7F2D1-2278-4C5F-91BD-87AB7D481C4D}" name="תנאי_3_M2_R1_המלצת_מערכת" dataDxfId="676"/>
    <tableColumn id="215" xr3:uid="{B7BCFF72-5828-4370-9BBB-7BD9FB5A60C9}" name="תנאי_3_M2_R1_Q1_נכון" dataDxfId="675"/>
    <tableColumn id="216" xr3:uid="{81E7046F-8052-4E00-912E-EF8851E167BD}" name="תנאי_3_M2_R1_Q2_נכון" dataDxfId="674"/>
    <tableColumn id="217" xr3:uid="{087F66EA-0899-4DD9-919C-986D944C2DDD}" name="תנאי_3_M2_R1_Q3_נכון" dataDxfId="673"/>
    <tableColumn id="218" xr3:uid="{B885D087-8F7B-47BC-A244-9F53322EDF74}" name="תנאי_3_M2_R2_Scenario_ID" dataDxfId="672"/>
    <tableColumn id="219" xr3:uid="{C34DBD9F-B00F-4DC0-AC46-FA9D2FD30F01}" name="תנאי_3_M2_R2_קושי" dataDxfId="671"/>
    <tableColumn id="220" xr3:uid="{71B2596E-E030-4D24-969A-8DBC1E04A200}" name="תנאי_3_M2_R2_תשובה_נכונה_לתרחיש" dataDxfId="670"/>
    <tableColumn id="221" xr3:uid="{17B1D043-00D5-488A-854D-95AFB984A6A4}" name="תנאי_3_M2_R2_המלצת_מערכת" dataDxfId="669"/>
    <tableColumn id="222" xr3:uid="{8845D605-BE52-4D97-B709-CBAFABD546A2}" name="תנאי_3_M2_R2_Q1_נכון" dataDxfId="668"/>
    <tableColumn id="223" xr3:uid="{AA5597E4-A9DD-496D-A6D2-B566A4503A21}" name="תנאי_3_M2_R2_Q2_נכון" dataDxfId="667"/>
    <tableColumn id="224" xr3:uid="{639B5B49-C82A-453C-87B4-48A0FE47DAE5}" name="תנאי_3_M2_R2_Q3_נכון" dataDxfId="666"/>
    <tableColumn id="225" xr3:uid="{247A0872-A77D-4292-8672-74F62ABE4145}" name="תנאי_3_M2_R3_Scenario_ID" dataDxfId="665"/>
    <tableColumn id="226" xr3:uid="{8A37B729-29B3-43DD-BEC3-060152CA6E4C}" name="תנאי_3_M2_R3_קושי" dataDxfId="664"/>
    <tableColumn id="227" xr3:uid="{1140A389-081D-454B-B1D1-79763947266E}" name="תנאי_3_M2_R3_תשובה_נכונה_לתרחיש" dataDxfId="663"/>
    <tableColumn id="228" xr3:uid="{3B1BBB40-E133-4EE5-814F-AD53281009DB}" name="תנאי_3_M2_R3_המלצת_מערכת" dataDxfId="662"/>
    <tableColumn id="229" xr3:uid="{4E85B764-9927-45C8-862E-710C72BCC355}" name="תנאי_3_M2_R3_Q1_נכון" dataDxfId="661"/>
    <tableColumn id="230" xr3:uid="{E713E966-0C79-419A-AADF-ABF6E147CCC7}" name="תנאי_3_M2_R3_Q2_נכון" dataDxfId="660"/>
    <tableColumn id="231" xr3:uid="{E6A4DFB8-4715-4967-B048-42AF93C42457}" name="תנאי_3_M2_R3_Q3_נכון" dataDxfId="659"/>
    <tableColumn id="232" xr3:uid="{B104ED47-9009-45D9-8B8A-C5832A06F333}" name="תנאי_3_M2_R4_Scenario_ID" dataDxfId="658"/>
    <tableColumn id="233" xr3:uid="{55FF711B-EE88-4486-B23A-0DBE6144CECB}" name="תנאי_3_M2_R4_קושי" dataDxfId="657"/>
    <tableColumn id="234" xr3:uid="{0C209E79-9011-4A08-9906-5FF93B4D1A47}" name="תנאי_3_M2_R4_תשובה_נכונה_לתרחיש" dataDxfId="656"/>
    <tableColumn id="235" xr3:uid="{E18E5819-7CB3-4341-BC9E-90A6D862D271}" name="תנאי_3_M2_R4_המלצת_מערכת" dataDxfId="655"/>
    <tableColumn id="236" xr3:uid="{A98F2D41-3862-4943-85B1-F2A12CA77B60}" name="תנאי_3_M2_R4_Q1_נכון" dataDxfId="654"/>
    <tableColumn id="237" xr3:uid="{8F8FF2DD-4CBF-48DC-A170-7646ABC90DCD}" name="תנאי_3_M2_R4_Q2_נכון" dataDxfId="653"/>
    <tableColumn id="238" xr3:uid="{F5B6A311-C435-4289-82D9-DA0F182800C0}" name="תנאי_3_M2_R4_Q3_נכון" dataDxfId="652"/>
    <tableColumn id="239" xr3:uid="{C3E9FED1-13CC-4108-A455-1C885F9A0D68}" name="תנאי_3_M2_R5_Scenario_ID" dataDxfId="651"/>
    <tableColumn id="240" xr3:uid="{AA02E84D-AC00-4D00-BBA8-6BE6BC7FBCED}" name="תנאי_3_M2_R5_קושי" dataDxfId="650"/>
    <tableColumn id="241" xr3:uid="{973A98DD-F15A-4449-BF50-D6D943ABC5CC}" name="תנאי_3_M2_R5_תשובה_נכונה_לתרחיש" dataDxfId="649"/>
    <tableColumn id="242" xr3:uid="{AEEF6B5C-8866-4E34-80DC-1AF85D158B3D}" name="תנאי_3_M2_R5_המלצת_מערכת" dataDxfId="648"/>
    <tableColumn id="243" xr3:uid="{9C2246B4-422E-4359-BC90-9C1ECA02AF28}" name="תנאי_3_M2_R5_Q1_נכון" dataDxfId="647"/>
    <tableColumn id="244" xr3:uid="{F3DD7C3F-0554-4AC9-A721-AA5D67D77E4E}" name="תנאי_3_M2_R5_Q2_נכון" dataDxfId="646"/>
    <tableColumn id="245" xr3:uid="{25C2181D-7C7A-43FB-9725-0E1AD7894F58}" name="תנאי_3_M2_R5_Q3_נכון" dataDxfId="64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DFC2AF-E8F7-426F-8E14-88851FDAE927}" name="Table3" displayName="Table3" ref="A1:AP4471" totalsRowShown="0" headerRowDxfId="1" dataDxfId="0" headerRowBorderDxfId="44" tableBorderDxfId="45">
  <autoFilter ref="A1:AP4471" xr:uid="{53DFC2AF-E8F7-426F-8E14-88851FDAE927}"/>
  <tableColumns count="42">
    <tableColumn id="1" xr3:uid="{7D8114E3-10F1-4202-9D48-D51ABE0441F1}" name="Participant_ID" dataDxfId="43"/>
    <tableColumn id="2" xr3:uid="{8F71DCC5-B4E9-455E-BBCB-AC03CCBF171C}" name="Record_Type" dataDxfId="42"/>
    <tableColumn id="3" xr3:uid="{A64661F8-23A7-4C3C-BD41-7B46C054C8CF}" name="Condition_Index" dataDxfId="41"/>
    <tableColumn id="4" xr3:uid="{1A1C7454-9243-4BA0-8B77-06EF96C2B079}" name="Viz_Code" dataDxfId="40"/>
    <tableColumn id="5" xr3:uid="{40F3B1C9-E572-4962-8167-6CBBF2408F1A}" name="Model_Pos" dataDxfId="39"/>
    <tableColumn id="6" xr3:uid="{8B07DB89-DB92-4F97-98E3-9B951F48ADD7}" name="Model_Code" dataDxfId="38"/>
    <tableColumn id="7" xr3:uid="{18C4C530-4076-4529-BF92-B7F9A5B3F48D}" name="Scenario_Index" dataDxfId="37"/>
    <tableColumn id="8" xr3:uid="{3326117A-DDFE-45A3-9A9F-D3807460CF27}" name="Scenario_ID" dataDxfId="36"/>
    <tableColumn id="9" xr3:uid="{A643ED0A-511A-4E98-8DD1-AF380F839D92}" name="Timestamp" dataDxfId="35"/>
    <tableColumn id="10" xr3:uid="{E86342E6-51DC-4947-84B6-1250D74066D3}" name="Details" dataDxfId="34"/>
    <tableColumn id="11" xr3:uid="{C3BFFB4F-588B-4570-9245-C42A270A0047}" name="Question_Domain" dataDxfId="33"/>
    <tableColumn id="12" xr3:uid="{17DE8F61-1AEF-47F7-8289-83E0F6200844}" name="Question_Index" dataDxfId="32"/>
    <tableColumn id="13" xr3:uid="{783BCCAF-0982-4CC0-9467-97B1E4125031}" name="Question_ID" dataDxfId="31"/>
    <tableColumn id="14" xr3:uid="{0818FB63-0CE9-4CAA-B910-85E6AD21E93C}" name="Response_Value" dataDxfId="30"/>
    <tableColumn id="15" xr3:uid="{38B57620-AE28-4D79-B73B-631736D48663}" name="בחירת_נבדק" dataDxfId="29"/>
    <tableColumn id="16" xr3:uid="{7C8C19F1-106F-4667-A8A4-3C5EA83DE561}" name="זמן_ms" dataDxfId="28"/>
    <tableColumn id="17" xr3:uid="{E6AC193F-9D67-4A30-A692-BB00191F530F}" name="שאלת_בטחון_תשובת_נבדק" dataDxfId="27"/>
    <tableColumn id="18" xr3:uid="{29DA57E5-8A99-4CD1-90C6-0C48806DBD42}" name="שאלת_עומס_תשובת_נבדק" dataDxfId="26"/>
    <tableColumn id="19" xr3:uid="{91BE9BDB-238E-4F14-B9E7-AA11BDC86579}" name="שאלון_Q1_הבנה_תשובה_נכונה" dataDxfId="25"/>
    <tableColumn id="20" xr3:uid="{A7B0FDB8-5F8F-44AD-ADCF-4CF475B8AC19}" name="שאלון_Q1_הבנה_תשובת_נבדק" dataDxfId="24"/>
    <tableColumn id="21" xr3:uid="{50005E06-0523-41F9-BDDF-CC04E4482C08}" name="שאלון_Q2_הבנה_תשובה_נכונה" dataDxfId="23"/>
    <tableColumn id="22" xr3:uid="{B09BA7B3-0C9A-47B8-8F48-6E83FF0262B1}" name="שאלון_Q2_הבנה_תשובת_נבדק" dataDxfId="22"/>
    <tableColumn id="23" xr3:uid="{9F3ED3C7-C06A-4AB0-AC40-EB19ECAF4B2E}" name="שאלון_Q3_הבנה_תשובה_נכונה" dataDxfId="21"/>
    <tableColumn id="24" xr3:uid="{7741D922-EC97-4EBD-9AC5-917E7B82EFB4}" name="שאלון_Q3_הבנה_תשובת_נבדק" dataDxfId="20"/>
    <tableColumn id="25" xr3:uid="{3D6B42CF-2955-4BEE-8DB2-66F0AA10FC80}" name="MODEL_ID" dataDxfId="19"/>
    <tableColumn id="26" xr3:uid="{98DB948C-103A-4DAB-8598-E0AEA0B92269}" name="PA_ID" dataDxfId="18"/>
    <tableColumn id="27" xr3:uid="{18962205-B738-4A37-A5FA-351EFA03E548}" name="ORDER_STRING" dataDxfId="17"/>
    <tableColumn id="28" xr3:uid="{152A3D9F-6D59-4200-AE12-D8C7091613A9}" name="Mismatch_Count" dataDxfId="16"/>
    <tableColumn id="29" xr3:uid="{5D1EDFA0-F219-484F-918F-548B66DE381F}" name="Load_Q_Count" dataDxfId="15"/>
    <tableColumn id="30" xr3:uid="{5848F896-65D6-4F6F-91A3-8E900DAB8E40}" name="Trust_Q_Count" dataDxfId="14"/>
    <tableColumn id="31" xr3:uid="{2980FC08-9A45-4B94-B192-6EA20C6A64D3}" name="Mean_RT_Load_ms" dataDxfId="13"/>
    <tableColumn id="32" xr3:uid="{225922BE-8834-4416-9E37-3EFE7905D127}" name="Mean_RT_Trust_ms" dataDxfId="12"/>
    <tableColumn id="33" xr3:uid="{001787FE-9645-45D2-909E-68CABF3DD8C9}" name="Load_Q_Missing" dataDxfId="11"/>
    <tableColumn id="34" xr3:uid="{4C840EC2-6822-4B54-AB07-DCE6653D6FAB}" name="Trust_Q_Missing" dataDxfId="10"/>
    <tableColumn id="35" xr3:uid="{136ED6E1-929E-42E5-A272-DDA5DB77CA71}" name="דמוגרפיה_Q1" dataDxfId="9"/>
    <tableColumn id="36" xr3:uid="{0FCAF096-C744-46FA-B9EC-8D05C4379AA6}" name="דמוגרפיה_Q2" dataDxfId="8"/>
    <tableColumn id="37" xr3:uid="{EB4713B4-97CA-41DC-A709-C92A911B844E}" name="דמוגרפיה_Q3" dataDxfId="7"/>
    <tableColumn id="38" xr3:uid="{ADC4752F-F358-4066-9D74-EF79091EF975}" name="דמוגרפיה_Q4" dataDxfId="6"/>
    <tableColumn id="39" xr3:uid="{F4B66309-6A0F-48F6-89A2-BFC5C88095C2}" name="דמוגרפיה_Q5" dataDxfId="5"/>
    <tableColumn id="40" xr3:uid="{FDA4A281-0456-4B2F-8D77-773F1EE40FD1}" name="דמוגרפיה_Q6" dataDxfId="4"/>
    <tableColumn id="41" xr3:uid="{E7738F0C-DEFD-4BC3-888C-CBC14088074A}" name="דמוגרפיה_Q7" dataDxfId="3"/>
    <tableColumn id="42" xr3:uid="{BAB9DF16-1C19-4065-8D72-BDDB9107B6A2}" name="דמוגרפיה_Q8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293DDD-56CB-45BB-BB52-8585D65665BB}" name="Table2" displayName="Table2" ref="A1:I31" totalsRowShown="0" headerRowDxfId="46" headerRowBorderDxfId="47" tableBorderDxfId="48">
  <autoFilter ref="A1:I31" xr:uid="{00000000-0009-0000-0000-000000000000}"/>
  <tableColumns count="9">
    <tableColumn id="1" xr3:uid="{0746BE2F-BDFC-48A9-967B-151B9276FC71}" name="Scenario_ID"/>
    <tableColumn id="2" xr3:uid="{05533573-A444-456A-B262-532484B80415}" name="Type"/>
    <tableColumn id="3" xr3:uid="{0665E849-2457-46A8-A4F1-1A3A221EBF09}" name="Practice"/>
    <tableColumn id="4" xr3:uid="{3CFE1429-2198-4AF1-A8EF-006F25AF3027}" name="Base_Difficulty"/>
    <tableColumn id="5" xr3:uid="{AF0CAEBA-4072-476D-8ACD-3DADA577889F}" name="תשובה_נכונה_לתרחיש"/>
    <tableColumn id="6" xr3:uid="{5ABADA49-94F4-4A62-B6CF-7BFBE8576539}" name="Priority_Task"/>
    <tableColumn id="7" xr3:uid="{C83E136E-3448-4898-AC5B-4E0B685E7D21}" name="Q1_נכון"/>
    <tableColumn id="8" xr3:uid="{3A4D2516-59DE-4B5B-A50F-E4D5D123F31C}" name="Q2_נכון"/>
    <tableColumn id="9" xr3:uid="{55AB1A4E-6140-4741-9DC4-14F7B0D89B21}" name="Q3_נכון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K31"/>
  <sheetViews>
    <sheetView showGridLines="0" rightToLeft="1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28" sqref="H28"/>
    </sheetView>
  </sheetViews>
  <sheetFormatPr defaultColWidth="5.7109375" defaultRowHeight="15" x14ac:dyDescent="0.25"/>
  <cols>
    <col min="1" max="1" width="5.7109375" style="2"/>
    <col min="2" max="2" width="37.140625" style="2" customWidth="1"/>
    <col min="3" max="23" width="5.7109375" style="2"/>
    <col min="24" max="24" width="14.42578125" style="2" customWidth="1"/>
    <col min="25" max="25" width="23.42578125" style="2" customWidth="1"/>
    <col min="26" max="26" width="14.42578125" style="2" customWidth="1"/>
    <col min="27" max="61" width="5.7109375" style="2"/>
    <col min="62" max="62" width="12.28515625" style="2" customWidth="1"/>
    <col min="63" max="97" width="5.7109375" style="2"/>
    <col min="98" max="98" width="15.7109375" style="2" customWidth="1"/>
    <col min="99" max="99" width="23.42578125" style="2" customWidth="1"/>
    <col min="100" max="100" width="15.7109375" style="2" customWidth="1"/>
    <col min="101" max="134" width="5.7109375" style="2"/>
    <col min="135" max="135" width="5.7109375" style="2" customWidth="1"/>
    <col min="136" max="136" width="9.28515625" style="2" customWidth="1"/>
    <col min="137" max="171" width="5.7109375" style="2"/>
    <col min="172" max="172" width="16" style="2" customWidth="1"/>
    <col min="173" max="173" width="25.5703125" style="2" customWidth="1"/>
    <col min="174" max="174" width="9.85546875" style="2" customWidth="1"/>
    <col min="175" max="209" width="5.7109375" style="2"/>
    <col min="210" max="210" width="10.140625" style="2" customWidth="1"/>
    <col min="211" max="16384" width="5.7109375" style="2"/>
  </cols>
  <sheetData>
    <row r="1" spans="1:245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93</v>
      </c>
      <c r="AH1" s="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 t="s">
        <v>101</v>
      </c>
      <c r="AP1" s="1" t="s">
        <v>102</v>
      </c>
      <c r="AQ1" s="1" t="s">
        <v>103</v>
      </c>
      <c r="AR1" s="1" t="s">
        <v>104</v>
      </c>
      <c r="AS1" s="1" t="s">
        <v>105</v>
      </c>
      <c r="AT1" s="1" t="s">
        <v>106</v>
      </c>
      <c r="AU1" s="1" t="s">
        <v>107</v>
      </c>
      <c r="AV1" s="1" t="s">
        <v>108</v>
      </c>
      <c r="AW1" s="1" t="s">
        <v>109</v>
      </c>
      <c r="AX1" s="1" t="s">
        <v>110</v>
      </c>
      <c r="AY1" s="1" t="s">
        <v>111</v>
      </c>
      <c r="AZ1" s="1" t="s">
        <v>112</v>
      </c>
      <c r="BA1" s="1" t="s">
        <v>113</v>
      </c>
      <c r="BB1" s="1" t="s">
        <v>114</v>
      </c>
      <c r="BC1" s="1" t="s">
        <v>115</v>
      </c>
      <c r="BD1" s="1" t="s">
        <v>116</v>
      </c>
      <c r="BE1" s="1" t="s">
        <v>117</v>
      </c>
      <c r="BF1" s="1" t="s">
        <v>118</v>
      </c>
      <c r="BG1" s="1" t="s">
        <v>119</v>
      </c>
      <c r="BH1" s="1" t="s">
        <v>120</v>
      </c>
      <c r="BI1" s="1" t="s">
        <v>121</v>
      </c>
      <c r="BJ1" s="1" t="s">
        <v>122</v>
      </c>
      <c r="BK1" s="1" t="s">
        <v>123</v>
      </c>
      <c r="BL1" s="1" t="s">
        <v>124</v>
      </c>
      <c r="BM1" s="1" t="s">
        <v>125</v>
      </c>
      <c r="BN1" s="1" t="s">
        <v>126</v>
      </c>
      <c r="BO1" s="1" t="s">
        <v>127</v>
      </c>
      <c r="BP1" s="1" t="s">
        <v>128</v>
      </c>
      <c r="BQ1" s="1" t="s">
        <v>129</v>
      </c>
      <c r="BR1" s="1" t="s">
        <v>130</v>
      </c>
      <c r="BS1" s="1" t="s">
        <v>131</v>
      </c>
      <c r="BT1" s="1" t="s">
        <v>132</v>
      </c>
      <c r="BU1" s="1" t="s">
        <v>133</v>
      </c>
      <c r="BV1" s="1" t="s">
        <v>134</v>
      </c>
      <c r="BW1" s="1" t="s">
        <v>135</v>
      </c>
      <c r="BX1" s="1" t="s">
        <v>136</v>
      </c>
      <c r="BY1" s="1" t="s">
        <v>137</v>
      </c>
      <c r="BZ1" s="1" t="s">
        <v>138</v>
      </c>
      <c r="CA1" s="1" t="s">
        <v>139</v>
      </c>
      <c r="CB1" s="1" t="s">
        <v>140</v>
      </c>
      <c r="CC1" s="1" t="s">
        <v>141</v>
      </c>
      <c r="CD1" s="1" t="s">
        <v>142</v>
      </c>
      <c r="CE1" s="1" t="s">
        <v>143</v>
      </c>
      <c r="CF1" s="1" t="s">
        <v>144</v>
      </c>
      <c r="CG1" s="1" t="s">
        <v>145</v>
      </c>
      <c r="CH1" s="1" t="s">
        <v>146</v>
      </c>
      <c r="CI1" s="1" t="s">
        <v>147</v>
      </c>
      <c r="CJ1" s="1" t="s">
        <v>148</v>
      </c>
      <c r="CK1" s="1" t="s">
        <v>149</v>
      </c>
      <c r="CL1" s="1" t="s">
        <v>150</v>
      </c>
      <c r="CM1" s="1" t="s">
        <v>151</v>
      </c>
      <c r="CN1" s="1" t="s">
        <v>152</v>
      </c>
      <c r="CO1" s="1" t="s">
        <v>153</v>
      </c>
      <c r="CP1" s="1" t="s">
        <v>154</v>
      </c>
      <c r="CQ1" s="1" t="s">
        <v>155</v>
      </c>
      <c r="CR1" s="1" t="s">
        <v>156</v>
      </c>
      <c r="CS1" s="1" t="s">
        <v>157</v>
      </c>
      <c r="CT1" s="1" t="s">
        <v>158</v>
      </c>
      <c r="CU1" s="1" t="s">
        <v>159</v>
      </c>
      <c r="CV1" s="1" t="s">
        <v>160</v>
      </c>
      <c r="CW1" s="1" t="s">
        <v>161</v>
      </c>
      <c r="CX1" s="1" t="s">
        <v>162</v>
      </c>
      <c r="CY1" s="1" t="s">
        <v>163</v>
      </c>
      <c r="CZ1" s="1" t="s">
        <v>164</v>
      </c>
      <c r="DA1" s="1" t="s">
        <v>165</v>
      </c>
      <c r="DB1" s="1" t="s">
        <v>166</v>
      </c>
      <c r="DC1" s="1" t="s">
        <v>167</v>
      </c>
      <c r="DD1" s="1" t="s">
        <v>168</v>
      </c>
      <c r="DE1" s="1" t="s">
        <v>169</v>
      </c>
      <c r="DF1" s="1" t="s">
        <v>170</v>
      </c>
      <c r="DG1" s="1" t="s">
        <v>171</v>
      </c>
      <c r="DH1" s="1" t="s">
        <v>172</v>
      </c>
      <c r="DI1" s="1" t="s">
        <v>173</v>
      </c>
      <c r="DJ1" s="1" t="s">
        <v>174</v>
      </c>
      <c r="DK1" s="1" t="s">
        <v>175</v>
      </c>
      <c r="DL1" s="1" t="s">
        <v>176</v>
      </c>
      <c r="DM1" s="1" t="s">
        <v>177</v>
      </c>
      <c r="DN1" s="1" t="s">
        <v>178</v>
      </c>
      <c r="DO1" s="1" t="s">
        <v>179</v>
      </c>
      <c r="DP1" s="1" t="s">
        <v>180</v>
      </c>
      <c r="DQ1" s="1" t="s">
        <v>181</v>
      </c>
      <c r="DR1" s="1" t="s">
        <v>182</v>
      </c>
      <c r="DS1" s="1" t="s">
        <v>183</v>
      </c>
      <c r="DT1" s="1" t="s">
        <v>184</v>
      </c>
      <c r="DU1" s="1" t="s">
        <v>185</v>
      </c>
      <c r="DV1" s="1" t="s">
        <v>186</v>
      </c>
      <c r="DW1" s="1" t="s">
        <v>187</v>
      </c>
      <c r="DX1" s="1" t="s">
        <v>188</v>
      </c>
      <c r="DY1" s="1" t="s">
        <v>189</v>
      </c>
      <c r="DZ1" s="1" t="s">
        <v>190</v>
      </c>
      <c r="EA1" s="1" t="s">
        <v>191</v>
      </c>
      <c r="EB1" s="1" t="s">
        <v>192</v>
      </c>
      <c r="EC1" s="1" t="s">
        <v>193</v>
      </c>
      <c r="ED1" s="1" t="s">
        <v>194</v>
      </c>
      <c r="EE1" s="1" t="s">
        <v>195</v>
      </c>
      <c r="EF1" s="1" t="s">
        <v>196</v>
      </c>
      <c r="EG1" s="1" t="s">
        <v>197</v>
      </c>
      <c r="EH1" s="1" t="s">
        <v>198</v>
      </c>
      <c r="EI1" s="1" t="s">
        <v>199</v>
      </c>
      <c r="EJ1" s="1" t="s">
        <v>200</v>
      </c>
      <c r="EK1" s="1" t="s">
        <v>201</v>
      </c>
      <c r="EL1" s="1" t="s">
        <v>202</v>
      </c>
      <c r="EM1" s="1" t="s">
        <v>203</v>
      </c>
      <c r="EN1" s="1" t="s">
        <v>204</v>
      </c>
      <c r="EO1" s="1" t="s">
        <v>205</v>
      </c>
      <c r="EP1" s="1" t="s">
        <v>206</v>
      </c>
      <c r="EQ1" s="1" t="s">
        <v>207</v>
      </c>
      <c r="ER1" s="1" t="s">
        <v>208</v>
      </c>
      <c r="ES1" s="1" t="s">
        <v>209</v>
      </c>
      <c r="ET1" s="1" t="s">
        <v>210</v>
      </c>
      <c r="EU1" s="1" t="s">
        <v>211</v>
      </c>
      <c r="EV1" s="1" t="s">
        <v>212</v>
      </c>
      <c r="EW1" s="1" t="s">
        <v>213</v>
      </c>
      <c r="EX1" s="1" t="s">
        <v>214</v>
      </c>
      <c r="EY1" s="1" t="s">
        <v>215</v>
      </c>
      <c r="EZ1" s="1" t="s">
        <v>216</v>
      </c>
      <c r="FA1" s="1" t="s">
        <v>217</v>
      </c>
      <c r="FB1" s="1" t="s">
        <v>218</v>
      </c>
      <c r="FC1" s="1" t="s">
        <v>219</v>
      </c>
      <c r="FD1" s="1" t="s">
        <v>220</v>
      </c>
      <c r="FE1" s="1" t="s">
        <v>221</v>
      </c>
      <c r="FF1" s="1" t="s">
        <v>222</v>
      </c>
      <c r="FG1" s="1" t="s">
        <v>223</v>
      </c>
      <c r="FH1" s="1" t="s">
        <v>224</v>
      </c>
      <c r="FI1" s="1" t="s">
        <v>225</v>
      </c>
      <c r="FJ1" s="1" t="s">
        <v>226</v>
      </c>
      <c r="FK1" s="1" t="s">
        <v>227</v>
      </c>
      <c r="FL1" s="1" t="s">
        <v>228</v>
      </c>
      <c r="FM1" s="1" t="s">
        <v>229</v>
      </c>
      <c r="FN1" s="1" t="s">
        <v>230</v>
      </c>
      <c r="FO1" s="1" t="s">
        <v>231</v>
      </c>
      <c r="FP1" s="1" t="s">
        <v>232</v>
      </c>
      <c r="FQ1" s="1" t="s">
        <v>233</v>
      </c>
      <c r="FR1" s="1" t="s">
        <v>234</v>
      </c>
      <c r="FS1" s="1" t="s">
        <v>235</v>
      </c>
      <c r="FT1" s="1" t="s">
        <v>236</v>
      </c>
      <c r="FU1" s="1" t="s">
        <v>237</v>
      </c>
      <c r="FV1" s="1" t="s">
        <v>238</v>
      </c>
      <c r="FW1" s="1" t="s">
        <v>239</v>
      </c>
      <c r="FX1" s="1" t="s">
        <v>240</v>
      </c>
      <c r="FY1" s="1" t="s">
        <v>241</v>
      </c>
      <c r="FZ1" s="1" t="s">
        <v>242</v>
      </c>
      <c r="GA1" s="1" t="s">
        <v>243</v>
      </c>
      <c r="GB1" s="1" t="s">
        <v>244</v>
      </c>
      <c r="GC1" s="1" t="s">
        <v>245</v>
      </c>
      <c r="GD1" s="1" t="s">
        <v>246</v>
      </c>
      <c r="GE1" s="1" t="s">
        <v>247</v>
      </c>
      <c r="GF1" s="1" t="s">
        <v>248</v>
      </c>
      <c r="GG1" s="1" t="s">
        <v>249</v>
      </c>
      <c r="GH1" s="1" t="s">
        <v>250</v>
      </c>
      <c r="GI1" s="1" t="s">
        <v>251</v>
      </c>
      <c r="GJ1" s="1" t="s">
        <v>252</v>
      </c>
      <c r="GK1" s="1" t="s">
        <v>253</v>
      </c>
      <c r="GL1" s="1" t="s">
        <v>254</v>
      </c>
      <c r="GM1" s="1" t="s">
        <v>255</v>
      </c>
      <c r="GN1" s="1" t="s">
        <v>256</v>
      </c>
      <c r="GO1" s="1" t="s">
        <v>257</v>
      </c>
      <c r="GP1" s="1" t="s">
        <v>258</v>
      </c>
      <c r="GQ1" s="1" t="s">
        <v>259</v>
      </c>
      <c r="GR1" s="1" t="s">
        <v>260</v>
      </c>
      <c r="GS1" s="1" t="s">
        <v>261</v>
      </c>
      <c r="GT1" s="1" t="s">
        <v>262</v>
      </c>
      <c r="GU1" s="1" t="s">
        <v>263</v>
      </c>
      <c r="GV1" s="1" t="s">
        <v>264</v>
      </c>
      <c r="GW1" s="1" t="s">
        <v>265</v>
      </c>
      <c r="GX1" s="1" t="s">
        <v>266</v>
      </c>
      <c r="GY1" s="1" t="s">
        <v>267</v>
      </c>
      <c r="GZ1" s="1" t="s">
        <v>268</v>
      </c>
      <c r="HA1" s="1" t="s">
        <v>269</v>
      </c>
      <c r="HB1" s="1" t="s">
        <v>270</v>
      </c>
      <c r="HC1" s="1" t="s">
        <v>271</v>
      </c>
      <c r="HD1" s="1" t="s">
        <v>272</v>
      </c>
      <c r="HE1" s="1" t="s">
        <v>273</v>
      </c>
      <c r="HF1" s="1" t="s">
        <v>274</v>
      </c>
      <c r="HG1" s="1" t="s">
        <v>275</v>
      </c>
      <c r="HH1" s="1" t="s">
        <v>276</v>
      </c>
      <c r="HI1" s="1" t="s">
        <v>277</v>
      </c>
      <c r="HJ1" s="1" t="s">
        <v>278</v>
      </c>
      <c r="HK1" s="1" t="s">
        <v>279</v>
      </c>
      <c r="HL1" s="1" t="s">
        <v>280</v>
      </c>
      <c r="HM1" s="1" t="s">
        <v>281</v>
      </c>
      <c r="HN1" s="1" t="s">
        <v>282</v>
      </c>
      <c r="HO1" s="1" t="s">
        <v>283</v>
      </c>
      <c r="HP1" s="1" t="s">
        <v>284</v>
      </c>
      <c r="HQ1" s="1" t="s">
        <v>285</v>
      </c>
      <c r="HR1" s="1" t="s">
        <v>286</v>
      </c>
      <c r="HS1" s="1" t="s">
        <v>287</v>
      </c>
      <c r="HT1" s="1" t="s">
        <v>288</v>
      </c>
      <c r="HU1" s="1" t="s">
        <v>289</v>
      </c>
      <c r="HV1" s="1" t="s">
        <v>290</v>
      </c>
      <c r="HW1" s="1" t="s">
        <v>291</v>
      </c>
      <c r="HX1" s="1" t="s">
        <v>292</v>
      </c>
      <c r="HY1" s="1" t="s">
        <v>293</v>
      </c>
      <c r="HZ1" s="1" t="s">
        <v>294</v>
      </c>
      <c r="IA1" s="1" t="s">
        <v>295</v>
      </c>
      <c r="IB1" s="1" t="s">
        <v>296</v>
      </c>
      <c r="IC1" s="1" t="s">
        <v>297</v>
      </c>
      <c r="ID1" s="1" t="s">
        <v>298</v>
      </c>
      <c r="IE1" s="1" t="s">
        <v>299</v>
      </c>
      <c r="IF1" s="1" t="s">
        <v>300</v>
      </c>
      <c r="IG1" s="1" t="s">
        <v>301</v>
      </c>
      <c r="IH1" s="1" t="s">
        <v>302</v>
      </c>
      <c r="II1" s="1" t="s">
        <v>303</v>
      </c>
      <c r="IJ1" s="1" t="s">
        <v>304</v>
      </c>
      <c r="IK1" s="1" t="s">
        <v>305</v>
      </c>
    </row>
    <row r="2" spans="1:245" x14ac:dyDescent="0.25">
      <c r="A2" s="2" t="s">
        <v>306</v>
      </c>
      <c r="B2" s="2" t="s">
        <v>336</v>
      </c>
      <c r="C2" s="2" t="s">
        <v>339</v>
      </c>
      <c r="D2" s="2" t="s">
        <v>43</v>
      </c>
      <c r="E2" s="2" t="s">
        <v>45</v>
      </c>
      <c r="F2" s="2" t="s">
        <v>45</v>
      </c>
      <c r="G2" s="2" t="s">
        <v>57</v>
      </c>
      <c r="H2" s="2" t="s">
        <v>58</v>
      </c>
      <c r="I2" s="2" t="s">
        <v>59</v>
      </c>
      <c r="J2" s="2" t="s">
        <v>340</v>
      </c>
      <c r="K2" s="2" t="s">
        <v>43</v>
      </c>
      <c r="L2" s="2" t="s">
        <v>46</v>
      </c>
      <c r="M2" s="2" t="s">
        <v>46</v>
      </c>
      <c r="N2" s="2" t="s">
        <v>58</v>
      </c>
      <c r="O2" s="2" t="s">
        <v>57</v>
      </c>
      <c r="P2" s="2" t="s">
        <v>58</v>
      </c>
      <c r="Q2" s="2" t="s">
        <v>341</v>
      </c>
      <c r="R2" s="2" t="s">
        <v>43</v>
      </c>
      <c r="S2" s="2" t="s">
        <v>47</v>
      </c>
      <c r="T2" s="2" t="s">
        <v>47</v>
      </c>
      <c r="U2" s="2" t="s">
        <v>58</v>
      </c>
      <c r="V2" s="2" t="s">
        <v>58</v>
      </c>
      <c r="W2" s="2" t="s">
        <v>58</v>
      </c>
      <c r="X2" s="2" t="s">
        <v>342</v>
      </c>
      <c r="Y2" s="2" t="s">
        <v>345</v>
      </c>
      <c r="Z2" s="2" t="s">
        <v>39</v>
      </c>
      <c r="AA2" s="2" t="s">
        <v>347</v>
      </c>
      <c r="AB2" s="2" t="s">
        <v>44</v>
      </c>
      <c r="AC2" s="2" t="s">
        <v>47</v>
      </c>
      <c r="AD2" s="2" t="s">
        <v>47</v>
      </c>
      <c r="AE2" s="2" t="s">
        <v>60</v>
      </c>
      <c r="AF2" s="2" t="s">
        <v>59</v>
      </c>
      <c r="AG2" s="2" t="s">
        <v>58</v>
      </c>
      <c r="AH2" s="2" t="s">
        <v>353</v>
      </c>
      <c r="AI2" s="2" t="s">
        <v>44</v>
      </c>
      <c r="AJ2" s="2" t="s">
        <v>47</v>
      </c>
      <c r="AK2" s="2" t="s">
        <v>47</v>
      </c>
      <c r="AL2" s="2" t="s">
        <v>59</v>
      </c>
      <c r="AM2" s="2" t="s">
        <v>58</v>
      </c>
      <c r="AN2" s="2" t="s">
        <v>59</v>
      </c>
      <c r="AO2" s="2" t="s">
        <v>359</v>
      </c>
      <c r="AP2" s="2" t="s">
        <v>43</v>
      </c>
      <c r="AQ2" s="2" t="s">
        <v>47</v>
      </c>
      <c r="AR2" s="2" t="s">
        <v>46</v>
      </c>
      <c r="AS2" s="2" t="s">
        <v>60</v>
      </c>
      <c r="AT2" s="2" t="s">
        <v>57</v>
      </c>
      <c r="AU2" s="2" t="s">
        <v>59</v>
      </c>
      <c r="AV2" s="2" t="s">
        <v>365</v>
      </c>
      <c r="AW2" s="2" t="s">
        <v>44</v>
      </c>
      <c r="AX2" s="2" t="s">
        <v>46</v>
      </c>
      <c r="AY2" s="2" t="s">
        <v>46</v>
      </c>
      <c r="AZ2" s="2" t="s">
        <v>58</v>
      </c>
      <c r="BA2" s="2" t="s">
        <v>58</v>
      </c>
      <c r="BB2" s="2" t="s">
        <v>59</v>
      </c>
      <c r="BC2" s="2" t="s">
        <v>371</v>
      </c>
      <c r="BD2" s="2" t="s">
        <v>43</v>
      </c>
      <c r="BE2" s="2" t="s">
        <v>46</v>
      </c>
      <c r="BF2" s="2" t="s">
        <v>46</v>
      </c>
      <c r="BG2" s="2" t="s">
        <v>57</v>
      </c>
      <c r="BH2" s="2" t="s">
        <v>60</v>
      </c>
      <c r="BI2" s="2" t="s">
        <v>59</v>
      </c>
      <c r="BJ2" s="2" t="s">
        <v>40</v>
      </c>
      <c r="BK2" s="2" t="s">
        <v>352</v>
      </c>
      <c r="BL2" s="2" t="s">
        <v>44</v>
      </c>
      <c r="BM2" s="2" t="s">
        <v>45</v>
      </c>
      <c r="BN2" s="2" t="s">
        <v>45</v>
      </c>
      <c r="BO2" s="2" t="s">
        <v>57</v>
      </c>
      <c r="BP2" s="2" t="s">
        <v>58</v>
      </c>
      <c r="BQ2" s="2" t="s">
        <v>58</v>
      </c>
      <c r="BR2" s="2" t="s">
        <v>358</v>
      </c>
      <c r="BS2" s="2" t="s">
        <v>43</v>
      </c>
      <c r="BT2" s="2" t="s">
        <v>47</v>
      </c>
      <c r="BU2" s="2" t="s">
        <v>47</v>
      </c>
      <c r="BV2" s="2" t="s">
        <v>57</v>
      </c>
      <c r="BW2" s="2" t="s">
        <v>60</v>
      </c>
      <c r="BX2" s="2" t="s">
        <v>59</v>
      </c>
      <c r="BY2" s="2" t="s">
        <v>364</v>
      </c>
      <c r="BZ2" s="2" t="s">
        <v>43</v>
      </c>
      <c r="CA2" s="2" t="s">
        <v>45</v>
      </c>
      <c r="CB2" s="2" t="s">
        <v>47</v>
      </c>
      <c r="CC2" s="2" t="s">
        <v>60</v>
      </c>
      <c r="CD2" s="2" t="s">
        <v>57</v>
      </c>
      <c r="CE2" s="2" t="s">
        <v>58</v>
      </c>
      <c r="CF2" s="2" t="s">
        <v>370</v>
      </c>
      <c r="CG2" s="2" t="s">
        <v>44</v>
      </c>
      <c r="CH2" s="2" t="s">
        <v>46</v>
      </c>
      <c r="CI2" s="2" t="s">
        <v>45</v>
      </c>
      <c r="CJ2" s="2" t="s">
        <v>60</v>
      </c>
      <c r="CK2" s="2" t="s">
        <v>59</v>
      </c>
      <c r="CL2" s="2" t="s">
        <v>60</v>
      </c>
      <c r="CM2" s="2" t="s">
        <v>372</v>
      </c>
      <c r="CN2" s="2" t="s">
        <v>372</v>
      </c>
      <c r="CO2" s="2" t="s">
        <v>372</v>
      </c>
      <c r="CP2" s="2" t="s">
        <v>372</v>
      </c>
      <c r="CQ2" s="2" t="s">
        <v>372</v>
      </c>
      <c r="CR2" s="2" t="s">
        <v>372</v>
      </c>
      <c r="CS2" s="2" t="s">
        <v>372</v>
      </c>
      <c r="CT2" s="2" t="s">
        <v>343</v>
      </c>
      <c r="CU2" s="2" t="s">
        <v>346</v>
      </c>
      <c r="CV2" s="2" t="s">
        <v>40</v>
      </c>
      <c r="CW2" s="2" t="s">
        <v>348</v>
      </c>
      <c r="CX2" s="2" t="s">
        <v>44</v>
      </c>
      <c r="CY2" s="2" t="s">
        <v>47</v>
      </c>
      <c r="CZ2" s="2" t="s">
        <v>46</v>
      </c>
      <c r="DA2" s="2" t="s">
        <v>57</v>
      </c>
      <c r="DB2" s="2" t="s">
        <v>57</v>
      </c>
      <c r="DC2" s="2" t="s">
        <v>58</v>
      </c>
      <c r="DD2" s="2" t="s">
        <v>354</v>
      </c>
      <c r="DE2" s="2" t="s">
        <v>44</v>
      </c>
      <c r="DF2" s="2" t="s">
        <v>45</v>
      </c>
      <c r="DG2" s="2" t="s">
        <v>45</v>
      </c>
      <c r="DH2" s="2" t="s">
        <v>59</v>
      </c>
      <c r="DI2" s="2" t="s">
        <v>57</v>
      </c>
      <c r="DJ2" s="2" t="s">
        <v>60</v>
      </c>
      <c r="DK2" s="2" t="s">
        <v>360</v>
      </c>
      <c r="DL2" s="2" t="s">
        <v>44</v>
      </c>
      <c r="DM2" s="2" t="s">
        <v>45</v>
      </c>
      <c r="DN2" s="2" t="s">
        <v>47</v>
      </c>
      <c r="DO2" s="2" t="s">
        <v>60</v>
      </c>
      <c r="DP2" s="2" t="s">
        <v>60</v>
      </c>
      <c r="DQ2" s="2" t="s">
        <v>60</v>
      </c>
      <c r="DR2" s="2" t="s">
        <v>366</v>
      </c>
      <c r="DS2" s="2" t="s">
        <v>43</v>
      </c>
      <c r="DT2" s="2" t="s">
        <v>47</v>
      </c>
      <c r="DU2" s="2" t="s">
        <v>47</v>
      </c>
      <c r="DV2" s="2" t="s">
        <v>60</v>
      </c>
      <c r="DW2" s="2" t="s">
        <v>60</v>
      </c>
      <c r="DX2" s="2" t="s">
        <v>60</v>
      </c>
      <c r="DY2" s="2" t="s">
        <v>372</v>
      </c>
      <c r="DZ2" s="2" t="s">
        <v>372</v>
      </c>
      <c r="EA2" s="2" t="s">
        <v>372</v>
      </c>
      <c r="EB2" s="2" t="s">
        <v>372</v>
      </c>
      <c r="EC2" s="2" t="s">
        <v>372</v>
      </c>
      <c r="ED2" s="2" t="s">
        <v>372</v>
      </c>
      <c r="EE2" s="2" t="s">
        <v>372</v>
      </c>
      <c r="EF2" s="2" t="s">
        <v>39</v>
      </c>
      <c r="EG2" s="2" t="s">
        <v>350</v>
      </c>
      <c r="EH2" s="2" t="s">
        <v>44</v>
      </c>
      <c r="EI2" s="2" t="s">
        <v>45</v>
      </c>
      <c r="EJ2" s="2" t="s">
        <v>45</v>
      </c>
      <c r="EK2" s="2" t="s">
        <v>60</v>
      </c>
      <c r="EL2" s="2" t="s">
        <v>58</v>
      </c>
      <c r="EM2" s="2" t="s">
        <v>57</v>
      </c>
      <c r="EN2" s="2" t="s">
        <v>356</v>
      </c>
      <c r="EO2" s="2" t="s">
        <v>43</v>
      </c>
      <c r="EP2" s="2" t="s">
        <v>46</v>
      </c>
      <c r="EQ2" s="2" t="s">
        <v>46</v>
      </c>
      <c r="ER2" s="2" t="s">
        <v>60</v>
      </c>
      <c r="ES2" s="2" t="s">
        <v>57</v>
      </c>
      <c r="ET2" s="2" t="s">
        <v>60</v>
      </c>
      <c r="EU2" s="2" t="s">
        <v>362</v>
      </c>
      <c r="EV2" s="2" t="s">
        <v>44</v>
      </c>
      <c r="EW2" s="2" t="s">
        <v>46</v>
      </c>
      <c r="EX2" s="2" t="s">
        <v>45</v>
      </c>
      <c r="EY2" s="2" t="s">
        <v>58</v>
      </c>
      <c r="EZ2" s="2" t="s">
        <v>57</v>
      </c>
      <c r="FA2" s="2" t="s">
        <v>59</v>
      </c>
      <c r="FB2" s="2" t="s">
        <v>368</v>
      </c>
      <c r="FC2" s="2" t="s">
        <v>43</v>
      </c>
      <c r="FD2" s="2" t="s">
        <v>47</v>
      </c>
      <c r="FE2" s="2" t="s">
        <v>47</v>
      </c>
      <c r="FF2" s="2" t="s">
        <v>58</v>
      </c>
      <c r="FG2" s="2" t="s">
        <v>58</v>
      </c>
      <c r="FH2" s="2" t="s">
        <v>59</v>
      </c>
      <c r="FI2" s="2" t="s">
        <v>374</v>
      </c>
      <c r="FJ2" s="2" t="s">
        <v>43</v>
      </c>
      <c r="FK2" s="2" t="s">
        <v>45</v>
      </c>
      <c r="FL2" s="2" t="s">
        <v>45</v>
      </c>
      <c r="FM2" s="2" t="s">
        <v>60</v>
      </c>
      <c r="FN2" s="2" t="s">
        <v>57</v>
      </c>
      <c r="FO2" s="2" t="s">
        <v>57</v>
      </c>
      <c r="FP2" s="2" t="s">
        <v>344</v>
      </c>
      <c r="FQ2" s="2" t="s">
        <v>346</v>
      </c>
      <c r="FR2" s="2" t="s">
        <v>40</v>
      </c>
      <c r="FS2" s="2" t="s">
        <v>351</v>
      </c>
      <c r="FT2" s="2" t="s">
        <v>44</v>
      </c>
      <c r="FU2" s="2" t="s">
        <v>45</v>
      </c>
      <c r="FV2" s="2" t="s">
        <v>47</v>
      </c>
      <c r="FW2" s="2" t="s">
        <v>57</v>
      </c>
      <c r="FX2" s="2" t="s">
        <v>58</v>
      </c>
      <c r="FY2" s="2" t="s">
        <v>60</v>
      </c>
      <c r="FZ2" s="2" t="s">
        <v>357</v>
      </c>
      <c r="GA2" s="2" t="s">
        <v>43</v>
      </c>
      <c r="GB2" s="2" t="s">
        <v>47</v>
      </c>
      <c r="GC2" s="2" t="s">
        <v>47</v>
      </c>
      <c r="GD2" s="2" t="s">
        <v>58</v>
      </c>
      <c r="GE2" s="2" t="s">
        <v>57</v>
      </c>
      <c r="GF2" s="2" t="s">
        <v>59</v>
      </c>
      <c r="GG2" s="2" t="s">
        <v>363</v>
      </c>
      <c r="GH2" s="2" t="s">
        <v>43</v>
      </c>
      <c r="GI2" s="2" t="s">
        <v>45</v>
      </c>
      <c r="GJ2" s="2" t="s">
        <v>45</v>
      </c>
      <c r="GK2" s="2" t="s">
        <v>58</v>
      </c>
      <c r="GL2" s="2" t="s">
        <v>58</v>
      </c>
      <c r="GM2" s="2" t="s">
        <v>60</v>
      </c>
      <c r="GN2" s="2" t="s">
        <v>369</v>
      </c>
      <c r="GO2" s="2" t="s">
        <v>43</v>
      </c>
      <c r="GP2" s="2" t="s">
        <v>47</v>
      </c>
      <c r="GQ2" s="2" t="s">
        <v>46</v>
      </c>
      <c r="GR2" s="2" t="s">
        <v>59</v>
      </c>
      <c r="GS2" s="2" t="s">
        <v>57</v>
      </c>
      <c r="GT2" s="2" t="s">
        <v>57</v>
      </c>
      <c r="GU2" s="2" t="s">
        <v>372</v>
      </c>
      <c r="GV2" s="2" t="s">
        <v>372</v>
      </c>
      <c r="GW2" s="2" t="s">
        <v>372</v>
      </c>
      <c r="GX2" s="2" t="s">
        <v>372</v>
      </c>
      <c r="GY2" s="2" t="s">
        <v>372</v>
      </c>
      <c r="GZ2" s="2" t="s">
        <v>372</v>
      </c>
      <c r="HA2" s="2" t="s">
        <v>372</v>
      </c>
      <c r="HB2" s="2" t="s">
        <v>39</v>
      </c>
      <c r="HC2" s="2" t="s">
        <v>349</v>
      </c>
      <c r="HD2" s="2" t="s">
        <v>43</v>
      </c>
      <c r="HE2" s="2" t="s">
        <v>47</v>
      </c>
      <c r="HF2" s="2" t="s">
        <v>47</v>
      </c>
      <c r="HG2" s="2" t="s">
        <v>59</v>
      </c>
      <c r="HH2" s="2" t="s">
        <v>59</v>
      </c>
      <c r="HI2" s="2" t="s">
        <v>58</v>
      </c>
      <c r="HJ2" s="2" t="s">
        <v>355</v>
      </c>
      <c r="HK2" s="2" t="s">
        <v>43</v>
      </c>
      <c r="HL2" s="2" t="s">
        <v>47</v>
      </c>
      <c r="HM2" s="2" t="s">
        <v>47</v>
      </c>
      <c r="HN2" s="2" t="s">
        <v>59</v>
      </c>
      <c r="HO2" s="2" t="s">
        <v>60</v>
      </c>
      <c r="HP2" s="2" t="s">
        <v>60</v>
      </c>
      <c r="HQ2" s="2" t="s">
        <v>361</v>
      </c>
      <c r="HR2" s="2" t="s">
        <v>44</v>
      </c>
      <c r="HS2" s="2" t="s">
        <v>47</v>
      </c>
      <c r="HT2" s="2" t="s">
        <v>47</v>
      </c>
      <c r="HU2" s="2" t="s">
        <v>59</v>
      </c>
      <c r="HV2" s="2" t="s">
        <v>60</v>
      </c>
      <c r="HW2" s="2" t="s">
        <v>57</v>
      </c>
      <c r="HX2" s="2" t="s">
        <v>367</v>
      </c>
      <c r="HY2" s="2" t="s">
        <v>43</v>
      </c>
      <c r="HZ2" s="2" t="s">
        <v>46</v>
      </c>
      <c r="IA2" s="2" t="s">
        <v>46</v>
      </c>
      <c r="IB2" s="2" t="s">
        <v>58</v>
      </c>
      <c r="IC2" s="2" t="s">
        <v>59</v>
      </c>
      <c r="ID2" s="2" t="s">
        <v>58</v>
      </c>
      <c r="IE2" s="2" t="s">
        <v>373</v>
      </c>
      <c r="IF2" s="2" t="s">
        <v>44</v>
      </c>
      <c r="IG2" s="2" t="s">
        <v>46</v>
      </c>
      <c r="IH2" s="2" t="s">
        <v>45</v>
      </c>
      <c r="II2" s="2" t="s">
        <v>58</v>
      </c>
      <c r="IJ2" s="2" t="s">
        <v>58</v>
      </c>
      <c r="IK2" s="2" t="s">
        <v>57</v>
      </c>
    </row>
    <row r="3" spans="1:245" x14ac:dyDescent="0.25">
      <c r="A3" s="2" t="s">
        <v>307</v>
      </c>
      <c r="B3" s="2" t="s">
        <v>337</v>
      </c>
      <c r="C3" s="2" t="s">
        <v>339</v>
      </c>
      <c r="D3" s="2" t="s">
        <v>43</v>
      </c>
      <c r="E3" s="2" t="s">
        <v>45</v>
      </c>
      <c r="F3" s="2" t="s">
        <v>45</v>
      </c>
      <c r="G3" s="2" t="s">
        <v>57</v>
      </c>
      <c r="H3" s="2" t="s">
        <v>58</v>
      </c>
      <c r="I3" s="2" t="s">
        <v>59</v>
      </c>
      <c r="J3" s="2" t="s">
        <v>340</v>
      </c>
      <c r="K3" s="2" t="s">
        <v>43</v>
      </c>
      <c r="L3" s="2" t="s">
        <v>46</v>
      </c>
      <c r="M3" s="2" t="s">
        <v>46</v>
      </c>
      <c r="N3" s="2" t="s">
        <v>58</v>
      </c>
      <c r="O3" s="2" t="s">
        <v>57</v>
      </c>
      <c r="P3" s="2" t="s">
        <v>58</v>
      </c>
      <c r="Q3" s="2" t="s">
        <v>341</v>
      </c>
      <c r="R3" s="2" t="s">
        <v>43</v>
      </c>
      <c r="S3" s="2" t="s">
        <v>47</v>
      </c>
      <c r="T3" s="2" t="s">
        <v>47</v>
      </c>
      <c r="U3" s="2" t="s">
        <v>58</v>
      </c>
      <c r="V3" s="2" t="s">
        <v>58</v>
      </c>
      <c r="W3" s="2" t="s">
        <v>58</v>
      </c>
      <c r="X3" s="2" t="s">
        <v>343</v>
      </c>
      <c r="Y3" s="2" t="s">
        <v>346</v>
      </c>
      <c r="Z3" s="2" t="s">
        <v>40</v>
      </c>
      <c r="AA3" s="2" t="s">
        <v>348</v>
      </c>
      <c r="AB3" s="2" t="s">
        <v>44</v>
      </c>
      <c r="AC3" s="2" t="s">
        <v>47</v>
      </c>
      <c r="AD3" s="2" t="s">
        <v>46</v>
      </c>
      <c r="AE3" s="2" t="s">
        <v>57</v>
      </c>
      <c r="AF3" s="2" t="s">
        <v>57</v>
      </c>
      <c r="AG3" s="2" t="s">
        <v>58</v>
      </c>
      <c r="AH3" s="2" t="s">
        <v>354</v>
      </c>
      <c r="AI3" s="2" t="s">
        <v>44</v>
      </c>
      <c r="AJ3" s="2" t="s">
        <v>45</v>
      </c>
      <c r="AK3" s="2" t="s">
        <v>45</v>
      </c>
      <c r="AL3" s="2" t="s">
        <v>59</v>
      </c>
      <c r="AM3" s="2" t="s">
        <v>57</v>
      </c>
      <c r="AN3" s="2" t="s">
        <v>60</v>
      </c>
      <c r="AO3" s="2" t="s">
        <v>360</v>
      </c>
      <c r="AP3" s="2" t="s">
        <v>44</v>
      </c>
      <c r="AQ3" s="2" t="s">
        <v>45</v>
      </c>
      <c r="AR3" s="2" t="s">
        <v>47</v>
      </c>
      <c r="AS3" s="2" t="s">
        <v>60</v>
      </c>
      <c r="AT3" s="2" t="s">
        <v>60</v>
      </c>
      <c r="AU3" s="2" t="s">
        <v>60</v>
      </c>
      <c r="AV3" s="2" t="s">
        <v>366</v>
      </c>
      <c r="AW3" s="2" t="s">
        <v>43</v>
      </c>
      <c r="AX3" s="2" t="s">
        <v>47</v>
      </c>
      <c r="AY3" s="2" t="s">
        <v>47</v>
      </c>
      <c r="AZ3" s="2" t="s">
        <v>60</v>
      </c>
      <c r="BA3" s="2" t="s">
        <v>60</v>
      </c>
      <c r="BB3" s="2" t="s">
        <v>60</v>
      </c>
      <c r="BC3" s="2" t="s">
        <v>372</v>
      </c>
      <c r="BD3" s="2" t="s">
        <v>372</v>
      </c>
      <c r="BE3" s="2" t="s">
        <v>372</v>
      </c>
      <c r="BF3" s="2" t="s">
        <v>372</v>
      </c>
      <c r="BG3" s="2" t="s">
        <v>372</v>
      </c>
      <c r="BH3" s="2" t="s">
        <v>372</v>
      </c>
      <c r="BI3" s="2" t="s">
        <v>372</v>
      </c>
      <c r="BJ3" s="2" t="s">
        <v>39</v>
      </c>
      <c r="BK3" s="2" t="s">
        <v>350</v>
      </c>
      <c r="BL3" s="2" t="s">
        <v>44</v>
      </c>
      <c r="BM3" s="2" t="s">
        <v>45</v>
      </c>
      <c r="BN3" s="2" t="s">
        <v>45</v>
      </c>
      <c r="BO3" s="2" t="s">
        <v>60</v>
      </c>
      <c r="BP3" s="2" t="s">
        <v>58</v>
      </c>
      <c r="BQ3" s="2" t="s">
        <v>57</v>
      </c>
      <c r="BR3" s="2" t="s">
        <v>356</v>
      </c>
      <c r="BS3" s="2" t="s">
        <v>43</v>
      </c>
      <c r="BT3" s="2" t="s">
        <v>46</v>
      </c>
      <c r="BU3" s="2" t="s">
        <v>46</v>
      </c>
      <c r="BV3" s="2" t="s">
        <v>60</v>
      </c>
      <c r="BW3" s="2" t="s">
        <v>57</v>
      </c>
      <c r="BX3" s="2" t="s">
        <v>60</v>
      </c>
      <c r="BY3" s="2" t="s">
        <v>362</v>
      </c>
      <c r="BZ3" s="2" t="s">
        <v>44</v>
      </c>
      <c r="CA3" s="2" t="s">
        <v>46</v>
      </c>
      <c r="CB3" s="2" t="s">
        <v>46</v>
      </c>
      <c r="CC3" s="2" t="s">
        <v>58</v>
      </c>
      <c r="CD3" s="2" t="s">
        <v>57</v>
      </c>
      <c r="CE3" s="2" t="s">
        <v>59</v>
      </c>
      <c r="CF3" s="2" t="s">
        <v>368</v>
      </c>
      <c r="CG3" s="2" t="s">
        <v>43</v>
      </c>
      <c r="CH3" s="2" t="s">
        <v>47</v>
      </c>
      <c r="CI3" s="2" t="s">
        <v>46</v>
      </c>
      <c r="CJ3" s="2" t="s">
        <v>58</v>
      </c>
      <c r="CK3" s="2" t="s">
        <v>58</v>
      </c>
      <c r="CL3" s="2" t="s">
        <v>59</v>
      </c>
      <c r="CM3" s="2" t="s">
        <v>374</v>
      </c>
      <c r="CN3" s="2" t="s">
        <v>43</v>
      </c>
      <c r="CO3" s="2" t="s">
        <v>45</v>
      </c>
      <c r="CP3" s="2" t="s">
        <v>45</v>
      </c>
      <c r="CQ3" s="2" t="s">
        <v>60</v>
      </c>
      <c r="CR3" s="2" t="s">
        <v>57</v>
      </c>
      <c r="CS3" s="2" t="s">
        <v>57</v>
      </c>
      <c r="CT3" s="2" t="s">
        <v>344</v>
      </c>
      <c r="CU3" s="2" t="s">
        <v>345</v>
      </c>
      <c r="CV3" s="2" t="s">
        <v>39</v>
      </c>
      <c r="CW3" s="2" t="s">
        <v>349</v>
      </c>
      <c r="CX3" s="2" t="s">
        <v>43</v>
      </c>
      <c r="CY3" s="2" t="s">
        <v>47</v>
      </c>
      <c r="CZ3" s="2" t="s">
        <v>47</v>
      </c>
      <c r="DA3" s="2" t="s">
        <v>59</v>
      </c>
      <c r="DB3" s="2" t="s">
        <v>59</v>
      </c>
      <c r="DC3" s="2" t="s">
        <v>58</v>
      </c>
      <c r="DD3" s="2" t="s">
        <v>355</v>
      </c>
      <c r="DE3" s="2" t="s">
        <v>43</v>
      </c>
      <c r="DF3" s="2" t="s">
        <v>47</v>
      </c>
      <c r="DG3" s="2" t="s">
        <v>46</v>
      </c>
      <c r="DH3" s="2" t="s">
        <v>59</v>
      </c>
      <c r="DI3" s="2" t="s">
        <v>60</v>
      </c>
      <c r="DJ3" s="2" t="s">
        <v>60</v>
      </c>
      <c r="DK3" s="2" t="s">
        <v>361</v>
      </c>
      <c r="DL3" s="2" t="s">
        <v>44</v>
      </c>
      <c r="DM3" s="2" t="s">
        <v>47</v>
      </c>
      <c r="DN3" s="2" t="s">
        <v>47</v>
      </c>
      <c r="DO3" s="2" t="s">
        <v>59</v>
      </c>
      <c r="DP3" s="2" t="s">
        <v>60</v>
      </c>
      <c r="DQ3" s="2" t="s">
        <v>57</v>
      </c>
      <c r="DR3" s="2" t="s">
        <v>367</v>
      </c>
      <c r="DS3" s="2" t="s">
        <v>43</v>
      </c>
      <c r="DT3" s="2" t="s">
        <v>46</v>
      </c>
      <c r="DU3" s="2" t="s">
        <v>46</v>
      </c>
      <c r="DV3" s="2" t="s">
        <v>58</v>
      </c>
      <c r="DW3" s="2" t="s">
        <v>59</v>
      </c>
      <c r="DX3" s="2" t="s">
        <v>58</v>
      </c>
      <c r="DY3" s="2" t="s">
        <v>373</v>
      </c>
      <c r="DZ3" s="2" t="s">
        <v>44</v>
      </c>
      <c r="EA3" s="2" t="s">
        <v>46</v>
      </c>
      <c r="EB3" s="2" t="s">
        <v>46</v>
      </c>
      <c r="EC3" s="2" t="s">
        <v>58</v>
      </c>
      <c r="ED3" s="2" t="s">
        <v>58</v>
      </c>
      <c r="EE3" s="2" t="s">
        <v>57</v>
      </c>
      <c r="EF3" s="2" t="s">
        <v>40</v>
      </c>
      <c r="EG3" s="2" t="s">
        <v>351</v>
      </c>
      <c r="EH3" s="2" t="s">
        <v>44</v>
      </c>
      <c r="EI3" s="2" t="s">
        <v>45</v>
      </c>
      <c r="EJ3" s="2" t="s">
        <v>45</v>
      </c>
      <c r="EK3" s="2" t="s">
        <v>57</v>
      </c>
      <c r="EL3" s="2" t="s">
        <v>58</v>
      </c>
      <c r="EM3" s="2" t="s">
        <v>60</v>
      </c>
      <c r="EN3" s="2" t="s">
        <v>357</v>
      </c>
      <c r="EO3" s="2" t="s">
        <v>43</v>
      </c>
      <c r="EP3" s="2" t="s">
        <v>47</v>
      </c>
      <c r="EQ3" s="2" t="s">
        <v>46</v>
      </c>
      <c r="ER3" s="2" t="s">
        <v>58</v>
      </c>
      <c r="ES3" s="2" t="s">
        <v>57</v>
      </c>
      <c r="ET3" s="2" t="s">
        <v>59</v>
      </c>
      <c r="EU3" s="2" t="s">
        <v>363</v>
      </c>
      <c r="EV3" s="2" t="s">
        <v>43</v>
      </c>
      <c r="EW3" s="2" t="s">
        <v>45</v>
      </c>
      <c r="EX3" s="2" t="s">
        <v>45</v>
      </c>
      <c r="EY3" s="2" t="s">
        <v>58</v>
      </c>
      <c r="EZ3" s="2" t="s">
        <v>58</v>
      </c>
      <c r="FA3" s="2" t="s">
        <v>60</v>
      </c>
      <c r="FB3" s="2" t="s">
        <v>369</v>
      </c>
      <c r="FC3" s="2" t="s">
        <v>43</v>
      </c>
      <c r="FD3" s="2" t="s">
        <v>47</v>
      </c>
      <c r="FE3" s="2" t="s">
        <v>46</v>
      </c>
      <c r="FF3" s="2" t="s">
        <v>59</v>
      </c>
      <c r="FG3" s="2" t="s">
        <v>57</v>
      </c>
      <c r="FH3" s="2" t="s">
        <v>57</v>
      </c>
      <c r="FI3" s="2" t="s">
        <v>372</v>
      </c>
      <c r="FJ3" s="2" t="s">
        <v>372</v>
      </c>
      <c r="FK3" s="2" t="s">
        <v>372</v>
      </c>
      <c r="FL3" s="2" t="s">
        <v>372</v>
      </c>
      <c r="FM3" s="2" t="s">
        <v>372</v>
      </c>
      <c r="FN3" s="2" t="s">
        <v>372</v>
      </c>
      <c r="FO3" s="2" t="s">
        <v>372</v>
      </c>
      <c r="FP3" s="2" t="s">
        <v>342</v>
      </c>
      <c r="FQ3" s="2" t="s">
        <v>345</v>
      </c>
      <c r="FR3" s="2" t="s">
        <v>39</v>
      </c>
      <c r="FS3" s="2" t="s">
        <v>347</v>
      </c>
      <c r="FT3" s="2" t="s">
        <v>44</v>
      </c>
      <c r="FU3" s="2" t="s">
        <v>47</v>
      </c>
      <c r="FV3" s="2" t="s">
        <v>47</v>
      </c>
      <c r="FW3" s="2" t="s">
        <v>60</v>
      </c>
      <c r="FX3" s="2" t="s">
        <v>59</v>
      </c>
      <c r="FY3" s="2" t="s">
        <v>58</v>
      </c>
      <c r="FZ3" s="2" t="s">
        <v>353</v>
      </c>
      <c r="GA3" s="2" t="s">
        <v>44</v>
      </c>
      <c r="GB3" s="2" t="s">
        <v>47</v>
      </c>
      <c r="GC3" s="2" t="s">
        <v>47</v>
      </c>
      <c r="GD3" s="2" t="s">
        <v>59</v>
      </c>
      <c r="GE3" s="2" t="s">
        <v>58</v>
      </c>
      <c r="GF3" s="2" t="s">
        <v>59</v>
      </c>
      <c r="GG3" s="2" t="s">
        <v>359</v>
      </c>
      <c r="GH3" s="2" t="s">
        <v>43</v>
      </c>
      <c r="GI3" s="2" t="s">
        <v>47</v>
      </c>
      <c r="GJ3" s="2" t="s">
        <v>46</v>
      </c>
      <c r="GK3" s="2" t="s">
        <v>60</v>
      </c>
      <c r="GL3" s="2" t="s">
        <v>57</v>
      </c>
      <c r="GM3" s="2" t="s">
        <v>59</v>
      </c>
      <c r="GN3" s="2" t="s">
        <v>365</v>
      </c>
      <c r="GO3" s="2" t="s">
        <v>44</v>
      </c>
      <c r="GP3" s="2" t="s">
        <v>46</v>
      </c>
      <c r="GQ3" s="2" t="s">
        <v>46</v>
      </c>
      <c r="GR3" s="2" t="s">
        <v>58</v>
      </c>
      <c r="GS3" s="2" t="s">
        <v>58</v>
      </c>
      <c r="GT3" s="2" t="s">
        <v>59</v>
      </c>
      <c r="GU3" s="2" t="s">
        <v>371</v>
      </c>
      <c r="GV3" s="2" t="s">
        <v>43</v>
      </c>
      <c r="GW3" s="2" t="s">
        <v>46</v>
      </c>
      <c r="GX3" s="2" t="s">
        <v>46</v>
      </c>
      <c r="GY3" s="2" t="s">
        <v>57</v>
      </c>
      <c r="GZ3" s="2" t="s">
        <v>60</v>
      </c>
      <c r="HA3" s="2" t="s">
        <v>59</v>
      </c>
      <c r="HB3" s="2" t="s">
        <v>40</v>
      </c>
      <c r="HC3" s="2" t="s">
        <v>352</v>
      </c>
      <c r="HD3" s="2" t="s">
        <v>44</v>
      </c>
      <c r="HE3" s="2" t="s">
        <v>45</v>
      </c>
      <c r="HF3" s="2" t="s">
        <v>47</v>
      </c>
      <c r="HG3" s="2" t="s">
        <v>57</v>
      </c>
      <c r="HH3" s="2" t="s">
        <v>58</v>
      </c>
      <c r="HI3" s="2" t="s">
        <v>58</v>
      </c>
      <c r="HJ3" s="2" t="s">
        <v>358</v>
      </c>
      <c r="HK3" s="2" t="s">
        <v>43</v>
      </c>
      <c r="HL3" s="2" t="s">
        <v>47</v>
      </c>
      <c r="HM3" s="2" t="s">
        <v>47</v>
      </c>
      <c r="HN3" s="2" t="s">
        <v>57</v>
      </c>
      <c r="HO3" s="2" t="s">
        <v>60</v>
      </c>
      <c r="HP3" s="2" t="s">
        <v>59</v>
      </c>
      <c r="HQ3" s="2" t="s">
        <v>364</v>
      </c>
      <c r="HR3" s="2" t="s">
        <v>43</v>
      </c>
      <c r="HS3" s="2" t="s">
        <v>45</v>
      </c>
      <c r="HT3" s="2" t="s">
        <v>47</v>
      </c>
      <c r="HU3" s="2" t="s">
        <v>60</v>
      </c>
      <c r="HV3" s="2" t="s">
        <v>57</v>
      </c>
      <c r="HW3" s="2" t="s">
        <v>58</v>
      </c>
      <c r="HX3" s="2" t="s">
        <v>370</v>
      </c>
      <c r="HY3" s="2" t="s">
        <v>44</v>
      </c>
      <c r="HZ3" s="2" t="s">
        <v>46</v>
      </c>
      <c r="IA3" s="2" t="s">
        <v>46</v>
      </c>
      <c r="IB3" s="2" t="s">
        <v>60</v>
      </c>
      <c r="IC3" s="2" t="s">
        <v>59</v>
      </c>
      <c r="ID3" s="2" t="s">
        <v>60</v>
      </c>
      <c r="IE3" s="2" t="s">
        <v>372</v>
      </c>
      <c r="IF3" s="2" t="s">
        <v>372</v>
      </c>
      <c r="IG3" s="2" t="s">
        <v>372</v>
      </c>
      <c r="IH3" s="2" t="s">
        <v>372</v>
      </c>
      <c r="II3" s="2" t="s">
        <v>372</v>
      </c>
      <c r="IJ3" s="2" t="s">
        <v>372</v>
      </c>
      <c r="IK3" s="2" t="s">
        <v>372</v>
      </c>
    </row>
    <row r="4" spans="1:245" x14ac:dyDescent="0.25">
      <c r="A4" s="2" t="s">
        <v>308</v>
      </c>
      <c r="B4" s="2" t="s">
        <v>338</v>
      </c>
      <c r="C4" s="2" t="s">
        <v>339</v>
      </c>
      <c r="D4" s="2" t="s">
        <v>43</v>
      </c>
      <c r="E4" s="2" t="s">
        <v>45</v>
      </c>
      <c r="F4" s="2" t="s">
        <v>45</v>
      </c>
      <c r="G4" s="2" t="s">
        <v>57</v>
      </c>
      <c r="H4" s="2" t="s">
        <v>58</v>
      </c>
      <c r="I4" s="2" t="s">
        <v>59</v>
      </c>
      <c r="J4" s="2" t="s">
        <v>340</v>
      </c>
      <c r="K4" s="2" t="s">
        <v>43</v>
      </c>
      <c r="L4" s="2" t="s">
        <v>46</v>
      </c>
      <c r="M4" s="2" t="s">
        <v>46</v>
      </c>
      <c r="N4" s="2" t="s">
        <v>58</v>
      </c>
      <c r="O4" s="2" t="s">
        <v>57</v>
      </c>
      <c r="P4" s="2" t="s">
        <v>58</v>
      </c>
      <c r="Q4" s="2" t="s">
        <v>341</v>
      </c>
      <c r="R4" s="2" t="s">
        <v>43</v>
      </c>
      <c r="S4" s="2" t="s">
        <v>47</v>
      </c>
      <c r="T4" s="2" t="s">
        <v>47</v>
      </c>
      <c r="U4" s="2" t="s">
        <v>58</v>
      </c>
      <c r="V4" s="2" t="s">
        <v>58</v>
      </c>
      <c r="W4" s="2" t="s">
        <v>58</v>
      </c>
      <c r="X4" s="2" t="s">
        <v>344</v>
      </c>
      <c r="Y4" s="2" t="s">
        <v>345</v>
      </c>
      <c r="Z4" s="2" t="s">
        <v>39</v>
      </c>
      <c r="AA4" s="2" t="s">
        <v>349</v>
      </c>
      <c r="AB4" s="2" t="s">
        <v>43</v>
      </c>
      <c r="AC4" s="2" t="s">
        <v>47</v>
      </c>
      <c r="AD4" s="2" t="s">
        <v>47</v>
      </c>
      <c r="AE4" s="2" t="s">
        <v>59</v>
      </c>
      <c r="AF4" s="2" t="s">
        <v>59</v>
      </c>
      <c r="AG4" s="2" t="s">
        <v>58</v>
      </c>
      <c r="AH4" s="2" t="s">
        <v>355</v>
      </c>
      <c r="AI4" s="2" t="s">
        <v>43</v>
      </c>
      <c r="AJ4" s="2" t="s">
        <v>47</v>
      </c>
      <c r="AK4" s="2" t="s">
        <v>47</v>
      </c>
      <c r="AL4" s="2" t="s">
        <v>59</v>
      </c>
      <c r="AM4" s="2" t="s">
        <v>60</v>
      </c>
      <c r="AN4" s="2" t="s">
        <v>60</v>
      </c>
      <c r="AO4" s="2" t="s">
        <v>361</v>
      </c>
      <c r="AP4" s="2" t="s">
        <v>44</v>
      </c>
      <c r="AQ4" s="2" t="s">
        <v>47</v>
      </c>
      <c r="AR4" s="2" t="s">
        <v>47</v>
      </c>
      <c r="AS4" s="2" t="s">
        <v>59</v>
      </c>
      <c r="AT4" s="2" t="s">
        <v>60</v>
      </c>
      <c r="AU4" s="2" t="s">
        <v>57</v>
      </c>
      <c r="AV4" s="2" t="s">
        <v>367</v>
      </c>
      <c r="AW4" s="2" t="s">
        <v>43</v>
      </c>
      <c r="AX4" s="2" t="s">
        <v>46</v>
      </c>
      <c r="AY4" s="2" t="s">
        <v>46</v>
      </c>
      <c r="AZ4" s="2" t="s">
        <v>58</v>
      </c>
      <c r="BA4" s="2" t="s">
        <v>59</v>
      </c>
      <c r="BB4" s="2" t="s">
        <v>58</v>
      </c>
      <c r="BC4" s="2" t="s">
        <v>373</v>
      </c>
      <c r="BD4" s="2" t="s">
        <v>44</v>
      </c>
      <c r="BE4" s="2" t="s">
        <v>46</v>
      </c>
      <c r="BF4" s="2" t="s">
        <v>45</v>
      </c>
      <c r="BG4" s="2" t="s">
        <v>58</v>
      </c>
      <c r="BH4" s="2" t="s">
        <v>58</v>
      </c>
      <c r="BI4" s="2" t="s">
        <v>57</v>
      </c>
      <c r="BJ4" s="2" t="s">
        <v>40</v>
      </c>
      <c r="BK4" s="2" t="s">
        <v>351</v>
      </c>
      <c r="BL4" s="2" t="s">
        <v>44</v>
      </c>
      <c r="BM4" s="2" t="s">
        <v>45</v>
      </c>
      <c r="BN4" s="2" t="s">
        <v>45</v>
      </c>
      <c r="BO4" s="2" t="s">
        <v>57</v>
      </c>
      <c r="BP4" s="2" t="s">
        <v>58</v>
      </c>
      <c r="BQ4" s="2" t="s">
        <v>60</v>
      </c>
      <c r="BR4" s="2" t="s">
        <v>357</v>
      </c>
      <c r="BS4" s="2" t="s">
        <v>43</v>
      </c>
      <c r="BT4" s="2" t="s">
        <v>47</v>
      </c>
      <c r="BU4" s="2" t="s">
        <v>46</v>
      </c>
      <c r="BV4" s="2" t="s">
        <v>58</v>
      </c>
      <c r="BW4" s="2" t="s">
        <v>57</v>
      </c>
      <c r="BX4" s="2" t="s">
        <v>59</v>
      </c>
      <c r="BY4" s="2" t="s">
        <v>363</v>
      </c>
      <c r="BZ4" s="2" t="s">
        <v>43</v>
      </c>
      <c r="CA4" s="2" t="s">
        <v>45</v>
      </c>
      <c r="CB4" s="2" t="s">
        <v>47</v>
      </c>
      <c r="CC4" s="2" t="s">
        <v>58</v>
      </c>
      <c r="CD4" s="2" t="s">
        <v>58</v>
      </c>
      <c r="CE4" s="2" t="s">
        <v>60</v>
      </c>
      <c r="CF4" s="2" t="s">
        <v>369</v>
      </c>
      <c r="CG4" s="2" t="s">
        <v>43</v>
      </c>
      <c r="CH4" s="2" t="s">
        <v>47</v>
      </c>
      <c r="CI4" s="2" t="s">
        <v>47</v>
      </c>
      <c r="CJ4" s="2" t="s">
        <v>59</v>
      </c>
      <c r="CK4" s="2" t="s">
        <v>57</v>
      </c>
      <c r="CL4" s="2" t="s">
        <v>57</v>
      </c>
      <c r="CM4" s="2" t="s">
        <v>372</v>
      </c>
      <c r="CN4" s="2" t="s">
        <v>372</v>
      </c>
      <c r="CO4" s="2" t="s">
        <v>372</v>
      </c>
      <c r="CP4" s="2" t="s">
        <v>372</v>
      </c>
      <c r="CQ4" s="2" t="s">
        <v>372</v>
      </c>
      <c r="CR4" s="2" t="s">
        <v>372</v>
      </c>
      <c r="CS4" s="2" t="s">
        <v>372</v>
      </c>
      <c r="CT4" s="2" t="s">
        <v>342</v>
      </c>
      <c r="CU4" s="2" t="s">
        <v>345</v>
      </c>
      <c r="CV4" s="2" t="s">
        <v>39</v>
      </c>
      <c r="CW4" s="2" t="s">
        <v>347</v>
      </c>
      <c r="CX4" s="2" t="s">
        <v>44</v>
      </c>
      <c r="CY4" s="2" t="s">
        <v>47</v>
      </c>
      <c r="CZ4" s="2" t="s">
        <v>47</v>
      </c>
      <c r="DA4" s="2" t="s">
        <v>60</v>
      </c>
      <c r="DB4" s="2" t="s">
        <v>59</v>
      </c>
      <c r="DC4" s="2" t="s">
        <v>58</v>
      </c>
      <c r="DD4" s="2" t="s">
        <v>353</v>
      </c>
      <c r="DE4" s="2" t="s">
        <v>44</v>
      </c>
      <c r="DF4" s="2" t="s">
        <v>47</v>
      </c>
      <c r="DG4" s="2" t="s">
        <v>47</v>
      </c>
      <c r="DH4" s="2" t="s">
        <v>59</v>
      </c>
      <c r="DI4" s="2" t="s">
        <v>58</v>
      </c>
      <c r="DJ4" s="2" t="s">
        <v>59</v>
      </c>
      <c r="DK4" s="2" t="s">
        <v>359</v>
      </c>
      <c r="DL4" s="2" t="s">
        <v>43</v>
      </c>
      <c r="DM4" s="2" t="s">
        <v>47</v>
      </c>
      <c r="DN4" s="2" t="s">
        <v>46</v>
      </c>
      <c r="DO4" s="2" t="s">
        <v>60</v>
      </c>
      <c r="DP4" s="2" t="s">
        <v>57</v>
      </c>
      <c r="DQ4" s="2" t="s">
        <v>59</v>
      </c>
      <c r="DR4" s="2" t="s">
        <v>365</v>
      </c>
      <c r="DS4" s="2" t="s">
        <v>44</v>
      </c>
      <c r="DT4" s="2" t="s">
        <v>46</v>
      </c>
      <c r="DU4" s="2" t="s">
        <v>46</v>
      </c>
      <c r="DV4" s="2" t="s">
        <v>58</v>
      </c>
      <c r="DW4" s="2" t="s">
        <v>58</v>
      </c>
      <c r="DX4" s="2" t="s">
        <v>59</v>
      </c>
      <c r="DY4" s="2" t="s">
        <v>371</v>
      </c>
      <c r="DZ4" s="2" t="s">
        <v>43</v>
      </c>
      <c r="EA4" s="2" t="s">
        <v>46</v>
      </c>
      <c r="EB4" s="2" t="s">
        <v>46</v>
      </c>
      <c r="EC4" s="2" t="s">
        <v>57</v>
      </c>
      <c r="ED4" s="2" t="s">
        <v>60</v>
      </c>
      <c r="EE4" s="2" t="s">
        <v>59</v>
      </c>
      <c r="EF4" s="2" t="s">
        <v>40</v>
      </c>
      <c r="EG4" s="2" t="s">
        <v>352</v>
      </c>
      <c r="EH4" s="2" t="s">
        <v>44</v>
      </c>
      <c r="EI4" s="2" t="s">
        <v>45</v>
      </c>
      <c r="EJ4" s="2" t="s">
        <v>45</v>
      </c>
      <c r="EK4" s="2" t="s">
        <v>57</v>
      </c>
      <c r="EL4" s="2" t="s">
        <v>58</v>
      </c>
      <c r="EM4" s="2" t="s">
        <v>58</v>
      </c>
      <c r="EN4" s="2" t="s">
        <v>358</v>
      </c>
      <c r="EO4" s="2" t="s">
        <v>43</v>
      </c>
      <c r="EP4" s="2" t="s">
        <v>47</v>
      </c>
      <c r="EQ4" s="2" t="s">
        <v>47</v>
      </c>
      <c r="ER4" s="2" t="s">
        <v>57</v>
      </c>
      <c r="ES4" s="2" t="s">
        <v>60</v>
      </c>
      <c r="ET4" s="2" t="s">
        <v>59</v>
      </c>
      <c r="EU4" s="2" t="s">
        <v>364</v>
      </c>
      <c r="EV4" s="2" t="s">
        <v>43</v>
      </c>
      <c r="EW4" s="2" t="s">
        <v>45</v>
      </c>
      <c r="EX4" s="2" t="s">
        <v>47</v>
      </c>
      <c r="EY4" s="2" t="s">
        <v>60</v>
      </c>
      <c r="EZ4" s="2" t="s">
        <v>57</v>
      </c>
      <c r="FA4" s="2" t="s">
        <v>58</v>
      </c>
      <c r="FB4" s="2" t="s">
        <v>370</v>
      </c>
      <c r="FC4" s="2" t="s">
        <v>44</v>
      </c>
      <c r="FD4" s="2" t="s">
        <v>46</v>
      </c>
      <c r="FE4" s="2" t="s">
        <v>45</v>
      </c>
      <c r="FF4" s="2" t="s">
        <v>60</v>
      </c>
      <c r="FG4" s="2" t="s">
        <v>59</v>
      </c>
      <c r="FH4" s="2" t="s">
        <v>60</v>
      </c>
      <c r="FI4" s="2" t="s">
        <v>372</v>
      </c>
      <c r="FJ4" s="2" t="s">
        <v>372</v>
      </c>
      <c r="FK4" s="2" t="s">
        <v>372</v>
      </c>
      <c r="FL4" s="2" t="s">
        <v>372</v>
      </c>
      <c r="FM4" s="2" t="s">
        <v>372</v>
      </c>
      <c r="FN4" s="2" t="s">
        <v>372</v>
      </c>
      <c r="FO4" s="2" t="s">
        <v>372</v>
      </c>
      <c r="FP4" s="2" t="s">
        <v>343</v>
      </c>
      <c r="FQ4" s="2" t="s">
        <v>345</v>
      </c>
      <c r="FR4" s="2" t="s">
        <v>39</v>
      </c>
      <c r="FS4" s="2" t="s">
        <v>350</v>
      </c>
      <c r="FT4" s="2" t="s">
        <v>44</v>
      </c>
      <c r="FU4" s="2" t="s">
        <v>45</v>
      </c>
      <c r="FV4" s="2" t="s">
        <v>45</v>
      </c>
      <c r="FW4" s="2" t="s">
        <v>60</v>
      </c>
      <c r="FX4" s="2" t="s">
        <v>58</v>
      </c>
      <c r="FY4" s="2" t="s">
        <v>57</v>
      </c>
      <c r="FZ4" s="2" t="s">
        <v>356</v>
      </c>
      <c r="GA4" s="2" t="s">
        <v>43</v>
      </c>
      <c r="GB4" s="2" t="s">
        <v>46</v>
      </c>
      <c r="GC4" s="2" t="s">
        <v>46</v>
      </c>
      <c r="GD4" s="2" t="s">
        <v>60</v>
      </c>
      <c r="GE4" s="2" t="s">
        <v>57</v>
      </c>
      <c r="GF4" s="2" t="s">
        <v>60</v>
      </c>
      <c r="GG4" s="2" t="s">
        <v>362</v>
      </c>
      <c r="GH4" s="2" t="s">
        <v>44</v>
      </c>
      <c r="GI4" s="2" t="s">
        <v>46</v>
      </c>
      <c r="GJ4" s="2" t="s">
        <v>45</v>
      </c>
      <c r="GK4" s="2" t="s">
        <v>58</v>
      </c>
      <c r="GL4" s="2" t="s">
        <v>57</v>
      </c>
      <c r="GM4" s="2" t="s">
        <v>59</v>
      </c>
      <c r="GN4" s="2" t="s">
        <v>368</v>
      </c>
      <c r="GO4" s="2" t="s">
        <v>43</v>
      </c>
      <c r="GP4" s="2" t="s">
        <v>47</v>
      </c>
      <c r="GQ4" s="2" t="s">
        <v>47</v>
      </c>
      <c r="GR4" s="2" t="s">
        <v>58</v>
      </c>
      <c r="GS4" s="2" t="s">
        <v>58</v>
      </c>
      <c r="GT4" s="2" t="s">
        <v>59</v>
      </c>
      <c r="GU4" s="2" t="s">
        <v>374</v>
      </c>
      <c r="GV4" s="2" t="s">
        <v>43</v>
      </c>
      <c r="GW4" s="2" t="s">
        <v>45</v>
      </c>
      <c r="GX4" s="2" t="s">
        <v>45</v>
      </c>
      <c r="GY4" s="2" t="s">
        <v>60</v>
      </c>
      <c r="GZ4" s="2" t="s">
        <v>57</v>
      </c>
      <c r="HA4" s="2" t="s">
        <v>57</v>
      </c>
      <c r="HB4" s="2" t="s">
        <v>40</v>
      </c>
      <c r="HC4" s="2" t="s">
        <v>348</v>
      </c>
      <c r="HD4" s="2" t="s">
        <v>44</v>
      </c>
      <c r="HE4" s="2" t="s">
        <v>47</v>
      </c>
      <c r="HF4" s="2" t="s">
        <v>46</v>
      </c>
      <c r="HG4" s="2" t="s">
        <v>57</v>
      </c>
      <c r="HH4" s="2" t="s">
        <v>57</v>
      </c>
      <c r="HI4" s="2" t="s">
        <v>58</v>
      </c>
      <c r="HJ4" s="2" t="s">
        <v>354</v>
      </c>
      <c r="HK4" s="2" t="s">
        <v>44</v>
      </c>
      <c r="HL4" s="2" t="s">
        <v>45</v>
      </c>
      <c r="HM4" s="2" t="s">
        <v>45</v>
      </c>
      <c r="HN4" s="2" t="s">
        <v>59</v>
      </c>
      <c r="HO4" s="2" t="s">
        <v>57</v>
      </c>
      <c r="HP4" s="2" t="s">
        <v>60</v>
      </c>
      <c r="HQ4" s="2" t="s">
        <v>360</v>
      </c>
      <c r="HR4" s="2" t="s">
        <v>44</v>
      </c>
      <c r="HS4" s="2" t="s">
        <v>45</v>
      </c>
      <c r="HT4" s="2" t="s">
        <v>45</v>
      </c>
      <c r="HU4" s="2" t="s">
        <v>60</v>
      </c>
      <c r="HV4" s="2" t="s">
        <v>60</v>
      </c>
      <c r="HW4" s="2" t="s">
        <v>60</v>
      </c>
      <c r="HX4" s="2" t="s">
        <v>366</v>
      </c>
      <c r="HY4" s="2" t="s">
        <v>43</v>
      </c>
      <c r="HZ4" s="2" t="s">
        <v>47</v>
      </c>
      <c r="IA4" s="2" t="s">
        <v>46</v>
      </c>
      <c r="IB4" s="2" t="s">
        <v>60</v>
      </c>
      <c r="IC4" s="2" t="s">
        <v>60</v>
      </c>
      <c r="ID4" s="2" t="s">
        <v>60</v>
      </c>
      <c r="IE4" s="2" t="s">
        <v>372</v>
      </c>
      <c r="IF4" s="2" t="s">
        <v>372</v>
      </c>
      <c r="IG4" s="2" t="s">
        <v>372</v>
      </c>
      <c r="IH4" s="2" t="s">
        <v>372</v>
      </c>
      <c r="II4" s="2" t="s">
        <v>372</v>
      </c>
      <c r="IJ4" s="2" t="s">
        <v>372</v>
      </c>
      <c r="IK4" s="2" t="s">
        <v>372</v>
      </c>
    </row>
    <row r="5" spans="1:245" x14ac:dyDescent="0.25">
      <c r="A5" s="2" t="s">
        <v>309</v>
      </c>
      <c r="B5" s="2" t="s">
        <v>336</v>
      </c>
      <c r="C5" s="2" t="s">
        <v>339</v>
      </c>
      <c r="D5" s="2" t="s">
        <v>43</v>
      </c>
      <c r="E5" s="2" t="s">
        <v>45</v>
      </c>
      <c r="F5" s="2" t="s">
        <v>45</v>
      </c>
      <c r="G5" s="2" t="s">
        <v>57</v>
      </c>
      <c r="H5" s="2" t="s">
        <v>58</v>
      </c>
      <c r="I5" s="2" t="s">
        <v>59</v>
      </c>
      <c r="J5" s="2" t="s">
        <v>340</v>
      </c>
      <c r="K5" s="2" t="s">
        <v>43</v>
      </c>
      <c r="L5" s="2" t="s">
        <v>46</v>
      </c>
      <c r="M5" s="2" t="s">
        <v>46</v>
      </c>
      <c r="N5" s="2" t="s">
        <v>58</v>
      </c>
      <c r="O5" s="2" t="s">
        <v>57</v>
      </c>
      <c r="P5" s="2" t="s">
        <v>58</v>
      </c>
      <c r="Q5" s="2" t="s">
        <v>341</v>
      </c>
      <c r="R5" s="2" t="s">
        <v>43</v>
      </c>
      <c r="S5" s="2" t="s">
        <v>47</v>
      </c>
      <c r="T5" s="2" t="s">
        <v>47</v>
      </c>
      <c r="U5" s="2" t="s">
        <v>58</v>
      </c>
      <c r="V5" s="2" t="s">
        <v>58</v>
      </c>
      <c r="W5" s="2" t="s">
        <v>58</v>
      </c>
      <c r="X5" s="2" t="s">
        <v>342</v>
      </c>
      <c r="Y5" s="2" t="s">
        <v>345</v>
      </c>
      <c r="Z5" s="2" t="s">
        <v>39</v>
      </c>
      <c r="AA5" s="2" t="s">
        <v>347</v>
      </c>
      <c r="AB5" s="2" t="s">
        <v>44</v>
      </c>
      <c r="AC5" s="2" t="s">
        <v>47</v>
      </c>
      <c r="AD5" s="2" t="s">
        <v>47</v>
      </c>
      <c r="AE5" s="2" t="s">
        <v>60</v>
      </c>
      <c r="AF5" s="2" t="s">
        <v>59</v>
      </c>
      <c r="AG5" s="2" t="s">
        <v>58</v>
      </c>
      <c r="AH5" s="2" t="s">
        <v>353</v>
      </c>
      <c r="AI5" s="2" t="s">
        <v>44</v>
      </c>
      <c r="AJ5" s="2" t="s">
        <v>47</v>
      </c>
      <c r="AK5" s="2" t="s">
        <v>46</v>
      </c>
      <c r="AL5" s="2" t="s">
        <v>59</v>
      </c>
      <c r="AM5" s="2" t="s">
        <v>58</v>
      </c>
      <c r="AN5" s="2" t="s">
        <v>59</v>
      </c>
      <c r="AO5" s="2" t="s">
        <v>359</v>
      </c>
      <c r="AP5" s="2" t="s">
        <v>43</v>
      </c>
      <c r="AQ5" s="2" t="s">
        <v>47</v>
      </c>
      <c r="AR5" s="2" t="s">
        <v>47</v>
      </c>
      <c r="AS5" s="2" t="s">
        <v>60</v>
      </c>
      <c r="AT5" s="2" t="s">
        <v>57</v>
      </c>
      <c r="AU5" s="2" t="s">
        <v>59</v>
      </c>
      <c r="AV5" s="2" t="s">
        <v>365</v>
      </c>
      <c r="AW5" s="2" t="s">
        <v>44</v>
      </c>
      <c r="AX5" s="2" t="s">
        <v>46</v>
      </c>
      <c r="AY5" s="2" t="s">
        <v>46</v>
      </c>
      <c r="AZ5" s="2" t="s">
        <v>58</v>
      </c>
      <c r="BA5" s="2" t="s">
        <v>58</v>
      </c>
      <c r="BB5" s="2" t="s">
        <v>59</v>
      </c>
      <c r="BC5" s="2" t="s">
        <v>371</v>
      </c>
      <c r="BD5" s="2" t="s">
        <v>43</v>
      </c>
      <c r="BE5" s="2" t="s">
        <v>46</v>
      </c>
      <c r="BF5" s="2" t="s">
        <v>46</v>
      </c>
      <c r="BG5" s="2" t="s">
        <v>57</v>
      </c>
      <c r="BH5" s="2" t="s">
        <v>60</v>
      </c>
      <c r="BI5" s="2" t="s">
        <v>59</v>
      </c>
      <c r="BJ5" s="2" t="s">
        <v>40</v>
      </c>
      <c r="BK5" s="2" t="s">
        <v>352</v>
      </c>
      <c r="BL5" s="2" t="s">
        <v>44</v>
      </c>
      <c r="BM5" s="2" t="s">
        <v>45</v>
      </c>
      <c r="BN5" s="2" t="s">
        <v>47</v>
      </c>
      <c r="BO5" s="2" t="s">
        <v>57</v>
      </c>
      <c r="BP5" s="2" t="s">
        <v>58</v>
      </c>
      <c r="BQ5" s="2" t="s">
        <v>58</v>
      </c>
      <c r="BR5" s="2" t="s">
        <v>358</v>
      </c>
      <c r="BS5" s="2" t="s">
        <v>43</v>
      </c>
      <c r="BT5" s="2" t="s">
        <v>47</v>
      </c>
      <c r="BU5" s="2" t="s">
        <v>47</v>
      </c>
      <c r="BV5" s="2" t="s">
        <v>57</v>
      </c>
      <c r="BW5" s="2" t="s">
        <v>60</v>
      </c>
      <c r="BX5" s="2" t="s">
        <v>59</v>
      </c>
      <c r="BY5" s="2" t="s">
        <v>364</v>
      </c>
      <c r="BZ5" s="2" t="s">
        <v>43</v>
      </c>
      <c r="CA5" s="2" t="s">
        <v>45</v>
      </c>
      <c r="CB5" s="2" t="s">
        <v>45</v>
      </c>
      <c r="CC5" s="2" t="s">
        <v>60</v>
      </c>
      <c r="CD5" s="2" t="s">
        <v>57</v>
      </c>
      <c r="CE5" s="2" t="s">
        <v>58</v>
      </c>
      <c r="CF5" s="2" t="s">
        <v>370</v>
      </c>
      <c r="CG5" s="2" t="s">
        <v>44</v>
      </c>
      <c r="CH5" s="2" t="s">
        <v>46</v>
      </c>
      <c r="CI5" s="2" t="s">
        <v>45</v>
      </c>
      <c r="CJ5" s="2" t="s">
        <v>60</v>
      </c>
      <c r="CK5" s="2" t="s">
        <v>59</v>
      </c>
      <c r="CL5" s="2" t="s">
        <v>60</v>
      </c>
      <c r="CM5" s="2" t="s">
        <v>372</v>
      </c>
      <c r="CN5" s="2" t="s">
        <v>372</v>
      </c>
      <c r="CO5" s="2" t="s">
        <v>372</v>
      </c>
      <c r="CP5" s="2" t="s">
        <v>372</v>
      </c>
      <c r="CQ5" s="2" t="s">
        <v>372</v>
      </c>
      <c r="CR5" s="2" t="s">
        <v>372</v>
      </c>
      <c r="CS5" s="2" t="s">
        <v>372</v>
      </c>
      <c r="CT5" s="2" t="s">
        <v>343</v>
      </c>
      <c r="CU5" s="2" t="s">
        <v>345</v>
      </c>
      <c r="CV5" s="2" t="s">
        <v>39</v>
      </c>
      <c r="CW5" s="2" t="s">
        <v>350</v>
      </c>
      <c r="CX5" s="2" t="s">
        <v>44</v>
      </c>
      <c r="CY5" s="2" t="s">
        <v>45</v>
      </c>
      <c r="CZ5" s="2" t="s">
        <v>45</v>
      </c>
      <c r="DA5" s="2" t="s">
        <v>60</v>
      </c>
      <c r="DB5" s="2" t="s">
        <v>58</v>
      </c>
      <c r="DC5" s="2" t="s">
        <v>57</v>
      </c>
      <c r="DD5" s="2" t="s">
        <v>356</v>
      </c>
      <c r="DE5" s="2" t="s">
        <v>43</v>
      </c>
      <c r="DF5" s="2" t="s">
        <v>46</v>
      </c>
      <c r="DG5" s="2" t="s">
        <v>45</v>
      </c>
      <c r="DH5" s="2" t="s">
        <v>60</v>
      </c>
      <c r="DI5" s="2" t="s">
        <v>57</v>
      </c>
      <c r="DJ5" s="2" t="s">
        <v>60</v>
      </c>
      <c r="DK5" s="2" t="s">
        <v>362</v>
      </c>
      <c r="DL5" s="2" t="s">
        <v>44</v>
      </c>
      <c r="DM5" s="2" t="s">
        <v>46</v>
      </c>
      <c r="DN5" s="2" t="s">
        <v>46</v>
      </c>
      <c r="DO5" s="2" t="s">
        <v>58</v>
      </c>
      <c r="DP5" s="2" t="s">
        <v>57</v>
      </c>
      <c r="DQ5" s="2" t="s">
        <v>59</v>
      </c>
      <c r="DR5" s="2" t="s">
        <v>368</v>
      </c>
      <c r="DS5" s="2" t="s">
        <v>43</v>
      </c>
      <c r="DT5" s="2" t="s">
        <v>47</v>
      </c>
      <c r="DU5" s="2" t="s">
        <v>47</v>
      </c>
      <c r="DV5" s="2" t="s">
        <v>58</v>
      </c>
      <c r="DW5" s="2" t="s">
        <v>58</v>
      </c>
      <c r="DX5" s="2" t="s">
        <v>59</v>
      </c>
      <c r="DY5" s="2" t="s">
        <v>374</v>
      </c>
      <c r="DZ5" s="2" t="s">
        <v>43</v>
      </c>
      <c r="EA5" s="2" t="s">
        <v>45</v>
      </c>
      <c r="EB5" s="2" t="s">
        <v>45</v>
      </c>
      <c r="EC5" s="2" t="s">
        <v>60</v>
      </c>
      <c r="ED5" s="2" t="s">
        <v>57</v>
      </c>
      <c r="EE5" s="2" t="s">
        <v>57</v>
      </c>
      <c r="EF5" s="2" t="s">
        <v>40</v>
      </c>
      <c r="EG5" s="2" t="s">
        <v>348</v>
      </c>
      <c r="EH5" s="2" t="s">
        <v>44</v>
      </c>
      <c r="EI5" s="2" t="s">
        <v>47</v>
      </c>
      <c r="EJ5" s="2" t="s">
        <v>47</v>
      </c>
      <c r="EK5" s="2" t="s">
        <v>57</v>
      </c>
      <c r="EL5" s="2" t="s">
        <v>57</v>
      </c>
      <c r="EM5" s="2" t="s">
        <v>58</v>
      </c>
      <c r="EN5" s="2" t="s">
        <v>354</v>
      </c>
      <c r="EO5" s="2" t="s">
        <v>44</v>
      </c>
      <c r="EP5" s="2" t="s">
        <v>45</v>
      </c>
      <c r="EQ5" s="2" t="s">
        <v>45</v>
      </c>
      <c r="ER5" s="2" t="s">
        <v>59</v>
      </c>
      <c r="ES5" s="2" t="s">
        <v>57</v>
      </c>
      <c r="ET5" s="2" t="s">
        <v>60</v>
      </c>
      <c r="EU5" s="2" t="s">
        <v>360</v>
      </c>
      <c r="EV5" s="2" t="s">
        <v>44</v>
      </c>
      <c r="EW5" s="2" t="s">
        <v>45</v>
      </c>
      <c r="EX5" s="2" t="s">
        <v>47</v>
      </c>
      <c r="EY5" s="2" t="s">
        <v>60</v>
      </c>
      <c r="EZ5" s="2" t="s">
        <v>60</v>
      </c>
      <c r="FA5" s="2" t="s">
        <v>60</v>
      </c>
      <c r="FB5" s="2" t="s">
        <v>366</v>
      </c>
      <c r="FC5" s="2" t="s">
        <v>43</v>
      </c>
      <c r="FD5" s="2" t="s">
        <v>47</v>
      </c>
      <c r="FE5" s="2" t="s">
        <v>46</v>
      </c>
      <c r="FF5" s="2" t="s">
        <v>60</v>
      </c>
      <c r="FG5" s="2" t="s">
        <v>60</v>
      </c>
      <c r="FH5" s="2" t="s">
        <v>60</v>
      </c>
      <c r="FI5" s="2" t="s">
        <v>372</v>
      </c>
      <c r="FJ5" s="2" t="s">
        <v>372</v>
      </c>
      <c r="FK5" s="2" t="s">
        <v>372</v>
      </c>
      <c r="FL5" s="2" t="s">
        <v>372</v>
      </c>
      <c r="FM5" s="2" t="s">
        <v>372</v>
      </c>
      <c r="FN5" s="2" t="s">
        <v>372</v>
      </c>
      <c r="FO5" s="2" t="s">
        <v>372</v>
      </c>
      <c r="FP5" s="2" t="s">
        <v>344</v>
      </c>
      <c r="FQ5" s="2" t="s">
        <v>345</v>
      </c>
      <c r="FR5" s="2" t="s">
        <v>39</v>
      </c>
      <c r="FS5" s="2" t="s">
        <v>349</v>
      </c>
      <c r="FT5" s="2" t="s">
        <v>43</v>
      </c>
      <c r="FU5" s="2" t="s">
        <v>47</v>
      </c>
      <c r="FV5" s="2" t="s">
        <v>46</v>
      </c>
      <c r="FW5" s="2" t="s">
        <v>59</v>
      </c>
      <c r="FX5" s="2" t="s">
        <v>59</v>
      </c>
      <c r="FY5" s="2" t="s">
        <v>58</v>
      </c>
      <c r="FZ5" s="2" t="s">
        <v>355</v>
      </c>
      <c r="GA5" s="2" t="s">
        <v>43</v>
      </c>
      <c r="GB5" s="2" t="s">
        <v>47</v>
      </c>
      <c r="GC5" s="2" t="s">
        <v>47</v>
      </c>
      <c r="GD5" s="2" t="s">
        <v>59</v>
      </c>
      <c r="GE5" s="2" t="s">
        <v>60</v>
      </c>
      <c r="GF5" s="2" t="s">
        <v>60</v>
      </c>
      <c r="GG5" s="2" t="s">
        <v>361</v>
      </c>
      <c r="GH5" s="2" t="s">
        <v>44</v>
      </c>
      <c r="GI5" s="2" t="s">
        <v>47</v>
      </c>
      <c r="GJ5" s="2" t="s">
        <v>47</v>
      </c>
      <c r="GK5" s="2" t="s">
        <v>59</v>
      </c>
      <c r="GL5" s="2" t="s">
        <v>60</v>
      </c>
      <c r="GM5" s="2" t="s">
        <v>57</v>
      </c>
      <c r="GN5" s="2" t="s">
        <v>367</v>
      </c>
      <c r="GO5" s="2" t="s">
        <v>43</v>
      </c>
      <c r="GP5" s="2" t="s">
        <v>46</v>
      </c>
      <c r="GQ5" s="2" t="s">
        <v>46</v>
      </c>
      <c r="GR5" s="2" t="s">
        <v>58</v>
      </c>
      <c r="GS5" s="2" t="s">
        <v>59</v>
      </c>
      <c r="GT5" s="2" t="s">
        <v>58</v>
      </c>
      <c r="GU5" s="2" t="s">
        <v>373</v>
      </c>
      <c r="GV5" s="2" t="s">
        <v>44</v>
      </c>
      <c r="GW5" s="2" t="s">
        <v>46</v>
      </c>
      <c r="GX5" s="2" t="s">
        <v>46</v>
      </c>
      <c r="GY5" s="2" t="s">
        <v>58</v>
      </c>
      <c r="GZ5" s="2" t="s">
        <v>58</v>
      </c>
      <c r="HA5" s="2" t="s">
        <v>57</v>
      </c>
      <c r="HB5" s="2" t="s">
        <v>40</v>
      </c>
      <c r="HC5" s="2" t="s">
        <v>351</v>
      </c>
      <c r="HD5" s="2" t="s">
        <v>44</v>
      </c>
      <c r="HE5" s="2" t="s">
        <v>45</v>
      </c>
      <c r="HF5" s="2" t="s">
        <v>45</v>
      </c>
      <c r="HG5" s="2" t="s">
        <v>57</v>
      </c>
      <c r="HH5" s="2" t="s">
        <v>58</v>
      </c>
      <c r="HI5" s="2" t="s">
        <v>60</v>
      </c>
      <c r="HJ5" s="2" t="s">
        <v>357</v>
      </c>
      <c r="HK5" s="2" t="s">
        <v>43</v>
      </c>
      <c r="HL5" s="2" t="s">
        <v>47</v>
      </c>
      <c r="HM5" s="2" t="s">
        <v>47</v>
      </c>
      <c r="HN5" s="2" t="s">
        <v>58</v>
      </c>
      <c r="HO5" s="2" t="s">
        <v>57</v>
      </c>
      <c r="HP5" s="2" t="s">
        <v>59</v>
      </c>
      <c r="HQ5" s="2" t="s">
        <v>363</v>
      </c>
      <c r="HR5" s="2" t="s">
        <v>43</v>
      </c>
      <c r="HS5" s="2" t="s">
        <v>45</v>
      </c>
      <c r="HT5" s="2" t="s">
        <v>47</v>
      </c>
      <c r="HU5" s="2" t="s">
        <v>58</v>
      </c>
      <c r="HV5" s="2" t="s">
        <v>58</v>
      </c>
      <c r="HW5" s="2" t="s">
        <v>60</v>
      </c>
      <c r="HX5" s="2" t="s">
        <v>369</v>
      </c>
      <c r="HY5" s="2" t="s">
        <v>43</v>
      </c>
      <c r="HZ5" s="2" t="s">
        <v>47</v>
      </c>
      <c r="IA5" s="2" t="s">
        <v>46</v>
      </c>
      <c r="IB5" s="2" t="s">
        <v>59</v>
      </c>
      <c r="IC5" s="2" t="s">
        <v>57</v>
      </c>
      <c r="ID5" s="2" t="s">
        <v>57</v>
      </c>
      <c r="IE5" s="2" t="s">
        <v>372</v>
      </c>
      <c r="IF5" s="2" t="s">
        <v>372</v>
      </c>
      <c r="IG5" s="2" t="s">
        <v>372</v>
      </c>
      <c r="IH5" s="2" t="s">
        <v>372</v>
      </c>
      <c r="II5" s="2" t="s">
        <v>372</v>
      </c>
      <c r="IJ5" s="2" t="s">
        <v>372</v>
      </c>
      <c r="IK5" s="2" t="s">
        <v>372</v>
      </c>
    </row>
    <row r="6" spans="1:245" x14ac:dyDescent="0.25">
      <c r="A6" s="2" t="s">
        <v>310</v>
      </c>
      <c r="B6" s="2" t="s">
        <v>337</v>
      </c>
      <c r="C6" s="2" t="s">
        <v>339</v>
      </c>
      <c r="D6" s="2" t="s">
        <v>43</v>
      </c>
      <c r="E6" s="2" t="s">
        <v>45</v>
      </c>
      <c r="F6" s="2" t="s">
        <v>45</v>
      </c>
      <c r="G6" s="2" t="s">
        <v>57</v>
      </c>
      <c r="H6" s="2" t="s">
        <v>58</v>
      </c>
      <c r="I6" s="2" t="s">
        <v>59</v>
      </c>
      <c r="J6" s="2" t="s">
        <v>340</v>
      </c>
      <c r="K6" s="2" t="s">
        <v>43</v>
      </c>
      <c r="L6" s="2" t="s">
        <v>46</v>
      </c>
      <c r="M6" s="2" t="s">
        <v>46</v>
      </c>
      <c r="N6" s="2" t="s">
        <v>58</v>
      </c>
      <c r="O6" s="2" t="s">
        <v>57</v>
      </c>
      <c r="P6" s="2" t="s">
        <v>58</v>
      </c>
      <c r="Q6" s="2" t="s">
        <v>341</v>
      </c>
      <c r="R6" s="2" t="s">
        <v>43</v>
      </c>
      <c r="S6" s="2" t="s">
        <v>47</v>
      </c>
      <c r="T6" s="2" t="s">
        <v>47</v>
      </c>
      <c r="U6" s="2" t="s">
        <v>58</v>
      </c>
      <c r="V6" s="2" t="s">
        <v>58</v>
      </c>
      <c r="W6" s="2" t="s">
        <v>58</v>
      </c>
      <c r="X6" s="2" t="s">
        <v>343</v>
      </c>
      <c r="Y6" s="2" t="s">
        <v>345</v>
      </c>
      <c r="Z6" s="2" t="s">
        <v>39</v>
      </c>
      <c r="AA6" s="2" t="s">
        <v>350</v>
      </c>
      <c r="AB6" s="2" t="s">
        <v>44</v>
      </c>
      <c r="AC6" s="2" t="s">
        <v>45</v>
      </c>
      <c r="AD6" s="2" t="s">
        <v>45</v>
      </c>
      <c r="AE6" s="2" t="s">
        <v>60</v>
      </c>
      <c r="AF6" s="2" t="s">
        <v>58</v>
      </c>
      <c r="AG6" s="2" t="s">
        <v>57</v>
      </c>
      <c r="AH6" s="2" t="s">
        <v>356</v>
      </c>
      <c r="AI6" s="2" t="s">
        <v>43</v>
      </c>
      <c r="AJ6" s="2" t="s">
        <v>46</v>
      </c>
      <c r="AK6" s="2" t="s">
        <v>45</v>
      </c>
      <c r="AL6" s="2" t="s">
        <v>60</v>
      </c>
      <c r="AM6" s="2" t="s">
        <v>57</v>
      </c>
      <c r="AN6" s="2" t="s">
        <v>60</v>
      </c>
      <c r="AO6" s="2" t="s">
        <v>362</v>
      </c>
      <c r="AP6" s="2" t="s">
        <v>44</v>
      </c>
      <c r="AQ6" s="2" t="s">
        <v>46</v>
      </c>
      <c r="AR6" s="2" t="s">
        <v>46</v>
      </c>
      <c r="AS6" s="2" t="s">
        <v>58</v>
      </c>
      <c r="AT6" s="2" t="s">
        <v>57</v>
      </c>
      <c r="AU6" s="2" t="s">
        <v>59</v>
      </c>
      <c r="AV6" s="2" t="s">
        <v>368</v>
      </c>
      <c r="AW6" s="2" t="s">
        <v>43</v>
      </c>
      <c r="AX6" s="2" t="s">
        <v>47</v>
      </c>
      <c r="AY6" s="2" t="s">
        <v>47</v>
      </c>
      <c r="AZ6" s="2" t="s">
        <v>58</v>
      </c>
      <c r="BA6" s="2" t="s">
        <v>58</v>
      </c>
      <c r="BB6" s="2" t="s">
        <v>59</v>
      </c>
      <c r="BC6" s="2" t="s">
        <v>374</v>
      </c>
      <c r="BD6" s="2" t="s">
        <v>43</v>
      </c>
      <c r="BE6" s="2" t="s">
        <v>45</v>
      </c>
      <c r="BF6" s="2" t="s">
        <v>45</v>
      </c>
      <c r="BG6" s="2" t="s">
        <v>60</v>
      </c>
      <c r="BH6" s="2" t="s">
        <v>57</v>
      </c>
      <c r="BI6" s="2" t="s">
        <v>57</v>
      </c>
      <c r="BJ6" s="2" t="s">
        <v>40</v>
      </c>
      <c r="BK6" s="2" t="s">
        <v>348</v>
      </c>
      <c r="BL6" s="2" t="s">
        <v>44</v>
      </c>
      <c r="BM6" s="2" t="s">
        <v>47</v>
      </c>
      <c r="BN6" s="2" t="s">
        <v>46</v>
      </c>
      <c r="BO6" s="2" t="s">
        <v>57</v>
      </c>
      <c r="BP6" s="2" t="s">
        <v>57</v>
      </c>
      <c r="BQ6" s="2" t="s">
        <v>58</v>
      </c>
      <c r="BR6" s="2" t="s">
        <v>354</v>
      </c>
      <c r="BS6" s="2" t="s">
        <v>44</v>
      </c>
      <c r="BT6" s="2" t="s">
        <v>45</v>
      </c>
      <c r="BU6" s="2" t="s">
        <v>45</v>
      </c>
      <c r="BV6" s="2" t="s">
        <v>59</v>
      </c>
      <c r="BW6" s="2" t="s">
        <v>57</v>
      </c>
      <c r="BX6" s="2" t="s">
        <v>60</v>
      </c>
      <c r="BY6" s="2" t="s">
        <v>360</v>
      </c>
      <c r="BZ6" s="2" t="s">
        <v>44</v>
      </c>
      <c r="CA6" s="2" t="s">
        <v>45</v>
      </c>
      <c r="CB6" s="2" t="s">
        <v>45</v>
      </c>
      <c r="CC6" s="2" t="s">
        <v>60</v>
      </c>
      <c r="CD6" s="2" t="s">
        <v>60</v>
      </c>
      <c r="CE6" s="2" t="s">
        <v>60</v>
      </c>
      <c r="CF6" s="2" t="s">
        <v>366</v>
      </c>
      <c r="CG6" s="2" t="s">
        <v>43</v>
      </c>
      <c r="CH6" s="2" t="s">
        <v>47</v>
      </c>
      <c r="CI6" s="2" t="s">
        <v>46</v>
      </c>
      <c r="CJ6" s="2" t="s">
        <v>60</v>
      </c>
      <c r="CK6" s="2" t="s">
        <v>60</v>
      </c>
      <c r="CL6" s="2" t="s">
        <v>60</v>
      </c>
      <c r="CM6" s="2" t="s">
        <v>372</v>
      </c>
      <c r="CN6" s="2" t="s">
        <v>372</v>
      </c>
      <c r="CO6" s="2" t="s">
        <v>372</v>
      </c>
      <c r="CP6" s="2" t="s">
        <v>372</v>
      </c>
      <c r="CQ6" s="2" t="s">
        <v>372</v>
      </c>
      <c r="CR6" s="2" t="s">
        <v>372</v>
      </c>
      <c r="CS6" s="2" t="s">
        <v>372</v>
      </c>
      <c r="CT6" s="2" t="s">
        <v>344</v>
      </c>
      <c r="CU6" s="2" t="s">
        <v>346</v>
      </c>
      <c r="CV6" s="2" t="s">
        <v>40</v>
      </c>
      <c r="CW6" s="2" t="s">
        <v>351</v>
      </c>
      <c r="CX6" s="2" t="s">
        <v>44</v>
      </c>
      <c r="CY6" s="2" t="s">
        <v>45</v>
      </c>
      <c r="CZ6" s="2" t="s">
        <v>45</v>
      </c>
      <c r="DA6" s="2" t="s">
        <v>57</v>
      </c>
      <c r="DB6" s="2" t="s">
        <v>58</v>
      </c>
      <c r="DC6" s="2" t="s">
        <v>60</v>
      </c>
      <c r="DD6" s="2" t="s">
        <v>357</v>
      </c>
      <c r="DE6" s="2" t="s">
        <v>43</v>
      </c>
      <c r="DF6" s="2" t="s">
        <v>47</v>
      </c>
      <c r="DG6" s="2" t="s">
        <v>46</v>
      </c>
      <c r="DH6" s="2" t="s">
        <v>58</v>
      </c>
      <c r="DI6" s="2" t="s">
        <v>57</v>
      </c>
      <c r="DJ6" s="2" t="s">
        <v>59</v>
      </c>
      <c r="DK6" s="2" t="s">
        <v>363</v>
      </c>
      <c r="DL6" s="2" t="s">
        <v>43</v>
      </c>
      <c r="DM6" s="2" t="s">
        <v>45</v>
      </c>
      <c r="DN6" s="2" t="s">
        <v>45</v>
      </c>
      <c r="DO6" s="2" t="s">
        <v>58</v>
      </c>
      <c r="DP6" s="2" t="s">
        <v>58</v>
      </c>
      <c r="DQ6" s="2" t="s">
        <v>60</v>
      </c>
      <c r="DR6" s="2" t="s">
        <v>369</v>
      </c>
      <c r="DS6" s="2" t="s">
        <v>43</v>
      </c>
      <c r="DT6" s="2" t="s">
        <v>47</v>
      </c>
      <c r="DU6" s="2" t="s">
        <v>46</v>
      </c>
      <c r="DV6" s="2" t="s">
        <v>59</v>
      </c>
      <c r="DW6" s="2" t="s">
        <v>57</v>
      </c>
      <c r="DX6" s="2" t="s">
        <v>57</v>
      </c>
      <c r="DY6" s="2" t="s">
        <v>372</v>
      </c>
      <c r="DZ6" s="2" t="s">
        <v>372</v>
      </c>
      <c r="EA6" s="2" t="s">
        <v>372</v>
      </c>
      <c r="EB6" s="2" t="s">
        <v>372</v>
      </c>
      <c r="EC6" s="2" t="s">
        <v>372</v>
      </c>
      <c r="ED6" s="2" t="s">
        <v>372</v>
      </c>
      <c r="EE6" s="2" t="s">
        <v>372</v>
      </c>
      <c r="EF6" s="2" t="s">
        <v>39</v>
      </c>
      <c r="EG6" s="2" t="s">
        <v>349</v>
      </c>
      <c r="EH6" s="2" t="s">
        <v>43</v>
      </c>
      <c r="EI6" s="2" t="s">
        <v>47</v>
      </c>
      <c r="EJ6" s="2" t="s">
        <v>47</v>
      </c>
      <c r="EK6" s="2" t="s">
        <v>59</v>
      </c>
      <c r="EL6" s="2" t="s">
        <v>59</v>
      </c>
      <c r="EM6" s="2" t="s">
        <v>58</v>
      </c>
      <c r="EN6" s="2" t="s">
        <v>355</v>
      </c>
      <c r="EO6" s="2" t="s">
        <v>43</v>
      </c>
      <c r="EP6" s="2" t="s">
        <v>47</v>
      </c>
      <c r="EQ6" s="2" t="s">
        <v>46</v>
      </c>
      <c r="ER6" s="2" t="s">
        <v>59</v>
      </c>
      <c r="ES6" s="2" t="s">
        <v>60</v>
      </c>
      <c r="ET6" s="2" t="s">
        <v>60</v>
      </c>
      <c r="EU6" s="2" t="s">
        <v>361</v>
      </c>
      <c r="EV6" s="2" t="s">
        <v>44</v>
      </c>
      <c r="EW6" s="2" t="s">
        <v>47</v>
      </c>
      <c r="EX6" s="2" t="s">
        <v>47</v>
      </c>
      <c r="EY6" s="2" t="s">
        <v>59</v>
      </c>
      <c r="EZ6" s="2" t="s">
        <v>60</v>
      </c>
      <c r="FA6" s="2" t="s">
        <v>57</v>
      </c>
      <c r="FB6" s="2" t="s">
        <v>367</v>
      </c>
      <c r="FC6" s="2" t="s">
        <v>43</v>
      </c>
      <c r="FD6" s="2" t="s">
        <v>46</v>
      </c>
      <c r="FE6" s="2" t="s">
        <v>46</v>
      </c>
      <c r="FF6" s="2" t="s">
        <v>58</v>
      </c>
      <c r="FG6" s="2" t="s">
        <v>59</v>
      </c>
      <c r="FH6" s="2" t="s">
        <v>58</v>
      </c>
      <c r="FI6" s="2" t="s">
        <v>373</v>
      </c>
      <c r="FJ6" s="2" t="s">
        <v>44</v>
      </c>
      <c r="FK6" s="2" t="s">
        <v>46</v>
      </c>
      <c r="FL6" s="2" t="s">
        <v>46</v>
      </c>
      <c r="FM6" s="2" t="s">
        <v>58</v>
      </c>
      <c r="FN6" s="2" t="s">
        <v>58</v>
      </c>
      <c r="FO6" s="2" t="s">
        <v>57</v>
      </c>
      <c r="FP6" s="2" t="s">
        <v>342</v>
      </c>
      <c r="FQ6" s="2" t="s">
        <v>345</v>
      </c>
      <c r="FR6" s="2" t="s">
        <v>39</v>
      </c>
      <c r="FS6" s="2" t="s">
        <v>347</v>
      </c>
      <c r="FT6" s="2" t="s">
        <v>44</v>
      </c>
      <c r="FU6" s="2" t="s">
        <v>47</v>
      </c>
      <c r="FV6" s="2" t="s">
        <v>47</v>
      </c>
      <c r="FW6" s="2" t="s">
        <v>60</v>
      </c>
      <c r="FX6" s="2" t="s">
        <v>59</v>
      </c>
      <c r="FY6" s="2" t="s">
        <v>58</v>
      </c>
      <c r="FZ6" s="2" t="s">
        <v>353</v>
      </c>
      <c r="GA6" s="2" t="s">
        <v>44</v>
      </c>
      <c r="GB6" s="2" t="s">
        <v>47</v>
      </c>
      <c r="GC6" s="2" t="s">
        <v>47</v>
      </c>
      <c r="GD6" s="2" t="s">
        <v>59</v>
      </c>
      <c r="GE6" s="2" t="s">
        <v>58</v>
      </c>
      <c r="GF6" s="2" t="s">
        <v>59</v>
      </c>
      <c r="GG6" s="2" t="s">
        <v>359</v>
      </c>
      <c r="GH6" s="2" t="s">
        <v>43</v>
      </c>
      <c r="GI6" s="2" t="s">
        <v>47</v>
      </c>
      <c r="GJ6" s="2" t="s">
        <v>47</v>
      </c>
      <c r="GK6" s="2" t="s">
        <v>60</v>
      </c>
      <c r="GL6" s="2" t="s">
        <v>57</v>
      </c>
      <c r="GM6" s="2" t="s">
        <v>59</v>
      </c>
      <c r="GN6" s="2" t="s">
        <v>365</v>
      </c>
      <c r="GO6" s="2" t="s">
        <v>44</v>
      </c>
      <c r="GP6" s="2" t="s">
        <v>46</v>
      </c>
      <c r="GQ6" s="2" t="s">
        <v>45</v>
      </c>
      <c r="GR6" s="2" t="s">
        <v>58</v>
      </c>
      <c r="GS6" s="2" t="s">
        <v>58</v>
      </c>
      <c r="GT6" s="2" t="s">
        <v>59</v>
      </c>
      <c r="GU6" s="2" t="s">
        <v>371</v>
      </c>
      <c r="GV6" s="2" t="s">
        <v>43</v>
      </c>
      <c r="GW6" s="2" t="s">
        <v>46</v>
      </c>
      <c r="GX6" s="2" t="s">
        <v>46</v>
      </c>
      <c r="GY6" s="2" t="s">
        <v>57</v>
      </c>
      <c r="GZ6" s="2" t="s">
        <v>60</v>
      </c>
      <c r="HA6" s="2" t="s">
        <v>59</v>
      </c>
      <c r="HB6" s="2" t="s">
        <v>40</v>
      </c>
      <c r="HC6" s="2" t="s">
        <v>352</v>
      </c>
      <c r="HD6" s="2" t="s">
        <v>44</v>
      </c>
      <c r="HE6" s="2" t="s">
        <v>45</v>
      </c>
      <c r="HF6" s="2" t="s">
        <v>47</v>
      </c>
      <c r="HG6" s="2" t="s">
        <v>57</v>
      </c>
      <c r="HH6" s="2" t="s">
        <v>58</v>
      </c>
      <c r="HI6" s="2" t="s">
        <v>58</v>
      </c>
      <c r="HJ6" s="2" t="s">
        <v>358</v>
      </c>
      <c r="HK6" s="2" t="s">
        <v>43</v>
      </c>
      <c r="HL6" s="2" t="s">
        <v>47</v>
      </c>
      <c r="HM6" s="2" t="s">
        <v>47</v>
      </c>
      <c r="HN6" s="2" t="s">
        <v>57</v>
      </c>
      <c r="HO6" s="2" t="s">
        <v>60</v>
      </c>
      <c r="HP6" s="2" t="s">
        <v>59</v>
      </c>
      <c r="HQ6" s="2" t="s">
        <v>364</v>
      </c>
      <c r="HR6" s="2" t="s">
        <v>43</v>
      </c>
      <c r="HS6" s="2" t="s">
        <v>45</v>
      </c>
      <c r="HT6" s="2" t="s">
        <v>47</v>
      </c>
      <c r="HU6" s="2" t="s">
        <v>60</v>
      </c>
      <c r="HV6" s="2" t="s">
        <v>57</v>
      </c>
      <c r="HW6" s="2" t="s">
        <v>58</v>
      </c>
      <c r="HX6" s="2" t="s">
        <v>370</v>
      </c>
      <c r="HY6" s="2" t="s">
        <v>44</v>
      </c>
      <c r="HZ6" s="2" t="s">
        <v>46</v>
      </c>
      <c r="IA6" s="2" t="s">
        <v>46</v>
      </c>
      <c r="IB6" s="2" t="s">
        <v>60</v>
      </c>
      <c r="IC6" s="2" t="s">
        <v>59</v>
      </c>
      <c r="ID6" s="2" t="s">
        <v>60</v>
      </c>
      <c r="IE6" s="2" t="s">
        <v>372</v>
      </c>
      <c r="IF6" s="2" t="s">
        <v>372</v>
      </c>
      <c r="IG6" s="2" t="s">
        <v>372</v>
      </c>
      <c r="IH6" s="2" t="s">
        <v>372</v>
      </c>
      <c r="II6" s="2" t="s">
        <v>372</v>
      </c>
      <c r="IJ6" s="2" t="s">
        <v>372</v>
      </c>
      <c r="IK6" s="2" t="s">
        <v>372</v>
      </c>
    </row>
    <row r="7" spans="1:245" x14ac:dyDescent="0.25">
      <c r="A7" s="2" t="s">
        <v>311</v>
      </c>
      <c r="B7" s="2" t="s">
        <v>338</v>
      </c>
      <c r="C7" s="2" t="s">
        <v>339</v>
      </c>
      <c r="D7" s="2" t="s">
        <v>43</v>
      </c>
      <c r="E7" s="2" t="s">
        <v>45</v>
      </c>
      <c r="F7" s="2" t="s">
        <v>45</v>
      </c>
      <c r="G7" s="2" t="s">
        <v>57</v>
      </c>
      <c r="H7" s="2" t="s">
        <v>58</v>
      </c>
      <c r="I7" s="2" t="s">
        <v>59</v>
      </c>
      <c r="J7" s="2" t="s">
        <v>340</v>
      </c>
      <c r="K7" s="2" t="s">
        <v>43</v>
      </c>
      <c r="L7" s="2" t="s">
        <v>46</v>
      </c>
      <c r="M7" s="2" t="s">
        <v>46</v>
      </c>
      <c r="N7" s="2" t="s">
        <v>58</v>
      </c>
      <c r="O7" s="2" t="s">
        <v>57</v>
      </c>
      <c r="P7" s="2" t="s">
        <v>58</v>
      </c>
      <c r="Q7" s="2" t="s">
        <v>341</v>
      </c>
      <c r="R7" s="2" t="s">
        <v>43</v>
      </c>
      <c r="S7" s="2" t="s">
        <v>47</v>
      </c>
      <c r="T7" s="2" t="s">
        <v>47</v>
      </c>
      <c r="U7" s="2" t="s">
        <v>58</v>
      </c>
      <c r="V7" s="2" t="s">
        <v>58</v>
      </c>
      <c r="W7" s="2" t="s">
        <v>58</v>
      </c>
      <c r="X7" s="2" t="s">
        <v>344</v>
      </c>
      <c r="Y7" s="2" t="s">
        <v>346</v>
      </c>
      <c r="Z7" s="2" t="s">
        <v>40</v>
      </c>
      <c r="AA7" s="2" t="s">
        <v>351</v>
      </c>
      <c r="AB7" s="2" t="s">
        <v>44</v>
      </c>
      <c r="AC7" s="2" t="s">
        <v>45</v>
      </c>
      <c r="AD7" s="2" t="s">
        <v>45</v>
      </c>
      <c r="AE7" s="2" t="s">
        <v>57</v>
      </c>
      <c r="AF7" s="2" t="s">
        <v>58</v>
      </c>
      <c r="AG7" s="2" t="s">
        <v>60</v>
      </c>
      <c r="AH7" s="2" t="s">
        <v>357</v>
      </c>
      <c r="AI7" s="2" t="s">
        <v>43</v>
      </c>
      <c r="AJ7" s="2" t="s">
        <v>47</v>
      </c>
      <c r="AK7" s="2" t="s">
        <v>46</v>
      </c>
      <c r="AL7" s="2" t="s">
        <v>58</v>
      </c>
      <c r="AM7" s="2" t="s">
        <v>57</v>
      </c>
      <c r="AN7" s="2" t="s">
        <v>59</v>
      </c>
      <c r="AO7" s="2" t="s">
        <v>363</v>
      </c>
      <c r="AP7" s="2" t="s">
        <v>43</v>
      </c>
      <c r="AQ7" s="2" t="s">
        <v>45</v>
      </c>
      <c r="AR7" s="2" t="s">
        <v>47</v>
      </c>
      <c r="AS7" s="2" t="s">
        <v>58</v>
      </c>
      <c r="AT7" s="2" t="s">
        <v>58</v>
      </c>
      <c r="AU7" s="2" t="s">
        <v>60</v>
      </c>
      <c r="AV7" s="2" t="s">
        <v>369</v>
      </c>
      <c r="AW7" s="2" t="s">
        <v>43</v>
      </c>
      <c r="AX7" s="2" t="s">
        <v>47</v>
      </c>
      <c r="AY7" s="2" t="s">
        <v>47</v>
      </c>
      <c r="AZ7" s="2" t="s">
        <v>59</v>
      </c>
      <c r="BA7" s="2" t="s">
        <v>57</v>
      </c>
      <c r="BB7" s="2" t="s">
        <v>57</v>
      </c>
      <c r="BC7" s="2" t="s">
        <v>372</v>
      </c>
      <c r="BD7" s="2" t="s">
        <v>372</v>
      </c>
      <c r="BE7" s="2" t="s">
        <v>372</v>
      </c>
      <c r="BF7" s="2" t="s">
        <v>372</v>
      </c>
      <c r="BG7" s="2" t="s">
        <v>372</v>
      </c>
      <c r="BH7" s="2" t="s">
        <v>372</v>
      </c>
      <c r="BI7" s="2" t="s">
        <v>372</v>
      </c>
      <c r="BJ7" s="2" t="s">
        <v>39</v>
      </c>
      <c r="BK7" s="2" t="s">
        <v>349</v>
      </c>
      <c r="BL7" s="2" t="s">
        <v>43</v>
      </c>
      <c r="BM7" s="2" t="s">
        <v>47</v>
      </c>
      <c r="BN7" s="2" t="s">
        <v>47</v>
      </c>
      <c r="BO7" s="2" t="s">
        <v>59</v>
      </c>
      <c r="BP7" s="2" t="s">
        <v>59</v>
      </c>
      <c r="BQ7" s="2" t="s">
        <v>58</v>
      </c>
      <c r="BR7" s="2" t="s">
        <v>355</v>
      </c>
      <c r="BS7" s="2" t="s">
        <v>43</v>
      </c>
      <c r="BT7" s="2" t="s">
        <v>47</v>
      </c>
      <c r="BU7" s="2" t="s">
        <v>47</v>
      </c>
      <c r="BV7" s="2" t="s">
        <v>59</v>
      </c>
      <c r="BW7" s="2" t="s">
        <v>60</v>
      </c>
      <c r="BX7" s="2" t="s">
        <v>60</v>
      </c>
      <c r="BY7" s="2" t="s">
        <v>361</v>
      </c>
      <c r="BZ7" s="2" t="s">
        <v>44</v>
      </c>
      <c r="CA7" s="2" t="s">
        <v>47</v>
      </c>
      <c r="CB7" s="2" t="s">
        <v>46</v>
      </c>
      <c r="CC7" s="2" t="s">
        <v>59</v>
      </c>
      <c r="CD7" s="2" t="s">
        <v>60</v>
      </c>
      <c r="CE7" s="2" t="s">
        <v>57</v>
      </c>
      <c r="CF7" s="2" t="s">
        <v>367</v>
      </c>
      <c r="CG7" s="2" t="s">
        <v>43</v>
      </c>
      <c r="CH7" s="2" t="s">
        <v>46</v>
      </c>
      <c r="CI7" s="2" t="s">
        <v>46</v>
      </c>
      <c r="CJ7" s="2" t="s">
        <v>58</v>
      </c>
      <c r="CK7" s="2" t="s">
        <v>59</v>
      </c>
      <c r="CL7" s="2" t="s">
        <v>58</v>
      </c>
      <c r="CM7" s="2" t="s">
        <v>373</v>
      </c>
      <c r="CN7" s="2" t="s">
        <v>44</v>
      </c>
      <c r="CO7" s="2" t="s">
        <v>46</v>
      </c>
      <c r="CP7" s="2" t="s">
        <v>46</v>
      </c>
      <c r="CQ7" s="2" t="s">
        <v>58</v>
      </c>
      <c r="CR7" s="2" t="s">
        <v>58</v>
      </c>
      <c r="CS7" s="2" t="s">
        <v>57</v>
      </c>
      <c r="CT7" s="2" t="s">
        <v>342</v>
      </c>
      <c r="CU7" s="2" t="s">
        <v>345</v>
      </c>
      <c r="CV7" s="2" t="s">
        <v>39</v>
      </c>
      <c r="CW7" s="2" t="s">
        <v>347</v>
      </c>
      <c r="CX7" s="2" t="s">
        <v>44</v>
      </c>
      <c r="CY7" s="2" t="s">
        <v>47</v>
      </c>
      <c r="CZ7" s="2" t="s">
        <v>46</v>
      </c>
      <c r="DA7" s="2" t="s">
        <v>60</v>
      </c>
      <c r="DB7" s="2" t="s">
        <v>59</v>
      </c>
      <c r="DC7" s="2" t="s">
        <v>58</v>
      </c>
      <c r="DD7" s="2" t="s">
        <v>353</v>
      </c>
      <c r="DE7" s="2" t="s">
        <v>44</v>
      </c>
      <c r="DF7" s="2" t="s">
        <v>47</v>
      </c>
      <c r="DG7" s="2" t="s">
        <v>47</v>
      </c>
      <c r="DH7" s="2" t="s">
        <v>59</v>
      </c>
      <c r="DI7" s="2" t="s">
        <v>58</v>
      </c>
      <c r="DJ7" s="2" t="s">
        <v>59</v>
      </c>
      <c r="DK7" s="2" t="s">
        <v>359</v>
      </c>
      <c r="DL7" s="2" t="s">
        <v>43</v>
      </c>
      <c r="DM7" s="2" t="s">
        <v>47</v>
      </c>
      <c r="DN7" s="2" t="s">
        <v>47</v>
      </c>
      <c r="DO7" s="2" t="s">
        <v>60</v>
      </c>
      <c r="DP7" s="2" t="s">
        <v>57</v>
      </c>
      <c r="DQ7" s="2" t="s">
        <v>59</v>
      </c>
      <c r="DR7" s="2" t="s">
        <v>365</v>
      </c>
      <c r="DS7" s="2" t="s">
        <v>44</v>
      </c>
      <c r="DT7" s="2" t="s">
        <v>46</v>
      </c>
      <c r="DU7" s="2" t="s">
        <v>46</v>
      </c>
      <c r="DV7" s="2" t="s">
        <v>58</v>
      </c>
      <c r="DW7" s="2" t="s">
        <v>58</v>
      </c>
      <c r="DX7" s="2" t="s">
        <v>59</v>
      </c>
      <c r="DY7" s="2" t="s">
        <v>371</v>
      </c>
      <c r="DZ7" s="2" t="s">
        <v>43</v>
      </c>
      <c r="EA7" s="2" t="s">
        <v>46</v>
      </c>
      <c r="EB7" s="2" t="s">
        <v>46</v>
      </c>
      <c r="EC7" s="2" t="s">
        <v>57</v>
      </c>
      <c r="ED7" s="2" t="s">
        <v>60</v>
      </c>
      <c r="EE7" s="2" t="s">
        <v>59</v>
      </c>
      <c r="EF7" s="2" t="s">
        <v>40</v>
      </c>
      <c r="EG7" s="2" t="s">
        <v>352</v>
      </c>
      <c r="EH7" s="2" t="s">
        <v>44</v>
      </c>
      <c r="EI7" s="2" t="s">
        <v>45</v>
      </c>
      <c r="EJ7" s="2" t="s">
        <v>45</v>
      </c>
      <c r="EK7" s="2" t="s">
        <v>57</v>
      </c>
      <c r="EL7" s="2" t="s">
        <v>58</v>
      </c>
      <c r="EM7" s="2" t="s">
        <v>58</v>
      </c>
      <c r="EN7" s="2" t="s">
        <v>358</v>
      </c>
      <c r="EO7" s="2" t="s">
        <v>43</v>
      </c>
      <c r="EP7" s="2" t="s">
        <v>47</v>
      </c>
      <c r="EQ7" s="2" t="s">
        <v>46</v>
      </c>
      <c r="ER7" s="2" t="s">
        <v>57</v>
      </c>
      <c r="ES7" s="2" t="s">
        <v>60</v>
      </c>
      <c r="ET7" s="2" t="s">
        <v>59</v>
      </c>
      <c r="EU7" s="2" t="s">
        <v>364</v>
      </c>
      <c r="EV7" s="2" t="s">
        <v>43</v>
      </c>
      <c r="EW7" s="2" t="s">
        <v>45</v>
      </c>
      <c r="EX7" s="2" t="s">
        <v>45</v>
      </c>
      <c r="EY7" s="2" t="s">
        <v>60</v>
      </c>
      <c r="EZ7" s="2" t="s">
        <v>57</v>
      </c>
      <c r="FA7" s="2" t="s">
        <v>58</v>
      </c>
      <c r="FB7" s="2" t="s">
        <v>370</v>
      </c>
      <c r="FC7" s="2" t="s">
        <v>44</v>
      </c>
      <c r="FD7" s="2" t="s">
        <v>46</v>
      </c>
      <c r="FE7" s="2" t="s">
        <v>45</v>
      </c>
      <c r="FF7" s="2" t="s">
        <v>60</v>
      </c>
      <c r="FG7" s="2" t="s">
        <v>59</v>
      </c>
      <c r="FH7" s="2" t="s">
        <v>60</v>
      </c>
      <c r="FI7" s="2" t="s">
        <v>372</v>
      </c>
      <c r="FJ7" s="2" t="s">
        <v>372</v>
      </c>
      <c r="FK7" s="2" t="s">
        <v>372</v>
      </c>
      <c r="FL7" s="2" t="s">
        <v>372</v>
      </c>
      <c r="FM7" s="2" t="s">
        <v>372</v>
      </c>
      <c r="FN7" s="2" t="s">
        <v>372</v>
      </c>
      <c r="FO7" s="2" t="s">
        <v>372</v>
      </c>
      <c r="FP7" s="2" t="s">
        <v>343</v>
      </c>
      <c r="FQ7" s="2" t="s">
        <v>346</v>
      </c>
      <c r="FR7" s="2" t="s">
        <v>40</v>
      </c>
      <c r="FS7" s="2" t="s">
        <v>348</v>
      </c>
      <c r="FT7" s="2" t="s">
        <v>44</v>
      </c>
      <c r="FU7" s="2" t="s">
        <v>47</v>
      </c>
      <c r="FV7" s="2" t="s">
        <v>47</v>
      </c>
      <c r="FW7" s="2" t="s">
        <v>57</v>
      </c>
      <c r="FX7" s="2" t="s">
        <v>57</v>
      </c>
      <c r="FY7" s="2" t="s">
        <v>58</v>
      </c>
      <c r="FZ7" s="2" t="s">
        <v>354</v>
      </c>
      <c r="GA7" s="2" t="s">
        <v>44</v>
      </c>
      <c r="GB7" s="2" t="s">
        <v>45</v>
      </c>
      <c r="GC7" s="2" t="s">
        <v>47</v>
      </c>
      <c r="GD7" s="2" t="s">
        <v>59</v>
      </c>
      <c r="GE7" s="2" t="s">
        <v>57</v>
      </c>
      <c r="GF7" s="2" t="s">
        <v>60</v>
      </c>
      <c r="GG7" s="2" t="s">
        <v>360</v>
      </c>
      <c r="GH7" s="2" t="s">
        <v>44</v>
      </c>
      <c r="GI7" s="2" t="s">
        <v>45</v>
      </c>
      <c r="GJ7" s="2" t="s">
        <v>45</v>
      </c>
      <c r="GK7" s="2" t="s">
        <v>60</v>
      </c>
      <c r="GL7" s="2" t="s">
        <v>60</v>
      </c>
      <c r="GM7" s="2" t="s">
        <v>60</v>
      </c>
      <c r="GN7" s="2" t="s">
        <v>366</v>
      </c>
      <c r="GO7" s="2" t="s">
        <v>43</v>
      </c>
      <c r="GP7" s="2" t="s">
        <v>47</v>
      </c>
      <c r="GQ7" s="2" t="s">
        <v>46</v>
      </c>
      <c r="GR7" s="2" t="s">
        <v>60</v>
      </c>
      <c r="GS7" s="2" t="s">
        <v>60</v>
      </c>
      <c r="GT7" s="2" t="s">
        <v>60</v>
      </c>
      <c r="GU7" s="2" t="s">
        <v>372</v>
      </c>
      <c r="GV7" s="2" t="s">
        <v>372</v>
      </c>
      <c r="GW7" s="2" t="s">
        <v>372</v>
      </c>
      <c r="GX7" s="2" t="s">
        <v>372</v>
      </c>
      <c r="GY7" s="2" t="s">
        <v>372</v>
      </c>
      <c r="GZ7" s="2" t="s">
        <v>372</v>
      </c>
      <c r="HA7" s="2" t="s">
        <v>372</v>
      </c>
      <c r="HB7" s="2" t="s">
        <v>39</v>
      </c>
      <c r="HC7" s="2" t="s">
        <v>350</v>
      </c>
      <c r="HD7" s="2" t="s">
        <v>44</v>
      </c>
      <c r="HE7" s="2" t="s">
        <v>45</v>
      </c>
      <c r="HF7" s="2" t="s">
        <v>45</v>
      </c>
      <c r="HG7" s="2" t="s">
        <v>60</v>
      </c>
      <c r="HH7" s="2" t="s">
        <v>58</v>
      </c>
      <c r="HI7" s="2" t="s">
        <v>57</v>
      </c>
      <c r="HJ7" s="2" t="s">
        <v>356</v>
      </c>
      <c r="HK7" s="2" t="s">
        <v>43</v>
      </c>
      <c r="HL7" s="2" t="s">
        <v>46</v>
      </c>
      <c r="HM7" s="2" t="s">
        <v>46</v>
      </c>
      <c r="HN7" s="2" t="s">
        <v>60</v>
      </c>
      <c r="HO7" s="2" t="s">
        <v>57</v>
      </c>
      <c r="HP7" s="2" t="s">
        <v>60</v>
      </c>
      <c r="HQ7" s="2" t="s">
        <v>362</v>
      </c>
      <c r="HR7" s="2" t="s">
        <v>44</v>
      </c>
      <c r="HS7" s="2" t="s">
        <v>46</v>
      </c>
      <c r="HT7" s="2" t="s">
        <v>46</v>
      </c>
      <c r="HU7" s="2" t="s">
        <v>58</v>
      </c>
      <c r="HV7" s="2" t="s">
        <v>57</v>
      </c>
      <c r="HW7" s="2" t="s">
        <v>59</v>
      </c>
      <c r="HX7" s="2" t="s">
        <v>368</v>
      </c>
      <c r="HY7" s="2" t="s">
        <v>43</v>
      </c>
      <c r="HZ7" s="2" t="s">
        <v>47</v>
      </c>
      <c r="IA7" s="2" t="s">
        <v>47</v>
      </c>
      <c r="IB7" s="2" t="s">
        <v>58</v>
      </c>
      <c r="IC7" s="2" t="s">
        <v>58</v>
      </c>
      <c r="ID7" s="2" t="s">
        <v>59</v>
      </c>
      <c r="IE7" s="2" t="s">
        <v>374</v>
      </c>
      <c r="IF7" s="2" t="s">
        <v>43</v>
      </c>
      <c r="IG7" s="2" t="s">
        <v>45</v>
      </c>
      <c r="IH7" s="2" t="s">
        <v>47</v>
      </c>
      <c r="II7" s="2" t="s">
        <v>60</v>
      </c>
      <c r="IJ7" s="2" t="s">
        <v>57</v>
      </c>
      <c r="IK7" s="2" t="s">
        <v>57</v>
      </c>
    </row>
    <row r="8" spans="1:245" x14ac:dyDescent="0.25">
      <c r="A8" s="2" t="s">
        <v>312</v>
      </c>
      <c r="B8" s="2" t="s">
        <v>336</v>
      </c>
      <c r="C8" s="2" t="s">
        <v>339</v>
      </c>
      <c r="D8" s="2" t="s">
        <v>43</v>
      </c>
      <c r="E8" s="2" t="s">
        <v>45</v>
      </c>
      <c r="F8" s="2" t="s">
        <v>45</v>
      </c>
      <c r="G8" s="2" t="s">
        <v>57</v>
      </c>
      <c r="H8" s="2" t="s">
        <v>58</v>
      </c>
      <c r="I8" s="2" t="s">
        <v>59</v>
      </c>
      <c r="J8" s="2" t="s">
        <v>340</v>
      </c>
      <c r="K8" s="2" t="s">
        <v>43</v>
      </c>
      <c r="L8" s="2" t="s">
        <v>46</v>
      </c>
      <c r="M8" s="2" t="s">
        <v>46</v>
      </c>
      <c r="N8" s="2" t="s">
        <v>58</v>
      </c>
      <c r="O8" s="2" t="s">
        <v>57</v>
      </c>
      <c r="P8" s="2" t="s">
        <v>58</v>
      </c>
      <c r="Q8" s="2" t="s">
        <v>341</v>
      </c>
      <c r="R8" s="2" t="s">
        <v>43</v>
      </c>
      <c r="S8" s="2" t="s">
        <v>47</v>
      </c>
      <c r="T8" s="2" t="s">
        <v>47</v>
      </c>
      <c r="U8" s="2" t="s">
        <v>58</v>
      </c>
      <c r="V8" s="2" t="s">
        <v>58</v>
      </c>
      <c r="W8" s="2" t="s">
        <v>58</v>
      </c>
      <c r="X8" s="2" t="s">
        <v>342</v>
      </c>
      <c r="Y8" s="2" t="s">
        <v>345</v>
      </c>
      <c r="Z8" s="2" t="s">
        <v>39</v>
      </c>
      <c r="AA8" s="2" t="s">
        <v>347</v>
      </c>
      <c r="AB8" s="2" t="s">
        <v>44</v>
      </c>
      <c r="AC8" s="2" t="s">
        <v>47</v>
      </c>
      <c r="AD8" s="2" t="s">
        <v>46</v>
      </c>
      <c r="AE8" s="2" t="s">
        <v>60</v>
      </c>
      <c r="AF8" s="2" t="s">
        <v>59</v>
      </c>
      <c r="AG8" s="2" t="s">
        <v>58</v>
      </c>
      <c r="AH8" s="2" t="s">
        <v>353</v>
      </c>
      <c r="AI8" s="2" t="s">
        <v>44</v>
      </c>
      <c r="AJ8" s="2" t="s">
        <v>47</v>
      </c>
      <c r="AK8" s="2" t="s">
        <v>47</v>
      </c>
      <c r="AL8" s="2" t="s">
        <v>59</v>
      </c>
      <c r="AM8" s="2" t="s">
        <v>58</v>
      </c>
      <c r="AN8" s="2" t="s">
        <v>59</v>
      </c>
      <c r="AO8" s="2" t="s">
        <v>359</v>
      </c>
      <c r="AP8" s="2" t="s">
        <v>43</v>
      </c>
      <c r="AQ8" s="2" t="s">
        <v>47</v>
      </c>
      <c r="AR8" s="2" t="s">
        <v>47</v>
      </c>
      <c r="AS8" s="2" t="s">
        <v>60</v>
      </c>
      <c r="AT8" s="2" t="s">
        <v>57</v>
      </c>
      <c r="AU8" s="2" t="s">
        <v>59</v>
      </c>
      <c r="AV8" s="2" t="s">
        <v>365</v>
      </c>
      <c r="AW8" s="2" t="s">
        <v>44</v>
      </c>
      <c r="AX8" s="2" t="s">
        <v>46</v>
      </c>
      <c r="AY8" s="2" t="s">
        <v>46</v>
      </c>
      <c r="AZ8" s="2" t="s">
        <v>58</v>
      </c>
      <c r="BA8" s="2" t="s">
        <v>58</v>
      </c>
      <c r="BB8" s="2" t="s">
        <v>59</v>
      </c>
      <c r="BC8" s="2" t="s">
        <v>371</v>
      </c>
      <c r="BD8" s="2" t="s">
        <v>43</v>
      </c>
      <c r="BE8" s="2" t="s">
        <v>46</v>
      </c>
      <c r="BF8" s="2" t="s">
        <v>46</v>
      </c>
      <c r="BG8" s="2" t="s">
        <v>57</v>
      </c>
      <c r="BH8" s="2" t="s">
        <v>60</v>
      </c>
      <c r="BI8" s="2" t="s">
        <v>59</v>
      </c>
      <c r="BJ8" s="2" t="s">
        <v>40</v>
      </c>
      <c r="BK8" s="2" t="s">
        <v>352</v>
      </c>
      <c r="BL8" s="2" t="s">
        <v>44</v>
      </c>
      <c r="BM8" s="2" t="s">
        <v>45</v>
      </c>
      <c r="BN8" s="2" t="s">
        <v>45</v>
      </c>
      <c r="BO8" s="2" t="s">
        <v>57</v>
      </c>
      <c r="BP8" s="2" t="s">
        <v>58</v>
      </c>
      <c r="BQ8" s="2" t="s">
        <v>58</v>
      </c>
      <c r="BR8" s="2" t="s">
        <v>358</v>
      </c>
      <c r="BS8" s="2" t="s">
        <v>43</v>
      </c>
      <c r="BT8" s="2" t="s">
        <v>47</v>
      </c>
      <c r="BU8" s="2" t="s">
        <v>47</v>
      </c>
      <c r="BV8" s="2" t="s">
        <v>57</v>
      </c>
      <c r="BW8" s="2" t="s">
        <v>60</v>
      </c>
      <c r="BX8" s="2" t="s">
        <v>59</v>
      </c>
      <c r="BY8" s="2" t="s">
        <v>364</v>
      </c>
      <c r="BZ8" s="2" t="s">
        <v>43</v>
      </c>
      <c r="CA8" s="2" t="s">
        <v>45</v>
      </c>
      <c r="CB8" s="2" t="s">
        <v>47</v>
      </c>
      <c r="CC8" s="2" t="s">
        <v>60</v>
      </c>
      <c r="CD8" s="2" t="s">
        <v>57</v>
      </c>
      <c r="CE8" s="2" t="s">
        <v>58</v>
      </c>
      <c r="CF8" s="2" t="s">
        <v>370</v>
      </c>
      <c r="CG8" s="2" t="s">
        <v>44</v>
      </c>
      <c r="CH8" s="2" t="s">
        <v>46</v>
      </c>
      <c r="CI8" s="2" t="s">
        <v>45</v>
      </c>
      <c r="CJ8" s="2" t="s">
        <v>60</v>
      </c>
      <c r="CK8" s="2" t="s">
        <v>59</v>
      </c>
      <c r="CL8" s="2" t="s">
        <v>60</v>
      </c>
      <c r="CM8" s="2" t="s">
        <v>372</v>
      </c>
      <c r="CN8" s="2" t="s">
        <v>372</v>
      </c>
      <c r="CO8" s="2" t="s">
        <v>372</v>
      </c>
      <c r="CP8" s="2" t="s">
        <v>372</v>
      </c>
      <c r="CQ8" s="2" t="s">
        <v>372</v>
      </c>
      <c r="CR8" s="2" t="s">
        <v>372</v>
      </c>
      <c r="CS8" s="2" t="s">
        <v>372</v>
      </c>
      <c r="CT8" s="2" t="s">
        <v>343</v>
      </c>
      <c r="CU8" s="2" t="s">
        <v>345</v>
      </c>
      <c r="CV8" s="2" t="s">
        <v>39</v>
      </c>
      <c r="CW8" s="2" t="s">
        <v>350</v>
      </c>
      <c r="CX8" s="2" t="s">
        <v>44</v>
      </c>
      <c r="CY8" s="2" t="s">
        <v>45</v>
      </c>
      <c r="CZ8" s="2" t="s">
        <v>45</v>
      </c>
      <c r="DA8" s="2" t="s">
        <v>60</v>
      </c>
      <c r="DB8" s="2" t="s">
        <v>58</v>
      </c>
      <c r="DC8" s="2" t="s">
        <v>57</v>
      </c>
      <c r="DD8" s="2" t="s">
        <v>356</v>
      </c>
      <c r="DE8" s="2" t="s">
        <v>43</v>
      </c>
      <c r="DF8" s="2" t="s">
        <v>46</v>
      </c>
      <c r="DG8" s="2" t="s">
        <v>45</v>
      </c>
      <c r="DH8" s="2" t="s">
        <v>60</v>
      </c>
      <c r="DI8" s="2" t="s">
        <v>57</v>
      </c>
      <c r="DJ8" s="2" t="s">
        <v>60</v>
      </c>
      <c r="DK8" s="2" t="s">
        <v>362</v>
      </c>
      <c r="DL8" s="2" t="s">
        <v>44</v>
      </c>
      <c r="DM8" s="2" t="s">
        <v>46</v>
      </c>
      <c r="DN8" s="2" t="s">
        <v>46</v>
      </c>
      <c r="DO8" s="2" t="s">
        <v>58</v>
      </c>
      <c r="DP8" s="2" t="s">
        <v>57</v>
      </c>
      <c r="DQ8" s="2" t="s">
        <v>59</v>
      </c>
      <c r="DR8" s="2" t="s">
        <v>368</v>
      </c>
      <c r="DS8" s="2" t="s">
        <v>43</v>
      </c>
      <c r="DT8" s="2" t="s">
        <v>47</v>
      </c>
      <c r="DU8" s="2" t="s">
        <v>47</v>
      </c>
      <c r="DV8" s="2" t="s">
        <v>58</v>
      </c>
      <c r="DW8" s="2" t="s">
        <v>58</v>
      </c>
      <c r="DX8" s="2" t="s">
        <v>59</v>
      </c>
      <c r="DY8" s="2" t="s">
        <v>374</v>
      </c>
      <c r="DZ8" s="2" t="s">
        <v>43</v>
      </c>
      <c r="EA8" s="2" t="s">
        <v>45</v>
      </c>
      <c r="EB8" s="2" t="s">
        <v>45</v>
      </c>
      <c r="EC8" s="2" t="s">
        <v>60</v>
      </c>
      <c r="ED8" s="2" t="s">
        <v>57</v>
      </c>
      <c r="EE8" s="2" t="s">
        <v>57</v>
      </c>
      <c r="EF8" s="2" t="s">
        <v>40</v>
      </c>
      <c r="EG8" s="2" t="s">
        <v>348</v>
      </c>
      <c r="EH8" s="2" t="s">
        <v>44</v>
      </c>
      <c r="EI8" s="2" t="s">
        <v>47</v>
      </c>
      <c r="EJ8" s="2" t="s">
        <v>47</v>
      </c>
      <c r="EK8" s="2" t="s">
        <v>57</v>
      </c>
      <c r="EL8" s="2" t="s">
        <v>57</v>
      </c>
      <c r="EM8" s="2" t="s">
        <v>58</v>
      </c>
      <c r="EN8" s="2" t="s">
        <v>354</v>
      </c>
      <c r="EO8" s="2" t="s">
        <v>44</v>
      </c>
      <c r="EP8" s="2" t="s">
        <v>45</v>
      </c>
      <c r="EQ8" s="2" t="s">
        <v>47</v>
      </c>
      <c r="ER8" s="2" t="s">
        <v>59</v>
      </c>
      <c r="ES8" s="2" t="s">
        <v>57</v>
      </c>
      <c r="ET8" s="2" t="s">
        <v>60</v>
      </c>
      <c r="EU8" s="2" t="s">
        <v>360</v>
      </c>
      <c r="EV8" s="2" t="s">
        <v>44</v>
      </c>
      <c r="EW8" s="2" t="s">
        <v>45</v>
      </c>
      <c r="EX8" s="2" t="s">
        <v>47</v>
      </c>
      <c r="EY8" s="2" t="s">
        <v>60</v>
      </c>
      <c r="EZ8" s="2" t="s">
        <v>60</v>
      </c>
      <c r="FA8" s="2" t="s">
        <v>60</v>
      </c>
      <c r="FB8" s="2" t="s">
        <v>366</v>
      </c>
      <c r="FC8" s="2" t="s">
        <v>43</v>
      </c>
      <c r="FD8" s="2" t="s">
        <v>47</v>
      </c>
      <c r="FE8" s="2" t="s">
        <v>47</v>
      </c>
      <c r="FF8" s="2" t="s">
        <v>60</v>
      </c>
      <c r="FG8" s="2" t="s">
        <v>60</v>
      </c>
      <c r="FH8" s="2" t="s">
        <v>60</v>
      </c>
      <c r="FI8" s="2" t="s">
        <v>372</v>
      </c>
      <c r="FJ8" s="2" t="s">
        <v>372</v>
      </c>
      <c r="FK8" s="2" t="s">
        <v>372</v>
      </c>
      <c r="FL8" s="2" t="s">
        <v>372</v>
      </c>
      <c r="FM8" s="2" t="s">
        <v>372</v>
      </c>
      <c r="FN8" s="2" t="s">
        <v>372</v>
      </c>
      <c r="FO8" s="2" t="s">
        <v>372</v>
      </c>
      <c r="FP8" s="2" t="s">
        <v>344</v>
      </c>
      <c r="FQ8" s="2" t="s">
        <v>346</v>
      </c>
      <c r="FR8" s="2" t="s">
        <v>40</v>
      </c>
      <c r="FS8" s="2" t="s">
        <v>351</v>
      </c>
      <c r="FT8" s="2" t="s">
        <v>44</v>
      </c>
      <c r="FU8" s="2" t="s">
        <v>45</v>
      </c>
      <c r="FV8" s="2" t="s">
        <v>47</v>
      </c>
      <c r="FW8" s="2" t="s">
        <v>57</v>
      </c>
      <c r="FX8" s="2" t="s">
        <v>58</v>
      </c>
      <c r="FY8" s="2" t="s">
        <v>60</v>
      </c>
      <c r="FZ8" s="2" t="s">
        <v>357</v>
      </c>
      <c r="GA8" s="2" t="s">
        <v>43</v>
      </c>
      <c r="GB8" s="2" t="s">
        <v>47</v>
      </c>
      <c r="GC8" s="2" t="s">
        <v>46</v>
      </c>
      <c r="GD8" s="2" t="s">
        <v>58</v>
      </c>
      <c r="GE8" s="2" t="s">
        <v>57</v>
      </c>
      <c r="GF8" s="2" t="s">
        <v>59</v>
      </c>
      <c r="GG8" s="2" t="s">
        <v>363</v>
      </c>
      <c r="GH8" s="2" t="s">
        <v>43</v>
      </c>
      <c r="GI8" s="2" t="s">
        <v>45</v>
      </c>
      <c r="GJ8" s="2" t="s">
        <v>45</v>
      </c>
      <c r="GK8" s="2" t="s">
        <v>58</v>
      </c>
      <c r="GL8" s="2" t="s">
        <v>58</v>
      </c>
      <c r="GM8" s="2" t="s">
        <v>60</v>
      </c>
      <c r="GN8" s="2" t="s">
        <v>369</v>
      </c>
      <c r="GO8" s="2" t="s">
        <v>43</v>
      </c>
      <c r="GP8" s="2" t="s">
        <v>47</v>
      </c>
      <c r="GQ8" s="2" t="s">
        <v>47</v>
      </c>
      <c r="GR8" s="2" t="s">
        <v>59</v>
      </c>
      <c r="GS8" s="2" t="s">
        <v>57</v>
      </c>
      <c r="GT8" s="2" t="s">
        <v>57</v>
      </c>
      <c r="GU8" s="2" t="s">
        <v>372</v>
      </c>
      <c r="GV8" s="2" t="s">
        <v>372</v>
      </c>
      <c r="GW8" s="2" t="s">
        <v>372</v>
      </c>
      <c r="GX8" s="2" t="s">
        <v>372</v>
      </c>
      <c r="GY8" s="2" t="s">
        <v>372</v>
      </c>
      <c r="GZ8" s="2" t="s">
        <v>372</v>
      </c>
      <c r="HA8" s="2" t="s">
        <v>372</v>
      </c>
      <c r="HB8" s="2" t="s">
        <v>39</v>
      </c>
      <c r="HC8" s="2" t="s">
        <v>349</v>
      </c>
      <c r="HD8" s="2" t="s">
        <v>43</v>
      </c>
      <c r="HE8" s="2" t="s">
        <v>47</v>
      </c>
      <c r="HF8" s="2" t="s">
        <v>46</v>
      </c>
      <c r="HG8" s="2" t="s">
        <v>59</v>
      </c>
      <c r="HH8" s="2" t="s">
        <v>59</v>
      </c>
      <c r="HI8" s="2" t="s">
        <v>58</v>
      </c>
      <c r="HJ8" s="2" t="s">
        <v>355</v>
      </c>
      <c r="HK8" s="2" t="s">
        <v>43</v>
      </c>
      <c r="HL8" s="2" t="s">
        <v>47</v>
      </c>
      <c r="HM8" s="2" t="s">
        <v>47</v>
      </c>
      <c r="HN8" s="2" t="s">
        <v>59</v>
      </c>
      <c r="HO8" s="2" t="s">
        <v>60</v>
      </c>
      <c r="HP8" s="2" t="s">
        <v>60</v>
      </c>
      <c r="HQ8" s="2" t="s">
        <v>361</v>
      </c>
      <c r="HR8" s="2" t="s">
        <v>44</v>
      </c>
      <c r="HS8" s="2" t="s">
        <v>47</v>
      </c>
      <c r="HT8" s="2" t="s">
        <v>47</v>
      </c>
      <c r="HU8" s="2" t="s">
        <v>59</v>
      </c>
      <c r="HV8" s="2" t="s">
        <v>60</v>
      </c>
      <c r="HW8" s="2" t="s">
        <v>57</v>
      </c>
      <c r="HX8" s="2" t="s">
        <v>367</v>
      </c>
      <c r="HY8" s="2" t="s">
        <v>43</v>
      </c>
      <c r="HZ8" s="2" t="s">
        <v>46</v>
      </c>
      <c r="IA8" s="2" t="s">
        <v>46</v>
      </c>
      <c r="IB8" s="2" t="s">
        <v>58</v>
      </c>
      <c r="IC8" s="2" t="s">
        <v>59</v>
      </c>
      <c r="ID8" s="2" t="s">
        <v>58</v>
      </c>
      <c r="IE8" s="2" t="s">
        <v>373</v>
      </c>
      <c r="IF8" s="2" t="s">
        <v>44</v>
      </c>
      <c r="IG8" s="2" t="s">
        <v>46</v>
      </c>
      <c r="IH8" s="2" t="s">
        <v>46</v>
      </c>
      <c r="II8" s="2" t="s">
        <v>58</v>
      </c>
      <c r="IJ8" s="2" t="s">
        <v>58</v>
      </c>
      <c r="IK8" s="2" t="s">
        <v>57</v>
      </c>
    </row>
    <row r="9" spans="1:245" x14ac:dyDescent="0.25">
      <c r="A9" s="2" t="s">
        <v>313</v>
      </c>
      <c r="B9" s="2" t="s">
        <v>337</v>
      </c>
      <c r="C9" s="2" t="s">
        <v>339</v>
      </c>
      <c r="D9" s="2" t="s">
        <v>43</v>
      </c>
      <c r="E9" s="2" t="s">
        <v>45</v>
      </c>
      <c r="F9" s="2" t="s">
        <v>45</v>
      </c>
      <c r="G9" s="2" t="s">
        <v>57</v>
      </c>
      <c r="H9" s="2" t="s">
        <v>58</v>
      </c>
      <c r="I9" s="2" t="s">
        <v>59</v>
      </c>
      <c r="J9" s="2" t="s">
        <v>340</v>
      </c>
      <c r="K9" s="2" t="s">
        <v>43</v>
      </c>
      <c r="L9" s="2" t="s">
        <v>46</v>
      </c>
      <c r="M9" s="2" t="s">
        <v>46</v>
      </c>
      <c r="N9" s="2" t="s">
        <v>58</v>
      </c>
      <c r="O9" s="2" t="s">
        <v>57</v>
      </c>
      <c r="P9" s="2" t="s">
        <v>58</v>
      </c>
      <c r="Q9" s="2" t="s">
        <v>341</v>
      </c>
      <c r="R9" s="2" t="s">
        <v>43</v>
      </c>
      <c r="S9" s="2" t="s">
        <v>47</v>
      </c>
      <c r="T9" s="2" t="s">
        <v>47</v>
      </c>
      <c r="U9" s="2" t="s">
        <v>58</v>
      </c>
      <c r="V9" s="2" t="s">
        <v>58</v>
      </c>
      <c r="W9" s="2" t="s">
        <v>58</v>
      </c>
      <c r="X9" s="2" t="s">
        <v>343</v>
      </c>
      <c r="Y9" s="2" t="s">
        <v>346</v>
      </c>
      <c r="Z9" s="2" t="s">
        <v>40</v>
      </c>
      <c r="AA9" s="2" t="s">
        <v>348</v>
      </c>
      <c r="AB9" s="2" t="s">
        <v>44</v>
      </c>
      <c r="AC9" s="2" t="s">
        <v>47</v>
      </c>
      <c r="AD9" s="2" t="s">
        <v>46</v>
      </c>
      <c r="AE9" s="2" t="s">
        <v>57</v>
      </c>
      <c r="AF9" s="2" t="s">
        <v>57</v>
      </c>
      <c r="AG9" s="2" t="s">
        <v>58</v>
      </c>
      <c r="AH9" s="2" t="s">
        <v>354</v>
      </c>
      <c r="AI9" s="2" t="s">
        <v>44</v>
      </c>
      <c r="AJ9" s="2" t="s">
        <v>45</v>
      </c>
      <c r="AK9" s="2" t="s">
        <v>45</v>
      </c>
      <c r="AL9" s="2" t="s">
        <v>59</v>
      </c>
      <c r="AM9" s="2" t="s">
        <v>57</v>
      </c>
      <c r="AN9" s="2" t="s">
        <v>60</v>
      </c>
      <c r="AO9" s="2" t="s">
        <v>360</v>
      </c>
      <c r="AP9" s="2" t="s">
        <v>44</v>
      </c>
      <c r="AQ9" s="2" t="s">
        <v>45</v>
      </c>
      <c r="AR9" s="2" t="s">
        <v>45</v>
      </c>
      <c r="AS9" s="2" t="s">
        <v>60</v>
      </c>
      <c r="AT9" s="2" t="s">
        <v>60</v>
      </c>
      <c r="AU9" s="2" t="s">
        <v>60</v>
      </c>
      <c r="AV9" s="2" t="s">
        <v>366</v>
      </c>
      <c r="AW9" s="2" t="s">
        <v>43</v>
      </c>
      <c r="AX9" s="2" t="s">
        <v>47</v>
      </c>
      <c r="AY9" s="2" t="s">
        <v>46</v>
      </c>
      <c r="AZ9" s="2" t="s">
        <v>60</v>
      </c>
      <c r="BA9" s="2" t="s">
        <v>60</v>
      </c>
      <c r="BB9" s="2" t="s">
        <v>60</v>
      </c>
      <c r="BC9" s="2" t="s">
        <v>372</v>
      </c>
      <c r="BD9" s="2" t="s">
        <v>372</v>
      </c>
      <c r="BE9" s="2" t="s">
        <v>372</v>
      </c>
      <c r="BF9" s="2" t="s">
        <v>372</v>
      </c>
      <c r="BG9" s="2" t="s">
        <v>372</v>
      </c>
      <c r="BH9" s="2" t="s">
        <v>372</v>
      </c>
      <c r="BI9" s="2" t="s">
        <v>372</v>
      </c>
      <c r="BJ9" s="2" t="s">
        <v>39</v>
      </c>
      <c r="BK9" s="2" t="s">
        <v>350</v>
      </c>
      <c r="BL9" s="2" t="s">
        <v>44</v>
      </c>
      <c r="BM9" s="2" t="s">
        <v>45</v>
      </c>
      <c r="BN9" s="2" t="s">
        <v>47</v>
      </c>
      <c r="BO9" s="2" t="s">
        <v>60</v>
      </c>
      <c r="BP9" s="2" t="s">
        <v>58</v>
      </c>
      <c r="BQ9" s="2" t="s">
        <v>57</v>
      </c>
      <c r="BR9" s="2" t="s">
        <v>356</v>
      </c>
      <c r="BS9" s="2" t="s">
        <v>43</v>
      </c>
      <c r="BT9" s="2" t="s">
        <v>46</v>
      </c>
      <c r="BU9" s="2" t="s">
        <v>46</v>
      </c>
      <c r="BV9" s="2" t="s">
        <v>60</v>
      </c>
      <c r="BW9" s="2" t="s">
        <v>57</v>
      </c>
      <c r="BX9" s="2" t="s">
        <v>60</v>
      </c>
      <c r="BY9" s="2" t="s">
        <v>362</v>
      </c>
      <c r="BZ9" s="2" t="s">
        <v>44</v>
      </c>
      <c r="CA9" s="2" t="s">
        <v>46</v>
      </c>
      <c r="CB9" s="2" t="s">
        <v>46</v>
      </c>
      <c r="CC9" s="2" t="s">
        <v>58</v>
      </c>
      <c r="CD9" s="2" t="s">
        <v>57</v>
      </c>
      <c r="CE9" s="2" t="s">
        <v>59</v>
      </c>
      <c r="CF9" s="2" t="s">
        <v>368</v>
      </c>
      <c r="CG9" s="2" t="s">
        <v>43</v>
      </c>
      <c r="CH9" s="2" t="s">
        <v>47</v>
      </c>
      <c r="CI9" s="2" t="s">
        <v>47</v>
      </c>
      <c r="CJ9" s="2" t="s">
        <v>58</v>
      </c>
      <c r="CK9" s="2" t="s">
        <v>58</v>
      </c>
      <c r="CL9" s="2" t="s">
        <v>59</v>
      </c>
      <c r="CM9" s="2" t="s">
        <v>374</v>
      </c>
      <c r="CN9" s="2" t="s">
        <v>43</v>
      </c>
      <c r="CO9" s="2" t="s">
        <v>45</v>
      </c>
      <c r="CP9" s="2" t="s">
        <v>45</v>
      </c>
      <c r="CQ9" s="2" t="s">
        <v>60</v>
      </c>
      <c r="CR9" s="2" t="s">
        <v>57</v>
      </c>
      <c r="CS9" s="2" t="s">
        <v>57</v>
      </c>
      <c r="CT9" s="2" t="s">
        <v>344</v>
      </c>
      <c r="CU9" s="2" t="s">
        <v>345</v>
      </c>
      <c r="CV9" s="2" t="s">
        <v>39</v>
      </c>
      <c r="CW9" s="2" t="s">
        <v>349</v>
      </c>
      <c r="CX9" s="2" t="s">
        <v>43</v>
      </c>
      <c r="CY9" s="2" t="s">
        <v>47</v>
      </c>
      <c r="CZ9" s="2" t="s">
        <v>47</v>
      </c>
      <c r="DA9" s="2" t="s">
        <v>59</v>
      </c>
      <c r="DB9" s="2" t="s">
        <v>59</v>
      </c>
      <c r="DC9" s="2" t="s">
        <v>58</v>
      </c>
      <c r="DD9" s="2" t="s">
        <v>355</v>
      </c>
      <c r="DE9" s="2" t="s">
        <v>43</v>
      </c>
      <c r="DF9" s="2" t="s">
        <v>47</v>
      </c>
      <c r="DG9" s="2" t="s">
        <v>47</v>
      </c>
      <c r="DH9" s="2" t="s">
        <v>59</v>
      </c>
      <c r="DI9" s="2" t="s">
        <v>60</v>
      </c>
      <c r="DJ9" s="2" t="s">
        <v>60</v>
      </c>
      <c r="DK9" s="2" t="s">
        <v>361</v>
      </c>
      <c r="DL9" s="2" t="s">
        <v>44</v>
      </c>
      <c r="DM9" s="2" t="s">
        <v>47</v>
      </c>
      <c r="DN9" s="2" t="s">
        <v>46</v>
      </c>
      <c r="DO9" s="2" t="s">
        <v>59</v>
      </c>
      <c r="DP9" s="2" t="s">
        <v>60</v>
      </c>
      <c r="DQ9" s="2" t="s">
        <v>57</v>
      </c>
      <c r="DR9" s="2" t="s">
        <v>367</v>
      </c>
      <c r="DS9" s="2" t="s">
        <v>43</v>
      </c>
      <c r="DT9" s="2" t="s">
        <v>46</v>
      </c>
      <c r="DU9" s="2" t="s">
        <v>46</v>
      </c>
      <c r="DV9" s="2" t="s">
        <v>58</v>
      </c>
      <c r="DW9" s="2" t="s">
        <v>59</v>
      </c>
      <c r="DX9" s="2" t="s">
        <v>58</v>
      </c>
      <c r="DY9" s="2" t="s">
        <v>373</v>
      </c>
      <c r="DZ9" s="2" t="s">
        <v>44</v>
      </c>
      <c r="EA9" s="2" t="s">
        <v>46</v>
      </c>
      <c r="EB9" s="2" t="s">
        <v>46</v>
      </c>
      <c r="EC9" s="2" t="s">
        <v>58</v>
      </c>
      <c r="ED9" s="2" t="s">
        <v>58</v>
      </c>
      <c r="EE9" s="2" t="s">
        <v>57</v>
      </c>
      <c r="EF9" s="2" t="s">
        <v>40</v>
      </c>
      <c r="EG9" s="2" t="s">
        <v>351</v>
      </c>
      <c r="EH9" s="2" t="s">
        <v>44</v>
      </c>
      <c r="EI9" s="2" t="s">
        <v>45</v>
      </c>
      <c r="EJ9" s="2" t="s">
        <v>45</v>
      </c>
      <c r="EK9" s="2" t="s">
        <v>57</v>
      </c>
      <c r="EL9" s="2" t="s">
        <v>58</v>
      </c>
      <c r="EM9" s="2" t="s">
        <v>60</v>
      </c>
      <c r="EN9" s="2" t="s">
        <v>357</v>
      </c>
      <c r="EO9" s="2" t="s">
        <v>43</v>
      </c>
      <c r="EP9" s="2" t="s">
        <v>47</v>
      </c>
      <c r="EQ9" s="2" t="s">
        <v>46</v>
      </c>
      <c r="ER9" s="2" t="s">
        <v>58</v>
      </c>
      <c r="ES9" s="2" t="s">
        <v>57</v>
      </c>
      <c r="ET9" s="2" t="s">
        <v>59</v>
      </c>
      <c r="EU9" s="2" t="s">
        <v>363</v>
      </c>
      <c r="EV9" s="2" t="s">
        <v>43</v>
      </c>
      <c r="EW9" s="2" t="s">
        <v>45</v>
      </c>
      <c r="EX9" s="2" t="s">
        <v>47</v>
      </c>
      <c r="EY9" s="2" t="s">
        <v>58</v>
      </c>
      <c r="EZ9" s="2" t="s">
        <v>58</v>
      </c>
      <c r="FA9" s="2" t="s">
        <v>60</v>
      </c>
      <c r="FB9" s="2" t="s">
        <v>369</v>
      </c>
      <c r="FC9" s="2" t="s">
        <v>43</v>
      </c>
      <c r="FD9" s="2" t="s">
        <v>47</v>
      </c>
      <c r="FE9" s="2" t="s">
        <v>47</v>
      </c>
      <c r="FF9" s="2" t="s">
        <v>59</v>
      </c>
      <c r="FG9" s="2" t="s">
        <v>57</v>
      </c>
      <c r="FH9" s="2" t="s">
        <v>57</v>
      </c>
      <c r="FI9" s="2" t="s">
        <v>372</v>
      </c>
      <c r="FJ9" s="2" t="s">
        <v>372</v>
      </c>
      <c r="FK9" s="2" t="s">
        <v>372</v>
      </c>
      <c r="FL9" s="2" t="s">
        <v>372</v>
      </c>
      <c r="FM9" s="2" t="s">
        <v>372</v>
      </c>
      <c r="FN9" s="2" t="s">
        <v>372</v>
      </c>
      <c r="FO9" s="2" t="s">
        <v>372</v>
      </c>
      <c r="FP9" s="2" t="s">
        <v>342</v>
      </c>
      <c r="FQ9" s="2" t="s">
        <v>345</v>
      </c>
      <c r="FR9" s="2" t="s">
        <v>39</v>
      </c>
      <c r="FS9" s="2" t="s">
        <v>347</v>
      </c>
      <c r="FT9" s="2" t="s">
        <v>44</v>
      </c>
      <c r="FU9" s="2" t="s">
        <v>47</v>
      </c>
      <c r="FV9" s="2" t="s">
        <v>47</v>
      </c>
      <c r="FW9" s="2" t="s">
        <v>60</v>
      </c>
      <c r="FX9" s="2" t="s">
        <v>59</v>
      </c>
      <c r="FY9" s="2" t="s">
        <v>58</v>
      </c>
      <c r="FZ9" s="2" t="s">
        <v>353</v>
      </c>
      <c r="GA9" s="2" t="s">
        <v>44</v>
      </c>
      <c r="GB9" s="2" t="s">
        <v>47</v>
      </c>
      <c r="GC9" s="2" t="s">
        <v>47</v>
      </c>
      <c r="GD9" s="2" t="s">
        <v>59</v>
      </c>
      <c r="GE9" s="2" t="s">
        <v>58</v>
      </c>
      <c r="GF9" s="2" t="s">
        <v>59</v>
      </c>
      <c r="GG9" s="2" t="s">
        <v>359</v>
      </c>
      <c r="GH9" s="2" t="s">
        <v>43</v>
      </c>
      <c r="GI9" s="2" t="s">
        <v>47</v>
      </c>
      <c r="GJ9" s="2" t="s">
        <v>47</v>
      </c>
      <c r="GK9" s="2" t="s">
        <v>60</v>
      </c>
      <c r="GL9" s="2" t="s">
        <v>57</v>
      </c>
      <c r="GM9" s="2" t="s">
        <v>59</v>
      </c>
      <c r="GN9" s="2" t="s">
        <v>365</v>
      </c>
      <c r="GO9" s="2" t="s">
        <v>44</v>
      </c>
      <c r="GP9" s="2" t="s">
        <v>46</v>
      </c>
      <c r="GQ9" s="2" t="s">
        <v>45</v>
      </c>
      <c r="GR9" s="2" t="s">
        <v>58</v>
      </c>
      <c r="GS9" s="2" t="s">
        <v>58</v>
      </c>
      <c r="GT9" s="2" t="s">
        <v>59</v>
      </c>
      <c r="GU9" s="2" t="s">
        <v>371</v>
      </c>
      <c r="GV9" s="2" t="s">
        <v>43</v>
      </c>
      <c r="GW9" s="2" t="s">
        <v>46</v>
      </c>
      <c r="GX9" s="2" t="s">
        <v>46</v>
      </c>
      <c r="GY9" s="2" t="s">
        <v>57</v>
      </c>
      <c r="GZ9" s="2" t="s">
        <v>60</v>
      </c>
      <c r="HA9" s="2" t="s">
        <v>59</v>
      </c>
      <c r="HB9" s="2" t="s">
        <v>40</v>
      </c>
      <c r="HC9" s="2" t="s">
        <v>352</v>
      </c>
      <c r="HD9" s="2" t="s">
        <v>44</v>
      </c>
      <c r="HE9" s="2" t="s">
        <v>45</v>
      </c>
      <c r="HF9" s="2" t="s">
        <v>45</v>
      </c>
      <c r="HG9" s="2" t="s">
        <v>57</v>
      </c>
      <c r="HH9" s="2" t="s">
        <v>58</v>
      </c>
      <c r="HI9" s="2" t="s">
        <v>58</v>
      </c>
      <c r="HJ9" s="2" t="s">
        <v>358</v>
      </c>
      <c r="HK9" s="2" t="s">
        <v>43</v>
      </c>
      <c r="HL9" s="2" t="s">
        <v>47</v>
      </c>
      <c r="HM9" s="2" t="s">
        <v>46</v>
      </c>
      <c r="HN9" s="2" t="s">
        <v>57</v>
      </c>
      <c r="HO9" s="2" t="s">
        <v>60</v>
      </c>
      <c r="HP9" s="2" t="s">
        <v>59</v>
      </c>
      <c r="HQ9" s="2" t="s">
        <v>364</v>
      </c>
      <c r="HR9" s="2" t="s">
        <v>43</v>
      </c>
      <c r="HS9" s="2" t="s">
        <v>45</v>
      </c>
      <c r="HT9" s="2" t="s">
        <v>47</v>
      </c>
      <c r="HU9" s="2" t="s">
        <v>60</v>
      </c>
      <c r="HV9" s="2" t="s">
        <v>57</v>
      </c>
      <c r="HW9" s="2" t="s">
        <v>58</v>
      </c>
      <c r="HX9" s="2" t="s">
        <v>370</v>
      </c>
      <c r="HY9" s="2" t="s">
        <v>44</v>
      </c>
      <c r="HZ9" s="2" t="s">
        <v>46</v>
      </c>
      <c r="IA9" s="2" t="s">
        <v>46</v>
      </c>
      <c r="IB9" s="2" t="s">
        <v>60</v>
      </c>
      <c r="IC9" s="2" t="s">
        <v>59</v>
      </c>
      <c r="ID9" s="2" t="s">
        <v>60</v>
      </c>
      <c r="IE9" s="2" t="s">
        <v>372</v>
      </c>
      <c r="IF9" s="2" t="s">
        <v>372</v>
      </c>
      <c r="IG9" s="2" t="s">
        <v>372</v>
      </c>
      <c r="IH9" s="2" t="s">
        <v>372</v>
      </c>
      <c r="II9" s="2" t="s">
        <v>372</v>
      </c>
      <c r="IJ9" s="2" t="s">
        <v>372</v>
      </c>
      <c r="IK9" s="2" t="s">
        <v>372</v>
      </c>
    </row>
    <row r="10" spans="1:245" x14ac:dyDescent="0.25">
      <c r="A10" s="2" t="s">
        <v>314</v>
      </c>
      <c r="B10" s="2" t="s">
        <v>338</v>
      </c>
      <c r="C10" s="2" t="s">
        <v>339</v>
      </c>
      <c r="D10" s="2" t="s">
        <v>43</v>
      </c>
      <c r="E10" s="2" t="s">
        <v>45</v>
      </c>
      <c r="F10" s="2" t="s">
        <v>45</v>
      </c>
      <c r="G10" s="2" t="s">
        <v>57</v>
      </c>
      <c r="H10" s="2" t="s">
        <v>58</v>
      </c>
      <c r="I10" s="2" t="s">
        <v>59</v>
      </c>
      <c r="J10" s="2" t="s">
        <v>340</v>
      </c>
      <c r="K10" s="2" t="s">
        <v>43</v>
      </c>
      <c r="L10" s="2" t="s">
        <v>46</v>
      </c>
      <c r="M10" s="2" t="s">
        <v>46</v>
      </c>
      <c r="N10" s="2" t="s">
        <v>58</v>
      </c>
      <c r="O10" s="2" t="s">
        <v>57</v>
      </c>
      <c r="P10" s="2" t="s">
        <v>58</v>
      </c>
      <c r="Q10" s="2" t="s">
        <v>341</v>
      </c>
      <c r="R10" s="2" t="s">
        <v>43</v>
      </c>
      <c r="S10" s="2" t="s">
        <v>47</v>
      </c>
      <c r="T10" s="2" t="s">
        <v>47</v>
      </c>
      <c r="U10" s="2" t="s">
        <v>58</v>
      </c>
      <c r="V10" s="2" t="s">
        <v>58</v>
      </c>
      <c r="W10" s="2" t="s">
        <v>58</v>
      </c>
      <c r="X10" s="2" t="s">
        <v>344</v>
      </c>
      <c r="Y10" s="2" t="s">
        <v>346</v>
      </c>
      <c r="Z10" s="2" t="s">
        <v>40</v>
      </c>
      <c r="AA10" s="2" t="s">
        <v>351</v>
      </c>
      <c r="AB10" s="2" t="s">
        <v>44</v>
      </c>
      <c r="AC10" s="2" t="s">
        <v>45</v>
      </c>
      <c r="AD10" s="2" t="s">
        <v>45</v>
      </c>
      <c r="AE10" s="2" t="s">
        <v>57</v>
      </c>
      <c r="AF10" s="2" t="s">
        <v>58</v>
      </c>
      <c r="AG10" s="2" t="s">
        <v>60</v>
      </c>
      <c r="AH10" s="2" t="s">
        <v>357</v>
      </c>
      <c r="AI10" s="2" t="s">
        <v>43</v>
      </c>
      <c r="AJ10" s="2" t="s">
        <v>47</v>
      </c>
      <c r="AK10" s="2" t="s">
        <v>47</v>
      </c>
      <c r="AL10" s="2" t="s">
        <v>58</v>
      </c>
      <c r="AM10" s="2" t="s">
        <v>57</v>
      </c>
      <c r="AN10" s="2" t="s">
        <v>59</v>
      </c>
      <c r="AO10" s="2" t="s">
        <v>363</v>
      </c>
      <c r="AP10" s="2" t="s">
        <v>43</v>
      </c>
      <c r="AQ10" s="2" t="s">
        <v>45</v>
      </c>
      <c r="AR10" s="2" t="s">
        <v>47</v>
      </c>
      <c r="AS10" s="2" t="s">
        <v>58</v>
      </c>
      <c r="AT10" s="2" t="s">
        <v>58</v>
      </c>
      <c r="AU10" s="2" t="s">
        <v>60</v>
      </c>
      <c r="AV10" s="2" t="s">
        <v>369</v>
      </c>
      <c r="AW10" s="2" t="s">
        <v>43</v>
      </c>
      <c r="AX10" s="2" t="s">
        <v>47</v>
      </c>
      <c r="AY10" s="2" t="s">
        <v>46</v>
      </c>
      <c r="AZ10" s="2" t="s">
        <v>59</v>
      </c>
      <c r="BA10" s="2" t="s">
        <v>57</v>
      </c>
      <c r="BB10" s="2" t="s">
        <v>57</v>
      </c>
      <c r="BC10" s="2" t="s">
        <v>372</v>
      </c>
      <c r="BD10" s="2" t="s">
        <v>372</v>
      </c>
      <c r="BE10" s="2" t="s">
        <v>372</v>
      </c>
      <c r="BF10" s="2" t="s">
        <v>372</v>
      </c>
      <c r="BG10" s="2" t="s">
        <v>372</v>
      </c>
      <c r="BH10" s="2" t="s">
        <v>372</v>
      </c>
      <c r="BI10" s="2" t="s">
        <v>372</v>
      </c>
      <c r="BJ10" s="2" t="s">
        <v>39</v>
      </c>
      <c r="BK10" s="2" t="s">
        <v>349</v>
      </c>
      <c r="BL10" s="2" t="s">
        <v>43</v>
      </c>
      <c r="BM10" s="2" t="s">
        <v>47</v>
      </c>
      <c r="BN10" s="2" t="s">
        <v>46</v>
      </c>
      <c r="BO10" s="2" t="s">
        <v>59</v>
      </c>
      <c r="BP10" s="2" t="s">
        <v>59</v>
      </c>
      <c r="BQ10" s="2" t="s">
        <v>58</v>
      </c>
      <c r="BR10" s="2" t="s">
        <v>355</v>
      </c>
      <c r="BS10" s="2" t="s">
        <v>43</v>
      </c>
      <c r="BT10" s="2" t="s">
        <v>47</v>
      </c>
      <c r="BU10" s="2" t="s">
        <v>47</v>
      </c>
      <c r="BV10" s="2" t="s">
        <v>59</v>
      </c>
      <c r="BW10" s="2" t="s">
        <v>60</v>
      </c>
      <c r="BX10" s="2" t="s">
        <v>60</v>
      </c>
      <c r="BY10" s="2" t="s">
        <v>361</v>
      </c>
      <c r="BZ10" s="2" t="s">
        <v>44</v>
      </c>
      <c r="CA10" s="2" t="s">
        <v>47</v>
      </c>
      <c r="CB10" s="2" t="s">
        <v>47</v>
      </c>
      <c r="CC10" s="2" t="s">
        <v>59</v>
      </c>
      <c r="CD10" s="2" t="s">
        <v>60</v>
      </c>
      <c r="CE10" s="2" t="s">
        <v>57</v>
      </c>
      <c r="CF10" s="2" t="s">
        <v>367</v>
      </c>
      <c r="CG10" s="2" t="s">
        <v>43</v>
      </c>
      <c r="CH10" s="2" t="s">
        <v>46</v>
      </c>
      <c r="CI10" s="2" t="s">
        <v>46</v>
      </c>
      <c r="CJ10" s="2" t="s">
        <v>58</v>
      </c>
      <c r="CK10" s="2" t="s">
        <v>59</v>
      </c>
      <c r="CL10" s="2" t="s">
        <v>58</v>
      </c>
      <c r="CM10" s="2" t="s">
        <v>373</v>
      </c>
      <c r="CN10" s="2" t="s">
        <v>44</v>
      </c>
      <c r="CO10" s="2" t="s">
        <v>46</v>
      </c>
      <c r="CP10" s="2" t="s">
        <v>46</v>
      </c>
      <c r="CQ10" s="2" t="s">
        <v>58</v>
      </c>
      <c r="CR10" s="2" t="s">
        <v>58</v>
      </c>
      <c r="CS10" s="2" t="s">
        <v>57</v>
      </c>
      <c r="CT10" s="2" t="s">
        <v>342</v>
      </c>
      <c r="CU10" s="2" t="s">
        <v>345</v>
      </c>
      <c r="CV10" s="2" t="s">
        <v>39</v>
      </c>
      <c r="CW10" s="2" t="s">
        <v>347</v>
      </c>
      <c r="CX10" s="2" t="s">
        <v>44</v>
      </c>
      <c r="CY10" s="2" t="s">
        <v>47</v>
      </c>
      <c r="CZ10" s="2" t="s">
        <v>47</v>
      </c>
      <c r="DA10" s="2" t="s">
        <v>60</v>
      </c>
      <c r="DB10" s="2" t="s">
        <v>59</v>
      </c>
      <c r="DC10" s="2" t="s">
        <v>58</v>
      </c>
      <c r="DD10" s="2" t="s">
        <v>353</v>
      </c>
      <c r="DE10" s="2" t="s">
        <v>44</v>
      </c>
      <c r="DF10" s="2" t="s">
        <v>47</v>
      </c>
      <c r="DG10" s="2" t="s">
        <v>47</v>
      </c>
      <c r="DH10" s="2" t="s">
        <v>59</v>
      </c>
      <c r="DI10" s="2" t="s">
        <v>58</v>
      </c>
      <c r="DJ10" s="2" t="s">
        <v>59</v>
      </c>
      <c r="DK10" s="2" t="s">
        <v>359</v>
      </c>
      <c r="DL10" s="2" t="s">
        <v>43</v>
      </c>
      <c r="DM10" s="2" t="s">
        <v>47</v>
      </c>
      <c r="DN10" s="2" t="s">
        <v>46</v>
      </c>
      <c r="DO10" s="2" t="s">
        <v>60</v>
      </c>
      <c r="DP10" s="2" t="s">
        <v>57</v>
      </c>
      <c r="DQ10" s="2" t="s">
        <v>59</v>
      </c>
      <c r="DR10" s="2" t="s">
        <v>365</v>
      </c>
      <c r="DS10" s="2" t="s">
        <v>44</v>
      </c>
      <c r="DT10" s="2" t="s">
        <v>46</v>
      </c>
      <c r="DU10" s="2" t="s">
        <v>46</v>
      </c>
      <c r="DV10" s="2" t="s">
        <v>58</v>
      </c>
      <c r="DW10" s="2" t="s">
        <v>58</v>
      </c>
      <c r="DX10" s="2" t="s">
        <v>59</v>
      </c>
      <c r="DY10" s="2" t="s">
        <v>371</v>
      </c>
      <c r="DZ10" s="2" t="s">
        <v>43</v>
      </c>
      <c r="EA10" s="2" t="s">
        <v>46</v>
      </c>
      <c r="EB10" s="2" t="s">
        <v>46</v>
      </c>
      <c r="EC10" s="2" t="s">
        <v>57</v>
      </c>
      <c r="ED10" s="2" t="s">
        <v>60</v>
      </c>
      <c r="EE10" s="2" t="s">
        <v>59</v>
      </c>
      <c r="EF10" s="2" t="s">
        <v>40</v>
      </c>
      <c r="EG10" s="2" t="s">
        <v>352</v>
      </c>
      <c r="EH10" s="2" t="s">
        <v>44</v>
      </c>
      <c r="EI10" s="2" t="s">
        <v>45</v>
      </c>
      <c r="EJ10" s="2" t="s">
        <v>45</v>
      </c>
      <c r="EK10" s="2" t="s">
        <v>57</v>
      </c>
      <c r="EL10" s="2" t="s">
        <v>58</v>
      </c>
      <c r="EM10" s="2" t="s">
        <v>58</v>
      </c>
      <c r="EN10" s="2" t="s">
        <v>358</v>
      </c>
      <c r="EO10" s="2" t="s">
        <v>43</v>
      </c>
      <c r="EP10" s="2" t="s">
        <v>47</v>
      </c>
      <c r="EQ10" s="2" t="s">
        <v>46</v>
      </c>
      <c r="ER10" s="2" t="s">
        <v>57</v>
      </c>
      <c r="ES10" s="2" t="s">
        <v>60</v>
      </c>
      <c r="ET10" s="2" t="s">
        <v>59</v>
      </c>
      <c r="EU10" s="2" t="s">
        <v>364</v>
      </c>
      <c r="EV10" s="2" t="s">
        <v>43</v>
      </c>
      <c r="EW10" s="2" t="s">
        <v>45</v>
      </c>
      <c r="EX10" s="2" t="s">
        <v>47</v>
      </c>
      <c r="EY10" s="2" t="s">
        <v>60</v>
      </c>
      <c r="EZ10" s="2" t="s">
        <v>57</v>
      </c>
      <c r="FA10" s="2" t="s">
        <v>58</v>
      </c>
      <c r="FB10" s="2" t="s">
        <v>370</v>
      </c>
      <c r="FC10" s="2" t="s">
        <v>44</v>
      </c>
      <c r="FD10" s="2" t="s">
        <v>46</v>
      </c>
      <c r="FE10" s="2" t="s">
        <v>46</v>
      </c>
      <c r="FF10" s="2" t="s">
        <v>60</v>
      </c>
      <c r="FG10" s="2" t="s">
        <v>59</v>
      </c>
      <c r="FH10" s="2" t="s">
        <v>60</v>
      </c>
      <c r="FI10" s="2" t="s">
        <v>372</v>
      </c>
      <c r="FJ10" s="2" t="s">
        <v>372</v>
      </c>
      <c r="FK10" s="2" t="s">
        <v>372</v>
      </c>
      <c r="FL10" s="2" t="s">
        <v>372</v>
      </c>
      <c r="FM10" s="2" t="s">
        <v>372</v>
      </c>
      <c r="FN10" s="2" t="s">
        <v>372</v>
      </c>
      <c r="FO10" s="2" t="s">
        <v>372</v>
      </c>
      <c r="FP10" s="2" t="s">
        <v>343</v>
      </c>
      <c r="FQ10" s="2" t="s">
        <v>345</v>
      </c>
      <c r="FR10" s="2" t="s">
        <v>39</v>
      </c>
      <c r="FS10" s="2" t="s">
        <v>350</v>
      </c>
      <c r="FT10" s="2" t="s">
        <v>44</v>
      </c>
      <c r="FU10" s="2" t="s">
        <v>45</v>
      </c>
      <c r="FV10" s="2" t="s">
        <v>45</v>
      </c>
      <c r="FW10" s="2" t="s">
        <v>60</v>
      </c>
      <c r="FX10" s="2" t="s">
        <v>58</v>
      </c>
      <c r="FY10" s="2" t="s">
        <v>57</v>
      </c>
      <c r="FZ10" s="2" t="s">
        <v>356</v>
      </c>
      <c r="GA10" s="2" t="s">
        <v>43</v>
      </c>
      <c r="GB10" s="2" t="s">
        <v>46</v>
      </c>
      <c r="GC10" s="2" t="s">
        <v>46</v>
      </c>
      <c r="GD10" s="2" t="s">
        <v>60</v>
      </c>
      <c r="GE10" s="2" t="s">
        <v>57</v>
      </c>
      <c r="GF10" s="2" t="s">
        <v>60</v>
      </c>
      <c r="GG10" s="2" t="s">
        <v>362</v>
      </c>
      <c r="GH10" s="2" t="s">
        <v>44</v>
      </c>
      <c r="GI10" s="2" t="s">
        <v>46</v>
      </c>
      <c r="GJ10" s="2" t="s">
        <v>46</v>
      </c>
      <c r="GK10" s="2" t="s">
        <v>58</v>
      </c>
      <c r="GL10" s="2" t="s">
        <v>57</v>
      </c>
      <c r="GM10" s="2" t="s">
        <v>59</v>
      </c>
      <c r="GN10" s="2" t="s">
        <v>368</v>
      </c>
      <c r="GO10" s="2" t="s">
        <v>43</v>
      </c>
      <c r="GP10" s="2" t="s">
        <v>47</v>
      </c>
      <c r="GQ10" s="2" t="s">
        <v>47</v>
      </c>
      <c r="GR10" s="2" t="s">
        <v>58</v>
      </c>
      <c r="GS10" s="2" t="s">
        <v>58</v>
      </c>
      <c r="GT10" s="2" t="s">
        <v>59</v>
      </c>
      <c r="GU10" s="2" t="s">
        <v>374</v>
      </c>
      <c r="GV10" s="2" t="s">
        <v>43</v>
      </c>
      <c r="GW10" s="2" t="s">
        <v>45</v>
      </c>
      <c r="GX10" s="2" t="s">
        <v>47</v>
      </c>
      <c r="GY10" s="2" t="s">
        <v>60</v>
      </c>
      <c r="GZ10" s="2" t="s">
        <v>57</v>
      </c>
      <c r="HA10" s="2" t="s">
        <v>57</v>
      </c>
      <c r="HB10" s="2" t="s">
        <v>40</v>
      </c>
      <c r="HC10" s="2" t="s">
        <v>348</v>
      </c>
      <c r="HD10" s="2" t="s">
        <v>44</v>
      </c>
      <c r="HE10" s="2" t="s">
        <v>47</v>
      </c>
      <c r="HF10" s="2" t="s">
        <v>46</v>
      </c>
      <c r="HG10" s="2" t="s">
        <v>57</v>
      </c>
      <c r="HH10" s="2" t="s">
        <v>57</v>
      </c>
      <c r="HI10" s="2" t="s">
        <v>58</v>
      </c>
      <c r="HJ10" s="2" t="s">
        <v>354</v>
      </c>
      <c r="HK10" s="2" t="s">
        <v>44</v>
      </c>
      <c r="HL10" s="2" t="s">
        <v>45</v>
      </c>
      <c r="HM10" s="2" t="s">
        <v>47</v>
      </c>
      <c r="HN10" s="2" t="s">
        <v>59</v>
      </c>
      <c r="HO10" s="2" t="s">
        <v>57</v>
      </c>
      <c r="HP10" s="2" t="s">
        <v>60</v>
      </c>
      <c r="HQ10" s="2" t="s">
        <v>360</v>
      </c>
      <c r="HR10" s="2" t="s">
        <v>44</v>
      </c>
      <c r="HS10" s="2" t="s">
        <v>45</v>
      </c>
      <c r="HT10" s="2" t="s">
        <v>45</v>
      </c>
      <c r="HU10" s="2" t="s">
        <v>60</v>
      </c>
      <c r="HV10" s="2" t="s">
        <v>60</v>
      </c>
      <c r="HW10" s="2" t="s">
        <v>60</v>
      </c>
      <c r="HX10" s="2" t="s">
        <v>366</v>
      </c>
      <c r="HY10" s="2" t="s">
        <v>43</v>
      </c>
      <c r="HZ10" s="2" t="s">
        <v>47</v>
      </c>
      <c r="IA10" s="2" t="s">
        <v>47</v>
      </c>
      <c r="IB10" s="2" t="s">
        <v>60</v>
      </c>
      <c r="IC10" s="2" t="s">
        <v>60</v>
      </c>
      <c r="ID10" s="2" t="s">
        <v>60</v>
      </c>
      <c r="IE10" s="2" t="s">
        <v>372</v>
      </c>
      <c r="IF10" s="2" t="s">
        <v>372</v>
      </c>
      <c r="IG10" s="2" t="s">
        <v>372</v>
      </c>
      <c r="IH10" s="2" t="s">
        <v>372</v>
      </c>
      <c r="II10" s="2" t="s">
        <v>372</v>
      </c>
      <c r="IJ10" s="2" t="s">
        <v>372</v>
      </c>
      <c r="IK10" s="2" t="s">
        <v>372</v>
      </c>
    </row>
    <row r="11" spans="1:245" x14ac:dyDescent="0.25">
      <c r="A11" s="2" t="s">
        <v>315</v>
      </c>
      <c r="B11" s="2" t="s">
        <v>336</v>
      </c>
      <c r="C11" s="2" t="s">
        <v>339</v>
      </c>
      <c r="D11" s="2" t="s">
        <v>43</v>
      </c>
      <c r="E11" s="2" t="s">
        <v>45</v>
      </c>
      <c r="F11" s="2" t="s">
        <v>45</v>
      </c>
      <c r="G11" s="2" t="s">
        <v>57</v>
      </c>
      <c r="H11" s="2" t="s">
        <v>58</v>
      </c>
      <c r="I11" s="2" t="s">
        <v>59</v>
      </c>
      <c r="J11" s="2" t="s">
        <v>340</v>
      </c>
      <c r="K11" s="2" t="s">
        <v>43</v>
      </c>
      <c r="L11" s="2" t="s">
        <v>46</v>
      </c>
      <c r="M11" s="2" t="s">
        <v>46</v>
      </c>
      <c r="N11" s="2" t="s">
        <v>58</v>
      </c>
      <c r="O11" s="2" t="s">
        <v>57</v>
      </c>
      <c r="P11" s="2" t="s">
        <v>58</v>
      </c>
      <c r="Q11" s="2" t="s">
        <v>341</v>
      </c>
      <c r="R11" s="2" t="s">
        <v>43</v>
      </c>
      <c r="S11" s="2" t="s">
        <v>47</v>
      </c>
      <c r="T11" s="2" t="s">
        <v>47</v>
      </c>
      <c r="U11" s="2" t="s">
        <v>58</v>
      </c>
      <c r="V11" s="2" t="s">
        <v>58</v>
      </c>
      <c r="W11" s="2" t="s">
        <v>58</v>
      </c>
      <c r="X11" s="2" t="s">
        <v>342</v>
      </c>
      <c r="Y11" s="2" t="s">
        <v>345</v>
      </c>
      <c r="Z11" s="2" t="s">
        <v>39</v>
      </c>
      <c r="AA11" s="2" t="s">
        <v>347</v>
      </c>
      <c r="AB11" s="2" t="s">
        <v>44</v>
      </c>
      <c r="AC11" s="2" t="s">
        <v>47</v>
      </c>
      <c r="AD11" s="2" t="s">
        <v>46</v>
      </c>
      <c r="AE11" s="2" t="s">
        <v>60</v>
      </c>
      <c r="AF11" s="2" t="s">
        <v>59</v>
      </c>
      <c r="AG11" s="2" t="s">
        <v>58</v>
      </c>
      <c r="AH11" s="2" t="s">
        <v>353</v>
      </c>
      <c r="AI11" s="2" t="s">
        <v>44</v>
      </c>
      <c r="AJ11" s="2" t="s">
        <v>47</v>
      </c>
      <c r="AK11" s="2" t="s">
        <v>47</v>
      </c>
      <c r="AL11" s="2" t="s">
        <v>59</v>
      </c>
      <c r="AM11" s="2" t="s">
        <v>58</v>
      </c>
      <c r="AN11" s="2" t="s">
        <v>59</v>
      </c>
      <c r="AO11" s="2" t="s">
        <v>359</v>
      </c>
      <c r="AP11" s="2" t="s">
        <v>43</v>
      </c>
      <c r="AQ11" s="2" t="s">
        <v>47</v>
      </c>
      <c r="AR11" s="2" t="s">
        <v>47</v>
      </c>
      <c r="AS11" s="2" t="s">
        <v>60</v>
      </c>
      <c r="AT11" s="2" t="s">
        <v>57</v>
      </c>
      <c r="AU11" s="2" t="s">
        <v>59</v>
      </c>
      <c r="AV11" s="2" t="s">
        <v>365</v>
      </c>
      <c r="AW11" s="2" t="s">
        <v>44</v>
      </c>
      <c r="AX11" s="2" t="s">
        <v>46</v>
      </c>
      <c r="AY11" s="2" t="s">
        <v>46</v>
      </c>
      <c r="AZ11" s="2" t="s">
        <v>58</v>
      </c>
      <c r="BA11" s="2" t="s">
        <v>58</v>
      </c>
      <c r="BB11" s="2" t="s">
        <v>59</v>
      </c>
      <c r="BC11" s="2" t="s">
        <v>371</v>
      </c>
      <c r="BD11" s="2" t="s">
        <v>43</v>
      </c>
      <c r="BE11" s="2" t="s">
        <v>46</v>
      </c>
      <c r="BF11" s="2" t="s">
        <v>46</v>
      </c>
      <c r="BG11" s="2" t="s">
        <v>57</v>
      </c>
      <c r="BH11" s="2" t="s">
        <v>60</v>
      </c>
      <c r="BI11" s="2" t="s">
        <v>59</v>
      </c>
      <c r="BJ11" s="2" t="s">
        <v>40</v>
      </c>
      <c r="BK11" s="2" t="s">
        <v>352</v>
      </c>
      <c r="BL11" s="2" t="s">
        <v>44</v>
      </c>
      <c r="BM11" s="2" t="s">
        <v>45</v>
      </c>
      <c r="BN11" s="2" t="s">
        <v>47</v>
      </c>
      <c r="BO11" s="2" t="s">
        <v>57</v>
      </c>
      <c r="BP11" s="2" t="s">
        <v>58</v>
      </c>
      <c r="BQ11" s="2" t="s">
        <v>58</v>
      </c>
      <c r="BR11" s="2" t="s">
        <v>358</v>
      </c>
      <c r="BS11" s="2" t="s">
        <v>43</v>
      </c>
      <c r="BT11" s="2" t="s">
        <v>47</v>
      </c>
      <c r="BU11" s="2" t="s">
        <v>47</v>
      </c>
      <c r="BV11" s="2" t="s">
        <v>57</v>
      </c>
      <c r="BW11" s="2" t="s">
        <v>60</v>
      </c>
      <c r="BX11" s="2" t="s">
        <v>59</v>
      </c>
      <c r="BY11" s="2" t="s">
        <v>364</v>
      </c>
      <c r="BZ11" s="2" t="s">
        <v>43</v>
      </c>
      <c r="CA11" s="2" t="s">
        <v>45</v>
      </c>
      <c r="CB11" s="2" t="s">
        <v>47</v>
      </c>
      <c r="CC11" s="2" t="s">
        <v>60</v>
      </c>
      <c r="CD11" s="2" t="s">
        <v>57</v>
      </c>
      <c r="CE11" s="2" t="s">
        <v>58</v>
      </c>
      <c r="CF11" s="2" t="s">
        <v>370</v>
      </c>
      <c r="CG11" s="2" t="s">
        <v>44</v>
      </c>
      <c r="CH11" s="2" t="s">
        <v>46</v>
      </c>
      <c r="CI11" s="2" t="s">
        <v>46</v>
      </c>
      <c r="CJ11" s="2" t="s">
        <v>60</v>
      </c>
      <c r="CK11" s="2" t="s">
        <v>59</v>
      </c>
      <c r="CL11" s="2" t="s">
        <v>60</v>
      </c>
      <c r="CM11" s="2" t="s">
        <v>372</v>
      </c>
      <c r="CN11" s="2" t="s">
        <v>372</v>
      </c>
      <c r="CO11" s="2" t="s">
        <v>372</v>
      </c>
      <c r="CP11" s="2" t="s">
        <v>372</v>
      </c>
      <c r="CQ11" s="2" t="s">
        <v>372</v>
      </c>
      <c r="CR11" s="2" t="s">
        <v>372</v>
      </c>
      <c r="CS11" s="2" t="s">
        <v>372</v>
      </c>
      <c r="CT11" s="2" t="s">
        <v>343</v>
      </c>
      <c r="CU11" s="2" t="s">
        <v>345</v>
      </c>
      <c r="CV11" s="2" t="s">
        <v>39</v>
      </c>
      <c r="CW11" s="2" t="s">
        <v>350</v>
      </c>
      <c r="CX11" s="2" t="s">
        <v>44</v>
      </c>
      <c r="CY11" s="2" t="s">
        <v>45</v>
      </c>
      <c r="CZ11" s="2" t="s">
        <v>45</v>
      </c>
      <c r="DA11" s="2" t="s">
        <v>60</v>
      </c>
      <c r="DB11" s="2" t="s">
        <v>58</v>
      </c>
      <c r="DC11" s="2" t="s">
        <v>57</v>
      </c>
      <c r="DD11" s="2" t="s">
        <v>356</v>
      </c>
      <c r="DE11" s="2" t="s">
        <v>43</v>
      </c>
      <c r="DF11" s="2" t="s">
        <v>46</v>
      </c>
      <c r="DG11" s="2" t="s">
        <v>46</v>
      </c>
      <c r="DH11" s="2" t="s">
        <v>60</v>
      </c>
      <c r="DI11" s="2" t="s">
        <v>57</v>
      </c>
      <c r="DJ11" s="2" t="s">
        <v>60</v>
      </c>
      <c r="DK11" s="2" t="s">
        <v>362</v>
      </c>
      <c r="DL11" s="2" t="s">
        <v>44</v>
      </c>
      <c r="DM11" s="2" t="s">
        <v>46</v>
      </c>
      <c r="DN11" s="2" t="s">
        <v>46</v>
      </c>
      <c r="DO11" s="2" t="s">
        <v>58</v>
      </c>
      <c r="DP11" s="2" t="s">
        <v>57</v>
      </c>
      <c r="DQ11" s="2" t="s">
        <v>59</v>
      </c>
      <c r="DR11" s="2" t="s">
        <v>368</v>
      </c>
      <c r="DS11" s="2" t="s">
        <v>43</v>
      </c>
      <c r="DT11" s="2" t="s">
        <v>47</v>
      </c>
      <c r="DU11" s="2" t="s">
        <v>46</v>
      </c>
      <c r="DV11" s="2" t="s">
        <v>58</v>
      </c>
      <c r="DW11" s="2" t="s">
        <v>58</v>
      </c>
      <c r="DX11" s="2" t="s">
        <v>59</v>
      </c>
      <c r="DY11" s="2" t="s">
        <v>374</v>
      </c>
      <c r="DZ11" s="2" t="s">
        <v>43</v>
      </c>
      <c r="EA11" s="2" t="s">
        <v>45</v>
      </c>
      <c r="EB11" s="2" t="s">
        <v>45</v>
      </c>
      <c r="EC11" s="2" t="s">
        <v>60</v>
      </c>
      <c r="ED11" s="2" t="s">
        <v>57</v>
      </c>
      <c r="EE11" s="2" t="s">
        <v>57</v>
      </c>
      <c r="EF11" s="2" t="s">
        <v>40</v>
      </c>
      <c r="EG11" s="2" t="s">
        <v>348</v>
      </c>
      <c r="EH11" s="2" t="s">
        <v>44</v>
      </c>
      <c r="EI11" s="2" t="s">
        <v>47</v>
      </c>
      <c r="EJ11" s="2" t="s">
        <v>47</v>
      </c>
      <c r="EK11" s="2" t="s">
        <v>57</v>
      </c>
      <c r="EL11" s="2" t="s">
        <v>57</v>
      </c>
      <c r="EM11" s="2" t="s">
        <v>58</v>
      </c>
      <c r="EN11" s="2" t="s">
        <v>354</v>
      </c>
      <c r="EO11" s="2" t="s">
        <v>44</v>
      </c>
      <c r="EP11" s="2" t="s">
        <v>45</v>
      </c>
      <c r="EQ11" s="2" t="s">
        <v>45</v>
      </c>
      <c r="ER11" s="2" t="s">
        <v>59</v>
      </c>
      <c r="ES11" s="2" t="s">
        <v>57</v>
      </c>
      <c r="ET11" s="2" t="s">
        <v>60</v>
      </c>
      <c r="EU11" s="2" t="s">
        <v>360</v>
      </c>
      <c r="EV11" s="2" t="s">
        <v>44</v>
      </c>
      <c r="EW11" s="2" t="s">
        <v>45</v>
      </c>
      <c r="EX11" s="2" t="s">
        <v>47</v>
      </c>
      <c r="EY11" s="2" t="s">
        <v>60</v>
      </c>
      <c r="EZ11" s="2" t="s">
        <v>60</v>
      </c>
      <c r="FA11" s="2" t="s">
        <v>60</v>
      </c>
      <c r="FB11" s="2" t="s">
        <v>366</v>
      </c>
      <c r="FC11" s="2" t="s">
        <v>43</v>
      </c>
      <c r="FD11" s="2" t="s">
        <v>47</v>
      </c>
      <c r="FE11" s="2" t="s">
        <v>46</v>
      </c>
      <c r="FF11" s="2" t="s">
        <v>60</v>
      </c>
      <c r="FG11" s="2" t="s">
        <v>60</v>
      </c>
      <c r="FH11" s="2" t="s">
        <v>60</v>
      </c>
      <c r="FI11" s="2" t="s">
        <v>372</v>
      </c>
      <c r="FJ11" s="2" t="s">
        <v>372</v>
      </c>
      <c r="FK11" s="2" t="s">
        <v>372</v>
      </c>
      <c r="FL11" s="2" t="s">
        <v>372</v>
      </c>
      <c r="FM11" s="2" t="s">
        <v>372</v>
      </c>
      <c r="FN11" s="2" t="s">
        <v>372</v>
      </c>
      <c r="FO11" s="2" t="s">
        <v>372</v>
      </c>
      <c r="FP11" s="2" t="s">
        <v>344</v>
      </c>
      <c r="FQ11" s="2" t="s">
        <v>346</v>
      </c>
      <c r="FR11" s="2" t="s">
        <v>40</v>
      </c>
      <c r="FS11" s="2" t="s">
        <v>351</v>
      </c>
      <c r="FT11" s="2" t="s">
        <v>44</v>
      </c>
      <c r="FU11" s="2" t="s">
        <v>45</v>
      </c>
      <c r="FV11" s="2" t="s">
        <v>47</v>
      </c>
      <c r="FW11" s="2" t="s">
        <v>57</v>
      </c>
      <c r="FX11" s="2" t="s">
        <v>58</v>
      </c>
      <c r="FY11" s="2" t="s">
        <v>60</v>
      </c>
      <c r="FZ11" s="2" t="s">
        <v>357</v>
      </c>
      <c r="GA11" s="2" t="s">
        <v>43</v>
      </c>
      <c r="GB11" s="2" t="s">
        <v>47</v>
      </c>
      <c r="GC11" s="2" t="s">
        <v>47</v>
      </c>
      <c r="GD11" s="2" t="s">
        <v>58</v>
      </c>
      <c r="GE11" s="2" t="s">
        <v>57</v>
      </c>
      <c r="GF11" s="2" t="s">
        <v>59</v>
      </c>
      <c r="GG11" s="2" t="s">
        <v>363</v>
      </c>
      <c r="GH11" s="2" t="s">
        <v>43</v>
      </c>
      <c r="GI11" s="2" t="s">
        <v>45</v>
      </c>
      <c r="GJ11" s="2" t="s">
        <v>47</v>
      </c>
      <c r="GK11" s="2" t="s">
        <v>58</v>
      </c>
      <c r="GL11" s="2" t="s">
        <v>58</v>
      </c>
      <c r="GM11" s="2" t="s">
        <v>60</v>
      </c>
      <c r="GN11" s="2" t="s">
        <v>369</v>
      </c>
      <c r="GO11" s="2" t="s">
        <v>43</v>
      </c>
      <c r="GP11" s="2" t="s">
        <v>47</v>
      </c>
      <c r="GQ11" s="2" t="s">
        <v>47</v>
      </c>
      <c r="GR11" s="2" t="s">
        <v>59</v>
      </c>
      <c r="GS11" s="2" t="s">
        <v>57</v>
      </c>
      <c r="GT11" s="2" t="s">
        <v>57</v>
      </c>
      <c r="GU11" s="2" t="s">
        <v>372</v>
      </c>
      <c r="GV11" s="2" t="s">
        <v>372</v>
      </c>
      <c r="GW11" s="2" t="s">
        <v>372</v>
      </c>
      <c r="GX11" s="2" t="s">
        <v>372</v>
      </c>
      <c r="GY11" s="2" t="s">
        <v>372</v>
      </c>
      <c r="GZ11" s="2" t="s">
        <v>372</v>
      </c>
      <c r="HA11" s="2" t="s">
        <v>372</v>
      </c>
      <c r="HB11" s="2" t="s">
        <v>39</v>
      </c>
      <c r="HC11" s="2" t="s">
        <v>349</v>
      </c>
      <c r="HD11" s="2" t="s">
        <v>43</v>
      </c>
      <c r="HE11" s="2" t="s">
        <v>47</v>
      </c>
      <c r="HF11" s="2" t="s">
        <v>46</v>
      </c>
      <c r="HG11" s="2" t="s">
        <v>59</v>
      </c>
      <c r="HH11" s="2" t="s">
        <v>59</v>
      </c>
      <c r="HI11" s="2" t="s">
        <v>58</v>
      </c>
      <c r="HJ11" s="2" t="s">
        <v>355</v>
      </c>
      <c r="HK11" s="2" t="s">
        <v>43</v>
      </c>
      <c r="HL11" s="2" t="s">
        <v>47</v>
      </c>
      <c r="HM11" s="2" t="s">
        <v>47</v>
      </c>
      <c r="HN11" s="2" t="s">
        <v>59</v>
      </c>
      <c r="HO11" s="2" t="s">
        <v>60</v>
      </c>
      <c r="HP11" s="2" t="s">
        <v>60</v>
      </c>
      <c r="HQ11" s="2" t="s">
        <v>361</v>
      </c>
      <c r="HR11" s="2" t="s">
        <v>44</v>
      </c>
      <c r="HS11" s="2" t="s">
        <v>47</v>
      </c>
      <c r="HT11" s="2" t="s">
        <v>47</v>
      </c>
      <c r="HU11" s="2" t="s">
        <v>59</v>
      </c>
      <c r="HV11" s="2" t="s">
        <v>60</v>
      </c>
      <c r="HW11" s="2" t="s">
        <v>57</v>
      </c>
      <c r="HX11" s="2" t="s">
        <v>367</v>
      </c>
      <c r="HY11" s="2" t="s">
        <v>43</v>
      </c>
      <c r="HZ11" s="2" t="s">
        <v>46</v>
      </c>
      <c r="IA11" s="2" t="s">
        <v>46</v>
      </c>
      <c r="IB11" s="2" t="s">
        <v>58</v>
      </c>
      <c r="IC11" s="2" t="s">
        <v>59</v>
      </c>
      <c r="ID11" s="2" t="s">
        <v>58</v>
      </c>
      <c r="IE11" s="2" t="s">
        <v>373</v>
      </c>
      <c r="IF11" s="2" t="s">
        <v>44</v>
      </c>
      <c r="IG11" s="2" t="s">
        <v>46</v>
      </c>
      <c r="IH11" s="2" t="s">
        <v>46</v>
      </c>
      <c r="II11" s="2" t="s">
        <v>58</v>
      </c>
      <c r="IJ11" s="2" t="s">
        <v>58</v>
      </c>
      <c r="IK11" s="2" t="s">
        <v>57</v>
      </c>
    </row>
    <row r="12" spans="1:245" x14ac:dyDescent="0.25">
      <c r="A12" s="2" t="s">
        <v>316</v>
      </c>
      <c r="B12" s="2" t="s">
        <v>337</v>
      </c>
      <c r="C12" s="2" t="s">
        <v>339</v>
      </c>
      <c r="D12" s="2" t="s">
        <v>43</v>
      </c>
      <c r="E12" s="2" t="s">
        <v>45</v>
      </c>
      <c r="F12" s="2" t="s">
        <v>45</v>
      </c>
      <c r="G12" s="2" t="s">
        <v>57</v>
      </c>
      <c r="H12" s="2" t="s">
        <v>58</v>
      </c>
      <c r="I12" s="2" t="s">
        <v>59</v>
      </c>
      <c r="J12" s="2" t="s">
        <v>340</v>
      </c>
      <c r="K12" s="2" t="s">
        <v>43</v>
      </c>
      <c r="L12" s="2" t="s">
        <v>46</v>
      </c>
      <c r="M12" s="2" t="s">
        <v>46</v>
      </c>
      <c r="N12" s="2" t="s">
        <v>58</v>
      </c>
      <c r="O12" s="2" t="s">
        <v>57</v>
      </c>
      <c r="P12" s="2" t="s">
        <v>58</v>
      </c>
      <c r="Q12" s="2" t="s">
        <v>341</v>
      </c>
      <c r="R12" s="2" t="s">
        <v>43</v>
      </c>
      <c r="S12" s="2" t="s">
        <v>47</v>
      </c>
      <c r="T12" s="2" t="s">
        <v>47</v>
      </c>
      <c r="U12" s="2" t="s">
        <v>58</v>
      </c>
      <c r="V12" s="2" t="s">
        <v>58</v>
      </c>
      <c r="W12" s="2" t="s">
        <v>58</v>
      </c>
      <c r="X12" s="2" t="s">
        <v>343</v>
      </c>
      <c r="Y12" s="2" t="s">
        <v>345</v>
      </c>
      <c r="Z12" s="2" t="s">
        <v>39</v>
      </c>
      <c r="AA12" s="2" t="s">
        <v>350</v>
      </c>
      <c r="AB12" s="2" t="s">
        <v>44</v>
      </c>
      <c r="AC12" s="2" t="s">
        <v>45</v>
      </c>
      <c r="AD12" s="2" t="s">
        <v>45</v>
      </c>
      <c r="AE12" s="2" t="s">
        <v>60</v>
      </c>
      <c r="AF12" s="2" t="s">
        <v>58</v>
      </c>
      <c r="AG12" s="2" t="s">
        <v>57</v>
      </c>
      <c r="AH12" s="2" t="s">
        <v>356</v>
      </c>
      <c r="AI12" s="2" t="s">
        <v>43</v>
      </c>
      <c r="AJ12" s="2" t="s">
        <v>46</v>
      </c>
      <c r="AK12" s="2" t="s">
        <v>46</v>
      </c>
      <c r="AL12" s="2" t="s">
        <v>60</v>
      </c>
      <c r="AM12" s="2" t="s">
        <v>57</v>
      </c>
      <c r="AN12" s="2" t="s">
        <v>60</v>
      </c>
      <c r="AO12" s="2" t="s">
        <v>362</v>
      </c>
      <c r="AP12" s="2" t="s">
        <v>44</v>
      </c>
      <c r="AQ12" s="2" t="s">
        <v>46</v>
      </c>
      <c r="AR12" s="2" t="s">
        <v>45</v>
      </c>
      <c r="AS12" s="2" t="s">
        <v>58</v>
      </c>
      <c r="AT12" s="2" t="s">
        <v>57</v>
      </c>
      <c r="AU12" s="2" t="s">
        <v>59</v>
      </c>
      <c r="AV12" s="2" t="s">
        <v>368</v>
      </c>
      <c r="AW12" s="2" t="s">
        <v>43</v>
      </c>
      <c r="AX12" s="2" t="s">
        <v>47</v>
      </c>
      <c r="AY12" s="2" t="s">
        <v>47</v>
      </c>
      <c r="AZ12" s="2" t="s">
        <v>58</v>
      </c>
      <c r="BA12" s="2" t="s">
        <v>58</v>
      </c>
      <c r="BB12" s="2" t="s">
        <v>59</v>
      </c>
      <c r="BC12" s="2" t="s">
        <v>374</v>
      </c>
      <c r="BD12" s="2" t="s">
        <v>43</v>
      </c>
      <c r="BE12" s="2" t="s">
        <v>45</v>
      </c>
      <c r="BF12" s="2" t="s">
        <v>45</v>
      </c>
      <c r="BG12" s="2" t="s">
        <v>60</v>
      </c>
      <c r="BH12" s="2" t="s">
        <v>57</v>
      </c>
      <c r="BI12" s="2" t="s">
        <v>57</v>
      </c>
      <c r="BJ12" s="2" t="s">
        <v>40</v>
      </c>
      <c r="BK12" s="2" t="s">
        <v>348</v>
      </c>
      <c r="BL12" s="2" t="s">
        <v>44</v>
      </c>
      <c r="BM12" s="2" t="s">
        <v>47</v>
      </c>
      <c r="BN12" s="2" t="s">
        <v>47</v>
      </c>
      <c r="BO12" s="2" t="s">
        <v>57</v>
      </c>
      <c r="BP12" s="2" t="s">
        <v>57</v>
      </c>
      <c r="BQ12" s="2" t="s">
        <v>58</v>
      </c>
      <c r="BR12" s="2" t="s">
        <v>354</v>
      </c>
      <c r="BS12" s="2" t="s">
        <v>44</v>
      </c>
      <c r="BT12" s="2" t="s">
        <v>45</v>
      </c>
      <c r="BU12" s="2" t="s">
        <v>45</v>
      </c>
      <c r="BV12" s="2" t="s">
        <v>59</v>
      </c>
      <c r="BW12" s="2" t="s">
        <v>57</v>
      </c>
      <c r="BX12" s="2" t="s">
        <v>60</v>
      </c>
      <c r="BY12" s="2" t="s">
        <v>360</v>
      </c>
      <c r="BZ12" s="2" t="s">
        <v>44</v>
      </c>
      <c r="CA12" s="2" t="s">
        <v>45</v>
      </c>
      <c r="CB12" s="2" t="s">
        <v>47</v>
      </c>
      <c r="CC12" s="2" t="s">
        <v>60</v>
      </c>
      <c r="CD12" s="2" t="s">
        <v>60</v>
      </c>
      <c r="CE12" s="2" t="s">
        <v>60</v>
      </c>
      <c r="CF12" s="2" t="s">
        <v>366</v>
      </c>
      <c r="CG12" s="2" t="s">
        <v>43</v>
      </c>
      <c r="CH12" s="2" t="s">
        <v>47</v>
      </c>
      <c r="CI12" s="2" t="s">
        <v>46</v>
      </c>
      <c r="CJ12" s="2" t="s">
        <v>60</v>
      </c>
      <c r="CK12" s="2" t="s">
        <v>60</v>
      </c>
      <c r="CL12" s="2" t="s">
        <v>60</v>
      </c>
      <c r="CM12" s="2" t="s">
        <v>372</v>
      </c>
      <c r="CN12" s="2" t="s">
        <v>372</v>
      </c>
      <c r="CO12" s="2" t="s">
        <v>372</v>
      </c>
      <c r="CP12" s="2" t="s">
        <v>372</v>
      </c>
      <c r="CQ12" s="2" t="s">
        <v>372</v>
      </c>
      <c r="CR12" s="2" t="s">
        <v>372</v>
      </c>
      <c r="CS12" s="2" t="s">
        <v>372</v>
      </c>
      <c r="CT12" s="2" t="s">
        <v>344</v>
      </c>
      <c r="CU12" s="2" t="s">
        <v>345</v>
      </c>
      <c r="CV12" s="2" t="s">
        <v>39</v>
      </c>
      <c r="CW12" s="2" t="s">
        <v>349</v>
      </c>
      <c r="CX12" s="2" t="s">
        <v>43</v>
      </c>
      <c r="CY12" s="2" t="s">
        <v>47</v>
      </c>
      <c r="CZ12" s="2" t="s">
        <v>47</v>
      </c>
      <c r="DA12" s="2" t="s">
        <v>59</v>
      </c>
      <c r="DB12" s="2" t="s">
        <v>59</v>
      </c>
      <c r="DC12" s="2" t="s">
        <v>58</v>
      </c>
      <c r="DD12" s="2" t="s">
        <v>355</v>
      </c>
      <c r="DE12" s="2" t="s">
        <v>43</v>
      </c>
      <c r="DF12" s="2" t="s">
        <v>47</v>
      </c>
      <c r="DG12" s="2" t="s">
        <v>46</v>
      </c>
      <c r="DH12" s="2" t="s">
        <v>59</v>
      </c>
      <c r="DI12" s="2" t="s">
        <v>60</v>
      </c>
      <c r="DJ12" s="2" t="s">
        <v>60</v>
      </c>
      <c r="DK12" s="2" t="s">
        <v>361</v>
      </c>
      <c r="DL12" s="2" t="s">
        <v>44</v>
      </c>
      <c r="DM12" s="2" t="s">
        <v>47</v>
      </c>
      <c r="DN12" s="2" t="s">
        <v>47</v>
      </c>
      <c r="DO12" s="2" t="s">
        <v>59</v>
      </c>
      <c r="DP12" s="2" t="s">
        <v>60</v>
      </c>
      <c r="DQ12" s="2" t="s">
        <v>57</v>
      </c>
      <c r="DR12" s="2" t="s">
        <v>367</v>
      </c>
      <c r="DS12" s="2" t="s">
        <v>43</v>
      </c>
      <c r="DT12" s="2" t="s">
        <v>46</v>
      </c>
      <c r="DU12" s="2" t="s">
        <v>46</v>
      </c>
      <c r="DV12" s="2" t="s">
        <v>58</v>
      </c>
      <c r="DW12" s="2" t="s">
        <v>59</v>
      </c>
      <c r="DX12" s="2" t="s">
        <v>58</v>
      </c>
      <c r="DY12" s="2" t="s">
        <v>373</v>
      </c>
      <c r="DZ12" s="2" t="s">
        <v>44</v>
      </c>
      <c r="EA12" s="2" t="s">
        <v>46</v>
      </c>
      <c r="EB12" s="2" t="s">
        <v>46</v>
      </c>
      <c r="EC12" s="2" t="s">
        <v>58</v>
      </c>
      <c r="ED12" s="2" t="s">
        <v>58</v>
      </c>
      <c r="EE12" s="2" t="s">
        <v>57</v>
      </c>
      <c r="EF12" s="2" t="s">
        <v>40</v>
      </c>
      <c r="EG12" s="2" t="s">
        <v>351</v>
      </c>
      <c r="EH12" s="2" t="s">
        <v>44</v>
      </c>
      <c r="EI12" s="2" t="s">
        <v>45</v>
      </c>
      <c r="EJ12" s="2" t="s">
        <v>47</v>
      </c>
      <c r="EK12" s="2" t="s">
        <v>57</v>
      </c>
      <c r="EL12" s="2" t="s">
        <v>58</v>
      </c>
      <c r="EM12" s="2" t="s">
        <v>60</v>
      </c>
      <c r="EN12" s="2" t="s">
        <v>357</v>
      </c>
      <c r="EO12" s="2" t="s">
        <v>43</v>
      </c>
      <c r="EP12" s="2" t="s">
        <v>47</v>
      </c>
      <c r="EQ12" s="2" t="s">
        <v>47</v>
      </c>
      <c r="ER12" s="2" t="s">
        <v>58</v>
      </c>
      <c r="ES12" s="2" t="s">
        <v>57</v>
      </c>
      <c r="ET12" s="2" t="s">
        <v>59</v>
      </c>
      <c r="EU12" s="2" t="s">
        <v>363</v>
      </c>
      <c r="EV12" s="2" t="s">
        <v>43</v>
      </c>
      <c r="EW12" s="2" t="s">
        <v>45</v>
      </c>
      <c r="EX12" s="2" t="s">
        <v>47</v>
      </c>
      <c r="EY12" s="2" t="s">
        <v>58</v>
      </c>
      <c r="EZ12" s="2" t="s">
        <v>58</v>
      </c>
      <c r="FA12" s="2" t="s">
        <v>60</v>
      </c>
      <c r="FB12" s="2" t="s">
        <v>369</v>
      </c>
      <c r="FC12" s="2" t="s">
        <v>43</v>
      </c>
      <c r="FD12" s="2" t="s">
        <v>47</v>
      </c>
      <c r="FE12" s="2" t="s">
        <v>47</v>
      </c>
      <c r="FF12" s="2" t="s">
        <v>59</v>
      </c>
      <c r="FG12" s="2" t="s">
        <v>57</v>
      </c>
      <c r="FH12" s="2" t="s">
        <v>57</v>
      </c>
      <c r="FI12" s="2" t="s">
        <v>372</v>
      </c>
      <c r="FJ12" s="2" t="s">
        <v>372</v>
      </c>
      <c r="FK12" s="2" t="s">
        <v>372</v>
      </c>
      <c r="FL12" s="2" t="s">
        <v>372</v>
      </c>
      <c r="FM12" s="2" t="s">
        <v>372</v>
      </c>
      <c r="FN12" s="2" t="s">
        <v>372</v>
      </c>
      <c r="FO12" s="2" t="s">
        <v>372</v>
      </c>
      <c r="FP12" s="2" t="s">
        <v>342</v>
      </c>
      <c r="FQ12" s="2" t="s">
        <v>345</v>
      </c>
      <c r="FR12" s="2" t="s">
        <v>39</v>
      </c>
      <c r="FS12" s="2" t="s">
        <v>347</v>
      </c>
      <c r="FT12" s="2" t="s">
        <v>44</v>
      </c>
      <c r="FU12" s="2" t="s">
        <v>47</v>
      </c>
      <c r="FV12" s="2" t="s">
        <v>47</v>
      </c>
      <c r="FW12" s="2" t="s">
        <v>60</v>
      </c>
      <c r="FX12" s="2" t="s">
        <v>59</v>
      </c>
      <c r="FY12" s="2" t="s">
        <v>58</v>
      </c>
      <c r="FZ12" s="2" t="s">
        <v>353</v>
      </c>
      <c r="GA12" s="2" t="s">
        <v>44</v>
      </c>
      <c r="GB12" s="2" t="s">
        <v>47</v>
      </c>
      <c r="GC12" s="2" t="s">
        <v>47</v>
      </c>
      <c r="GD12" s="2" t="s">
        <v>59</v>
      </c>
      <c r="GE12" s="2" t="s">
        <v>58</v>
      </c>
      <c r="GF12" s="2" t="s">
        <v>59</v>
      </c>
      <c r="GG12" s="2" t="s">
        <v>359</v>
      </c>
      <c r="GH12" s="2" t="s">
        <v>43</v>
      </c>
      <c r="GI12" s="2" t="s">
        <v>47</v>
      </c>
      <c r="GJ12" s="2" t="s">
        <v>46</v>
      </c>
      <c r="GK12" s="2" t="s">
        <v>60</v>
      </c>
      <c r="GL12" s="2" t="s">
        <v>57</v>
      </c>
      <c r="GM12" s="2" t="s">
        <v>59</v>
      </c>
      <c r="GN12" s="2" t="s">
        <v>365</v>
      </c>
      <c r="GO12" s="2" t="s">
        <v>44</v>
      </c>
      <c r="GP12" s="2" t="s">
        <v>46</v>
      </c>
      <c r="GQ12" s="2" t="s">
        <v>46</v>
      </c>
      <c r="GR12" s="2" t="s">
        <v>58</v>
      </c>
      <c r="GS12" s="2" t="s">
        <v>58</v>
      </c>
      <c r="GT12" s="2" t="s">
        <v>59</v>
      </c>
      <c r="GU12" s="2" t="s">
        <v>371</v>
      </c>
      <c r="GV12" s="2" t="s">
        <v>43</v>
      </c>
      <c r="GW12" s="2" t="s">
        <v>46</v>
      </c>
      <c r="GX12" s="2" t="s">
        <v>46</v>
      </c>
      <c r="GY12" s="2" t="s">
        <v>57</v>
      </c>
      <c r="GZ12" s="2" t="s">
        <v>60</v>
      </c>
      <c r="HA12" s="2" t="s">
        <v>59</v>
      </c>
      <c r="HB12" s="2" t="s">
        <v>40</v>
      </c>
      <c r="HC12" s="2" t="s">
        <v>352</v>
      </c>
      <c r="HD12" s="2" t="s">
        <v>44</v>
      </c>
      <c r="HE12" s="2" t="s">
        <v>45</v>
      </c>
      <c r="HF12" s="2" t="s">
        <v>45</v>
      </c>
      <c r="HG12" s="2" t="s">
        <v>57</v>
      </c>
      <c r="HH12" s="2" t="s">
        <v>58</v>
      </c>
      <c r="HI12" s="2" t="s">
        <v>58</v>
      </c>
      <c r="HJ12" s="2" t="s">
        <v>358</v>
      </c>
      <c r="HK12" s="2" t="s">
        <v>43</v>
      </c>
      <c r="HL12" s="2" t="s">
        <v>47</v>
      </c>
      <c r="HM12" s="2" t="s">
        <v>46</v>
      </c>
      <c r="HN12" s="2" t="s">
        <v>57</v>
      </c>
      <c r="HO12" s="2" t="s">
        <v>60</v>
      </c>
      <c r="HP12" s="2" t="s">
        <v>59</v>
      </c>
      <c r="HQ12" s="2" t="s">
        <v>364</v>
      </c>
      <c r="HR12" s="2" t="s">
        <v>43</v>
      </c>
      <c r="HS12" s="2" t="s">
        <v>45</v>
      </c>
      <c r="HT12" s="2" t="s">
        <v>45</v>
      </c>
      <c r="HU12" s="2" t="s">
        <v>60</v>
      </c>
      <c r="HV12" s="2" t="s">
        <v>57</v>
      </c>
      <c r="HW12" s="2" t="s">
        <v>58</v>
      </c>
      <c r="HX12" s="2" t="s">
        <v>370</v>
      </c>
      <c r="HY12" s="2" t="s">
        <v>44</v>
      </c>
      <c r="HZ12" s="2" t="s">
        <v>46</v>
      </c>
      <c r="IA12" s="2" t="s">
        <v>45</v>
      </c>
      <c r="IB12" s="2" t="s">
        <v>60</v>
      </c>
      <c r="IC12" s="2" t="s">
        <v>59</v>
      </c>
      <c r="ID12" s="2" t="s">
        <v>60</v>
      </c>
      <c r="IE12" s="2" t="s">
        <v>372</v>
      </c>
      <c r="IF12" s="2" t="s">
        <v>372</v>
      </c>
      <c r="IG12" s="2" t="s">
        <v>372</v>
      </c>
      <c r="IH12" s="2" t="s">
        <v>372</v>
      </c>
      <c r="II12" s="2" t="s">
        <v>372</v>
      </c>
      <c r="IJ12" s="2" t="s">
        <v>372</v>
      </c>
      <c r="IK12" s="2" t="s">
        <v>372</v>
      </c>
    </row>
    <row r="13" spans="1:245" x14ac:dyDescent="0.25">
      <c r="A13" s="2" t="s">
        <v>317</v>
      </c>
      <c r="B13" s="2" t="s">
        <v>338</v>
      </c>
      <c r="C13" s="2" t="s">
        <v>339</v>
      </c>
      <c r="D13" s="2" t="s">
        <v>43</v>
      </c>
      <c r="E13" s="2" t="s">
        <v>45</v>
      </c>
      <c r="F13" s="2" t="s">
        <v>45</v>
      </c>
      <c r="G13" s="2" t="s">
        <v>57</v>
      </c>
      <c r="H13" s="2" t="s">
        <v>58</v>
      </c>
      <c r="I13" s="2" t="s">
        <v>59</v>
      </c>
      <c r="J13" s="2" t="s">
        <v>340</v>
      </c>
      <c r="K13" s="2" t="s">
        <v>43</v>
      </c>
      <c r="L13" s="2" t="s">
        <v>46</v>
      </c>
      <c r="M13" s="2" t="s">
        <v>46</v>
      </c>
      <c r="N13" s="2" t="s">
        <v>58</v>
      </c>
      <c r="O13" s="2" t="s">
        <v>57</v>
      </c>
      <c r="P13" s="2" t="s">
        <v>58</v>
      </c>
      <c r="Q13" s="2" t="s">
        <v>341</v>
      </c>
      <c r="R13" s="2" t="s">
        <v>43</v>
      </c>
      <c r="S13" s="2" t="s">
        <v>47</v>
      </c>
      <c r="T13" s="2" t="s">
        <v>47</v>
      </c>
      <c r="U13" s="2" t="s">
        <v>58</v>
      </c>
      <c r="V13" s="2" t="s">
        <v>58</v>
      </c>
      <c r="W13" s="2" t="s">
        <v>58</v>
      </c>
      <c r="X13" s="2" t="s">
        <v>344</v>
      </c>
      <c r="Y13" s="2" t="s">
        <v>346</v>
      </c>
      <c r="Z13" s="2" t="s">
        <v>40</v>
      </c>
      <c r="AA13" s="2" t="s">
        <v>351</v>
      </c>
      <c r="AB13" s="2" t="s">
        <v>44</v>
      </c>
      <c r="AC13" s="2" t="s">
        <v>45</v>
      </c>
      <c r="AD13" s="2" t="s">
        <v>45</v>
      </c>
      <c r="AE13" s="2" t="s">
        <v>57</v>
      </c>
      <c r="AF13" s="2" t="s">
        <v>58</v>
      </c>
      <c r="AG13" s="2" t="s">
        <v>60</v>
      </c>
      <c r="AH13" s="2" t="s">
        <v>357</v>
      </c>
      <c r="AI13" s="2" t="s">
        <v>43</v>
      </c>
      <c r="AJ13" s="2" t="s">
        <v>47</v>
      </c>
      <c r="AK13" s="2" t="s">
        <v>46</v>
      </c>
      <c r="AL13" s="2" t="s">
        <v>58</v>
      </c>
      <c r="AM13" s="2" t="s">
        <v>57</v>
      </c>
      <c r="AN13" s="2" t="s">
        <v>59</v>
      </c>
      <c r="AO13" s="2" t="s">
        <v>363</v>
      </c>
      <c r="AP13" s="2" t="s">
        <v>43</v>
      </c>
      <c r="AQ13" s="2" t="s">
        <v>45</v>
      </c>
      <c r="AR13" s="2" t="s">
        <v>45</v>
      </c>
      <c r="AS13" s="2" t="s">
        <v>58</v>
      </c>
      <c r="AT13" s="2" t="s">
        <v>58</v>
      </c>
      <c r="AU13" s="2" t="s">
        <v>60</v>
      </c>
      <c r="AV13" s="2" t="s">
        <v>369</v>
      </c>
      <c r="AW13" s="2" t="s">
        <v>43</v>
      </c>
      <c r="AX13" s="2" t="s">
        <v>47</v>
      </c>
      <c r="AY13" s="2" t="s">
        <v>46</v>
      </c>
      <c r="AZ13" s="2" t="s">
        <v>59</v>
      </c>
      <c r="BA13" s="2" t="s">
        <v>57</v>
      </c>
      <c r="BB13" s="2" t="s">
        <v>57</v>
      </c>
      <c r="BC13" s="2" t="s">
        <v>372</v>
      </c>
      <c r="BD13" s="2" t="s">
        <v>372</v>
      </c>
      <c r="BE13" s="2" t="s">
        <v>372</v>
      </c>
      <c r="BF13" s="2" t="s">
        <v>372</v>
      </c>
      <c r="BG13" s="2" t="s">
        <v>372</v>
      </c>
      <c r="BH13" s="2" t="s">
        <v>372</v>
      </c>
      <c r="BI13" s="2" t="s">
        <v>372</v>
      </c>
      <c r="BJ13" s="2" t="s">
        <v>39</v>
      </c>
      <c r="BK13" s="2" t="s">
        <v>349</v>
      </c>
      <c r="BL13" s="2" t="s">
        <v>43</v>
      </c>
      <c r="BM13" s="2" t="s">
        <v>47</v>
      </c>
      <c r="BN13" s="2" t="s">
        <v>47</v>
      </c>
      <c r="BO13" s="2" t="s">
        <v>59</v>
      </c>
      <c r="BP13" s="2" t="s">
        <v>59</v>
      </c>
      <c r="BQ13" s="2" t="s">
        <v>58</v>
      </c>
      <c r="BR13" s="2" t="s">
        <v>355</v>
      </c>
      <c r="BS13" s="2" t="s">
        <v>43</v>
      </c>
      <c r="BT13" s="2" t="s">
        <v>47</v>
      </c>
      <c r="BU13" s="2" t="s">
        <v>47</v>
      </c>
      <c r="BV13" s="2" t="s">
        <v>59</v>
      </c>
      <c r="BW13" s="2" t="s">
        <v>60</v>
      </c>
      <c r="BX13" s="2" t="s">
        <v>60</v>
      </c>
      <c r="BY13" s="2" t="s">
        <v>361</v>
      </c>
      <c r="BZ13" s="2" t="s">
        <v>44</v>
      </c>
      <c r="CA13" s="2" t="s">
        <v>47</v>
      </c>
      <c r="CB13" s="2" t="s">
        <v>47</v>
      </c>
      <c r="CC13" s="2" t="s">
        <v>59</v>
      </c>
      <c r="CD13" s="2" t="s">
        <v>60</v>
      </c>
      <c r="CE13" s="2" t="s">
        <v>57</v>
      </c>
      <c r="CF13" s="2" t="s">
        <v>367</v>
      </c>
      <c r="CG13" s="2" t="s">
        <v>43</v>
      </c>
      <c r="CH13" s="2" t="s">
        <v>46</v>
      </c>
      <c r="CI13" s="2" t="s">
        <v>46</v>
      </c>
      <c r="CJ13" s="2" t="s">
        <v>58</v>
      </c>
      <c r="CK13" s="2" t="s">
        <v>59</v>
      </c>
      <c r="CL13" s="2" t="s">
        <v>58</v>
      </c>
      <c r="CM13" s="2" t="s">
        <v>373</v>
      </c>
      <c r="CN13" s="2" t="s">
        <v>44</v>
      </c>
      <c r="CO13" s="2" t="s">
        <v>46</v>
      </c>
      <c r="CP13" s="2" t="s">
        <v>45</v>
      </c>
      <c r="CQ13" s="2" t="s">
        <v>58</v>
      </c>
      <c r="CR13" s="2" t="s">
        <v>58</v>
      </c>
      <c r="CS13" s="2" t="s">
        <v>57</v>
      </c>
      <c r="CT13" s="2" t="s">
        <v>342</v>
      </c>
      <c r="CU13" s="2" t="s">
        <v>346</v>
      </c>
      <c r="CV13" s="2" t="s">
        <v>40</v>
      </c>
      <c r="CW13" s="2" t="s">
        <v>352</v>
      </c>
      <c r="CX13" s="2" t="s">
        <v>44</v>
      </c>
      <c r="CY13" s="2" t="s">
        <v>45</v>
      </c>
      <c r="CZ13" s="2" t="s">
        <v>45</v>
      </c>
      <c r="DA13" s="2" t="s">
        <v>57</v>
      </c>
      <c r="DB13" s="2" t="s">
        <v>58</v>
      </c>
      <c r="DC13" s="2" t="s">
        <v>58</v>
      </c>
      <c r="DD13" s="2" t="s">
        <v>358</v>
      </c>
      <c r="DE13" s="2" t="s">
        <v>43</v>
      </c>
      <c r="DF13" s="2" t="s">
        <v>47</v>
      </c>
      <c r="DG13" s="2" t="s">
        <v>46</v>
      </c>
      <c r="DH13" s="2" t="s">
        <v>57</v>
      </c>
      <c r="DI13" s="2" t="s">
        <v>60</v>
      </c>
      <c r="DJ13" s="2" t="s">
        <v>59</v>
      </c>
      <c r="DK13" s="2" t="s">
        <v>364</v>
      </c>
      <c r="DL13" s="2" t="s">
        <v>43</v>
      </c>
      <c r="DM13" s="2" t="s">
        <v>45</v>
      </c>
      <c r="DN13" s="2" t="s">
        <v>45</v>
      </c>
      <c r="DO13" s="2" t="s">
        <v>60</v>
      </c>
      <c r="DP13" s="2" t="s">
        <v>57</v>
      </c>
      <c r="DQ13" s="2" t="s">
        <v>58</v>
      </c>
      <c r="DR13" s="2" t="s">
        <v>370</v>
      </c>
      <c r="DS13" s="2" t="s">
        <v>44</v>
      </c>
      <c r="DT13" s="2" t="s">
        <v>46</v>
      </c>
      <c r="DU13" s="2" t="s">
        <v>45</v>
      </c>
      <c r="DV13" s="2" t="s">
        <v>60</v>
      </c>
      <c r="DW13" s="2" t="s">
        <v>59</v>
      </c>
      <c r="DX13" s="2" t="s">
        <v>60</v>
      </c>
      <c r="DY13" s="2" t="s">
        <v>372</v>
      </c>
      <c r="DZ13" s="2" t="s">
        <v>372</v>
      </c>
      <c r="EA13" s="2" t="s">
        <v>372</v>
      </c>
      <c r="EB13" s="2" t="s">
        <v>372</v>
      </c>
      <c r="EC13" s="2" t="s">
        <v>372</v>
      </c>
      <c r="ED13" s="2" t="s">
        <v>372</v>
      </c>
      <c r="EE13" s="2" t="s">
        <v>372</v>
      </c>
      <c r="EF13" s="2" t="s">
        <v>39</v>
      </c>
      <c r="EG13" s="2" t="s">
        <v>347</v>
      </c>
      <c r="EH13" s="2" t="s">
        <v>44</v>
      </c>
      <c r="EI13" s="2" t="s">
        <v>47</v>
      </c>
      <c r="EJ13" s="2" t="s">
        <v>47</v>
      </c>
      <c r="EK13" s="2" t="s">
        <v>60</v>
      </c>
      <c r="EL13" s="2" t="s">
        <v>59</v>
      </c>
      <c r="EM13" s="2" t="s">
        <v>58</v>
      </c>
      <c r="EN13" s="2" t="s">
        <v>353</v>
      </c>
      <c r="EO13" s="2" t="s">
        <v>44</v>
      </c>
      <c r="EP13" s="2" t="s">
        <v>47</v>
      </c>
      <c r="EQ13" s="2" t="s">
        <v>47</v>
      </c>
      <c r="ER13" s="2" t="s">
        <v>59</v>
      </c>
      <c r="ES13" s="2" t="s">
        <v>58</v>
      </c>
      <c r="ET13" s="2" t="s">
        <v>59</v>
      </c>
      <c r="EU13" s="2" t="s">
        <v>359</v>
      </c>
      <c r="EV13" s="2" t="s">
        <v>43</v>
      </c>
      <c r="EW13" s="2" t="s">
        <v>47</v>
      </c>
      <c r="EX13" s="2" t="s">
        <v>47</v>
      </c>
      <c r="EY13" s="2" t="s">
        <v>60</v>
      </c>
      <c r="EZ13" s="2" t="s">
        <v>57</v>
      </c>
      <c r="FA13" s="2" t="s">
        <v>59</v>
      </c>
      <c r="FB13" s="2" t="s">
        <v>365</v>
      </c>
      <c r="FC13" s="2" t="s">
        <v>44</v>
      </c>
      <c r="FD13" s="2" t="s">
        <v>46</v>
      </c>
      <c r="FE13" s="2" t="s">
        <v>45</v>
      </c>
      <c r="FF13" s="2" t="s">
        <v>58</v>
      </c>
      <c r="FG13" s="2" t="s">
        <v>58</v>
      </c>
      <c r="FH13" s="2" t="s">
        <v>59</v>
      </c>
      <c r="FI13" s="2" t="s">
        <v>371</v>
      </c>
      <c r="FJ13" s="2" t="s">
        <v>43</v>
      </c>
      <c r="FK13" s="2" t="s">
        <v>46</v>
      </c>
      <c r="FL13" s="2" t="s">
        <v>46</v>
      </c>
      <c r="FM13" s="2" t="s">
        <v>57</v>
      </c>
      <c r="FN13" s="2" t="s">
        <v>60</v>
      </c>
      <c r="FO13" s="2" t="s">
        <v>59</v>
      </c>
      <c r="FP13" s="2" t="s">
        <v>343</v>
      </c>
      <c r="FQ13" s="2" t="s">
        <v>346</v>
      </c>
      <c r="FR13" s="2" t="s">
        <v>40</v>
      </c>
      <c r="FS13" s="2" t="s">
        <v>348</v>
      </c>
      <c r="FT13" s="2" t="s">
        <v>44</v>
      </c>
      <c r="FU13" s="2" t="s">
        <v>47</v>
      </c>
      <c r="FV13" s="2" t="s">
        <v>47</v>
      </c>
      <c r="FW13" s="2" t="s">
        <v>57</v>
      </c>
      <c r="FX13" s="2" t="s">
        <v>57</v>
      </c>
      <c r="FY13" s="2" t="s">
        <v>58</v>
      </c>
      <c r="FZ13" s="2" t="s">
        <v>354</v>
      </c>
      <c r="GA13" s="2" t="s">
        <v>44</v>
      </c>
      <c r="GB13" s="2" t="s">
        <v>45</v>
      </c>
      <c r="GC13" s="2" t="s">
        <v>47</v>
      </c>
      <c r="GD13" s="2" t="s">
        <v>59</v>
      </c>
      <c r="GE13" s="2" t="s">
        <v>57</v>
      </c>
      <c r="GF13" s="2" t="s">
        <v>60</v>
      </c>
      <c r="GG13" s="2" t="s">
        <v>360</v>
      </c>
      <c r="GH13" s="2" t="s">
        <v>44</v>
      </c>
      <c r="GI13" s="2" t="s">
        <v>45</v>
      </c>
      <c r="GJ13" s="2" t="s">
        <v>45</v>
      </c>
      <c r="GK13" s="2" t="s">
        <v>60</v>
      </c>
      <c r="GL13" s="2" t="s">
        <v>60</v>
      </c>
      <c r="GM13" s="2" t="s">
        <v>60</v>
      </c>
      <c r="GN13" s="2" t="s">
        <v>366</v>
      </c>
      <c r="GO13" s="2" t="s">
        <v>43</v>
      </c>
      <c r="GP13" s="2" t="s">
        <v>47</v>
      </c>
      <c r="GQ13" s="2" t="s">
        <v>46</v>
      </c>
      <c r="GR13" s="2" t="s">
        <v>60</v>
      </c>
      <c r="GS13" s="2" t="s">
        <v>60</v>
      </c>
      <c r="GT13" s="2" t="s">
        <v>60</v>
      </c>
      <c r="GU13" s="2" t="s">
        <v>372</v>
      </c>
      <c r="GV13" s="2" t="s">
        <v>372</v>
      </c>
      <c r="GW13" s="2" t="s">
        <v>372</v>
      </c>
      <c r="GX13" s="2" t="s">
        <v>372</v>
      </c>
      <c r="GY13" s="2" t="s">
        <v>372</v>
      </c>
      <c r="GZ13" s="2" t="s">
        <v>372</v>
      </c>
      <c r="HA13" s="2" t="s">
        <v>372</v>
      </c>
      <c r="HB13" s="2" t="s">
        <v>39</v>
      </c>
      <c r="HC13" s="2" t="s">
        <v>350</v>
      </c>
      <c r="HD13" s="2" t="s">
        <v>44</v>
      </c>
      <c r="HE13" s="2" t="s">
        <v>45</v>
      </c>
      <c r="HF13" s="2" t="s">
        <v>47</v>
      </c>
      <c r="HG13" s="2" t="s">
        <v>60</v>
      </c>
      <c r="HH13" s="2" t="s">
        <v>58</v>
      </c>
      <c r="HI13" s="2" t="s">
        <v>57</v>
      </c>
      <c r="HJ13" s="2" t="s">
        <v>356</v>
      </c>
      <c r="HK13" s="2" t="s">
        <v>43</v>
      </c>
      <c r="HL13" s="2" t="s">
        <v>46</v>
      </c>
      <c r="HM13" s="2" t="s">
        <v>46</v>
      </c>
      <c r="HN13" s="2" t="s">
        <v>60</v>
      </c>
      <c r="HO13" s="2" t="s">
        <v>57</v>
      </c>
      <c r="HP13" s="2" t="s">
        <v>60</v>
      </c>
      <c r="HQ13" s="2" t="s">
        <v>362</v>
      </c>
      <c r="HR13" s="2" t="s">
        <v>44</v>
      </c>
      <c r="HS13" s="2" t="s">
        <v>46</v>
      </c>
      <c r="HT13" s="2" t="s">
        <v>46</v>
      </c>
      <c r="HU13" s="2" t="s">
        <v>58</v>
      </c>
      <c r="HV13" s="2" t="s">
        <v>57</v>
      </c>
      <c r="HW13" s="2" t="s">
        <v>59</v>
      </c>
      <c r="HX13" s="2" t="s">
        <v>368</v>
      </c>
      <c r="HY13" s="2" t="s">
        <v>43</v>
      </c>
      <c r="HZ13" s="2" t="s">
        <v>47</v>
      </c>
      <c r="IA13" s="2" t="s">
        <v>47</v>
      </c>
      <c r="IB13" s="2" t="s">
        <v>58</v>
      </c>
      <c r="IC13" s="2" t="s">
        <v>58</v>
      </c>
      <c r="ID13" s="2" t="s">
        <v>59</v>
      </c>
      <c r="IE13" s="2" t="s">
        <v>374</v>
      </c>
      <c r="IF13" s="2" t="s">
        <v>43</v>
      </c>
      <c r="IG13" s="2" t="s">
        <v>45</v>
      </c>
      <c r="IH13" s="2" t="s">
        <v>45</v>
      </c>
      <c r="II13" s="2" t="s">
        <v>60</v>
      </c>
      <c r="IJ13" s="2" t="s">
        <v>57</v>
      </c>
      <c r="IK13" s="2" t="s">
        <v>57</v>
      </c>
    </row>
    <row r="14" spans="1:245" x14ac:dyDescent="0.25">
      <c r="A14" s="2" t="s">
        <v>318</v>
      </c>
      <c r="B14" s="2" t="s">
        <v>336</v>
      </c>
      <c r="C14" s="2" t="s">
        <v>339</v>
      </c>
      <c r="D14" s="2" t="s">
        <v>43</v>
      </c>
      <c r="E14" s="2" t="s">
        <v>45</v>
      </c>
      <c r="F14" s="2" t="s">
        <v>45</v>
      </c>
      <c r="G14" s="2" t="s">
        <v>57</v>
      </c>
      <c r="H14" s="2" t="s">
        <v>58</v>
      </c>
      <c r="I14" s="2" t="s">
        <v>59</v>
      </c>
      <c r="J14" s="2" t="s">
        <v>340</v>
      </c>
      <c r="K14" s="2" t="s">
        <v>43</v>
      </c>
      <c r="L14" s="2" t="s">
        <v>46</v>
      </c>
      <c r="M14" s="2" t="s">
        <v>46</v>
      </c>
      <c r="N14" s="2" t="s">
        <v>58</v>
      </c>
      <c r="O14" s="2" t="s">
        <v>57</v>
      </c>
      <c r="P14" s="2" t="s">
        <v>58</v>
      </c>
      <c r="Q14" s="2" t="s">
        <v>341</v>
      </c>
      <c r="R14" s="2" t="s">
        <v>43</v>
      </c>
      <c r="S14" s="2" t="s">
        <v>47</v>
      </c>
      <c r="T14" s="2" t="s">
        <v>47</v>
      </c>
      <c r="U14" s="2" t="s">
        <v>58</v>
      </c>
      <c r="V14" s="2" t="s">
        <v>58</v>
      </c>
      <c r="W14" s="2" t="s">
        <v>58</v>
      </c>
      <c r="X14" s="2" t="s">
        <v>342</v>
      </c>
      <c r="Y14" s="2" t="s">
        <v>346</v>
      </c>
      <c r="Z14" s="2" t="s">
        <v>40</v>
      </c>
      <c r="AA14" s="2" t="s">
        <v>352</v>
      </c>
      <c r="AB14" s="2" t="s">
        <v>44</v>
      </c>
      <c r="AC14" s="2" t="s">
        <v>45</v>
      </c>
      <c r="AD14" s="2" t="s">
        <v>45</v>
      </c>
      <c r="AE14" s="2" t="s">
        <v>57</v>
      </c>
      <c r="AF14" s="2" t="s">
        <v>58</v>
      </c>
      <c r="AG14" s="2" t="s">
        <v>58</v>
      </c>
      <c r="AH14" s="2" t="s">
        <v>358</v>
      </c>
      <c r="AI14" s="2" t="s">
        <v>43</v>
      </c>
      <c r="AJ14" s="2" t="s">
        <v>47</v>
      </c>
      <c r="AK14" s="2" t="s">
        <v>46</v>
      </c>
      <c r="AL14" s="2" t="s">
        <v>57</v>
      </c>
      <c r="AM14" s="2" t="s">
        <v>60</v>
      </c>
      <c r="AN14" s="2" t="s">
        <v>59</v>
      </c>
      <c r="AO14" s="2" t="s">
        <v>364</v>
      </c>
      <c r="AP14" s="2" t="s">
        <v>43</v>
      </c>
      <c r="AQ14" s="2" t="s">
        <v>45</v>
      </c>
      <c r="AR14" s="2" t="s">
        <v>47</v>
      </c>
      <c r="AS14" s="2" t="s">
        <v>60</v>
      </c>
      <c r="AT14" s="2" t="s">
        <v>57</v>
      </c>
      <c r="AU14" s="2" t="s">
        <v>58</v>
      </c>
      <c r="AV14" s="2" t="s">
        <v>370</v>
      </c>
      <c r="AW14" s="2" t="s">
        <v>44</v>
      </c>
      <c r="AX14" s="2" t="s">
        <v>46</v>
      </c>
      <c r="AY14" s="2" t="s">
        <v>46</v>
      </c>
      <c r="AZ14" s="2" t="s">
        <v>60</v>
      </c>
      <c r="BA14" s="2" t="s">
        <v>59</v>
      </c>
      <c r="BB14" s="2" t="s">
        <v>60</v>
      </c>
      <c r="BC14" s="2" t="s">
        <v>372</v>
      </c>
      <c r="BD14" s="2" t="s">
        <v>372</v>
      </c>
      <c r="BE14" s="2" t="s">
        <v>372</v>
      </c>
      <c r="BF14" s="2" t="s">
        <v>372</v>
      </c>
      <c r="BG14" s="2" t="s">
        <v>372</v>
      </c>
      <c r="BH14" s="2" t="s">
        <v>372</v>
      </c>
      <c r="BI14" s="2" t="s">
        <v>372</v>
      </c>
      <c r="BJ14" s="2" t="s">
        <v>39</v>
      </c>
      <c r="BK14" s="2" t="s">
        <v>347</v>
      </c>
      <c r="BL14" s="2" t="s">
        <v>44</v>
      </c>
      <c r="BM14" s="2" t="s">
        <v>47</v>
      </c>
      <c r="BN14" s="2" t="s">
        <v>46</v>
      </c>
      <c r="BO14" s="2" t="s">
        <v>60</v>
      </c>
      <c r="BP14" s="2" t="s">
        <v>59</v>
      </c>
      <c r="BQ14" s="2" t="s">
        <v>58</v>
      </c>
      <c r="BR14" s="2" t="s">
        <v>353</v>
      </c>
      <c r="BS14" s="2" t="s">
        <v>44</v>
      </c>
      <c r="BT14" s="2" t="s">
        <v>47</v>
      </c>
      <c r="BU14" s="2" t="s">
        <v>47</v>
      </c>
      <c r="BV14" s="2" t="s">
        <v>59</v>
      </c>
      <c r="BW14" s="2" t="s">
        <v>58</v>
      </c>
      <c r="BX14" s="2" t="s">
        <v>59</v>
      </c>
      <c r="BY14" s="2" t="s">
        <v>359</v>
      </c>
      <c r="BZ14" s="2" t="s">
        <v>43</v>
      </c>
      <c r="CA14" s="2" t="s">
        <v>47</v>
      </c>
      <c r="CB14" s="2" t="s">
        <v>47</v>
      </c>
      <c r="CC14" s="2" t="s">
        <v>60</v>
      </c>
      <c r="CD14" s="2" t="s">
        <v>57</v>
      </c>
      <c r="CE14" s="2" t="s">
        <v>59</v>
      </c>
      <c r="CF14" s="2" t="s">
        <v>365</v>
      </c>
      <c r="CG14" s="2" t="s">
        <v>44</v>
      </c>
      <c r="CH14" s="2" t="s">
        <v>46</v>
      </c>
      <c r="CI14" s="2" t="s">
        <v>46</v>
      </c>
      <c r="CJ14" s="2" t="s">
        <v>58</v>
      </c>
      <c r="CK14" s="2" t="s">
        <v>58</v>
      </c>
      <c r="CL14" s="2" t="s">
        <v>59</v>
      </c>
      <c r="CM14" s="2" t="s">
        <v>371</v>
      </c>
      <c r="CN14" s="2" t="s">
        <v>43</v>
      </c>
      <c r="CO14" s="2" t="s">
        <v>46</v>
      </c>
      <c r="CP14" s="2" t="s">
        <v>46</v>
      </c>
      <c r="CQ14" s="2" t="s">
        <v>57</v>
      </c>
      <c r="CR14" s="2" t="s">
        <v>60</v>
      </c>
      <c r="CS14" s="2" t="s">
        <v>59</v>
      </c>
      <c r="CT14" s="2" t="s">
        <v>343</v>
      </c>
      <c r="CU14" s="2" t="s">
        <v>345</v>
      </c>
      <c r="CV14" s="2" t="s">
        <v>39</v>
      </c>
      <c r="CW14" s="2" t="s">
        <v>350</v>
      </c>
      <c r="CX14" s="2" t="s">
        <v>44</v>
      </c>
      <c r="CY14" s="2" t="s">
        <v>45</v>
      </c>
      <c r="CZ14" s="2" t="s">
        <v>45</v>
      </c>
      <c r="DA14" s="2" t="s">
        <v>60</v>
      </c>
      <c r="DB14" s="2" t="s">
        <v>58</v>
      </c>
      <c r="DC14" s="2" t="s">
        <v>57</v>
      </c>
      <c r="DD14" s="2" t="s">
        <v>356</v>
      </c>
      <c r="DE14" s="2" t="s">
        <v>43</v>
      </c>
      <c r="DF14" s="2" t="s">
        <v>46</v>
      </c>
      <c r="DG14" s="2" t="s">
        <v>46</v>
      </c>
      <c r="DH14" s="2" t="s">
        <v>60</v>
      </c>
      <c r="DI14" s="2" t="s">
        <v>57</v>
      </c>
      <c r="DJ14" s="2" t="s">
        <v>60</v>
      </c>
      <c r="DK14" s="2" t="s">
        <v>362</v>
      </c>
      <c r="DL14" s="2" t="s">
        <v>44</v>
      </c>
      <c r="DM14" s="2" t="s">
        <v>46</v>
      </c>
      <c r="DN14" s="2" t="s">
        <v>46</v>
      </c>
      <c r="DO14" s="2" t="s">
        <v>58</v>
      </c>
      <c r="DP14" s="2" t="s">
        <v>57</v>
      </c>
      <c r="DQ14" s="2" t="s">
        <v>59</v>
      </c>
      <c r="DR14" s="2" t="s">
        <v>368</v>
      </c>
      <c r="DS14" s="2" t="s">
        <v>43</v>
      </c>
      <c r="DT14" s="2" t="s">
        <v>47</v>
      </c>
      <c r="DU14" s="2" t="s">
        <v>46</v>
      </c>
      <c r="DV14" s="2" t="s">
        <v>58</v>
      </c>
      <c r="DW14" s="2" t="s">
        <v>58</v>
      </c>
      <c r="DX14" s="2" t="s">
        <v>59</v>
      </c>
      <c r="DY14" s="2" t="s">
        <v>374</v>
      </c>
      <c r="DZ14" s="2" t="s">
        <v>43</v>
      </c>
      <c r="EA14" s="2" t="s">
        <v>45</v>
      </c>
      <c r="EB14" s="2" t="s">
        <v>45</v>
      </c>
      <c r="EC14" s="2" t="s">
        <v>60</v>
      </c>
      <c r="ED14" s="2" t="s">
        <v>57</v>
      </c>
      <c r="EE14" s="2" t="s">
        <v>57</v>
      </c>
      <c r="EF14" s="2" t="s">
        <v>40</v>
      </c>
      <c r="EG14" s="2" t="s">
        <v>348</v>
      </c>
      <c r="EH14" s="2" t="s">
        <v>44</v>
      </c>
      <c r="EI14" s="2" t="s">
        <v>47</v>
      </c>
      <c r="EJ14" s="2" t="s">
        <v>47</v>
      </c>
      <c r="EK14" s="2" t="s">
        <v>57</v>
      </c>
      <c r="EL14" s="2" t="s">
        <v>57</v>
      </c>
      <c r="EM14" s="2" t="s">
        <v>58</v>
      </c>
      <c r="EN14" s="2" t="s">
        <v>354</v>
      </c>
      <c r="EO14" s="2" t="s">
        <v>44</v>
      </c>
      <c r="EP14" s="2" t="s">
        <v>45</v>
      </c>
      <c r="EQ14" s="2" t="s">
        <v>45</v>
      </c>
      <c r="ER14" s="2" t="s">
        <v>59</v>
      </c>
      <c r="ES14" s="2" t="s">
        <v>57</v>
      </c>
      <c r="ET14" s="2" t="s">
        <v>60</v>
      </c>
      <c r="EU14" s="2" t="s">
        <v>360</v>
      </c>
      <c r="EV14" s="2" t="s">
        <v>44</v>
      </c>
      <c r="EW14" s="2" t="s">
        <v>45</v>
      </c>
      <c r="EX14" s="2" t="s">
        <v>47</v>
      </c>
      <c r="EY14" s="2" t="s">
        <v>60</v>
      </c>
      <c r="EZ14" s="2" t="s">
        <v>60</v>
      </c>
      <c r="FA14" s="2" t="s">
        <v>60</v>
      </c>
      <c r="FB14" s="2" t="s">
        <v>366</v>
      </c>
      <c r="FC14" s="2" t="s">
        <v>43</v>
      </c>
      <c r="FD14" s="2" t="s">
        <v>47</v>
      </c>
      <c r="FE14" s="2" t="s">
        <v>46</v>
      </c>
      <c r="FF14" s="2" t="s">
        <v>60</v>
      </c>
      <c r="FG14" s="2" t="s">
        <v>60</v>
      </c>
      <c r="FH14" s="2" t="s">
        <v>60</v>
      </c>
      <c r="FI14" s="2" t="s">
        <v>372</v>
      </c>
      <c r="FJ14" s="2" t="s">
        <v>372</v>
      </c>
      <c r="FK14" s="2" t="s">
        <v>372</v>
      </c>
      <c r="FL14" s="2" t="s">
        <v>372</v>
      </c>
      <c r="FM14" s="2" t="s">
        <v>372</v>
      </c>
      <c r="FN14" s="2" t="s">
        <v>372</v>
      </c>
      <c r="FO14" s="2" t="s">
        <v>372</v>
      </c>
      <c r="FP14" s="2" t="s">
        <v>344</v>
      </c>
      <c r="FQ14" s="2" t="s">
        <v>345</v>
      </c>
      <c r="FR14" s="2" t="s">
        <v>39</v>
      </c>
      <c r="FS14" s="2" t="s">
        <v>349</v>
      </c>
      <c r="FT14" s="2" t="s">
        <v>43</v>
      </c>
      <c r="FU14" s="2" t="s">
        <v>47</v>
      </c>
      <c r="FV14" s="2" t="s">
        <v>47</v>
      </c>
      <c r="FW14" s="2" t="s">
        <v>59</v>
      </c>
      <c r="FX14" s="2" t="s">
        <v>59</v>
      </c>
      <c r="FY14" s="2" t="s">
        <v>58</v>
      </c>
      <c r="FZ14" s="2" t="s">
        <v>355</v>
      </c>
      <c r="GA14" s="2" t="s">
        <v>43</v>
      </c>
      <c r="GB14" s="2" t="s">
        <v>47</v>
      </c>
      <c r="GC14" s="2" t="s">
        <v>47</v>
      </c>
      <c r="GD14" s="2" t="s">
        <v>59</v>
      </c>
      <c r="GE14" s="2" t="s">
        <v>60</v>
      </c>
      <c r="GF14" s="2" t="s">
        <v>60</v>
      </c>
      <c r="GG14" s="2" t="s">
        <v>361</v>
      </c>
      <c r="GH14" s="2" t="s">
        <v>44</v>
      </c>
      <c r="GI14" s="2" t="s">
        <v>47</v>
      </c>
      <c r="GJ14" s="2" t="s">
        <v>46</v>
      </c>
      <c r="GK14" s="2" t="s">
        <v>59</v>
      </c>
      <c r="GL14" s="2" t="s">
        <v>60</v>
      </c>
      <c r="GM14" s="2" t="s">
        <v>57</v>
      </c>
      <c r="GN14" s="2" t="s">
        <v>367</v>
      </c>
      <c r="GO14" s="2" t="s">
        <v>43</v>
      </c>
      <c r="GP14" s="2" t="s">
        <v>46</v>
      </c>
      <c r="GQ14" s="2" t="s">
        <v>46</v>
      </c>
      <c r="GR14" s="2" t="s">
        <v>58</v>
      </c>
      <c r="GS14" s="2" t="s">
        <v>59</v>
      </c>
      <c r="GT14" s="2" t="s">
        <v>58</v>
      </c>
      <c r="GU14" s="2" t="s">
        <v>373</v>
      </c>
      <c r="GV14" s="2" t="s">
        <v>44</v>
      </c>
      <c r="GW14" s="2" t="s">
        <v>46</v>
      </c>
      <c r="GX14" s="2" t="s">
        <v>46</v>
      </c>
      <c r="GY14" s="2" t="s">
        <v>58</v>
      </c>
      <c r="GZ14" s="2" t="s">
        <v>58</v>
      </c>
      <c r="HA14" s="2" t="s">
        <v>57</v>
      </c>
      <c r="HB14" s="2" t="s">
        <v>40</v>
      </c>
      <c r="HC14" s="2" t="s">
        <v>351</v>
      </c>
      <c r="HD14" s="2" t="s">
        <v>44</v>
      </c>
      <c r="HE14" s="2" t="s">
        <v>45</v>
      </c>
      <c r="HF14" s="2" t="s">
        <v>47</v>
      </c>
      <c r="HG14" s="2" t="s">
        <v>57</v>
      </c>
      <c r="HH14" s="2" t="s">
        <v>58</v>
      </c>
      <c r="HI14" s="2" t="s">
        <v>60</v>
      </c>
      <c r="HJ14" s="2" t="s">
        <v>357</v>
      </c>
      <c r="HK14" s="2" t="s">
        <v>43</v>
      </c>
      <c r="HL14" s="2" t="s">
        <v>47</v>
      </c>
      <c r="HM14" s="2" t="s">
        <v>47</v>
      </c>
      <c r="HN14" s="2" t="s">
        <v>58</v>
      </c>
      <c r="HO14" s="2" t="s">
        <v>57</v>
      </c>
      <c r="HP14" s="2" t="s">
        <v>59</v>
      </c>
      <c r="HQ14" s="2" t="s">
        <v>363</v>
      </c>
      <c r="HR14" s="2" t="s">
        <v>43</v>
      </c>
      <c r="HS14" s="2" t="s">
        <v>45</v>
      </c>
      <c r="HT14" s="2" t="s">
        <v>47</v>
      </c>
      <c r="HU14" s="2" t="s">
        <v>58</v>
      </c>
      <c r="HV14" s="2" t="s">
        <v>58</v>
      </c>
      <c r="HW14" s="2" t="s">
        <v>60</v>
      </c>
      <c r="HX14" s="2" t="s">
        <v>369</v>
      </c>
      <c r="HY14" s="2" t="s">
        <v>43</v>
      </c>
      <c r="HZ14" s="2" t="s">
        <v>47</v>
      </c>
      <c r="IA14" s="2" t="s">
        <v>47</v>
      </c>
      <c r="IB14" s="2" t="s">
        <v>59</v>
      </c>
      <c r="IC14" s="2" t="s">
        <v>57</v>
      </c>
      <c r="ID14" s="2" t="s">
        <v>57</v>
      </c>
      <c r="IE14" s="2" t="s">
        <v>372</v>
      </c>
      <c r="IF14" s="2" t="s">
        <v>372</v>
      </c>
      <c r="IG14" s="2" t="s">
        <v>372</v>
      </c>
      <c r="IH14" s="2" t="s">
        <v>372</v>
      </c>
      <c r="II14" s="2" t="s">
        <v>372</v>
      </c>
      <c r="IJ14" s="2" t="s">
        <v>372</v>
      </c>
      <c r="IK14" s="2" t="s">
        <v>372</v>
      </c>
    </row>
    <row r="15" spans="1:245" x14ac:dyDescent="0.25">
      <c r="A15" s="2" t="s">
        <v>319</v>
      </c>
      <c r="B15" s="2" t="s">
        <v>337</v>
      </c>
      <c r="C15" s="2" t="s">
        <v>339</v>
      </c>
      <c r="D15" s="2" t="s">
        <v>43</v>
      </c>
      <c r="E15" s="2" t="s">
        <v>45</v>
      </c>
      <c r="F15" s="2" t="s">
        <v>45</v>
      </c>
      <c r="G15" s="2" t="s">
        <v>57</v>
      </c>
      <c r="H15" s="2" t="s">
        <v>58</v>
      </c>
      <c r="I15" s="2" t="s">
        <v>59</v>
      </c>
      <c r="J15" s="2" t="s">
        <v>340</v>
      </c>
      <c r="K15" s="2" t="s">
        <v>43</v>
      </c>
      <c r="L15" s="2" t="s">
        <v>46</v>
      </c>
      <c r="M15" s="2" t="s">
        <v>46</v>
      </c>
      <c r="N15" s="2" t="s">
        <v>58</v>
      </c>
      <c r="O15" s="2" t="s">
        <v>57</v>
      </c>
      <c r="P15" s="2" t="s">
        <v>58</v>
      </c>
      <c r="Q15" s="2" t="s">
        <v>341</v>
      </c>
      <c r="R15" s="2" t="s">
        <v>43</v>
      </c>
      <c r="S15" s="2" t="s">
        <v>47</v>
      </c>
      <c r="T15" s="2" t="s">
        <v>47</v>
      </c>
      <c r="U15" s="2" t="s">
        <v>58</v>
      </c>
      <c r="V15" s="2" t="s">
        <v>58</v>
      </c>
      <c r="W15" s="2" t="s">
        <v>58</v>
      </c>
      <c r="X15" s="2" t="s">
        <v>343</v>
      </c>
      <c r="Y15" s="2" t="s">
        <v>346</v>
      </c>
      <c r="Z15" s="2" t="s">
        <v>40</v>
      </c>
      <c r="AA15" s="2" t="s">
        <v>348</v>
      </c>
      <c r="AB15" s="2" t="s">
        <v>44</v>
      </c>
      <c r="AC15" s="2" t="s">
        <v>47</v>
      </c>
      <c r="AD15" s="2" t="s">
        <v>47</v>
      </c>
      <c r="AE15" s="2" t="s">
        <v>57</v>
      </c>
      <c r="AF15" s="2" t="s">
        <v>57</v>
      </c>
      <c r="AG15" s="2" t="s">
        <v>58</v>
      </c>
      <c r="AH15" s="2" t="s">
        <v>354</v>
      </c>
      <c r="AI15" s="2" t="s">
        <v>44</v>
      </c>
      <c r="AJ15" s="2" t="s">
        <v>45</v>
      </c>
      <c r="AK15" s="2" t="s">
        <v>45</v>
      </c>
      <c r="AL15" s="2" t="s">
        <v>59</v>
      </c>
      <c r="AM15" s="2" t="s">
        <v>57</v>
      </c>
      <c r="AN15" s="2" t="s">
        <v>60</v>
      </c>
      <c r="AO15" s="2" t="s">
        <v>360</v>
      </c>
      <c r="AP15" s="2" t="s">
        <v>44</v>
      </c>
      <c r="AQ15" s="2" t="s">
        <v>45</v>
      </c>
      <c r="AR15" s="2" t="s">
        <v>47</v>
      </c>
      <c r="AS15" s="2" t="s">
        <v>60</v>
      </c>
      <c r="AT15" s="2" t="s">
        <v>60</v>
      </c>
      <c r="AU15" s="2" t="s">
        <v>60</v>
      </c>
      <c r="AV15" s="2" t="s">
        <v>366</v>
      </c>
      <c r="AW15" s="2" t="s">
        <v>43</v>
      </c>
      <c r="AX15" s="2" t="s">
        <v>47</v>
      </c>
      <c r="AY15" s="2" t="s">
        <v>46</v>
      </c>
      <c r="AZ15" s="2" t="s">
        <v>60</v>
      </c>
      <c r="BA15" s="2" t="s">
        <v>60</v>
      </c>
      <c r="BB15" s="2" t="s">
        <v>60</v>
      </c>
      <c r="BC15" s="2" t="s">
        <v>372</v>
      </c>
      <c r="BD15" s="2" t="s">
        <v>372</v>
      </c>
      <c r="BE15" s="2" t="s">
        <v>372</v>
      </c>
      <c r="BF15" s="2" t="s">
        <v>372</v>
      </c>
      <c r="BG15" s="2" t="s">
        <v>372</v>
      </c>
      <c r="BH15" s="2" t="s">
        <v>372</v>
      </c>
      <c r="BI15" s="2" t="s">
        <v>372</v>
      </c>
      <c r="BJ15" s="2" t="s">
        <v>39</v>
      </c>
      <c r="BK15" s="2" t="s">
        <v>350</v>
      </c>
      <c r="BL15" s="2" t="s">
        <v>44</v>
      </c>
      <c r="BM15" s="2" t="s">
        <v>45</v>
      </c>
      <c r="BN15" s="2" t="s">
        <v>45</v>
      </c>
      <c r="BO15" s="2" t="s">
        <v>60</v>
      </c>
      <c r="BP15" s="2" t="s">
        <v>58</v>
      </c>
      <c r="BQ15" s="2" t="s">
        <v>57</v>
      </c>
      <c r="BR15" s="2" t="s">
        <v>356</v>
      </c>
      <c r="BS15" s="2" t="s">
        <v>43</v>
      </c>
      <c r="BT15" s="2" t="s">
        <v>46</v>
      </c>
      <c r="BU15" s="2" t="s">
        <v>46</v>
      </c>
      <c r="BV15" s="2" t="s">
        <v>60</v>
      </c>
      <c r="BW15" s="2" t="s">
        <v>57</v>
      </c>
      <c r="BX15" s="2" t="s">
        <v>60</v>
      </c>
      <c r="BY15" s="2" t="s">
        <v>362</v>
      </c>
      <c r="BZ15" s="2" t="s">
        <v>44</v>
      </c>
      <c r="CA15" s="2" t="s">
        <v>46</v>
      </c>
      <c r="CB15" s="2" t="s">
        <v>45</v>
      </c>
      <c r="CC15" s="2" t="s">
        <v>58</v>
      </c>
      <c r="CD15" s="2" t="s">
        <v>57</v>
      </c>
      <c r="CE15" s="2" t="s">
        <v>59</v>
      </c>
      <c r="CF15" s="2" t="s">
        <v>368</v>
      </c>
      <c r="CG15" s="2" t="s">
        <v>43</v>
      </c>
      <c r="CH15" s="2" t="s">
        <v>47</v>
      </c>
      <c r="CI15" s="2" t="s">
        <v>47</v>
      </c>
      <c r="CJ15" s="2" t="s">
        <v>58</v>
      </c>
      <c r="CK15" s="2" t="s">
        <v>58</v>
      </c>
      <c r="CL15" s="2" t="s">
        <v>59</v>
      </c>
      <c r="CM15" s="2" t="s">
        <v>374</v>
      </c>
      <c r="CN15" s="2" t="s">
        <v>43</v>
      </c>
      <c r="CO15" s="2" t="s">
        <v>45</v>
      </c>
      <c r="CP15" s="2" t="s">
        <v>45</v>
      </c>
      <c r="CQ15" s="2" t="s">
        <v>60</v>
      </c>
      <c r="CR15" s="2" t="s">
        <v>57</v>
      </c>
      <c r="CS15" s="2" t="s">
        <v>57</v>
      </c>
      <c r="CT15" s="2" t="s">
        <v>344</v>
      </c>
      <c r="CU15" s="2" t="s">
        <v>346</v>
      </c>
      <c r="CV15" s="2" t="s">
        <v>40</v>
      </c>
      <c r="CW15" s="2" t="s">
        <v>351</v>
      </c>
      <c r="CX15" s="2" t="s">
        <v>44</v>
      </c>
      <c r="CY15" s="2" t="s">
        <v>45</v>
      </c>
      <c r="CZ15" s="2" t="s">
        <v>45</v>
      </c>
      <c r="DA15" s="2" t="s">
        <v>57</v>
      </c>
      <c r="DB15" s="2" t="s">
        <v>58</v>
      </c>
      <c r="DC15" s="2" t="s">
        <v>60</v>
      </c>
      <c r="DD15" s="2" t="s">
        <v>357</v>
      </c>
      <c r="DE15" s="2" t="s">
        <v>43</v>
      </c>
      <c r="DF15" s="2" t="s">
        <v>47</v>
      </c>
      <c r="DG15" s="2" t="s">
        <v>46</v>
      </c>
      <c r="DH15" s="2" t="s">
        <v>58</v>
      </c>
      <c r="DI15" s="2" t="s">
        <v>57</v>
      </c>
      <c r="DJ15" s="2" t="s">
        <v>59</v>
      </c>
      <c r="DK15" s="2" t="s">
        <v>363</v>
      </c>
      <c r="DL15" s="2" t="s">
        <v>43</v>
      </c>
      <c r="DM15" s="2" t="s">
        <v>45</v>
      </c>
      <c r="DN15" s="2" t="s">
        <v>47</v>
      </c>
      <c r="DO15" s="2" t="s">
        <v>58</v>
      </c>
      <c r="DP15" s="2" t="s">
        <v>58</v>
      </c>
      <c r="DQ15" s="2" t="s">
        <v>60</v>
      </c>
      <c r="DR15" s="2" t="s">
        <v>369</v>
      </c>
      <c r="DS15" s="2" t="s">
        <v>43</v>
      </c>
      <c r="DT15" s="2" t="s">
        <v>47</v>
      </c>
      <c r="DU15" s="2" t="s">
        <v>47</v>
      </c>
      <c r="DV15" s="2" t="s">
        <v>59</v>
      </c>
      <c r="DW15" s="2" t="s">
        <v>57</v>
      </c>
      <c r="DX15" s="2" t="s">
        <v>57</v>
      </c>
      <c r="DY15" s="2" t="s">
        <v>372</v>
      </c>
      <c r="DZ15" s="2" t="s">
        <v>372</v>
      </c>
      <c r="EA15" s="2" t="s">
        <v>372</v>
      </c>
      <c r="EB15" s="2" t="s">
        <v>372</v>
      </c>
      <c r="EC15" s="2" t="s">
        <v>372</v>
      </c>
      <c r="ED15" s="2" t="s">
        <v>372</v>
      </c>
      <c r="EE15" s="2" t="s">
        <v>372</v>
      </c>
      <c r="EF15" s="2" t="s">
        <v>39</v>
      </c>
      <c r="EG15" s="2" t="s">
        <v>349</v>
      </c>
      <c r="EH15" s="2" t="s">
        <v>43</v>
      </c>
      <c r="EI15" s="2" t="s">
        <v>47</v>
      </c>
      <c r="EJ15" s="2" t="s">
        <v>47</v>
      </c>
      <c r="EK15" s="2" t="s">
        <v>59</v>
      </c>
      <c r="EL15" s="2" t="s">
        <v>59</v>
      </c>
      <c r="EM15" s="2" t="s">
        <v>58</v>
      </c>
      <c r="EN15" s="2" t="s">
        <v>355</v>
      </c>
      <c r="EO15" s="2" t="s">
        <v>43</v>
      </c>
      <c r="EP15" s="2" t="s">
        <v>47</v>
      </c>
      <c r="EQ15" s="2" t="s">
        <v>46</v>
      </c>
      <c r="ER15" s="2" t="s">
        <v>59</v>
      </c>
      <c r="ES15" s="2" t="s">
        <v>60</v>
      </c>
      <c r="ET15" s="2" t="s">
        <v>60</v>
      </c>
      <c r="EU15" s="2" t="s">
        <v>361</v>
      </c>
      <c r="EV15" s="2" t="s">
        <v>44</v>
      </c>
      <c r="EW15" s="2" t="s">
        <v>47</v>
      </c>
      <c r="EX15" s="2" t="s">
        <v>47</v>
      </c>
      <c r="EY15" s="2" t="s">
        <v>59</v>
      </c>
      <c r="EZ15" s="2" t="s">
        <v>60</v>
      </c>
      <c r="FA15" s="2" t="s">
        <v>57</v>
      </c>
      <c r="FB15" s="2" t="s">
        <v>367</v>
      </c>
      <c r="FC15" s="2" t="s">
        <v>43</v>
      </c>
      <c r="FD15" s="2" t="s">
        <v>46</v>
      </c>
      <c r="FE15" s="2" t="s">
        <v>46</v>
      </c>
      <c r="FF15" s="2" t="s">
        <v>58</v>
      </c>
      <c r="FG15" s="2" t="s">
        <v>59</v>
      </c>
      <c r="FH15" s="2" t="s">
        <v>58</v>
      </c>
      <c r="FI15" s="2" t="s">
        <v>373</v>
      </c>
      <c r="FJ15" s="2" t="s">
        <v>44</v>
      </c>
      <c r="FK15" s="2" t="s">
        <v>46</v>
      </c>
      <c r="FL15" s="2" t="s">
        <v>46</v>
      </c>
      <c r="FM15" s="2" t="s">
        <v>58</v>
      </c>
      <c r="FN15" s="2" t="s">
        <v>58</v>
      </c>
      <c r="FO15" s="2" t="s">
        <v>57</v>
      </c>
      <c r="FP15" s="2" t="s">
        <v>342</v>
      </c>
      <c r="FQ15" s="2" t="s">
        <v>346</v>
      </c>
      <c r="FR15" s="2" t="s">
        <v>40</v>
      </c>
      <c r="FS15" s="2" t="s">
        <v>352</v>
      </c>
      <c r="FT15" s="2" t="s">
        <v>44</v>
      </c>
      <c r="FU15" s="2" t="s">
        <v>45</v>
      </c>
      <c r="FV15" s="2" t="s">
        <v>45</v>
      </c>
      <c r="FW15" s="2" t="s">
        <v>57</v>
      </c>
      <c r="FX15" s="2" t="s">
        <v>58</v>
      </c>
      <c r="FY15" s="2" t="s">
        <v>58</v>
      </c>
      <c r="FZ15" s="2" t="s">
        <v>358</v>
      </c>
      <c r="GA15" s="2" t="s">
        <v>43</v>
      </c>
      <c r="GB15" s="2" t="s">
        <v>47</v>
      </c>
      <c r="GC15" s="2" t="s">
        <v>47</v>
      </c>
      <c r="GD15" s="2" t="s">
        <v>57</v>
      </c>
      <c r="GE15" s="2" t="s">
        <v>60</v>
      </c>
      <c r="GF15" s="2" t="s">
        <v>59</v>
      </c>
      <c r="GG15" s="2" t="s">
        <v>364</v>
      </c>
      <c r="GH15" s="2" t="s">
        <v>43</v>
      </c>
      <c r="GI15" s="2" t="s">
        <v>45</v>
      </c>
      <c r="GJ15" s="2" t="s">
        <v>47</v>
      </c>
      <c r="GK15" s="2" t="s">
        <v>60</v>
      </c>
      <c r="GL15" s="2" t="s">
        <v>57</v>
      </c>
      <c r="GM15" s="2" t="s">
        <v>58</v>
      </c>
      <c r="GN15" s="2" t="s">
        <v>370</v>
      </c>
      <c r="GO15" s="2" t="s">
        <v>44</v>
      </c>
      <c r="GP15" s="2" t="s">
        <v>46</v>
      </c>
      <c r="GQ15" s="2" t="s">
        <v>45</v>
      </c>
      <c r="GR15" s="2" t="s">
        <v>60</v>
      </c>
      <c r="GS15" s="2" t="s">
        <v>59</v>
      </c>
      <c r="GT15" s="2" t="s">
        <v>60</v>
      </c>
      <c r="GU15" s="2" t="s">
        <v>372</v>
      </c>
      <c r="GV15" s="2" t="s">
        <v>372</v>
      </c>
      <c r="GW15" s="2" t="s">
        <v>372</v>
      </c>
      <c r="GX15" s="2" t="s">
        <v>372</v>
      </c>
      <c r="GY15" s="2" t="s">
        <v>372</v>
      </c>
      <c r="GZ15" s="2" t="s">
        <v>372</v>
      </c>
      <c r="HA15" s="2" t="s">
        <v>372</v>
      </c>
      <c r="HB15" s="2" t="s">
        <v>39</v>
      </c>
      <c r="HC15" s="2" t="s">
        <v>347</v>
      </c>
      <c r="HD15" s="2" t="s">
        <v>44</v>
      </c>
      <c r="HE15" s="2" t="s">
        <v>47</v>
      </c>
      <c r="HF15" s="2" t="s">
        <v>47</v>
      </c>
      <c r="HG15" s="2" t="s">
        <v>60</v>
      </c>
      <c r="HH15" s="2" t="s">
        <v>59</v>
      </c>
      <c r="HI15" s="2" t="s">
        <v>58</v>
      </c>
      <c r="HJ15" s="2" t="s">
        <v>353</v>
      </c>
      <c r="HK15" s="2" t="s">
        <v>44</v>
      </c>
      <c r="HL15" s="2" t="s">
        <v>47</v>
      </c>
      <c r="HM15" s="2" t="s">
        <v>47</v>
      </c>
      <c r="HN15" s="2" t="s">
        <v>59</v>
      </c>
      <c r="HO15" s="2" t="s">
        <v>58</v>
      </c>
      <c r="HP15" s="2" t="s">
        <v>59</v>
      </c>
      <c r="HQ15" s="2" t="s">
        <v>359</v>
      </c>
      <c r="HR15" s="2" t="s">
        <v>43</v>
      </c>
      <c r="HS15" s="2" t="s">
        <v>47</v>
      </c>
      <c r="HT15" s="2" t="s">
        <v>47</v>
      </c>
      <c r="HU15" s="2" t="s">
        <v>60</v>
      </c>
      <c r="HV15" s="2" t="s">
        <v>57</v>
      </c>
      <c r="HW15" s="2" t="s">
        <v>59</v>
      </c>
      <c r="HX15" s="2" t="s">
        <v>365</v>
      </c>
      <c r="HY15" s="2" t="s">
        <v>44</v>
      </c>
      <c r="HZ15" s="2" t="s">
        <v>46</v>
      </c>
      <c r="IA15" s="2" t="s">
        <v>46</v>
      </c>
      <c r="IB15" s="2" t="s">
        <v>58</v>
      </c>
      <c r="IC15" s="2" t="s">
        <v>58</v>
      </c>
      <c r="ID15" s="2" t="s">
        <v>59</v>
      </c>
      <c r="IE15" s="2" t="s">
        <v>371</v>
      </c>
      <c r="IF15" s="2" t="s">
        <v>43</v>
      </c>
      <c r="IG15" s="2" t="s">
        <v>46</v>
      </c>
      <c r="IH15" s="2" t="s">
        <v>45</v>
      </c>
      <c r="II15" s="2" t="s">
        <v>57</v>
      </c>
      <c r="IJ15" s="2" t="s">
        <v>60</v>
      </c>
      <c r="IK15" s="2" t="s">
        <v>59</v>
      </c>
    </row>
    <row r="16" spans="1:245" x14ac:dyDescent="0.25">
      <c r="A16" s="2" t="s">
        <v>320</v>
      </c>
      <c r="B16" s="2" t="s">
        <v>338</v>
      </c>
      <c r="C16" s="2" t="s">
        <v>339</v>
      </c>
      <c r="D16" s="2" t="s">
        <v>43</v>
      </c>
      <c r="E16" s="2" t="s">
        <v>45</v>
      </c>
      <c r="F16" s="2" t="s">
        <v>45</v>
      </c>
      <c r="G16" s="2" t="s">
        <v>57</v>
      </c>
      <c r="H16" s="2" t="s">
        <v>58</v>
      </c>
      <c r="I16" s="2" t="s">
        <v>59</v>
      </c>
      <c r="J16" s="2" t="s">
        <v>340</v>
      </c>
      <c r="K16" s="2" t="s">
        <v>43</v>
      </c>
      <c r="L16" s="2" t="s">
        <v>46</v>
      </c>
      <c r="M16" s="2" t="s">
        <v>46</v>
      </c>
      <c r="N16" s="2" t="s">
        <v>58</v>
      </c>
      <c r="O16" s="2" t="s">
        <v>57</v>
      </c>
      <c r="P16" s="2" t="s">
        <v>58</v>
      </c>
      <c r="Q16" s="2" t="s">
        <v>341</v>
      </c>
      <c r="R16" s="2" t="s">
        <v>43</v>
      </c>
      <c r="S16" s="2" t="s">
        <v>47</v>
      </c>
      <c r="T16" s="2" t="s">
        <v>47</v>
      </c>
      <c r="U16" s="2" t="s">
        <v>58</v>
      </c>
      <c r="V16" s="2" t="s">
        <v>58</v>
      </c>
      <c r="W16" s="2" t="s">
        <v>58</v>
      </c>
      <c r="X16" s="2" t="s">
        <v>344</v>
      </c>
      <c r="Y16" s="2" t="s">
        <v>346</v>
      </c>
      <c r="Z16" s="2" t="s">
        <v>40</v>
      </c>
      <c r="AA16" s="2" t="s">
        <v>351</v>
      </c>
      <c r="AB16" s="2" t="s">
        <v>44</v>
      </c>
      <c r="AC16" s="2" t="s">
        <v>45</v>
      </c>
      <c r="AD16" s="2" t="s">
        <v>45</v>
      </c>
      <c r="AE16" s="2" t="s">
        <v>57</v>
      </c>
      <c r="AF16" s="2" t="s">
        <v>58</v>
      </c>
      <c r="AG16" s="2" t="s">
        <v>60</v>
      </c>
      <c r="AH16" s="2" t="s">
        <v>357</v>
      </c>
      <c r="AI16" s="2" t="s">
        <v>43</v>
      </c>
      <c r="AJ16" s="2" t="s">
        <v>47</v>
      </c>
      <c r="AK16" s="2" t="s">
        <v>47</v>
      </c>
      <c r="AL16" s="2" t="s">
        <v>58</v>
      </c>
      <c r="AM16" s="2" t="s">
        <v>57</v>
      </c>
      <c r="AN16" s="2" t="s">
        <v>59</v>
      </c>
      <c r="AO16" s="2" t="s">
        <v>363</v>
      </c>
      <c r="AP16" s="2" t="s">
        <v>43</v>
      </c>
      <c r="AQ16" s="2" t="s">
        <v>45</v>
      </c>
      <c r="AR16" s="2" t="s">
        <v>47</v>
      </c>
      <c r="AS16" s="2" t="s">
        <v>58</v>
      </c>
      <c r="AT16" s="2" t="s">
        <v>58</v>
      </c>
      <c r="AU16" s="2" t="s">
        <v>60</v>
      </c>
      <c r="AV16" s="2" t="s">
        <v>369</v>
      </c>
      <c r="AW16" s="2" t="s">
        <v>43</v>
      </c>
      <c r="AX16" s="2" t="s">
        <v>47</v>
      </c>
      <c r="AY16" s="2" t="s">
        <v>46</v>
      </c>
      <c r="AZ16" s="2" t="s">
        <v>59</v>
      </c>
      <c r="BA16" s="2" t="s">
        <v>57</v>
      </c>
      <c r="BB16" s="2" t="s">
        <v>57</v>
      </c>
      <c r="BC16" s="2" t="s">
        <v>372</v>
      </c>
      <c r="BD16" s="2" t="s">
        <v>372</v>
      </c>
      <c r="BE16" s="2" t="s">
        <v>372</v>
      </c>
      <c r="BF16" s="2" t="s">
        <v>372</v>
      </c>
      <c r="BG16" s="2" t="s">
        <v>372</v>
      </c>
      <c r="BH16" s="2" t="s">
        <v>372</v>
      </c>
      <c r="BI16" s="2" t="s">
        <v>372</v>
      </c>
      <c r="BJ16" s="2" t="s">
        <v>39</v>
      </c>
      <c r="BK16" s="2" t="s">
        <v>349</v>
      </c>
      <c r="BL16" s="2" t="s">
        <v>43</v>
      </c>
      <c r="BM16" s="2" t="s">
        <v>47</v>
      </c>
      <c r="BN16" s="2" t="s">
        <v>47</v>
      </c>
      <c r="BO16" s="2" t="s">
        <v>59</v>
      </c>
      <c r="BP16" s="2" t="s">
        <v>59</v>
      </c>
      <c r="BQ16" s="2" t="s">
        <v>58</v>
      </c>
      <c r="BR16" s="2" t="s">
        <v>355</v>
      </c>
      <c r="BS16" s="2" t="s">
        <v>43</v>
      </c>
      <c r="BT16" s="2" t="s">
        <v>47</v>
      </c>
      <c r="BU16" s="2" t="s">
        <v>47</v>
      </c>
      <c r="BV16" s="2" t="s">
        <v>59</v>
      </c>
      <c r="BW16" s="2" t="s">
        <v>60</v>
      </c>
      <c r="BX16" s="2" t="s">
        <v>60</v>
      </c>
      <c r="BY16" s="2" t="s">
        <v>361</v>
      </c>
      <c r="BZ16" s="2" t="s">
        <v>44</v>
      </c>
      <c r="CA16" s="2" t="s">
        <v>47</v>
      </c>
      <c r="CB16" s="2" t="s">
        <v>46</v>
      </c>
      <c r="CC16" s="2" t="s">
        <v>59</v>
      </c>
      <c r="CD16" s="2" t="s">
        <v>60</v>
      </c>
      <c r="CE16" s="2" t="s">
        <v>57</v>
      </c>
      <c r="CF16" s="2" t="s">
        <v>367</v>
      </c>
      <c r="CG16" s="2" t="s">
        <v>43</v>
      </c>
      <c r="CH16" s="2" t="s">
        <v>46</v>
      </c>
      <c r="CI16" s="2" t="s">
        <v>46</v>
      </c>
      <c r="CJ16" s="2" t="s">
        <v>58</v>
      </c>
      <c r="CK16" s="2" t="s">
        <v>59</v>
      </c>
      <c r="CL16" s="2" t="s">
        <v>58</v>
      </c>
      <c r="CM16" s="2" t="s">
        <v>373</v>
      </c>
      <c r="CN16" s="2" t="s">
        <v>44</v>
      </c>
      <c r="CO16" s="2" t="s">
        <v>46</v>
      </c>
      <c r="CP16" s="2" t="s">
        <v>46</v>
      </c>
      <c r="CQ16" s="2" t="s">
        <v>58</v>
      </c>
      <c r="CR16" s="2" t="s">
        <v>58</v>
      </c>
      <c r="CS16" s="2" t="s">
        <v>57</v>
      </c>
      <c r="CT16" s="2" t="s">
        <v>342</v>
      </c>
      <c r="CU16" s="2" t="s">
        <v>345</v>
      </c>
      <c r="CV16" s="2" t="s">
        <v>39</v>
      </c>
      <c r="CW16" s="2" t="s">
        <v>347</v>
      </c>
      <c r="CX16" s="2" t="s">
        <v>44</v>
      </c>
      <c r="CY16" s="2" t="s">
        <v>47</v>
      </c>
      <c r="CZ16" s="2" t="s">
        <v>47</v>
      </c>
      <c r="DA16" s="2" t="s">
        <v>60</v>
      </c>
      <c r="DB16" s="2" t="s">
        <v>59</v>
      </c>
      <c r="DC16" s="2" t="s">
        <v>58</v>
      </c>
      <c r="DD16" s="2" t="s">
        <v>353</v>
      </c>
      <c r="DE16" s="2" t="s">
        <v>44</v>
      </c>
      <c r="DF16" s="2" t="s">
        <v>47</v>
      </c>
      <c r="DG16" s="2" t="s">
        <v>47</v>
      </c>
      <c r="DH16" s="2" t="s">
        <v>59</v>
      </c>
      <c r="DI16" s="2" t="s">
        <v>58</v>
      </c>
      <c r="DJ16" s="2" t="s">
        <v>59</v>
      </c>
      <c r="DK16" s="2" t="s">
        <v>359</v>
      </c>
      <c r="DL16" s="2" t="s">
        <v>43</v>
      </c>
      <c r="DM16" s="2" t="s">
        <v>47</v>
      </c>
      <c r="DN16" s="2" t="s">
        <v>46</v>
      </c>
      <c r="DO16" s="2" t="s">
        <v>60</v>
      </c>
      <c r="DP16" s="2" t="s">
        <v>57</v>
      </c>
      <c r="DQ16" s="2" t="s">
        <v>59</v>
      </c>
      <c r="DR16" s="2" t="s">
        <v>365</v>
      </c>
      <c r="DS16" s="2" t="s">
        <v>44</v>
      </c>
      <c r="DT16" s="2" t="s">
        <v>46</v>
      </c>
      <c r="DU16" s="2" t="s">
        <v>46</v>
      </c>
      <c r="DV16" s="2" t="s">
        <v>58</v>
      </c>
      <c r="DW16" s="2" t="s">
        <v>58</v>
      </c>
      <c r="DX16" s="2" t="s">
        <v>59</v>
      </c>
      <c r="DY16" s="2" t="s">
        <v>371</v>
      </c>
      <c r="DZ16" s="2" t="s">
        <v>43</v>
      </c>
      <c r="EA16" s="2" t="s">
        <v>46</v>
      </c>
      <c r="EB16" s="2" t="s">
        <v>46</v>
      </c>
      <c r="EC16" s="2" t="s">
        <v>57</v>
      </c>
      <c r="ED16" s="2" t="s">
        <v>60</v>
      </c>
      <c r="EE16" s="2" t="s">
        <v>59</v>
      </c>
      <c r="EF16" s="2" t="s">
        <v>40</v>
      </c>
      <c r="EG16" s="2" t="s">
        <v>352</v>
      </c>
      <c r="EH16" s="2" t="s">
        <v>44</v>
      </c>
      <c r="EI16" s="2" t="s">
        <v>45</v>
      </c>
      <c r="EJ16" s="2" t="s">
        <v>45</v>
      </c>
      <c r="EK16" s="2" t="s">
        <v>57</v>
      </c>
      <c r="EL16" s="2" t="s">
        <v>58</v>
      </c>
      <c r="EM16" s="2" t="s">
        <v>58</v>
      </c>
      <c r="EN16" s="2" t="s">
        <v>358</v>
      </c>
      <c r="EO16" s="2" t="s">
        <v>43</v>
      </c>
      <c r="EP16" s="2" t="s">
        <v>47</v>
      </c>
      <c r="EQ16" s="2" t="s">
        <v>46</v>
      </c>
      <c r="ER16" s="2" t="s">
        <v>57</v>
      </c>
      <c r="ES16" s="2" t="s">
        <v>60</v>
      </c>
      <c r="ET16" s="2" t="s">
        <v>59</v>
      </c>
      <c r="EU16" s="2" t="s">
        <v>364</v>
      </c>
      <c r="EV16" s="2" t="s">
        <v>43</v>
      </c>
      <c r="EW16" s="2" t="s">
        <v>45</v>
      </c>
      <c r="EX16" s="2" t="s">
        <v>45</v>
      </c>
      <c r="EY16" s="2" t="s">
        <v>60</v>
      </c>
      <c r="EZ16" s="2" t="s">
        <v>57</v>
      </c>
      <c r="FA16" s="2" t="s">
        <v>58</v>
      </c>
      <c r="FB16" s="2" t="s">
        <v>370</v>
      </c>
      <c r="FC16" s="2" t="s">
        <v>44</v>
      </c>
      <c r="FD16" s="2" t="s">
        <v>46</v>
      </c>
      <c r="FE16" s="2" t="s">
        <v>45</v>
      </c>
      <c r="FF16" s="2" t="s">
        <v>60</v>
      </c>
      <c r="FG16" s="2" t="s">
        <v>59</v>
      </c>
      <c r="FH16" s="2" t="s">
        <v>60</v>
      </c>
      <c r="FI16" s="2" t="s">
        <v>372</v>
      </c>
      <c r="FJ16" s="2" t="s">
        <v>372</v>
      </c>
      <c r="FK16" s="2" t="s">
        <v>372</v>
      </c>
      <c r="FL16" s="2" t="s">
        <v>372</v>
      </c>
      <c r="FM16" s="2" t="s">
        <v>372</v>
      </c>
      <c r="FN16" s="2" t="s">
        <v>372</v>
      </c>
      <c r="FO16" s="2" t="s">
        <v>372</v>
      </c>
      <c r="FP16" s="2" t="s">
        <v>343</v>
      </c>
      <c r="FQ16" s="2" t="s">
        <v>346</v>
      </c>
      <c r="FR16" s="2" t="s">
        <v>40</v>
      </c>
      <c r="FS16" s="2" t="s">
        <v>348</v>
      </c>
      <c r="FT16" s="2" t="s">
        <v>44</v>
      </c>
      <c r="FU16" s="2" t="s">
        <v>47</v>
      </c>
      <c r="FV16" s="2" t="s">
        <v>47</v>
      </c>
      <c r="FW16" s="2" t="s">
        <v>57</v>
      </c>
      <c r="FX16" s="2" t="s">
        <v>57</v>
      </c>
      <c r="FY16" s="2" t="s">
        <v>58</v>
      </c>
      <c r="FZ16" s="2" t="s">
        <v>354</v>
      </c>
      <c r="GA16" s="2" t="s">
        <v>44</v>
      </c>
      <c r="GB16" s="2" t="s">
        <v>45</v>
      </c>
      <c r="GC16" s="2" t="s">
        <v>45</v>
      </c>
      <c r="GD16" s="2" t="s">
        <v>59</v>
      </c>
      <c r="GE16" s="2" t="s">
        <v>57</v>
      </c>
      <c r="GF16" s="2" t="s">
        <v>60</v>
      </c>
      <c r="GG16" s="2" t="s">
        <v>360</v>
      </c>
      <c r="GH16" s="2" t="s">
        <v>44</v>
      </c>
      <c r="GI16" s="2" t="s">
        <v>45</v>
      </c>
      <c r="GJ16" s="2" t="s">
        <v>47</v>
      </c>
      <c r="GK16" s="2" t="s">
        <v>60</v>
      </c>
      <c r="GL16" s="2" t="s">
        <v>60</v>
      </c>
      <c r="GM16" s="2" t="s">
        <v>60</v>
      </c>
      <c r="GN16" s="2" t="s">
        <v>366</v>
      </c>
      <c r="GO16" s="2" t="s">
        <v>43</v>
      </c>
      <c r="GP16" s="2" t="s">
        <v>47</v>
      </c>
      <c r="GQ16" s="2" t="s">
        <v>46</v>
      </c>
      <c r="GR16" s="2" t="s">
        <v>60</v>
      </c>
      <c r="GS16" s="2" t="s">
        <v>60</v>
      </c>
      <c r="GT16" s="2" t="s">
        <v>60</v>
      </c>
      <c r="GU16" s="2" t="s">
        <v>372</v>
      </c>
      <c r="GV16" s="2" t="s">
        <v>372</v>
      </c>
      <c r="GW16" s="2" t="s">
        <v>372</v>
      </c>
      <c r="GX16" s="2" t="s">
        <v>372</v>
      </c>
      <c r="GY16" s="2" t="s">
        <v>372</v>
      </c>
      <c r="GZ16" s="2" t="s">
        <v>372</v>
      </c>
      <c r="HA16" s="2" t="s">
        <v>372</v>
      </c>
      <c r="HB16" s="2" t="s">
        <v>39</v>
      </c>
      <c r="HC16" s="2" t="s">
        <v>350</v>
      </c>
      <c r="HD16" s="2" t="s">
        <v>44</v>
      </c>
      <c r="HE16" s="2" t="s">
        <v>45</v>
      </c>
      <c r="HF16" s="2" t="s">
        <v>45</v>
      </c>
      <c r="HG16" s="2" t="s">
        <v>60</v>
      </c>
      <c r="HH16" s="2" t="s">
        <v>58</v>
      </c>
      <c r="HI16" s="2" t="s">
        <v>57</v>
      </c>
      <c r="HJ16" s="2" t="s">
        <v>356</v>
      </c>
      <c r="HK16" s="2" t="s">
        <v>43</v>
      </c>
      <c r="HL16" s="2" t="s">
        <v>46</v>
      </c>
      <c r="HM16" s="2" t="s">
        <v>45</v>
      </c>
      <c r="HN16" s="2" t="s">
        <v>60</v>
      </c>
      <c r="HO16" s="2" t="s">
        <v>57</v>
      </c>
      <c r="HP16" s="2" t="s">
        <v>60</v>
      </c>
      <c r="HQ16" s="2" t="s">
        <v>362</v>
      </c>
      <c r="HR16" s="2" t="s">
        <v>44</v>
      </c>
      <c r="HS16" s="2" t="s">
        <v>46</v>
      </c>
      <c r="HT16" s="2" t="s">
        <v>46</v>
      </c>
      <c r="HU16" s="2" t="s">
        <v>58</v>
      </c>
      <c r="HV16" s="2" t="s">
        <v>57</v>
      </c>
      <c r="HW16" s="2" t="s">
        <v>59</v>
      </c>
      <c r="HX16" s="2" t="s">
        <v>368</v>
      </c>
      <c r="HY16" s="2" t="s">
        <v>43</v>
      </c>
      <c r="HZ16" s="2" t="s">
        <v>47</v>
      </c>
      <c r="IA16" s="2" t="s">
        <v>47</v>
      </c>
      <c r="IB16" s="2" t="s">
        <v>58</v>
      </c>
      <c r="IC16" s="2" t="s">
        <v>58</v>
      </c>
      <c r="ID16" s="2" t="s">
        <v>59</v>
      </c>
      <c r="IE16" s="2" t="s">
        <v>374</v>
      </c>
      <c r="IF16" s="2" t="s">
        <v>43</v>
      </c>
      <c r="IG16" s="2" t="s">
        <v>45</v>
      </c>
      <c r="IH16" s="2" t="s">
        <v>45</v>
      </c>
      <c r="II16" s="2" t="s">
        <v>60</v>
      </c>
      <c r="IJ16" s="2" t="s">
        <v>57</v>
      </c>
      <c r="IK16" s="2" t="s">
        <v>57</v>
      </c>
    </row>
    <row r="17" spans="1:245" x14ac:dyDescent="0.25">
      <c r="A17" s="2" t="s">
        <v>321</v>
      </c>
      <c r="B17" s="2" t="s">
        <v>336</v>
      </c>
      <c r="C17" s="2" t="s">
        <v>339</v>
      </c>
      <c r="D17" s="2" t="s">
        <v>43</v>
      </c>
      <c r="E17" s="2" t="s">
        <v>45</v>
      </c>
      <c r="F17" s="2" t="s">
        <v>45</v>
      </c>
      <c r="G17" s="2" t="s">
        <v>57</v>
      </c>
      <c r="H17" s="2" t="s">
        <v>58</v>
      </c>
      <c r="I17" s="2" t="s">
        <v>59</v>
      </c>
      <c r="J17" s="2" t="s">
        <v>340</v>
      </c>
      <c r="K17" s="2" t="s">
        <v>43</v>
      </c>
      <c r="L17" s="2" t="s">
        <v>46</v>
      </c>
      <c r="M17" s="2" t="s">
        <v>46</v>
      </c>
      <c r="N17" s="2" t="s">
        <v>58</v>
      </c>
      <c r="O17" s="2" t="s">
        <v>57</v>
      </c>
      <c r="P17" s="2" t="s">
        <v>58</v>
      </c>
      <c r="Q17" s="2" t="s">
        <v>341</v>
      </c>
      <c r="R17" s="2" t="s">
        <v>43</v>
      </c>
      <c r="S17" s="2" t="s">
        <v>47</v>
      </c>
      <c r="T17" s="2" t="s">
        <v>47</v>
      </c>
      <c r="U17" s="2" t="s">
        <v>58</v>
      </c>
      <c r="V17" s="2" t="s">
        <v>58</v>
      </c>
      <c r="W17" s="2" t="s">
        <v>58</v>
      </c>
      <c r="X17" s="2" t="s">
        <v>342</v>
      </c>
      <c r="Y17" s="2" t="s">
        <v>345</v>
      </c>
      <c r="Z17" s="2" t="s">
        <v>39</v>
      </c>
      <c r="AA17" s="2" t="s">
        <v>347</v>
      </c>
      <c r="AB17" s="2" t="s">
        <v>44</v>
      </c>
      <c r="AC17" s="2" t="s">
        <v>47</v>
      </c>
      <c r="AD17" s="2" t="s">
        <v>46</v>
      </c>
      <c r="AE17" s="2" t="s">
        <v>60</v>
      </c>
      <c r="AF17" s="2" t="s">
        <v>59</v>
      </c>
      <c r="AG17" s="2" t="s">
        <v>58</v>
      </c>
      <c r="AH17" s="2" t="s">
        <v>353</v>
      </c>
      <c r="AI17" s="2" t="s">
        <v>44</v>
      </c>
      <c r="AJ17" s="2" t="s">
        <v>47</v>
      </c>
      <c r="AK17" s="2" t="s">
        <v>47</v>
      </c>
      <c r="AL17" s="2" t="s">
        <v>59</v>
      </c>
      <c r="AM17" s="2" t="s">
        <v>58</v>
      </c>
      <c r="AN17" s="2" t="s">
        <v>59</v>
      </c>
      <c r="AO17" s="2" t="s">
        <v>359</v>
      </c>
      <c r="AP17" s="2" t="s">
        <v>43</v>
      </c>
      <c r="AQ17" s="2" t="s">
        <v>47</v>
      </c>
      <c r="AR17" s="2" t="s">
        <v>47</v>
      </c>
      <c r="AS17" s="2" t="s">
        <v>60</v>
      </c>
      <c r="AT17" s="2" t="s">
        <v>57</v>
      </c>
      <c r="AU17" s="2" t="s">
        <v>59</v>
      </c>
      <c r="AV17" s="2" t="s">
        <v>365</v>
      </c>
      <c r="AW17" s="2" t="s">
        <v>44</v>
      </c>
      <c r="AX17" s="2" t="s">
        <v>46</v>
      </c>
      <c r="AY17" s="2" t="s">
        <v>46</v>
      </c>
      <c r="AZ17" s="2" t="s">
        <v>58</v>
      </c>
      <c r="BA17" s="2" t="s">
        <v>58</v>
      </c>
      <c r="BB17" s="2" t="s">
        <v>59</v>
      </c>
      <c r="BC17" s="2" t="s">
        <v>371</v>
      </c>
      <c r="BD17" s="2" t="s">
        <v>43</v>
      </c>
      <c r="BE17" s="2" t="s">
        <v>46</v>
      </c>
      <c r="BF17" s="2" t="s">
        <v>46</v>
      </c>
      <c r="BG17" s="2" t="s">
        <v>57</v>
      </c>
      <c r="BH17" s="2" t="s">
        <v>60</v>
      </c>
      <c r="BI17" s="2" t="s">
        <v>59</v>
      </c>
      <c r="BJ17" s="2" t="s">
        <v>40</v>
      </c>
      <c r="BK17" s="2" t="s">
        <v>352</v>
      </c>
      <c r="BL17" s="2" t="s">
        <v>44</v>
      </c>
      <c r="BM17" s="2" t="s">
        <v>45</v>
      </c>
      <c r="BN17" s="2" t="s">
        <v>45</v>
      </c>
      <c r="BO17" s="2" t="s">
        <v>57</v>
      </c>
      <c r="BP17" s="2" t="s">
        <v>58</v>
      </c>
      <c r="BQ17" s="2" t="s">
        <v>58</v>
      </c>
      <c r="BR17" s="2" t="s">
        <v>358</v>
      </c>
      <c r="BS17" s="2" t="s">
        <v>43</v>
      </c>
      <c r="BT17" s="2" t="s">
        <v>47</v>
      </c>
      <c r="BU17" s="2" t="s">
        <v>46</v>
      </c>
      <c r="BV17" s="2" t="s">
        <v>57</v>
      </c>
      <c r="BW17" s="2" t="s">
        <v>60</v>
      </c>
      <c r="BX17" s="2" t="s">
        <v>59</v>
      </c>
      <c r="BY17" s="2" t="s">
        <v>364</v>
      </c>
      <c r="BZ17" s="2" t="s">
        <v>43</v>
      </c>
      <c r="CA17" s="2" t="s">
        <v>45</v>
      </c>
      <c r="CB17" s="2" t="s">
        <v>45</v>
      </c>
      <c r="CC17" s="2" t="s">
        <v>60</v>
      </c>
      <c r="CD17" s="2" t="s">
        <v>57</v>
      </c>
      <c r="CE17" s="2" t="s">
        <v>58</v>
      </c>
      <c r="CF17" s="2" t="s">
        <v>370</v>
      </c>
      <c r="CG17" s="2" t="s">
        <v>44</v>
      </c>
      <c r="CH17" s="2" t="s">
        <v>46</v>
      </c>
      <c r="CI17" s="2" t="s">
        <v>45</v>
      </c>
      <c r="CJ17" s="2" t="s">
        <v>60</v>
      </c>
      <c r="CK17" s="2" t="s">
        <v>59</v>
      </c>
      <c r="CL17" s="2" t="s">
        <v>60</v>
      </c>
      <c r="CM17" s="2" t="s">
        <v>372</v>
      </c>
      <c r="CN17" s="2" t="s">
        <v>372</v>
      </c>
      <c r="CO17" s="2" t="s">
        <v>372</v>
      </c>
      <c r="CP17" s="2" t="s">
        <v>372</v>
      </c>
      <c r="CQ17" s="2" t="s">
        <v>372</v>
      </c>
      <c r="CR17" s="2" t="s">
        <v>372</v>
      </c>
      <c r="CS17" s="2" t="s">
        <v>372</v>
      </c>
      <c r="CT17" s="2" t="s">
        <v>343</v>
      </c>
      <c r="CU17" s="2" t="s">
        <v>346</v>
      </c>
      <c r="CV17" s="2" t="s">
        <v>40</v>
      </c>
      <c r="CW17" s="2" t="s">
        <v>348</v>
      </c>
      <c r="CX17" s="2" t="s">
        <v>44</v>
      </c>
      <c r="CY17" s="2" t="s">
        <v>47</v>
      </c>
      <c r="CZ17" s="2" t="s">
        <v>47</v>
      </c>
      <c r="DA17" s="2" t="s">
        <v>57</v>
      </c>
      <c r="DB17" s="2" t="s">
        <v>57</v>
      </c>
      <c r="DC17" s="2" t="s">
        <v>58</v>
      </c>
      <c r="DD17" s="2" t="s">
        <v>354</v>
      </c>
      <c r="DE17" s="2" t="s">
        <v>44</v>
      </c>
      <c r="DF17" s="2" t="s">
        <v>45</v>
      </c>
      <c r="DG17" s="2" t="s">
        <v>47</v>
      </c>
      <c r="DH17" s="2" t="s">
        <v>59</v>
      </c>
      <c r="DI17" s="2" t="s">
        <v>57</v>
      </c>
      <c r="DJ17" s="2" t="s">
        <v>60</v>
      </c>
      <c r="DK17" s="2" t="s">
        <v>360</v>
      </c>
      <c r="DL17" s="2" t="s">
        <v>44</v>
      </c>
      <c r="DM17" s="2" t="s">
        <v>45</v>
      </c>
      <c r="DN17" s="2" t="s">
        <v>47</v>
      </c>
      <c r="DO17" s="2" t="s">
        <v>60</v>
      </c>
      <c r="DP17" s="2" t="s">
        <v>60</v>
      </c>
      <c r="DQ17" s="2" t="s">
        <v>60</v>
      </c>
      <c r="DR17" s="2" t="s">
        <v>366</v>
      </c>
      <c r="DS17" s="2" t="s">
        <v>43</v>
      </c>
      <c r="DT17" s="2" t="s">
        <v>47</v>
      </c>
      <c r="DU17" s="2" t="s">
        <v>47</v>
      </c>
      <c r="DV17" s="2" t="s">
        <v>60</v>
      </c>
      <c r="DW17" s="2" t="s">
        <v>60</v>
      </c>
      <c r="DX17" s="2" t="s">
        <v>60</v>
      </c>
      <c r="DY17" s="2" t="s">
        <v>372</v>
      </c>
      <c r="DZ17" s="2" t="s">
        <v>372</v>
      </c>
      <c r="EA17" s="2" t="s">
        <v>372</v>
      </c>
      <c r="EB17" s="2" t="s">
        <v>372</v>
      </c>
      <c r="EC17" s="2" t="s">
        <v>372</v>
      </c>
      <c r="ED17" s="2" t="s">
        <v>372</v>
      </c>
      <c r="EE17" s="2" t="s">
        <v>372</v>
      </c>
      <c r="EF17" s="2" t="s">
        <v>39</v>
      </c>
      <c r="EG17" s="2" t="s">
        <v>350</v>
      </c>
      <c r="EH17" s="2" t="s">
        <v>44</v>
      </c>
      <c r="EI17" s="2" t="s">
        <v>45</v>
      </c>
      <c r="EJ17" s="2" t="s">
        <v>45</v>
      </c>
      <c r="EK17" s="2" t="s">
        <v>60</v>
      </c>
      <c r="EL17" s="2" t="s">
        <v>58</v>
      </c>
      <c r="EM17" s="2" t="s">
        <v>57</v>
      </c>
      <c r="EN17" s="2" t="s">
        <v>356</v>
      </c>
      <c r="EO17" s="2" t="s">
        <v>43</v>
      </c>
      <c r="EP17" s="2" t="s">
        <v>46</v>
      </c>
      <c r="EQ17" s="2" t="s">
        <v>46</v>
      </c>
      <c r="ER17" s="2" t="s">
        <v>60</v>
      </c>
      <c r="ES17" s="2" t="s">
        <v>57</v>
      </c>
      <c r="ET17" s="2" t="s">
        <v>60</v>
      </c>
      <c r="EU17" s="2" t="s">
        <v>362</v>
      </c>
      <c r="EV17" s="2" t="s">
        <v>44</v>
      </c>
      <c r="EW17" s="2" t="s">
        <v>46</v>
      </c>
      <c r="EX17" s="2" t="s">
        <v>46</v>
      </c>
      <c r="EY17" s="2" t="s">
        <v>58</v>
      </c>
      <c r="EZ17" s="2" t="s">
        <v>57</v>
      </c>
      <c r="FA17" s="2" t="s">
        <v>59</v>
      </c>
      <c r="FB17" s="2" t="s">
        <v>368</v>
      </c>
      <c r="FC17" s="2" t="s">
        <v>43</v>
      </c>
      <c r="FD17" s="2" t="s">
        <v>47</v>
      </c>
      <c r="FE17" s="2" t="s">
        <v>46</v>
      </c>
      <c r="FF17" s="2" t="s">
        <v>58</v>
      </c>
      <c r="FG17" s="2" t="s">
        <v>58</v>
      </c>
      <c r="FH17" s="2" t="s">
        <v>59</v>
      </c>
      <c r="FI17" s="2" t="s">
        <v>374</v>
      </c>
      <c r="FJ17" s="2" t="s">
        <v>43</v>
      </c>
      <c r="FK17" s="2" t="s">
        <v>45</v>
      </c>
      <c r="FL17" s="2" t="s">
        <v>45</v>
      </c>
      <c r="FM17" s="2" t="s">
        <v>60</v>
      </c>
      <c r="FN17" s="2" t="s">
        <v>57</v>
      </c>
      <c r="FO17" s="2" t="s">
        <v>57</v>
      </c>
      <c r="FP17" s="2" t="s">
        <v>344</v>
      </c>
      <c r="FQ17" s="2" t="s">
        <v>345</v>
      </c>
      <c r="FR17" s="2" t="s">
        <v>39</v>
      </c>
      <c r="FS17" s="2" t="s">
        <v>349</v>
      </c>
      <c r="FT17" s="2" t="s">
        <v>43</v>
      </c>
      <c r="FU17" s="2" t="s">
        <v>47</v>
      </c>
      <c r="FV17" s="2" t="s">
        <v>47</v>
      </c>
      <c r="FW17" s="2" t="s">
        <v>59</v>
      </c>
      <c r="FX17" s="2" t="s">
        <v>59</v>
      </c>
      <c r="FY17" s="2" t="s">
        <v>58</v>
      </c>
      <c r="FZ17" s="2" t="s">
        <v>355</v>
      </c>
      <c r="GA17" s="2" t="s">
        <v>43</v>
      </c>
      <c r="GB17" s="2" t="s">
        <v>47</v>
      </c>
      <c r="GC17" s="2" t="s">
        <v>46</v>
      </c>
      <c r="GD17" s="2" t="s">
        <v>59</v>
      </c>
      <c r="GE17" s="2" t="s">
        <v>60</v>
      </c>
      <c r="GF17" s="2" t="s">
        <v>60</v>
      </c>
      <c r="GG17" s="2" t="s">
        <v>361</v>
      </c>
      <c r="GH17" s="2" t="s">
        <v>44</v>
      </c>
      <c r="GI17" s="2" t="s">
        <v>47</v>
      </c>
      <c r="GJ17" s="2" t="s">
        <v>47</v>
      </c>
      <c r="GK17" s="2" t="s">
        <v>59</v>
      </c>
      <c r="GL17" s="2" t="s">
        <v>60</v>
      </c>
      <c r="GM17" s="2" t="s">
        <v>57</v>
      </c>
      <c r="GN17" s="2" t="s">
        <v>367</v>
      </c>
      <c r="GO17" s="2" t="s">
        <v>43</v>
      </c>
      <c r="GP17" s="2" t="s">
        <v>46</v>
      </c>
      <c r="GQ17" s="2" t="s">
        <v>46</v>
      </c>
      <c r="GR17" s="2" t="s">
        <v>58</v>
      </c>
      <c r="GS17" s="2" t="s">
        <v>59</v>
      </c>
      <c r="GT17" s="2" t="s">
        <v>58</v>
      </c>
      <c r="GU17" s="2" t="s">
        <v>373</v>
      </c>
      <c r="GV17" s="2" t="s">
        <v>44</v>
      </c>
      <c r="GW17" s="2" t="s">
        <v>46</v>
      </c>
      <c r="GX17" s="2" t="s">
        <v>46</v>
      </c>
      <c r="GY17" s="2" t="s">
        <v>58</v>
      </c>
      <c r="GZ17" s="2" t="s">
        <v>58</v>
      </c>
      <c r="HA17" s="2" t="s">
        <v>57</v>
      </c>
      <c r="HB17" s="2" t="s">
        <v>40</v>
      </c>
      <c r="HC17" s="2" t="s">
        <v>351</v>
      </c>
      <c r="HD17" s="2" t="s">
        <v>44</v>
      </c>
      <c r="HE17" s="2" t="s">
        <v>45</v>
      </c>
      <c r="HF17" s="2" t="s">
        <v>45</v>
      </c>
      <c r="HG17" s="2" t="s">
        <v>57</v>
      </c>
      <c r="HH17" s="2" t="s">
        <v>58</v>
      </c>
      <c r="HI17" s="2" t="s">
        <v>60</v>
      </c>
      <c r="HJ17" s="2" t="s">
        <v>357</v>
      </c>
      <c r="HK17" s="2" t="s">
        <v>43</v>
      </c>
      <c r="HL17" s="2" t="s">
        <v>47</v>
      </c>
      <c r="HM17" s="2" t="s">
        <v>46</v>
      </c>
      <c r="HN17" s="2" t="s">
        <v>58</v>
      </c>
      <c r="HO17" s="2" t="s">
        <v>57</v>
      </c>
      <c r="HP17" s="2" t="s">
        <v>59</v>
      </c>
      <c r="HQ17" s="2" t="s">
        <v>363</v>
      </c>
      <c r="HR17" s="2" t="s">
        <v>43</v>
      </c>
      <c r="HS17" s="2" t="s">
        <v>45</v>
      </c>
      <c r="HT17" s="2" t="s">
        <v>47</v>
      </c>
      <c r="HU17" s="2" t="s">
        <v>58</v>
      </c>
      <c r="HV17" s="2" t="s">
        <v>58</v>
      </c>
      <c r="HW17" s="2" t="s">
        <v>60</v>
      </c>
      <c r="HX17" s="2" t="s">
        <v>369</v>
      </c>
      <c r="HY17" s="2" t="s">
        <v>43</v>
      </c>
      <c r="HZ17" s="2" t="s">
        <v>47</v>
      </c>
      <c r="IA17" s="2" t="s">
        <v>47</v>
      </c>
      <c r="IB17" s="2" t="s">
        <v>59</v>
      </c>
      <c r="IC17" s="2" t="s">
        <v>57</v>
      </c>
      <c r="ID17" s="2" t="s">
        <v>57</v>
      </c>
      <c r="IE17" s="2" t="s">
        <v>372</v>
      </c>
      <c r="IF17" s="2" t="s">
        <v>372</v>
      </c>
      <c r="IG17" s="2" t="s">
        <v>372</v>
      </c>
      <c r="IH17" s="2" t="s">
        <v>372</v>
      </c>
      <c r="II17" s="2" t="s">
        <v>372</v>
      </c>
      <c r="IJ17" s="2" t="s">
        <v>372</v>
      </c>
      <c r="IK17" s="2" t="s">
        <v>372</v>
      </c>
    </row>
    <row r="18" spans="1:245" x14ac:dyDescent="0.25">
      <c r="A18" s="2" t="s">
        <v>322</v>
      </c>
      <c r="B18" s="2" t="s">
        <v>337</v>
      </c>
      <c r="C18" s="2" t="s">
        <v>339</v>
      </c>
      <c r="D18" s="2" t="s">
        <v>43</v>
      </c>
      <c r="E18" s="2" t="s">
        <v>45</v>
      </c>
      <c r="F18" s="2" t="s">
        <v>45</v>
      </c>
      <c r="G18" s="2" t="s">
        <v>57</v>
      </c>
      <c r="H18" s="2" t="s">
        <v>58</v>
      </c>
      <c r="I18" s="2" t="s">
        <v>59</v>
      </c>
      <c r="J18" s="2" t="s">
        <v>340</v>
      </c>
      <c r="K18" s="2" t="s">
        <v>43</v>
      </c>
      <c r="L18" s="2" t="s">
        <v>46</v>
      </c>
      <c r="M18" s="2" t="s">
        <v>46</v>
      </c>
      <c r="N18" s="2" t="s">
        <v>58</v>
      </c>
      <c r="O18" s="2" t="s">
        <v>57</v>
      </c>
      <c r="P18" s="2" t="s">
        <v>58</v>
      </c>
      <c r="Q18" s="2" t="s">
        <v>341</v>
      </c>
      <c r="R18" s="2" t="s">
        <v>43</v>
      </c>
      <c r="S18" s="2" t="s">
        <v>47</v>
      </c>
      <c r="T18" s="2" t="s">
        <v>47</v>
      </c>
      <c r="U18" s="2" t="s">
        <v>58</v>
      </c>
      <c r="V18" s="2" t="s">
        <v>58</v>
      </c>
      <c r="W18" s="2" t="s">
        <v>58</v>
      </c>
      <c r="X18" s="2" t="s">
        <v>343</v>
      </c>
      <c r="Y18" s="2" t="s">
        <v>346</v>
      </c>
      <c r="Z18" s="2" t="s">
        <v>40</v>
      </c>
      <c r="AA18" s="2" t="s">
        <v>348</v>
      </c>
      <c r="AB18" s="2" t="s">
        <v>44</v>
      </c>
      <c r="AC18" s="2" t="s">
        <v>47</v>
      </c>
      <c r="AD18" s="2" t="s">
        <v>47</v>
      </c>
      <c r="AE18" s="2" t="s">
        <v>57</v>
      </c>
      <c r="AF18" s="2" t="s">
        <v>57</v>
      </c>
      <c r="AG18" s="2" t="s">
        <v>58</v>
      </c>
      <c r="AH18" s="2" t="s">
        <v>354</v>
      </c>
      <c r="AI18" s="2" t="s">
        <v>44</v>
      </c>
      <c r="AJ18" s="2" t="s">
        <v>45</v>
      </c>
      <c r="AK18" s="2" t="s">
        <v>47</v>
      </c>
      <c r="AL18" s="2" t="s">
        <v>59</v>
      </c>
      <c r="AM18" s="2" t="s">
        <v>57</v>
      </c>
      <c r="AN18" s="2" t="s">
        <v>60</v>
      </c>
      <c r="AO18" s="2" t="s">
        <v>360</v>
      </c>
      <c r="AP18" s="2" t="s">
        <v>44</v>
      </c>
      <c r="AQ18" s="2" t="s">
        <v>45</v>
      </c>
      <c r="AR18" s="2" t="s">
        <v>47</v>
      </c>
      <c r="AS18" s="2" t="s">
        <v>60</v>
      </c>
      <c r="AT18" s="2" t="s">
        <v>60</v>
      </c>
      <c r="AU18" s="2" t="s">
        <v>60</v>
      </c>
      <c r="AV18" s="2" t="s">
        <v>366</v>
      </c>
      <c r="AW18" s="2" t="s">
        <v>43</v>
      </c>
      <c r="AX18" s="2" t="s">
        <v>47</v>
      </c>
      <c r="AY18" s="2" t="s">
        <v>47</v>
      </c>
      <c r="AZ18" s="2" t="s">
        <v>60</v>
      </c>
      <c r="BA18" s="2" t="s">
        <v>60</v>
      </c>
      <c r="BB18" s="2" t="s">
        <v>60</v>
      </c>
      <c r="BC18" s="2" t="s">
        <v>372</v>
      </c>
      <c r="BD18" s="2" t="s">
        <v>372</v>
      </c>
      <c r="BE18" s="2" t="s">
        <v>372</v>
      </c>
      <c r="BF18" s="2" t="s">
        <v>372</v>
      </c>
      <c r="BG18" s="2" t="s">
        <v>372</v>
      </c>
      <c r="BH18" s="2" t="s">
        <v>372</v>
      </c>
      <c r="BI18" s="2" t="s">
        <v>372</v>
      </c>
      <c r="BJ18" s="2" t="s">
        <v>39</v>
      </c>
      <c r="BK18" s="2" t="s">
        <v>350</v>
      </c>
      <c r="BL18" s="2" t="s">
        <v>44</v>
      </c>
      <c r="BM18" s="2" t="s">
        <v>45</v>
      </c>
      <c r="BN18" s="2" t="s">
        <v>45</v>
      </c>
      <c r="BO18" s="2" t="s">
        <v>60</v>
      </c>
      <c r="BP18" s="2" t="s">
        <v>58</v>
      </c>
      <c r="BQ18" s="2" t="s">
        <v>57</v>
      </c>
      <c r="BR18" s="2" t="s">
        <v>356</v>
      </c>
      <c r="BS18" s="2" t="s">
        <v>43</v>
      </c>
      <c r="BT18" s="2" t="s">
        <v>46</v>
      </c>
      <c r="BU18" s="2" t="s">
        <v>46</v>
      </c>
      <c r="BV18" s="2" t="s">
        <v>60</v>
      </c>
      <c r="BW18" s="2" t="s">
        <v>57</v>
      </c>
      <c r="BX18" s="2" t="s">
        <v>60</v>
      </c>
      <c r="BY18" s="2" t="s">
        <v>362</v>
      </c>
      <c r="BZ18" s="2" t="s">
        <v>44</v>
      </c>
      <c r="CA18" s="2" t="s">
        <v>46</v>
      </c>
      <c r="CB18" s="2" t="s">
        <v>46</v>
      </c>
      <c r="CC18" s="2" t="s">
        <v>58</v>
      </c>
      <c r="CD18" s="2" t="s">
        <v>57</v>
      </c>
      <c r="CE18" s="2" t="s">
        <v>59</v>
      </c>
      <c r="CF18" s="2" t="s">
        <v>368</v>
      </c>
      <c r="CG18" s="2" t="s">
        <v>43</v>
      </c>
      <c r="CH18" s="2" t="s">
        <v>47</v>
      </c>
      <c r="CI18" s="2" t="s">
        <v>46</v>
      </c>
      <c r="CJ18" s="2" t="s">
        <v>58</v>
      </c>
      <c r="CK18" s="2" t="s">
        <v>58</v>
      </c>
      <c r="CL18" s="2" t="s">
        <v>59</v>
      </c>
      <c r="CM18" s="2" t="s">
        <v>374</v>
      </c>
      <c r="CN18" s="2" t="s">
        <v>43</v>
      </c>
      <c r="CO18" s="2" t="s">
        <v>45</v>
      </c>
      <c r="CP18" s="2" t="s">
        <v>45</v>
      </c>
      <c r="CQ18" s="2" t="s">
        <v>60</v>
      </c>
      <c r="CR18" s="2" t="s">
        <v>57</v>
      </c>
      <c r="CS18" s="2" t="s">
        <v>57</v>
      </c>
      <c r="CT18" s="2" t="s">
        <v>344</v>
      </c>
      <c r="CU18" s="2" t="s">
        <v>346</v>
      </c>
      <c r="CV18" s="2" t="s">
        <v>40</v>
      </c>
      <c r="CW18" s="2" t="s">
        <v>351</v>
      </c>
      <c r="CX18" s="2" t="s">
        <v>44</v>
      </c>
      <c r="CY18" s="2" t="s">
        <v>45</v>
      </c>
      <c r="CZ18" s="2" t="s">
        <v>45</v>
      </c>
      <c r="DA18" s="2" t="s">
        <v>57</v>
      </c>
      <c r="DB18" s="2" t="s">
        <v>58</v>
      </c>
      <c r="DC18" s="2" t="s">
        <v>60</v>
      </c>
      <c r="DD18" s="2" t="s">
        <v>357</v>
      </c>
      <c r="DE18" s="2" t="s">
        <v>43</v>
      </c>
      <c r="DF18" s="2" t="s">
        <v>47</v>
      </c>
      <c r="DG18" s="2" t="s">
        <v>46</v>
      </c>
      <c r="DH18" s="2" t="s">
        <v>58</v>
      </c>
      <c r="DI18" s="2" t="s">
        <v>57</v>
      </c>
      <c r="DJ18" s="2" t="s">
        <v>59</v>
      </c>
      <c r="DK18" s="2" t="s">
        <v>363</v>
      </c>
      <c r="DL18" s="2" t="s">
        <v>43</v>
      </c>
      <c r="DM18" s="2" t="s">
        <v>45</v>
      </c>
      <c r="DN18" s="2" t="s">
        <v>45</v>
      </c>
      <c r="DO18" s="2" t="s">
        <v>58</v>
      </c>
      <c r="DP18" s="2" t="s">
        <v>58</v>
      </c>
      <c r="DQ18" s="2" t="s">
        <v>60</v>
      </c>
      <c r="DR18" s="2" t="s">
        <v>369</v>
      </c>
      <c r="DS18" s="2" t="s">
        <v>43</v>
      </c>
      <c r="DT18" s="2" t="s">
        <v>47</v>
      </c>
      <c r="DU18" s="2" t="s">
        <v>46</v>
      </c>
      <c r="DV18" s="2" t="s">
        <v>59</v>
      </c>
      <c r="DW18" s="2" t="s">
        <v>57</v>
      </c>
      <c r="DX18" s="2" t="s">
        <v>57</v>
      </c>
      <c r="DY18" s="2" t="s">
        <v>372</v>
      </c>
      <c r="DZ18" s="2" t="s">
        <v>372</v>
      </c>
      <c r="EA18" s="2" t="s">
        <v>372</v>
      </c>
      <c r="EB18" s="2" t="s">
        <v>372</v>
      </c>
      <c r="EC18" s="2" t="s">
        <v>372</v>
      </c>
      <c r="ED18" s="2" t="s">
        <v>372</v>
      </c>
      <c r="EE18" s="2" t="s">
        <v>372</v>
      </c>
      <c r="EF18" s="2" t="s">
        <v>39</v>
      </c>
      <c r="EG18" s="2" t="s">
        <v>349</v>
      </c>
      <c r="EH18" s="2" t="s">
        <v>43</v>
      </c>
      <c r="EI18" s="2" t="s">
        <v>47</v>
      </c>
      <c r="EJ18" s="2" t="s">
        <v>47</v>
      </c>
      <c r="EK18" s="2" t="s">
        <v>59</v>
      </c>
      <c r="EL18" s="2" t="s">
        <v>59</v>
      </c>
      <c r="EM18" s="2" t="s">
        <v>58</v>
      </c>
      <c r="EN18" s="2" t="s">
        <v>355</v>
      </c>
      <c r="EO18" s="2" t="s">
        <v>43</v>
      </c>
      <c r="EP18" s="2" t="s">
        <v>47</v>
      </c>
      <c r="EQ18" s="2" t="s">
        <v>47</v>
      </c>
      <c r="ER18" s="2" t="s">
        <v>59</v>
      </c>
      <c r="ES18" s="2" t="s">
        <v>60</v>
      </c>
      <c r="ET18" s="2" t="s">
        <v>60</v>
      </c>
      <c r="EU18" s="2" t="s">
        <v>361</v>
      </c>
      <c r="EV18" s="2" t="s">
        <v>44</v>
      </c>
      <c r="EW18" s="2" t="s">
        <v>47</v>
      </c>
      <c r="EX18" s="2" t="s">
        <v>47</v>
      </c>
      <c r="EY18" s="2" t="s">
        <v>59</v>
      </c>
      <c r="EZ18" s="2" t="s">
        <v>60</v>
      </c>
      <c r="FA18" s="2" t="s">
        <v>57</v>
      </c>
      <c r="FB18" s="2" t="s">
        <v>367</v>
      </c>
      <c r="FC18" s="2" t="s">
        <v>43</v>
      </c>
      <c r="FD18" s="2" t="s">
        <v>46</v>
      </c>
      <c r="FE18" s="2" t="s">
        <v>46</v>
      </c>
      <c r="FF18" s="2" t="s">
        <v>58</v>
      </c>
      <c r="FG18" s="2" t="s">
        <v>59</v>
      </c>
      <c r="FH18" s="2" t="s">
        <v>58</v>
      </c>
      <c r="FI18" s="2" t="s">
        <v>373</v>
      </c>
      <c r="FJ18" s="2" t="s">
        <v>44</v>
      </c>
      <c r="FK18" s="2" t="s">
        <v>46</v>
      </c>
      <c r="FL18" s="2" t="s">
        <v>45</v>
      </c>
      <c r="FM18" s="2" t="s">
        <v>58</v>
      </c>
      <c r="FN18" s="2" t="s">
        <v>58</v>
      </c>
      <c r="FO18" s="2" t="s">
        <v>57</v>
      </c>
      <c r="FP18" s="2" t="s">
        <v>342</v>
      </c>
      <c r="FQ18" s="2" t="s">
        <v>345</v>
      </c>
      <c r="FR18" s="2" t="s">
        <v>39</v>
      </c>
      <c r="FS18" s="2" t="s">
        <v>347</v>
      </c>
      <c r="FT18" s="2" t="s">
        <v>44</v>
      </c>
      <c r="FU18" s="2" t="s">
        <v>47</v>
      </c>
      <c r="FV18" s="2" t="s">
        <v>47</v>
      </c>
      <c r="FW18" s="2" t="s">
        <v>60</v>
      </c>
      <c r="FX18" s="2" t="s">
        <v>59</v>
      </c>
      <c r="FY18" s="2" t="s">
        <v>58</v>
      </c>
      <c r="FZ18" s="2" t="s">
        <v>353</v>
      </c>
      <c r="GA18" s="2" t="s">
        <v>44</v>
      </c>
      <c r="GB18" s="2" t="s">
        <v>47</v>
      </c>
      <c r="GC18" s="2" t="s">
        <v>47</v>
      </c>
      <c r="GD18" s="2" t="s">
        <v>59</v>
      </c>
      <c r="GE18" s="2" t="s">
        <v>58</v>
      </c>
      <c r="GF18" s="2" t="s">
        <v>59</v>
      </c>
      <c r="GG18" s="2" t="s">
        <v>359</v>
      </c>
      <c r="GH18" s="2" t="s">
        <v>43</v>
      </c>
      <c r="GI18" s="2" t="s">
        <v>47</v>
      </c>
      <c r="GJ18" s="2" t="s">
        <v>46</v>
      </c>
      <c r="GK18" s="2" t="s">
        <v>60</v>
      </c>
      <c r="GL18" s="2" t="s">
        <v>57</v>
      </c>
      <c r="GM18" s="2" t="s">
        <v>59</v>
      </c>
      <c r="GN18" s="2" t="s">
        <v>365</v>
      </c>
      <c r="GO18" s="2" t="s">
        <v>44</v>
      </c>
      <c r="GP18" s="2" t="s">
        <v>46</v>
      </c>
      <c r="GQ18" s="2" t="s">
        <v>46</v>
      </c>
      <c r="GR18" s="2" t="s">
        <v>58</v>
      </c>
      <c r="GS18" s="2" t="s">
        <v>58</v>
      </c>
      <c r="GT18" s="2" t="s">
        <v>59</v>
      </c>
      <c r="GU18" s="2" t="s">
        <v>371</v>
      </c>
      <c r="GV18" s="2" t="s">
        <v>43</v>
      </c>
      <c r="GW18" s="2" t="s">
        <v>46</v>
      </c>
      <c r="GX18" s="2" t="s">
        <v>46</v>
      </c>
      <c r="GY18" s="2" t="s">
        <v>57</v>
      </c>
      <c r="GZ18" s="2" t="s">
        <v>60</v>
      </c>
      <c r="HA18" s="2" t="s">
        <v>59</v>
      </c>
      <c r="HB18" s="2" t="s">
        <v>40</v>
      </c>
      <c r="HC18" s="2" t="s">
        <v>352</v>
      </c>
      <c r="HD18" s="2" t="s">
        <v>44</v>
      </c>
      <c r="HE18" s="2" t="s">
        <v>45</v>
      </c>
      <c r="HF18" s="2" t="s">
        <v>45</v>
      </c>
      <c r="HG18" s="2" t="s">
        <v>57</v>
      </c>
      <c r="HH18" s="2" t="s">
        <v>58</v>
      </c>
      <c r="HI18" s="2" t="s">
        <v>58</v>
      </c>
      <c r="HJ18" s="2" t="s">
        <v>358</v>
      </c>
      <c r="HK18" s="2" t="s">
        <v>43</v>
      </c>
      <c r="HL18" s="2" t="s">
        <v>47</v>
      </c>
      <c r="HM18" s="2" t="s">
        <v>47</v>
      </c>
      <c r="HN18" s="2" t="s">
        <v>57</v>
      </c>
      <c r="HO18" s="2" t="s">
        <v>60</v>
      </c>
      <c r="HP18" s="2" t="s">
        <v>59</v>
      </c>
      <c r="HQ18" s="2" t="s">
        <v>364</v>
      </c>
      <c r="HR18" s="2" t="s">
        <v>43</v>
      </c>
      <c r="HS18" s="2" t="s">
        <v>45</v>
      </c>
      <c r="HT18" s="2" t="s">
        <v>47</v>
      </c>
      <c r="HU18" s="2" t="s">
        <v>60</v>
      </c>
      <c r="HV18" s="2" t="s">
        <v>57</v>
      </c>
      <c r="HW18" s="2" t="s">
        <v>58</v>
      </c>
      <c r="HX18" s="2" t="s">
        <v>370</v>
      </c>
      <c r="HY18" s="2" t="s">
        <v>44</v>
      </c>
      <c r="HZ18" s="2" t="s">
        <v>46</v>
      </c>
      <c r="IA18" s="2" t="s">
        <v>45</v>
      </c>
      <c r="IB18" s="2" t="s">
        <v>60</v>
      </c>
      <c r="IC18" s="2" t="s">
        <v>59</v>
      </c>
      <c r="ID18" s="2" t="s">
        <v>60</v>
      </c>
      <c r="IE18" s="2" t="s">
        <v>372</v>
      </c>
      <c r="IF18" s="2" t="s">
        <v>372</v>
      </c>
      <c r="IG18" s="2" t="s">
        <v>372</v>
      </c>
      <c r="IH18" s="2" t="s">
        <v>372</v>
      </c>
      <c r="II18" s="2" t="s">
        <v>372</v>
      </c>
      <c r="IJ18" s="2" t="s">
        <v>372</v>
      </c>
      <c r="IK18" s="2" t="s">
        <v>372</v>
      </c>
    </row>
    <row r="19" spans="1:245" x14ac:dyDescent="0.25">
      <c r="A19" s="2" t="s">
        <v>323</v>
      </c>
      <c r="B19" s="2" t="s">
        <v>338</v>
      </c>
      <c r="C19" s="2" t="s">
        <v>339</v>
      </c>
      <c r="D19" s="2" t="s">
        <v>43</v>
      </c>
      <c r="E19" s="2" t="s">
        <v>45</v>
      </c>
      <c r="F19" s="2" t="s">
        <v>45</v>
      </c>
      <c r="G19" s="2" t="s">
        <v>57</v>
      </c>
      <c r="H19" s="2" t="s">
        <v>58</v>
      </c>
      <c r="I19" s="2" t="s">
        <v>59</v>
      </c>
      <c r="J19" s="2" t="s">
        <v>340</v>
      </c>
      <c r="K19" s="2" t="s">
        <v>43</v>
      </c>
      <c r="L19" s="2" t="s">
        <v>46</v>
      </c>
      <c r="M19" s="2" t="s">
        <v>46</v>
      </c>
      <c r="N19" s="2" t="s">
        <v>58</v>
      </c>
      <c r="O19" s="2" t="s">
        <v>57</v>
      </c>
      <c r="P19" s="2" t="s">
        <v>58</v>
      </c>
      <c r="Q19" s="2" t="s">
        <v>341</v>
      </c>
      <c r="R19" s="2" t="s">
        <v>43</v>
      </c>
      <c r="S19" s="2" t="s">
        <v>47</v>
      </c>
      <c r="T19" s="2" t="s">
        <v>47</v>
      </c>
      <c r="U19" s="2" t="s">
        <v>58</v>
      </c>
      <c r="V19" s="2" t="s">
        <v>58</v>
      </c>
      <c r="W19" s="2" t="s">
        <v>58</v>
      </c>
      <c r="X19" s="2" t="s">
        <v>344</v>
      </c>
      <c r="Y19" s="2" t="s">
        <v>345</v>
      </c>
      <c r="Z19" s="2" t="s">
        <v>39</v>
      </c>
      <c r="AA19" s="2" t="s">
        <v>349</v>
      </c>
      <c r="AB19" s="2" t="s">
        <v>43</v>
      </c>
      <c r="AC19" s="2" t="s">
        <v>47</v>
      </c>
      <c r="AD19" s="2" t="s">
        <v>46</v>
      </c>
      <c r="AE19" s="2" t="s">
        <v>59</v>
      </c>
      <c r="AF19" s="2" t="s">
        <v>59</v>
      </c>
      <c r="AG19" s="2" t="s">
        <v>58</v>
      </c>
      <c r="AH19" s="2" t="s">
        <v>355</v>
      </c>
      <c r="AI19" s="2" t="s">
        <v>43</v>
      </c>
      <c r="AJ19" s="2" t="s">
        <v>47</v>
      </c>
      <c r="AK19" s="2" t="s">
        <v>47</v>
      </c>
      <c r="AL19" s="2" t="s">
        <v>59</v>
      </c>
      <c r="AM19" s="2" t="s">
        <v>60</v>
      </c>
      <c r="AN19" s="2" t="s">
        <v>60</v>
      </c>
      <c r="AO19" s="2" t="s">
        <v>361</v>
      </c>
      <c r="AP19" s="2" t="s">
        <v>44</v>
      </c>
      <c r="AQ19" s="2" t="s">
        <v>47</v>
      </c>
      <c r="AR19" s="2" t="s">
        <v>47</v>
      </c>
      <c r="AS19" s="2" t="s">
        <v>59</v>
      </c>
      <c r="AT19" s="2" t="s">
        <v>60</v>
      </c>
      <c r="AU19" s="2" t="s">
        <v>57</v>
      </c>
      <c r="AV19" s="2" t="s">
        <v>367</v>
      </c>
      <c r="AW19" s="2" t="s">
        <v>43</v>
      </c>
      <c r="AX19" s="2" t="s">
        <v>46</v>
      </c>
      <c r="AY19" s="2" t="s">
        <v>46</v>
      </c>
      <c r="AZ19" s="2" t="s">
        <v>58</v>
      </c>
      <c r="BA19" s="2" t="s">
        <v>59</v>
      </c>
      <c r="BB19" s="2" t="s">
        <v>58</v>
      </c>
      <c r="BC19" s="2" t="s">
        <v>373</v>
      </c>
      <c r="BD19" s="2" t="s">
        <v>44</v>
      </c>
      <c r="BE19" s="2" t="s">
        <v>46</v>
      </c>
      <c r="BF19" s="2" t="s">
        <v>46</v>
      </c>
      <c r="BG19" s="2" t="s">
        <v>58</v>
      </c>
      <c r="BH19" s="2" t="s">
        <v>58</v>
      </c>
      <c r="BI19" s="2" t="s">
        <v>57</v>
      </c>
      <c r="BJ19" s="2" t="s">
        <v>40</v>
      </c>
      <c r="BK19" s="2" t="s">
        <v>351</v>
      </c>
      <c r="BL19" s="2" t="s">
        <v>44</v>
      </c>
      <c r="BM19" s="2" t="s">
        <v>45</v>
      </c>
      <c r="BN19" s="2" t="s">
        <v>45</v>
      </c>
      <c r="BO19" s="2" t="s">
        <v>57</v>
      </c>
      <c r="BP19" s="2" t="s">
        <v>58</v>
      </c>
      <c r="BQ19" s="2" t="s">
        <v>60</v>
      </c>
      <c r="BR19" s="2" t="s">
        <v>357</v>
      </c>
      <c r="BS19" s="2" t="s">
        <v>43</v>
      </c>
      <c r="BT19" s="2" t="s">
        <v>47</v>
      </c>
      <c r="BU19" s="2" t="s">
        <v>46</v>
      </c>
      <c r="BV19" s="2" t="s">
        <v>58</v>
      </c>
      <c r="BW19" s="2" t="s">
        <v>57</v>
      </c>
      <c r="BX19" s="2" t="s">
        <v>59</v>
      </c>
      <c r="BY19" s="2" t="s">
        <v>363</v>
      </c>
      <c r="BZ19" s="2" t="s">
        <v>43</v>
      </c>
      <c r="CA19" s="2" t="s">
        <v>45</v>
      </c>
      <c r="CB19" s="2" t="s">
        <v>47</v>
      </c>
      <c r="CC19" s="2" t="s">
        <v>58</v>
      </c>
      <c r="CD19" s="2" t="s">
        <v>58</v>
      </c>
      <c r="CE19" s="2" t="s">
        <v>60</v>
      </c>
      <c r="CF19" s="2" t="s">
        <v>369</v>
      </c>
      <c r="CG19" s="2" t="s">
        <v>43</v>
      </c>
      <c r="CH19" s="2" t="s">
        <v>47</v>
      </c>
      <c r="CI19" s="2" t="s">
        <v>47</v>
      </c>
      <c r="CJ19" s="2" t="s">
        <v>59</v>
      </c>
      <c r="CK19" s="2" t="s">
        <v>57</v>
      </c>
      <c r="CL19" s="2" t="s">
        <v>57</v>
      </c>
      <c r="CM19" s="2" t="s">
        <v>372</v>
      </c>
      <c r="CN19" s="2" t="s">
        <v>372</v>
      </c>
      <c r="CO19" s="2" t="s">
        <v>372</v>
      </c>
      <c r="CP19" s="2" t="s">
        <v>372</v>
      </c>
      <c r="CQ19" s="2" t="s">
        <v>372</v>
      </c>
      <c r="CR19" s="2" t="s">
        <v>372</v>
      </c>
      <c r="CS19" s="2" t="s">
        <v>372</v>
      </c>
      <c r="CT19" s="2" t="s">
        <v>342</v>
      </c>
      <c r="CU19" s="2" t="s">
        <v>345</v>
      </c>
      <c r="CV19" s="2" t="s">
        <v>39</v>
      </c>
      <c r="CW19" s="2" t="s">
        <v>347</v>
      </c>
      <c r="CX19" s="2" t="s">
        <v>44</v>
      </c>
      <c r="CY19" s="2" t="s">
        <v>47</v>
      </c>
      <c r="CZ19" s="2" t="s">
        <v>47</v>
      </c>
      <c r="DA19" s="2" t="s">
        <v>60</v>
      </c>
      <c r="DB19" s="2" t="s">
        <v>59</v>
      </c>
      <c r="DC19" s="2" t="s">
        <v>58</v>
      </c>
      <c r="DD19" s="2" t="s">
        <v>353</v>
      </c>
      <c r="DE19" s="2" t="s">
        <v>44</v>
      </c>
      <c r="DF19" s="2" t="s">
        <v>47</v>
      </c>
      <c r="DG19" s="2" t="s">
        <v>47</v>
      </c>
      <c r="DH19" s="2" t="s">
        <v>59</v>
      </c>
      <c r="DI19" s="2" t="s">
        <v>58</v>
      </c>
      <c r="DJ19" s="2" t="s">
        <v>59</v>
      </c>
      <c r="DK19" s="2" t="s">
        <v>359</v>
      </c>
      <c r="DL19" s="2" t="s">
        <v>43</v>
      </c>
      <c r="DM19" s="2" t="s">
        <v>47</v>
      </c>
      <c r="DN19" s="2" t="s">
        <v>47</v>
      </c>
      <c r="DO19" s="2" t="s">
        <v>60</v>
      </c>
      <c r="DP19" s="2" t="s">
        <v>57</v>
      </c>
      <c r="DQ19" s="2" t="s">
        <v>59</v>
      </c>
      <c r="DR19" s="2" t="s">
        <v>365</v>
      </c>
      <c r="DS19" s="2" t="s">
        <v>44</v>
      </c>
      <c r="DT19" s="2" t="s">
        <v>46</v>
      </c>
      <c r="DU19" s="2" t="s">
        <v>45</v>
      </c>
      <c r="DV19" s="2" t="s">
        <v>58</v>
      </c>
      <c r="DW19" s="2" t="s">
        <v>58</v>
      </c>
      <c r="DX19" s="2" t="s">
        <v>59</v>
      </c>
      <c r="DY19" s="2" t="s">
        <v>371</v>
      </c>
      <c r="DZ19" s="2" t="s">
        <v>43</v>
      </c>
      <c r="EA19" s="2" t="s">
        <v>46</v>
      </c>
      <c r="EB19" s="2" t="s">
        <v>46</v>
      </c>
      <c r="EC19" s="2" t="s">
        <v>57</v>
      </c>
      <c r="ED19" s="2" t="s">
        <v>60</v>
      </c>
      <c r="EE19" s="2" t="s">
        <v>59</v>
      </c>
      <c r="EF19" s="2" t="s">
        <v>40</v>
      </c>
      <c r="EG19" s="2" t="s">
        <v>352</v>
      </c>
      <c r="EH19" s="2" t="s">
        <v>44</v>
      </c>
      <c r="EI19" s="2" t="s">
        <v>45</v>
      </c>
      <c r="EJ19" s="2" t="s">
        <v>45</v>
      </c>
      <c r="EK19" s="2" t="s">
        <v>57</v>
      </c>
      <c r="EL19" s="2" t="s">
        <v>58</v>
      </c>
      <c r="EM19" s="2" t="s">
        <v>58</v>
      </c>
      <c r="EN19" s="2" t="s">
        <v>358</v>
      </c>
      <c r="EO19" s="2" t="s">
        <v>43</v>
      </c>
      <c r="EP19" s="2" t="s">
        <v>47</v>
      </c>
      <c r="EQ19" s="2" t="s">
        <v>46</v>
      </c>
      <c r="ER19" s="2" t="s">
        <v>57</v>
      </c>
      <c r="ES19" s="2" t="s">
        <v>60</v>
      </c>
      <c r="ET19" s="2" t="s">
        <v>59</v>
      </c>
      <c r="EU19" s="2" t="s">
        <v>364</v>
      </c>
      <c r="EV19" s="2" t="s">
        <v>43</v>
      </c>
      <c r="EW19" s="2" t="s">
        <v>45</v>
      </c>
      <c r="EX19" s="2" t="s">
        <v>45</v>
      </c>
      <c r="EY19" s="2" t="s">
        <v>60</v>
      </c>
      <c r="EZ19" s="2" t="s">
        <v>57</v>
      </c>
      <c r="FA19" s="2" t="s">
        <v>58</v>
      </c>
      <c r="FB19" s="2" t="s">
        <v>370</v>
      </c>
      <c r="FC19" s="2" t="s">
        <v>44</v>
      </c>
      <c r="FD19" s="2" t="s">
        <v>46</v>
      </c>
      <c r="FE19" s="2" t="s">
        <v>45</v>
      </c>
      <c r="FF19" s="2" t="s">
        <v>60</v>
      </c>
      <c r="FG19" s="2" t="s">
        <v>59</v>
      </c>
      <c r="FH19" s="2" t="s">
        <v>60</v>
      </c>
      <c r="FI19" s="2" t="s">
        <v>372</v>
      </c>
      <c r="FJ19" s="2" t="s">
        <v>372</v>
      </c>
      <c r="FK19" s="2" t="s">
        <v>372</v>
      </c>
      <c r="FL19" s="2" t="s">
        <v>372</v>
      </c>
      <c r="FM19" s="2" t="s">
        <v>372</v>
      </c>
      <c r="FN19" s="2" t="s">
        <v>372</v>
      </c>
      <c r="FO19" s="2" t="s">
        <v>372</v>
      </c>
      <c r="FP19" s="2" t="s">
        <v>343</v>
      </c>
      <c r="FQ19" s="2" t="s">
        <v>346</v>
      </c>
      <c r="FR19" s="2" t="s">
        <v>40</v>
      </c>
      <c r="FS19" s="2" t="s">
        <v>348</v>
      </c>
      <c r="FT19" s="2" t="s">
        <v>44</v>
      </c>
      <c r="FU19" s="2" t="s">
        <v>47</v>
      </c>
      <c r="FV19" s="2" t="s">
        <v>47</v>
      </c>
      <c r="FW19" s="2" t="s">
        <v>57</v>
      </c>
      <c r="FX19" s="2" t="s">
        <v>57</v>
      </c>
      <c r="FY19" s="2" t="s">
        <v>58</v>
      </c>
      <c r="FZ19" s="2" t="s">
        <v>354</v>
      </c>
      <c r="GA19" s="2" t="s">
        <v>44</v>
      </c>
      <c r="GB19" s="2" t="s">
        <v>45</v>
      </c>
      <c r="GC19" s="2" t="s">
        <v>45</v>
      </c>
      <c r="GD19" s="2" t="s">
        <v>59</v>
      </c>
      <c r="GE19" s="2" t="s">
        <v>57</v>
      </c>
      <c r="GF19" s="2" t="s">
        <v>60</v>
      </c>
      <c r="GG19" s="2" t="s">
        <v>360</v>
      </c>
      <c r="GH19" s="2" t="s">
        <v>44</v>
      </c>
      <c r="GI19" s="2" t="s">
        <v>45</v>
      </c>
      <c r="GJ19" s="2" t="s">
        <v>47</v>
      </c>
      <c r="GK19" s="2" t="s">
        <v>60</v>
      </c>
      <c r="GL19" s="2" t="s">
        <v>60</v>
      </c>
      <c r="GM19" s="2" t="s">
        <v>60</v>
      </c>
      <c r="GN19" s="2" t="s">
        <v>366</v>
      </c>
      <c r="GO19" s="2" t="s">
        <v>43</v>
      </c>
      <c r="GP19" s="2" t="s">
        <v>47</v>
      </c>
      <c r="GQ19" s="2" t="s">
        <v>46</v>
      </c>
      <c r="GR19" s="2" t="s">
        <v>60</v>
      </c>
      <c r="GS19" s="2" t="s">
        <v>60</v>
      </c>
      <c r="GT19" s="2" t="s">
        <v>60</v>
      </c>
      <c r="GU19" s="2" t="s">
        <v>372</v>
      </c>
      <c r="GV19" s="2" t="s">
        <v>372</v>
      </c>
      <c r="GW19" s="2" t="s">
        <v>372</v>
      </c>
      <c r="GX19" s="2" t="s">
        <v>372</v>
      </c>
      <c r="GY19" s="2" t="s">
        <v>372</v>
      </c>
      <c r="GZ19" s="2" t="s">
        <v>372</v>
      </c>
      <c r="HA19" s="2" t="s">
        <v>372</v>
      </c>
      <c r="HB19" s="2" t="s">
        <v>39</v>
      </c>
      <c r="HC19" s="2" t="s">
        <v>350</v>
      </c>
      <c r="HD19" s="2" t="s">
        <v>44</v>
      </c>
      <c r="HE19" s="2" t="s">
        <v>45</v>
      </c>
      <c r="HF19" s="2" t="s">
        <v>45</v>
      </c>
      <c r="HG19" s="2" t="s">
        <v>60</v>
      </c>
      <c r="HH19" s="2" t="s">
        <v>58</v>
      </c>
      <c r="HI19" s="2" t="s">
        <v>57</v>
      </c>
      <c r="HJ19" s="2" t="s">
        <v>356</v>
      </c>
      <c r="HK19" s="2" t="s">
        <v>43</v>
      </c>
      <c r="HL19" s="2" t="s">
        <v>46</v>
      </c>
      <c r="HM19" s="2" t="s">
        <v>45</v>
      </c>
      <c r="HN19" s="2" t="s">
        <v>60</v>
      </c>
      <c r="HO19" s="2" t="s">
        <v>57</v>
      </c>
      <c r="HP19" s="2" t="s">
        <v>60</v>
      </c>
      <c r="HQ19" s="2" t="s">
        <v>362</v>
      </c>
      <c r="HR19" s="2" t="s">
        <v>44</v>
      </c>
      <c r="HS19" s="2" t="s">
        <v>46</v>
      </c>
      <c r="HT19" s="2" t="s">
        <v>46</v>
      </c>
      <c r="HU19" s="2" t="s">
        <v>58</v>
      </c>
      <c r="HV19" s="2" t="s">
        <v>57</v>
      </c>
      <c r="HW19" s="2" t="s">
        <v>59</v>
      </c>
      <c r="HX19" s="2" t="s">
        <v>368</v>
      </c>
      <c r="HY19" s="2" t="s">
        <v>43</v>
      </c>
      <c r="HZ19" s="2" t="s">
        <v>47</v>
      </c>
      <c r="IA19" s="2" t="s">
        <v>47</v>
      </c>
      <c r="IB19" s="2" t="s">
        <v>58</v>
      </c>
      <c r="IC19" s="2" t="s">
        <v>58</v>
      </c>
      <c r="ID19" s="2" t="s">
        <v>59</v>
      </c>
      <c r="IE19" s="2" t="s">
        <v>374</v>
      </c>
      <c r="IF19" s="2" t="s">
        <v>43</v>
      </c>
      <c r="IG19" s="2" t="s">
        <v>45</v>
      </c>
      <c r="IH19" s="2" t="s">
        <v>45</v>
      </c>
      <c r="II19" s="2" t="s">
        <v>60</v>
      </c>
      <c r="IJ19" s="2" t="s">
        <v>57</v>
      </c>
      <c r="IK19" s="2" t="s">
        <v>57</v>
      </c>
    </row>
    <row r="20" spans="1:245" x14ac:dyDescent="0.25">
      <c r="A20" s="2" t="s">
        <v>324</v>
      </c>
      <c r="B20" s="2" t="s">
        <v>336</v>
      </c>
      <c r="C20" s="2" t="s">
        <v>339</v>
      </c>
      <c r="D20" s="2" t="s">
        <v>43</v>
      </c>
      <c r="E20" s="2" t="s">
        <v>45</v>
      </c>
      <c r="F20" s="2" t="s">
        <v>45</v>
      </c>
      <c r="G20" s="2" t="s">
        <v>57</v>
      </c>
      <c r="H20" s="2" t="s">
        <v>58</v>
      </c>
      <c r="I20" s="2" t="s">
        <v>59</v>
      </c>
      <c r="J20" s="2" t="s">
        <v>340</v>
      </c>
      <c r="K20" s="2" t="s">
        <v>43</v>
      </c>
      <c r="L20" s="2" t="s">
        <v>46</v>
      </c>
      <c r="M20" s="2" t="s">
        <v>46</v>
      </c>
      <c r="N20" s="2" t="s">
        <v>58</v>
      </c>
      <c r="O20" s="2" t="s">
        <v>57</v>
      </c>
      <c r="P20" s="2" t="s">
        <v>58</v>
      </c>
      <c r="Q20" s="2" t="s">
        <v>341</v>
      </c>
      <c r="R20" s="2" t="s">
        <v>43</v>
      </c>
      <c r="S20" s="2" t="s">
        <v>47</v>
      </c>
      <c r="T20" s="2" t="s">
        <v>47</v>
      </c>
      <c r="U20" s="2" t="s">
        <v>58</v>
      </c>
      <c r="V20" s="2" t="s">
        <v>58</v>
      </c>
      <c r="W20" s="2" t="s">
        <v>58</v>
      </c>
      <c r="X20" s="2" t="s">
        <v>342</v>
      </c>
      <c r="Y20" s="2" t="s">
        <v>345</v>
      </c>
      <c r="Z20" s="2" t="s">
        <v>39</v>
      </c>
      <c r="AA20" s="2" t="s">
        <v>347</v>
      </c>
      <c r="AB20" s="2" t="s">
        <v>44</v>
      </c>
      <c r="AC20" s="2" t="s">
        <v>47</v>
      </c>
      <c r="AD20" s="2" t="s">
        <v>46</v>
      </c>
      <c r="AE20" s="2" t="s">
        <v>60</v>
      </c>
      <c r="AF20" s="2" t="s">
        <v>59</v>
      </c>
      <c r="AG20" s="2" t="s">
        <v>58</v>
      </c>
      <c r="AH20" s="2" t="s">
        <v>353</v>
      </c>
      <c r="AI20" s="2" t="s">
        <v>44</v>
      </c>
      <c r="AJ20" s="2" t="s">
        <v>47</v>
      </c>
      <c r="AK20" s="2" t="s">
        <v>47</v>
      </c>
      <c r="AL20" s="2" t="s">
        <v>59</v>
      </c>
      <c r="AM20" s="2" t="s">
        <v>58</v>
      </c>
      <c r="AN20" s="2" t="s">
        <v>59</v>
      </c>
      <c r="AO20" s="2" t="s">
        <v>359</v>
      </c>
      <c r="AP20" s="2" t="s">
        <v>43</v>
      </c>
      <c r="AQ20" s="2" t="s">
        <v>47</v>
      </c>
      <c r="AR20" s="2" t="s">
        <v>47</v>
      </c>
      <c r="AS20" s="2" t="s">
        <v>60</v>
      </c>
      <c r="AT20" s="2" t="s">
        <v>57</v>
      </c>
      <c r="AU20" s="2" t="s">
        <v>59</v>
      </c>
      <c r="AV20" s="2" t="s">
        <v>365</v>
      </c>
      <c r="AW20" s="2" t="s">
        <v>44</v>
      </c>
      <c r="AX20" s="2" t="s">
        <v>46</v>
      </c>
      <c r="AY20" s="2" t="s">
        <v>46</v>
      </c>
      <c r="AZ20" s="2" t="s">
        <v>58</v>
      </c>
      <c r="BA20" s="2" t="s">
        <v>58</v>
      </c>
      <c r="BB20" s="2" t="s">
        <v>59</v>
      </c>
      <c r="BC20" s="2" t="s">
        <v>371</v>
      </c>
      <c r="BD20" s="2" t="s">
        <v>43</v>
      </c>
      <c r="BE20" s="2" t="s">
        <v>46</v>
      </c>
      <c r="BF20" s="2" t="s">
        <v>46</v>
      </c>
      <c r="BG20" s="2" t="s">
        <v>57</v>
      </c>
      <c r="BH20" s="2" t="s">
        <v>60</v>
      </c>
      <c r="BI20" s="2" t="s">
        <v>59</v>
      </c>
      <c r="BJ20" s="2" t="s">
        <v>40</v>
      </c>
      <c r="BK20" s="2" t="s">
        <v>352</v>
      </c>
      <c r="BL20" s="2" t="s">
        <v>44</v>
      </c>
      <c r="BM20" s="2" t="s">
        <v>45</v>
      </c>
      <c r="BN20" s="2" t="s">
        <v>45</v>
      </c>
      <c r="BO20" s="2" t="s">
        <v>57</v>
      </c>
      <c r="BP20" s="2" t="s">
        <v>58</v>
      </c>
      <c r="BQ20" s="2" t="s">
        <v>58</v>
      </c>
      <c r="BR20" s="2" t="s">
        <v>358</v>
      </c>
      <c r="BS20" s="2" t="s">
        <v>43</v>
      </c>
      <c r="BT20" s="2" t="s">
        <v>47</v>
      </c>
      <c r="BU20" s="2" t="s">
        <v>46</v>
      </c>
      <c r="BV20" s="2" t="s">
        <v>57</v>
      </c>
      <c r="BW20" s="2" t="s">
        <v>60</v>
      </c>
      <c r="BX20" s="2" t="s">
        <v>59</v>
      </c>
      <c r="BY20" s="2" t="s">
        <v>364</v>
      </c>
      <c r="BZ20" s="2" t="s">
        <v>43</v>
      </c>
      <c r="CA20" s="2" t="s">
        <v>45</v>
      </c>
      <c r="CB20" s="2" t="s">
        <v>45</v>
      </c>
      <c r="CC20" s="2" t="s">
        <v>60</v>
      </c>
      <c r="CD20" s="2" t="s">
        <v>57</v>
      </c>
      <c r="CE20" s="2" t="s">
        <v>58</v>
      </c>
      <c r="CF20" s="2" t="s">
        <v>370</v>
      </c>
      <c r="CG20" s="2" t="s">
        <v>44</v>
      </c>
      <c r="CH20" s="2" t="s">
        <v>46</v>
      </c>
      <c r="CI20" s="2" t="s">
        <v>45</v>
      </c>
      <c r="CJ20" s="2" t="s">
        <v>60</v>
      </c>
      <c r="CK20" s="2" t="s">
        <v>59</v>
      </c>
      <c r="CL20" s="2" t="s">
        <v>60</v>
      </c>
      <c r="CM20" s="2" t="s">
        <v>372</v>
      </c>
      <c r="CN20" s="2" t="s">
        <v>372</v>
      </c>
      <c r="CO20" s="2" t="s">
        <v>372</v>
      </c>
      <c r="CP20" s="2" t="s">
        <v>372</v>
      </c>
      <c r="CQ20" s="2" t="s">
        <v>372</v>
      </c>
      <c r="CR20" s="2" t="s">
        <v>372</v>
      </c>
      <c r="CS20" s="2" t="s">
        <v>372</v>
      </c>
      <c r="CT20" s="2" t="s">
        <v>343</v>
      </c>
      <c r="CU20" s="2" t="s">
        <v>346</v>
      </c>
      <c r="CV20" s="2" t="s">
        <v>40</v>
      </c>
      <c r="CW20" s="2" t="s">
        <v>348</v>
      </c>
      <c r="CX20" s="2" t="s">
        <v>44</v>
      </c>
      <c r="CY20" s="2" t="s">
        <v>47</v>
      </c>
      <c r="CZ20" s="2" t="s">
        <v>46</v>
      </c>
      <c r="DA20" s="2" t="s">
        <v>57</v>
      </c>
      <c r="DB20" s="2" t="s">
        <v>57</v>
      </c>
      <c r="DC20" s="2" t="s">
        <v>58</v>
      </c>
      <c r="DD20" s="2" t="s">
        <v>354</v>
      </c>
      <c r="DE20" s="2" t="s">
        <v>44</v>
      </c>
      <c r="DF20" s="2" t="s">
        <v>45</v>
      </c>
      <c r="DG20" s="2" t="s">
        <v>47</v>
      </c>
      <c r="DH20" s="2" t="s">
        <v>59</v>
      </c>
      <c r="DI20" s="2" t="s">
        <v>57</v>
      </c>
      <c r="DJ20" s="2" t="s">
        <v>60</v>
      </c>
      <c r="DK20" s="2" t="s">
        <v>360</v>
      </c>
      <c r="DL20" s="2" t="s">
        <v>44</v>
      </c>
      <c r="DM20" s="2" t="s">
        <v>45</v>
      </c>
      <c r="DN20" s="2" t="s">
        <v>45</v>
      </c>
      <c r="DO20" s="2" t="s">
        <v>60</v>
      </c>
      <c r="DP20" s="2" t="s">
        <v>60</v>
      </c>
      <c r="DQ20" s="2" t="s">
        <v>60</v>
      </c>
      <c r="DR20" s="2" t="s">
        <v>366</v>
      </c>
      <c r="DS20" s="2" t="s">
        <v>43</v>
      </c>
      <c r="DT20" s="2" t="s">
        <v>47</v>
      </c>
      <c r="DU20" s="2" t="s">
        <v>47</v>
      </c>
      <c r="DV20" s="2" t="s">
        <v>60</v>
      </c>
      <c r="DW20" s="2" t="s">
        <v>60</v>
      </c>
      <c r="DX20" s="2" t="s">
        <v>60</v>
      </c>
      <c r="DY20" s="2" t="s">
        <v>372</v>
      </c>
      <c r="DZ20" s="2" t="s">
        <v>372</v>
      </c>
      <c r="EA20" s="2" t="s">
        <v>372</v>
      </c>
      <c r="EB20" s="2" t="s">
        <v>372</v>
      </c>
      <c r="EC20" s="2" t="s">
        <v>372</v>
      </c>
      <c r="ED20" s="2" t="s">
        <v>372</v>
      </c>
      <c r="EE20" s="2" t="s">
        <v>372</v>
      </c>
      <c r="EF20" s="2" t="s">
        <v>39</v>
      </c>
      <c r="EG20" s="2" t="s">
        <v>350</v>
      </c>
      <c r="EH20" s="2" t="s">
        <v>44</v>
      </c>
      <c r="EI20" s="2" t="s">
        <v>45</v>
      </c>
      <c r="EJ20" s="2" t="s">
        <v>45</v>
      </c>
      <c r="EK20" s="2" t="s">
        <v>60</v>
      </c>
      <c r="EL20" s="2" t="s">
        <v>58</v>
      </c>
      <c r="EM20" s="2" t="s">
        <v>57</v>
      </c>
      <c r="EN20" s="2" t="s">
        <v>356</v>
      </c>
      <c r="EO20" s="2" t="s">
        <v>43</v>
      </c>
      <c r="EP20" s="2" t="s">
        <v>46</v>
      </c>
      <c r="EQ20" s="2" t="s">
        <v>46</v>
      </c>
      <c r="ER20" s="2" t="s">
        <v>60</v>
      </c>
      <c r="ES20" s="2" t="s">
        <v>57</v>
      </c>
      <c r="ET20" s="2" t="s">
        <v>60</v>
      </c>
      <c r="EU20" s="2" t="s">
        <v>362</v>
      </c>
      <c r="EV20" s="2" t="s">
        <v>44</v>
      </c>
      <c r="EW20" s="2" t="s">
        <v>46</v>
      </c>
      <c r="EX20" s="2" t="s">
        <v>46</v>
      </c>
      <c r="EY20" s="2" t="s">
        <v>58</v>
      </c>
      <c r="EZ20" s="2" t="s">
        <v>57</v>
      </c>
      <c r="FA20" s="2" t="s">
        <v>59</v>
      </c>
      <c r="FB20" s="2" t="s">
        <v>368</v>
      </c>
      <c r="FC20" s="2" t="s">
        <v>43</v>
      </c>
      <c r="FD20" s="2" t="s">
        <v>47</v>
      </c>
      <c r="FE20" s="2" t="s">
        <v>47</v>
      </c>
      <c r="FF20" s="2" t="s">
        <v>58</v>
      </c>
      <c r="FG20" s="2" t="s">
        <v>58</v>
      </c>
      <c r="FH20" s="2" t="s">
        <v>59</v>
      </c>
      <c r="FI20" s="2" t="s">
        <v>374</v>
      </c>
      <c r="FJ20" s="2" t="s">
        <v>43</v>
      </c>
      <c r="FK20" s="2" t="s">
        <v>45</v>
      </c>
      <c r="FL20" s="2" t="s">
        <v>47</v>
      </c>
      <c r="FM20" s="2" t="s">
        <v>60</v>
      </c>
      <c r="FN20" s="2" t="s">
        <v>57</v>
      </c>
      <c r="FO20" s="2" t="s">
        <v>57</v>
      </c>
      <c r="FP20" s="2" t="s">
        <v>344</v>
      </c>
      <c r="FQ20" s="2" t="s">
        <v>345</v>
      </c>
      <c r="FR20" s="2" t="s">
        <v>39</v>
      </c>
      <c r="FS20" s="2" t="s">
        <v>349</v>
      </c>
      <c r="FT20" s="2" t="s">
        <v>43</v>
      </c>
      <c r="FU20" s="2" t="s">
        <v>47</v>
      </c>
      <c r="FV20" s="2" t="s">
        <v>47</v>
      </c>
      <c r="FW20" s="2" t="s">
        <v>59</v>
      </c>
      <c r="FX20" s="2" t="s">
        <v>59</v>
      </c>
      <c r="FY20" s="2" t="s">
        <v>58</v>
      </c>
      <c r="FZ20" s="2" t="s">
        <v>355</v>
      </c>
      <c r="GA20" s="2" t="s">
        <v>43</v>
      </c>
      <c r="GB20" s="2" t="s">
        <v>47</v>
      </c>
      <c r="GC20" s="2" t="s">
        <v>47</v>
      </c>
      <c r="GD20" s="2" t="s">
        <v>59</v>
      </c>
      <c r="GE20" s="2" t="s">
        <v>60</v>
      </c>
      <c r="GF20" s="2" t="s">
        <v>60</v>
      </c>
      <c r="GG20" s="2" t="s">
        <v>361</v>
      </c>
      <c r="GH20" s="2" t="s">
        <v>44</v>
      </c>
      <c r="GI20" s="2" t="s">
        <v>47</v>
      </c>
      <c r="GJ20" s="2" t="s">
        <v>47</v>
      </c>
      <c r="GK20" s="2" t="s">
        <v>59</v>
      </c>
      <c r="GL20" s="2" t="s">
        <v>60</v>
      </c>
      <c r="GM20" s="2" t="s">
        <v>57</v>
      </c>
      <c r="GN20" s="2" t="s">
        <v>367</v>
      </c>
      <c r="GO20" s="2" t="s">
        <v>43</v>
      </c>
      <c r="GP20" s="2" t="s">
        <v>46</v>
      </c>
      <c r="GQ20" s="2" t="s">
        <v>45</v>
      </c>
      <c r="GR20" s="2" t="s">
        <v>58</v>
      </c>
      <c r="GS20" s="2" t="s">
        <v>59</v>
      </c>
      <c r="GT20" s="2" t="s">
        <v>58</v>
      </c>
      <c r="GU20" s="2" t="s">
        <v>373</v>
      </c>
      <c r="GV20" s="2" t="s">
        <v>44</v>
      </c>
      <c r="GW20" s="2" t="s">
        <v>46</v>
      </c>
      <c r="GX20" s="2" t="s">
        <v>46</v>
      </c>
      <c r="GY20" s="2" t="s">
        <v>58</v>
      </c>
      <c r="GZ20" s="2" t="s">
        <v>58</v>
      </c>
      <c r="HA20" s="2" t="s">
        <v>57</v>
      </c>
      <c r="HB20" s="2" t="s">
        <v>40</v>
      </c>
      <c r="HC20" s="2" t="s">
        <v>351</v>
      </c>
      <c r="HD20" s="2" t="s">
        <v>44</v>
      </c>
      <c r="HE20" s="2" t="s">
        <v>45</v>
      </c>
      <c r="HF20" s="2" t="s">
        <v>47</v>
      </c>
      <c r="HG20" s="2" t="s">
        <v>57</v>
      </c>
      <c r="HH20" s="2" t="s">
        <v>58</v>
      </c>
      <c r="HI20" s="2" t="s">
        <v>60</v>
      </c>
      <c r="HJ20" s="2" t="s">
        <v>357</v>
      </c>
      <c r="HK20" s="2" t="s">
        <v>43</v>
      </c>
      <c r="HL20" s="2" t="s">
        <v>47</v>
      </c>
      <c r="HM20" s="2" t="s">
        <v>47</v>
      </c>
      <c r="HN20" s="2" t="s">
        <v>58</v>
      </c>
      <c r="HO20" s="2" t="s">
        <v>57</v>
      </c>
      <c r="HP20" s="2" t="s">
        <v>59</v>
      </c>
      <c r="HQ20" s="2" t="s">
        <v>363</v>
      </c>
      <c r="HR20" s="2" t="s">
        <v>43</v>
      </c>
      <c r="HS20" s="2" t="s">
        <v>45</v>
      </c>
      <c r="HT20" s="2" t="s">
        <v>47</v>
      </c>
      <c r="HU20" s="2" t="s">
        <v>58</v>
      </c>
      <c r="HV20" s="2" t="s">
        <v>58</v>
      </c>
      <c r="HW20" s="2" t="s">
        <v>60</v>
      </c>
      <c r="HX20" s="2" t="s">
        <v>369</v>
      </c>
      <c r="HY20" s="2" t="s">
        <v>43</v>
      </c>
      <c r="HZ20" s="2" t="s">
        <v>47</v>
      </c>
      <c r="IA20" s="2" t="s">
        <v>47</v>
      </c>
      <c r="IB20" s="2" t="s">
        <v>59</v>
      </c>
      <c r="IC20" s="2" t="s">
        <v>57</v>
      </c>
      <c r="ID20" s="2" t="s">
        <v>57</v>
      </c>
      <c r="IE20" s="2" t="s">
        <v>372</v>
      </c>
      <c r="IF20" s="2" t="s">
        <v>372</v>
      </c>
      <c r="IG20" s="2" t="s">
        <v>372</v>
      </c>
      <c r="IH20" s="2" t="s">
        <v>372</v>
      </c>
      <c r="II20" s="2" t="s">
        <v>372</v>
      </c>
      <c r="IJ20" s="2" t="s">
        <v>372</v>
      </c>
      <c r="IK20" s="2" t="s">
        <v>372</v>
      </c>
    </row>
    <row r="21" spans="1:245" x14ac:dyDescent="0.25">
      <c r="A21" s="2" t="s">
        <v>325</v>
      </c>
      <c r="B21" s="2" t="s">
        <v>337</v>
      </c>
      <c r="C21" s="2" t="s">
        <v>339</v>
      </c>
      <c r="D21" s="2" t="s">
        <v>43</v>
      </c>
      <c r="E21" s="2" t="s">
        <v>45</v>
      </c>
      <c r="F21" s="2" t="s">
        <v>45</v>
      </c>
      <c r="G21" s="2" t="s">
        <v>57</v>
      </c>
      <c r="H21" s="2" t="s">
        <v>58</v>
      </c>
      <c r="I21" s="2" t="s">
        <v>59</v>
      </c>
      <c r="J21" s="2" t="s">
        <v>340</v>
      </c>
      <c r="K21" s="2" t="s">
        <v>43</v>
      </c>
      <c r="L21" s="2" t="s">
        <v>46</v>
      </c>
      <c r="M21" s="2" t="s">
        <v>46</v>
      </c>
      <c r="N21" s="2" t="s">
        <v>58</v>
      </c>
      <c r="O21" s="2" t="s">
        <v>57</v>
      </c>
      <c r="P21" s="2" t="s">
        <v>58</v>
      </c>
      <c r="Q21" s="2" t="s">
        <v>341</v>
      </c>
      <c r="R21" s="2" t="s">
        <v>43</v>
      </c>
      <c r="S21" s="2" t="s">
        <v>47</v>
      </c>
      <c r="T21" s="2" t="s">
        <v>47</v>
      </c>
      <c r="U21" s="2" t="s">
        <v>58</v>
      </c>
      <c r="V21" s="2" t="s">
        <v>58</v>
      </c>
      <c r="W21" s="2" t="s">
        <v>58</v>
      </c>
      <c r="X21" s="2" t="s">
        <v>343</v>
      </c>
      <c r="Y21" s="2" t="s">
        <v>346</v>
      </c>
      <c r="Z21" s="2" t="s">
        <v>40</v>
      </c>
      <c r="AA21" s="2" t="s">
        <v>348</v>
      </c>
      <c r="AB21" s="2" t="s">
        <v>44</v>
      </c>
      <c r="AC21" s="2" t="s">
        <v>47</v>
      </c>
      <c r="AD21" s="2" t="s">
        <v>46</v>
      </c>
      <c r="AE21" s="2" t="s">
        <v>57</v>
      </c>
      <c r="AF21" s="2" t="s">
        <v>57</v>
      </c>
      <c r="AG21" s="2" t="s">
        <v>58</v>
      </c>
      <c r="AH21" s="2" t="s">
        <v>354</v>
      </c>
      <c r="AI21" s="2" t="s">
        <v>44</v>
      </c>
      <c r="AJ21" s="2" t="s">
        <v>45</v>
      </c>
      <c r="AK21" s="2" t="s">
        <v>45</v>
      </c>
      <c r="AL21" s="2" t="s">
        <v>59</v>
      </c>
      <c r="AM21" s="2" t="s">
        <v>57</v>
      </c>
      <c r="AN21" s="2" t="s">
        <v>60</v>
      </c>
      <c r="AO21" s="2" t="s">
        <v>360</v>
      </c>
      <c r="AP21" s="2" t="s">
        <v>44</v>
      </c>
      <c r="AQ21" s="2" t="s">
        <v>45</v>
      </c>
      <c r="AR21" s="2" t="s">
        <v>45</v>
      </c>
      <c r="AS21" s="2" t="s">
        <v>60</v>
      </c>
      <c r="AT21" s="2" t="s">
        <v>60</v>
      </c>
      <c r="AU21" s="2" t="s">
        <v>60</v>
      </c>
      <c r="AV21" s="2" t="s">
        <v>366</v>
      </c>
      <c r="AW21" s="2" t="s">
        <v>43</v>
      </c>
      <c r="AX21" s="2" t="s">
        <v>47</v>
      </c>
      <c r="AY21" s="2" t="s">
        <v>46</v>
      </c>
      <c r="AZ21" s="2" t="s">
        <v>60</v>
      </c>
      <c r="BA21" s="2" t="s">
        <v>60</v>
      </c>
      <c r="BB21" s="2" t="s">
        <v>60</v>
      </c>
      <c r="BC21" s="2" t="s">
        <v>372</v>
      </c>
      <c r="BD21" s="2" t="s">
        <v>372</v>
      </c>
      <c r="BE21" s="2" t="s">
        <v>372</v>
      </c>
      <c r="BF21" s="2" t="s">
        <v>372</v>
      </c>
      <c r="BG21" s="2" t="s">
        <v>372</v>
      </c>
      <c r="BH21" s="2" t="s">
        <v>372</v>
      </c>
      <c r="BI21" s="2" t="s">
        <v>372</v>
      </c>
      <c r="BJ21" s="2" t="s">
        <v>39</v>
      </c>
      <c r="BK21" s="2" t="s">
        <v>350</v>
      </c>
      <c r="BL21" s="2" t="s">
        <v>44</v>
      </c>
      <c r="BM21" s="2" t="s">
        <v>45</v>
      </c>
      <c r="BN21" s="2" t="s">
        <v>45</v>
      </c>
      <c r="BO21" s="2" t="s">
        <v>60</v>
      </c>
      <c r="BP21" s="2" t="s">
        <v>58</v>
      </c>
      <c r="BQ21" s="2" t="s">
        <v>57</v>
      </c>
      <c r="BR21" s="2" t="s">
        <v>356</v>
      </c>
      <c r="BS21" s="2" t="s">
        <v>43</v>
      </c>
      <c r="BT21" s="2" t="s">
        <v>46</v>
      </c>
      <c r="BU21" s="2" t="s">
        <v>46</v>
      </c>
      <c r="BV21" s="2" t="s">
        <v>60</v>
      </c>
      <c r="BW21" s="2" t="s">
        <v>57</v>
      </c>
      <c r="BX21" s="2" t="s">
        <v>60</v>
      </c>
      <c r="BY21" s="2" t="s">
        <v>362</v>
      </c>
      <c r="BZ21" s="2" t="s">
        <v>44</v>
      </c>
      <c r="CA21" s="2" t="s">
        <v>46</v>
      </c>
      <c r="CB21" s="2" t="s">
        <v>46</v>
      </c>
      <c r="CC21" s="2" t="s">
        <v>58</v>
      </c>
      <c r="CD21" s="2" t="s">
        <v>57</v>
      </c>
      <c r="CE21" s="2" t="s">
        <v>59</v>
      </c>
      <c r="CF21" s="2" t="s">
        <v>368</v>
      </c>
      <c r="CG21" s="2" t="s">
        <v>43</v>
      </c>
      <c r="CH21" s="2" t="s">
        <v>47</v>
      </c>
      <c r="CI21" s="2" t="s">
        <v>46</v>
      </c>
      <c r="CJ21" s="2" t="s">
        <v>58</v>
      </c>
      <c r="CK21" s="2" t="s">
        <v>58</v>
      </c>
      <c r="CL21" s="2" t="s">
        <v>59</v>
      </c>
      <c r="CM21" s="2" t="s">
        <v>374</v>
      </c>
      <c r="CN21" s="2" t="s">
        <v>43</v>
      </c>
      <c r="CO21" s="2" t="s">
        <v>45</v>
      </c>
      <c r="CP21" s="2" t="s">
        <v>45</v>
      </c>
      <c r="CQ21" s="2" t="s">
        <v>60</v>
      </c>
      <c r="CR21" s="2" t="s">
        <v>57</v>
      </c>
      <c r="CS21" s="2" t="s">
        <v>57</v>
      </c>
      <c r="CT21" s="2" t="s">
        <v>344</v>
      </c>
      <c r="CU21" s="2" t="s">
        <v>346</v>
      </c>
      <c r="CV21" s="2" t="s">
        <v>40</v>
      </c>
      <c r="CW21" s="2" t="s">
        <v>351</v>
      </c>
      <c r="CX21" s="2" t="s">
        <v>44</v>
      </c>
      <c r="CY21" s="2" t="s">
        <v>45</v>
      </c>
      <c r="CZ21" s="2" t="s">
        <v>47</v>
      </c>
      <c r="DA21" s="2" t="s">
        <v>57</v>
      </c>
      <c r="DB21" s="2" t="s">
        <v>58</v>
      </c>
      <c r="DC21" s="2" t="s">
        <v>60</v>
      </c>
      <c r="DD21" s="2" t="s">
        <v>357</v>
      </c>
      <c r="DE21" s="2" t="s">
        <v>43</v>
      </c>
      <c r="DF21" s="2" t="s">
        <v>47</v>
      </c>
      <c r="DG21" s="2" t="s">
        <v>47</v>
      </c>
      <c r="DH21" s="2" t="s">
        <v>58</v>
      </c>
      <c r="DI21" s="2" t="s">
        <v>57</v>
      </c>
      <c r="DJ21" s="2" t="s">
        <v>59</v>
      </c>
      <c r="DK21" s="2" t="s">
        <v>363</v>
      </c>
      <c r="DL21" s="2" t="s">
        <v>43</v>
      </c>
      <c r="DM21" s="2" t="s">
        <v>45</v>
      </c>
      <c r="DN21" s="2" t="s">
        <v>45</v>
      </c>
      <c r="DO21" s="2" t="s">
        <v>58</v>
      </c>
      <c r="DP21" s="2" t="s">
        <v>58</v>
      </c>
      <c r="DQ21" s="2" t="s">
        <v>60</v>
      </c>
      <c r="DR21" s="2" t="s">
        <v>369</v>
      </c>
      <c r="DS21" s="2" t="s">
        <v>43</v>
      </c>
      <c r="DT21" s="2" t="s">
        <v>47</v>
      </c>
      <c r="DU21" s="2" t="s">
        <v>46</v>
      </c>
      <c r="DV21" s="2" t="s">
        <v>59</v>
      </c>
      <c r="DW21" s="2" t="s">
        <v>57</v>
      </c>
      <c r="DX21" s="2" t="s">
        <v>57</v>
      </c>
      <c r="DY21" s="2" t="s">
        <v>372</v>
      </c>
      <c r="DZ21" s="2" t="s">
        <v>372</v>
      </c>
      <c r="EA21" s="2" t="s">
        <v>372</v>
      </c>
      <c r="EB21" s="2" t="s">
        <v>372</v>
      </c>
      <c r="EC21" s="2" t="s">
        <v>372</v>
      </c>
      <c r="ED21" s="2" t="s">
        <v>372</v>
      </c>
      <c r="EE21" s="2" t="s">
        <v>372</v>
      </c>
      <c r="EF21" s="2" t="s">
        <v>39</v>
      </c>
      <c r="EG21" s="2" t="s">
        <v>349</v>
      </c>
      <c r="EH21" s="2" t="s">
        <v>43</v>
      </c>
      <c r="EI21" s="2" t="s">
        <v>47</v>
      </c>
      <c r="EJ21" s="2" t="s">
        <v>47</v>
      </c>
      <c r="EK21" s="2" t="s">
        <v>59</v>
      </c>
      <c r="EL21" s="2" t="s">
        <v>59</v>
      </c>
      <c r="EM21" s="2" t="s">
        <v>58</v>
      </c>
      <c r="EN21" s="2" t="s">
        <v>355</v>
      </c>
      <c r="EO21" s="2" t="s">
        <v>43</v>
      </c>
      <c r="EP21" s="2" t="s">
        <v>47</v>
      </c>
      <c r="EQ21" s="2" t="s">
        <v>47</v>
      </c>
      <c r="ER21" s="2" t="s">
        <v>59</v>
      </c>
      <c r="ES21" s="2" t="s">
        <v>60</v>
      </c>
      <c r="ET21" s="2" t="s">
        <v>60</v>
      </c>
      <c r="EU21" s="2" t="s">
        <v>361</v>
      </c>
      <c r="EV21" s="2" t="s">
        <v>44</v>
      </c>
      <c r="EW21" s="2" t="s">
        <v>47</v>
      </c>
      <c r="EX21" s="2" t="s">
        <v>46</v>
      </c>
      <c r="EY21" s="2" t="s">
        <v>59</v>
      </c>
      <c r="EZ21" s="2" t="s">
        <v>60</v>
      </c>
      <c r="FA21" s="2" t="s">
        <v>57</v>
      </c>
      <c r="FB21" s="2" t="s">
        <v>367</v>
      </c>
      <c r="FC21" s="2" t="s">
        <v>43</v>
      </c>
      <c r="FD21" s="2" t="s">
        <v>46</v>
      </c>
      <c r="FE21" s="2" t="s">
        <v>46</v>
      </c>
      <c r="FF21" s="2" t="s">
        <v>58</v>
      </c>
      <c r="FG21" s="2" t="s">
        <v>59</v>
      </c>
      <c r="FH21" s="2" t="s">
        <v>58</v>
      </c>
      <c r="FI21" s="2" t="s">
        <v>373</v>
      </c>
      <c r="FJ21" s="2" t="s">
        <v>44</v>
      </c>
      <c r="FK21" s="2" t="s">
        <v>46</v>
      </c>
      <c r="FL21" s="2" t="s">
        <v>46</v>
      </c>
      <c r="FM21" s="2" t="s">
        <v>58</v>
      </c>
      <c r="FN21" s="2" t="s">
        <v>58</v>
      </c>
      <c r="FO21" s="2" t="s">
        <v>57</v>
      </c>
      <c r="FP21" s="2" t="s">
        <v>342</v>
      </c>
      <c r="FQ21" s="2" t="s">
        <v>345</v>
      </c>
      <c r="FR21" s="2" t="s">
        <v>39</v>
      </c>
      <c r="FS21" s="2" t="s">
        <v>347</v>
      </c>
      <c r="FT21" s="2" t="s">
        <v>44</v>
      </c>
      <c r="FU21" s="2" t="s">
        <v>47</v>
      </c>
      <c r="FV21" s="2" t="s">
        <v>47</v>
      </c>
      <c r="FW21" s="2" t="s">
        <v>60</v>
      </c>
      <c r="FX21" s="2" t="s">
        <v>59</v>
      </c>
      <c r="FY21" s="2" t="s">
        <v>58</v>
      </c>
      <c r="FZ21" s="2" t="s">
        <v>353</v>
      </c>
      <c r="GA21" s="2" t="s">
        <v>44</v>
      </c>
      <c r="GB21" s="2" t="s">
        <v>47</v>
      </c>
      <c r="GC21" s="2" t="s">
        <v>47</v>
      </c>
      <c r="GD21" s="2" t="s">
        <v>59</v>
      </c>
      <c r="GE21" s="2" t="s">
        <v>58</v>
      </c>
      <c r="GF21" s="2" t="s">
        <v>59</v>
      </c>
      <c r="GG21" s="2" t="s">
        <v>359</v>
      </c>
      <c r="GH21" s="2" t="s">
        <v>43</v>
      </c>
      <c r="GI21" s="2" t="s">
        <v>47</v>
      </c>
      <c r="GJ21" s="2" t="s">
        <v>47</v>
      </c>
      <c r="GK21" s="2" t="s">
        <v>60</v>
      </c>
      <c r="GL21" s="2" t="s">
        <v>57</v>
      </c>
      <c r="GM21" s="2" t="s">
        <v>59</v>
      </c>
      <c r="GN21" s="2" t="s">
        <v>365</v>
      </c>
      <c r="GO21" s="2" t="s">
        <v>44</v>
      </c>
      <c r="GP21" s="2" t="s">
        <v>46</v>
      </c>
      <c r="GQ21" s="2" t="s">
        <v>45</v>
      </c>
      <c r="GR21" s="2" t="s">
        <v>58</v>
      </c>
      <c r="GS21" s="2" t="s">
        <v>58</v>
      </c>
      <c r="GT21" s="2" t="s">
        <v>59</v>
      </c>
      <c r="GU21" s="2" t="s">
        <v>371</v>
      </c>
      <c r="GV21" s="2" t="s">
        <v>43</v>
      </c>
      <c r="GW21" s="2" t="s">
        <v>46</v>
      </c>
      <c r="GX21" s="2" t="s">
        <v>46</v>
      </c>
      <c r="GY21" s="2" t="s">
        <v>57</v>
      </c>
      <c r="GZ21" s="2" t="s">
        <v>60</v>
      </c>
      <c r="HA21" s="2" t="s">
        <v>59</v>
      </c>
      <c r="HB21" s="2" t="s">
        <v>40</v>
      </c>
      <c r="HC21" s="2" t="s">
        <v>352</v>
      </c>
      <c r="HD21" s="2" t="s">
        <v>44</v>
      </c>
      <c r="HE21" s="2" t="s">
        <v>45</v>
      </c>
      <c r="HF21" s="2" t="s">
        <v>47</v>
      </c>
      <c r="HG21" s="2" t="s">
        <v>57</v>
      </c>
      <c r="HH21" s="2" t="s">
        <v>58</v>
      </c>
      <c r="HI21" s="2" t="s">
        <v>58</v>
      </c>
      <c r="HJ21" s="2" t="s">
        <v>358</v>
      </c>
      <c r="HK21" s="2" t="s">
        <v>43</v>
      </c>
      <c r="HL21" s="2" t="s">
        <v>47</v>
      </c>
      <c r="HM21" s="2" t="s">
        <v>47</v>
      </c>
      <c r="HN21" s="2" t="s">
        <v>57</v>
      </c>
      <c r="HO21" s="2" t="s">
        <v>60</v>
      </c>
      <c r="HP21" s="2" t="s">
        <v>59</v>
      </c>
      <c r="HQ21" s="2" t="s">
        <v>364</v>
      </c>
      <c r="HR21" s="2" t="s">
        <v>43</v>
      </c>
      <c r="HS21" s="2" t="s">
        <v>45</v>
      </c>
      <c r="HT21" s="2" t="s">
        <v>45</v>
      </c>
      <c r="HU21" s="2" t="s">
        <v>60</v>
      </c>
      <c r="HV21" s="2" t="s">
        <v>57</v>
      </c>
      <c r="HW21" s="2" t="s">
        <v>58</v>
      </c>
      <c r="HX21" s="2" t="s">
        <v>370</v>
      </c>
      <c r="HY21" s="2" t="s">
        <v>44</v>
      </c>
      <c r="HZ21" s="2" t="s">
        <v>46</v>
      </c>
      <c r="IA21" s="2" t="s">
        <v>45</v>
      </c>
      <c r="IB21" s="2" t="s">
        <v>60</v>
      </c>
      <c r="IC21" s="2" t="s">
        <v>59</v>
      </c>
      <c r="ID21" s="2" t="s">
        <v>60</v>
      </c>
      <c r="IE21" s="2" t="s">
        <v>372</v>
      </c>
      <c r="IF21" s="2" t="s">
        <v>372</v>
      </c>
      <c r="IG21" s="2" t="s">
        <v>372</v>
      </c>
      <c r="IH21" s="2" t="s">
        <v>372</v>
      </c>
      <c r="II21" s="2" t="s">
        <v>372</v>
      </c>
      <c r="IJ21" s="2" t="s">
        <v>372</v>
      </c>
      <c r="IK21" s="2" t="s">
        <v>372</v>
      </c>
    </row>
    <row r="22" spans="1:245" x14ac:dyDescent="0.25">
      <c r="A22" s="2" t="s">
        <v>326</v>
      </c>
      <c r="B22" s="2" t="s">
        <v>338</v>
      </c>
      <c r="C22" s="2" t="s">
        <v>339</v>
      </c>
      <c r="D22" s="2" t="s">
        <v>43</v>
      </c>
      <c r="E22" s="2" t="s">
        <v>45</v>
      </c>
      <c r="F22" s="2" t="s">
        <v>45</v>
      </c>
      <c r="G22" s="2" t="s">
        <v>57</v>
      </c>
      <c r="H22" s="2" t="s">
        <v>58</v>
      </c>
      <c r="I22" s="2" t="s">
        <v>59</v>
      </c>
      <c r="J22" s="2" t="s">
        <v>340</v>
      </c>
      <c r="K22" s="2" t="s">
        <v>43</v>
      </c>
      <c r="L22" s="2" t="s">
        <v>46</v>
      </c>
      <c r="M22" s="2" t="s">
        <v>46</v>
      </c>
      <c r="N22" s="2" t="s">
        <v>58</v>
      </c>
      <c r="O22" s="2" t="s">
        <v>57</v>
      </c>
      <c r="P22" s="2" t="s">
        <v>58</v>
      </c>
      <c r="Q22" s="2" t="s">
        <v>341</v>
      </c>
      <c r="R22" s="2" t="s">
        <v>43</v>
      </c>
      <c r="S22" s="2" t="s">
        <v>47</v>
      </c>
      <c r="T22" s="2" t="s">
        <v>47</v>
      </c>
      <c r="U22" s="2" t="s">
        <v>58</v>
      </c>
      <c r="V22" s="2" t="s">
        <v>58</v>
      </c>
      <c r="W22" s="2" t="s">
        <v>58</v>
      </c>
      <c r="X22" s="2" t="s">
        <v>344</v>
      </c>
      <c r="Y22" s="2" t="s">
        <v>345</v>
      </c>
      <c r="Z22" s="2" t="s">
        <v>39</v>
      </c>
      <c r="AA22" s="2" t="s">
        <v>349</v>
      </c>
      <c r="AB22" s="2" t="s">
        <v>43</v>
      </c>
      <c r="AC22" s="2" t="s">
        <v>47</v>
      </c>
      <c r="AD22" s="2" t="s">
        <v>47</v>
      </c>
      <c r="AE22" s="2" t="s">
        <v>59</v>
      </c>
      <c r="AF22" s="2" t="s">
        <v>59</v>
      </c>
      <c r="AG22" s="2" t="s">
        <v>58</v>
      </c>
      <c r="AH22" s="2" t="s">
        <v>355</v>
      </c>
      <c r="AI22" s="2" t="s">
        <v>43</v>
      </c>
      <c r="AJ22" s="2" t="s">
        <v>47</v>
      </c>
      <c r="AK22" s="2" t="s">
        <v>47</v>
      </c>
      <c r="AL22" s="2" t="s">
        <v>59</v>
      </c>
      <c r="AM22" s="2" t="s">
        <v>60</v>
      </c>
      <c r="AN22" s="2" t="s">
        <v>60</v>
      </c>
      <c r="AO22" s="2" t="s">
        <v>361</v>
      </c>
      <c r="AP22" s="2" t="s">
        <v>44</v>
      </c>
      <c r="AQ22" s="2" t="s">
        <v>47</v>
      </c>
      <c r="AR22" s="2" t="s">
        <v>46</v>
      </c>
      <c r="AS22" s="2" t="s">
        <v>59</v>
      </c>
      <c r="AT22" s="2" t="s">
        <v>60</v>
      </c>
      <c r="AU22" s="2" t="s">
        <v>57</v>
      </c>
      <c r="AV22" s="2" t="s">
        <v>367</v>
      </c>
      <c r="AW22" s="2" t="s">
        <v>43</v>
      </c>
      <c r="AX22" s="2" t="s">
        <v>46</v>
      </c>
      <c r="AY22" s="2" t="s">
        <v>46</v>
      </c>
      <c r="AZ22" s="2" t="s">
        <v>58</v>
      </c>
      <c r="BA22" s="2" t="s">
        <v>59</v>
      </c>
      <c r="BB22" s="2" t="s">
        <v>58</v>
      </c>
      <c r="BC22" s="2" t="s">
        <v>373</v>
      </c>
      <c r="BD22" s="2" t="s">
        <v>44</v>
      </c>
      <c r="BE22" s="2" t="s">
        <v>46</v>
      </c>
      <c r="BF22" s="2" t="s">
        <v>46</v>
      </c>
      <c r="BG22" s="2" t="s">
        <v>58</v>
      </c>
      <c r="BH22" s="2" t="s">
        <v>58</v>
      </c>
      <c r="BI22" s="2" t="s">
        <v>57</v>
      </c>
      <c r="BJ22" s="2" t="s">
        <v>40</v>
      </c>
      <c r="BK22" s="2" t="s">
        <v>351</v>
      </c>
      <c r="BL22" s="2" t="s">
        <v>44</v>
      </c>
      <c r="BM22" s="2" t="s">
        <v>45</v>
      </c>
      <c r="BN22" s="2" t="s">
        <v>47</v>
      </c>
      <c r="BO22" s="2" t="s">
        <v>57</v>
      </c>
      <c r="BP22" s="2" t="s">
        <v>58</v>
      </c>
      <c r="BQ22" s="2" t="s">
        <v>60</v>
      </c>
      <c r="BR22" s="2" t="s">
        <v>357</v>
      </c>
      <c r="BS22" s="2" t="s">
        <v>43</v>
      </c>
      <c r="BT22" s="2" t="s">
        <v>47</v>
      </c>
      <c r="BU22" s="2" t="s">
        <v>46</v>
      </c>
      <c r="BV22" s="2" t="s">
        <v>58</v>
      </c>
      <c r="BW22" s="2" t="s">
        <v>57</v>
      </c>
      <c r="BX22" s="2" t="s">
        <v>59</v>
      </c>
      <c r="BY22" s="2" t="s">
        <v>363</v>
      </c>
      <c r="BZ22" s="2" t="s">
        <v>43</v>
      </c>
      <c r="CA22" s="2" t="s">
        <v>45</v>
      </c>
      <c r="CB22" s="2" t="s">
        <v>45</v>
      </c>
      <c r="CC22" s="2" t="s">
        <v>58</v>
      </c>
      <c r="CD22" s="2" t="s">
        <v>58</v>
      </c>
      <c r="CE22" s="2" t="s">
        <v>60</v>
      </c>
      <c r="CF22" s="2" t="s">
        <v>369</v>
      </c>
      <c r="CG22" s="2" t="s">
        <v>43</v>
      </c>
      <c r="CH22" s="2" t="s">
        <v>47</v>
      </c>
      <c r="CI22" s="2" t="s">
        <v>47</v>
      </c>
      <c r="CJ22" s="2" t="s">
        <v>59</v>
      </c>
      <c r="CK22" s="2" t="s">
        <v>57</v>
      </c>
      <c r="CL22" s="2" t="s">
        <v>57</v>
      </c>
      <c r="CM22" s="2" t="s">
        <v>372</v>
      </c>
      <c r="CN22" s="2" t="s">
        <v>372</v>
      </c>
      <c r="CO22" s="2" t="s">
        <v>372</v>
      </c>
      <c r="CP22" s="2" t="s">
        <v>372</v>
      </c>
      <c r="CQ22" s="2" t="s">
        <v>372</v>
      </c>
      <c r="CR22" s="2" t="s">
        <v>372</v>
      </c>
      <c r="CS22" s="2" t="s">
        <v>372</v>
      </c>
      <c r="CT22" s="2" t="s">
        <v>342</v>
      </c>
      <c r="CU22" s="2" t="s">
        <v>346</v>
      </c>
      <c r="CV22" s="2" t="s">
        <v>40</v>
      </c>
      <c r="CW22" s="2" t="s">
        <v>352</v>
      </c>
      <c r="CX22" s="2" t="s">
        <v>44</v>
      </c>
      <c r="CY22" s="2" t="s">
        <v>45</v>
      </c>
      <c r="CZ22" s="2" t="s">
        <v>45</v>
      </c>
      <c r="DA22" s="2" t="s">
        <v>57</v>
      </c>
      <c r="DB22" s="2" t="s">
        <v>58</v>
      </c>
      <c r="DC22" s="2" t="s">
        <v>58</v>
      </c>
      <c r="DD22" s="2" t="s">
        <v>358</v>
      </c>
      <c r="DE22" s="2" t="s">
        <v>43</v>
      </c>
      <c r="DF22" s="2" t="s">
        <v>47</v>
      </c>
      <c r="DG22" s="2" t="s">
        <v>47</v>
      </c>
      <c r="DH22" s="2" t="s">
        <v>57</v>
      </c>
      <c r="DI22" s="2" t="s">
        <v>60</v>
      </c>
      <c r="DJ22" s="2" t="s">
        <v>59</v>
      </c>
      <c r="DK22" s="2" t="s">
        <v>364</v>
      </c>
      <c r="DL22" s="2" t="s">
        <v>43</v>
      </c>
      <c r="DM22" s="2" t="s">
        <v>45</v>
      </c>
      <c r="DN22" s="2" t="s">
        <v>47</v>
      </c>
      <c r="DO22" s="2" t="s">
        <v>60</v>
      </c>
      <c r="DP22" s="2" t="s">
        <v>57</v>
      </c>
      <c r="DQ22" s="2" t="s">
        <v>58</v>
      </c>
      <c r="DR22" s="2" t="s">
        <v>370</v>
      </c>
      <c r="DS22" s="2" t="s">
        <v>44</v>
      </c>
      <c r="DT22" s="2" t="s">
        <v>46</v>
      </c>
      <c r="DU22" s="2" t="s">
        <v>45</v>
      </c>
      <c r="DV22" s="2" t="s">
        <v>60</v>
      </c>
      <c r="DW22" s="2" t="s">
        <v>59</v>
      </c>
      <c r="DX22" s="2" t="s">
        <v>60</v>
      </c>
      <c r="DY22" s="2" t="s">
        <v>372</v>
      </c>
      <c r="DZ22" s="2" t="s">
        <v>372</v>
      </c>
      <c r="EA22" s="2" t="s">
        <v>372</v>
      </c>
      <c r="EB22" s="2" t="s">
        <v>372</v>
      </c>
      <c r="EC22" s="2" t="s">
        <v>372</v>
      </c>
      <c r="ED22" s="2" t="s">
        <v>372</v>
      </c>
      <c r="EE22" s="2" t="s">
        <v>372</v>
      </c>
      <c r="EF22" s="2" t="s">
        <v>39</v>
      </c>
      <c r="EG22" s="2" t="s">
        <v>347</v>
      </c>
      <c r="EH22" s="2" t="s">
        <v>44</v>
      </c>
      <c r="EI22" s="2" t="s">
        <v>47</v>
      </c>
      <c r="EJ22" s="2" t="s">
        <v>47</v>
      </c>
      <c r="EK22" s="2" t="s">
        <v>60</v>
      </c>
      <c r="EL22" s="2" t="s">
        <v>59</v>
      </c>
      <c r="EM22" s="2" t="s">
        <v>58</v>
      </c>
      <c r="EN22" s="2" t="s">
        <v>353</v>
      </c>
      <c r="EO22" s="2" t="s">
        <v>44</v>
      </c>
      <c r="EP22" s="2" t="s">
        <v>47</v>
      </c>
      <c r="EQ22" s="2" t="s">
        <v>47</v>
      </c>
      <c r="ER22" s="2" t="s">
        <v>59</v>
      </c>
      <c r="ES22" s="2" t="s">
        <v>58</v>
      </c>
      <c r="ET22" s="2" t="s">
        <v>59</v>
      </c>
      <c r="EU22" s="2" t="s">
        <v>359</v>
      </c>
      <c r="EV22" s="2" t="s">
        <v>43</v>
      </c>
      <c r="EW22" s="2" t="s">
        <v>47</v>
      </c>
      <c r="EX22" s="2" t="s">
        <v>47</v>
      </c>
      <c r="EY22" s="2" t="s">
        <v>60</v>
      </c>
      <c r="EZ22" s="2" t="s">
        <v>57</v>
      </c>
      <c r="FA22" s="2" t="s">
        <v>59</v>
      </c>
      <c r="FB22" s="2" t="s">
        <v>365</v>
      </c>
      <c r="FC22" s="2" t="s">
        <v>44</v>
      </c>
      <c r="FD22" s="2" t="s">
        <v>46</v>
      </c>
      <c r="FE22" s="2" t="s">
        <v>45</v>
      </c>
      <c r="FF22" s="2" t="s">
        <v>58</v>
      </c>
      <c r="FG22" s="2" t="s">
        <v>58</v>
      </c>
      <c r="FH22" s="2" t="s">
        <v>59</v>
      </c>
      <c r="FI22" s="2" t="s">
        <v>371</v>
      </c>
      <c r="FJ22" s="2" t="s">
        <v>43</v>
      </c>
      <c r="FK22" s="2" t="s">
        <v>46</v>
      </c>
      <c r="FL22" s="2" t="s">
        <v>46</v>
      </c>
      <c r="FM22" s="2" t="s">
        <v>57</v>
      </c>
      <c r="FN22" s="2" t="s">
        <v>60</v>
      </c>
      <c r="FO22" s="2" t="s">
        <v>59</v>
      </c>
      <c r="FP22" s="2" t="s">
        <v>343</v>
      </c>
      <c r="FQ22" s="2" t="s">
        <v>346</v>
      </c>
      <c r="FR22" s="2" t="s">
        <v>40</v>
      </c>
      <c r="FS22" s="2" t="s">
        <v>348</v>
      </c>
      <c r="FT22" s="2" t="s">
        <v>44</v>
      </c>
      <c r="FU22" s="2" t="s">
        <v>47</v>
      </c>
      <c r="FV22" s="2" t="s">
        <v>47</v>
      </c>
      <c r="FW22" s="2" t="s">
        <v>57</v>
      </c>
      <c r="FX22" s="2" t="s">
        <v>57</v>
      </c>
      <c r="FY22" s="2" t="s">
        <v>58</v>
      </c>
      <c r="FZ22" s="2" t="s">
        <v>354</v>
      </c>
      <c r="GA22" s="2" t="s">
        <v>44</v>
      </c>
      <c r="GB22" s="2" t="s">
        <v>45</v>
      </c>
      <c r="GC22" s="2" t="s">
        <v>47</v>
      </c>
      <c r="GD22" s="2" t="s">
        <v>59</v>
      </c>
      <c r="GE22" s="2" t="s">
        <v>57</v>
      </c>
      <c r="GF22" s="2" t="s">
        <v>60</v>
      </c>
      <c r="GG22" s="2" t="s">
        <v>360</v>
      </c>
      <c r="GH22" s="2" t="s">
        <v>44</v>
      </c>
      <c r="GI22" s="2" t="s">
        <v>45</v>
      </c>
      <c r="GJ22" s="2" t="s">
        <v>45</v>
      </c>
      <c r="GK22" s="2" t="s">
        <v>60</v>
      </c>
      <c r="GL22" s="2" t="s">
        <v>60</v>
      </c>
      <c r="GM22" s="2" t="s">
        <v>60</v>
      </c>
      <c r="GN22" s="2" t="s">
        <v>366</v>
      </c>
      <c r="GO22" s="2" t="s">
        <v>43</v>
      </c>
      <c r="GP22" s="2" t="s">
        <v>47</v>
      </c>
      <c r="GQ22" s="2" t="s">
        <v>46</v>
      </c>
      <c r="GR22" s="2" t="s">
        <v>60</v>
      </c>
      <c r="GS22" s="2" t="s">
        <v>60</v>
      </c>
      <c r="GT22" s="2" t="s">
        <v>60</v>
      </c>
      <c r="GU22" s="2" t="s">
        <v>372</v>
      </c>
      <c r="GV22" s="2" t="s">
        <v>372</v>
      </c>
      <c r="GW22" s="2" t="s">
        <v>372</v>
      </c>
      <c r="GX22" s="2" t="s">
        <v>372</v>
      </c>
      <c r="GY22" s="2" t="s">
        <v>372</v>
      </c>
      <c r="GZ22" s="2" t="s">
        <v>372</v>
      </c>
      <c r="HA22" s="2" t="s">
        <v>372</v>
      </c>
      <c r="HB22" s="2" t="s">
        <v>39</v>
      </c>
      <c r="HC22" s="2" t="s">
        <v>350</v>
      </c>
      <c r="HD22" s="2" t="s">
        <v>44</v>
      </c>
      <c r="HE22" s="2" t="s">
        <v>45</v>
      </c>
      <c r="HF22" s="2" t="s">
        <v>45</v>
      </c>
      <c r="HG22" s="2" t="s">
        <v>60</v>
      </c>
      <c r="HH22" s="2" t="s">
        <v>58</v>
      </c>
      <c r="HI22" s="2" t="s">
        <v>57</v>
      </c>
      <c r="HJ22" s="2" t="s">
        <v>356</v>
      </c>
      <c r="HK22" s="2" t="s">
        <v>43</v>
      </c>
      <c r="HL22" s="2" t="s">
        <v>46</v>
      </c>
      <c r="HM22" s="2" t="s">
        <v>46</v>
      </c>
      <c r="HN22" s="2" t="s">
        <v>60</v>
      </c>
      <c r="HO22" s="2" t="s">
        <v>57</v>
      </c>
      <c r="HP22" s="2" t="s">
        <v>60</v>
      </c>
      <c r="HQ22" s="2" t="s">
        <v>362</v>
      </c>
      <c r="HR22" s="2" t="s">
        <v>44</v>
      </c>
      <c r="HS22" s="2" t="s">
        <v>46</v>
      </c>
      <c r="HT22" s="2" t="s">
        <v>45</v>
      </c>
      <c r="HU22" s="2" t="s">
        <v>58</v>
      </c>
      <c r="HV22" s="2" t="s">
        <v>57</v>
      </c>
      <c r="HW22" s="2" t="s">
        <v>59</v>
      </c>
      <c r="HX22" s="2" t="s">
        <v>368</v>
      </c>
      <c r="HY22" s="2" t="s">
        <v>43</v>
      </c>
      <c r="HZ22" s="2" t="s">
        <v>47</v>
      </c>
      <c r="IA22" s="2" t="s">
        <v>47</v>
      </c>
      <c r="IB22" s="2" t="s">
        <v>58</v>
      </c>
      <c r="IC22" s="2" t="s">
        <v>58</v>
      </c>
      <c r="ID22" s="2" t="s">
        <v>59</v>
      </c>
      <c r="IE22" s="2" t="s">
        <v>374</v>
      </c>
      <c r="IF22" s="2" t="s">
        <v>43</v>
      </c>
      <c r="IG22" s="2" t="s">
        <v>45</v>
      </c>
      <c r="IH22" s="2" t="s">
        <v>45</v>
      </c>
      <c r="II22" s="2" t="s">
        <v>60</v>
      </c>
      <c r="IJ22" s="2" t="s">
        <v>57</v>
      </c>
      <c r="IK22" s="2" t="s">
        <v>57</v>
      </c>
    </row>
    <row r="23" spans="1:245" x14ac:dyDescent="0.25">
      <c r="A23" s="2" t="s">
        <v>327</v>
      </c>
      <c r="B23" s="2" t="s">
        <v>336</v>
      </c>
      <c r="C23" s="2" t="s">
        <v>339</v>
      </c>
      <c r="D23" s="2" t="s">
        <v>43</v>
      </c>
      <c r="E23" s="2" t="s">
        <v>45</v>
      </c>
      <c r="F23" s="2" t="s">
        <v>45</v>
      </c>
      <c r="G23" s="2" t="s">
        <v>57</v>
      </c>
      <c r="H23" s="2" t="s">
        <v>58</v>
      </c>
      <c r="I23" s="2" t="s">
        <v>59</v>
      </c>
      <c r="J23" s="2" t="s">
        <v>340</v>
      </c>
      <c r="K23" s="2" t="s">
        <v>43</v>
      </c>
      <c r="L23" s="2" t="s">
        <v>46</v>
      </c>
      <c r="M23" s="2" t="s">
        <v>46</v>
      </c>
      <c r="N23" s="2" t="s">
        <v>58</v>
      </c>
      <c r="O23" s="2" t="s">
        <v>57</v>
      </c>
      <c r="P23" s="2" t="s">
        <v>58</v>
      </c>
      <c r="Q23" s="2" t="s">
        <v>341</v>
      </c>
      <c r="R23" s="2" t="s">
        <v>43</v>
      </c>
      <c r="S23" s="2" t="s">
        <v>47</v>
      </c>
      <c r="T23" s="2" t="s">
        <v>47</v>
      </c>
      <c r="U23" s="2" t="s">
        <v>58</v>
      </c>
      <c r="V23" s="2" t="s">
        <v>58</v>
      </c>
      <c r="W23" s="2" t="s">
        <v>58</v>
      </c>
      <c r="X23" s="2" t="s">
        <v>342</v>
      </c>
      <c r="Y23" s="2" t="s">
        <v>346</v>
      </c>
      <c r="Z23" s="2" t="s">
        <v>40</v>
      </c>
      <c r="AA23" s="2" t="s">
        <v>352</v>
      </c>
      <c r="AB23" s="2" t="s">
        <v>44</v>
      </c>
      <c r="AC23" s="2" t="s">
        <v>45</v>
      </c>
      <c r="AD23" s="2" t="s">
        <v>47</v>
      </c>
      <c r="AE23" s="2" t="s">
        <v>57</v>
      </c>
      <c r="AF23" s="2" t="s">
        <v>58</v>
      </c>
      <c r="AG23" s="2" t="s">
        <v>58</v>
      </c>
      <c r="AH23" s="2" t="s">
        <v>358</v>
      </c>
      <c r="AI23" s="2" t="s">
        <v>43</v>
      </c>
      <c r="AJ23" s="2" t="s">
        <v>47</v>
      </c>
      <c r="AK23" s="2" t="s">
        <v>47</v>
      </c>
      <c r="AL23" s="2" t="s">
        <v>57</v>
      </c>
      <c r="AM23" s="2" t="s">
        <v>60</v>
      </c>
      <c r="AN23" s="2" t="s">
        <v>59</v>
      </c>
      <c r="AO23" s="2" t="s">
        <v>364</v>
      </c>
      <c r="AP23" s="2" t="s">
        <v>43</v>
      </c>
      <c r="AQ23" s="2" t="s">
        <v>45</v>
      </c>
      <c r="AR23" s="2" t="s">
        <v>45</v>
      </c>
      <c r="AS23" s="2" t="s">
        <v>60</v>
      </c>
      <c r="AT23" s="2" t="s">
        <v>57</v>
      </c>
      <c r="AU23" s="2" t="s">
        <v>58</v>
      </c>
      <c r="AV23" s="2" t="s">
        <v>370</v>
      </c>
      <c r="AW23" s="2" t="s">
        <v>44</v>
      </c>
      <c r="AX23" s="2" t="s">
        <v>46</v>
      </c>
      <c r="AY23" s="2" t="s">
        <v>45</v>
      </c>
      <c r="AZ23" s="2" t="s">
        <v>60</v>
      </c>
      <c r="BA23" s="2" t="s">
        <v>59</v>
      </c>
      <c r="BB23" s="2" t="s">
        <v>60</v>
      </c>
      <c r="BC23" s="2" t="s">
        <v>372</v>
      </c>
      <c r="BD23" s="2" t="s">
        <v>372</v>
      </c>
      <c r="BE23" s="2" t="s">
        <v>372</v>
      </c>
      <c r="BF23" s="2" t="s">
        <v>372</v>
      </c>
      <c r="BG23" s="2" t="s">
        <v>372</v>
      </c>
      <c r="BH23" s="2" t="s">
        <v>372</v>
      </c>
      <c r="BI23" s="2" t="s">
        <v>372</v>
      </c>
      <c r="BJ23" s="2" t="s">
        <v>39</v>
      </c>
      <c r="BK23" s="2" t="s">
        <v>347</v>
      </c>
      <c r="BL23" s="2" t="s">
        <v>44</v>
      </c>
      <c r="BM23" s="2" t="s">
        <v>47</v>
      </c>
      <c r="BN23" s="2" t="s">
        <v>47</v>
      </c>
      <c r="BO23" s="2" t="s">
        <v>60</v>
      </c>
      <c r="BP23" s="2" t="s">
        <v>59</v>
      </c>
      <c r="BQ23" s="2" t="s">
        <v>58</v>
      </c>
      <c r="BR23" s="2" t="s">
        <v>353</v>
      </c>
      <c r="BS23" s="2" t="s">
        <v>44</v>
      </c>
      <c r="BT23" s="2" t="s">
        <v>47</v>
      </c>
      <c r="BU23" s="2" t="s">
        <v>47</v>
      </c>
      <c r="BV23" s="2" t="s">
        <v>59</v>
      </c>
      <c r="BW23" s="2" t="s">
        <v>58</v>
      </c>
      <c r="BX23" s="2" t="s">
        <v>59</v>
      </c>
      <c r="BY23" s="2" t="s">
        <v>359</v>
      </c>
      <c r="BZ23" s="2" t="s">
        <v>43</v>
      </c>
      <c r="CA23" s="2" t="s">
        <v>47</v>
      </c>
      <c r="CB23" s="2" t="s">
        <v>47</v>
      </c>
      <c r="CC23" s="2" t="s">
        <v>60</v>
      </c>
      <c r="CD23" s="2" t="s">
        <v>57</v>
      </c>
      <c r="CE23" s="2" t="s">
        <v>59</v>
      </c>
      <c r="CF23" s="2" t="s">
        <v>365</v>
      </c>
      <c r="CG23" s="2" t="s">
        <v>44</v>
      </c>
      <c r="CH23" s="2" t="s">
        <v>46</v>
      </c>
      <c r="CI23" s="2" t="s">
        <v>45</v>
      </c>
      <c r="CJ23" s="2" t="s">
        <v>58</v>
      </c>
      <c r="CK23" s="2" t="s">
        <v>58</v>
      </c>
      <c r="CL23" s="2" t="s">
        <v>59</v>
      </c>
      <c r="CM23" s="2" t="s">
        <v>371</v>
      </c>
      <c r="CN23" s="2" t="s">
        <v>43</v>
      </c>
      <c r="CO23" s="2" t="s">
        <v>46</v>
      </c>
      <c r="CP23" s="2" t="s">
        <v>46</v>
      </c>
      <c r="CQ23" s="2" t="s">
        <v>57</v>
      </c>
      <c r="CR23" s="2" t="s">
        <v>60</v>
      </c>
      <c r="CS23" s="2" t="s">
        <v>59</v>
      </c>
      <c r="CT23" s="2" t="s">
        <v>343</v>
      </c>
      <c r="CU23" s="2" t="s">
        <v>346</v>
      </c>
      <c r="CV23" s="2" t="s">
        <v>40</v>
      </c>
      <c r="CW23" s="2" t="s">
        <v>348</v>
      </c>
      <c r="CX23" s="2" t="s">
        <v>44</v>
      </c>
      <c r="CY23" s="2" t="s">
        <v>47</v>
      </c>
      <c r="CZ23" s="2" t="s">
        <v>47</v>
      </c>
      <c r="DA23" s="2" t="s">
        <v>57</v>
      </c>
      <c r="DB23" s="2" t="s">
        <v>57</v>
      </c>
      <c r="DC23" s="2" t="s">
        <v>58</v>
      </c>
      <c r="DD23" s="2" t="s">
        <v>354</v>
      </c>
      <c r="DE23" s="2" t="s">
        <v>44</v>
      </c>
      <c r="DF23" s="2" t="s">
        <v>45</v>
      </c>
      <c r="DG23" s="2" t="s">
        <v>47</v>
      </c>
      <c r="DH23" s="2" t="s">
        <v>59</v>
      </c>
      <c r="DI23" s="2" t="s">
        <v>57</v>
      </c>
      <c r="DJ23" s="2" t="s">
        <v>60</v>
      </c>
      <c r="DK23" s="2" t="s">
        <v>360</v>
      </c>
      <c r="DL23" s="2" t="s">
        <v>44</v>
      </c>
      <c r="DM23" s="2" t="s">
        <v>45</v>
      </c>
      <c r="DN23" s="2" t="s">
        <v>45</v>
      </c>
      <c r="DO23" s="2" t="s">
        <v>60</v>
      </c>
      <c r="DP23" s="2" t="s">
        <v>60</v>
      </c>
      <c r="DQ23" s="2" t="s">
        <v>60</v>
      </c>
      <c r="DR23" s="2" t="s">
        <v>366</v>
      </c>
      <c r="DS23" s="2" t="s">
        <v>43</v>
      </c>
      <c r="DT23" s="2" t="s">
        <v>47</v>
      </c>
      <c r="DU23" s="2" t="s">
        <v>46</v>
      </c>
      <c r="DV23" s="2" t="s">
        <v>60</v>
      </c>
      <c r="DW23" s="2" t="s">
        <v>60</v>
      </c>
      <c r="DX23" s="2" t="s">
        <v>60</v>
      </c>
      <c r="DY23" s="2" t="s">
        <v>372</v>
      </c>
      <c r="DZ23" s="2" t="s">
        <v>372</v>
      </c>
      <c r="EA23" s="2" t="s">
        <v>372</v>
      </c>
      <c r="EB23" s="2" t="s">
        <v>372</v>
      </c>
      <c r="EC23" s="2" t="s">
        <v>372</v>
      </c>
      <c r="ED23" s="2" t="s">
        <v>372</v>
      </c>
      <c r="EE23" s="2" t="s">
        <v>372</v>
      </c>
      <c r="EF23" s="2" t="s">
        <v>39</v>
      </c>
      <c r="EG23" s="2" t="s">
        <v>350</v>
      </c>
      <c r="EH23" s="2" t="s">
        <v>44</v>
      </c>
      <c r="EI23" s="2" t="s">
        <v>45</v>
      </c>
      <c r="EJ23" s="2" t="s">
        <v>47</v>
      </c>
      <c r="EK23" s="2" t="s">
        <v>60</v>
      </c>
      <c r="EL23" s="2" t="s">
        <v>58</v>
      </c>
      <c r="EM23" s="2" t="s">
        <v>57</v>
      </c>
      <c r="EN23" s="2" t="s">
        <v>356</v>
      </c>
      <c r="EO23" s="2" t="s">
        <v>43</v>
      </c>
      <c r="EP23" s="2" t="s">
        <v>46</v>
      </c>
      <c r="EQ23" s="2" t="s">
        <v>46</v>
      </c>
      <c r="ER23" s="2" t="s">
        <v>60</v>
      </c>
      <c r="ES23" s="2" t="s">
        <v>57</v>
      </c>
      <c r="ET23" s="2" t="s">
        <v>60</v>
      </c>
      <c r="EU23" s="2" t="s">
        <v>362</v>
      </c>
      <c r="EV23" s="2" t="s">
        <v>44</v>
      </c>
      <c r="EW23" s="2" t="s">
        <v>46</v>
      </c>
      <c r="EX23" s="2" t="s">
        <v>46</v>
      </c>
      <c r="EY23" s="2" t="s">
        <v>58</v>
      </c>
      <c r="EZ23" s="2" t="s">
        <v>57</v>
      </c>
      <c r="FA23" s="2" t="s">
        <v>59</v>
      </c>
      <c r="FB23" s="2" t="s">
        <v>368</v>
      </c>
      <c r="FC23" s="2" t="s">
        <v>43</v>
      </c>
      <c r="FD23" s="2" t="s">
        <v>47</v>
      </c>
      <c r="FE23" s="2" t="s">
        <v>47</v>
      </c>
      <c r="FF23" s="2" t="s">
        <v>58</v>
      </c>
      <c r="FG23" s="2" t="s">
        <v>58</v>
      </c>
      <c r="FH23" s="2" t="s">
        <v>59</v>
      </c>
      <c r="FI23" s="2" t="s">
        <v>374</v>
      </c>
      <c r="FJ23" s="2" t="s">
        <v>43</v>
      </c>
      <c r="FK23" s="2" t="s">
        <v>45</v>
      </c>
      <c r="FL23" s="2" t="s">
        <v>45</v>
      </c>
      <c r="FM23" s="2" t="s">
        <v>60</v>
      </c>
      <c r="FN23" s="2" t="s">
        <v>57</v>
      </c>
      <c r="FO23" s="2" t="s">
        <v>57</v>
      </c>
      <c r="FP23" s="2" t="s">
        <v>344</v>
      </c>
      <c r="FQ23" s="2" t="s">
        <v>345</v>
      </c>
      <c r="FR23" s="2" t="s">
        <v>39</v>
      </c>
      <c r="FS23" s="2" t="s">
        <v>349</v>
      </c>
      <c r="FT23" s="2" t="s">
        <v>43</v>
      </c>
      <c r="FU23" s="2" t="s">
        <v>47</v>
      </c>
      <c r="FV23" s="2" t="s">
        <v>46</v>
      </c>
      <c r="FW23" s="2" t="s">
        <v>59</v>
      </c>
      <c r="FX23" s="2" t="s">
        <v>59</v>
      </c>
      <c r="FY23" s="2" t="s">
        <v>58</v>
      </c>
      <c r="FZ23" s="2" t="s">
        <v>355</v>
      </c>
      <c r="GA23" s="2" t="s">
        <v>43</v>
      </c>
      <c r="GB23" s="2" t="s">
        <v>47</v>
      </c>
      <c r="GC23" s="2" t="s">
        <v>47</v>
      </c>
      <c r="GD23" s="2" t="s">
        <v>59</v>
      </c>
      <c r="GE23" s="2" t="s">
        <v>60</v>
      </c>
      <c r="GF23" s="2" t="s">
        <v>60</v>
      </c>
      <c r="GG23" s="2" t="s">
        <v>361</v>
      </c>
      <c r="GH23" s="2" t="s">
        <v>44</v>
      </c>
      <c r="GI23" s="2" t="s">
        <v>47</v>
      </c>
      <c r="GJ23" s="2" t="s">
        <v>47</v>
      </c>
      <c r="GK23" s="2" t="s">
        <v>59</v>
      </c>
      <c r="GL23" s="2" t="s">
        <v>60</v>
      </c>
      <c r="GM23" s="2" t="s">
        <v>57</v>
      </c>
      <c r="GN23" s="2" t="s">
        <v>367</v>
      </c>
      <c r="GO23" s="2" t="s">
        <v>43</v>
      </c>
      <c r="GP23" s="2" t="s">
        <v>46</v>
      </c>
      <c r="GQ23" s="2" t="s">
        <v>46</v>
      </c>
      <c r="GR23" s="2" t="s">
        <v>58</v>
      </c>
      <c r="GS23" s="2" t="s">
        <v>59</v>
      </c>
      <c r="GT23" s="2" t="s">
        <v>58</v>
      </c>
      <c r="GU23" s="2" t="s">
        <v>373</v>
      </c>
      <c r="GV23" s="2" t="s">
        <v>44</v>
      </c>
      <c r="GW23" s="2" t="s">
        <v>46</v>
      </c>
      <c r="GX23" s="2" t="s">
        <v>46</v>
      </c>
      <c r="GY23" s="2" t="s">
        <v>58</v>
      </c>
      <c r="GZ23" s="2" t="s">
        <v>58</v>
      </c>
      <c r="HA23" s="2" t="s">
        <v>57</v>
      </c>
      <c r="HB23" s="2" t="s">
        <v>40</v>
      </c>
      <c r="HC23" s="2" t="s">
        <v>351</v>
      </c>
      <c r="HD23" s="2" t="s">
        <v>44</v>
      </c>
      <c r="HE23" s="2" t="s">
        <v>45</v>
      </c>
      <c r="HF23" s="2" t="s">
        <v>47</v>
      </c>
      <c r="HG23" s="2" t="s">
        <v>57</v>
      </c>
      <c r="HH23" s="2" t="s">
        <v>58</v>
      </c>
      <c r="HI23" s="2" t="s">
        <v>60</v>
      </c>
      <c r="HJ23" s="2" t="s">
        <v>357</v>
      </c>
      <c r="HK23" s="2" t="s">
        <v>43</v>
      </c>
      <c r="HL23" s="2" t="s">
        <v>47</v>
      </c>
      <c r="HM23" s="2" t="s">
        <v>47</v>
      </c>
      <c r="HN23" s="2" t="s">
        <v>58</v>
      </c>
      <c r="HO23" s="2" t="s">
        <v>57</v>
      </c>
      <c r="HP23" s="2" t="s">
        <v>59</v>
      </c>
      <c r="HQ23" s="2" t="s">
        <v>363</v>
      </c>
      <c r="HR23" s="2" t="s">
        <v>43</v>
      </c>
      <c r="HS23" s="2" t="s">
        <v>45</v>
      </c>
      <c r="HT23" s="2" t="s">
        <v>45</v>
      </c>
      <c r="HU23" s="2" t="s">
        <v>58</v>
      </c>
      <c r="HV23" s="2" t="s">
        <v>58</v>
      </c>
      <c r="HW23" s="2" t="s">
        <v>60</v>
      </c>
      <c r="HX23" s="2" t="s">
        <v>369</v>
      </c>
      <c r="HY23" s="2" t="s">
        <v>43</v>
      </c>
      <c r="HZ23" s="2" t="s">
        <v>47</v>
      </c>
      <c r="IA23" s="2" t="s">
        <v>46</v>
      </c>
      <c r="IB23" s="2" t="s">
        <v>59</v>
      </c>
      <c r="IC23" s="2" t="s">
        <v>57</v>
      </c>
      <c r="ID23" s="2" t="s">
        <v>57</v>
      </c>
      <c r="IE23" s="2" t="s">
        <v>372</v>
      </c>
      <c r="IF23" s="2" t="s">
        <v>372</v>
      </c>
      <c r="IG23" s="2" t="s">
        <v>372</v>
      </c>
      <c r="IH23" s="2" t="s">
        <v>372</v>
      </c>
      <c r="II23" s="2" t="s">
        <v>372</v>
      </c>
      <c r="IJ23" s="2" t="s">
        <v>372</v>
      </c>
      <c r="IK23" s="2" t="s">
        <v>372</v>
      </c>
    </row>
    <row r="24" spans="1:245" x14ac:dyDescent="0.25">
      <c r="A24" s="2" t="s">
        <v>328</v>
      </c>
      <c r="B24" s="2" t="s">
        <v>337</v>
      </c>
      <c r="C24" s="2" t="s">
        <v>339</v>
      </c>
      <c r="D24" s="2" t="s">
        <v>43</v>
      </c>
      <c r="E24" s="2" t="s">
        <v>45</v>
      </c>
      <c r="F24" s="2" t="s">
        <v>45</v>
      </c>
      <c r="G24" s="2" t="s">
        <v>57</v>
      </c>
      <c r="H24" s="2" t="s">
        <v>58</v>
      </c>
      <c r="I24" s="2" t="s">
        <v>59</v>
      </c>
      <c r="J24" s="2" t="s">
        <v>340</v>
      </c>
      <c r="K24" s="2" t="s">
        <v>43</v>
      </c>
      <c r="L24" s="2" t="s">
        <v>46</v>
      </c>
      <c r="M24" s="2" t="s">
        <v>46</v>
      </c>
      <c r="N24" s="2" t="s">
        <v>58</v>
      </c>
      <c r="O24" s="2" t="s">
        <v>57</v>
      </c>
      <c r="P24" s="2" t="s">
        <v>58</v>
      </c>
      <c r="Q24" s="2" t="s">
        <v>341</v>
      </c>
      <c r="R24" s="2" t="s">
        <v>43</v>
      </c>
      <c r="S24" s="2" t="s">
        <v>47</v>
      </c>
      <c r="T24" s="2" t="s">
        <v>47</v>
      </c>
      <c r="U24" s="2" t="s">
        <v>58</v>
      </c>
      <c r="V24" s="2" t="s">
        <v>58</v>
      </c>
      <c r="W24" s="2" t="s">
        <v>58</v>
      </c>
      <c r="X24" s="2" t="s">
        <v>343</v>
      </c>
      <c r="Y24" s="2" t="s">
        <v>345</v>
      </c>
      <c r="Z24" s="2" t="s">
        <v>39</v>
      </c>
      <c r="AA24" s="2" t="s">
        <v>350</v>
      </c>
      <c r="AB24" s="2" t="s">
        <v>44</v>
      </c>
      <c r="AC24" s="2" t="s">
        <v>45</v>
      </c>
      <c r="AD24" s="2" t="s">
        <v>45</v>
      </c>
      <c r="AE24" s="2" t="s">
        <v>60</v>
      </c>
      <c r="AF24" s="2" t="s">
        <v>58</v>
      </c>
      <c r="AG24" s="2" t="s">
        <v>57</v>
      </c>
      <c r="AH24" s="2" t="s">
        <v>356</v>
      </c>
      <c r="AI24" s="2" t="s">
        <v>43</v>
      </c>
      <c r="AJ24" s="2" t="s">
        <v>46</v>
      </c>
      <c r="AK24" s="2" t="s">
        <v>46</v>
      </c>
      <c r="AL24" s="2" t="s">
        <v>60</v>
      </c>
      <c r="AM24" s="2" t="s">
        <v>57</v>
      </c>
      <c r="AN24" s="2" t="s">
        <v>60</v>
      </c>
      <c r="AO24" s="2" t="s">
        <v>362</v>
      </c>
      <c r="AP24" s="2" t="s">
        <v>44</v>
      </c>
      <c r="AQ24" s="2" t="s">
        <v>46</v>
      </c>
      <c r="AR24" s="2" t="s">
        <v>46</v>
      </c>
      <c r="AS24" s="2" t="s">
        <v>58</v>
      </c>
      <c r="AT24" s="2" t="s">
        <v>57</v>
      </c>
      <c r="AU24" s="2" t="s">
        <v>59</v>
      </c>
      <c r="AV24" s="2" t="s">
        <v>368</v>
      </c>
      <c r="AW24" s="2" t="s">
        <v>43</v>
      </c>
      <c r="AX24" s="2" t="s">
        <v>47</v>
      </c>
      <c r="AY24" s="2" t="s">
        <v>47</v>
      </c>
      <c r="AZ24" s="2" t="s">
        <v>58</v>
      </c>
      <c r="BA24" s="2" t="s">
        <v>58</v>
      </c>
      <c r="BB24" s="2" t="s">
        <v>59</v>
      </c>
      <c r="BC24" s="2" t="s">
        <v>374</v>
      </c>
      <c r="BD24" s="2" t="s">
        <v>43</v>
      </c>
      <c r="BE24" s="2" t="s">
        <v>45</v>
      </c>
      <c r="BF24" s="2" t="s">
        <v>47</v>
      </c>
      <c r="BG24" s="2" t="s">
        <v>60</v>
      </c>
      <c r="BH24" s="2" t="s">
        <v>57</v>
      </c>
      <c r="BI24" s="2" t="s">
        <v>57</v>
      </c>
      <c r="BJ24" s="2" t="s">
        <v>40</v>
      </c>
      <c r="BK24" s="2" t="s">
        <v>348</v>
      </c>
      <c r="BL24" s="2" t="s">
        <v>44</v>
      </c>
      <c r="BM24" s="2" t="s">
        <v>47</v>
      </c>
      <c r="BN24" s="2" t="s">
        <v>47</v>
      </c>
      <c r="BO24" s="2" t="s">
        <v>57</v>
      </c>
      <c r="BP24" s="2" t="s">
        <v>57</v>
      </c>
      <c r="BQ24" s="2" t="s">
        <v>58</v>
      </c>
      <c r="BR24" s="2" t="s">
        <v>354</v>
      </c>
      <c r="BS24" s="2" t="s">
        <v>44</v>
      </c>
      <c r="BT24" s="2" t="s">
        <v>45</v>
      </c>
      <c r="BU24" s="2" t="s">
        <v>47</v>
      </c>
      <c r="BV24" s="2" t="s">
        <v>59</v>
      </c>
      <c r="BW24" s="2" t="s">
        <v>57</v>
      </c>
      <c r="BX24" s="2" t="s">
        <v>60</v>
      </c>
      <c r="BY24" s="2" t="s">
        <v>360</v>
      </c>
      <c r="BZ24" s="2" t="s">
        <v>44</v>
      </c>
      <c r="CA24" s="2" t="s">
        <v>45</v>
      </c>
      <c r="CB24" s="2" t="s">
        <v>47</v>
      </c>
      <c r="CC24" s="2" t="s">
        <v>60</v>
      </c>
      <c r="CD24" s="2" t="s">
        <v>60</v>
      </c>
      <c r="CE24" s="2" t="s">
        <v>60</v>
      </c>
      <c r="CF24" s="2" t="s">
        <v>366</v>
      </c>
      <c r="CG24" s="2" t="s">
        <v>43</v>
      </c>
      <c r="CH24" s="2" t="s">
        <v>47</v>
      </c>
      <c r="CI24" s="2" t="s">
        <v>47</v>
      </c>
      <c r="CJ24" s="2" t="s">
        <v>60</v>
      </c>
      <c r="CK24" s="2" t="s">
        <v>60</v>
      </c>
      <c r="CL24" s="2" t="s">
        <v>60</v>
      </c>
      <c r="CM24" s="2" t="s">
        <v>372</v>
      </c>
      <c r="CN24" s="2" t="s">
        <v>372</v>
      </c>
      <c r="CO24" s="2" t="s">
        <v>372</v>
      </c>
      <c r="CP24" s="2" t="s">
        <v>372</v>
      </c>
      <c r="CQ24" s="2" t="s">
        <v>372</v>
      </c>
      <c r="CR24" s="2" t="s">
        <v>372</v>
      </c>
      <c r="CS24" s="2" t="s">
        <v>372</v>
      </c>
      <c r="CT24" s="2" t="s">
        <v>344</v>
      </c>
      <c r="CU24" s="2" t="s">
        <v>345</v>
      </c>
      <c r="CV24" s="2" t="s">
        <v>39</v>
      </c>
      <c r="CW24" s="2" t="s">
        <v>349</v>
      </c>
      <c r="CX24" s="2" t="s">
        <v>43</v>
      </c>
      <c r="CY24" s="2" t="s">
        <v>47</v>
      </c>
      <c r="CZ24" s="2" t="s">
        <v>47</v>
      </c>
      <c r="DA24" s="2" t="s">
        <v>59</v>
      </c>
      <c r="DB24" s="2" t="s">
        <v>59</v>
      </c>
      <c r="DC24" s="2" t="s">
        <v>58</v>
      </c>
      <c r="DD24" s="2" t="s">
        <v>355</v>
      </c>
      <c r="DE24" s="2" t="s">
        <v>43</v>
      </c>
      <c r="DF24" s="2" t="s">
        <v>47</v>
      </c>
      <c r="DG24" s="2" t="s">
        <v>47</v>
      </c>
      <c r="DH24" s="2" t="s">
        <v>59</v>
      </c>
      <c r="DI24" s="2" t="s">
        <v>60</v>
      </c>
      <c r="DJ24" s="2" t="s">
        <v>60</v>
      </c>
      <c r="DK24" s="2" t="s">
        <v>361</v>
      </c>
      <c r="DL24" s="2" t="s">
        <v>44</v>
      </c>
      <c r="DM24" s="2" t="s">
        <v>47</v>
      </c>
      <c r="DN24" s="2" t="s">
        <v>47</v>
      </c>
      <c r="DO24" s="2" t="s">
        <v>59</v>
      </c>
      <c r="DP24" s="2" t="s">
        <v>60</v>
      </c>
      <c r="DQ24" s="2" t="s">
        <v>57</v>
      </c>
      <c r="DR24" s="2" t="s">
        <v>367</v>
      </c>
      <c r="DS24" s="2" t="s">
        <v>43</v>
      </c>
      <c r="DT24" s="2" t="s">
        <v>46</v>
      </c>
      <c r="DU24" s="2" t="s">
        <v>45</v>
      </c>
      <c r="DV24" s="2" t="s">
        <v>58</v>
      </c>
      <c r="DW24" s="2" t="s">
        <v>59</v>
      </c>
      <c r="DX24" s="2" t="s">
        <v>58</v>
      </c>
      <c r="DY24" s="2" t="s">
        <v>373</v>
      </c>
      <c r="DZ24" s="2" t="s">
        <v>44</v>
      </c>
      <c r="EA24" s="2" t="s">
        <v>46</v>
      </c>
      <c r="EB24" s="2" t="s">
        <v>46</v>
      </c>
      <c r="EC24" s="2" t="s">
        <v>58</v>
      </c>
      <c r="ED24" s="2" t="s">
        <v>58</v>
      </c>
      <c r="EE24" s="2" t="s">
        <v>57</v>
      </c>
      <c r="EF24" s="2" t="s">
        <v>40</v>
      </c>
      <c r="EG24" s="2" t="s">
        <v>351</v>
      </c>
      <c r="EH24" s="2" t="s">
        <v>44</v>
      </c>
      <c r="EI24" s="2" t="s">
        <v>45</v>
      </c>
      <c r="EJ24" s="2" t="s">
        <v>45</v>
      </c>
      <c r="EK24" s="2" t="s">
        <v>57</v>
      </c>
      <c r="EL24" s="2" t="s">
        <v>58</v>
      </c>
      <c r="EM24" s="2" t="s">
        <v>60</v>
      </c>
      <c r="EN24" s="2" t="s">
        <v>357</v>
      </c>
      <c r="EO24" s="2" t="s">
        <v>43</v>
      </c>
      <c r="EP24" s="2" t="s">
        <v>47</v>
      </c>
      <c r="EQ24" s="2" t="s">
        <v>46</v>
      </c>
      <c r="ER24" s="2" t="s">
        <v>58</v>
      </c>
      <c r="ES24" s="2" t="s">
        <v>57</v>
      </c>
      <c r="ET24" s="2" t="s">
        <v>59</v>
      </c>
      <c r="EU24" s="2" t="s">
        <v>363</v>
      </c>
      <c r="EV24" s="2" t="s">
        <v>43</v>
      </c>
      <c r="EW24" s="2" t="s">
        <v>45</v>
      </c>
      <c r="EX24" s="2" t="s">
        <v>47</v>
      </c>
      <c r="EY24" s="2" t="s">
        <v>58</v>
      </c>
      <c r="EZ24" s="2" t="s">
        <v>58</v>
      </c>
      <c r="FA24" s="2" t="s">
        <v>60</v>
      </c>
      <c r="FB24" s="2" t="s">
        <v>369</v>
      </c>
      <c r="FC24" s="2" t="s">
        <v>43</v>
      </c>
      <c r="FD24" s="2" t="s">
        <v>47</v>
      </c>
      <c r="FE24" s="2" t="s">
        <v>47</v>
      </c>
      <c r="FF24" s="2" t="s">
        <v>59</v>
      </c>
      <c r="FG24" s="2" t="s">
        <v>57</v>
      </c>
      <c r="FH24" s="2" t="s">
        <v>57</v>
      </c>
      <c r="FI24" s="2" t="s">
        <v>372</v>
      </c>
      <c r="FJ24" s="2" t="s">
        <v>372</v>
      </c>
      <c r="FK24" s="2" t="s">
        <v>372</v>
      </c>
      <c r="FL24" s="2" t="s">
        <v>372</v>
      </c>
      <c r="FM24" s="2" t="s">
        <v>372</v>
      </c>
      <c r="FN24" s="2" t="s">
        <v>372</v>
      </c>
      <c r="FO24" s="2" t="s">
        <v>372</v>
      </c>
      <c r="FP24" s="2" t="s">
        <v>342</v>
      </c>
      <c r="FQ24" s="2" t="s">
        <v>346</v>
      </c>
      <c r="FR24" s="2" t="s">
        <v>40</v>
      </c>
      <c r="FS24" s="2" t="s">
        <v>352</v>
      </c>
      <c r="FT24" s="2" t="s">
        <v>44</v>
      </c>
      <c r="FU24" s="2" t="s">
        <v>45</v>
      </c>
      <c r="FV24" s="2" t="s">
        <v>47</v>
      </c>
      <c r="FW24" s="2" t="s">
        <v>57</v>
      </c>
      <c r="FX24" s="2" t="s">
        <v>58</v>
      </c>
      <c r="FY24" s="2" t="s">
        <v>58</v>
      </c>
      <c r="FZ24" s="2" t="s">
        <v>358</v>
      </c>
      <c r="GA24" s="2" t="s">
        <v>43</v>
      </c>
      <c r="GB24" s="2" t="s">
        <v>47</v>
      </c>
      <c r="GC24" s="2" t="s">
        <v>47</v>
      </c>
      <c r="GD24" s="2" t="s">
        <v>57</v>
      </c>
      <c r="GE24" s="2" t="s">
        <v>60</v>
      </c>
      <c r="GF24" s="2" t="s">
        <v>59</v>
      </c>
      <c r="GG24" s="2" t="s">
        <v>364</v>
      </c>
      <c r="GH24" s="2" t="s">
        <v>43</v>
      </c>
      <c r="GI24" s="2" t="s">
        <v>45</v>
      </c>
      <c r="GJ24" s="2" t="s">
        <v>45</v>
      </c>
      <c r="GK24" s="2" t="s">
        <v>60</v>
      </c>
      <c r="GL24" s="2" t="s">
        <v>57</v>
      </c>
      <c r="GM24" s="2" t="s">
        <v>58</v>
      </c>
      <c r="GN24" s="2" t="s">
        <v>370</v>
      </c>
      <c r="GO24" s="2" t="s">
        <v>44</v>
      </c>
      <c r="GP24" s="2" t="s">
        <v>46</v>
      </c>
      <c r="GQ24" s="2" t="s">
        <v>45</v>
      </c>
      <c r="GR24" s="2" t="s">
        <v>60</v>
      </c>
      <c r="GS24" s="2" t="s">
        <v>59</v>
      </c>
      <c r="GT24" s="2" t="s">
        <v>60</v>
      </c>
      <c r="GU24" s="2" t="s">
        <v>372</v>
      </c>
      <c r="GV24" s="2" t="s">
        <v>372</v>
      </c>
      <c r="GW24" s="2" t="s">
        <v>372</v>
      </c>
      <c r="GX24" s="2" t="s">
        <v>372</v>
      </c>
      <c r="GY24" s="2" t="s">
        <v>372</v>
      </c>
      <c r="GZ24" s="2" t="s">
        <v>372</v>
      </c>
      <c r="HA24" s="2" t="s">
        <v>372</v>
      </c>
      <c r="HB24" s="2" t="s">
        <v>39</v>
      </c>
      <c r="HC24" s="2" t="s">
        <v>347</v>
      </c>
      <c r="HD24" s="2" t="s">
        <v>44</v>
      </c>
      <c r="HE24" s="2" t="s">
        <v>47</v>
      </c>
      <c r="HF24" s="2" t="s">
        <v>47</v>
      </c>
      <c r="HG24" s="2" t="s">
        <v>60</v>
      </c>
      <c r="HH24" s="2" t="s">
        <v>59</v>
      </c>
      <c r="HI24" s="2" t="s">
        <v>58</v>
      </c>
      <c r="HJ24" s="2" t="s">
        <v>353</v>
      </c>
      <c r="HK24" s="2" t="s">
        <v>44</v>
      </c>
      <c r="HL24" s="2" t="s">
        <v>47</v>
      </c>
      <c r="HM24" s="2" t="s">
        <v>47</v>
      </c>
      <c r="HN24" s="2" t="s">
        <v>59</v>
      </c>
      <c r="HO24" s="2" t="s">
        <v>58</v>
      </c>
      <c r="HP24" s="2" t="s">
        <v>59</v>
      </c>
      <c r="HQ24" s="2" t="s">
        <v>359</v>
      </c>
      <c r="HR24" s="2" t="s">
        <v>43</v>
      </c>
      <c r="HS24" s="2" t="s">
        <v>47</v>
      </c>
      <c r="HT24" s="2" t="s">
        <v>47</v>
      </c>
      <c r="HU24" s="2" t="s">
        <v>60</v>
      </c>
      <c r="HV24" s="2" t="s">
        <v>57</v>
      </c>
      <c r="HW24" s="2" t="s">
        <v>59</v>
      </c>
      <c r="HX24" s="2" t="s">
        <v>365</v>
      </c>
      <c r="HY24" s="2" t="s">
        <v>44</v>
      </c>
      <c r="HZ24" s="2" t="s">
        <v>46</v>
      </c>
      <c r="IA24" s="2" t="s">
        <v>45</v>
      </c>
      <c r="IB24" s="2" t="s">
        <v>58</v>
      </c>
      <c r="IC24" s="2" t="s">
        <v>58</v>
      </c>
      <c r="ID24" s="2" t="s">
        <v>59</v>
      </c>
      <c r="IE24" s="2" t="s">
        <v>371</v>
      </c>
      <c r="IF24" s="2" t="s">
        <v>43</v>
      </c>
      <c r="IG24" s="2" t="s">
        <v>46</v>
      </c>
      <c r="IH24" s="2" t="s">
        <v>46</v>
      </c>
      <c r="II24" s="2" t="s">
        <v>57</v>
      </c>
      <c r="IJ24" s="2" t="s">
        <v>60</v>
      </c>
      <c r="IK24" s="2" t="s">
        <v>59</v>
      </c>
    </row>
    <row r="25" spans="1:245" x14ac:dyDescent="0.25">
      <c r="A25" s="2" t="s">
        <v>329</v>
      </c>
      <c r="B25" s="2" t="s">
        <v>338</v>
      </c>
      <c r="C25" s="2" t="s">
        <v>339</v>
      </c>
      <c r="D25" s="2" t="s">
        <v>43</v>
      </c>
      <c r="E25" s="2" t="s">
        <v>45</v>
      </c>
      <c r="F25" s="2" t="s">
        <v>45</v>
      </c>
      <c r="G25" s="2" t="s">
        <v>57</v>
      </c>
      <c r="H25" s="2" t="s">
        <v>58</v>
      </c>
      <c r="I25" s="2" t="s">
        <v>59</v>
      </c>
      <c r="J25" s="2" t="s">
        <v>340</v>
      </c>
      <c r="K25" s="2" t="s">
        <v>43</v>
      </c>
      <c r="L25" s="2" t="s">
        <v>46</v>
      </c>
      <c r="M25" s="2" t="s">
        <v>46</v>
      </c>
      <c r="N25" s="2" t="s">
        <v>58</v>
      </c>
      <c r="O25" s="2" t="s">
        <v>57</v>
      </c>
      <c r="P25" s="2" t="s">
        <v>58</v>
      </c>
      <c r="Q25" s="2" t="s">
        <v>341</v>
      </c>
      <c r="R25" s="2" t="s">
        <v>43</v>
      </c>
      <c r="S25" s="2" t="s">
        <v>47</v>
      </c>
      <c r="T25" s="2" t="s">
        <v>47</v>
      </c>
      <c r="U25" s="2" t="s">
        <v>58</v>
      </c>
      <c r="V25" s="2" t="s">
        <v>58</v>
      </c>
      <c r="W25" s="2" t="s">
        <v>58</v>
      </c>
      <c r="X25" s="2" t="s">
        <v>344</v>
      </c>
      <c r="Y25" s="2" t="s">
        <v>345</v>
      </c>
      <c r="Z25" s="2" t="s">
        <v>39</v>
      </c>
      <c r="AA25" s="2" t="s">
        <v>349</v>
      </c>
      <c r="AB25" s="2" t="s">
        <v>43</v>
      </c>
      <c r="AC25" s="2" t="s">
        <v>47</v>
      </c>
      <c r="AD25" s="2" t="s">
        <v>46</v>
      </c>
      <c r="AE25" s="2" t="s">
        <v>59</v>
      </c>
      <c r="AF25" s="2" t="s">
        <v>59</v>
      </c>
      <c r="AG25" s="2" t="s">
        <v>58</v>
      </c>
      <c r="AH25" s="2" t="s">
        <v>355</v>
      </c>
      <c r="AI25" s="2" t="s">
        <v>43</v>
      </c>
      <c r="AJ25" s="2" t="s">
        <v>47</v>
      </c>
      <c r="AK25" s="2" t="s">
        <v>47</v>
      </c>
      <c r="AL25" s="2" t="s">
        <v>59</v>
      </c>
      <c r="AM25" s="2" t="s">
        <v>60</v>
      </c>
      <c r="AN25" s="2" t="s">
        <v>60</v>
      </c>
      <c r="AO25" s="2" t="s">
        <v>361</v>
      </c>
      <c r="AP25" s="2" t="s">
        <v>44</v>
      </c>
      <c r="AQ25" s="2" t="s">
        <v>47</v>
      </c>
      <c r="AR25" s="2" t="s">
        <v>47</v>
      </c>
      <c r="AS25" s="2" t="s">
        <v>59</v>
      </c>
      <c r="AT25" s="2" t="s">
        <v>60</v>
      </c>
      <c r="AU25" s="2" t="s">
        <v>57</v>
      </c>
      <c r="AV25" s="2" t="s">
        <v>367</v>
      </c>
      <c r="AW25" s="2" t="s">
        <v>43</v>
      </c>
      <c r="AX25" s="2" t="s">
        <v>46</v>
      </c>
      <c r="AY25" s="2" t="s">
        <v>46</v>
      </c>
      <c r="AZ25" s="2" t="s">
        <v>58</v>
      </c>
      <c r="BA25" s="2" t="s">
        <v>59</v>
      </c>
      <c r="BB25" s="2" t="s">
        <v>58</v>
      </c>
      <c r="BC25" s="2" t="s">
        <v>373</v>
      </c>
      <c r="BD25" s="2" t="s">
        <v>44</v>
      </c>
      <c r="BE25" s="2" t="s">
        <v>46</v>
      </c>
      <c r="BF25" s="2" t="s">
        <v>46</v>
      </c>
      <c r="BG25" s="2" t="s">
        <v>58</v>
      </c>
      <c r="BH25" s="2" t="s">
        <v>58</v>
      </c>
      <c r="BI25" s="2" t="s">
        <v>57</v>
      </c>
      <c r="BJ25" s="2" t="s">
        <v>40</v>
      </c>
      <c r="BK25" s="2" t="s">
        <v>351</v>
      </c>
      <c r="BL25" s="2" t="s">
        <v>44</v>
      </c>
      <c r="BM25" s="2" t="s">
        <v>45</v>
      </c>
      <c r="BN25" s="2" t="s">
        <v>45</v>
      </c>
      <c r="BO25" s="2" t="s">
        <v>57</v>
      </c>
      <c r="BP25" s="2" t="s">
        <v>58</v>
      </c>
      <c r="BQ25" s="2" t="s">
        <v>60</v>
      </c>
      <c r="BR25" s="2" t="s">
        <v>357</v>
      </c>
      <c r="BS25" s="2" t="s">
        <v>43</v>
      </c>
      <c r="BT25" s="2" t="s">
        <v>47</v>
      </c>
      <c r="BU25" s="2" t="s">
        <v>47</v>
      </c>
      <c r="BV25" s="2" t="s">
        <v>58</v>
      </c>
      <c r="BW25" s="2" t="s">
        <v>57</v>
      </c>
      <c r="BX25" s="2" t="s">
        <v>59</v>
      </c>
      <c r="BY25" s="2" t="s">
        <v>363</v>
      </c>
      <c r="BZ25" s="2" t="s">
        <v>43</v>
      </c>
      <c r="CA25" s="2" t="s">
        <v>45</v>
      </c>
      <c r="CB25" s="2" t="s">
        <v>47</v>
      </c>
      <c r="CC25" s="2" t="s">
        <v>58</v>
      </c>
      <c r="CD25" s="2" t="s">
        <v>58</v>
      </c>
      <c r="CE25" s="2" t="s">
        <v>60</v>
      </c>
      <c r="CF25" s="2" t="s">
        <v>369</v>
      </c>
      <c r="CG25" s="2" t="s">
        <v>43</v>
      </c>
      <c r="CH25" s="2" t="s">
        <v>47</v>
      </c>
      <c r="CI25" s="2" t="s">
        <v>46</v>
      </c>
      <c r="CJ25" s="2" t="s">
        <v>59</v>
      </c>
      <c r="CK25" s="2" t="s">
        <v>57</v>
      </c>
      <c r="CL25" s="2" t="s">
        <v>57</v>
      </c>
      <c r="CM25" s="2" t="s">
        <v>372</v>
      </c>
      <c r="CN25" s="2" t="s">
        <v>372</v>
      </c>
      <c r="CO25" s="2" t="s">
        <v>372</v>
      </c>
      <c r="CP25" s="2" t="s">
        <v>372</v>
      </c>
      <c r="CQ25" s="2" t="s">
        <v>372</v>
      </c>
      <c r="CR25" s="2" t="s">
        <v>372</v>
      </c>
      <c r="CS25" s="2" t="s">
        <v>372</v>
      </c>
      <c r="CT25" s="2" t="s">
        <v>342</v>
      </c>
      <c r="CU25" s="2" t="s">
        <v>346</v>
      </c>
      <c r="CV25" s="2" t="s">
        <v>40</v>
      </c>
      <c r="CW25" s="2" t="s">
        <v>352</v>
      </c>
      <c r="CX25" s="2" t="s">
        <v>44</v>
      </c>
      <c r="CY25" s="2" t="s">
        <v>45</v>
      </c>
      <c r="CZ25" s="2" t="s">
        <v>45</v>
      </c>
      <c r="DA25" s="2" t="s">
        <v>57</v>
      </c>
      <c r="DB25" s="2" t="s">
        <v>58</v>
      </c>
      <c r="DC25" s="2" t="s">
        <v>58</v>
      </c>
      <c r="DD25" s="2" t="s">
        <v>358</v>
      </c>
      <c r="DE25" s="2" t="s">
        <v>43</v>
      </c>
      <c r="DF25" s="2" t="s">
        <v>47</v>
      </c>
      <c r="DG25" s="2" t="s">
        <v>46</v>
      </c>
      <c r="DH25" s="2" t="s">
        <v>57</v>
      </c>
      <c r="DI25" s="2" t="s">
        <v>60</v>
      </c>
      <c r="DJ25" s="2" t="s">
        <v>59</v>
      </c>
      <c r="DK25" s="2" t="s">
        <v>364</v>
      </c>
      <c r="DL25" s="2" t="s">
        <v>43</v>
      </c>
      <c r="DM25" s="2" t="s">
        <v>45</v>
      </c>
      <c r="DN25" s="2" t="s">
        <v>47</v>
      </c>
      <c r="DO25" s="2" t="s">
        <v>60</v>
      </c>
      <c r="DP25" s="2" t="s">
        <v>57</v>
      </c>
      <c r="DQ25" s="2" t="s">
        <v>58</v>
      </c>
      <c r="DR25" s="2" t="s">
        <v>370</v>
      </c>
      <c r="DS25" s="2" t="s">
        <v>44</v>
      </c>
      <c r="DT25" s="2" t="s">
        <v>46</v>
      </c>
      <c r="DU25" s="2" t="s">
        <v>46</v>
      </c>
      <c r="DV25" s="2" t="s">
        <v>60</v>
      </c>
      <c r="DW25" s="2" t="s">
        <v>59</v>
      </c>
      <c r="DX25" s="2" t="s">
        <v>60</v>
      </c>
      <c r="DY25" s="2" t="s">
        <v>372</v>
      </c>
      <c r="DZ25" s="2" t="s">
        <v>372</v>
      </c>
      <c r="EA25" s="2" t="s">
        <v>372</v>
      </c>
      <c r="EB25" s="2" t="s">
        <v>372</v>
      </c>
      <c r="EC25" s="2" t="s">
        <v>372</v>
      </c>
      <c r="ED25" s="2" t="s">
        <v>372</v>
      </c>
      <c r="EE25" s="2" t="s">
        <v>372</v>
      </c>
      <c r="EF25" s="2" t="s">
        <v>39</v>
      </c>
      <c r="EG25" s="2" t="s">
        <v>347</v>
      </c>
      <c r="EH25" s="2" t="s">
        <v>44</v>
      </c>
      <c r="EI25" s="2" t="s">
        <v>47</v>
      </c>
      <c r="EJ25" s="2" t="s">
        <v>47</v>
      </c>
      <c r="EK25" s="2" t="s">
        <v>60</v>
      </c>
      <c r="EL25" s="2" t="s">
        <v>59</v>
      </c>
      <c r="EM25" s="2" t="s">
        <v>58</v>
      </c>
      <c r="EN25" s="2" t="s">
        <v>353</v>
      </c>
      <c r="EO25" s="2" t="s">
        <v>44</v>
      </c>
      <c r="EP25" s="2" t="s">
        <v>47</v>
      </c>
      <c r="EQ25" s="2" t="s">
        <v>47</v>
      </c>
      <c r="ER25" s="2" t="s">
        <v>59</v>
      </c>
      <c r="ES25" s="2" t="s">
        <v>58</v>
      </c>
      <c r="ET25" s="2" t="s">
        <v>59</v>
      </c>
      <c r="EU25" s="2" t="s">
        <v>359</v>
      </c>
      <c r="EV25" s="2" t="s">
        <v>43</v>
      </c>
      <c r="EW25" s="2" t="s">
        <v>47</v>
      </c>
      <c r="EX25" s="2" t="s">
        <v>46</v>
      </c>
      <c r="EY25" s="2" t="s">
        <v>60</v>
      </c>
      <c r="EZ25" s="2" t="s">
        <v>57</v>
      </c>
      <c r="FA25" s="2" t="s">
        <v>59</v>
      </c>
      <c r="FB25" s="2" t="s">
        <v>365</v>
      </c>
      <c r="FC25" s="2" t="s">
        <v>44</v>
      </c>
      <c r="FD25" s="2" t="s">
        <v>46</v>
      </c>
      <c r="FE25" s="2" t="s">
        <v>46</v>
      </c>
      <c r="FF25" s="2" t="s">
        <v>58</v>
      </c>
      <c r="FG25" s="2" t="s">
        <v>58</v>
      </c>
      <c r="FH25" s="2" t="s">
        <v>59</v>
      </c>
      <c r="FI25" s="2" t="s">
        <v>371</v>
      </c>
      <c r="FJ25" s="2" t="s">
        <v>43</v>
      </c>
      <c r="FK25" s="2" t="s">
        <v>46</v>
      </c>
      <c r="FL25" s="2" t="s">
        <v>46</v>
      </c>
      <c r="FM25" s="2" t="s">
        <v>57</v>
      </c>
      <c r="FN25" s="2" t="s">
        <v>60</v>
      </c>
      <c r="FO25" s="2" t="s">
        <v>59</v>
      </c>
      <c r="FP25" s="2" t="s">
        <v>343</v>
      </c>
      <c r="FQ25" s="2" t="s">
        <v>346</v>
      </c>
      <c r="FR25" s="2" t="s">
        <v>40</v>
      </c>
      <c r="FS25" s="2" t="s">
        <v>348</v>
      </c>
      <c r="FT25" s="2" t="s">
        <v>44</v>
      </c>
      <c r="FU25" s="2" t="s">
        <v>47</v>
      </c>
      <c r="FV25" s="2" t="s">
        <v>46</v>
      </c>
      <c r="FW25" s="2" t="s">
        <v>57</v>
      </c>
      <c r="FX25" s="2" t="s">
        <v>57</v>
      </c>
      <c r="FY25" s="2" t="s">
        <v>58</v>
      </c>
      <c r="FZ25" s="2" t="s">
        <v>354</v>
      </c>
      <c r="GA25" s="2" t="s">
        <v>44</v>
      </c>
      <c r="GB25" s="2" t="s">
        <v>45</v>
      </c>
      <c r="GC25" s="2" t="s">
        <v>47</v>
      </c>
      <c r="GD25" s="2" t="s">
        <v>59</v>
      </c>
      <c r="GE25" s="2" t="s">
        <v>57</v>
      </c>
      <c r="GF25" s="2" t="s">
        <v>60</v>
      </c>
      <c r="GG25" s="2" t="s">
        <v>360</v>
      </c>
      <c r="GH25" s="2" t="s">
        <v>44</v>
      </c>
      <c r="GI25" s="2" t="s">
        <v>45</v>
      </c>
      <c r="GJ25" s="2" t="s">
        <v>45</v>
      </c>
      <c r="GK25" s="2" t="s">
        <v>60</v>
      </c>
      <c r="GL25" s="2" t="s">
        <v>60</v>
      </c>
      <c r="GM25" s="2" t="s">
        <v>60</v>
      </c>
      <c r="GN25" s="2" t="s">
        <v>366</v>
      </c>
      <c r="GO25" s="2" t="s">
        <v>43</v>
      </c>
      <c r="GP25" s="2" t="s">
        <v>47</v>
      </c>
      <c r="GQ25" s="2" t="s">
        <v>47</v>
      </c>
      <c r="GR25" s="2" t="s">
        <v>60</v>
      </c>
      <c r="GS25" s="2" t="s">
        <v>60</v>
      </c>
      <c r="GT25" s="2" t="s">
        <v>60</v>
      </c>
      <c r="GU25" s="2" t="s">
        <v>372</v>
      </c>
      <c r="GV25" s="2" t="s">
        <v>372</v>
      </c>
      <c r="GW25" s="2" t="s">
        <v>372</v>
      </c>
      <c r="GX25" s="2" t="s">
        <v>372</v>
      </c>
      <c r="GY25" s="2" t="s">
        <v>372</v>
      </c>
      <c r="GZ25" s="2" t="s">
        <v>372</v>
      </c>
      <c r="HA25" s="2" t="s">
        <v>372</v>
      </c>
      <c r="HB25" s="2" t="s">
        <v>39</v>
      </c>
      <c r="HC25" s="2" t="s">
        <v>350</v>
      </c>
      <c r="HD25" s="2" t="s">
        <v>44</v>
      </c>
      <c r="HE25" s="2" t="s">
        <v>45</v>
      </c>
      <c r="HF25" s="2" t="s">
        <v>45</v>
      </c>
      <c r="HG25" s="2" t="s">
        <v>60</v>
      </c>
      <c r="HH25" s="2" t="s">
        <v>58</v>
      </c>
      <c r="HI25" s="2" t="s">
        <v>57</v>
      </c>
      <c r="HJ25" s="2" t="s">
        <v>356</v>
      </c>
      <c r="HK25" s="2" t="s">
        <v>43</v>
      </c>
      <c r="HL25" s="2" t="s">
        <v>46</v>
      </c>
      <c r="HM25" s="2" t="s">
        <v>46</v>
      </c>
      <c r="HN25" s="2" t="s">
        <v>60</v>
      </c>
      <c r="HO25" s="2" t="s">
        <v>57</v>
      </c>
      <c r="HP25" s="2" t="s">
        <v>60</v>
      </c>
      <c r="HQ25" s="2" t="s">
        <v>362</v>
      </c>
      <c r="HR25" s="2" t="s">
        <v>44</v>
      </c>
      <c r="HS25" s="2" t="s">
        <v>46</v>
      </c>
      <c r="HT25" s="2" t="s">
        <v>46</v>
      </c>
      <c r="HU25" s="2" t="s">
        <v>58</v>
      </c>
      <c r="HV25" s="2" t="s">
        <v>57</v>
      </c>
      <c r="HW25" s="2" t="s">
        <v>59</v>
      </c>
      <c r="HX25" s="2" t="s">
        <v>368</v>
      </c>
      <c r="HY25" s="2" t="s">
        <v>43</v>
      </c>
      <c r="HZ25" s="2" t="s">
        <v>47</v>
      </c>
      <c r="IA25" s="2" t="s">
        <v>47</v>
      </c>
      <c r="IB25" s="2" t="s">
        <v>58</v>
      </c>
      <c r="IC25" s="2" t="s">
        <v>58</v>
      </c>
      <c r="ID25" s="2" t="s">
        <v>59</v>
      </c>
      <c r="IE25" s="2" t="s">
        <v>374</v>
      </c>
      <c r="IF25" s="2" t="s">
        <v>43</v>
      </c>
      <c r="IG25" s="2" t="s">
        <v>45</v>
      </c>
      <c r="IH25" s="2" t="s">
        <v>47</v>
      </c>
      <c r="II25" s="2" t="s">
        <v>60</v>
      </c>
      <c r="IJ25" s="2" t="s">
        <v>57</v>
      </c>
      <c r="IK25" s="2" t="s">
        <v>57</v>
      </c>
    </row>
    <row r="26" spans="1:245" x14ac:dyDescent="0.25">
      <c r="A26" s="2" t="s">
        <v>330</v>
      </c>
      <c r="B26" s="2" t="s">
        <v>336</v>
      </c>
      <c r="C26" s="2" t="s">
        <v>339</v>
      </c>
      <c r="D26" s="2" t="s">
        <v>43</v>
      </c>
      <c r="E26" s="2" t="s">
        <v>45</v>
      </c>
      <c r="F26" s="2" t="s">
        <v>45</v>
      </c>
      <c r="G26" s="2" t="s">
        <v>57</v>
      </c>
      <c r="H26" s="2" t="s">
        <v>58</v>
      </c>
      <c r="I26" s="2" t="s">
        <v>59</v>
      </c>
      <c r="J26" s="2" t="s">
        <v>340</v>
      </c>
      <c r="K26" s="2" t="s">
        <v>43</v>
      </c>
      <c r="L26" s="2" t="s">
        <v>46</v>
      </c>
      <c r="M26" s="2" t="s">
        <v>46</v>
      </c>
      <c r="N26" s="2" t="s">
        <v>58</v>
      </c>
      <c r="O26" s="2" t="s">
        <v>57</v>
      </c>
      <c r="P26" s="2" t="s">
        <v>58</v>
      </c>
      <c r="Q26" s="2" t="s">
        <v>341</v>
      </c>
      <c r="R26" s="2" t="s">
        <v>43</v>
      </c>
      <c r="S26" s="2" t="s">
        <v>47</v>
      </c>
      <c r="T26" s="2" t="s">
        <v>47</v>
      </c>
      <c r="U26" s="2" t="s">
        <v>58</v>
      </c>
      <c r="V26" s="2" t="s">
        <v>58</v>
      </c>
      <c r="W26" s="2" t="s">
        <v>58</v>
      </c>
      <c r="X26" s="2" t="s">
        <v>342</v>
      </c>
      <c r="Y26" s="2" t="s">
        <v>346</v>
      </c>
      <c r="Z26" s="2" t="s">
        <v>40</v>
      </c>
      <c r="AA26" s="2" t="s">
        <v>352</v>
      </c>
      <c r="AB26" s="2" t="s">
        <v>44</v>
      </c>
      <c r="AC26" s="2" t="s">
        <v>45</v>
      </c>
      <c r="AD26" s="2" t="s">
        <v>47</v>
      </c>
      <c r="AE26" s="2" t="s">
        <v>57</v>
      </c>
      <c r="AF26" s="2" t="s">
        <v>58</v>
      </c>
      <c r="AG26" s="2" t="s">
        <v>58</v>
      </c>
      <c r="AH26" s="2" t="s">
        <v>358</v>
      </c>
      <c r="AI26" s="2" t="s">
        <v>43</v>
      </c>
      <c r="AJ26" s="2" t="s">
        <v>47</v>
      </c>
      <c r="AK26" s="2" t="s">
        <v>47</v>
      </c>
      <c r="AL26" s="2" t="s">
        <v>57</v>
      </c>
      <c r="AM26" s="2" t="s">
        <v>60</v>
      </c>
      <c r="AN26" s="2" t="s">
        <v>59</v>
      </c>
      <c r="AO26" s="2" t="s">
        <v>364</v>
      </c>
      <c r="AP26" s="2" t="s">
        <v>43</v>
      </c>
      <c r="AQ26" s="2" t="s">
        <v>45</v>
      </c>
      <c r="AR26" s="2" t="s">
        <v>45</v>
      </c>
      <c r="AS26" s="2" t="s">
        <v>60</v>
      </c>
      <c r="AT26" s="2" t="s">
        <v>57</v>
      </c>
      <c r="AU26" s="2" t="s">
        <v>58</v>
      </c>
      <c r="AV26" s="2" t="s">
        <v>370</v>
      </c>
      <c r="AW26" s="2" t="s">
        <v>44</v>
      </c>
      <c r="AX26" s="2" t="s">
        <v>46</v>
      </c>
      <c r="AY26" s="2" t="s">
        <v>45</v>
      </c>
      <c r="AZ26" s="2" t="s">
        <v>60</v>
      </c>
      <c r="BA26" s="2" t="s">
        <v>59</v>
      </c>
      <c r="BB26" s="2" t="s">
        <v>60</v>
      </c>
      <c r="BC26" s="2" t="s">
        <v>372</v>
      </c>
      <c r="BD26" s="2" t="s">
        <v>372</v>
      </c>
      <c r="BE26" s="2" t="s">
        <v>372</v>
      </c>
      <c r="BF26" s="2" t="s">
        <v>372</v>
      </c>
      <c r="BG26" s="2" t="s">
        <v>372</v>
      </c>
      <c r="BH26" s="2" t="s">
        <v>372</v>
      </c>
      <c r="BI26" s="2" t="s">
        <v>372</v>
      </c>
      <c r="BJ26" s="2" t="s">
        <v>39</v>
      </c>
      <c r="BK26" s="2" t="s">
        <v>347</v>
      </c>
      <c r="BL26" s="2" t="s">
        <v>44</v>
      </c>
      <c r="BM26" s="2" t="s">
        <v>47</v>
      </c>
      <c r="BN26" s="2" t="s">
        <v>47</v>
      </c>
      <c r="BO26" s="2" t="s">
        <v>60</v>
      </c>
      <c r="BP26" s="2" t="s">
        <v>59</v>
      </c>
      <c r="BQ26" s="2" t="s">
        <v>58</v>
      </c>
      <c r="BR26" s="2" t="s">
        <v>353</v>
      </c>
      <c r="BS26" s="2" t="s">
        <v>44</v>
      </c>
      <c r="BT26" s="2" t="s">
        <v>47</v>
      </c>
      <c r="BU26" s="2" t="s">
        <v>47</v>
      </c>
      <c r="BV26" s="2" t="s">
        <v>59</v>
      </c>
      <c r="BW26" s="2" t="s">
        <v>58</v>
      </c>
      <c r="BX26" s="2" t="s">
        <v>59</v>
      </c>
      <c r="BY26" s="2" t="s">
        <v>359</v>
      </c>
      <c r="BZ26" s="2" t="s">
        <v>43</v>
      </c>
      <c r="CA26" s="2" t="s">
        <v>47</v>
      </c>
      <c r="CB26" s="2" t="s">
        <v>47</v>
      </c>
      <c r="CC26" s="2" t="s">
        <v>60</v>
      </c>
      <c r="CD26" s="2" t="s">
        <v>57</v>
      </c>
      <c r="CE26" s="2" t="s">
        <v>59</v>
      </c>
      <c r="CF26" s="2" t="s">
        <v>365</v>
      </c>
      <c r="CG26" s="2" t="s">
        <v>44</v>
      </c>
      <c r="CH26" s="2" t="s">
        <v>46</v>
      </c>
      <c r="CI26" s="2" t="s">
        <v>46</v>
      </c>
      <c r="CJ26" s="2" t="s">
        <v>58</v>
      </c>
      <c r="CK26" s="2" t="s">
        <v>58</v>
      </c>
      <c r="CL26" s="2" t="s">
        <v>59</v>
      </c>
      <c r="CM26" s="2" t="s">
        <v>371</v>
      </c>
      <c r="CN26" s="2" t="s">
        <v>43</v>
      </c>
      <c r="CO26" s="2" t="s">
        <v>46</v>
      </c>
      <c r="CP26" s="2" t="s">
        <v>45</v>
      </c>
      <c r="CQ26" s="2" t="s">
        <v>57</v>
      </c>
      <c r="CR26" s="2" t="s">
        <v>60</v>
      </c>
      <c r="CS26" s="2" t="s">
        <v>59</v>
      </c>
      <c r="CT26" s="2" t="s">
        <v>343</v>
      </c>
      <c r="CU26" s="2" t="s">
        <v>346</v>
      </c>
      <c r="CV26" s="2" t="s">
        <v>40</v>
      </c>
      <c r="CW26" s="2" t="s">
        <v>348</v>
      </c>
      <c r="CX26" s="2" t="s">
        <v>44</v>
      </c>
      <c r="CY26" s="2" t="s">
        <v>47</v>
      </c>
      <c r="CZ26" s="2" t="s">
        <v>47</v>
      </c>
      <c r="DA26" s="2" t="s">
        <v>57</v>
      </c>
      <c r="DB26" s="2" t="s">
        <v>57</v>
      </c>
      <c r="DC26" s="2" t="s">
        <v>58</v>
      </c>
      <c r="DD26" s="2" t="s">
        <v>354</v>
      </c>
      <c r="DE26" s="2" t="s">
        <v>44</v>
      </c>
      <c r="DF26" s="2" t="s">
        <v>45</v>
      </c>
      <c r="DG26" s="2" t="s">
        <v>47</v>
      </c>
      <c r="DH26" s="2" t="s">
        <v>59</v>
      </c>
      <c r="DI26" s="2" t="s">
        <v>57</v>
      </c>
      <c r="DJ26" s="2" t="s">
        <v>60</v>
      </c>
      <c r="DK26" s="2" t="s">
        <v>360</v>
      </c>
      <c r="DL26" s="2" t="s">
        <v>44</v>
      </c>
      <c r="DM26" s="2" t="s">
        <v>45</v>
      </c>
      <c r="DN26" s="2" t="s">
        <v>47</v>
      </c>
      <c r="DO26" s="2" t="s">
        <v>60</v>
      </c>
      <c r="DP26" s="2" t="s">
        <v>60</v>
      </c>
      <c r="DQ26" s="2" t="s">
        <v>60</v>
      </c>
      <c r="DR26" s="2" t="s">
        <v>366</v>
      </c>
      <c r="DS26" s="2" t="s">
        <v>43</v>
      </c>
      <c r="DT26" s="2" t="s">
        <v>47</v>
      </c>
      <c r="DU26" s="2" t="s">
        <v>47</v>
      </c>
      <c r="DV26" s="2" t="s">
        <v>60</v>
      </c>
      <c r="DW26" s="2" t="s">
        <v>60</v>
      </c>
      <c r="DX26" s="2" t="s">
        <v>60</v>
      </c>
      <c r="DY26" s="2" t="s">
        <v>372</v>
      </c>
      <c r="DZ26" s="2" t="s">
        <v>372</v>
      </c>
      <c r="EA26" s="2" t="s">
        <v>372</v>
      </c>
      <c r="EB26" s="2" t="s">
        <v>372</v>
      </c>
      <c r="EC26" s="2" t="s">
        <v>372</v>
      </c>
      <c r="ED26" s="2" t="s">
        <v>372</v>
      </c>
      <c r="EE26" s="2" t="s">
        <v>372</v>
      </c>
      <c r="EF26" s="2" t="s">
        <v>39</v>
      </c>
      <c r="EG26" s="2" t="s">
        <v>350</v>
      </c>
      <c r="EH26" s="2" t="s">
        <v>44</v>
      </c>
      <c r="EI26" s="2" t="s">
        <v>45</v>
      </c>
      <c r="EJ26" s="2" t="s">
        <v>45</v>
      </c>
      <c r="EK26" s="2" t="s">
        <v>60</v>
      </c>
      <c r="EL26" s="2" t="s">
        <v>58</v>
      </c>
      <c r="EM26" s="2" t="s">
        <v>57</v>
      </c>
      <c r="EN26" s="2" t="s">
        <v>356</v>
      </c>
      <c r="EO26" s="2" t="s">
        <v>43</v>
      </c>
      <c r="EP26" s="2" t="s">
        <v>46</v>
      </c>
      <c r="EQ26" s="2" t="s">
        <v>45</v>
      </c>
      <c r="ER26" s="2" t="s">
        <v>60</v>
      </c>
      <c r="ES26" s="2" t="s">
        <v>57</v>
      </c>
      <c r="ET26" s="2" t="s">
        <v>60</v>
      </c>
      <c r="EU26" s="2" t="s">
        <v>362</v>
      </c>
      <c r="EV26" s="2" t="s">
        <v>44</v>
      </c>
      <c r="EW26" s="2" t="s">
        <v>46</v>
      </c>
      <c r="EX26" s="2" t="s">
        <v>46</v>
      </c>
      <c r="EY26" s="2" t="s">
        <v>58</v>
      </c>
      <c r="EZ26" s="2" t="s">
        <v>57</v>
      </c>
      <c r="FA26" s="2" t="s">
        <v>59</v>
      </c>
      <c r="FB26" s="2" t="s">
        <v>368</v>
      </c>
      <c r="FC26" s="2" t="s">
        <v>43</v>
      </c>
      <c r="FD26" s="2" t="s">
        <v>47</v>
      </c>
      <c r="FE26" s="2" t="s">
        <v>47</v>
      </c>
      <c r="FF26" s="2" t="s">
        <v>58</v>
      </c>
      <c r="FG26" s="2" t="s">
        <v>58</v>
      </c>
      <c r="FH26" s="2" t="s">
        <v>59</v>
      </c>
      <c r="FI26" s="2" t="s">
        <v>374</v>
      </c>
      <c r="FJ26" s="2" t="s">
        <v>43</v>
      </c>
      <c r="FK26" s="2" t="s">
        <v>45</v>
      </c>
      <c r="FL26" s="2" t="s">
        <v>45</v>
      </c>
      <c r="FM26" s="2" t="s">
        <v>60</v>
      </c>
      <c r="FN26" s="2" t="s">
        <v>57</v>
      </c>
      <c r="FO26" s="2" t="s">
        <v>57</v>
      </c>
      <c r="FP26" s="2" t="s">
        <v>344</v>
      </c>
      <c r="FQ26" s="2" t="s">
        <v>346</v>
      </c>
      <c r="FR26" s="2" t="s">
        <v>40</v>
      </c>
      <c r="FS26" s="2" t="s">
        <v>351</v>
      </c>
      <c r="FT26" s="2" t="s">
        <v>44</v>
      </c>
      <c r="FU26" s="2" t="s">
        <v>45</v>
      </c>
      <c r="FV26" s="2" t="s">
        <v>45</v>
      </c>
      <c r="FW26" s="2" t="s">
        <v>57</v>
      </c>
      <c r="FX26" s="2" t="s">
        <v>58</v>
      </c>
      <c r="FY26" s="2" t="s">
        <v>60</v>
      </c>
      <c r="FZ26" s="2" t="s">
        <v>357</v>
      </c>
      <c r="GA26" s="2" t="s">
        <v>43</v>
      </c>
      <c r="GB26" s="2" t="s">
        <v>47</v>
      </c>
      <c r="GC26" s="2" t="s">
        <v>46</v>
      </c>
      <c r="GD26" s="2" t="s">
        <v>58</v>
      </c>
      <c r="GE26" s="2" t="s">
        <v>57</v>
      </c>
      <c r="GF26" s="2" t="s">
        <v>59</v>
      </c>
      <c r="GG26" s="2" t="s">
        <v>363</v>
      </c>
      <c r="GH26" s="2" t="s">
        <v>43</v>
      </c>
      <c r="GI26" s="2" t="s">
        <v>45</v>
      </c>
      <c r="GJ26" s="2" t="s">
        <v>47</v>
      </c>
      <c r="GK26" s="2" t="s">
        <v>58</v>
      </c>
      <c r="GL26" s="2" t="s">
        <v>58</v>
      </c>
      <c r="GM26" s="2" t="s">
        <v>60</v>
      </c>
      <c r="GN26" s="2" t="s">
        <v>369</v>
      </c>
      <c r="GO26" s="2" t="s">
        <v>43</v>
      </c>
      <c r="GP26" s="2" t="s">
        <v>47</v>
      </c>
      <c r="GQ26" s="2" t="s">
        <v>47</v>
      </c>
      <c r="GR26" s="2" t="s">
        <v>59</v>
      </c>
      <c r="GS26" s="2" t="s">
        <v>57</v>
      </c>
      <c r="GT26" s="2" t="s">
        <v>57</v>
      </c>
      <c r="GU26" s="2" t="s">
        <v>372</v>
      </c>
      <c r="GV26" s="2" t="s">
        <v>372</v>
      </c>
      <c r="GW26" s="2" t="s">
        <v>372</v>
      </c>
      <c r="GX26" s="2" t="s">
        <v>372</v>
      </c>
      <c r="GY26" s="2" t="s">
        <v>372</v>
      </c>
      <c r="GZ26" s="2" t="s">
        <v>372</v>
      </c>
      <c r="HA26" s="2" t="s">
        <v>372</v>
      </c>
      <c r="HB26" s="2" t="s">
        <v>39</v>
      </c>
      <c r="HC26" s="2" t="s">
        <v>349</v>
      </c>
      <c r="HD26" s="2" t="s">
        <v>43</v>
      </c>
      <c r="HE26" s="2" t="s">
        <v>47</v>
      </c>
      <c r="HF26" s="2" t="s">
        <v>47</v>
      </c>
      <c r="HG26" s="2" t="s">
        <v>59</v>
      </c>
      <c r="HH26" s="2" t="s">
        <v>59</v>
      </c>
      <c r="HI26" s="2" t="s">
        <v>58</v>
      </c>
      <c r="HJ26" s="2" t="s">
        <v>355</v>
      </c>
      <c r="HK26" s="2" t="s">
        <v>43</v>
      </c>
      <c r="HL26" s="2" t="s">
        <v>47</v>
      </c>
      <c r="HM26" s="2" t="s">
        <v>46</v>
      </c>
      <c r="HN26" s="2" t="s">
        <v>59</v>
      </c>
      <c r="HO26" s="2" t="s">
        <v>60</v>
      </c>
      <c r="HP26" s="2" t="s">
        <v>60</v>
      </c>
      <c r="HQ26" s="2" t="s">
        <v>361</v>
      </c>
      <c r="HR26" s="2" t="s">
        <v>44</v>
      </c>
      <c r="HS26" s="2" t="s">
        <v>47</v>
      </c>
      <c r="HT26" s="2" t="s">
        <v>47</v>
      </c>
      <c r="HU26" s="2" t="s">
        <v>59</v>
      </c>
      <c r="HV26" s="2" t="s">
        <v>60</v>
      </c>
      <c r="HW26" s="2" t="s">
        <v>57</v>
      </c>
      <c r="HX26" s="2" t="s">
        <v>367</v>
      </c>
      <c r="HY26" s="2" t="s">
        <v>43</v>
      </c>
      <c r="HZ26" s="2" t="s">
        <v>46</v>
      </c>
      <c r="IA26" s="2" t="s">
        <v>46</v>
      </c>
      <c r="IB26" s="2" t="s">
        <v>58</v>
      </c>
      <c r="IC26" s="2" t="s">
        <v>59</v>
      </c>
      <c r="ID26" s="2" t="s">
        <v>58</v>
      </c>
      <c r="IE26" s="2" t="s">
        <v>373</v>
      </c>
      <c r="IF26" s="2" t="s">
        <v>44</v>
      </c>
      <c r="IG26" s="2" t="s">
        <v>46</v>
      </c>
      <c r="IH26" s="2" t="s">
        <v>46</v>
      </c>
      <c r="II26" s="2" t="s">
        <v>58</v>
      </c>
      <c r="IJ26" s="2" t="s">
        <v>58</v>
      </c>
      <c r="IK26" s="2" t="s">
        <v>57</v>
      </c>
    </row>
    <row r="27" spans="1:245" x14ac:dyDescent="0.25">
      <c r="A27" s="2" t="s">
        <v>331</v>
      </c>
      <c r="B27" s="2" t="s">
        <v>337</v>
      </c>
      <c r="C27" s="2" t="s">
        <v>339</v>
      </c>
      <c r="D27" s="2" t="s">
        <v>43</v>
      </c>
      <c r="E27" s="2" t="s">
        <v>45</v>
      </c>
      <c r="F27" s="2" t="s">
        <v>45</v>
      </c>
      <c r="G27" s="2" t="s">
        <v>57</v>
      </c>
      <c r="H27" s="2" t="s">
        <v>58</v>
      </c>
      <c r="I27" s="2" t="s">
        <v>59</v>
      </c>
      <c r="J27" s="2" t="s">
        <v>340</v>
      </c>
      <c r="K27" s="2" t="s">
        <v>43</v>
      </c>
      <c r="L27" s="2" t="s">
        <v>46</v>
      </c>
      <c r="M27" s="2" t="s">
        <v>46</v>
      </c>
      <c r="N27" s="2" t="s">
        <v>58</v>
      </c>
      <c r="O27" s="2" t="s">
        <v>57</v>
      </c>
      <c r="P27" s="2" t="s">
        <v>58</v>
      </c>
      <c r="Q27" s="2" t="s">
        <v>341</v>
      </c>
      <c r="R27" s="2" t="s">
        <v>43</v>
      </c>
      <c r="S27" s="2" t="s">
        <v>47</v>
      </c>
      <c r="T27" s="2" t="s">
        <v>47</v>
      </c>
      <c r="U27" s="2" t="s">
        <v>58</v>
      </c>
      <c r="V27" s="2" t="s">
        <v>58</v>
      </c>
      <c r="W27" s="2" t="s">
        <v>58</v>
      </c>
      <c r="X27" s="2" t="s">
        <v>343</v>
      </c>
      <c r="Y27" s="2" t="s">
        <v>346</v>
      </c>
      <c r="Z27" s="2" t="s">
        <v>40</v>
      </c>
      <c r="AA27" s="2" t="s">
        <v>348</v>
      </c>
      <c r="AB27" s="2" t="s">
        <v>44</v>
      </c>
      <c r="AC27" s="2" t="s">
        <v>47</v>
      </c>
      <c r="AD27" s="2" t="s">
        <v>47</v>
      </c>
      <c r="AE27" s="2" t="s">
        <v>57</v>
      </c>
      <c r="AF27" s="2" t="s">
        <v>57</v>
      </c>
      <c r="AG27" s="2" t="s">
        <v>58</v>
      </c>
      <c r="AH27" s="2" t="s">
        <v>354</v>
      </c>
      <c r="AI27" s="2" t="s">
        <v>44</v>
      </c>
      <c r="AJ27" s="2" t="s">
        <v>45</v>
      </c>
      <c r="AK27" s="2" t="s">
        <v>45</v>
      </c>
      <c r="AL27" s="2" t="s">
        <v>59</v>
      </c>
      <c r="AM27" s="2" t="s">
        <v>57</v>
      </c>
      <c r="AN27" s="2" t="s">
        <v>60</v>
      </c>
      <c r="AO27" s="2" t="s">
        <v>360</v>
      </c>
      <c r="AP27" s="2" t="s">
        <v>44</v>
      </c>
      <c r="AQ27" s="2" t="s">
        <v>45</v>
      </c>
      <c r="AR27" s="2" t="s">
        <v>47</v>
      </c>
      <c r="AS27" s="2" t="s">
        <v>60</v>
      </c>
      <c r="AT27" s="2" t="s">
        <v>60</v>
      </c>
      <c r="AU27" s="2" t="s">
        <v>60</v>
      </c>
      <c r="AV27" s="2" t="s">
        <v>366</v>
      </c>
      <c r="AW27" s="2" t="s">
        <v>43</v>
      </c>
      <c r="AX27" s="2" t="s">
        <v>47</v>
      </c>
      <c r="AY27" s="2" t="s">
        <v>46</v>
      </c>
      <c r="AZ27" s="2" t="s">
        <v>60</v>
      </c>
      <c r="BA27" s="2" t="s">
        <v>60</v>
      </c>
      <c r="BB27" s="2" t="s">
        <v>60</v>
      </c>
      <c r="BC27" s="2" t="s">
        <v>372</v>
      </c>
      <c r="BD27" s="2" t="s">
        <v>372</v>
      </c>
      <c r="BE27" s="2" t="s">
        <v>372</v>
      </c>
      <c r="BF27" s="2" t="s">
        <v>372</v>
      </c>
      <c r="BG27" s="2" t="s">
        <v>372</v>
      </c>
      <c r="BH27" s="2" t="s">
        <v>372</v>
      </c>
      <c r="BI27" s="2" t="s">
        <v>372</v>
      </c>
      <c r="BJ27" s="2" t="s">
        <v>39</v>
      </c>
      <c r="BK27" s="2" t="s">
        <v>350</v>
      </c>
      <c r="BL27" s="2" t="s">
        <v>44</v>
      </c>
      <c r="BM27" s="2" t="s">
        <v>45</v>
      </c>
      <c r="BN27" s="2" t="s">
        <v>45</v>
      </c>
      <c r="BO27" s="2" t="s">
        <v>60</v>
      </c>
      <c r="BP27" s="2" t="s">
        <v>58</v>
      </c>
      <c r="BQ27" s="2" t="s">
        <v>57</v>
      </c>
      <c r="BR27" s="2" t="s">
        <v>356</v>
      </c>
      <c r="BS27" s="2" t="s">
        <v>43</v>
      </c>
      <c r="BT27" s="2" t="s">
        <v>46</v>
      </c>
      <c r="BU27" s="2" t="s">
        <v>46</v>
      </c>
      <c r="BV27" s="2" t="s">
        <v>60</v>
      </c>
      <c r="BW27" s="2" t="s">
        <v>57</v>
      </c>
      <c r="BX27" s="2" t="s">
        <v>60</v>
      </c>
      <c r="BY27" s="2" t="s">
        <v>362</v>
      </c>
      <c r="BZ27" s="2" t="s">
        <v>44</v>
      </c>
      <c r="CA27" s="2" t="s">
        <v>46</v>
      </c>
      <c r="CB27" s="2" t="s">
        <v>45</v>
      </c>
      <c r="CC27" s="2" t="s">
        <v>58</v>
      </c>
      <c r="CD27" s="2" t="s">
        <v>57</v>
      </c>
      <c r="CE27" s="2" t="s">
        <v>59</v>
      </c>
      <c r="CF27" s="2" t="s">
        <v>368</v>
      </c>
      <c r="CG27" s="2" t="s">
        <v>43</v>
      </c>
      <c r="CH27" s="2" t="s">
        <v>47</v>
      </c>
      <c r="CI27" s="2" t="s">
        <v>47</v>
      </c>
      <c r="CJ27" s="2" t="s">
        <v>58</v>
      </c>
      <c r="CK27" s="2" t="s">
        <v>58</v>
      </c>
      <c r="CL27" s="2" t="s">
        <v>59</v>
      </c>
      <c r="CM27" s="2" t="s">
        <v>374</v>
      </c>
      <c r="CN27" s="2" t="s">
        <v>43</v>
      </c>
      <c r="CO27" s="2" t="s">
        <v>45</v>
      </c>
      <c r="CP27" s="2" t="s">
        <v>45</v>
      </c>
      <c r="CQ27" s="2" t="s">
        <v>60</v>
      </c>
      <c r="CR27" s="2" t="s">
        <v>57</v>
      </c>
      <c r="CS27" s="2" t="s">
        <v>57</v>
      </c>
      <c r="CT27" s="2" t="s">
        <v>344</v>
      </c>
      <c r="CU27" s="2" t="s">
        <v>346</v>
      </c>
      <c r="CV27" s="2" t="s">
        <v>40</v>
      </c>
      <c r="CW27" s="2" t="s">
        <v>351</v>
      </c>
      <c r="CX27" s="2" t="s">
        <v>44</v>
      </c>
      <c r="CY27" s="2" t="s">
        <v>45</v>
      </c>
      <c r="CZ27" s="2" t="s">
        <v>47</v>
      </c>
      <c r="DA27" s="2" t="s">
        <v>57</v>
      </c>
      <c r="DB27" s="2" t="s">
        <v>58</v>
      </c>
      <c r="DC27" s="2" t="s">
        <v>60</v>
      </c>
      <c r="DD27" s="2" t="s">
        <v>357</v>
      </c>
      <c r="DE27" s="2" t="s">
        <v>43</v>
      </c>
      <c r="DF27" s="2" t="s">
        <v>47</v>
      </c>
      <c r="DG27" s="2" t="s">
        <v>47</v>
      </c>
      <c r="DH27" s="2" t="s">
        <v>58</v>
      </c>
      <c r="DI27" s="2" t="s">
        <v>57</v>
      </c>
      <c r="DJ27" s="2" t="s">
        <v>59</v>
      </c>
      <c r="DK27" s="2" t="s">
        <v>363</v>
      </c>
      <c r="DL27" s="2" t="s">
        <v>43</v>
      </c>
      <c r="DM27" s="2" t="s">
        <v>45</v>
      </c>
      <c r="DN27" s="2" t="s">
        <v>45</v>
      </c>
      <c r="DO27" s="2" t="s">
        <v>58</v>
      </c>
      <c r="DP27" s="2" t="s">
        <v>58</v>
      </c>
      <c r="DQ27" s="2" t="s">
        <v>60</v>
      </c>
      <c r="DR27" s="2" t="s">
        <v>369</v>
      </c>
      <c r="DS27" s="2" t="s">
        <v>43</v>
      </c>
      <c r="DT27" s="2" t="s">
        <v>47</v>
      </c>
      <c r="DU27" s="2" t="s">
        <v>46</v>
      </c>
      <c r="DV27" s="2" t="s">
        <v>59</v>
      </c>
      <c r="DW27" s="2" t="s">
        <v>57</v>
      </c>
      <c r="DX27" s="2" t="s">
        <v>57</v>
      </c>
      <c r="DY27" s="2" t="s">
        <v>372</v>
      </c>
      <c r="DZ27" s="2" t="s">
        <v>372</v>
      </c>
      <c r="EA27" s="2" t="s">
        <v>372</v>
      </c>
      <c r="EB27" s="2" t="s">
        <v>372</v>
      </c>
      <c r="EC27" s="2" t="s">
        <v>372</v>
      </c>
      <c r="ED27" s="2" t="s">
        <v>372</v>
      </c>
      <c r="EE27" s="2" t="s">
        <v>372</v>
      </c>
      <c r="EF27" s="2" t="s">
        <v>39</v>
      </c>
      <c r="EG27" s="2" t="s">
        <v>349</v>
      </c>
      <c r="EH27" s="2" t="s">
        <v>43</v>
      </c>
      <c r="EI27" s="2" t="s">
        <v>47</v>
      </c>
      <c r="EJ27" s="2" t="s">
        <v>46</v>
      </c>
      <c r="EK27" s="2" t="s">
        <v>59</v>
      </c>
      <c r="EL27" s="2" t="s">
        <v>59</v>
      </c>
      <c r="EM27" s="2" t="s">
        <v>58</v>
      </c>
      <c r="EN27" s="2" t="s">
        <v>355</v>
      </c>
      <c r="EO27" s="2" t="s">
        <v>43</v>
      </c>
      <c r="EP27" s="2" t="s">
        <v>47</v>
      </c>
      <c r="EQ27" s="2" t="s">
        <v>47</v>
      </c>
      <c r="ER27" s="2" t="s">
        <v>59</v>
      </c>
      <c r="ES27" s="2" t="s">
        <v>60</v>
      </c>
      <c r="ET27" s="2" t="s">
        <v>60</v>
      </c>
      <c r="EU27" s="2" t="s">
        <v>361</v>
      </c>
      <c r="EV27" s="2" t="s">
        <v>44</v>
      </c>
      <c r="EW27" s="2" t="s">
        <v>47</v>
      </c>
      <c r="EX27" s="2" t="s">
        <v>47</v>
      </c>
      <c r="EY27" s="2" t="s">
        <v>59</v>
      </c>
      <c r="EZ27" s="2" t="s">
        <v>60</v>
      </c>
      <c r="FA27" s="2" t="s">
        <v>57</v>
      </c>
      <c r="FB27" s="2" t="s">
        <v>367</v>
      </c>
      <c r="FC27" s="2" t="s">
        <v>43</v>
      </c>
      <c r="FD27" s="2" t="s">
        <v>46</v>
      </c>
      <c r="FE27" s="2" t="s">
        <v>46</v>
      </c>
      <c r="FF27" s="2" t="s">
        <v>58</v>
      </c>
      <c r="FG27" s="2" t="s">
        <v>59</v>
      </c>
      <c r="FH27" s="2" t="s">
        <v>58</v>
      </c>
      <c r="FI27" s="2" t="s">
        <v>373</v>
      </c>
      <c r="FJ27" s="2" t="s">
        <v>44</v>
      </c>
      <c r="FK27" s="2" t="s">
        <v>46</v>
      </c>
      <c r="FL27" s="2" t="s">
        <v>46</v>
      </c>
      <c r="FM27" s="2" t="s">
        <v>58</v>
      </c>
      <c r="FN27" s="2" t="s">
        <v>58</v>
      </c>
      <c r="FO27" s="2" t="s">
        <v>57</v>
      </c>
      <c r="FP27" s="2" t="s">
        <v>342</v>
      </c>
      <c r="FQ27" s="2" t="s">
        <v>345</v>
      </c>
      <c r="FR27" s="2" t="s">
        <v>39</v>
      </c>
      <c r="FS27" s="2" t="s">
        <v>347</v>
      </c>
      <c r="FT27" s="2" t="s">
        <v>44</v>
      </c>
      <c r="FU27" s="2" t="s">
        <v>47</v>
      </c>
      <c r="FV27" s="2" t="s">
        <v>46</v>
      </c>
      <c r="FW27" s="2" t="s">
        <v>60</v>
      </c>
      <c r="FX27" s="2" t="s">
        <v>59</v>
      </c>
      <c r="FY27" s="2" t="s">
        <v>58</v>
      </c>
      <c r="FZ27" s="2" t="s">
        <v>353</v>
      </c>
      <c r="GA27" s="2" t="s">
        <v>44</v>
      </c>
      <c r="GB27" s="2" t="s">
        <v>47</v>
      </c>
      <c r="GC27" s="2" t="s">
        <v>47</v>
      </c>
      <c r="GD27" s="2" t="s">
        <v>59</v>
      </c>
      <c r="GE27" s="2" t="s">
        <v>58</v>
      </c>
      <c r="GF27" s="2" t="s">
        <v>59</v>
      </c>
      <c r="GG27" s="2" t="s">
        <v>359</v>
      </c>
      <c r="GH27" s="2" t="s">
        <v>43</v>
      </c>
      <c r="GI27" s="2" t="s">
        <v>47</v>
      </c>
      <c r="GJ27" s="2" t="s">
        <v>47</v>
      </c>
      <c r="GK27" s="2" t="s">
        <v>60</v>
      </c>
      <c r="GL27" s="2" t="s">
        <v>57</v>
      </c>
      <c r="GM27" s="2" t="s">
        <v>59</v>
      </c>
      <c r="GN27" s="2" t="s">
        <v>365</v>
      </c>
      <c r="GO27" s="2" t="s">
        <v>44</v>
      </c>
      <c r="GP27" s="2" t="s">
        <v>46</v>
      </c>
      <c r="GQ27" s="2" t="s">
        <v>46</v>
      </c>
      <c r="GR27" s="2" t="s">
        <v>58</v>
      </c>
      <c r="GS27" s="2" t="s">
        <v>58</v>
      </c>
      <c r="GT27" s="2" t="s">
        <v>59</v>
      </c>
      <c r="GU27" s="2" t="s">
        <v>371</v>
      </c>
      <c r="GV27" s="2" t="s">
        <v>43</v>
      </c>
      <c r="GW27" s="2" t="s">
        <v>46</v>
      </c>
      <c r="GX27" s="2" t="s">
        <v>46</v>
      </c>
      <c r="GY27" s="2" t="s">
        <v>57</v>
      </c>
      <c r="GZ27" s="2" t="s">
        <v>60</v>
      </c>
      <c r="HA27" s="2" t="s">
        <v>59</v>
      </c>
      <c r="HB27" s="2" t="s">
        <v>40</v>
      </c>
      <c r="HC27" s="2" t="s">
        <v>352</v>
      </c>
      <c r="HD27" s="2" t="s">
        <v>44</v>
      </c>
      <c r="HE27" s="2" t="s">
        <v>45</v>
      </c>
      <c r="HF27" s="2" t="s">
        <v>45</v>
      </c>
      <c r="HG27" s="2" t="s">
        <v>57</v>
      </c>
      <c r="HH27" s="2" t="s">
        <v>58</v>
      </c>
      <c r="HI27" s="2" t="s">
        <v>58</v>
      </c>
      <c r="HJ27" s="2" t="s">
        <v>358</v>
      </c>
      <c r="HK27" s="2" t="s">
        <v>43</v>
      </c>
      <c r="HL27" s="2" t="s">
        <v>47</v>
      </c>
      <c r="HM27" s="2" t="s">
        <v>46</v>
      </c>
      <c r="HN27" s="2" t="s">
        <v>57</v>
      </c>
      <c r="HO27" s="2" t="s">
        <v>60</v>
      </c>
      <c r="HP27" s="2" t="s">
        <v>59</v>
      </c>
      <c r="HQ27" s="2" t="s">
        <v>364</v>
      </c>
      <c r="HR27" s="2" t="s">
        <v>43</v>
      </c>
      <c r="HS27" s="2" t="s">
        <v>45</v>
      </c>
      <c r="HT27" s="2" t="s">
        <v>45</v>
      </c>
      <c r="HU27" s="2" t="s">
        <v>60</v>
      </c>
      <c r="HV27" s="2" t="s">
        <v>57</v>
      </c>
      <c r="HW27" s="2" t="s">
        <v>58</v>
      </c>
      <c r="HX27" s="2" t="s">
        <v>370</v>
      </c>
      <c r="HY27" s="2" t="s">
        <v>44</v>
      </c>
      <c r="HZ27" s="2" t="s">
        <v>46</v>
      </c>
      <c r="IA27" s="2" t="s">
        <v>45</v>
      </c>
      <c r="IB27" s="2" t="s">
        <v>60</v>
      </c>
      <c r="IC27" s="2" t="s">
        <v>59</v>
      </c>
      <c r="ID27" s="2" t="s">
        <v>60</v>
      </c>
      <c r="IE27" s="2" t="s">
        <v>372</v>
      </c>
      <c r="IF27" s="2" t="s">
        <v>372</v>
      </c>
      <c r="IG27" s="2" t="s">
        <v>372</v>
      </c>
      <c r="IH27" s="2" t="s">
        <v>372</v>
      </c>
      <c r="II27" s="2" t="s">
        <v>372</v>
      </c>
      <c r="IJ27" s="2" t="s">
        <v>372</v>
      </c>
      <c r="IK27" s="2" t="s">
        <v>372</v>
      </c>
    </row>
    <row r="28" spans="1:245" x14ac:dyDescent="0.25">
      <c r="A28" s="2" t="s">
        <v>332</v>
      </c>
      <c r="B28" s="2" t="s">
        <v>338</v>
      </c>
      <c r="C28" s="2" t="s">
        <v>339</v>
      </c>
      <c r="D28" s="2" t="s">
        <v>43</v>
      </c>
      <c r="E28" s="2" t="s">
        <v>45</v>
      </c>
      <c r="F28" s="2" t="s">
        <v>45</v>
      </c>
      <c r="G28" s="2" t="s">
        <v>57</v>
      </c>
      <c r="H28" s="2" t="s">
        <v>58</v>
      </c>
      <c r="I28" s="2" t="s">
        <v>59</v>
      </c>
      <c r="J28" s="2" t="s">
        <v>340</v>
      </c>
      <c r="K28" s="2" t="s">
        <v>43</v>
      </c>
      <c r="L28" s="2" t="s">
        <v>46</v>
      </c>
      <c r="M28" s="2" t="s">
        <v>46</v>
      </c>
      <c r="N28" s="2" t="s">
        <v>58</v>
      </c>
      <c r="O28" s="2" t="s">
        <v>57</v>
      </c>
      <c r="P28" s="2" t="s">
        <v>58</v>
      </c>
      <c r="Q28" s="2" t="s">
        <v>341</v>
      </c>
      <c r="R28" s="2" t="s">
        <v>43</v>
      </c>
      <c r="S28" s="2" t="s">
        <v>47</v>
      </c>
      <c r="T28" s="2" t="s">
        <v>47</v>
      </c>
      <c r="U28" s="2" t="s">
        <v>58</v>
      </c>
      <c r="V28" s="2" t="s">
        <v>58</v>
      </c>
      <c r="W28" s="2" t="s">
        <v>58</v>
      </c>
      <c r="X28" s="2" t="s">
        <v>344</v>
      </c>
      <c r="Y28" s="2" t="s">
        <v>346</v>
      </c>
      <c r="Z28" s="2" t="s">
        <v>40</v>
      </c>
      <c r="AA28" s="2" t="s">
        <v>351</v>
      </c>
      <c r="AB28" s="2" t="s">
        <v>44</v>
      </c>
      <c r="AC28" s="2" t="s">
        <v>45</v>
      </c>
      <c r="AD28" s="2" t="s">
        <v>47</v>
      </c>
      <c r="AE28" s="2" t="s">
        <v>57</v>
      </c>
      <c r="AF28" s="2" t="s">
        <v>58</v>
      </c>
      <c r="AG28" s="2" t="s">
        <v>60</v>
      </c>
      <c r="AH28" s="2" t="s">
        <v>357</v>
      </c>
      <c r="AI28" s="2" t="s">
        <v>43</v>
      </c>
      <c r="AJ28" s="2" t="s">
        <v>47</v>
      </c>
      <c r="AK28" s="2" t="s">
        <v>47</v>
      </c>
      <c r="AL28" s="2" t="s">
        <v>58</v>
      </c>
      <c r="AM28" s="2" t="s">
        <v>57</v>
      </c>
      <c r="AN28" s="2" t="s">
        <v>59</v>
      </c>
      <c r="AO28" s="2" t="s">
        <v>363</v>
      </c>
      <c r="AP28" s="2" t="s">
        <v>43</v>
      </c>
      <c r="AQ28" s="2" t="s">
        <v>45</v>
      </c>
      <c r="AR28" s="2" t="s">
        <v>47</v>
      </c>
      <c r="AS28" s="2" t="s">
        <v>58</v>
      </c>
      <c r="AT28" s="2" t="s">
        <v>58</v>
      </c>
      <c r="AU28" s="2" t="s">
        <v>60</v>
      </c>
      <c r="AV28" s="2" t="s">
        <v>369</v>
      </c>
      <c r="AW28" s="2" t="s">
        <v>43</v>
      </c>
      <c r="AX28" s="2" t="s">
        <v>47</v>
      </c>
      <c r="AY28" s="2" t="s">
        <v>47</v>
      </c>
      <c r="AZ28" s="2" t="s">
        <v>59</v>
      </c>
      <c r="BA28" s="2" t="s">
        <v>57</v>
      </c>
      <c r="BB28" s="2" t="s">
        <v>57</v>
      </c>
      <c r="BC28" s="2" t="s">
        <v>372</v>
      </c>
      <c r="BD28" s="2" t="s">
        <v>372</v>
      </c>
      <c r="BE28" s="2" t="s">
        <v>372</v>
      </c>
      <c r="BF28" s="2" t="s">
        <v>372</v>
      </c>
      <c r="BG28" s="2" t="s">
        <v>372</v>
      </c>
      <c r="BH28" s="2" t="s">
        <v>372</v>
      </c>
      <c r="BI28" s="2" t="s">
        <v>372</v>
      </c>
      <c r="BJ28" s="2" t="s">
        <v>39</v>
      </c>
      <c r="BK28" s="2" t="s">
        <v>349</v>
      </c>
      <c r="BL28" s="2" t="s">
        <v>43</v>
      </c>
      <c r="BM28" s="2" t="s">
        <v>47</v>
      </c>
      <c r="BN28" s="2" t="s">
        <v>47</v>
      </c>
      <c r="BO28" s="2" t="s">
        <v>59</v>
      </c>
      <c r="BP28" s="2" t="s">
        <v>59</v>
      </c>
      <c r="BQ28" s="2" t="s">
        <v>58</v>
      </c>
      <c r="BR28" s="2" t="s">
        <v>355</v>
      </c>
      <c r="BS28" s="2" t="s">
        <v>43</v>
      </c>
      <c r="BT28" s="2" t="s">
        <v>47</v>
      </c>
      <c r="BU28" s="2" t="s">
        <v>47</v>
      </c>
      <c r="BV28" s="2" t="s">
        <v>59</v>
      </c>
      <c r="BW28" s="2" t="s">
        <v>60</v>
      </c>
      <c r="BX28" s="2" t="s">
        <v>60</v>
      </c>
      <c r="BY28" s="2" t="s">
        <v>361</v>
      </c>
      <c r="BZ28" s="2" t="s">
        <v>44</v>
      </c>
      <c r="CA28" s="2" t="s">
        <v>47</v>
      </c>
      <c r="CB28" s="2" t="s">
        <v>47</v>
      </c>
      <c r="CC28" s="2" t="s">
        <v>59</v>
      </c>
      <c r="CD28" s="2" t="s">
        <v>60</v>
      </c>
      <c r="CE28" s="2" t="s">
        <v>57</v>
      </c>
      <c r="CF28" s="2" t="s">
        <v>367</v>
      </c>
      <c r="CG28" s="2" t="s">
        <v>43</v>
      </c>
      <c r="CH28" s="2" t="s">
        <v>46</v>
      </c>
      <c r="CI28" s="2" t="s">
        <v>46</v>
      </c>
      <c r="CJ28" s="2" t="s">
        <v>58</v>
      </c>
      <c r="CK28" s="2" t="s">
        <v>59</v>
      </c>
      <c r="CL28" s="2" t="s">
        <v>58</v>
      </c>
      <c r="CM28" s="2" t="s">
        <v>373</v>
      </c>
      <c r="CN28" s="2" t="s">
        <v>44</v>
      </c>
      <c r="CO28" s="2" t="s">
        <v>46</v>
      </c>
      <c r="CP28" s="2" t="s">
        <v>45</v>
      </c>
      <c r="CQ28" s="2" t="s">
        <v>58</v>
      </c>
      <c r="CR28" s="2" t="s">
        <v>58</v>
      </c>
      <c r="CS28" s="2" t="s">
        <v>57</v>
      </c>
      <c r="CT28" s="2" t="s">
        <v>342</v>
      </c>
      <c r="CU28" s="2" t="s">
        <v>346</v>
      </c>
      <c r="CV28" s="2" t="s">
        <v>40</v>
      </c>
      <c r="CW28" s="2" t="s">
        <v>352</v>
      </c>
      <c r="CX28" s="2" t="s">
        <v>44</v>
      </c>
      <c r="CY28" s="2" t="s">
        <v>45</v>
      </c>
      <c r="CZ28" s="2" t="s">
        <v>45</v>
      </c>
      <c r="DA28" s="2" t="s">
        <v>57</v>
      </c>
      <c r="DB28" s="2" t="s">
        <v>58</v>
      </c>
      <c r="DC28" s="2" t="s">
        <v>58</v>
      </c>
      <c r="DD28" s="2" t="s">
        <v>358</v>
      </c>
      <c r="DE28" s="2" t="s">
        <v>43</v>
      </c>
      <c r="DF28" s="2" t="s">
        <v>47</v>
      </c>
      <c r="DG28" s="2" t="s">
        <v>46</v>
      </c>
      <c r="DH28" s="2" t="s">
        <v>57</v>
      </c>
      <c r="DI28" s="2" t="s">
        <v>60</v>
      </c>
      <c r="DJ28" s="2" t="s">
        <v>59</v>
      </c>
      <c r="DK28" s="2" t="s">
        <v>364</v>
      </c>
      <c r="DL28" s="2" t="s">
        <v>43</v>
      </c>
      <c r="DM28" s="2" t="s">
        <v>45</v>
      </c>
      <c r="DN28" s="2" t="s">
        <v>45</v>
      </c>
      <c r="DO28" s="2" t="s">
        <v>60</v>
      </c>
      <c r="DP28" s="2" t="s">
        <v>57</v>
      </c>
      <c r="DQ28" s="2" t="s">
        <v>58</v>
      </c>
      <c r="DR28" s="2" t="s">
        <v>370</v>
      </c>
      <c r="DS28" s="2" t="s">
        <v>44</v>
      </c>
      <c r="DT28" s="2" t="s">
        <v>46</v>
      </c>
      <c r="DU28" s="2" t="s">
        <v>45</v>
      </c>
      <c r="DV28" s="2" t="s">
        <v>60</v>
      </c>
      <c r="DW28" s="2" t="s">
        <v>59</v>
      </c>
      <c r="DX28" s="2" t="s">
        <v>60</v>
      </c>
      <c r="DY28" s="2" t="s">
        <v>372</v>
      </c>
      <c r="DZ28" s="2" t="s">
        <v>372</v>
      </c>
      <c r="EA28" s="2" t="s">
        <v>372</v>
      </c>
      <c r="EB28" s="2" t="s">
        <v>372</v>
      </c>
      <c r="EC28" s="2" t="s">
        <v>372</v>
      </c>
      <c r="ED28" s="2" t="s">
        <v>372</v>
      </c>
      <c r="EE28" s="2" t="s">
        <v>372</v>
      </c>
      <c r="EF28" s="2" t="s">
        <v>39</v>
      </c>
      <c r="EG28" s="2" t="s">
        <v>347</v>
      </c>
      <c r="EH28" s="2" t="s">
        <v>44</v>
      </c>
      <c r="EI28" s="2" t="s">
        <v>47</v>
      </c>
      <c r="EJ28" s="2" t="s">
        <v>46</v>
      </c>
      <c r="EK28" s="2" t="s">
        <v>60</v>
      </c>
      <c r="EL28" s="2" t="s">
        <v>59</v>
      </c>
      <c r="EM28" s="2" t="s">
        <v>58</v>
      </c>
      <c r="EN28" s="2" t="s">
        <v>353</v>
      </c>
      <c r="EO28" s="2" t="s">
        <v>44</v>
      </c>
      <c r="EP28" s="2" t="s">
        <v>47</v>
      </c>
      <c r="EQ28" s="2" t="s">
        <v>47</v>
      </c>
      <c r="ER28" s="2" t="s">
        <v>59</v>
      </c>
      <c r="ES28" s="2" t="s">
        <v>58</v>
      </c>
      <c r="ET28" s="2" t="s">
        <v>59</v>
      </c>
      <c r="EU28" s="2" t="s">
        <v>359</v>
      </c>
      <c r="EV28" s="2" t="s">
        <v>43</v>
      </c>
      <c r="EW28" s="2" t="s">
        <v>47</v>
      </c>
      <c r="EX28" s="2" t="s">
        <v>47</v>
      </c>
      <c r="EY28" s="2" t="s">
        <v>60</v>
      </c>
      <c r="EZ28" s="2" t="s">
        <v>57</v>
      </c>
      <c r="FA28" s="2" t="s">
        <v>59</v>
      </c>
      <c r="FB28" s="2" t="s">
        <v>365</v>
      </c>
      <c r="FC28" s="2" t="s">
        <v>44</v>
      </c>
      <c r="FD28" s="2" t="s">
        <v>46</v>
      </c>
      <c r="FE28" s="2" t="s">
        <v>46</v>
      </c>
      <c r="FF28" s="2" t="s">
        <v>58</v>
      </c>
      <c r="FG28" s="2" t="s">
        <v>58</v>
      </c>
      <c r="FH28" s="2" t="s">
        <v>59</v>
      </c>
      <c r="FI28" s="2" t="s">
        <v>371</v>
      </c>
      <c r="FJ28" s="2" t="s">
        <v>43</v>
      </c>
      <c r="FK28" s="2" t="s">
        <v>46</v>
      </c>
      <c r="FL28" s="2" t="s">
        <v>46</v>
      </c>
      <c r="FM28" s="2" t="s">
        <v>57</v>
      </c>
      <c r="FN28" s="2" t="s">
        <v>60</v>
      </c>
      <c r="FO28" s="2" t="s">
        <v>59</v>
      </c>
      <c r="FP28" s="2" t="s">
        <v>343</v>
      </c>
      <c r="FQ28" s="2" t="s">
        <v>346</v>
      </c>
      <c r="FR28" s="2" t="s">
        <v>40</v>
      </c>
      <c r="FS28" s="2" t="s">
        <v>348</v>
      </c>
      <c r="FT28" s="2" t="s">
        <v>44</v>
      </c>
      <c r="FU28" s="2" t="s">
        <v>47</v>
      </c>
      <c r="FV28" s="2" t="s">
        <v>47</v>
      </c>
      <c r="FW28" s="2" t="s">
        <v>57</v>
      </c>
      <c r="FX28" s="2" t="s">
        <v>57</v>
      </c>
      <c r="FY28" s="2" t="s">
        <v>58</v>
      </c>
      <c r="FZ28" s="2" t="s">
        <v>354</v>
      </c>
      <c r="GA28" s="2" t="s">
        <v>44</v>
      </c>
      <c r="GB28" s="2" t="s">
        <v>45</v>
      </c>
      <c r="GC28" s="2" t="s">
        <v>47</v>
      </c>
      <c r="GD28" s="2" t="s">
        <v>59</v>
      </c>
      <c r="GE28" s="2" t="s">
        <v>57</v>
      </c>
      <c r="GF28" s="2" t="s">
        <v>60</v>
      </c>
      <c r="GG28" s="2" t="s">
        <v>360</v>
      </c>
      <c r="GH28" s="2" t="s">
        <v>44</v>
      </c>
      <c r="GI28" s="2" t="s">
        <v>45</v>
      </c>
      <c r="GJ28" s="2" t="s">
        <v>47</v>
      </c>
      <c r="GK28" s="2" t="s">
        <v>60</v>
      </c>
      <c r="GL28" s="2" t="s">
        <v>60</v>
      </c>
      <c r="GM28" s="2" t="s">
        <v>60</v>
      </c>
      <c r="GN28" s="2" t="s">
        <v>366</v>
      </c>
      <c r="GO28" s="2" t="s">
        <v>43</v>
      </c>
      <c r="GP28" s="2" t="s">
        <v>47</v>
      </c>
      <c r="GQ28" s="2" t="s">
        <v>47</v>
      </c>
      <c r="GR28" s="2" t="s">
        <v>60</v>
      </c>
      <c r="GS28" s="2" t="s">
        <v>60</v>
      </c>
      <c r="GT28" s="2" t="s">
        <v>60</v>
      </c>
      <c r="GU28" s="2" t="s">
        <v>372</v>
      </c>
      <c r="GV28" s="2" t="s">
        <v>372</v>
      </c>
      <c r="GW28" s="2" t="s">
        <v>372</v>
      </c>
      <c r="GX28" s="2" t="s">
        <v>372</v>
      </c>
      <c r="GY28" s="2" t="s">
        <v>372</v>
      </c>
      <c r="GZ28" s="2" t="s">
        <v>372</v>
      </c>
      <c r="HA28" s="2" t="s">
        <v>372</v>
      </c>
      <c r="HB28" s="2" t="s">
        <v>39</v>
      </c>
      <c r="HC28" s="2" t="s">
        <v>350</v>
      </c>
      <c r="HD28" s="2" t="s">
        <v>44</v>
      </c>
      <c r="HE28" s="2" t="s">
        <v>45</v>
      </c>
      <c r="HF28" s="2" t="s">
        <v>47</v>
      </c>
      <c r="HG28" s="2" t="s">
        <v>60</v>
      </c>
      <c r="HH28" s="2" t="s">
        <v>58</v>
      </c>
      <c r="HI28" s="2" t="s">
        <v>57</v>
      </c>
      <c r="HJ28" s="2" t="s">
        <v>356</v>
      </c>
      <c r="HK28" s="2" t="s">
        <v>43</v>
      </c>
      <c r="HL28" s="2" t="s">
        <v>46</v>
      </c>
      <c r="HM28" s="2" t="s">
        <v>46</v>
      </c>
      <c r="HN28" s="2" t="s">
        <v>60</v>
      </c>
      <c r="HO28" s="2" t="s">
        <v>57</v>
      </c>
      <c r="HP28" s="2" t="s">
        <v>60</v>
      </c>
      <c r="HQ28" s="2" t="s">
        <v>362</v>
      </c>
      <c r="HR28" s="2" t="s">
        <v>44</v>
      </c>
      <c r="HS28" s="2" t="s">
        <v>46</v>
      </c>
      <c r="HT28" s="2" t="s">
        <v>46</v>
      </c>
      <c r="HU28" s="2" t="s">
        <v>58</v>
      </c>
      <c r="HV28" s="2" t="s">
        <v>57</v>
      </c>
      <c r="HW28" s="2" t="s">
        <v>59</v>
      </c>
      <c r="HX28" s="2" t="s">
        <v>368</v>
      </c>
      <c r="HY28" s="2" t="s">
        <v>43</v>
      </c>
      <c r="HZ28" s="2" t="s">
        <v>47</v>
      </c>
      <c r="IA28" s="2" t="s">
        <v>47</v>
      </c>
      <c r="IB28" s="2" t="s">
        <v>58</v>
      </c>
      <c r="IC28" s="2" t="s">
        <v>58</v>
      </c>
      <c r="ID28" s="2" t="s">
        <v>59</v>
      </c>
      <c r="IE28" s="2" t="s">
        <v>374</v>
      </c>
      <c r="IF28" s="2" t="s">
        <v>43</v>
      </c>
      <c r="IG28" s="2" t="s">
        <v>45</v>
      </c>
      <c r="IH28" s="2" t="s">
        <v>45</v>
      </c>
      <c r="II28" s="2" t="s">
        <v>60</v>
      </c>
      <c r="IJ28" s="2" t="s">
        <v>57</v>
      </c>
      <c r="IK28" s="2" t="s">
        <v>57</v>
      </c>
    </row>
    <row r="29" spans="1:245" x14ac:dyDescent="0.25">
      <c r="A29" s="2" t="s">
        <v>333</v>
      </c>
      <c r="B29" s="2" t="s">
        <v>336</v>
      </c>
      <c r="C29" s="2" t="s">
        <v>339</v>
      </c>
      <c r="D29" s="2" t="s">
        <v>43</v>
      </c>
      <c r="E29" s="2" t="s">
        <v>45</v>
      </c>
      <c r="F29" s="2" t="s">
        <v>45</v>
      </c>
      <c r="G29" s="2" t="s">
        <v>57</v>
      </c>
      <c r="H29" s="2" t="s">
        <v>58</v>
      </c>
      <c r="I29" s="2" t="s">
        <v>59</v>
      </c>
      <c r="J29" s="2" t="s">
        <v>340</v>
      </c>
      <c r="K29" s="2" t="s">
        <v>43</v>
      </c>
      <c r="L29" s="2" t="s">
        <v>46</v>
      </c>
      <c r="M29" s="2" t="s">
        <v>46</v>
      </c>
      <c r="N29" s="2" t="s">
        <v>58</v>
      </c>
      <c r="O29" s="2" t="s">
        <v>57</v>
      </c>
      <c r="P29" s="2" t="s">
        <v>58</v>
      </c>
      <c r="Q29" s="2" t="s">
        <v>341</v>
      </c>
      <c r="R29" s="2" t="s">
        <v>43</v>
      </c>
      <c r="S29" s="2" t="s">
        <v>47</v>
      </c>
      <c r="T29" s="2" t="s">
        <v>47</v>
      </c>
      <c r="U29" s="2" t="s">
        <v>58</v>
      </c>
      <c r="V29" s="2" t="s">
        <v>58</v>
      </c>
      <c r="W29" s="2" t="s">
        <v>58</v>
      </c>
      <c r="X29" s="2" t="s">
        <v>342</v>
      </c>
      <c r="Y29" s="2" t="s">
        <v>346</v>
      </c>
      <c r="Z29" s="2" t="s">
        <v>40</v>
      </c>
      <c r="AA29" s="2" t="s">
        <v>352</v>
      </c>
      <c r="AB29" s="2" t="s">
        <v>44</v>
      </c>
      <c r="AC29" s="2" t="s">
        <v>45</v>
      </c>
      <c r="AD29" s="2" t="s">
        <v>45</v>
      </c>
      <c r="AE29" s="2" t="s">
        <v>57</v>
      </c>
      <c r="AF29" s="2" t="s">
        <v>58</v>
      </c>
      <c r="AG29" s="2" t="s">
        <v>58</v>
      </c>
      <c r="AH29" s="2" t="s">
        <v>358</v>
      </c>
      <c r="AI29" s="2" t="s">
        <v>43</v>
      </c>
      <c r="AJ29" s="2" t="s">
        <v>47</v>
      </c>
      <c r="AK29" s="2" t="s">
        <v>47</v>
      </c>
      <c r="AL29" s="2" t="s">
        <v>57</v>
      </c>
      <c r="AM29" s="2" t="s">
        <v>60</v>
      </c>
      <c r="AN29" s="2" t="s">
        <v>59</v>
      </c>
      <c r="AO29" s="2" t="s">
        <v>364</v>
      </c>
      <c r="AP29" s="2" t="s">
        <v>43</v>
      </c>
      <c r="AQ29" s="2" t="s">
        <v>45</v>
      </c>
      <c r="AR29" s="2" t="s">
        <v>47</v>
      </c>
      <c r="AS29" s="2" t="s">
        <v>60</v>
      </c>
      <c r="AT29" s="2" t="s">
        <v>57</v>
      </c>
      <c r="AU29" s="2" t="s">
        <v>58</v>
      </c>
      <c r="AV29" s="2" t="s">
        <v>370</v>
      </c>
      <c r="AW29" s="2" t="s">
        <v>44</v>
      </c>
      <c r="AX29" s="2" t="s">
        <v>46</v>
      </c>
      <c r="AY29" s="2" t="s">
        <v>45</v>
      </c>
      <c r="AZ29" s="2" t="s">
        <v>60</v>
      </c>
      <c r="BA29" s="2" t="s">
        <v>59</v>
      </c>
      <c r="BB29" s="2" t="s">
        <v>60</v>
      </c>
      <c r="BC29" s="2" t="s">
        <v>372</v>
      </c>
      <c r="BD29" s="2" t="s">
        <v>372</v>
      </c>
      <c r="BE29" s="2" t="s">
        <v>372</v>
      </c>
      <c r="BF29" s="2" t="s">
        <v>372</v>
      </c>
      <c r="BG29" s="2" t="s">
        <v>372</v>
      </c>
      <c r="BH29" s="2" t="s">
        <v>372</v>
      </c>
      <c r="BI29" s="2" t="s">
        <v>372</v>
      </c>
      <c r="BJ29" s="2" t="s">
        <v>39</v>
      </c>
      <c r="BK29" s="2" t="s">
        <v>347</v>
      </c>
      <c r="BL29" s="2" t="s">
        <v>44</v>
      </c>
      <c r="BM29" s="2" t="s">
        <v>47</v>
      </c>
      <c r="BN29" s="2" t="s">
        <v>47</v>
      </c>
      <c r="BO29" s="2" t="s">
        <v>60</v>
      </c>
      <c r="BP29" s="2" t="s">
        <v>59</v>
      </c>
      <c r="BQ29" s="2" t="s">
        <v>58</v>
      </c>
      <c r="BR29" s="2" t="s">
        <v>353</v>
      </c>
      <c r="BS29" s="2" t="s">
        <v>44</v>
      </c>
      <c r="BT29" s="2" t="s">
        <v>47</v>
      </c>
      <c r="BU29" s="2" t="s">
        <v>47</v>
      </c>
      <c r="BV29" s="2" t="s">
        <v>59</v>
      </c>
      <c r="BW29" s="2" t="s">
        <v>58</v>
      </c>
      <c r="BX29" s="2" t="s">
        <v>59</v>
      </c>
      <c r="BY29" s="2" t="s">
        <v>359</v>
      </c>
      <c r="BZ29" s="2" t="s">
        <v>43</v>
      </c>
      <c r="CA29" s="2" t="s">
        <v>47</v>
      </c>
      <c r="CB29" s="2" t="s">
        <v>47</v>
      </c>
      <c r="CC29" s="2" t="s">
        <v>60</v>
      </c>
      <c r="CD29" s="2" t="s">
        <v>57</v>
      </c>
      <c r="CE29" s="2" t="s">
        <v>59</v>
      </c>
      <c r="CF29" s="2" t="s">
        <v>365</v>
      </c>
      <c r="CG29" s="2" t="s">
        <v>44</v>
      </c>
      <c r="CH29" s="2" t="s">
        <v>46</v>
      </c>
      <c r="CI29" s="2" t="s">
        <v>46</v>
      </c>
      <c r="CJ29" s="2" t="s">
        <v>58</v>
      </c>
      <c r="CK29" s="2" t="s">
        <v>58</v>
      </c>
      <c r="CL29" s="2" t="s">
        <v>59</v>
      </c>
      <c r="CM29" s="2" t="s">
        <v>371</v>
      </c>
      <c r="CN29" s="2" t="s">
        <v>43</v>
      </c>
      <c r="CO29" s="2" t="s">
        <v>46</v>
      </c>
      <c r="CP29" s="2" t="s">
        <v>45</v>
      </c>
      <c r="CQ29" s="2" t="s">
        <v>57</v>
      </c>
      <c r="CR29" s="2" t="s">
        <v>60</v>
      </c>
      <c r="CS29" s="2" t="s">
        <v>59</v>
      </c>
      <c r="CT29" s="2" t="s">
        <v>343</v>
      </c>
      <c r="CU29" s="2" t="s">
        <v>345</v>
      </c>
      <c r="CV29" s="2" t="s">
        <v>39</v>
      </c>
      <c r="CW29" s="2" t="s">
        <v>350</v>
      </c>
      <c r="CX29" s="2" t="s">
        <v>44</v>
      </c>
      <c r="CY29" s="2" t="s">
        <v>45</v>
      </c>
      <c r="CZ29" s="2" t="s">
        <v>47</v>
      </c>
      <c r="DA29" s="2" t="s">
        <v>60</v>
      </c>
      <c r="DB29" s="2" t="s">
        <v>58</v>
      </c>
      <c r="DC29" s="2" t="s">
        <v>57</v>
      </c>
      <c r="DD29" s="2" t="s">
        <v>356</v>
      </c>
      <c r="DE29" s="2" t="s">
        <v>43</v>
      </c>
      <c r="DF29" s="2" t="s">
        <v>46</v>
      </c>
      <c r="DG29" s="2" t="s">
        <v>46</v>
      </c>
      <c r="DH29" s="2" t="s">
        <v>60</v>
      </c>
      <c r="DI29" s="2" t="s">
        <v>57</v>
      </c>
      <c r="DJ29" s="2" t="s">
        <v>60</v>
      </c>
      <c r="DK29" s="2" t="s">
        <v>362</v>
      </c>
      <c r="DL29" s="2" t="s">
        <v>44</v>
      </c>
      <c r="DM29" s="2" t="s">
        <v>46</v>
      </c>
      <c r="DN29" s="2" t="s">
        <v>46</v>
      </c>
      <c r="DO29" s="2" t="s">
        <v>58</v>
      </c>
      <c r="DP29" s="2" t="s">
        <v>57</v>
      </c>
      <c r="DQ29" s="2" t="s">
        <v>59</v>
      </c>
      <c r="DR29" s="2" t="s">
        <v>368</v>
      </c>
      <c r="DS29" s="2" t="s">
        <v>43</v>
      </c>
      <c r="DT29" s="2" t="s">
        <v>47</v>
      </c>
      <c r="DU29" s="2" t="s">
        <v>47</v>
      </c>
      <c r="DV29" s="2" t="s">
        <v>58</v>
      </c>
      <c r="DW29" s="2" t="s">
        <v>58</v>
      </c>
      <c r="DX29" s="2" t="s">
        <v>59</v>
      </c>
      <c r="DY29" s="2" t="s">
        <v>374</v>
      </c>
      <c r="DZ29" s="2" t="s">
        <v>43</v>
      </c>
      <c r="EA29" s="2" t="s">
        <v>45</v>
      </c>
      <c r="EB29" s="2" t="s">
        <v>45</v>
      </c>
      <c r="EC29" s="2" t="s">
        <v>60</v>
      </c>
      <c r="ED29" s="2" t="s">
        <v>57</v>
      </c>
      <c r="EE29" s="2" t="s">
        <v>57</v>
      </c>
      <c r="EF29" s="2" t="s">
        <v>40</v>
      </c>
      <c r="EG29" s="2" t="s">
        <v>348</v>
      </c>
      <c r="EH29" s="2" t="s">
        <v>44</v>
      </c>
      <c r="EI29" s="2" t="s">
        <v>47</v>
      </c>
      <c r="EJ29" s="2" t="s">
        <v>47</v>
      </c>
      <c r="EK29" s="2" t="s">
        <v>57</v>
      </c>
      <c r="EL29" s="2" t="s">
        <v>57</v>
      </c>
      <c r="EM29" s="2" t="s">
        <v>58</v>
      </c>
      <c r="EN29" s="2" t="s">
        <v>354</v>
      </c>
      <c r="EO29" s="2" t="s">
        <v>44</v>
      </c>
      <c r="EP29" s="2" t="s">
        <v>45</v>
      </c>
      <c r="EQ29" s="2" t="s">
        <v>47</v>
      </c>
      <c r="ER29" s="2" t="s">
        <v>59</v>
      </c>
      <c r="ES29" s="2" t="s">
        <v>57</v>
      </c>
      <c r="ET29" s="2" t="s">
        <v>60</v>
      </c>
      <c r="EU29" s="2" t="s">
        <v>360</v>
      </c>
      <c r="EV29" s="2" t="s">
        <v>44</v>
      </c>
      <c r="EW29" s="2" t="s">
        <v>45</v>
      </c>
      <c r="EX29" s="2" t="s">
        <v>47</v>
      </c>
      <c r="EY29" s="2" t="s">
        <v>60</v>
      </c>
      <c r="EZ29" s="2" t="s">
        <v>60</v>
      </c>
      <c r="FA29" s="2" t="s">
        <v>60</v>
      </c>
      <c r="FB29" s="2" t="s">
        <v>366</v>
      </c>
      <c r="FC29" s="2" t="s">
        <v>43</v>
      </c>
      <c r="FD29" s="2" t="s">
        <v>47</v>
      </c>
      <c r="FE29" s="2" t="s">
        <v>47</v>
      </c>
      <c r="FF29" s="2" t="s">
        <v>60</v>
      </c>
      <c r="FG29" s="2" t="s">
        <v>60</v>
      </c>
      <c r="FH29" s="2" t="s">
        <v>60</v>
      </c>
      <c r="FI29" s="2" t="s">
        <v>372</v>
      </c>
      <c r="FJ29" s="2" t="s">
        <v>372</v>
      </c>
      <c r="FK29" s="2" t="s">
        <v>372</v>
      </c>
      <c r="FL29" s="2" t="s">
        <v>372</v>
      </c>
      <c r="FM29" s="2" t="s">
        <v>372</v>
      </c>
      <c r="FN29" s="2" t="s">
        <v>372</v>
      </c>
      <c r="FO29" s="2" t="s">
        <v>372</v>
      </c>
      <c r="FP29" s="2" t="s">
        <v>344</v>
      </c>
      <c r="FQ29" s="2" t="s">
        <v>346</v>
      </c>
      <c r="FR29" s="2" t="s">
        <v>40</v>
      </c>
      <c r="FS29" s="2" t="s">
        <v>351</v>
      </c>
      <c r="FT29" s="2" t="s">
        <v>44</v>
      </c>
      <c r="FU29" s="2" t="s">
        <v>45</v>
      </c>
      <c r="FV29" s="2" t="s">
        <v>45</v>
      </c>
      <c r="FW29" s="2" t="s">
        <v>57</v>
      </c>
      <c r="FX29" s="2" t="s">
        <v>58</v>
      </c>
      <c r="FY29" s="2" t="s">
        <v>60</v>
      </c>
      <c r="FZ29" s="2" t="s">
        <v>357</v>
      </c>
      <c r="GA29" s="2" t="s">
        <v>43</v>
      </c>
      <c r="GB29" s="2" t="s">
        <v>47</v>
      </c>
      <c r="GC29" s="2" t="s">
        <v>46</v>
      </c>
      <c r="GD29" s="2" t="s">
        <v>58</v>
      </c>
      <c r="GE29" s="2" t="s">
        <v>57</v>
      </c>
      <c r="GF29" s="2" t="s">
        <v>59</v>
      </c>
      <c r="GG29" s="2" t="s">
        <v>363</v>
      </c>
      <c r="GH29" s="2" t="s">
        <v>43</v>
      </c>
      <c r="GI29" s="2" t="s">
        <v>45</v>
      </c>
      <c r="GJ29" s="2" t="s">
        <v>47</v>
      </c>
      <c r="GK29" s="2" t="s">
        <v>58</v>
      </c>
      <c r="GL29" s="2" t="s">
        <v>58</v>
      </c>
      <c r="GM29" s="2" t="s">
        <v>60</v>
      </c>
      <c r="GN29" s="2" t="s">
        <v>369</v>
      </c>
      <c r="GO29" s="2" t="s">
        <v>43</v>
      </c>
      <c r="GP29" s="2" t="s">
        <v>47</v>
      </c>
      <c r="GQ29" s="2" t="s">
        <v>47</v>
      </c>
      <c r="GR29" s="2" t="s">
        <v>59</v>
      </c>
      <c r="GS29" s="2" t="s">
        <v>57</v>
      </c>
      <c r="GT29" s="2" t="s">
        <v>57</v>
      </c>
      <c r="GU29" s="2" t="s">
        <v>372</v>
      </c>
      <c r="GV29" s="2" t="s">
        <v>372</v>
      </c>
      <c r="GW29" s="2" t="s">
        <v>372</v>
      </c>
      <c r="GX29" s="2" t="s">
        <v>372</v>
      </c>
      <c r="GY29" s="2" t="s">
        <v>372</v>
      </c>
      <c r="GZ29" s="2" t="s">
        <v>372</v>
      </c>
      <c r="HA29" s="2" t="s">
        <v>372</v>
      </c>
      <c r="HB29" s="2" t="s">
        <v>39</v>
      </c>
      <c r="HC29" s="2" t="s">
        <v>349</v>
      </c>
      <c r="HD29" s="2" t="s">
        <v>43</v>
      </c>
      <c r="HE29" s="2" t="s">
        <v>47</v>
      </c>
      <c r="HF29" s="2" t="s">
        <v>47</v>
      </c>
      <c r="HG29" s="2" t="s">
        <v>59</v>
      </c>
      <c r="HH29" s="2" t="s">
        <v>59</v>
      </c>
      <c r="HI29" s="2" t="s">
        <v>58</v>
      </c>
      <c r="HJ29" s="2" t="s">
        <v>355</v>
      </c>
      <c r="HK29" s="2" t="s">
        <v>43</v>
      </c>
      <c r="HL29" s="2" t="s">
        <v>47</v>
      </c>
      <c r="HM29" s="2" t="s">
        <v>47</v>
      </c>
      <c r="HN29" s="2" t="s">
        <v>59</v>
      </c>
      <c r="HO29" s="2" t="s">
        <v>60</v>
      </c>
      <c r="HP29" s="2" t="s">
        <v>60</v>
      </c>
      <c r="HQ29" s="2" t="s">
        <v>361</v>
      </c>
      <c r="HR29" s="2" t="s">
        <v>44</v>
      </c>
      <c r="HS29" s="2" t="s">
        <v>47</v>
      </c>
      <c r="HT29" s="2" t="s">
        <v>46</v>
      </c>
      <c r="HU29" s="2" t="s">
        <v>59</v>
      </c>
      <c r="HV29" s="2" t="s">
        <v>60</v>
      </c>
      <c r="HW29" s="2" t="s">
        <v>57</v>
      </c>
      <c r="HX29" s="2" t="s">
        <v>367</v>
      </c>
      <c r="HY29" s="2" t="s">
        <v>43</v>
      </c>
      <c r="HZ29" s="2" t="s">
        <v>46</v>
      </c>
      <c r="IA29" s="2" t="s">
        <v>46</v>
      </c>
      <c r="IB29" s="2" t="s">
        <v>58</v>
      </c>
      <c r="IC29" s="2" t="s">
        <v>59</v>
      </c>
      <c r="ID29" s="2" t="s">
        <v>58</v>
      </c>
      <c r="IE29" s="2" t="s">
        <v>373</v>
      </c>
      <c r="IF29" s="2" t="s">
        <v>44</v>
      </c>
      <c r="IG29" s="2" t="s">
        <v>46</v>
      </c>
      <c r="IH29" s="2" t="s">
        <v>46</v>
      </c>
      <c r="II29" s="2" t="s">
        <v>58</v>
      </c>
      <c r="IJ29" s="2" t="s">
        <v>58</v>
      </c>
      <c r="IK29" s="2" t="s">
        <v>57</v>
      </c>
    </row>
    <row r="30" spans="1:245" x14ac:dyDescent="0.25">
      <c r="A30" s="2" t="s">
        <v>334</v>
      </c>
      <c r="B30" s="2" t="s">
        <v>337</v>
      </c>
      <c r="C30" s="2" t="s">
        <v>339</v>
      </c>
      <c r="D30" s="2" t="s">
        <v>43</v>
      </c>
      <c r="E30" s="2" t="s">
        <v>45</v>
      </c>
      <c r="F30" s="2" t="s">
        <v>45</v>
      </c>
      <c r="G30" s="2" t="s">
        <v>57</v>
      </c>
      <c r="H30" s="2" t="s">
        <v>58</v>
      </c>
      <c r="I30" s="2" t="s">
        <v>59</v>
      </c>
      <c r="J30" s="2" t="s">
        <v>340</v>
      </c>
      <c r="K30" s="2" t="s">
        <v>43</v>
      </c>
      <c r="L30" s="2" t="s">
        <v>46</v>
      </c>
      <c r="M30" s="2" t="s">
        <v>46</v>
      </c>
      <c r="N30" s="2" t="s">
        <v>58</v>
      </c>
      <c r="O30" s="2" t="s">
        <v>57</v>
      </c>
      <c r="P30" s="2" t="s">
        <v>58</v>
      </c>
      <c r="Q30" s="2" t="s">
        <v>341</v>
      </c>
      <c r="R30" s="2" t="s">
        <v>43</v>
      </c>
      <c r="S30" s="2" t="s">
        <v>47</v>
      </c>
      <c r="T30" s="2" t="s">
        <v>47</v>
      </c>
      <c r="U30" s="2" t="s">
        <v>58</v>
      </c>
      <c r="V30" s="2" t="s">
        <v>58</v>
      </c>
      <c r="W30" s="2" t="s">
        <v>58</v>
      </c>
      <c r="X30" s="2" t="s">
        <v>343</v>
      </c>
      <c r="Y30" s="2" t="s">
        <v>346</v>
      </c>
      <c r="Z30" s="2" t="s">
        <v>40</v>
      </c>
      <c r="AA30" s="2" t="s">
        <v>348</v>
      </c>
      <c r="AB30" s="2" t="s">
        <v>44</v>
      </c>
      <c r="AC30" s="2" t="s">
        <v>47</v>
      </c>
      <c r="AD30" s="2" t="s">
        <v>46</v>
      </c>
      <c r="AE30" s="2" t="s">
        <v>57</v>
      </c>
      <c r="AF30" s="2" t="s">
        <v>57</v>
      </c>
      <c r="AG30" s="2" t="s">
        <v>58</v>
      </c>
      <c r="AH30" s="2" t="s">
        <v>354</v>
      </c>
      <c r="AI30" s="2" t="s">
        <v>44</v>
      </c>
      <c r="AJ30" s="2" t="s">
        <v>45</v>
      </c>
      <c r="AK30" s="2" t="s">
        <v>45</v>
      </c>
      <c r="AL30" s="2" t="s">
        <v>59</v>
      </c>
      <c r="AM30" s="2" t="s">
        <v>57</v>
      </c>
      <c r="AN30" s="2" t="s">
        <v>60</v>
      </c>
      <c r="AO30" s="2" t="s">
        <v>360</v>
      </c>
      <c r="AP30" s="2" t="s">
        <v>44</v>
      </c>
      <c r="AQ30" s="2" t="s">
        <v>45</v>
      </c>
      <c r="AR30" s="2" t="s">
        <v>45</v>
      </c>
      <c r="AS30" s="2" t="s">
        <v>60</v>
      </c>
      <c r="AT30" s="2" t="s">
        <v>60</v>
      </c>
      <c r="AU30" s="2" t="s">
        <v>60</v>
      </c>
      <c r="AV30" s="2" t="s">
        <v>366</v>
      </c>
      <c r="AW30" s="2" t="s">
        <v>43</v>
      </c>
      <c r="AX30" s="2" t="s">
        <v>47</v>
      </c>
      <c r="AY30" s="2" t="s">
        <v>46</v>
      </c>
      <c r="AZ30" s="2" t="s">
        <v>60</v>
      </c>
      <c r="BA30" s="2" t="s">
        <v>60</v>
      </c>
      <c r="BB30" s="2" t="s">
        <v>60</v>
      </c>
      <c r="BC30" s="2" t="s">
        <v>372</v>
      </c>
      <c r="BD30" s="2" t="s">
        <v>372</v>
      </c>
      <c r="BE30" s="2" t="s">
        <v>372</v>
      </c>
      <c r="BF30" s="2" t="s">
        <v>372</v>
      </c>
      <c r="BG30" s="2" t="s">
        <v>372</v>
      </c>
      <c r="BH30" s="2" t="s">
        <v>372</v>
      </c>
      <c r="BI30" s="2" t="s">
        <v>372</v>
      </c>
      <c r="BJ30" s="2" t="s">
        <v>39</v>
      </c>
      <c r="BK30" s="2" t="s">
        <v>350</v>
      </c>
      <c r="BL30" s="2" t="s">
        <v>44</v>
      </c>
      <c r="BM30" s="2" t="s">
        <v>45</v>
      </c>
      <c r="BN30" s="2" t="s">
        <v>45</v>
      </c>
      <c r="BO30" s="2" t="s">
        <v>60</v>
      </c>
      <c r="BP30" s="2" t="s">
        <v>58</v>
      </c>
      <c r="BQ30" s="2" t="s">
        <v>57</v>
      </c>
      <c r="BR30" s="2" t="s">
        <v>356</v>
      </c>
      <c r="BS30" s="2" t="s">
        <v>43</v>
      </c>
      <c r="BT30" s="2" t="s">
        <v>46</v>
      </c>
      <c r="BU30" s="2" t="s">
        <v>46</v>
      </c>
      <c r="BV30" s="2" t="s">
        <v>60</v>
      </c>
      <c r="BW30" s="2" t="s">
        <v>57</v>
      </c>
      <c r="BX30" s="2" t="s">
        <v>60</v>
      </c>
      <c r="BY30" s="2" t="s">
        <v>362</v>
      </c>
      <c r="BZ30" s="2" t="s">
        <v>44</v>
      </c>
      <c r="CA30" s="2" t="s">
        <v>46</v>
      </c>
      <c r="CB30" s="2" t="s">
        <v>46</v>
      </c>
      <c r="CC30" s="2" t="s">
        <v>58</v>
      </c>
      <c r="CD30" s="2" t="s">
        <v>57</v>
      </c>
      <c r="CE30" s="2" t="s">
        <v>59</v>
      </c>
      <c r="CF30" s="2" t="s">
        <v>368</v>
      </c>
      <c r="CG30" s="2" t="s">
        <v>43</v>
      </c>
      <c r="CH30" s="2" t="s">
        <v>47</v>
      </c>
      <c r="CI30" s="2" t="s">
        <v>46</v>
      </c>
      <c r="CJ30" s="2" t="s">
        <v>58</v>
      </c>
      <c r="CK30" s="2" t="s">
        <v>58</v>
      </c>
      <c r="CL30" s="2" t="s">
        <v>59</v>
      </c>
      <c r="CM30" s="2" t="s">
        <v>374</v>
      </c>
      <c r="CN30" s="2" t="s">
        <v>43</v>
      </c>
      <c r="CO30" s="2" t="s">
        <v>45</v>
      </c>
      <c r="CP30" s="2" t="s">
        <v>45</v>
      </c>
      <c r="CQ30" s="2" t="s">
        <v>60</v>
      </c>
      <c r="CR30" s="2" t="s">
        <v>57</v>
      </c>
      <c r="CS30" s="2" t="s">
        <v>57</v>
      </c>
      <c r="CT30" s="2" t="s">
        <v>344</v>
      </c>
      <c r="CU30" s="2" t="s">
        <v>345</v>
      </c>
      <c r="CV30" s="2" t="s">
        <v>39</v>
      </c>
      <c r="CW30" s="2" t="s">
        <v>349</v>
      </c>
      <c r="CX30" s="2" t="s">
        <v>43</v>
      </c>
      <c r="CY30" s="2" t="s">
        <v>47</v>
      </c>
      <c r="CZ30" s="2" t="s">
        <v>47</v>
      </c>
      <c r="DA30" s="2" t="s">
        <v>59</v>
      </c>
      <c r="DB30" s="2" t="s">
        <v>59</v>
      </c>
      <c r="DC30" s="2" t="s">
        <v>58</v>
      </c>
      <c r="DD30" s="2" t="s">
        <v>355</v>
      </c>
      <c r="DE30" s="2" t="s">
        <v>43</v>
      </c>
      <c r="DF30" s="2" t="s">
        <v>47</v>
      </c>
      <c r="DG30" s="2" t="s">
        <v>47</v>
      </c>
      <c r="DH30" s="2" t="s">
        <v>59</v>
      </c>
      <c r="DI30" s="2" t="s">
        <v>60</v>
      </c>
      <c r="DJ30" s="2" t="s">
        <v>60</v>
      </c>
      <c r="DK30" s="2" t="s">
        <v>361</v>
      </c>
      <c r="DL30" s="2" t="s">
        <v>44</v>
      </c>
      <c r="DM30" s="2" t="s">
        <v>47</v>
      </c>
      <c r="DN30" s="2" t="s">
        <v>47</v>
      </c>
      <c r="DO30" s="2" t="s">
        <v>59</v>
      </c>
      <c r="DP30" s="2" t="s">
        <v>60</v>
      </c>
      <c r="DQ30" s="2" t="s">
        <v>57</v>
      </c>
      <c r="DR30" s="2" t="s">
        <v>367</v>
      </c>
      <c r="DS30" s="2" t="s">
        <v>43</v>
      </c>
      <c r="DT30" s="2" t="s">
        <v>46</v>
      </c>
      <c r="DU30" s="2" t="s">
        <v>45</v>
      </c>
      <c r="DV30" s="2" t="s">
        <v>58</v>
      </c>
      <c r="DW30" s="2" t="s">
        <v>59</v>
      </c>
      <c r="DX30" s="2" t="s">
        <v>58</v>
      </c>
      <c r="DY30" s="2" t="s">
        <v>373</v>
      </c>
      <c r="DZ30" s="2" t="s">
        <v>44</v>
      </c>
      <c r="EA30" s="2" t="s">
        <v>46</v>
      </c>
      <c r="EB30" s="2" t="s">
        <v>46</v>
      </c>
      <c r="EC30" s="2" t="s">
        <v>58</v>
      </c>
      <c r="ED30" s="2" t="s">
        <v>58</v>
      </c>
      <c r="EE30" s="2" t="s">
        <v>57</v>
      </c>
      <c r="EF30" s="2" t="s">
        <v>40</v>
      </c>
      <c r="EG30" s="2" t="s">
        <v>351</v>
      </c>
      <c r="EH30" s="2" t="s">
        <v>44</v>
      </c>
      <c r="EI30" s="2" t="s">
        <v>45</v>
      </c>
      <c r="EJ30" s="2" t="s">
        <v>45</v>
      </c>
      <c r="EK30" s="2" t="s">
        <v>57</v>
      </c>
      <c r="EL30" s="2" t="s">
        <v>58</v>
      </c>
      <c r="EM30" s="2" t="s">
        <v>60</v>
      </c>
      <c r="EN30" s="2" t="s">
        <v>357</v>
      </c>
      <c r="EO30" s="2" t="s">
        <v>43</v>
      </c>
      <c r="EP30" s="2" t="s">
        <v>47</v>
      </c>
      <c r="EQ30" s="2" t="s">
        <v>46</v>
      </c>
      <c r="ER30" s="2" t="s">
        <v>58</v>
      </c>
      <c r="ES30" s="2" t="s">
        <v>57</v>
      </c>
      <c r="ET30" s="2" t="s">
        <v>59</v>
      </c>
      <c r="EU30" s="2" t="s">
        <v>363</v>
      </c>
      <c r="EV30" s="2" t="s">
        <v>43</v>
      </c>
      <c r="EW30" s="2" t="s">
        <v>45</v>
      </c>
      <c r="EX30" s="2" t="s">
        <v>45</v>
      </c>
      <c r="EY30" s="2" t="s">
        <v>58</v>
      </c>
      <c r="EZ30" s="2" t="s">
        <v>58</v>
      </c>
      <c r="FA30" s="2" t="s">
        <v>60</v>
      </c>
      <c r="FB30" s="2" t="s">
        <v>369</v>
      </c>
      <c r="FC30" s="2" t="s">
        <v>43</v>
      </c>
      <c r="FD30" s="2" t="s">
        <v>47</v>
      </c>
      <c r="FE30" s="2" t="s">
        <v>46</v>
      </c>
      <c r="FF30" s="2" t="s">
        <v>59</v>
      </c>
      <c r="FG30" s="2" t="s">
        <v>57</v>
      </c>
      <c r="FH30" s="2" t="s">
        <v>57</v>
      </c>
      <c r="FI30" s="2" t="s">
        <v>372</v>
      </c>
      <c r="FJ30" s="2" t="s">
        <v>372</v>
      </c>
      <c r="FK30" s="2" t="s">
        <v>372</v>
      </c>
      <c r="FL30" s="2" t="s">
        <v>372</v>
      </c>
      <c r="FM30" s="2" t="s">
        <v>372</v>
      </c>
      <c r="FN30" s="2" t="s">
        <v>372</v>
      </c>
      <c r="FO30" s="2" t="s">
        <v>372</v>
      </c>
      <c r="FP30" s="2" t="s">
        <v>342</v>
      </c>
      <c r="FQ30" s="2" t="s">
        <v>346</v>
      </c>
      <c r="FR30" s="2" t="s">
        <v>40</v>
      </c>
      <c r="FS30" s="2" t="s">
        <v>352</v>
      </c>
      <c r="FT30" s="2" t="s">
        <v>44</v>
      </c>
      <c r="FU30" s="2" t="s">
        <v>45</v>
      </c>
      <c r="FV30" s="2" t="s">
        <v>47</v>
      </c>
      <c r="FW30" s="2" t="s">
        <v>57</v>
      </c>
      <c r="FX30" s="2" t="s">
        <v>58</v>
      </c>
      <c r="FY30" s="2" t="s">
        <v>58</v>
      </c>
      <c r="FZ30" s="2" t="s">
        <v>358</v>
      </c>
      <c r="GA30" s="2" t="s">
        <v>43</v>
      </c>
      <c r="GB30" s="2" t="s">
        <v>47</v>
      </c>
      <c r="GC30" s="2" t="s">
        <v>47</v>
      </c>
      <c r="GD30" s="2" t="s">
        <v>57</v>
      </c>
      <c r="GE30" s="2" t="s">
        <v>60</v>
      </c>
      <c r="GF30" s="2" t="s">
        <v>59</v>
      </c>
      <c r="GG30" s="2" t="s">
        <v>364</v>
      </c>
      <c r="GH30" s="2" t="s">
        <v>43</v>
      </c>
      <c r="GI30" s="2" t="s">
        <v>45</v>
      </c>
      <c r="GJ30" s="2" t="s">
        <v>45</v>
      </c>
      <c r="GK30" s="2" t="s">
        <v>60</v>
      </c>
      <c r="GL30" s="2" t="s">
        <v>57</v>
      </c>
      <c r="GM30" s="2" t="s">
        <v>58</v>
      </c>
      <c r="GN30" s="2" t="s">
        <v>370</v>
      </c>
      <c r="GO30" s="2" t="s">
        <v>44</v>
      </c>
      <c r="GP30" s="2" t="s">
        <v>46</v>
      </c>
      <c r="GQ30" s="2" t="s">
        <v>45</v>
      </c>
      <c r="GR30" s="2" t="s">
        <v>60</v>
      </c>
      <c r="GS30" s="2" t="s">
        <v>59</v>
      </c>
      <c r="GT30" s="2" t="s">
        <v>60</v>
      </c>
      <c r="GU30" s="2" t="s">
        <v>372</v>
      </c>
      <c r="GV30" s="2" t="s">
        <v>372</v>
      </c>
      <c r="GW30" s="2" t="s">
        <v>372</v>
      </c>
      <c r="GX30" s="2" t="s">
        <v>372</v>
      </c>
      <c r="GY30" s="2" t="s">
        <v>372</v>
      </c>
      <c r="GZ30" s="2" t="s">
        <v>372</v>
      </c>
      <c r="HA30" s="2" t="s">
        <v>372</v>
      </c>
      <c r="HB30" s="2" t="s">
        <v>39</v>
      </c>
      <c r="HC30" s="2" t="s">
        <v>347</v>
      </c>
      <c r="HD30" s="2" t="s">
        <v>44</v>
      </c>
      <c r="HE30" s="2" t="s">
        <v>47</v>
      </c>
      <c r="HF30" s="2" t="s">
        <v>47</v>
      </c>
      <c r="HG30" s="2" t="s">
        <v>60</v>
      </c>
      <c r="HH30" s="2" t="s">
        <v>59</v>
      </c>
      <c r="HI30" s="2" t="s">
        <v>58</v>
      </c>
      <c r="HJ30" s="2" t="s">
        <v>353</v>
      </c>
      <c r="HK30" s="2" t="s">
        <v>44</v>
      </c>
      <c r="HL30" s="2" t="s">
        <v>47</v>
      </c>
      <c r="HM30" s="2" t="s">
        <v>47</v>
      </c>
      <c r="HN30" s="2" t="s">
        <v>59</v>
      </c>
      <c r="HO30" s="2" t="s">
        <v>58</v>
      </c>
      <c r="HP30" s="2" t="s">
        <v>59</v>
      </c>
      <c r="HQ30" s="2" t="s">
        <v>359</v>
      </c>
      <c r="HR30" s="2" t="s">
        <v>43</v>
      </c>
      <c r="HS30" s="2" t="s">
        <v>47</v>
      </c>
      <c r="HT30" s="2" t="s">
        <v>47</v>
      </c>
      <c r="HU30" s="2" t="s">
        <v>60</v>
      </c>
      <c r="HV30" s="2" t="s">
        <v>57</v>
      </c>
      <c r="HW30" s="2" t="s">
        <v>59</v>
      </c>
      <c r="HX30" s="2" t="s">
        <v>365</v>
      </c>
      <c r="HY30" s="2" t="s">
        <v>44</v>
      </c>
      <c r="HZ30" s="2" t="s">
        <v>46</v>
      </c>
      <c r="IA30" s="2" t="s">
        <v>46</v>
      </c>
      <c r="IB30" s="2" t="s">
        <v>58</v>
      </c>
      <c r="IC30" s="2" t="s">
        <v>58</v>
      </c>
      <c r="ID30" s="2" t="s">
        <v>59</v>
      </c>
      <c r="IE30" s="2" t="s">
        <v>371</v>
      </c>
      <c r="IF30" s="2" t="s">
        <v>43</v>
      </c>
      <c r="IG30" s="2" t="s">
        <v>46</v>
      </c>
      <c r="IH30" s="2" t="s">
        <v>45</v>
      </c>
      <c r="II30" s="2" t="s">
        <v>57</v>
      </c>
      <c r="IJ30" s="2" t="s">
        <v>60</v>
      </c>
      <c r="IK30" s="2" t="s">
        <v>59</v>
      </c>
    </row>
    <row r="31" spans="1:245" x14ac:dyDescent="0.25">
      <c r="A31" s="2" t="s">
        <v>335</v>
      </c>
      <c r="B31" s="2" t="s">
        <v>338</v>
      </c>
      <c r="C31" s="2" t="s">
        <v>339</v>
      </c>
      <c r="D31" s="2" t="s">
        <v>43</v>
      </c>
      <c r="E31" s="2" t="s">
        <v>45</v>
      </c>
      <c r="F31" s="2" t="s">
        <v>45</v>
      </c>
      <c r="G31" s="2" t="s">
        <v>57</v>
      </c>
      <c r="H31" s="2" t="s">
        <v>58</v>
      </c>
      <c r="I31" s="2" t="s">
        <v>59</v>
      </c>
      <c r="J31" s="2" t="s">
        <v>340</v>
      </c>
      <c r="K31" s="2" t="s">
        <v>43</v>
      </c>
      <c r="L31" s="2" t="s">
        <v>46</v>
      </c>
      <c r="M31" s="2" t="s">
        <v>46</v>
      </c>
      <c r="N31" s="2" t="s">
        <v>58</v>
      </c>
      <c r="O31" s="2" t="s">
        <v>57</v>
      </c>
      <c r="P31" s="2" t="s">
        <v>58</v>
      </c>
      <c r="Q31" s="2" t="s">
        <v>341</v>
      </c>
      <c r="R31" s="2" t="s">
        <v>43</v>
      </c>
      <c r="S31" s="2" t="s">
        <v>47</v>
      </c>
      <c r="T31" s="2" t="s">
        <v>47</v>
      </c>
      <c r="U31" s="2" t="s">
        <v>58</v>
      </c>
      <c r="V31" s="2" t="s">
        <v>58</v>
      </c>
      <c r="W31" s="2" t="s">
        <v>58</v>
      </c>
      <c r="X31" s="2" t="s">
        <v>344</v>
      </c>
      <c r="Y31" s="2" t="s">
        <v>346</v>
      </c>
      <c r="Z31" s="2" t="s">
        <v>40</v>
      </c>
      <c r="AA31" s="2" t="s">
        <v>351</v>
      </c>
      <c r="AB31" s="2" t="s">
        <v>44</v>
      </c>
      <c r="AC31" s="2" t="s">
        <v>45</v>
      </c>
      <c r="AD31" s="2" t="s">
        <v>47</v>
      </c>
      <c r="AE31" s="2" t="s">
        <v>57</v>
      </c>
      <c r="AF31" s="2" t="s">
        <v>58</v>
      </c>
      <c r="AG31" s="2" t="s">
        <v>60</v>
      </c>
      <c r="AH31" s="2" t="s">
        <v>357</v>
      </c>
      <c r="AI31" s="2" t="s">
        <v>43</v>
      </c>
      <c r="AJ31" s="2" t="s">
        <v>47</v>
      </c>
      <c r="AK31" s="2" t="s">
        <v>46</v>
      </c>
      <c r="AL31" s="2" t="s">
        <v>58</v>
      </c>
      <c r="AM31" s="2" t="s">
        <v>57</v>
      </c>
      <c r="AN31" s="2" t="s">
        <v>59</v>
      </c>
      <c r="AO31" s="2" t="s">
        <v>363</v>
      </c>
      <c r="AP31" s="2" t="s">
        <v>43</v>
      </c>
      <c r="AQ31" s="2" t="s">
        <v>45</v>
      </c>
      <c r="AR31" s="2" t="s">
        <v>45</v>
      </c>
      <c r="AS31" s="2" t="s">
        <v>58</v>
      </c>
      <c r="AT31" s="2" t="s">
        <v>58</v>
      </c>
      <c r="AU31" s="2" t="s">
        <v>60</v>
      </c>
      <c r="AV31" s="2" t="s">
        <v>369</v>
      </c>
      <c r="AW31" s="2" t="s">
        <v>43</v>
      </c>
      <c r="AX31" s="2" t="s">
        <v>47</v>
      </c>
      <c r="AY31" s="2" t="s">
        <v>47</v>
      </c>
      <c r="AZ31" s="2" t="s">
        <v>59</v>
      </c>
      <c r="BA31" s="2" t="s">
        <v>57</v>
      </c>
      <c r="BB31" s="2" t="s">
        <v>57</v>
      </c>
      <c r="BC31" s="2" t="s">
        <v>372</v>
      </c>
      <c r="BD31" s="2" t="s">
        <v>372</v>
      </c>
      <c r="BE31" s="2" t="s">
        <v>372</v>
      </c>
      <c r="BF31" s="2" t="s">
        <v>372</v>
      </c>
      <c r="BG31" s="2" t="s">
        <v>372</v>
      </c>
      <c r="BH31" s="2" t="s">
        <v>372</v>
      </c>
      <c r="BI31" s="2" t="s">
        <v>372</v>
      </c>
      <c r="BJ31" s="2" t="s">
        <v>39</v>
      </c>
      <c r="BK31" s="2" t="s">
        <v>349</v>
      </c>
      <c r="BL31" s="2" t="s">
        <v>43</v>
      </c>
      <c r="BM31" s="2" t="s">
        <v>47</v>
      </c>
      <c r="BN31" s="2" t="s">
        <v>46</v>
      </c>
      <c r="BO31" s="2" t="s">
        <v>59</v>
      </c>
      <c r="BP31" s="2" t="s">
        <v>59</v>
      </c>
      <c r="BQ31" s="2" t="s">
        <v>58</v>
      </c>
      <c r="BR31" s="2" t="s">
        <v>355</v>
      </c>
      <c r="BS31" s="2" t="s">
        <v>43</v>
      </c>
      <c r="BT31" s="2" t="s">
        <v>47</v>
      </c>
      <c r="BU31" s="2" t="s">
        <v>47</v>
      </c>
      <c r="BV31" s="2" t="s">
        <v>59</v>
      </c>
      <c r="BW31" s="2" t="s">
        <v>60</v>
      </c>
      <c r="BX31" s="2" t="s">
        <v>60</v>
      </c>
      <c r="BY31" s="2" t="s">
        <v>361</v>
      </c>
      <c r="BZ31" s="2" t="s">
        <v>44</v>
      </c>
      <c r="CA31" s="2" t="s">
        <v>47</v>
      </c>
      <c r="CB31" s="2" t="s">
        <v>47</v>
      </c>
      <c r="CC31" s="2" t="s">
        <v>59</v>
      </c>
      <c r="CD31" s="2" t="s">
        <v>60</v>
      </c>
      <c r="CE31" s="2" t="s">
        <v>57</v>
      </c>
      <c r="CF31" s="2" t="s">
        <v>367</v>
      </c>
      <c r="CG31" s="2" t="s">
        <v>43</v>
      </c>
      <c r="CH31" s="2" t="s">
        <v>46</v>
      </c>
      <c r="CI31" s="2" t="s">
        <v>46</v>
      </c>
      <c r="CJ31" s="2" t="s">
        <v>58</v>
      </c>
      <c r="CK31" s="2" t="s">
        <v>59</v>
      </c>
      <c r="CL31" s="2" t="s">
        <v>58</v>
      </c>
      <c r="CM31" s="2" t="s">
        <v>373</v>
      </c>
      <c r="CN31" s="2" t="s">
        <v>44</v>
      </c>
      <c r="CO31" s="2" t="s">
        <v>46</v>
      </c>
      <c r="CP31" s="2" t="s">
        <v>46</v>
      </c>
      <c r="CQ31" s="2" t="s">
        <v>58</v>
      </c>
      <c r="CR31" s="2" t="s">
        <v>58</v>
      </c>
      <c r="CS31" s="2" t="s">
        <v>57</v>
      </c>
      <c r="CT31" s="2" t="s">
        <v>342</v>
      </c>
      <c r="CU31" s="2" t="s">
        <v>346</v>
      </c>
      <c r="CV31" s="2" t="s">
        <v>40</v>
      </c>
      <c r="CW31" s="2" t="s">
        <v>352</v>
      </c>
      <c r="CX31" s="2" t="s">
        <v>44</v>
      </c>
      <c r="CY31" s="2" t="s">
        <v>45</v>
      </c>
      <c r="CZ31" s="2" t="s">
        <v>47</v>
      </c>
      <c r="DA31" s="2" t="s">
        <v>57</v>
      </c>
      <c r="DB31" s="2" t="s">
        <v>58</v>
      </c>
      <c r="DC31" s="2" t="s">
        <v>58</v>
      </c>
      <c r="DD31" s="2" t="s">
        <v>358</v>
      </c>
      <c r="DE31" s="2" t="s">
        <v>43</v>
      </c>
      <c r="DF31" s="2" t="s">
        <v>47</v>
      </c>
      <c r="DG31" s="2" t="s">
        <v>47</v>
      </c>
      <c r="DH31" s="2" t="s">
        <v>57</v>
      </c>
      <c r="DI31" s="2" t="s">
        <v>60</v>
      </c>
      <c r="DJ31" s="2" t="s">
        <v>59</v>
      </c>
      <c r="DK31" s="2" t="s">
        <v>364</v>
      </c>
      <c r="DL31" s="2" t="s">
        <v>43</v>
      </c>
      <c r="DM31" s="2" t="s">
        <v>45</v>
      </c>
      <c r="DN31" s="2" t="s">
        <v>47</v>
      </c>
      <c r="DO31" s="2" t="s">
        <v>60</v>
      </c>
      <c r="DP31" s="2" t="s">
        <v>57</v>
      </c>
      <c r="DQ31" s="2" t="s">
        <v>58</v>
      </c>
      <c r="DR31" s="2" t="s">
        <v>370</v>
      </c>
      <c r="DS31" s="2" t="s">
        <v>44</v>
      </c>
      <c r="DT31" s="2" t="s">
        <v>46</v>
      </c>
      <c r="DU31" s="2" t="s">
        <v>46</v>
      </c>
      <c r="DV31" s="2" t="s">
        <v>60</v>
      </c>
      <c r="DW31" s="2" t="s">
        <v>59</v>
      </c>
      <c r="DX31" s="2" t="s">
        <v>60</v>
      </c>
      <c r="DY31" s="2" t="s">
        <v>372</v>
      </c>
      <c r="DZ31" s="2" t="s">
        <v>372</v>
      </c>
      <c r="EA31" s="2" t="s">
        <v>372</v>
      </c>
      <c r="EB31" s="2" t="s">
        <v>372</v>
      </c>
      <c r="EC31" s="2" t="s">
        <v>372</v>
      </c>
      <c r="ED31" s="2" t="s">
        <v>372</v>
      </c>
      <c r="EE31" s="2" t="s">
        <v>372</v>
      </c>
      <c r="EF31" s="2" t="s">
        <v>39</v>
      </c>
      <c r="EG31" s="2" t="s">
        <v>347</v>
      </c>
      <c r="EH31" s="2" t="s">
        <v>44</v>
      </c>
      <c r="EI31" s="2" t="s">
        <v>47</v>
      </c>
      <c r="EJ31" s="2" t="s">
        <v>46</v>
      </c>
      <c r="EK31" s="2" t="s">
        <v>60</v>
      </c>
      <c r="EL31" s="2" t="s">
        <v>59</v>
      </c>
      <c r="EM31" s="2" t="s">
        <v>58</v>
      </c>
      <c r="EN31" s="2" t="s">
        <v>353</v>
      </c>
      <c r="EO31" s="2" t="s">
        <v>44</v>
      </c>
      <c r="EP31" s="2" t="s">
        <v>47</v>
      </c>
      <c r="EQ31" s="2" t="s">
        <v>47</v>
      </c>
      <c r="ER31" s="2" t="s">
        <v>59</v>
      </c>
      <c r="ES31" s="2" t="s">
        <v>58</v>
      </c>
      <c r="ET31" s="2" t="s">
        <v>59</v>
      </c>
      <c r="EU31" s="2" t="s">
        <v>359</v>
      </c>
      <c r="EV31" s="2" t="s">
        <v>43</v>
      </c>
      <c r="EW31" s="2" t="s">
        <v>47</v>
      </c>
      <c r="EX31" s="2" t="s">
        <v>47</v>
      </c>
      <c r="EY31" s="2" t="s">
        <v>60</v>
      </c>
      <c r="EZ31" s="2" t="s">
        <v>57</v>
      </c>
      <c r="FA31" s="2" t="s">
        <v>59</v>
      </c>
      <c r="FB31" s="2" t="s">
        <v>365</v>
      </c>
      <c r="FC31" s="2" t="s">
        <v>44</v>
      </c>
      <c r="FD31" s="2" t="s">
        <v>46</v>
      </c>
      <c r="FE31" s="2" t="s">
        <v>46</v>
      </c>
      <c r="FF31" s="2" t="s">
        <v>58</v>
      </c>
      <c r="FG31" s="2" t="s">
        <v>58</v>
      </c>
      <c r="FH31" s="2" t="s">
        <v>59</v>
      </c>
      <c r="FI31" s="2" t="s">
        <v>371</v>
      </c>
      <c r="FJ31" s="2" t="s">
        <v>43</v>
      </c>
      <c r="FK31" s="2" t="s">
        <v>46</v>
      </c>
      <c r="FL31" s="2" t="s">
        <v>46</v>
      </c>
      <c r="FM31" s="2" t="s">
        <v>57</v>
      </c>
      <c r="FN31" s="2" t="s">
        <v>60</v>
      </c>
      <c r="FO31" s="2" t="s">
        <v>59</v>
      </c>
      <c r="FP31" s="2" t="s">
        <v>343</v>
      </c>
      <c r="FQ31" s="2" t="s">
        <v>346</v>
      </c>
      <c r="FR31" s="2" t="s">
        <v>40</v>
      </c>
      <c r="FS31" s="2" t="s">
        <v>348</v>
      </c>
      <c r="FT31" s="2" t="s">
        <v>44</v>
      </c>
      <c r="FU31" s="2" t="s">
        <v>47</v>
      </c>
      <c r="FV31" s="2" t="s">
        <v>47</v>
      </c>
      <c r="FW31" s="2" t="s">
        <v>57</v>
      </c>
      <c r="FX31" s="2" t="s">
        <v>57</v>
      </c>
      <c r="FY31" s="2" t="s">
        <v>58</v>
      </c>
      <c r="FZ31" s="2" t="s">
        <v>354</v>
      </c>
      <c r="GA31" s="2" t="s">
        <v>44</v>
      </c>
      <c r="GB31" s="2" t="s">
        <v>45</v>
      </c>
      <c r="GC31" s="2" t="s">
        <v>47</v>
      </c>
      <c r="GD31" s="2" t="s">
        <v>59</v>
      </c>
      <c r="GE31" s="2" t="s">
        <v>57</v>
      </c>
      <c r="GF31" s="2" t="s">
        <v>60</v>
      </c>
      <c r="GG31" s="2" t="s">
        <v>360</v>
      </c>
      <c r="GH31" s="2" t="s">
        <v>44</v>
      </c>
      <c r="GI31" s="2" t="s">
        <v>45</v>
      </c>
      <c r="GJ31" s="2" t="s">
        <v>45</v>
      </c>
      <c r="GK31" s="2" t="s">
        <v>60</v>
      </c>
      <c r="GL31" s="2" t="s">
        <v>60</v>
      </c>
      <c r="GM31" s="2" t="s">
        <v>60</v>
      </c>
      <c r="GN31" s="2" t="s">
        <v>366</v>
      </c>
      <c r="GO31" s="2" t="s">
        <v>43</v>
      </c>
      <c r="GP31" s="2" t="s">
        <v>47</v>
      </c>
      <c r="GQ31" s="2" t="s">
        <v>46</v>
      </c>
      <c r="GR31" s="2" t="s">
        <v>60</v>
      </c>
      <c r="GS31" s="2" t="s">
        <v>60</v>
      </c>
      <c r="GT31" s="2" t="s">
        <v>60</v>
      </c>
      <c r="GU31" s="2" t="s">
        <v>372</v>
      </c>
      <c r="GV31" s="2" t="s">
        <v>372</v>
      </c>
      <c r="GW31" s="2" t="s">
        <v>372</v>
      </c>
      <c r="GX31" s="2" t="s">
        <v>372</v>
      </c>
      <c r="GY31" s="2" t="s">
        <v>372</v>
      </c>
      <c r="GZ31" s="2" t="s">
        <v>372</v>
      </c>
      <c r="HA31" s="2" t="s">
        <v>372</v>
      </c>
      <c r="HB31" s="2" t="s">
        <v>39</v>
      </c>
      <c r="HC31" s="2" t="s">
        <v>350</v>
      </c>
      <c r="HD31" s="2" t="s">
        <v>44</v>
      </c>
      <c r="HE31" s="2" t="s">
        <v>45</v>
      </c>
      <c r="HF31" s="2" t="s">
        <v>45</v>
      </c>
      <c r="HG31" s="2" t="s">
        <v>60</v>
      </c>
      <c r="HH31" s="2" t="s">
        <v>58</v>
      </c>
      <c r="HI31" s="2" t="s">
        <v>57</v>
      </c>
      <c r="HJ31" s="2" t="s">
        <v>356</v>
      </c>
      <c r="HK31" s="2" t="s">
        <v>43</v>
      </c>
      <c r="HL31" s="2" t="s">
        <v>46</v>
      </c>
      <c r="HM31" s="2" t="s">
        <v>45</v>
      </c>
      <c r="HN31" s="2" t="s">
        <v>60</v>
      </c>
      <c r="HO31" s="2" t="s">
        <v>57</v>
      </c>
      <c r="HP31" s="2" t="s">
        <v>60</v>
      </c>
      <c r="HQ31" s="2" t="s">
        <v>362</v>
      </c>
      <c r="HR31" s="2" t="s">
        <v>44</v>
      </c>
      <c r="HS31" s="2" t="s">
        <v>46</v>
      </c>
      <c r="HT31" s="2" t="s">
        <v>46</v>
      </c>
      <c r="HU31" s="2" t="s">
        <v>58</v>
      </c>
      <c r="HV31" s="2" t="s">
        <v>57</v>
      </c>
      <c r="HW31" s="2" t="s">
        <v>59</v>
      </c>
      <c r="HX31" s="2" t="s">
        <v>368</v>
      </c>
      <c r="HY31" s="2" t="s">
        <v>43</v>
      </c>
      <c r="HZ31" s="2" t="s">
        <v>47</v>
      </c>
      <c r="IA31" s="2" t="s">
        <v>47</v>
      </c>
      <c r="IB31" s="2" t="s">
        <v>58</v>
      </c>
      <c r="IC31" s="2" t="s">
        <v>58</v>
      </c>
      <c r="ID31" s="2" t="s">
        <v>59</v>
      </c>
      <c r="IE31" s="2" t="s">
        <v>374</v>
      </c>
      <c r="IF31" s="2" t="s">
        <v>43</v>
      </c>
      <c r="IG31" s="2" t="s">
        <v>45</v>
      </c>
      <c r="IH31" s="2" t="s">
        <v>45</v>
      </c>
      <c r="II31" s="2" t="s">
        <v>60</v>
      </c>
      <c r="IJ31" s="2" t="s">
        <v>57</v>
      </c>
      <c r="IK31" s="2" t="s">
        <v>57</v>
      </c>
    </row>
  </sheetData>
  <conditionalFormatting sqref="X2:X31">
    <cfRule type="containsText" dxfId="288" priority="4" operator="containsText" text="עמודות מוערמות">
      <formula>NOT(ISERROR(SEARCH("עמודות מוערמות",X2)))</formula>
    </cfRule>
    <cfRule type="containsText" dxfId="287" priority="5" operator="containsText" text="רדאר">
      <formula>NOT(ISERROR(SEARCH("רדאר",X2)))</formula>
    </cfRule>
    <cfRule type="containsText" dxfId="286" priority="6" operator="containsText" text="מפת חום">
      <formula>NOT(ISERROR(SEARCH("מפת חום",X2)))</formula>
    </cfRule>
  </conditionalFormatting>
  <conditionalFormatting sqref="Y2:Y31">
    <cfRule type="containsText" dxfId="285" priority="13" operator="containsText" text="אופטימלי ← תת-אופטימלי">
      <formula>NOT(ISERROR(SEARCH("אופטימלי ← תת-אופטימלי",Y2)))</formula>
    </cfRule>
    <cfRule type="containsText" dxfId="284" priority="14" operator="containsText" text="תת-אופטימלי ← אופטימלי">
      <formula>NOT(ISERROR(SEARCH("תת-אופטימלי ← אופטימלי",Y2)))</formula>
    </cfRule>
  </conditionalFormatting>
  <conditionalFormatting sqref="Z2:Z31">
    <cfRule type="containsText" dxfId="283" priority="19" operator="containsText" text="OPT">
      <formula>NOT(ISERROR(SEARCH("OPT",Z2)))</formula>
    </cfRule>
    <cfRule type="containsText" dxfId="282" priority="20" operator="containsText" text="SUB">
      <formula>NOT(ISERROR(SEARCH("SUB",Z2)))</formula>
    </cfRule>
  </conditionalFormatting>
  <conditionalFormatting sqref="AB2:AB31">
    <cfRule type="containsText" dxfId="281" priority="21" operator="containsText" text="E">
      <formula>NOT(ISERROR(SEARCH("E",AB2)))</formula>
    </cfRule>
    <cfRule type="containsText" dxfId="280" priority="22" operator="containsText" text="H">
      <formula>NOT(ISERROR(SEARCH("H",AB2)))</formula>
    </cfRule>
  </conditionalFormatting>
  <conditionalFormatting sqref="AD2:AD31">
    <cfRule type="expression" dxfId="279" priority="23">
      <formula>INDIRECT(ADDRESS(ROW(),30,1))&lt;&gt;INDIRECT(ADDRESS(ROW(),29,1))</formula>
    </cfRule>
  </conditionalFormatting>
  <conditionalFormatting sqref="AI2:AI31">
    <cfRule type="containsText" dxfId="278" priority="24" operator="containsText" text="E">
      <formula>NOT(ISERROR(SEARCH("E",AI2)))</formula>
    </cfRule>
    <cfRule type="containsText" dxfId="277" priority="25" operator="containsText" text="H">
      <formula>NOT(ISERROR(SEARCH("H",AI2)))</formula>
    </cfRule>
  </conditionalFormatting>
  <conditionalFormatting sqref="AK2:AK31">
    <cfRule type="expression" dxfId="276" priority="26">
      <formula>INDIRECT(ADDRESS(ROW(),37,1))&lt;&gt;INDIRECT(ADDRESS(ROW(),36,1))</formula>
    </cfRule>
  </conditionalFormatting>
  <conditionalFormatting sqref="AP2:AP31">
    <cfRule type="containsText" dxfId="275" priority="27" operator="containsText" text="E">
      <formula>NOT(ISERROR(SEARCH("E",AP2)))</formula>
    </cfRule>
    <cfRule type="containsText" dxfId="274" priority="28" operator="containsText" text="H">
      <formula>NOT(ISERROR(SEARCH("H",AP2)))</formula>
    </cfRule>
  </conditionalFormatting>
  <conditionalFormatting sqref="AR2:AR31">
    <cfRule type="expression" dxfId="273" priority="29">
      <formula>INDIRECT(ADDRESS(ROW(),44,1))&lt;&gt;INDIRECT(ADDRESS(ROW(),43,1))</formula>
    </cfRule>
  </conditionalFormatting>
  <conditionalFormatting sqref="AW2:AW31">
    <cfRule type="containsText" dxfId="272" priority="30" operator="containsText" text="E">
      <formula>NOT(ISERROR(SEARCH("E",AW2)))</formula>
    </cfRule>
    <cfRule type="containsText" dxfId="271" priority="31" operator="containsText" text="H">
      <formula>NOT(ISERROR(SEARCH("H",AW2)))</formula>
    </cfRule>
  </conditionalFormatting>
  <conditionalFormatting sqref="AY2:AY31">
    <cfRule type="expression" dxfId="270" priority="32">
      <formula>INDIRECT(ADDRESS(ROW(),51,1))&lt;&gt;INDIRECT(ADDRESS(ROW(),50,1))</formula>
    </cfRule>
  </conditionalFormatting>
  <conditionalFormatting sqref="BD2:BD31">
    <cfRule type="containsText" dxfId="269" priority="34" operator="containsText" text="H">
      <formula>NOT(ISERROR(SEARCH("H",BD2)))</formula>
    </cfRule>
    <cfRule type="containsText" dxfId="268" priority="33" operator="containsText" text="E">
      <formula>NOT(ISERROR(SEARCH("E",BD2)))</formula>
    </cfRule>
  </conditionalFormatting>
  <conditionalFormatting sqref="BF2:BF31">
    <cfRule type="expression" dxfId="267" priority="35">
      <formula>INDIRECT(ADDRESS(ROW(),58,1))&lt;&gt;INDIRECT(ADDRESS(ROW(),57,1))</formula>
    </cfRule>
  </conditionalFormatting>
  <conditionalFormatting sqref="BJ2:BJ31">
    <cfRule type="containsText" dxfId="266" priority="37" operator="containsText" text="SUB">
      <formula>NOT(ISERROR(SEARCH("SUB",BJ2)))</formula>
    </cfRule>
    <cfRule type="containsText" dxfId="265" priority="36" operator="containsText" text="OPT">
      <formula>NOT(ISERROR(SEARCH("OPT",BJ2)))</formula>
    </cfRule>
  </conditionalFormatting>
  <conditionalFormatting sqref="BL2:BL31">
    <cfRule type="containsText" dxfId="264" priority="39" operator="containsText" text="H">
      <formula>NOT(ISERROR(SEARCH("H",BL2)))</formula>
    </cfRule>
    <cfRule type="containsText" dxfId="263" priority="38" operator="containsText" text="E">
      <formula>NOT(ISERROR(SEARCH("E",BL2)))</formula>
    </cfRule>
  </conditionalFormatting>
  <conditionalFormatting sqref="BN2:BN31">
    <cfRule type="expression" dxfId="262" priority="40">
      <formula>INDIRECT(ADDRESS(ROW(),66,1))&lt;&gt;INDIRECT(ADDRESS(ROW(),65,1))</formula>
    </cfRule>
  </conditionalFormatting>
  <conditionalFormatting sqref="BS2:BS31">
    <cfRule type="containsText" dxfId="261" priority="41" operator="containsText" text="E">
      <formula>NOT(ISERROR(SEARCH("E",BS2)))</formula>
    </cfRule>
    <cfRule type="containsText" dxfId="260" priority="42" operator="containsText" text="H">
      <formula>NOT(ISERROR(SEARCH("H",BS2)))</formula>
    </cfRule>
  </conditionalFormatting>
  <conditionalFormatting sqref="BU2:BU31">
    <cfRule type="expression" dxfId="259" priority="43">
      <formula>INDIRECT(ADDRESS(ROW(),73,1))&lt;&gt;INDIRECT(ADDRESS(ROW(),72,1))</formula>
    </cfRule>
  </conditionalFormatting>
  <conditionalFormatting sqref="BZ2:BZ31">
    <cfRule type="containsText" dxfId="258" priority="44" operator="containsText" text="E">
      <formula>NOT(ISERROR(SEARCH("E",BZ2)))</formula>
    </cfRule>
    <cfRule type="containsText" dxfId="257" priority="45" operator="containsText" text="H">
      <formula>NOT(ISERROR(SEARCH("H",BZ2)))</formula>
    </cfRule>
  </conditionalFormatting>
  <conditionalFormatting sqref="CB2:CB31">
    <cfRule type="expression" dxfId="256" priority="46">
      <formula>INDIRECT(ADDRESS(ROW(),80,1))&lt;&gt;INDIRECT(ADDRESS(ROW(),79,1))</formula>
    </cfRule>
  </conditionalFormatting>
  <conditionalFormatting sqref="CG2:CG31">
    <cfRule type="containsText" dxfId="255" priority="47" operator="containsText" text="E">
      <formula>NOT(ISERROR(SEARCH("E",CG2)))</formula>
    </cfRule>
    <cfRule type="containsText" dxfId="254" priority="48" operator="containsText" text="H">
      <formula>NOT(ISERROR(SEARCH("H",CG2)))</formula>
    </cfRule>
  </conditionalFormatting>
  <conditionalFormatting sqref="CI2:CI31">
    <cfRule type="expression" dxfId="253" priority="49">
      <formula>INDIRECT(ADDRESS(ROW(),87,1))&lt;&gt;INDIRECT(ADDRESS(ROW(),86,1))</formula>
    </cfRule>
  </conditionalFormatting>
  <conditionalFormatting sqref="CN2:CN31">
    <cfRule type="containsText" dxfId="252" priority="50" operator="containsText" text="E">
      <formula>NOT(ISERROR(SEARCH("E",CN2)))</formula>
    </cfRule>
    <cfRule type="containsText" dxfId="251" priority="51" operator="containsText" text="H">
      <formula>NOT(ISERROR(SEARCH("H",CN2)))</formula>
    </cfRule>
  </conditionalFormatting>
  <conditionalFormatting sqref="CP2:CP31">
    <cfRule type="expression" dxfId="250" priority="52">
      <formula>INDIRECT(ADDRESS(ROW(),94,1))&lt;&gt;INDIRECT(ADDRESS(ROW(),93,1))</formula>
    </cfRule>
  </conditionalFormatting>
  <conditionalFormatting sqref="CT2:CT31">
    <cfRule type="containsText" dxfId="249" priority="9" operator="containsText" text="מפת חום">
      <formula>NOT(ISERROR(SEARCH("מפת חום",CT2)))</formula>
    </cfRule>
    <cfRule type="containsText" dxfId="248" priority="8" operator="containsText" text="רדאר">
      <formula>NOT(ISERROR(SEARCH("רדאר",CT2)))</formula>
    </cfRule>
    <cfRule type="containsText" dxfId="247" priority="7" operator="containsText" text="עמודות מוערמות">
      <formula>NOT(ISERROR(SEARCH("עמודות מוערמות",CT2)))</formula>
    </cfRule>
  </conditionalFormatting>
  <conditionalFormatting sqref="CU2:CU31">
    <cfRule type="containsText" dxfId="246" priority="15" operator="containsText" text="אופטימלי ← תת-אופטימלי">
      <formula>NOT(ISERROR(SEARCH("אופטימלי ← תת-אופטימלי",CU2)))</formula>
    </cfRule>
    <cfRule type="containsText" dxfId="245" priority="16" operator="containsText" text="תת-אופטימלי ← אופטימלי">
      <formula>NOT(ISERROR(SEARCH("תת-אופטימלי ← אופטימלי",CU2)))</formula>
    </cfRule>
  </conditionalFormatting>
  <conditionalFormatting sqref="CV2:CV31">
    <cfRule type="containsText" dxfId="244" priority="53" operator="containsText" text="OPT">
      <formula>NOT(ISERROR(SEARCH("OPT",CV2)))</formula>
    </cfRule>
    <cfRule type="containsText" dxfId="243" priority="54" operator="containsText" text="SUB">
      <formula>NOT(ISERROR(SEARCH("SUB",CV2)))</formula>
    </cfRule>
  </conditionalFormatting>
  <conditionalFormatting sqref="CX2:CX31">
    <cfRule type="containsText" dxfId="242" priority="56" operator="containsText" text="H">
      <formula>NOT(ISERROR(SEARCH("H",CX2)))</formula>
    </cfRule>
    <cfRule type="containsText" dxfId="241" priority="55" operator="containsText" text="E">
      <formula>NOT(ISERROR(SEARCH("E",CX2)))</formula>
    </cfRule>
  </conditionalFormatting>
  <conditionalFormatting sqref="CZ2:CZ31">
    <cfRule type="expression" dxfId="240" priority="57">
      <formula>INDIRECT(ADDRESS(ROW(),104,1))&lt;&gt;INDIRECT(ADDRESS(ROW(),103,1))</formula>
    </cfRule>
  </conditionalFormatting>
  <conditionalFormatting sqref="DE2:DE31">
    <cfRule type="containsText" dxfId="239" priority="59" operator="containsText" text="H">
      <formula>NOT(ISERROR(SEARCH("H",DE2)))</formula>
    </cfRule>
    <cfRule type="containsText" dxfId="238" priority="58" operator="containsText" text="E">
      <formula>NOT(ISERROR(SEARCH("E",DE2)))</formula>
    </cfRule>
  </conditionalFormatting>
  <conditionalFormatting sqref="DG2:DG31">
    <cfRule type="expression" dxfId="237" priority="60">
      <formula>INDIRECT(ADDRESS(ROW(),111,1))&lt;&gt;INDIRECT(ADDRESS(ROW(),110,1))</formula>
    </cfRule>
  </conditionalFormatting>
  <conditionalFormatting sqref="DL2:DL31">
    <cfRule type="containsText" dxfId="236" priority="62" operator="containsText" text="H">
      <formula>NOT(ISERROR(SEARCH("H",DL2)))</formula>
    </cfRule>
    <cfRule type="containsText" dxfId="235" priority="61" operator="containsText" text="E">
      <formula>NOT(ISERROR(SEARCH("E",DL2)))</formula>
    </cfRule>
  </conditionalFormatting>
  <conditionalFormatting sqref="DN2:DN31">
    <cfRule type="expression" dxfId="234" priority="63">
      <formula>INDIRECT(ADDRESS(ROW(),118,1))&lt;&gt;INDIRECT(ADDRESS(ROW(),117,1))</formula>
    </cfRule>
  </conditionalFormatting>
  <conditionalFormatting sqref="DS2:DS31">
    <cfRule type="containsText" dxfId="233" priority="65" operator="containsText" text="H">
      <formula>NOT(ISERROR(SEARCH("H",DS2)))</formula>
    </cfRule>
    <cfRule type="containsText" dxfId="232" priority="64" operator="containsText" text="E">
      <formula>NOT(ISERROR(SEARCH("E",DS2)))</formula>
    </cfRule>
  </conditionalFormatting>
  <conditionalFormatting sqref="DU2:DU31">
    <cfRule type="expression" dxfId="231" priority="66">
      <formula>INDIRECT(ADDRESS(ROW(),125,1))&lt;&gt;INDIRECT(ADDRESS(ROW(),124,1))</formula>
    </cfRule>
  </conditionalFormatting>
  <conditionalFormatting sqref="DZ2:DZ31">
    <cfRule type="containsText" dxfId="230" priority="67" operator="containsText" text="E">
      <formula>NOT(ISERROR(SEARCH("E",DZ2)))</formula>
    </cfRule>
    <cfRule type="containsText" dxfId="229" priority="68" operator="containsText" text="H">
      <formula>NOT(ISERROR(SEARCH("H",DZ2)))</formula>
    </cfRule>
  </conditionalFormatting>
  <conditionalFormatting sqref="EB2:EB19 EB29:EB30 EB24">
    <cfRule type="expression" dxfId="228" priority="69">
      <formula>INDIRECT(ADDRESS(ROW(),132,1))&lt;&gt;INDIRECT(ADDRESS(ROW(),131,1))</formula>
    </cfRule>
  </conditionalFormatting>
  <conditionalFormatting sqref="EF2:EF31">
    <cfRule type="containsText" dxfId="227" priority="70" operator="containsText" text="OPT">
      <formula>NOT(ISERROR(SEARCH("OPT",EF2)))</formula>
    </cfRule>
    <cfRule type="containsText" dxfId="226" priority="71" operator="containsText" text="SUB">
      <formula>NOT(ISERROR(SEARCH("SUB",EF2)))</formula>
    </cfRule>
  </conditionalFormatting>
  <conditionalFormatting sqref="EH2:EH31">
    <cfRule type="containsText" dxfId="225" priority="72" operator="containsText" text="E">
      <formula>NOT(ISERROR(SEARCH("E",EH2)))</formula>
    </cfRule>
    <cfRule type="containsText" dxfId="224" priority="73" operator="containsText" text="H">
      <formula>NOT(ISERROR(SEARCH("H",EH2)))</formula>
    </cfRule>
  </conditionalFormatting>
  <conditionalFormatting sqref="EJ2:EJ31">
    <cfRule type="expression" dxfId="223" priority="74">
      <formula>INDIRECT(ADDRESS(ROW(),140,1))&lt;&gt;INDIRECT(ADDRESS(ROW(),139,1))</formula>
    </cfRule>
  </conditionalFormatting>
  <conditionalFormatting sqref="EO2:EO31">
    <cfRule type="containsText" dxfId="222" priority="75" operator="containsText" text="E">
      <formula>NOT(ISERROR(SEARCH("E",EO2)))</formula>
    </cfRule>
    <cfRule type="containsText" dxfId="221" priority="76" operator="containsText" text="H">
      <formula>NOT(ISERROR(SEARCH("H",EO2)))</formula>
    </cfRule>
  </conditionalFormatting>
  <conditionalFormatting sqref="EQ2:EQ31">
    <cfRule type="expression" dxfId="220" priority="77">
      <formula>INDIRECT(ADDRESS(ROW(),147,1))&lt;&gt;INDIRECT(ADDRESS(ROW(),146,1))</formula>
    </cfRule>
  </conditionalFormatting>
  <conditionalFormatting sqref="EV2:EV31">
    <cfRule type="containsText" dxfId="219" priority="78" operator="containsText" text="E">
      <formula>NOT(ISERROR(SEARCH("E",EV2)))</formula>
    </cfRule>
    <cfRule type="containsText" dxfId="218" priority="79" operator="containsText" text="H">
      <formula>NOT(ISERROR(SEARCH("H",EV2)))</formula>
    </cfRule>
  </conditionalFormatting>
  <conditionalFormatting sqref="EX2:EX31">
    <cfRule type="expression" dxfId="217" priority="80">
      <formula>INDIRECT(ADDRESS(ROW(),154,1))&lt;&gt;INDIRECT(ADDRESS(ROW(),153,1))</formula>
    </cfRule>
  </conditionalFormatting>
  <conditionalFormatting sqref="FC2:FC31">
    <cfRule type="containsText" dxfId="216" priority="81" operator="containsText" text="E">
      <formula>NOT(ISERROR(SEARCH("E",FC2)))</formula>
    </cfRule>
    <cfRule type="containsText" dxfId="215" priority="82" operator="containsText" text="H">
      <formula>NOT(ISERROR(SEARCH("H",FC2)))</formula>
    </cfRule>
  </conditionalFormatting>
  <conditionalFormatting sqref="FE2:FE31">
    <cfRule type="expression" dxfId="214" priority="83">
      <formula>INDIRECT(ADDRESS(ROW(),161,1))&lt;&gt;INDIRECT(ADDRESS(ROW(),160,1))</formula>
    </cfRule>
  </conditionalFormatting>
  <conditionalFormatting sqref="FJ2:FJ31">
    <cfRule type="containsText" dxfId="213" priority="84" operator="containsText" text="E">
      <formula>NOT(ISERROR(SEARCH("E",FJ2)))</formula>
    </cfRule>
    <cfRule type="containsText" dxfId="212" priority="85" operator="containsText" text="H">
      <formula>NOT(ISERROR(SEARCH("H",FJ2)))</formula>
    </cfRule>
  </conditionalFormatting>
  <conditionalFormatting sqref="FL2 FL31 FL25:FL28 FL20:FL23 FL17:FL18 FL15 FL13 FL6">
    <cfRule type="expression" dxfId="211" priority="86">
      <formula>INDIRECT(ADDRESS(ROW(),168,1))&lt;&gt;INDIRECT(ADDRESS(ROW(),167,1))</formula>
    </cfRule>
  </conditionalFormatting>
  <conditionalFormatting sqref="FP2:FP31">
    <cfRule type="containsText" dxfId="210" priority="11" operator="containsText" text="רדאר">
      <formula>NOT(ISERROR(SEARCH("רדאר",FP2)))</formula>
    </cfRule>
    <cfRule type="containsText" dxfId="209" priority="12" operator="containsText" text="מפת חום">
      <formula>NOT(ISERROR(SEARCH("מפת חום",FP2)))</formula>
    </cfRule>
    <cfRule type="containsText" dxfId="208" priority="10" operator="containsText" text="עמודות מוערמות">
      <formula>NOT(ISERROR(SEARCH("עמודות מוערמות",FP2)))</formula>
    </cfRule>
  </conditionalFormatting>
  <conditionalFormatting sqref="FQ2:FQ31">
    <cfRule type="containsText" dxfId="207" priority="17" operator="containsText" text="אופטימלי ← תת-אופטימלי">
      <formula>NOT(ISERROR(SEARCH("אופטימלי ← תת-אופטימלי",FQ2)))</formula>
    </cfRule>
    <cfRule type="containsText" dxfId="206" priority="18" operator="containsText" text="תת-אופטימלי ← אופטימלי">
      <formula>NOT(ISERROR(SEARCH("תת-אופטימלי ← אופטימלי",FQ2)))</formula>
    </cfRule>
  </conditionalFormatting>
  <conditionalFormatting sqref="FR2:FR31">
    <cfRule type="containsText" dxfId="205" priority="87" operator="containsText" text="OPT">
      <formula>NOT(ISERROR(SEARCH("OPT",FR2)))</formula>
    </cfRule>
    <cfRule type="containsText" dxfId="204" priority="88" operator="containsText" text="SUB">
      <formula>NOT(ISERROR(SEARCH("SUB",FR2)))</formula>
    </cfRule>
  </conditionalFormatting>
  <conditionalFormatting sqref="FT2:FT31">
    <cfRule type="containsText" dxfId="203" priority="89" operator="containsText" text="E">
      <formula>NOT(ISERROR(SEARCH("E",FT2)))</formula>
    </cfRule>
    <cfRule type="containsText" dxfId="202" priority="90" operator="containsText" text="H">
      <formula>NOT(ISERROR(SEARCH("H",FT2)))</formula>
    </cfRule>
  </conditionalFormatting>
  <conditionalFormatting sqref="FV2:FV31">
    <cfRule type="expression" dxfId="201" priority="91">
      <formula>INDIRECT(ADDRESS(ROW(),178,1))&lt;&gt;INDIRECT(ADDRESS(ROW(),177,1))</formula>
    </cfRule>
  </conditionalFormatting>
  <conditionalFormatting sqref="GA2:GA31">
    <cfRule type="containsText" dxfId="200" priority="92" operator="containsText" text="E">
      <formula>NOT(ISERROR(SEARCH("E",GA2)))</formula>
    </cfRule>
    <cfRule type="containsText" dxfId="199" priority="93" operator="containsText" text="H">
      <formula>NOT(ISERROR(SEARCH("H",GA2)))</formula>
    </cfRule>
  </conditionalFormatting>
  <conditionalFormatting sqref="GC2:GC31">
    <cfRule type="expression" dxfId="198" priority="94">
      <formula>INDIRECT(ADDRESS(ROW(),185,1))&lt;&gt;INDIRECT(ADDRESS(ROW(),184,1))</formula>
    </cfRule>
  </conditionalFormatting>
  <conditionalFormatting sqref="GH2:GH31">
    <cfRule type="containsText" dxfId="197" priority="95" operator="containsText" text="E">
      <formula>NOT(ISERROR(SEARCH("E",GH2)))</formula>
    </cfRule>
    <cfRule type="containsText" dxfId="196" priority="96" operator="containsText" text="H">
      <formula>NOT(ISERROR(SEARCH("H",GH2)))</formula>
    </cfRule>
  </conditionalFormatting>
  <conditionalFormatting sqref="GJ2:GJ31">
    <cfRule type="expression" dxfId="195" priority="97">
      <formula>INDIRECT(ADDRESS(ROW(),192,1))&lt;&gt;INDIRECT(ADDRESS(ROW(),191,1))</formula>
    </cfRule>
  </conditionalFormatting>
  <conditionalFormatting sqref="GO2:GO31">
    <cfRule type="containsText" dxfId="194" priority="98" operator="containsText" text="E">
      <formula>NOT(ISERROR(SEARCH("E",GO2)))</formula>
    </cfRule>
    <cfRule type="containsText" dxfId="193" priority="99" operator="containsText" text="H">
      <formula>NOT(ISERROR(SEARCH("H",GO2)))</formula>
    </cfRule>
  </conditionalFormatting>
  <conditionalFormatting sqref="GQ2:GQ31">
    <cfRule type="expression" dxfId="192" priority="100">
      <formula>INDIRECT(ADDRESS(ROW(),199,1))&lt;&gt;INDIRECT(ADDRESS(ROW(),198,1))</formula>
    </cfRule>
  </conditionalFormatting>
  <conditionalFormatting sqref="GV2:GV31">
    <cfRule type="containsText" dxfId="191" priority="101" operator="containsText" text="E">
      <formula>NOT(ISERROR(SEARCH("E",GV2)))</formula>
    </cfRule>
    <cfRule type="containsText" dxfId="190" priority="102" operator="containsText" text="H">
      <formula>NOT(ISERROR(SEARCH("H",GV2)))</formula>
    </cfRule>
  </conditionalFormatting>
  <conditionalFormatting sqref="GX3:GX6 GX27 GX23 GX20:GX21 GX17:GX18 GX14 GX12 GX9:GX10">
    <cfRule type="expression" dxfId="189" priority="103">
      <formula>INDIRECT(ADDRESS(ROW(),206,1))&lt;&gt;INDIRECT(ADDRESS(ROW(),205,1))</formula>
    </cfRule>
  </conditionalFormatting>
  <conditionalFormatting sqref="HB2:HB31">
    <cfRule type="containsText" dxfId="188" priority="104" operator="containsText" text="OPT">
      <formula>NOT(ISERROR(SEARCH("OPT",HB2)))</formula>
    </cfRule>
    <cfRule type="containsText" dxfId="187" priority="105" operator="containsText" text="SUB">
      <formula>NOT(ISERROR(SEARCH("SUB",HB2)))</formula>
    </cfRule>
  </conditionalFormatting>
  <conditionalFormatting sqref="HD2:HD31">
    <cfRule type="containsText" dxfId="186" priority="106" operator="containsText" text="E">
      <formula>NOT(ISERROR(SEARCH("E",HD2)))</formula>
    </cfRule>
    <cfRule type="containsText" dxfId="185" priority="107" operator="containsText" text="H">
      <formula>NOT(ISERROR(SEARCH("H",HD2)))</formula>
    </cfRule>
  </conditionalFormatting>
  <conditionalFormatting sqref="HF2:HF31">
    <cfRule type="expression" dxfId="184" priority="108">
      <formula>INDIRECT(ADDRESS(ROW(),214,1))&lt;&gt;INDIRECT(ADDRESS(ROW(),213,1))</formula>
    </cfRule>
  </conditionalFormatting>
  <conditionalFormatting sqref="HK2:HK31">
    <cfRule type="containsText" dxfId="183" priority="109" operator="containsText" text="E">
      <formula>NOT(ISERROR(SEARCH("E",HK2)))</formula>
    </cfRule>
    <cfRule type="containsText" dxfId="182" priority="110" operator="containsText" text="H">
      <formula>NOT(ISERROR(SEARCH("H",HK2)))</formula>
    </cfRule>
  </conditionalFormatting>
  <conditionalFormatting sqref="HM2:HM31">
    <cfRule type="expression" dxfId="181" priority="111">
      <formula>INDIRECT(ADDRESS(ROW(),221,1))&lt;&gt;INDIRECT(ADDRESS(ROW(),220,1))</formula>
    </cfRule>
  </conditionalFormatting>
  <conditionalFormatting sqref="HR2:HR31">
    <cfRule type="containsText" dxfId="180" priority="112" operator="containsText" text="E">
      <formula>NOT(ISERROR(SEARCH("E",HR2)))</formula>
    </cfRule>
    <cfRule type="containsText" dxfId="179" priority="113" operator="containsText" text="H">
      <formula>NOT(ISERROR(SEARCH("H",HR2)))</formula>
    </cfRule>
  </conditionalFormatting>
  <conditionalFormatting sqref="HT2:HT31">
    <cfRule type="expression" dxfId="178" priority="114">
      <formula>INDIRECT(ADDRESS(ROW(),228,1))&lt;&gt;INDIRECT(ADDRESS(ROW(),227,1))</formula>
    </cfRule>
  </conditionalFormatting>
  <conditionalFormatting sqref="HY2:HY31">
    <cfRule type="containsText" dxfId="177" priority="115" operator="containsText" text="E">
      <formula>NOT(ISERROR(SEARCH("E",HY2)))</formula>
    </cfRule>
    <cfRule type="containsText" dxfId="176" priority="116" operator="containsText" text="H">
      <formula>NOT(ISERROR(SEARCH("H",HY2)))</formula>
    </cfRule>
  </conditionalFormatting>
  <conditionalFormatting sqref="IA2:IA31">
    <cfRule type="expression" dxfId="175" priority="117">
      <formula>INDIRECT(ADDRESS(ROW(),235,1))&lt;&gt;INDIRECT(ADDRESS(ROW(),234,1))</formula>
    </cfRule>
  </conditionalFormatting>
  <conditionalFormatting sqref="IF2:IF31">
    <cfRule type="containsText" dxfId="174" priority="118" operator="containsText" text="E">
      <formula>NOT(ISERROR(SEARCH("E",IF2)))</formula>
    </cfRule>
    <cfRule type="containsText" dxfId="173" priority="119" operator="containsText" text="H">
      <formula>NOT(ISERROR(SEARCH("H",IF2)))</formula>
    </cfRule>
  </conditionalFormatting>
  <conditionalFormatting sqref="IH2 IH22 IH24:IH26 IH28:IH31 IH19 IH15:IH16 IH13 IH11 IH7:IH8">
    <cfRule type="expression" dxfId="172" priority="120">
      <formula>INDIRECT(ADDRESS(ROW(),242,1))&lt;&gt;INDIRECT(ADDRESS(ROW(),241,1))</formula>
    </cfRule>
  </conditionalFormatting>
  <conditionalFormatting sqref="B2:B31">
    <cfRule type="containsText" dxfId="169" priority="3" operator="containsText" text="עמודות מוערמות ← רדאר ← מפת חום">
      <formula>NOT(ISERROR(SEARCH("עמודות מוערמות ← רדאר ← מפת חום",B2)))</formula>
    </cfRule>
    <cfRule type="containsText" dxfId="171" priority="2" operator="containsText" text="רדאר ← מפת חום ← עמודות מוערמות">
      <formula>NOT(ISERROR(SEARCH("רדאר ← מפת חום ← עמודות מוערמות",B2)))</formula>
    </cfRule>
    <cfRule type="containsText" dxfId="170" priority="1" operator="containsText" text="מפת חום ← עמודות מוערמות ← רדאר">
      <formula>NOT(ISERROR(SEARCH("מפת חום ← עמודות מוערמות ← רדאר",B2)))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4471"/>
  <sheetViews>
    <sheetView rightToLeft="1" workbookViewId="0">
      <pane xSplit="1" ySplit="1" topLeftCell="X54" activePane="bottomRight" state="frozen"/>
      <selection pane="topRight" activeCell="B1" sqref="B1"/>
      <selection pane="bottomLeft" activeCell="A2" sqref="A2"/>
      <selection pane="bottomRight" activeCell="AE6" sqref="AE6"/>
    </sheetView>
  </sheetViews>
  <sheetFormatPr defaultRowHeight="15" x14ac:dyDescent="0.25"/>
  <cols>
    <col min="1" max="1" width="15.5703125" style="2" customWidth="1"/>
    <col min="2" max="2" width="14.5703125" style="2" customWidth="1"/>
    <col min="3" max="3" width="17.85546875" style="2" customWidth="1"/>
    <col min="4" max="4" width="11.42578125" style="2" customWidth="1"/>
    <col min="5" max="5" width="13.140625" style="2" customWidth="1"/>
    <col min="6" max="6" width="14.5703125" style="2" customWidth="1"/>
    <col min="7" max="7" width="16.7109375" style="2" customWidth="1"/>
    <col min="8" max="8" width="13.5703125" style="2" customWidth="1"/>
    <col min="9" max="9" width="13" style="2" customWidth="1"/>
    <col min="10" max="10" width="9.28515625" style="2" customWidth="1"/>
    <col min="11" max="11" width="19.140625" style="2" customWidth="1"/>
    <col min="12" max="12" width="17.28515625" style="2" customWidth="1"/>
    <col min="13" max="13" width="14.140625" style="2" customWidth="1"/>
    <col min="14" max="14" width="17.85546875" style="2" customWidth="1"/>
    <col min="15" max="15" width="13.140625" style="2" customWidth="1"/>
    <col min="16" max="16" width="9.28515625" style="2" customWidth="1"/>
    <col min="17" max="17" width="25.5703125" style="2" customWidth="1"/>
    <col min="18" max="18" width="25.140625" style="2" customWidth="1"/>
    <col min="19" max="19" width="29.140625" style="2" customWidth="1"/>
    <col min="20" max="20" width="28.5703125" style="2" customWidth="1"/>
    <col min="21" max="21" width="29.140625" style="2" customWidth="1"/>
    <col min="22" max="22" width="28.5703125" style="2" customWidth="1"/>
    <col min="23" max="23" width="29.140625" style="2" customWidth="1"/>
    <col min="24" max="24" width="28.5703125" style="2" customWidth="1"/>
    <col min="25" max="25" width="12.42578125" style="2" customWidth="1"/>
    <col min="26" max="26" width="9.140625" style="2"/>
    <col min="27" max="27" width="16.7109375" style="2" customWidth="1"/>
    <col min="28" max="28" width="18.140625" style="2" customWidth="1"/>
    <col min="29" max="29" width="16" style="2" customWidth="1"/>
    <col min="30" max="30" width="16.28515625" style="2" customWidth="1"/>
    <col min="31" max="31" width="20.140625" style="2" customWidth="1"/>
    <col min="32" max="32" width="20.42578125" style="2" customWidth="1"/>
    <col min="33" max="33" width="17.5703125" style="2" customWidth="1"/>
    <col min="34" max="34" width="17.85546875" style="2" customWidth="1"/>
    <col min="35" max="42" width="14.28515625" style="2" customWidth="1"/>
    <col min="43" max="16384" width="9.140625" style="2"/>
  </cols>
  <sheetData>
    <row r="1" spans="1:42" x14ac:dyDescent="0.25">
      <c r="A1" s="3" t="s">
        <v>61</v>
      </c>
      <c r="B1" s="3" t="s">
        <v>375</v>
      </c>
      <c r="C1" s="3" t="s">
        <v>376</v>
      </c>
      <c r="D1" s="3" t="s">
        <v>377</v>
      </c>
      <c r="E1" s="3" t="s">
        <v>378</v>
      </c>
      <c r="F1" s="3" t="s">
        <v>379</v>
      </c>
      <c r="G1" s="3" t="s">
        <v>380</v>
      </c>
      <c r="H1" s="3" t="s">
        <v>0</v>
      </c>
      <c r="I1" s="3" t="s">
        <v>510</v>
      </c>
      <c r="J1" s="3" t="s">
        <v>511</v>
      </c>
      <c r="K1" s="3" t="s">
        <v>512</v>
      </c>
      <c r="L1" s="3" t="s">
        <v>513</v>
      </c>
      <c r="M1" s="3" t="s">
        <v>514</v>
      </c>
      <c r="N1" s="3" t="s">
        <v>515</v>
      </c>
      <c r="O1" s="3" t="s">
        <v>381</v>
      </c>
      <c r="P1" s="3" t="s">
        <v>382</v>
      </c>
      <c r="Q1" s="3" t="s">
        <v>383</v>
      </c>
      <c r="R1" s="3" t="s">
        <v>384</v>
      </c>
      <c r="S1" s="3" t="s">
        <v>385</v>
      </c>
      <c r="T1" s="3" t="s">
        <v>386</v>
      </c>
      <c r="U1" s="3" t="s">
        <v>387</v>
      </c>
      <c r="V1" s="3" t="s">
        <v>388</v>
      </c>
      <c r="W1" s="3" t="s">
        <v>389</v>
      </c>
      <c r="X1" s="3" t="s">
        <v>390</v>
      </c>
      <c r="Y1" s="3" t="s">
        <v>391</v>
      </c>
      <c r="Z1" s="3" t="s">
        <v>392</v>
      </c>
      <c r="AA1" s="3" t="s">
        <v>393</v>
      </c>
      <c r="AB1" s="3" t="s">
        <v>516</v>
      </c>
      <c r="AC1" s="3" t="s">
        <v>517</v>
      </c>
      <c r="AD1" s="3" t="s">
        <v>518</v>
      </c>
      <c r="AE1" s="3" t="s">
        <v>519</v>
      </c>
      <c r="AF1" s="3" t="s">
        <v>520</v>
      </c>
      <c r="AG1" s="3" t="s">
        <v>521</v>
      </c>
      <c r="AH1" s="3" t="s">
        <v>522</v>
      </c>
      <c r="AI1" s="3" t="s">
        <v>394</v>
      </c>
      <c r="AJ1" s="3" t="s">
        <v>395</v>
      </c>
      <c r="AK1" s="3" t="s">
        <v>396</v>
      </c>
      <c r="AL1" s="3" t="s">
        <v>397</v>
      </c>
      <c r="AM1" s="3" t="s">
        <v>398</v>
      </c>
      <c r="AN1" s="3" t="s">
        <v>399</v>
      </c>
      <c r="AO1" s="3" t="s">
        <v>400</v>
      </c>
      <c r="AP1" s="3" t="s">
        <v>401</v>
      </c>
    </row>
    <row r="2" spans="1:42" x14ac:dyDescent="0.25">
      <c r="A2" s="2" t="s">
        <v>306</v>
      </c>
      <c r="B2" s="2" t="s">
        <v>523</v>
      </c>
      <c r="C2" s="2" t="s">
        <v>524</v>
      </c>
      <c r="D2" s="2" t="s">
        <v>524</v>
      </c>
      <c r="E2" s="2" t="s">
        <v>524</v>
      </c>
      <c r="F2" s="2" t="s">
        <v>524</v>
      </c>
      <c r="J2" s="2" t="s">
        <v>525</v>
      </c>
      <c r="O2" s="2" t="s">
        <v>524</v>
      </c>
    </row>
    <row r="3" spans="1:42" x14ac:dyDescent="0.25">
      <c r="A3" s="2" t="s">
        <v>306</v>
      </c>
      <c r="B3" s="2" t="s">
        <v>526</v>
      </c>
      <c r="C3" s="2" t="s">
        <v>524</v>
      </c>
      <c r="D3" s="2" t="s">
        <v>524</v>
      </c>
      <c r="E3" s="2" t="s">
        <v>524</v>
      </c>
      <c r="F3" s="2" t="s">
        <v>524</v>
      </c>
      <c r="J3" s="2" t="s">
        <v>527</v>
      </c>
      <c r="O3" s="2" t="s">
        <v>524</v>
      </c>
    </row>
    <row r="4" spans="1:42" x14ac:dyDescent="0.25">
      <c r="A4" s="2" t="s">
        <v>306</v>
      </c>
      <c r="B4" s="2" t="s">
        <v>402</v>
      </c>
      <c r="C4" s="2" t="s">
        <v>407</v>
      </c>
      <c r="D4" s="2" t="s">
        <v>410</v>
      </c>
      <c r="E4" s="2" t="s">
        <v>413</v>
      </c>
      <c r="F4" s="2" t="s">
        <v>39</v>
      </c>
      <c r="G4" s="2" t="s">
        <v>415</v>
      </c>
      <c r="H4" s="2" t="s">
        <v>373</v>
      </c>
      <c r="S4" s="2" t="s">
        <v>60</v>
      </c>
      <c r="U4" s="2" t="s">
        <v>60</v>
      </c>
      <c r="W4" s="2" t="s">
        <v>60</v>
      </c>
    </row>
    <row r="5" spans="1:42" x14ac:dyDescent="0.25">
      <c r="A5" s="2" t="s">
        <v>306</v>
      </c>
      <c r="B5" s="2" t="s">
        <v>402</v>
      </c>
      <c r="C5" s="2" t="s">
        <v>407</v>
      </c>
      <c r="D5" s="2" t="s">
        <v>410</v>
      </c>
      <c r="E5" s="2" t="s">
        <v>413</v>
      </c>
      <c r="F5" s="2" t="s">
        <v>39</v>
      </c>
      <c r="G5" s="2" t="s">
        <v>416</v>
      </c>
      <c r="H5" s="2" t="s">
        <v>528</v>
      </c>
      <c r="S5" s="2" t="s">
        <v>60</v>
      </c>
      <c r="U5" s="2" t="s">
        <v>59</v>
      </c>
      <c r="W5" s="2" t="s">
        <v>59</v>
      </c>
    </row>
    <row r="6" spans="1:42" x14ac:dyDescent="0.25">
      <c r="A6" s="2" t="s">
        <v>306</v>
      </c>
      <c r="B6" s="2" t="s">
        <v>402</v>
      </c>
      <c r="C6" s="2" t="s">
        <v>407</v>
      </c>
      <c r="D6" s="2" t="s">
        <v>410</v>
      </c>
      <c r="E6" s="2" t="s">
        <v>413</v>
      </c>
      <c r="F6" s="2" t="s">
        <v>39</v>
      </c>
      <c r="G6" s="2" t="s">
        <v>417</v>
      </c>
      <c r="H6" s="2" t="s">
        <v>529</v>
      </c>
      <c r="S6" s="2" t="s">
        <v>57</v>
      </c>
      <c r="U6" s="2" t="s">
        <v>59</v>
      </c>
      <c r="W6" s="2" t="s">
        <v>60</v>
      </c>
    </row>
    <row r="7" spans="1:42" x14ac:dyDescent="0.25">
      <c r="A7" s="2" t="s">
        <v>306</v>
      </c>
      <c r="B7" s="2" t="s">
        <v>402</v>
      </c>
      <c r="C7" s="2" t="s">
        <v>407</v>
      </c>
      <c r="D7" s="2" t="s">
        <v>410</v>
      </c>
      <c r="E7" s="2" t="s">
        <v>413</v>
      </c>
      <c r="F7" s="2" t="s">
        <v>39</v>
      </c>
      <c r="G7" s="2" t="s">
        <v>418</v>
      </c>
      <c r="H7" s="2" t="s">
        <v>347</v>
      </c>
      <c r="S7" s="2" t="s">
        <v>60</v>
      </c>
      <c r="U7" s="2" t="s">
        <v>57</v>
      </c>
      <c r="W7" s="2" t="s">
        <v>59</v>
      </c>
    </row>
    <row r="8" spans="1:42" x14ac:dyDescent="0.25">
      <c r="A8" s="2" t="s">
        <v>306</v>
      </c>
      <c r="B8" s="2" t="s">
        <v>402</v>
      </c>
      <c r="C8" s="2" t="s">
        <v>407</v>
      </c>
      <c r="D8" s="2" t="s">
        <v>410</v>
      </c>
      <c r="E8" s="2" t="s">
        <v>413</v>
      </c>
      <c r="F8" s="2" t="s">
        <v>39</v>
      </c>
      <c r="G8" s="2" t="s">
        <v>419</v>
      </c>
      <c r="H8" s="2" t="s">
        <v>530</v>
      </c>
      <c r="S8" s="2" t="s">
        <v>57</v>
      </c>
      <c r="U8" s="2" t="s">
        <v>60</v>
      </c>
      <c r="W8" s="2" t="s">
        <v>58</v>
      </c>
    </row>
    <row r="9" spans="1:42" x14ac:dyDescent="0.25">
      <c r="A9" s="2" t="s">
        <v>306</v>
      </c>
      <c r="B9" s="2" t="s">
        <v>531</v>
      </c>
      <c r="C9" s="2" t="s">
        <v>407</v>
      </c>
      <c r="D9" s="2" t="s">
        <v>410</v>
      </c>
      <c r="E9" s="2" t="s">
        <v>413</v>
      </c>
      <c r="F9" s="2" t="s">
        <v>39</v>
      </c>
      <c r="J9" s="2" t="s">
        <v>532</v>
      </c>
      <c r="K9" s="2" t="s">
        <v>533</v>
      </c>
      <c r="L9" s="2">
        <v>1</v>
      </c>
      <c r="M9" s="2" t="s">
        <v>534</v>
      </c>
      <c r="O9" s="2" t="s">
        <v>524</v>
      </c>
      <c r="Y9" s="2" t="s">
        <v>535</v>
      </c>
    </row>
    <row r="10" spans="1:42" x14ac:dyDescent="0.25">
      <c r="A10" s="2" t="s">
        <v>306</v>
      </c>
      <c r="B10" s="2" t="s">
        <v>531</v>
      </c>
      <c r="C10" s="2" t="s">
        <v>407</v>
      </c>
      <c r="D10" s="2" t="s">
        <v>410</v>
      </c>
      <c r="E10" s="2" t="s">
        <v>413</v>
      </c>
      <c r="F10" s="2" t="s">
        <v>39</v>
      </c>
      <c r="J10" s="2" t="s">
        <v>532</v>
      </c>
      <c r="K10" s="2" t="s">
        <v>533</v>
      </c>
      <c r="L10" s="2">
        <v>2</v>
      </c>
      <c r="M10" s="2" t="s">
        <v>536</v>
      </c>
      <c r="O10" s="2" t="s">
        <v>524</v>
      </c>
      <c r="Y10" s="2" t="s">
        <v>535</v>
      </c>
    </row>
    <row r="11" spans="1:42" x14ac:dyDescent="0.25">
      <c r="A11" s="2" t="s">
        <v>306</v>
      </c>
      <c r="B11" s="2" t="s">
        <v>531</v>
      </c>
      <c r="C11" s="2" t="s">
        <v>407</v>
      </c>
      <c r="D11" s="2" t="s">
        <v>410</v>
      </c>
      <c r="E11" s="2" t="s">
        <v>413</v>
      </c>
      <c r="F11" s="2" t="s">
        <v>39</v>
      </c>
      <c r="J11" s="2" t="s">
        <v>532</v>
      </c>
      <c r="K11" s="2" t="s">
        <v>533</v>
      </c>
      <c r="L11" s="2">
        <v>3</v>
      </c>
      <c r="M11" s="2" t="s">
        <v>537</v>
      </c>
      <c r="O11" s="2" t="s">
        <v>524</v>
      </c>
      <c r="Y11" s="2" t="s">
        <v>535</v>
      </c>
    </row>
    <row r="12" spans="1:42" x14ac:dyDescent="0.25">
      <c r="A12" s="2" t="s">
        <v>306</v>
      </c>
      <c r="B12" s="2" t="s">
        <v>531</v>
      </c>
      <c r="C12" s="2" t="s">
        <v>407</v>
      </c>
      <c r="D12" s="2" t="s">
        <v>410</v>
      </c>
      <c r="E12" s="2" t="s">
        <v>413</v>
      </c>
      <c r="F12" s="2" t="s">
        <v>39</v>
      </c>
      <c r="J12" s="2" t="s">
        <v>532</v>
      </c>
      <c r="K12" s="2" t="s">
        <v>533</v>
      </c>
      <c r="L12" s="2">
        <v>4</v>
      </c>
      <c r="M12" s="2" t="s">
        <v>538</v>
      </c>
      <c r="O12" s="2" t="s">
        <v>524</v>
      </c>
      <c r="Y12" s="2" t="s">
        <v>535</v>
      </c>
    </row>
    <row r="13" spans="1:42" x14ac:dyDescent="0.25">
      <c r="A13" s="2" t="s">
        <v>306</v>
      </c>
      <c r="B13" s="2" t="s">
        <v>531</v>
      </c>
      <c r="C13" s="2" t="s">
        <v>407</v>
      </c>
      <c r="D13" s="2" t="s">
        <v>410</v>
      </c>
      <c r="E13" s="2" t="s">
        <v>413</v>
      </c>
      <c r="F13" s="2" t="s">
        <v>39</v>
      </c>
      <c r="J13" s="2" t="s">
        <v>532</v>
      </c>
      <c r="K13" s="2" t="s">
        <v>533</v>
      </c>
      <c r="L13" s="2">
        <v>5</v>
      </c>
      <c r="M13" s="2" t="s">
        <v>539</v>
      </c>
      <c r="O13" s="2" t="s">
        <v>524</v>
      </c>
      <c r="Y13" s="2" t="s">
        <v>535</v>
      </c>
    </row>
    <row r="14" spans="1:42" x14ac:dyDescent="0.25">
      <c r="A14" s="2" t="s">
        <v>306</v>
      </c>
      <c r="B14" s="2" t="s">
        <v>540</v>
      </c>
      <c r="C14" s="2" t="s">
        <v>407</v>
      </c>
      <c r="D14" s="2" t="s">
        <v>410</v>
      </c>
      <c r="E14" s="2" t="s">
        <v>413</v>
      </c>
      <c r="F14" s="2" t="s">
        <v>39</v>
      </c>
      <c r="J14" s="2" t="s">
        <v>541</v>
      </c>
      <c r="K14" s="2" t="s">
        <v>542</v>
      </c>
      <c r="L14" s="2">
        <v>1</v>
      </c>
      <c r="M14" s="2" t="s">
        <v>543</v>
      </c>
      <c r="O14" s="2" t="s">
        <v>524</v>
      </c>
      <c r="Y14" s="2" t="s">
        <v>535</v>
      </c>
    </row>
    <row r="15" spans="1:42" x14ac:dyDescent="0.25">
      <c r="A15" s="2" t="s">
        <v>306</v>
      </c>
      <c r="B15" s="2" t="s">
        <v>540</v>
      </c>
      <c r="C15" s="2" t="s">
        <v>407</v>
      </c>
      <c r="D15" s="2" t="s">
        <v>410</v>
      </c>
      <c r="E15" s="2" t="s">
        <v>413</v>
      </c>
      <c r="F15" s="2" t="s">
        <v>39</v>
      </c>
      <c r="J15" s="2" t="s">
        <v>541</v>
      </c>
      <c r="K15" s="2" t="s">
        <v>542</v>
      </c>
      <c r="L15" s="2">
        <v>2</v>
      </c>
      <c r="M15" s="2" t="s">
        <v>544</v>
      </c>
      <c r="O15" s="2" t="s">
        <v>524</v>
      </c>
      <c r="Y15" s="2" t="s">
        <v>535</v>
      </c>
    </row>
    <row r="16" spans="1:42" x14ac:dyDescent="0.25">
      <c r="A16" s="2" t="s">
        <v>306</v>
      </c>
      <c r="B16" s="2" t="s">
        <v>540</v>
      </c>
      <c r="C16" s="2" t="s">
        <v>407</v>
      </c>
      <c r="D16" s="2" t="s">
        <v>410</v>
      </c>
      <c r="E16" s="2" t="s">
        <v>413</v>
      </c>
      <c r="F16" s="2" t="s">
        <v>39</v>
      </c>
      <c r="J16" s="2" t="s">
        <v>541</v>
      </c>
      <c r="K16" s="2" t="s">
        <v>542</v>
      </c>
      <c r="L16" s="2">
        <v>3</v>
      </c>
      <c r="M16" s="2" t="s">
        <v>545</v>
      </c>
      <c r="O16" s="2" t="s">
        <v>524</v>
      </c>
      <c r="Y16" s="2" t="s">
        <v>535</v>
      </c>
    </row>
    <row r="17" spans="1:34" x14ac:dyDescent="0.25">
      <c r="A17" s="2" t="s">
        <v>306</v>
      </c>
      <c r="B17" s="2" t="s">
        <v>540</v>
      </c>
      <c r="C17" s="2" t="s">
        <v>407</v>
      </c>
      <c r="D17" s="2" t="s">
        <v>410</v>
      </c>
      <c r="E17" s="2" t="s">
        <v>413</v>
      </c>
      <c r="F17" s="2" t="s">
        <v>39</v>
      </c>
      <c r="J17" s="2" t="s">
        <v>541</v>
      </c>
      <c r="K17" s="2" t="s">
        <v>542</v>
      </c>
      <c r="L17" s="2">
        <v>4</v>
      </c>
      <c r="M17" s="2" t="s">
        <v>546</v>
      </c>
      <c r="O17" s="2" t="s">
        <v>524</v>
      </c>
      <c r="Y17" s="2" t="s">
        <v>535</v>
      </c>
    </row>
    <row r="18" spans="1:34" x14ac:dyDescent="0.25">
      <c r="A18" s="2" t="s">
        <v>306</v>
      </c>
      <c r="B18" s="2" t="s">
        <v>540</v>
      </c>
      <c r="C18" s="2" t="s">
        <v>407</v>
      </c>
      <c r="D18" s="2" t="s">
        <v>410</v>
      </c>
      <c r="E18" s="2" t="s">
        <v>413</v>
      </c>
      <c r="F18" s="2" t="s">
        <v>39</v>
      </c>
      <c r="J18" s="2" t="s">
        <v>541</v>
      </c>
      <c r="K18" s="2" t="s">
        <v>542</v>
      </c>
      <c r="L18" s="2">
        <v>5</v>
      </c>
      <c r="M18" s="2" t="s">
        <v>547</v>
      </c>
      <c r="O18" s="2" t="s">
        <v>524</v>
      </c>
      <c r="Y18" s="2" t="s">
        <v>535</v>
      </c>
    </row>
    <row r="19" spans="1:34" x14ac:dyDescent="0.25">
      <c r="A19" s="2" t="s">
        <v>306</v>
      </c>
      <c r="B19" s="2" t="s">
        <v>540</v>
      </c>
      <c r="C19" s="2" t="s">
        <v>407</v>
      </c>
      <c r="D19" s="2" t="s">
        <v>410</v>
      </c>
      <c r="E19" s="2" t="s">
        <v>413</v>
      </c>
      <c r="F19" s="2" t="s">
        <v>39</v>
      </c>
      <c r="J19" s="2" t="s">
        <v>541</v>
      </c>
      <c r="K19" s="2" t="s">
        <v>542</v>
      </c>
      <c r="L19" s="2">
        <v>6</v>
      </c>
      <c r="M19" s="2" t="s">
        <v>548</v>
      </c>
      <c r="O19" s="2" t="s">
        <v>524</v>
      </c>
      <c r="Y19" s="2" t="s">
        <v>535</v>
      </c>
    </row>
    <row r="20" spans="1:34" x14ac:dyDescent="0.25">
      <c r="A20" s="2" t="s">
        <v>306</v>
      </c>
      <c r="B20" s="2" t="s">
        <v>540</v>
      </c>
      <c r="C20" s="2" t="s">
        <v>407</v>
      </c>
      <c r="D20" s="2" t="s">
        <v>410</v>
      </c>
      <c r="E20" s="2" t="s">
        <v>413</v>
      </c>
      <c r="F20" s="2" t="s">
        <v>39</v>
      </c>
      <c r="J20" s="2" t="s">
        <v>541</v>
      </c>
      <c r="K20" s="2" t="s">
        <v>542</v>
      </c>
      <c r="L20" s="2">
        <v>7</v>
      </c>
      <c r="M20" s="2" t="s">
        <v>549</v>
      </c>
      <c r="O20" s="2" t="s">
        <v>524</v>
      </c>
      <c r="Y20" s="2" t="s">
        <v>535</v>
      </c>
    </row>
    <row r="21" spans="1:34" x14ac:dyDescent="0.25">
      <c r="A21" s="2" t="s">
        <v>306</v>
      </c>
      <c r="B21" s="2" t="s">
        <v>540</v>
      </c>
      <c r="C21" s="2" t="s">
        <v>407</v>
      </c>
      <c r="D21" s="2" t="s">
        <v>410</v>
      </c>
      <c r="E21" s="2" t="s">
        <v>413</v>
      </c>
      <c r="F21" s="2" t="s">
        <v>39</v>
      </c>
      <c r="J21" s="2" t="s">
        <v>541</v>
      </c>
      <c r="K21" s="2" t="s">
        <v>542</v>
      </c>
      <c r="L21" s="2">
        <v>8</v>
      </c>
      <c r="M21" s="2" t="s">
        <v>550</v>
      </c>
      <c r="O21" s="2" t="s">
        <v>524</v>
      </c>
      <c r="Y21" s="2" t="s">
        <v>535</v>
      </c>
    </row>
    <row r="22" spans="1:34" x14ac:dyDescent="0.25">
      <c r="A22" s="2" t="s">
        <v>306</v>
      </c>
      <c r="B22" s="2" t="s">
        <v>540</v>
      </c>
      <c r="C22" s="2" t="s">
        <v>407</v>
      </c>
      <c r="D22" s="2" t="s">
        <v>410</v>
      </c>
      <c r="E22" s="2" t="s">
        <v>413</v>
      </c>
      <c r="F22" s="2" t="s">
        <v>39</v>
      </c>
      <c r="J22" s="2" t="s">
        <v>541</v>
      </c>
      <c r="K22" s="2" t="s">
        <v>542</v>
      </c>
      <c r="L22" s="2">
        <v>9</v>
      </c>
      <c r="M22" s="2" t="s">
        <v>551</v>
      </c>
      <c r="O22" s="2" t="s">
        <v>524</v>
      </c>
      <c r="Y22" s="2" t="s">
        <v>535</v>
      </c>
    </row>
    <row r="23" spans="1:34" x14ac:dyDescent="0.25">
      <c r="A23" s="2" t="s">
        <v>306</v>
      </c>
      <c r="B23" s="2" t="s">
        <v>540</v>
      </c>
      <c r="C23" s="2" t="s">
        <v>407</v>
      </c>
      <c r="D23" s="2" t="s">
        <v>410</v>
      </c>
      <c r="E23" s="2" t="s">
        <v>413</v>
      </c>
      <c r="F23" s="2" t="s">
        <v>39</v>
      </c>
      <c r="J23" s="2" t="s">
        <v>541</v>
      </c>
      <c r="K23" s="2" t="s">
        <v>542</v>
      </c>
      <c r="L23" s="2">
        <v>10</v>
      </c>
      <c r="M23" s="2" t="s">
        <v>552</v>
      </c>
      <c r="O23" s="2" t="s">
        <v>524</v>
      </c>
      <c r="Y23" s="2" t="s">
        <v>535</v>
      </c>
    </row>
    <row r="24" spans="1:34" x14ac:dyDescent="0.25">
      <c r="A24" s="2" t="s">
        <v>306</v>
      </c>
      <c r="B24" s="2" t="s">
        <v>540</v>
      </c>
      <c r="C24" s="2" t="s">
        <v>407</v>
      </c>
      <c r="D24" s="2" t="s">
        <v>410</v>
      </c>
      <c r="E24" s="2" t="s">
        <v>413</v>
      </c>
      <c r="F24" s="2" t="s">
        <v>39</v>
      </c>
      <c r="J24" s="2" t="s">
        <v>541</v>
      </c>
      <c r="K24" s="2" t="s">
        <v>542</v>
      </c>
      <c r="L24" s="2">
        <v>11</v>
      </c>
      <c r="M24" s="2" t="s">
        <v>553</v>
      </c>
      <c r="O24" s="2" t="s">
        <v>524</v>
      </c>
      <c r="Y24" s="2" t="s">
        <v>535</v>
      </c>
    </row>
    <row r="25" spans="1:34" x14ac:dyDescent="0.25">
      <c r="A25" s="2" t="s">
        <v>306</v>
      </c>
      <c r="B25" s="2" t="s">
        <v>540</v>
      </c>
      <c r="C25" s="2" t="s">
        <v>407</v>
      </c>
      <c r="D25" s="2" t="s">
        <v>410</v>
      </c>
      <c r="E25" s="2" t="s">
        <v>413</v>
      </c>
      <c r="F25" s="2" t="s">
        <v>39</v>
      </c>
      <c r="J25" s="2" t="s">
        <v>541</v>
      </c>
      <c r="K25" s="2" t="s">
        <v>542</v>
      </c>
      <c r="L25" s="2">
        <v>12</v>
      </c>
      <c r="M25" s="2" t="s">
        <v>554</v>
      </c>
      <c r="O25" s="2" t="s">
        <v>524</v>
      </c>
      <c r="Y25" s="2" t="s">
        <v>535</v>
      </c>
    </row>
    <row r="26" spans="1:34" x14ac:dyDescent="0.25">
      <c r="A26" s="2" t="s">
        <v>306</v>
      </c>
      <c r="B26" s="2" t="s">
        <v>555</v>
      </c>
      <c r="C26" s="2" t="s">
        <v>407</v>
      </c>
      <c r="D26" s="2" t="s">
        <v>410</v>
      </c>
      <c r="E26" s="2" t="s">
        <v>413</v>
      </c>
      <c r="F26" s="2" t="s">
        <v>39</v>
      </c>
      <c r="J26" s="2" t="s">
        <v>556</v>
      </c>
      <c r="O26" s="2" t="s">
        <v>524</v>
      </c>
      <c r="Y26" s="2" t="s">
        <v>535</v>
      </c>
      <c r="AB26" s="2">
        <v>1</v>
      </c>
    </row>
    <row r="27" spans="1:34" x14ac:dyDescent="0.25">
      <c r="A27" s="2" t="s">
        <v>306</v>
      </c>
      <c r="B27" s="2" t="s">
        <v>557</v>
      </c>
      <c r="C27" s="2" t="s">
        <v>407</v>
      </c>
      <c r="D27" s="2" t="s">
        <v>410</v>
      </c>
      <c r="E27" s="2" t="s">
        <v>413</v>
      </c>
      <c r="F27" s="2" t="s">
        <v>39</v>
      </c>
      <c r="J27" s="2" t="s">
        <v>558</v>
      </c>
      <c r="O27" s="2" t="s">
        <v>524</v>
      </c>
      <c r="Y27" s="2" t="s">
        <v>535</v>
      </c>
      <c r="AC27" s="2">
        <f>COUNTIFS($B:$B,"BLOCK_LOAD_Q",$A:$A,$A27,$C:$C,$C27,$E:$E,$E27,$F:$F,$F27,$N:$N, "&lt;&gt;")</f>
        <v>0</v>
      </c>
      <c r="AD27" s="2">
        <f>COUNTIFS($B:$B,"BLOCK_TRUST_Q",$A:$A,$A27,$C:$C,$C27,$E:$E,$E27,$F:$F,$F27,$N:$N, "&lt;&gt;")</f>
        <v>0</v>
      </c>
      <c r="AE27" s="2" t="str">
        <f>IFERROR(AVERAGEIFS($P:$P,$B:$B,"BLOCK_LOAD_Q",$A:$A,$A27,$C:$C,$C27,$E:$E,$E27,$F:$F,$F27,$P:$P,"&gt;0"),"")</f>
        <v/>
      </c>
      <c r="AF27" s="2" t="str">
        <f>IFERROR(AVERAGEIFS($P:$P,$B:$B,"BLOCK_TRUST_Q",$A:$A,$A27,$C:$C,$C27,$E:$E,$E27,$F:$F,$F27,$P:$P,"&gt;0"),"")</f>
        <v/>
      </c>
      <c r="AG27" s="2">
        <f>5-AC27</f>
        <v>5</v>
      </c>
      <c r="AH27" s="2">
        <f>12-AD27</f>
        <v>12</v>
      </c>
    </row>
    <row r="28" spans="1:34" x14ac:dyDescent="0.25">
      <c r="A28" s="2" t="s">
        <v>306</v>
      </c>
      <c r="B28" s="2" t="s">
        <v>402</v>
      </c>
      <c r="C28" s="2" t="s">
        <v>407</v>
      </c>
      <c r="D28" s="2" t="s">
        <v>410</v>
      </c>
      <c r="E28" s="2" t="s">
        <v>414</v>
      </c>
      <c r="F28" s="2" t="s">
        <v>40</v>
      </c>
      <c r="G28" s="2" t="s">
        <v>415</v>
      </c>
      <c r="H28" s="2" t="s">
        <v>354</v>
      </c>
      <c r="S28" s="2" t="s">
        <v>59</v>
      </c>
      <c r="U28" s="2" t="s">
        <v>59</v>
      </c>
      <c r="W28" s="2" t="s">
        <v>58</v>
      </c>
    </row>
    <row r="29" spans="1:34" x14ac:dyDescent="0.25">
      <c r="A29" s="2" t="s">
        <v>306</v>
      </c>
      <c r="B29" s="2" t="s">
        <v>402</v>
      </c>
      <c r="C29" s="2" t="s">
        <v>407</v>
      </c>
      <c r="D29" s="2" t="s">
        <v>410</v>
      </c>
      <c r="E29" s="2" t="s">
        <v>414</v>
      </c>
      <c r="F29" s="2" t="s">
        <v>40</v>
      </c>
      <c r="G29" s="2" t="s">
        <v>416</v>
      </c>
      <c r="H29" s="2" t="s">
        <v>559</v>
      </c>
      <c r="S29" s="2" t="s">
        <v>57</v>
      </c>
      <c r="U29" s="2" t="s">
        <v>57</v>
      </c>
      <c r="W29" s="2" t="s">
        <v>58</v>
      </c>
    </row>
    <row r="30" spans="1:34" x14ac:dyDescent="0.25">
      <c r="A30" s="2" t="s">
        <v>306</v>
      </c>
      <c r="B30" s="2" t="s">
        <v>402</v>
      </c>
      <c r="C30" s="2" t="s">
        <v>407</v>
      </c>
      <c r="D30" s="2" t="s">
        <v>410</v>
      </c>
      <c r="E30" s="2" t="s">
        <v>414</v>
      </c>
      <c r="F30" s="2" t="s">
        <v>40</v>
      </c>
      <c r="G30" s="2" t="s">
        <v>417</v>
      </c>
      <c r="H30" s="2" t="s">
        <v>370</v>
      </c>
      <c r="S30" s="2" t="s">
        <v>60</v>
      </c>
      <c r="U30" s="2" t="s">
        <v>58</v>
      </c>
      <c r="W30" s="2" t="s">
        <v>59</v>
      </c>
    </row>
    <row r="31" spans="1:34" x14ac:dyDescent="0.25">
      <c r="A31" s="2" t="s">
        <v>306</v>
      </c>
      <c r="B31" s="2" t="s">
        <v>402</v>
      </c>
      <c r="C31" s="2" t="s">
        <v>407</v>
      </c>
      <c r="D31" s="2" t="s">
        <v>410</v>
      </c>
      <c r="E31" s="2" t="s">
        <v>414</v>
      </c>
      <c r="F31" s="2" t="s">
        <v>40</v>
      </c>
      <c r="G31" s="2" t="s">
        <v>418</v>
      </c>
      <c r="H31" s="2" t="s">
        <v>560</v>
      </c>
      <c r="S31" s="2" t="s">
        <v>57</v>
      </c>
      <c r="U31" s="2" t="s">
        <v>58</v>
      </c>
      <c r="W31" s="2" t="s">
        <v>60</v>
      </c>
    </row>
    <row r="32" spans="1:34" x14ac:dyDescent="0.25">
      <c r="A32" s="2" t="s">
        <v>306</v>
      </c>
      <c r="B32" s="2" t="s">
        <v>531</v>
      </c>
      <c r="C32" s="2" t="s">
        <v>407</v>
      </c>
      <c r="D32" s="2" t="s">
        <v>410</v>
      </c>
      <c r="E32" s="2" t="s">
        <v>414</v>
      </c>
      <c r="F32" s="2" t="s">
        <v>40</v>
      </c>
      <c r="J32" s="2" t="s">
        <v>532</v>
      </c>
      <c r="K32" s="2" t="s">
        <v>533</v>
      </c>
      <c r="L32" s="2">
        <v>1</v>
      </c>
      <c r="M32" s="2" t="s">
        <v>534</v>
      </c>
      <c r="O32" s="2" t="s">
        <v>524</v>
      </c>
      <c r="Y32" s="2" t="s">
        <v>561</v>
      </c>
    </row>
    <row r="33" spans="1:25" x14ac:dyDescent="0.25">
      <c r="A33" s="2" t="s">
        <v>306</v>
      </c>
      <c r="B33" s="2" t="s">
        <v>531</v>
      </c>
      <c r="C33" s="2" t="s">
        <v>407</v>
      </c>
      <c r="D33" s="2" t="s">
        <v>410</v>
      </c>
      <c r="E33" s="2" t="s">
        <v>414</v>
      </c>
      <c r="F33" s="2" t="s">
        <v>40</v>
      </c>
      <c r="J33" s="2" t="s">
        <v>532</v>
      </c>
      <c r="K33" s="2" t="s">
        <v>533</v>
      </c>
      <c r="L33" s="2">
        <v>2</v>
      </c>
      <c r="M33" s="2" t="s">
        <v>536</v>
      </c>
      <c r="O33" s="2" t="s">
        <v>524</v>
      </c>
      <c r="Y33" s="2" t="s">
        <v>561</v>
      </c>
    </row>
    <row r="34" spans="1:25" x14ac:dyDescent="0.25">
      <c r="A34" s="2" t="s">
        <v>306</v>
      </c>
      <c r="B34" s="2" t="s">
        <v>531</v>
      </c>
      <c r="C34" s="2" t="s">
        <v>407</v>
      </c>
      <c r="D34" s="2" t="s">
        <v>410</v>
      </c>
      <c r="E34" s="2" t="s">
        <v>414</v>
      </c>
      <c r="F34" s="2" t="s">
        <v>40</v>
      </c>
      <c r="J34" s="2" t="s">
        <v>532</v>
      </c>
      <c r="K34" s="2" t="s">
        <v>533</v>
      </c>
      <c r="L34" s="2">
        <v>3</v>
      </c>
      <c r="M34" s="2" t="s">
        <v>537</v>
      </c>
      <c r="O34" s="2" t="s">
        <v>524</v>
      </c>
      <c r="Y34" s="2" t="s">
        <v>561</v>
      </c>
    </row>
    <row r="35" spans="1:25" x14ac:dyDescent="0.25">
      <c r="A35" s="2" t="s">
        <v>306</v>
      </c>
      <c r="B35" s="2" t="s">
        <v>531</v>
      </c>
      <c r="C35" s="2" t="s">
        <v>407</v>
      </c>
      <c r="D35" s="2" t="s">
        <v>410</v>
      </c>
      <c r="E35" s="2" t="s">
        <v>414</v>
      </c>
      <c r="F35" s="2" t="s">
        <v>40</v>
      </c>
      <c r="J35" s="2" t="s">
        <v>532</v>
      </c>
      <c r="K35" s="2" t="s">
        <v>533</v>
      </c>
      <c r="L35" s="2">
        <v>4</v>
      </c>
      <c r="M35" s="2" t="s">
        <v>538</v>
      </c>
      <c r="O35" s="2" t="s">
        <v>524</v>
      </c>
      <c r="Y35" s="2" t="s">
        <v>561</v>
      </c>
    </row>
    <row r="36" spans="1:25" x14ac:dyDescent="0.25">
      <c r="A36" s="2" t="s">
        <v>306</v>
      </c>
      <c r="B36" s="2" t="s">
        <v>531</v>
      </c>
      <c r="C36" s="2" t="s">
        <v>407</v>
      </c>
      <c r="D36" s="2" t="s">
        <v>410</v>
      </c>
      <c r="E36" s="2" t="s">
        <v>414</v>
      </c>
      <c r="F36" s="2" t="s">
        <v>40</v>
      </c>
      <c r="J36" s="2" t="s">
        <v>532</v>
      </c>
      <c r="K36" s="2" t="s">
        <v>533</v>
      </c>
      <c r="L36" s="2">
        <v>5</v>
      </c>
      <c r="M36" s="2" t="s">
        <v>539</v>
      </c>
      <c r="O36" s="2" t="s">
        <v>524</v>
      </c>
      <c r="Y36" s="2" t="s">
        <v>561</v>
      </c>
    </row>
    <row r="37" spans="1:25" x14ac:dyDescent="0.25">
      <c r="A37" s="2" t="s">
        <v>306</v>
      </c>
      <c r="B37" s="2" t="s">
        <v>540</v>
      </c>
      <c r="C37" s="2" t="s">
        <v>407</v>
      </c>
      <c r="D37" s="2" t="s">
        <v>410</v>
      </c>
      <c r="E37" s="2" t="s">
        <v>414</v>
      </c>
      <c r="F37" s="2" t="s">
        <v>40</v>
      </c>
      <c r="J37" s="2" t="s">
        <v>541</v>
      </c>
      <c r="K37" s="2" t="s">
        <v>542</v>
      </c>
      <c r="L37" s="2">
        <v>1</v>
      </c>
      <c r="M37" s="2" t="s">
        <v>543</v>
      </c>
      <c r="O37" s="2" t="s">
        <v>524</v>
      </c>
      <c r="Y37" s="2" t="s">
        <v>561</v>
      </c>
    </row>
    <row r="38" spans="1:25" x14ac:dyDescent="0.25">
      <c r="A38" s="2" t="s">
        <v>306</v>
      </c>
      <c r="B38" s="2" t="s">
        <v>540</v>
      </c>
      <c r="C38" s="2" t="s">
        <v>407</v>
      </c>
      <c r="D38" s="2" t="s">
        <v>410</v>
      </c>
      <c r="E38" s="2" t="s">
        <v>414</v>
      </c>
      <c r="F38" s="2" t="s">
        <v>40</v>
      </c>
      <c r="J38" s="2" t="s">
        <v>541</v>
      </c>
      <c r="K38" s="2" t="s">
        <v>542</v>
      </c>
      <c r="L38" s="2">
        <v>2</v>
      </c>
      <c r="M38" s="2" t="s">
        <v>544</v>
      </c>
      <c r="O38" s="2" t="s">
        <v>524</v>
      </c>
      <c r="Y38" s="2" t="s">
        <v>561</v>
      </c>
    </row>
    <row r="39" spans="1:25" x14ac:dyDescent="0.25">
      <c r="A39" s="2" t="s">
        <v>306</v>
      </c>
      <c r="B39" s="2" t="s">
        <v>540</v>
      </c>
      <c r="C39" s="2" t="s">
        <v>407</v>
      </c>
      <c r="D39" s="2" t="s">
        <v>410</v>
      </c>
      <c r="E39" s="2" t="s">
        <v>414</v>
      </c>
      <c r="F39" s="2" t="s">
        <v>40</v>
      </c>
      <c r="J39" s="2" t="s">
        <v>541</v>
      </c>
      <c r="K39" s="2" t="s">
        <v>542</v>
      </c>
      <c r="L39" s="2">
        <v>3</v>
      </c>
      <c r="M39" s="2" t="s">
        <v>545</v>
      </c>
      <c r="O39" s="2" t="s">
        <v>524</v>
      </c>
      <c r="Y39" s="2" t="s">
        <v>561</v>
      </c>
    </row>
    <row r="40" spans="1:25" x14ac:dyDescent="0.25">
      <c r="A40" s="2" t="s">
        <v>306</v>
      </c>
      <c r="B40" s="2" t="s">
        <v>540</v>
      </c>
      <c r="C40" s="2" t="s">
        <v>407</v>
      </c>
      <c r="D40" s="2" t="s">
        <v>410</v>
      </c>
      <c r="E40" s="2" t="s">
        <v>414</v>
      </c>
      <c r="F40" s="2" t="s">
        <v>40</v>
      </c>
      <c r="J40" s="2" t="s">
        <v>541</v>
      </c>
      <c r="K40" s="2" t="s">
        <v>542</v>
      </c>
      <c r="L40" s="2">
        <v>4</v>
      </c>
      <c r="M40" s="2" t="s">
        <v>546</v>
      </c>
      <c r="O40" s="2" t="s">
        <v>524</v>
      </c>
      <c r="Y40" s="2" t="s">
        <v>561</v>
      </c>
    </row>
    <row r="41" spans="1:25" x14ac:dyDescent="0.25">
      <c r="A41" s="2" t="s">
        <v>306</v>
      </c>
      <c r="B41" s="2" t="s">
        <v>540</v>
      </c>
      <c r="C41" s="2" t="s">
        <v>407</v>
      </c>
      <c r="D41" s="2" t="s">
        <v>410</v>
      </c>
      <c r="E41" s="2" t="s">
        <v>414</v>
      </c>
      <c r="F41" s="2" t="s">
        <v>40</v>
      </c>
      <c r="J41" s="2" t="s">
        <v>541</v>
      </c>
      <c r="K41" s="2" t="s">
        <v>542</v>
      </c>
      <c r="L41" s="2">
        <v>5</v>
      </c>
      <c r="M41" s="2" t="s">
        <v>547</v>
      </c>
      <c r="O41" s="2" t="s">
        <v>524</v>
      </c>
      <c r="Y41" s="2" t="s">
        <v>561</v>
      </c>
    </row>
    <row r="42" spans="1:25" x14ac:dyDescent="0.25">
      <c r="A42" s="2" t="s">
        <v>306</v>
      </c>
      <c r="B42" s="2" t="s">
        <v>540</v>
      </c>
      <c r="C42" s="2" t="s">
        <v>407</v>
      </c>
      <c r="D42" s="2" t="s">
        <v>410</v>
      </c>
      <c r="E42" s="2" t="s">
        <v>414</v>
      </c>
      <c r="F42" s="2" t="s">
        <v>40</v>
      </c>
      <c r="J42" s="2" t="s">
        <v>541</v>
      </c>
      <c r="K42" s="2" t="s">
        <v>542</v>
      </c>
      <c r="L42" s="2">
        <v>6</v>
      </c>
      <c r="M42" s="2" t="s">
        <v>548</v>
      </c>
      <c r="O42" s="2" t="s">
        <v>524</v>
      </c>
      <c r="Y42" s="2" t="s">
        <v>561</v>
      </c>
    </row>
    <row r="43" spans="1:25" x14ac:dyDescent="0.25">
      <c r="A43" s="2" t="s">
        <v>306</v>
      </c>
      <c r="B43" s="2" t="s">
        <v>540</v>
      </c>
      <c r="C43" s="2" t="s">
        <v>407</v>
      </c>
      <c r="D43" s="2" t="s">
        <v>410</v>
      </c>
      <c r="E43" s="2" t="s">
        <v>414</v>
      </c>
      <c r="F43" s="2" t="s">
        <v>40</v>
      </c>
      <c r="J43" s="2" t="s">
        <v>541</v>
      </c>
      <c r="K43" s="2" t="s">
        <v>542</v>
      </c>
      <c r="L43" s="2">
        <v>7</v>
      </c>
      <c r="M43" s="2" t="s">
        <v>549</v>
      </c>
      <c r="O43" s="2" t="s">
        <v>524</v>
      </c>
      <c r="Y43" s="2" t="s">
        <v>561</v>
      </c>
    </row>
    <row r="44" spans="1:25" x14ac:dyDescent="0.25">
      <c r="A44" s="2" t="s">
        <v>306</v>
      </c>
      <c r="B44" s="2" t="s">
        <v>540</v>
      </c>
      <c r="C44" s="2" t="s">
        <v>407</v>
      </c>
      <c r="D44" s="2" t="s">
        <v>410</v>
      </c>
      <c r="E44" s="2" t="s">
        <v>414</v>
      </c>
      <c r="F44" s="2" t="s">
        <v>40</v>
      </c>
      <c r="J44" s="2" t="s">
        <v>541</v>
      </c>
      <c r="K44" s="2" t="s">
        <v>542</v>
      </c>
      <c r="L44" s="2">
        <v>8</v>
      </c>
      <c r="M44" s="2" t="s">
        <v>550</v>
      </c>
      <c r="O44" s="2" t="s">
        <v>524</v>
      </c>
      <c r="Y44" s="2" t="s">
        <v>561</v>
      </c>
    </row>
    <row r="45" spans="1:25" x14ac:dyDescent="0.25">
      <c r="A45" s="2" t="s">
        <v>306</v>
      </c>
      <c r="B45" s="2" t="s">
        <v>540</v>
      </c>
      <c r="C45" s="2" t="s">
        <v>407</v>
      </c>
      <c r="D45" s="2" t="s">
        <v>410</v>
      </c>
      <c r="E45" s="2" t="s">
        <v>414</v>
      </c>
      <c r="F45" s="2" t="s">
        <v>40</v>
      </c>
      <c r="J45" s="2" t="s">
        <v>541</v>
      </c>
      <c r="K45" s="2" t="s">
        <v>542</v>
      </c>
      <c r="L45" s="2">
        <v>9</v>
      </c>
      <c r="M45" s="2" t="s">
        <v>551</v>
      </c>
      <c r="O45" s="2" t="s">
        <v>524</v>
      </c>
      <c r="Y45" s="2" t="s">
        <v>561</v>
      </c>
    </row>
    <row r="46" spans="1:25" x14ac:dyDescent="0.25">
      <c r="A46" s="2" t="s">
        <v>306</v>
      </c>
      <c r="B46" s="2" t="s">
        <v>540</v>
      </c>
      <c r="C46" s="2" t="s">
        <v>407</v>
      </c>
      <c r="D46" s="2" t="s">
        <v>410</v>
      </c>
      <c r="E46" s="2" t="s">
        <v>414</v>
      </c>
      <c r="F46" s="2" t="s">
        <v>40</v>
      </c>
      <c r="J46" s="2" t="s">
        <v>541</v>
      </c>
      <c r="K46" s="2" t="s">
        <v>542</v>
      </c>
      <c r="L46" s="2">
        <v>10</v>
      </c>
      <c r="M46" s="2" t="s">
        <v>552</v>
      </c>
      <c r="O46" s="2" t="s">
        <v>524</v>
      </c>
      <c r="Y46" s="2" t="s">
        <v>561</v>
      </c>
    </row>
    <row r="47" spans="1:25" x14ac:dyDescent="0.25">
      <c r="A47" s="2" t="s">
        <v>306</v>
      </c>
      <c r="B47" s="2" t="s">
        <v>540</v>
      </c>
      <c r="C47" s="2" t="s">
        <v>407</v>
      </c>
      <c r="D47" s="2" t="s">
        <v>410</v>
      </c>
      <c r="E47" s="2" t="s">
        <v>414</v>
      </c>
      <c r="F47" s="2" t="s">
        <v>40</v>
      </c>
      <c r="J47" s="2" t="s">
        <v>541</v>
      </c>
      <c r="K47" s="2" t="s">
        <v>542</v>
      </c>
      <c r="L47" s="2">
        <v>11</v>
      </c>
      <c r="M47" s="2" t="s">
        <v>553</v>
      </c>
      <c r="O47" s="2" t="s">
        <v>524</v>
      </c>
      <c r="Y47" s="2" t="s">
        <v>561</v>
      </c>
    </row>
    <row r="48" spans="1:25" x14ac:dyDescent="0.25">
      <c r="A48" s="2" t="s">
        <v>306</v>
      </c>
      <c r="B48" s="2" t="s">
        <v>540</v>
      </c>
      <c r="C48" s="2" t="s">
        <v>407</v>
      </c>
      <c r="D48" s="2" t="s">
        <v>410</v>
      </c>
      <c r="E48" s="2" t="s">
        <v>414</v>
      </c>
      <c r="F48" s="2" t="s">
        <v>40</v>
      </c>
      <c r="J48" s="2" t="s">
        <v>541</v>
      </c>
      <c r="K48" s="2" t="s">
        <v>542</v>
      </c>
      <c r="L48" s="2">
        <v>12</v>
      </c>
      <c r="M48" s="2" t="s">
        <v>554</v>
      </c>
      <c r="O48" s="2" t="s">
        <v>524</v>
      </c>
      <c r="Y48" s="2" t="s">
        <v>561</v>
      </c>
    </row>
    <row r="49" spans="1:34" x14ac:dyDescent="0.25">
      <c r="A49" s="2" t="s">
        <v>306</v>
      </c>
      <c r="B49" s="2" t="s">
        <v>555</v>
      </c>
      <c r="C49" s="2" t="s">
        <v>407</v>
      </c>
      <c r="D49" s="2" t="s">
        <v>410</v>
      </c>
      <c r="E49" s="2" t="s">
        <v>414</v>
      </c>
      <c r="F49" s="2" t="s">
        <v>40</v>
      </c>
      <c r="J49" s="2" t="s">
        <v>556</v>
      </c>
      <c r="O49" s="2" t="s">
        <v>524</v>
      </c>
      <c r="Y49" s="2" t="s">
        <v>561</v>
      </c>
      <c r="AB49" s="2">
        <v>2</v>
      </c>
    </row>
    <row r="50" spans="1:34" x14ac:dyDescent="0.25">
      <c r="A50" s="2" t="s">
        <v>306</v>
      </c>
      <c r="B50" s="2" t="s">
        <v>557</v>
      </c>
      <c r="C50" s="2" t="s">
        <v>407</v>
      </c>
      <c r="D50" s="2" t="s">
        <v>410</v>
      </c>
      <c r="E50" s="2" t="s">
        <v>414</v>
      </c>
      <c r="F50" s="2" t="s">
        <v>40</v>
      </c>
      <c r="J50" s="2" t="s">
        <v>558</v>
      </c>
      <c r="O50" s="2" t="s">
        <v>524</v>
      </c>
      <c r="Y50" s="2" t="s">
        <v>561</v>
      </c>
      <c r="AC50" s="2">
        <f>COUNTIFS($B:$B,"BLOCK_LOAD_Q",$A:$A,$A50,$C:$C,$C50,$E:$E,$E50,$F:$F,$F50,$N:$N, "&lt;&gt;")</f>
        <v>0</v>
      </c>
      <c r="AD50" s="2">
        <f>COUNTIFS($B:$B,"BLOCK_TRUST_Q",$A:$A,$A50,$C:$C,$C50,$E:$E,$E50,$F:$F,$F50,$N:$N, "&lt;&gt;")</f>
        <v>0</v>
      </c>
      <c r="AE50" s="2" t="str">
        <f>IFERROR(AVERAGEIFS($P:$P,$B:$B,"BLOCK_LOAD_Q",$A:$A,$A50,$C:$C,$C50,$E:$E,$E50,$F:$F,$F50,$P:$P,"&gt;0"),"")</f>
        <v/>
      </c>
      <c r="AF50" s="2" t="str">
        <f>IFERROR(AVERAGEIFS($P:$P,$B:$B,"BLOCK_TRUST_Q",$A:$A,$A50,$C:$C,$C50,$E:$E,$E50,$F:$F,$F50,$P:$P,"&gt;0"),"")</f>
        <v/>
      </c>
      <c r="AG50" s="2">
        <f>5-AC50</f>
        <v>5</v>
      </c>
      <c r="AH50" s="2">
        <f>12-AD50</f>
        <v>12</v>
      </c>
    </row>
    <row r="51" spans="1:34" x14ac:dyDescent="0.25">
      <c r="A51" s="2" t="s">
        <v>306</v>
      </c>
      <c r="B51" s="2" t="s">
        <v>403</v>
      </c>
      <c r="C51" s="2" t="s">
        <v>407</v>
      </c>
      <c r="D51" s="2" t="s">
        <v>410</v>
      </c>
      <c r="Z51" s="2" t="s">
        <v>420</v>
      </c>
    </row>
    <row r="52" spans="1:34" x14ac:dyDescent="0.25">
      <c r="A52" s="2" t="s">
        <v>306</v>
      </c>
      <c r="B52" s="2" t="s">
        <v>402</v>
      </c>
      <c r="C52" s="2" t="s">
        <v>408</v>
      </c>
      <c r="D52" s="2" t="s">
        <v>411</v>
      </c>
      <c r="E52" s="2" t="s">
        <v>413</v>
      </c>
      <c r="F52" s="2" t="s">
        <v>40</v>
      </c>
      <c r="G52" s="2" t="s">
        <v>415</v>
      </c>
      <c r="H52" s="2" t="s">
        <v>357</v>
      </c>
      <c r="S52" s="2" t="s">
        <v>59</v>
      </c>
      <c r="U52" s="2" t="s">
        <v>60</v>
      </c>
      <c r="W52" s="2" t="s">
        <v>57</v>
      </c>
    </row>
    <row r="53" spans="1:34" x14ac:dyDescent="0.25">
      <c r="A53" s="2" t="s">
        <v>306</v>
      </c>
      <c r="B53" s="2" t="s">
        <v>402</v>
      </c>
      <c r="C53" s="2" t="s">
        <v>408</v>
      </c>
      <c r="D53" s="2" t="s">
        <v>411</v>
      </c>
      <c r="E53" s="2" t="s">
        <v>413</v>
      </c>
      <c r="F53" s="2" t="s">
        <v>40</v>
      </c>
      <c r="G53" s="2" t="s">
        <v>416</v>
      </c>
      <c r="H53" s="2" t="s">
        <v>348</v>
      </c>
      <c r="S53" s="2" t="s">
        <v>58</v>
      </c>
      <c r="U53" s="2" t="s">
        <v>59</v>
      </c>
      <c r="W53" s="2" t="s">
        <v>59</v>
      </c>
    </row>
    <row r="54" spans="1:34" x14ac:dyDescent="0.25">
      <c r="A54" s="2" t="s">
        <v>306</v>
      </c>
      <c r="B54" s="2" t="s">
        <v>402</v>
      </c>
      <c r="C54" s="2" t="s">
        <v>408</v>
      </c>
      <c r="D54" s="2" t="s">
        <v>411</v>
      </c>
      <c r="E54" s="2" t="s">
        <v>413</v>
      </c>
      <c r="F54" s="2" t="s">
        <v>40</v>
      </c>
      <c r="G54" s="2" t="s">
        <v>417</v>
      </c>
      <c r="H54" s="2" t="s">
        <v>562</v>
      </c>
      <c r="S54" s="2" t="s">
        <v>59</v>
      </c>
      <c r="U54" s="2" t="s">
        <v>57</v>
      </c>
      <c r="W54" s="2" t="s">
        <v>57</v>
      </c>
    </row>
    <row r="55" spans="1:34" x14ac:dyDescent="0.25">
      <c r="A55" s="2" t="s">
        <v>306</v>
      </c>
      <c r="B55" s="2" t="s">
        <v>402</v>
      </c>
      <c r="C55" s="2" t="s">
        <v>408</v>
      </c>
      <c r="D55" s="2" t="s">
        <v>411</v>
      </c>
      <c r="E55" s="2" t="s">
        <v>413</v>
      </c>
      <c r="F55" s="2" t="s">
        <v>40</v>
      </c>
      <c r="G55" s="2" t="s">
        <v>418</v>
      </c>
      <c r="H55" s="2" t="s">
        <v>563</v>
      </c>
      <c r="S55" s="2" t="s">
        <v>57</v>
      </c>
      <c r="U55" s="2" t="s">
        <v>60</v>
      </c>
      <c r="W55" s="2" t="s">
        <v>60</v>
      </c>
    </row>
    <row r="56" spans="1:34" x14ac:dyDescent="0.25">
      <c r="A56" s="2" t="s">
        <v>306</v>
      </c>
      <c r="B56" s="2" t="s">
        <v>531</v>
      </c>
      <c r="C56" s="2" t="s">
        <v>408</v>
      </c>
      <c r="D56" s="2" t="s">
        <v>411</v>
      </c>
      <c r="E56" s="2" t="s">
        <v>413</v>
      </c>
      <c r="F56" s="2" t="s">
        <v>40</v>
      </c>
      <c r="J56" s="2" t="s">
        <v>532</v>
      </c>
      <c r="K56" s="2" t="s">
        <v>533</v>
      </c>
      <c r="L56" s="2">
        <v>1</v>
      </c>
      <c r="M56" s="2" t="s">
        <v>534</v>
      </c>
      <c r="O56" s="2" t="s">
        <v>524</v>
      </c>
      <c r="Y56" s="2" t="s">
        <v>564</v>
      </c>
    </row>
    <row r="57" spans="1:34" x14ac:dyDescent="0.25">
      <c r="A57" s="2" t="s">
        <v>306</v>
      </c>
      <c r="B57" s="2" t="s">
        <v>531</v>
      </c>
      <c r="C57" s="2" t="s">
        <v>408</v>
      </c>
      <c r="D57" s="2" t="s">
        <v>411</v>
      </c>
      <c r="E57" s="2" t="s">
        <v>413</v>
      </c>
      <c r="F57" s="2" t="s">
        <v>40</v>
      </c>
      <c r="J57" s="2" t="s">
        <v>532</v>
      </c>
      <c r="K57" s="2" t="s">
        <v>533</v>
      </c>
      <c r="L57" s="2">
        <v>2</v>
      </c>
      <c r="M57" s="2" t="s">
        <v>536</v>
      </c>
      <c r="O57" s="2" t="s">
        <v>524</v>
      </c>
      <c r="Y57" s="2" t="s">
        <v>564</v>
      </c>
    </row>
    <row r="58" spans="1:34" x14ac:dyDescent="0.25">
      <c r="A58" s="2" t="s">
        <v>306</v>
      </c>
      <c r="B58" s="2" t="s">
        <v>531</v>
      </c>
      <c r="C58" s="2" t="s">
        <v>408</v>
      </c>
      <c r="D58" s="2" t="s">
        <v>411</v>
      </c>
      <c r="E58" s="2" t="s">
        <v>413</v>
      </c>
      <c r="F58" s="2" t="s">
        <v>40</v>
      </c>
      <c r="J58" s="2" t="s">
        <v>532</v>
      </c>
      <c r="K58" s="2" t="s">
        <v>533</v>
      </c>
      <c r="L58" s="2">
        <v>3</v>
      </c>
      <c r="M58" s="2" t="s">
        <v>537</v>
      </c>
      <c r="O58" s="2" t="s">
        <v>524</v>
      </c>
      <c r="Y58" s="2" t="s">
        <v>564</v>
      </c>
    </row>
    <row r="59" spans="1:34" x14ac:dyDescent="0.25">
      <c r="A59" s="2" t="s">
        <v>306</v>
      </c>
      <c r="B59" s="2" t="s">
        <v>531</v>
      </c>
      <c r="C59" s="2" t="s">
        <v>408</v>
      </c>
      <c r="D59" s="2" t="s">
        <v>411</v>
      </c>
      <c r="E59" s="2" t="s">
        <v>413</v>
      </c>
      <c r="F59" s="2" t="s">
        <v>40</v>
      </c>
      <c r="J59" s="2" t="s">
        <v>532</v>
      </c>
      <c r="K59" s="2" t="s">
        <v>533</v>
      </c>
      <c r="L59" s="2">
        <v>4</v>
      </c>
      <c r="M59" s="2" t="s">
        <v>538</v>
      </c>
      <c r="O59" s="2" t="s">
        <v>524</v>
      </c>
      <c r="Y59" s="2" t="s">
        <v>564</v>
      </c>
    </row>
    <row r="60" spans="1:34" x14ac:dyDescent="0.25">
      <c r="A60" s="2" t="s">
        <v>306</v>
      </c>
      <c r="B60" s="2" t="s">
        <v>531</v>
      </c>
      <c r="C60" s="2" t="s">
        <v>408</v>
      </c>
      <c r="D60" s="2" t="s">
        <v>411</v>
      </c>
      <c r="E60" s="2" t="s">
        <v>413</v>
      </c>
      <c r="F60" s="2" t="s">
        <v>40</v>
      </c>
      <c r="J60" s="2" t="s">
        <v>532</v>
      </c>
      <c r="K60" s="2" t="s">
        <v>533</v>
      </c>
      <c r="L60" s="2">
        <v>5</v>
      </c>
      <c r="M60" s="2" t="s">
        <v>539</v>
      </c>
      <c r="O60" s="2" t="s">
        <v>524</v>
      </c>
      <c r="Y60" s="2" t="s">
        <v>564</v>
      </c>
    </row>
    <row r="61" spans="1:34" x14ac:dyDescent="0.25">
      <c r="A61" s="2" t="s">
        <v>306</v>
      </c>
      <c r="B61" s="2" t="s">
        <v>540</v>
      </c>
      <c r="C61" s="2" t="s">
        <v>408</v>
      </c>
      <c r="D61" s="2" t="s">
        <v>411</v>
      </c>
      <c r="E61" s="2" t="s">
        <v>413</v>
      </c>
      <c r="F61" s="2" t="s">
        <v>40</v>
      </c>
      <c r="J61" s="2" t="s">
        <v>541</v>
      </c>
      <c r="K61" s="2" t="s">
        <v>542</v>
      </c>
      <c r="L61" s="2">
        <v>1</v>
      </c>
      <c r="M61" s="2" t="s">
        <v>543</v>
      </c>
      <c r="O61" s="2" t="s">
        <v>524</v>
      </c>
      <c r="Y61" s="2" t="s">
        <v>564</v>
      </c>
    </row>
    <row r="62" spans="1:34" x14ac:dyDescent="0.25">
      <c r="A62" s="2" t="s">
        <v>306</v>
      </c>
      <c r="B62" s="2" t="s">
        <v>540</v>
      </c>
      <c r="C62" s="2" t="s">
        <v>408</v>
      </c>
      <c r="D62" s="2" t="s">
        <v>411</v>
      </c>
      <c r="E62" s="2" t="s">
        <v>413</v>
      </c>
      <c r="F62" s="2" t="s">
        <v>40</v>
      </c>
      <c r="J62" s="2" t="s">
        <v>541</v>
      </c>
      <c r="K62" s="2" t="s">
        <v>542</v>
      </c>
      <c r="L62" s="2">
        <v>2</v>
      </c>
      <c r="M62" s="2" t="s">
        <v>544</v>
      </c>
      <c r="O62" s="2" t="s">
        <v>524</v>
      </c>
      <c r="Y62" s="2" t="s">
        <v>564</v>
      </c>
    </row>
    <row r="63" spans="1:34" x14ac:dyDescent="0.25">
      <c r="A63" s="2" t="s">
        <v>306</v>
      </c>
      <c r="B63" s="2" t="s">
        <v>540</v>
      </c>
      <c r="C63" s="2" t="s">
        <v>408</v>
      </c>
      <c r="D63" s="2" t="s">
        <v>411</v>
      </c>
      <c r="E63" s="2" t="s">
        <v>413</v>
      </c>
      <c r="F63" s="2" t="s">
        <v>40</v>
      </c>
      <c r="J63" s="2" t="s">
        <v>541</v>
      </c>
      <c r="K63" s="2" t="s">
        <v>542</v>
      </c>
      <c r="L63" s="2">
        <v>3</v>
      </c>
      <c r="M63" s="2" t="s">
        <v>545</v>
      </c>
      <c r="O63" s="2" t="s">
        <v>524</v>
      </c>
      <c r="Y63" s="2" t="s">
        <v>564</v>
      </c>
    </row>
    <row r="64" spans="1:34" x14ac:dyDescent="0.25">
      <c r="A64" s="2" t="s">
        <v>306</v>
      </c>
      <c r="B64" s="2" t="s">
        <v>540</v>
      </c>
      <c r="C64" s="2" t="s">
        <v>408</v>
      </c>
      <c r="D64" s="2" t="s">
        <v>411</v>
      </c>
      <c r="E64" s="2" t="s">
        <v>413</v>
      </c>
      <c r="F64" s="2" t="s">
        <v>40</v>
      </c>
      <c r="J64" s="2" t="s">
        <v>541</v>
      </c>
      <c r="K64" s="2" t="s">
        <v>542</v>
      </c>
      <c r="L64" s="2">
        <v>4</v>
      </c>
      <c r="M64" s="2" t="s">
        <v>546</v>
      </c>
      <c r="O64" s="2" t="s">
        <v>524</v>
      </c>
      <c r="Y64" s="2" t="s">
        <v>564</v>
      </c>
    </row>
    <row r="65" spans="1:34" x14ac:dyDescent="0.25">
      <c r="A65" s="2" t="s">
        <v>306</v>
      </c>
      <c r="B65" s="2" t="s">
        <v>540</v>
      </c>
      <c r="C65" s="2" t="s">
        <v>408</v>
      </c>
      <c r="D65" s="2" t="s">
        <v>411</v>
      </c>
      <c r="E65" s="2" t="s">
        <v>413</v>
      </c>
      <c r="F65" s="2" t="s">
        <v>40</v>
      </c>
      <c r="J65" s="2" t="s">
        <v>541</v>
      </c>
      <c r="K65" s="2" t="s">
        <v>542</v>
      </c>
      <c r="L65" s="2">
        <v>5</v>
      </c>
      <c r="M65" s="2" t="s">
        <v>547</v>
      </c>
      <c r="O65" s="2" t="s">
        <v>524</v>
      </c>
      <c r="Y65" s="2" t="s">
        <v>564</v>
      </c>
    </row>
    <row r="66" spans="1:34" x14ac:dyDescent="0.25">
      <c r="A66" s="2" t="s">
        <v>306</v>
      </c>
      <c r="B66" s="2" t="s">
        <v>540</v>
      </c>
      <c r="C66" s="2" t="s">
        <v>408</v>
      </c>
      <c r="D66" s="2" t="s">
        <v>411</v>
      </c>
      <c r="E66" s="2" t="s">
        <v>413</v>
      </c>
      <c r="F66" s="2" t="s">
        <v>40</v>
      </c>
      <c r="J66" s="2" t="s">
        <v>541</v>
      </c>
      <c r="K66" s="2" t="s">
        <v>542</v>
      </c>
      <c r="L66" s="2">
        <v>6</v>
      </c>
      <c r="M66" s="2" t="s">
        <v>548</v>
      </c>
      <c r="O66" s="2" t="s">
        <v>524</v>
      </c>
      <c r="Y66" s="2" t="s">
        <v>564</v>
      </c>
    </row>
    <row r="67" spans="1:34" x14ac:dyDescent="0.25">
      <c r="A67" s="2" t="s">
        <v>306</v>
      </c>
      <c r="B67" s="2" t="s">
        <v>540</v>
      </c>
      <c r="C67" s="2" t="s">
        <v>408</v>
      </c>
      <c r="D67" s="2" t="s">
        <v>411</v>
      </c>
      <c r="E67" s="2" t="s">
        <v>413</v>
      </c>
      <c r="F67" s="2" t="s">
        <v>40</v>
      </c>
      <c r="J67" s="2" t="s">
        <v>541</v>
      </c>
      <c r="K67" s="2" t="s">
        <v>542</v>
      </c>
      <c r="L67" s="2">
        <v>7</v>
      </c>
      <c r="M67" s="2" t="s">
        <v>549</v>
      </c>
      <c r="O67" s="2" t="s">
        <v>524</v>
      </c>
      <c r="Y67" s="2" t="s">
        <v>564</v>
      </c>
    </row>
    <row r="68" spans="1:34" x14ac:dyDescent="0.25">
      <c r="A68" s="2" t="s">
        <v>306</v>
      </c>
      <c r="B68" s="2" t="s">
        <v>540</v>
      </c>
      <c r="C68" s="2" t="s">
        <v>408</v>
      </c>
      <c r="D68" s="2" t="s">
        <v>411</v>
      </c>
      <c r="E68" s="2" t="s">
        <v>413</v>
      </c>
      <c r="F68" s="2" t="s">
        <v>40</v>
      </c>
      <c r="J68" s="2" t="s">
        <v>541</v>
      </c>
      <c r="K68" s="2" t="s">
        <v>542</v>
      </c>
      <c r="L68" s="2">
        <v>8</v>
      </c>
      <c r="M68" s="2" t="s">
        <v>550</v>
      </c>
      <c r="O68" s="2" t="s">
        <v>524</v>
      </c>
      <c r="Y68" s="2" t="s">
        <v>564</v>
      </c>
    </row>
    <row r="69" spans="1:34" x14ac:dyDescent="0.25">
      <c r="A69" s="2" t="s">
        <v>306</v>
      </c>
      <c r="B69" s="2" t="s">
        <v>540</v>
      </c>
      <c r="C69" s="2" t="s">
        <v>408</v>
      </c>
      <c r="D69" s="2" t="s">
        <v>411</v>
      </c>
      <c r="E69" s="2" t="s">
        <v>413</v>
      </c>
      <c r="F69" s="2" t="s">
        <v>40</v>
      </c>
      <c r="J69" s="2" t="s">
        <v>541</v>
      </c>
      <c r="K69" s="2" t="s">
        <v>542</v>
      </c>
      <c r="L69" s="2">
        <v>9</v>
      </c>
      <c r="M69" s="2" t="s">
        <v>551</v>
      </c>
      <c r="O69" s="2" t="s">
        <v>524</v>
      </c>
      <c r="Y69" s="2" t="s">
        <v>564</v>
      </c>
    </row>
    <row r="70" spans="1:34" x14ac:dyDescent="0.25">
      <c r="A70" s="2" t="s">
        <v>306</v>
      </c>
      <c r="B70" s="2" t="s">
        <v>540</v>
      </c>
      <c r="C70" s="2" t="s">
        <v>408</v>
      </c>
      <c r="D70" s="2" t="s">
        <v>411</v>
      </c>
      <c r="E70" s="2" t="s">
        <v>413</v>
      </c>
      <c r="F70" s="2" t="s">
        <v>40</v>
      </c>
      <c r="J70" s="2" t="s">
        <v>541</v>
      </c>
      <c r="K70" s="2" t="s">
        <v>542</v>
      </c>
      <c r="L70" s="2">
        <v>10</v>
      </c>
      <c r="M70" s="2" t="s">
        <v>552</v>
      </c>
      <c r="O70" s="2" t="s">
        <v>524</v>
      </c>
      <c r="Y70" s="2" t="s">
        <v>564</v>
      </c>
    </row>
    <row r="71" spans="1:34" x14ac:dyDescent="0.25">
      <c r="A71" s="2" t="s">
        <v>306</v>
      </c>
      <c r="B71" s="2" t="s">
        <v>540</v>
      </c>
      <c r="C71" s="2" t="s">
        <v>408</v>
      </c>
      <c r="D71" s="2" t="s">
        <v>411</v>
      </c>
      <c r="E71" s="2" t="s">
        <v>413</v>
      </c>
      <c r="F71" s="2" t="s">
        <v>40</v>
      </c>
      <c r="J71" s="2" t="s">
        <v>541</v>
      </c>
      <c r="K71" s="2" t="s">
        <v>542</v>
      </c>
      <c r="L71" s="2">
        <v>11</v>
      </c>
      <c r="M71" s="2" t="s">
        <v>553</v>
      </c>
      <c r="O71" s="2" t="s">
        <v>524</v>
      </c>
      <c r="Y71" s="2" t="s">
        <v>564</v>
      </c>
    </row>
    <row r="72" spans="1:34" x14ac:dyDescent="0.25">
      <c r="A72" s="2" t="s">
        <v>306</v>
      </c>
      <c r="B72" s="2" t="s">
        <v>540</v>
      </c>
      <c r="C72" s="2" t="s">
        <v>408</v>
      </c>
      <c r="D72" s="2" t="s">
        <v>411</v>
      </c>
      <c r="E72" s="2" t="s">
        <v>413</v>
      </c>
      <c r="F72" s="2" t="s">
        <v>40</v>
      </c>
      <c r="J72" s="2" t="s">
        <v>541</v>
      </c>
      <c r="K72" s="2" t="s">
        <v>542</v>
      </c>
      <c r="L72" s="2">
        <v>12</v>
      </c>
      <c r="M72" s="2" t="s">
        <v>554</v>
      </c>
      <c r="O72" s="2" t="s">
        <v>524</v>
      </c>
      <c r="Y72" s="2" t="s">
        <v>564</v>
      </c>
    </row>
    <row r="73" spans="1:34" x14ac:dyDescent="0.25">
      <c r="A73" s="2" t="s">
        <v>306</v>
      </c>
      <c r="B73" s="2" t="s">
        <v>555</v>
      </c>
      <c r="C73" s="2" t="s">
        <v>408</v>
      </c>
      <c r="D73" s="2" t="s">
        <v>411</v>
      </c>
      <c r="E73" s="2" t="s">
        <v>413</v>
      </c>
      <c r="F73" s="2" t="s">
        <v>40</v>
      </c>
      <c r="J73" s="2" t="s">
        <v>556</v>
      </c>
      <c r="O73" s="2" t="s">
        <v>524</v>
      </c>
      <c r="Y73" s="2" t="s">
        <v>564</v>
      </c>
      <c r="AB73" s="2">
        <v>2</v>
      </c>
    </row>
    <row r="74" spans="1:34" x14ac:dyDescent="0.25">
      <c r="A74" s="2" t="s">
        <v>306</v>
      </c>
      <c r="B74" s="2" t="s">
        <v>557</v>
      </c>
      <c r="C74" s="2" t="s">
        <v>408</v>
      </c>
      <c r="D74" s="2" t="s">
        <v>411</v>
      </c>
      <c r="E74" s="2" t="s">
        <v>413</v>
      </c>
      <c r="F74" s="2" t="s">
        <v>40</v>
      </c>
      <c r="J74" s="2" t="s">
        <v>558</v>
      </c>
      <c r="O74" s="2" t="s">
        <v>524</v>
      </c>
      <c r="Y74" s="2" t="s">
        <v>564</v>
      </c>
      <c r="AC74" s="2">
        <f>COUNTIFS($B:$B,"BLOCK_LOAD_Q",$A:$A,$A74,$C:$C,$C74,$E:$E,$E74,$F:$F,$F74,$N:$N, "&lt;&gt;")</f>
        <v>0</v>
      </c>
      <c r="AD74" s="2">
        <f>COUNTIFS($B:$B,"BLOCK_TRUST_Q",$A:$A,$A74,$C:$C,$C74,$E:$E,$E74,$F:$F,$F74,$N:$N, "&lt;&gt;")</f>
        <v>0</v>
      </c>
      <c r="AE74" s="2" t="str">
        <f>IFERROR(AVERAGEIFS($P:$P,$B:$B,"BLOCK_LOAD_Q",$A:$A,$A74,$C:$C,$C74,$E:$E,$E74,$F:$F,$F74,$P:$P,"&gt;0"),"")</f>
        <v/>
      </c>
      <c r="AF74" s="2" t="str">
        <f>IFERROR(AVERAGEIFS($P:$P,$B:$B,"BLOCK_TRUST_Q",$A:$A,$A74,$C:$C,$C74,$E:$E,$E74,$F:$F,$F74,$P:$P,"&gt;0"),"")</f>
        <v/>
      </c>
      <c r="AG74" s="2">
        <f>5-AC74</f>
        <v>5</v>
      </c>
      <c r="AH74" s="2">
        <f>12-AD74</f>
        <v>12</v>
      </c>
    </row>
    <row r="75" spans="1:34" x14ac:dyDescent="0.25">
      <c r="A75" s="2" t="s">
        <v>306</v>
      </c>
      <c r="B75" s="2" t="s">
        <v>402</v>
      </c>
      <c r="C75" s="2" t="s">
        <v>408</v>
      </c>
      <c r="D75" s="2" t="s">
        <v>411</v>
      </c>
      <c r="E75" s="2" t="s">
        <v>414</v>
      </c>
      <c r="F75" s="2" t="s">
        <v>39</v>
      </c>
      <c r="G75" s="2" t="s">
        <v>415</v>
      </c>
      <c r="H75" s="2" t="s">
        <v>349</v>
      </c>
      <c r="S75" s="2" t="s">
        <v>58</v>
      </c>
      <c r="U75" s="2" t="s">
        <v>60</v>
      </c>
      <c r="W75" s="2" t="s">
        <v>58</v>
      </c>
    </row>
    <row r="76" spans="1:34" x14ac:dyDescent="0.25">
      <c r="A76" s="2" t="s">
        <v>306</v>
      </c>
      <c r="B76" s="2" t="s">
        <v>402</v>
      </c>
      <c r="C76" s="2" t="s">
        <v>408</v>
      </c>
      <c r="D76" s="2" t="s">
        <v>411</v>
      </c>
      <c r="E76" s="2" t="s">
        <v>414</v>
      </c>
      <c r="F76" s="2" t="s">
        <v>39</v>
      </c>
      <c r="G76" s="2" t="s">
        <v>416</v>
      </c>
      <c r="H76" s="2" t="s">
        <v>565</v>
      </c>
      <c r="S76" s="2" t="s">
        <v>59</v>
      </c>
      <c r="U76" s="2" t="s">
        <v>60</v>
      </c>
      <c r="W76" s="2" t="s">
        <v>60</v>
      </c>
    </row>
    <row r="77" spans="1:34" x14ac:dyDescent="0.25">
      <c r="A77" s="2" t="s">
        <v>306</v>
      </c>
      <c r="B77" s="2" t="s">
        <v>402</v>
      </c>
      <c r="C77" s="2" t="s">
        <v>408</v>
      </c>
      <c r="D77" s="2" t="s">
        <v>411</v>
      </c>
      <c r="E77" s="2" t="s">
        <v>414</v>
      </c>
      <c r="F77" s="2" t="s">
        <v>39</v>
      </c>
      <c r="G77" s="2" t="s">
        <v>417</v>
      </c>
      <c r="H77" s="2" t="s">
        <v>361</v>
      </c>
      <c r="S77" s="2" t="s">
        <v>60</v>
      </c>
      <c r="U77" s="2" t="s">
        <v>60</v>
      </c>
      <c r="W77" s="2" t="s">
        <v>60</v>
      </c>
    </row>
    <row r="78" spans="1:34" x14ac:dyDescent="0.25">
      <c r="A78" s="2" t="s">
        <v>306</v>
      </c>
      <c r="B78" s="2" t="s">
        <v>402</v>
      </c>
      <c r="C78" s="2" t="s">
        <v>408</v>
      </c>
      <c r="D78" s="2" t="s">
        <v>411</v>
      </c>
      <c r="E78" s="2" t="s">
        <v>414</v>
      </c>
      <c r="F78" s="2" t="s">
        <v>39</v>
      </c>
      <c r="G78" s="2" t="s">
        <v>418</v>
      </c>
      <c r="H78" s="2" t="s">
        <v>353</v>
      </c>
      <c r="S78" s="2" t="s">
        <v>58</v>
      </c>
      <c r="U78" s="2" t="s">
        <v>59</v>
      </c>
      <c r="W78" s="2" t="s">
        <v>58</v>
      </c>
    </row>
    <row r="79" spans="1:34" x14ac:dyDescent="0.25">
      <c r="A79" s="2" t="s">
        <v>306</v>
      </c>
      <c r="B79" s="2" t="s">
        <v>402</v>
      </c>
      <c r="C79" s="2" t="s">
        <v>408</v>
      </c>
      <c r="D79" s="2" t="s">
        <v>411</v>
      </c>
      <c r="E79" s="2" t="s">
        <v>414</v>
      </c>
      <c r="F79" s="2" t="s">
        <v>39</v>
      </c>
      <c r="G79" s="2" t="s">
        <v>419</v>
      </c>
      <c r="H79" s="2" t="s">
        <v>371</v>
      </c>
      <c r="S79" s="2" t="s">
        <v>60</v>
      </c>
      <c r="U79" s="2" t="s">
        <v>59</v>
      </c>
      <c r="W79" s="2" t="s">
        <v>57</v>
      </c>
    </row>
    <row r="80" spans="1:34" x14ac:dyDescent="0.25">
      <c r="A80" s="2" t="s">
        <v>306</v>
      </c>
      <c r="B80" s="2" t="s">
        <v>531</v>
      </c>
      <c r="C80" s="2" t="s">
        <v>408</v>
      </c>
      <c r="D80" s="2" t="s">
        <v>411</v>
      </c>
      <c r="E80" s="2" t="s">
        <v>414</v>
      </c>
      <c r="F80" s="2" t="s">
        <v>39</v>
      </c>
      <c r="J80" s="2" t="s">
        <v>532</v>
      </c>
      <c r="K80" s="2" t="s">
        <v>533</v>
      </c>
      <c r="L80" s="2">
        <v>1</v>
      </c>
      <c r="M80" s="2" t="s">
        <v>534</v>
      </c>
      <c r="O80" s="2" t="s">
        <v>524</v>
      </c>
      <c r="Y80" s="2" t="s">
        <v>566</v>
      </c>
    </row>
    <row r="81" spans="1:25" x14ac:dyDescent="0.25">
      <c r="A81" s="2" t="s">
        <v>306</v>
      </c>
      <c r="B81" s="2" t="s">
        <v>531</v>
      </c>
      <c r="C81" s="2" t="s">
        <v>408</v>
      </c>
      <c r="D81" s="2" t="s">
        <v>411</v>
      </c>
      <c r="E81" s="2" t="s">
        <v>414</v>
      </c>
      <c r="F81" s="2" t="s">
        <v>39</v>
      </c>
      <c r="J81" s="2" t="s">
        <v>532</v>
      </c>
      <c r="K81" s="2" t="s">
        <v>533</v>
      </c>
      <c r="L81" s="2">
        <v>2</v>
      </c>
      <c r="M81" s="2" t="s">
        <v>536</v>
      </c>
      <c r="O81" s="2" t="s">
        <v>524</v>
      </c>
      <c r="Y81" s="2" t="s">
        <v>566</v>
      </c>
    </row>
    <row r="82" spans="1:25" x14ac:dyDescent="0.25">
      <c r="A82" s="2" t="s">
        <v>306</v>
      </c>
      <c r="B82" s="2" t="s">
        <v>531</v>
      </c>
      <c r="C82" s="2" t="s">
        <v>408</v>
      </c>
      <c r="D82" s="2" t="s">
        <v>411</v>
      </c>
      <c r="E82" s="2" t="s">
        <v>414</v>
      </c>
      <c r="F82" s="2" t="s">
        <v>39</v>
      </c>
      <c r="J82" s="2" t="s">
        <v>532</v>
      </c>
      <c r="K82" s="2" t="s">
        <v>533</v>
      </c>
      <c r="L82" s="2">
        <v>3</v>
      </c>
      <c r="M82" s="2" t="s">
        <v>537</v>
      </c>
      <c r="O82" s="2" t="s">
        <v>524</v>
      </c>
      <c r="Y82" s="2" t="s">
        <v>566</v>
      </c>
    </row>
    <row r="83" spans="1:25" x14ac:dyDescent="0.25">
      <c r="A83" s="2" t="s">
        <v>306</v>
      </c>
      <c r="B83" s="2" t="s">
        <v>531</v>
      </c>
      <c r="C83" s="2" t="s">
        <v>408</v>
      </c>
      <c r="D83" s="2" t="s">
        <v>411</v>
      </c>
      <c r="E83" s="2" t="s">
        <v>414</v>
      </c>
      <c r="F83" s="2" t="s">
        <v>39</v>
      </c>
      <c r="J83" s="2" t="s">
        <v>532</v>
      </c>
      <c r="K83" s="2" t="s">
        <v>533</v>
      </c>
      <c r="L83" s="2">
        <v>4</v>
      </c>
      <c r="M83" s="2" t="s">
        <v>538</v>
      </c>
      <c r="O83" s="2" t="s">
        <v>524</v>
      </c>
      <c r="Y83" s="2" t="s">
        <v>566</v>
      </c>
    </row>
    <row r="84" spans="1:25" x14ac:dyDescent="0.25">
      <c r="A84" s="2" t="s">
        <v>306</v>
      </c>
      <c r="B84" s="2" t="s">
        <v>531</v>
      </c>
      <c r="C84" s="2" t="s">
        <v>408</v>
      </c>
      <c r="D84" s="2" t="s">
        <v>411</v>
      </c>
      <c r="E84" s="2" t="s">
        <v>414</v>
      </c>
      <c r="F84" s="2" t="s">
        <v>39</v>
      </c>
      <c r="J84" s="2" t="s">
        <v>532</v>
      </c>
      <c r="K84" s="2" t="s">
        <v>533</v>
      </c>
      <c r="L84" s="2">
        <v>5</v>
      </c>
      <c r="M84" s="2" t="s">
        <v>539</v>
      </c>
      <c r="O84" s="2" t="s">
        <v>524</v>
      </c>
      <c r="Y84" s="2" t="s">
        <v>566</v>
      </c>
    </row>
    <row r="85" spans="1:25" x14ac:dyDescent="0.25">
      <c r="A85" s="2" t="s">
        <v>306</v>
      </c>
      <c r="B85" s="2" t="s">
        <v>540</v>
      </c>
      <c r="C85" s="2" t="s">
        <v>408</v>
      </c>
      <c r="D85" s="2" t="s">
        <v>411</v>
      </c>
      <c r="E85" s="2" t="s">
        <v>414</v>
      </c>
      <c r="F85" s="2" t="s">
        <v>39</v>
      </c>
      <c r="J85" s="2" t="s">
        <v>541</v>
      </c>
      <c r="K85" s="2" t="s">
        <v>542</v>
      </c>
      <c r="L85" s="2">
        <v>1</v>
      </c>
      <c r="M85" s="2" t="s">
        <v>543</v>
      </c>
      <c r="O85" s="2" t="s">
        <v>524</v>
      </c>
      <c r="Y85" s="2" t="s">
        <v>566</v>
      </c>
    </row>
    <row r="86" spans="1:25" x14ac:dyDescent="0.25">
      <c r="A86" s="2" t="s">
        <v>306</v>
      </c>
      <c r="B86" s="2" t="s">
        <v>540</v>
      </c>
      <c r="C86" s="2" t="s">
        <v>408</v>
      </c>
      <c r="D86" s="2" t="s">
        <v>411</v>
      </c>
      <c r="E86" s="2" t="s">
        <v>414</v>
      </c>
      <c r="F86" s="2" t="s">
        <v>39</v>
      </c>
      <c r="J86" s="2" t="s">
        <v>541</v>
      </c>
      <c r="K86" s="2" t="s">
        <v>542</v>
      </c>
      <c r="L86" s="2">
        <v>2</v>
      </c>
      <c r="M86" s="2" t="s">
        <v>544</v>
      </c>
      <c r="O86" s="2" t="s">
        <v>524</v>
      </c>
      <c r="Y86" s="2" t="s">
        <v>566</v>
      </c>
    </row>
    <row r="87" spans="1:25" x14ac:dyDescent="0.25">
      <c r="A87" s="2" t="s">
        <v>306</v>
      </c>
      <c r="B87" s="2" t="s">
        <v>540</v>
      </c>
      <c r="C87" s="2" t="s">
        <v>408</v>
      </c>
      <c r="D87" s="2" t="s">
        <v>411</v>
      </c>
      <c r="E87" s="2" t="s">
        <v>414</v>
      </c>
      <c r="F87" s="2" t="s">
        <v>39</v>
      </c>
      <c r="J87" s="2" t="s">
        <v>541</v>
      </c>
      <c r="K87" s="2" t="s">
        <v>542</v>
      </c>
      <c r="L87" s="2">
        <v>3</v>
      </c>
      <c r="M87" s="2" t="s">
        <v>545</v>
      </c>
      <c r="O87" s="2" t="s">
        <v>524</v>
      </c>
      <c r="Y87" s="2" t="s">
        <v>566</v>
      </c>
    </row>
    <row r="88" spans="1:25" x14ac:dyDescent="0.25">
      <c r="A88" s="2" t="s">
        <v>306</v>
      </c>
      <c r="B88" s="2" t="s">
        <v>540</v>
      </c>
      <c r="C88" s="2" t="s">
        <v>408</v>
      </c>
      <c r="D88" s="2" t="s">
        <v>411</v>
      </c>
      <c r="E88" s="2" t="s">
        <v>414</v>
      </c>
      <c r="F88" s="2" t="s">
        <v>39</v>
      </c>
      <c r="J88" s="2" t="s">
        <v>541</v>
      </c>
      <c r="K88" s="2" t="s">
        <v>542</v>
      </c>
      <c r="L88" s="2">
        <v>4</v>
      </c>
      <c r="M88" s="2" t="s">
        <v>546</v>
      </c>
      <c r="O88" s="2" t="s">
        <v>524</v>
      </c>
      <c r="Y88" s="2" t="s">
        <v>566</v>
      </c>
    </row>
    <row r="89" spans="1:25" x14ac:dyDescent="0.25">
      <c r="A89" s="2" t="s">
        <v>306</v>
      </c>
      <c r="B89" s="2" t="s">
        <v>540</v>
      </c>
      <c r="C89" s="2" t="s">
        <v>408</v>
      </c>
      <c r="D89" s="2" t="s">
        <v>411</v>
      </c>
      <c r="E89" s="2" t="s">
        <v>414</v>
      </c>
      <c r="F89" s="2" t="s">
        <v>39</v>
      </c>
      <c r="J89" s="2" t="s">
        <v>541</v>
      </c>
      <c r="K89" s="2" t="s">
        <v>542</v>
      </c>
      <c r="L89" s="2">
        <v>5</v>
      </c>
      <c r="M89" s="2" t="s">
        <v>547</v>
      </c>
      <c r="O89" s="2" t="s">
        <v>524</v>
      </c>
      <c r="Y89" s="2" t="s">
        <v>566</v>
      </c>
    </row>
    <row r="90" spans="1:25" x14ac:dyDescent="0.25">
      <c r="A90" s="2" t="s">
        <v>306</v>
      </c>
      <c r="B90" s="2" t="s">
        <v>540</v>
      </c>
      <c r="C90" s="2" t="s">
        <v>408</v>
      </c>
      <c r="D90" s="2" t="s">
        <v>411</v>
      </c>
      <c r="E90" s="2" t="s">
        <v>414</v>
      </c>
      <c r="F90" s="2" t="s">
        <v>39</v>
      </c>
      <c r="J90" s="2" t="s">
        <v>541</v>
      </c>
      <c r="K90" s="2" t="s">
        <v>542</v>
      </c>
      <c r="L90" s="2">
        <v>6</v>
      </c>
      <c r="M90" s="2" t="s">
        <v>548</v>
      </c>
      <c r="O90" s="2" t="s">
        <v>524</v>
      </c>
      <c r="Y90" s="2" t="s">
        <v>566</v>
      </c>
    </row>
    <row r="91" spans="1:25" x14ac:dyDescent="0.25">
      <c r="A91" s="2" t="s">
        <v>306</v>
      </c>
      <c r="B91" s="2" t="s">
        <v>540</v>
      </c>
      <c r="C91" s="2" t="s">
        <v>408</v>
      </c>
      <c r="D91" s="2" t="s">
        <v>411</v>
      </c>
      <c r="E91" s="2" t="s">
        <v>414</v>
      </c>
      <c r="F91" s="2" t="s">
        <v>39</v>
      </c>
      <c r="J91" s="2" t="s">
        <v>541</v>
      </c>
      <c r="K91" s="2" t="s">
        <v>542</v>
      </c>
      <c r="L91" s="2">
        <v>7</v>
      </c>
      <c r="M91" s="2" t="s">
        <v>549</v>
      </c>
      <c r="O91" s="2" t="s">
        <v>524</v>
      </c>
      <c r="Y91" s="2" t="s">
        <v>566</v>
      </c>
    </row>
    <row r="92" spans="1:25" x14ac:dyDescent="0.25">
      <c r="A92" s="2" t="s">
        <v>306</v>
      </c>
      <c r="B92" s="2" t="s">
        <v>540</v>
      </c>
      <c r="C92" s="2" t="s">
        <v>408</v>
      </c>
      <c r="D92" s="2" t="s">
        <v>411</v>
      </c>
      <c r="E92" s="2" t="s">
        <v>414</v>
      </c>
      <c r="F92" s="2" t="s">
        <v>39</v>
      </c>
      <c r="J92" s="2" t="s">
        <v>541</v>
      </c>
      <c r="K92" s="2" t="s">
        <v>542</v>
      </c>
      <c r="L92" s="2">
        <v>8</v>
      </c>
      <c r="M92" s="2" t="s">
        <v>550</v>
      </c>
      <c r="O92" s="2" t="s">
        <v>524</v>
      </c>
      <c r="Y92" s="2" t="s">
        <v>566</v>
      </c>
    </row>
    <row r="93" spans="1:25" x14ac:dyDescent="0.25">
      <c r="A93" s="2" t="s">
        <v>306</v>
      </c>
      <c r="B93" s="2" t="s">
        <v>540</v>
      </c>
      <c r="C93" s="2" t="s">
        <v>408</v>
      </c>
      <c r="D93" s="2" t="s">
        <v>411</v>
      </c>
      <c r="E93" s="2" t="s">
        <v>414</v>
      </c>
      <c r="F93" s="2" t="s">
        <v>39</v>
      </c>
      <c r="J93" s="2" t="s">
        <v>541</v>
      </c>
      <c r="K93" s="2" t="s">
        <v>542</v>
      </c>
      <c r="L93" s="2">
        <v>9</v>
      </c>
      <c r="M93" s="2" t="s">
        <v>551</v>
      </c>
      <c r="O93" s="2" t="s">
        <v>524</v>
      </c>
      <c r="Y93" s="2" t="s">
        <v>566</v>
      </c>
    </row>
    <row r="94" spans="1:25" x14ac:dyDescent="0.25">
      <c r="A94" s="2" t="s">
        <v>306</v>
      </c>
      <c r="B94" s="2" t="s">
        <v>540</v>
      </c>
      <c r="C94" s="2" t="s">
        <v>408</v>
      </c>
      <c r="D94" s="2" t="s">
        <v>411</v>
      </c>
      <c r="E94" s="2" t="s">
        <v>414</v>
      </c>
      <c r="F94" s="2" t="s">
        <v>39</v>
      </c>
      <c r="J94" s="2" t="s">
        <v>541</v>
      </c>
      <c r="K94" s="2" t="s">
        <v>542</v>
      </c>
      <c r="L94" s="2">
        <v>10</v>
      </c>
      <c r="M94" s="2" t="s">
        <v>552</v>
      </c>
      <c r="O94" s="2" t="s">
        <v>524</v>
      </c>
      <c r="Y94" s="2" t="s">
        <v>566</v>
      </c>
    </row>
    <row r="95" spans="1:25" x14ac:dyDescent="0.25">
      <c r="A95" s="2" t="s">
        <v>306</v>
      </c>
      <c r="B95" s="2" t="s">
        <v>540</v>
      </c>
      <c r="C95" s="2" t="s">
        <v>408</v>
      </c>
      <c r="D95" s="2" t="s">
        <v>411</v>
      </c>
      <c r="E95" s="2" t="s">
        <v>414</v>
      </c>
      <c r="F95" s="2" t="s">
        <v>39</v>
      </c>
      <c r="J95" s="2" t="s">
        <v>541</v>
      </c>
      <c r="K95" s="2" t="s">
        <v>542</v>
      </c>
      <c r="L95" s="2">
        <v>11</v>
      </c>
      <c r="M95" s="2" t="s">
        <v>553</v>
      </c>
      <c r="O95" s="2" t="s">
        <v>524</v>
      </c>
      <c r="Y95" s="2" t="s">
        <v>566</v>
      </c>
    </row>
    <row r="96" spans="1:25" x14ac:dyDescent="0.25">
      <c r="A96" s="2" t="s">
        <v>306</v>
      </c>
      <c r="B96" s="2" t="s">
        <v>540</v>
      </c>
      <c r="C96" s="2" t="s">
        <v>408</v>
      </c>
      <c r="D96" s="2" t="s">
        <v>411</v>
      </c>
      <c r="E96" s="2" t="s">
        <v>414</v>
      </c>
      <c r="F96" s="2" t="s">
        <v>39</v>
      </c>
      <c r="J96" s="2" t="s">
        <v>541</v>
      </c>
      <c r="K96" s="2" t="s">
        <v>542</v>
      </c>
      <c r="L96" s="2">
        <v>12</v>
      </c>
      <c r="M96" s="2" t="s">
        <v>554</v>
      </c>
      <c r="O96" s="2" t="s">
        <v>524</v>
      </c>
      <c r="Y96" s="2" t="s">
        <v>566</v>
      </c>
    </row>
    <row r="97" spans="1:34" x14ac:dyDescent="0.25">
      <c r="A97" s="2" t="s">
        <v>306</v>
      </c>
      <c r="B97" s="2" t="s">
        <v>555</v>
      </c>
      <c r="C97" s="2" t="s">
        <v>408</v>
      </c>
      <c r="D97" s="2" t="s">
        <v>411</v>
      </c>
      <c r="E97" s="2" t="s">
        <v>414</v>
      </c>
      <c r="F97" s="2" t="s">
        <v>39</v>
      </c>
      <c r="J97" s="2" t="s">
        <v>556</v>
      </c>
      <c r="O97" s="2" t="s">
        <v>524</v>
      </c>
      <c r="Y97" s="2" t="s">
        <v>566</v>
      </c>
      <c r="AB97" s="2">
        <v>1</v>
      </c>
    </row>
    <row r="98" spans="1:34" x14ac:dyDescent="0.25">
      <c r="A98" s="2" t="s">
        <v>306</v>
      </c>
      <c r="B98" s="2" t="s">
        <v>557</v>
      </c>
      <c r="C98" s="2" t="s">
        <v>408</v>
      </c>
      <c r="D98" s="2" t="s">
        <v>411</v>
      </c>
      <c r="E98" s="2" t="s">
        <v>414</v>
      </c>
      <c r="F98" s="2" t="s">
        <v>39</v>
      </c>
      <c r="J98" s="2" t="s">
        <v>558</v>
      </c>
      <c r="O98" s="2" t="s">
        <v>524</v>
      </c>
      <c r="Y98" s="2" t="s">
        <v>566</v>
      </c>
      <c r="AC98" s="2">
        <f>COUNTIFS($B:$B,"BLOCK_LOAD_Q",$A:$A,$A98,$C:$C,$C98,$E:$E,$E98,$F:$F,$F98,$N:$N, "&lt;&gt;")</f>
        <v>0</v>
      </c>
      <c r="AD98" s="2">
        <f>COUNTIFS($B:$B,"BLOCK_TRUST_Q",$A:$A,$A98,$C:$C,$C98,$E:$E,$E98,$F:$F,$F98,$N:$N, "&lt;&gt;")</f>
        <v>0</v>
      </c>
      <c r="AE98" s="2" t="str">
        <f>IFERROR(AVERAGEIFS($P:$P,$B:$B,"BLOCK_LOAD_Q",$A:$A,$A98,$C:$C,$C98,$E:$E,$E98,$F:$F,$F98,$P:$P,"&gt;0"),"")</f>
        <v/>
      </c>
      <c r="AF98" s="2" t="str">
        <f>IFERROR(AVERAGEIFS($P:$P,$B:$B,"BLOCK_TRUST_Q",$A:$A,$A98,$C:$C,$C98,$E:$E,$E98,$F:$F,$F98,$P:$P,"&gt;0"),"")</f>
        <v/>
      </c>
      <c r="AG98" s="2">
        <f>5-AC98</f>
        <v>5</v>
      </c>
      <c r="AH98" s="2">
        <f>12-AD98</f>
        <v>12</v>
      </c>
    </row>
    <row r="99" spans="1:34" x14ac:dyDescent="0.25">
      <c r="A99" s="2" t="s">
        <v>306</v>
      </c>
      <c r="B99" s="2" t="s">
        <v>403</v>
      </c>
      <c r="C99" s="2" t="s">
        <v>408</v>
      </c>
      <c r="D99" s="2" t="s">
        <v>411</v>
      </c>
      <c r="Z99" s="2" t="s">
        <v>421</v>
      </c>
    </row>
    <row r="100" spans="1:34" x14ac:dyDescent="0.25">
      <c r="A100" s="2" t="s">
        <v>306</v>
      </c>
      <c r="B100" s="2" t="s">
        <v>402</v>
      </c>
      <c r="C100" s="2" t="s">
        <v>409</v>
      </c>
      <c r="D100" s="2" t="s">
        <v>412</v>
      </c>
      <c r="E100" s="2" t="s">
        <v>413</v>
      </c>
      <c r="F100" s="2" t="s">
        <v>40</v>
      </c>
      <c r="G100" s="2" t="s">
        <v>415</v>
      </c>
      <c r="H100" s="2" t="s">
        <v>567</v>
      </c>
      <c r="S100" s="2" t="s">
        <v>58</v>
      </c>
      <c r="U100" s="2" t="s">
        <v>57</v>
      </c>
      <c r="W100" s="2" t="s">
        <v>60</v>
      </c>
    </row>
    <row r="101" spans="1:34" x14ac:dyDescent="0.25">
      <c r="A101" s="2" t="s">
        <v>306</v>
      </c>
      <c r="B101" s="2" t="s">
        <v>402</v>
      </c>
      <c r="C101" s="2" t="s">
        <v>409</v>
      </c>
      <c r="D101" s="2" t="s">
        <v>412</v>
      </c>
      <c r="E101" s="2" t="s">
        <v>413</v>
      </c>
      <c r="F101" s="2" t="s">
        <v>40</v>
      </c>
      <c r="G101" s="2" t="s">
        <v>416</v>
      </c>
      <c r="H101" s="2" t="s">
        <v>568</v>
      </c>
      <c r="S101" s="2" t="s">
        <v>59</v>
      </c>
      <c r="U101" s="2" t="s">
        <v>60</v>
      </c>
      <c r="W101" s="2" t="s">
        <v>59</v>
      </c>
    </row>
    <row r="102" spans="1:34" x14ac:dyDescent="0.25">
      <c r="A102" s="2" t="s">
        <v>306</v>
      </c>
      <c r="B102" s="2" t="s">
        <v>402</v>
      </c>
      <c r="C102" s="2" t="s">
        <v>409</v>
      </c>
      <c r="D102" s="2" t="s">
        <v>412</v>
      </c>
      <c r="E102" s="2" t="s">
        <v>413</v>
      </c>
      <c r="F102" s="2" t="s">
        <v>40</v>
      </c>
      <c r="G102" s="2" t="s">
        <v>417</v>
      </c>
      <c r="H102" s="2" t="s">
        <v>569</v>
      </c>
      <c r="S102" s="2" t="s">
        <v>57</v>
      </c>
      <c r="U102" s="2" t="s">
        <v>60</v>
      </c>
      <c r="W102" s="2" t="s">
        <v>57</v>
      </c>
    </row>
    <row r="103" spans="1:34" x14ac:dyDescent="0.25">
      <c r="A103" s="2" t="s">
        <v>306</v>
      </c>
      <c r="B103" s="2" t="s">
        <v>402</v>
      </c>
      <c r="C103" s="2" t="s">
        <v>409</v>
      </c>
      <c r="D103" s="2" t="s">
        <v>412</v>
      </c>
      <c r="E103" s="2" t="s">
        <v>413</v>
      </c>
      <c r="F103" s="2" t="s">
        <v>40</v>
      </c>
      <c r="G103" s="2" t="s">
        <v>418</v>
      </c>
      <c r="H103" s="2" t="s">
        <v>351</v>
      </c>
      <c r="S103" s="2" t="s">
        <v>60</v>
      </c>
      <c r="U103" s="2" t="s">
        <v>57</v>
      </c>
      <c r="W103" s="2" t="s">
        <v>57</v>
      </c>
    </row>
    <row r="104" spans="1:34" x14ac:dyDescent="0.25">
      <c r="A104" s="2" t="s">
        <v>306</v>
      </c>
      <c r="B104" s="2" t="s">
        <v>531</v>
      </c>
      <c r="C104" s="2" t="s">
        <v>409</v>
      </c>
      <c r="D104" s="2" t="s">
        <v>412</v>
      </c>
      <c r="E104" s="2" t="s">
        <v>413</v>
      </c>
      <c r="F104" s="2" t="s">
        <v>40</v>
      </c>
      <c r="J104" s="2" t="s">
        <v>532</v>
      </c>
      <c r="K104" s="2" t="s">
        <v>533</v>
      </c>
      <c r="L104" s="2">
        <v>1</v>
      </c>
      <c r="M104" s="2" t="s">
        <v>534</v>
      </c>
      <c r="O104" s="2" t="s">
        <v>524</v>
      </c>
      <c r="Y104" s="2" t="s">
        <v>570</v>
      </c>
    </row>
    <row r="105" spans="1:34" x14ac:dyDescent="0.25">
      <c r="A105" s="2" t="s">
        <v>306</v>
      </c>
      <c r="B105" s="2" t="s">
        <v>531</v>
      </c>
      <c r="C105" s="2" t="s">
        <v>409</v>
      </c>
      <c r="D105" s="2" t="s">
        <v>412</v>
      </c>
      <c r="E105" s="2" t="s">
        <v>413</v>
      </c>
      <c r="F105" s="2" t="s">
        <v>40</v>
      </c>
      <c r="J105" s="2" t="s">
        <v>532</v>
      </c>
      <c r="K105" s="2" t="s">
        <v>533</v>
      </c>
      <c r="L105" s="2">
        <v>2</v>
      </c>
      <c r="M105" s="2" t="s">
        <v>536</v>
      </c>
      <c r="O105" s="2" t="s">
        <v>524</v>
      </c>
      <c r="Y105" s="2" t="s">
        <v>570</v>
      </c>
    </row>
    <row r="106" spans="1:34" x14ac:dyDescent="0.25">
      <c r="A106" s="2" t="s">
        <v>306</v>
      </c>
      <c r="B106" s="2" t="s">
        <v>531</v>
      </c>
      <c r="C106" s="2" t="s">
        <v>409</v>
      </c>
      <c r="D106" s="2" t="s">
        <v>412</v>
      </c>
      <c r="E106" s="2" t="s">
        <v>413</v>
      </c>
      <c r="F106" s="2" t="s">
        <v>40</v>
      </c>
      <c r="J106" s="2" t="s">
        <v>532</v>
      </c>
      <c r="K106" s="2" t="s">
        <v>533</v>
      </c>
      <c r="L106" s="2">
        <v>3</v>
      </c>
      <c r="M106" s="2" t="s">
        <v>537</v>
      </c>
      <c r="O106" s="2" t="s">
        <v>524</v>
      </c>
      <c r="Y106" s="2" t="s">
        <v>570</v>
      </c>
    </row>
    <row r="107" spans="1:34" x14ac:dyDescent="0.25">
      <c r="A107" s="2" t="s">
        <v>306</v>
      </c>
      <c r="B107" s="2" t="s">
        <v>531</v>
      </c>
      <c r="C107" s="2" t="s">
        <v>409</v>
      </c>
      <c r="D107" s="2" t="s">
        <v>412</v>
      </c>
      <c r="E107" s="2" t="s">
        <v>413</v>
      </c>
      <c r="F107" s="2" t="s">
        <v>40</v>
      </c>
      <c r="J107" s="2" t="s">
        <v>532</v>
      </c>
      <c r="K107" s="2" t="s">
        <v>533</v>
      </c>
      <c r="L107" s="2">
        <v>4</v>
      </c>
      <c r="M107" s="2" t="s">
        <v>538</v>
      </c>
      <c r="O107" s="2" t="s">
        <v>524</v>
      </c>
      <c r="Y107" s="2" t="s">
        <v>570</v>
      </c>
    </row>
    <row r="108" spans="1:34" x14ac:dyDescent="0.25">
      <c r="A108" s="2" t="s">
        <v>306</v>
      </c>
      <c r="B108" s="2" t="s">
        <v>531</v>
      </c>
      <c r="C108" s="2" t="s">
        <v>409</v>
      </c>
      <c r="D108" s="2" t="s">
        <v>412</v>
      </c>
      <c r="E108" s="2" t="s">
        <v>413</v>
      </c>
      <c r="F108" s="2" t="s">
        <v>40</v>
      </c>
      <c r="J108" s="2" t="s">
        <v>532</v>
      </c>
      <c r="K108" s="2" t="s">
        <v>533</v>
      </c>
      <c r="L108" s="2">
        <v>5</v>
      </c>
      <c r="M108" s="2" t="s">
        <v>539</v>
      </c>
      <c r="O108" s="2" t="s">
        <v>524</v>
      </c>
      <c r="Y108" s="2" t="s">
        <v>570</v>
      </c>
    </row>
    <row r="109" spans="1:34" x14ac:dyDescent="0.25">
      <c r="A109" s="2" t="s">
        <v>306</v>
      </c>
      <c r="B109" s="2" t="s">
        <v>540</v>
      </c>
      <c r="C109" s="2" t="s">
        <v>409</v>
      </c>
      <c r="D109" s="2" t="s">
        <v>412</v>
      </c>
      <c r="E109" s="2" t="s">
        <v>413</v>
      </c>
      <c r="F109" s="2" t="s">
        <v>40</v>
      </c>
      <c r="J109" s="2" t="s">
        <v>541</v>
      </c>
      <c r="K109" s="2" t="s">
        <v>542</v>
      </c>
      <c r="L109" s="2">
        <v>1</v>
      </c>
      <c r="M109" s="2" t="s">
        <v>543</v>
      </c>
      <c r="O109" s="2" t="s">
        <v>524</v>
      </c>
      <c r="Y109" s="2" t="s">
        <v>570</v>
      </c>
    </row>
    <row r="110" spans="1:34" x14ac:dyDescent="0.25">
      <c r="A110" s="2" t="s">
        <v>306</v>
      </c>
      <c r="B110" s="2" t="s">
        <v>540</v>
      </c>
      <c r="C110" s="2" t="s">
        <v>409</v>
      </c>
      <c r="D110" s="2" t="s">
        <v>412</v>
      </c>
      <c r="E110" s="2" t="s">
        <v>413</v>
      </c>
      <c r="F110" s="2" t="s">
        <v>40</v>
      </c>
      <c r="J110" s="2" t="s">
        <v>541</v>
      </c>
      <c r="K110" s="2" t="s">
        <v>542</v>
      </c>
      <c r="L110" s="2">
        <v>2</v>
      </c>
      <c r="M110" s="2" t="s">
        <v>544</v>
      </c>
      <c r="O110" s="2" t="s">
        <v>524</v>
      </c>
      <c r="Y110" s="2" t="s">
        <v>570</v>
      </c>
    </row>
    <row r="111" spans="1:34" x14ac:dyDescent="0.25">
      <c r="A111" s="2" t="s">
        <v>306</v>
      </c>
      <c r="B111" s="2" t="s">
        <v>540</v>
      </c>
      <c r="C111" s="2" t="s">
        <v>409</v>
      </c>
      <c r="D111" s="2" t="s">
        <v>412</v>
      </c>
      <c r="E111" s="2" t="s">
        <v>413</v>
      </c>
      <c r="F111" s="2" t="s">
        <v>40</v>
      </c>
      <c r="J111" s="2" t="s">
        <v>541</v>
      </c>
      <c r="K111" s="2" t="s">
        <v>542</v>
      </c>
      <c r="L111" s="2">
        <v>3</v>
      </c>
      <c r="M111" s="2" t="s">
        <v>545</v>
      </c>
      <c r="O111" s="2" t="s">
        <v>524</v>
      </c>
      <c r="Y111" s="2" t="s">
        <v>570</v>
      </c>
    </row>
    <row r="112" spans="1:34" x14ac:dyDescent="0.25">
      <c r="A112" s="2" t="s">
        <v>306</v>
      </c>
      <c r="B112" s="2" t="s">
        <v>540</v>
      </c>
      <c r="C112" s="2" t="s">
        <v>409</v>
      </c>
      <c r="D112" s="2" t="s">
        <v>412</v>
      </c>
      <c r="E112" s="2" t="s">
        <v>413</v>
      </c>
      <c r="F112" s="2" t="s">
        <v>40</v>
      </c>
      <c r="J112" s="2" t="s">
        <v>541</v>
      </c>
      <c r="K112" s="2" t="s">
        <v>542</v>
      </c>
      <c r="L112" s="2">
        <v>4</v>
      </c>
      <c r="M112" s="2" t="s">
        <v>546</v>
      </c>
      <c r="O112" s="2" t="s">
        <v>524</v>
      </c>
      <c r="Y112" s="2" t="s">
        <v>570</v>
      </c>
    </row>
    <row r="113" spans="1:34" x14ac:dyDescent="0.25">
      <c r="A113" s="2" t="s">
        <v>306</v>
      </c>
      <c r="B113" s="2" t="s">
        <v>540</v>
      </c>
      <c r="C113" s="2" t="s">
        <v>409</v>
      </c>
      <c r="D113" s="2" t="s">
        <v>412</v>
      </c>
      <c r="E113" s="2" t="s">
        <v>413</v>
      </c>
      <c r="F113" s="2" t="s">
        <v>40</v>
      </c>
      <c r="J113" s="2" t="s">
        <v>541</v>
      </c>
      <c r="K113" s="2" t="s">
        <v>542</v>
      </c>
      <c r="L113" s="2">
        <v>5</v>
      </c>
      <c r="M113" s="2" t="s">
        <v>547</v>
      </c>
      <c r="O113" s="2" t="s">
        <v>524</v>
      </c>
      <c r="Y113" s="2" t="s">
        <v>570</v>
      </c>
    </row>
    <row r="114" spans="1:34" x14ac:dyDescent="0.25">
      <c r="A114" s="2" t="s">
        <v>306</v>
      </c>
      <c r="B114" s="2" t="s">
        <v>540</v>
      </c>
      <c r="C114" s="2" t="s">
        <v>409</v>
      </c>
      <c r="D114" s="2" t="s">
        <v>412</v>
      </c>
      <c r="E114" s="2" t="s">
        <v>413</v>
      </c>
      <c r="F114" s="2" t="s">
        <v>40</v>
      </c>
      <c r="J114" s="2" t="s">
        <v>541</v>
      </c>
      <c r="K114" s="2" t="s">
        <v>542</v>
      </c>
      <c r="L114" s="2">
        <v>6</v>
      </c>
      <c r="M114" s="2" t="s">
        <v>548</v>
      </c>
      <c r="O114" s="2" t="s">
        <v>524</v>
      </c>
      <c r="Y114" s="2" t="s">
        <v>570</v>
      </c>
    </row>
    <row r="115" spans="1:34" x14ac:dyDescent="0.25">
      <c r="A115" s="2" t="s">
        <v>306</v>
      </c>
      <c r="B115" s="2" t="s">
        <v>540</v>
      </c>
      <c r="C115" s="2" t="s">
        <v>409</v>
      </c>
      <c r="D115" s="2" t="s">
        <v>412</v>
      </c>
      <c r="E115" s="2" t="s">
        <v>413</v>
      </c>
      <c r="F115" s="2" t="s">
        <v>40</v>
      </c>
      <c r="J115" s="2" t="s">
        <v>541</v>
      </c>
      <c r="K115" s="2" t="s">
        <v>542</v>
      </c>
      <c r="L115" s="2">
        <v>7</v>
      </c>
      <c r="M115" s="2" t="s">
        <v>549</v>
      </c>
      <c r="O115" s="2" t="s">
        <v>524</v>
      </c>
      <c r="Y115" s="2" t="s">
        <v>570</v>
      </c>
    </row>
    <row r="116" spans="1:34" x14ac:dyDescent="0.25">
      <c r="A116" s="2" t="s">
        <v>306</v>
      </c>
      <c r="B116" s="2" t="s">
        <v>540</v>
      </c>
      <c r="C116" s="2" t="s">
        <v>409</v>
      </c>
      <c r="D116" s="2" t="s">
        <v>412</v>
      </c>
      <c r="E116" s="2" t="s">
        <v>413</v>
      </c>
      <c r="F116" s="2" t="s">
        <v>40</v>
      </c>
      <c r="J116" s="2" t="s">
        <v>541</v>
      </c>
      <c r="K116" s="2" t="s">
        <v>542</v>
      </c>
      <c r="L116" s="2">
        <v>8</v>
      </c>
      <c r="M116" s="2" t="s">
        <v>550</v>
      </c>
      <c r="O116" s="2" t="s">
        <v>524</v>
      </c>
      <c r="Y116" s="2" t="s">
        <v>570</v>
      </c>
    </row>
    <row r="117" spans="1:34" x14ac:dyDescent="0.25">
      <c r="A117" s="2" t="s">
        <v>306</v>
      </c>
      <c r="B117" s="2" t="s">
        <v>540</v>
      </c>
      <c r="C117" s="2" t="s">
        <v>409</v>
      </c>
      <c r="D117" s="2" t="s">
        <v>412</v>
      </c>
      <c r="E117" s="2" t="s">
        <v>413</v>
      </c>
      <c r="F117" s="2" t="s">
        <v>40</v>
      </c>
      <c r="J117" s="2" t="s">
        <v>541</v>
      </c>
      <c r="K117" s="2" t="s">
        <v>542</v>
      </c>
      <c r="L117" s="2">
        <v>9</v>
      </c>
      <c r="M117" s="2" t="s">
        <v>551</v>
      </c>
      <c r="O117" s="2" t="s">
        <v>524</v>
      </c>
      <c r="Y117" s="2" t="s">
        <v>570</v>
      </c>
    </row>
    <row r="118" spans="1:34" x14ac:dyDescent="0.25">
      <c r="A118" s="2" t="s">
        <v>306</v>
      </c>
      <c r="B118" s="2" t="s">
        <v>540</v>
      </c>
      <c r="C118" s="2" t="s">
        <v>409</v>
      </c>
      <c r="D118" s="2" t="s">
        <v>412</v>
      </c>
      <c r="E118" s="2" t="s">
        <v>413</v>
      </c>
      <c r="F118" s="2" t="s">
        <v>40</v>
      </c>
      <c r="J118" s="2" t="s">
        <v>541</v>
      </c>
      <c r="K118" s="2" t="s">
        <v>542</v>
      </c>
      <c r="L118" s="2">
        <v>10</v>
      </c>
      <c r="M118" s="2" t="s">
        <v>552</v>
      </c>
      <c r="O118" s="2" t="s">
        <v>524</v>
      </c>
      <c r="Y118" s="2" t="s">
        <v>570</v>
      </c>
    </row>
    <row r="119" spans="1:34" x14ac:dyDescent="0.25">
      <c r="A119" s="2" t="s">
        <v>306</v>
      </c>
      <c r="B119" s="2" t="s">
        <v>540</v>
      </c>
      <c r="C119" s="2" t="s">
        <v>409</v>
      </c>
      <c r="D119" s="2" t="s">
        <v>412</v>
      </c>
      <c r="E119" s="2" t="s">
        <v>413</v>
      </c>
      <c r="F119" s="2" t="s">
        <v>40</v>
      </c>
      <c r="J119" s="2" t="s">
        <v>541</v>
      </c>
      <c r="K119" s="2" t="s">
        <v>542</v>
      </c>
      <c r="L119" s="2">
        <v>11</v>
      </c>
      <c r="M119" s="2" t="s">
        <v>553</v>
      </c>
      <c r="O119" s="2" t="s">
        <v>524</v>
      </c>
      <c r="Y119" s="2" t="s">
        <v>570</v>
      </c>
    </row>
    <row r="120" spans="1:34" x14ac:dyDescent="0.25">
      <c r="A120" s="2" t="s">
        <v>306</v>
      </c>
      <c r="B120" s="2" t="s">
        <v>540</v>
      </c>
      <c r="C120" s="2" t="s">
        <v>409</v>
      </c>
      <c r="D120" s="2" t="s">
        <v>412</v>
      </c>
      <c r="E120" s="2" t="s">
        <v>413</v>
      </c>
      <c r="F120" s="2" t="s">
        <v>40</v>
      </c>
      <c r="J120" s="2" t="s">
        <v>541</v>
      </c>
      <c r="K120" s="2" t="s">
        <v>542</v>
      </c>
      <c r="L120" s="2">
        <v>12</v>
      </c>
      <c r="M120" s="2" t="s">
        <v>554</v>
      </c>
      <c r="O120" s="2" t="s">
        <v>524</v>
      </c>
      <c r="Y120" s="2" t="s">
        <v>570</v>
      </c>
    </row>
    <row r="121" spans="1:34" x14ac:dyDescent="0.25">
      <c r="A121" s="2" t="s">
        <v>306</v>
      </c>
      <c r="B121" s="2" t="s">
        <v>555</v>
      </c>
      <c r="C121" s="2" t="s">
        <v>409</v>
      </c>
      <c r="D121" s="2" t="s">
        <v>412</v>
      </c>
      <c r="E121" s="2" t="s">
        <v>413</v>
      </c>
      <c r="F121" s="2" t="s">
        <v>40</v>
      </c>
      <c r="J121" s="2" t="s">
        <v>556</v>
      </c>
      <c r="O121" s="2" t="s">
        <v>524</v>
      </c>
      <c r="Y121" s="2" t="s">
        <v>570</v>
      </c>
      <c r="AB121" s="2">
        <v>2</v>
      </c>
    </row>
    <row r="122" spans="1:34" x14ac:dyDescent="0.25">
      <c r="A122" s="2" t="s">
        <v>306</v>
      </c>
      <c r="B122" s="2" t="s">
        <v>557</v>
      </c>
      <c r="C122" s="2" t="s">
        <v>409</v>
      </c>
      <c r="D122" s="2" t="s">
        <v>412</v>
      </c>
      <c r="E122" s="2" t="s">
        <v>413</v>
      </c>
      <c r="F122" s="2" t="s">
        <v>40</v>
      </c>
      <c r="J122" s="2" t="s">
        <v>558</v>
      </c>
      <c r="O122" s="2" t="s">
        <v>524</v>
      </c>
      <c r="Y122" s="2" t="s">
        <v>570</v>
      </c>
      <c r="AC122" s="2">
        <f>COUNTIFS($B:$B,"BLOCK_LOAD_Q",$A:$A,$A122,$C:$C,$C122,$E:$E,$E122,$F:$F,$F122,$N:$N, "&lt;&gt;")</f>
        <v>0</v>
      </c>
      <c r="AD122" s="2">
        <f>COUNTIFS($B:$B,"BLOCK_TRUST_Q",$A:$A,$A122,$C:$C,$C122,$E:$E,$E122,$F:$F,$F122,$N:$N, "&lt;&gt;")</f>
        <v>0</v>
      </c>
      <c r="AE122" s="2" t="str">
        <f>IFERROR(AVERAGEIFS($P:$P,$B:$B,"BLOCK_LOAD_Q",$A:$A,$A122,$C:$C,$C122,$E:$E,$E122,$F:$F,$F122,$P:$P,"&gt;0"),"")</f>
        <v/>
      </c>
      <c r="AF122" s="2" t="str">
        <f>IFERROR(AVERAGEIFS($P:$P,$B:$B,"BLOCK_TRUST_Q",$A:$A,$A122,$C:$C,$C122,$E:$E,$E122,$F:$F,$F122,$P:$P,"&gt;0"),"")</f>
        <v/>
      </c>
      <c r="AG122" s="2">
        <f>5-AC122</f>
        <v>5</v>
      </c>
      <c r="AH122" s="2">
        <f>12-AD122</f>
        <v>12</v>
      </c>
    </row>
    <row r="123" spans="1:34" x14ac:dyDescent="0.25">
      <c r="A123" s="2" t="s">
        <v>306</v>
      </c>
      <c r="B123" s="2" t="s">
        <v>402</v>
      </c>
      <c r="C123" s="2" t="s">
        <v>409</v>
      </c>
      <c r="D123" s="2" t="s">
        <v>412</v>
      </c>
      <c r="E123" s="2" t="s">
        <v>414</v>
      </c>
      <c r="F123" s="2" t="s">
        <v>39</v>
      </c>
      <c r="G123" s="2" t="s">
        <v>415</v>
      </c>
      <c r="H123" s="2" t="s">
        <v>350</v>
      </c>
      <c r="S123" s="2" t="s">
        <v>57</v>
      </c>
      <c r="U123" s="2" t="s">
        <v>58</v>
      </c>
      <c r="W123" s="2" t="s">
        <v>59</v>
      </c>
    </row>
    <row r="124" spans="1:34" x14ac:dyDescent="0.25">
      <c r="A124" s="2" t="s">
        <v>306</v>
      </c>
      <c r="B124" s="2" t="s">
        <v>402</v>
      </c>
      <c r="C124" s="2" t="s">
        <v>409</v>
      </c>
      <c r="D124" s="2" t="s">
        <v>412</v>
      </c>
      <c r="E124" s="2" t="s">
        <v>414</v>
      </c>
      <c r="F124" s="2" t="s">
        <v>39</v>
      </c>
      <c r="G124" s="2" t="s">
        <v>416</v>
      </c>
      <c r="H124" s="2" t="s">
        <v>571</v>
      </c>
      <c r="S124" s="2" t="s">
        <v>59</v>
      </c>
      <c r="U124" s="2" t="s">
        <v>57</v>
      </c>
      <c r="W124" s="2" t="s">
        <v>60</v>
      </c>
    </row>
    <row r="125" spans="1:34" x14ac:dyDescent="0.25">
      <c r="A125" s="2" t="s">
        <v>306</v>
      </c>
      <c r="B125" s="2" t="s">
        <v>402</v>
      </c>
      <c r="C125" s="2" t="s">
        <v>409</v>
      </c>
      <c r="D125" s="2" t="s">
        <v>412</v>
      </c>
      <c r="E125" s="2" t="s">
        <v>414</v>
      </c>
      <c r="F125" s="2" t="s">
        <v>39</v>
      </c>
      <c r="G125" s="2" t="s">
        <v>417</v>
      </c>
      <c r="H125" s="2" t="s">
        <v>572</v>
      </c>
      <c r="S125" s="2" t="s">
        <v>57</v>
      </c>
      <c r="U125" s="2" t="s">
        <v>59</v>
      </c>
      <c r="W125" s="2" t="s">
        <v>58</v>
      </c>
    </row>
    <row r="126" spans="1:34" x14ac:dyDescent="0.25">
      <c r="A126" s="2" t="s">
        <v>306</v>
      </c>
      <c r="B126" s="2" t="s">
        <v>402</v>
      </c>
      <c r="C126" s="2" t="s">
        <v>409</v>
      </c>
      <c r="D126" s="2" t="s">
        <v>412</v>
      </c>
      <c r="E126" s="2" t="s">
        <v>414</v>
      </c>
      <c r="F126" s="2" t="s">
        <v>39</v>
      </c>
      <c r="G126" s="2" t="s">
        <v>418</v>
      </c>
      <c r="H126" s="2" t="s">
        <v>573</v>
      </c>
      <c r="S126" s="2" t="s">
        <v>58</v>
      </c>
      <c r="U126" s="2" t="s">
        <v>58</v>
      </c>
      <c r="W126" s="2" t="s">
        <v>58</v>
      </c>
    </row>
    <row r="127" spans="1:34" x14ac:dyDescent="0.25">
      <c r="A127" s="2" t="s">
        <v>306</v>
      </c>
      <c r="B127" s="2" t="s">
        <v>402</v>
      </c>
      <c r="C127" s="2" t="s">
        <v>409</v>
      </c>
      <c r="D127" s="2" t="s">
        <v>412</v>
      </c>
      <c r="E127" s="2" t="s">
        <v>414</v>
      </c>
      <c r="F127" s="2" t="s">
        <v>39</v>
      </c>
      <c r="G127" s="2" t="s">
        <v>419</v>
      </c>
      <c r="H127" s="2" t="s">
        <v>365</v>
      </c>
      <c r="S127" s="2" t="s">
        <v>59</v>
      </c>
      <c r="U127" s="2" t="s">
        <v>59</v>
      </c>
      <c r="W127" s="2" t="s">
        <v>60</v>
      </c>
    </row>
    <row r="128" spans="1:34" x14ac:dyDescent="0.25">
      <c r="A128" s="2" t="s">
        <v>306</v>
      </c>
      <c r="B128" s="2" t="s">
        <v>531</v>
      </c>
      <c r="C128" s="2" t="s">
        <v>409</v>
      </c>
      <c r="D128" s="2" t="s">
        <v>412</v>
      </c>
      <c r="E128" s="2" t="s">
        <v>414</v>
      </c>
      <c r="F128" s="2" t="s">
        <v>39</v>
      </c>
      <c r="J128" s="2" t="s">
        <v>532</v>
      </c>
      <c r="K128" s="2" t="s">
        <v>533</v>
      </c>
      <c r="L128" s="2">
        <v>1</v>
      </c>
      <c r="M128" s="2" t="s">
        <v>534</v>
      </c>
      <c r="O128" s="2" t="s">
        <v>524</v>
      </c>
      <c r="Y128" s="2" t="s">
        <v>574</v>
      </c>
    </row>
    <row r="129" spans="1:25" x14ac:dyDescent="0.25">
      <c r="A129" s="2" t="s">
        <v>306</v>
      </c>
      <c r="B129" s="2" t="s">
        <v>531</v>
      </c>
      <c r="C129" s="2" t="s">
        <v>409</v>
      </c>
      <c r="D129" s="2" t="s">
        <v>412</v>
      </c>
      <c r="E129" s="2" t="s">
        <v>414</v>
      </c>
      <c r="F129" s="2" t="s">
        <v>39</v>
      </c>
      <c r="J129" s="2" t="s">
        <v>532</v>
      </c>
      <c r="K129" s="2" t="s">
        <v>533</v>
      </c>
      <c r="L129" s="2">
        <v>2</v>
      </c>
      <c r="M129" s="2" t="s">
        <v>536</v>
      </c>
      <c r="O129" s="2" t="s">
        <v>524</v>
      </c>
      <c r="Y129" s="2" t="s">
        <v>574</v>
      </c>
    </row>
    <row r="130" spans="1:25" x14ac:dyDescent="0.25">
      <c r="A130" s="2" t="s">
        <v>306</v>
      </c>
      <c r="B130" s="2" t="s">
        <v>531</v>
      </c>
      <c r="C130" s="2" t="s">
        <v>409</v>
      </c>
      <c r="D130" s="2" t="s">
        <v>412</v>
      </c>
      <c r="E130" s="2" t="s">
        <v>414</v>
      </c>
      <c r="F130" s="2" t="s">
        <v>39</v>
      </c>
      <c r="J130" s="2" t="s">
        <v>532</v>
      </c>
      <c r="K130" s="2" t="s">
        <v>533</v>
      </c>
      <c r="L130" s="2">
        <v>3</v>
      </c>
      <c r="M130" s="2" t="s">
        <v>537</v>
      </c>
      <c r="O130" s="2" t="s">
        <v>524</v>
      </c>
      <c r="Y130" s="2" t="s">
        <v>574</v>
      </c>
    </row>
    <row r="131" spans="1:25" x14ac:dyDescent="0.25">
      <c r="A131" s="2" t="s">
        <v>306</v>
      </c>
      <c r="B131" s="2" t="s">
        <v>531</v>
      </c>
      <c r="C131" s="2" t="s">
        <v>409</v>
      </c>
      <c r="D131" s="2" t="s">
        <v>412</v>
      </c>
      <c r="E131" s="2" t="s">
        <v>414</v>
      </c>
      <c r="F131" s="2" t="s">
        <v>39</v>
      </c>
      <c r="J131" s="2" t="s">
        <v>532</v>
      </c>
      <c r="K131" s="2" t="s">
        <v>533</v>
      </c>
      <c r="L131" s="2">
        <v>4</v>
      </c>
      <c r="M131" s="2" t="s">
        <v>538</v>
      </c>
      <c r="O131" s="2" t="s">
        <v>524</v>
      </c>
      <c r="Y131" s="2" t="s">
        <v>574</v>
      </c>
    </row>
    <row r="132" spans="1:25" x14ac:dyDescent="0.25">
      <c r="A132" s="2" t="s">
        <v>306</v>
      </c>
      <c r="B132" s="2" t="s">
        <v>531</v>
      </c>
      <c r="C132" s="2" t="s">
        <v>409</v>
      </c>
      <c r="D132" s="2" t="s">
        <v>412</v>
      </c>
      <c r="E132" s="2" t="s">
        <v>414</v>
      </c>
      <c r="F132" s="2" t="s">
        <v>39</v>
      </c>
      <c r="J132" s="2" t="s">
        <v>532</v>
      </c>
      <c r="K132" s="2" t="s">
        <v>533</v>
      </c>
      <c r="L132" s="2">
        <v>5</v>
      </c>
      <c r="M132" s="2" t="s">
        <v>539</v>
      </c>
      <c r="O132" s="2" t="s">
        <v>524</v>
      </c>
      <c r="Y132" s="2" t="s">
        <v>574</v>
      </c>
    </row>
    <row r="133" spans="1:25" x14ac:dyDescent="0.25">
      <c r="A133" s="2" t="s">
        <v>306</v>
      </c>
      <c r="B133" s="2" t="s">
        <v>540</v>
      </c>
      <c r="C133" s="2" t="s">
        <v>409</v>
      </c>
      <c r="D133" s="2" t="s">
        <v>412</v>
      </c>
      <c r="E133" s="2" t="s">
        <v>414</v>
      </c>
      <c r="F133" s="2" t="s">
        <v>39</v>
      </c>
      <c r="J133" s="2" t="s">
        <v>541</v>
      </c>
      <c r="K133" s="2" t="s">
        <v>542</v>
      </c>
      <c r="L133" s="2">
        <v>1</v>
      </c>
      <c r="M133" s="2" t="s">
        <v>543</v>
      </c>
      <c r="O133" s="2" t="s">
        <v>524</v>
      </c>
      <c r="Y133" s="2" t="s">
        <v>574</v>
      </c>
    </row>
    <row r="134" spans="1:25" x14ac:dyDescent="0.25">
      <c r="A134" s="2" t="s">
        <v>306</v>
      </c>
      <c r="B134" s="2" t="s">
        <v>540</v>
      </c>
      <c r="C134" s="2" t="s">
        <v>409</v>
      </c>
      <c r="D134" s="2" t="s">
        <v>412</v>
      </c>
      <c r="E134" s="2" t="s">
        <v>414</v>
      </c>
      <c r="F134" s="2" t="s">
        <v>39</v>
      </c>
      <c r="J134" s="2" t="s">
        <v>541</v>
      </c>
      <c r="K134" s="2" t="s">
        <v>542</v>
      </c>
      <c r="L134" s="2">
        <v>2</v>
      </c>
      <c r="M134" s="2" t="s">
        <v>544</v>
      </c>
      <c r="O134" s="2" t="s">
        <v>524</v>
      </c>
      <c r="Y134" s="2" t="s">
        <v>574</v>
      </c>
    </row>
    <row r="135" spans="1:25" x14ac:dyDescent="0.25">
      <c r="A135" s="2" t="s">
        <v>306</v>
      </c>
      <c r="B135" s="2" t="s">
        <v>540</v>
      </c>
      <c r="C135" s="2" t="s">
        <v>409</v>
      </c>
      <c r="D135" s="2" t="s">
        <v>412</v>
      </c>
      <c r="E135" s="2" t="s">
        <v>414</v>
      </c>
      <c r="F135" s="2" t="s">
        <v>39</v>
      </c>
      <c r="J135" s="2" t="s">
        <v>541</v>
      </c>
      <c r="K135" s="2" t="s">
        <v>542</v>
      </c>
      <c r="L135" s="2">
        <v>3</v>
      </c>
      <c r="M135" s="2" t="s">
        <v>545</v>
      </c>
      <c r="O135" s="2" t="s">
        <v>524</v>
      </c>
      <c r="Y135" s="2" t="s">
        <v>574</v>
      </c>
    </row>
    <row r="136" spans="1:25" x14ac:dyDescent="0.25">
      <c r="A136" s="2" t="s">
        <v>306</v>
      </c>
      <c r="B136" s="2" t="s">
        <v>540</v>
      </c>
      <c r="C136" s="2" t="s">
        <v>409</v>
      </c>
      <c r="D136" s="2" t="s">
        <v>412</v>
      </c>
      <c r="E136" s="2" t="s">
        <v>414</v>
      </c>
      <c r="F136" s="2" t="s">
        <v>39</v>
      </c>
      <c r="J136" s="2" t="s">
        <v>541</v>
      </c>
      <c r="K136" s="2" t="s">
        <v>542</v>
      </c>
      <c r="L136" s="2">
        <v>4</v>
      </c>
      <c r="M136" s="2" t="s">
        <v>546</v>
      </c>
      <c r="O136" s="2" t="s">
        <v>524</v>
      </c>
      <c r="Y136" s="2" t="s">
        <v>574</v>
      </c>
    </row>
    <row r="137" spans="1:25" x14ac:dyDescent="0.25">
      <c r="A137" s="2" t="s">
        <v>306</v>
      </c>
      <c r="B137" s="2" t="s">
        <v>540</v>
      </c>
      <c r="C137" s="2" t="s">
        <v>409</v>
      </c>
      <c r="D137" s="2" t="s">
        <v>412</v>
      </c>
      <c r="E137" s="2" t="s">
        <v>414</v>
      </c>
      <c r="F137" s="2" t="s">
        <v>39</v>
      </c>
      <c r="J137" s="2" t="s">
        <v>541</v>
      </c>
      <c r="K137" s="2" t="s">
        <v>542</v>
      </c>
      <c r="L137" s="2">
        <v>5</v>
      </c>
      <c r="M137" s="2" t="s">
        <v>547</v>
      </c>
      <c r="O137" s="2" t="s">
        <v>524</v>
      </c>
      <c r="Y137" s="2" t="s">
        <v>574</v>
      </c>
    </row>
    <row r="138" spans="1:25" x14ac:dyDescent="0.25">
      <c r="A138" s="2" t="s">
        <v>306</v>
      </c>
      <c r="B138" s="2" t="s">
        <v>540</v>
      </c>
      <c r="C138" s="2" t="s">
        <v>409</v>
      </c>
      <c r="D138" s="2" t="s">
        <v>412</v>
      </c>
      <c r="E138" s="2" t="s">
        <v>414</v>
      </c>
      <c r="F138" s="2" t="s">
        <v>39</v>
      </c>
      <c r="J138" s="2" t="s">
        <v>541</v>
      </c>
      <c r="K138" s="2" t="s">
        <v>542</v>
      </c>
      <c r="L138" s="2">
        <v>6</v>
      </c>
      <c r="M138" s="2" t="s">
        <v>548</v>
      </c>
      <c r="O138" s="2" t="s">
        <v>524</v>
      </c>
      <c r="Y138" s="2" t="s">
        <v>574</v>
      </c>
    </row>
    <row r="139" spans="1:25" x14ac:dyDescent="0.25">
      <c r="A139" s="2" t="s">
        <v>306</v>
      </c>
      <c r="B139" s="2" t="s">
        <v>540</v>
      </c>
      <c r="C139" s="2" t="s">
        <v>409</v>
      </c>
      <c r="D139" s="2" t="s">
        <v>412</v>
      </c>
      <c r="E139" s="2" t="s">
        <v>414</v>
      </c>
      <c r="F139" s="2" t="s">
        <v>39</v>
      </c>
      <c r="J139" s="2" t="s">
        <v>541</v>
      </c>
      <c r="K139" s="2" t="s">
        <v>542</v>
      </c>
      <c r="L139" s="2">
        <v>7</v>
      </c>
      <c r="M139" s="2" t="s">
        <v>549</v>
      </c>
      <c r="O139" s="2" t="s">
        <v>524</v>
      </c>
      <c r="Y139" s="2" t="s">
        <v>574</v>
      </c>
    </row>
    <row r="140" spans="1:25" x14ac:dyDescent="0.25">
      <c r="A140" s="2" t="s">
        <v>306</v>
      </c>
      <c r="B140" s="2" t="s">
        <v>540</v>
      </c>
      <c r="C140" s="2" t="s">
        <v>409</v>
      </c>
      <c r="D140" s="2" t="s">
        <v>412</v>
      </c>
      <c r="E140" s="2" t="s">
        <v>414</v>
      </c>
      <c r="F140" s="2" t="s">
        <v>39</v>
      </c>
      <c r="J140" s="2" t="s">
        <v>541</v>
      </c>
      <c r="K140" s="2" t="s">
        <v>542</v>
      </c>
      <c r="L140" s="2">
        <v>8</v>
      </c>
      <c r="M140" s="2" t="s">
        <v>550</v>
      </c>
      <c r="O140" s="2" t="s">
        <v>524</v>
      </c>
      <c r="Y140" s="2" t="s">
        <v>574</v>
      </c>
    </row>
    <row r="141" spans="1:25" x14ac:dyDescent="0.25">
      <c r="A141" s="2" t="s">
        <v>306</v>
      </c>
      <c r="B141" s="2" t="s">
        <v>540</v>
      </c>
      <c r="C141" s="2" t="s">
        <v>409</v>
      </c>
      <c r="D141" s="2" t="s">
        <v>412</v>
      </c>
      <c r="E141" s="2" t="s">
        <v>414</v>
      </c>
      <c r="F141" s="2" t="s">
        <v>39</v>
      </c>
      <c r="J141" s="2" t="s">
        <v>541</v>
      </c>
      <c r="K141" s="2" t="s">
        <v>542</v>
      </c>
      <c r="L141" s="2">
        <v>9</v>
      </c>
      <c r="M141" s="2" t="s">
        <v>551</v>
      </c>
      <c r="O141" s="2" t="s">
        <v>524</v>
      </c>
      <c r="Y141" s="2" t="s">
        <v>574</v>
      </c>
    </row>
    <row r="142" spans="1:25" x14ac:dyDescent="0.25">
      <c r="A142" s="2" t="s">
        <v>306</v>
      </c>
      <c r="B142" s="2" t="s">
        <v>540</v>
      </c>
      <c r="C142" s="2" t="s">
        <v>409</v>
      </c>
      <c r="D142" s="2" t="s">
        <v>412</v>
      </c>
      <c r="E142" s="2" t="s">
        <v>414</v>
      </c>
      <c r="F142" s="2" t="s">
        <v>39</v>
      </c>
      <c r="J142" s="2" t="s">
        <v>541</v>
      </c>
      <c r="K142" s="2" t="s">
        <v>542</v>
      </c>
      <c r="L142" s="2">
        <v>10</v>
      </c>
      <c r="M142" s="2" t="s">
        <v>552</v>
      </c>
      <c r="O142" s="2" t="s">
        <v>524</v>
      </c>
      <c r="Y142" s="2" t="s">
        <v>574</v>
      </c>
    </row>
    <row r="143" spans="1:25" x14ac:dyDescent="0.25">
      <c r="A143" s="2" t="s">
        <v>306</v>
      </c>
      <c r="B143" s="2" t="s">
        <v>540</v>
      </c>
      <c r="C143" s="2" t="s">
        <v>409</v>
      </c>
      <c r="D143" s="2" t="s">
        <v>412</v>
      </c>
      <c r="E143" s="2" t="s">
        <v>414</v>
      </c>
      <c r="F143" s="2" t="s">
        <v>39</v>
      </c>
      <c r="J143" s="2" t="s">
        <v>541</v>
      </c>
      <c r="K143" s="2" t="s">
        <v>542</v>
      </c>
      <c r="L143" s="2">
        <v>11</v>
      </c>
      <c r="M143" s="2" t="s">
        <v>553</v>
      </c>
      <c r="O143" s="2" t="s">
        <v>524</v>
      </c>
      <c r="Y143" s="2" t="s">
        <v>574</v>
      </c>
    </row>
    <row r="144" spans="1:25" x14ac:dyDescent="0.25">
      <c r="A144" s="2" t="s">
        <v>306</v>
      </c>
      <c r="B144" s="2" t="s">
        <v>540</v>
      </c>
      <c r="C144" s="2" t="s">
        <v>409</v>
      </c>
      <c r="D144" s="2" t="s">
        <v>412</v>
      </c>
      <c r="E144" s="2" t="s">
        <v>414</v>
      </c>
      <c r="F144" s="2" t="s">
        <v>39</v>
      </c>
      <c r="J144" s="2" t="s">
        <v>541</v>
      </c>
      <c r="K144" s="2" t="s">
        <v>542</v>
      </c>
      <c r="L144" s="2">
        <v>12</v>
      </c>
      <c r="M144" s="2" t="s">
        <v>554</v>
      </c>
      <c r="O144" s="2" t="s">
        <v>524</v>
      </c>
      <c r="Y144" s="2" t="s">
        <v>574</v>
      </c>
    </row>
    <row r="145" spans="1:34" x14ac:dyDescent="0.25">
      <c r="A145" s="2" t="s">
        <v>306</v>
      </c>
      <c r="B145" s="2" t="s">
        <v>555</v>
      </c>
      <c r="C145" s="2" t="s">
        <v>409</v>
      </c>
      <c r="D145" s="2" t="s">
        <v>412</v>
      </c>
      <c r="E145" s="2" t="s">
        <v>414</v>
      </c>
      <c r="F145" s="2" t="s">
        <v>39</v>
      </c>
      <c r="J145" s="2" t="s">
        <v>556</v>
      </c>
      <c r="O145" s="2" t="s">
        <v>524</v>
      </c>
      <c r="Y145" s="2" t="s">
        <v>574</v>
      </c>
      <c r="AB145" s="2">
        <v>1</v>
      </c>
    </row>
    <row r="146" spans="1:34" x14ac:dyDescent="0.25">
      <c r="A146" s="2" t="s">
        <v>306</v>
      </c>
      <c r="B146" s="2" t="s">
        <v>557</v>
      </c>
      <c r="C146" s="2" t="s">
        <v>409</v>
      </c>
      <c r="D146" s="2" t="s">
        <v>412</v>
      </c>
      <c r="E146" s="2" t="s">
        <v>414</v>
      </c>
      <c r="F146" s="2" t="s">
        <v>39</v>
      </c>
      <c r="J146" s="2" t="s">
        <v>558</v>
      </c>
      <c r="O146" s="2" t="s">
        <v>524</v>
      </c>
      <c r="Y146" s="2" t="s">
        <v>574</v>
      </c>
      <c r="AC146" s="2">
        <f>COUNTIFS($B:$B,"BLOCK_LOAD_Q",$A:$A,$A146,$C:$C,$C146,$E:$E,$E146,$F:$F,$F146,$N:$N, "&lt;&gt;")</f>
        <v>0</v>
      </c>
      <c r="AD146" s="2">
        <f>COUNTIFS($B:$B,"BLOCK_TRUST_Q",$A:$A,$A146,$C:$C,$C146,$E:$E,$E146,$F:$F,$F146,$N:$N, "&lt;&gt;")</f>
        <v>0</v>
      </c>
      <c r="AE146" s="2" t="str">
        <f>IFERROR(AVERAGEIFS($P:$P,$B:$B,"BLOCK_LOAD_Q",$A:$A,$A146,$C:$C,$C146,$E:$E,$E146,$F:$F,$F146,$P:$P,"&gt;0"),"")</f>
        <v/>
      </c>
      <c r="AF146" s="2" t="str">
        <f>IFERROR(AVERAGEIFS($P:$P,$B:$B,"BLOCK_TRUST_Q",$A:$A,$A146,$C:$C,$C146,$E:$E,$E146,$F:$F,$F146,$P:$P,"&gt;0"),"")</f>
        <v/>
      </c>
      <c r="AG146" s="2">
        <f>5-AC146</f>
        <v>5</v>
      </c>
      <c r="AH146" s="2">
        <f>12-AD146</f>
        <v>12</v>
      </c>
    </row>
    <row r="147" spans="1:34" x14ac:dyDescent="0.25">
      <c r="A147" s="2" t="s">
        <v>306</v>
      </c>
      <c r="B147" s="2" t="s">
        <v>403</v>
      </c>
      <c r="C147" s="2" t="s">
        <v>409</v>
      </c>
      <c r="D147" s="2" t="s">
        <v>412</v>
      </c>
      <c r="Z147" s="2" t="s">
        <v>422</v>
      </c>
    </row>
    <row r="148" spans="1:34" x14ac:dyDescent="0.25">
      <c r="A148" s="2" t="s">
        <v>306</v>
      </c>
      <c r="B148" s="2" t="s">
        <v>404</v>
      </c>
      <c r="J148" s="2" t="s">
        <v>575</v>
      </c>
      <c r="AA148" s="2" t="s">
        <v>337</v>
      </c>
    </row>
    <row r="149" spans="1:34" x14ac:dyDescent="0.25">
      <c r="A149" s="2" t="s">
        <v>306</v>
      </c>
      <c r="B149" s="2" t="s">
        <v>405</v>
      </c>
    </row>
    <row r="150" spans="1:34" x14ac:dyDescent="0.25">
      <c r="A150" s="2" t="s">
        <v>306</v>
      </c>
      <c r="B150" s="2" t="s">
        <v>406</v>
      </c>
    </row>
    <row r="151" spans="1:34" x14ac:dyDescent="0.25">
      <c r="A151" s="2" t="s">
        <v>307</v>
      </c>
      <c r="B151" s="2" t="s">
        <v>523</v>
      </c>
      <c r="C151" s="2" t="s">
        <v>524</v>
      </c>
      <c r="D151" s="2" t="s">
        <v>524</v>
      </c>
      <c r="E151" s="2" t="s">
        <v>524</v>
      </c>
      <c r="F151" s="2" t="s">
        <v>524</v>
      </c>
      <c r="J151" s="2" t="s">
        <v>525</v>
      </c>
      <c r="O151" s="2" t="s">
        <v>524</v>
      </c>
    </row>
    <row r="152" spans="1:34" x14ac:dyDescent="0.25">
      <c r="A152" s="2" t="s">
        <v>307</v>
      </c>
      <c r="B152" s="2" t="s">
        <v>526</v>
      </c>
      <c r="C152" s="2" t="s">
        <v>524</v>
      </c>
      <c r="D152" s="2" t="s">
        <v>524</v>
      </c>
      <c r="E152" s="2" t="s">
        <v>524</v>
      </c>
      <c r="F152" s="2" t="s">
        <v>524</v>
      </c>
      <c r="J152" s="2" t="s">
        <v>527</v>
      </c>
      <c r="O152" s="2" t="s">
        <v>524</v>
      </c>
    </row>
    <row r="153" spans="1:34" x14ac:dyDescent="0.25">
      <c r="A153" s="2" t="s">
        <v>307</v>
      </c>
      <c r="B153" s="2" t="s">
        <v>402</v>
      </c>
      <c r="C153" s="2" t="s">
        <v>407</v>
      </c>
      <c r="D153" s="2" t="s">
        <v>411</v>
      </c>
      <c r="E153" s="2" t="s">
        <v>413</v>
      </c>
      <c r="F153" s="2" t="s">
        <v>40</v>
      </c>
      <c r="G153" s="2" t="s">
        <v>415</v>
      </c>
      <c r="H153" s="2" t="s">
        <v>357</v>
      </c>
      <c r="S153" s="2" t="s">
        <v>59</v>
      </c>
      <c r="U153" s="2" t="s">
        <v>60</v>
      </c>
      <c r="W153" s="2" t="s">
        <v>57</v>
      </c>
    </row>
    <row r="154" spans="1:34" x14ac:dyDescent="0.25">
      <c r="A154" s="2" t="s">
        <v>307</v>
      </c>
      <c r="B154" s="2" t="s">
        <v>402</v>
      </c>
      <c r="C154" s="2" t="s">
        <v>407</v>
      </c>
      <c r="D154" s="2" t="s">
        <v>411</v>
      </c>
      <c r="E154" s="2" t="s">
        <v>413</v>
      </c>
      <c r="F154" s="2" t="s">
        <v>40</v>
      </c>
      <c r="G154" s="2" t="s">
        <v>416</v>
      </c>
      <c r="H154" s="2" t="s">
        <v>348</v>
      </c>
      <c r="S154" s="2" t="s">
        <v>58</v>
      </c>
      <c r="U154" s="2" t="s">
        <v>59</v>
      </c>
      <c r="W154" s="2" t="s">
        <v>59</v>
      </c>
    </row>
    <row r="155" spans="1:34" x14ac:dyDescent="0.25">
      <c r="A155" s="2" t="s">
        <v>307</v>
      </c>
      <c r="B155" s="2" t="s">
        <v>402</v>
      </c>
      <c r="C155" s="2" t="s">
        <v>407</v>
      </c>
      <c r="D155" s="2" t="s">
        <v>411</v>
      </c>
      <c r="E155" s="2" t="s">
        <v>413</v>
      </c>
      <c r="F155" s="2" t="s">
        <v>40</v>
      </c>
      <c r="G155" s="2" t="s">
        <v>417</v>
      </c>
      <c r="H155" s="2" t="s">
        <v>562</v>
      </c>
      <c r="S155" s="2" t="s">
        <v>59</v>
      </c>
      <c r="U155" s="2" t="s">
        <v>57</v>
      </c>
      <c r="W155" s="2" t="s">
        <v>57</v>
      </c>
    </row>
    <row r="156" spans="1:34" x14ac:dyDescent="0.25">
      <c r="A156" s="2" t="s">
        <v>307</v>
      </c>
      <c r="B156" s="2" t="s">
        <v>402</v>
      </c>
      <c r="C156" s="2" t="s">
        <v>407</v>
      </c>
      <c r="D156" s="2" t="s">
        <v>411</v>
      </c>
      <c r="E156" s="2" t="s">
        <v>413</v>
      </c>
      <c r="F156" s="2" t="s">
        <v>40</v>
      </c>
      <c r="G156" s="2" t="s">
        <v>418</v>
      </c>
      <c r="H156" s="2" t="s">
        <v>563</v>
      </c>
      <c r="S156" s="2" t="s">
        <v>57</v>
      </c>
      <c r="U156" s="2" t="s">
        <v>60</v>
      </c>
      <c r="W156" s="2" t="s">
        <v>60</v>
      </c>
    </row>
    <row r="157" spans="1:34" x14ac:dyDescent="0.25">
      <c r="A157" s="2" t="s">
        <v>307</v>
      </c>
      <c r="B157" s="2" t="s">
        <v>531</v>
      </c>
      <c r="C157" s="2" t="s">
        <v>407</v>
      </c>
      <c r="D157" s="2" t="s">
        <v>411</v>
      </c>
      <c r="E157" s="2" t="s">
        <v>413</v>
      </c>
      <c r="F157" s="2" t="s">
        <v>40</v>
      </c>
      <c r="J157" s="2" t="s">
        <v>532</v>
      </c>
      <c r="K157" s="2" t="s">
        <v>533</v>
      </c>
      <c r="L157" s="2">
        <v>1</v>
      </c>
      <c r="M157" s="2" t="s">
        <v>534</v>
      </c>
      <c r="O157" s="2" t="s">
        <v>524</v>
      </c>
      <c r="Y157" s="2" t="s">
        <v>576</v>
      </c>
    </row>
    <row r="158" spans="1:34" x14ac:dyDescent="0.25">
      <c r="A158" s="2" t="s">
        <v>307</v>
      </c>
      <c r="B158" s="2" t="s">
        <v>531</v>
      </c>
      <c r="C158" s="2" t="s">
        <v>407</v>
      </c>
      <c r="D158" s="2" t="s">
        <v>411</v>
      </c>
      <c r="E158" s="2" t="s">
        <v>413</v>
      </c>
      <c r="F158" s="2" t="s">
        <v>40</v>
      </c>
      <c r="J158" s="2" t="s">
        <v>532</v>
      </c>
      <c r="K158" s="2" t="s">
        <v>533</v>
      </c>
      <c r="L158" s="2">
        <v>2</v>
      </c>
      <c r="M158" s="2" t="s">
        <v>536</v>
      </c>
      <c r="O158" s="2" t="s">
        <v>524</v>
      </c>
      <c r="Y158" s="2" t="s">
        <v>576</v>
      </c>
    </row>
    <row r="159" spans="1:34" x14ac:dyDescent="0.25">
      <c r="A159" s="2" t="s">
        <v>307</v>
      </c>
      <c r="B159" s="2" t="s">
        <v>531</v>
      </c>
      <c r="C159" s="2" t="s">
        <v>407</v>
      </c>
      <c r="D159" s="2" t="s">
        <v>411</v>
      </c>
      <c r="E159" s="2" t="s">
        <v>413</v>
      </c>
      <c r="F159" s="2" t="s">
        <v>40</v>
      </c>
      <c r="J159" s="2" t="s">
        <v>532</v>
      </c>
      <c r="K159" s="2" t="s">
        <v>533</v>
      </c>
      <c r="L159" s="2">
        <v>3</v>
      </c>
      <c r="M159" s="2" t="s">
        <v>537</v>
      </c>
      <c r="O159" s="2" t="s">
        <v>524</v>
      </c>
      <c r="Y159" s="2" t="s">
        <v>576</v>
      </c>
    </row>
    <row r="160" spans="1:34" x14ac:dyDescent="0.25">
      <c r="A160" s="2" t="s">
        <v>307</v>
      </c>
      <c r="B160" s="2" t="s">
        <v>531</v>
      </c>
      <c r="C160" s="2" t="s">
        <v>407</v>
      </c>
      <c r="D160" s="2" t="s">
        <v>411</v>
      </c>
      <c r="E160" s="2" t="s">
        <v>413</v>
      </c>
      <c r="F160" s="2" t="s">
        <v>40</v>
      </c>
      <c r="J160" s="2" t="s">
        <v>532</v>
      </c>
      <c r="K160" s="2" t="s">
        <v>533</v>
      </c>
      <c r="L160" s="2">
        <v>4</v>
      </c>
      <c r="M160" s="2" t="s">
        <v>538</v>
      </c>
      <c r="O160" s="2" t="s">
        <v>524</v>
      </c>
      <c r="Y160" s="2" t="s">
        <v>576</v>
      </c>
    </row>
    <row r="161" spans="1:34" x14ac:dyDescent="0.25">
      <c r="A161" s="2" t="s">
        <v>307</v>
      </c>
      <c r="B161" s="2" t="s">
        <v>531</v>
      </c>
      <c r="C161" s="2" t="s">
        <v>407</v>
      </c>
      <c r="D161" s="2" t="s">
        <v>411</v>
      </c>
      <c r="E161" s="2" t="s">
        <v>413</v>
      </c>
      <c r="F161" s="2" t="s">
        <v>40</v>
      </c>
      <c r="J161" s="2" t="s">
        <v>532</v>
      </c>
      <c r="K161" s="2" t="s">
        <v>533</v>
      </c>
      <c r="L161" s="2">
        <v>5</v>
      </c>
      <c r="M161" s="2" t="s">
        <v>539</v>
      </c>
      <c r="O161" s="2" t="s">
        <v>524</v>
      </c>
      <c r="Y161" s="2" t="s">
        <v>576</v>
      </c>
    </row>
    <row r="162" spans="1:34" x14ac:dyDescent="0.25">
      <c r="A162" s="2" t="s">
        <v>307</v>
      </c>
      <c r="B162" s="2" t="s">
        <v>540</v>
      </c>
      <c r="C162" s="2" t="s">
        <v>407</v>
      </c>
      <c r="D162" s="2" t="s">
        <v>411</v>
      </c>
      <c r="E162" s="2" t="s">
        <v>413</v>
      </c>
      <c r="F162" s="2" t="s">
        <v>40</v>
      </c>
      <c r="J162" s="2" t="s">
        <v>541</v>
      </c>
      <c r="K162" s="2" t="s">
        <v>542</v>
      </c>
      <c r="L162" s="2">
        <v>1</v>
      </c>
      <c r="M162" s="2" t="s">
        <v>543</v>
      </c>
      <c r="O162" s="2" t="s">
        <v>524</v>
      </c>
      <c r="Y162" s="2" t="s">
        <v>576</v>
      </c>
    </row>
    <row r="163" spans="1:34" x14ac:dyDescent="0.25">
      <c r="A163" s="2" t="s">
        <v>307</v>
      </c>
      <c r="B163" s="2" t="s">
        <v>540</v>
      </c>
      <c r="C163" s="2" t="s">
        <v>407</v>
      </c>
      <c r="D163" s="2" t="s">
        <v>411</v>
      </c>
      <c r="E163" s="2" t="s">
        <v>413</v>
      </c>
      <c r="F163" s="2" t="s">
        <v>40</v>
      </c>
      <c r="J163" s="2" t="s">
        <v>541</v>
      </c>
      <c r="K163" s="2" t="s">
        <v>542</v>
      </c>
      <c r="L163" s="2">
        <v>2</v>
      </c>
      <c r="M163" s="2" t="s">
        <v>544</v>
      </c>
      <c r="O163" s="2" t="s">
        <v>524</v>
      </c>
      <c r="Y163" s="2" t="s">
        <v>576</v>
      </c>
    </row>
    <row r="164" spans="1:34" x14ac:dyDescent="0.25">
      <c r="A164" s="2" t="s">
        <v>307</v>
      </c>
      <c r="B164" s="2" t="s">
        <v>540</v>
      </c>
      <c r="C164" s="2" t="s">
        <v>407</v>
      </c>
      <c r="D164" s="2" t="s">
        <v>411</v>
      </c>
      <c r="E164" s="2" t="s">
        <v>413</v>
      </c>
      <c r="F164" s="2" t="s">
        <v>40</v>
      </c>
      <c r="J164" s="2" t="s">
        <v>541</v>
      </c>
      <c r="K164" s="2" t="s">
        <v>542</v>
      </c>
      <c r="L164" s="2">
        <v>3</v>
      </c>
      <c r="M164" s="2" t="s">
        <v>545</v>
      </c>
      <c r="O164" s="2" t="s">
        <v>524</v>
      </c>
      <c r="Y164" s="2" t="s">
        <v>576</v>
      </c>
    </row>
    <row r="165" spans="1:34" x14ac:dyDescent="0.25">
      <c r="A165" s="2" t="s">
        <v>307</v>
      </c>
      <c r="B165" s="2" t="s">
        <v>540</v>
      </c>
      <c r="C165" s="2" t="s">
        <v>407</v>
      </c>
      <c r="D165" s="2" t="s">
        <v>411</v>
      </c>
      <c r="E165" s="2" t="s">
        <v>413</v>
      </c>
      <c r="F165" s="2" t="s">
        <v>40</v>
      </c>
      <c r="J165" s="2" t="s">
        <v>541</v>
      </c>
      <c r="K165" s="2" t="s">
        <v>542</v>
      </c>
      <c r="L165" s="2">
        <v>4</v>
      </c>
      <c r="M165" s="2" t="s">
        <v>546</v>
      </c>
      <c r="O165" s="2" t="s">
        <v>524</v>
      </c>
      <c r="Y165" s="2" t="s">
        <v>576</v>
      </c>
    </row>
    <row r="166" spans="1:34" x14ac:dyDescent="0.25">
      <c r="A166" s="2" t="s">
        <v>307</v>
      </c>
      <c r="B166" s="2" t="s">
        <v>540</v>
      </c>
      <c r="C166" s="2" t="s">
        <v>407</v>
      </c>
      <c r="D166" s="2" t="s">
        <v>411</v>
      </c>
      <c r="E166" s="2" t="s">
        <v>413</v>
      </c>
      <c r="F166" s="2" t="s">
        <v>40</v>
      </c>
      <c r="J166" s="2" t="s">
        <v>541</v>
      </c>
      <c r="K166" s="2" t="s">
        <v>542</v>
      </c>
      <c r="L166" s="2">
        <v>5</v>
      </c>
      <c r="M166" s="2" t="s">
        <v>547</v>
      </c>
      <c r="O166" s="2" t="s">
        <v>524</v>
      </c>
      <c r="Y166" s="2" t="s">
        <v>576</v>
      </c>
    </row>
    <row r="167" spans="1:34" x14ac:dyDescent="0.25">
      <c r="A167" s="2" t="s">
        <v>307</v>
      </c>
      <c r="B167" s="2" t="s">
        <v>540</v>
      </c>
      <c r="C167" s="2" t="s">
        <v>407</v>
      </c>
      <c r="D167" s="2" t="s">
        <v>411</v>
      </c>
      <c r="E167" s="2" t="s">
        <v>413</v>
      </c>
      <c r="F167" s="2" t="s">
        <v>40</v>
      </c>
      <c r="J167" s="2" t="s">
        <v>541</v>
      </c>
      <c r="K167" s="2" t="s">
        <v>542</v>
      </c>
      <c r="L167" s="2">
        <v>6</v>
      </c>
      <c r="M167" s="2" t="s">
        <v>548</v>
      </c>
      <c r="O167" s="2" t="s">
        <v>524</v>
      </c>
      <c r="Y167" s="2" t="s">
        <v>576</v>
      </c>
    </row>
    <row r="168" spans="1:34" x14ac:dyDescent="0.25">
      <c r="A168" s="2" t="s">
        <v>307</v>
      </c>
      <c r="B168" s="2" t="s">
        <v>540</v>
      </c>
      <c r="C168" s="2" t="s">
        <v>407</v>
      </c>
      <c r="D168" s="2" t="s">
        <v>411</v>
      </c>
      <c r="E168" s="2" t="s">
        <v>413</v>
      </c>
      <c r="F168" s="2" t="s">
        <v>40</v>
      </c>
      <c r="J168" s="2" t="s">
        <v>541</v>
      </c>
      <c r="K168" s="2" t="s">
        <v>542</v>
      </c>
      <c r="L168" s="2">
        <v>7</v>
      </c>
      <c r="M168" s="2" t="s">
        <v>549</v>
      </c>
      <c r="O168" s="2" t="s">
        <v>524</v>
      </c>
      <c r="Y168" s="2" t="s">
        <v>576</v>
      </c>
    </row>
    <row r="169" spans="1:34" x14ac:dyDescent="0.25">
      <c r="A169" s="2" t="s">
        <v>307</v>
      </c>
      <c r="B169" s="2" t="s">
        <v>540</v>
      </c>
      <c r="C169" s="2" t="s">
        <v>407</v>
      </c>
      <c r="D169" s="2" t="s">
        <v>411</v>
      </c>
      <c r="E169" s="2" t="s">
        <v>413</v>
      </c>
      <c r="F169" s="2" t="s">
        <v>40</v>
      </c>
      <c r="J169" s="2" t="s">
        <v>541</v>
      </c>
      <c r="K169" s="2" t="s">
        <v>542</v>
      </c>
      <c r="L169" s="2">
        <v>8</v>
      </c>
      <c r="M169" s="2" t="s">
        <v>550</v>
      </c>
      <c r="O169" s="2" t="s">
        <v>524</v>
      </c>
      <c r="Y169" s="2" t="s">
        <v>576</v>
      </c>
    </row>
    <row r="170" spans="1:34" x14ac:dyDescent="0.25">
      <c r="A170" s="2" t="s">
        <v>307</v>
      </c>
      <c r="B170" s="2" t="s">
        <v>540</v>
      </c>
      <c r="C170" s="2" t="s">
        <v>407</v>
      </c>
      <c r="D170" s="2" t="s">
        <v>411</v>
      </c>
      <c r="E170" s="2" t="s">
        <v>413</v>
      </c>
      <c r="F170" s="2" t="s">
        <v>40</v>
      </c>
      <c r="J170" s="2" t="s">
        <v>541</v>
      </c>
      <c r="K170" s="2" t="s">
        <v>542</v>
      </c>
      <c r="L170" s="2">
        <v>9</v>
      </c>
      <c r="M170" s="2" t="s">
        <v>551</v>
      </c>
      <c r="O170" s="2" t="s">
        <v>524</v>
      </c>
      <c r="Y170" s="2" t="s">
        <v>576</v>
      </c>
    </row>
    <row r="171" spans="1:34" x14ac:dyDescent="0.25">
      <c r="A171" s="2" t="s">
        <v>307</v>
      </c>
      <c r="B171" s="2" t="s">
        <v>540</v>
      </c>
      <c r="C171" s="2" t="s">
        <v>407</v>
      </c>
      <c r="D171" s="2" t="s">
        <v>411</v>
      </c>
      <c r="E171" s="2" t="s">
        <v>413</v>
      </c>
      <c r="F171" s="2" t="s">
        <v>40</v>
      </c>
      <c r="J171" s="2" t="s">
        <v>541</v>
      </c>
      <c r="K171" s="2" t="s">
        <v>542</v>
      </c>
      <c r="L171" s="2">
        <v>10</v>
      </c>
      <c r="M171" s="2" t="s">
        <v>552</v>
      </c>
      <c r="O171" s="2" t="s">
        <v>524</v>
      </c>
      <c r="Y171" s="2" t="s">
        <v>576</v>
      </c>
    </row>
    <row r="172" spans="1:34" x14ac:dyDescent="0.25">
      <c r="A172" s="2" t="s">
        <v>307</v>
      </c>
      <c r="B172" s="2" t="s">
        <v>540</v>
      </c>
      <c r="C172" s="2" t="s">
        <v>407</v>
      </c>
      <c r="D172" s="2" t="s">
        <v>411</v>
      </c>
      <c r="E172" s="2" t="s">
        <v>413</v>
      </c>
      <c r="F172" s="2" t="s">
        <v>40</v>
      </c>
      <c r="J172" s="2" t="s">
        <v>541</v>
      </c>
      <c r="K172" s="2" t="s">
        <v>542</v>
      </c>
      <c r="L172" s="2">
        <v>11</v>
      </c>
      <c r="M172" s="2" t="s">
        <v>553</v>
      </c>
      <c r="O172" s="2" t="s">
        <v>524</v>
      </c>
      <c r="Y172" s="2" t="s">
        <v>576</v>
      </c>
    </row>
    <row r="173" spans="1:34" x14ac:dyDescent="0.25">
      <c r="A173" s="2" t="s">
        <v>307</v>
      </c>
      <c r="B173" s="2" t="s">
        <v>540</v>
      </c>
      <c r="C173" s="2" t="s">
        <v>407</v>
      </c>
      <c r="D173" s="2" t="s">
        <v>411</v>
      </c>
      <c r="E173" s="2" t="s">
        <v>413</v>
      </c>
      <c r="F173" s="2" t="s">
        <v>40</v>
      </c>
      <c r="J173" s="2" t="s">
        <v>541</v>
      </c>
      <c r="K173" s="2" t="s">
        <v>542</v>
      </c>
      <c r="L173" s="2">
        <v>12</v>
      </c>
      <c r="M173" s="2" t="s">
        <v>554</v>
      </c>
      <c r="O173" s="2" t="s">
        <v>524</v>
      </c>
      <c r="Y173" s="2" t="s">
        <v>576</v>
      </c>
    </row>
    <row r="174" spans="1:34" x14ac:dyDescent="0.25">
      <c r="A174" s="2" t="s">
        <v>307</v>
      </c>
      <c r="B174" s="2" t="s">
        <v>555</v>
      </c>
      <c r="C174" s="2" t="s">
        <v>407</v>
      </c>
      <c r="D174" s="2" t="s">
        <v>411</v>
      </c>
      <c r="E174" s="2" t="s">
        <v>413</v>
      </c>
      <c r="F174" s="2" t="s">
        <v>40</v>
      </c>
      <c r="J174" s="2" t="s">
        <v>556</v>
      </c>
      <c r="O174" s="2" t="s">
        <v>524</v>
      </c>
      <c r="Y174" s="2" t="s">
        <v>576</v>
      </c>
      <c r="AB174" s="2">
        <v>2</v>
      </c>
    </row>
    <row r="175" spans="1:34" x14ac:dyDescent="0.25">
      <c r="A175" s="2" t="s">
        <v>307</v>
      </c>
      <c r="B175" s="2" t="s">
        <v>557</v>
      </c>
      <c r="C175" s="2" t="s">
        <v>407</v>
      </c>
      <c r="D175" s="2" t="s">
        <v>411</v>
      </c>
      <c r="E175" s="2" t="s">
        <v>413</v>
      </c>
      <c r="F175" s="2" t="s">
        <v>40</v>
      </c>
      <c r="J175" s="2" t="s">
        <v>558</v>
      </c>
      <c r="O175" s="2" t="s">
        <v>524</v>
      </c>
      <c r="Y175" s="2" t="s">
        <v>576</v>
      </c>
      <c r="AC175" s="2">
        <f>COUNTIFS($B:$B,"BLOCK_LOAD_Q",$A:$A,$A175,$C:$C,$C175,$E:$E,$E175,$F:$F,$F175,$N:$N, "&lt;&gt;")</f>
        <v>0</v>
      </c>
      <c r="AD175" s="2">
        <f>COUNTIFS($B:$B,"BLOCK_TRUST_Q",$A:$A,$A175,$C:$C,$C175,$E:$E,$E175,$F:$F,$F175,$N:$N, "&lt;&gt;")</f>
        <v>0</v>
      </c>
      <c r="AE175" s="2" t="str">
        <f>IFERROR(AVERAGEIFS($P:$P,$B:$B,"BLOCK_LOAD_Q",$A:$A,$A175,$C:$C,$C175,$E:$E,$E175,$F:$F,$F175,$P:$P,"&gt;0"),"")</f>
        <v/>
      </c>
      <c r="AF175" s="2" t="str">
        <f>IFERROR(AVERAGEIFS($P:$P,$B:$B,"BLOCK_TRUST_Q",$A:$A,$A175,$C:$C,$C175,$E:$E,$E175,$F:$F,$F175,$P:$P,"&gt;0"),"")</f>
        <v/>
      </c>
      <c r="AG175" s="2">
        <f>5-AC175</f>
        <v>5</v>
      </c>
      <c r="AH175" s="2">
        <f>12-AD175</f>
        <v>12</v>
      </c>
    </row>
    <row r="176" spans="1:34" x14ac:dyDescent="0.25">
      <c r="A176" s="2" t="s">
        <v>307</v>
      </c>
      <c r="B176" s="2" t="s">
        <v>402</v>
      </c>
      <c r="C176" s="2" t="s">
        <v>407</v>
      </c>
      <c r="D176" s="2" t="s">
        <v>411</v>
      </c>
      <c r="E176" s="2" t="s">
        <v>414</v>
      </c>
      <c r="F176" s="2" t="s">
        <v>39</v>
      </c>
      <c r="G176" s="2" t="s">
        <v>415</v>
      </c>
      <c r="H176" s="2" t="s">
        <v>349</v>
      </c>
      <c r="S176" s="2" t="s">
        <v>58</v>
      </c>
      <c r="U176" s="2" t="s">
        <v>60</v>
      </c>
      <c r="W176" s="2" t="s">
        <v>58</v>
      </c>
    </row>
    <row r="177" spans="1:25" x14ac:dyDescent="0.25">
      <c r="A177" s="2" t="s">
        <v>307</v>
      </c>
      <c r="B177" s="2" t="s">
        <v>402</v>
      </c>
      <c r="C177" s="2" t="s">
        <v>407</v>
      </c>
      <c r="D177" s="2" t="s">
        <v>411</v>
      </c>
      <c r="E177" s="2" t="s">
        <v>414</v>
      </c>
      <c r="F177" s="2" t="s">
        <v>39</v>
      </c>
      <c r="G177" s="2" t="s">
        <v>416</v>
      </c>
      <c r="H177" s="2" t="s">
        <v>565</v>
      </c>
      <c r="S177" s="2" t="s">
        <v>59</v>
      </c>
      <c r="U177" s="2" t="s">
        <v>60</v>
      </c>
      <c r="W177" s="2" t="s">
        <v>60</v>
      </c>
    </row>
    <row r="178" spans="1:25" x14ac:dyDescent="0.25">
      <c r="A178" s="2" t="s">
        <v>307</v>
      </c>
      <c r="B178" s="2" t="s">
        <v>402</v>
      </c>
      <c r="C178" s="2" t="s">
        <v>407</v>
      </c>
      <c r="D178" s="2" t="s">
        <v>411</v>
      </c>
      <c r="E178" s="2" t="s">
        <v>414</v>
      </c>
      <c r="F178" s="2" t="s">
        <v>39</v>
      </c>
      <c r="G178" s="2" t="s">
        <v>417</v>
      </c>
      <c r="H178" s="2" t="s">
        <v>361</v>
      </c>
      <c r="S178" s="2" t="s">
        <v>60</v>
      </c>
      <c r="U178" s="2" t="s">
        <v>60</v>
      </c>
      <c r="W178" s="2" t="s">
        <v>60</v>
      </c>
    </row>
    <row r="179" spans="1:25" x14ac:dyDescent="0.25">
      <c r="A179" s="2" t="s">
        <v>307</v>
      </c>
      <c r="B179" s="2" t="s">
        <v>402</v>
      </c>
      <c r="C179" s="2" t="s">
        <v>407</v>
      </c>
      <c r="D179" s="2" t="s">
        <v>411</v>
      </c>
      <c r="E179" s="2" t="s">
        <v>414</v>
      </c>
      <c r="F179" s="2" t="s">
        <v>39</v>
      </c>
      <c r="G179" s="2" t="s">
        <v>418</v>
      </c>
      <c r="H179" s="2" t="s">
        <v>353</v>
      </c>
      <c r="S179" s="2" t="s">
        <v>58</v>
      </c>
      <c r="U179" s="2" t="s">
        <v>59</v>
      </c>
      <c r="W179" s="2" t="s">
        <v>58</v>
      </c>
    </row>
    <row r="180" spans="1:25" x14ac:dyDescent="0.25">
      <c r="A180" s="2" t="s">
        <v>307</v>
      </c>
      <c r="B180" s="2" t="s">
        <v>402</v>
      </c>
      <c r="C180" s="2" t="s">
        <v>407</v>
      </c>
      <c r="D180" s="2" t="s">
        <v>411</v>
      </c>
      <c r="E180" s="2" t="s">
        <v>414</v>
      </c>
      <c r="F180" s="2" t="s">
        <v>39</v>
      </c>
      <c r="G180" s="2" t="s">
        <v>419</v>
      </c>
      <c r="H180" s="2" t="s">
        <v>371</v>
      </c>
      <c r="S180" s="2" t="s">
        <v>60</v>
      </c>
      <c r="U180" s="2" t="s">
        <v>59</v>
      </c>
      <c r="W180" s="2" t="s">
        <v>57</v>
      </c>
    </row>
    <row r="181" spans="1:25" x14ac:dyDescent="0.25">
      <c r="A181" s="2" t="s">
        <v>307</v>
      </c>
      <c r="B181" s="2" t="s">
        <v>531</v>
      </c>
      <c r="C181" s="2" t="s">
        <v>407</v>
      </c>
      <c r="D181" s="2" t="s">
        <v>411</v>
      </c>
      <c r="E181" s="2" t="s">
        <v>414</v>
      </c>
      <c r="F181" s="2" t="s">
        <v>39</v>
      </c>
      <c r="J181" s="2" t="s">
        <v>532</v>
      </c>
      <c r="K181" s="2" t="s">
        <v>533</v>
      </c>
      <c r="L181" s="2">
        <v>1</v>
      </c>
      <c r="M181" s="2" t="s">
        <v>534</v>
      </c>
      <c r="O181" s="2" t="s">
        <v>524</v>
      </c>
      <c r="Y181" s="2" t="s">
        <v>577</v>
      </c>
    </row>
    <row r="182" spans="1:25" x14ac:dyDescent="0.25">
      <c r="A182" s="2" t="s">
        <v>307</v>
      </c>
      <c r="B182" s="2" t="s">
        <v>531</v>
      </c>
      <c r="C182" s="2" t="s">
        <v>407</v>
      </c>
      <c r="D182" s="2" t="s">
        <v>411</v>
      </c>
      <c r="E182" s="2" t="s">
        <v>414</v>
      </c>
      <c r="F182" s="2" t="s">
        <v>39</v>
      </c>
      <c r="J182" s="2" t="s">
        <v>532</v>
      </c>
      <c r="K182" s="2" t="s">
        <v>533</v>
      </c>
      <c r="L182" s="2">
        <v>2</v>
      </c>
      <c r="M182" s="2" t="s">
        <v>536</v>
      </c>
      <c r="O182" s="2" t="s">
        <v>524</v>
      </c>
      <c r="Y182" s="2" t="s">
        <v>577</v>
      </c>
    </row>
    <row r="183" spans="1:25" x14ac:dyDescent="0.25">
      <c r="A183" s="2" t="s">
        <v>307</v>
      </c>
      <c r="B183" s="2" t="s">
        <v>531</v>
      </c>
      <c r="C183" s="2" t="s">
        <v>407</v>
      </c>
      <c r="D183" s="2" t="s">
        <v>411</v>
      </c>
      <c r="E183" s="2" t="s">
        <v>414</v>
      </c>
      <c r="F183" s="2" t="s">
        <v>39</v>
      </c>
      <c r="J183" s="2" t="s">
        <v>532</v>
      </c>
      <c r="K183" s="2" t="s">
        <v>533</v>
      </c>
      <c r="L183" s="2">
        <v>3</v>
      </c>
      <c r="M183" s="2" t="s">
        <v>537</v>
      </c>
      <c r="O183" s="2" t="s">
        <v>524</v>
      </c>
      <c r="Y183" s="2" t="s">
        <v>577</v>
      </c>
    </row>
    <row r="184" spans="1:25" x14ac:dyDescent="0.25">
      <c r="A184" s="2" t="s">
        <v>307</v>
      </c>
      <c r="B184" s="2" t="s">
        <v>531</v>
      </c>
      <c r="C184" s="2" t="s">
        <v>407</v>
      </c>
      <c r="D184" s="2" t="s">
        <v>411</v>
      </c>
      <c r="E184" s="2" t="s">
        <v>414</v>
      </c>
      <c r="F184" s="2" t="s">
        <v>39</v>
      </c>
      <c r="J184" s="2" t="s">
        <v>532</v>
      </c>
      <c r="K184" s="2" t="s">
        <v>533</v>
      </c>
      <c r="L184" s="2">
        <v>4</v>
      </c>
      <c r="M184" s="2" t="s">
        <v>538</v>
      </c>
      <c r="O184" s="2" t="s">
        <v>524</v>
      </c>
      <c r="Y184" s="2" t="s">
        <v>577</v>
      </c>
    </row>
    <row r="185" spans="1:25" x14ac:dyDescent="0.25">
      <c r="A185" s="2" t="s">
        <v>307</v>
      </c>
      <c r="B185" s="2" t="s">
        <v>531</v>
      </c>
      <c r="C185" s="2" t="s">
        <v>407</v>
      </c>
      <c r="D185" s="2" t="s">
        <v>411</v>
      </c>
      <c r="E185" s="2" t="s">
        <v>414</v>
      </c>
      <c r="F185" s="2" t="s">
        <v>39</v>
      </c>
      <c r="J185" s="2" t="s">
        <v>532</v>
      </c>
      <c r="K185" s="2" t="s">
        <v>533</v>
      </c>
      <c r="L185" s="2">
        <v>5</v>
      </c>
      <c r="M185" s="2" t="s">
        <v>539</v>
      </c>
      <c r="O185" s="2" t="s">
        <v>524</v>
      </c>
      <c r="Y185" s="2" t="s">
        <v>577</v>
      </c>
    </row>
    <row r="186" spans="1:25" x14ac:dyDescent="0.25">
      <c r="A186" s="2" t="s">
        <v>307</v>
      </c>
      <c r="B186" s="2" t="s">
        <v>540</v>
      </c>
      <c r="C186" s="2" t="s">
        <v>407</v>
      </c>
      <c r="D186" s="2" t="s">
        <v>411</v>
      </c>
      <c r="E186" s="2" t="s">
        <v>414</v>
      </c>
      <c r="F186" s="2" t="s">
        <v>39</v>
      </c>
      <c r="J186" s="2" t="s">
        <v>541</v>
      </c>
      <c r="K186" s="2" t="s">
        <v>542</v>
      </c>
      <c r="L186" s="2">
        <v>1</v>
      </c>
      <c r="M186" s="2" t="s">
        <v>543</v>
      </c>
      <c r="O186" s="2" t="s">
        <v>524</v>
      </c>
      <c r="Y186" s="2" t="s">
        <v>577</v>
      </c>
    </row>
    <row r="187" spans="1:25" x14ac:dyDescent="0.25">
      <c r="A187" s="2" t="s">
        <v>307</v>
      </c>
      <c r="B187" s="2" t="s">
        <v>540</v>
      </c>
      <c r="C187" s="2" t="s">
        <v>407</v>
      </c>
      <c r="D187" s="2" t="s">
        <v>411</v>
      </c>
      <c r="E187" s="2" t="s">
        <v>414</v>
      </c>
      <c r="F187" s="2" t="s">
        <v>39</v>
      </c>
      <c r="J187" s="2" t="s">
        <v>541</v>
      </c>
      <c r="K187" s="2" t="s">
        <v>542</v>
      </c>
      <c r="L187" s="2">
        <v>2</v>
      </c>
      <c r="M187" s="2" t="s">
        <v>544</v>
      </c>
      <c r="O187" s="2" t="s">
        <v>524</v>
      </c>
      <c r="Y187" s="2" t="s">
        <v>577</v>
      </c>
    </row>
    <row r="188" spans="1:25" x14ac:dyDescent="0.25">
      <c r="A188" s="2" t="s">
        <v>307</v>
      </c>
      <c r="B188" s="2" t="s">
        <v>540</v>
      </c>
      <c r="C188" s="2" t="s">
        <v>407</v>
      </c>
      <c r="D188" s="2" t="s">
        <v>411</v>
      </c>
      <c r="E188" s="2" t="s">
        <v>414</v>
      </c>
      <c r="F188" s="2" t="s">
        <v>39</v>
      </c>
      <c r="J188" s="2" t="s">
        <v>541</v>
      </c>
      <c r="K188" s="2" t="s">
        <v>542</v>
      </c>
      <c r="L188" s="2">
        <v>3</v>
      </c>
      <c r="M188" s="2" t="s">
        <v>545</v>
      </c>
      <c r="O188" s="2" t="s">
        <v>524</v>
      </c>
      <c r="Y188" s="2" t="s">
        <v>577</v>
      </c>
    </row>
    <row r="189" spans="1:25" x14ac:dyDescent="0.25">
      <c r="A189" s="2" t="s">
        <v>307</v>
      </c>
      <c r="B189" s="2" t="s">
        <v>540</v>
      </c>
      <c r="C189" s="2" t="s">
        <v>407</v>
      </c>
      <c r="D189" s="2" t="s">
        <v>411</v>
      </c>
      <c r="E189" s="2" t="s">
        <v>414</v>
      </c>
      <c r="F189" s="2" t="s">
        <v>39</v>
      </c>
      <c r="J189" s="2" t="s">
        <v>541</v>
      </c>
      <c r="K189" s="2" t="s">
        <v>542</v>
      </c>
      <c r="L189" s="2">
        <v>4</v>
      </c>
      <c r="M189" s="2" t="s">
        <v>546</v>
      </c>
      <c r="O189" s="2" t="s">
        <v>524</v>
      </c>
      <c r="Y189" s="2" t="s">
        <v>577</v>
      </c>
    </row>
    <row r="190" spans="1:25" x14ac:dyDescent="0.25">
      <c r="A190" s="2" t="s">
        <v>307</v>
      </c>
      <c r="B190" s="2" t="s">
        <v>540</v>
      </c>
      <c r="C190" s="2" t="s">
        <v>407</v>
      </c>
      <c r="D190" s="2" t="s">
        <v>411</v>
      </c>
      <c r="E190" s="2" t="s">
        <v>414</v>
      </c>
      <c r="F190" s="2" t="s">
        <v>39</v>
      </c>
      <c r="J190" s="2" t="s">
        <v>541</v>
      </c>
      <c r="K190" s="2" t="s">
        <v>542</v>
      </c>
      <c r="L190" s="2">
        <v>5</v>
      </c>
      <c r="M190" s="2" t="s">
        <v>547</v>
      </c>
      <c r="O190" s="2" t="s">
        <v>524</v>
      </c>
      <c r="Y190" s="2" t="s">
        <v>577</v>
      </c>
    </row>
    <row r="191" spans="1:25" x14ac:dyDescent="0.25">
      <c r="A191" s="2" t="s">
        <v>307</v>
      </c>
      <c r="B191" s="2" t="s">
        <v>540</v>
      </c>
      <c r="C191" s="2" t="s">
        <v>407</v>
      </c>
      <c r="D191" s="2" t="s">
        <v>411</v>
      </c>
      <c r="E191" s="2" t="s">
        <v>414</v>
      </c>
      <c r="F191" s="2" t="s">
        <v>39</v>
      </c>
      <c r="J191" s="2" t="s">
        <v>541</v>
      </c>
      <c r="K191" s="2" t="s">
        <v>542</v>
      </c>
      <c r="L191" s="2">
        <v>6</v>
      </c>
      <c r="M191" s="2" t="s">
        <v>548</v>
      </c>
      <c r="O191" s="2" t="s">
        <v>524</v>
      </c>
      <c r="Y191" s="2" t="s">
        <v>577</v>
      </c>
    </row>
    <row r="192" spans="1:25" x14ac:dyDescent="0.25">
      <c r="A192" s="2" t="s">
        <v>307</v>
      </c>
      <c r="B192" s="2" t="s">
        <v>540</v>
      </c>
      <c r="C192" s="2" t="s">
        <v>407</v>
      </c>
      <c r="D192" s="2" t="s">
        <v>411</v>
      </c>
      <c r="E192" s="2" t="s">
        <v>414</v>
      </c>
      <c r="F192" s="2" t="s">
        <v>39</v>
      </c>
      <c r="J192" s="2" t="s">
        <v>541</v>
      </c>
      <c r="K192" s="2" t="s">
        <v>542</v>
      </c>
      <c r="L192" s="2">
        <v>7</v>
      </c>
      <c r="M192" s="2" t="s">
        <v>549</v>
      </c>
      <c r="O192" s="2" t="s">
        <v>524</v>
      </c>
      <c r="Y192" s="2" t="s">
        <v>577</v>
      </c>
    </row>
    <row r="193" spans="1:34" x14ac:dyDescent="0.25">
      <c r="A193" s="2" t="s">
        <v>307</v>
      </c>
      <c r="B193" s="2" t="s">
        <v>540</v>
      </c>
      <c r="C193" s="2" t="s">
        <v>407</v>
      </c>
      <c r="D193" s="2" t="s">
        <v>411</v>
      </c>
      <c r="E193" s="2" t="s">
        <v>414</v>
      </c>
      <c r="F193" s="2" t="s">
        <v>39</v>
      </c>
      <c r="J193" s="2" t="s">
        <v>541</v>
      </c>
      <c r="K193" s="2" t="s">
        <v>542</v>
      </c>
      <c r="L193" s="2">
        <v>8</v>
      </c>
      <c r="M193" s="2" t="s">
        <v>550</v>
      </c>
      <c r="O193" s="2" t="s">
        <v>524</v>
      </c>
      <c r="Y193" s="2" t="s">
        <v>577</v>
      </c>
    </row>
    <row r="194" spans="1:34" x14ac:dyDescent="0.25">
      <c r="A194" s="2" t="s">
        <v>307</v>
      </c>
      <c r="B194" s="2" t="s">
        <v>540</v>
      </c>
      <c r="C194" s="2" t="s">
        <v>407</v>
      </c>
      <c r="D194" s="2" t="s">
        <v>411</v>
      </c>
      <c r="E194" s="2" t="s">
        <v>414</v>
      </c>
      <c r="F194" s="2" t="s">
        <v>39</v>
      </c>
      <c r="J194" s="2" t="s">
        <v>541</v>
      </c>
      <c r="K194" s="2" t="s">
        <v>542</v>
      </c>
      <c r="L194" s="2">
        <v>9</v>
      </c>
      <c r="M194" s="2" t="s">
        <v>551</v>
      </c>
      <c r="O194" s="2" t="s">
        <v>524</v>
      </c>
      <c r="Y194" s="2" t="s">
        <v>577</v>
      </c>
    </row>
    <row r="195" spans="1:34" x14ac:dyDescent="0.25">
      <c r="A195" s="2" t="s">
        <v>307</v>
      </c>
      <c r="B195" s="2" t="s">
        <v>540</v>
      </c>
      <c r="C195" s="2" t="s">
        <v>407</v>
      </c>
      <c r="D195" s="2" t="s">
        <v>411</v>
      </c>
      <c r="E195" s="2" t="s">
        <v>414</v>
      </c>
      <c r="F195" s="2" t="s">
        <v>39</v>
      </c>
      <c r="J195" s="2" t="s">
        <v>541</v>
      </c>
      <c r="K195" s="2" t="s">
        <v>542</v>
      </c>
      <c r="L195" s="2">
        <v>10</v>
      </c>
      <c r="M195" s="2" t="s">
        <v>552</v>
      </c>
      <c r="O195" s="2" t="s">
        <v>524</v>
      </c>
      <c r="Y195" s="2" t="s">
        <v>577</v>
      </c>
    </row>
    <row r="196" spans="1:34" x14ac:dyDescent="0.25">
      <c r="A196" s="2" t="s">
        <v>307</v>
      </c>
      <c r="B196" s="2" t="s">
        <v>540</v>
      </c>
      <c r="C196" s="2" t="s">
        <v>407</v>
      </c>
      <c r="D196" s="2" t="s">
        <v>411</v>
      </c>
      <c r="E196" s="2" t="s">
        <v>414</v>
      </c>
      <c r="F196" s="2" t="s">
        <v>39</v>
      </c>
      <c r="J196" s="2" t="s">
        <v>541</v>
      </c>
      <c r="K196" s="2" t="s">
        <v>542</v>
      </c>
      <c r="L196" s="2">
        <v>11</v>
      </c>
      <c r="M196" s="2" t="s">
        <v>553</v>
      </c>
      <c r="O196" s="2" t="s">
        <v>524</v>
      </c>
      <c r="Y196" s="2" t="s">
        <v>577</v>
      </c>
    </row>
    <row r="197" spans="1:34" x14ac:dyDescent="0.25">
      <c r="A197" s="2" t="s">
        <v>307</v>
      </c>
      <c r="B197" s="2" t="s">
        <v>540</v>
      </c>
      <c r="C197" s="2" t="s">
        <v>407</v>
      </c>
      <c r="D197" s="2" t="s">
        <v>411</v>
      </c>
      <c r="E197" s="2" t="s">
        <v>414</v>
      </c>
      <c r="F197" s="2" t="s">
        <v>39</v>
      </c>
      <c r="J197" s="2" t="s">
        <v>541</v>
      </c>
      <c r="K197" s="2" t="s">
        <v>542</v>
      </c>
      <c r="L197" s="2">
        <v>12</v>
      </c>
      <c r="M197" s="2" t="s">
        <v>554</v>
      </c>
      <c r="O197" s="2" t="s">
        <v>524</v>
      </c>
      <c r="Y197" s="2" t="s">
        <v>577</v>
      </c>
    </row>
    <row r="198" spans="1:34" x14ac:dyDescent="0.25">
      <c r="A198" s="2" t="s">
        <v>307</v>
      </c>
      <c r="B198" s="2" t="s">
        <v>555</v>
      </c>
      <c r="C198" s="2" t="s">
        <v>407</v>
      </c>
      <c r="D198" s="2" t="s">
        <v>411</v>
      </c>
      <c r="E198" s="2" t="s">
        <v>414</v>
      </c>
      <c r="F198" s="2" t="s">
        <v>39</v>
      </c>
      <c r="J198" s="2" t="s">
        <v>556</v>
      </c>
      <c r="O198" s="2" t="s">
        <v>524</v>
      </c>
      <c r="Y198" s="2" t="s">
        <v>577</v>
      </c>
      <c r="AB198" s="2">
        <v>1</v>
      </c>
    </row>
    <row r="199" spans="1:34" x14ac:dyDescent="0.25">
      <c r="A199" s="2" t="s">
        <v>307</v>
      </c>
      <c r="B199" s="2" t="s">
        <v>557</v>
      </c>
      <c r="C199" s="2" t="s">
        <v>407</v>
      </c>
      <c r="D199" s="2" t="s">
        <v>411</v>
      </c>
      <c r="E199" s="2" t="s">
        <v>414</v>
      </c>
      <c r="F199" s="2" t="s">
        <v>39</v>
      </c>
      <c r="J199" s="2" t="s">
        <v>558</v>
      </c>
      <c r="O199" s="2" t="s">
        <v>524</v>
      </c>
      <c r="Y199" s="2" t="s">
        <v>577</v>
      </c>
      <c r="AC199" s="2">
        <f>COUNTIFS($B:$B,"BLOCK_LOAD_Q",$A:$A,$A199,$C:$C,$C199,$E:$E,$E199,$F:$F,$F199,$N:$N, "&lt;&gt;")</f>
        <v>0</v>
      </c>
      <c r="AD199" s="2">
        <f>COUNTIFS($B:$B,"BLOCK_TRUST_Q",$A:$A,$A199,$C:$C,$C199,$E:$E,$E199,$F:$F,$F199,$N:$N, "&lt;&gt;")</f>
        <v>0</v>
      </c>
      <c r="AE199" s="2" t="str">
        <f>IFERROR(AVERAGEIFS($P:$P,$B:$B,"BLOCK_LOAD_Q",$A:$A,$A199,$C:$C,$C199,$E:$E,$E199,$F:$F,$F199,$P:$P,"&gt;0"),"")</f>
        <v/>
      </c>
      <c r="AF199" s="2" t="str">
        <f>IFERROR(AVERAGEIFS($P:$P,$B:$B,"BLOCK_TRUST_Q",$A:$A,$A199,$C:$C,$C199,$E:$E,$E199,$F:$F,$F199,$P:$P,"&gt;0"),"")</f>
        <v/>
      </c>
      <c r="AG199" s="2">
        <f>5-AC199</f>
        <v>5</v>
      </c>
      <c r="AH199" s="2">
        <f>12-AD199</f>
        <v>12</v>
      </c>
    </row>
    <row r="200" spans="1:34" x14ac:dyDescent="0.25">
      <c r="A200" s="2" t="s">
        <v>307</v>
      </c>
      <c r="B200" s="2" t="s">
        <v>403</v>
      </c>
      <c r="C200" s="2" t="s">
        <v>407</v>
      </c>
      <c r="D200" s="2" t="s">
        <v>411</v>
      </c>
      <c r="Z200" s="2" t="s">
        <v>423</v>
      </c>
    </row>
    <row r="201" spans="1:34" x14ac:dyDescent="0.25">
      <c r="A201" s="2" t="s">
        <v>307</v>
      </c>
      <c r="B201" s="2" t="s">
        <v>402</v>
      </c>
      <c r="C201" s="2" t="s">
        <v>408</v>
      </c>
      <c r="D201" s="2" t="s">
        <v>412</v>
      </c>
      <c r="E201" s="2" t="s">
        <v>413</v>
      </c>
      <c r="F201" s="2" t="s">
        <v>39</v>
      </c>
      <c r="G201" s="2" t="s">
        <v>415</v>
      </c>
      <c r="H201" s="2" t="s">
        <v>350</v>
      </c>
      <c r="S201" s="2" t="s">
        <v>57</v>
      </c>
      <c r="U201" s="2" t="s">
        <v>58</v>
      </c>
      <c r="W201" s="2" t="s">
        <v>59</v>
      </c>
    </row>
    <row r="202" spans="1:34" x14ac:dyDescent="0.25">
      <c r="A202" s="2" t="s">
        <v>307</v>
      </c>
      <c r="B202" s="2" t="s">
        <v>402</v>
      </c>
      <c r="C202" s="2" t="s">
        <v>408</v>
      </c>
      <c r="D202" s="2" t="s">
        <v>412</v>
      </c>
      <c r="E202" s="2" t="s">
        <v>413</v>
      </c>
      <c r="F202" s="2" t="s">
        <v>39</v>
      </c>
      <c r="G202" s="2" t="s">
        <v>416</v>
      </c>
      <c r="H202" s="2" t="s">
        <v>571</v>
      </c>
      <c r="S202" s="2" t="s">
        <v>59</v>
      </c>
      <c r="U202" s="2" t="s">
        <v>57</v>
      </c>
      <c r="W202" s="2" t="s">
        <v>60</v>
      </c>
    </row>
    <row r="203" spans="1:34" x14ac:dyDescent="0.25">
      <c r="A203" s="2" t="s">
        <v>307</v>
      </c>
      <c r="B203" s="2" t="s">
        <v>402</v>
      </c>
      <c r="C203" s="2" t="s">
        <v>408</v>
      </c>
      <c r="D203" s="2" t="s">
        <v>412</v>
      </c>
      <c r="E203" s="2" t="s">
        <v>413</v>
      </c>
      <c r="F203" s="2" t="s">
        <v>39</v>
      </c>
      <c r="G203" s="2" t="s">
        <v>417</v>
      </c>
      <c r="H203" s="2" t="s">
        <v>572</v>
      </c>
      <c r="S203" s="2" t="s">
        <v>57</v>
      </c>
      <c r="U203" s="2" t="s">
        <v>59</v>
      </c>
      <c r="W203" s="2" t="s">
        <v>58</v>
      </c>
    </row>
    <row r="204" spans="1:34" x14ac:dyDescent="0.25">
      <c r="A204" s="2" t="s">
        <v>307</v>
      </c>
      <c r="B204" s="2" t="s">
        <v>402</v>
      </c>
      <c r="C204" s="2" t="s">
        <v>408</v>
      </c>
      <c r="D204" s="2" t="s">
        <v>412</v>
      </c>
      <c r="E204" s="2" t="s">
        <v>413</v>
      </c>
      <c r="F204" s="2" t="s">
        <v>39</v>
      </c>
      <c r="G204" s="2" t="s">
        <v>418</v>
      </c>
      <c r="H204" s="2" t="s">
        <v>573</v>
      </c>
      <c r="S204" s="2" t="s">
        <v>58</v>
      </c>
      <c r="U204" s="2" t="s">
        <v>58</v>
      </c>
      <c r="W204" s="2" t="s">
        <v>58</v>
      </c>
    </row>
    <row r="205" spans="1:34" x14ac:dyDescent="0.25">
      <c r="A205" s="2" t="s">
        <v>307</v>
      </c>
      <c r="B205" s="2" t="s">
        <v>402</v>
      </c>
      <c r="C205" s="2" t="s">
        <v>408</v>
      </c>
      <c r="D205" s="2" t="s">
        <v>412</v>
      </c>
      <c r="E205" s="2" t="s">
        <v>413</v>
      </c>
      <c r="F205" s="2" t="s">
        <v>39</v>
      </c>
      <c r="G205" s="2" t="s">
        <v>419</v>
      </c>
      <c r="H205" s="2" t="s">
        <v>365</v>
      </c>
      <c r="S205" s="2" t="s">
        <v>59</v>
      </c>
      <c r="U205" s="2" t="s">
        <v>59</v>
      </c>
      <c r="W205" s="2" t="s">
        <v>60</v>
      </c>
    </row>
    <row r="206" spans="1:34" x14ac:dyDescent="0.25">
      <c r="A206" s="2" t="s">
        <v>307</v>
      </c>
      <c r="B206" s="2" t="s">
        <v>531</v>
      </c>
      <c r="C206" s="2" t="s">
        <v>408</v>
      </c>
      <c r="D206" s="2" t="s">
        <v>412</v>
      </c>
      <c r="E206" s="2" t="s">
        <v>413</v>
      </c>
      <c r="F206" s="2" t="s">
        <v>39</v>
      </c>
      <c r="J206" s="2" t="s">
        <v>532</v>
      </c>
      <c r="K206" s="2" t="s">
        <v>533</v>
      </c>
      <c r="L206" s="2">
        <v>1</v>
      </c>
      <c r="M206" s="2" t="s">
        <v>534</v>
      </c>
      <c r="O206" s="2" t="s">
        <v>524</v>
      </c>
      <c r="Y206" s="2" t="s">
        <v>578</v>
      </c>
    </row>
    <row r="207" spans="1:34" x14ac:dyDescent="0.25">
      <c r="A207" s="2" t="s">
        <v>307</v>
      </c>
      <c r="B207" s="2" t="s">
        <v>531</v>
      </c>
      <c r="C207" s="2" t="s">
        <v>408</v>
      </c>
      <c r="D207" s="2" t="s">
        <v>412</v>
      </c>
      <c r="E207" s="2" t="s">
        <v>413</v>
      </c>
      <c r="F207" s="2" t="s">
        <v>39</v>
      </c>
      <c r="J207" s="2" t="s">
        <v>532</v>
      </c>
      <c r="K207" s="2" t="s">
        <v>533</v>
      </c>
      <c r="L207" s="2">
        <v>2</v>
      </c>
      <c r="M207" s="2" t="s">
        <v>536</v>
      </c>
      <c r="O207" s="2" t="s">
        <v>524</v>
      </c>
      <c r="Y207" s="2" t="s">
        <v>578</v>
      </c>
    </row>
    <row r="208" spans="1:34" x14ac:dyDescent="0.25">
      <c r="A208" s="2" t="s">
        <v>307</v>
      </c>
      <c r="B208" s="2" t="s">
        <v>531</v>
      </c>
      <c r="C208" s="2" t="s">
        <v>408</v>
      </c>
      <c r="D208" s="2" t="s">
        <v>412</v>
      </c>
      <c r="E208" s="2" t="s">
        <v>413</v>
      </c>
      <c r="F208" s="2" t="s">
        <v>39</v>
      </c>
      <c r="J208" s="2" t="s">
        <v>532</v>
      </c>
      <c r="K208" s="2" t="s">
        <v>533</v>
      </c>
      <c r="L208" s="2">
        <v>3</v>
      </c>
      <c r="M208" s="2" t="s">
        <v>537</v>
      </c>
      <c r="O208" s="2" t="s">
        <v>524</v>
      </c>
      <c r="Y208" s="2" t="s">
        <v>578</v>
      </c>
    </row>
    <row r="209" spans="1:34" x14ac:dyDescent="0.25">
      <c r="A209" s="2" t="s">
        <v>307</v>
      </c>
      <c r="B209" s="2" t="s">
        <v>531</v>
      </c>
      <c r="C209" s="2" t="s">
        <v>408</v>
      </c>
      <c r="D209" s="2" t="s">
        <v>412</v>
      </c>
      <c r="E209" s="2" t="s">
        <v>413</v>
      </c>
      <c r="F209" s="2" t="s">
        <v>39</v>
      </c>
      <c r="J209" s="2" t="s">
        <v>532</v>
      </c>
      <c r="K209" s="2" t="s">
        <v>533</v>
      </c>
      <c r="L209" s="2">
        <v>4</v>
      </c>
      <c r="M209" s="2" t="s">
        <v>538</v>
      </c>
      <c r="O209" s="2" t="s">
        <v>524</v>
      </c>
      <c r="Y209" s="2" t="s">
        <v>578</v>
      </c>
    </row>
    <row r="210" spans="1:34" x14ac:dyDescent="0.25">
      <c r="A210" s="2" t="s">
        <v>307</v>
      </c>
      <c r="B210" s="2" t="s">
        <v>531</v>
      </c>
      <c r="C210" s="2" t="s">
        <v>408</v>
      </c>
      <c r="D210" s="2" t="s">
        <v>412</v>
      </c>
      <c r="E210" s="2" t="s">
        <v>413</v>
      </c>
      <c r="F210" s="2" t="s">
        <v>39</v>
      </c>
      <c r="J210" s="2" t="s">
        <v>532</v>
      </c>
      <c r="K210" s="2" t="s">
        <v>533</v>
      </c>
      <c r="L210" s="2">
        <v>5</v>
      </c>
      <c r="M210" s="2" t="s">
        <v>539</v>
      </c>
      <c r="O210" s="2" t="s">
        <v>524</v>
      </c>
      <c r="Y210" s="2" t="s">
        <v>578</v>
      </c>
    </row>
    <row r="211" spans="1:34" x14ac:dyDescent="0.25">
      <c r="A211" s="2" t="s">
        <v>307</v>
      </c>
      <c r="B211" s="2" t="s">
        <v>540</v>
      </c>
      <c r="C211" s="2" t="s">
        <v>408</v>
      </c>
      <c r="D211" s="2" t="s">
        <v>412</v>
      </c>
      <c r="E211" s="2" t="s">
        <v>413</v>
      </c>
      <c r="F211" s="2" t="s">
        <v>39</v>
      </c>
      <c r="J211" s="2" t="s">
        <v>541</v>
      </c>
      <c r="K211" s="2" t="s">
        <v>542</v>
      </c>
      <c r="L211" s="2">
        <v>1</v>
      </c>
      <c r="M211" s="2" t="s">
        <v>543</v>
      </c>
      <c r="O211" s="2" t="s">
        <v>524</v>
      </c>
      <c r="Y211" s="2" t="s">
        <v>578</v>
      </c>
    </row>
    <row r="212" spans="1:34" x14ac:dyDescent="0.25">
      <c r="A212" s="2" t="s">
        <v>307</v>
      </c>
      <c r="B212" s="2" t="s">
        <v>540</v>
      </c>
      <c r="C212" s="2" t="s">
        <v>408</v>
      </c>
      <c r="D212" s="2" t="s">
        <v>412</v>
      </c>
      <c r="E212" s="2" t="s">
        <v>413</v>
      </c>
      <c r="F212" s="2" t="s">
        <v>39</v>
      </c>
      <c r="J212" s="2" t="s">
        <v>541</v>
      </c>
      <c r="K212" s="2" t="s">
        <v>542</v>
      </c>
      <c r="L212" s="2">
        <v>2</v>
      </c>
      <c r="M212" s="2" t="s">
        <v>544</v>
      </c>
      <c r="O212" s="2" t="s">
        <v>524</v>
      </c>
      <c r="Y212" s="2" t="s">
        <v>578</v>
      </c>
    </row>
    <row r="213" spans="1:34" x14ac:dyDescent="0.25">
      <c r="A213" s="2" t="s">
        <v>307</v>
      </c>
      <c r="B213" s="2" t="s">
        <v>540</v>
      </c>
      <c r="C213" s="2" t="s">
        <v>408</v>
      </c>
      <c r="D213" s="2" t="s">
        <v>412</v>
      </c>
      <c r="E213" s="2" t="s">
        <v>413</v>
      </c>
      <c r="F213" s="2" t="s">
        <v>39</v>
      </c>
      <c r="J213" s="2" t="s">
        <v>541</v>
      </c>
      <c r="K213" s="2" t="s">
        <v>542</v>
      </c>
      <c r="L213" s="2">
        <v>3</v>
      </c>
      <c r="M213" s="2" t="s">
        <v>545</v>
      </c>
      <c r="O213" s="2" t="s">
        <v>524</v>
      </c>
      <c r="Y213" s="2" t="s">
        <v>578</v>
      </c>
    </row>
    <row r="214" spans="1:34" x14ac:dyDescent="0.25">
      <c r="A214" s="2" t="s">
        <v>307</v>
      </c>
      <c r="B214" s="2" t="s">
        <v>540</v>
      </c>
      <c r="C214" s="2" t="s">
        <v>408</v>
      </c>
      <c r="D214" s="2" t="s">
        <v>412</v>
      </c>
      <c r="E214" s="2" t="s">
        <v>413</v>
      </c>
      <c r="F214" s="2" t="s">
        <v>39</v>
      </c>
      <c r="J214" s="2" t="s">
        <v>541</v>
      </c>
      <c r="K214" s="2" t="s">
        <v>542</v>
      </c>
      <c r="L214" s="2">
        <v>4</v>
      </c>
      <c r="M214" s="2" t="s">
        <v>546</v>
      </c>
      <c r="O214" s="2" t="s">
        <v>524</v>
      </c>
      <c r="Y214" s="2" t="s">
        <v>578</v>
      </c>
    </row>
    <row r="215" spans="1:34" x14ac:dyDescent="0.25">
      <c r="A215" s="2" t="s">
        <v>307</v>
      </c>
      <c r="B215" s="2" t="s">
        <v>540</v>
      </c>
      <c r="C215" s="2" t="s">
        <v>408</v>
      </c>
      <c r="D215" s="2" t="s">
        <v>412</v>
      </c>
      <c r="E215" s="2" t="s">
        <v>413</v>
      </c>
      <c r="F215" s="2" t="s">
        <v>39</v>
      </c>
      <c r="J215" s="2" t="s">
        <v>541</v>
      </c>
      <c r="K215" s="2" t="s">
        <v>542</v>
      </c>
      <c r="L215" s="2">
        <v>5</v>
      </c>
      <c r="M215" s="2" t="s">
        <v>547</v>
      </c>
      <c r="O215" s="2" t="s">
        <v>524</v>
      </c>
      <c r="Y215" s="2" t="s">
        <v>578</v>
      </c>
    </row>
    <row r="216" spans="1:34" x14ac:dyDescent="0.25">
      <c r="A216" s="2" t="s">
        <v>307</v>
      </c>
      <c r="B216" s="2" t="s">
        <v>540</v>
      </c>
      <c r="C216" s="2" t="s">
        <v>408</v>
      </c>
      <c r="D216" s="2" t="s">
        <v>412</v>
      </c>
      <c r="E216" s="2" t="s">
        <v>413</v>
      </c>
      <c r="F216" s="2" t="s">
        <v>39</v>
      </c>
      <c r="J216" s="2" t="s">
        <v>541</v>
      </c>
      <c r="K216" s="2" t="s">
        <v>542</v>
      </c>
      <c r="L216" s="2">
        <v>6</v>
      </c>
      <c r="M216" s="2" t="s">
        <v>548</v>
      </c>
      <c r="O216" s="2" t="s">
        <v>524</v>
      </c>
      <c r="Y216" s="2" t="s">
        <v>578</v>
      </c>
    </row>
    <row r="217" spans="1:34" x14ac:dyDescent="0.25">
      <c r="A217" s="2" t="s">
        <v>307</v>
      </c>
      <c r="B217" s="2" t="s">
        <v>540</v>
      </c>
      <c r="C217" s="2" t="s">
        <v>408</v>
      </c>
      <c r="D217" s="2" t="s">
        <v>412</v>
      </c>
      <c r="E217" s="2" t="s">
        <v>413</v>
      </c>
      <c r="F217" s="2" t="s">
        <v>39</v>
      </c>
      <c r="J217" s="2" t="s">
        <v>541</v>
      </c>
      <c r="K217" s="2" t="s">
        <v>542</v>
      </c>
      <c r="L217" s="2">
        <v>7</v>
      </c>
      <c r="M217" s="2" t="s">
        <v>549</v>
      </c>
      <c r="O217" s="2" t="s">
        <v>524</v>
      </c>
      <c r="Y217" s="2" t="s">
        <v>578</v>
      </c>
    </row>
    <row r="218" spans="1:34" x14ac:dyDescent="0.25">
      <c r="A218" s="2" t="s">
        <v>307</v>
      </c>
      <c r="B218" s="2" t="s">
        <v>540</v>
      </c>
      <c r="C218" s="2" t="s">
        <v>408</v>
      </c>
      <c r="D218" s="2" t="s">
        <v>412</v>
      </c>
      <c r="E218" s="2" t="s">
        <v>413</v>
      </c>
      <c r="F218" s="2" t="s">
        <v>39</v>
      </c>
      <c r="J218" s="2" t="s">
        <v>541</v>
      </c>
      <c r="K218" s="2" t="s">
        <v>542</v>
      </c>
      <c r="L218" s="2">
        <v>8</v>
      </c>
      <c r="M218" s="2" t="s">
        <v>550</v>
      </c>
      <c r="O218" s="2" t="s">
        <v>524</v>
      </c>
      <c r="Y218" s="2" t="s">
        <v>578</v>
      </c>
    </row>
    <row r="219" spans="1:34" x14ac:dyDescent="0.25">
      <c r="A219" s="2" t="s">
        <v>307</v>
      </c>
      <c r="B219" s="2" t="s">
        <v>540</v>
      </c>
      <c r="C219" s="2" t="s">
        <v>408</v>
      </c>
      <c r="D219" s="2" t="s">
        <v>412</v>
      </c>
      <c r="E219" s="2" t="s">
        <v>413</v>
      </c>
      <c r="F219" s="2" t="s">
        <v>39</v>
      </c>
      <c r="J219" s="2" t="s">
        <v>541</v>
      </c>
      <c r="K219" s="2" t="s">
        <v>542</v>
      </c>
      <c r="L219" s="2">
        <v>9</v>
      </c>
      <c r="M219" s="2" t="s">
        <v>551</v>
      </c>
      <c r="O219" s="2" t="s">
        <v>524</v>
      </c>
      <c r="Y219" s="2" t="s">
        <v>578</v>
      </c>
    </row>
    <row r="220" spans="1:34" x14ac:dyDescent="0.25">
      <c r="A220" s="2" t="s">
        <v>307</v>
      </c>
      <c r="B220" s="2" t="s">
        <v>540</v>
      </c>
      <c r="C220" s="2" t="s">
        <v>408</v>
      </c>
      <c r="D220" s="2" t="s">
        <v>412</v>
      </c>
      <c r="E220" s="2" t="s">
        <v>413</v>
      </c>
      <c r="F220" s="2" t="s">
        <v>39</v>
      </c>
      <c r="J220" s="2" t="s">
        <v>541</v>
      </c>
      <c r="K220" s="2" t="s">
        <v>542</v>
      </c>
      <c r="L220" s="2">
        <v>10</v>
      </c>
      <c r="M220" s="2" t="s">
        <v>552</v>
      </c>
      <c r="O220" s="2" t="s">
        <v>524</v>
      </c>
      <c r="Y220" s="2" t="s">
        <v>578</v>
      </c>
    </row>
    <row r="221" spans="1:34" x14ac:dyDescent="0.25">
      <c r="A221" s="2" t="s">
        <v>307</v>
      </c>
      <c r="B221" s="2" t="s">
        <v>540</v>
      </c>
      <c r="C221" s="2" t="s">
        <v>408</v>
      </c>
      <c r="D221" s="2" t="s">
        <v>412</v>
      </c>
      <c r="E221" s="2" t="s">
        <v>413</v>
      </c>
      <c r="F221" s="2" t="s">
        <v>39</v>
      </c>
      <c r="J221" s="2" t="s">
        <v>541</v>
      </c>
      <c r="K221" s="2" t="s">
        <v>542</v>
      </c>
      <c r="L221" s="2">
        <v>11</v>
      </c>
      <c r="M221" s="2" t="s">
        <v>553</v>
      </c>
      <c r="O221" s="2" t="s">
        <v>524</v>
      </c>
      <c r="Y221" s="2" t="s">
        <v>578</v>
      </c>
    </row>
    <row r="222" spans="1:34" x14ac:dyDescent="0.25">
      <c r="A222" s="2" t="s">
        <v>307</v>
      </c>
      <c r="B222" s="2" t="s">
        <v>540</v>
      </c>
      <c r="C222" s="2" t="s">
        <v>408</v>
      </c>
      <c r="D222" s="2" t="s">
        <v>412</v>
      </c>
      <c r="E222" s="2" t="s">
        <v>413</v>
      </c>
      <c r="F222" s="2" t="s">
        <v>39</v>
      </c>
      <c r="J222" s="2" t="s">
        <v>541</v>
      </c>
      <c r="K222" s="2" t="s">
        <v>542</v>
      </c>
      <c r="L222" s="2">
        <v>12</v>
      </c>
      <c r="M222" s="2" t="s">
        <v>554</v>
      </c>
      <c r="O222" s="2" t="s">
        <v>524</v>
      </c>
      <c r="Y222" s="2" t="s">
        <v>578</v>
      </c>
    </row>
    <row r="223" spans="1:34" x14ac:dyDescent="0.25">
      <c r="A223" s="2" t="s">
        <v>307</v>
      </c>
      <c r="B223" s="2" t="s">
        <v>555</v>
      </c>
      <c r="C223" s="2" t="s">
        <v>408</v>
      </c>
      <c r="D223" s="2" t="s">
        <v>412</v>
      </c>
      <c r="E223" s="2" t="s">
        <v>413</v>
      </c>
      <c r="F223" s="2" t="s">
        <v>39</v>
      </c>
      <c r="J223" s="2" t="s">
        <v>556</v>
      </c>
      <c r="O223" s="2" t="s">
        <v>524</v>
      </c>
      <c r="Y223" s="2" t="s">
        <v>578</v>
      </c>
      <c r="AB223" s="2">
        <v>1</v>
      </c>
    </row>
    <row r="224" spans="1:34" x14ac:dyDescent="0.25">
      <c r="A224" s="2" t="s">
        <v>307</v>
      </c>
      <c r="B224" s="2" t="s">
        <v>557</v>
      </c>
      <c r="C224" s="2" t="s">
        <v>408</v>
      </c>
      <c r="D224" s="2" t="s">
        <v>412</v>
      </c>
      <c r="E224" s="2" t="s">
        <v>413</v>
      </c>
      <c r="F224" s="2" t="s">
        <v>39</v>
      </c>
      <c r="J224" s="2" t="s">
        <v>558</v>
      </c>
      <c r="O224" s="2" t="s">
        <v>524</v>
      </c>
      <c r="Y224" s="2" t="s">
        <v>578</v>
      </c>
      <c r="AC224" s="2">
        <f>COUNTIFS($B:$B,"BLOCK_LOAD_Q",$A:$A,$A224,$C:$C,$C224,$E:$E,$E224,$F:$F,$F224,$N:$N, "&lt;&gt;")</f>
        <v>0</v>
      </c>
      <c r="AD224" s="2">
        <f>COUNTIFS($B:$B,"BLOCK_TRUST_Q",$A:$A,$A224,$C:$C,$C224,$E:$E,$E224,$F:$F,$F224,$N:$N, "&lt;&gt;")</f>
        <v>0</v>
      </c>
      <c r="AE224" s="2" t="str">
        <f>IFERROR(AVERAGEIFS($P:$P,$B:$B,"BLOCK_LOAD_Q",$A:$A,$A224,$C:$C,$C224,$E:$E,$E224,$F:$F,$F224,$P:$P,"&gt;0"),"")</f>
        <v/>
      </c>
      <c r="AF224" s="2" t="str">
        <f>IFERROR(AVERAGEIFS($P:$P,$B:$B,"BLOCK_TRUST_Q",$A:$A,$A224,$C:$C,$C224,$E:$E,$E224,$F:$F,$F224,$P:$P,"&gt;0"),"")</f>
        <v/>
      </c>
      <c r="AG224" s="2">
        <f>5-AC224</f>
        <v>5</v>
      </c>
      <c r="AH224" s="2">
        <f>12-AD224</f>
        <v>12</v>
      </c>
    </row>
    <row r="225" spans="1:25" x14ac:dyDescent="0.25">
      <c r="A225" s="2" t="s">
        <v>307</v>
      </c>
      <c r="B225" s="2" t="s">
        <v>402</v>
      </c>
      <c r="C225" s="2" t="s">
        <v>408</v>
      </c>
      <c r="D225" s="2" t="s">
        <v>412</v>
      </c>
      <c r="E225" s="2" t="s">
        <v>414</v>
      </c>
      <c r="F225" s="2" t="s">
        <v>40</v>
      </c>
      <c r="G225" s="2" t="s">
        <v>415</v>
      </c>
      <c r="H225" s="2" t="s">
        <v>567</v>
      </c>
      <c r="S225" s="2" t="s">
        <v>58</v>
      </c>
      <c r="U225" s="2" t="s">
        <v>57</v>
      </c>
      <c r="W225" s="2" t="s">
        <v>60</v>
      </c>
    </row>
    <row r="226" spans="1:25" x14ac:dyDescent="0.25">
      <c r="A226" s="2" t="s">
        <v>307</v>
      </c>
      <c r="B226" s="2" t="s">
        <v>402</v>
      </c>
      <c r="C226" s="2" t="s">
        <v>408</v>
      </c>
      <c r="D226" s="2" t="s">
        <v>412</v>
      </c>
      <c r="E226" s="2" t="s">
        <v>414</v>
      </c>
      <c r="F226" s="2" t="s">
        <v>40</v>
      </c>
      <c r="G226" s="2" t="s">
        <v>416</v>
      </c>
      <c r="H226" s="2" t="s">
        <v>568</v>
      </c>
      <c r="S226" s="2" t="s">
        <v>59</v>
      </c>
      <c r="U226" s="2" t="s">
        <v>60</v>
      </c>
      <c r="W226" s="2" t="s">
        <v>59</v>
      </c>
    </row>
    <row r="227" spans="1:25" x14ac:dyDescent="0.25">
      <c r="A227" s="2" t="s">
        <v>307</v>
      </c>
      <c r="B227" s="2" t="s">
        <v>402</v>
      </c>
      <c r="C227" s="2" t="s">
        <v>408</v>
      </c>
      <c r="D227" s="2" t="s">
        <v>412</v>
      </c>
      <c r="E227" s="2" t="s">
        <v>414</v>
      </c>
      <c r="F227" s="2" t="s">
        <v>40</v>
      </c>
      <c r="G227" s="2" t="s">
        <v>417</v>
      </c>
      <c r="H227" s="2" t="s">
        <v>569</v>
      </c>
      <c r="S227" s="2" t="s">
        <v>57</v>
      </c>
      <c r="U227" s="2" t="s">
        <v>60</v>
      </c>
      <c r="W227" s="2" t="s">
        <v>57</v>
      </c>
    </row>
    <row r="228" spans="1:25" x14ac:dyDescent="0.25">
      <c r="A228" s="2" t="s">
        <v>307</v>
      </c>
      <c r="B228" s="2" t="s">
        <v>402</v>
      </c>
      <c r="C228" s="2" t="s">
        <v>408</v>
      </c>
      <c r="D228" s="2" t="s">
        <v>412</v>
      </c>
      <c r="E228" s="2" t="s">
        <v>414</v>
      </c>
      <c r="F228" s="2" t="s">
        <v>40</v>
      </c>
      <c r="G228" s="2" t="s">
        <v>418</v>
      </c>
      <c r="H228" s="2" t="s">
        <v>351</v>
      </c>
      <c r="S228" s="2" t="s">
        <v>60</v>
      </c>
      <c r="U228" s="2" t="s">
        <v>57</v>
      </c>
      <c r="W228" s="2" t="s">
        <v>57</v>
      </c>
    </row>
    <row r="229" spans="1:25" x14ac:dyDescent="0.25">
      <c r="A229" s="2" t="s">
        <v>307</v>
      </c>
      <c r="B229" s="2" t="s">
        <v>531</v>
      </c>
      <c r="C229" s="2" t="s">
        <v>408</v>
      </c>
      <c r="D229" s="2" t="s">
        <v>412</v>
      </c>
      <c r="E229" s="2" t="s">
        <v>414</v>
      </c>
      <c r="F229" s="2" t="s">
        <v>40</v>
      </c>
      <c r="J229" s="2" t="s">
        <v>532</v>
      </c>
      <c r="K229" s="2" t="s">
        <v>533</v>
      </c>
      <c r="L229" s="2">
        <v>1</v>
      </c>
      <c r="M229" s="2" t="s">
        <v>534</v>
      </c>
      <c r="O229" s="2" t="s">
        <v>524</v>
      </c>
      <c r="Y229" s="2" t="s">
        <v>579</v>
      </c>
    </row>
    <row r="230" spans="1:25" x14ac:dyDescent="0.25">
      <c r="A230" s="2" t="s">
        <v>307</v>
      </c>
      <c r="B230" s="2" t="s">
        <v>531</v>
      </c>
      <c r="C230" s="2" t="s">
        <v>408</v>
      </c>
      <c r="D230" s="2" t="s">
        <v>412</v>
      </c>
      <c r="E230" s="2" t="s">
        <v>414</v>
      </c>
      <c r="F230" s="2" t="s">
        <v>40</v>
      </c>
      <c r="J230" s="2" t="s">
        <v>532</v>
      </c>
      <c r="K230" s="2" t="s">
        <v>533</v>
      </c>
      <c r="L230" s="2">
        <v>2</v>
      </c>
      <c r="M230" s="2" t="s">
        <v>536</v>
      </c>
      <c r="O230" s="2" t="s">
        <v>524</v>
      </c>
      <c r="Y230" s="2" t="s">
        <v>579</v>
      </c>
    </row>
    <row r="231" spans="1:25" x14ac:dyDescent="0.25">
      <c r="A231" s="2" t="s">
        <v>307</v>
      </c>
      <c r="B231" s="2" t="s">
        <v>531</v>
      </c>
      <c r="C231" s="2" t="s">
        <v>408</v>
      </c>
      <c r="D231" s="2" t="s">
        <v>412</v>
      </c>
      <c r="E231" s="2" t="s">
        <v>414</v>
      </c>
      <c r="F231" s="2" t="s">
        <v>40</v>
      </c>
      <c r="J231" s="2" t="s">
        <v>532</v>
      </c>
      <c r="K231" s="2" t="s">
        <v>533</v>
      </c>
      <c r="L231" s="2">
        <v>3</v>
      </c>
      <c r="M231" s="2" t="s">
        <v>537</v>
      </c>
      <c r="O231" s="2" t="s">
        <v>524</v>
      </c>
      <c r="Y231" s="2" t="s">
        <v>579</v>
      </c>
    </row>
    <row r="232" spans="1:25" x14ac:dyDescent="0.25">
      <c r="A232" s="2" t="s">
        <v>307</v>
      </c>
      <c r="B232" s="2" t="s">
        <v>531</v>
      </c>
      <c r="C232" s="2" t="s">
        <v>408</v>
      </c>
      <c r="D232" s="2" t="s">
        <v>412</v>
      </c>
      <c r="E232" s="2" t="s">
        <v>414</v>
      </c>
      <c r="F232" s="2" t="s">
        <v>40</v>
      </c>
      <c r="J232" s="2" t="s">
        <v>532</v>
      </c>
      <c r="K232" s="2" t="s">
        <v>533</v>
      </c>
      <c r="L232" s="2">
        <v>4</v>
      </c>
      <c r="M232" s="2" t="s">
        <v>538</v>
      </c>
      <c r="O232" s="2" t="s">
        <v>524</v>
      </c>
      <c r="Y232" s="2" t="s">
        <v>579</v>
      </c>
    </row>
    <row r="233" spans="1:25" x14ac:dyDescent="0.25">
      <c r="A233" s="2" t="s">
        <v>307</v>
      </c>
      <c r="B233" s="2" t="s">
        <v>531</v>
      </c>
      <c r="C233" s="2" t="s">
        <v>408</v>
      </c>
      <c r="D233" s="2" t="s">
        <v>412</v>
      </c>
      <c r="E233" s="2" t="s">
        <v>414</v>
      </c>
      <c r="F233" s="2" t="s">
        <v>40</v>
      </c>
      <c r="J233" s="2" t="s">
        <v>532</v>
      </c>
      <c r="K233" s="2" t="s">
        <v>533</v>
      </c>
      <c r="L233" s="2">
        <v>5</v>
      </c>
      <c r="M233" s="2" t="s">
        <v>539</v>
      </c>
      <c r="O233" s="2" t="s">
        <v>524</v>
      </c>
      <c r="Y233" s="2" t="s">
        <v>579</v>
      </c>
    </row>
    <row r="234" spans="1:25" x14ac:dyDescent="0.25">
      <c r="A234" s="2" t="s">
        <v>307</v>
      </c>
      <c r="B234" s="2" t="s">
        <v>540</v>
      </c>
      <c r="C234" s="2" t="s">
        <v>408</v>
      </c>
      <c r="D234" s="2" t="s">
        <v>412</v>
      </c>
      <c r="E234" s="2" t="s">
        <v>414</v>
      </c>
      <c r="F234" s="2" t="s">
        <v>40</v>
      </c>
      <c r="J234" s="2" t="s">
        <v>541</v>
      </c>
      <c r="K234" s="2" t="s">
        <v>542</v>
      </c>
      <c r="L234" s="2">
        <v>1</v>
      </c>
      <c r="M234" s="2" t="s">
        <v>543</v>
      </c>
      <c r="O234" s="2" t="s">
        <v>524</v>
      </c>
      <c r="Y234" s="2" t="s">
        <v>579</v>
      </c>
    </row>
    <row r="235" spans="1:25" x14ac:dyDescent="0.25">
      <c r="A235" s="2" t="s">
        <v>307</v>
      </c>
      <c r="B235" s="2" t="s">
        <v>540</v>
      </c>
      <c r="C235" s="2" t="s">
        <v>408</v>
      </c>
      <c r="D235" s="2" t="s">
        <v>412</v>
      </c>
      <c r="E235" s="2" t="s">
        <v>414</v>
      </c>
      <c r="F235" s="2" t="s">
        <v>40</v>
      </c>
      <c r="J235" s="2" t="s">
        <v>541</v>
      </c>
      <c r="K235" s="2" t="s">
        <v>542</v>
      </c>
      <c r="L235" s="2">
        <v>2</v>
      </c>
      <c r="M235" s="2" t="s">
        <v>544</v>
      </c>
      <c r="O235" s="2" t="s">
        <v>524</v>
      </c>
      <c r="Y235" s="2" t="s">
        <v>579</v>
      </c>
    </row>
    <row r="236" spans="1:25" x14ac:dyDescent="0.25">
      <c r="A236" s="2" t="s">
        <v>307</v>
      </c>
      <c r="B236" s="2" t="s">
        <v>540</v>
      </c>
      <c r="C236" s="2" t="s">
        <v>408</v>
      </c>
      <c r="D236" s="2" t="s">
        <v>412</v>
      </c>
      <c r="E236" s="2" t="s">
        <v>414</v>
      </c>
      <c r="F236" s="2" t="s">
        <v>40</v>
      </c>
      <c r="J236" s="2" t="s">
        <v>541</v>
      </c>
      <c r="K236" s="2" t="s">
        <v>542</v>
      </c>
      <c r="L236" s="2">
        <v>3</v>
      </c>
      <c r="M236" s="2" t="s">
        <v>545</v>
      </c>
      <c r="O236" s="2" t="s">
        <v>524</v>
      </c>
      <c r="Y236" s="2" t="s">
        <v>579</v>
      </c>
    </row>
    <row r="237" spans="1:25" x14ac:dyDescent="0.25">
      <c r="A237" s="2" t="s">
        <v>307</v>
      </c>
      <c r="B237" s="2" t="s">
        <v>540</v>
      </c>
      <c r="C237" s="2" t="s">
        <v>408</v>
      </c>
      <c r="D237" s="2" t="s">
        <v>412</v>
      </c>
      <c r="E237" s="2" t="s">
        <v>414</v>
      </c>
      <c r="F237" s="2" t="s">
        <v>40</v>
      </c>
      <c r="J237" s="2" t="s">
        <v>541</v>
      </c>
      <c r="K237" s="2" t="s">
        <v>542</v>
      </c>
      <c r="L237" s="2">
        <v>4</v>
      </c>
      <c r="M237" s="2" t="s">
        <v>546</v>
      </c>
      <c r="O237" s="2" t="s">
        <v>524</v>
      </c>
      <c r="Y237" s="2" t="s">
        <v>579</v>
      </c>
    </row>
    <row r="238" spans="1:25" x14ac:dyDescent="0.25">
      <c r="A238" s="2" t="s">
        <v>307</v>
      </c>
      <c r="B238" s="2" t="s">
        <v>540</v>
      </c>
      <c r="C238" s="2" t="s">
        <v>408</v>
      </c>
      <c r="D238" s="2" t="s">
        <v>412</v>
      </c>
      <c r="E238" s="2" t="s">
        <v>414</v>
      </c>
      <c r="F238" s="2" t="s">
        <v>40</v>
      </c>
      <c r="J238" s="2" t="s">
        <v>541</v>
      </c>
      <c r="K238" s="2" t="s">
        <v>542</v>
      </c>
      <c r="L238" s="2">
        <v>5</v>
      </c>
      <c r="M238" s="2" t="s">
        <v>547</v>
      </c>
      <c r="O238" s="2" t="s">
        <v>524</v>
      </c>
      <c r="Y238" s="2" t="s">
        <v>579</v>
      </c>
    </row>
    <row r="239" spans="1:25" x14ac:dyDescent="0.25">
      <c r="A239" s="2" t="s">
        <v>307</v>
      </c>
      <c r="B239" s="2" t="s">
        <v>540</v>
      </c>
      <c r="C239" s="2" t="s">
        <v>408</v>
      </c>
      <c r="D239" s="2" t="s">
        <v>412</v>
      </c>
      <c r="E239" s="2" t="s">
        <v>414</v>
      </c>
      <c r="F239" s="2" t="s">
        <v>40</v>
      </c>
      <c r="J239" s="2" t="s">
        <v>541</v>
      </c>
      <c r="K239" s="2" t="s">
        <v>542</v>
      </c>
      <c r="L239" s="2">
        <v>6</v>
      </c>
      <c r="M239" s="2" t="s">
        <v>548</v>
      </c>
      <c r="O239" s="2" t="s">
        <v>524</v>
      </c>
      <c r="Y239" s="2" t="s">
        <v>579</v>
      </c>
    </row>
    <row r="240" spans="1:25" x14ac:dyDescent="0.25">
      <c r="A240" s="2" t="s">
        <v>307</v>
      </c>
      <c r="B240" s="2" t="s">
        <v>540</v>
      </c>
      <c r="C240" s="2" t="s">
        <v>408</v>
      </c>
      <c r="D240" s="2" t="s">
        <v>412</v>
      </c>
      <c r="E240" s="2" t="s">
        <v>414</v>
      </c>
      <c r="F240" s="2" t="s">
        <v>40</v>
      </c>
      <c r="J240" s="2" t="s">
        <v>541</v>
      </c>
      <c r="K240" s="2" t="s">
        <v>542</v>
      </c>
      <c r="L240" s="2">
        <v>7</v>
      </c>
      <c r="M240" s="2" t="s">
        <v>549</v>
      </c>
      <c r="O240" s="2" t="s">
        <v>524</v>
      </c>
      <c r="Y240" s="2" t="s">
        <v>579</v>
      </c>
    </row>
    <row r="241" spans="1:34" x14ac:dyDescent="0.25">
      <c r="A241" s="2" t="s">
        <v>307</v>
      </c>
      <c r="B241" s="2" t="s">
        <v>540</v>
      </c>
      <c r="C241" s="2" t="s">
        <v>408</v>
      </c>
      <c r="D241" s="2" t="s">
        <v>412</v>
      </c>
      <c r="E241" s="2" t="s">
        <v>414</v>
      </c>
      <c r="F241" s="2" t="s">
        <v>40</v>
      </c>
      <c r="J241" s="2" t="s">
        <v>541</v>
      </c>
      <c r="K241" s="2" t="s">
        <v>542</v>
      </c>
      <c r="L241" s="2">
        <v>8</v>
      </c>
      <c r="M241" s="2" t="s">
        <v>550</v>
      </c>
      <c r="O241" s="2" t="s">
        <v>524</v>
      </c>
      <c r="Y241" s="2" t="s">
        <v>579</v>
      </c>
    </row>
    <row r="242" spans="1:34" x14ac:dyDescent="0.25">
      <c r="A242" s="2" t="s">
        <v>307</v>
      </c>
      <c r="B242" s="2" t="s">
        <v>540</v>
      </c>
      <c r="C242" s="2" t="s">
        <v>408</v>
      </c>
      <c r="D242" s="2" t="s">
        <v>412</v>
      </c>
      <c r="E242" s="2" t="s">
        <v>414</v>
      </c>
      <c r="F242" s="2" t="s">
        <v>40</v>
      </c>
      <c r="J242" s="2" t="s">
        <v>541</v>
      </c>
      <c r="K242" s="2" t="s">
        <v>542</v>
      </c>
      <c r="L242" s="2">
        <v>9</v>
      </c>
      <c r="M242" s="2" t="s">
        <v>551</v>
      </c>
      <c r="O242" s="2" t="s">
        <v>524</v>
      </c>
      <c r="Y242" s="2" t="s">
        <v>579</v>
      </c>
    </row>
    <row r="243" spans="1:34" x14ac:dyDescent="0.25">
      <c r="A243" s="2" t="s">
        <v>307</v>
      </c>
      <c r="B243" s="2" t="s">
        <v>540</v>
      </c>
      <c r="C243" s="2" t="s">
        <v>408</v>
      </c>
      <c r="D243" s="2" t="s">
        <v>412</v>
      </c>
      <c r="E243" s="2" t="s">
        <v>414</v>
      </c>
      <c r="F243" s="2" t="s">
        <v>40</v>
      </c>
      <c r="J243" s="2" t="s">
        <v>541</v>
      </c>
      <c r="K243" s="2" t="s">
        <v>542</v>
      </c>
      <c r="L243" s="2">
        <v>10</v>
      </c>
      <c r="M243" s="2" t="s">
        <v>552</v>
      </c>
      <c r="O243" s="2" t="s">
        <v>524</v>
      </c>
      <c r="Y243" s="2" t="s">
        <v>579</v>
      </c>
    </row>
    <row r="244" spans="1:34" x14ac:dyDescent="0.25">
      <c r="A244" s="2" t="s">
        <v>307</v>
      </c>
      <c r="B244" s="2" t="s">
        <v>540</v>
      </c>
      <c r="C244" s="2" t="s">
        <v>408</v>
      </c>
      <c r="D244" s="2" t="s">
        <v>412</v>
      </c>
      <c r="E244" s="2" t="s">
        <v>414</v>
      </c>
      <c r="F244" s="2" t="s">
        <v>40</v>
      </c>
      <c r="J244" s="2" t="s">
        <v>541</v>
      </c>
      <c r="K244" s="2" t="s">
        <v>542</v>
      </c>
      <c r="L244" s="2">
        <v>11</v>
      </c>
      <c r="M244" s="2" t="s">
        <v>553</v>
      </c>
      <c r="O244" s="2" t="s">
        <v>524</v>
      </c>
      <c r="Y244" s="2" t="s">
        <v>579</v>
      </c>
    </row>
    <row r="245" spans="1:34" x14ac:dyDescent="0.25">
      <c r="A245" s="2" t="s">
        <v>307</v>
      </c>
      <c r="B245" s="2" t="s">
        <v>540</v>
      </c>
      <c r="C245" s="2" t="s">
        <v>408</v>
      </c>
      <c r="D245" s="2" t="s">
        <v>412</v>
      </c>
      <c r="E245" s="2" t="s">
        <v>414</v>
      </c>
      <c r="F245" s="2" t="s">
        <v>40</v>
      </c>
      <c r="J245" s="2" t="s">
        <v>541</v>
      </c>
      <c r="K245" s="2" t="s">
        <v>542</v>
      </c>
      <c r="L245" s="2">
        <v>12</v>
      </c>
      <c r="M245" s="2" t="s">
        <v>554</v>
      </c>
      <c r="O245" s="2" t="s">
        <v>524</v>
      </c>
      <c r="Y245" s="2" t="s">
        <v>579</v>
      </c>
    </row>
    <row r="246" spans="1:34" x14ac:dyDescent="0.25">
      <c r="A246" s="2" t="s">
        <v>307</v>
      </c>
      <c r="B246" s="2" t="s">
        <v>555</v>
      </c>
      <c r="C246" s="2" t="s">
        <v>408</v>
      </c>
      <c r="D246" s="2" t="s">
        <v>412</v>
      </c>
      <c r="E246" s="2" t="s">
        <v>414</v>
      </c>
      <c r="F246" s="2" t="s">
        <v>40</v>
      </c>
      <c r="J246" s="2" t="s">
        <v>556</v>
      </c>
      <c r="O246" s="2" t="s">
        <v>524</v>
      </c>
      <c r="Y246" s="2" t="s">
        <v>579</v>
      </c>
      <c r="AB246" s="2">
        <v>2</v>
      </c>
    </row>
    <row r="247" spans="1:34" x14ac:dyDescent="0.25">
      <c r="A247" s="2" t="s">
        <v>307</v>
      </c>
      <c r="B247" s="2" t="s">
        <v>557</v>
      </c>
      <c r="C247" s="2" t="s">
        <v>408</v>
      </c>
      <c r="D247" s="2" t="s">
        <v>412</v>
      </c>
      <c r="E247" s="2" t="s">
        <v>414</v>
      </c>
      <c r="F247" s="2" t="s">
        <v>40</v>
      </c>
      <c r="J247" s="2" t="s">
        <v>558</v>
      </c>
      <c r="O247" s="2" t="s">
        <v>524</v>
      </c>
      <c r="Y247" s="2" t="s">
        <v>579</v>
      </c>
      <c r="AC247" s="2">
        <f>COUNTIFS($B:$B,"BLOCK_LOAD_Q",$A:$A,$A247,$C:$C,$C247,$E:$E,$E247,$F:$F,$F247,$N:$N, "&lt;&gt;")</f>
        <v>0</v>
      </c>
      <c r="AD247" s="2">
        <f>COUNTIFS($B:$B,"BLOCK_TRUST_Q",$A:$A,$A247,$C:$C,$C247,$E:$E,$E247,$F:$F,$F247,$N:$N, "&lt;&gt;")</f>
        <v>0</v>
      </c>
      <c r="AE247" s="2" t="str">
        <f>IFERROR(AVERAGEIFS($P:$P,$B:$B,"BLOCK_LOAD_Q",$A:$A,$A247,$C:$C,$C247,$E:$E,$E247,$F:$F,$F247,$P:$P,"&gt;0"),"")</f>
        <v/>
      </c>
      <c r="AF247" s="2" t="str">
        <f>IFERROR(AVERAGEIFS($P:$P,$B:$B,"BLOCK_TRUST_Q",$A:$A,$A247,$C:$C,$C247,$E:$E,$E247,$F:$F,$F247,$P:$P,"&gt;0"),"")</f>
        <v/>
      </c>
      <c r="AG247" s="2">
        <f>5-AC247</f>
        <v>5</v>
      </c>
      <c r="AH247" s="2">
        <f>12-AD247</f>
        <v>12</v>
      </c>
    </row>
    <row r="248" spans="1:34" x14ac:dyDescent="0.25">
      <c r="A248" s="2" t="s">
        <v>307</v>
      </c>
      <c r="B248" s="2" t="s">
        <v>403</v>
      </c>
      <c r="C248" s="2" t="s">
        <v>408</v>
      </c>
      <c r="D248" s="2" t="s">
        <v>412</v>
      </c>
      <c r="Z248" s="2" t="s">
        <v>424</v>
      </c>
    </row>
    <row r="249" spans="1:34" x14ac:dyDescent="0.25">
      <c r="A249" s="2" t="s">
        <v>307</v>
      </c>
      <c r="B249" s="2" t="s">
        <v>402</v>
      </c>
      <c r="C249" s="2" t="s">
        <v>409</v>
      </c>
      <c r="D249" s="2" t="s">
        <v>410</v>
      </c>
      <c r="E249" s="2" t="s">
        <v>413</v>
      </c>
      <c r="F249" s="2" t="s">
        <v>39</v>
      </c>
      <c r="G249" s="2" t="s">
        <v>415</v>
      </c>
      <c r="H249" s="2" t="s">
        <v>373</v>
      </c>
      <c r="S249" s="2" t="s">
        <v>60</v>
      </c>
      <c r="U249" s="2" t="s">
        <v>60</v>
      </c>
      <c r="W249" s="2" t="s">
        <v>60</v>
      </c>
    </row>
    <row r="250" spans="1:34" x14ac:dyDescent="0.25">
      <c r="A250" s="2" t="s">
        <v>307</v>
      </c>
      <c r="B250" s="2" t="s">
        <v>402</v>
      </c>
      <c r="C250" s="2" t="s">
        <v>409</v>
      </c>
      <c r="D250" s="2" t="s">
        <v>410</v>
      </c>
      <c r="E250" s="2" t="s">
        <v>413</v>
      </c>
      <c r="F250" s="2" t="s">
        <v>39</v>
      </c>
      <c r="G250" s="2" t="s">
        <v>416</v>
      </c>
      <c r="H250" s="2" t="s">
        <v>528</v>
      </c>
      <c r="S250" s="2" t="s">
        <v>60</v>
      </c>
      <c r="U250" s="2" t="s">
        <v>59</v>
      </c>
      <c r="W250" s="2" t="s">
        <v>59</v>
      </c>
    </row>
    <row r="251" spans="1:34" x14ac:dyDescent="0.25">
      <c r="A251" s="2" t="s">
        <v>307</v>
      </c>
      <c r="B251" s="2" t="s">
        <v>402</v>
      </c>
      <c r="C251" s="2" t="s">
        <v>409</v>
      </c>
      <c r="D251" s="2" t="s">
        <v>410</v>
      </c>
      <c r="E251" s="2" t="s">
        <v>413</v>
      </c>
      <c r="F251" s="2" t="s">
        <v>39</v>
      </c>
      <c r="G251" s="2" t="s">
        <v>417</v>
      </c>
      <c r="H251" s="2" t="s">
        <v>529</v>
      </c>
      <c r="S251" s="2" t="s">
        <v>57</v>
      </c>
      <c r="U251" s="2" t="s">
        <v>59</v>
      </c>
      <c r="W251" s="2" t="s">
        <v>60</v>
      </c>
    </row>
    <row r="252" spans="1:34" x14ac:dyDescent="0.25">
      <c r="A252" s="2" t="s">
        <v>307</v>
      </c>
      <c r="B252" s="2" t="s">
        <v>402</v>
      </c>
      <c r="C252" s="2" t="s">
        <v>409</v>
      </c>
      <c r="D252" s="2" t="s">
        <v>410</v>
      </c>
      <c r="E252" s="2" t="s">
        <v>413</v>
      </c>
      <c r="F252" s="2" t="s">
        <v>39</v>
      </c>
      <c r="G252" s="2" t="s">
        <v>418</v>
      </c>
      <c r="H252" s="2" t="s">
        <v>347</v>
      </c>
      <c r="S252" s="2" t="s">
        <v>60</v>
      </c>
      <c r="U252" s="2" t="s">
        <v>57</v>
      </c>
      <c r="W252" s="2" t="s">
        <v>59</v>
      </c>
    </row>
    <row r="253" spans="1:34" x14ac:dyDescent="0.25">
      <c r="A253" s="2" t="s">
        <v>307</v>
      </c>
      <c r="B253" s="2" t="s">
        <v>402</v>
      </c>
      <c r="C253" s="2" t="s">
        <v>409</v>
      </c>
      <c r="D253" s="2" t="s">
        <v>410</v>
      </c>
      <c r="E253" s="2" t="s">
        <v>413</v>
      </c>
      <c r="F253" s="2" t="s">
        <v>39</v>
      </c>
      <c r="G253" s="2" t="s">
        <v>419</v>
      </c>
      <c r="H253" s="2" t="s">
        <v>530</v>
      </c>
      <c r="S253" s="2" t="s">
        <v>57</v>
      </c>
      <c r="U253" s="2" t="s">
        <v>60</v>
      </c>
      <c r="W253" s="2" t="s">
        <v>58</v>
      </c>
    </row>
    <row r="254" spans="1:34" x14ac:dyDescent="0.25">
      <c r="A254" s="2" t="s">
        <v>307</v>
      </c>
      <c r="B254" s="2" t="s">
        <v>531</v>
      </c>
      <c r="C254" s="2" t="s">
        <v>409</v>
      </c>
      <c r="D254" s="2" t="s">
        <v>410</v>
      </c>
      <c r="E254" s="2" t="s">
        <v>413</v>
      </c>
      <c r="F254" s="2" t="s">
        <v>39</v>
      </c>
      <c r="J254" s="2" t="s">
        <v>532</v>
      </c>
      <c r="K254" s="2" t="s">
        <v>533</v>
      </c>
      <c r="L254" s="2">
        <v>1</v>
      </c>
      <c r="M254" s="2" t="s">
        <v>534</v>
      </c>
      <c r="O254" s="2" t="s">
        <v>524</v>
      </c>
      <c r="Y254" s="2" t="s">
        <v>580</v>
      </c>
    </row>
    <row r="255" spans="1:34" x14ac:dyDescent="0.25">
      <c r="A255" s="2" t="s">
        <v>307</v>
      </c>
      <c r="B255" s="2" t="s">
        <v>531</v>
      </c>
      <c r="C255" s="2" t="s">
        <v>409</v>
      </c>
      <c r="D255" s="2" t="s">
        <v>410</v>
      </c>
      <c r="E255" s="2" t="s">
        <v>413</v>
      </c>
      <c r="F255" s="2" t="s">
        <v>39</v>
      </c>
      <c r="J255" s="2" t="s">
        <v>532</v>
      </c>
      <c r="K255" s="2" t="s">
        <v>533</v>
      </c>
      <c r="L255" s="2">
        <v>2</v>
      </c>
      <c r="M255" s="2" t="s">
        <v>536</v>
      </c>
      <c r="O255" s="2" t="s">
        <v>524</v>
      </c>
      <c r="Y255" s="2" t="s">
        <v>580</v>
      </c>
    </row>
    <row r="256" spans="1:34" x14ac:dyDescent="0.25">
      <c r="A256" s="2" t="s">
        <v>307</v>
      </c>
      <c r="B256" s="2" t="s">
        <v>531</v>
      </c>
      <c r="C256" s="2" t="s">
        <v>409</v>
      </c>
      <c r="D256" s="2" t="s">
        <v>410</v>
      </c>
      <c r="E256" s="2" t="s">
        <v>413</v>
      </c>
      <c r="F256" s="2" t="s">
        <v>39</v>
      </c>
      <c r="J256" s="2" t="s">
        <v>532</v>
      </c>
      <c r="K256" s="2" t="s">
        <v>533</v>
      </c>
      <c r="L256" s="2">
        <v>3</v>
      </c>
      <c r="M256" s="2" t="s">
        <v>537</v>
      </c>
      <c r="O256" s="2" t="s">
        <v>524</v>
      </c>
      <c r="Y256" s="2" t="s">
        <v>580</v>
      </c>
    </row>
    <row r="257" spans="1:34" x14ac:dyDescent="0.25">
      <c r="A257" s="2" t="s">
        <v>307</v>
      </c>
      <c r="B257" s="2" t="s">
        <v>531</v>
      </c>
      <c r="C257" s="2" t="s">
        <v>409</v>
      </c>
      <c r="D257" s="2" t="s">
        <v>410</v>
      </c>
      <c r="E257" s="2" t="s">
        <v>413</v>
      </c>
      <c r="F257" s="2" t="s">
        <v>39</v>
      </c>
      <c r="J257" s="2" t="s">
        <v>532</v>
      </c>
      <c r="K257" s="2" t="s">
        <v>533</v>
      </c>
      <c r="L257" s="2">
        <v>4</v>
      </c>
      <c r="M257" s="2" t="s">
        <v>538</v>
      </c>
      <c r="O257" s="2" t="s">
        <v>524</v>
      </c>
      <c r="Y257" s="2" t="s">
        <v>580</v>
      </c>
    </row>
    <row r="258" spans="1:34" x14ac:dyDescent="0.25">
      <c r="A258" s="2" t="s">
        <v>307</v>
      </c>
      <c r="B258" s="2" t="s">
        <v>531</v>
      </c>
      <c r="C258" s="2" t="s">
        <v>409</v>
      </c>
      <c r="D258" s="2" t="s">
        <v>410</v>
      </c>
      <c r="E258" s="2" t="s">
        <v>413</v>
      </c>
      <c r="F258" s="2" t="s">
        <v>39</v>
      </c>
      <c r="J258" s="2" t="s">
        <v>532</v>
      </c>
      <c r="K258" s="2" t="s">
        <v>533</v>
      </c>
      <c r="L258" s="2">
        <v>5</v>
      </c>
      <c r="M258" s="2" t="s">
        <v>539</v>
      </c>
      <c r="O258" s="2" t="s">
        <v>524</v>
      </c>
      <c r="Y258" s="2" t="s">
        <v>580</v>
      </c>
    </row>
    <row r="259" spans="1:34" x14ac:dyDescent="0.25">
      <c r="A259" s="2" t="s">
        <v>307</v>
      </c>
      <c r="B259" s="2" t="s">
        <v>540</v>
      </c>
      <c r="C259" s="2" t="s">
        <v>409</v>
      </c>
      <c r="D259" s="2" t="s">
        <v>410</v>
      </c>
      <c r="E259" s="2" t="s">
        <v>413</v>
      </c>
      <c r="F259" s="2" t="s">
        <v>39</v>
      </c>
      <c r="J259" s="2" t="s">
        <v>541</v>
      </c>
      <c r="K259" s="2" t="s">
        <v>542</v>
      </c>
      <c r="L259" s="2">
        <v>1</v>
      </c>
      <c r="M259" s="2" t="s">
        <v>543</v>
      </c>
      <c r="O259" s="2" t="s">
        <v>524</v>
      </c>
      <c r="Y259" s="2" t="s">
        <v>580</v>
      </c>
    </row>
    <row r="260" spans="1:34" x14ac:dyDescent="0.25">
      <c r="A260" s="2" t="s">
        <v>307</v>
      </c>
      <c r="B260" s="2" t="s">
        <v>540</v>
      </c>
      <c r="C260" s="2" t="s">
        <v>409</v>
      </c>
      <c r="D260" s="2" t="s">
        <v>410</v>
      </c>
      <c r="E260" s="2" t="s">
        <v>413</v>
      </c>
      <c r="F260" s="2" t="s">
        <v>39</v>
      </c>
      <c r="J260" s="2" t="s">
        <v>541</v>
      </c>
      <c r="K260" s="2" t="s">
        <v>542</v>
      </c>
      <c r="L260" s="2">
        <v>2</v>
      </c>
      <c r="M260" s="2" t="s">
        <v>544</v>
      </c>
      <c r="O260" s="2" t="s">
        <v>524</v>
      </c>
      <c r="Y260" s="2" t="s">
        <v>580</v>
      </c>
    </row>
    <row r="261" spans="1:34" x14ac:dyDescent="0.25">
      <c r="A261" s="2" t="s">
        <v>307</v>
      </c>
      <c r="B261" s="2" t="s">
        <v>540</v>
      </c>
      <c r="C261" s="2" t="s">
        <v>409</v>
      </c>
      <c r="D261" s="2" t="s">
        <v>410</v>
      </c>
      <c r="E261" s="2" t="s">
        <v>413</v>
      </c>
      <c r="F261" s="2" t="s">
        <v>39</v>
      </c>
      <c r="J261" s="2" t="s">
        <v>541</v>
      </c>
      <c r="K261" s="2" t="s">
        <v>542</v>
      </c>
      <c r="L261" s="2">
        <v>3</v>
      </c>
      <c r="M261" s="2" t="s">
        <v>545</v>
      </c>
      <c r="O261" s="2" t="s">
        <v>524</v>
      </c>
      <c r="Y261" s="2" t="s">
        <v>580</v>
      </c>
    </row>
    <row r="262" spans="1:34" x14ac:dyDescent="0.25">
      <c r="A262" s="2" t="s">
        <v>307</v>
      </c>
      <c r="B262" s="2" t="s">
        <v>540</v>
      </c>
      <c r="C262" s="2" t="s">
        <v>409</v>
      </c>
      <c r="D262" s="2" t="s">
        <v>410</v>
      </c>
      <c r="E262" s="2" t="s">
        <v>413</v>
      </c>
      <c r="F262" s="2" t="s">
        <v>39</v>
      </c>
      <c r="J262" s="2" t="s">
        <v>541</v>
      </c>
      <c r="K262" s="2" t="s">
        <v>542</v>
      </c>
      <c r="L262" s="2">
        <v>4</v>
      </c>
      <c r="M262" s="2" t="s">
        <v>546</v>
      </c>
      <c r="O262" s="2" t="s">
        <v>524</v>
      </c>
      <c r="Y262" s="2" t="s">
        <v>580</v>
      </c>
    </row>
    <row r="263" spans="1:34" x14ac:dyDescent="0.25">
      <c r="A263" s="2" t="s">
        <v>307</v>
      </c>
      <c r="B263" s="2" t="s">
        <v>540</v>
      </c>
      <c r="C263" s="2" t="s">
        <v>409</v>
      </c>
      <c r="D263" s="2" t="s">
        <v>410</v>
      </c>
      <c r="E263" s="2" t="s">
        <v>413</v>
      </c>
      <c r="F263" s="2" t="s">
        <v>39</v>
      </c>
      <c r="J263" s="2" t="s">
        <v>541</v>
      </c>
      <c r="K263" s="2" t="s">
        <v>542</v>
      </c>
      <c r="L263" s="2">
        <v>5</v>
      </c>
      <c r="M263" s="2" t="s">
        <v>547</v>
      </c>
      <c r="O263" s="2" t="s">
        <v>524</v>
      </c>
      <c r="Y263" s="2" t="s">
        <v>580</v>
      </c>
    </row>
    <row r="264" spans="1:34" x14ac:dyDescent="0.25">
      <c r="A264" s="2" t="s">
        <v>307</v>
      </c>
      <c r="B264" s="2" t="s">
        <v>540</v>
      </c>
      <c r="C264" s="2" t="s">
        <v>409</v>
      </c>
      <c r="D264" s="2" t="s">
        <v>410</v>
      </c>
      <c r="E264" s="2" t="s">
        <v>413</v>
      </c>
      <c r="F264" s="2" t="s">
        <v>39</v>
      </c>
      <c r="J264" s="2" t="s">
        <v>541</v>
      </c>
      <c r="K264" s="2" t="s">
        <v>542</v>
      </c>
      <c r="L264" s="2">
        <v>6</v>
      </c>
      <c r="M264" s="2" t="s">
        <v>548</v>
      </c>
      <c r="O264" s="2" t="s">
        <v>524</v>
      </c>
      <c r="Y264" s="2" t="s">
        <v>580</v>
      </c>
    </row>
    <row r="265" spans="1:34" x14ac:dyDescent="0.25">
      <c r="A265" s="2" t="s">
        <v>307</v>
      </c>
      <c r="B265" s="2" t="s">
        <v>540</v>
      </c>
      <c r="C265" s="2" t="s">
        <v>409</v>
      </c>
      <c r="D265" s="2" t="s">
        <v>410</v>
      </c>
      <c r="E265" s="2" t="s">
        <v>413</v>
      </c>
      <c r="F265" s="2" t="s">
        <v>39</v>
      </c>
      <c r="J265" s="2" t="s">
        <v>541</v>
      </c>
      <c r="K265" s="2" t="s">
        <v>542</v>
      </c>
      <c r="L265" s="2">
        <v>7</v>
      </c>
      <c r="M265" s="2" t="s">
        <v>549</v>
      </c>
      <c r="O265" s="2" t="s">
        <v>524</v>
      </c>
      <c r="Y265" s="2" t="s">
        <v>580</v>
      </c>
    </row>
    <row r="266" spans="1:34" x14ac:dyDescent="0.25">
      <c r="A266" s="2" t="s">
        <v>307</v>
      </c>
      <c r="B266" s="2" t="s">
        <v>540</v>
      </c>
      <c r="C266" s="2" t="s">
        <v>409</v>
      </c>
      <c r="D266" s="2" t="s">
        <v>410</v>
      </c>
      <c r="E266" s="2" t="s">
        <v>413</v>
      </c>
      <c r="F266" s="2" t="s">
        <v>39</v>
      </c>
      <c r="J266" s="2" t="s">
        <v>541</v>
      </c>
      <c r="K266" s="2" t="s">
        <v>542</v>
      </c>
      <c r="L266" s="2">
        <v>8</v>
      </c>
      <c r="M266" s="2" t="s">
        <v>550</v>
      </c>
      <c r="O266" s="2" t="s">
        <v>524</v>
      </c>
      <c r="Y266" s="2" t="s">
        <v>580</v>
      </c>
    </row>
    <row r="267" spans="1:34" x14ac:dyDescent="0.25">
      <c r="A267" s="2" t="s">
        <v>307</v>
      </c>
      <c r="B267" s="2" t="s">
        <v>540</v>
      </c>
      <c r="C267" s="2" t="s">
        <v>409</v>
      </c>
      <c r="D267" s="2" t="s">
        <v>410</v>
      </c>
      <c r="E267" s="2" t="s">
        <v>413</v>
      </c>
      <c r="F267" s="2" t="s">
        <v>39</v>
      </c>
      <c r="J267" s="2" t="s">
        <v>541</v>
      </c>
      <c r="K267" s="2" t="s">
        <v>542</v>
      </c>
      <c r="L267" s="2">
        <v>9</v>
      </c>
      <c r="M267" s="2" t="s">
        <v>551</v>
      </c>
      <c r="O267" s="2" t="s">
        <v>524</v>
      </c>
      <c r="Y267" s="2" t="s">
        <v>580</v>
      </c>
    </row>
    <row r="268" spans="1:34" x14ac:dyDescent="0.25">
      <c r="A268" s="2" t="s">
        <v>307</v>
      </c>
      <c r="B268" s="2" t="s">
        <v>540</v>
      </c>
      <c r="C268" s="2" t="s">
        <v>409</v>
      </c>
      <c r="D268" s="2" t="s">
        <v>410</v>
      </c>
      <c r="E268" s="2" t="s">
        <v>413</v>
      </c>
      <c r="F268" s="2" t="s">
        <v>39</v>
      </c>
      <c r="J268" s="2" t="s">
        <v>541</v>
      </c>
      <c r="K268" s="2" t="s">
        <v>542</v>
      </c>
      <c r="L268" s="2">
        <v>10</v>
      </c>
      <c r="M268" s="2" t="s">
        <v>552</v>
      </c>
      <c r="O268" s="2" t="s">
        <v>524</v>
      </c>
      <c r="Y268" s="2" t="s">
        <v>580</v>
      </c>
    </row>
    <row r="269" spans="1:34" x14ac:dyDescent="0.25">
      <c r="A269" s="2" t="s">
        <v>307</v>
      </c>
      <c r="B269" s="2" t="s">
        <v>540</v>
      </c>
      <c r="C269" s="2" t="s">
        <v>409</v>
      </c>
      <c r="D269" s="2" t="s">
        <v>410</v>
      </c>
      <c r="E269" s="2" t="s">
        <v>413</v>
      </c>
      <c r="F269" s="2" t="s">
        <v>39</v>
      </c>
      <c r="J269" s="2" t="s">
        <v>541</v>
      </c>
      <c r="K269" s="2" t="s">
        <v>542</v>
      </c>
      <c r="L269" s="2">
        <v>11</v>
      </c>
      <c r="M269" s="2" t="s">
        <v>553</v>
      </c>
      <c r="O269" s="2" t="s">
        <v>524</v>
      </c>
      <c r="Y269" s="2" t="s">
        <v>580</v>
      </c>
    </row>
    <row r="270" spans="1:34" x14ac:dyDescent="0.25">
      <c r="A270" s="2" t="s">
        <v>307</v>
      </c>
      <c r="B270" s="2" t="s">
        <v>540</v>
      </c>
      <c r="C270" s="2" t="s">
        <v>409</v>
      </c>
      <c r="D270" s="2" t="s">
        <v>410</v>
      </c>
      <c r="E270" s="2" t="s">
        <v>413</v>
      </c>
      <c r="F270" s="2" t="s">
        <v>39</v>
      </c>
      <c r="J270" s="2" t="s">
        <v>541</v>
      </c>
      <c r="K270" s="2" t="s">
        <v>542</v>
      </c>
      <c r="L270" s="2">
        <v>12</v>
      </c>
      <c r="M270" s="2" t="s">
        <v>554</v>
      </c>
      <c r="O270" s="2" t="s">
        <v>524</v>
      </c>
      <c r="Y270" s="2" t="s">
        <v>580</v>
      </c>
    </row>
    <row r="271" spans="1:34" x14ac:dyDescent="0.25">
      <c r="A271" s="2" t="s">
        <v>307</v>
      </c>
      <c r="B271" s="2" t="s">
        <v>555</v>
      </c>
      <c r="C271" s="2" t="s">
        <v>409</v>
      </c>
      <c r="D271" s="2" t="s">
        <v>410</v>
      </c>
      <c r="E271" s="2" t="s">
        <v>413</v>
      </c>
      <c r="F271" s="2" t="s">
        <v>39</v>
      </c>
      <c r="J271" s="2" t="s">
        <v>556</v>
      </c>
      <c r="O271" s="2" t="s">
        <v>524</v>
      </c>
      <c r="Y271" s="2" t="s">
        <v>580</v>
      </c>
      <c r="AB271" s="2">
        <v>1</v>
      </c>
    </row>
    <row r="272" spans="1:34" x14ac:dyDescent="0.25">
      <c r="A272" s="2" t="s">
        <v>307</v>
      </c>
      <c r="B272" s="2" t="s">
        <v>557</v>
      </c>
      <c r="C272" s="2" t="s">
        <v>409</v>
      </c>
      <c r="D272" s="2" t="s">
        <v>410</v>
      </c>
      <c r="E272" s="2" t="s">
        <v>413</v>
      </c>
      <c r="F272" s="2" t="s">
        <v>39</v>
      </c>
      <c r="J272" s="2" t="s">
        <v>558</v>
      </c>
      <c r="O272" s="2" t="s">
        <v>524</v>
      </c>
      <c r="Y272" s="2" t="s">
        <v>580</v>
      </c>
      <c r="AC272" s="2">
        <f>COUNTIFS($B:$B,"BLOCK_LOAD_Q",$A:$A,$A272,$C:$C,$C272,$E:$E,$E272,$F:$F,$F272,$N:$N, "&lt;&gt;")</f>
        <v>0</v>
      </c>
      <c r="AD272" s="2">
        <f>COUNTIFS($B:$B,"BLOCK_TRUST_Q",$A:$A,$A272,$C:$C,$C272,$E:$E,$E272,$F:$F,$F272,$N:$N, "&lt;&gt;")</f>
        <v>0</v>
      </c>
      <c r="AE272" s="2" t="str">
        <f>IFERROR(AVERAGEIFS($P:$P,$B:$B,"BLOCK_LOAD_Q",$A:$A,$A272,$C:$C,$C272,$E:$E,$E272,$F:$F,$F272,$P:$P,"&gt;0"),"")</f>
        <v/>
      </c>
      <c r="AF272" s="2" t="str">
        <f>IFERROR(AVERAGEIFS($P:$P,$B:$B,"BLOCK_TRUST_Q",$A:$A,$A272,$C:$C,$C272,$E:$E,$E272,$F:$F,$F272,$P:$P,"&gt;0"),"")</f>
        <v/>
      </c>
      <c r="AG272" s="2">
        <f>5-AC272</f>
        <v>5</v>
      </c>
      <c r="AH272" s="2">
        <f>12-AD272</f>
        <v>12</v>
      </c>
    </row>
    <row r="273" spans="1:25" x14ac:dyDescent="0.25">
      <c r="A273" s="2" t="s">
        <v>307</v>
      </c>
      <c r="B273" s="2" t="s">
        <v>402</v>
      </c>
      <c r="C273" s="2" t="s">
        <v>409</v>
      </c>
      <c r="D273" s="2" t="s">
        <v>410</v>
      </c>
      <c r="E273" s="2" t="s">
        <v>414</v>
      </c>
      <c r="F273" s="2" t="s">
        <v>40</v>
      </c>
      <c r="G273" s="2" t="s">
        <v>415</v>
      </c>
      <c r="H273" s="2" t="s">
        <v>354</v>
      </c>
      <c r="S273" s="2" t="s">
        <v>59</v>
      </c>
      <c r="U273" s="2" t="s">
        <v>59</v>
      </c>
      <c r="W273" s="2" t="s">
        <v>58</v>
      </c>
    </row>
    <row r="274" spans="1:25" x14ac:dyDescent="0.25">
      <c r="A274" s="2" t="s">
        <v>307</v>
      </c>
      <c r="B274" s="2" t="s">
        <v>402</v>
      </c>
      <c r="C274" s="2" t="s">
        <v>409</v>
      </c>
      <c r="D274" s="2" t="s">
        <v>410</v>
      </c>
      <c r="E274" s="2" t="s">
        <v>414</v>
      </c>
      <c r="F274" s="2" t="s">
        <v>40</v>
      </c>
      <c r="G274" s="2" t="s">
        <v>416</v>
      </c>
      <c r="H274" s="2" t="s">
        <v>559</v>
      </c>
      <c r="S274" s="2" t="s">
        <v>57</v>
      </c>
      <c r="U274" s="2" t="s">
        <v>57</v>
      </c>
      <c r="W274" s="2" t="s">
        <v>58</v>
      </c>
    </row>
    <row r="275" spans="1:25" x14ac:dyDescent="0.25">
      <c r="A275" s="2" t="s">
        <v>307</v>
      </c>
      <c r="B275" s="2" t="s">
        <v>402</v>
      </c>
      <c r="C275" s="2" t="s">
        <v>409</v>
      </c>
      <c r="D275" s="2" t="s">
        <v>410</v>
      </c>
      <c r="E275" s="2" t="s">
        <v>414</v>
      </c>
      <c r="F275" s="2" t="s">
        <v>40</v>
      </c>
      <c r="G275" s="2" t="s">
        <v>417</v>
      </c>
      <c r="H275" s="2" t="s">
        <v>370</v>
      </c>
      <c r="S275" s="2" t="s">
        <v>60</v>
      </c>
      <c r="U275" s="2" t="s">
        <v>58</v>
      </c>
      <c r="W275" s="2" t="s">
        <v>59</v>
      </c>
    </row>
    <row r="276" spans="1:25" x14ac:dyDescent="0.25">
      <c r="A276" s="2" t="s">
        <v>307</v>
      </c>
      <c r="B276" s="2" t="s">
        <v>402</v>
      </c>
      <c r="C276" s="2" t="s">
        <v>409</v>
      </c>
      <c r="D276" s="2" t="s">
        <v>410</v>
      </c>
      <c r="E276" s="2" t="s">
        <v>414</v>
      </c>
      <c r="F276" s="2" t="s">
        <v>40</v>
      </c>
      <c r="G276" s="2" t="s">
        <v>418</v>
      </c>
      <c r="H276" s="2" t="s">
        <v>560</v>
      </c>
      <c r="S276" s="2" t="s">
        <v>57</v>
      </c>
      <c r="U276" s="2" t="s">
        <v>58</v>
      </c>
      <c r="W276" s="2" t="s">
        <v>60</v>
      </c>
    </row>
    <row r="277" spans="1:25" x14ac:dyDescent="0.25">
      <c r="A277" s="2" t="s">
        <v>307</v>
      </c>
      <c r="B277" s="2" t="s">
        <v>531</v>
      </c>
      <c r="C277" s="2" t="s">
        <v>409</v>
      </c>
      <c r="D277" s="2" t="s">
        <v>410</v>
      </c>
      <c r="E277" s="2" t="s">
        <v>414</v>
      </c>
      <c r="F277" s="2" t="s">
        <v>40</v>
      </c>
      <c r="J277" s="2" t="s">
        <v>532</v>
      </c>
      <c r="K277" s="2" t="s">
        <v>533</v>
      </c>
      <c r="L277" s="2">
        <v>1</v>
      </c>
      <c r="M277" s="2" t="s">
        <v>534</v>
      </c>
      <c r="O277" s="2" t="s">
        <v>524</v>
      </c>
      <c r="Y277" s="2" t="s">
        <v>581</v>
      </c>
    </row>
    <row r="278" spans="1:25" x14ac:dyDescent="0.25">
      <c r="A278" s="2" t="s">
        <v>307</v>
      </c>
      <c r="B278" s="2" t="s">
        <v>531</v>
      </c>
      <c r="C278" s="2" t="s">
        <v>409</v>
      </c>
      <c r="D278" s="2" t="s">
        <v>410</v>
      </c>
      <c r="E278" s="2" t="s">
        <v>414</v>
      </c>
      <c r="F278" s="2" t="s">
        <v>40</v>
      </c>
      <c r="J278" s="2" t="s">
        <v>532</v>
      </c>
      <c r="K278" s="2" t="s">
        <v>533</v>
      </c>
      <c r="L278" s="2">
        <v>2</v>
      </c>
      <c r="M278" s="2" t="s">
        <v>536</v>
      </c>
      <c r="O278" s="2" t="s">
        <v>524</v>
      </c>
      <c r="Y278" s="2" t="s">
        <v>581</v>
      </c>
    </row>
    <row r="279" spans="1:25" x14ac:dyDescent="0.25">
      <c r="A279" s="2" t="s">
        <v>307</v>
      </c>
      <c r="B279" s="2" t="s">
        <v>531</v>
      </c>
      <c r="C279" s="2" t="s">
        <v>409</v>
      </c>
      <c r="D279" s="2" t="s">
        <v>410</v>
      </c>
      <c r="E279" s="2" t="s">
        <v>414</v>
      </c>
      <c r="F279" s="2" t="s">
        <v>40</v>
      </c>
      <c r="J279" s="2" t="s">
        <v>532</v>
      </c>
      <c r="K279" s="2" t="s">
        <v>533</v>
      </c>
      <c r="L279" s="2">
        <v>3</v>
      </c>
      <c r="M279" s="2" t="s">
        <v>537</v>
      </c>
      <c r="O279" s="2" t="s">
        <v>524</v>
      </c>
      <c r="Y279" s="2" t="s">
        <v>581</v>
      </c>
    </row>
    <row r="280" spans="1:25" x14ac:dyDescent="0.25">
      <c r="A280" s="2" t="s">
        <v>307</v>
      </c>
      <c r="B280" s="2" t="s">
        <v>531</v>
      </c>
      <c r="C280" s="2" t="s">
        <v>409</v>
      </c>
      <c r="D280" s="2" t="s">
        <v>410</v>
      </c>
      <c r="E280" s="2" t="s">
        <v>414</v>
      </c>
      <c r="F280" s="2" t="s">
        <v>40</v>
      </c>
      <c r="J280" s="2" t="s">
        <v>532</v>
      </c>
      <c r="K280" s="2" t="s">
        <v>533</v>
      </c>
      <c r="L280" s="2">
        <v>4</v>
      </c>
      <c r="M280" s="2" t="s">
        <v>538</v>
      </c>
      <c r="O280" s="2" t="s">
        <v>524</v>
      </c>
      <c r="Y280" s="2" t="s">
        <v>581</v>
      </c>
    </row>
    <row r="281" spans="1:25" x14ac:dyDescent="0.25">
      <c r="A281" s="2" t="s">
        <v>307</v>
      </c>
      <c r="B281" s="2" t="s">
        <v>531</v>
      </c>
      <c r="C281" s="2" t="s">
        <v>409</v>
      </c>
      <c r="D281" s="2" t="s">
        <v>410</v>
      </c>
      <c r="E281" s="2" t="s">
        <v>414</v>
      </c>
      <c r="F281" s="2" t="s">
        <v>40</v>
      </c>
      <c r="J281" s="2" t="s">
        <v>532</v>
      </c>
      <c r="K281" s="2" t="s">
        <v>533</v>
      </c>
      <c r="L281" s="2">
        <v>5</v>
      </c>
      <c r="M281" s="2" t="s">
        <v>539</v>
      </c>
      <c r="O281" s="2" t="s">
        <v>524</v>
      </c>
      <c r="Y281" s="2" t="s">
        <v>581</v>
      </c>
    </row>
    <row r="282" spans="1:25" x14ac:dyDescent="0.25">
      <c r="A282" s="2" t="s">
        <v>307</v>
      </c>
      <c r="B282" s="2" t="s">
        <v>540</v>
      </c>
      <c r="C282" s="2" t="s">
        <v>409</v>
      </c>
      <c r="D282" s="2" t="s">
        <v>410</v>
      </c>
      <c r="E282" s="2" t="s">
        <v>414</v>
      </c>
      <c r="F282" s="2" t="s">
        <v>40</v>
      </c>
      <c r="J282" s="2" t="s">
        <v>541</v>
      </c>
      <c r="K282" s="2" t="s">
        <v>542</v>
      </c>
      <c r="L282" s="2">
        <v>1</v>
      </c>
      <c r="M282" s="2" t="s">
        <v>543</v>
      </c>
      <c r="O282" s="2" t="s">
        <v>524</v>
      </c>
      <c r="Y282" s="2" t="s">
        <v>581</v>
      </c>
    </row>
    <row r="283" spans="1:25" x14ac:dyDescent="0.25">
      <c r="A283" s="2" t="s">
        <v>307</v>
      </c>
      <c r="B283" s="2" t="s">
        <v>540</v>
      </c>
      <c r="C283" s="2" t="s">
        <v>409</v>
      </c>
      <c r="D283" s="2" t="s">
        <v>410</v>
      </c>
      <c r="E283" s="2" t="s">
        <v>414</v>
      </c>
      <c r="F283" s="2" t="s">
        <v>40</v>
      </c>
      <c r="J283" s="2" t="s">
        <v>541</v>
      </c>
      <c r="K283" s="2" t="s">
        <v>542</v>
      </c>
      <c r="L283" s="2">
        <v>2</v>
      </c>
      <c r="M283" s="2" t="s">
        <v>544</v>
      </c>
      <c r="O283" s="2" t="s">
        <v>524</v>
      </c>
      <c r="Y283" s="2" t="s">
        <v>581</v>
      </c>
    </row>
    <row r="284" spans="1:25" x14ac:dyDescent="0.25">
      <c r="A284" s="2" t="s">
        <v>307</v>
      </c>
      <c r="B284" s="2" t="s">
        <v>540</v>
      </c>
      <c r="C284" s="2" t="s">
        <v>409</v>
      </c>
      <c r="D284" s="2" t="s">
        <v>410</v>
      </c>
      <c r="E284" s="2" t="s">
        <v>414</v>
      </c>
      <c r="F284" s="2" t="s">
        <v>40</v>
      </c>
      <c r="J284" s="2" t="s">
        <v>541</v>
      </c>
      <c r="K284" s="2" t="s">
        <v>542</v>
      </c>
      <c r="L284" s="2">
        <v>3</v>
      </c>
      <c r="M284" s="2" t="s">
        <v>545</v>
      </c>
      <c r="O284" s="2" t="s">
        <v>524</v>
      </c>
      <c r="Y284" s="2" t="s">
        <v>581</v>
      </c>
    </row>
    <row r="285" spans="1:25" x14ac:dyDescent="0.25">
      <c r="A285" s="2" t="s">
        <v>307</v>
      </c>
      <c r="B285" s="2" t="s">
        <v>540</v>
      </c>
      <c r="C285" s="2" t="s">
        <v>409</v>
      </c>
      <c r="D285" s="2" t="s">
        <v>410</v>
      </c>
      <c r="E285" s="2" t="s">
        <v>414</v>
      </c>
      <c r="F285" s="2" t="s">
        <v>40</v>
      </c>
      <c r="J285" s="2" t="s">
        <v>541</v>
      </c>
      <c r="K285" s="2" t="s">
        <v>542</v>
      </c>
      <c r="L285" s="2">
        <v>4</v>
      </c>
      <c r="M285" s="2" t="s">
        <v>546</v>
      </c>
      <c r="O285" s="2" t="s">
        <v>524</v>
      </c>
      <c r="Y285" s="2" t="s">
        <v>581</v>
      </c>
    </row>
    <row r="286" spans="1:25" x14ac:dyDescent="0.25">
      <c r="A286" s="2" t="s">
        <v>307</v>
      </c>
      <c r="B286" s="2" t="s">
        <v>540</v>
      </c>
      <c r="C286" s="2" t="s">
        <v>409</v>
      </c>
      <c r="D286" s="2" t="s">
        <v>410</v>
      </c>
      <c r="E286" s="2" t="s">
        <v>414</v>
      </c>
      <c r="F286" s="2" t="s">
        <v>40</v>
      </c>
      <c r="J286" s="2" t="s">
        <v>541</v>
      </c>
      <c r="K286" s="2" t="s">
        <v>542</v>
      </c>
      <c r="L286" s="2">
        <v>5</v>
      </c>
      <c r="M286" s="2" t="s">
        <v>547</v>
      </c>
      <c r="O286" s="2" t="s">
        <v>524</v>
      </c>
      <c r="Y286" s="2" t="s">
        <v>581</v>
      </c>
    </row>
    <row r="287" spans="1:25" x14ac:dyDescent="0.25">
      <c r="A287" s="2" t="s">
        <v>307</v>
      </c>
      <c r="B287" s="2" t="s">
        <v>540</v>
      </c>
      <c r="C287" s="2" t="s">
        <v>409</v>
      </c>
      <c r="D287" s="2" t="s">
        <v>410</v>
      </c>
      <c r="E287" s="2" t="s">
        <v>414</v>
      </c>
      <c r="F287" s="2" t="s">
        <v>40</v>
      </c>
      <c r="J287" s="2" t="s">
        <v>541</v>
      </c>
      <c r="K287" s="2" t="s">
        <v>542</v>
      </c>
      <c r="L287" s="2">
        <v>6</v>
      </c>
      <c r="M287" s="2" t="s">
        <v>548</v>
      </c>
      <c r="O287" s="2" t="s">
        <v>524</v>
      </c>
      <c r="Y287" s="2" t="s">
        <v>581</v>
      </c>
    </row>
    <row r="288" spans="1:25" x14ac:dyDescent="0.25">
      <c r="A288" s="2" t="s">
        <v>307</v>
      </c>
      <c r="B288" s="2" t="s">
        <v>540</v>
      </c>
      <c r="C288" s="2" t="s">
        <v>409</v>
      </c>
      <c r="D288" s="2" t="s">
        <v>410</v>
      </c>
      <c r="E288" s="2" t="s">
        <v>414</v>
      </c>
      <c r="F288" s="2" t="s">
        <v>40</v>
      </c>
      <c r="J288" s="2" t="s">
        <v>541</v>
      </c>
      <c r="K288" s="2" t="s">
        <v>542</v>
      </c>
      <c r="L288" s="2">
        <v>7</v>
      </c>
      <c r="M288" s="2" t="s">
        <v>549</v>
      </c>
      <c r="O288" s="2" t="s">
        <v>524</v>
      </c>
      <c r="Y288" s="2" t="s">
        <v>581</v>
      </c>
    </row>
    <row r="289" spans="1:34" x14ac:dyDescent="0.25">
      <c r="A289" s="2" t="s">
        <v>307</v>
      </c>
      <c r="B289" s="2" t="s">
        <v>540</v>
      </c>
      <c r="C289" s="2" t="s">
        <v>409</v>
      </c>
      <c r="D289" s="2" t="s">
        <v>410</v>
      </c>
      <c r="E289" s="2" t="s">
        <v>414</v>
      </c>
      <c r="F289" s="2" t="s">
        <v>40</v>
      </c>
      <c r="J289" s="2" t="s">
        <v>541</v>
      </c>
      <c r="K289" s="2" t="s">
        <v>542</v>
      </c>
      <c r="L289" s="2">
        <v>8</v>
      </c>
      <c r="M289" s="2" t="s">
        <v>550</v>
      </c>
      <c r="O289" s="2" t="s">
        <v>524</v>
      </c>
      <c r="Y289" s="2" t="s">
        <v>581</v>
      </c>
    </row>
    <row r="290" spans="1:34" x14ac:dyDescent="0.25">
      <c r="A290" s="2" t="s">
        <v>307</v>
      </c>
      <c r="B290" s="2" t="s">
        <v>540</v>
      </c>
      <c r="C290" s="2" t="s">
        <v>409</v>
      </c>
      <c r="D290" s="2" t="s">
        <v>410</v>
      </c>
      <c r="E290" s="2" t="s">
        <v>414</v>
      </c>
      <c r="F290" s="2" t="s">
        <v>40</v>
      </c>
      <c r="J290" s="2" t="s">
        <v>541</v>
      </c>
      <c r="K290" s="2" t="s">
        <v>542</v>
      </c>
      <c r="L290" s="2">
        <v>9</v>
      </c>
      <c r="M290" s="2" t="s">
        <v>551</v>
      </c>
      <c r="O290" s="2" t="s">
        <v>524</v>
      </c>
      <c r="Y290" s="2" t="s">
        <v>581</v>
      </c>
    </row>
    <row r="291" spans="1:34" x14ac:dyDescent="0.25">
      <c r="A291" s="2" t="s">
        <v>307</v>
      </c>
      <c r="B291" s="2" t="s">
        <v>540</v>
      </c>
      <c r="C291" s="2" t="s">
        <v>409</v>
      </c>
      <c r="D291" s="2" t="s">
        <v>410</v>
      </c>
      <c r="E291" s="2" t="s">
        <v>414</v>
      </c>
      <c r="F291" s="2" t="s">
        <v>40</v>
      </c>
      <c r="J291" s="2" t="s">
        <v>541</v>
      </c>
      <c r="K291" s="2" t="s">
        <v>542</v>
      </c>
      <c r="L291" s="2">
        <v>10</v>
      </c>
      <c r="M291" s="2" t="s">
        <v>552</v>
      </c>
      <c r="O291" s="2" t="s">
        <v>524</v>
      </c>
      <c r="Y291" s="2" t="s">
        <v>581</v>
      </c>
    </row>
    <row r="292" spans="1:34" x14ac:dyDescent="0.25">
      <c r="A292" s="2" t="s">
        <v>307</v>
      </c>
      <c r="B292" s="2" t="s">
        <v>540</v>
      </c>
      <c r="C292" s="2" t="s">
        <v>409</v>
      </c>
      <c r="D292" s="2" t="s">
        <v>410</v>
      </c>
      <c r="E292" s="2" t="s">
        <v>414</v>
      </c>
      <c r="F292" s="2" t="s">
        <v>40</v>
      </c>
      <c r="J292" s="2" t="s">
        <v>541</v>
      </c>
      <c r="K292" s="2" t="s">
        <v>542</v>
      </c>
      <c r="L292" s="2">
        <v>11</v>
      </c>
      <c r="M292" s="2" t="s">
        <v>553</v>
      </c>
      <c r="O292" s="2" t="s">
        <v>524</v>
      </c>
      <c r="Y292" s="2" t="s">
        <v>581</v>
      </c>
    </row>
    <row r="293" spans="1:34" x14ac:dyDescent="0.25">
      <c r="A293" s="2" t="s">
        <v>307</v>
      </c>
      <c r="B293" s="2" t="s">
        <v>540</v>
      </c>
      <c r="C293" s="2" t="s">
        <v>409</v>
      </c>
      <c r="D293" s="2" t="s">
        <v>410</v>
      </c>
      <c r="E293" s="2" t="s">
        <v>414</v>
      </c>
      <c r="F293" s="2" t="s">
        <v>40</v>
      </c>
      <c r="J293" s="2" t="s">
        <v>541</v>
      </c>
      <c r="K293" s="2" t="s">
        <v>542</v>
      </c>
      <c r="L293" s="2">
        <v>12</v>
      </c>
      <c r="M293" s="2" t="s">
        <v>554</v>
      </c>
      <c r="O293" s="2" t="s">
        <v>524</v>
      </c>
      <c r="Y293" s="2" t="s">
        <v>581</v>
      </c>
    </row>
    <row r="294" spans="1:34" x14ac:dyDescent="0.25">
      <c r="A294" s="2" t="s">
        <v>307</v>
      </c>
      <c r="B294" s="2" t="s">
        <v>555</v>
      </c>
      <c r="C294" s="2" t="s">
        <v>409</v>
      </c>
      <c r="D294" s="2" t="s">
        <v>410</v>
      </c>
      <c r="E294" s="2" t="s">
        <v>414</v>
      </c>
      <c r="F294" s="2" t="s">
        <v>40</v>
      </c>
      <c r="J294" s="2" t="s">
        <v>556</v>
      </c>
      <c r="O294" s="2" t="s">
        <v>524</v>
      </c>
      <c r="Y294" s="2" t="s">
        <v>581</v>
      </c>
      <c r="AB294" s="2">
        <v>2</v>
      </c>
    </row>
    <row r="295" spans="1:34" x14ac:dyDescent="0.25">
      <c r="A295" s="2" t="s">
        <v>307</v>
      </c>
      <c r="B295" s="2" t="s">
        <v>557</v>
      </c>
      <c r="C295" s="2" t="s">
        <v>409</v>
      </c>
      <c r="D295" s="2" t="s">
        <v>410</v>
      </c>
      <c r="E295" s="2" t="s">
        <v>414</v>
      </c>
      <c r="F295" s="2" t="s">
        <v>40</v>
      </c>
      <c r="J295" s="2" t="s">
        <v>558</v>
      </c>
      <c r="O295" s="2" t="s">
        <v>524</v>
      </c>
      <c r="Y295" s="2" t="s">
        <v>581</v>
      </c>
      <c r="AC295" s="2">
        <f>COUNTIFS($B:$B,"BLOCK_LOAD_Q",$A:$A,$A295,$C:$C,$C295,$E:$E,$E295,$F:$F,$F295,$N:$N, "&lt;&gt;")</f>
        <v>0</v>
      </c>
      <c r="AD295" s="2">
        <f>COUNTIFS($B:$B,"BLOCK_TRUST_Q",$A:$A,$A295,$C:$C,$C295,$E:$E,$E295,$F:$F,$F295,$N:$N, "&lt;&gt;")</f>
        <v>0</v>
      </c>
      <c r="AE295" s="2" t="str">
        <f>IFERROR(AVERAGEIFS($P:$P,$B:$B,"BLOCK_LOAD_Q",$A:$A,$A295,$C:$C,$C295,$E:$E,$E295,$F:$F,$F295,$P:$P,"&gt;0"),"")</f>
        <v/>
      </c>
      <c r="AF295" s="2" t="str">
        <f>IFERROR(AVERAGEIFS($P:$P,$B:$B,"BLOCK_TRUST_Q",$A:$A,$A295,$C:$C,$C295,$E:$E,$E295,$F:$F,$F295,$P:$P,"&gt;0"),"")</f>
        <v/>
      </c>
      <c r="AG295" s="2">
        <f>5-AC295</f>
        <v>5</v>
      </c>
      <c r="AH295" s="2">
        <f>12-AD295</f>
        <v>12</v>
      </c>
    </row>
    <row r="296" spans="1:34" x14ac:dyDescent="0.25">
      <c r="A296" s="2" t="s">
        <v>307</v>
      </c>
      <c r="B296" s="2" t="s">
        <v>403</v>
      </c>
      <c r="C296" s="2" t="s">
        <v>409</v>
      </c>
      <c r="D296" s="2" t="s">
        <v>410</v>
      </c>
      <c r="Z296" s="2" t="s">
        <v>425</v>
      </c>
    </row>
    <row r="297" spans="1:34" x14ac:dyDescent="0.25">
      <c r="A297" s="2" t="s">
        <v>307</v>
      </c>
      <c r="B297" s="2" t="s">
        <v>404</v>
      </c>
      <c r="J297" s="2" t="s">
        <v>575</v>
      </c>
      <c r="AA297" s="2" t="s">
        <v>338</v>
      </c>
    </row>
    <row r="298" spans="1:34" x14ac:dyDescent="0.25">
      <c r="A298" s="2" t="s">
        <v>307</v>
      </c>
      <c r="B298" s="2" t="s">
        <v>405</v>
      </c>
    </row>
    <row r="299" spans="1:34" x14ac:dyDescent="0.25">
      <c r="A299" s="2" t="s">
        <v>307</v>
      </c>
      <c r="B299" s="2" t="s">
        <v>406</v>
      </c>
    </row>
    <row r="300" spans="1:34" x14ac:dyDescent="0.25">
      <c r="A300" s="2" t="s">
        <v>308</v>
      </c>
      <c r="B300" s="2" t="s">
        <v>523</v>
      </c>
      <c r="C300" s="2" t="s">
        <v>524</v>
      </c>
      <c r="D300" s="2" t="s">
        <v>524</v>
      </c>
      <c r="E300" s="2" t="s">
        <v>524</v>
      </c>
      <c r="F300" s="2" t="s">
        <v>524</v>
      </c>
      <c r="J300" s="2" t="s">
        <v>525</v>
      </c>
      <c r="O300" s="2" t="s">
        <v>524</v>
      </c>
    </row>
    <row r="301" spans="1:34" x14ac:dyDescent="0.25">
      <c r="A301" s="2" t="s">
        <v>308</v>
      </c>
      <c r="B301" s="2" t="s">
        <v>526</v>
      </c>
      <c r="C301" s="2" t="s">
        <v>524</v>
      </c>
      <c r="D301" s="2" t="s">
        <v>524</v>
      </c>
      <c r="E301" s="2" t="s">
        <v>524</v>
      </c>
      <c r="F301" s="2" t="s">
        <v>524</v>
      </c>
      <c r="J301" s="2" t="s">
        <v>527</v>
      </c>
      <c r="O301" s="2" t="s">
        <v>524</v>
      </c>
    </row>
    <row r="302" spans="1:34" x14ac:dyDescent="0.25">
      <c r="A302" s="2" t="s">
        <v>308</v>
      </c>
      <c r="B302" s="2" t="s">
        <v>402</v>
      </c>
      <c r="C302" s="2" t="s">
        <v>407</v>
      </c>
      <c r="D302" s="2" t="s">
        <v>412</v>
      </c>
      <c r="E302" s="2" t="s">
        <v>413</v>
      </c>
      <c r="F302" s="2" t="s">
        <v>39</v>
      </c>
      <c r="G302" s="2" t="s">
        <v>415</v>
      </c>
      <c r="H302" s="2" t="s">
        <v>350</v>
      </c>
      <c r="S302" s="2" t="s">
        <v>57</v>
      </c>
      <c r="U302" s="2" t="s">
        <v>58</v>
      </c>
      <c r="W302" s="2" t="s">
        <v>59</v>
      </c>
    </row>
    <row r="303" spans="1:34" x14ac:dyDescent="0.25">
      <c r="A303" s="2" t="s">
        <v>308</v>
      </c>
      <c r="B303" s="2" t="s">
        <v>402</v>
      </c>
      <c r="C303" s="2" t="s">
        <v>407</v>
      </c>
      <c r="D303" s="2" t="s">
        <v>412</v>
      </c>
      <c r="E303" s="2" t="s">
        <v>413</v>
      </c>
      <c r="F303" s="2" t="s">
        <v>39</v>
      </c>
      <c r="G303" s="2" t="s">
        <v>416</v>
      </c>
      <c r="H303" s="2" t="s">
        <v>571</v>
      </c>
      <c r="S303" s="2" t="s">
        <v>59</v>
      </c>
      <c r="U303" s="2" t="s">
        <v>57</v>
      </c>
      <c r="W303" s="2" t="s">
        <v>60</v>
      </c>
    </row>
    <row r="304" spans="1:34" x14ac:dyDescent="0.25">
      <c r="A304" s="2" t="s">
        <v>308</v>
      </c>
      <c r="B304" s="2" t="s">
        <v>402</v>
      </c>
      <c r="C304" s="2" t="s">
        <v>407</v>
      </c>
      <c r="D304" s="2" t="s">
        <v>412</v>
      </c>
      <c r="E304" s="2" t="s">
        <v>413</v>
      </c>
      <c r="F304" s="2" t="s">
        <v>39</v>
      </c>
      <c r="G304" s="2" t="s">
        <v>417</v>
      </c>
      <c r="H304" s="2" t="s">
        <v>572</v>
      </c>
      <c r="S304" s="2" t="s">
        <v>57</v>
      </c>
      <c r="U304" s="2" t="s">
        <v>59</v>
      </c>
      <c r="W304" s="2" t="s">
        <v>58</v>
      </c>
    </row>
    <row r="305" spans="1:25" x14ac:dyDescent="0.25">
      <c r="A305" s="2" t="s">
        <v>308</v>
      </c>
      <c r="B305" s="2" t="s">
        <v>402</v>
      </c>
      <c r="C305" s="2" t="s">
        <v>407</v>
      </c>
      <c r="D305" s="2" t="s">
        <v>412</v>
      </c>
      <c r="E305" s="2" t="s">
        <v>413</v>
      </c>
      <c r="F305" s="2" t="s">
        <v>39</v>
      </c>
      <c r="G305" s="2" t="s">
        <v>418</v>
      </c>
      <c r="H305" s="2" t="s">
        <v>573</v>
      </c>
      <c r="S305" s="2" t="s">
        <v>58</v>
      </c>
      <c r="U305" s="2" t="s">
        <v>58</v>
      </c>
      <c r="W305" s="2" t="s">
        <v>58</v>
      </c>
    </row>
    <row r="306" spans="1:25" x14ac:dyDescent="0.25">
      <c r="A306" s="2" t="s">
        <v>308</v>
      </c>
      <c r="B306" s="2" t="s">
        <v>402</v>
      </c>
      <c r="C306" s="2" t="s">
        <v>407</v>
      </c>
      <c r="D306" s="2" t="s">
        <v>412</v>
      </c>
      <c r="E306" s="2" t="s">
        <v>413</v>
      </c>
      <c r="F306" s="2" t="s">
        <v>39</v>
      </c>
      <c r="G306" s="2" t="s">
        <v>419</v>
      </c>
      <c r="H306" s="2" t="s">
        <v>365</v>
      </c>
      <c r="S306" s="2" t="s">
        <v>59</v>
      </c>
      <c r="U306" s="2" t="s">
        <v>59</v>
      </c>
      <c r="W306" s="2" t="s">
        <v>60</v>
      </c>
    </row>
    <row r="307" spans="1:25" x14ac:dyDescent="0.25">
      <c r="A307" s="2" t="s">
        <v>308</v>
      </c>
      <c r="B307" s="2" t="s">
        <v>531</v>
      </c>
      <c r="C307" s="2" t="s">
        <v>407</v>
      </c>
      <c r="D307" s="2" t="s">
        <v>412</v>
      </c>
      <c r="E307" s="2" t="s">
        <v>413</v>
      </c>
      <c r="F307" s="2" t="s">
        <v>39</v>
      </c>
      <c r="J307" s="2" t="s">
        <v>532</v>
      </c>
      <c r="K307" s="2" t="s">
        <v>533</v>
      </c>
      <c r="L307" s="2">
        <v>1</v>
      </c>
      <c r="M307" s="2" t="s">
        <v>534</v>
      </c>
      <c r="O307" s="2" t="s">
        <v>524</v>
      </c>
      <c r="Y307" s="2" t="s">
        <v>582</v>
      </c>
    </row>
    <row r="308" spans="1:25" x14ac:dyDescent="0.25">
      <c r="A308" s="2" t="s">
        <v>308</v>
      </c>
      <c r="B308" s="2" t="s">
        <v>531</v>
      </c>
      <c r="C308" s="2" t="s">
        <v>407</v>
      </c>
      <c r="D308" s="2" t="s">
        <v>412</v>
      </c>
      <c r="E308" s="2" t="s">
        <v>413</v>
      </c>
      <c r="F308" s="2" t="s">
        <v>39</v>
      </c>
      <c r="J308" s="2" t="s">
        <v>532</v>
      </c>
      <c r="K308" s="2" t="s">
        <v>533</v>
      </c>
      <c r="L308" s="2">
        <v>2</v>
      </c>
      <c r="M308" s="2" t="s">
        <v>536</v>
      </c>
      <c r="O308" s="2" t="s">
        <v>524</v>
      </c>
      <c r="Y308" s="2" t="s">
        <v>582</v>
      </c>
    </row>
    <row r="309" spans="1:25" x14ac:dyDescent="0.25">
      <c r="A309" s="2" t="s">
        <v>308</v>
      </c>
      <c r="B309" s="2" t="s">
        <v>531</v>
      </c>
      <c r="C309" s="2" t="s">
        <v>407</v>
      </c>
      <c r="D309" s="2" t="s">
        <v>412</v>
      </c>
      <c r="E309" s="2" t="s">
        <v>413</v>
      </c>
      <c r="F309" s="2" t="s">
        <v>39</v>
      </c>
      <c r="J309" s="2" t="s">
        <v>532</v>
      </c>
      <c r="K309" s="2" t="s">
        <v>533</v>
      </c>
      <c r="L309" s="2">
        <v>3</v>
      </c>
      <c r="M309" s="2" t="s">
        <v>537</v>
      </c>
      <c r="O309" s="2" t="s">
        <v>524</v>
      </c>
      <c r="Y309" s="2" t="s">
        <v>582</v>
      </c>
    </row>
    <row r="310" spans="1:25" x14ac:dyDescent="0.25">
      <c r="A310" s="2" t="s">
        <v>308</v>
      </c>
      <c r="B310" s="2" t="s">
        <v>531</v>
      </c>
      <c r="C310" s="2" t="s">
        <v>407</v>
      </c>
      <c r="D310" s="2" t="s">
        <v>412</v>
      </c>
      <c r="E310" s="2" t="s">
        <v>413</v>
      </c>
      <c r="F310" s="2" t="s">
        <v>39</v>
      </c>
      <c r="J310" s="2" t="s">
        <v>532</v>
      </c>
      <c r="K310" s="2" t="s">
        <v>533</v>
      </c>
      <c r="L310" s="2">
        <v>4</v>
      </c>
      <c r="M310" s="2" t="s">
        <v>538</v>
      </c>
      <c r="O310" s="2" t="s">
        <v>524</v>
      </c>
      <c r="Y310" s="2" t="s">
        <v>582</v>
      </c>
    </row>
    <row r="311" spans="1:25" x14ac:dyDescent="0.25">
      <c r="A311" s="2" t="s">
        <v>308</v>
      </c>
      <c r="B311" s="2" t="s">
        <v>531</v>
      </c>
      <c r="C311" s="2" t="s">
        <v>407</v>
      </c>
      <c r="D311" s="2" t="s">
        <v>412</v>
      </c>
      <c r="E311" s="2" t="s">
        <v>413</v>
      </c>
      <c r="F311" s="2" t="s">
        <v>39</v>
      </c>
      <c r="J311" s="2" t="s">
        <v>532</v>
      </c>
      <c r="K311" s="2" t="s">
        <v>533</v>
      </c>
      <c r="L311" s="2">
        <v>5</v>
      </c>
      <c r="M311" s="2" t="s">
        <v>539</v>
      </c>
      <c r="O311" s="2" t="s">
        <v>524</v>
      </c>
      <c r="Y311" s="2" t="s">
        <v>582</v>
      </c>
    </row>
    <row r="312" spans="1:25" x14ac:dyDescent="0.25">
      <c r="A312" s="2" t="s">
        <v>308</v>
      </c>
      <c r="B312" s="2" t="s">
        <v>540</v>
      </c>
      <c r="C312" s="2" t="s">
        <v>407</v>
      </c>
      <c r="D312" s="2" t="s">
        <v>412</v>
      </c>
      <c r="E312" s="2" t="s">
        <v>413</v>
      </c>
      <c r="F312" s="2" t="s">
        <v>39</v>
      </c>
      <c r="J312" s="2" t="s">
        <v>541</v>
      </c>
      <c r="K312" s="2" t="s">
        <v>542</v>
      </c>
      <c r="L312" s="2">
        <v>1</v>
      </c>
      <c r="M312" s="2" t="s">
        <v>543</v>
      </c>
      <c r="O312" s="2" t="s">
        <v>524</v>
      </c>
      <c r="Y312" s="2" t="s">
        <v>582</v>
      </c>
    </row>
    <row r="313" spans="1:25" x14ac:dyDescent="0.25">
      <c r="A313" s="2" t="s">
        <v>308</v>
      </c>
      <c r="B313" s="2" t="s">
        <v>540</v>
      </c>
      <c r="C313" s="2" t="s">
        <v>407</v>
      </c>
      <c r="D313" s="2" t="s">
        <v>412</v>
      </c>
      <c r="E313" s="2" t="s">
        <v>413</v>
      </c>
      <c r="F313" s="2" t="s">
        <v>39</v>
      </c>
      <c r="J313" s="2" t="s">
        <v>541</v>
      </c>
      <c r="K313" s="2" t="s">
        <v>542</v>
      </c>
      <c r="L313" s="2">
        <v>2</v>
      </c>
      <c r="M313" s="2" t="s">
        <v>544</v>
      </c>
      <c r="O313" s="2" t="s">
        <v>524</v>
      </c>
      <c r="Y313" s="2" t="s">
        <v>582</v>
      </c>
    </row>
    <row r="314" spans="1:25" x14ac:dyDescent="0.25">
      <c r="A314" s="2" t="s">
        <v>308</v>
      </c>
      <c r="B314" s="2" t="s">
        <v>540</v>
      </c>
      <c r="C314" s="2" t="s">
        <v>407</v>
      </c>
      <c r="D314" s="2" t="s">
        <v>412</v>
      </c>
      <c r="E314" s="2" t="s">
        <v>413</v>
      </c>
      <c r="F314" s="2" t="s">
        <v>39</v>
      </c>
      <c r="J314" s="2" t="s">
        <v>541</v>
      </c>
      <c r="K314" s="2" t="s">
        <v>542</v>
      </c>
      <c r="L314" s="2">
        <v>3</v>
      </c>
      <c r="M314" s="2" t="s">
        <v>545</v>
      </c>
      <c r="O314" s="2" t="s">
        <v>524</v>
      </c>
      <c r="Y314" s="2" t="s">
        <v>582</v>
      </c>
    </row>
    <row r="315" spans="1:25" x14ac:dyDescent="0.25">
      <c r="A315" s="2" t="s">
        <v>308</v>
      </c>
      <c r="B315" s="2" t="s">
        <v>540</v>
      </c>
      <c r="C315" s="2" t="s">
        <v>407</v>
      </c>
      <c r="D315" s="2" t="s">
        <v>412</v>
      </c>
      <c r="E315" s="2" t="s">
        <v>413</v>
      </c>
      <c r="F315" s="2" t="s">
        <v>39</v>
      </c>
      <c r="J315" s="2" t="s">
        <v>541</v>
      </c>
      <c r="K315" s="2" t="s">
        <v>542</v>
      </c>
      <c r="L315" s="2">
        <v>4</v>
      </c>
      <c r="M315" s="2" t="s">
        <v>546</v>
      </c>
      <c r="O315" s="2" t="s">
        <v>524</v>
      </c>
      <c r="Y315" s="2" t="s">
        <v>582</v>
      </c>
    </row>
    <row r="316" spans="1:25" x14ac:dyDescent="0.25">
      <c r="A316" s="2" t="s">
        <v>308</v>
      </c>
      <c r="B316" s="2" t="s">
        <v>540</v>
      </c>
      <c r="C316" s="2" t="s">
        <v>407</v>
      </c>
      <c r="D316" s="2" t="s">
        <v>412</v>
      </c>
      <c r="E316" s="2" t="s">
        <v>413</v>
      </c>
      <c r="F316" s="2" t="s">
        <v>39</v>
      </c>
      <c r="J316" s="2" t="s">
        <v>541</v>
      </c>
      <c r="K316" s="2" t="s">
        <v>542</v>
      </c>
      <c r="L316" s="2">
        <v>5</v>
      </c>
      <c r="M316" s="2" t="s">
        <v>547</v>
      </c>
      <c r="O316" s="2" t="s">
        <v>524</v>
      </c>
      <c r="Y316" s="2" t="s">
        <v>582</v>
      </c>
    </row>
    <row r="317" spans="1:25" x14ac:dyDescent="0.25">
      <c r="A317" s="2" t="s">
        <v>308</v>
      </c>
      <c r="B317" s="2" t="s">
        <v>540</v>
      </c>
      <c r="C317" s="2" t="s">
        <v>407</v>
      </c>
      <c r="D317" s="2" t="s">
        <v>412</v>
      </c>
      <c r="E317" s="2" t="s">
        <v>413</v>
      </c>
      <c r="F317" s="2" t="s">
        <v>39</v>
      </c>
      <c r="J317" s="2" t="s">
        <v>541</v>
      </c>
      <c r="K317" s="2" t="s">
        <v>542</v>
      </c>
      <c r="L317" s="2">
        <v>6</v>
      </c>
      <c r="M317" s="2" t="s">
        <v>548</v>
      </c>
      <c r="O317" s="2" t="s">
        <v>524</v>
      </c>
      <c r="Y317" s="2" t="s">
        <v>582</v>
      </c>
    </row>
    <row r="318" spans="1:25" x14ac:dyDescent="0.25">
      <c r="A318" s="2" t="s">
        <v>308</v>
      </c>
      <c r="B318" s="2" t="s">
        <v>540</v>
      </c>
      <c r="C318" s="2" t="s">
        <v>407</v>
      </c>
      <c r="D318" s="2" t="s">
        <v>412</v>
      </c>
      <c r="E318" s="2" t="s">
        <v>413</v>
      </c>
      <c r="F318" s="2" t="s">
        <v>39</v>
      </c>
      <c r="J318" s="2" t="s">
        <v>541</v>
      </c>
      <c r="K318" s="2" t="s">
        <v>542</v>
      </c>
      <c r="L318" s="2">
        <v>7</v>
      </c>
      <c r="M318" s="2" t="s">
        <v>549</v>
      </c>
      <c r="O318" s="2" t="s">
        <v>524</v>
      </c>
      <c r="Y318" s="2" t="s">
        <v>582</v>
      </c>
    </row>
    <row r="319" spans="1:25" x14ac:dyDescent="0.25">
      <c r="A319" s="2" t="s">
        <v>308</v>
      </c>
      <c r="B319" s="2" t="s">
        <v>540</v>
      </c>
      <c r="C319" s="2" t="s">
        <v>407</v>
      </c>
      <c r="D319" s="2" t="s">
        <v>412</v>
      </c>
      <c r="E319" s="2" t="s">
        <v>413</v>
      </c>
      <c r="F319" s="2" t="s">
        <v>39</v>
      </c>
      <c r="J319" s="2" t="s">
        <v>541</v>
      </c>
      <c r="K319" s="2" t="s">
        <v>542</v>
      </c>
      <c r="L319" s="2">
        <v>8</v>
      </c>
      <c r="M319" s="2" t="s">
        <v>550</v>
      </c>
      <c r="O319" s="2" t="s">
        <v>524</v>
      </c>
      <c r="Y319" s="2" t="s">
        <v>582</v>
      </c>
    </row>
    <row r="320" spans="1:25" x14ac:dyDescent="0.25">
      <c r="A320" s="2" t="s">
        <v>308</v>
      </c>
      <c r="B320" s="2" t="s">
        <v>540</v>
      </c>
      <c r="C320" s="2" t="s">
        <v>407</v>
      </c>
      <c r="D320" s="2" t="s">
        <v>412</v>
      </c>
      <c r="E320" s="2" t="s">
        <v>413</v>
      </c>
      <c r="F320" s="2" t="s">
        <v>39</v>
      </c>
      <c r="J320" s="2" t="s">
        <v>541</v>
      </c>
      <c r="K320" s="2" t="s">
        <v>542</v>
      </c>
      <c r="L320" s="2">
        <v>9</v>
      </c>
      <c r="M320" s="2" t="s">
        <v>551</v>
      </c>
      <c r="O320" s="2" t="s">
        <v>524</v>
      </c>
      <c r="Y320" s="2" t="s">
        <v>582</v>
      </c>
    </row>
    <row r="321" spans="1:34" x14ac:dyDescent="0.25">
      <c r="A321" s="2" t="s">
        <v>308</v>
      </c>
      <c r="B321" s="2" t="s">
        <v>540</v>
      </c>
      <c r="C321" s="2" t="s">
        <v>407</v>
      </c>
      <c r="D321" s="2" t="s">
        <v>412</v>
      </c>
      <c r="E321" s="2" t="s">
        <v>413</v>
      </c>
      <c r="F321" s="2" t="s">
        <v>39</v>
      </c>
      <c r="J321" s="2" t="s">
        <v>541</v>
      </c>
      <c r="K321" s="2" t="s">
        <v>542</v>
      </c>
      <c r="L321" s="2">
        <v>10</v>
      </c>
      <c r="M321" s="2" t="s">
        <v>552</v>
      </c>
      <c r="O321" s="2" t="s">
        <v>524</v>
      </c>
      <c r="Y321" s="2" t="s">
        <v>582</v>
      </c>
    </row>
    <row r="322" spans="1:34" x14ac:dyDescent="0.25">
      <c r="A322" s="2" t="s">
        <v>308</v>
      </c>
      <c r="B322" s="2" t="s">
        <v>540</v>
      </c>
      <c r="C322" s="2" t="s">
        <v>407</v>
      </c>
      <c r="D322" s="2" t="s">
        <v>412</v>
      </c>
      <c r="E322" s="2" t="s">
        <v>413</v>
      </c>
      <c r="F322" s="2" t="s">
        <v>39</v>
      </c>
      <c r="J322" s="2" t="s">
        <v>541</v>
      </c>
      <c r="K322" s="2" t="s">
        <v>542</v>
      </c>
      <c r="L322" s="2">
        <v>11</v>
      </c>
      <c r="M322" s="2" t="s">
        <v>553</v>
      </c>
      <c r="O322" s="2" t="s">
        <v>524</v>
      </c>
      <c r="Y322" s="2" t="s">
        <v>582</v>
      </c>
    </row>
    <row r="323" spans="1:34" x14ac:dyDescent="0.25">
      <c r="A323" s="2" t="s">
        <v>308</v>
      </c>
      <c r="B323" s="2" t="s">
        <v>540</v>
      </c>
      <c r="C323" s="2" t="s">
        <v>407</v>
      </c>
      <c r="D323" s="2" t="s">
        <v>412</v>
      </c>
      <c r="E323" s="2" t="s">
        <v>413</v>
      </c>
      <c r="F323" s="2" t="s">
        <v>39</v>
      </c>
      <c r="J323" s="2" t="s">
        <v>541</v>
      </c>
      <c r="K323" s="2" t="s">
        <v>542</v>
      </c>
      <c r="L323" s="2">
        <v>12</v>
      </c>
      <c r="M323" s="2" t="s">
        <v>554</v>
      </c>
      <c r="O323" s="2" t="s">
        <v>524</v>
      </c>
      <c r="Y323" s="2" t="s">
        <v>582</v>
      </c>
    </row>
    <row r="324" spans="1:34" x14ac:dyDescent="0.25">
      <c r="A324" s="2" t="s">
        <v>308</v>
      </c>
      <c r="B324" s="2" t="s">
        <v>555</v>
      </c>
      <c r="C324" s="2" t="s">
        <v>407</v>
      </c>
      <c r="D324" s="2" t="s">
        <v>412</v>
      </c>
      <c r="E324" s="2" t="s">
        <v>413</v>
      </c>
      <c r="F324" s="2" t="s">
        <v>39</v>
      </c>
      <c r="J324" s="2" t="s">
        <v>556</v>
      </c>
      <c r="O324" s="2" t="s">
        <v>524</v>
      </c>
      <c r="Y324" s="2" t="s">
        <v>582</v>
      </c>
      <c r="AB324" s="2">
        <v>1</v>
      </c>
    </row>
    <row r="325" spans="1:34" x14ac:dyDescent="0.25">
      <c r="A325" s="2" t="s">
        <v>308</v>
      </c>
      <c r="B325" s="2" t="s">
        <v>557</v>
      </c>
      <c r="C325" s="2" t="s">
        <v>407</v>
      </c>
      <c r="D325" s="2" t="s">
        <v>412</v>
      </c>
      <c r="E325" s="2" t="s">
        <v>413</v>
      </c>
      <c r="F325" s="2" t="s">
        <v>39</v>
      </c>
      <c r="J325" s="2" t="s">
        <v>558</v>
      </c>
      <c r="O325" s="2" t="s">
        <v>524</v>
      </c>
      <c r="Y325" s="2" t="s">
        <v>582</v>
      </c>
      <c r="AC325" s="2">
        <f>COUNTIFS($B:$B,"BLOCK_LOAD_Q",$A:$A,$A325,$C:$C,$C325,$E:$E,$E325,$F:$F,$F325,$N:$N, "&lt;&gt;")</f>
        <v>0</v>
      </c>
      <c r="AD325" s="2">
        <f>COUNTIFS($B:$B,"BLOCK_TRUST_Q",$A:$A,$A325,$C:$C,$C325,$E:$E,$E325,$F:$F,$F325,$N:$N, "&lt;&gt;")</f>
        <v>0</v>
      </c>
      <c r="AE325" s="2" t="str">
        <f>IFERROR(AVERAGEIFS($P:$P,$B:$B,"BLOCK_LOAD_Q",$A:$A,$A325,$C:$C,$C325,$E:$E,$E325,$F:$F,$F325,$P:$P,"&gt;0"),"")</f>
        <v/>
      </c>
      <c r="AF325" s="2" t="str">
        <f>IFERROR(AVERAGEIFS($P:$P,$B:$B,"BLOCK_TRUST_Q",$A:$A,$A325,$C:$C,$C325,$E:$E,$E325,$F:$F,$F325,$P:$P,"&gt;0"),"")</f>
        <v/>
      </c>
      <c r="AG325" s="2">
        <f>5-AC325</f>
        <v>5</v>
      </c>
      <c r="AH325" s="2">
        <f>12-AD325</f>
        <v>12</v>
      </c>
    </row>
    <row r="326" spans="1:34" x14ac:dyDescent="0.25">
      <c r="A326" s="2" t="s">
        <v>308</v>
      </c>
      <c r="B326" s="2" t="s">
        <v>402</v>
      </c>
      <c r="C326" s="2" t="s">
        <v>407</v>
      </c>
      <c r="D326" s="2" t="s">
        <v>412</v>
      </c>
      <c r="E326" s="2" t="s">
        <v>414</v>
      </c>
      <c r="F326" s="2" t="s">
        <v>40</v>
      </c>
      <c r="G326" s="2" t="s">
        <v>415</v>
      </c>
      <c r="H326" s="2" t="s">
        <v>567</v>
      </c>
      <c r="S326" s="2" t="s">
        <v>58</v>
      </c>
      <c r="U326" s="2" t="s">
        <v>57</v>
      </c>
      <c r="W326" s="2" t="s">
        <v>60</v>
      </c>
    </row>
    <row r="327" spans="1:34" x14ac:dyDescent="0.25">
      <c r="A327" s="2" t="s">
        <v>308</v>
      </c>
      <c r="B327" s="2" t="s">
        <v>402</v>
      </c>
      <c r="C327" s="2" t="s">
        <v>407</v>
      </c>
      <c r="D327" s="2" t="s">
        <v>412</v>
      </c>
      <c r="E327" s="2" t="s">
        <v>414</v>
      </c>
      <c r="F327" s="2" t="s">
        <v>40</v>
      </c>
      <c r="G327" s="2" t="s">
        <v>416</v>
      </c>
      <c r="H327" s="2" t="s">
        <v>568</v>
      </c>
      <c r="S327" s="2" t="s">
        <v>59</v>
      </c>
      <c r="U327" s="2" t="s">
        <v>60</v>
      </c>
      <c r="W327" s="2" t="s">
        <v>59</v>
      </c>
    </row>
    <row r="328" spans="1:34" x14ac:dyDescent="0.25">
      <c r="A328" s="2" t="s">
        <v>308</v>
      </c>
      <c r="B328" s="2" t="s">
        <v>402</v>
      </c>
      <c r="C328" s="2" t="s">
        <v>407</v>
      </c>
      <c r="D328" s="2" t="s">
        <v>412</v>
      </c>
      <c r="E328" s="2" t="s">
        <v>414</v>
      </c>
      <c r="F328" s="2" t="s">
        <v>40</v>
      </c>
      <c r="G328" s="2" t="s">
        <v>417</v>
      </c>
      <c r="H328" s="2" t="s">
        <v>569</v>
      </c>
      <c r="S328" s="2" t="s">
        <v>57</v>
      </c>
      <c r="U328" s="2" t="s">
        <v>60</v>
      </c>
      <c r="W328" s="2" t="s">
        <v>57</v>
      </c>
    </row>
    <row r="329" spans="1:34" x14ac:dyDescent="0.25">
      <c r="A329" s="2" t="s">
        <v>308</v>
      </c>
      <c r="B329" s="2" t="s">
        <v>402</v>
      </c>
      <c r="C329" s="2" t="s">
        <v>407</v>
      </c>
      <c r="D329" s="2" t="s">
        <v>412</v>
      </c>
      <c r="E329" s="2" t="s">
        <v>414</v>
      </c>
      <c r="F329" s="2" t="s">
        <v>40</v>
      </c>
      <c r="G329" s="2" t="s">
        <v>418</v>
      </c>
      <c r="H329" s="2" t="s">
        <v>351</v>
      </c>
      <c r="S329" s="2" t="s">
        <v>60</v>
      </c>
      <c r="U329" s="2" t="s">
        <v>57</v>
      </c>
      <c r="W329" s="2" t="s">
        <v>57</v>
      </c>
    </row>
    <row r="330" spans="1:34" x14ac:dyDescent="0.25">
      <c r="A330" s="2" t="s">
        <v>308</v>
      </c>
      <c r="B330" s="2" t="s">
        <v>531</v>
      </c>
      <c r="C330" s="2" t="s">
        <v>407</v>
      </c>
      <c r="D330" s="2" t="s">
        <v>412</v>
      </c>
      <c r="E330" s="2" t="s">
        <v>414</v>
      </c>
      <c r="F330" s="2" t="s">
        <v>40</v>
      </c>
      <c r="J330" s="2" t="s">
        <v>532</v>
      </c>
      <c r="K330" s="2" t="s">
        <v>533</v>
      </c>
      <c r="L330" s="2">
        <v>1</v>
      </c>
      <c r="M330" s="2" t="s">
        <v>534</v>
      </c>
      <c r="O330" s="2" t="s">
        <v>524</v>
      </c>
      <c r="Y330" s="2" t="s">
        <v>583</v>
      </c>
    </row>
    <row r="331" spans="1:34" x14ac:dyDescent="0.25">
      <c r="A331" s="2" t="s">
        <v>308</v>
      </c>
      <c r="B331" s="2" t="s">
        <v>531</v>
      </c>
      <c r="C331" s="2" t="s">
        <v>407</v>
      </c>
      <c r="D331" s="2" t="s">
        <v>412</v>
      </c>
      <c r="E331" s="2" t="s">
        <v>414</v>
      </c>
      <c r="F331" s="2" t="s">
        <v>40</v>
      </c>
      <c r="J331" s="2" t="s">
        <v>532</v>
      </c>
      <c r="K331" s="2" t="s">
        <v>533</v>
      </c>
      <c r="L331" s="2">
        <v>2</v>
      </c>
      <c r="M331" s="2" t="s">
        <v>536</v>
      </c>
      <c r="O331" s="2" t="s">
        <v>524</v>
      </c>
      <c r="Y331" s="2" t="s">
        <v>583</v>
      </c>
    </row>
    <row r="332" spans="1:34" x14ac:dyDescent="0.25">
      <c r="A332" s="2" t="s">
        <v>308</v>
      </c>
      <c r="B332" s="2" t="s">
        <v>531</v>
      </c>
      <c r="C332" s="2" t="s">
        <v>407</v>
      </c>
      <c r="D332" s="2" t="s">
        <v>412</v>
      </c>
      <c r="E332" s="2" t="s">
        <v>414</v>
      </c>
      <c r="F332" s="2" t="s">
        <v>40</v>
      </c>
      <c r="J332" s="2" t="s">
        <v>532</v>
      </c>
      <c r="K332" s="2" t="s">
        <v>533</v>
      </c>
      <c r="L332" s="2">
        <v>3</v>
      </c>
      <c r="M332" s="2" t="s">
        <v>537</v>
      </c>
      <c r="O332" s="2" t="s">
        <v>524</v>
      </c>
      <c r="Y332" s="2" t="s">
        <v>583</v>
      </c>
    </row>
    <row r="333" spans="1:34" x14ac:dyDescent="0.25">
      <c r="A333" s="2" t="s">
        <v>308</v>
      </c>
      <c r="B333" s="2" t="s">
        <v>531</v>
      </c>
      <c r="C333" s="2" t="s">
        <v>407</v>
      </c>
      <c r="D333" s="2" t="s">
        <v>412</v>
      </c>
      <c r="E333" s="2" t="s">
        <v>414</v>
      </c>
      <c r="F333" s="2" t="s">
        <v>40</v>
      </c>
      <c r="J333" s="2" t="s">
        <v>532</v>
      </c>
      <c r="K333" s="2" t="s">
        <v>533</v>
      </c>
      <c r="L333" s="2">
        <v>4</v>
      </c>
      <c r="M333" s="2" t="s">
        <v>538</v>
      </c>
      <c r="O333" s="2" t="s">
        <v>524</v>
      </c>
      <c r="Y333" s="2" t="s">
        <v>583</v>
      </c>
    </row>
    <row r="334" spans="1:34" x14ac:dyDescent="0.25">
      <c r="A334" s="2" t="s">
        <v>308</v>
      </c>
      <c r="B334" s="2" t="s">
        <v>531</v>
      </c>
      <c r="C334" s="2" t="s">
        <v>407</v>
      </c>
      <c r="D334" s="2" t="s">
        <v>412</v>
      </c>
      <c r="E334" s="2" t="s">
        <v>414</v>
      </c>
      <c r="F334" s="2" t="s">
        <v>40</v>
      </c>
      <c r="J334" s="2" t="s">
        <v>532</v>
      </c>
      <c r="K334" s="2" t="s">
        <v>533</v>
      </c>
      <c r="L334" s="2">
        <v>5</v>
      </c>
      <c r="M334" s="2" t="s">
        <v>539</v>
      </c>
      <c r="O334" s="2" t="s">
        <v>524</v>
      </c>
      <c r="Y334" s="2" t="s">
        <v>583</v>
      </c>
    </row>
    <row r="335" spans="1:34" x14ac:dyDescent="0.25">
      <c r="A335" s="2" t="s">
        <v>308</v>
      </c>
      <c r="B335" s="2" t="s">
        <v>540</v>
      </c>
      <c r="C335" s="2" t="s">
        <v>407</v>
      </c>
      <c r="D335" s="2" t="s">
        <v>412</v>
      </c>
      <c r="E335" s="2" t="s">
        <v>414</v>
      </c>
      <c r="F335" s="2" t="s">
        <v>40</v>
      </c>
      <c r="J335" s="2" t="s">
        <v>541</v>
      </c>
      <c r="K335" s="2" t="s">
        <v>542</v>
      </c>
      <c r="L335" s="2">
        <v>1</v>
      </c>
      <c r="M335" s="2" t="s">
        <v>543</v>
      </c>
      <c r="O335" s="2" t="s">
        <v>524</v>
      </c>
      <c r="Y335" s="2" t="s">
        <v>583</v>
      </c>
    </row>
    <row r="336" spans="1:34" x14ac:dyDescent="0.25">
      <c r="A336" s="2" t="s">
        <v>308</v>
      </c>
      <c r="B336" s="2" t="s">
        <v>540</v>
      </c>
      <c r="C336" s="2" t="s">
        <v>407</v>
      </c>
      <c r="D336" s="2" t="s">
        <v>412</v>
      </c>
      <c r="E336" s="2" t="s">
        <v>414</v>
      </c>
      <c r="F336" s="2" t="s">
        <v>40</v>
      </c>
      <c r="J336" s="2" t="s">
        <v>541</v>
      </c>
      <c r="K336" s="2" t="s">
        <v>542</v>
      </c>
      <c r="L336" s="2">
        <v>2</v>
      </c>
      <c r="M336" s="2" t="s">
        <v>544</v>
      </c>
      <c r="O336" s="2" t="s">
        <v>524</v>
      </c>
      <c r="Y336" s="2" t="s">
        <v>583</v>
      </c>
    </row>
    <row r="337" spans="1:34" x14ac:dyDescent="0.25">
      <c r="A337" s="2" t="s">
        <v>308</v>
      </c>
      <c r="B337" s="2" t="s">
        <v>540</v>
      </c>
      <c r="C337" s="2" t="s">
        <v>407</v>
      </c>
      <c r="D337" s="2" t="s">
        <v>412</v>
      </c>
      <c r="E337" s="2" t="s">
        <v>414</v>
      </c>
      <c r="F337" s="2" t="s">
        <v>40</v>
      </c>
      <c r="J337" s="2" t="s">
        <v>541</v>
      </c>
      <c r="K337" s="2" t="s">
        <v>542</v>
      </c>
      <c r="L337" s="2">
        <v>3</v>
      </c>
      <c r="M337" s="2" t="s">
        <v>545</v>
      </c>
      <c r="O337" s="2" t="s">
        <v>524</v>
      </c>
      <c r="Y337" s="2" t="s">
        <v>583</v>
      </c>
    </row>
    <row r="338" spans="1:34" x14ac:dyDescent="0.25">
      <c r="A338" s="2" t="s">
        <v>308</v>
      </c>
      <c r="B338" s="2" t="s">
        <v>540</v>
      </c>
      <c r="C338" s="2" t="s">
        <v>407</v>
      </c>
      <c r="D338" s="2" t="s">
        <v>412</v>
      </c>
      <c r="E338" s="2" t="s">
        <v>414</v>
      </c>
      <c r="F338" s="2" t="s">
        <v>40</v>
      </c>
      <c r="J338" s="2" t="s">
        <v>541</v>
      </c>
      <c r="K338" s="2" t="s">
        <v>542</v>
      </c>
      <c r="L338" s="2">
        <v>4</v>
      </c>
      <c r="M338" s="2" t="s">
        <v>546</v>
      </c>
      <c r="O338" s="2" t="s">
        <v>524</v>
      </c>
      <c r="Y338" s="2" t="s">
        <v>583</v>
      </c>
    </row>
    <row r="339" spans="1:34" x14ac:dyDescent="0.25">
      <c r="A339" s="2" t="s">
        <v>308</v>
      </c>
      <c r="B339" s="2" t="s">
        <v>540</v>
      </c>
      <c r="C339" s="2" t="s">
        <v>407</v>
      </c>
      <c r="D339" s="2" t="s">
        <v>412</v>
      </c>
      <c r="E339" s="2" t="s">
        <v>414</v>
      </c>
      <c r="F339" s="2" t="s">
        <v>40</v>
      </c>
      <c r="J339" s="2" t="s">
        <v>541</v>
      </c>
      <c r="K339" s="2" t="s">
        <v>542</v>
      </c>
      <c r="L339" s="2">
        <v>5</v>
      </c>
      <c r="M339" s="2" t="s">
        <v>547</v>
      </c>
      <c r="O339" s="2" t="s">
        <v>524</v>
      </c>
      <c r="Y339" s="2" t="s">
        <v>583</v>
      </c>
    </row>
    <row r="340" spans="1:34" x14ac:dyDescent="0.25">
      <c r="A340" s="2" t="s">
        <v>308</v>
      </c>
      <c r="B340" s="2" t="s">
        <v>540</v>
      </c>
      <c r="C340" s="2" t="s">
        <v>407</v>
      </c>
      <c r="D340" s="2" t="s">
        <v>412</v>
      </c>
      <c r="E340" s="2" t="s">
        <v>414</v>
      </c>
      <c r="F340" s="2" t="s">
        <v>40</v>
      </c>
      <c r="J340" s="2" t="s">
        <v>541</v>
      </c>
      <c r="K340" s="2" t="s">
        <v>542</v>
      </c>
      <c r="L340" s="2">
        <v>6</v>
      </c>
      <c r="M340" s="2" t="s">
        <v>548</v>
      </c>
      <c r="O340" s="2" t="s">
        <v>524</v>
      </c>
      <c r="Y340" s="2" t="s">
        <v>583</v>
      </c>
    </row>
    <row r="341" spans="1:34" x14ac:dyDescent="0.25">
      <c r="A341" s="2" t="s">
        <v>308</v>
      </c>
      <c r="B341" s="2" t="s">
        <v>540</v>
      </c>
      <c r="C341" s="2" t="s">
        <v>407</v>
      </c>
      <c r="D341" s="2" t="s">
        <v>412</v>
      </c>
      <c r="E341" s="2" t="s">
        <v>414</v>
      </c>
      <c r="F341" s="2" t="s">
        <v>40</v>
      </c>
      <c r="J341" s="2" t="s">
        <v>541</v>
      </c>
      <c r="K341" s="2" t="s">
        <v>542</v>
      </c>
      <c r="L341" s="2">
        <v>7</v>
      </c>
      <c r="M341" s="2" t="s">
        <v>549</v>
      </c>
      <c r="O341" s="2" t="s">
        <v>524</v>
      </c>
      <c r="Y341" s="2" t="s">
        <v>583</v>
      </c>
    </row>
    <row r="342" spans="1:34" x14ac:dyDescent="0.25">
      <c r="A342" s="2" t="s">
        <v>308</v>
      </c>
      <c r="B342" s="2" t="s">
        <v>540</v>
      </c>
      <c r="C342" s="2" t="s">
        <v>407</v>
      </c>
      <c r="D342" s="2" t="s">
        <v>412</v>
      </c>
      <c r="E342" s="2" t="s">
        <v>414</v>
      </c>
      <c r="F342" s="2" t="s">
        <v>40</v>
      </c>
      <c r="J342" s="2" t="s">
        <v>541</v>
      </c>
      <c r="K342" s="2" t="s">
        <v>542</v>
      </c>
      <c r="L342" s="2">
        <v>8</v>
      </c>
      <c r="M342" s="2" t="s">
        <v>550</v>
      </c>
      <c r="O342" s="2" t="s">
        <v>524</v>
      </c>
      <c r="Y342" s="2" t="s">
        <v>583</v>
      </c>
    </row>
    <row r="343" spans="1:34" x14ac:dyDescent="0.25">
      <c r="A343" s="2" t="s">
        <v>308</v>
      </c>
      <c r="B343" s="2" t="s">
        <v>540</v>
      </c>
      <c r="C343" s="2" t="s">
        <v>407</v>
      </c>
      <c r="D343" s="2" t="s">
        <v>412</v>
      </c>
      <c r="E343" s="2" t="s">
        <v>414</v>
      </c>
      <c r="F343" s="2" t="s">
        <v>40</v>
      </c>
      <c r="J343" s="2" t="s">
        <v>541</v>
      </c>
      <c r="K343" s="2" t="s">
        <v>542</v>
      </c>
      <c r="L343" s="2">
        <v>9</v>
      </c>
      <c r="M343" s="2" t="s">
        <v>551</v>
      </c>
      <c r="O343" s="2" t="s">
        <v>524</v>
      </c>
      <c r="Y343" s="2" t="s">
        <v>583</v>
      </c>
    </row>
    <row r="344" spans="1:34" x14ac:dyDescent="0.25">
      <c r="A344" s="2" t="s">
        <v>308</v>
      </c>
      <c r="B344" s="2" t="s">
        <v>540</v>
      </c>
      <c r="C344" s="2" t="s">
        <v>407</v>
      </c>
      <c r="D344" s="2" t="s">
        <v>412</v>
      </c>
      <c r="E344" s="2" t="s">
        <v>414</v>
      </c>
      <c r="F344" s="2" t="s">
        <v>40</v>
      </c>
      <c r="J344" s="2" t="s">
        <v>541</v>
      </c>
      <c r="K344" s="2" t="s">
        <v>542</v>
      </c>
      <c r="L344" s="2">
        <v>10</v>
      </c>
      <c r="M344" s="2" t="s">
        <v>552</v>
      </c>
      <c r="O344" s="2" t="s">
        <v>524</v>
      </c>
      <c r="Y344" s="2" t="s">
        <v>583</v>
      </c>
    </row>
    <row r="345" spans="1:34" x14ac:dyDescent="0.25">
      <c r="A345" s="2" t="s">
        <v>308</v>
      </c>
      <c r="B345" s="2" t="s">
        <v>540</v>
      </c>
      <c r="C345" s="2" t="s">
        <v>407</v>
      </c>
      <c r="D345" s="2" t="s">
        <v>412</v>
      </c>
      <c r="E345" s="2" t="s">
        <v>414</v>
      </c>
      <c r="F345" s="2" t="s">
        <v>40</v>
      </c>
      <c r="J345" s="2" t="s">
        <v>541</v>
      </c>
      <c r="K345" s="2" t="s">
        <v>542</v>
      </c>
      <c r="L345" s="2">
        <v>11</v>
      </c>
      <c r="M345" s="2" t="s">
        <v>553</v>
      </c>
      <c r="O345" s="2" t="s">
        <v>524</v>
      </c>
      <c r="Y345" s="2" t="s">
        <v>583</v>
      </c>
    </row>
    <row r="346" spans="1:34" x14ac:dyDescent="0.25">
      <c r="A346" s="2" t="s">
        <v>308</v>
      </c>
      <c r="B346" s="2" t="s">
        <v>540</v>
      </c>
      <c r="C346" s="2" t="s">
        <v>407</v>
      </c>
      <c r="D346" s="2" t="s">
        <v>412</v>
      </c>
      <c r="E346" s="2" t="s">
        <v>414</v>
      </c>
      <c r="F346" s="2" t="s">
        <v>40</v>
      </c>
      <c r="J346" s="2" t="s">
        <v>541</v>
      </c>
      <c r="K346" s="2" t="s">
        <v>542</v>
      </c>
      <c r="L346" s="2">
        <v>12</v>
      </c>
      <c r="M346" s="2" t="s">
        <v>554</v>
      </c>
      <c r="O346" s="2" t="s">
        <v>524</v>
      </c>
      <c r="Y346" s="2" t="s">
        <v>583</v>
      </c>
    </row>
    <row r="347" spans="1:34" x14ac:dyDescent="0.25">
      <c r="A347" s="2" t="s">
        <v>308</v>
      </c>
      <c r="B347" s="2" t="s">
        <v>555</v>
      </c>
      <c r="C347" s="2" t="s">
        <v>407</v>
      </c>
      <c r="D347" s="2" t="s">
        <v>412</v>
      </c>
      <c r="E347" s="2" t="s">
        <v>414</v>
      </c>
      <c r="F347" s="2" t="s">
        <v>40</v>
      </c>
      <c r="J347" s="2" t="s">
        <v>556</v>
      </c>
      <c r="O347" s="2" t="s">
        <v>524</v>
      </c>
      <c r="Y347" s="2" t="s">
        <v>583</v>
      </c>
      <c r="AB347" s="2">
        <v>2</v>
      </c>
    </row>
    <row r="348" spans="1:34" x14ac:dyDescent="0.25">
      <c r="A348" s="2" t="s">
        <v>308</v>
      </c>
      <c r="B348" s="2" t="s">
        <v>557</v>
      </c>
      <c r="C348" s="2" t="s">
        <v>407</v>
      </c>
      <c r="D348" s="2" t="s">
        <v>412</v>
      </c>
      <c r="E348" s="2" t="s">
        <v>414</v>
      </c>
      <c r="F348" s="2" t="s">
        <v>40</v>
      </c>
      <c r="J348" s="2" t="s">
        <v>558</v>
      </c>
      <c r="O348" s="2" t="s">
        <v>524</v>
      </c>
      <c r="Y348" s="2" t="s">
        <v>583</v>
      </c>
      <c r="AC348" s="2">
        <f>COUNTIFS($B:$B,"BLOCK_LOAD_Q",$A:$A,$A348,$C:$C,$C348,$E:$E,$E348,$F:$F,$F348,$N:$N, "&lt;&gt;")</f>
        <v>0</v>
      </c>
      <c r="AD348" s="2">
        <f>COUNTIFS($B:$B,"BLOCK_TRUST_Q",$A:$A,$A348,$C:$C,$C348,$E:$E,$E348,$F:$F,$F348,$N:$N, "&lt;&gt;")</f>
        <v>0</v>
      </c>
      <c r="AE348" s="2" t="str">
        <f>IFERROR(AVERAGEIFS($P:$P,$B:$B,"BLOCK_LOAD_Q",$A:$A,$A348,$C:$C,$C348,$E:$E,$E348,$F:$F,$F348,$P:$P,"&gt;0"),"")</f>
        <v/>
      </c>
      <c r="AF348" s="2" t="str">
        <f>IFERROR(AVERAGEIFS($P:$P,$B:$B,"BLOCK_TRUST_Q",$A:$A,$A348,$C:$C,$C348,$E:$E,$E348,$F:$F,$F348,$P:$P,"&gt;0"),"")</f>
        <v/>
      </c>
      <c r="AG348" s="2">
        <f>5-AC348</f>
        <v>5</v>
      </c>
      <c r="AH348" s="2">
        <f>12-AD348</f>
        <v>12</v>
      </c>
    </row>
    <row r="349" spans="1:34" x14ac:dyDescent="0.25">
      <c r="A349" s="2" t="s">
        <v>308</v>
      </c>
      <c r="B349" s="2" t="s">
        <v>403</v>
      </c>
      <c r="C349" s="2" t="s">
        <v>407</v>
      </c>
      <c r="D349" s="2" t="s">
        <v>412</v>
      </c>
      <c r="Z349" s="2" t="s">
        <v>426</v>
      </c>
    </row>
    <row r="350" spans="1:34" x14ac:dyDescent="0.25">
      <c r="A350" s="2" t="s">
        <v>308</v>
      </c>
      <c r="B350" s="2" t="s">
        <v>402</v>
      </c>
      <c r="C350" s="2" t="s">
        <v>408</v>
      </c>
      <c r="D350" s="2" t="s">
        <v>410</v>
      </c>
      <c r="E350" s="2" t="s">
        <v>413</v>
      </c>
      <c r="F350" s="2" t="s">
        <v>39</v>
      </c>
      <c r="G350" s="2" t="s">
        <v>415</v>
      </c>
      <c r="H350" s="2" t="s">
        <v>373</v>
      </c>
      <c r="S350" s="2" t="s">
        <v>60</v>
      </c>
      <c r="U350" s="2" t="s">
        <v>60</v>
      </c>
      <c r="W350" s="2" t="s">
        <v>60</v>
      </c>
    </row>
    <row r="351" spans="1:34" x14ac:dyDescent="0.25">
      <c r="A351" s="2" t="s">
        <v>308</v>
      </c>
      <c r="B351" s="2" t="s">
        <v>402</v>
      </c>
      <c r="C351" s="2" t="s">
        <v>408</v>
      </c>
      <c r="D351" s="2" t="s">
        <v>410</v>
      </c>
      <c r="E351" s="2" t="s">
        <v>413</v>
      </c>
      <c r="F351" s="2" t="s">
        <v>39</v>
      </c>
      <c r="G351" s="2" t="s">
        <v>416</v>
      </c>
      <c r="H351" s="2" t="s">
        <v>528</v>
      </c>
      <c r="S351" s="2" t="s">
        <v>60</v>
      </c>
      <c r="U351" s="2" t="s">
        <v>59</v>
      </c>
      <c r="W351" s="2" t="s">
        <v>59</v>
      </c>
    </row>
    <row r="352" spans="1:34" x14ac:dyDescent="0.25">
      <c r="A352" s="2" t="s">
        <v>308</v>
      </c>
      <c r="B352" s="2" t="s">
        <v>402</v>
      </c>
      <c r="C352" s="2" t="s">
        <v>408</v>
      </c>
      <c r="D352" s="2" t="s">
        <v>410</v>
      </c>
      <c r="E352" s="2" t="s">
        <v>413</v>
      </c>
      <c r="F352" s="2" t="s">
        <v>39</v>
      </c>
      <c r="G352" s="2" t="s">
        <v>417</v>
      </c>
      <c r="H352" s="2" t="s">
        <v>529</v>
      </c>
      <c r="S352" s="2" t="s">
        <v>57</v>
      </c>
      <c r="U352" s="2" t="s">
        <v>59</v>
      </c>
      <c r="W352" s="2" t="s">
        <v>60</v>
      </c>
    </row>
    <row r="353" spans="1:25" x14ac:dyDescent="0.25">
      <c r="A353" s="2" t="s">
        <v>308</v>
      </c>
      <c r="B353" s="2" t="s">
        <v>402</v>
      </c>
      <c r="C353" s="2" t="s">
        <v>408</v>
      </c>
      <c r="D353" s="2" t="s">
        <v>410</v>
      </c>
      <c r="E353" s="2" t="s">
        <v>413</v>
      </c>
      <c r="F353" s="2" t="s">
        <v>39</v>
      </c>
      <c r="G353" s="2" t="s">
        <v>418</v>
      </c>
      <c r="H353" s="2" t="s">
        <v>347</v>
      </c>
      <c r="S353" s="2" t="s">
        <v>60</v>
      </c>
      <c r="U353" s="2" t="s">
        <v>57</v>
      </c>
      <c r="W353" s="2" t="s">
        <v>59</v>
      </c>
    </row>
    <row r="354" spans="1:25" x14ac:dyDescent="0.25">
      <c r="A354" s="2" t="s">
        <v>308</v>
      </c>
      <c r="B354" s="2" t="s">
        <v>402</v>
      </c>
      <c r="C354" s="2" t="s">
        <v>408</v>
      </c>
      <c r="D354" s="2" t="s">
        <v>410</v>
      </c>
      <c r="E354" s="2" t="s">
        <v>413</v>
      </c>
      <c r="F354" s="2" t="s">
        <v>39</v>
      </c>
      <c r="G354" s="2" t="s">
        <v>419</v>
      </c>
      <c r="H354" s="2" t="s">
        <v>530</v>
      </c>
      <c r="S354" s="2" t="s">
        <v>57</v>
      </c>
      <c r="U354" s="2" t="s">
        <v>60</v>
      </c>
      <c r="W354" s="2" t="s">
        <v>58</v>
      </c>
    </row>
    <row r="355" spans="1:25" x14ac:dyDescent="0.25">
      <c r="A355" s="2" t="s">
        <v>308</v>
      </c>
      <c r="B355" s="2" t="s">
        <v>531</v>
      </c>
      <c r="C355" s="2" t="s">
        <v>408</v>
      </c>
      <c r="D355" s="2" t="s">
        <v>410</v>
      </c>
      <c r="E355" s="2" t="s">
        <v>413</v>
      </c>
      <c r="F355" s="2" t="s">
        <v>39</v>
      </c>
      <c r="J355" s="2" t="s">
        <v>532</v>
      </c>
      <c r="K355" s="2" t="s">
        <v>533</v>
      </c>
      <c r="L355" s="2">
        <v>1</v>
      </c>
      <c r="M355" s="2" t="s">
        <v>534</v>
      </c>
      <c r="O355" s="2" t="s">
        <v>524</v>
      </c>
      <c r="Y355" s="2" t="s">
        <v>584</v>
      </c>
    </row>
    <row r="356" spans="1:25" x14ac:dyDescent="0.25">
      <c r="A356" s="2" t="s">
        <v>308</v>
      </c>
      <c r="B356" s="2" t="s">
        <v>531</v>
      </c>
      <c r="C356" s="2" t="s">
        <v>408</v>
      </c>
      <c r="D356" s="2" t="s">
        <v>410</v>
      </c>
      <c r="E356" s="2" t="s">
        <v>413</v>
      </c>
      <c r="F356" s="2" t="s">
        <v>39</v>
      </c>
      <c r="J356" s="2" t="s">
        <v>532</v>
      </c>
      <c r="K356" s="2" t="s">
        <v>533</v>
      </c>
      <c r="L356" s="2">
        <v>2</v>
      </c>
      <c r="M356" s="2" t="s">
        <v>536</v>
      </c>
      <c r="O356" s="2" t="s">
        <v>524</v>
      </c>
      <c r="Y356" s="2" t="s">
        <v>584</v>
      </c>
    </row>
    <row r="357" spans="1:25" x14ac:dyDescent="0.25">
      <c r="A357" s="2" t="s">
        <v>308</v>
      </c>
      <c r="B357" s="2" t="s">
        <v>531</v>
      </c>
      <c r="C357" s="2" t="s">
        <v>408</v>
      </c>
      <c r="D357" s="2" t="s">
        <v>410</v>
      </c>
      <c r="E357" s="2" t="s">
        <v>413</v>
      </c>
      <c r="F357" s="2" t="s">
        <v>39</v>
      </c>
      <c r="J357" s="2" t="s">
        <v>532</v>
      </c>
      <c r="K357" s="2" t="s">
        <v>533</v>
      </c>
      <c r="L357" s="2">
        <v>3</v>
      </c>
      <c r="M357" s="2" t="s">
        <v>537</v>
      </c>
      <c r="O357" s="2" t="s">
        <v>524</v>
      </c>
      <c r="Y357" s="2" t="s">
        <v>584</v>
      </c>
    </row>
    <row r="358" spans="1:25" x14ac:dyDescent="0.25">
      <c r="A358" s="2" t="s">
        <v>308</v>
      </c>
      <c r="B358" s="2" t="s">
        <v>531</v>
      </c>
      <c r="C358" s="2" t="s">
        <v>408</v>
      </c>
      <c r="D358" s="2" t="s">
        <v>410</v>
      </c>
      <c r="E358" s="2" t="s">
        <v>413</v>
      </c>
      <c r="F358" s="2" t="s">
        <v>39</v>
      </c>
      <c r="J358" s="2" t="s">
        <v>532</v>
      </c>
      <c r="K358" s="2" t="s">
        <v>533</v>
      </c>
      <c r="L358" s="2">
        <v>4</v>
      </c>
      <c r="M358" s="2" t="s">
        <v>538</v>
      </c>
      <c r="O358" s="2" t="s">
        <v>524</v>
      </c>
      <c r="Y358" s="2" t="s">
        <v>584</v>
      </c>
    </row>
    <row r="359" spans="1:25" x14ac:dyDescent="0.25">
      <c r="A359" s="2" t="s">
        <v>308</v>
      </c>
      <c r="B359" s="2" t="s">
        <v>531</v>
      </c>
      <c r="C359" s="2" t="s">
        <v>408</v>
      </c>
      <c r="D359" s="2" t="s">
        <v>410</v>
      </c>
      <c r="E359" s="2" t="s">
        <v>413</v>
      </c>
      <c r="F359" s="2" t="s">
        <v>39</v>
      </c>
      <c r="J359" s="2" t="s">
        <v>532</v>
      </c>
      <c r="K359" s="2" t="s">
        <v>533</v>
      </c>
      <c r="L359" s="2">
        <v>5</v>
      </c>
      <c r="M359" s="2" t="s">
        <v>539</v>
      </c>
      <c r="O359" s="2" t="s">
        <v>524</v>
      </c>
      <c r="Y359" s="2" t="s">
        <v>584</v>
      </c>
    </row>
    <row r="360" spans="1:25" x14ac:dyDescent="0.25">
      <c r="A360" s="2" t="s">
        <v>308</v>
      </c>
      <c r="B360" s="2" t="s">
        <v>540</v>
      </c>
      <c r="C360" s="2" t="s">
        <v>408</v>
      </c>
      <c r="D360" s="2" t="s">
        <v>410</v>
      </c>
      <c r="E360" s="2" t="s">
        <v>413</v>
      </c>
      <c r="F360" s="2" t="s">
        <v>39</v>
      </c>
      <c r="J360" s="2" t="s">
        <v>541</v>
      </c>
      <c r="K360" s="2" t="s">
        <v>542</v>
      </c>
      <c r="L360" s="2">
        <v>1</v>
      </c>
      <c r="M360" s="2" t="s">
        <v>543</v>
      </c>
      <c r="O360" s="2" t="s">
        <v>524</v>
      </c>
      <c r="Y360" s="2" t="s">
        <v>584</v>
      </c>
    </row>
    <row r="361" spans="1:25" x14ac:dyDescent="0.25">
      <c r="A361" s="2" t="s">
        <v>308</v>
      </c>
      <c r="B361" s="2" t="s">
        <v>540</v>
      </c>
      <c r="C361" s="2" t="s">
        <v>408</v>
      </c>
      <c r="D361" s="2" t="s">
        <v>410</v>
      </c>
      <c r="E361" s="2" t="s">
        <v>413</v>
      </c>
      <c r="F361" s="2" t="s">
        <v>39</v>
      </c>
      <c r="J361" s="2" t="s">
        <v>541</v>
      </c>
      <c r="K361" s="2" t="s">
        <v>542</v>
      </c>
      <c r="L361" s="2">
        <v>2</v>
      </c>
      <c r="M361" s="2" t="s">
        <v>544</v>
      </c>
      <c r="O361" s="2" t="s">
        <v>524</v>
      </c>
      <c r="Y361" s="2" t="s">
        <v>584</v>
      </c>
    </row>
    <row r="362" spans="1:25" x14ac:dyDescent="0.25">
      <c r="A362" s="2" t="s">
        <v>308</v>
      </c>
      <c r="B362" s="2" t="s">
        <v>540</v>
      </c>
      <c r="C362" s="2" t="s">
        <v>408</v>
      </c>
      <c r="D362" s="2" t="s">
        <v>410</v>
      </c>
      <c r="E362" s="2" t="s">
        <v>413</v>
      </c>
      <c r="F362" s="2" t="s">
        <v>39</v>
      </c>
      <c r="J362" s="2" t="s">
        <v>541</v>
      </c>
      <c r="K362" s="2" t="s">
        <v>542</v>
      </c>
      <c r="L362" s="2">
        <v>3</v>
      </c>
      <c r="M362" s="2" t="s">
        <v>545</v>
      </c>
      <c r="O362" s="2" t="s">
        <v>524</v>
      </c>
      <c r="Y362" s="2" t="s">
        <v>584</v>
      </c>
    </row>
    <row r="363" spans="1:25" x14ac:dyDescent="0.25">
      <c r="A363" s="2" t="s">
        <v>308</v>
      </c>
      <c r="B363" s="2" t="s">
        <v>540</v>
      </c>
      <c r="C363" s="2" t="s">
        <v>408</v>
      </c>
      <c r="D363" s="2" t="s">
        <v>410</v>
      </c>
      <c r="E363" s="2" t="s">
        <v>413</v>
      </c>
      <c r="F363" s="2" t="s">
        <v>39</v>
      </c>
      <c r="J363" s="2" t="s">
        <v>541</v>
      </c>
      <c r="K363" s="2" t="s">
        <v>542</v>
      </c>
      <c r="L363" s="2">
        <v>4</v>
      </c>
      <c r="M363" s="2" t="s">
        <v>546</v>
      </c>
      <c r="O363" s="2" t="s">
        <v>524</v>
      </c>
      <c r="Y363" s="2" t="s">
        <v>584</v>
      </c>
    </row>
    <row r="364" spans="1:25" x14ac:dyDescent="0.25">
      <c r="A364" s="2" t="s">
        <v>308</v>
      </c>
      <c r="B364" s="2" t="s">
        <v>540</v>
      </c>
      <c r="C364" s="2" t="s">
        <v>408</v>
      </c>
      <c r="D364" s="2" t="s">
        <v>410</v>
      </c>
      <c r="E364" s="2" t="s">
        <v>413</v>
      </c>
      <c r="F364" s="2" t="s">
        <v>39</v>
      </c>
      <c r="J364" s="2" t="s">
        <v>541</v>
      </c>
      <c r="K364" s="2" t="s">
        <v>542</v>
      </c>
      <c r="L364" s="2">
        <v>5</v>
      </c>
      <c r="M364" s="2" t="s">
        <v>547</v>
      </c>
      <c r="O364" s="2" t="s">
        <v>524</v>
      </c>
      <c r="Y364" s="2" t="s">
        <v>584</v>
      </c>
    </row>
    <row r="365" spans="1:25" x14ac:dyDescent="0.25">
      <c r="A365" s="2" t="s">
        <v>308</v>
      </c>
      <c r="B365" s="2" t="s">
        <v>540</v>
      </c>
      <c r="C365" s="2" t="s">
        <v>408</v>
      </c>
      <c r="D365" s="2" t="s">
        <v>410</v>
      </c>
      <c r="E365" s="2" t="s">
        <v>413</v>
      </c>
      <c r="F365" s="2" t="s">
        <v>39</v>
      </c>
      <c r="J365" s="2" t="s">
        <v>541</v>
      </c>
      <c r="K365" s="2" t="s">
        <v>542</v>
      </c>
      <c r="L365" s="2">
        <v>6</v>
      </c>
      <c r="M365" s="2" t="s">
        <v>548</v>
      </c>
      <c r="O365" s="2" t="s">
        <v>524</v>
      </c>
      <c r="Y365" s="2" t="s">
        <v>584</v>
      </c>
    </row>
    <row r="366" spans="1:25" x14ac:dyDescent="0.25">
      <c r="A366" s="2" t="s">
        <v>308</v>
      </c>
      <c r="B366" s="2" t="s">
        <v>540</v>
      </c>
      <c r="C366" s="2" t="s">
        <v>408</v>
      </c>
      <c r="D366" s="2" t="s">
        <v>410</v>
      </c>
      <c r="E366" s="2" t="s">
        <v>413</v>
      </c>
      <c r="F366" s="2" t="s">
        <v>39</v>
      </c>
      <c r="J366" s="2" t="s">
        <v>541</v>
      </c>
      <c r="K366" s="2" t="s">
        <v>542</v>
      </c>
      <c r="L366" s="2">
        <v>7</v>
      </c>
      <c r="M366" s="2" t="s">
        <v>549</v>
      </c>
      <c r="O366" s="2" t="s">
        <v>524</v>
      </c>
      <c r="Y366" s="2" t="s">
        <v>584</v>
      </c>
    </row>
    <row r="367" spans="1:25" x14ac:dyDescent="0.25">
      <c r="A367" s="2" t="s">
        <v>308</v>
      </c>
      <c r="B367" s="2" t="s">
        <v>540</v>
      </c>
      <c r="C367" s="2" t="s">
        <v>408</v>
      </c>
      <c r="D367" s="2" t="s">
        <v>410</v>
      </c>
      <c r="E367" s="2" t="s">
        <v>413</v>
      </c>
      <c r="F367" s="2" t="s">
        <v>39</v>
      </c>
      <c r="J367" s="2" t="s">
        <v>541</v>
      </c>
      <c r="K367" s="2" t="s">
        <v>542</v>
      </c>
      <c r="L367" s="2">
        <v>8</v>
      </c>
      <c r="M367" s="2" t="s">
        <v>550</v>
      </c>
      <c r="O367" s="2" t="s">
        <v>524</v>
      </c>
      <c r="Y367" s="2" t="s">
        <v>584</v>
      </c>
    </row>
    <row r="368" spans="1:25" x14ac:dyDescent="0.25">
      <c r="A368" s="2" t="s">
        <v>308</v>
      </c>
      <c r="B368" s="2" t="s">
        <v>540</v>
      </c>
      <c r="C368" s="2" t="s">
        <v>408</v>
      </c>
      <c r="D368" s="2" t="s">
        <v>410</v>
      </c>
      <c r="E368" s="2" t="s">
        <v>413</v>
      </c>
      <c r="F368" s="2" t="s">
        <v>39</v>
      </c>
      <c r="J368" s="2" t="s">
        <v>541</v>
      </c>
      <c r="K368" s="2" t="s">
        <v>542</v>
      </c>
      <c r="L368" s="2">
        <v>9</v>
      </c>
      <c r="M368" s="2" t="s">
        <v>551</v>
      </c>
      <c r="O368" s="2" t="s">
        <v>524</v>
      </c>
      <c r="Y368" s="2" t="s">
        <v>584</v>
      </c>
    </row>
    <row r="369" spans="1:34" x14ac:dyDescent="0.25">
      <c r="A369" s="2" t="s">
        <v>308</v>
      </c>
      <c r="B369" s="2" t="s">
        <v>540</v>
      </c>
      <c r="C369" s="2" t="s">
        <v>408</v>
      </c>
      <c r="D369" s="2" t="s">
        <v>410</v>
      </c>
      <c r="E369" s="2" t="s">
        <v>413</v>
      </c>
      <c r="F369" s="2" t="s">
        <v>39</v>
      </c>
      <c r="J369" s="2" t="s">
        <v>541</v>
      </c>
      <c r="K369" s="2" t="s">
        <v>542</v>
      </c>
      <c r="L369" s="2">
        <v>10</v>
      </c>
      <c r="M369" s="2" t="s">
        <v>552</v>
      </c>
      <c r="O369" s="2" t="s">
        <v>524</v>
      </c>
      <c r="Y369" s="2" t="s">
        <v>584</v>
      </c>
    </row>
    <row r="370" spans="1:34" x14ac:dyDescent="0.25">
      <c r="A370" s="2" t="s">
        <v>308</v>
      </c>
      <c r="B370" s="2" t="s">
        <v>540</v>
      </c>
      <c r="C370" s="2" t="s">
        <v>408</v>
      </c>
      <c r="D370" s="2" t="s">
        <v>410</v>
      </c>
      <c r="E370" s="2" t="s">
        <v>413</v>
      </c>
      <c r="F370" s="2" t="s">
        <v>39</v>
      </c>
      <c r="J370" s="2" t="s">
        <v>541</v>
      </c>
      <c r="K370" s="2" t="s">
        <v>542</v>
      </c>
      <c r="L370" s="2">
        <v>11</v>
      </c>
      <c r="M370" s="2" t="s">
        <v>553</v>
      </c>
      <c r="O370" s="2" t="s">
        <v>524</v>
      </c>
      <c r="Y370" s="2" t="s">
        <v>584</v>
      </c>
    </row>
    <row r="371" spans="1:34" x14ac:dyDescent="0.25">
      <c r="A371" s="2" t="s">
        <v>308</v>
      </c>
      <c r="B371" s="2" t="s">
        <v>540</v>
      </c>
      <c r="C371" s="2" t="s">
        <v>408</v>
      </c>
      <c r="D371" s="2" t="s">
        <v>410</v>
      </c>
      <c r="E371" s="2" t="s">
        <v>413</v>
      </c>
      <c r="F371" s="2" t="s">
        <v>39</v>
      </c>
      <c r="J371" s="2" t="s">
        <v>541</v>
      </c>
      <c r="K371" s="2" t="s">
        <v>542</v>
      </c>
      <c r="L371" s="2">
        <v>12</v>
      </c>
      <c r="M371" s="2" t="s">
        <v>554</v>
      </c>
      <c r="O371" s="2" t="s">
        <v>524</v>
      </c>
      <c r="Y371" s="2" t="s">
        <v>584</v>
      </c>
    </row>
    <row r="372" spans="1:34" x14ac:dyDescent="0.25">
      <c r="A372" s="2" t="s">
        <v>308</v>
      </c>
      <c r="B372" s="2" t="s">
        <v>555</v>
      </c>
      <c r="C372" s="2" t="s">
        <v>408</v>
      </c>
      <c r="D372" s="2" t="s">
        <v>410</v>
      </c>
      <c r="E372" s="2" t="s">
        <v>413</v>
      </c>
      <c r="F372" s="2" t="s">
        <v>39</v>
      </c>
      <c r="J372" s="2" t="s">
        <v>556</v>
      </c>
      <c r="O372" s="2" t="s">
        <v>524</v>
      </c>
      <c r="Y372" s="2" t="s">
        <v>584</v>
      </c>
      <c r="AB372" s="2">
        <v>1</v>
      </c>
    </row>
    <row r="373" spans="1:34" x14ac:dyDescent="0.25">
      <c r="A373" s="2" t="s">
        <v>308</v>
      </c>
      <c r="B373" s="2" t="s">
        <v>557</v>
      </c>
      <c r="C373" s="2" t="s">
        <v>408</v>
      </c>
      <c r="D373" s="2" t="s">
        <v>410</v>
      </c>
      <c r="E373" s="2" t="s">
        <v>413</v>
      </c>
      <c r="F373" s="2" t="s">
        <v>39</v>
      </c>
      <c r="J373" s="2" t="s">
        <v>558</v>
      </c>
      <c r="O373" s="2" t="s">
        <v>524</v>
      </c>
      <c r="Y373" s="2" t="s">
        <v>584</v>
      </c>
      <c r="AC373" s="2">
        <f>COUNTIFS($B:$B,"BLOCK_LOAD_Q",$A:$A,$A373,$C:$C,$C373,$E:$E,$E373,$F:$F,$F373,$N:$N, "&lt;&gt;")</f>
        <v>0</v>
      </c>
      <c r="AD373" s="2">
        <f>COUNTIFS($B:$B,"BLOCK_TRUST_Q",$A:$A,$A373,$C:$C,$C373,$E:$E,$E373,$F:$F,$F373,$N:$N, "&lt;&gt;")</f>
        <v>0</v>
      </c>
      <c r="AE373" s="2" t="str">
        <f>IFERROR(AVERAGEIFS($P:$P,$B:$B,"BLOCK_LOAD_Q",$A:$A,$A373,$C:$C,$C373,$E:$E,$E373,$F:$F,$F373,$P:$P,"&gt;0"),"")</f>
        <v/>
      </c>
      <c r="AF373" s="2" t="str">
        <f>IFERROR(AVERAGEIFS($P:$P,$B:$B,"BLOCK_TRUST_Q",$A:$A,$A373,$C:$C,$C373,$E:$E,$E373,$F:$F,$F373,$P:$P,"&gt;0"),"")</f>
        <v/>
      </c>
      <c r="AG373" s="2">
        <f>5-AC373</f>
        <v>5</v>
      </c>
      <c r="AH373" s="2">
        <f>12-AD373</f>
        <v>12</v>
      </c>
    </row>
    <row r="374" spans="1:34" x14ac:dyDescent="0.25">
      <c r="A374" s="2" t="s">
        <v>308</v>
      </c>
      <c r="B374" s="2" t="s">
        <v>402</v>
      </c>
      <c r="C374" s="2" t="s">
        <v>408</v>
      </c>
      <c r="D374" s="2" t="s">
        <v>410</v>
      </c>
      <c r="E374" s="2" t="s">
        <v>414</v>
      </c>
      <c r="F374" s="2" t="s">
        <v>40</v>
      </c>
      <c r="G374" s="2" t="s">
        <v>415</v>
      </c>
      <c r="H374" s="2" t="s">
        <v>354</v>
      </c>
      <c r="S374" s="2" t="s">
        <v>59</v>
      </c>
      <c r="U374" s="2" t="s">
        <v>59</v>
      </c>
      <c r="W374" s="2" t="s">
        <v>58</v>
      </c>
    </row>
    <row r="375" spans="1:34" x14ac:dyDescent="0.25">
      <c r="A375" s="2" t="s">
        <v>308</v>
      </c>
      <c r="B375" s="2" t="s">
        <v>402</v>
      </c>
      <c r="C375" s="2" t="s">
        <v>408</v>
      </c>
      <c r="D375" s="2" t="s">
        <v>410</v>
      </c>
      <c r="E375" s="2" t="s">
        <v>414</v>
      </c>
      <c r="F375" s="2" t="s">
        <v>40</v>
      </c>
      <c r="G375" s="2" t="s">
        <v>416</v>
      </c>
      <c r="H375" s="2" t="s">
        <v>559</v>
      </c>
      <c r="S375" s="2" t="s">
        <v>57</v>
      </c>
      <c r="U375" s="2" t="s">
        <v>57</v>
      </c>
      <c r="W375" s="2" t="s">
        <v>58</v>
      </c>
    </row>
    <row r="376" spans="1:34" x14ac:dyDescent="0.25">
      <c r="A376" s="2" t="s">
        <v>308</v>
      </c>
      <c r="B376" s="2" t="s">
        <v>402</v>
      </c>
      <c r="C376" s="2" t="s">
        <v>408</v>
      </c>
      <c r="D376" s="2" t="s">
        <v>410</v>
      </c>
      <c r="E376" s="2" t="s">
        <v>414</v>
      </c>
      <c r="F376" s="2" t="s">
        <v>40</v>
      </c>
      <c r="G376" s="2" t="s">
        <v>417</v>
      </c>
      <c r="H376" s="2" t="s">
        <v>370</v>
      </c>
      <c r="S376" s="2" t="s">
        <v>60</v>
      </c>
      <c r="U376" s="2" t="s">
        <v>58</v>
      </c>
      <c r="W376" s="2" t="s">
        <v>59</v>
      </c>
    </row>
    <row r="377" spans="1:34" x14ac:dyDescent="0.25">
      <c r="A377" s="2" t="s">
        <v>308</v>
      </c>
      <c r="B377" s="2" t="s">
        <v>402</v>
      </c>
      <c r="C377" s="2" t="s">
        <v>408</v>
      </c>
      <c r="D377" s="2" t="s">
        <v>410</v>
      </c>
      <c r="E377" s="2" t="s">
        <v>414</v>
      </c>
      <c r="F377" s="2" t="s">
        <v>40</v>
      </c>
      <c r="G377" s="2" t="s">
        <v>418</v>
      </c>
      <c r="H377" s="2" t="s">
        <v>560</v>
      </c>
      <c r="S377" s="2" t="s">
        <v>57</v>
      </c>
      <c r="U377" s="2" t="s">
        <v>58</v>
      </c>
      <c r="W377" s="2" t="s">
        <v>60</v>
      </c>
    </row>
    <row r="378" spans="1:34" x14ac:dyDescent="0.25">
      <c r="A378" s="2" t="s">
        <v>308</v>
      </c>
      <c r="B378" s="2" t="s">
        <v>531</v>
      </c>
      <c r="C378" s="2" t="s">
        <v>408</v>
      </c>
      <c r="D378" s="2" t="s">
        <v>410</v>
      </c>
      <c r="E378" s="2" t="s">
        <v>414</v>
      </c>
      <c r="F378" s="2" t="s">
        <v>40</v>
      </c>
      <c r="J378" s="2" t="s">
        <v>532</v>
      </c>
      <c r="K378" s="2" t="s">
        <v>533</v>
      </c>
      <c r="L378" s="2">
        <v>1</v>
      </c>
      <c r="M378" s="2" t="s">
        <v>534</v>
      </c>
      <c r="O378" s="2" t="s">
        <v>524</v>
      </c>
      <c r="Y378" s="2" t="s">
        <v>585</v>
      </c>
    </row>
    <row r="379" spans="1:34" x14ac:dyDescent="0.25">
      <c r="A379" s="2" t="s">
        <v>308</v>
      </c>
      <c r="B379" s="2" t="s">
        <v>531</v>
      </c>
      <c r="C379" s="2" t="s">
        <v>408</v>
      </c>
      <c r="D379" s="2" t="s">
        <v>410</v>
      </c>
      <c r="E379" s="2" t="s">
        <v>414</v>
      </c>
      <c r="F379" s="2" t="s">
        <v>40</v>
      </c>
      <c r="J379" s="2" t="s">
        <v>532</v>
      </c>
      <c r="K379" s="2" t="s">
        <v>533</v>
      </c>
      <c r="L379" s="2">
        <v>2</v>
      </c>
      <c r="M379" s="2" t="s">
        <v>536</v>
      </c>
      <c r="O379" s="2" t="s">
        <v>524</v>
      </c>
      <c r="Y379" s="2" t="s">
        <v>585</v>
      </c>
    </row>
    <row r="380" spans="1:34" x14ac:dyDescent="0.25">
      <c r="A380" s="2" t="s">
        <v>308</v>
      </c>
      <c r="B380" s="2" t="s">
        <v>531</v>
      </c>
      <c r="C380" s="2" t="s">
        <v>408</v>
      </c>
      <c r="D380" s="2" t="s">
        <v>410</v>
      </c>
      <c r="E380" s="2" t="s">
        <v>414</v>
      </c>
      <c r="F380" s="2" t="s">
        <v>40</v>
      </c>
      <c r="J380" s="2" t="s">
        <v>532</v>
      </c>
      <c r="K380" s="2" t="s">
        <v>533</v>
      </c>
      <c r="L380" s="2">
        <v>3</v>
      </c>
      <c r="M380" s="2" t="s">
        <v>537</v>
      </c>
      <c r="O380" s="2" t="s">
        <v>524</v>
      </c>
      <c r="Y380" s="2" t="s">
        <v>585</v>
      </c>
    </row>
    <row r="381" spans="1:34" x14ac:dyDescent="0.25">
      <c r="A381" s="2" t="s">
        <v>308</v>
      </c>
      <c r="B381" s="2" t="s">
        <v>531</v>
      </c>
      <c r="C381" s="2" t="s">
        <v>408</v>
      </c>
      <c r="D381" s="2" t="s">
        <v>410</v>
      </c>
      <c r="E381" s="2" t="s">
        <v>414</v>
      </c>
      <c r="F381" s="2" t="s">
        <v>40</v>
      </c>
      <c r="J381" s="2" t="s">
        <v>532</v>
      </c>
      <c r="K381" s="2" t="s">
        <v>533</v>
      </c>
      <c r="L381" s="2">
        <v>4</v>
      </c>
      <c r="M381" s="2" t="s">
        <v>538</v>
      </c>
      <c r="O381" s="2" t="s">
        <v>524</v>
      </c>
      <c r="Y381" s="2" t="s">
        <v>585</v>
      </c>
    </row>
    <row r="382" spans="1:34" x14ac:dyDescent="0.25">
      <c r="A382" s="2" t="s">
        <v>308</v>
      </c>
      <c r="B382" s="2" t="s">
        <v>531</v>
      </c>
      <c r="C382" s="2" t="s">
        <v>408</v>
      </c>
      <c r="D382" s="2" t="s">
        <v>410</v>
      </c>
      <c r="E382" s="2" t="s">
        <v>414</v>
      </c>
      <c r="F382" s="2" t="s">
        <v>40</v>
      </c>
      <c r="J382" s="2" t="s">
        <v>532</v>
      </c>
      <c r="K382" s="2" t="s">
        <v>533</v>
      </c>
      <c r="L382" s="2">
        <v>5</v>
      </c>
      <c r="M382" s="2" t="s">
        <v>539</v>
      </c>
      <c r="O382" s="2" t="s">
        <v>524</v>
      </c>
      <c r="Y382" s="2" t="s">
        <v>585</v>
      </c>
    </row>
    <row r="383" spans="1:34" x14ac:dyDescent="0.25">
      <c r="A383" s="2" t="s">
        <v>308</v>
      </c>
      <c r="B383" s="2" t="s">
        <v>540</v>
      </c>
      <c r="C383" s="2" t="s">
        <v>408</v>
      </c>
      <c r="D383" s="2" t="s">
        <v>410</v>
      </c>
      <c r="E383" s="2" t="s">
        <v>414</v>
      </c>
      <c r="F383" s="2" t="s">
        <v>40</v>
      </c>
      <c r="J383" s="2" t="s">
        <v>541</v>
      </c>
      <c r="K383" s="2" t="s">
        <v>542</v>
      </c>
      <c r="L383" s="2">
        <v>1</v>
      </c>
      <c r="M383" s="2" t="s">
        <v>543</v>
      </c>
      <c r="O383" s="2" t="s">
        <v>524</v>
      </c>
      <c r="Y383" s="2" t="s">
        <v>585</v>
      </c>
    </row>
    <row r="384" spans="1:34" x14ac:dyDescent="0.25">
      <c r="A384" s="2" t="s">
        <v>308</v>
      </c>
      <c r="B384" s="2" t="s">
        <v>540</v>
      </c>
      <c r="C384" s="2" t="s">
        <v>408</v>
      </c>
      <c r="D384" s="2" t="s">
        <v>410</v>
      </c>
      <c r="E384" s="2" t="s">
        <v>414</v>
      </c>
      <c r="F384" s="2" t="s">
        <v>40</v>
      </c>
      <c r="J384" s="2" t="s">
        <v>541</v>
      </c>
      <c r="K384" s="2" t="s">
        <v>542</v>
      </c>
      <c r="L384" s="2">
        <v>2</v>
      </c>
      <c r="M384" s="2" t="s">
        <v>544</v>
      </c>
      <c r="O384" s="2" t="s">
        <v>524</v>
      </c>
      <c r="Y384" s="2" t="s">
        <v>585</v>
      </c>
    </row>
    <row r="385" spans="1:34" x14ac:dyDescent="0.25">
      <c r="A385" s="2" t="s">
        <v>308</v>
      </c>
      <c r="B385" s="2" t="s">
        <v>540</v>
      </c>
      <c r="C385" s="2" t="s">
        <v>408</v>
      </c>
      <c r="D385" s="2" t="s">
        <v>410</v>
      </c>
      <c r="E385" s="2" t="s">
        <v>414</v>
      </c>
      <c r="F385" s="2" t="s">
        <v>40</v>
      </c>
      <c r="J385" s="2" t="s">
        <v>541</v>
      </c>
      <c r="K385" s="2" t="s">
        <v>542</v>
      </c>
      <c r="L385" s="2">
        <v>3</v>
      </c>
      <c r="M385" s="2" t="s">
        <v>545</v>
      </c>
      <c r="O385" s="2" t="s">
        <v>524</v>
      </c>
      <c r="Y385" s="2" t="s">
        <v>585</v>
      </c>
    </row>
    <row r="386" spans="1:34" x14ac:dyDescent="0.25">
      <c r="A386" s="2" t="s">
        <v>308</v>
      </c>
      <c r="B386" s="2" t="s">
        <v>540</v>
      </c>
      <c r="C386" s="2" t="s">
        <v>408</v>
      </c>
      <c r="D386" s="2" t="s">
        <v>410</v>
      </c>
      <c r="E386" s="2" t="s">
        <v>414</v>
      </c>
      <c r="F386" s="2" t="s">
        <v>40</v>
      </c>
      <c r="J386" s="2" t="s">
        <v>541</v>
      </c>
      <c r="K386" s="2" t="s">
        <v>542</v>
      </c>
      <c r="L386" s="2">
        <v>4</v>
      </c>
      <c r="M386" s="2" t="s">
        <v>546</v>
      </c>
      <c r="O386" s="2" t="s">
        <v>524</v>
      </c>
      <c r="Y386" s="2" t="s">
        <v>585</v>
      </c>
    </row>
    <row r="387" spans="1:34" x14ac:dyDescent="0.25">
      <c r="A387" s="2" t="s">
        <v>308</v>
      </c>
      <c r="B387" s="2" t="s">
        <v>540</v>
      </c>
      <c r="C387" s="2" t="s">
        <v>408</v>
      </c>
      <c r="D387" s="2" t="s">
        <v>410</v>
      </c>
      <c r="E387" s="2" t="s">
        <v>414</v>
      </c>
      <c r="F387" s="2" t="s">
        <v>40</v>
      </c>
      <c r="J387" s="2" t="s">
        <v>541</v>
      </c>
      <c r="K387" s="2" t="s">
        <v>542</v>
      </c>
      <c r="L387" s="2">
        <v>5</v>
      </c>
      <c r="M387" s="2" t="s">
        <v>547</v>
      </c>
      <c r="O387" s="2" t="s">
        <v>524</v>
      </c>
      <c r="Y387" s="2" t="s">
        <v>585</v>
      </c>
    </row>
    <row r="388" spans="1:34" x14ac:dyDescent="0.25">
      <c r="A388" s="2" t="s">
        <v>308</v>
      </c>
      <c r="B388" s="2" t="s">
        <v>540</v>
      </c>
      <c r="C388" s="2" t="s">
        <v>408</v>
      </c>
      <c r="D388" s="2" t="s">
        <v>410</v>
      </c>
      <c r="E388" s="2" t="s">
        <v>414</v>
      </c>
      <c r="F388" s="2" t="s">
        <v>40</v>
      </c>
      <c r="J388" s="2" t="s">
        <v>541</v>
      </c>
      <c r="K388" s="2" t="s">
        <v>542</v>
      </c>
      <c r="L388" s="2">
        <v>6</v>
      </c>
      <c r="M388" s="2" t="s">
        <v>548</v>
      </c>
      <c r="O388" s="2" t="s">
        <v>524</v>
      </c>
      <c r="Y388" s="2" t="s">
        <v>585</v>
      </c>
    </row>
    <row r="389" spans="1:34" x14ac:dyDescent="0.25">
      <c r="A389" s="2" t="s">
        <v>308</v>
      </c>
      <c r="B389" s="2" t="s">
        <v>540</v>
      </c>
      <c r="C389" s="2" t="s">
        <v>408</v>
      </c>
      <c r="D389" s="2" t="s">
        <v>410</v>
      </c>
      <c r="E389" s="2" t="s">
        <v>414</v>
      </c>
      <c r="F389" s="2" t="s">
        <v>40</v>
      </c>
      <c r="J389" s="2" t="s">
        <v>541</v>
      </c>
      <c r="K389" s="2" t="s">
        <v>542</v>
      </c>
      <c r="L389" s="2">
        <v>7</v>
      </c>
      <c r="M389" s="2" t="s">
        <v>549</v>
      </c>
      <c r="O389" s="2" t="s">
        <v>524</v>
      </c>
      <c r="Y389" s="2" t="s">
        <v>585</v>
      </c>
    </row>
    <row r="390" spans="1:34" x14ac:dyDescent="0.25">
      <c r="A390" s="2" t="s">
        <v>308</v>
      </c>
      <c r="B390" s="2" t="s">
        <v>540</v>
      </c>
      <c r="C390" s="2" t="s">
        <v>408</v>
      </c>
      <c r="D390" s="2" t="s">
        <v>410</v>
      </c>
      <c r="E390" s="2" t="s">
        <v>414</v>
      </c>
      <c r="F390" s="2" t="s">
        <v>40</v>
      </c>
      <c r="J390" s="2" t="s">
        <v>541</v>
      </c>
      <c r="K390" s="2" t="s">
        <v>542</v>
      </c>
      <c r="L390" s="2">
        <v>8</v>
      </c>
      <c r="M390" s="2" t="s">
        <v>550</v>
      </c>
      <c r="O390" s="2" t="s">
        <v>524</v>
      </c>
      <c r="Y390" s="2" t="s">
        <v>585</v>
      </c>
    </row>
    <row r="391" spans="1:34" x14ac:dyDescent="0.25">
      <c r="A391" s="2" t="s">
        <v>308</v>
      </c>
      <c r="B391" s="2" t="s">
        <v>540</v>
      </c>
      <c r="C391" s="2" t="s">
        <v>408</v>
      </c>
      <c r="D391" s="2" t="s">
        <v>410</v>
      </c>
      <c r="E391" s="2" t="s">
        <v>414</v>
      </c>
      <c r="F391" s="2" t="s">
        <v>40</v>
      </c>
      <c r="J391" s="2" t="s">
        <v>541</v>
      </c>
      <c r="K391" s="2" t="s">
        <v>542</v>
      </c>
      <c r="L391" s="2">
        <v>9</v>
      </c>
      <c r="M391" s="2" t="s">
        <v>551</v>
      </c>
      <c r="O391" s="2" t="s">
        <v>524</v>
      </c>
      <c r="Y391" s="2" t="s">
        <v>585</v>
      </c>
    </row>
    <row r="392" spans="1:34" x14ac:dyDescent="0.25">
      <c r="A392" s="2" t="s">
        <v>308</v>
      </c>
      <c r="B392" s="2" t="s">
        <v>540</v>
      </c>
      <c r="C392" s="2" t="s">
        <v>408</v>
      </c>
      <c r="D392" s="2" t="s">
        <v>410</v>
      </c>
      <c r="E392" s="2" t="s">
        <v>414</v>
      </c>
      <c r="F392" s="2" t="s">
        <v>40</v>
      </c>
      <c r="J392" s="2" t="s">
        <v>541</v>
      </c>
      <c r="K392" s="2" t="s">
        <v>542</v>
      </c>
      <c r="L392" s="2">
        <v>10</v>
      </c>
      <c r="M392" s="2" t="s">
        <v>552</v>
      </c>
      <c r="O392" s="2" t="s">
        <v>524</v>
      </c>
      <c r="Y392" s="2" t="s">
        <v>585</v>
      </c>
    </row>
    <row r="393" spans="1:34" x14ac:dyDescent="0.25">
      <c r="A393" s="2" t="s">
        <v>308</v>
      </c>
      <c r="B393" s="2" t="s">
        <v>540</v>
      </c>
      <c r="C393" s="2" t="s">
        <v>408</v>
      </c>
      <c r="D393" s="2" t="s">
        <v>410</v>
      </c>
      <c r="E393" s="2" t="s">
        <v>414</v>
      </c>
      <c r="F393" s="2" t="s">
        <v>40</v>
      </c>
      <c r="J393" s="2" t="s">
        <v>541</v>
      </c>
      <c r="K393" s="2" t="s">
        <v>542</v>
      </c>
      <c r="L393" s="2">
        <v>11</v>
      </c>
      <c r="M393" s="2" t="s">
        <v>553</v>
      </c>
      <c r="O393" s="2" t="s">
        <v>524</v>
      </c>
      <c r="Y393" s="2" t="s">
        <v>585</v>
      </c>
    </row>
    <row r="394" spans="1:34" x14ac:dyDescent="0.25">
      <c r="A394" s="2" t="s">
        <v>308</v>
      </c>
      <c r="B394" s="2" t="s">
        <v>540</v>
      </c>
      <c r="C394" s="2" t="s">
        <v>408</v>
      </c>
      <c r="D394" s="2" t="s">
        <v>410</v>
      </c>
      <c r="E394" s="2" t="s">
        <v>414</v>
      </c>
      <c r="F394" s="2" t="s">
        <v>40</v>
      </c>
      <c r="J394" s="2" t="s">
        <v>541</v>
      </c>
      <c r="K394" s="2" t="s">
        <v>542</v>
      </c>
      <c r="L394" s="2">
        <v>12</v>
      </c>
      <c r="M394" s="2" t="s">
        <v>554</v>
      </c>
      <c r="O394" s="2" t="s">
        <v>524</v>
      </c>
      <c r="Y394" s="2" t="s">
        <v>585</v>
      </c>
    </row>
    <row r="395" spans="1:34" x14ac:dyDescent="0.25">
      <c r="A395" s="2" t="s">
        <v>308</v>
      </c>
      <c r="B395" s="2" t="s">
        <v>555</v>
      </c>
      <c r="C395" s="2" t="s">
        <v>408</v>
      </c>
      <c r="D395" s="2" t="s">
        <v>410</v>
      </c>
      <c r="E395" s="2" t="s">
        <v>414</v>
      </c>
      <c r="F395" s="2" t="s">
        <v>40</v>
      </c>
      <c r="J395" s="2" t="s">
        <v>556</v>
      </c>
      <c r="O395" s="2" t="s">
        <v>524</v>
      </c>
      <c r="Y395" s="2" t="s">
        <v>585</v>
      </c>
      <c r="AB395" s="2">
        <v>2</v>
      </c>
    </row>
    <row r="396" spans="1:34" x14ac:dyDescent="0.25">
      <c r="A396" s="2" t="s">
        <v>308</v>
      </c>
      <c r="B396" s="2" t="s">
        <v>557</v>
      </c>
      <c r="C396" s="2" t="s">
        <v>408</v>
      </c>
      <c r="D396" s="2" t="s">
        <v>410</v>
      </c>
      <c r="E396" s="2" t="s">
        <v>414</v>
      </c>
      <c r="F396" s="2" t="s">
        <v>40</v>
      </c>
      <c r="J396" s="2" t="s">
        <v>558</v>
      </c>
      <c r="O396" s="2" t="s">
        <v>524</v>
      </c>
      <c r="Y396" s="2" t="s">
        <v>585</v>
      </c>
      <c r="AC396" s="2">
        <f>COUNTIFS($B:$B,"BLOCK_LOAD_Q",$A:$A,$A396,$C:$C,$C396,$E:$E,$E396,$F:$F,$F396,$N:$N, "&lt;&gt;")</f>
        <v>0</v>
      </c>
      <c r="AD396" s="2">
        <f>COUNTIFS($B:$B,"BLOCK_TRUST_Q",$A:$A,$A396,$C:$C,$C396,$E:$E,$E396,$F:$F,$F396,$N:$N, "&lt;&gt;")</f>
        <v>0</v>
      </c>
      <c r="AE396" s="2" t="str">
        <f>IFERROR(AVERAGEIFS($P:$P,$B:$B,"BLOCK_LOAD_Q",$A:$A,$A396,$C:$C,$C396,$E:$E,$E396,$F:$F,$F396,$P:$P,"&gt;0"),"")</f>
        <v/>
      </c>
      <c r="AF396" s="2" t="str">
        <f>IFERROR(AVERAGEIFS($P:$P,$B:$B,"BLOCK_TRUST_Q",$A:$A,$A396,$C:$C,$C396,$E:$E,$E396,$F:$F,$F396,$P:$P,"&gt;0"),"")</f>
        <v/>
      </c>
      <c r="AG396" s="2">
        <f>5-AC396</f>
        <v>5</v>
      </c>
      <c r="AH396" s="2">
        <f>12-AD396</f>
        <v>12</v>
      </c>
    </row>
    <row r="397" spans="1:34" x14ac:dyDescent="0.25">
      <c r="A397" s="2" t="s">
        <v>308</v>
      </c>
      <c r="B397" s="2" t="s">
        <v>403</v>
      </c>
      <c r="C397" s="2" t="s">
        <v>408</v>
      </c>
      <c r="D397" s="2" t="s">
        <v>410</v>
      </c>
      <c r="Z397" s="2" t="s">
        <v>427</v>
      </c>
    </row>
    <row r="398" spans="1:34" x14ac:dyDescent="0.25">
      <c r="A398" s="2" t="s">
        <v>308</v>
      </c>
      <c r="B398" s="2" t="s">
        <v>402</v>
      </c>
      <c r="C398" s="2" t="s">
        <v>409</v>
      </c>
      <c r="D398" s="2" t="s">
        <v>411</v>
      </c>
      <c r="E398" s="2" t="s">
        <v>413</v>
      </c>
      <c r="F398" s="2" t="s">
        <v>39</v>
      </c>
      <c r="G398" s="2" t="s">
        <v>415</v>
      </c>
      <c r="H398" s="2" t="s">
        <v>349</v>
      </c>
      <c r="S398" s="2" t="s">
        <v>58</v>
      </c>
      <c r="U398" s="2" t="s">
        <v>60</v>
      </c>
      <c r="W398" s="2" t="s">
        <v>58</v>
      </c>
    </row>
    <row r="399" spans="1:34" x14ac:dyDescent="0.25">
      <c r="A399" s="2" t="s">
        <v>308</v>
      </c>
      <c r="B399" s="2" t="s">
        <v>402</v>
      </c>
      <c r="C399" s="2" t="s">
        <v>409</v>
      </c>
      <c r="D399" s="2" t="s">
        <v>411</v>
      </c>
      <c r="E399" s="2" t="s">
        <v>413</v>
      </c>
      <c r="F399" s="2" t="s">
        <v>39</v>
      </c>
      <c r="G399" s="2" t="s">
        <v>416</v>
      </c>
      <c r="H399" s="2" t="s">
        <v>565</v>
      </c>
      <c r="S399" s="2" t="s">
        <v>59</v>
      </c>
      <c r="U399" s="2" t="s">
        <v>60</v>
      </c>
      <c r="W399" s="2" t="s">
        <v>60</v>
      </c>
    </row>
    <row r="400" spans="1:34" x14ac:dyDescent="0.25">
      <c r="A400" s="2" t="s">
        <v>308</v>
      </c>
      <c r="B400" s="2" t="s">
        <v>402</v>
      </c>
      <c r="C400" s="2" t="s">
        <v>409</v>
      </c>
      <c r="D400" s="2" t="s">
        <v>411</v>
      </c>
      <c r="E400" s="2" t="s">
        <v>413</v>
      </c>
      <c r="F400" s="2" t="s">
        <v>39</v>
      </c>
      <c r="G400" s="2" t="s">
        <v>417</v>
      </c>
      <c r="H400" s="2" t="s">
        <v>361</v>
      </c>
      <c r="S400" s="2" t="s">
        <v>60</v>
      </c>
      <c r="U400" s="2" t="s">
        <v>60</v>
      </c>
      <c r="W400" s="2" t="s">
        <v>60</v>
      </c>
    </row>
    <row r="401" spans="1:25" x14ac:dyDescent="0.25">
      <c r="A401" s="2" t="s">
        <v>308</v>
      </c>
      <c r="B401" s="2" t="s">
        <v>402</v>
      </c>
      <c r="C401" s="2" t="s">
        <v>409</v>
      </c>
      <c r="D401" s="2" t="s">
        <v>411</v>
      </c>
      <c r="E401" s="2" t="s">
        <v>413</v>
      </c>
      <c r="F401" s="2" t="s">
        <v>39</v>
      </c>
      <c r="G401" s="2" t="s">
        <v>418</v>
      </c>
      <c r="H401" s="2" t="s">
        <v>353</v>
      </c>
      <c r="S401" s="2" t="s">
        <v>58</v>
      </c>
      <c r="U401" s="2" t="s">
        <v>59</v>
      </c>
      <c r="W401" s="2" t="s">
        <v>58</v>
      </c>
    </row>
    <row r="402" spans="1:25" x14ac:dyDescent="0.25">
      <c r="A402" s="2" t="s">
        <v>308</v>
      </c>
      <c r="B402" s="2" t="s">
        <v>402</v>
      </c>
      <c r="C402" s="2" t="s">
        <v>409</v>
      </c>
      <c r="D402" s="2" t="s">
        <v>411</v>
      </c>
      <c r="E402" s="2" t="s">
        <v>413</v>
      </c>
      <c r="F402" s="2" t="s">
        <v>39</v>
      </c>
      <c r="G402" s="2" t="s">
        <v>419</v>
      </c>
      <c r="H402" s="2" t="s">
        <v>371</v>
      </c>
      <c r="S402" s="2" t="s">
        <v>60</v>
      </c>
      <c r="U402" s="2" t="s">
        <v>59</v>
      </c>
      <c r="W402" s="2" t="s">
        <v>57</v>
      </c>
    </row>
    <row r="403" spans="1:25" x14ac:dyDescent="0.25">
      <c r="A403" s="2" t="s">
        <v>308</v>
      </c>
      <c r="B403" s="2" t="s">
        <v>531</v>
      </c>
      <c r="C403" s="2" t="s">
        <v>409</v>
      </c>
      <c r="D403" s="2" t="s">
        <v>411</v>
      </c>
      <c r="E403" s="2" t="s">
        <v>413</v>
      </c>
      <c r="F403" s="2" t="s">
        <v>39</v>
      </c>
      <c r="J403" s="2" t="s">
        <v>532</v>
      </c>
      <c r="K403" s="2" t="s">
        <v>533</v>
      </c>
      <c r="L403" s="2">
        <v>1</v>
      </c>
      <c r="M403" s="2" t="s">
        <v>534</v>
      </c>
      <c r="O403" s="2" t="s">
        <v>524</v>
      </c>
      <c r="Y403" s="2" t="s">
        <v>586</v>
      </c>
    </row>
    <row r="404" spans="1:25" x14ac:dyDescent="0.25">
      <c r="A404" s="2" t="s">
        <v>308</v>
      </c>
      <c r="B404" s="2" t="s">
        <v>531</v>
      </c>
      <c r="C404" s="2" t="s">
        <v>409</v>
      </c>
      <c r="D404" s="2" t="s">
        <v>411</v>
      </c>
      <c r="E404" s="2" t="s">
        <v>413</v>
      </c>
      <c r="F404" s="2" t="s">
        <v>39</v>
      </c>
      <c r="J404" s="2" t="s">
        <v>532</v>
      </c>
      <c r="K404" s="2" t="s">
        <v>533</v>
      </c>
      <c r="L404" s="2">
        <v>2</v>
      </c>
      <c r="M404" s="2" t="s">
        <v>536</v>
      </c>
      <c r="O404" s="2" t="s">
        <v>524</v>
      </c>
      <c r="Y404" s="2" t="s">
        <v>586</v>
      </c>
    </row>
    <row r="405" spans="1:25" x14ac:dyDescent="0.25">
      <c r="A405" s="2" t="s">
        <v>308</v>
      </c>
      <c r="B405" s="2" t="s">
        <v>531</v>
      </c>
      <c r="C405" s="2" t="s">
        <v>409</v>
      </c>
      <c r="D405" s="2" t="s">
        <v>411</v>
      </c>
      <c r="E405" s="2" t="s">
        <v>413</v>
      </c>
      <c r="F405" s="2" t="s">
        <v>39</v>
      </c>
      <c r="J405" s="2" t="s">
        <v>532</v>
      </c>
      <c r="K405" s="2" t="s">
        <v>533</v>
      </c>
      <c r="L405" s="2">
        <v>3</v>
      </c>
      <c r="M405" s="2" t="s">
        <v>537</v>
      </c>
      <c r="O405" s="2" t="s">
        <v>524</v>
      </c>
      <c r="Y405" s="2" t="s">
        <v>586</v>
      </c>
    </row>
    <row r="406" spans="1:25" x14ac:dyDescent="0.25">
      <c r="A406" s="2" t="s">
        <v>308</v>
      </c>
      <c r="B406" s="2" t="s">
        <v>531</v>
      </c>
      <c r="C406" s="2" t="s">
        <v>409</v>
      </c>
      <c r="D406" s="2" t="s">
        <v>411</v>
      </c>
      <c r="E406" s="2" t="s">
        <v>413</v>
      </c>
      <c r="F406" s="2" t="s">
        <v>39</v>
      </c>
      <c r="J406" s="2" t="s">
        <v>532</v>
      </c>
      <c r="K406" s="2" t="s">
        <v>533</v>
      </c>
      <c r="L406" s="2">
        <v>4</v>
      </c>
      <c r="M406" s="2" t="s">
        <v>538</v>
      </c>
      <c r="O406" s="2" t="s">
        <v>524</v>
      </c>
      <c r="Y406" s="2" t="s">
        <v>586</v>
      </c>
    </row>
    <row r="407" spans="1:25" x14ac:dyDescent="0.25">
      <c r="A407" s="2" t="s">
        <v>308</v>
      </c>
      <c r="B407" s="2" t="s">
        <v>531</v>
      </c>
      <c r="C407" s="2" t="s">
        <v>409</v>
      </c>
      <c r="D407" s="2" t="s">
        <v>411</v>
      </c>
      <c r="E407" s="2" t="s">
        <v>413</v>
      </c>
      <c r="F407" s="2" t="s">
        <v>39</v>
      </c>
      <c r="J407" s="2" t="s">
        <v>532</v>
      </c>
      <c r="K407" s="2" t="s">
        <v>533</v>
      </c>
      <c r="L407" s="2">
        <v>5</v>
      </c>
      <c r="M407" s="2" t="s">
        <v>539</v>
      </c>
      <c r="O407" s="2" t="s">
        <v>524</v>
      </c>
      <c r="Y407" s="2" t="s">
        <v>586</v>
      </c>
    </row>
    <row r="408" spans="1:25" x14ac:dyDescent="0.25">
      <c r="A408" s="2" t="s">
        <v>308</v>
      </c>
      <c r="B408" s="2" t="s">
        <v>540</v>
      </c>
      <c r="C408" s="2" t="s">
        <v>409</v>
      </c>
      <c r="D408" s="2" t="s">
        <v>411</v>
      </c>
      <c r="E408" s="2" t="s">
        <v>413</v>
      </c>
      <c r="F408" s="2" t="s">
        <v>39</v>
      </c>
      <c r="J408" s="2" t="s">
        <v>541</v>
      </c>
      <c r="K408" s="2" t="s">
        <v>542</v>
      </c>
      <c r="L408" s="2">
        <v>1</v>
      </c>
      <c r="M408" s="2" t="s">
        <v>543</v>
      </c>
      <c r="O408" s="2" t="s">
        <v>524</v>
      </c>
      <c r="Y408" s="2" t="s">
        <v>586</v>
      </c>
    </row>
    <row r="409" spans="1:25" x14ac:dyDescent="0.25">
      <c r="A409" s="2" t="s">
        <v>308</v>
      </c>
      <c r="B409" s="2" t="s">
        <v>540</v>
      </c>
      <c r="C409" s="2" t="s">
        <v>409</v>
      </c>
      <c r="D409" s="2" t="s">
        <v>411</v>
      </c>
      <c r="E409" s="2" t="s">
        <v>413</v>
      </c>
      <c r="F409" s="2" t="s">
        <v>39</v>
      </c>
      <c r="J409" s="2" t="s">
        <v>541</v>
      </c>
      <c r="K409" s="2" t="s">
        <v>542</v>
      </c>
      <c r="L409" s="2">
        <v>2</v>
      </c>
      <c r="M409" s="2" t="s">
        <v>544</v>
      </c>
      <c r="O409" s="2" t="s">
        <v>524</v>
      </c>
      <c r="Y409" s="2" t="s">
        <v>586</v>
      </c>
    </row>
    <row r="410" spans="1:25" x14ac:dyDescent="0.25">
      <c r="A410" s="2" t="s">
        <v>308</v>
      </c>
      <c r="B410" s="2" t="s">
        <v>540</v>
      </c>
      <c r="C410" s="2" t="s">
        <v>409</v>
      </c>
      <c r="D410" s="2" t="s">
        <v>411</v>
      </c>
      <c r="E410" s="2" t="s">
        <v>413</v>
      </c>
      <c r="F410" s="2" t="s">
        <v>39</v>
      </c>
      <c r="J410" s="2" t="s">
        <v>541</v>
      </c>
      <c r="K410" s="2" t="s">
        <v>542</v>
      </c>
      <c r="L410" s="2">
        <v>3</v>
      </c>
      <c r="M410" s="2" t="s">
        <v>545</v>
      </c>
      <c r="O410" s="2" t="s">
        <v>524</v>
      </c>
      <c r="Y410" s="2" t="s">
        <v>586</v>
      </c>
    </row>
    <row r="411" spans="1:25" x14ac:dyDescent="0.25">
      <c r="A411" s="2" t="s">
        <v>308</v>
      </c>
      <c r="B411" s="2" t="s">
        <v>540</v>
      </c>
      <c r="C411" s="2" t="s">
        <v>409</v>
      </c>
      <c r="D411" s="2" t="s">
        <v>411</v>
      </c>
      <c r="E411" s="2" t="s">
        <v>413</v>
      </c>
      <c r="F411" s="2" t="s">
        <v>39</v>
      </c>
      <c r="J411" s="2" t="s">
        <v>541</v>
      </c>
      <c r="K411" s="2" t="s">
        <v>542</v>
      </c>
      <c r="L411" s="2">
        <v>4</v>
      </c>
      <c r="M411" s="2" t="s">
        <v>546</v>
      </c>
      <c r="O411" s="2" t="s">
        <v>524</v>
      </c>
      <c r="Y411" s="2" t="s">
        <v>586</v>
      </c>
    </row>
    <row r="412" spans="1:25" x14ac:dyDescent="0.25">
      <c r="A412" s="2" t="s">
        <v>308</v>
      </c>
      <c r="B412" s="2" t="s">
        <v>540</v>
      </c>
      <c r="C412" s="2" t="s">
        <v>409</v>
      </c>
      <c r="D412" s="2" t="s">
        <v>411</v>
      </c>
      <c r="E412" s="2" t="s">
        <v>413</v>
      </c>
      <c r="F412" s="2" t="s">
        <v>39</v>
      </c>
      <c r="J412" s="2" t="s">
        <v>541</v>
      </c>
      <c r="K412" s="2" t="s">
        <v>542</v>
      </c>
      <c r="L412" s="2">
        <v>5</v>
      </c>
      <c r="M412" s="2" t="s">
        <v>547</v>
      </c>
      <c r="O412" s="2" t="s">
        <v>524</v>
      </c>
      <c r="Y412" s="2" t="s">
        <v>586</v>
      </c>
    </row>
    <row r="413" spans="1:25" x14ac:dyDescent="0.25">
      <c r="A413" s="2" t="s">
        <v>308</v>
      </c>
      <c r="B413" s="2" t="s">
        <v>540</v>
      </c>
      <c r="C413" s="2" t="s">
        <v>409</v>
      </c>
      <c r="D413" s="2" t="s">
        <v>411</v>
      </c>
      <c r="E413" s="2" t="s">
        <v>413</v>
      </c>
      <c r="F413" s="2" t="s">
        <v>39</v>
      </c>
      <c r="J413" s="2" t="s">
        <v>541</v>
      </c>
      <c r="K413" s="2" t="s">
        <v>542</v>
      </c>
      <c r="L413" s="2">
        <v>6</v>
      </c>
      <c r="M413" s="2" t="s">
        <v>548</v>
      </c>
      <c r="O413" s="2" t="s">
        <v>524</v>
      </c>
      <c r="Y413" s="2" t="s">
        <v>586</v>
      </c>
    </row>
    <row r="414" spans="1:25" x14ac:dyDescent="0.25">
      <c r="A414" s="2" t="s">
        <v>308</v>
      </c>
      <c r="B414" s="2" t="s">
        <v>540</v>
      </c>
      <c r="C414" s="2" t="s">
        <v>409</v>
      </c>
      <c r="D414" s="2" t="s">
        <v>411</v>
      </c>
      <c r="E414" s="2" t="s">
        <v>413</v>
      </c>
      <c r="F414" s="2" t="s">
        <v>39</v>
      </c>
      <c r="J414" s="2" t="s">
        <v>541</v>
      </c>
      <c r="K414" s="2" t="s">
        <v>542</v>
      </c>
      <c r="L414" s="2">
        <v>7</v>
      </c>
      <c r="M414" s="2" t="s">
        <v>549</v>
      </c>
      <c r="O414" s="2" t="s">
        <v>524</v>
      </c>
      <c r="Y414" s="2" t="s">
        <v>586</v>
      </c>
    </row>
    <row r="415" spans="1:25" x14ac:dyDescent="0.25">
      <c r="A415" s="2" t="s">
        <v>308</v>
      </c>
      <c r="B415" s="2" t="s">
        <v>540</v>
      </c>
      <c r="C415" s="2" t="s">
        <v>409</v>
      </c>
      <c r="D415" s="2" t="s">
        <v>411</v>
      </c>
      <c r="E415" s="2" t="s">
        <v>413</v>
      </c>
      <c r="F415" s="2" t="s">
        <v>39</v>
      </c>
      <c r="J415" s="2" t="s">
        <v>541</v>
      </c>
      <c r="K415" s="2" t="s">
        <v>542</v>
      </c>
      <c r="L415" s="2">
        <v>8</v>
      </c>
      <c r="M415" s="2" t="s">
        <v>550</v>
      </c>
      <c r="O415" s="2" t="s">
        <v>524</v>
      </c>
      <c r="Y415" s="2" t="s">
        <v>586</v>
      </c>
    </row>
    <row r="416" spans="1:25" x14ac:dyDescent="0.25">
      <c r="A416" s="2" t="s">
        <v>308</v>
      </c>
      <c r="B416" s="2" t="s">
        <v>540</v>
      </c>
      <c r="C416" s="2" t="s">
        <v>409</v>
      </c>
      <c r="D416" s="2" t="s">
        <v>411</v>
      </c>
      <c r="E416" s="2" t="s">
        <v>413</v>
      </c>
      <c r="F416" s="2" t="s">
        <v>39</v>
      </c>
      <c r="J416" s="2" t="s">
        <v>541</v>
      </c>
      <c r="K416" s="2" t="s">
        <v>542</v>
      </c>
      <c r="L416" s="2">
        <v>9</v>
      </c>
      <c r="M416" s="2" t="s">
        <v>551</v>
      </c>
      <c r="O416" s="2" t="s">
        <v>524</v>
      </c>
      <c r="Y416" s="2" t="s">
        <v>586</v>
      </c>
    </row>
    <row r="417" spans="1:34" x14ac:dyDescent="0.25">
      <c r="A417" s="2" t="s">
        <v>308</v>
      </c>
      <c r="B417" s="2" t="s">
        <v>540</v>
      </c>
      <c r="C417" s="2" t="s">
        <v>409</v>
      </c>
      <c r="D417" s="2" t="s">
        <v>411</v>
      </c>
      <c r="E417" s="2" t="s">
        <v>413</v>
      </c>
      <c r="F417" s="2" t="s">
        <v>39</v>
      </c>
      <c r="J417" s="2" t="s">
        <v>541</v>
      </c>
      <c r="K417" s="2" t="s">
        <v>542</v>
      </c>
      <c r="L417" s="2">
        <v>10</v>
      </c>
      <c r="M417" s="2" t="s">
        <v>552</v>
      </c>
      <c r="O417" s="2" t="s">
        <v>524</v>
      </c>
      <c r="Y417" s="2" t="s">
        <v>586</v>
      </c>
    </row>
    <row r="418" spans="1:34" x14ac:dyDescent="0.25">
      <c r="A418" s="2" t="s">
        <v>308</v>
      </c>
      <c r="B418" s="2" t="s">
        <v>540</v>
      </c>
      <c r="C418" s="2" t="s">
        <v>409</v>
      </c>
      <c r="D418" s="2" t="s">
        <v>411</v>
      </c>
      <c r="E418" s="2" t="s">
        <v>413</v>
      </c>
      <c r="F418" s="2" t="s">
        <v>39</v>
      </c>
      <c r="J418" s="2" t="s">
        <v>541</v>
      </c>
      <c r="K418" s="2" t="s">
        <v>542</v>
      </c>
      <c r="L418" s="2">
        <v>11</v>
      </c>
      <c r="M418" s="2" t="s">
        <v>553</v>
      </c>
      <c r="O418" s="2" t="s">
        <v>524</v>
      </c>
      <c r="Y418" s="2" t="s">
        <v>586</v>
      </c>
    </row>
    <row r="419" spans="1:34" x14ac:dyDescent="0.25">
      <c r="A419" s="2" t="s">
        <v>308</v>
      </c>
      <c r="B419" s="2" t="s">
        <v>540</v>
      </c>
      <c r="C419" s="2" t="s">
        <v>409</v>
      </c>
      <c r="D419" s="2" t="s">
        <v>411</v>
      </c>
      <c r="E419" s="2" t="s">
        <v>413</v>
      </c>
      <c r="F419" s="2" t="s">
        <v>39</v>
      </c>
      <c r="J419" s="2" t="s">
        <v>541</v>
      </c>
      <c r="K419" s="2" t="s">
        <v>542</v>
      </c>
      <c r="L419" s="2">
        <v>12</v>
      </c>
      <c r="M419" s="2" t="s">
        <v>554</v>
      </c>
      <c r="O419" s="2" t="s">
        <v>524</v>
      </c>
      <c r="Y419" s="2" t="s">
        <v>586</v>
      </c>
    </row>
    <row r="420" spans="1:34" x14ac:dyDescent="0.25">
      <c r="A420" s="2" t="s">
        <v>308</v>
      </c>
      <c r="B420" s="2" t="s">
        <v>555</v>
      </c>
      <c r="C420" s="2" t="s">
        <v>409</v>
      </c>
      <c r="D420" s="2" t="s">
        <v>411</v>
      </c>
      <c r="E420" s="2" t="s">
        <v>413</v>
      </c>
      <c r="F420" s="2" t="s">
        <v>39</v>
      </c>
      <c r="J420" s="2" t="s">
        <v>556</v>
      </c>
      <c r="O420" s="2" t="s">
        <v>524</v>
      </c>
      <c r="Y420" s="2" t="s">
        <v>586</v>
      </c>
      <c r="AB420" s="2">
        <v>1</v>
      </c>
    </row>
    <row r="421" spans="1:34" x14ac:dyDescent="0.25">
      <c r="A421" s="2" t="s">
        <v>308</v>
      </c>
      <c r="B421" s="2" t="s">
        <v>557</v>
      </c>
      <c r="C421" s="2" t="s">
        <v>409</v>
      </c>
      <c r="D421" s="2" t="s">
        <v>411</v>
      </c>
      <c r="E421" s="2" t="s">
        <v>413</v>
      </c>
      <c r="F421" s="2" t="s">
        <v>39</v>
      </c>
      <c r="J421" s="2" t="s">
        <v>558</v>
      </c>
      <c r="O421" s="2" t="s">
        <v>524</v>
      </c>
      <c r="Y421" s="2" t="s">
        <v>586</v>
      </c>
      <c r="AC421" s="2">
        <f>COUNTIFS($B:$B,"BLOCK_LOAD_Q",$A:$A,$A421,$C:$C,$C421,$E:$E,$E421,$F:$F,$F421,$N:$N, "&lt;&gt;")</f>
        <v>0</v>
      </c>
      <c r="AD421" s="2">
        <f>COUNTIFS($B:$B,"BLOCK_TRUST_Q",$A:$A,$A421,$C:$C,$C421,$E:$E,$E421,$F:$F,$F421,$N:$N, "&lt;&gt;")</f>
        <v>0</v>
      </c>
      <c r="AE421" s="2" t="str">
        <f>IFERROR(AVERAGEIFS($P:$P,$B:$B,"BLOCK_LOAD_Q",$A:$A,$A421,$C:$C,$C421,$E:$E,$E421,$F:$F,$F421,$P:$P,"&gt;0"),"")</f>
        <v/>
      </c>
      <c r="AF421" s="2" t="str">
        <f>IFERROR(AVERAGEIFS($P:$P,$B:$B,"BLOCK_TRUST_Q",$A:$A,$A421,$C:$C,$C421,$E:$E,$E421,$F:$F,$F421,$P:$P,"&gt;0"),"")</f>
        <v/>
      </c>
      <c r="AG421" s="2">
        <f>5-AC421</f>
        <v>5</v>
      </c>
      <c r="AH421" s="2">
        <f>12-AD421</f>
        <v>12</v>
      </c>
    </row>
    <row r="422" spans="1:34" x14ac:dyDescent="0.25">
      <c r="A422" s="2" t="s">
        <v>308</v>
      </c>
      <c r="B422" s="2" t="s">
        <v>402</v>
      </c>
      <c r="C422" s="2" t="s">
        <v>409</v>
      </c>
      <c r="D422" s="2" t="s">
        <v>411</v>
      </c>
      <c r="E422" s="2" t="s">
        <v>414</v>
      </c>
      <c r="F422" s="2" t="s">
        <v>40</v>
      </c>
      <c r="G422" s="2" t="s">
        <v>415</v>
      </c>
      <c r="H422" s="2" t="s">
        <v>357</v>
      </c>
      <c r="S422" s="2" t="s">
        <v>59</v>
      </c>
      <c r="U422" s="2" t="s">
        <v>60</v>
      </c>
      <c r="W422" s="2" t="s">
        <v>57</v>
      </c>
    </row>
    <row r="423" spans="1:34" x14ac:dyDescent="0.25">
      <c r="A423" s="2" t="s">
        <v>308</v>
      </c>
      <c r="B423" s="2" t="s">
        <v>402</v>
      </c>
      <c r="C423" s="2" t="s">
        <v>409</v>
      </c>
      <c r="D423" s="2" t="s">
        <v>411</v>
      </c>
      <c r="E423" s="2" t="s">
        <v>414</v>
      </c>
      <c r="F423" s="2" t="s">
        <v>40</v>
      </c>
      <c r="G423" s="2" t="s">
        <v>416</v>
      </c>
      <c r="H423" s="2" t="s">
        <v>348</v>
      </c>
      <c r="S423" s="2" t="s">
        <v>58</v>
      </c>
      <c r="U423" s="2" t="s">
        <v>59</v>
      </c>
      <c r="W423" s="2" t="s">
        <v>59</v>
      </c>
    </row>
    <row r="424" spans="1:34" x14ac:dyDescent="0.25">
      <c r="A424" s="2" t="s">
        <v>308</v>
      </c>
      <c r="B424" s="2" t="s">
        <v>402</v>
      </c>
      <c r="C424" s="2" t="s">
        <v>409</v>
      </c>
      <c r="D424" s="2" t="s">
        <v>411</v>
      </c>
      <c r="E424" s="2" t="s">
        <v>414</v>
      </c>
      <c r="F424" s="2" t="s">
        <v>40</v>
      </c>
      <c r="G424" s="2" t="s">
        <v>417</v>
      </c>
      <c r="H424" s="2" t="s">
        <v>562</v>
      </c>
      <c r="S424" s="2" t="s">
        <v>59</v>
      </c>
      <c r="U424" s="2" t="s">
        <v>57</v>
      </c>
      <c r="W424" s="2" t="s">
        <v>57</v>
      </c>
    </row>
    <row r="425" spans="1:34" x14ac:dyDescent="0.25">
      <c r="A425" s="2" t="s">
        <v>308</v>
      </c>
      <c r="B425" s="2" t="s">
        <v>402</v>
      </c>
      <c r="C425" s="2" t="s">
        <v>409</v>
      </c>
      <c r="D425" s="2" t="s">
        <v>411</v>
      </c>
      <c r="E425" s="2" t="s">
        <v>414</v>
      </c>
      <c r="F425" s="2" t="s">
        <v>40</v>
      </c>
      <c r="G425" s="2" t="s">
        <v>418</v>
      </c>
      <c r="H425" s="2" t="s">
        <v>563</v>
      </c>
      <c r="S425" s="2" t="s">
        <v>57</v>
      </c>
      <c r="U425" s="2" t="s">
        <v>60</v>
      </c>
      <c r="W425" s="2" t="s">
        <v>60</v>
      </c>
    </row>
    <row r="426" spans="1:34" x14ac:dyDescent="0.25">
      <c r="A426" s="2" t="s">
        <v>308</v>
      </c>
      <c r="B426" s="2" t="s">
        <v>531</v>
      </c>
      <c r="C426" s="2" t="s">
        <v>409</v>
      </c>
      <c r="D426" s="2" t="s">
        <v>411</v>
      </c>
      <c r="E426" s="2" t="s">
        <v>414</v>
      </c>
      <c r="F426" s="2" t="s">
        <v>40</v>
      </c>
      <c r="J426" s="2" t="s">
        <v>532</v>
      </c>
      <c r="K426" s="2" t="s">
        <v>533</v>
      </c>
      <c r="L426" s="2">
        <v>1</v>
      </c>
      <c r="M426" s="2" t="s">
        <v>534</v>
      </c>
      <c r="O426" s="2" t="s">
        <v>524</v>
      </c>
      <c r="Y426" s="2" t="s">
        <v>587</v>
      </c>
    </row>
    <row r="427" spans="1:34" x14ac:dyDescent="0.25">
      <c r="A427" s="2" t="s">
        <v>308</v>
      </c>
      <c r="B427" s="2" t="s">
        <v>531</v>
      </c>
      <c r="C427" s="2" t="s">
        <v>409</v>
      </c>
      <c r="D427" s="2" t="s">
        <v>411</v>
      </c>
      <c r="E427" s="2" t="s">
        <v>414</v>
      </c>
      <c r="F427" s="2" t="s">
        <v>40</v>
      </c>
      <c r="J427" s="2" t="s">
        <v>532</v>
      </c>
      <c r="K427" s="2" t="s">
        <v>533</v>
      </c>
      <c r="L427" s="2">
        <v>2</v>
      </c>
      <c r="M427" s="2" t="s">
        <v>536</v>
      </c>
      <c r="O427" s="2" t="s">
        <v>524</v>
      </c>
      <c r="Y427" s="2" t="s">
        <v>587</v>
      </c>
    </row>
    <row r="428" spans="1:34" x14ac:dyDescent="0.25">
      <c r="A428" s="2" t="s">
        <v>308</v>
      </c>
      <c r="B428" s="2" t="s">
        <v>531</v>
      </c>
      <c r="C428" s="2" t="s">
        <v>409</v>
      </c>
      <c r="D428" s="2" t="s">
        <v>411</v>
      </c>
      <c r="E428" s="2" t="s">
        <v>414</v>
      </c>
      <c r="F428" s="2" t="s">
        <v>40</v>
      </c>
      <c r="J428" s="2" t="s">
        <v>532</v>
      </c>
      <c r="K428" s="2" t="s">
        <v>533</v>
      </c>
      <c r="L428" s="2">
        <v>3</v>
      </c>
      <c r="M428" s="2" t="s">
        <v>537</v>
      </c>
      <c r="O428" s="2" t="s">
        <v>524</v>
      </c>
      <c r="Y428" s="2" t="s">
        <v>587</v>
      </c>
    </row>
    <row r="429" spans="1:34" x14ac:dyDescent="0.25">
      <c r="A429" s="2" t="s">
        <v>308</v>
      </c>
      <c r="B429" s="2" t="s">
        <v>531</v>
      </c>
      <c r="C429" s="2" t="s">
        <v>409</v>
      </c>
      <c r="D429" s="2" t="s">
        <v>411</v>
      </c>
      <c r="E429" s="2" t="s">
        <v>414</v>
      </c>
      <c r="F429" s="2" t="s">
        <v>40</v>
      </c>
      <c r="J429" s="2" t="s">
        <v>532</v>
      </c>
      <c r="K429" s="2" t="s">
        <v>533</v>
      </c>
      <c r="L429" s="2">
        <v>4</v>
      </c>
      <c r="M429" s="2" t="s">
        <v>538</v>
      </c>
      <c r="O429" s="2" t="s">
        <v>524</v>
      </c>
      <c r="Y429" s="2" t="s">
        <v>587</v>
      </c>
    </row>
    <row r="430" spans="1:34" x14ac:dyDescent="0.25">
      <c r="A430" s="2" t="s">
        <v>308</v>
      </c>
      <c r="B430" s="2" t="s">
        <v>531</v>
      </c>
      <c r="C430" s="2" t="s">
        <v>409</v>
      </c>
      <c r="D430" s="2" t="s">
        <v>411</v>
      </c>
      <c r="E430" s="2" t="s">
        <v>414</v>
      </c>
      <c r="F430" s="2" t="s">
        <v>40</v>
      </c>
      <c r="J430" s="2" t="s">
        <v>532</v>
      </c>
      <c r="K430" s="2" t="s">
        <v>533</v>
      </c>
      <c r="L430" s="2">
        <v>5</v>
      </c>
      <c r="M430" s="2" t="s">
        <v>539</v>
      </c>
      <c r="O430" s="2" t="s">
        <v>524</v>
      </c>
      <c r="Y430" s="2" t="s">
        <v>587</v>
      </c>
    </row>
    <row r="431" spans="1:34" x14ac:dyDescent="0.25">
      <c r="A431" s="2" t="s">
        <v>308</v>
      </c>
      <c r="B431" s="2" t="s">
        <v>540</v>
      </c>
      <c r="C431" s="2" t="s">
        <v>409</v>
      </c>
      <c r="D431" s="2" t="s">
        <v>411</v>
      </c>
      <c r="E431" s="2" t="s">
        <v>414</v>
      </c>
      <c r="F431" s="2" t="s">
        <v>40</v>
      </c>
      <c r="J431" s="2" t="s">
        <v>541</v>
      </c>
      <c r="K431" s="2" t="s">
        <v>542</v>
      </c>
      <c r="L431" s="2">
        <v>1</v>
      </c>
      <c r="M431" s="2" t="s">
        <v>543</v>
      </c>
      <c r="O431" s="2" t="s">
        <v>524</v>
      </c>
      <c r="Y431" s="2" t="s">
        <v>587</v>
      </c>
    </row>
    <row r="432" spans="1:34" x14ac:dyDescent="0.25">
      <c r="A432" s="2" t="s">
        <v>308</v>
      </c>
      <c r="B432" s="2" t="s">
        <v>540</v>
      </c>
      <c r="C432" s="2" t="s">
        <v>409</v>
      </c>
      <c r="D432" s="2" t="s">
        <v>411</v>
      </c>
      <c r="E432" s="2" t="s">
        <v>414</v>
      </c>
      <c r="F432" s="2" t="s">
        <v>40</v>
      </c>
      <c r="J432" s="2" t="s">
        <v>541</v>
      </c>
      <c r="K432" s="2" t="s">
        <v>542</v>
      </c>
      <c r="L432" s="2">
        <v>2</v>
      </c>
      <c r="M432" s="2" t="s">
        <v>544</v>
      </c>
      <c r="O432" s="2" t="s">
        <v>524</v>
      </c>
      <c r="Y432" s="2" t="s">
        <v>587</v>
      </c>
    </row>
    <row r="433" spans="1:34" x14ac:dyDescent="0.25">
      <c r="A433" s="2" t="s">
        <v>308</v>
      </c>
      <c r="B433" s="2" t="s">
        <v>540</v>
      </c>
      <c r="C433" s="2" t="s">
        <v>409</v>
      </c>
      <c r="D433" s="2" t="s">
        <v>411</v>
      </c>
      <c r="E433" s="2" t="s">
        <v>414</v>
      </c>
      <c r="F433" s="2" t="s">
        <v>40</v>
      </c>
      <c r="J433" s="2" t="s">
        <v>541</v>
      </c>
      <c r="K433" s="2" t="s">
        <v>542</v>
      </c>
      <c r="L433" s="2">
        <v>3</v>
      </c>
      <c r="M433" s="2" t="s">
        <v>545</v>
      </c>
      <c r="O433" s="2" t="s">
        <v>524</v>
      </c>
      <c r="Y433" s="2" t="s">
        <v>587</v>
      </c>
    </row>
    <row r="434" spans="1:34" x14ac:dyDescent="0.25">
      <c r="A434" s="2" t="s">
        <v>308</v>
      </c>
      <c r="B434" s="2" t="s">
        <v>540</v>
      </c>
      <c r="C434" s="2" t="s">
        <v>409</v>
      </c>
      <c r="D434" s="2" t="s">
        <v>411</v>
      </c>
      <c r="E434" s="2" t="s">
        <v>414</v>
      </c>
      <c r="F434" s="2" t="s">
        <v>40</v>
      </c>
      <c r="J434" s="2" t="s">
        <v>541</v>
      </c>
      <c r="K434" s="2" t="s">
        <v>542</v>
      </c>
      <c r="L434" s="2">
        <v>4</v>
      </c>
      <c r="M434" s="2" t="s">
        <v>546</v>
      </c>
      <c r="O434" s="2" t="s">
        <v>524</v>
      </c>
      <c r="Y434" s="2" t="s">
        <v>587</v>
      </c>
    </row>
    <row r="435" spans="1:34" x14ac:dyDescent="0.25">
      <c r="A435" s="2" t="s">
        <v>308</v>
      </c>
      <c r="B435" s="2" t="s">
        <v>540</v>
      </c>
      <c r="C435" s="2" t="s">
        <v>409</v>
      </c>
      <c r="D435" s="2" t="s">
        <v>411</v>
      </c>
      <c r="E435" s="2" t="s">
        <v>414</v>
      </c>
      <c r="F435" s="2" t="s">
        <v>40</v>
      </c>
      <c r="J435" s="2" t="s">
        <v>541</v>
      </c>
      <c r="K435" s="2" t="s">
        <v>542</v>
      </c>
      <c r="L435" s="2">
        <v>5</v>
      </c>
      <c r="M435" s="2" t="s">
        <v>547</v>
      </c>
      <c r="O435" s="2" t="s">
        <v>524</v>
      </c>
      <c r="Y435" s="2" t="s">
        <v>587</v>
      </c>
    </row>
    <row r="436" spans="1:34" x14ac:dyDescent="0.25">
      <c r="A436" s="2" t="s">
        <v>308</v>
      </c>
      <c r="B436" s="2" t="s">
        <v>540</v>
      </c>
      <c r="C436" s="2" t="s">
        <v>409</v>
      </c>
      <c r="D436" s="2" t="s">
        <v>411</v>
      </c>
      <c r="E436" s="2" t="s">
        <v>414</v>
      </c>
      <c r="F436" s="2" t="s">
        <v>40</v>
      </c>
      <c r="J436" s="2" t="s">
        <v>541</v>
      </c>
      <c r="K436" s="2" t="s">
        <v>542</v>
      </c>
      <c r="L436" s="2">
        <v>6</v>
      </c>
      <c r="M436" s="2" t="s">
        <v>548</v>
      </c>
      <c r="O436" s="2" t="s">
        <v>524</v>
      </c>
      <c r="Y436" s="2" t="s">
        <v>587</v>
      </c>
    </row>
    <row r="437" spans="1:34" x14ac:dyDescent="0.25">
      <c r="A437" s="2" t="s">
        <v>308</v>
      </c>
      <c r="B437" s="2" t="s">
        <v>540</v>
      </c>
      <c r="C437" s="2" t="s">
        <v>409</v>
      </c>
      <c r="D437" s="2" t="s">
        <v>411</v>
      </c>
      <c r="E437" s="2" t="s">
        <v>414</v>
      </c>
      <c r="F437" s="2" t="s">
        <v>40</v>
      </c>
      <c r="J437" s="2" t="s">
        <v>541</v>
      </c>
      <c r="K437" s="2" t="s">
        <v>542</v>
      </c>
      <c r="L437" s="2">
        <v>7</v>
      </c>
      <c r="M437" s="2" t="s">
        <v>549</v>
      </c>
      <c r="O437" s="2" t="s">
        <v>524</v>
      </c>
      <c r="Y437" s="2" t="s">
        <v>587</v>
      </c>
    </row>
    <row r="438" spans="1:34" x14ac:dyDescent="0.25">
      <c r="A438" s="2" t="s">
        <v>308</v>
      </c>
      <c r="B438" s="2" t="s">
        <v>540</v>
      </c>
      <c r="C438" s="2" t="s">
        <v>409</v>
      </c>
      <c r="D438" s="2" t="s">
        <v>411</v>
      </c>
      <c r="E438" s="2" t="s">
        <v>414</v>
      </c>
      <c r="F438" s="2" t="s">
        <v>40</v>
      </c>
      <c r="J438" s="2" t="s">
        <v>541</v>
      </c>
      <c r="K438" s="2" t="s">
        <v>542</v>
      </c>
      <c r="L438" s="2">
        <v>8</v>
      </c>
      <c r="M438" s="2" t="s">
        <v>550</v>
      </c>
      <c r="O438" s="2" t="s">
        <v>524</v>
      </c>
      <c r="Y438" s="2" t="s">
        <v>587</v>
      </c>
    </row>
    <row r="439" spans="1:34" x14ac:dyDescent="0.25">
      <c r="A439" s="2" t="s">
        <v>308</v>
      </c>
      <c r="B439" s="2" t="s">
        <v>540</v>
      </c>
      <c r="C439" s="2" t="s">
        <v>409</v>
      </c>
      <c r="D439" s="2" t="s">
        <v>411</v>
      </c>
      <c r="E439" s="2" t="s">
        <v>414</v>
      </c>
      <c r="F439" s="2" t="s">
        <v>40</v>
      </c>
      <c r="J439" s="2" t="s">
        <v>541</v>
      </c>
      <c r="K439" s="2" t="s">
        <v>542</v>
      </c>
      <c r="L439" s="2">
        <v>9</v>
      </c>
      <c r="M439" s="2" t="s">
        <v>551</v>
      </c>
      <c r="O439" s="2" t="s">
        <v>524</v>
      </c>
      <c r="Y439" s="2" t="s">
        <v>587</v>
      </c>
    </row>
    <row r="440" spans="1:34" x14ac:dyDescent="0.25">
      <c r="A440" s="2" t="s">
        <v>308</v>
      </c>
      <c r="B440" s="2" t="s">
        <v>540</v>
      </c>
      <c r="C440" s="2" t="s">
        <v>409</v>
      </c>
      <c r="D440" s="2" t="s">
        <v>411</v>
      </c>
      <c r="E440" s="2" t="s">
        <v>414</v>
      </c>
      <c r="F440" s="2" t="s">
        <v>40</v>
      </c>
      <c r="J440" s="2" t="s">
        <v>541</v>
      </c>
      <c r="K440" s="2" t="s">
        <v>542</v>
      </c>
      <c r="L440" s="2">
        <v>10</v>
      </c>
      <c r="M440" s="2" t="s">
        <v>552</v>
      </c>
      <c r="O440" s="2" t="s">
        <v>524</v>
      </c>
      <c r="Y440" s="2" t="s">
        <v>587</v>
      </c>
    </row>
    <row r="441" spans="1:34" x14ac:dyDescent="0.25">
      <c r="A441" s="2" t="s">
        <v>308</v>
      </c>
      <c r="B441" s="2" t="s">
        <v>540</v>
      </c>
      <c r="C441" s="2" t="s">
        <v>409</v>
      </c>
      <c r="D441" s="2" t="s">
        <v>411</v>
      </c>
      <c r="E441" s="2" t="s">
        <v>414</v>
      </c>
      <c r="F441" s="2" t="s">
        <v>40</v>
      </c>
      <c r="J441" s="2" t="s">
        <v>541</v>
      </c>
      <c r="K441" s="2" t="s">
        <v>542</v>
      </c>
      <c r="L441" s="2">
        <v>11</v>
      </c>
      <c r="M441" s="2" t="s">
        <v>553</v>
      </c>
      <c r="O441" s="2" t="s">
        <v>524</v>
      </c>
      <c r="Y441" s="2" t="s">
        <v>587</v>
      </c>
    </row>
    <row r="442" spans="1:34" x14ac:dyDescent="0.25">
      <c r="A442" s="2" t="s">
        <v>308</v>
      </c>
      <c r="B442" s="2" t="s">
        <v>540</v>
      </c>
      <c r="C442" s="2" t="s">
        <v>409</v>
      </c>
      <c r="D442" s="2" t="s">
        <v>411</v>
      </c>
      <c r="E442" s="2" t="s">
        <v>414</v>
      </c>
      <c r="F442" s="2" t="s">
        <v>40</v>
      </c>
      <c r="J442" s="2" t="s">
        <v>541</v>
      </c>
      <c r="K442" s="2" t="s">
        <v>542</v>
      </c>
      <c r="L442" s="2">
        <v>12</v>
      </c>
      <c r="M442" s="2" t="s">
        <v>554</v>
      </c>
      <c r="O442" s="2" t="s">
        <v>524</v>
      </c>
      <c r="Y442" s="2" t="s">
        <v>587</v>
      </c>
    </row>
    <row r="443" spans="1:34" x14ac:dyDescent="0.25">
      <c r="A443" s="2" t="s">
        <v>308</v>
      </c>
      <c r="B443" s="2" t="s">
        <v>555</v>
      </c>
      <c r="C443" s="2" t="s">
        <v>409</v>
      </c>
      <c r="D443" s="2" t="s">
        <v>411</v>
      </c>
      <c r="E443" s="2" t="s">
        <v>414</v>
      </c>
      <c r="F443" s="2" t="s">
        <v>40</v>
      </c>
      <c r="J443" s="2" t="s">
        <v>556</v>
      </c>
      <c r="O443" s="2" t="s">
        <v>524</v>
      </c>
      <c r="Y443" s="2" t="s">
        <v>587</v>
      </c>
      <c r="AB443" s="2">
        <v>2</v>
      </c>
    </row>
    <row r="444" spans="1:34" x14ac:dyDescent="0.25">
      <c r="A444" s="2" t="s">
        <v>308</v>
      </c>
      <c r="B444" s="2" t="s">
        <v>557</v>
      </c>
      <c r="C444" s="2" t="s">
        <v>409</v>
      </c>
      <c r="D444" s="2" t="s">
        <v>411</v>
      </c>
      <c r="E444" s="2" t="s">
        <v>414</v>
      </c>
      <c r="F444" s="2" t="s">
        <v>40</v>
      </c>
      <c r="J444" s="2" t="s">
        <v>558</v>
      </c>
      <c r="O444" s="2" t="s">
        <v>524</v>
      </c>
      <c r="Y444" s="2" t="s">
        <v>587</v>
      </c>
      <c r="AC444" s="2">
        <f>COUNTIFS($B:$B,"BLOCK_LOAD_Q",$A:$A,$A444,$C:$C,$C444,$E:$E,$E444,$F:$F,$F444,$N:$N, "&lt;&gt;")</f>
        <v>0</v>
      </c>
      <c r="AD444" s="2">
        <f>COUNTIFS($B:$B,"BLOCK_TRUST_Q",$A:$A,$A444,$C:$C,$C444,$E:$E,$E444,$F:$F,$F444,$N:$N, "&lt;&gt;")</f>
        <v>0</v>
      </c>
      <c r="AE444" s="2" t="str">
        <f>IFERROR(AVERAGEIFS($P:$P,$B:$B,"BLOCK_LOAD_Q",$A:$A,$A444,$C:$C,$C444,$E:$E,$E444,$F:$F,$F444,$P:$P,"&gt;0"),"")</f>
        <v/>
      </c>
      <c r="AF444" s="2" t="str">
        <f>IFERROR(AVERAGEIFS($P:$P,$B:$B,"BLOCK_TRUST_Q",$A:$A,$A444,$C:$C,$C444,$E:$E,$E444,$F:$F,$F444,$P:$P,"&gt;0"),"")</f>
        <v/>
      </c>
      <c r="AG444" s="2">
        <f>5-AC444</f>
        <v>5</v>
      </c>
      <c r="AH444" s="2">
        <f>12-AD444</f>
        <v>12</v>
      </c>
    </row>
    <row r="445" spans="1:34" x14ac:dyDescent="0.25">
      <c r="A445" s="2" t="s">
        <v>308</v>
      </c>
      <c r="B445" s="2" t="s">
        <v>403</v>
      </c>
      <c r="C445" s="2" t="s">
        <v>409</v>
      </c>
      <c r="D445" s="2" t="s">
        <v>411</v>
      </c>
      <c r="Z445" s="2" t="s">
        <v>428</v>
      </c>
    </row>
    <row r="446" spans="1:34" x14ac:dyDescent="0.25">
      <c r="A446" s="2" t="s">
        <v>308</v>
      </c>
      <c r="B446" s="2" t="s">
        <v>404</v>
      </c>
      <c r="J446" s="2" t="s">
        <v>575</v>
      </c>
      <c r="AA446" s="2" t="s">
        <v>336</v>
      </c>
    </row>
    <row r="447" spans="1:34" x14ac:dyDescent="0.25">
      <c r="A447" s="2" t="s">
        <v>308</v>
      </c>
      <c r="B447" s="2" t="s">
        <v>405</v>
      </c>
    </row>
    <row r="448" spans="1:34" x14ac:dyDescent="0.25">
      <c r="A448" s="2" t="s">
        <v>308</v>
      </c>
      <c r="B448" s="2" t="s">
        <v>406</v>
      </c>
    </row>
    <row r="449" spans="1:25" x14ac:dyDescent="0.25">
      <c r="A449" s="2" t="s">
        <v>309</v>
      </c>
      <c r="B449" s="2" t="s">
        <v>523</v>
      </c>
      <c r="C449" s="2" t="s">
        <v>524</v>
      </c>
      <c r="D449" s="2" t="s">
        <v>524</v>
      </c>
      <c r="E449" s="2" t="s">
        <v>524</v>
      </c>
      <c r="F449" s="2" t="s">
        <v>524</v>
      </c>
      <c r="J449" s="2" t="s">
        <v>525</v>
      </c>
      <c r="O449" s="2" t="s">
        <v>524</v>
      </c>
    </row>
    <row r="450" spans="1:25" x14ac:dyDescent="0.25">
      <c r="A450" s="2" t="s">
        <v>309</v>
      </c>
      <c r="B450" s="2" t="s">
        <v>526</v>
      </c>
      <c r="C450" s="2" t="s">
        <v>524</v>
      </c>
      <c r="D450" s="2" t="s">
        <v>524</v>
      </c>
      <c r="E450" s="2" t="s">
        <v>524</v>
      </c>
      <c r="F450" s="2" t="s">
        <v>524</v>
      </c>
      <c r="J450" s="2" t="s">
        <v>527</v>
      </c>
      <c r="O450" s="2" t="s">
        <v>524</v>
      </c>
    </row>
    <row r="451" spans="1:25" x14ac:dyDescent="0.25">
      <c r="A451" s="2" t="s">
        <v>309</v>
      </c>
      <c r="B451" s="2" t="s">
        <v>402</v>
      </c>
      <c r="C451" s="2" t="s">
        <v>407</v>
      </c>
      <c r="D451" s="2" t="s">
        <v>410</v>
      </c>
      <c r="E451" s="2" t="s">
        <v>413</v>
      </c>
      <c r="F451" s="2" t="s">
        <v>39</v>
      </c>
      <c r="G451" s="2" t="s">
        <v>415</v>
      </c>
      <c r="H451" s="2" t="s">
        <v>373</v>
      </c>
      <c r="S451" s="2" t="s">
        <v>60</v>
      </c>
      <c r="U451" s="2" t="s">
        <v>60</v>
      </c>
      <c r="W451" s="2" t="s">
        <v>60</v>
      </c>
    </row>
    <row r="452" spans="1:25" x14ac:dyDescent="0.25">
      <c r="A452" s="2" t="s">
        <v>309</v>
      </c>
      <c r="B452" s="2" t="s">
        <v>402</v>
      </c>
      <c r="C452" s="2" t="s">
        <v>407</v>
      </c>
      <c r="D452" s="2" t="s">
        <v>410</v>
      </c>
      <c r="E452" s="2" t="s">
        <v>413</v>
      </c>
      <c r="F452" s="2" t="s">
        <v>39</v>
      </c>
      <c r="G452" s="2" t="s">
        <v>416</v>
      </c>
      <c r="H452" s="2" t="s">
        <v>528</v>
      </c>
      <c r="S452" s="2" t="s">
        <v>60</v>
      </c>
      <c r="U452" s="2" t="s">
        <v>59</v>
      </c>
      <c r="W452" s="2" t="s">
        <v>59</v>
      </c>
    </row>
    <row r="453" spans="1:25" x14ac:dyDescent="0.25">
      <c r="A453" s="2" t="s">
        <v>309</v>
      </c>
      <c r="B453" s="2" t="s">
        <v>402</v>
      </c>
      <c r="C453" s="2" t="s">
        <v>407</v>
      </c>
      <c r="D453" s="2" t="s">
        <v>410</v>
      </c>
      <c r="E453" s="2" t="s">
        <v>413</v>
      </c>
      <c r="F453" s="2" t="s">
        <v>39</v>
      </c>
      <c r="G453" s="2" t="s">
        <v>417</v>
      </c>
      <c r="H453" s="2" t="s">
        <v>529</v>
      </c>
      <c r="S453" s="2" t="s">
        <v>57</v>
      </c>
      <c r="U453" s="2" t="s">
        <v>59</v>
      </c>
      <c r="W453" s="2" t="s">
        <v>60</v>
      </c>
    </row>
    <row r="454" spans="1:25" x14ac:dyDescent="0.25">
      <c r="A454" s="2" t="s">
        <v>309</v>
      </c>
      <c r="B454" s="2" t="s">
        <v>402</v>
      </c>
      <c r="C454" s="2" t="s">
        <v>407</v>
      </c>
      <c r="D454" s="2" t="s">
        <v>410</v>
      </c>
      <c r="E454" s="2" t="s">
        <v>413</v>
      </c>
      <c r="F454" s="2" t="s">
        <v>39</v>
      </c>
      <c r="G454" s="2" t="s">
        <v>418</v>
      </c>
      <c r="H454" s="2" t="s">
        <v>347</v>
      </c>
      <c r="S454" s="2" t="s">
        <v>60</v>
      </c>
      <c r="U454" s="2" t="s">
        <v>57</v>
      </c>
      <c r="W454" s="2" t="s">
        <v>59</v>
      </c>
    </row>
    <row r="455" spans="1:25" x14ac:dyDescent="0.25">
      <c r="A455" s="2" t="s">
        <v>309</v>
      </c>
      <c r="B455" s="2" t="s">
        <v>402</v>
      </c>
      <c r="C455" s="2" t="s">
        <v>407</v>
      </c>
      <c r="D455" s="2" t="s">
        <v>410</v>
      </c>
      <c r="E455" s="2" t="s">
        <v>413</v>
      </c>
      <c r="F455" s="2" t="s">
        <v>39</v>
      </c>
      <c r="G455" s="2" t="s">
        <v>419</v>
      </c>
      <c r="H455" s="2" t="s">
        <v>530</v>
      </c>
      <c r="S455" s="2" t="s">
        <v>57</v>
      </c>
      <c r="U455" s="2" t="s">
        <v>60</v>
      </c>
      <c r="W455" s="2" t="s">
        <v>58</v>
      </c>
    </row>
    <row r="456" spans="1:25" x14ac:dyDescent="0.25">
      <c r="A456" s="2" t="s">
        <v>309</v>
      </c>
      <c r="B456" s="2" t="s">
        <v>531</v>
      </c>
      <c r="C456" s="2" t="s">
        <v>407</v>
      </c>
      <c r="D456" s="2" t="s">
        <v>410</v>
      </c>
      <c r="E456" s="2" t="s">
        <v>413</v>
      </c>
      <c r="F456" s="2" t="s">
        <v>39</v>
      </c>
      <c r="J456" s="2" t="s">
        <v>532</v>
      </c>
      <c r="K456" s="2" t="s">
        <v>533</v>
      </c>
      <c r="L456" s="2">
        <v>1</v>
      </c>
      <c r="M456" s="2" t="s">
        <v>534</v>
      </c>
      <c r="O456" s="2" t="s">
        <v>524</v>
      </c>
      <c r="Y456" s="2" t="s">
        <v>588</v>
      </c>
    </row>
    <row r="457" spans="1:25" x14ac:dyDescent="0.25">
      <c r="A457" s="2" t="s">
        <v>309</v>
      </c>
      <c r="B457" s="2" t="s">
        <v>531</v>
      </c>
      <c r="C457" s="2" t="s">
        <v>407</v>
      </c>
      <c r="D457" s="2" t="s">
        <v>410</v>
      </c>
      <c r="E457" s="2" t="s">
        <v>413</v>
      </c>
      <c r="F457" s="2" t="s">
        <v>39</v>
      </c>
      <c r="J457" s="2" t="s">
        <v>532</v>
      </c>
      <c r="K457" s="2" t="s">
        <v>533</v>
      </c>
      <c r="L457" s="2">
        <v>2</v>
      </c>
      <c r="M457" s="2" t="s">
        <v>536</v>
      </c>
      <c r="O457" s="2" t="s">
        <v>524</v>
      </c>
      <c r="Y457" s="2" t="s">
        <v>588</v>
      </c>
    </row>
    <row r="458" spans="1:25" x14ac:dyDescent="0.25">
      <c r="A458" s="2" t="s">
        <v>309</v>
      </c>
      <c r="B458" s="2" t="s">
        <v>531</v>
      </c>
      <c r="C458" s="2" t="s">
        <v>407</v>
      </c>
      <c r="D458" s="2" t="s">
        <v>410</v>
      </c>
      <c r="E458" s="2" t="s">
        <v>413</v>
      </c>
      <c r="F458" s="2" t="s">
        <v>39</v>
      </c>
      <c r="J458" s="2" t="s">
        <v>532</v>
      </c>
      <c r="K458" s="2" t="s">
        <v>533</v>
      </c>
      <c r="L458" s="2">
        <v>3</v>
      </c>
      <c r="M458" s="2" t="s">
        <v>537</v>
      </c>
      <c r="O458" s="2" t="s">
        <v>524</v>
      </c>
      <c r="Y458" s="2" t="s">
        <v>588</v>
      </c>
    </row>
    <row r="459" spans="1:25" x14ac:dyDescent="0.25">
      <c r="A459" s="2" t="s">
        <v>309</v>
      </c>
      <c r="B459" s="2" t="s">
        <v>531</v>
      </c>
      <c r="C459" s="2" t="s">
        <v>407</v>
      </c>
      <c r="D459" s="2" t="s">
        <v>410</v>
      </c>
      <c r="E459" s="2" t="s">
        <v>413</v>
      </c>
      <c r="F459" s="2" t="s">
        <v>39</v>
      </c>
      <c r="J459" s="2" t="s">
        <v>532</v>
      </c>
      <c r="K459" s="2" t="s">
        <v>533</v>
      </c>
      <c r="L459" s="2">
        <v>4</v>
      </c>
      <c r="M459" s="2" t="s">
        <v>538</v>
      </c>
      <c r="O459" s="2" t="s">
        <v>524</v>
      </c>
      <c r="Y459" s="2" t="s">
        <v>588</v>
      </c>
    </row>
    <row r="460" spans="1:25" x14ac:dyDescent="0.25">
      <c r="A460" s="2" t="s">
        <v>309</v>
      </c>
      <c r="B460" s="2" t="s">
        <v>531</v>
      </c>
      <c r="C460" s="2" t="s">
        <v>407</v>
      </c>
      <c r="D460" s="2" t="s">
        <v>410</v>
      </c>
      <c r="E460" s="2" t="s">
        <v>413</v>
      </c>
      <c r="F460" s="2" t="s">
        <v>39</v>
      </c>
      <c r="J460" s="2" t="s">
        <v>532</v>
      </c>
      <c r="K460" s="2" t="s">
        <v>533</v>
      </c>
      <c r="L460" s="2">
        <v>5</v>
      </c>
      <c r="M460" s="2" t="s">
        <v>539</v>
      </c>
      <c r="O460" s="2" t="s">
        <v>524</v>
      </c>
      <c r="Y460" s="2" t="s">
        <v>588</v>
      </c>
    </row>
    <row r="461" spans="1:25" x14ac:dyDescent="0.25">
      <c r="A461" s="2" t="s">
        <v>309</v>
      </c>
      <c r="B461" s="2" t="s">
        <v>540</v>
      </c>
      <c r="C461" s="2" t="s">
        <v>407</v>
      </c>
      <c r="D461" s="2" t="s">
        <v>410</v>
      </c>
      <c r="E461" s="2" t="s">
        <v>413</v>
      </c>
      <c r="F461" s="2" t="s">
        <v>39</v>
      </c>
      <c r="J461" s="2" t="s">
        <v>541</v>
      </c>
      <c r="K461" s="2" t="s">
        <v>542</v>
      </c>
      <c r="L461" s="2">
        <v>1</v>
      </c>
      <c r="M461" s="2" t="s">
        <v>543</v>
      </c>
      <c r="O461" s="2" t="s">
        <v>524</v>
      </c>
      <c r="Y461" s="2" t="s">
        <v>588</v>
      </c>
    </row>
    <row r="462" spans="1:25" x14ac:dyDescent="0.25">
      <c r="A462" s="2" t="s">
        <v>309</v>
      </c>
      <c r="B462" s="2" t="s">
        <v>540</v>
      </c>
      <c r="C462" s="2" t="s">
        <v>407</v>
      </c>
      <c r="D462" s="2" t="s">
        <v>410</v>
      </c>
      <c r="E462" s="2" t="s">
        <v>413</v>
      </c>
      <c r="F462" s="2" t="s">
        <v>39</v>
      </c>
      <c r="J462" s="2" t="s">
        <v>541</v>
      </c>
      <c r="K462" s="2" t="s">
        <v>542</v>
      </c>
      <c r="L462" s="2">
        <v>2</v>
      </c>
      <c r="M462" s="2" t="s">
        <v>544</v>
      </c>
      <c r="O462" s="2" t="s">
        <v>524</v>
      </c>
      <c r="Y462" s="2" t="s">
        <v>588</v>
      </c>
    </row>
    <row r="463" spans="1:25" x14ac:dyDescent="0.25">
      <c r="A463" s="2" t="s">
        <v>309</v>
      </c>
      <c r="B463" s="2" t="s">
        <v>540</v>
      </c>
      <c r="C463" s="2" t="s">
        <v>407</v>
      </c>
      <c r="D463" s="2" t="s">
        <v>410</v>
      </c>
      <c r="E463" s="2" t="s">
        <v>413</v>
      </c>
      <c r="F463" s="2" t="s">
        <v>39</v>
      </c>
      <c r="J463" s="2" t="s">
        <v>541</v>
      </c>
      <c r="K463" s="2" t="s">
        <v>542</v>
      </c>
      <c r="L463" s="2">
        <v>3</v>
      </c>
      <c r="M463" s="2" t="s">
        <v>545</v>
      </c>
      <c r="O463" s="2" t="s">
        <v>524</v>
      </c>
      <c r="Y463" s="2" t="s">
        <v>588</v>
      </c>
    </row>
    <row r="464" spans="1:25" x14ac:dyDescent="0.25">
      <c r="A464" s="2" t="s">
        <v>309</v>
      </c>
      <c r="B464" s="2" t="s">
        <v>540</v>
      </c>
      <c r="C464" s="2" t="s">
        <v>407</v>
      </c>
      <c r="D464" s="2" t="s">
        <v>410</v>
      </c>
      <c r="E464" s="2" t="s">
        <v>413</v>
      </c>
      <c r="F464" s="2" t="s">
        <v>39</v>
      </c>
      <c r="J464" s="2" t="s">
        <v>541</v>
      </c>
      <c r="K464" s="2" t="s">
        <v>542</v>
      </c>
      <c r="L464" s="2">
        <v>4</v>
      </c>
      <c r="M464" s="2" t="s">
        <v>546</v>
      </c>
      <c r="O464" s="2" t="s">
        <v>524</v>
      </c>
      <c r="Y464" s="2" t="s">
        <v>588</v>
      </c>
    </row>
    <row r="465" spans="1:34" x14ac:dyDescent="0.25">
      <c r="A465" s="2" t="s">
        <v>309</v>
      </c>
      <c r="B465" s="2" t="s">
        <v>540</v>
      </c>
      <c r="C465" s="2" t="s">
        <v>407</v>
      </c>
      <c r="D465" s="2" t="s">
        <v>410</v>
      </c>
      <c r="E465" s="2" t="s">
        <v>413</v>
      </c>
      <c r="F465" s="2" t="s">
        <v>39</v>
      </c>
      <c r="J465" s="2" t="s">
        <v>541</v>
      </c>
      <c r="K465" s="2" t="s">
        <v>542</v>
      </c>
      <c r="L465" s="2">
        <v>5</v>
      </c>
      <c r="M465" s="2" t="s">
        <v>547</v>
      </c>
      <c r="O465" s="2" t="s">
        <v>524</v>
      </c>
      <c r="Y465" s="2" t="s">
        <v>588</v>
      </c>
    </row>
    <row r="466" spans="1:34" x14ac:dyDescent="0.25">
      <c r="A466" s="2" t="s">
        <v>309</v>
      </c>
      <c r="B466" s="2" t="s">
        <v>540</v>
      </c>
      <c r="C466" s="2" t="s">
        <v>407</v>
      </c>
      <c r="D466" s="2" t="s">
        <v>410</v>
      </c>
      <c r="E466" s="2" t="s">
        <v>413</v>
      </c>
      <c r="F466" s="2" t="s">
        <v>39</v>
      </c>
      <c r="J466" s="2" t="s">
        <v>541</v>
      </c>
      <c r="K466" s="2" t="s">
        <v>542</v>
      </c>
      <c r="L466" s="2">
        <v>6</v>
      </c>
      <c r="M466" s="2" t="s">
        <v>548</v>
      </c>
      <c r="O466" s="2" t="s">
        <v>524</v>
      </c>
      <c r="Y466" s="2" t="s">
        <v>588</v>
      </c>
    </row>
    <row r="467" spans="1:34" x14ac:dyDescent="0.25">
      <c r="A467" s="2" t="s">
        <v>309</v>
      </c>
      <c r="B467" s="2" t="s">
        <v>540</v>
      </c>
      <c r="C467" s="2" t="s">
        <v>407</v>
      </c>
      <c r="D467" s="2" t="s">
        <v>410</v>
      </c>
      <c r="E467" s="2" t="s">
        <v>413</v>
      </c>
      <c r="F467" s="2" t="s">
        <v>39</v>
      </c>
      <c r="J467" s="2" t="s">
        <v>541</v>
      </c>
      <c r="K467" s="2" t="s">
        <v>542</v>
      </c>
      <c r="L467" s="2">
        <v>7</v>
      </c>
      <c r="M467" s="2" t="s">
        <v>549</v>
      </c>
      <c r="O467" s="2" t="s">
        <v>524</v>
      </c>
      <c r="Y467" s="2" t="s">
        <v>588</v>
      </c>
    </row>
    <row r="468" spans="1:34" x14ac:dyDescent="0.25">
      <c r="A468" s="2" t="s">
        <v>309</v>
      </c>
      <c r="B468" s="2" t="s">
        <v>540</v>
      </c>
      <c r="C468" s="2" t="s">
        <v>407</v>
      </c>
      <c r="D468" s="2" t="s">
        <v>410</v>
      </c>
      <c r="E468" s="2" t="s">
        <v>413</v>
      </c>
      <c r="F468" s="2" t="s">
        <v>39</v>
      </c>
      <c r="J468" s="2" t="s">
        <v>541</v>
      </c>
      <c r="K468" s="2" t="s">
        <v>542</v>
      </c>
      <c r="L468" s="2">
        <v>8</v>
      </c>
      <c r="M468" s="2" t="s">
        <v>550</v>
      </c>
      <c r="O468" s="2" t="s">
        <v>524</v>
      </c>
      <c r="Y468" s="2" t="s">
        <v>588</v>
      </c>
    </row>
    <row r="469" spans="1:34" x14ac:dyDescent="0.25">
      <c r="A469" s="2" t="s">
        <v>309</v>
      </c>
      <c r="B469" s="2" t="s">
        <v>540</v>
      </c>
      <c r="C469" s="2" t="s">
        <v>407</v>
      </c>
      <c r="D469" s="2" t="s">
        <v>410</v>
      </c>
      <c r="E469" s="2" t="s">
        <v>413</v>
      </c>
      <c r="F469" s="2" t="s">
        <v>39</v>
      </c>
      <c r="J469" s="2" t="s">
        <v>541</v>
      </c>
      <c r="K469" s="2" t="s">
        <v>542</v>
      </c>
      <c r="L469" s="2">
        <v>9</v>
      </c>
      <c r="M469" s="2" t="s">
        <v>551</v>
      </c>
      <c r="O469" s="2" t="s">
        <v>524</v>
      </c>
      <c r="Y469" s="2" t="s">
        <v>588</v>
      </c>
    </row>
    <row r="470" spans="1:34" x14ac:dyDescent="0.25">
      <c r="A470" s="2" t="s">
        <v>309</v>
      </c>
      <c r="B470" s="2" t="s">
        <v>540</v>
      </c>
      <c r="C470" s="2" t="s">
        <v>407</v>
      </c>
      <c r="D470" s="2" t="s">
        <v>410</v>
      </c>
      <c r="E470" s="2" t="s">
        <v>413</v>
      </c>
      <c r="F470" s="2" t="s">
        <v>39</v>
      </c>
      <c r="J470" s="2" t="s">
        <v>541</v>
      </c>
      <c r="K470" s="2" t="s">
        <v>542</v>
      </c>
      <c r="L470" s="2">
        <v>10</v>
      </c>
      <c r="M470" s="2" t="s">
        <v>552</v>
      </c>
      <c r="O470" s="2" t="s">
        <v>524</v>
      </c>
      <c r="Y470" s="2" t="s">
        <v>588</v>
      </c>
    </row>
    <row r="471" spans="1:34" x14ac:dyDescent="0.25">
      <c r="A471" s="2" t="s">
        <v>309</v>
      </c>
      <c r="B471" s="2" t="s">
        <v>540</v>
      </c>
      <c r="C471" s="2" t="s">
        <v>407</v>
      </c>
      <c r="D471" s="2" t="s">
        <v>410</v>
      </c>
      <c r="E471" s="2" t="s">
        <v>413</v>
      </c>
      <c r="F471" s="2" t="s">
        <v>39</v>
      </c>
      <c r="J471" s="2" t="s">
        <v>541</v>
      </c>
      <c r="K471" s="2" t="s">
        <v>542</v>
      </c>
      <c r="L471" s="2">
        <v>11</v>
      </c>
      <c r="M471" s="2" t="s">
        <v>553</v>
      </c>
      <c r="O471" s="2" t="s">
        <v>524</v>
      </c>
      <c r="Y471" s="2" t="s">
        <v>588</v>
      </c>
    </row>
    <row r="472" spans="1:34" x14ac:dyDescent="0.25">
      <c r="A472" s="2" t="s">
        <v>309</v>
      </c>
      <c r="B472" s="2" t="s">
        <v>540</v>
      </c>
      <c r="C472" s="2" t="s">
        <v>407</v>
      </c>
      <c r="D472" s="2" t="s">
        <v>410</v>
      </c>
      <c r="E472" s="2" t="s">
        <v>413</v>
      </c>
      <c r="F472" s="2" t="s">
        <v>39</v>
      </c>
      <c r="J472" s="2" t="s">
        <v>541</v>
      </c>
      <c r="K472" s="2" t="s">
        <v>542</v>
      </c>
      <c r="L472" s="2">
        <v>12</v>
      </c>
      <c r="M472" s="2" t="s">
        <v>554</v>
      </c>
      <c r="O472" s="2" t="s">
        <v>524</v>
      </c>
      <c r="Y472" s="2" t="s">
        <v>588</v>
      </c>
    </row>
    <row r="473" spans="1:34" x14ac:dyDescent="0.25">
      <c r="A473" s="2" t="s">
        <v>309</v>
      </c>
      <c r="B473" s="2" t="s">
        <v>555</v>
      </c>
      <c r="C473" s="2" t="s">
        <v>407</v>
      </c>
      <c r="D473" s="2" t="s">
        <v>410</v>
      </c>
      <c r="E473" s="2" t="s">
        <v>413</v>
      </c>
      <c r="F473" s="2" t="s">
        <v>39</v>
      </c>
      <c r="J473" s="2" t="s">
        <v>556</v>
      </c>
      <c r="O473" s="2" t="s">
        <v>524</v>
      </c>
      <c r="Y473" s="2" t="s">
        <v>588</v>
      </c>
      <c r="AB473" s="2">
        <v>1</v>
      </c>
    </row>
    <row r="474" spans="1:34" x14ac:dyDescent="0.25">
      <c r="A474" s="2" t="s">
        <v>309</v>
      </c>
      <c r="B474" s="2" t="s">
        <v>557</v>
      </c>
      <c r="C474" s="2" t="s">
        <v>407</v>
      </c>
      <c r="D474" s="2" t="s">
        <v>410</v>
      </c>
      <c r="E474" s="2" t="s">
        <v>413</v>
      </c>
      <c r="F474" s="2" t="s">
        <v>39</v>
      </c>
      <c r="J474" s="2" t="s">
        <v>558</v>
      </c>
      <c r="O474" s="2" t="s">
        <v>524</v>
      </c>
      <c r="Y474" s="2" t="s">
        <v>588</v>
      </c>
      <c r="AC474" s="2">
        <f>COUNTIFS($B:$B,"BLOCK_LOAD_Q",$A:$A,$A474,$C:$C,$C474,$E:$E,$E474,$F:$F,$F474,$N:$N, "&lt;&gt;")</f>
        <v>0</v>
      </c>
      <c r="AD474" s="2">
        <f>COUNTIFS($B:$B,"BLOCK_TRUST_Q",$A:$A,$A474,$C:$C,$C474,$E:$E,$E474,$F:$F,$F474,$N:$N, "&lt;&gt;")</f>
        <v>0</v>
      </c>
      <c r="AE474" s="2" t="str">
        <f>IFERROR(AVERAGEIFS($P:$P,$B:$B,"BLOCK_LOAD_Q",$A:$A,$A474,$C:$C,$C474,$E:$E,$E474,$F:$F,$F474,$P:$P,"&gt;0"),"")</f>
        <v/>
      </c>
      <c r="AF474" s="2" t="str">
        <f>IFERROR(AVERAGEIFS($P:$P,$B:$B,"BLOCK_TRUST_Q",$A:$A,$A474,$C:$C,$C474,$E:$E,$E474,$F:$F,$F474,$P:$P,"&gt;0"),"")</f>
        <v/>
      </c>
      <c r="AG474" s="2">
        <f>5-AC474</f>
        <v>5</v>
      </c>
      <c r="AH474" s="2">
        <f>12-AD474</f>
        <v>12</v>
      </c>
    </row>
    <row r="475" spans="1:34" x14ac:dyDescent="0.25">
      <c r="A475" s="2" t="s">
        <v>309</v>
      </c>
      <c r="B475" s="2" t="s">
        <v>402</v>
      </c>
      <c r="C475" s="2" t="s">
        <v>407</v>
      </c>
      <c r="D475" s="2" t="s">
        <v>410</v>
      </c>
      <c r="E475" s="2" t="s">
        <v>414</v>
      </c>
      <c r="F475" s="2" t="s">
        <v>40</v>
      </c>
      <c r="G475" s="2" t="s">
        <v>415</v>
      </c>
      <c r="H475" s="2" t="s">
        <v>354</v>
      </c>
      <c r="S475" s="2" t="s">
        <v>59</v>
      </c>
      <c r="U475" s="2" t="s">
        <v>59</v>
      </c>
      <c r="W475" s="2" t="s">
        <v>58</v>
      </c>
    </row>
    <row r="476" spans="1:34" x14ac:dyDescent="0.25">
      <c r="A476" s="2" t="s">
        <v>309</v>
      </c>
      <c r="B476" s="2" t="s">
        <v>402</v>
      </c>
      <c r="C476" s="2" t="s">
        <v>407</v>
      </c>
      <c r="D476" s="2" t="s">
        <v>410</v>
      </c>
      <c r="E476" s="2" t="s">
        <v>414</v>
      </c>
      <c r="F476" s="2" t="s">
        <v>40</v>
      </c>
      <c r="G476" s="2" t="s">
        <v>416</v>
      </c>
      <c r="H476" s="2" t="s">
        <v>559</v>
      </c>
      <c r="S476" s="2" t="s">
        <v>57</v>
      </c>
      <c r="U476" s="2" t="s">
        <v>57</v>
      </c>
      <c r="W476" s="2" t="s">
        <v>58</v>
      </c>
    </row>
    <row r="477" spans="1:34" x14ac:dyDescent="0.25">
      <c r="A477" s="2" t="s">
        <v>309</v>
      </c>
      <c r="B477" s="2" t="s">
        <v>402</v>
      </c>
      <c r="C477" s="2" t="s">
        <v>407</v>
      </c>
      <c r="D477" s="2" t="s">
        <v>410</v>
      </c>
      <c r="E477" s="2" t="s">
        <v>414</v>
      </c>
      <c r="F477" s="2" t="s">
        <v>40</v>
      </c>
      <c r="G477" s="2" t="s">
        <v>417</v>
      </c>
      <c r="H477" s="2" t="s">
        <v>370</v>
      </c>
      <c r="S477" s="2" t="s">
        <v>60</v>
      </c>
      <c r="U477" s="2" t="s">
        <v>58</v>
      </c>
      <c r="W477" s="2" t="s">
        <v>59</v>
      </c>
    </row>
    <row r="478" spans="1:34" x14ac:dyDescent="0.25">
      <c r="A478" s="2" t="s">
        <v>309</v>
      </c>
      <c r="B478" s="2" t="s">
        <v>402</v>
      </c>
      <c r="C478" s="2" t="s">
        <v>407</v>
      </c>
      <c r="D478" s="2" t="s">
        <v>410</v>
      </c>
      <c r="E478" s="2" t="s">
        <v>414</v>
      </c>
      <c r="F478" s="2" t="s">
        <v>40</v>
      </c>
      <c r="G478" s="2" t="s">
        <v>418</v>
      </c>
      <c r="H478" s="2" t="s">
        <v>560</v>
      </c>
      <c r="S478" s="2" t="s">
        <v>57</v>
      </c>
      <c r="U478" s="2" t="s">
        <v>58</v>
      </c>
      <c r="W478" s="2" t="s">
        <v>60</v>
      </c>
    </row>
    <row r="479" spans="1:34" x14ac:dyDescent="0.25">
      <c r="A479" s="2" t="s">
        <v>309</v>
      </c>
      <c r="B479" s="2" t="s">
        <v>531</v>
      </c>
      <c r="C479" s="2" t="s">
        <v>407</v>
      </c>
      <c r="D479" s="2" t="s">
        <v>410</v>
      </c>
      <c r="E479" s="2" t="s">
        <v>414</v>
      </c>
      <c r="F479" s="2" t="s">
        <v>40</v>
      </c>
      <c r="J479" s="2" t="s">
        <v>532</v>
      </c>
      <c r="K479" s="2" t="s">
        <v>533</v>
      </c>
      <c r="L479" s="2">
        <v>1</v>
      </c>
      <c r="M479" s="2" t="s">
        <v>534</v>
      </c>
      <c r="O479" s="2" t="s">
        <v>524</v>
      </c>
      <c r="Y479" s="2" t="s">
        <v>589</v>
      </c>
    </row>
    <row r="480" spans="1:34" x14ac:dyDescent="0.25">
      <c r="A480" s="2" t="s">
        <v>309</v>
      </c>
      <c r="B480" s="2" t="s">
        <v>531</v>
      </c>
      <c r="C480" s="2" t="s">
        <v>407</v>
      </c>
      <c r="D480" s="2" t="s">
        <v>410</v>
      </c>
      <c r="E480" s="2" t="s">
        <v>414</v>
      </c>
      <c r="F480" s="2" t="s">
        <v>40</v>
      </c>
      <c r="J480" s="2" t="s">
        <v>532</v>
      </c>
      <c r="K480" s="2" t="s">
        <v>533</v>
      </c>
      <c r="L480" s="2">
        <v>2</v>
      </c>
      <c r="M480" s="2" t="s">
        <v>536</v>
      </c>
      <c r="O480" s="2" t="s">
        <v>524</v>
      </c>
      <c r="Y480" s="2" t="s">
        <v>589</v>
      </c>
    </row>
    <row r="481" spans="1:28" x14ac:dyDescent="0.25">
      <c r="A481" s="2" t="s">
        <v>309</v>
      </c>
      <c r="B481" s="2" t="s">
        <v>531</v>
      </c>
      <c r="C481" s="2" t="s">
        <v>407</v>
      </c>
      <c r="D481" s="2" t="s">
        <v>410</v>
      </c>
      <c r="E481" s="2" t="s">
        <v>414</v>
      </c>
      <c r="F481" s="2" t="s">
        <v>40</v>
      </c>
      <c r="J481" s="2" t="s">
        <v>532</v>
      </c>
      <c r="K481" s="2" t="s">
        <v>533</v>
      </c>
      <c r="L481" s="2">
        <v>3</v>
      </c>
      <c r="M481" s="2" t="s">
        <v>537</v>
      </c>
      <c r="O481" s="2" t="s">
        <v>524</v>
      </c>
      <c r="Y481" s="2" t="s">
        <v>589</v>
      </c>
    </row>
    <row r="482" spans="1:28" x14ac:dyDescent="0.25">
      <c r="A482" s="2" t="s">
        <v>309</v>
      </c>
      <c r="B482" s="2" t="s">
        <v>531</v>
      </c>
      <c r="C482" s="2" t="s">
        <v>407</v>
      </c>
      <c r="D482" s="2" t="s">
        <v>410</v>
      </c>
      <c r="E482" s="2" t="s">
        <v>414</v>
      </c>
      <c r="F482" s="2" t="s">
        <v>40</v>
      </c>
      <c r="J482" s="2" t="s">
        <v>532</v>
      </c>
      <c r="K482" s="2" t="s">
        <v>533</v>
      </c>
      <c r="L482" s="2">
        <v>4</v>
      </c>
      <c r="M482" s="2" t="s">
        <v>538</v>
      </c>
      <c r="O482" s="2" t="s">
        <v>524</v>
      </c>
      <c r="Y482" s="2" t="s">
        <v>589</v>
      </c>
    </row>
    <row r="483" spans="1:28" x14ac:dyDescent="0.25">
      <c r="A483" s="2" t="s">
        <v>309</v>
      </c>
      <c r="B483" s="2" t="s">
        <v>531</v>
      </c>
      <c r="C483" s="2" t="s">
        <v>407</v>
      </c>
      <c r="D483" s="2" t="s">
        <v>410</v>
      </c>
      <c r="E483" s="2" t="s">
        <v>414</v>
      </c>
      <c r="F483" s="2" t="s">
        <v>40</v>
      </c>
      <c r="J483" s="2" t="s">
        <v>532</v>
      </c>
      <c r="K483" s="2" t="s">
        <v>533</v>
      </c>
      <c r="L483" s="2">
        <v>5</v>
      </c>
      <c r="M483" s="2" t="s">
        <v>539</v>
      </c>
      <c r="O483" s="2" t="s">
        <v>524</v>
      </c>
      <c r="Y483" s="2" t="s">
        <v>589</v>
      </c>
    </row>
    <row r="484" spans="1:28" x14ac:dyDescent="0.25">
      <c r="A484" s="2" t="s">
        <v>309</v>
      </c>
      <c r="B484" s="2" t="s">
        <v>540</v>
      </c>
      <c r="C484" s="2" t="s">
        <v>407</v>
      </c>
      <c r="D484" s="2" t="s">
        <v>410</v>
      </c>
      <c r="E484" s="2" t="s">
        <v>414</v>
      </c>
      <c r="F484" s="2" t="s">
        <v>40</v>
      </c>
      <c r="J484" s="2" t="s">
        <v>541</v>
      </c>
      <c r="K484" s="2" t="s">
        <v>542</v>
      </c>
      <c r="L484" s="2">
        <v>1</v>
      </c>
      <c r="M484" s="2" t="s">
        <v>543</v>
      </c>
      <c r="O484" s="2" t="s">
        <v>524</v>
      </c>
      <c r="Y484" s="2" t="s">
        <v>589</v>
      </c>
    </row>
    <row r="485" spans="1:28" x14ac:dyDescent="0.25">
      <c r="A485" s="2" t="s">
        <v>309</v>
      </c>
      <c r="B485" s="2" t="s">
        <v>540</v>
      </c>
      <c r="C485" s="2" t="s">
        <v>407</v>
      </c>
      <c r="D485" s="2" t="s">
        <v>410</v>
      </c>
      <c r="E485" s="2" t="s">
        <v>414</v>
      </c>
      <c r="F485" s="2" t="s">
        <v>40</v>
      </c>
      <c r="J485" s="2" t="s">
        <v>541</v>
      </c>
      <c r="K485" s="2" t="s">
        <v>542</v>
      </c>
      <c r="L485" s="2">
        <v>2</v>
      </c>
      <c r="M485" s="2" t="s">
        <v>544</v>
      </c>
      <c r="O485" s="2" t="s">
        <v>524</v>
      </c>
      <c r="Y485" s="2" t="s">
        <v>589</v>
      </c>
    </row>
    <row r="486" spans="1:28" x14ac:dyDescent="0.25">
      <c r="A486" s="2" t="s">
        <v>309</v>
      </c>
      <c r="B486" s="2" t="s">
        <v>540</v>
      </c>
      <c r="C486" s="2" t="s">
        <v>407</v>
      </c>
      <c r="D486" s="2" t="s">
        <v>410</v>
      </c>
      <c r="E486" s="2" t="s">
        <v>414</v>
      </c>
      <c r="F486" s="2" t="s">
        <v>40</v>
      </c>
      <c r="J486" s="2" t="s">
        <v>541</v>
      </c>
      <c r="K486" s="2" t="s">
        <v>542</v>
      </c>
      <c r="L486" s="2">
        <v>3</v>
      </c>
      <c r="M486" s="2" t="s">
        <v>545</v>
      </c>
      <c r="O486" s="2" t="s">
        <v>524</v>
      </c>
      <c r="Y486" s="2" t="s">
        <v>589</v>
      </c>
    </row>
    <row r="487" spans="1:28" x14ac:dyDescent="0.25">
      <c r="A487" s="2" t="s">
        <v>309</v>
      </c>
      <c r="B487" s="2" t="s">
        <v>540</v>
      </c>
      <c r="C487" s="2" t="s">
        <v>407</v>
      </c>
      <c r="D487" s="2" t="s">
        <v>410</v>
      </c>
      <c r="E487" s="2" t="s">
        <v>414</v>
      </c>
      <c r="F487" s="2" t="s">
        <v>40</v>
      </c>
      <c r="J487" s="2" t="s">
        <v>541</v>
      </c>
      <c r="K487" s="2" t="s">
        <v>542</v>
      </c>
      <c r="L487" s="2">
        <v>4</v>
      </c>
      <c r="M487" s="2" t="s">
        <v>546</v>
      </c>
      <c r="O487" s="2" t="s">
        <v>524</v>
      </c>
      <c r="Y487" s="2" t="s">
        <v>589</v>
      </c>
    </row>
    <row r="488" spans="1:28" x14ac:dyDescent="0.25">
      <c r="A488" s="2" t="s">
        <v>309</v>
      </c>
      <c r="B488" s="2" t="s">
        <v>540</v>
      </c>
      <c r="C488" s="2" t="s">
        <v>407</v>
      </c>
      <c r="D488" s="2" t="s">
        <v>410</v>
      </c>
      <c r="E488" s="2" t="s">
        <v>414</v>
      </c>
      <c r="F488" s="2" t="s">
        <v>40</v>
      </c>
      <c r="J488" s="2" t="s">
        <v>541</v>
      </c>
      <c r="K488" s="2" t="s">
        <v>542</v>
      </c>
      <c r="L488" s="2">
        <v>5</v>
      </c>
      <c r="M488" s="2" t="s">
        <v>547</v>
      </c>
      <c r="O488" s="2" t="s">
        <v>524</v>
      </c>
      <c r="Y488" s="2" t="s">
        <v>589</v>
      </c>
    </row>
    <row r="489" spans="1:28" x14ac:dyDescent="0.25">
      <c r="A489" s="2" t="s">
        <v>309</v>
      </c>
      <c r="B489" s="2" t="s">
        <v>540</v>
      </c>
      <c r="C489" s="2" t="s">
        <v>407</v>
      </c>
      <c r="D489" s="2" t="s">
        <v>410</v>
      </c>
      <c r="E489" s="2" t="s">
        <v>414</v>
      </c>
      <c r="F489" s="2" t="s">
        <v>40</v>
      </c>
      <c r="J489" s="2" t="s">
        <v>541</v>
      </c>
      <c r="K489" s="2" t="s">
        <v>542</v>
      </c>
      <c r="L489" s="2">
        <v>6</v>
      </c>
      <c r="M489" s="2" t="s">
        <v>548</v>
      </c>
      <c r="O489" s="2" t="s">
        <v>524</v>
      </c>
      <c r="Y489" s="2" t="s">
        <v>589</v>
      </c>
    </row>
    <row r="490" spans="1:28" x14ac:dyDescent="0.25">
      <c r="A490" s="2" t="s">
        <v>309</v>
      </c>
      <c r="B490" s="2" t="s">
        <v>540</v>
      </c>
      <c r="C490" s="2" t="s">
        <v>407</v>
      </c>
      <c r="D490" s="2" t="s">
        <v>410</v>
      </c>
      <c r="E490" s="2" t="s">
        <v>414</v>
      </c>
      <c r="F490" s="2" t="s">
        <v>40</v>
      </c>
      <c r="J490" s="2" t="s">
        <v>541</v>
      </c>
      <c r="K490" s="2" t="s">
        <v>542</v>
      </c>
      <c r="L490" s="2">
        <v>7</v>
      </c>
      <c r="M490" s="2" t="s">
        <v>549</v>
      </c>
      <c r="O490" s="2" t="s">
        <v>524</v>
      </c>
      <c r="Y490" s="2" t="s">
        <v>589</v>
      </c>
    </row>
    <row r="491" spans="1:28" x14ac:dyDescent="0.25">
      <c r="A491" s="2" t="s">
        <v>309</v>
      </c>
      <c r="B491" s="2" t="s">
        <v>540</v>
      </c>
      <c r="C491" s="2" t="s">
        <v>407</v>
      </c>
      <c r="D491" s="2" t="s">
        <v>410</v>
      </c>
      <c r="E491" s="2" t="s">
        <v>414</v>
      </c>
      <c r="F491" s="2" t="s">
        <v>40</v>
      </c>
      <c r="J491" s="2" t="s">
        <v>541</v>
      </c>
      <c r="K491" s="2" t="s">
        <v>542</v>
      </c>
      <c r="L491" s="2">
        <v>8</v>
      </c>
      <c r="M491" s="2" t="s">
        <v>550</v>
      </c>
      <c r="O491" s="2" t="s">
        <v>524</v>
      </c>
      <c r="Y491" s="2" t="s">
        <v>589</v>
      </c>
    </row>
    <row r="492" spans="1:28" x14ac:dyDescent="0.25">
      <c r="A492" s="2" t="s">
        <v>309</v>
      </c>
      <c r="B492" s="2" t="s">
        <v>540</v>
      </c>
      <c r="C492" s="2" t="s">
        <v>407</v>
      </c>
      <c r="D492" s="2" t="s">
        <v>410</v>
      </c>
      <c r="E492" s="2" t="s">
        <v>414</v>
      </c>
      <c r="F492" s="2" t="s">
        <v>40</v>
      </c>
      <c r="J492" s="2" t="s">
        <v>541</v>
      </c>
      <c r="K492" s="2" t="s">
        <v>542</v>
      </c>
      <c r="L492" s="2">
        <v>9</v>
      </c>
      <c r="M492" s="2" t="s">
        <v>551</v>
      </c>
      <c r="O492" s="2" t="s">
        <v>524</v>
      </c>
      <c r="Y492" s="2" t="s">
        <v>589</v>
      </c>
    </row>
    <row r="493" spans="1:28" x14ac:dyDescent="0.25">
      <c r="A493" s="2" t="s">
        <v>309</v>
      </c>
      <c r="B493" s="2" t="s">
        <v>540</v>
      </c>
      <c r="C493" s="2" t="s">
        <v>407</v>
      </c>
      <c r="D493" s="2" t="s">
        <v>410</v>
      </c>
      <c r="E493" s="2" t="s">
        <v>414</v>
      </c>
      <c r="F493" s="2" t="s">
        <v>40</v>
      </c>
      <c r="J493" s="2" t="s">
        <v>541</v>
      </c>
      <c r="K493" s="2" t="s">
        <v>542</v>
      </c>
      <c r="L493" s="2">
        <v>10</v>
      </c>
      <c r="M493" s="2" t="s">
        <v>552</v>
      </c>
      <c r="O493" s="2" t="s">
        <v>524</v>
      </c>
      <c r="Y493" s="2" t="s">
        <v>589</v>
      </c>
    </row>
    <row r="494" spans="1:28" x14ac:dyDescent="0.25">
      <c r="A494" s="2" t="s">
        <v>309</v>
      </c>
      <c r="B494" s="2" t="s">
        <v>540</v>
      </c>
      <c r="C494" s="2" t="s">
        <v>407</v>
      </c>
      <c r="D494" s="2" t="s">
        <v>410</v>
      </c>
      <c r="E494" s="2" t="s">
        <v>414</v>
      </c>
      <c r="F494" s="2" t="s">
        <v>40</v>
      </c>
      <c r="J494" s="2" t="s">
        <v>541</v>
      </c>
      <c r="K494" s="2" t="s">
        <v>542</v>
      </c>
      <c r="L494" s="2">
        <v>11</v>
      </c>
      <c r="M494" s="2" t="s">
        <v>553</v>
      </c>
      <c r="O494" s="2" t="s">
        <v>524</v>
      </c>
      <c r="Y494" s="2" t="s">
        <v>589</v>
      </c>
    </row>
    <row r="495" spans="1:28" x14ac:dyDescent="0.25">
      <c r="A495" s="2" t="s">
        <v>309</v>
      </c>
      <c r="B495" s="2" t="s">
        <v>540</v>
      </c>
      <c r="C495" s="2" t="s">
        <v>407</v>
      </c>
      <c r="D495" s="2" t="s">
        <v>410</v>
      </c>
      <c r="E495" s="2" t="s">
        <v>414</v>
      </c>
      <c r="F495" s="2" t="s">
        <v>40</v>
      </c>
      <c r="J495" s="2" t="s">
        <v>541</v>
      </c>
      <c r="K495" s="2" t="s">
        <v>542</v>
      </c>
      <c r="L495" s="2">
        <v>12</v>
      </c>
      <c r="M495" s="2" t="s">
        <v>554</v>
      </c>
      <c r="O495" s="2" t="s">
        <v>524</v>
      </c>
      <c r="Y495" s="2" t="s">
        <v>589</v>
      </c>
    </row>
    <row r="496" spans="1:28" x14ac:dyDescent="0.25">
      <c r="A496" s="2" t="s">
        <v>309</v>
      </c>
      <c r="B496" s="2" t="s">
        <v>555</v>
      </c>
      <c r="C496" s="2" t="s">
        <v>407</v>
      </c>
      <c r="D496" s="2" t="s">
        <v>410</v>
      </c>
      <c r="E496" s="2" t="s">
        <v>414</v>
      </c>
      <c r="F496" s="2" t="s">
        <v>40</v>
      </c>
      <c r="J496" s="2" t="s">
        <v>556</v>
      </c>
      <c r="O496" s="2" t="s">
        <v>524</v>
      </c>
      <c r="Y496" s="2" t="s">
        <v>589</v>
      </c>
      <c r="AB496" s="2">
        <v>2</v>
      </c>
    </row>
    <row r="497" spans="1:34" x14ac:dyDescent="0.25">
      <c r="A497" s="2" t="s">
        <v>309</v>
      </c>
      <c r="B497" s="2" t="s">
        <v>557</v>
      </c>
      <c r="C497" s="2" t="s">
        <v>407</v>
      </c>
      <c r="D497" s="2" t="s">
        <v>410</v>
      </c>
      <c r="E497" s="2" t="s">
        <v>414</v>
      </c>
      <c r="F497" s="2" t="s">
        <v>40</v>
      </c>
      <c r="J497" s="2" t="s">
        <v>558</v>
      </c>
      <c r="O497" s="2" t="s">
        <v>524</v>
      </c>
      <c r="Y497" s="2" t="s">
        <v>589</v>
      </c>
      <c r="AC497" s="2">
        <f>COUNTIFS($B:$B,"BLOCK_LOAD_Q",$A:$A,$A497,$C:$C,$C497,$E:$E,$E497,$F:$F,$F497,$N:$N, "&lt;&gt;")</f>
        <v>0</v>
      </c>
      <c r="AD497" s="2">
        <f>COUNTIFS($B:$B,"BLOCK_TRUST_Q",$A:$A,$A497,$C:$C,$C497,$E:$E,$E497,$F:$F,$F497,$N:$N, "&lt;&gt;")</f>
        <v>0</v>
      </c>
      <c r="AE497" s="2" t="str">
        <f>IFERROR(AVERAGEIFS($P:$P,$B:$B,"BLOCK_LOAD_Q",$A:$A,$A497,$C:$C,$C497,$E:$E,$E497,$F:$F,$F497,$P:$P,"&gt;0"),"")</f>
        <v/>
      </c>
      <c r="AF497" s="2" t="str">
        <f>IFERROR(AVERAGEIFS($P:$P,$B:$B,"BLOCK_TRUST_Q",$A:$A,$A497,$C:$C,$C497,$E:$E,$E497,$F:$F,$F497,$P:$P,"&gt;0"),"")</f>
        <v/>
      </c>
      <c r="AG497" s="2">
        <f>5-AC497</f>
        <v>5</v>
      </c>
      <c r="AH497" s="2">
        <f>12-AD497</f>
        <v>12</v>
      </c>
    </row>
    <row r="498" spans="1:34" x14ac:dyDescent="0.25">
      <c r="A498" s="2" t="s">
        <v>309</v>
      </c>
      <c r="B498" s="2" t="s">
        <v>403</v>
      </c>
      <c r="C498" s="2" t="s">
        <v>407</v>
      </c>
      <c r="D498" s="2" t="s">
        <v>410</v>
      </c>
      <c r="Z498" s="2" t="s">
        <v>429</v>
      </c>
    </row>
    <row r="499" spans="1:34" x14ac:dyDescent="0.25">
      <c r="A499" s="2" t="s">
        <v>309</v>
      </c>
      <c r="B499" s="2" t="s">
        <v>402</v>
      </c>
      <c r="C499" s="2" t="s">
        <v>408</v>
      </c>
      <c r="D499" s="2" t="s">
        <v>411</v>
      </c>
      <c r="E499" s="2" t="s">
        <v>413</v>
      </c>
      <c r="F499" s="2" t="s">
        <v>39</v>
      </c>
      <c r="G499" s="2" t="s">
        <v>415</v>
      </c>
      <c r="H499" s="2" t="s">
        <v>349</v>
      </c>
      <c r="S499" s="2" t="s">
        <v>58</v>
      </c>
      <c r="U499" s="2" t="s">
        <v>60</v>
      </c>
      <c r="W499" s="2" t="s">
        <v>58</v>
      </c>
    </row>
    <row r="500" spans="1:34" x14ac:dyDescent="0.25">
      <c r="A500" s="2" t="s">
        <v>309</v>
      </c>
      <c r="B500" s="2" t="s">
        <v>402</v>
      </c>
      <c r="C500" s="2" t="s">
        <v>408</v>
      </c>
      <c r="D500" s="2" t="s">
        <v>411</v>
      </c>
      <c r="E500" s="2" t="s">
        <v>413</v>
      </c>
      <c r="F500" s="2" t="s">
        <v>39</v>
      </c>
      <c r="G500" s="2" t="s">
        <v>416</v>
      </c>
      <c r="H500" s="2" t="s">
        <v>565</v>
      </c>
      <c r="S500" s="2" t="s">
        <v>59</v>
      </c>
      <c r="U500" s="2" t="s">
        <v>60</v>
      </c>
      <c r="W500" s="2" t="s">
        <v>60</v>
      </c>
    </row>
    <row r="501" spans="1:34" x14ac:dyDescent="0.25">
      <c r="A501" s="2" t="s">
        <v>309</v>
      </c>
      <c r="B501" s="2" t="s">
        <v>402</v>
      </c>
      <c r="C501" s="2" t="s">
        <v>408</v>
      </c>
      <c r="D501" s="2" t="s">
        <v>411</v>
      </c>
      <c r="E501" s="2" t="s">
        <v>413</v>
      </c>
      <c r="F501" s="2" t="s">
        <v>39</v>
      </c>
      <c r="G501" s="2" t="s">
        <v>417</v>
      </c>
      <c r="H501" s="2" t="s">
        <v>361</v>
      </c>
      <c r="S501" s="2" t="s">
        <v>60</v>
      </c>
      <c r="U501" s="2" t="s">
        <v>60</v>
      </c>
      <c r="W501" s="2" t="s">
        <v>60</v>
      </c>
    </row>
    <row r="502" spans="1:34" x14ac:dyDescent="0.25">
      <c r="A502" s="2" t="s">
        <v>309</v>
      </c>
      <c r="B502" s="2" t="s">
        <v>402</v>
      </c>
      <c r="C502" s="2" t="s">
        <v>408</v>
      </c>
      <c r="D502" s="2" t="s">
        <v>411</v>
      </c>
      <c r="E502" s="2" t="s">
        <v>413</v>
      </c>
      <c r="F502" s="2" t="s">
        <v>39</v>
      </c>
      <c r="G502" s="2" t="s">
        <v>418</v>
      </c>
      <c r="H502" s="2" t="s">
        <v>353</v>
      </c>
      <c r="S502" s="2" t="s">
        <v>58</v>
      </c>
      <c r="U502" s="2" t="s">
        <v>59</v>
      </c>
      <c r="W502" s="2" t="s">
        <v>58</v>
      </c>
    </row>
    <row r="503" spans="1:34" x14ac:dyDescent="0.25">
      <c r="A503" s="2" t="s">
        <v>309</v>
      </c>
      <c r="B503" s="2" t="s">
        <v>402</v>
      </c>
      <c r="C503" s="2" t="s">
        <v>408</v>
      </c>
      <c r="D503" s="2" t="s">
        <v>411</v>
      </c>
      <c r="E503" s="2" t="s">
        <v>413</v>
      </c>
      <c r="F503" s="2" t="s">
        <v>39</v>
      </c>
      <c r="G503" s="2" t="s">
        <v>419</v>
      </c>
      <c r="H503" s="2" t="s">
        <v>371</v>
      </c>
      <c r="S503" s="2" t="s">
        <v>60</v>
      </c>
      <c r="U503" s="2" t="s">
        <v>59</v>
      </c>
      <c r="W503" s="2" t="s">
        <v>57</v>
      </c>
    </row>
    <row r="504" spans="1:34" x14ac:dyDescent="0.25">
      <c r="A504" s="2" t="s">
        <v>309</v>
      </c>
      <c r="B504" s="2" t="s">
        <v>531</v>
      </c>
      <c r="C504" s="2" t="s">
        <v>408</v>
      </c>
      <c r="D504" s="2" t="s">
        <v>411</v>
      </c>
      <c r="E504" s="2" t="s">
        <v>413</v>
      </c>
      <c r="F504" s="2" t="s">
        <v>39</v>
      </c>
      <c r="J504" s="2" t="s">
        <v>532</v>
      </c>
      <c r="K504" s="2" t="s">
        <v>533</v>
      </c>
      <c r="L504" s="2">
        <v>1</v>
      </c>
      <c r="M504" s="2" t="s">
        <v>534</v>
      </c>
      <c r="O504" s="2" t="s">
        <v>524</v>
      </c>
      <c r="Y504" s="2" t="s">
        <v>590</v>
      </c>
    </row>
    <row r="505" spans="1:34" x14ac:dyDescent="0.25">
      <c r="A505" s="2" t="s">
        <v>309</v>
      </c>
      <c r="B505" s="2" t="s">
        <v>531</v>
      </c>
      <c r="C505" s="2" t="s">
        <v>408</v>
      </c>
      <c r="D505" s="2" t="s">
        <v>411</v>
      </c>
      <c r="E505" s="2" t="s">
        <v>413</v>
      </c>
      <c r="F505" s="2" t="s">
        <v>39</v>
      </c>
      <c r="J505" s="2" t="s">
        <v>532</v>
      </c>
      <c r="K505" s="2" t="s">
        <v>533</v>
      </c>
      <c r="L505" s="2">
        <v>2</v>
      </c>
      <c r="M505" s="2" t="s">
        <v>536</v>
      </c>
      <c r="O505" s="2" t="s">
        <v>524</v>
      </c>
      <c r="Y505" s="2" t="s">
        <v>590</v>
      </c>
    </row>
    <row r="506" spans="1:34" x14ac:dyDescent="0.25">
      <c r="A506" s="2" t="s">
        <v>309</v>
      </c>
      <c r="B506" s="2" t="s">
        <v>531</v>
      </c>
      <c r="C506" s="2" t="s">
        <v>408</v>
      </c>
      <c r="D506" s="2" t="s">
        <v>411</v>
      </c>
      <c r="E506" s="2" t="s">
        <v>413</v>
      </c>
      <c r="F506" s="2" t="s">
        <v>39</v>
      </c>
      <c r="J506" s="2" t="s">
        <v>532</v>
      </c>
      <c r="K506" s="2" t="s">
        <v>533</v>
      </c>
      <c r="L506" s="2">
        <v>3</v>
      </c>
      <c r="M506" s="2" t="s">
        <v>537</v>
      </c>
      <c r="O506" s="2" t="s">
        <v>524</v>
      </c>
      <c r="Y506" s="2" t="s">
        <v>590</v>
      </c>
    </row>
    <row r="507" spans="1:34" x14ac:dyDescent="0.25">
      <c r="A507" s="2" t="s">
        <v>309</v>
      </c>
      <c r="B507" s="2" t="s">
        <v>531</v>
      </c>
      <c r="C507" s="2" t="s">
        <v>408</v>
      </c>
      <c r="D507" s="2" t="s">
        <v>411</v>
      </c>
      <c r="E507" s="2" t="s">
        <v>413</v>
      </c>
      <c r="F507" s="2" t="s">
        <v>39</v>
      </c>
      <c r="J507" s="2" t="s">
        <v>532</v>
      </c>
      <c r="K507" s="2" t="s">
        <v>533</v>
      </c>
      <c r="L507" s="2">
        <v>4</v>
      </c>
      <c r="M507" s="2" t="s">
        <v>538</v>
      </c>
      <c r="O507" s="2" t="s">
        <v>524</v>
      </c>
      <c r="Y507" s="2" t="s">
        <v>590</v>
      </c>
    </row>
    <row r="508" spans="1:34" x14ac:dyDescent="0.25">
      <c r="A508" s="2" t="s">
        <v>309</v>
      </c>
      <c r="B508" s="2" t="s">
        <v>531</v>
      </c>
      <c r="C508" s="2" t="s">
        <v>408</v>
      </c>
      <c r="D508" s="2" t="s">
        <v>411</v>
      </c>
      <c r="E508" s="2" t="s">
        <v>413</v>
      </c>
      <c r="F508" s="2" t="s">
        <v>39</v>
      </c>
      <c r="J508" s="2" t="s">
        <v>532</v>
      </c>
      <c r="K508" s="2" t="s">
        <v>533</v>
      </c>
      <c r="L508" s="2">
        <v>5</v>
      </c>
      <c r="M508" s="2" t="s">
        <v>539</v>
      </c>
      <c r="O508" s="2" t="s">
        <v>524</v>
      </c>
      <c r="Y508" s="2" t="s">
        <v>590</v>
      </c>
    </row>
    <row r="509" spans="1:34" x14ac:dyDescent="0.25">
      <c r="A509" s="2" t="s">
        <v>309</v>
      </c>
      <c r="B509" s="2" t="s">
        <v>540</v>
      </c>
      <c r="C509" s="2" t="s">
        <v>408</v>
      </c>
      <c r="D509" s="2" t="s">
        <v>411</v>
      </c>
      <c r="E509" s="2" t="s">
        <v>413</v>
      </c>
      <c r="F509" s="2" t="s">
        <v>39</v>
      </c>
      <c r="J509" s="2" t="s">
        <v>541</v>
      </c>
      <c r="K509" s="2" t="s">
        <v>542</v>
      </c>
      <c r="L509" s="2">
        <v>1</v>
      </c>
      <c r="M509" s="2" t="s">
        <v>543</v>
      </c>
      <c r="O509" s="2" t="s">
        <v>524</v>
      </c>
      <c r="Y509" s="2" t="s">
        <v>590</v>
      </c>
    </row>
    <row r="510" spans="1:34" x14ac:dyDescent="0.25">
      <c r="A510" s="2" t="s">
        <v>309</v>
      </c>
      <c r="B510" s="2" t="s">
        <v>540</v>
      </c>
      <c r="C510" s="2" t="s">
        <v>408</v>
      </c>
      <c r="D510" s="2" t="s">
        <v>411</v>
      </c>
      <c r="E510" s="2" t="s">
        <v>413</v>
      </c>
      <c r="F510" s="2" t="s">
        <v>39</v>
      </c>
      <c r="J510" s="2" t="s">
        <v>541</v>
      </c>
      <c r="K510" s="2" t="s">
        <v>542</v>
      </c>
      <c r="L510" s="2">
        <v>2</v>
      </c>
      <c r="M510" s="2" t="s">
        <v>544</v>
      </c>
      <c r="O510" s="2" t="s">
        <v>524</v>
      </c>
      <c r="Y510" s="2" t="s">
        <v>590</v>
      </c>
    </row>
    <row r="511" spans="1:34" x14ac:dyDescent="0.25">
      <c r="A511" s="2" t="s">
        <v>309</v>
      </c>
      <c r="B511" s="2" t="s">
        <v>540</v>
      </c>
      <c r="C511" s="2" t="s">
        <v>408</v>
      </c>
      <c r="D511" s="2" t="s">
        <v>411</v>
      </c>
      <c r="E511" s="2" t="s">
        <v>413</v>
      </c>
      <c r="F511" s="2" t="s">
        <v>39</v>
      </c>
      <c r="J511" s="2" t="s">
        <v>541</v>
      </c>
      <c r="K511" s="2" t="s">
        <v>542</v>
      </c>
      <c r="L511" s="2">
        <v>3</v>
      </c>
      <c r="M511" s="2" t="s">
        <v>545</v>
      </c>
      <c r="O511" s="2" t="s">
        <v>524</v>
      </c>
      <c r="Y511" s="2" t="s">
        <v>590</v>
      </c>
    </row>
    <row r="512" spans="1:34" x14ac:dyDescent="0.25">
      <c r="A512" s="2" t="s">
        <v>309</v>
      </c>
      <c r="B512" s="2" t="s">
        <v>540</v>
      </c>
      <c r="C512" s="2" t="s">
        <v>408</v>
      </c>
      <c r="D512" s="2" t="s">
        <v>411</v>
      </c>
      <c r="E512" s="2" t="s">
        <v>413</v>
      </c>
      <c r="F512" s="2" t="s">
        <v>39</v>
      </c>
      <c r="J512" s="2" t="s">
        <v>541</v>
      </c>
      <c r="K512" s="2" t="s">
        <v>542</v>
      </c>
      <c r="L512" s="2">
        <v>4</v>
      </c>
      <c r="M512" s="2" t="s">
        <v>546</v>
      </c>
      <c r="O512" s="2" t="s">
        <v>524</v>
      </c>
      <c r="Y512" s="2" t="s">
        <v>590</v>
      </c>
    </row>
    <row r="513" spans="1:34" x14ac:dyDescent="0.25">
      <c r="A513" s="2" t="s">
        <v>309</v>
      </c>
      <c r="B513" s="2" t="s">
        <v>540</v>
      </c>
      <c r="C513" s="2" t="s">
        <v>408</v>
      </c>
      <c r="D513" s="2" t="s">
        <v>411</v>
      </c>
      <c r="E513" s="2" t="s">
        <v>413</v>
      </c>
      <c r="F513" s="2" t="s">
        <v>39</v>
      </c>
      <c r="J513" s="2" t="s">
        <v>541</v>
      </c>
      <c r="K513" s="2" t="s">
        <v>542</v>
      </c>
      <c r="L513" s="2">
        <v>5</v>
      </c>
      <c r="M513" s="2" t="s">
        <v>547</v>
      </c>
      <c r="O513" s="2" t="s">
        <v>524</v>
      </c>
      <c r="Y513" s="2" t="s">
        <v>590</v>
      </c>
    </row>
    <row r="514" spans="1:34" x14ac:dyDescent="0.25">
      <c r="A514" s="2" t="s">
        <v>309</v>
      </c>
      <c r="B514" s="2" t="s">
        <v>540</v>
      </c>
      <c r="C514" s="2" t="s">
        <v>408</v>
      </c>
      <c r="D514" s="2" t="s">
        <v>411</v>
      </c>
      <c r="E514" s="2" t="s">
        <v>413</v>
      </c>
      <c r="F514" s="2" t="s">
        <v>39</v>
      </c>
      <c r="J514" s="2" t="s">
        <v>541</v>
      </c>
      <c r="K514" s="2" t="s">
        <v>542</v>
      </c>
      <c r="L514" s="2">
        <v>6</v>
      </c>
      <c r="M514" s="2" t="s">
        <v>548</v>
      </c>
      <c r="O514" s="2" t="s">
        <v>524</v>
      </c>
      <c r="Y514" s="2" t="s">
        <v>590</v>
      </c>
    </row>
    <row r="515" spans="1:34" x14ac:dyDescent="0.25">
      <c r="A515" s="2" t="s">
        <v>309</v>
      </c>
      <c r="B515" s="2" t="s">
        <v>540</v>
      </c>
      <c r="C515" s="2" t="s">
        <v>408</v>
      </c>
      <c r="D515" s="2" t="s">
        <v>411</v>
      </c>
      <c r="E515" s="2" t="s">
        <v>413</v>
      </c>
      <c r="F515" s="2" t="s">
        <v>39</v>
      </c>
      <c r="J515" s="2" t="s">
        <v>541</v>
      </c>
      <c r="K515" s="2" t="s">
        <v>542</v>
      </c>
      <c r="L515" s="2">
        <v>7</v>
      </c>
      <c r="M515" s="2" t="s">
        <v>549</v>
      </c>
      <c r="O515" s="2" t="s">
        <v>524</v>
      </c>
      <c r="Y515" s="2" t="s">
        <v>590</v>
      </c>
    </row>
    <row r="516" spans="1:34" x14ac:dyDescent="0.25">
      <c r="A516" s="2" t="s">
        <v>309</v>
      </c>
      <c r="B516" s="2" t="s">
        <v>540</v>
      </c>
      <c r="C516" s="2" t="s">
        <v>408</v>
      </c>
      <c r="D516" s="2" t="s">
        <v>411</v>
      </c>
      <c r="E516" s="2" t="s">
        <v>413</v>
      </c>
      <c r="F516" s="2" t="s">
        <v>39</v>
      </c>
      <c r="J516" s="2" t="s">
        <v>541</v>
      </c>
      <c r="K516" s="2" t="s">
        <v>542</v>
      </c>
      <c r="L516" s="2">
        <v>8</v>
      </c>
      <c r="M516" s="2" t="s">
        <v>550</v>
      </c>
      <c r="O516" s="2" t="s">
        <v>524</v>
      </c>
      <c r="Y516" s="2" t="s">
        <v>590</v>
      </c>
    </row>
    <row r="517" spans="1:34" x14ac:dyDescent="0.25">
      <c r="A517" s="2" t="s">
        <v>309</v>
      </c>
      <c r="B517" s="2" t="s">
        <v>540</v>
      </c>
      <c r="C517" s="2" t="s">
        <v>408</v>
      </c>
      <c r="D517" s="2" t="s">
        <v>411</v>
      </c>
      <c r="E517" s="2" t="s">
        <v>413</v>
      </c>
      <c r="F517" s="2" t="s">
        <v>39</v>
      </c>
      <c r="J517" s="2" t="s">
        <v>541</v>
      </c>
      <c r="K517" s="2" t="s">
        <v>542</v>
      </c>
      <c r="L517" s="2">
        <v>9</v>
      </c>
      <c r="M517" s="2" t="s">
        <v>551</v>
      </c>
      <c r="O517" s="2" t="s">
        <v>524</v>
      </c>
      <c r="Y517" s="2" t="s">
        <v>590</v>
      </c>
    </row>
    <row r="518" spans="1:34" x14ac:dyDescent="0.25">
      <c r="A518" s="2" t="s">
        <v>309</v>
      </c>
      <c r="B518" s="2" t="s">
        <v>540</v>
      </c>
      <c r="C518" s="2" t="s">
        <v>408</v>
      </c>
      <c r="D518" s="2" t="s">
        <v>411</v>
      </c>
      <c r="E518" s="2" t="s">
        <v>413</v>
      </c>
      <c r="F518" s="2" t="s">
        <v>39</v>
      </c>
      <c r="J518" s="2" t="s">
        <v>541</v>
      </c>
      <c r="K518" s="2" t="s">
        <v>542</v>
      </c>
      <c r="L518" s="2">
        <v>10</v>
      </c>
      <c r="M518" s="2" t="s">
        <v>552</v>
      </c>
      <c r="O518" s="2" t="s">
        <v>524</v>
      </c>
      <c r="Y518" s="2" t="s">
        <v>590</v>
      </c>
    </row>
    <row r="519" spans="1:34" x14ac:dyDescent="0.25">
      <c r="A519" s="2" t="s">
        <v>309</v>
      </c>
      <c r="B519" s="2" t="s">
        <v>540</v>
      </c>
      <c r="C519" s="2" t="s">
        <v>408</v>
      </c>
      <c r="D519" s="2" t="s">
        <v>411</v>
      </c>
      <c r="E519" s="2" t="s">
        <v>413</v>
      </c>
      <c r="F519" s="2" t="s">
        <v>39</v>
      </c>
      <c r="J519" s="2" t="s">
        <v>541</v>
      </c>
      <c r="K519" s="2" t="s">
        <v>542</v>
      </c>
      <c r="L519" s="2">
        <v>11</v>
      </c>
      <c r="M519" s="2" t="s">
        <v>553</v>
      </c>
      <c r="O519" s="2" t="s">
        <v>524</v>
      </c>
      <c r="Y519" s="2" t="s">
        <v>590</v>
      </c>
    </row>
    <row r="520" spans="1:34" x14ac:dyDescent="0.25">
      <c r="A520" s="2" t="s">
        <v>309</v>
      </c>
      <c r="B520" s="2" t="s">
        <v>540</v>
      </c>
      <c r="C520" s="2" t="s">
        <v>408</v>
      </c>
      <c r="D520" s="2" t="s">
        <v>411</v>
      </c>
      <c r="E520" s="2" t="s">
        <v>413</v>
      </c>
      <c r="F520" s="2" t="s">
        <v>39</v>
      </c>
      <c r="J520" s="2" t="s">
        <v>541</v>
      </c>
      <c r="K520" s="2" t="s">
        <v>542</v>
      </c>
      <c r="L520" s="2">
        <v>12</v>
      </c>
      <c r="M520" s="2" t="s">
        <v>554</v>
      </c>
      <c r="O520" s="2" t="s">
        <v>524</v>
      </c>
      <c r="Y520" s="2" t="s">
        <v>590</v>
      </c>
    </row>
    <row r="521" spans="1:34" x14ac:dyDescent="0.25">
      <c r="A521" s="2" t="s">
        <v>309</v>
      </c>
      <c r="B521" s="2" t="s">
        <v>555</v>
      </c>
      <c r="C521" s="2" t="s">
        <v>408</v>
      </c>
      <c r="D521" s="2" t="s">
        <v>411</v>
      </c>
      <c r="E521" s="2" t="s">
        <v>413</v>
      </c>
      <c r="F521" s="2" t="s">
        <v>39</v>
      </c>
      <c r="J521" s="2" t="s">
        <v>556</v>
      </c>
      <c r="O521" s="2" t="s">
        <v>524</v>
      </c>
      <c r="Y521" s="2" t="s">
        <v>590</v>
      </c>
      <c r="AB521" s="2">
        <v>1</v>
      </c>
    </row>
    <row r="522" spans="1:34" x14ac:dyDescent="0.25">
      <c r="A522" s="2" t="s">
        <v>309</v>
      </c>
      <c r="B522" s="2" t="s">
        <v>557</v>
      </c>
      <c r="C522" s="2" t="s">
        <v>408</v>
      </c>
      <c r="D522" s="2" t="s">
        <v>411</v>
      </c>
      <c r="E522" s="2" t="s">
        <v>413</v>
      </c>
      <c r="F522" s="2" t="s">
        <v>39</v>
      </c>
      <c r="J522" s="2" t="s">
        <v>558</v>
      </c>
      <c r="O522" s="2" t="s">
        <v>524</v>
      </c>
      <c r="Y522" s="2" t="s">
        <v>590</v>
      </c>
      <c r="AC522" s="2">
        <f>COUNTIFS($B:$B,"BLOCK_LOAD_Q",$A:$A,$A522,$C:$C,$C522,$E:$E,$E522,$F:$F,$F522,$N:$N, "&lt;&gt;")</f>
        <v>0</v>
      </c>
      <c r="AD522" s="2">
        <f>COUNTIFS($B:$B,"BLOCK_TRUST_Q",$A:$A,$A522,$C:$C,$C522,$E:$E,$E522,$F:$F,$F522,$N:$N, "&lt;&gt;")</f>
        <v>0</v>
      </c>
      <c r="AE522" s="2" t="str">
        <f>IFERROR(AVERAGEIFS($P:$P,$B:$B,"BLOCK_LOAD_Q",$A:$A,$A522,$C:$C,$C522,$E:$E,$E522,$F:$F,$F522,$P:$P,"&gt;0"),"")</f>
        <v/>
      </c>
      <c r="AF522" s="2" t="str">
        <f>IFERROR(AVERAGEIFS($P:$P,$B:$B,"BLOCK_TRUST_Q",$A:$A,$A522,$C:$C,$C522,$E:$E,$E522,$F:$F,$F522,$P:$P,"&gt;0"),"")</f>
        <v/>
      </c>
      <c r="AG522" s="2">
        <f>5-AC522</f>
        <v>5</v>
      </c>
      <c r="AH522" s="2">
        <f>12-AD522</f>
        <v>12</v>
      </c>
    </row>
    <row r="523" spans="1:34" x14ac:dyDescent="0.25">
      <c r="A523" s="2" t="s">
        <v>309</v>
      </c>
      <c r="B523" s="2" t="s">
        <v>402</v>
      </c>
      <c r="C523" s="2" t="s">
        <v>408</v>
      </c>
      <c r="D523" s="2" t="s">
        <v>411</v>
      </c>
      <c r="E523" s="2" t="s">
        <v>414</v>
      </c>
      <c r="F523" s="2" t="s">
        <v>40</v>
      </c>
      <c r="G523" s="2" t="s">
        <v>415</v>
      </c>
      <c r="H523" s="2" t="s">
        <v>357</v>
      </c>
      <c r="S523" s="2" t="s">
        <v>59</v>
      </c>
      <c r="U523" s="2" t="s">
        <v>60</v>
      </c>
      <c r="W523" s="2" t="s">
        <v>57</v>
      </c>
    </row>
    <row r="524" spans="1:34" x14ac:dyDescent="0.25">
      <c r="A524" s="2" t="s">
        <v>309</v>
      </c>
      <c r="B524" s="2" t="s">
        <v>402</v>
      </c>
      <c r="C524" s="2" t="s">
        <v>408</v>
      </c>
      <c r="D524" s="2" t="s">
        <v>411</v>
      </c>
      <c r="E524" s="2" t="s">
        <v>414</v>
      </c>
      <c r="F524" s="2" t="s">
        <v>40</v>
      </c>
      <c r="G524" s="2" t="s">
        <v>416</v>
      </c>
      <c r="H524" s="2" t="s">
        <v>348</v>
      </c>
      <c r="S524" s="2" t="s">
        <v>58</v>
      </c>
      <c r="U524" s="2" t="s">
        <v>59</v>
      </c>
      <c r="W524" s="2" t="s">
        <v>59</v>
      </c>
    </row>
    <row r="525" spans="1:34" x14ac:dyDescent="0.25">
      <c r="A525" s="2" t="s">
        <v>309</v>
      </c>
      <c r="B525" s="2" t="s">
        <v>402</v>
      </c>
      <c r="C525" s="2" t="s">
        <v>408</v>
      </c>
      <c r="D525" s="2" t="s">
        <v>411</v>
      </c>
      <c r="E525" s="2" t="s">
        <v>414</v>
      </c>
      <c r="F525" s="2" t="s">
        <v>40</v>
      </c>
      <c r="G525" s="2" t="s">
        <v>417</v>
      </c>
      <c r="H525" s="2" t="s">
        <v>562</v>
      </c>
      <c r="S525" s="2" t="s">
        <v>59</v>
      </c>
      <c r="U525" s="2" t="s">
        <v>57</v>
      </c>
      <c r="W525" s="2" t="s">
        <v>57</v>
      </c>
    </row>
    <row r="526" spans="1:34" x14ac:dyDescent="0.25">
      <c r="A526" s="2" t="s">
        <v>309</v>
      </c>
      <c r="B526" s="2" t="s">
        <v>402</v>
      </c>
      <c r="C526" s="2" t="s">
        <v>408</v>
      </c>
      <c r="D526" s="2" t="s">
        <v>411</v>
      </c>
      <c r="E526" s="2" t="s">
        <v>414</v>
      </c>
      <c r="F526" s="2" t="s">
        <v>40</v>
      </c>
      <c r="G526" s="2" t="s">
        <v>418</v>
      </c>
      <c r="H526" s="2" t="s">
        <v>563</v>
      </c>
      <c r="S526" s="2" t="s">
        <v>57</v>
      </c>
      <c r="U526" s="2" t="s">
        <v>60</v>
      </c>
      <c r="W526" s="2" t="s">
        <v>60</v>
      </c>
    </row>
    <row r="527" spans="1:34" x14ac:dyDescent="0.25">
      <c r="A527" s="2" t="s">
        <v>309</v>
      </c>
      <c r="B527" s="2" t="s">
        <v>531</v>
      </c>
      <c r="C527" s="2" t="s">
        <v>408</v>
      </c>
      <c r="D527" s="2" t="s">
        <v>411</v>
      </c>
      <c r="E527" s="2" t="s">
        <v>414</v>
      </c>
      <c r="F527" s="2" t="s">
        <v>40</v>
      </c>
      <c r="J527" s="2" t="s">
        <v>532</v>
      </c>
      <c r="K527" s="2" t="s">
        <v>533</v>
      </c>
      <c r="L527" s="2">
        <v>1</v>
      </c>
      <c r="M527" s="2" t="s">
        <v>534</v>
      </c>
      <c r="O527" s="2" t="s">
        <v>524</v>
      </c>
      <c r="Y527" s="2" t="s">
        <v>591</v>
      </c>
    </row>
    <row r="528" spans="1:34" x14ac:dyDescent="0.25">
      <c r="A528" s="2" t="s">
        <v>309</v>
      </c>
      <c r="B528" s="2" t="s">
        <v>531</v>
      </c>
      <c r="C528" s="2" t="s">
        <v>408</v>
      </c>
      <c r="D528" s="2" t="s">
        <v>411</v>
      </c>
      <c r="E528" s="2" t="s">
        <v>414</v>
      </c>
      <c r="F528" s="2" t="s">
        <v>40</v>
      </c>
      <c r="J528" s="2" t="s">
        <v>532</v>
      </c>
      <c r="K528" s="2" t="s">
        <v>533</v>
      </c>
      <c r="L528" s="2">
        <v>2</v>
      </c>
      <c r="M528" s="2" t="s">
        <v>536</v>
      </c>
      <c r="O528" s="2" t="s">
        <v>524</v>
      </c>
      <c r="Y528" s="2" t="s">
        <v>591</v>
      </c>
    </row>
    <row r="529" spans="1:28" x14ac:dyDescent="0.25">
      <c r="A529" s="2" t="s">
        <v>309</v>
      </c>
      <c r="B529" s="2" t="s">
        <v>531</v>
      </c>
      <c r="C529" s="2" t="s">
        <v>408</v>
      </c>
      <c r="D529" s="2" t="s">
        <v>411</v>
      </c>
      <c r="E529" s="2" t="s">
        <v>414</v>
      </c>
      <c r="F529" s="2" t="s">
        <v>40</v>
      </c>
      <c r="J529" s="2" t="s">
        <v>532</v>
      </c>
      <c r="K529" s="2" t="s">
        <v>533</v>
      </c>
      <c r="L529" s="2">
        <v>3</v>
      </c>
      <c r="M529" s="2" t="s">
        <v>537</v>
      </c>
      <c r="O529" s="2" t="s">
        <v>524</v>
      </c>
      <c r="Y529" s="2" t="s">
        <v>591</v>
      </c>
    </row>
    <row r="530" spans="1:28" x14ac:dyDescent="0.25">
      <c r="A530" s="2" t="s">
        <v>309</v>
      </c>
      <c r="B530" s="2" t="s">
        <v>531</v>
      </c>
      <c r="C530" s="2" t="s">
        <v>408</v>
      </c>
      <c r="D530" s="2" t="s">
        <v>411</v>
      </c>
      <c r="E530" s="2" t="s">
        <v>414</v>
      </c>
      <c r="F530" s="2" t="s">
        <v>40</v>
      </c>
      <c r="J530" s="2" t="s">
        <v>532</v>
      </c>
      <c r="K530" s="2" t="s">
        <v>533</v>
      </c>
      <c r="L530" s="2">
        <v>4</v>
      </c>
      <c r="M530" s="2" t="s">
        <v>538</v>
      </c>
      <c r="O530" s="2" t="s">
        <v>524</v>
      </c>
      <c r="Y530" s="2" t="s">
        <v>591</v>
      </c>
    </row>
    <row r="531" spans="1:28" x14ac:dyDescent="0.25">
      <c r="A531" s="2" t="s">
        <v>309</v>
      </c>
      <c r="B531" s="2" t="s">
        <v>531</v>
      </c>
      <c r="C531" s="2" t="s">
        <v>408</v>
      </c>
      <c r="D531" s="2" t="s">
        <v>411</v>
      </c>
      <c r="E531" s="2" t="s">
        <v>414</v>
      </c>
      <c r="F531" s="2" t="s">
        <v>40</v>
      </c>
      <c r="J531" s="2" t="s">
        <v>532</v>
      </c>
      <c r="K531" s="2" t="s">
        <v>533</v>
      </c>
      <c r="L531" s="2">
        <v>5</v>
      </c>
      <c r="M531" s="2" t="s">
        <v>539</v>
      </c>
      <c r="O531" s="2" t="s">
        <v>524</v>
      </c>
      <c r="Y531" s="2" t="s">
        <v>591</v>
      </c>
    </row>
    <row r="532" spans="1:28" x14ac:dyDescent="0.25">
      <c r="A532" s="2" t="s">
        <v>309</v>
      </c>
      <c r="B532" s="2" t="s">
        <v>540</v>
      </c>
      <c r="C532" s="2" t="s">
        <v>408</v>
      </c>
      <c r="D532" s="2" t="s">
        <v>411</v>
      </c>
      <c r="E532" s="2" t="s">
        <v>414</v>
      </c>
      <c r="F532" s="2" t="s">
        <v>40</v>
      </c>
      <c r="J532" s="2" t="s">
        <v>541</v>
      </c>
      <c r="K532" s="2" t="s">
        <v>542</v>
      </c>
      <c r="L532" s="2">
        <v>1</v>
      </c>
      <c r="M532" s="2" t="s">
        <v>543</v>
      </c>
      <c r="O532" s="2" t="s">
        <v>524</v>
      </c>
      <c r="Y532" s="2" t="s">
        <v>591</v>
      </c>
    </row>
    <row r="533" spans="1:28" x14ac:dyDescent="0.25">
      <c r="A533" s="2" t="s">
        <v>309</v>
      </c>
      <c r="B533" s="2" t="s">
        <v>540</v>
      </c>
      <c r="C533" s="2" t="s">
        <v>408</v>
      </c>
      <c r="D533" s="2" t="s">
        <v>411</v>
      </c>
      <c r="E533" s="2" t="s">
        <v>414</v>
      </c>
      <c r="F533" s="2" t="s">
        <v>40</v>
      </c>
      <c r="J533" s="2" t="s">
        <v>541</v>
      </c>
      <c r="K533" s="2" t="s">
        <v>542</v>
      </c>
      <c r="L533" s="2">
        <v>2</v>
      </c>
      <c r="M533" s="2" t="s">
        <v>544</v>
      </c>
      <c r="O533" s="2" t="s">
        <v>524</v>
      </c>
      <c r="Y533" s="2" t="s">
        <v>591</v>
      </c>
    </row>
    <row r="534" spans="1:28" x14ac:dyDescent="0.25">
      <c r="A534" s="2" t="s">
        <v>309</v>
      </c>
      <c r="B534" s="2" t="s">
        <v>540</v>
      </c>
      <c r="C534" s="2" t="s">
        <v>408</v>
      </c>
      <c r="D534" s="2" t="s">
        <v>411</v>
      </c>
      <c r="E534" s="2" t="s">
        <v>414</v>
      </c>
      <c r="F534" s="2" t="s">
        <v>40</v>
      </c>
      <c r="J534" s="2" t="s">
        <v>541</v>
      </c>
      <c r="K534" s="2" t="s">
        <v>542</v>
      </c>
      <c r="L534" s="2">
        <v>3</v>
      </c>
      <c r="M534" s="2" t="s">
        <v>545</v>
      </c>
      <c r="O534" s="2" t="s">
        <v>524</v>
      </c>
      <c r="Y534" s="2" t="s">
        <v>591</v>
      </c>
    </row>
    <row r="535" spans="1:28" x14ac:dyDescent="0.25">
      <c r="A535" s="2" t="s">
        <v>309</v>
      </c>
      <c r="B535" s="2" t="s">
        <v>540</v>
      </c>
      <c r="C535" s="2" t="s">
        <v>408</v>
      </c>
      <c r="D535" s="2" t="s">
        <v>411</v>
      </c>
      <c r="E535" s="2" t="s">
        <v>414</v>
      </c>
      <c r="F535" s="2" t="s">
        <v>40</v>
      </c>
      <c r="J535" s="2" t="s">
        <v>541</v>
      </c>
      <c r="K535" s="2" t="s">
        <v>542</v>
      </c>
      <c r="L535" s="2">
        <v>4</v>
      </c>
      <c r="M535" s="2" t="s">
        <v>546</v>
      </c>
      <c r="O535" s="2" t="s">
        <v>524</v>
      </c>
      <c r="Y535" s="2" t="s">
        <v>591</v>
      </c>
    </row>
    <row r="536" spans="1:28" x14ac:dyDescent="0.25">
      <c r="A536" s="2" t="s">
        <v>309</v>
      </c>
      <c r="B536" s="2" t="s">
        <v>540</v>
      </c>
      <c r="C536" s="2" t="s">
        <v>408</v>
      </c>
      <c r="D536" s="2" t="s">
        <v>411</v>
      </c>
      <c r="E536" s="2" t="s">
        <v>414</v>
      </c>
      <c r="F536" s="2" t="s">
        <v>40</v>
      </c>
      <c r="J536" s="2" t="s">
        <v>541</v>
      </c>
      <c r="K536" s="2" t="s">
        <v>542</v>
      </c>
      <c r="L536" s="2">
        <v>5</v>
      </c>
      <c r="M536" s="2" t="s">
        <v>547</v>
      </c>
      <c r="O536" s="2" t="s">
        <v>524</v>
      </c>
      <c r="Y536" s="2" t="s">
        <v>591</v>
      </c>
    </row>
    <row r="537" spans="1:28" x14ac:dyDescent="0.25">
      <c r="A537" s="2" t="s">
        <v>309</v>
      </c>
      <c r="B537" s="2" t="s">
        <v>540</v>
      </c>
      <c r="C537" s="2" t="s">
        <v>408</v>
      </c>
      <c r="D537" s="2" t="s">
        <v>411</v>
      </c>
      <c r="E537" s="2" t="s">
        <v>414</v>
      </c>
      <c r="F537" s="2" t="s">
        <v>40</v>
      </c>
      <c r="J537" s="2" t="s">
        <v>541</v>
      </c>
      <c r="K537" s="2" t="s">
        <v>542</v>
      </c>
      <c r="L537" s="2">
        <v>6</v>
      </c>
      <c r="M537" s="2" t="s">
        <v>548</v>
      </c>
      <c r="O537" s="2" t="s">
        <v>524</v>
      </c>
      <c r="Y537" s="2" t="s">
        <v>591</v>
      </c>
    </row>
    <row r="538" spans="1:28" x14ac:dyDescent="0.25">
      <c r="A538" s="2" t="s">
        <v>309</v>
      </c>
      <c r="B538" s="2" t="s">
        <v>540</v>
      </c>
      <c r="C538" s="2" t="s">
        <v>408</v>
      </c>
      <c r="D538" s="2" t="s">
        <v>411</v>
      </c>
      <c r="E538" s="2" t="s">
        <v>414</v>
      </c>
      <c r="F538" s="2" t="s">
        <v>40</v>
      </c>
      <c r="J538" s="2" t="s">
        <v>541</v>
      </c>
      <c r="K538" s="2" t="s">
        <v>542</v>
      </c>
      <c r="L538" s="2">
        <v>7</v>
      </c>
      <c r="M538" s="2" t="s">
        <v>549</v>
      </c>
      <c r="O538" s="2" t="s">
        <v>524</v>
      </c>
      <c r="Y538" s="2" t="s">
        <v>591</v>
      </c>
    </row>
    <row r="539" spans="1:28" x14ac:dyDescent="0.25">
      <c r="A539" s="2" t="s">
        <v>309</v>
      </c>
      <c r="B539" s="2" t="s">
        <v>540</v>
      </c>
      <c r="C539" s="2" t="s">
        <v>408</v>
      </c>
      <c r="D539" s="2" t="s">
        <v>411</v>
      </c>
      <c r="E539" s="2" t="s">
        <v>414</v>
      </c>
      <c r="F539" s="2" t="s">
        <v>40</v>
      </c>
      <c r="J539" s="2" t="s">
        <v>541</v>
      </c>
      <c r="K539" s="2" t="s">
        <v>542</v>
      </c>
      <c r="L539" s="2">
        <v>8</v>
      </c>
      <c r="M539" s="2" t="s">
        <v>550</v>
      </c>
      <c r="O539" s="2" t="s">
        <v>524</v>
      </c>
      <c r="Y539" s="2" t="s">
        <v>591</v>
      </c>
    </row>
    <row r="540" spans="1:28" x14ac:dyDescent="0.25">
      <c r="A540" s="2" t="s">
        <v>309</v>
      </c>
      <c r="B540" s="2" t="s">
        <v>540</v>
      </c>
      <c r="C540" s="2" t="s">
        <v>408</v>
      </c>
      <c r="D540" s="2" t="s">
        <v>411</v>
      </c>
      <c r="E540" s="2" t="s">
        <v>414</v>
      </c>
      <c r="F540" s="2" t="s">
        <v>40</v>
      </c>
      <c r="J540" s="2" t="s">
        <v>541</v>
      </c>
      <c r="K540" s="2" t="s">
        <v>542</v>
      </c>
      <c r="L540" s="2">
        <v>9</v>
      </c>
      <c r="M540" s="2" t="s">
        <v>551</v>
      </c>
      <c r="O540" s="2" t="s">
        <v>524</v>
      </c>
      <c r="Y540" s="2" t="s">
        <v>591</v>
      </c>
    </row>
    <row r="541" spans="1:28" x14ac:dyDescent="0.25">
      <c r="A541" s="2" t="s">
        <v>309</v>
      </c>
      <c r="B541" s="2" t="s">
        <v>540</v>
      </c>
      <c r="C541" s="2" t="s">
        <v>408</v>
      </c>
      <c r="D541" s="2" t="s">
        <v>411</v>
      </c>
      <c r="E541" s="2" t="s">
        <v>414</v>
      </c>
      <c r="F541" s="2" t="s">
        <v>40</v>
      </c>
      <c r="J541" s="2" t="s">
        <v>541</v>
      </c>
      <c r="K541" s="2" t="s">
        <v>542</v>
      </c>
      <c r="L541" s="2">
        <v>10</v>
      </c>
      <c r="M541" s="2" t="s">
        <v>552</v>
      </c>
      <c r="O541" s="2" t="s">
        <v>524</v>
      </c>
      <c r="Y541" s="2" t="s">
        <v>591</v>
      </c>
    </row>
    <row r="542" spans="1:28" x14ac:dyDescent="0.25">
      <c r="A542" s="2" t="s">
        <v>309</v>
      </c>
      <c r="B542" s="2" t="s">
        <v>540</v>
      </c>
      <c r="C542" s="2" t="s">
        <v>408</v>
      </c>
      <c r="D542" s="2" t="s">
        <v>411</v>
      </c>
      <c r="E542" s="2" t="s">
        <v>414</v>
      </c>
      <c r="F542" s="2" t="s">
        <v>40</v>
      </c>
      <c r="J542" s="2" t="s">
        <v>541</v>
      </c>
      <c r="K542" s="2" t="s">
        <v>542</v>
      </c>
      <c r="L542" s="2">
        <v>11</v>
      </c>
      <c r="M542" s="2" t="s">
        <v>553</v>
      </c>
      <c r="O542" s="2" t="s">
        <v>524</v>
      </c>
      <c r="Y542" s="2" t="s">
        <v>591</v>
      </c>
    </row>
    <row r="543" spans="1:28" x14ac:dyDescent="0.25">
      <c r="A543" s="2" t="s">
        <v>309</v>
      </c>
      <c r="B543" s="2" t="s">
        <v>540</v>
      </c>
      <c r="C543" s="2" t="s">
        <v>408</v>
      </c>
      <c r="D543" s="2" t="s">
        <v>411</v>
      </c>
      <c r="E543" s="2" t="s">
        <v>414</v>
      </c>
      <c r="F543" s="2" t="s">
        <v>40</v>
      </c>
      <c r="J543" s="2" t="s">
        <v>541</v>
      </c>
      <c r="K543" s="2" t="s">
        <v>542</v>
      </c>
      <c r="L543" s="2">
        <v>12</v>
      </c>
      <c r="M543" s="2" t="s">
        <v>554</v>
      </c>
      <c r="O543" s="2" t="s">
        <v>524</v>
      </c>
      <c r="Y543" s="2" t="s">
        <v>591</v>
      </c>
    </row>
    <row r="544" spans="1:28" x14ac:dyDescent="0.25">
      <c r="A544" s="2" t="s">
        <v>309</v>
      </c>
      <c r="B544" s="2" t="s">
        <v>555</v>
      </c>
      <c r="C544" s="2" t="s">
        <v>408</v>
      </c>
      <c r="D544" s="2" t="s">
        <v>411</v>
      </c>
      <c r="E544" s="2" t="s">
        <v>414</v>
      </c>
      <c r="F544" s="2" t="s">
        <v>40</v>
      </c>
      <c r="J544" s="2" t="s">
        <v>556</v>
      </c>
      <c r="O544" s="2" t="s">
        <v>524</v>
      </c>
      <c r="Y544" s="2" t="s">
        <v>591</v>
      </c>
      <c r="AB544" s="2">
        <v>2</v>
      </c>
    </row>
    <row r="545" spans="1:34" x14ac:dyDescent="0.25">
      <c r="A545" s="2" t="s">
        <v>309</v>
      </c>
      <c r="B545" s="2" t="s">
        <v>557</v>
      </c>
      <c r="C545" s="2" t="s">
        <v>408</v>
      </c>
      <c r="D545" s="2" t="s">
        <v>411</v>
      </c>
      <c r="E545" s="2" t="s">
        <v>414</v>
      </c>
      <c r="F545" s="2" t="s">
        <v>40</v>
      </c>
      <c r="J545" s="2" t="s">
        <v>558</v>
      </c>
      <c r="O545" s="2" t="s">
        <v>524</v>
      </c>
      <c r="Y545" s="2" t="s">
        <v>591</v>
      </c>
      <c r="AC545" s="2">
        <f>COUNTIFS($B:$B,"BLOCK_LOAD_Q",$A:$A,$A545,$C:$C,$C545,$E:$E,$E545,$F:$F,$F545,$N:$N, "&lt;&gt;")</f>
        <v>0</v>
      </c>
      <c r="AD545" s="2">
        <f>COUNTIFS($B:$B,"BLOCK_TRUST_Q",$A:$A,$A545,$C:$C,$C545,$E:$E,$E545,$F:$F,$F545,$N:$N, "&lt;&gt;")</f>
        <v>0</v>
      </c>
      <c r="AE545" s="2" t="str">
        <f>IFERROR(AVERAGEIFS($P:$P,$B:$B,"BLOCK_LOAD_Q",$A:$A,$A545,$C:$C,$C545,$E:$E,$E545,$F:$F,$F545,$P:$P,"&gt;0"),"")</f>
        <v/>
      </c>
      <c r="AF545" s="2" t="str">
        <f>IFERROR(AVERAGEIFS($P:$P,$B:$B,"BLOCK_TRUST_Q",$A:$A,$A545,$C:$C,$C545,$E:$E,$E545,$F:$F,$F545,$P:$P,"&gt;0"),"")</f>
        <v/>
      </c>
      <c r="AG545" s="2">
        <f>5-AC545</f>
        <v>5</v>
      </c>
      <c r="AH545" s="2">
        <f>12-AD545</f>
        <v>12</v>
      </c>
    </row>
    <row r="546" spans="1:34" x14ac:dyDescent="0.25">
      <c r="A546" s="2" t="s">
        <v>309</v>
      </c>
      <c r="B546" s="2" t="s">
        <v>403</v>
      </c>
      <c r="C546" s="2" t="s">
        <v>408</v>
      </c>
      <c r="D546" s="2" t="s">
        <v>411</v>
      </c>
      <c r="Z546" s="2" t="s">
        <v>430</v>
      </c>
    </row>
    <row r="547" spans="1:34" x14ac:dyDescent="0.25">
      <c r="A547" s="2" t="s">
        <v>309</v>
      </c>
      <c r="B547" s="2" t="s">
        <v>402</v>
      </c>
      <c r="C547" s="2" t="s">
        <v>409</v>
      </c>
      <c r="D547" s="2" t="s">
        <v>412</v>
      </c>
      <c r="E547" s="2" t="s">
        <v>413</v>
      </c>
      <c r="F547" s="2" t="s">
        <v>39</v>
      </c>
      <c r="G547" s="2" t="s">
        <v>415</v>
      </c>
      <c r="H547" s="2" t="s">
        <v>350</v>
      </c>
      <c r="S547" s="2" t="s">
        <v>57</v>
      </c>
      <c r="U547" s="2" t="s">
        <v>58</v>
      </c>
      <c r="W547" s="2" t="s">
        <v>59</v>
      </c>
    </row>
    <row r="548" spans="1:34" x14ac:dyDescent="0.25">
      <c r="A548" s="2" t="s">
        <v>309</v>
      </c>
      <c r="B548" s="2" t="s">
        <v>402</v>
      </c>
      <c r="C548" s="2" t="s">
        <v>409</v>
      </c>
      <c r="D548" s="2" t="s">
        <v>412</v>
      </c>
      <c r="E548" s="2" t="s">
        <v>413</v>
      </c>
      <c r="F548" s="2" t="s">
        <v>39</v>
      </c>
      <c r="G548" s="2" t="s">
        <v>416</v>
      </c>
      <c r="H548" s="2" t="s">
        <v>571</v>
      </c>
      <c r="S548" s="2" t="s">
        <v>59</v>
      </c>
      <c r="U548" s="2" t="s">
        <v>57</v>
      </c>
      <c r="W548" s="2" t="s">
        <v>60</v>
      </c>
    </row>
    <row r="549" spans="1:34" x14ac:dyDescent="0.25">
      <c r="A549" s="2" t="s">
        <v>309</v>
      </c>
      <c r="B549" s="2" t="s">
        <v>402</v>
      </c>
      <c r="C549" s="2" t="s">
        <v>409</v>
      </c>
      <c r="D549" s="2" t="s">
        <v>412</v>
      </c>
      <c r="E549" s="2" t="s">
        <v>413</v>
      </c>
      <c r="F549" s="2" t="s">
        <v>39</v>
      </c>
      <c r="G549" s="2" t="s">
        <v>417</v>
      </c>
      <c r="H549" s="2" t="s">
        <v>572</v>
      </c>
      <c r="S549" s="2" t="s">
        <v>57</v>
      </c>
      <c r="U549" s="2" t="s">
        <v>59</v>
      </c>
      <c r="W549" s="2" t="s">
        <v>58</v>
      </c>
    </row>
    <row r="550" spans="1:34" x14ac:dyDescent="0.25">
      <c r="A550" s="2" t="s">
        <v>309</v>
      </c>
      <c r="B550" s="2" t="s">
        <v>402</v>
      </c>
      <c r="C550" s="2" t="s">
        <v>409</v>
      </c>
      <c r="D550" s="2" t="s">
        <v>412</v>
      </c>
      <c r="E550" s="2" t="s">
        <v>413</v>
      </c>
      <c r="F550" s="2" t="s">
        <v>39</v>
      </c>
      <c r="G550" s="2" t="s">
        <v>418</v>
      </c>
      <c r="H550" s="2" t="s">
        <v>573</v>
      </c>
      <c r="S550" s="2" t="s">
        <v>58</v>
      </c>
      <c r="U550" s="2" t="s">
        <v>58</v>
      </c>
      <c r="W550" s="2" t="s">
        <v>58</v>
      </c>
    </row>
    <row r="551" spans="1:34" x14ac:dyDescent="0.25">
      <c r="A551" s="2" t="s">
        <v>309</v>
      </c>
      <c r="B551" s="2" t="s">
        <v>402</v>
      </c>
      <c r="C551" s="2" t="s">
        <v>409</v>
      </c>
      <c r="D551" s="2" t="s">
        <v>412</v>
      </c>
      <c r="E551" s="2" t="s">
        <v>413</v>
      </c>
      <c r="F551" s="2" t="s">
        <v>39</v>
      </c>
      <c r="G551" s="2" t="s">
        <v>419</v>
      </c>
      <c r="H551" s="2" t="s">
        <v>365</v>
      </c>
      <c r="S551" s="2" t="s">
        <v>59</v>
      </c>
      <c r="U551" s="2" t="s">
        <v>59</v>
      </c>
      <c r="W551" s="2" t="s">
        <v>60</v>
      </c>
    </row>
    <row r="552" spans="1:34" x14ac:dyDescent="0.25">
      <c r="A552" s="2" t="s">
        <v>309</v>
      </c>
      <c r="B552" s="2" t="s">
        <v>531</v>
      </c>
      <c r="C552" s="2" t="s">
        <v>409</v>
      </c>
      <c r="D552" s="2" t="s">
        <v>412</v>
      </c>
      <c r="E552" s="2" t="s">
        <v>413</v>
      </c>
      <c r="F552" s="2" t="s">
        <v>39</v>
      </c>
      <c r="J552" s="2" t="s">
        <v>532</v>
      </c>
      <c r="K552" s="2" t="s">
        <v>533</v>
      </c>
      <c r="L552" s="2">
        <v>1</v>
      </c>
      <c r="M552" s="2" t="s">
        <v>534</v>
      </c>
      <c r="O552" s="2" t="s">
        <v>524</v>
      </c>
      <c r="Y552" s="2" t="s">
        <v>592</v>
      </c>
    </row>
    <row r="553" spans="1:34" x14ac:dyDescent="0.25">
      <c r="A553" s="2" t="s">
        <v>309</v>
      </c>
      <c r="B553" s="2" t="s">
        <v>531</v>
      </c>
      <c r="C553" s="2" t="s">
        <v>409</v>
      </c>
      <c r="D553" s="2" t="s">
        <v>412</v>
      </c>
      <c r="E553" s="2" t="s">
        <v>413</v>
      </c>
      <c r="F553" s="2" t="s">
        <v>39</v>
      </c>
      <c r="J553" s="2" t="s">
        <v>532</v>
      </c>
      <c r="K553" s="2" t="s">
        <v>533</v>
      </c>
      <c r="L553" s="2">
        <v>2</v>
      </c>
      <c r="M553" s="2" t="s">
        <v>536</v>
      </c>
      <c r="O553" s="2" t="s">
        <v>524</v>
      </c>
      <c r="Y553" s="2" t="s">
        <v>592</v>
      </c>
    </row>
    <row r="554" spans="1:34" x14ac:dyDescent="0.25">
      <c r="A554" s="2" t="s">
        <v>309</v>
      </c>
      <c r="B554" s="2" t="s">
        <v>531</v>
      </c>
      <c r="C554" s="2" t="s">
        <v>409</v>
      </c>
      <c r="D554" s="2" t="s">
        <v>412</v>
      </c>
      <c r="E554" s="2" t="s">
        <v>413</v>
      </c>
      <c r="F554" s="2" t="s">
        <v>39</v>
      </c>
      <c r="J554" s="2" t="s">
        <v>532</v>
      </c>
      <c r="K554" s="2" t="s">
        <v>533</v>
      </c>
      <c r="L554" s="2">
        <v>3</v>
      </c>
      <c r="M554" s="2" t="s">
        <v>537</v>
      </c>
      <c r="O554" s="2" t="s">
        <v>524</v>
      </c>
      <c r="Y554" s="2" t="s">
        <v>592</v>
      </c>
    </row>
    <row r="555" spans="1:34" x14ac:dyDescent="0.25">
      <c r="A555" s="2" t="s">
        <v>309</v>
      </c>
      <c r="B555" s="2" t="s">
        <v>531</v>
      </c>
      <c r="C555" s="2" t="s">
        <v>409</v>
      </c>
      <c r="D555" s="2" t="s">
        <v>412</v>
      </c>
      <c r="E555" s="2" t="s">
        <v>413</v>
      </c>
      <c r="F555" s="2" t="s">
        <v>39</v>
      </c>
      <c r="J555" s="2" t="s">
        <v>532</v>
      </c>
      <c r="K555" s="2" t="s">
        <v>533</v>
      </c>
      <c r="L555" s="2">
        <v>4</v>
      </c>
      <c r="M555" s="2" t="s">
        <v>538</v>
      </c>
      <c r="O555" s="2" t="s">
        <v>524</v>
      </c>
      <c r="Y555" s="2" t="s">
        <v>592</v>
      </c>
    </row>
    <row r="556" spans="1:34" x14ac:dyDescent="0.25">
      <c r="A556" s="2" t="s">
        <v>309</v>
      </c>
      <c r="B556" s="2" t="s">
        <v>531</v>
      </c>
      <c r="C556" s="2" t="s">
        <v>409</v>
      </c>
      <c r="D556" s="2" t="s">
        <v>412</v>
      </c>
      <c r="E556" s="2" t="s">
        <v>413</v>
      </c>
      <c r="F556" s="2" t="s">
        <v>39</v>
      </c>
      <c r="J556" s="2" t="s">
        <v>532</v>
      </c>
      <c r="K556" s="2" t="s">
        <v>533</v>
      </c>
      <c r="L556" s="2">
        <v>5</v>
      </c>
      <c r="M556" s="2" t="s">
        <v>539</v>
      </c>
      <c r="O556" s="2" t="s">
        <v>524</v>
      </c>
      <c r="Y556" s="2" t="s">
        <v>592</v>
      </c>
    </row>
    <row r="557" spans="1:34" x14ac:dyDescent="0.25">
      <c r="A557" s="2" t="s">
        <v>309</v>
      </c>
      <c r="B557" s="2" t="s">
        <v>540</v>
      </c>
      <c r="C557" s="2" t="s">
        <v>409</v>
      </c>
      <c r="D557" s="2" t="s">
        <v>412</v>
      </c>
      <c r="E557" s="2" t="s">
        <v>413</v>
      </c>
      <c r="F557" s="2" t="s">
        <v>39</v>
      </c>
      <c r="J557" s="2" t="s">
        <v>541</v>
      </c>
      <c r="K557" s="2" t="s">
        <v>542</v>
      </c>
      <c r="L557" s="2">
        <v>1</v>
      </c>
      <c r="M557" s="2" t="s">
        <v>543</v>
      </c>
      <c r="O557" s="2" t="s">
        <v>524</v>
      </c>
      <c r="Y557" s="2" t="s">
        <v>592</v>
      </c>
    </row>
    <row r="558" spans="1:34" x14ac:dyDescent="0.25">
      <c r="A558" s="2" t="s">
        <v>309</v>
      </c>
      <c r="B558" s="2" t="s">
        <v>540</v>
      </c>
      <c r="C558" s="2" t="s">
        <v>409</v>
      </c>
      <c r="D558" s="2" t="s">
        <v>412</v>
      </c>
      <c r="E558" s="2" t="s">
        <v>413</v>
      </c>
      <c r="F558" s="2" t="s">
        <v>39</v>
      </c>
      <c r="J558" s="2" t="s">
        <v>541</v>
      </c>
      <c r="K558" s="2" t="s">
        <v>542</v>
      </c>
      <c r="L558" s="2">
        <v>2</v>
      </c>
      <c r="M558" s="2" t="s">
        <v>544</v>
      </c>
      <c r="O558" s="2" t="s">
        <v>524</v>
      </c>
      <c r="Y558" s="2" t="s">
        <v>592</v>
      </c>
    </row>
    <row r="559" spans="1:34" x14ac:dyDescent="0.25">
      <c r="A559" s="2" t="s">
        <v>309</v>
      </c>
      <c r="B559" s="2" t="s">
        <v>540</v>
      </c>
      <c r="C559" s="2" t="s">
        <v>409</v>
      </c>
      <c r="D559" s="2" t="s">
        <v>412</v>
      </c>
      <c r="E559" s="2" t="s">
        <v>413</v>
      </c>
      <c r="F559" s="2" t="s">
        <v>39</v>
      </c>
      <c r="J559" s="2" t="s">
        <v>541</v>
      </c>
      <c r="K559" s="2" t="s">
        <v>542</v>
      </c>
      <c r="L559" s="2">
        <v>3</v>
      </c>
      <c r="M559" s="2" t="s">
        <v>545</v>
      </c>
      <c r="O559" s="2" t="s">
        <v>524</v>
      </c>
      <c r="Y559" s="2" t="s">
        <v>592</v>
      </c>
    </row>
    <row r="560" spans="1:34" x14ac:dyDescent="0.25">
      <c r="A560" s="2" t="s">
        <v>309</v>
      </c>
      <c r="B560" s="2" t="s">
        <v>540</v>
      </c>
      <c r="C560" s="2" t="s">
        <v>409</v>
      </c>
      <c r="D560" s="2" t="s">
        <v>412</v>
      </c>
      <c r="E560" s="2" t="s">
        <v>413</v>
      </c>
      <c r="F560" s="2" t="s">
        <v>39</v>
      </c>
      <c r="J560" s="2" t="s">
        <v>541</v>
      </c>
      <c r="K560" s="2" t="s">
        <v>542</v>
      </c>
      <c r="L560" s="2">
        <v>4</v>
      </c>
      <c r="M560" s="2" t="s">
        <v>546</v>
      </c>
      <c r="O560" s="2" t="s">
        <v>524</v>
      </c>
      <c r="Y560" s="2" t="s">
        <v>592</v>
      </c>
    </row>
    <row r="561" spans="1:34" x14ac:dyDescent="0.25">
      <c r="A561" s="2" t="s">
        <v>309</v>
      </c>
      <c r="B561" s="2" t="s">
        <v>540</v>
      </c>
      <c r="C561" s="2" t="s">
        <v>409</v>
      </c>
      <c r="D561" s="2" t="s">
        <v>412</v>
      </c>
      <c r="E561" s="2" t="s">
        <v>413</v>
      </c>
      <c r="F561" s="2" t="s">
        <v>39</v>
      </c>
      <c r="J561" s="2" t="s">
        <v>541</v>
      </c>
      <c r="K561" s="2" t="s">
        <v>542</v>
      </c>
      <c r="L561" s="2">
        <v>5</v>
      </c>
      <c r="M561" s="2" t="s">
        <v>547</v>
      </c>
      <c r="O561" s="2" t="s">
        <v>524</v>
      </c>
      <c r="Y561" s="2" t="s">
        <v>592</v>
      </c>
    </row>
    <row r="562" spans="1:34" x14ac:dyDescent="0.25">
      <c r="A562" s="2" t="s">
        <v>309</v>
      </c>
      <c r="B562" s="2" t="s">
        <v>540</v>
      </c>
      <c r="C562" s="2" t="s">
        <v>409</v>
      </c>
      <c r="D562" s="2" t="s">
        <v>412</v>
      </c>
      <c r="E562" s="2" t="s">
        <v>413</v>
      </c>
      <c r="F562" s="2" t="s">
        <v>39</v>
      </c>
      <c r="J562" s="2" t="s">
        <v>541</v>
      </c>
      <c r="K562" s="2" t="s">
        <v>542</v>
      </c>
      <c r="L562" s="2">
        <v>6</v>
      </c>
      <c r="M562" s="2" t="s">
        <v>548</v>
      </c>
      <c r="O562" s="2" t="s">
        <v>524</v>
      </c>
      <c r="Y562" s="2" t="s">
        <v>592</v>
      </c>
    </row>
    <row r="563" spans="1:34" x14ac:dyDescent="0.25">
      <c r="A563" s="2" t="s">
        <v>309</v>
      </c>
      <c r="B563" s="2" t="s">
        <v>540</v>
      </c>
      <c r="C563" s="2" t="s">
        <v>409</v>
      </c>
      <c r="D563" s="2" t="s">
        <v>412</v>
      </c>
      <c r="E563" s="2" t="s">
        <v>413</v>
      </c>
      <c r="F563" s="2" t="s">
        <v>39</v>
      </c>
      <c r="J563" s="2" t="s">
        <v>541</v>
      </c>
      <c r="K563" s="2" t="s">
        <v>542</v>
      </c>
      <c r="L563" s="2">
        <v>7</v>
      </c>
      <c r="M563" s="2" t="s">
        <v>549</v>
      </c>
      <c r="O563" s="2" t="s">
        <v>524</v>
      </c>
      <c r="Y563" s="2" t="s">
        <v>592</v>
      </c>
    </row>
    <row r="564" spans="1:34" x14ac:dyDescent="0.25">
      <c r="A564" s="2" t="s">
        <v>309</v>
      </c>
      <c r="B564" s="2" t="s">
        <v>540</v>
      </c>
      <c r="C564" s="2" t="s">
        <v>409</v>
      </c>
      <c r="D564" s="2" t="s">
        <v>412</v>
      </c>
      <c r="E564" s="2" t="s">
        <v>413</v>
      </c>
      <c r="F564" s="2" t="s">
        <v>39</v>
      </c>
      <c r="J564" s="2" t="s">
        <v>541</v>
      </c>
      <c r="K564" s="2" t="s">
        <v>542</v>
      </c>
      <c r="L564" s="2">
        <v>8</v>
      </c>
      <c r="M564" s="2" t="s">
        <v>550</v>
      </c>
      <c r="O564" s="2" t="s">
        <v>524</v>
      </c>
      <c r="Y564" s="2" t="s">
        <v>592</v>
      </c>
    </row>
    <row r="565" spans="1:34" x14ac:dyDescent="0.25">
      <c r="A565" s="2" t="s">
        <v>309</v>
      </c>
      <c r="B565" s="2" t="s">
        <v>540</v>
      </c>
      <c r="C565" s="2" t="s">
        <v>409</v>
      </c>
      <c r="D565" s="2" t="s">
        <v>412</v>
      </c>
      <c r="E565" s="2" t="s">
        <v>413</v>
      </c>
      <c r="F565" s="2" t="s">
        <v>39</v>
      </c>
      <c r="J565" s="2" t="s">
        <v>541</v>
      </c>
      <c r="K565" s="2" t="s">
        <v>542</v>
      </c>
      <c r="L565" s="2">
        <v>9</v>
      </c>
      <c r="M565" s="2" t="s">
        <v>551</v>
      </c>
      <c r="O565" s="2" t="s">
        <v>524</v>
      </c>
      <c r="Y565" s="2" t="s">
        <v>592</v>
      </c>
    </row>
    <row r="566" spans="1:34" x14ac:dyDescent="0.25">
      <c r="A566" s="2" t="s">
        <v>309</v>
      </c>
      <c r="B566" s="2" t="s">
        <v>540</v>
      </c>
      <c r="C566" s="2" t="s">
        <v>409</v>
      </c>
      <c r="D566" s="2" t="s">
        <v>412</v>
      </c>
      <c r="E566" s="2" t="s">
        <v>413</v>
      </c>
      <c r="F566" s="2" t="s">
        <v>39</v>
      </c>
      <c r="J566" s="2" t="s">
        <v>541</v>
      </c>
      <c r="K566" s="2" t="s">
        <v>542</v>
      </c>
      <c r="L566" s="2">
        <v>10</v>
      </c>
      <c r="M566" s="2" t="s">
        <v>552</v>
      </c>
      <c r="O566" s="2" t="s">
        <v>524</v>
      </c>
      <c r="Y566" s="2" t="s">
        <v>592</v>
      </c>
    </row>
    <row r="567" spans="1:34" x14ac:dyDescent="0.25">
      <c r="A567" s="2" t="s">
        <v>309</v>
      </c>
      <c r="B567" s="2" t="s">
        <v>540</v>
      </c>
      <c r="C567" s="2" t="s">
        <v>409</v>
      </c>
      <c r="D567" s="2" t="s">
        <v>412</v>
      </c>
      <c r="E567" s="2" t="s">
        <v>413</v>
      </c>
      <c r="F567" s="2" t="s">
        <v>39</v>
      </c>
      <c r="J567" s="2" t="s">
        <v>541</v>
      </c>
      <c r="K567" s="2" t="s">
        <v>542</v>
      </c>
      <c r="L567" s="2">
        <v>11</v>
      </c>
      <c r="M567" s="2" t="s">
        <v>553</v>
      </c>
      <c r="O567" s="2" t="s">
        <v>524</v>
      </c>
      <c r="Y567" s="2" t="s">
        <v>592</v>
      </c>
    </row>
    <row r="568" spans="1:34" x14ac:dyDescent="0.25">
      <c r="A568" s="2" t="s">
        <v>309</v>
      </c>
      <c r="B568" s="2" t="s">
        <v>540</v>
      </c>
      <c r="C568" s="2" t="s">
        <v>409</v>
      </c>
      <c r="D568" s="2" t="s">
        <v>412</v>
      </c>
      <c r="E568" s="2" t="s">
        <v>413</v>
      </c>
      <c r="F568" s="2" t="s">
        <v>39</v>
      </c>
      <c r="J568" s="2" t="s">
        <v>541</v>
      </c>
      <c r="K568" s="2" t="s">
        <v>542</v>
      </c>
      <c r="L568" s="2">
        <v>12</v>
      </c>
      <c r="M568" s="2" t="s">
        <v>554</v>
      </c>
      <c r="O568" s="2" t="s">
        <v>524</v>
      </c>
      <c r="Y568" s="2" t="s">
        <v>592</v>
      </c>
    </row>
    <row r="569" spans="1:34" x14ac:dyDescent="0.25">
      <c r="A569" s="2" t="s">
        <v>309</v>
      </c>
      <c r="B569" s="2" t="s">
        <v>555</v>
      </c>
      <c r="C569" s="2" t="s">
        <v>409</v>
      </c>
      <c r="D569" s="2" t="s">
        <v>412</v>
      </c>
      <c r="E569" s="2" t="s">
        <v>413</v>
      </c>
      <c r="F569" s="2" t="s">
        <v>39</v>
      </c>
      <c r="J569" s="2" t="s">
        <v>556</v>
      </c>
      <c r="O569" s="2" t="s">
        <v>524</v>
      </c>
      <c r="Y569" s="2" t="s">
        <v>592</v>
      </c>
      <c r="AB569" s="2">
        <v>1</v>
      </c>
    </row>
    <row r="570" spans="1:34" x14ac:dyDescent="0.25">
      <c r="A570" s="2" t="s">
        <v>309</v>
      </c>
      <c r="B570" s="2" t="s">
        <v>557</v>
      </c>
      <c r="C570" s="2" t="s">
        <v>409</v>
      </c>
      <c r="D570" s="2" t="s">
        <v>412</v>
      </c>
      <c r="E570" s="2" t="s">
        <v>413</v>
      </c>
      <c r="F570" s="2" t="s">
        <v>39</v>
      </c>
      <c r="J570" s="2" t="s">
        <v>558</v>
      </c>
      <c r="O570" s="2" t="s">
        <v>524</v>
      </c>
      <c r="Y570" s="2" t="s">
        <v>592</v>
      </c>
      <c r="AC570" s="2">
        <f>COUNTIFS($B:$B,"BLOCK_LOAD_Q",$A:$A,$A570,$C:$C,$C570,$E:$E,$E570,$F:$F,$F570,$N:$N, "&lt;&gt;")</f>
        <v>0</v>
      </c>
      <c r="AD570" s="2">
        <f>COUNTIFS($B:$B,"BLOCK_TRUST_Q",$A:$A,$A570,$C:$C,$C570,$E:$E,$E570,$F:$F,$F570,$N:$N, "&lt;&gt;")</f>
        <v>0</v>
      </c>
      <c r="AE570" s="2" t="str">
        <f>IFERROR(AVERAGEIFS($P:$P,$B:$B,"BLOCK_LOAD_Q",$A:$A,$A570,$C:$C,$C570,$E:$E,$E570,$F:$F,$F570,$P:$P,"&gt;0"),"")</f>
        <v/>
      </c>
      <c r="AF570" s="2" t="str">
        <f>IFERROR(AVERAGEIFS($P:$P,$B:$B,"BLOCK_TRUST_Q",$A:$A,$A570,$C:$C,$C570,$E:$E,$E570,$F:$F,$F570,$P:$P,"&gt;0"),"")</f>
        <v/>
      </c>
      <c r="AG570" s="2">
        <f>5-AC570</f>
        <v>5</v>
      </c>
      <c r="AH570" s="2">
        <f>12-AD570</f>
        <v>12</v>
      </c>
    </row>
    <row r="571" spans="1:34" x14ac:dyDescent="0.25">
      <c r="A571" s="2" t="s">
        <v>309</v>
      </c>
      <c r="B571" s="2" t="s">
        <v>402</v>
      </c>
      <c r="C571" s="2" t="s">
        <v>409</v>
      </c>
      <c r="D571" s="2" t="s">
        <v>412</v>
      </c>
      <c r="E571" s="2" t="s">
        <v>414</v>
      </c>
      <c r="F571" s="2" t="s">
        <v>40</v>
      </c>
      <c r="G571" s="2" t="s">
        <v>415</v>
      </c>
      <c r="H571" s="2" t="s">
        <v>567</v>
      </c>
      <c r="S571" s="2" t="s">
        <v>58</v>
      </c>
      <c r="U571" s="2" t="s">
        <v>57</v>
      </c>
      <c r="W571" s="2" t="s">
        <v>60</v>
      </c>
    </row>
    <row r="572" spans="1:34" x14ac:dyDescent="0.25">
      <c r="A572" s="2" t="s">
        <v>309</v>
      </c>
      <c r="B572" s="2" t="s">
        <v>402</v>
      </c>
      <c r="C572" s="2" t="s">
        <v>409</v>
      </c>
      <c r="D572" s="2" t="s">
        <v>412</v>
      </c>
      <c r="E572" s="2" t="s">
        <v>414</v>
      </c>
      <c r="F572" s="2" t="s">
        <v>40</v>
      </c>
      <c r="G572" s="2" t="s">
        <v>416</v>
      </c>
      <c r="H572" s="2" t="s">
        <v>568</v>
      </c>
      <c r="S572" s="2" t="s">
        <v>59</v>
      </c>
      <c r="U572" s="2" t="s">
        <v>60</v>
      </c>
      <c r="W572" s="2" t="s">
        <v>59</v>
      </c>
    </row>
    <row r="573" spans="1:34" x14ac:dyDescent="0.25">
      <c r="A573" s="2" t="s">
        <v>309</v>
      </c>
      <c r="B573" s="2" t="s">
        <v>402</v>
      </c>
      <c r="C573" s="2" t="s">
        <v>409</v>
      </c>
      <c r="D573" s="2" t="s">
        <v>412</v>
      </c>
      <c r="E573" s="2" t="s">
        <v>414</v>
      </c>
      <c r="F573" s="2" t="s">
        <v>40</v>
      </c>
      <c r="G573" s="2" t="s">
        <v>417</v>
      </c>
      <c r="H573" s="2" t="s">
        <v>569</v>
      </c>
      <c r="S573" s="2" t="s">
        <v>57</v>
      </c>
      <c r="U573" s="2" t="s">
        <v>60</v>
      </c>
      <c r="W573" s="2" t="s">
        <v>57</v>
      </c>
    </row>
    <row r="574" spans="1:34" x14ac:dyDescent="0.25">
      <c r="A574" s="2" t="s">
        <v>309</v>
      </c>
      <c r="B574" s="2" t="s">
        <v>402</v>
      </c>
      <c r="C574" s="2" t="s">
        <v>409</v>
      </c>
      <c r="D574" s="2" t="s">
        <v>412</v>
      </c>
      <c r="E574" s="2" t="s">
        <v>414</v>
      </c>
      <c r="F574" s="2" t="s">
        <v>40</v>
      </c>
      <c r="G574" s="2" t="s">
        <v>418</v>
      </c>
      <c r="H574" s="2" t="s">
        <v>351</v>
      </c>
      <c r="S574" s="2" t="s">
        <v>60</v>
      </c>
      <c r="U574" s="2" t="s">
        <v>57</v>
      </c>
      <c r="W574" s="2" t="s">
        <v>57</v>
      </c>
    </row>
    <row r="575" spans="1:34" x14ac:dyDescent="0.25">
      <c r="A575" s="2" t="s">
        <v>309</v>
      </c>
      <c r="B575" s="2" t="s">
        <v>531</v>
      </c>
      <c r="C575" s="2" t="s">
        <v>409</v>
      </c>
      <c r="D575" s="2" t="s">
        <v>412</v>
      </c>
      <c r="E575" s="2" t="s">
        <v>414</v>
      </c>
      <c r="F575" s="2" t="s">
        <v>40</v>
      </c>
      <c r="J575" s="2" t="s">
        <v>532</v>
      </c>
      <c r="K575" s="2" t="s">
        <v>533</v>
      </c>
      <c r="L575" s="2">
        <v>1</v>
      </c>
      <c r="M575" s="2" t="s">
        <v>534</v>
      </c>
      <c r="O575" s="2" t="s">
        <v>524</v>
      </c>
      <c r="Y575" s="2" t="s">
        <v>593</v>
      </c>
    </row>
    <row r="576" spans="1:34" x14ac:dyDescent="0.25">
      <c r="A576" s="2" t="s">
        <v>309</v>
      </c>
      <c r="B576" s="2" t="s">
        <v>531</v>
      </c>
      <c r="C576" s="2" t="s">
        <v>409</v>
      </c>
      <c r="D576" s="2" t="s">
        <v>412</v>
      </c>
      <c r="E576" s="2" t="s">
        <v>414</v>
      </c>
      <c r="F576" s="2" t="s">
        <v>40</v>
      </c>
      <c r="J576" s="2" t="s">
        <v>532</v>
      </c>
      <c r="K576" s="2" t="s">
        <v>533</v>
      </c>
      <c r="L576" s="2">
        <v>2</v>
      </c>
      <c r="M576" s="2" t="s">
        <v>536</v>
      </c>
      <c r="O576" s="2" t="s">
        <v>524</v>
      </c>
      <c r="Y576" s="2" t="s">
        <v>593</v>
      </c>
    </row>
    <row r="577" spans="1:28" x14ac:dyDescent="0.25">
      <c r="A577" s="2" t="s">
        <v>309</v>
      </c>
      <c r="B577" s="2" t="s">
        <v>531</v>
      </c>
      <c r="C577" s="2" t="s">
        <v>409</v>
      </c>
      <c r="D577" s="2" t="s">
        <v>412</v>
      </c>
      <c r="E577" s="2" t="s">
        <v>414</v>
      </c>
      <c r="F577" s="2" t="s">
        <v>40</v>
      </c>
      <c r="J577" s="2" t="s">
        <v>532</v>
      </c>
      <c r="K577" s="2" t="s">
        <v>533</v>
      </c>
      <c r="L577" s="2">
        <v>3</v>
      </c>
      <c r="M577" s="2" t="s">
        <v>537</v>
      </c>
      <c r="O577" s="2" t="s">
        <v>524</v>
      </c>
      <c r="Y577" s="2" t="s">
        <v>593</v>
      </c>
    </row>
    <row r="578" spans="1:28" x14ac:dyDescent="0.25">
      <c r="A578" s="2" t="s">
        <v>309</v>
      </c>
      <c r="B578" s="2" t="s">
        <v>531</v>
      </c>
      <c r="C578" s="2" t="s">
        <v>409</v>
      </c>
      <c r="D578" s="2" t="s">
        <v>412</v>
      </c>
      <c r="E578" s="2" t="s">
        <v>414</v>
      </c>
      <c r="F578" s="2" t="s">
        <v>40</v>
      </c>
      <c r="J578" s="2" t="s">
        <v>532</v>
      </c>
      <c r="K578" s="2" t="s">
        <v>533</v>
      </c>
      <c r="L578" s="2">
        <v>4</v>
      </c>
      <c r="M578" s="2" t="s">
        <v>538</v>
      </c>
      <c r="O578" s="2" t="s">
        <v>524</v>
      </c>
      <c r="Y578" s="2" t="s">
        <v>593</v>
      </c>
    </row>
    <row r="579" spans="1:28" x14ac:dyDescent="0.25">
      <c r="A579" s="2" t="s">
        <v>309</v>
      </c>
      <c r="B579" s="2" t="s">
        <v>531</v>
      </c>
      <c r="C579" s="2" t="s">
        <v>409</v>
      </c>
      <c r="D579" s="2" t="s">
        <v>412</v>
      </c>
      <c r="E579" s="2" t="s">
        <v>414</v>
      </c>
      <c r="F579" s="2" t="s">
        <v>40</v>
      </c>
      <c r="J579" s="2" t="s">
        <v>532</v>
      </c>
      <c r="K579" s="2" t="s">
        <v>533</v>
      </c>
      <c r="L579" s="2">
        <v>5</v>
      </c>
      <c r="M579" s="2" t="s">
        <v>539</v>
      </c>
      <c r="O579" s="2" t="s">
        <v>524</v>
      </c>
      <c r="Y579" s="2" t="s">
        <v>593</v>
      </c>
    </row>
    <row r="580" spans="1:28" x14ac:dyDescent="0.25">
      <c r="A580" s="2" t="s">
        <v>309</v>
      </c>
      <c r="B580" s="2" t="s">
        <v>540</v>
      </c>
      <c r="C580" s="2" t="s">
        <v>409</v>
      </c>
      <c r="D580" s="2" t="s">
        <v>412</v>
      </c>
      <c r="E580" s="2" t="s">
        <v>414</v>
      </c>
      <c r="F580" s="2" t="s">
        <v>40</v>
      </c>
      <c r="J580" s="2" t="s">
        <v>541</v>
      </c>
      <c r="K580" s="2" t="s">
        <v>542</v>
      </c>
      <c r="L580" s="2">
        <v>1</v>
      </c>
      <c r="M580" s="2" t="s">
        <v>543</v>
      </c>
      <c r="O580" s="2" t="s">
        <v>524</v>
      </c>
      <c r="Y580" s="2" t="s">
        <v>593</v>
      </c>
    </row>
    <row r="581" spans="1:28" x14ac:dyDescent="0.25">
      <c r="A581" s="2" t="s">
        <v>309</v>
      </c>
      <c r="B581" s="2" t="s">
        <v>540</v>
      </c>
      <c r="C581" s="2" t="s">
        <v>409</v>
      </c>
      <c r="D581" s="2" t="s">
        <v>412</v>
      </c>
      <c r="E581" s="2" t="s">
        <v>414</v>
      </c>
      <c r="F581" s="2" t="s">
        <v>40</v>
      </c>
      <c r="J581" s="2" t="s">
        <v>541</v>
      </c>
      <c r="K581" s="2" t="s">
        <v>542</v>
      </c>
      <c r="L581" s="2">
        <v>2</v>
      </c>
      <c r="M581" s="2" t="s">
        <v>544</v>
      </c>
      <c r="O581" s="2" t="s">
        <v>524</v>
      </c>
      <c r="Y581" s="2" t="s">
        <v>593</v>
      </c>
    </row>
    <row r="582" spans="1:28" x14ac:dyDescent="0.25">
      <c r="A582" s="2" t="s">
        <v>309</v>
      </c>
      <c r="B582" s="2" t="s">
        <v>540</v>
      </c>
      <c r="C582" s="2" t="s">
        <v>409</v>
      </c>
      <c r="D582" s="2" t="s">
        <v>412</v>
      </c>
      <c r="E582" s="2" t="s">
        <v>414</v>
      </c>
      <c r="F582" s="2" t="s">
        <v>40</v>
      </c>
      <c r="J582" s="2" t="s">
        <v>541</v>
      </c>
      <c r="K582" s="2" t="s">
        <v>542</v>
      </c>
      <c r="L582" s="2">
        <v>3</v>
      </c>
      <c r="M582" s="2" t="s">
        <v>545</v>
      </c>
      <c r="O582" s="2" t="s">
        <v>524</v>
      </c>
      <c r="Y582" s="2" t="s">
        <v>593</v>
      </c>
    </row>
    <row r="583" spans="1:28" x14ac:dyDescent="0.25">
      <c r="A583" s="2" t="s">
        <v>309</v>
      </c>
      <c r="B583" s="2" t="s">
        <v>540</v>
      </c>
      <c r="C583" s="2" t="s">
        <v>409</v>
      </c>
      <c r="D583" s="2" t="s">
        <v>412</v>
      </c>
      <c r="E583" s="2" t="s">
        <v>414</v>
      </c>
      <c r="F583" s="2" t="s">
        <v>40</v>
      </c>
      <c r="J583" s="2" t="s">
        <v>541</v>
      </c>
      <c r="K583" s="2" t="s">
        <v>542</v>
      </c>
      <c r="L583" s="2">
        <v>4</v>
      </c>
      <c r="M583" s="2" t="s">
        <v>546</v>
      </c>
      <c r="O583" s="2" t="s">
        <v>524</v>
      </c>
      <c r="Y583" s="2" t="s">
        <v>593</v>
      </c>
    </row>
    <row r="584" spans="1:28" x14ac:dyDescent="0.25">
      <c r="A584" s="2" t="s">
        <v>309</v>
      </c>
      <c r="B584" s="2" t="s">
        <v>540</v>
      </c>
      <c r="C584" s="2" t="s">
        <v>409</v>
      </c>
      <c r="D584" s="2" t="s">
        <v>412</v>
      </c>
      <c r="E584" s="2" t="s">
        <v>414</v>
      </c>
      <c r="F584" s="2" t="s">
        <v>40</v>
      </c>
      <c r="J584" s="2" t="s">
        <v>541</v>
      </c>
      <c r="K584" s="2" t="s">
        <v>542</v>
      </c>
      <c r="L584" s="2">
        <v>5</v>
      </c>
      <c r="M584" s="2" t="s">
        <v>547</v>
      </c>
      <c r="O584" s="2" t="s">
        <v>524</v>
      </c>
      <c r="Y584" s="2" t="s">
        <v>593</v>
      </c>
    </row>
    <row r="585" spans="1:28" x14ac:dyDescent="0.25">
      <c r="A585" s="2" t="s">
        <v>309</v>
      </c>
      <c r="B585" s="2" t="s">
        <v>540</v>
      </c>
      <c r="C585" s="2" t="s">
        <v>409</v>
      </c>
      <c r="D585" s="2" t="s">
        <v>412</v>
      </c>
      <c r="E585" s="2" t="s">
        <v>414</v>
      </c>
      <c r="F585" s="2" t="s">
        <v>40</v>
      </c>
      <c r="J585" s="2" t="s">
        <v>541</v>
      </c>
      <c r="K585" s="2" t="s">
        <v>542</v>
      </c>
      <c r="L585" s="2">
        <v>6</v>
      </c>
      <c r="M585" s="2" t="s">
        <v>548</v>
      </c>
      <c r="O585" s="2" t="s">
        <v>524</v>
      </c>
      <c r="Y585" s="2" t="s">
        <v>593</v>
      </c>
    </row>
    <row r="586" spans="1:28" x14ac:dyDescent="0.25">
      <c r="A586" s="2" t="s">
        <v>309</v>
      </c>
      <c r="B586" s="2" t="s">
        <v>540</v>
      </c>
      <c r="C586" s="2" t="s">
        <v>409</v>
      </c>
      <c r="D586" s="2" t="s">
        <v>412</v>
      </c>
      <c r="E586" s="2" t="s">
        <v>414</v>
      </c>
      <c r="F586" s="2" t="s">
        <v>40</v>
      </c>
      <c r="J586" s="2" t="s">
        <v>541</v>
      </c>
      <c r="K586" s="2" t="s">
        <v>542</v>
      </c>
      <c r="L586" s="2">
        <v>7</v>
      </c>
      <c r="M586" s="2" t="s">
        <v>549</v>
      </c>
      <c r="O586" s="2" t="s">
        <v>524</v>
      </c>
      <c r="Y586" s="2" t="s">
        <v>593</v>
      </c>
    </row>
    <row r="587" spans="1:28" x14ac:dyDescent="0.25">
      <c r="A587" s="2" t="s">
        <v>309</v>
      </c>
      <c r="B587" s="2" t="s">
        <v>540</v>
      </c>
      <c r="C587" s="2" t="s">
        <v>409</v>
      </c>
      <c r="D587" s="2" t="s">
        <v>412</v>
      </c>
      <c r="E587" s="2" t="s">
        <v>414</v>
      </c>
      <c r="F587" s="2" t="s">
        <v>40</v>
      </c>
      <c r="J587" s="2" t="s">
        <v>541</v>
      </c>
      <c r="K587" s="2" t="s">
        <v>542</v>
      </c>
      <c r="L587" s="2">
        <v>8</v>
      </c>
      <c r="M587" s="2" t="s">
        <v>550</v>
      </c>
      <c r="O587" s="2" t="s">
        <v>524</v>
      </c>
      <c r="Y587" s="2" t="s">
        <v>593</v>
      </c>
    </row>
    <row r="588" spans="1:28" x14ac:dyDescent="0.25">
      <c r="A588" s="2" t="s">
        <v>309</v>
      </c>
      <c r="B588" s="2" t="s">
        <v>540</v>
      </c>
      <c r="C588" s="2" t="s">
        <v>409</v>
      </c>
      <c r="D588" s="2" t="s">
        <v>412</v>
      </c>
      <c r="E588" s="2" t="s">
        <v>414</v>
      </c>
      <c r="F588" s="2" t="s">
        <v>40</v>
      </c>
      <c r="J588" s="2" t="s">
        <v>541</v>
      </c>
      <c r="K588" s="2" t="s">
        <v>542</v>
      </c>
      <c r="L588" s="2">
        <v>9</v>
      </c>
      <c r="M588" s="2" t="s">
        <v>551</v>
      </c>
      <c r="O588" s="2" t="s">
        <v>524</v>
      </c>
      <c r="Y588" s="2" t="s">
        <v>593</v>
      </c>
    </row>
    <row r="589" spans="1:28" x14ac:dyDescent="0.25">
      <c r="A589" s="2" t="s">
        <v>309</v>
      </c>
      <c r="B589" s="2" t="s">
        <v>540</v>
      </c>
      <c r="C589" s="2" t="s">
        <v>409</v>
      </c>
      <c r="D589" s="2" t="s">
        <v>412</v>
      </c>
      <c r="E589" s="2" t="s">
        <v>414</v>
      </c>
      <c r="F589" s="2" t="s">
        <v>40</v>
      </c>
      <c r="J589" s="2" t="s">
        <v>541</v>
      </c>
      <c r="K589" s="2" t="s">
        <v>542</v>
      </c>
      <c r="L589" s="2">
        <v>10</v>
      </c>
      <c r="M589" s="2" t="s">
        <v>552</v>
      </c>
      <c r="O589" s="2" t="s">
        <v>524</v>
      </c>
      <c r="Y589" s="2" t="s">
        <v>593</v>
      </c>
    </row>
    <row r="590" spans="1:28" x14ac:dyDescent="0.25">
      <c r="A590" s="2" t="s">
        <v>309</v>
      </c>
      <c r="B590" s="2" t="s">
        <v>540</v>
      </c>
      <c r="C590" s="2" t="s">
        <v>409</v>
      </c>
      <c r="D590" s="2" t="s">
        <v>412</v>
      </c>
      <c r="E590" s="2" t="s">
        <v>414</v>
      </c>
      <c r="F590" s="2" t="s">
        <v>40</v>
      </c>
      <c r="J590" s="2" t="s">
        <v>541</v>
      </c>
      <c r="K590" s="2" t="s">
        <v>542</v>
      </c>
      <c r="L590" s="2">
        <v>11</v>
      </c>
      <c r="M590" s="2" t="s">
        <v>553</v>
      </c>
      <c r="O590" s="2" t="s">
        <v>524</v>
      </c>
      <c r="Y590" s="2" t="s">
        <v>593</v>
      </c>
    </row>
    <row r="591" spans="1:28" x14ac:dyDescent="0.25">
      <c r="A591" s="2" t="s">
        <v>309</v>
      </c>
      <c r="B591" s="2" t="s">
        <v>540</v>
      </c>
      <c r="C591" s="2" t="s">
        <v>409</v>
      </c>
      <c r="D591" s="2" t="s">
        <v>412</v>
      </c>
      <c r="E591" s="2" t="s">
        <v>414</v>
      </c>
      <c r="F591" s="2" t="s">
        <v>40</v>
      </c>
      <c r="J591" s="2" t="s">
        <v>541</v>
      </c>
      <c r="K591" s="2" t="s">
        <v>542</v>
      </c>
      <c r="L591" s="2">
        <v>12</v>
      </c>
      <c r="M591" s="2" t="s">
        <v>554</v>
      </c>
      <c r="O591" s="2" t="s">
        <v>524</v>
      </c>
      <c r="Y591" s="2" t="s">
        <v>593</v>
      </c>
    </row>
    <row r="592" spans="1:28" x14ac:dyDescent="0.25">
      <c r="A592" s="2" t="s">
        <v>309</v>
      </c>
      <c r="B592" s="2" t="s">
        <v>555</v>
      </c>
      <c r="C592" s="2" t="s">
        <v>409</v>
      </c>
      <c r="D592" s="2" t="s">
        <v>412</v>
      </c>
      <c r="E592" s="2" t="s">
        <v>414</v>
      </c>
      <c r="F592" s="2" t="s">
        <v>40</v>
      </c>
      <c r="J592" s="2" t="s">
        <v>556</v>
      </c>
      <c r="O592" s="2" t="s">
        <v>524</v>
      </c>
      <c r="Y592" s="2" t="s">
        <v>593</v>
      </c>
      <c r="AB592" s="2">
        <v>2</v>
      </c>
    </row>
    <row r="593" spans="1:34" x14ac:dyDescent="0.25">
      <c r="A593" s="2" t="s">
        <v>309</v>
      </c>
      <c r="B593" s="2" t="s">
        <v>557</v>
      </c>
      <c r="C593" s="2" t="s">
        <v>409</v>
      </c>
      <c r="D593" s="2" t="s">
        <v>412</v>
      </c>
      <c r="E593" s="2" t="s">
        <v>414</v>
      </c>
      <c r="F593" s="2" t="s">
        <v>40</v>
      </c>
      <c r="J593" s="2" t="s">
        <v>558</v>
      </c>
      <c r="O593" s="2" t="s">
        <v>524</v>
      </c>
      <c r="Y593" s="2" t="s">
        <v>593</v>
      </c>
      <c r="AC593" s="2">
        <f>COUNTIFS($B:$B,"BLOCK_LOAD_Q",$A:$A,$A593,$C:$C,$C593,$E:$E,$E593,$F:$F,$F593,$N:$N, "&lt;&gt;")</f>
        <v>0</v>
      </c>
      <c r="AD593" s="2">
        <f>COUNTIFS($B:$B,"BLOCK_TRUST_Q",$A:$A,$A593,$C:$C,$C593,$E:$E,$E593,$F:$F,$F593,$N:$N, "&lt;&gt;")</f>
        <v>0</v>
      </c>
      <c r="AE593" s="2" t="str">
        <f>IFERROR(AVERAGEIFS($P:$P,$B:$B,"BLOCK_LOAD_Q",$A:$A,$A593,$C:$C,$C593,$E:$E,$E593,$F:$F,$F593,$P:$P,"&gt;0"),"")</f>
        <v/>
      </c>
      <c r="AF593" s="2" t="str">
        <f>IFERROR(AVERAGEIFS($P:$P,$B:$B,"BLOCK_TRUST_Q",$A:$A,$A593,$C:$C,$C593,$E:$E,$E593,$F:$F,$F593,$P:$P,"&gt;0"),"")</f>
        <v/>
      </c>
      <c r="AG593" s="2">
        <f>5-AC593</f>
        <v>5</v>
      </c>
      <c r="AH593" s="2">
        <f>12-AD593</f>
        <v>12</v>
      </c>
    </row>
    <row r="594" spans="1:34" x14ac:dyDescent="0.25">
      <c r="A594" s="2" t="s">
        <v>309</v>
      </c>
      <c r="B594" s="2" t="s">
        <v>403</v>
      </c>
      <c r="C594" s="2" t="s">
        <v>409</v>
      </c>
      <c r="D594" s="2" t="s">
        <v>412</v>
      </c>
      <c r="Z594" s="2" t="s">
        <v>431</v>
      </c>
    </row>
    <row r="595" spans="1:34" x14ac:dyDescent="0.25">
      <c r="A595" s="2" t="s">
        <v>309</v>
      </c>
      <c r="B595" s="2" t="s">
        <v>404</v>
      </c>
      <c r="J595" s="2" t="s">
        <v>575</v>
      </c>
      <c r="AA595" s="2" t="s">
        <v>337</v>
      </c>
    </row>
    <row r="596" spans="1:34" x14ac:dyDescent="0.25">
      <c r="A596" s="2" t="s">
        <v>309</v>
      </c>
      <c r="B596" s="2" t="s">
        <v>405</v>
      </c>
    </row>
    <row r="597" spans="1:34" x14ac:dyDescent="0.25">
      <c r="A597" s="2" t="s">
        <v>309</v>
      </c>
      <c r="B597" s="2" t="s">
        <v>406</v>
      </c>
    </row>
    <row r="598" spans="1:34" x14ac:dyDescent="0.25">
      <c r="A598" s="2" t="s">
        <v>310</v>
      </c>
      <c r="B598" s="2" t="s">
        <v>523</v>
      </c>
      <c r="C598" s="2" t="s">
        <v>524</v>
      </c>
      <c r="D598" s="2" t="s">
        <v>524</v>
      </c>
      <c r="E598" s="2" t="s">
        <v>524</v>
      </c>
      <c r="F598" s="2" t="s">
        <v>524</v>
      </c>
      <c r="J598" s="2" t="s">
        <v>525</v>
      </c>
      <c r="O598" s="2" t="s">
        <v>524</v>
      </c>
    </row>
    <row r="599" spans="1:34" x14ac:dyDescent="0.25">
      <c r="A599" s="2" t="s">
        <v>310</v>
      </c>
      <c r="B599" s="2" t="s">
        <v>526</v>
      </c>
      <c r="C599" s="2" t="s">
        <v>524</v>
      </c>
      <c r="D599" s="2" t="s">
        <v>524</v>
      </c>
      <c r="E599" s="2" t="s">
        <v>524</v>
      </c>
      <c r="F599" s="2" t="s">
        <v>524</v>
      </c>
      <c r="J599" s="2" t="s">
        <v>527</v>
      </c>
      <c r="O599" s="2" t="s">
        <v>524</v>
      </c>
    </row>
    <row r="600" spans="1:34" x14ac:dyDescent="0.25">
      <c r="A600" s="2" t="s">
        <v>310</v>
      </c>
      <c r="B600" s="2" t="s">
        <v>402</v>
      </c>
      <c r="C600" s="2" t="s">
        <v>407</v>
      </c>
      <c r="D600" s="2" t="s">
        <v>411</v>
      </c>
      <c r="E600" s="2" t="s">
        <v>413</v>
      </c>
      <c r="F600" s="2" t="s">
        <v>39</v>
      </c>
      <c r="G600" s="2" t="s">
        <v>415</v>
      </c>
      <c r="H600" s="2" t="s">
        <v>349</v>
      </c>
      <c r="S600" s="2" t="s">
        <v>58</v>
      </c>
      <c r="U600" s="2" t="s">
        <v>60</v>
      </c>
      <c r="W600" s="2" t="s">
        <v>58</v>
      </c>
    </row>
    <row r="601" spans="1:34" x14ac:dyDescent="0.25">
      <c r="A601" s="2" t="s">
        <v>310</v>
      </c>
      <c r="B601" s="2" t="s">
        <v>402</v>
      </c>
      <c r="C601" s="2" t="s">
        <v>407</v>
      </c>
      <c r="D601" s="2" t="s">
        <v>411</v>
      </c>
      <c r="E601" s="2" t="s">
        <v>413</v>
      </c>
      <c r="F601" s="2" t="s">
        <v>39</v>
      </c>
      <c r="G601" s="2" t="s">
        <v>416</v>
      </c>
      <c r="H601" s="2" t="s">
        <v>565</v>
      </c>
      <c r="S601" s="2" t="s">
        <v>59</v>
      </c>
      <c r="U601" s="2" t="s">
        <v>60</v>
      </c>
      <c r="W601" s="2" t="s">
        <v>60</v>
      </c>
    </row>
    <row r="602" spans="1:34" x14ac:dyDescent="0.25">
      <c r="A602" s="2" t="s">
        <v>310</v>
      </c>
      <c r="B602" s="2" t="s">
        <v>402</v>
      </c>
      <c r="C602" s="2" t="s">
        <v>407</v>
      </c>
      <c r="D602" s="2" t="s">
        <v>411</v>
      </c>
      <c r="E602" s="2" t="s">
        <v>413</v>
      </c>
      <c r="F602" s="2" t="s">
        <v>39</v>
      </c>
      <c r="G602" s="2" t="s">
        <v>417</v>
      </c>
      <c r="H602" s="2" t="s">
        <v>361</v>
      </c>
      <c r="S602" s="2" t="s">
        <v>60</v>
      </c>
      <c r="U602" s="2" t="s">
        <v>60</v>
      </c>
      <c r="W602" s="2" t="s">
        <v>60</v>
      </c>
    </row>
    <row r="603" spans="1:34" x14ac:dyDescent="0.25">
      <c r="A603" s="2" t="s">
        <v>310</v>
      </c>
      <c r="B603" s="2" t="s">
        <v>402</v>
      </c>
      <c r="C603" s="2" t="s">
        <v>407</v>
      </c>
      <c r="D603" s="2" t="s">
        <v>411</v>
      </c>
      <c r="E603" s="2" t="s">
        <v>413</v>
      </c>
      <c r="F603" s="2" t="s">
        <v>39</v>
      </c>
      <c r="G603" s="2" t="s">
        <v>418</v>
      </c>
      <c r="H603" s="2" t="s">
        <v>353</v>
      </c>
      <c r="S603" s="2" t="s">
        <v>58</v>
      </c>
      <c r="U603" s="2" t="s">
        <v>59</v>
      </c>
      <c r="W603" s="2" t="s">
        <v>58</v>
      </c>
    </row>
    <row r="604" spans="1:34" x14ac:dyDescent="0.25">
      <c r="A604" s="2" t="s">
        <v>310</v>
      </c>
      <c r="B604" s="2" t="s">
        <v>402</v>
      </c>
      <c r="C604" s="2" t="s">
        <v>407</v>
      </c>
      <c r="D604" s="2" t="s">
        <v>411</v>
      </c>
      <c r="E604" s="2" t="s">
        <v>413</v>
      </c>
      <c r="F604" s="2" t="s">
        <v>39</v>
      </c>
      <c r="G604" s="2" t="s">
        <v>419</v>
      </c>
      <c r="H604" s="2" t="s">
        <v>371</v>
      </c>
      <c r="S604" s="2" t="s">
        <v>60</v>
      </c>
      <c r="U604" s="2" t="s">
        <v>59</v>
      </c>
      <c r="W604" s="2" t="s">
        <v>57</v>
      </c>
    </row>
    <row r="605" spans="1:34" x14ac:dyDescent="0.25">
      <c r="A605" s="2" t="s">
        <v>310</v>
      </c>
      <c r="B605" s="2" t="s">
        <v>531</v>
      </c>
      <c r="C605" s="2" t="s">
        <v>407</v>
      </c>
      <c r="D605" s="2" t="s">
        <v>411</v>
      </c>
      <c r="E605" s="2" t="s">
        <v>413</v>
      </c>
      <c r="F605" s="2" t="s">
        <v>39</v>
      </c>
      <c r="J605" s="2" t="s">
        <v>532</v>
      </c>
      <c r="K605" s="2" t="s">
        <v>533</v>
      </c>
      <c r="L605" s="2">
        <v>1</v>
      </c>
      <c r="M605" s="2" t="s">
        <v>534</v>
      </c>
      <c r="O605" s="2" t="s">
        <v>524</v>
      </c>
      <c r="Y605" s="2" t="s">
        <v>594</v>
      </c>
    </row>
    <row r="606" spans="1:34" x14ac:dyDescent="0.25">
      <c r="A606" s="2" t="s">
        <v>310</v>
      </c>
      <c r="B606" s="2" t="s">
        <v>531</v>
      </c>
      <c r="C606" s="2" t="s">
        <v>407</v>
      </c>
      <c r="D606" s="2" t="s">
        <v>411</v>
      </c>
      <c r="E606" s="2" t="s">
        <v>413</v>
      </c>
      <c r="F606" s="2" t="s">
        <v>39</v>
      </c>
      <c r="J606" s="2" t="s">
        <v>532</v>
      </c>
      <c r="K606" s="2" t="s">
        <v>533</v>
      </c>
      <c r="L606" s="2">
        <v>2</v>
      </c>
      <c r="M606" s="2" t="s">
        <v>536</v>
      </c>
      <c r="O606" s="2" t="s">
        <v>524</v>
      </c>
      <c r="Y606" s="2" t="s">
        <v>594</v>
      </c>
    </row>
    <row r="607" spans="1:34" x14ac:dyDescent="0.25">
      <c r="A607" s="2" t="s">
        <v>310</v>
      </c>
      <c r="B607" s="2" t="s">
        <v>531</v>
      </c>
      <c r="C607" s="2" t="s">
        <v>407</v>
      </c>
      <c r="D607" s="2" t="s">
        <v>411</v>
      </c>
      <c r="E607" s="2" t="s">
        <v>413</v>
      </c>
      <c r="F607" s="2" t="s">
        <v>39</v>
      </c>
      <c r="J607" s="2" t="s">
        <v>532</v>
      </c>
      <c r="K607" s="2" t="s">
        <v>533</v>
      </c>
      <c r="L607" s="2">
        <v>3</v>
      </c>
      <c r="M607" s="2" t="s">
        <v>537</v>
      </c>
      <c r="O607" s="2" t="s">
        <v>524</v>
      </c>
      <c r="Y607" s="2" t="s">
        <v>594</v>
      </c>
    </row>
    <row r="608" spans="1:34" x14ac:dyDescent="0.25">
      <c r="A608" s="2" t="s">
        <v>310</v>
      </c>
      <c r="B608" s="2" t="s">
        <v>531</v>
      </c>
      <c r="C608" s="2" t="s">
        <v>407</v>
      </c>
      <c r="D608" s="2" t="s">
        <v>411</v>
      </c>
      <c r="E608" s="2" t="s">
        <v>413</v>
      </c>
      <c r="F608" s="2" t="s">
        <v>39</v>
      </c>
      <c r="J608" s="2" t="s">
        <v>532</v>
      </c>
      <c r="K608" s="2" t="s">
        <v>533</v>
      </c>
      <c r="L608" s="2">
        <v>4</v>
      </c>
      <c r="M608" s="2" t="s">
        <v>538</v>
      </c>
      <c r="O608" s="2" t="s">
        <v>524</v>
      </c>
      <c r="Y608" s="2" t="s">
        <v>594</v>
      </c>
    </row>
    <row r="609" spans="1:34" x14ac:dyDescent="0.25">
      <c r="A609" s="2" t="s">
        <v>310</v>
      </c>
      <c r="B609" s="2" t="s">
        <v>531</v>
      </c>
      <c r="C609" s="2" t="s">
        <v>407</v>
      </c>
      <c r="D609" s="2" t="s">
        <v>411</v>
      </c>
      <c r="E609" s="2" t="s">
        <v>413</v>
      </c>
      <c r="F609" s="2" t="s">
        <v>39</v>
      </c>
      <c r="J609" s="2" t="s">
        <v>532</v>
      </c>
      <c r="K609" s="2" t="s">
        <v>533</v>
      </c>
      <c r="L609" s="2">
        <v>5</v>
      </c>
      <c r="M609" s="2" t="s">
        <v>539</v>
      </c>
      <c r="O609" s="2" t="s">
        <v>524</v>
      </c>
      <c r="Y609" s="2" t="s">
        <v>594</v>
      </c>
    </row>
    <row r="610" spans="1:34" x14ac:dyDescent="0.25">
      <c r="A610" s="2" t="s">
        <v>310</v>
      </c>
      <c r="B610" s="2" t="s">
        <v>540</v>
      </c>
      <c r="C610" s="2" t="s">
        <v>407</v>
      </c>
      <c r="D610" s="2" t="s">
        <v>411</v>
      </c>
      <c r="E610" s="2" t="s">
        <v>413</v>
      </c>
      <c r="F610" s="2" t="s">
        <v>39</v>
      </c>
      <c r="J610" s="2" t="s">
        <v>541</v>
      </c>
      <c r="K610" s="2" t="s">
        <v>542</v>
      </c>
      <c r="L610" s="2">
        <v>1</v>
      </c>
      <c r="M610" s="2" t="s">
        <v>543</v>
      </c>
      <c r="O610" s="2" t="s">
        <v>524</v>
      </c>
      <c r="Y610" s="2" t="s">
        <v>594</v>
      </c>
    </row>
    <row r="611" spans="1:34" x14ac:dyDescent="0.25">
      <c r="A611" s="2" t="s">
        <v>310</v>
      </c>
      <c r="B611" s="2" t="s">
        <v>540</v>
      </c>
      <c r="C611" s="2" t="s">
        <v>407</v>
      </c>
      <c r="D611" s="2" t="s">
        <v>411</v>
      </c>
      <c r="E611" s="2" t="s">
        <v>413</v>
      </c>
      <c r="F611" s="2" t="s">
        <v>39</v>
      </c>
      <c r="J611" s="2" t="s">
        <v>541</v>
      </c>
      <c r="K611" s="2" t="s">
        <v>542</v>
      </c>
      <c r="L611" s="2">
        <v>2</v>
      </c>
      <c r="M611" s="2" t="s">
        <v>544</v>
      </c>
      <c r="O611" s="2" t="s">
        <v>524</v>
      </c>
      <c r="Y611" s="2" t="s">
        <v>594</v>
      </c>
    </row>
    <row r="612" spans="1:34" x14ac:dyDescent="0.25">
      <c r="A612" s="2" t="s">
        <v>310</v>
      </c>
      <c r="B612" s="2" t="s">
        <v>540</v>
      </c>
      <c r="C612" s="2" t="s">
        <v>407</v>
      </c>
      <c r="D612" s="2" t="s">
        <v>411</v>
      </c>
      <c r="E612" s="2" t="s">
        <v>413</v>
      </c>
      <c r="F612" s="2" t="s">
        <v>39</v>
      </c>
      <c r="J612" s="2" t="s">
        <v>541</v>
      </c>
      <c r="K612" s="2" t="s">
        <v>542</v>
      </c>
      <c r="L612" s="2">
        <v>3</v>
      </c>
      <c r="M612" s="2" t="s">
        <v>545</v>
      </c>
      <c r="O612" s="2" t="s">
        <v>524</v>
      </c>
      <c r="Y612" s="2" t="s">
        <v>594</v>
      </c>
    </row>
    <row r="613" spans="1:34" x14ac:dyDescent="0.25">
      <c r="A613" s="2" t="s">
        <v>310</v>
      </c>
      <c r="B613" s="2" t="s">
        <v>540</v>
      </c>
      <c r="C613" s="2" t="s">
        <v>407</v>
      </c>
      <c r="D613" s="2" t="s">
        <v>411</v>
      </c>
      <c r="E613" s="2" t="s">
        <v>413</v>
      </c>
      <c r="F613" s="2" t="s">
        <v>39</v>
      </c>
      <c r="J613" s="2" t="s">
        <v>541</v>
      </c>
      <c r="K613" s="2" t="s">
        <v>542</v>
      </c>
      <c r="L613" s="2">
        <v>4</v>
      </c>
      <c r="M613" s="2" t="s">
        <v>546</v>
      </c>
      <c r="O613" s="2" t="s">
        <v>524</v>
      </c>
      <c r="Y613" s="2" t="s">
        <v>594</v>
      </c>
    </row>
    <row r="614" spans="1:34" x14ac:dyDescent="0.25">
      <c r="A614" s="2" t="s">
        <v>310</v>
      </c>
      <c r="B614" s="2" t="s">
        <v>540</v>
      </c>
      <c r="C614" s="2" t="s">
        <v>407</v>
      </c>
      <c r="D614" s="2" t="s">
        <v>411</v>
      </c>
      <c r="E614" s="2" t="s">
        <v>413</v>
      </c>
      <c r="F614" s="2" t="s">
        <v>39</v>
      </c>
      <c r="J614" s="2" t="s">
        <v>541</v>
      </c>
      <c r="K614" s="2" t="s">
        <v>542</v>
      </c>
      <c r="L614" s="2">
        <v>5</v>
      </c>
      <c r="M614" s="2" t="s">
        <v>547</v>
      </c>
      <c r="O614" s="2" t="s">
        <v>524</v>
      </c>
      <c r="Y614" s="2" t="s">
        <v>594</v>
      </c>
    </row>
    <row r="615" spans="1:34" x14ac:dyDescent="0.25">
      <c r="A615" s="2" t="s">
        <v>310</v>
      </c>
      <c r="B615" s="2" t="s">
        <v>540</v>
      </c>
      <c r="C615" s="2" t="s">
        <v>407</v>
      </c>
      <c r="D615" s="2" t="s">
        <v>411</v>
      </c>
      <c r="E615" s="2" t="s">
        <v>413</v>
      </c>
      <c r="F615" s="2" t="s">
        <v>39</v>
      </c>
      <c r="J615" s="2" t="s">
        <v>541</v>
      </c>
      <c r="K615" s="2" t="s">
        <v>542</v>
      </c>
      <c r="L615" s="2">
        <v>6</v>
      </c>
      <c r="M615" s="2" t="s">
        <v>548</v>
      </c>
      <c r="O615" s="2" t="s">
        <v>524</v>
      </c>
      <c r="Y615" s="2" t="s">
        <v>594</v>
      </c>
    </row>
    <row r="616" spans="1:34" x14ac:dyDescent="0.25">
      <c r="A616" s="2" t="s">
        <v>310</v>
      </c>
      <c r="B616" s="2" t="s">
        <v>540</v>
      </c>
      <c r="C616" s="2" t="s">
        <v>407</v>
      </c>
      <c r="D616" s="2" t="s">
        <v>411</v>
      </c>
      <c r="E616" s="2" t="s">
        <v>413</v>
      </c>
      <c r="F616" s="2" t="s">
        <v>39</v>
      </c>
      <c r="J616" s="2" t="s">
        <v>541</v>
      </c>
      <c r="K616" s="2" t="s">
        <v>542</v>
      </c>
      <c r="L616" s="2">
        <v>7</v>
      </c>
      <c r="M616" s="2" t="s">
        <v>549</v>
      </c>
      <c r="O616" s="2" t="s">
        <v>524</v>
      </c>
      <c r="Y616" s="2" t="s">
        <v>594</v>
      </c>
    </row>
    <row r="617" spans="1:34" x14ac:dyDescent="0.25">
      <c r="A617" s="2" t="s">
        <v>310</v>
      </c>
      <c r="B617" s="2" t="s">
        <v>540</v>
      </c>
      <c r="C617" s="2" t="s">
        <v>407</v>
      </c>
      <c r="D617" s="2" t="s">
        <v>411</v>
      </c>
      <c r="E617" s="2" t="s">
        <v>413</v>
      </c>
      <c r="F617" s="2" t="s">
        <v>39</v>
      </c>
      <c r="J617" s="2" t="s">
        <v>541</v>
      </c>
      <c r="K617" s="2" t="s">
        <v>542</v>
      </c>
      <c r="L617" s="2">
        <v>8</v>
      </c>
      <c r="M617" s="2" t="s">
        <v>550</v>
      </c>
      <c r="O617" s="2" t="s">
        <v>524</v>
      </c>
      <c r="Y617" s="2" t="s">
        <v>594</v>
      </c>
    </row>
    <row r="618" spans="1:34" x14ac:dyDescent="0.25">
      <c r="A618" s="2" t="s">
        <v>310</v>
      </c>
      <c r="B618" s="2" t="s">
        <v>540</v>
      </c>
      <c r="C618" s="2" t="s">
        <v>407</v>
      </c>
      <c r="D618" s="2" t="s">
        <v>411</v>
      </c>
      <c r="E618" s="2" t="s">
        <v>413</v>
      </c>
      <c r="F618" s="2" t="s">
        <v>39</v>
      </c>
      <c r="J618" s="2" t="s">
        <v>541</v>
      </c>
      <c r="K618" s="2" t="s">
        <v>542</v>
      </c>
      <c r="L618" s="2">
        <v>9</v>
      </c>
      <c r="M618" s="2" t="s">
        <v>551</v>
      </c>
      <c r="O618" s="2" t="s">
        <v>524</v>
      </c>
      <c r="Y618" s="2" t="s">
        <v>594</v>
      </c>
    </row>
    <row r="619" spans="1:34" x14ac:dyDescent="0.25">
      <c r="A619" s="2" t="s">
        <v>310</v>
      </c>
      <c r="B619" s="2" t="s">
        <v>540</v>
      </c>
      <c r="C619" s="2" t="s">
        <v>407</v>
      </c>
      <c r="D619" s="2" t="s">
        <v>411</v>
      </c>
      <c r="E619" s="2" t="s">
        <v>413</v>
      </c>
      <c r="F619" s="2" t="s">
        <v>39</v>
      </c>
      <c r="J619" s="2" t="s">
        <v>541</v>
      </c>
      <c r="K619" s="2" t="s">
        <v>542</v>
      </c>
      <c r="L619" s="2">
        <v>10</v>
      </c>
      <c r="M619" s="2" t="s">
        <v>552</v>
      </c>
      <c r="O619" s="2" t="s">
        <v>524</v>
      </c>
      <c r="Y619" s="2" t="s">
        <v>594</v>
      </c>
    </row>
    <row r="620" spans="1:34" x14ac:dyDescent="0.25">
      <c r="A620" s="2" t="s">
        <v>310</v>
      </c>
      <c r="B620" s="2" t="s">
        <v>540</v>
      </c>
      <c r="C620" s="2" t="s">
        <v>407</v>
      </c>
      <c r="D620" s="2" t="s">
        <v>411</v>
      </c>
      <c r="E620" s="2" t="s">
        <v>413</v>
      </c>
      <c r="F620" s="2" t="s">
        <v>39</v>
      </c>
      <c r="J620" s="2" t="s">
        <v>541</v>
      </c>
      <c r="K620" s="2" t="s">
        <v>542</v>
      </c>
      <c r="L620" s="2">
        <v>11</v>
      </c>
      <c r="M620" s="2" t="s">
        <v>553</v>
      </c>
      <c r="O620" s="2" t="s">
        <v>524</v>
      </c>
      <c r="Y620" s="2" t="s">
        <v>594</v>
      </c>
    </row>
    <row r="621" spans="1:34" x14ac:dyDescent="0.25">
      <c r="A621" s="2" t="s">
        <v>310</v>
      </c>
      <c r="B621" s="2" t="s">
        <v>540</v>
      </c>
      <c r="C621" s="2" t="s">
        <v>407</v>
      </c>
      <c r="D621" s="2" t="s">
        <v>411</v>
      </c>
      <c r="E621" s="2" t="s">
        <v>413</v>
      </c>
      <c r="F621" s="2" t="s">
        <v>39</v>
      </c>
      <c r="J621" s="2" t="s">
        <v>541</v>
      </c>
      <c r="K621" s="2" t="s">
        <v>542</v>
      </c>
      <c r="L621" s="2">
        <v>12</v>
      </c>
      <c r="M621" s="2" t="s">
        <v>554</v>
      </c>
      <c r="O621" s="2" t="s">
        <v>524</v>
      </c>
      <c r="Y621" s="2" t="s">
        <v>594</v>
      </c>
    </row>
    <row r="622" spans="1:34" x14ac:dyDescent="0.25">
      <c r="A622" s="2" t="s">
        <v>310</v>
      </c>
      <c r="B622" s="2" t="s">
        <v>555</v>
      </c>
      <c r="C622" s="2" t="s">
        <v>407</v>
      </c>
      <c r="D622" s="2" t="s">
        <v>411</v>
      </c>
      <c r="E622" s="2" t="s">
        <v>413</v>
      </c>
      <c r="F622" s="2" t="s">
        <v>39</v>
      </c>
      <c r="J622" s="2" t="s">
        <v>556</v>
      </c>
      <c r="O622" s="2" t="s">
        <v>524</v>
      </c>
      <c r="Y622" s="2" t="s">
        <v>594</v>
      </c>
      <c r="AB622" s="2">
        <v>1</v>
      </c>
    </row>
    <row r="623" spans="1:34" x14ac:dyDescent="0.25">
      <c r="A623" s="2" t="s">
        <v>310</v>
      </c>
      <c r="B623" s="2" t="s">
        <v>557</v>
      </c>
      <c r="C623" s="2" t="s">
        <v>407</v>
      </c>
      <c r="D623" s="2" t="s">
        <v>411</v>
      </c>
      <c r="E623" s="2" t="s">
        <v>413</v>
      </c>
      <c r="F623" s="2" t="s">
        <v>39</v>
      </c>
      <c r="J623" s="2" t="s">
        <v>558</v>
      </c>
      <c r="O623" s="2" t="s">
        <v>524</v>
      </c>
      <c r="Y623" s="2" t="s">
        <v>594</v>
      </c>
      <c r="AC623" s="2">
        <f>COUNTIFS($B:$B,"BLOCK_LOAD_Q",$A:$A,$A623,$C:$C,$C623,$E:$E,$E623,$F:$F,$F623,$N:$N, "&lt;&gt;")</f>
        <v>0</v>
      </c>
      <c r="AD623" s="2">
        <f>COUNTIFS($B:$B,"BLOCK_TRUST_Q",$A:$A,$A623,$C:$C,$C623,$E:$E,$E623,$F:$F,$F623,$N:$N, "&lt;&gt;")</f>
        <v>0</v>
      </c>
      <c r="AE623" s="2" t="str">
        <f>IFERROR(AVERAGEIFS($P:$P,$B:$B,"BLOCK_LOAD_Q",$A:$A,$A623,$C:$C,$C623,$E:$E,$E623,$F:$F,$F623,$P:$P,"&gt;0"),"")</f>
        <v/>
      </c>
      <c r="AF623" s="2" t="str">
        <f>IFERROR(AVERAGEIFS($P:$P,$B:$B,"BLOCK_TRUST_Q",$A:$A,$A623,$C:$C,$C623,$E:$E,$E623,$F:$F,$F623,$P:$P,"&gt;0"),"")</f>
        <v/>
      </c>
      <c r="AG623" s="2">
        <f>5-AC623</f>
        <v>5</v>
      </c>
      <c r="AH623" s="2">
        <f>12-AD623</f>
        <v>12</v>
      </c>
    </row>
    <row r="624" spans="1:34" x14ac:dyDescent="0.25">
      <c r="A624" s="2" t="s">
        <v>310</v>
      </c>
      <c r="B624" s="2" t="s">
        <v>402</v>
      </c>
      <c r="C624" s="2" t="s">
        <v>407</v>
      </c>
      <c r="D624" s="2" t="s">
        <v>411</v>
      </c>
      <c r="E624" s="2" t="s">
        <v>414</v>
      </c>
      <c r="F624" s="2" t="s">
        <v>40</v>
      </c>
      <c r="G624" s="2" t="s">
        <v>415</v>
      </c>
      <c r="H624" s="2" t="s">
        <v>357</v>
      </c>
      <c r="S624" s="2" t="s">
        <v>59</v>
      </c>
      <c r="U624" s="2" t="s">
        <v>60</v>
      </c>
      <c r="W624" s="2" t="s">
        <v>57</v>
      </c>
    </row>
    <row r="625" spans="1:25" x14ac:dyDescent="0.25">
      <c r="A625" s="2" t="s">
        <v>310</v>
      </c>
      <c r="B625" s="2" t="s">
        <v>402</v>
      </c>
      <c r="C625" s="2" t="s">
        <v>407</v>
      </c>
      <c r="D625" s="2" t="s">
        <v>411</v>
      </c>
      <c r="E625" s="2" t="s">
        <v>414</v>
      </c>
      <c r="F625" s="2" t="s">
        <v>40</v>
      </c>
      <c r="G625" s="2" t="s">
        <v>416</v>
      </c>
      <c r="H625" s="2" t="s">
        <v>348</v>
      </c>
      <c r="S625" s="2" t="s">
        <v>58</v>
      </c>
      <c r="U625" s="2" t="s">
        <v>59</v>
      </c>
      <c r="W625" s="2" t="s">
        <v>59</v>
      </c>
    </row>
    <row r="626" spans="1:25" x14ac:dyDescent="0.25">
      <c r="A626" s="2" t="s">
        <v>310</v>
      </c>
      <c r="B626" s="2" t="s">
        <v>402</v>
      </c>
      <c r="C626" s="2" t="s">
        <v>407</v>
      </c>
      <c r="D626" s="2" t="s">
        <v>411</v>
      </c>
      <c r="E626" s="2" t="s">
        <v>414</v>
      </c>
      <c r="F626" s="2" t="s">
        <v>40</v>
      </c>
      <c r="G626" s="2" t="s">
        <v>417</v>
      </c>
      <c r="H626" s="2" t="s">
        <v>562</v>
      </c>
      <c r="S626" s="2" t="s">
        <v>59</v>
      </c>
      <c r="U626" s="2" t="s">
        <v>57</v>
      </c>
      <c r="W626" s="2" t="s">
        <v>57</v>
      </c>
    </row>
    <row r="627" spans="1:25" x14ac:dyDescent="0.25">
      <c r="A627" s="2" t="s">
        <v>310</v>
      </c>
      <c r="B627" s="2" t="s">
        <v>402</v>
      </c>
      <c r="C627" s="2" t="s">
        <v>407</v>
      </c>
      <c r="D627" s="2" t="s">
        <v>411</v>
      </c>
      <c r="E627" s="2" t="s">
        <v>414</v>
      </c>
      <c r="F627" s="2" t="s">
        <v>40</v>
      </c>
      <c r="G627" s="2" t="s">
        <v>418</v>
      </c>
      <c r="H627" s="2" t="s">
        <v>563</v>
      </c>
      <c r="S627" s="2" t="s">
        <v>57</v>
      </c>
      <c r="U627" s="2" t="s">
        <v>60</v>
      </c>
      <c r="W627" s="2" t="s">
        <v>60</v>
      </c>
    </row>
    <row r="628" spans="1:25" x14ac:dyDescent="0.25">
      <c r="A628" s="2" t="s">
        <v>310</v>
      </c>
      <c r="B628" s="2" t="s">
        <v>531</v>
      </c>
      <c r="C628" s="2" t="s">
        <v>407</v>
      </c>
      <c r="D628" s="2" t="s">
        <v>411</v>
      </c>
      <c r="E628" s="2" t="s">
        <v>414</v>
      </c>
      <c r="F628" s="2" t="s">
        <v>40</v>
      </c>
      <c r="J628" s="2" t="s">
        <v>532</v>
      </c>
      <c r="K628" s="2" t="s">
        <v>533</v>
      </c>
      <c r="L628" s="2">
        <v>1</v>
      </c>
      <c r="M628" s="2" t="s">
        <v>534</v>
      </c>
      <c r="O628" s="2" t="s">
        <v>524</v>
      </c>
      <c r="Y628" s="2" t="s">
        <v>595</v>
      </c>
    </row>
    <row r="629" spans="1:25" x14ac:dyDescent="0.25">
      <c r="A629" s="2" t="s">
        <v>310</v>
      </c>
      <c r="B629" s="2" t="s">
        <v>531</v>
      </c>
      <c r="C629" s="2" t="s">
        <v>407</v>
      </c>
      <c r="D629" s="2" t="s">
        <v>411</v>
      </c>
      <c r="E629" s="2" t="s">
        <v>414</v>
      </c>
      <c r="F629" s="2" t="s">
        <v>40</v>
      </c>
      <c r="J629" s="2" t="s">
        <v>532</v>
      </c>
      <c r="K629" s="2" t="s">
        <v>533</v>
      </c>
      <c r="L629" s="2">
        <v>2</v>
      </c>
      <c r="M629" s="2" t="s">
        <v>536</v>
      </c>
      <c r="O629" s="2" t="s">
        <v>524</v>
      </c>
      <c r="Y629" s="2" t="s">
        <v>595</v>
      </c>
    </row>
    <row r="630" spans="1:25" x14ac:dyDescent="0.25">
      <c r="A630" s="2" t="s">
        <v>310</v>
      </c>
      <c r="B630" s="2" t="s">
        <v>531</v>
      </c>
      <c r="C630" s="2" t="s">
        <v>407</v>
      </c>
      <c r="D630" s="2" t="s">
        <v>411</v>
      </c>
      <c r="E630" s="2" t="s">
        <v>414</v>
      </c>
      <c r="F630" s="2" t="s">
        <v>40</v>
      </c>
      <c r="J630" s="2" t="s">
        <v>532</v>
      </c>
      <c r="K630" s="2" t="s">
        <v>533</v>
      </c>
      <c r="L630" s="2">
        <v>3</v>
      </c>
      <c r="M630" s="2" t="s">
        <v>537</v>
      </c>
      <c r="O630" s="2" t="s">
        <v>524</v>
      </c>
      <c r="Y630" s="2" t="s">
        <v>595</v>
      </c>
    </row>
    <row r="631" spans="1:25" x14ac:dyDescent="0.25">
      <c r="A631" s="2" t="s">
        <v>310</v>
      </c>
      <c r="B631" s="2" t="s">
        <v>531</v>
      </c>
      <c r="C631" s="2" t="s">
        <v>407</v>
      </c>
      <c r="D631" s="2" t="s">
        <v>411</v>
      </c>
      <c r="E631" s="2" t="s">
        <v>414</v>
      </c>
      <c r="F631" s="2" t="s">
        <v>40</v>
      </c>
      <c r="J631" s="2" t="s">
        <v>532</v>
      </c>
      <c r="K631" s="2" t="s">
        <v>533</v>
      </c>
      <c r="L631" s="2">
        <v>4</v>
      </c>
      <c r="M631" s="2" t="s">
        <v>538</v>
      </c>
      <c r="O631" s="2" t="s">
        <v>524</v>
      </c>
      <c r="Y631" s="2" t="s">
        <v>595</v>
      </c>
    </row>
    <row r="632" spans="1:25" x14ac:dyDescent="0.25">
      <c r="A632" s="2" t="s">
        <v>310</v>
      </c>
      <c r="B632" s="2" t="s">
        <v>531</v>
      </c>
      <c r="C632" s="2" t="s">
        <v>407</v>
      </c>
      <c r="D632" s="2" t="s">
        <v>411</v>
      </c>
      <c r="E632" s="2" t="s">
        <v>414</v>
      </c>
      <c r="F632" s="2" t="s">
        <v>40</v>
      </c>
      <c r="J632" s="2" t="s">
        <v>532</v>
      </c>
      <c r="K632" s="2" t="s">
        <v>533</v>
      </c>
      <c r="L632" s="2">
        <v>5</v>
      </c>
      <c r="M632" s="2" t="s">
        <v>539</v>
      </c>
      <c r="O632" s="2" t="s">
        <v>524</v>
      </c>
      <c r="Y632" s="2" t="s">
        <v>595</v>
      </c>
    </row>
    <row r="633" spans="1:25" x14ac:dyDescent="0.25">
      <c r="A633" s="2" t="s">
        <v>310</v>
      </c>
      <c r="B633" s="2" t="s">
        <v>540</v>
      </c>
      <c r="C633" s="2" t="s">
        <v>407</v>
      </c>
      <c r="D633" s="2" t="s">
        <v>411</v>
      </c>
      <c r="E633" s="2" t="s">
        <v>414</v>
      </c>
      <c r="F633" s="2" t="s">
        <v>40</v>
      </c>
      <c r="J633" s="2" t="s">
        <v>541</v>
      </c>
      <c r="K633" s="2" t="s">
        <v>542</v>
      </c>
      <c r="L633" s="2">
        <v>1</v>
      </c>
      <c r="M633" s="2" t="s">
        <v>543</v>
      </c>
      <c r="O633" s="2" t="s">
        <v>524</v>
      </c>
      <c r="Y633" s="2" t="s">
        <v>595</v>
      </c>
    </row>
    <row r="634" spans="1:25" x14ac:dyDescent="0.25">
      <c r="A634" s="2" t="s">
        <v>310</v>
      </c>
      <c r="B634" s="2" t="s">
        <v>540</v>
      </c>
      <c r="C634" s="2" t="s">
        <v>407</v>
      </c>
      <c r="D634" s="2" t="s">
        <v>411</v>
      </c>
      <c r="E634" s="2" t="s">
        <v>414</v>
      </c>
      <c r="F634" s="2" t="s">
        <v>40</v>
      </c>
      <c r="J634" s="2" t="s">
        <v>541</v>
      </c>
      <c r="K634" s="2" t="s">
        <v>542</v>
      </c>
      <c r="L634" s="2">
        <v>2</v>
      </c>
      <c r="M634" s="2" t="s">
        <v>544</v>
      </c>
      <c r="O634" s="2" t="s">
        <v>524</v>
      </c>
      <c r="Y634" s="2" t="s">
        <v>595</v>
      </c>
    </row>
    <row r="635" spans="1:25" x14ac:dyDescent="0.25">
      <c r="A635" s="2" t="s">
        <v>310</v>
      </c>
      <c r="B635" s="2" t="s">
        <v>540</v>
      </c>
      <c r="C635" s="2" t="s">
        <v>407</v>
      </c>
      <c r="D635" s="2" t="s">
        <v>411</v>
      </c>
      <c r="E635" s="2" t="s">
        <v>414</v>
      </c>
      <c r="F635" s="2" t="s">
        <v>40</v>
      </c>
      <c r="J635" s="2" t="s">
        <v>541</v>
      </c>
      <c r="K635" s="2" t="s">
        <v>542</v>
      </c>
      <c r="L635" s="2">
        <v>3</v>
      </c>
      <c r="M635" s="2" t="s">
        <v>545</v>
      </c>
      <c r="O635" s="2" t="s">
        <v>524</v>
      </c>
      <c r="Y635" s="2" t="s">
        <v>595</v>
      </c>
    </row>
    <row r="636" spans="1:25" x14ac:dyDescent="0.25">
      <c r="A636" s="2" t="s">
        <v>310</v>
      </c>
      <c r="B636" s="2" t="s">
        <v>540</v>
      </c>
      <c r="C636" s="2" t="s">
        <v>407</v>
      </c>
      <c r="D636" s="2" t="s">
        <v>411</v>
      </c>
      <c r="E636" s="2" t="s">
        <v>414</v>
      </c>
      <c r="F636" s="2" t="s">
        <v>40</v>
      </c>
      <c r="J636" s="2" t="s">
        <v>541</v>
      </c>
      <c r="K636" s="2" t="s">
        <v>542</v>
      </c>
      <c r="L636" s="2">
        <v>4</v>
      </c>
      <c r="M636" s="2" t="s">
        <v>546</v>
      </c>
      <c r="O636" s="2" t="s">
        <v>524</v>
      </c>
      <c r="Y636" s="2" t="s">
        <v>595</v>
      </c>
    </row>
    <row r="637" spans="1:25" x14ac:dyDescent="0.25">
      <c r="A637" s="2" t="s">
        <v>310</v>
      </c>
      <c r="B637" s="2" t="s">
        <v>540</v>
      </c>
      <c r="C637" s="2" t="s">
        <v>407</v>
      </c>
      <c r="D637" s="2" t="s">
        <v>411</v>
      </c>
      <c r="E637" s="2" t="s">
        <v>414</v>
      </c>
      <c r="F637" s="2" t="s">
        <v>40</v>
      </c>
      <c r="J637" s="2" t="s">
        <v>541</v>
      </c>
      <c r="K637" s="2" t="s">
        <v>542</v>
      </c>
      <c r="L637" s="2">
        <v>5</v>
      </c>
      <c r="M637" s="2" t="s">
        <v>547</v>
      </c>
      <c r="O637" s="2" t="s">
        <v>524</v>
      </c>
      <c r="Y637" s="2" t="s">
        <v>595</v>
      </c>
    </row>
    <row r="638" spans="1:25" x14ac:dyDescent="0.25">
      <c r="A638" s="2" t="s">
        <v>310</v>
      </c>
      <c r="B638" s="2" t="s">
        <v>540</v>
      </c>
      <c r="C638" s="2" t="s">
        <v>407</v>
      </c>
      <c r="D638" s="2" t="s">
        <v>411</v>
      </c>
      <c r="E638" s="2" t="s">
        <v>414</v>
      </c>
      <c r="F638" s="2" t="s">
        <v>40</v>
      </c>
      <c r="J638" s="2" t="s">
        <v>541</v>
      </c>
      <c r="K638" s="2" t="s">
        <v>542</v>
      </c>
      <c r="L638" s="2">
        <v>6</v>
      </c>
      <c r="M638" s="2" t="s">
        <v>548</v>
      </c>
      <c r="O638" s="2" t="s">
        <v>524</v>
      </c>
      <c r="Y638" s="2" t="s">
        <v>595</v>
      </c>
    </row>
    <row r="639" spans="1:25" x14ac:dyDescent="0.25">
      <c r="A639" s="2" t="s">
        <v>310</v>
      </c>
      <c r="B639" s="2" t="s">
        <v>540</v>
      </c>
      <c r="C639" s="2" t="s">
        <v>407</v>
      </c>
      <c r="D639" s="2" t="s">
        <v>411</v>
      </c>
      <c r="E639" s="2" t="s">
        <v>414</v>
      </c>
      <c r="F639" s="2" t="s">
        <v>40</v>
      </c>
      <c r="J639" s="2" t="s">
        <v>541</v>
      </c>
      <c r="K639" s="2" t="s">
        <v>542</v>
      </c>
      <c r="L639" s="2">
        <v>7</v>
      </c>
      <c r="M639" s="2" t="s">
        <v>549</v>
      </c>
      <c r="O639" s="2" t="s">
        <v>524</v>
      </c>
      <c r="Y639" s="2" t="s">
        <v>595</v>
      </c>
    </row>
    <row r="640" spans="1:25" x14ac:dyDescent="0.25">
      <c r="A640" s="2" t="s">
        <v>310</v>
      </c>
      <c r="B640" s="2" t="s">
        <v>540</v>
      </c>
      <c r="C640" s="2" t="s">
        <v>407</v>
      </c>
      <c r="D640" s="2" t="s">
        <v>411</v>
      </c>
      <c r="E640" s="2" t="s">
        <v>414</v>
      </c>
      <c r="F640" s="2" t="s">
        <v>40</v>
      </c>
      <c r="J640" s="2" t="s">
        <v>541</v>
      </c>
      <c r="K640" s="2" t="s">
        <v>542</v>
      </c>
      <c r="L640" s="2">
        <v>8</v>
      </c>
      <c r="M640" s="2" t="s">
        <v>550</v>
      </c>
      <c r="O640" s="2" t="s">
        <v>524</v>
      </c>
      <c r="Y640" s="2" t="s">
        <v>595</v>
      </c>
    </row>
    <row r="641" spans="1:34" x14ac:dyDescent="0.25">
      <c r="A641" s="2" t="s">
        <v>310</v>
      </c>
      <c r="B641" s="2" t="s">
        <v>540</v>
      </c>
      <c r="C641" s="2" t="s">
        <v>407</v>
      </c>
      <c r="D641" s="2" t="s">
        <v>411</v>
      </c>
      <c r="E641" s="2" t="s">
        <v>414</v>
      </c>
      <c r="F641" s="2" t="s">
        <v>40</v>
      </c>
      <c r="J641" s="2" t="s">
        <v>541</v>
      </c>
      <c r="K641" s="2" t="s">
        <v>542</v>
      </c>
      <c r="L641" s="2">
        <v>9</v>
      </c>
      <c r="M641" s="2" t="s">
        <v>551</v>
      </c>
      <c r="O641" s="2" t="s">
        <v>524</v>
      </c>
      <c r="Y641" s="2" t="s">
        <v>595</v>
      </c>
    </row>
    <row r="642" spans="1:34" x14ac:dyDescent="0.25">
      <c r="A642" s="2" t="s">
        <v>310</v>
      </c>
      <c r="B642" s="2" t="s">
        <v>540</v>
      </c>
      <c r="C642" s="2" t="s">
        <v>407</v>
      </c>
      <c r="D642" s="2" t="s">
        <v>411</v>
      </c>
      <c r="E642" s="2" t="s">
        <v>414</v>
      </c>
      <c r="F642" s="2" t="s">
        <v>40</v>
      </c>
      <c r="J642" s="2" t="s">
        <v>541</v>
      </c>
      <c r="K642" s="2" t="s">
        <v>542</v>
      </c>
      <c r="L642" s="2">
        <v>10</v>
      </c>
      <c r="M642" s="2" t="s">
        <v>552</v>
      </c>
      <c r="O642" s="2" t="s">
        <v>524</v>
      </c>
      <c r="Y642" s="2" t="s">
        <v>595</v>
      </c>
    </row>
    <row r="643" spans="1:34" x14ac:dyDescent="0.25">
      <c r="A643" s="2" t="s">
        <v>310</v>
      </c>
      <c r="B643" s="2" t="s">
        <v>540</v>
      </c>
      <c r="C643" s="2" t="s">
        <v>407</v>
      </c>
      <c r="D643" s="2" t="s">
        <v>411</v>
      </c>
      <c r="E643" s="2" t="s">
        <v>414</v>
      </c>
      <c r="F643" s="2" t="s">
        <v>40</v>
      </c>
      <c r="J643" s="2" t="s">
        <v>541</v>
      </c>
      <c r="K643" s="2" t="s">
        <v>542</v>
      </c>
      <c r="L643" s="2">
        <v>11</v>
      </c>
      <c r="M643" s="2" t="s">
        <v>553</v>
      </c>
      <c r="O643" s="2" t="s">
        <v>524</v>
      </c>
      <c r="Y643" s="2" t="s">
        <v>595</v>
      </c>
    </row>
    <row r="644" spans="1:34" x14ac:dyDescent="0.25">
      <c r="A644" s="2" t="s">
        <v>310</v>
      </c>
      <c r="B644" s="2" t="s">
        <v>540</v>
      </c>
      <c r="C644" s="2" t="s">
        <v>407</v>
      </c>
      <c r="D644" s="2" t="s">
        <v>411</v>
      </c>
      <c r="E644" s="2" t="s">
        <v>414</v>
      </c>
      <c r="F644" s="2" t="s">
        <v>40</v>
      </c>
      <c r="J644" s="2" t="s">
        <v>541</v>
      </c>
      <c r="K644" s="2" t="s">
        <v>542</v>
      </c>
      <c r="L644" s="2">
        <v>12</v>
      </c>
      <c r="M644" s="2" t="s">
        <v>554</v>
      </c>
      <c r="O644" s="2" t="s">
        <v>524</v>
      </c>
      <c r="Y644" s="2" t="s">
        <v>595</v>
      </c>
    </row>
    <row r="645" spans="1:34" x14ac:dyDescent="0.25">
      <c r="A645" s="2" t="s">
        <v>310</v>
      </c>
      <c r="B645" s="2" t="s">
        <v>555</v>
      </c>
      <c r="C645" s="2" t="s">
        <v>407</v>
      </c>
      <c r="D645" s="2" t="s">
        <v>411</v>
      </c>
      <c r="E645" s="2" t="s">
        <v>414</v>
      </c>
      <c r="F645" s="2" t="s">
        <v>40</v>
      </c>
      <c r="J645" s="2" t="s">
        <v>556</v>
      </c>
      <c r="O645" s="2" t="s">
        <v>524</v>
      </c>
      <c r="Y645" s="2" t="s">
        <v>595</v>
      </c>
      <c r="AB645" s="2">
        <v>2</v>
      </c>
    </row>
    <row r="646" spans="1:34" x14ac:dyDescent="0.25">
      <c r="A646" s="2" t="s">
        <v>310</v>
      </c>
      <c r="B646" s="2" t="s">
        <v>557</v>
      </c>
      <c r="C646" s="2" t="s">
        <v>407</v>
      </c>
      <c r="D646" s="2" t="s">
        <v>411</v>
      </c>
      <c r="E646" s="2" t="s">
        <v>414</v>
      </c>
      <c r="F646" s="2" t="s">
        <v>40</v>
      </c>
      <c r="J646" s="2" t="s">
        <v>558</v>
      </c>
      <c r="O646" s="2" t="s">
        <v>524</v>
      </c>
      <c r="Y646" s="2" t="s">
        <v>595</v>
      </c>
      <c r="AC646" s="2">
        <f>COUNTIFS($B:$B,"BLOCK_LOAD_Q",$A:$A,$A646,$C:$C,$C646,$E:$E,$E646,$F:$F,$F646,$N:$N, "&lt;&gt;")</f>
        <v>0</v>
      </c>
      <c r="AD646" s="2">
        <f>COUNTIFS($B:$B,"BLOCK_TRUST_Q",$A:$A,$A646,$C:$C,$C646,$E:$E,$E646,$F:$F,$F646,$N:$N, "&lt;&gt;")</f>
        <v>0</v>
      </c>
      <c r="AE646" s="2" t="str">
        <f>IFERROR(AVERAGEIFS($P:$P,$B:$B,"BLOCK_LOAD_Q",$A:$A,$A646,$C:$C,$C646,$E:$E,$E646,$F:$F,$F646,$P:$P,"&gt;0"),"")</f>
        <v/>
      </c>
      <c r="AF646" s="2" t="str">
        <f>IFERROR(AVERAGEIFS($P:$P,$B:$B,"BLOCK_TRUST_Q",$A:$A,$A646,$C:$C,$C646,$E:$E,$E646,$F:$F,$F646,$P:$P,"&gt;0"),"")</f>
        <v/>
      </c>
      <c r="AG646" s="2">
        <f>5-AC646</f>
        <v>5</v>
      </c>
      <c r="AH646" s="2">
        <f>12-AD646</f>
        <v>12</v>
      </c>
    </row>
    <row r="647" spans="1:34" x14ac:dyDescent="0.25">
      <c r="A647" s="2" t="s">
        <v>310</v>
      </c>
      <c r="B647" s="2" t="s">
        <v>403</v>
      </c>
      <c r="C647" s="2" t="s">
        <v>407</v>
      </c>
      <c r="D647" s="2" t="s">
        <v>411</v>
      </c>
      <c r="Z647" s="2" t="s">
        <v>432</v>
      </c>
    </row>
    <row r="648" spans="1:34" x14ac:dyDescent="0.25">
      <c r="A648" s="2" t="s">
        <v>310</v>
      </c>
      <c r="B648" s="2" t="s">
        <v>402</v>
      </c>
      <c r="C648" s="2" t="s">
        <v>408</v>
      </c>
      <c r="D648" s="2" t="s">
        <v>412</v>
      </c>
      <c r="E648" s="2" t="s">
        <v>413</v>
      </c>
      <c r="F648" s="2" t="s">
        <v>40</v>
      </c>
      <c r="G648" s="2" t="s">
        <v>415</v>
      </c>
      <c r="H648" s="2" t="s">
        <v>567</v>
      </c>
      <c r="S648" s="2" t="s">
        <v>58</v>
      </c>
      <c r="U648" s="2" t="s">
        <v>57</v>
      </c>
      <c r="W648" s="2" t="s">
        <v>60</v>
      </c>
    </row>
    <row r="649" spans="1:34" x14ac:dyDescent="0.25">
      <c r="A649" s="2" t="s">
        <v>310</v>
      </c>
      <c r="B649" s="2" t="s">
        <v>402</v>
      </c>
      <c r="C649" s="2" t="s">
        <v>408</v>
      </c>
      <c r="D649" s="2" t="s">
        <v>412</v>
      </c>
      <c r="E649" s="2" t="s">
        <v>413</v>
      </c>
      <c r="F649" s="2" t="s">
        <v>40</v>
      </c>
      <c r="G649" s="2" t="s">
        <v>416</v>
      </c>
      <c r="H649" s="2" t="s">
        <v>568</v>
      </c>
      <c r="S649" s="2" t="s">
        <v>59</v>
      </c>
      <c r="U649" s="2" t="s">
        <v>60</v>
      </c>
      <c r="W649" s="2" t="s">
        <v>59</v>
      </c>
    </row>
    <row r="650" spans="1:34" x14ac:dyDescent="0.25">
      <c r="A650" s="2" t="s">
        <v>310</v>
      </c>
      <c r="B650" s="2" t="s">
        <v>402</v>
      </c>
      <c r="C650" s="2" t="s">
        <v>408</v>
      </c>
      <c r="D650" s="2" t="s">
        <v>412</v>
      </c>
      <c r="E650" s="2" t="s">
        <v>413</v>
      </c>
      <c r="F650" s="2" t="s">
        <v>40</v>
      </c>
      <c r="G650" s="2" t="s">
        <v>417</v>
      </c>
      <c r="H650" s="2" t="s">
        <v>569</v>
      </c>
      <c r="S650" s="2" t="s">
        <v>57</v>
      </c>
      <c r="U650" s="2" t="s">
        <v>60</v>
      </c>
      <c r="W650" s="2" t="s">
        <v>57</v>
      </c>
    </row>
    <row r="651" spans="1:34" x14ac:dyDescent="0.25">
      <c r="A651" s="2" t="s">
        <v>310</v>
      </c>
      <c r="B651" s="2" t="s">
        <v>402</v>
      </c>
      <c r="C651" s="2" t="s">
        <v>408</v>
      </c>
      <c r="D651" s="2" t="s">
        <v>412</v>
      </c>
      <c r="E651" s="2" t="s">
        <v>413</v>
      </c>
      <c r="F651" s="2" t="s">
        <v>40</v>
      </c>
      <c r="G651" s="2" t="s">
        <v>418</v>
      </c>
      <c r="H651" s="2" t="s">
        <v>351</v>
      </c>
      <c r="S651" s="2" t="s">
        <v>60</v>
      </c>
      <c r="U651" s="2" t="s">
        <v>57</v>
      </c>
      <c r="W651" s="2" t="s">
        <v>57</v>
      </c>
    </row>
    <row r="652" spans="1:34" x14ac:dyDescent="0.25">
      <c r="A652" s="2" t="s">
        <v>310</v>
      </c>
      <c r="B652" s="2" t="s">
        <v>531</v>
      </c>
      <c r="C652" s="2" t="s">
        <v>408</v>
      </c>
      <c r="D652" s="2" t="s">
        <v>412</v>
      </c>
      <c r="E652" s="2" t="s">
        <v>413</v>
      </c>
      <c r="F652" s="2" t="s">
        <v>40</v>
      </c>
      <c r="J652" s="2" t="s">
        <v>532</v>
      </c>
      <c r="K652" s="2" t="s">
        <v>533</v>
      </c>
      <c r="L652" s="2">
        <v>1</v>
      </c>
      <c r="M652" s="2" t="s">
        <v>534</v>
      </c>
      <c r="O652" s="2" t="s">
        <v>524</v>
      </c>
      <c r="Y652" s="2" t="s">
        <v>596</v>
      </c>
    </row>
    <row r="653" spans="1:34" x14ac:dyDescent="0.25">
      <c r="A653" s="2" t="s">
        <v>310</v>
      </c>
      <c r="B653" s="2" t="s">
        <v>531</v>
      </c>
      <c r="C653" s="2" t="s">
        <v>408</v>
      </c>
      <c r="D653" s="2" t="s">
        <v>412</v>
      </c>
      <c r="E653" s="2" t="s">
        <v>413</v>
      </c>
      <c r="F653" s="2" t="s">
        <v>40</v>
      </c>
      <c r="J653" s="2" t="s">
        <v>532</v>
      </c>
      <c r="K653" s="2" t="s">
        <v>533</v>
      </c>
      <c r="L653" s="2">
        <v>2</v>
      </c>
      <c r="M653" s="2" t="s">
        <v>536</v>
      </c>
      <c r="O653" s="2" t="s">
        <v>524</v>
      </c>
      <c r="Y653" s="2" t="s">
        <v>596</v>
      </c>
    </row>
    <row r="654" spans="1:34" x14ac:dyDescent="0.25">
      <c r="A654" s="2" t="s">
        <v>310</v>
      </c>
      <c r="B654" s="2" t="s">
        <v>531</v>
      </c>
      <c r="C654" s="2" t="s">
        <v>408</v>
      </c>
      <c r="D654" s="2" t="s">
        <v>412</v>
      </c>
      <c r="E654" s="2" t="s">
        <v>413</v>
      </c>
      <c r="F654" s="2" t="s">
        <v>40</v>
      </c>
      <c r="J654" s="2" t="s">
        <v>532</v>
      </c>
      <c r="K654" s="2" t="s">
        <v>533</v>
      </c>
      <c r="L654" s="2">
        <v>3</v>
      </c>
      <c r="M654" s="2" t="s">
        <v>537</v>
      </c>
      <c r="O654" s="2" t="s">
        <v>524</v>
      </c>
      <c r="Y654" s="2" t="s">
        <v>596</v>
      </c>
    </row>
    <row r="655" spans="1:34" x14ac:dyDescent="0.25">
      <c r="A655" s="2" t="s">
        <v>310</v>
      </c>
      <c r="B655" s="2" t="s">
        <v>531</v>
      </c>
      <c r="C655" s="2" t="s">
        <v>408</v>
      </c>
      <c r="D655" s="2" t="s">
        <v>412</v>
      </c>
      <c r="E655" s="2" t="s">
        <v>413</v>
      </c>
      <c r="F655" s="2" t="s">
        <v>40</v>
      </c>
      <c r="J655" s="2" t="s">
        <v>532</v>
      </c>
      <c r="K655" s="2" t="s">
        <v>533</v>
      </c>
      <c r="L655" s="2">
        <v>4</v>
      </c>
      <c r="M655" s="2" t="s">
        <v>538</v>
      </c>
      <c r="O655" s="2" t="s">
        <v>524</v>
      </c>
      <c r="Y655" s="2" t="s">
        <v>596</v>
      </c>
    </row>
    <row r="656" spans="1:34" x14ac:dyDescent="0.25">
      <c r="A656" s="2" t="s">
        <v>310</v>
      </c>
      <c r="B656" s="2" t="s">
        <v>531</v>
      </c>
      <c r="C656" s="2" t="s">
        <v>408</v>
      </c>
      <c r="D656" s="2" t="s">
        <v>412</v>
      </c>
      <c r="E656" s="2" t="s">
        <v>413</v>
      </c>
      <c r="F656" s="2" t="s">
        <v>40</v>
      </c>
      <c r="J656" s="2" t="s">
        <v>532</v>
      </c>
      <c r="K656" s="2" t="s">
        <v>533</v>
      </c>
      <c r="L656" s="2">
        <v>5</v>
      </c>
      <c r="M656" s="2" t="s">
        <v>539</v>
      </c>
      <c r="O656" s="2" t="s">
        <v>524</v>
      </c>
      <c r="Y656" s="2" t="s">
        <v>596</v>
      </c>
    </row>
    <row r="657" spans="1:34" x14ac:dyDescent="0.25">
      <c r="A657" s="2" t="s">
        <v>310</v>
      </c>
      <c r="B657" s="2" t="s">
        <v>540</v>
      </c>
      <c r="C657" s="2" t="s">
        <v>408</v>
      </c>
      <c r="D657" s="2" t="s">
        <v>412</v>
      </c>
      <c r="E657" s="2" t="s">
        <v>413</v>
      </c>
      <c r="F657" s="2" t="s">
        <v>40</v>
      </c>
      <c r="J657" s="2" t="s">
        <v>541</v>
      </c>
      <c r="K657" s="2" t="s">
        <v>542</v>
      </c>
      <c r="L657" s="2">
        <v>1</v>
      </c>
      <c r="M657" s="2" t="s">
        <v>543</v>
      </c>
      <c r="O657" s="2" t="s">
        <v>524</v>
      </c>
      <c r="Y657" s="2" t="s">
        <v>596</v>
      </c>
    </row>
    <row r="658" spans="1:34" x14ac:dyDescent="0.25">
      <c r="A658" s="2" t="s">
        <v>310</v>
      </c>
      <c r="B658" s="2" t="s">
        <v>540</v>
      </c>
      <c r="C658" s="2" t="s">
        <v>408</v>
      </c>
      <c r="D658" s="2" t="s">
        <v>412</v>
      </c>
      <c r="E658" s="2" t="s">
        <v>413</v>
      </c>
      <c r="F658" s="2" t="s">
        <v>40</v>
      </c>
      <c r="J658" s="2" t="s">
        <v>541</v>
      </c>
      <c r="K658" s="2" t="s">
        <v>542</v>
      </c>
      <c r="L658" s="2">
        <v>2</v>
      </c>
      <c r="M658" s="2" t="s">
        <v>544</v>
      </c>
      <c r="O658" s="2" t="s">
        <v>524</v>
      </c>
      <c r="Y658" s="2" t="s">
        <v>596</v>
      </c>
    </row>
    <row r="659" spans="1:34" x14ac:dyDescent="0.25">
      <c r="A659" s="2" t="s">
        <v>310</v>
      </c>
      <c r="B659" s="2" t="s">
        <v>540</v>
      </c>
      <c r="C659" s="2" t="s">
        <v>408</v>
      </c>
      <c r="D659" s="2" t="s">
        <v>412</v>
      </c>
      <c r="E659" s="2" t="s">
        <v>413</v>
      </c>
      <c r="F659" s="2" t="s">
        <v>40</v>
      </c>
      <c r="J659" s="2" t="s">
        <v>541</v>
      </c>
      <c r="K659" s="2" t="s">
        <v>542</v>
      </c>
      <c r="L659" s="2">
        <v>3</v>
      </c>
      <c r="M659" s="2" t="s">
        <v>545</v>
      </c>
      <c r="O659" s="2" t="s">
        <v>524</v>
      </c>
      <c r="Y659" s="2" t="s">
        <v>596</v>
      </c>
    </row>
    <row r="660" spans="1:34" x14ac:dyDescent="0.25">
      <c r="A660" s="2" t="s">
        <v>310</v>
      </c>
      <c r="B660" s="2" t="s">
        <v>540</v>
      </c>
      <c r="C660" s="2" t="s">
        <v>408</v>
      </c>
      <c r="D660" s="2" t="s">
        <v>412</v>
      </c>
      <c r="E660" s="2" t="s">
        <v>413</v>
      </c>
      <c r="F660" s="2" t="s">
        <v>40</v>
      </c>
      <c r="J660" s="2" t="s">
        <v>541</v>
      </c>
      <c r="K660" s="2" t="s">
        <v>542</v>
      </c>
      <c r="L660" s="2">
        <v>4</v>
      </c>
      <c r="M660" s="2" t="s">
        <v>546</v>
      </c>
      <c r="O660" s="2" t="s">
        <v>524</v>
      </c>
      <c r="Y660" s="2" t="s">
        <v>596</v>
      </c>
    </row>
    <row r="661" spans="1:34" x14ac:dyDescent="0.25">
      <c r="A661" s="2" t="s">
        <v>310</v>
      </c>
      <c r="B661" s="2" t="s">
        <v>540</v>
      </c>
      <c r="C661" s="2" t="s">
        <v>408</v>
      </c>
      <c r="D661" s="2" t="s">
        <v>412</v>
      </c>
      <c r="E661" s="2" t="s">
        <v>413</v>
      </c>
      <c r="F661" s="2" t="s">
        <v>40</v>
      </c>
      <c r="J661" s="2" t="s">
        <v>541</v>
      </c>
      <c r="K661" s="2" t="s">
        <v>542</v>
      </c>
      <c r="L661" s="2">
        <v>5</v>
      </c>
      <c r="M661" s="2" t="s">
        <v>547</v>
      </c>
      <c r="O661" s="2" t="s">
        <v>524</v>
      </c>
      <c r="Y661" s="2" t="s">
        <v>596</v>
      </c>
    </row>
    <row r="662" spans="1:34" x14ac:dyDescent="0.25">
      <c r="A662" s="2" t="s">
        <v>310</v>
      </c>
      <c r="B662" s="2" t="s">
        <v>540</v>
      </c>
      <c r="C662" s="2" t="s">
        <v>408</v>
      </c>
      <c r="D662" s="2" t="s">
        <v>412</v>
      </c>
      <c r="E662" s="2" t="s">
        <v>413</v>
      </c>
      <c r="F662" s="2" t="s">
        <v>40</v>
      </c>
      <c r="J662" s="2" t="s">
        <v>541</v>
      </c>
      <c r="K662" s="2" t="s">
        <v>542</v>
      </c>
      <c r="L662" s="2">
        <v>6</v>
      </c>
      <c r="M662" s="2" t="s">
        <v>548</v>
      </c>
      <c r="O662" s="2" t="s">
        <v>524</v>
      </c>
      <c r="Y662" s="2" t="s">
        <v>596</v>
      </c>
    </row>
    <row r="663" spans="1:34" x14ac:dyDescent="0.25">
      <c r="A663" s="2" t="s">
        <v>310</v>
      </c>
      <c r="B663" s="2" t="s">
        <v>540</v>
      </c>
      <c r="C663" s="2" t="s">
        <v>408</v>
      </c>
      <c r="D663" s="2" t="s">
        <v>412</v>
      </c>
      <c r="E663" s="2" t="s">
        <v>413</v>
      </c>
      <c r="F663" s="2" t="s">
        <v>40</v>
      </c>
      <c r="J663" s="2" t="s">
        <v>541</v>
      </c>
      <c r="K663" s="2" t="s">
        <v>542</v>
      </c>
      <c r="L663" s="2">
        <v>7</v>
      </c>
      <c r="M663" s="2" t="s">
        <v>549</v>
      </c>
      <c r="O663" s="2" t="s">
        <v>524</v>
      </c>
      <c r="Y663" s="2" t="s">
        <v>596</v>
      </c>
    </row>
    <row r="664" spans="1:34" x14ac:dyDescent="0.25">
      <c r="A664" s="2" t="s">
        <v>310</v>
      </c>
      <c r="B664" s="2" t="s">
        <v>540</v>
      </c>
      <c r="C664" s="2" t="s">
        <v>408</v>
      </c>
      <c r="D664" s="2" t="s">
        <v>412</v>
      </c>
      <c r="E664" s="2" t="s">
        <v>413</v>
      </c>
      <c r="F664" s="2" t="s">
        <v>40</v>
      </c>
      <c r="J664" s="2" t="s">
        <v>541</v>
      </c>
      <c r="K664" s="2" t="s">
        <v>542</v>
      </c>
      <c r="L664" s="2">
        <v>8</v>
      </c>
      <c r="M664" s="2" t="s">
        <v>550</v>
      </c>
      <c r="O664" s="2" t="s">
        <v>524</v>
      </c>
      <c r="Y664" s="2" t="s">
        <v>596</v>
      </c>
    </row>
    <row r="665" spans="1:34" x14ac:dyDescent="0.25">
      <c r="A665" s="2" t="s">
        <v>310</v>
      </c>
      <c r="B665" s="2" t="s">
        <v>540</v>
      </c>
      <c r="C665" s="2" t="s">
        <v>408</v>
      </c>
      <c r="D665" s="2" t="s">
        <v>412</v>
      </c>
      <c r="E665" s="2" t="s">
        <v>413</v>
      </c>
      <c r="F665" s="2" t="s">
        <v>40</v>
      </c>
      <c r="J665" s="2" t="s">
        <v>541</v>
      </c>
      <c r="K665" s="2" t="s">
        <v>542</v>
      </c>
      <c r="L665" s="2">
        <v>9</v>
      </c>
      <c r="M665" s="2" t="s">
        <v>551</v>
      </c>
      <c r="O665" s="2" t="s">
        <v>524</v>
      </c>
      <c r="Y665" s="2" t="s">
        <v>596</v>
      </c>
    </row>
    <row r="666" spans="1:34" x14ac:dyDescent="0.25">
      <c r="A666" s="2" t="s">
        <v>310</v>
      </c>
      <c r="B666" s="2" t="s">
        <v>540</v>
      </c>
      <c r="C666" s="2" t="s">
        <v>408</v>
      </c>
      <c r="D666" s="2" t="s">
        <v>412</v>
      </c>
      <c r="E666" s="2" t="s">
        <v>413</v>
      </c>
      <c r="F666" s="2" t="s">
        <v>40</v>
      </c>
      <c r="J666" s="2" t="s">
        <v>541</v>
      </c>
      <c r="K666" s="2" t="s">
        <v>542</v>
      </c>
      <c r="L666" s="2">
        <v>10</v>
      </c>
      <c r="M666" s="2" t="s">
        <v>552</v>
      </c>
      <c r="O666" s="2" t="s">
        <v>524</v>
      </c>
      <c r="Y666" s="2" t="s">
        <v>596</v>
      </c>
    </row>
    <row r="667" spans="1:34" x14ac:dyDescent="0.25">
      <c r="A667" s="2" t="s">
        <v>310</v>
      </c>
      <c r="B667" s="2" t="s">
        <v>540</v>
      </c>
      <c r="C667" s="2" t="s">
        <v>408</v>
      </c>
      <c r="D667" s="2" t="s">
        <v>412</v>
      </c>
      <c r="E667" s="2" t="s">
        <v>413</v>
      </c>
      <c r="F667" s="2" t="s">
        <v>40</v>
      </c>
      <c r="J667" s="2" t="s">
        <v>541</v>
      </c>
      <c r="K667" s="2" t="s">
        <v>542</v>
      </c>
      <c r="L667" s="2">
        <v>11</v>
      </c>
      <c r="M667" s="2" t="s">
        <v>553</v>
      </c>
      <c r="O667" s="2" t="s">
        <v>524</v>
      </c>
      <c r="Y667" s="2" t="s">
        <v>596</v>
      </c>
    </row>
    <row r="668" spans="1:34" x14ac:dyDescent="0.25">
      <c r="A668" s="2" t="s">
        <v>310</v>
      </c>
      <c r="B668" s="2" t="s">
        <v>540</v>
      </c>
      <c r="C668" s="2" t="s">
        <v>408</v>
      </c>
      <c r="D668" s="2" t="s">
        <v>412</v>
      </c>
      <c r="E668" s="2" t="s">
        <v>413</v>
      </c>
      <c r="F668" s="2" t="s">
        <v>40</v>
      </c>
      <c r="J668" s="2" t="s">
        <v>541</v>
      </c>
      <c r="K668" s="2" t="s">
        <v>542</v>
      </c>
      <c r="L668" s="2">
        <v>12</v>
      </c>
      <c r="M668" s="2" t="s">
        <v>554</v>
      </c>
      <c r="O668" s="2" t="s">
        <v>524</v>
      </c>
      <c r="Y668" s="2" t="s">
        <v>596</v>
      </c>
    </row>
    <row r="669" spans="1:34" x14ac:dyDescent="0.25">
      <c r="A669" s="2" t="s">
        <v>310</v>
      </c>
      <c r="B669" s="2" t="s">
        <v>555</v>
      </c>
      <c r="C669" s="2" t="s">
        <v>408</v>
      </c>
      <c r="D669" s="2" t="s">
        <v>412</v>
      </c>
      <c r="E669" s="2" t="s">
        <v>413</v>
      </c>
      <c r="F669" s="2" t="s">
        <v>40</v>
      </c>
      <c r="J669" s="2" t="s">
        <v>556</v>
      </c>
      <c r="O669" s="2" t="s">
        <v>524</v>
      </c>
      <c r="Y669" s="2" t="s">
        <v>596</v>
      </c>
      <c r="AB669" s="2">
        <v>2</v>
      </c>
    </row>
    <row r="670" spans="1:34" x14ac:dyDescent="0.25">
      <c r="A670" s="2" t="s">
        <v>310</v>
      </c>
      <c r="B670" s="2" t="s">
        <v>557</v>
      </c>
      <c r="C670" s="2" t="s">
        <v>408</v>
      </c>
      <c r="D670" s="2" t="s">
        <v>412</v>
      </c>
      <c r="E670" s="2" t="s">
        <v>413</v>
      </c>
      <c r="F670" s="2" t="s">
        <v>40</v>
      </c>
      <c r="J670" s="2" t="s">
        <v>558</v>
      </c>
      <c r="O670" s="2" t="s">
        <v>524</v>
      </c>
      <c r="Y670" s="2" t="s">
        <v>596</v>
      </c>
      <c r="AC670" s="2">
        <f>COUNTIFS($B:$B,"BLOCK_LOAD_Q",$A:$A,$A670,$C:$C,$C670,$E:$E,$E670,$F:$F,$F670,$N:$N, "&lt;&gt;")</f>
        <v>0</v>
      </c>
      <c r="AD670" s="2">
        <f>COUNTIFS($B:$B,"BLOCK_TRUST_Q",$A:$A,$A670,$C:$C,$C670,$E:$E,$E670,$F:$F,$F670,$N:$N, "&lt;&gt;")</f>
        <v>0</v>
      </c>
      <c r="AE670" s="2" t="str">
        <f>IFERROR(AVERAGEIFS($P:$P,$B:$B,"BLOCK_LOAD_Q",$A:$A,$A670,$C:$C,$C670,$E:$E,$E670,$F:$F,$F670,$P:$P,"&gt;0"),"")</f>
        <v/>
      </c>
      <c r="AF670" s="2" t="str">
        <f>IFERROR(AVERAGEIFS($P:$P,$B:$B,"BLOCK_TRUST_Q",$A:$A,$A670,$C:$C,$C670,$E:$E,$E670,$F:$F,$F670,$P:$P,"&gt;0"),"")</f>
        <v/>
      </c>
      <c r="AG670" s="2">
        <f>5-AC670</f>
        <v>5</v>
      </c>
      <c r="AH670" s="2">
        <f>12-AD670</f>
        <v>12</v>
      </c>
    </row>
    <row r="671" spans="1:34" x14ac:dyDescent="0.25">
      <c r="A671" s="2" t="s">
        <v>310</v>
      </c>
      <c r="B671" s="2" t="s">
        <v>402</v>
      </c>
      <c r="C671" s="2" t="s">
        <v>408</v>
      </c>
      <c r="D671" s="2" t="s">
        <v>412</v>
      </c>
      <c r="E671" s="2" t="s">
        <v>414</v>
      </c>
      <c r="F671" s="2" t="s">
        <v>39</v>
      </c>
      <c r="G671" s="2" t="s">
        <v>415</v>
      </c>
      <c r="H671" s="2" t="s">
        <v>350</v>
      </c>
      <c r="S671" s="2" t="s">
        <v>57</v>
      </c>
      <c r="U671" s="2" t="s">
        <v>58</v>
      </c>
      <c r="W671" s="2" t="s">
        <v>59</v>
      </c>
    </row>
    <row r="672" spans="1:34" x14ac:dyDescent="0.25">
      <c r="A672" s="2" t="s">
        <v>310</v>
      </c>
      <c r="B672" s="2" t="s">
        <v>402</v>
      </c>
      <c r="C672" s="2" t="s">
        <v>408</v>
      </c>
      <c r="D672" s="2" t="s">
        <v>412</v>
      </c>
      <c r="E672" s="2" t="s">
        <v>414</v>
      </c>
      <c r="F672" s="2" t="s">
        <v>39</v>
      </c>
      <c r="G672" s="2" t="s">
        <v>416</v>
      </c>
      <c r="H672" s="2" t="s">
        <v>571</v>
      </c>
      <c r="S672" s="2" t="s">
        <v>59</v>
      </c>
      <c r="U672" s="2" t="s">
        <v>57</v>
      </c>
      <c r="W672" s="2" t="s">
        <v>60</v>
      </c>
    </row>
    <row r="673" spans="1:25" x14ac:dyDescent="0.25">
      <c r="A673" s="2" t="s">
        <v>310</v>
      </c>
      <c r="B673" s="2" t="s">
        <v>402</v>
      </c>
      <c r="C673" s="2" t="s">
        <v>408</v>
      </c>
      <c r="D673" s="2" t="s">
        <v>412</v>
      </c>
      <c r="E673" s="2" t="s">
        <v>414</v>
      </c>
      <c r="F673" s="2" t="s">
        <v>39</v>
      </c>
      <c r="G673" s="2" t="s">
        <v>417</v>
      </c>
      <c r="H673" s="2" t="s">
        <v>572</v>
      </c>
      <c r="S673" s="2" t="s">
        <v>57</v>
      </c>
      <c r="U673" s="2" t="s">
        <v>59</v>
      </c>
      <c r="W673" s="2" t="s">
        <v>58</v>
      </c>
    </row>
    <row r="674" spans="1:25" x14ac:dyDescent="0.25">
      <c r="A674" s="2" t="s">
        <v>310</v>
      </c>
      <c r="B674" s="2" t="s">
        <v>402</v>
      </c>
      <c r="C674" s="2" t="s">
        <v>408</v>
      </c>
      <c r="D674" s="2" t="s">
        <v>412</v>
      </c>
      <c r="E674" s="2" t="s">
        <v>414</v>
      </c>
      <c r="F674" s="2" t="s">
        <v>39</v>
      </c>
      <c r="G674" s="2" t="s">
        <v>418</v>
      </c>
      <c r="H674" s="2" t="s">
        <v>573</v>
      </c>
      <c r="S674" s="2" t="s">
        <v>58</v>
      </c>
      <c r="U674" s="2" t="s">
        <v>58</v>
      </c>
      <c r="W674" s="2" t="s">
        <v>58</v>
      </c>
    </row>
    <row r="675" spans="1:25" x14ac:dyDescent="0.25">
      <c r="A675" s="2" t="s">
        <v>310</v>
      </c>
      <c r="B675" s="2" t="s">
        <v>402</v>
      </c>
      <c r="C675" s="2" t="s">
        <v>408</v>
      </c>
      <c r="D675" s="2" t="s">
        <v>412</v>
      </c>
      <c r="E675" s="2" t="s">
        <v>414</v>
      </c>
      <c r="F675" s="2" t="s">
        <v>39</v>
      </c>
      <c r="G675" s="2" t="s">
        <v>419</v>
      </c>
      <c r="H675" s="2" t="s">
        <v>365</v>
      </c>
      <c r="S675" s="2" t="s">
        <v>59</v>
      </c>
      <c r="U675" s="2" t="s">
        <v>59</v>
      </c>
      <c r="W675" s="2" t="s">
        <v>60</v>
      </c>
    </row>
    <row r="676" spans="1:25" x14ac:dyDescent="0.25">
      <c r="A676" s="2" t="s">
        <v>310</v>
      </c>
      <c r="B676" s="2" t="s">
        <v>531</v>
      </c>
      <c r="C676" s="2" t="s">
        <v>408</v>
      </c>
      <c r="D676" s="2" t="s">
        <v>412</v>
      </c>
      <c r="E676" s="2" t="s">
        <v>414</v>
      </c>
      <c r="F676" s="2" t="s">
        <v>39</v>
      </c>
      <c r="J676" s="2" t="s">
        <v>532</v>
      </c>
      <c r="K676" s="2" t="s">
        <v>533</v>
      </c>
      <c r="L676" s="2">
        <v>1</v>
      </c>
      <c r="M676" s="2" t="s">
        <v>534</v>
      </c>
      <c r="O676" s="2" t="s">
        <v>524</v>
      </c>
      <c r="Y676" s="2" t="s">
        <v>597</v>
      </c>
    </row>
    <row r="677" spans="1:25" x14ac:dyDescent="0.25">
      <c r="A677" s="2" t="s">
        <v>310</v>
      </c>
      <c r="B677" s="2" t="s">
        <v>531</v>
      </c>
      <c r="C677" s="2" t="s">
        <v>408</v>
      </c>
      <c r="D677" s="2" t="s">
        <v>412</v>
      </c>
      <c r="E677" s="2" t="s">
        <v>414</v>
      </c>
      <c r="F677" s="2" t="s">
        <v>39</v>
      </c>
      <c r="J677" s="2" t="s">
        <v>532</v>
      </c>
      <c r="K677" s="2" t="s">
        <v>533</v>
      </c>
      <c r="L677" s="2">
        <v>2</v>
      </c>
      <c r="M677" s="2" t="s">
        <v>536</v>
      </c>
      <c r="O677" s="2" t="s">
        <v>524</v>
      </c>
      <c r="Y677" s="2" t="s">
        <v>597</v>
      </c>
    </row>
    <row r="678" spans="1:25" x14ac:dyDescent="0.25">
      <c r="A678" s="2" t="s">
        <v>310</v>
      </c>
      <c r="B678" s="2" t="s">
        <v>531</v>
      </c>
      <c r="C678" s="2" t="s">
        <v>408</v>
      </c>
      <c r="D678" s="2" t="s">
        <v>412</v>
      </c>
      <c r="E678" s="2" t="s">
        <v>414</v>
      </c>
      <c r="F678" s="2" t="s">
        <v>39</v>
      </c>
      <c r="J678" s="2" t="s">
        <v>532</v>
      </c>
      <c r="K678" s="2" t="s">
        <v>533</v>
      </c>
      <c r="L678" s="2">
        <v>3</v>
      </c>
      <c r="M678" s="2" t="s">
        <v>537</v>
      </c>
      <c r="O678" s="2" t="s">
        <v>524</v>
      </c>
      <c r="Y678" s="2" t="s">
        <v>597</v>
      </c>
    </row>
    <row r="679" spans="1:25" x14ac:dyDescent="0.25">
      <c r="A679" s="2" t="s">
        <v>310</v>
      </c>
      <c r="B679" s="2" t="s">
        <v>531</v>
      </c>
      <c r="C679" s="2" t="s">
        <v>408</v>
      </c>
      <c r="D679" s="2" t="s">
        <v>412</v>
      </c>
      <c r="E679" s="2" t="s">
        <v>414</v>
      </c>
      <c r="F679" s="2" t="s">
        <v>39</v>
      </c>
      <c r="J679" s="2" t="s">
        <v>532</v>
      </c>
      <c r="K679" s="2" t="s">
        <v>533</v>
      </c>
      <c r="L679" s="2">
        <v>4</v>
      </c>
      <c r="M679" s="2" t="s">
        <v>538</v>
      </c>
      <c r="O679" s="2" t="s">
        <v>524</v>
      </c>
      <c r="Y679" s="2" t="s">
        <v>597</v>
      </c>
    </row>
    <row r="680" spans="1:25" x14ac:dyDescent="0.25">
      <c r="A680" s="2" t="s">
        <v>310</v>
      </c>
      <c r="B680" s="2" t="s">
        <v>531</v>
      </c>
      <c r="C680" s="2" t="s">
        <v>408</v>
      </c>
      <c r="D680" s="2" t="s">
        <v>412</v>
      </c>
      <c r="E680" s="2" t="s">
        <v>414</v>
      </c>
      <c r="F680" s="2" t="s">
        <v>39</v>
      </c>
      <c r="J680" s="2" t="s">
        <v>532</v>
      </c>
      <c r="K680" s="2" t="s">
        <v>533</v>
      </c>
      <c r="L680" s="2">
        <v>5</v>
      </c>
      <c r="M680" s="2" t="s">
        <v>539</v>
      </c>
      <c r="O680" s="2" t="s">
        <v>524</v>
      </c>
      <c r="Y680" s="2" t="s">
        <v>597</v>
      </c>
    </row>
    <row r="681" spans="1:25" x14ac:dyDescent="0.25">
      <c r="A681" s="2" t="s">
        <v>310</v>
      </c>
      <c r="B681" s="2" t="s">
        <v>540</v>
      </c>
      <c r="C681" s="2" t="s">
        <v>408</v>
      </c>
      <c r="D681" s="2" t="s">
        <v>412</v>
      </c>
      <c r="E681" s="2" t="s">
        <v>414</v>
      </c>
      <c r="F681" s="2" t="s">
        <v>39</v>
      </c>
      <c r="J681" s="2" t="s">
        <v>541</v>
      </c>
      <c r="K681" s="2" t="s">
        <v>542</v>
      </c>
      <c r="L681" s="2">
        <v>1</v>
      </c>
      <c r="M681" s="2" t="s">
        <v>543</v>
      </c>
      <c r="O681" s="2" t="s">
        <v>524</v>
      </c>
      <c r="Y681" s="2" t="s">
        <v>597</v>
      </c>
    </row>
    <row r="682" spans="1:25" x14ac:dyDescent="0.25">
      <c r="A682" s="2" t="s">
        <v>310</v>
      </c>
      <c r="B682" s="2" t="s">
        <v>540</v>
      </c>
      <c r="C682" s="2" t="s">
        <v>408</v>
      </c>
      <c r="D682" s="2" t="s">
        <v>412</v>
      </c>
      <c r="E682" s="2" t="s">
        <v>414</v>
      </c>
      <c r="F682" s="2" t="s">
        <v>39</v>
      </c>
      <c r="J682" s="2" t="s">
        <v>541</v>
      </c>
      <c r="K682" s="2" t="s">
        <v>542</v>
      </c>
      <c r="L682" s="2">
        <v>2</v>
      </c>
      <c r="M682" s="2" t="s">
        <v>544</v>
      </c>
      <c r="O682" s="2" t="s">
        <v>524</v>
      </c>
      <c r="Y682" s="2" t="s">
        <v>597</v>
      </c>
    </row>
    <row r="683" spans="1:25" x14ac:dyDescent="0.25">
      <c r="A683" s="2" t="s">
        <v>310</v>
      </c>
      <c r="B683" s="2" t="s">
        <v>540</v>
      </c>
      <c r="C683" s="2" t="s">
        <v>408</v>
      </c>
      <c r="D683" s="2" t="s">
        <v>412</v>
      </c>
      <c r="E683" s="2" t="s">
        <v>414</v>
      </c>
      <c r="F683" s="2" t="s">
        <v>39</v>
      </c>
      <c r="J683" s="2" t="s">
        <v>541</v>
      </c>
      <c r="K683" s="2" t="s">
        <v>542</v>
      </c>
      <c r="L683" s="2">
        <v>3</v>
      </c>
      <c r="M683" s="2" t="s">
        <v>545</v>
      </c>
      <c r="O683" s="2" t="s">
        <v>524</v>
      </c>
      <c r="Y683" s="2" t="s">
        <v>597</v>
      </c>
    </row>
    <row r="684" spans="1:25" x14ac:dyDescent="0.25">
      <c r="A684" s="2" t="s">
        <v>310</v>
      </c>
      <c r="B684" s="2" t="s">
        <v>540</v>
      </c>
      <c r="C684" s="2" t="s">
        <v>408</v>
      </c>
      <c r="D684" s="2" t="s">
        <v>412</v>
      </c>
      <c r="E684" s="2" t="s">
        <v>414</v>
      </c>
      <c r="F684" s="2" t="s">
        <v>39</v>
      </c>
      <c r="J684" s="2" t="s">
        <v>541</v>
      </c>
      <c r="K684" s="2" t="s">
        <v>542</v>
      </c>
      <c r="L684" s="2">
        <v>4</v>
      </c>
      <c r="M684" s="2" t="s">
        <v>546</v>
      </c>
      <c r="O684" s="2" t="s">
        <v>524</v>
      </c>
      <c r="Y684" s="2" t="s">
        <v>597</v>
      </c>
    </row>
    <row r="685" spans="1:25" x14ac:dyDescent="0.25">
      <c r="A685" s="2" t="s">
        <v>310</v>
      </c>
      <c r="B685" s="2" t="s">
        <v>540</v>
      </c>
      <c r="C685" s="2" t="s">
        <v>408</v>
      </c>
      <c r="D685" s="2" t="s">
        <v>412</v>
      </c>
      <c r="E685" s="2" t="s">
        <v>414</v>
      </c>
      <c r="F685" s="2" t="s">
        <v>39</v>
      </c>
      <c r="J685" s="2" t="s">
        <v>541</v>
      </c>
      <c r="K685" s="2" t="s">
        <v>542</v>
      </c>
      <c r="L685" s="2">
        <v>5</v>
      </c>
      <c r="M685" s="2" t="s">
        <v>547</v>
      </c>
      <c r="O685" s="2" t="s">
        <v>524</v>
      </c>
      <c r="Y685" s="2" t="s">
        <v>597</v>
      </c>
    </row>
    <row r="686" spans="1:25" x14ac:dyDescent="0.25">
      <c r="A686" s="2" t="s">
        <v>310</v>
      </c>
      <c r="B686" s="2" t="s">
        <v>540</v>
      </c>
      <c r="C686" s="2" t="s">
        <v>408</v>
      </c>
      <c r="D686" s="2" t="s">
        <v>412</v>
      </c>
      <c r="E686" s="2" t="s">
        <v>414</v>
      </c>
      <c r="F686" s="2" t="s">
        <v>39</v>
      </c>
      <c r="J686" s="2" t="s">
        <v>541</v>
      </c>
      <c r="K686" s="2" t="s">
        <v>542</v>
      </c>
      <c r="L686" s="2">
        <v>6</v>
      </c>
      <c r="M686" s="2" t="s">
        <v>548</v>
      </c>
      <c r="O686" s="2" t="s">
        <v>524</v>
      </c>
      <c r="Y686" s="2" t="s">
        <v>597</v>
      </c>
    </row>
    <row r="687" spans="1:25" x14ac:dyDescent="0.25">
      <c r="A687" s="2" t="s">
        <v>310</v>
      </c>
      <c r="B687" s="2" t="s">
        <v>540</v>
      </c>
      <c r="C687" s="2" t="s">
        <v>408</v>
      </c>
      <c r="D687" s="2" t="s">
        <v>412</v>
      </c>
      <c r="E687" s="2" t="s">
        <v>414</v>
      </c>
      <c r="F687" s="2" t="s">
        <v>39</v>
      </c>
      <c r="J687" s="2" t="s">
        <v>541</v>
      </c>
      <c r="K687" s="2" t="s">
        <v>542</v>
      </c>
      <c r="L687" s="2">
        <v>7</v>
      </c>
      <c r="M687" s="2" t="s">
        <v>549</v>
      </c>
      <c r="O687" s="2" t="s">
        <v>524</v>
      </c>
      <c r="Y687" s="2" t="s">
        <v>597</v>
      </c>
    </row>
    <row r="688" spans="1:25" x14ac:dyDescent="0.25">
      <c r="A688" s="2" t="s">
        <v>310</v>
      </c>
      <c r="B688" s="2" t="s">
        <v>540</v>
      </c>
      <c r="C688" s="2" t="s">
        <v>408</v>
      </c>
      <c r="D688" s="2" t="s">
        <v>412</v>
      </c>
      <c r="E688" s="2" t="s">
        <v>414</v>
      </c>
      <c r="F688" s="2" t="s">
        <v>39</v>
      </c>
      <c r="J688" s="2" t="s">
        <v>541</v>
      </c>
      <c r="K688" s="2" t="s">
        <v>542</v>
      </c>
      <c r="L688" s="2">
        <v>8</v>
      </c>
      <c r="M688" s="2" t="s">
        <v>550</v>
      </c>
      <c r="O688" s="2" t="s">
        <v>524</v>
      </c>
      <c r="Y688" s="2" t="s">
        <v>597</v>
      </c>
    </row>
    <row r="689" spans="1:34" x14ac:dyDescent="0.25">
      <c r="A689" s="2" t="s">
        <v>310</v>
      </c>
      <c r="B689" s="2" t="s">
        <v>540</v>
      </c>
      <c r="C689" s="2" t="s">
        <v>408</v>
      </c>
      <c r="D689" s="2" t="s">
        <v>412</v>
      </c>
      <c r="E689" s="2" t="s">
        <v>414</v>
      </c>
      <c r="F689" s="2" t="s">
        <v>39</v>
      </c>
      <c r="J689" s="2" t="s">
        <v>541</v>
      </c>
      <c r="K689" s="2" t="s">
        <v>542</v>
      </c>
      <c r="L689" s="2">
        <v>9</v>
      </c>
      <c r="M689" s="2" t="s">
        <v>551</v>
      </c>
      <c r="O689" s="2" t="s">
        <v>524</v>
      </c>
      <c r="Y689" s="2" t="s">
        <v>597</v>
      </c>
    </row>
    <row r="690" spans="1:34" x14ac:dyDescent="0.25">
      <c r="A690" s="2" t="s">
        <v>310</v>
      </c>
      <c r="B690" s="2" t="s">
        <v>540</v>
      </c>
      <c r="C690" s="2" t="s">
        <v>408</v>
      </c>
      <c r="D690" s="2" t="s">
        <v>412</v>
      </c>
      <c r="E690" s="2" t="s">
        <v>414</v>
      </c>
      <c r="F690" s="2" t="s">
        <v>39</v>
      </c>
      <c r="J690" s="2" t="s">
        <v>541</v>
      </c>
      <c r="K690" s="2" t="s">
        <v>542</v>
      </c>
      <c r="L690" s="2">
        <v>10</v>
      </c>
      <c r="M690" s="2" t="s">
        <v>552</v>
      </c>
      <c r="O690" s="2" t="s">
        <v>524</v>
      </c>
      <c r="Y690" s="2" t="s">
        <v>597</v>
      </c>
    </row>
    <row r="691" spans="1:34" x14ac:dyDescent="0.25">
      <c r="A691" s="2" t="s">
        <v>310</v>
      </c>
      <c r="B691" s="2" t="s">
        <v>540</v>
      </c>
      <c r="C691" s="2" t="s">
        <v>408</v>
      </c>
      <c r="D691" s="2" t="s">
        <v>412</v>
      </c>
      <c r="E691" s="2" t="s">
        <v>414</v>
      </c>
      <c r="F691" s="2" t="s">
        <v>39</v>
      </c>
      <c r="J691" s="2" t="s">
        <v>541</v>
      </c>
      <c r="K691" s="2" t="s">
        <v>542</v>
      </c>
      <c r="L691" s="2">
        <v>11</v>
      </c>
      <c r="M691" s="2" t="s">
        <v>553</v>
      </c>
      <c r="O691" s="2" t="s">
        <v>524</v>
      </c>
      <c r="Y691" s="2" t="s">
        <v>597</v>
      </c>
    </row>
    <row r="692" spans="1:34" x14ac:dyDescent="0.25">
      <c r="A692" s="2" t="s">
        <v>310</v>
      </c>
      <c r="B692" s="2" t="s">
        <v>540</v>
      </c>
      <c r="C692" s="2" t="s">
        <v>408</v>
      </c>
      <c r="D692" s="2" t="s">
        <v>412</v>
      </c>
      <c r="E692" s="2" t="s">
        <v>414</v>
      </c>
      <c r="F692" s="2" t="s">
        <v>39</v>
      </c>
      <c r="J692" s="2" t="s">
        <v>541</v>
      </c>
      <c r="K692" s="2" t="s">
        <v>542</v>
      </c>
      <c r="L692" s="2">
        <v>12</v>
      </c>
      <c r="M692" s="2" t="s">
        <v>554</v>
      </c>
      <c r="O692" s="2" t="s">
        <v>524</v>
      </c>
      <c r="Y692" s="2" t="s">
        <v>597</v>
      </c>
    </row>
    <row r="693" spans="1:34" x14ac:dyDescent="0.25">
      <c r="A693" s="2" t="s">
        <v>310</v>
      </c>
      <c r="B693" s="2" t="s">
        <v>555</v>
      </c>
      <c r="C693" s="2" t="s">
        <v>408</v>
      </c>
      <c r="D693" s="2" t="s">
        <v>412</v>
      </c>
      <c r="E693" s="2" t="s">
        <v>414</v>
      </c>
      <c r="F693" s="2" t="s">
        <v>39</v>
      </c>
      <c r="J693" s="2" t="s">
        <v>556</v>
      </c>
      <c r="O693" s="2" t="s">
        <v>524</v>
      </c>
      <c r="Y693" s="2" t="s">
        <v>597</v>
      </c>
      <c r="AB693" s="2">
        <v>1</v>
      </c>
    </row>
    <row r="694" spans="1:34" x14ac:dyDescent="0.25">
      <c r="A694" s="2" t="s">
        <v>310</v>
      </c>
      <c r="B694" s="2" t="s">
        <v>557</v>
      </c>
      <c r="C694" s="2" t="s">
        <v>408</v>
      </c>
      <c r="D694" s="2" t="s">
        <v>412</v>
      </c>
      <c r="E694" s="2" t="s">
        <v>414</v>
      </c>
      <c r="F694" s="2" t="s">
        <v>39</v>
      </c>
      <c r="J694" s="2" t="s">
        <v>558</v>
      </c>
      <c r="O694" s="2" t="s">
        <v>524</v>
      </c>
      <c r="Y694" s="2" t="s">
        <v>597</v>
      </c>
      <c r="AC694" s="2">
        <f>COUNTIFS($B:$B,"BLOCK_LOAD_Q",$A:$A,$A694,$C:$C,$C694,$E:$E,$E694,$F:$F,$F694,$N:$N, "&lt;&gt;")</f>
        <v>0</v>
      </c>
      <c r="AD694" s="2">
        <f>COUNTIFS($B:$B,"BLOCK_TRUST_Q",$A:$A,$A694,$C:$C,$C694,$E:$E,$E694,$F:$F,$F694,$N:$N, "&lt;&gt;")</f>
        <v>0</v>
      </c>
      <c r="AE694" s="2" t="str">
        <f>IFERROR(AVERAGEIFS($P:$P,$B:$B,"BLOCK_LOAD_Q",$A:$A,$A694,$C:$C,$C694,$E:$E,$E694,$F:$F,$F694,$P:$P,"&gt;0"),"")</f>
        <v/>
      </c>
      <c r="AF694" s="2" t="str">
        <f>IFERROR(AVERAGEIFS($P:$P,$B:$B,"BLOCK_TRUST_Q",$A:$A,$A694,$C:$C,$C694,$E:$E,$E694,$F:$F,$F694,$P:$P,"&gt;0"),"")</f>
        <v/>
      </c>
      <c r="AG694" s="2">
        <f>5-AC694</f>
        <v>5</v>
      </c>
      <c r="AH694" s="2">
        <f>12-AD694</f>
        <v>12</v>
      </c>
    </row>
    <row r="695" spans="1:34" x14ac:dyDescent="0.25">
      <c r="A695" s="2" t="s">
        <v>310</v>
      </c>
      <c r="B695" s="2" t="s">
        <v>403</v>
      </c>
      <c r="C695" s="2" t="s">
        <v>408</v>
      </c>
      <c r="D695" s="2" t="s">
        <v>412</v>
      </c>
      <c r="Z695" s="2" t="s">
        <v>433</v>
      </c>
    </row>
    <row r="696" spans="1:34" x14ac:dyDescent="0.25">
      <c r="A696" s="2" t="s">
        <v>310</v>
      </c>
      <c r="B696" s="2" t="s">
        <v>402</v>
      </c>
      <c r="C696" s="2" t="s">
        <v>409</v>
      </c>
      <c r="D696" s="2" t="s">
        <v>410</v>
      </c>
      <c r="E696" s="2" t="s">
        <v>413</v>
      </c>
      <c r="F696" s="2" t="s">
        <v>39</v>
      </c>
      <c r="G696" s="2" t="s">
        <v>415</v>
      </c>
      <c r="H696" s="2" t="s">
        <v>373</v>
      </c>
      <c r="S696" s="2" t="s">
        <v>60</v>
      </c>
      <c r="U696" s="2" t="s">
        <v>60</v>
      </c>
      <c r="W696" s="2" t="s">
        <v>60</v>
      </c>
    </row>
    <row r="697" spans="1:34" x14ac:dyDescent="0.25">
      <c r="A697" s="2" t="s">
        <v>310</v>
      </c>
      <c r="B697" s="2" t="s">
        <v>402</v>
      </c>
      <c r="C697" s="2" t="s">
        <v>409</v>
      </c>
      <c r="D697" s="2" t="s">
        <v>410</v>
      </c>
      <c r="E697" s="2" t="s">
        <v>413</v>
      </c>
      <c r="F697" s="2" t="s">
        <v>39</v>
      </c>
      <c r="G697" s="2" t="s">
        <v>416</v>
      </c>
      <c r="H697" s="2" t="s">
        <v>528</v>
      </c>
      <c r="S697" s="2" t="s">
        <v>60</v>
      </c>
      <c r="U697" s="2" t="s">
        <v>59</v>
      </c>
      <c r="W697" s="2" t="s">
        <v>59</v>
      </c>
    </row>
    <row r="698" spans="1:34" x14ac:dyDescent="0.25">
      <c r="A698" s="2" t="s">
        <v>310</v>
      </c>
      <c r="B698" s="2" t="s">
        <v>402</v>
      </c>
      <c r="C698" s="2" t="s">
        <v>409</v>
      </c>
      <c r="D698" s="2" t="s">
        <v>410</v>
      </c>
      <c r="E698" s="2" t="s">
        <v>413</v>
      </c>
      <c r="F698" s="2" t="s">
        <v>39</v>
      </c>
      <c r="G698" s="2" t="s">
        <v>417</v>
      </c>
      <c r="H698" s="2" t="s">
        <v>529</v>
      </c>
      <c r="S698" s="2" t="s">
        <v>57</v>
      </c>
      <c r="U698" s="2" t="s">
        <v>59</v>
      </c>
      <c r="W698" s="2" t="s">
        <v>60</v>
      </c>
    </row>
    <row r="699" spans="1:34" x14ac:dyDescent="0.25">
      <c r="A699" s="2" t="s">
        <v>310</v>
      </c>
      <c r="B699" s="2" t="s">
        <v>402</v>
      </c>
      <c r="C699" s="2" t="s">
        <v>409</v>
      </c>
      <c r="D699" s="2" t="s">
        <v>410</v>
      </c>
      <c r="E699" s="2" t="s">
        <v>413</v>
      </c>
      <c r="F699" s="2" t="s">
        <v>39</v>
      </c>
      <c r="G699" s="2" t="s">
        <v>418</v>
      </c>
      <c r="H699" s="2" t="s">
        <v>347</v>
      </c>
      <c r="S699" s="2" t="s">
        <v>60</v>
      </c>
      <c r="U699" s="2" t="s">
        <v>57</v>
      </c>
      <c r="W699" s="2" t="s">
        <v>59</v>
      </c>
    </row>
    <row r="700" spans="1:34" x14ac:dyDescent="0.25">
      <c r="A700" s="2" t="s">
        <v>310</v>
      </c>
      <c r="B700" s="2" t="s">
        <v>402</v>
      </c>
      <c r="C700" s="2" t="s">
        <v>409</v>
      </c>
      <c r="D700" s="2" t="s">
        <v>410</v>
      </c>
      <c r="E700" s="2" t="s">
        <v>413</v>
      </c>
      <c r="F700" s="2" t="s">
        <v>39</v>
      </c>
      <c r="G700" s="2" t="s">
        <v>419</v>
      </c>
      <c r="H700" s="2" t="s">
        <v>530</v>
      </c>
      <c r="S700" s="2" t="s">
        <v>57</v>
      </c>
      <c r="U700" s="2" t="s">
        <v>60</v>
      </c>
      <c r="W700" s="2" t="s">
        <v>58</v>
      </c>
    </row>
    <row r="701" spans="1:34" x14ac:dyDescent="0.25">
      <c r="A701" s="2" t="s">
        <v>310</v>
      </c>
      <c r="B701" s="2" t="s">
        <v>531</v>
      </c>
      <c r="C701" s="2" t="s">
        <v>409</v>
      </c>
      <c r="D701" s="2" t="s">
        <v>410</v>
      </c>
      <c r="E701" s="2" t="s">
        <v>413</v>
      </c>
      <c r="F701" s="2" t="s">
        <v>39</v>
      </c>
      <c r="J701" s="2" t="s">
        <v>532</v>
      </c>
      <c r="K701" s="2" t="s">
        <v>533</v>
      </c>
      <c r="L701" s="2">
        <v>1</v>
      </c>
      <c r="M701" s="2" t="s">
        <v>534</v>
      </c>
      <c r="O701" s="2" t="s">
        <v>524</v>
      </c>
      <c r="Y701" s="2" t="s">
        <v>598</v>
      </c>
    </row>
    <row r="702" spans="1:34" x14ac:dyDescent="0.25">
      <c r="A702" s="2" t="s">
        <v>310</v>
      </c>
      <c r="B702" s="2" t="s">
        <v>531</v>
      </c>
      <c r="C702" s="2" t="s">
        <v>409</v>
      </c>
      <c r="D702" s="2" t="s">
        <v>410</v>
      </c>
      <c r="E702" s="2" t="s">
        <v>413</v>
      </c>
      <c r="F702" s="2" t="s">
        <v>39</v>
      </c>
      <c r="J702" s="2" t="s">
        <v>532</v>
      </c>
      <c r="K702" s="2" t="s">
        <v>533</v>
      </c>
      <c r="L702" s="2">
        <v>2</v>
      </c>
      <c r="M702" s="2" t="s">
        <v>536</v>
      </c>
      <c r="O702" s="2" t="s">
        <v>524</v>
      </c>
      <c r="Y702" s="2" t="s">
        <v>598</v>
      </c>
    </row>
    <row r="703" spans="1:34" x14ac:dyDescent="0.25">
      <c r="A703" s="2" t="s">
        <v>310</v>
      </c>
      <c r="B703" s="2" t="s">
        <v>531</v>
      </c>
      <c r="C703" s="2" t="s">
        <v>409</v>
      </c>
      <c r="D703" s="2" t="s">
        <v>410</v>
      </c>
      <c r="E703" s="2" t="s">
        <v>413</v>
      </c>
      <c r="F703" s="2" t="s">
        <v>39</v>
      </c>
      <c r="J703" s="2" t="s">
        <v>532</v>
      </c>
      <c r="K703" s="2" t="s">
        <v>533</v>
      </c>
      <c r="L703" s="2">
        <v>3</v>
      </c>
      <c r="M703" s="2" t="s">
        <v>537</v>
      </c>
      <c r="O703" s="2" t="s">
        <v>524</v>
      </c>
      <c r="Y703" s="2" t="s">
        <v>598</v>
      </c>
    </row>
    <row r="704" spans="1:34" x14ac:dyDescent="0.25">
      <c r="A704" s="2" t="s">
        <v>310</v>
      </c>
      <c r="B704" s="2" t="s">
        <v>531</v>
      </c>
      <c r="C704" s="2" t="s">
        <v>409</v>
      </c>
      <c r="D704" s="2" t="s">
        <v>410</v>
      </c>
      <c r="E704" s="2" t="s">
        <v>413</v>
      </c>
      <c r="F704" s="2" t="s">
        <v>39</v>
      </c>
      <c r="J704" s="2" t="s">
        <v>532</v>
      </c>
      <c r="K704" s="2" t="s">
        <v>533</v>
      </c>
      <c r="L704" s="2">
        <v>4</v>
      </c>
      <c r="M704" s="2" t="s">
        <v>538</v>
      </c>
      <c r="O704" s="2" t="s">
        <v>524</v>
      </c>
      <c r="Y704" s="2" t="s">
        <v>598</v>
      </c>
    </row>
    <row r="705" spans="1:34" x14ac:dyDescent="0.25">
      <c r="A705" s="2" t="s">
        <v>310</v>
      </c>
      <c r="B705" s="2" t="s">
        <v>531</v>
      </c>
      <c r="C705" s="2" t="s">
        <v>409</v>
      </c>
      <c r="D705" s="2" t="s">
        <v>410</v>
      </c>
      <c r="E705" s="2" t="s">
        <v>413</v>
      </c>
      <c r="F705" s="2" t="s">
        <v>39</v>
      </c>
      <c r="J705" s="2" t="s">
        <v>532</v>
      </c>
      <c r="K705" s="2" t="s">
        <v>533</v>
      </c>
      <c r="L705" s="2">
        <v>5</v>
      </c>
      <c r="M705" s="2" t="s">
        <v>539</v>
      </c>
      <c r="O705" s="2" t="s">
        <v>524</v>
      </c>
      <c r="Y705" s="2" t="s">
        <v>598</v>
      </c>
    </row>
    <row r="706" spans="1:34" x14ac:dyDescent="0.25">
      <c r="A706" s="2" t="s">
        <v>310</v>
      </c>
      <c r="B706" s="2" t="s">
        <v>540</v>
      </c>
      <c r="C706" s="2" t="s">
        <v>409</v>
      </c>
      <c r="D706" s="2" t="s">
        <v>410</v>
      </c>
      <c r="E706" s="2" t="s">
        <v>413</v>
      </c>
      <c r="F706" s="2" t="s">
        <v>39</v>
      </c>
      <c r="J706" s="2" t="s">
        <v>541</v>
      </c>
      <c r="K706" s="2" t="s">
        <v>542</v>
      </c>
      <c r="L706" s="2">
        <v>1</v>
      </c>
      <c r="M706" s="2" t="s">
        <v>543</v>
      </c>
      <c r="O706" s="2" t="s">
        <v>524</v>
      </c>
      <c r="Y706" s="2" t="s">
        <v>598</v>
      </c>
    </row>
    <row r="707" spans="1:34" x14ac:dyDescent="0.25">
      <c r="A707" s="2" t="s">
        <v>310</v>
      </c>
      <c r="B707" s="2" t="s">
        <v>540</v>
      </c>
      <c r="C707" s="2" t="s">
        <v>409</v>
      </c>
      <c r="D707" s="2" t="s">
        <v>410</v>
      </c>
      <c r="E707" s="2" t="s">
        <v>413</v>
      </c>
      <c r="F707" s="2" t="s">
        <v>39</v>
      </c>
      <c r="J707" s="2" t="s">
        <v>541</v>
      </c>
      <c r="K707" s="2" t="s">
        <v>542</v>
      </c>
      <c r="L707" s="2">
        <v>2</v>
      </c>
      <c r="M707" s="2" t="s">
        <v>544</v>
      </c>
      <c r="O707" s="2" t="s">
        <v>524</v>
      </c>
      <c r="Y707" s="2" t="s">
        <v>598</v>
      </c>
    </row>
    <row r="708" spans="1:34" x14ac:dyDescent="0.25">
      <c r="A708" s="2" t="s">
        <v>310</v>
      </c>
      <c r="B708" s="2" t="s">
        <v>540</v>
      </c>
      <c r="C708" s="2" t="s">
        <v>409</v>
      </c>
      <c r="D708" s="2" t="s">
        <v>410</v>
      </c>
      <c r="E708" s="2" t="s">
        <v>413</v>
      </c>
      <c r="F708" s="2" t="s">
        <v>39</v>
      </c>
      <c r="J708" s="2" t="s">
        <v>541</v>
      </c>
      <c r="K708" s="2" t="s">
        <v>542</v>
      </c>
      <c r="L708" s="2">
        <v>3</v>
      </c>
      <c r="M708" s="2" t="s">
        <v>545</v>
      </c>
      <c r="O708" s="2" t="s">
        <v>524</v>
      </c>
      <c r="Y708" s="2" t="s">
        <v>598</v>
      </c>
    </row>
    <row r="709" spans="1:34" x14ac:dyDescent="0.25">
      <c r="A709" s="2" t="s">
        <v>310</v>
      </c>
      <c r="B709" s="2" t="s">
        <v>540</v>
      </c>
      <c r="C709" s="2" t="s">
        <v>409</v>
      </c>
      <c r="D709" s="2" t="s">
        <v>410</v>
      </c>
      <c r="E709" s="2" t="s">
        <v>413</v>
      </c>
      <c r="F709" s="2" t="s">
        <v>39</v>
      </c>
      <c r="J709" s="2" t="s">
        <v>541</v>
      </c>
      <c r="K709" s="2" t="s">
        <v>542</v>
      </c>
      <c r="L709" s="2">
        <v>4</v>
      </c>
      <c r="M709" s="2" t="s">
        <v>546</v>
      </c>
      <c r="O709" s="2" t="s">
        <v>524</v>
      </c>
      <c r="Y709" s="2" t="s">
        <v>598</v>
      </c>
    </row>
    <row r="710" spans="1:34" x14ac:dyDescent="0.25">
      <c r="A710" s="2" t="s">
        <v>310</v>
      </c>
      <c r="B710" s="2" t="s">
        <v>540</v>
      </c>
      <c r="C710" s="2" t="s">
        <v>409</v>
      </c>
      <c r="D710" s="2" t="s">
        <v>410</v>
      </c>
      <c r="E710" s="2" t="s">
        <v>413</v>
      </c>
      <c r="F710" s="2" t="s">
        <v>39</v>
      </c>
      <c r="J710" s="2" t="s">
        <v>541</v>
      </c>
      <c r="K710" s="2" t="s">
        <v>542</v>
      </c>
      <c r="L710" s="2">
        <v>5</v>
      </c>
      <c r="M710" s="2" t="s">
        <v>547</v>
      </c>
      <c r="O710" s="2" t="s">
        <v>524</v>
      </c>
      <c r="Y710" s="2" t="s">
        <v>598</v>
      </c>
    </row>
    <row r="711" spans="1:34" x14ac:dyDescent="0.25">
      <c r="A711" s="2" t="s">
        <v>310</v>
      </c>
      <c r="B711" s="2" t="s">
        <v>540</v>
      </c>
      <c r="C711" s="2" t="s">
        <v>409</v>
      </c>
      <c r="D711" s="2" t="s">
        <v>410</v>
      </c>
      <c r="E711" s="2" t="s">
        <v>413</v>
      </c>
      <c r="F711" s="2" t="s">
        <v>39</v>
      </c>
      <c r="J711" s="2" t="s">
        <v>541</v>
      </c>
      <c r="K711" s="2" t="s">
        <v>542</v>
      </c>
      <c r="L711" s="2">
        <v>6</v>
      </c>
      <c r="M711" s="2" t="s">
        <v>548</v>
      </c>
      <c r="O711" s="2" t="s">
        <v>524</v>
      </c>
      <c r="Y711" s="2" t="s">
        <v>598</v>
      </c>
    </row>
    <row r="712" spans="1:34" x14ac:dyDescent="0.25">
      <c r="A712" s="2" t="s">
        <v>310</v>
      </c>
      <c r="B712" s="2" t="s">
        <v>540</v>
      </c>
      <c r="C712" s="2" t="s">
        <v>409</v>
      </c>
      <c r="D712" s="2" t="s">
        <v>410</v>
      </c>
      <c r="E712" s="2" t="s">
        <v>413</v>
      </c>
      <c r="F712" s="2" t="s">
        <v>39</v>
      </c>
      <c r="J712" s="2" t="s">
        <v>541</v>
      </c>
      <c r="K712" s="2" t="s">
        <v>542</v>
      </c>
      <c r="L712" s="2">
        <v>7</v>
      </c>
      <c r="M712" s="2" t="s">
        <v>549</v>
      </c>
      <c r="O712" s="2" t="s">
        <v>524</v>
      </c>
      <c r="Y712" s="2" t="s">
        <v>598</v>
      </c>
    </row>
    <row r="713" spans="1:34" x14ac:dyDescent="0.25">
      <c r="A713" s="2" t="s">
        <v>310</v>
      </c>
      <c r="B713" s="2" t="s">
        <v>540</v>
      </c>
      <c r="C713" s="2" t="s">
        <v>409</v>
      </c>
      <c r="D713" s="2" t="s">
        <v>410</v>
      </c>
      <c r="E713" s="2" t="s">
        <v>413</v>
      </c>
      <c r="F713" s="2" t="s">
        <v>39</v>
      </c>
      <c r="J713" s="2" t="s">
        <v>541</v>
      </c>
      <c r="K713" s="2" t="s">
        <v>542</v>
      </c>
      <c r="L713" s="2">
        <v>8</v>
      </c>
      <c r="M713" s="2" t="s">
        <v>550</v>
      </c>
      <c r="O713" s="2" t="s">
        <v>524</v>
      </c>
      <c r="Y713" s="2" t="s">
        <v>598</v>
      </c>
    </row>
    <row r="714" spans="1:34" x14ac:dyDescent="0.25">
      <c r="A714" s="2" t="s">
        <v>310</v>
      </c>
      <c r="B714" s="2" t="s">
        <v>540</v>
      </c>
      <c r="C714" s="2" t="s">
        <v>409</v>
      </c>
      <c r="D714" s="2" t="s">
        <v>410</v>
      </c>
      <c r="E714" s="2" t="s">
        <v>413</v>
      </c>
      <c r="F714" s="2" t="s">
        <v>39</v>
      </c>
      <c r="J714" s="2" t="s">
        <v>541</v>
      </c>
      <c r="K714" s="2" t="s">
        <v>542</v>
      </c>
      <c r="L714" s="2">
        <v>9</v>
      </c>
      <c r="M714" s="2" t="s">
        <v>551</v>
      </c>
      <c r="O714" s="2" t="s">
        <v>524</v>
      </c>
      <c r="Y714" s="2" t="s">
        <v>598</v>
      </c>
    </row>
    <row r="715" spans="1:34" x14ac:dyDescent="0.25">
      <c r="A715" s="2" t="s">
        <v>310</v>
      </c>
      <c r="B715" s="2" t="s">
        <v>540</v>
      </c>
      <c r="C715" s="2" t="s">
        <v>409</v>
      </c>
      <c r="D715" s="2" t="s">
        <v>410</v>
      </c>
      <c r="E715" s="2" t="s">
        <v>413</v>
      </c>
      <c r="F715" s="2" t="s">
        <v>39</v>
      </c>
      <c r="J715" s="2" t="s">
        <v>541</v>
      </c>
      <c r="K715" s="2" t="s">
        <v>542</v>
      </c>
      <c r="L715" s="2">
        <v>10</v>
      </c>
      <c r="M715" s="2" t="s">
        <v>552</v>
      </c>
      <c r="O715" s="2" t="s">
        <v>524</v>
      </c>
      <c r="Y715" s="2" t="s">
        <v>598</v>
      </c>
    </row>
    <row r="716" spans="1:34" x14ac:dyDescent="0.25">
      <c r="A716" s="2" t="s">
        <v>310</v>
      </c>
      <c r="B716" s="2" t="s">
        <v>540</v>
      </c>
      <c r="C716" s="2" t="s">
        <v>409</v>
      </c>
      <c r="D716" s="2" t="s">
        <v>410</v>
      </c>
      <c r="E716" s="2" t="s">
        <v>413</v>
      </c>
      <c r="F716" s="2" t="s">
        <v>39</v>
      </c>
      <c r="J716" s="2" t="s">
        <v>541</v>
      </c>
      <c r="K716" s="2" t="s">
        <v>542</v>
      </c>
      <c r="L716" s="2">
        <v>11</v>
      </c>
      <c r="M716" s="2" t="s">
        <v>553</v>
      </c>
      <c r="O716" s="2" t="s">
        <v>524</v>
      </c>
      <c r="Y716" s="2" t="s">
        <v>598</v>
      </c>
    </row>
    <row r="717" spans="1:34" x14ac:dyDescent="0.25">
      <c r="A717" s="2" t="s">
        <v>310</v>
      </c>
      <c r="B717" s="2" t="s">
        <v>540</v>
      </c>
      <c r="C717" s="2" t="s">
        <v>409</v>
      </c>
      <c r="D717" s="2" t="s">
        <v>410</v>
      </c>
      <c r="E717" s="2" t="s">
        <v>413</v>
      </c>
      <c r="F717" s="2" t="s">
        <v>39</v>
      </c>
      <c r="J717" s="2" t="s">
        <v>541</v>
      </c>
      <c r="K717" s="2" t="s">
        <v>542</v>
      </c>
      <c r="L717" s="2">
        <v>12</v>
      </c>
      <c r="M717" s="2" t="s">
        <v>554</v>
      </c>
      <c r="O717" s="2" t="s">
        <v>524</v>
      </c>
      <c r="Y717" s="2" t="s">
        <v>598</v>
      </c>
    </row>
    <row r="718" spans="1:34" x14ac:dyDescent="0.25">
      <c r="A718" s="2" t="s">
        <v>310</v>
      </c>
      <c r="B718" s="2" t="s">
        <v>555</v>
      </c>
      <c r="C718" s="2" t="s">
        <v>409</v>
      </c>
      <c r="D718" s="2" t="s">
        <v>410</v>
      </c>
      <c r="E718" s="2" t="s">
        <v>413</v>
      </c>
      <c r="F718" s="2" t="s">
        <v>39</v>
      </c>
      <c r="J718" s="2" t="s">
        <v>556</v>
      </c>
      <c r="O718" s="2" t="s">
        <v>524</v>
      </c>
      <c r="Y718" s="2" t="s">
        <v>598</v>
      </c>
      <c r="AB718" s="2">
        <v>1</v>
      </c>
    </row>
    <row r="719" spans="1:34" x14ac:dyDescent="0.25">
      <c r="A719" s="2" t="s">
        <v>310</v>
      </c>
      <c r="B719" s="2" t="s">
        <v>557</v>
      </c>
      <c r="C719" s="2" t="s">
        <v>409</v>
      </c>
      <c r="D719" s="2" t="s">
        <v>410</v>
      </c>
      <c r="E719" s="2" t="s">
        <v>413</v>
      </c>
      <c r="F719" s="2" t="s">
        <v>39</v>
      </c>
      <c r="J719" s="2" t="s">
        <v>558</v>
      </c>
      <c r="O719" s="2" t="s">
        <v>524</v>
      </c>
      <c r="Y719" s="2" t="s">
        <v>598</v>
      </c>
      <c r="AC719" s="2">
        <f>COUNTIFS($B:$B,"BLOCK_LOAD_Q",$A:$A,$A719,$C:$C,$C719,$E:$E,$E719,$F:$F,$F719,$N:$N, "&lt;&gt;")</f>
        <v>0</v>
      </c>
      <c r="AD719" s="2">
        <f>COUNTIFS($B:$B,"BLOCK_TRUST_Q",$A:$A,$A719,$C:$C,$C719,$E:$E,$E719,$F:$F,$F719,$N:$N, "&lt;&gt;")</f>
        <v>0</v>
      </c>
      <c r="AE719" s="2" t="str">
        <f>IFERROR(AVERAGEIFS($P:$P,$B:$B,"BLOCK_LOAD_Q",$A:$A,$A719,$C:$C,$C719,$E:$E,$E719,$F:$F,$F719,$P:$P,"&gt;0"),"")</f>
        <v/>
      </c>
      <c r="AF719" s="2" t="str">
        <f>IFERROR(AVERAGEIFS($P:$P,$B:$B,"BLOCK_TRUST_Q",$A:$A,$A719,$C:$C,$C719,$E:$E,$E719,$F:$F,$F719,$P:$P,"&gt;0"),"")</f>
        <v/>
      </c>
      <c r="AG719" s="2">
        <f>5-AC719</f>
        <v>5</v>
      </c>
      <c r="AH719" s="2">
        <f>12-AD719</f>
        <v>12</v>
      </c>
    </row>
    <row r="720" spans="1:34" x14ac:dyDescent="0.25">
      <c r="A720" s="2" t="s">
        <v>310</v>
      </c>
      <c r="B720" s="2" t="s">
        <v>402</v>
      </c>
      <c r="C720" s="2" t="s">
        <v>409</v>
      </c>
      <c r="D720" s="2" t="s">
        <v>410</v>
      </c>
      <c r="E720" s="2" t="s">
        <v>414</v>
      </c>
      <c r="F720" s="2" t="s">
        <v>40</v>
      </c>
      <c r="G720" s="2" t="s">
        <v>415</v>
      </c>
      <c r="H720" s="2" t="s">
        <v>354</v>
      </c>
      <c r="S720" s="2" t="s">
        <v>59</v>
      </c>
      <c r="U720" s="2" t="s">
        <v>59</v>
      </c>
      <c r="W720" s="2" t="s">
        <v>58</v>
      </c>
    </row>
    <row r="721" spans="1:25" x14ac:dyDescent="0.25">
      <c r="A721" s="2" t="s">
        <v>310</v>
      </c>
      <c r="B721" s="2" t="s">
        <v>402</v>
      </c>
      <c r="C721" s="2" t="s">
        <v>409</v>
      </c>
      <c r="D721" s="2" t="s">
        <v>410</v>
      </c>
      <c r="E721" s="2" t="s">
        <v>414</v>
      </c>
      <c r="F721" s="2" t="s">
        <v>40</v>
      </c>
      <c r="G721" s="2" t="s">
        <v>416</v>
      </c>
      <c r="H721" s="2" t="s">
        <v>559</v>
      </c>
      <c r="S721" s="2" t="s">
        <v>57</v>
      </c>
      <c r="U721" s="2" t="s">
        <v>57</v>
      </c>
      <c r="W721" s="2" t="s">
        <v>58</v>
      </c>
    </row>
    <row r="722" spans="1:25" x14ac:dyDescent="0.25">
      <c r="A722" s="2" t="s">
        <v>310</v>
      </c>
      <c r="B722" s="2" t="s">
        <v>402</v>
      </c>
      <c r="C722" s="2" t="s">
        <v>409</v>
      </c>
      <c r="D722" s="2" t="s">
        <v>410</v>
      </c>
      <c r="E722" s="2" t="s">
        <v>414</v>
      </c>
      <c r="F722" s="2" t="s">
        <v>40</v>
      </c>
      <c r="G722" s="2" t="s">
        <v>417</v>
      </c>
      <c r="H722" s="2" t="s">
        <v>370</v>
      </c>
      <c r="S722" s="2" t="s">
        <v>60</v>
      </c>
      <c r="U722" s="2" t="s">
        <v>58</v>
      </c>
      <c r="W722" s="2" t="s">
        <v>59</v>
      </c>
    </row>
    <row r="723" spans="1:25" x14ac:dyDescent="0.25">
      <c r="A723" s="2" t="s">
        <v>310</v>
      </c>
      <c r="B723" s="2" t="s">
        <v>402</v>
      </c>
      <c r="C723" s="2" t="s">
        <v>409</v>
      </c>
      <c r="D723" s="2" t="s">
        <v>410</v>
      </c>
      <c r="E723" s="2" t="s">
        <v>414</v>
      </c>
      <c r="F723" s="2" t="s">
        <v>40</v>
      </c>
      <c r="G723" s="2" t="s">
        <v>418</v>
      </c>
      <c r="H723" s="2" t="s">
        <v>560</v>
      </c>
      <c r="S723" s="2" t="s">
        <v>57</v>
      </c>
      <c r="U723" s="2" t="s">
        <v>58</v>
      </c>
      <c r="W723" s="2" t="s">
        <v>60</v>
      </c>
    </row>
    <row r="724" spans="1:25" x14ac:dyDescent="0.25">
      <c r="A724" s="2" t="s">
        <v>310</v>
      </c>
      <c r="B724" s="2" t="s">
        <v>531</v>
      </c>
      <c r="C724" s="2" t="s">
        <v>409</v>
      </c>
      <c r="D724" s="2" t="s">
        <v>410</v>
      </c>
      <c r="E724" s="2" t="s">
        <v>414</v>
      </c>
      <c r="F724" s="2" t="s">
        <v>40</v>
      </c>
      <c r="J724" s="2" t="s">
        <v>532</v>
      </c>
      <c r="K724" s="2" t="s">
        <v>533</v>
      </c>
      <c r="L724" s="2">
        <v>1</v>
      </c>
      <c r="M724" s="2" t="s">
        <v>534</v>
      </c>
      <c r="O724" s="2" t="s">
        <v>524</v>
      </c>
      <c r="Y724" s="2" t="s">
        <v>599</v>
      </c>
    </row>
    <row r="725" spans="1:25" x14ac:dyDescent="0.25">
      <c r="A725" s="2" t="s">
        <v>310</v>
      </c>
      <c r="B725" s="2" t="s">
        <v>531</v>
      </c>
      <c r="C725" s="2" t="s">
        <v>409</v>
      </c>
      <c r="D725" s="2" t="s">
        <v>410</v>
      </c>
      <c r="E725" s="2" t="s">
        <v>414</v>
      </c>
      <c r="F725" s="2" t="s">
        <v>40</v>
      </c>
      <c r="J725" s="2" t="s">
        <v>532</v>
      </c>
      <c r="K725" s="2" t="s">
        <v>533</v>
      </c>
      <c r="L725" s="2">
        <v>2</v>
      </c>
      <c r="M725" s="2" t="s">
        <v>536</v>
      </c>
      <c r="O725" s="2" t="s">
        <v>524</v>
      </c>
      <c r="Y725" s="2" t="s">
        <v>599</v>
      </c>
    </row>
    <row r="726" spans="1:25" x14ac:dyDescent="0.25">
      <c r="A726" s="2" t="s">
        <v>310</v>
      </c>
      <c r="B726" s="2" t="s">
        <v>531</v>
      </c>
      <c r="C726" s="2" t="s">
        <v>409</v>
      </c>
      <c r="D726" s="2" t="s">
        <v>410</v>
      </c>
      <c r="E726" s="2" t="s">
        <v>414</v>
      </c>
      <c r="F726" s="2" t="s">
        <v>40</v>
      </c>
      <c r="J726" s="2" t="s">
        <v>532</v>
      </c>
      <c r="K726" s="2" t="s">
        <v>533</v>
      </c>
      <c r="L726" s="2">
        <v>3</v>
      </c>
      <c r="M726" s="2" t="s">
        <v>537</v>
      </c>
      <c r="O726" s="2" t="s">
        <v>524</v>
      </c>
      <c r="Y726" s="2" t="s">
        <v>599</v>
      </c>
    </row>
    <row r="727" spans="1:25" x14ac:dyDescent="0.25">
      <c r="A727" s="2" t="s">
        <v>310</v>
      </c>
      <c r="B727" s="2" t="s">
        <v>531</v>
      </c>
      <c r="C727" s="2" t="s">
        <v>409</v>
      </c>
      <c r="D727" s="2" t="s">
        <v>410</v>
      </c>
      <c r="E727" s="2" t="s">
        <v>414</v>
      </c>
      <c r="F727" s="2" t="s">
        <v>40</v>
      </c>
      <c r="J727" s="2" t="s">
        <v>532</v>
      </c>
      <c r="K727" s="2" t="s">
        <v>533</v>
      </c>
      <c r="L727" s="2">
        <v>4</v>
      </c>
      <c r="M727" s="2" t="s">
        <v>538</v>
      </c>
      <c r="O727" s="2" t="s">
        <v>524</v>
      </c>
      <c r="Y727" s="2" t="s">
        <v>599</v>
      </c>
    </row>
    <row r="728" spans="1:25" x14ac:dyDescent="0.25">
      <c r="A728" s="2" t="s">
        <v>310</v>
      </c>
      <c r="B728" s="2" t="s">
        <v>531</v>
      </c>
      <c r="C728" s="2" t="s">
        <v>409</v>
      </c>
      <c r="D728" s="2" t="s">
        <v>410</v>
      </c>
      <c r="E728" s="2" t="s">
        <v>414</v>
      </c>
      <c r="F728" s="2" t="s">
        <v>40</v>
      </c>
      <c r="J728" s="2" t="s">
        <v>532</v>
      </c>
      <c r="K728" s="2" t="s">
        <v>533</v>
      </c>
      <c r="L728" s="2">
        <v>5</v>
      </c>
      <c r="M728" s="2" t="s">
        <v>539</v>
      </c>
      <c r="O728" s="2" t="s">
        <v>524</v>
      </c>
      <c r="Y728" s="2" t="s">
        <v>599</v>
      </c>
    </row>
    <row r="729" spans="1:25" x14ac:dyDescent="0.25">
      <c r="A729" s="2" t="s">
        <v>310</v>
      </c>
      <c r="B729" s="2" t="s">
        <v>540</v>
      </c>
      <c r="C729" s="2" t="s">
        <v>409</v>
      </c>
      <c r="D729" s="2" t="s">
        <v>410</v>
      </c>
      <c r="E729" s="2" t="s">
        <v>414</v>
      </c>
      <c r="F729" s="2" t="s">
        <v>40</v>
      </c>
      <c r="J729" s="2" t="s">
        <v>541</v>
      </c>
      <c r="K729" s="2" t="s">
        <v>542</v>
      </c>
      <c r="L729" s="2">
        <v>1</v>
      </c>
      <c r="M729" s="2" t="s">
        <v>543</v>
      </c>
      <c r="O729" s="2" t="s">
        <v>524</v>
      </c>
      <c r="Y729" s="2" t="s">
        <v>599</v>
      </c>
    </row>
    <row r="730" spans="1:25" x14ac:dyDescent="0.25">
      <c r="A730" s="2" t="s">
        <v>310</v>
      </c>
      <c r="B730" s="2" t="s">
        <v>540</v>
      </c>
      <c r="C730" s="2" t="s">
        <v>409</v>
      </c>
      <c r="D730" s="2" t="s">
        <v>410</v>
      </c>
      <c r="E730" s="2" t="s">
        <v>414</v>
      </c>
      <c r="F730" s="2" t="s">
        <v>40</v>
      </c>
      <c r="J730" s="2" t="s">
        <v>541</v>
      </c>
      <c r="K730" s="2" t="s">
        <v>542</v>
      </c>
      <c r="L730" s="2">
        <v>2</v>
      </c>
      <c r="M730" s="2" t="s">
        <v>544</v>
      </c>
      <c r="O730" s="2" t="s">
        <v>524</v>
      </c>
      <c r="Y730" s="2" t="s">
        <v>599</v>
      </c>
    </row>
    <row r="731" spans="1:25" x14ac:dyDescent="0.25">
      <c r="A731" s="2" t="s">
        <v>310</v>
      </c>
      <c r="B731" s="2" t="s">
        <v>540</v>
      </c>
      <c r="C731" s="2" t="s">
        <v>409</v>
      </c>
      <c r="D731" s="2" t="s">
        <v>410</v>
      </c>
      <c r="E731" s="2" t="s">
        <v>414</v>
      </c>
      <c r="F731" s="2" t="s">
        <v>40</v>
      </c>
      <c r="J731" s="2" t="s">
        <v>541</v>
      </c>
      <c r="K731" s="2" t="s">
        <v>542</v>
      </c>
      <c r="L731" s="2">
        <v>3</v>
      </c>
      <c r="M731" s="2" t="s">
        <v>545</v>
      </c>
      <c r="O731" s="2" t="s">
        <v>524</v>
      </c>
      <c r="Y731" s="2" t="s">
        <v>599</v>
      </c>
    </row>
    <row r="732" spans="1:25" x14ac:dyDescent="0.25">
      <c r="A732" s="2" t="s">
        <v>310</v>
      </c>
      <c r="B732" s="2" t="s">
        <v>540</v>
      </c>
      <c r="C732" s="2" t="s">
        <v>409</v>
      </c>
      <c r="D732" s="2" t="s">
        <v>410</v>
      </c>
      <c r="E732" s="2" t="s">
        <v>414</v>
      </c>
      <c r="F732" s="2" t="s">
        <v>40</v>
      </c>
      <c r="J732" s="2" t="s">
        <v>541</v>
      </c>
      <c r="K732" s="2" t="s">
        <v>542</v>
      </c>
      <c r="L732" s="2">
        <v>4</v>
      </c>
      <c r="M732" s="2" t="s">
        <v>546</v>
      </c>
      <c r="O732" s="2" t="s">
        <v>524</v>
      </c>
      <c r="Y732" s="2" t="s">
        <v>599</v>
      </c>
    </row>
    <row r="733" spans="1:25" x14ac:dyDescent="0.25">
      <c r="A733" s="2" t="s">
        <v>310</v>
      </c>
      <c r="B733" s="2" t="s">
        <v>540</v>
      </c>
      <c r="C733" s="2" t="s">
        <v>409</v>
      </c>
      <c r="D733" s="2" t="s">
        <v>410</v>
      </c>
      <c r="E733" s="2" t="s">
        <v>414</v>
      </c>
      <c r="F733" s="2" t="s">
        <v>40</v>
      </c>
      <c r="J733" s="2" t="s">
        <v>541</v>
      </c>
      <c r="K733" s="2" t="s">
        <v>542</v>
      </c>
      <c r="L733" s="2">
        <v>5</v>
      </c>
      <c r="M733" s="2" t="s">
        <v>547</v>
      </c>
      <c r="O733" s="2" t="s">
        <v>524</v>
      </c>
      <c r="Y733" s="2" t="s">
        <v>599</v>
      </c>
    </row>
    <row r="734" spans="1:25" x14ac:dyDescent="0.25">
      <c r="A734" s="2" t="s">
        <v>310</v>
      </c>
      <c r="B734" s="2" t="s">
        <v>540</v>
      </c>
      <c r="C734" s="2" t="s">
        <v>409</v>
      </c>
      <c r="D734" s="2" t="s">
        <v>410</v>
      </c>
      <c r="E734" s="2" t="s">
        <v>414</v>
      </c>
      <c r="F734" s="2" t="s">
        <v>40</v>
      </c>
      <c r="J734" s="2" t="s">
        <v>541</v>
      </c>
      <c r="K734" s="2" t="s">
        <v>542</v>
      </c>
      <c r="L734" s="2">
        <v>6</v>
      </c>
      <c r="M734" s="2" t="s">
        <v>548</v>
      </c>
      <c r="O734" s="2" t="s">
        <v>524</v>
      </c>
      <c r="Y734" s="2" t="s">
        <v>599</v>
      </c>
    </row>
    <row r="735" spans="1:25" x14ac:dyDescent="0.25">
      <c r="A735" s="2" t="s">
        <v>310</v>
      </c>
      <c r="B735" s="2" t="s">
        <v>540</v>
      </c>
      <c r="C735" s="2" t="s">
        <v>409</v>
      </c>
      <c r="D735" s="2" t="s">
        <v>410</v>
      </c>
      <c r="E735" s="2" t="s">
        <v>414</v>
      </c>
      <c r="F735" s="2" t="s">
        <v>40</v>
      </c>
      <c r="J735" s="2" t="s">
        <v>541</v>
      </c>
      <c r="K735" s="2" t="s">
        <v>542</v>
      </c>
      <c r="L735" s="2">
        <v>7</v>
      </c>
      <c r="M735" s="2" t="s">
        <v>549</v>
      </c>
      <c r="O735" s="2" t="s">
        <v>524</v>
      </c>
      <c r="Y735" s="2" t="s">
        <v>599</v>
      </c>
    </row>
    <row r="736" spans="1:25" x14ac:dyDescent="0.25">
      <c r="A736" s="2" t="s">
        <v>310</v>
      </c>
      <c r="B736" s="2" t="s">
        <v>540</v>
      </c>
      <c r="C736" s="2" t="s">
        <v>409</v>
      </c>
      <c r="D736" s="2" t="s">
        <v>410</v>
      </c>
      <c r="E736" s="2" t="s">
        <v>414</v>
      </c>
      <c r="F736" s="2" t="s">
        <v>40</v>
      </c>
      <c r="J736" s="2" t="s">
        <v>541</v>
      </c>
      <c r="K736" s="2" t="s">
        <v>542</v>
      </c>
      <c r="L736" s="2">
        <v>8</v>
      </c>
      <c r="M736" s="2" t="s">
        <v>550</v>
      </c>
      <c r="O736" s="2" t="s">
        <v>524</v>
      </c>
      <c r="Y736" s="2" t="s">
        <v>599</v>
      </c>
    </row>
    <row r="737" spans="1:34" x14ac:dyDescent="0.25">
      <c r="A737" s="2" t="s">
        <v>310</v>
      </c>
      <c r="B737" s="2" t="s">
        <v>540</v>
      </c>
      <c r="C737" s="2" t="s">
        <v>409</v>
      </c>
      <c r="D737" s="2" t="s">
        <v>410</v>
      </c>
      <c r="E737" s="2" t="s">
        <v>414</v>
      </c>
      <c r="F737" s="2" t="s">
        <v>40</v>
      </c>
      <c r="J737" s="2" t="s">
        <v>541</v>
      </c>
      <c r="K737" s="2" t="s">
        <v>542</v>
      </c>
      <c r="L737" s="2">
        <v>9</v>
      </c>
      <c r="M737" s="2" t="s">
        <v>551</v>
      </c>
      <c r="O737" s="2" t="s">
        <v>524</v>
      </c>
      <c r="Y737" s="2" t="s">
        <v>599</v>
      </c>
    </row>
    <row r="738" spans="1:34" x14ac:dyDescent="0.25">
      <c r="A738" s="2" t="s">
        <v>310</v>
      </c>
      <c r="B738" s="2" t="s">
        <v>540</v>
      </c>
      <c r="C738" s="2" t="s">
        <v>409</v>
      </c>
      <c r="D738" s="2" t="s">
        <v>410</v>
      </c>
      <c r="E738" s="2" t="s">
        <v>414</v>
      </c>
      <c r="F738" s="2" t="s">
        <v>40</v>
      </c>
      <c r="J738" s="2" t="s">
        <v>541</v>
      </c>
      <c r="K738" s="2" t="s">
        <v>542</v>
      </c>
      <c r="L738" s="2">
        <v>10</v>
      </c>
      <c r="M738" s="2" t="s">
        <v>552</v>
      </c>
      <c r="O738" s="2" t="s">
        <v>524</v>
      </c>
      <c r="Y738" s="2" t="s">
        <v>599</v>
      </c>
    </row>
    <row r="739" spans="1:34" x14ac:dyDescent="0.25">
      <c r="A739" s="2" t="s">
        <v>310</v>
      </c>
      <c r="B739" s="2" t="s">
        <v>540</v>
      </c>
      <c r="C739" s="2" t="s">
        <v>409</v>
      </c>
      <c r="D739" s="2" t="s">
        <v>410</v>
      </c>
      <c r="E739" s="2" t="s">
        <v>414</v>
      </c>
      <c r="F739" s="2" t="s">
        <v>40</v>
      </c>
      <c r="J739" s="2" t="s">
        <v>541</v>
      </c>
      <c r="K739" s="2" t="s">
        <v>542</v>
      </c>
      <c r="L739" s="2">
        <v>11</v>
      </c>
      <c r="M739" s="2" t="s">
        <v>553</v>
      </c>
      <c r="O739" s="2" t="s">
        <v>524</v>
      </c>
      <c r="Y739" s="2" t="s">
        <v>599</v>
      </c>
    </row>
    <row r="740" spans="1:34" x14ac:dyDescent="0.25">
      <c r="A740" s="2" t="s">
        <v>310</v>
      </c>
      <c r="B740" s="2" t="s">
        <v>540</v>
      </c>
      <c r="C740" s="2" t="s">
        <v>409</v>
      </c>
      <c r="D740" s="2" t="s">
        <v>410</v>
      </c>
      <c r="E740" s="2" t="s">
        <v>414</v>
      </c>
      <c r="F740" s="2" t="s">
        <v>40</v>
      </c>
      <c r="J740" s="2" t="s">
        <v>541</v>
      </c>
      <c r="K740" s="2" t="s">
        <v>542</v>
      </c>
      <c r="L740" s="2">
        <v>12</v>
      </c>
      <c r="M740" s="2" t="s">
        <v>554</v>
      </c>
      <c r="O740" s="2" t="s">
        <v>524</v>
      </c>
      <c r="Y740" s="2" t="s">
        <v>599</v>
      </c>
    </row>
    <row r="741" spans="1:34" x14ac:dyDescent="0.25">
      <c r="A741" s="2" t="s">
        <v>310</v>
      </c>
      <c r="B741" s="2" t="s">
        <v>555</v>
      </c>
      <c r="C741" s="2" t="s">
        <v>409</v>
      </c>
      <c r="D741" s="2" t="s">
        <v>410</v>
      </c>
      <c r="E741" s="2" t="s">
        <v>414</v>
      </c>
      <c r="F741" s="2" t="s">
        <v>40</v>
      </c>
      <c r="J741" s="2" t="s">
        <v>556</v>
      </c>
      <c r="O741" s="2" t="s">
        <v>524</v>
      </c>
      <c r="Y741" s="2" t="s">
        <v>599</v>
      </c>
      <c r="AB741" s="2">
        <v>2</v>
      </c>
    </row>
    <row r="742" spans="1:34" x14ac:dyDescent="0.25">
      <c r="A742" s="2" t="s">
        <v>310</v>
      </c>
      <c r="B742" s="2" t="s">
        <v>557</v>
      </c>
      <c r="C742" s="2" t="s">
        <v>409</v>
      </c>
      <c r="D742" s="2" t="s">
        <v>410</v>
      </c>
      <c r="E742" s="2" t="s">
        <v>414</v>
      </c>
      <c r="F742" s="2" t="s">
        <v>40</v>
      </c>
      <c r="J742" s="2" t="s">
        <v>558</v>
      </c>
      <c r="O742" s="2" t="s">
        <v>524</v>
      </c>
      <c r="Y742" s="2" t="s">
        <v>599</v>
      </c>
      <c r="AC742" s="2">
        <f>COUNTIFS($B:$B,"BLOCK_LOAD_Q",$A:$A,$A742,$C:$C,$C742,$E:$E,$E742,$F:$F,$F742,$N:$N, "&lt;&gt;")</f>
        <v>0</v>
      </c>
      <c r="AD742" s="2">
        <f>COUNTIFS($B:$B,"BLOCK_TRUST_Q",$A:$A,$A742,$C:$C,$C742,$E:$E,$E742,$F:$F,$F742,$N:$N, "&lt;&gt;")</f>
        <v>0</v>
      </c>
      <c r="AE742" s="2" t="str">
        <f>IFERROR(AVERAGEIFS($P:$P,$B:$B,"BLOCK_LOAD_Q",$A:$A,$A742,$C:$C,$C742,$E:$E,$E742,$F:$F,$F742,$P:$P,"&gt;0"),"")</f>
        <v/>
      </c>
      <c r="AF742" s="2" t="str">
        <f>IFERROR(AVERAGEIFS($P:$P,$B:$B,"BLOCK_TRUST_Q",$A:$A,$A742,$C:$C,$C742,$E:$E,$E742,$F:$F,$F742,$P:$P,"&gt;0"),"")</f>
        <v/>
      </c>
      <c r="AG742" s="2">
        <f>5-AC742</f>
        <v>5</v>
      </c>
      <c r="AH742" s="2">
        <f>12-AD742</f>
        <v>12</v>
      </c>
    </row>
    <row r="743" spans="1:34" x14ac:dyDescent="0.25">
      <c r="A743" s="2" t="s">
        <v>310</v>
      </c>
      <c r="B743" s="2" t="s">
        <v>403</v>
      </c>
      <c r="C743" s="2" t="s">
        <v>409</v>
      </c>
      <c r="D743" s="2" t="s">
        <v>410</v>
      </c>
      <c r="Z743" s="2" t="s">
        <v>434</v>
      </c>
    </row>
    <row r="744" spans="1:34" x14ac:dyDescent="0.25">
      <c r="A744" s="2" t="s">
        <v>310</v>
      </c>
      <c r="B744" s="2" t="s">
        <v>404</v>
      </c>
      <c r="J744" s="2" t="s">
        <v>575</v>
      </c>
      <c r="AA744" s="2" t="s">
        <v>338</v>
      </c>
    </row>
    <row r="745" spans="1:34" x14ac:dyDescent="0.25">
      <c r="A745" s="2" t="s">
        <v>310</v>
      </c>
      <c r="B745" s="2" t="s">
        <v>405</v>
      </c>
    </row>
    <row r="746" spans="1:34" x14ac:dyDescent="0.25">
      <c r="A746" s="2" t="s">
        <v>310</v>
      </c>
      <c r="B746" s="2" t="s">
        <v>406</v>
      </c>
    </row>
    <row r="747" spans="1:34" x14ac:dyDescent="0.25">
      <c r="A747" s="2" t="s">
        <v>311</v>
      </c>
      <c r="B747" s="2" t="s">
        <v>523</v>
      </c>
      <c r="C747" s="2" t="s">
        <v>524</v>
      </c>
      <c r="D747" s="2" t="s">
        <v>524</v>
      </c>
      <c r="E747" s="2" t="s">
        <v>524</v>
      </c>
      <c r="F747" s="2" t="s">
        <v>524</v>
      </c>
      <c r="J747" s="2" t="s">
        <v>525</v>
      </c>
      <c r="O747" s="2" t="s">
        <v>524</v>
      </c>
    </row>
    <row r="748" spans="1:34" x14ac:dyDescent="0.25">
      <c r="A748" s="2" t="s">
        <v>311</v>
      </c>
      <c r="B748" s="2" t="s">
        <v>526</v>
      </c>
      <c r="C748" s="2" t="s">
        <v>524</v>
      </c>
      <c r="D748" s="2" t="s">
        <v>524</v>
      </c>
      <c r="E748" s="2" t="s">
        <v>524</v>
      </c>
      <c r="F748" s="2" t="s">
        <v>524</v>
      </c>
      <c r="J748" s="2" t="s">
        <v>527</v>
      </c>
      <c r="O748" s="2" t="s">
        <v>524</v>
      </c>
    </row>
    <row r="749" spans="1:34" x14ac:dyDescent="0.25">
      <c r="A749" s="2" t="s">
        <v>311</v>
      </c>
      <c r="B749" s="2" t="s">
        <v>402</v>
      </c>
      <c r="C749" s="2" t="s">
        <v>407</v>
      </c>
      <c r="D749" s="2" t="s">
        <v>412</v>
      </c>
      <c r="E749" s="2" t="s">
        <v>413</v>
      </c>
      <c r="F749" s="2" t="s">
        <v>40</v>
      </c>
      <c r="G749" s="2" t="s">
        <v>415</v>
      </c>
      <c r="H749" s="2" t="s">
        <v>567</v>
      </c>
      <c r="S749" s="2" t="s">
        <v>58</v>
      </c>
      <c r="U749" s="2" t="s">
        <v>57</v>
      </c>
      <c r="W749" s="2" t="s">
        <v>60</v>
      </c>
    </row>
    <row r="750" spans="1:34" x14ac:dyDescent="0.25">
      <c r="A750" s="2" t="s">
        <v>311</v>
      </c>
      <c r="B750" s="2" t="s">
        <v>402</v>
      </c>
      <c r="C750" s="2" t="s">
        <v>407</v>
      </c>
      <c r="D750" s="2" t="s">
        <v>412</v>
      </c>
      <c r="E750" s="2" t="s">
        <v>413</v>
      </c>
      <c r="F750" s="2" t="s">
        <v>40</v>
      </c>
      <c r="G750" s="2" t="s">
        <v>416</v>
      </c>
      <c r="H750" s="2" t="s">
        <v>568</v>
      </c>
      <c r="S750" s="2" t="s">
        <v>59</v>
      </c>
      <c r="U750" s="2" t="s">
        <v>60</v>
      </c>
      <c r="W750" s="2" t="s">
        <v>59</v>
      </c>
    </row>
    <row r="751" spans="1:34" x14ac:dyDescent="0.25">
      <c r="A751" s="2" t="s">
        <v>311</v>
      </c>
      <c r="B751" s="2" t="s">
        <v>402</v>
      </c>
      <c r="C751" s="2" t="s">
        <v>407</v>
      </c>
      <c r="D751" s="2" t="s">
        <v>412</v>
      </c>
      <c r="E751" s="2" t="s">
        <v>413</v>
      </c>
      <c r="F751" s="2" t="s">
        <v>40</v>
      </c>
      <c r="G751" s="2" t="s">
        <v>417</v>
      </c>
      <c r="H751" s="2" t="s">
        <v>569</v>
      </c>
      <c r="S751" s="2" t="s">
        <v>57</v>
      </c>
      <c r="U751" s="2" t="s">
        <v>60</v>
      </c>
      <c r="W751" s="2" t="s">
        <v>57</v>
      </c>
    </row>
    <row r="752" spans="1:34" x14ac:dyDescent="0.25">
      <c r="A752" s="2" t="s">
        <v>311</v>
      </c>
      <c r="B752" s="2" t="s">
        <v>402</v>
      </c>
      <c r="C752" s="2" t="s">
        <v>407</v>
      </c>
      <c r="D752" s="2" t="s">
        <v>412</v>
      </c>
      <c r="E752" s="2" t="s">
        <v>413</v>
      </c>
      <c r="F752" s="2" t="s">
        <v>40</v>
      </c>
      <c r="G752" s="2" t="s">
        <v>418</v>
      </c>
      <c r="H752" s="2" t="s">
        <v>351</v>
      </c>
      <c r="S752" s="2" t="s">
        <v>60</v>
      </c>
      <c r="U752" s="2" t="s">
        <v>57</v>
      </c>
      <c r="W752" s="2" t="s">
        <v>57</v>
      </c>
    </row>
    <row r="753" spans="1:25" x14ac:dyDescent="0.25">
      <c r="A753" s="2" t="s">
        <v>311</v>
      </c>
      <c r="B753" s="2" t="s">
        <v>531</v>
      </c>
      <c r="C753" s="2" t="s">
        <v>407</v>
      </c>
      <c r="D753" s="2" t="s">
        <v>412</v>
      </c>
      <c r="E753" s="2" t="s">
        <v>413</v>
      </c>
      <c r="F753" s="2" t="s">
        <v>40</v>
      </c>
      <c r="J753" s="2" t="s">
        <v>532</v>
      </c>
      <c r="K753" s="2" t="s">
        <v>533</v>
      </c>
      <c r="L753" s="2">
        <v>1</v>
      </c>
      <c r="M753" s="2" t="s">
        <v>534</v>
      </c>
      <c r="O753" s="2" t="s">
        <v>524</v>
      </c>
      <c r="Y753" s="2" t="s">
        <v>600</v>
      </c>
    </row>
    <row r="754" spans="1:25" x14ac:dyDescent="0.25">
      <c r="A754" s="2" t="s">
        <v>311</v>
      </c>
      <c r="B754" s="2" t="s">
        <v>531</v>
      </c>
      <c r="C754" s="2" t="s">
        <v>407</v>
      </c>
      <c r="D754" s="2" t="s">
        <v>412</v>
      </c>
      <c r="E754" s="2" t="s">
        <v>413</v>
      </c>
      <c r="F754" s="2" t="s">
        <v>40</v>
      </c>
      <c r="J754" s="2" t="s">
        <v>532</v>
      </c>
      <c r="K754" s="2" t="s">
        <v>533</v>
      </c>
      <c r="L754" s="2">
        <v>2</v>
      </c>
      <c r="M754" s="2" t="s">
        <v>536</v>
      </c>
      <c r="O754" s="2" t="s">
        <v>524</v>
      </c>
      <c r="Y754" s="2" t="s">
        <v>600</v>
      </c>
    </row>
    <row r="755" spans="1:25" x14ac:dyDescent="0.25">
      <c r="A755" s="2" t="s">
        <v>311</v>
      </c>
      <c r="B755" s="2" t="s">
        <v>531</v>
      </c>
      <c r="C755" s="2" t="s">
        <v>407</v>
      </c>
      <c r="D755" s="2" t="s">
        <v>412</v>
      </c>
      <c r="E755" s="2" t="s">
        <v>413</v>
      </c>
      <c r="F755" s="2" t="s">
        <v>40</v>
      </c>
      <c r="J755" s="2" t="s">
        <v>532</v>
      </c>
      <c r="K755" s="2" t="s">
        <v>533</v>
      </c>
      <c r="L755" s="2">
        <v>3</v>
      </c>
      <c r="M755" s="2" t="s">
        <v>537</v>
      </c>
      <c r="O755" s="2" t="s">
        <v>524</v>
      </c>
      <c r="Y755" s="2" t="s">
        <v>600</v>
      </c>
    </row>
    <row r="756" spans="1:25" x14ac:dyDescent="0.25">
      <c r="A756" s="2" t="s">
        <v>311</v>
      </c>
      <c r="B756" s="2" t="s">
        <v>531</v>
      </c>
      <c r="C756" s="2" t="s">
        <v>407</v>
      </c>
      <c r="D756" s="2" t="s">
        <v>412</v>
      </c>
      <c r="E756" s="2" t="s">
        <v>413</v>
      </c>
      <c r="F756" s="2" t="s">
        <v>40</v>
      </c>
      <c r="J756" s="2" t="s">
        <v>532</v>
      </c>
      <c r="K756" s="2" t="s">
        <v>533</v>
      </c>
      <c r="L756" s="2">
        <v>4</v>
      </c>
      <c r="M756" s="2" t="s">
        <v>538</v>
      </c>
      <c r="O756" s="2" t="s">
        <v>524</v>
      </c>
      <c r="Y756" s="2" t="s">
        <v>600</v>
      </c>
    </row>
    <row r="757" spans="1:25" x14ac:dyDescent="0.25">
      <c r="A757" s="2" t="s">
        <v>311</v>
      </c>
      <c r="B757" s="2" t="s">
        <v>531</v>
      </c>
      <c r="C757" s="2" t="s">
        <v>407</v>
      </c>
      <c r="D757" s="2" t="s">
        <v>412</v>
      </c>
      <c r="E757" s="2" t="s">
        <v>413</v>
      </c>
      <c r="F757" s="2" t="s">
        <v>40</v>
      </c>
      <c r="J757" s="2" t="s">
        <v>532</v>
      </c>
      <c r="K757" s="2" t="s">
        <v>533</v>
      </c>
      <c r="L757" s="2">
        <v>5</v>
      </c>
      <c r="M757" s="2" t="s">
        <v>539</v>
      </c>
      <c r="O757" s="2" t="s">
        <v>524</v>
      </c>
      <c r="Y757" s="2" t="s">
        <v>600</v>
      </c>
    </row>
    <row r="758" spans="1:25" x14ac:dyDescent="0.25">
      <c r="A758" s="2" t="s">
        <v>311</v>
      </c>
      <c r="B758" s="2" t="s">
        <v>540</v>
      </c>
      <c r="C758" s="2" t="s">
        <v>407</v>
      </c>
      <c r="D758" s="2" t="s">
        <v>412</v>
      </c>
      <c r="E758" s="2" t="s">
        <v>413</v>
      </c>
      <c r="F758" s="2" t="s">
        <v>40</v>
      </c>
      <c r="J758" s="2" t="s">
        <v>541</v>
      </c>
      <c r="K758" s="2" t="s">
        <v>542</v>
      </c>
      <c r="L758" s="2">
        <v>1</v>
      </c>
      <c r="M758" s="2" t="s">
        <v>543</v>
      </c>
      <c r="O758" s="2" t="s">
        <v>524</v>
      </c>
      <c r="Y758" s="2" t="s">
        <v>600</v>
      </c>
    </row>
    <row r="759" spans="1:25" x14ac:dyDescent="0.25">
      <c r="A759" s="2" t="s">
        <v>311</v>
      </c>
      <c r="B759" s="2" t="s">
        <v>540</v>
      </c>
      <c r="C759" s="2" t="s">
        <v>407</v>
      </c>
      <c r="D759" s="2" t="s">
        <v>412</v>
      </c>
      <c r="E759" s="2" t="s">
        <v>413</v>
      </c>
      <c r="F759" s="2" t="s">
        <v>40</v>
      </c>
      <c r="J759" s="2" t="s">
        <v>541</v>
      </c>
      <c r="K759" s="2" t="s">
        <v>542</v>
      </c>
      <c r="L759" s="2">
        <v>2</v>
      </c>
      <c r="M759" s="2" t="s">
        <v>544</v>
      </c>
      <c r="O759" s="2" t="s">
        <v>524</v>
      </c>
      <c r="Y759" s="2" t="s">
        <v>600</v>
      </c>
    </row>
    <row r="760" spans="1:25" x14ac:dyDescent="0.25">
      <c r="A760" s="2" t="s">
        <v>311</v>
      </c>
      <c r="B760" s="2" t="s">
        <v>540</v>
      </c>
      <c r="C760" s="2" t="s">
        <v>407</v>
      </c>
      <c r="D760" s="2" t="s">
        <v>412</v>
      </c>
      <c r="E760" s="2" t="s">
        <v>413</v>
      </c>
      <c r="F760" s="2" t="s">
        <v>40</v>
      </c>
      <c r="J760" s="2" t="s">
        <v>541</v>
      </c>
      <c r="K760" s="2" t="s">
        <v>542</v>
      </c>
      <c r="L760" s="2">
        <v>3</v>
      </c>
      <c r="M760" s="2" t="s">
        <v>545</v>
      </c>
      <c r="O760" s="2" t="s">
        <v>524</v>
      </c>
      <c r="Y760" s="2" t="s">
        <v>600</v>
      </c>
    </row>
    <row r="761" spans="1:25" x14ac:dyDescent="0.25">
      <c r="A761" s="2" t="s">
        <v>311</v>
      </c>
      <c r="B761" s="2" t="s">
        <v>540</v>
      </c>
      <c r="C761" s="2" t="s">
        <v>407</v>
      </c>
      <c r="D761" s="2" t="s">
        <v>412</v>
      </c>
      <c r="E761" s="2" t="s">
        <v>413</v>
      </c>
      <c r="F761" s="2" t="s">
        <v>40</v>
      </c>
      <c r="J761" s="2" t="s">
        <v>541</v>
      </c>
      <c r="K761" s="2" t="s">
        <v>542</v>
      </c>
      <c r="L761" s="2">
        <v>4</v>
      </c>
      <c r="M761" s="2" t="s">
        <v>546</v>
      </c>
      <c r="O761" s="2" t="s">
        <v>524</v>
      </c>
      <c r="Y761" s="2" t="s">
        <v>600</v>
      </c>
    </row>
    <row r="762" spans="1:25" x14ac:dyDescent="0.25">
      <c r="A762" s="2" t="s">
        <v>311</v>
      </c>
      <c r="B762" s="2" t="s">
        <v>540</v>
      </c>
      <c r="C762" s="2" t="s">
        <v>407</v>
      </c>
      <c r="D762" s="2" t="s">
        <v>412</v>
      </c>
      <c r="E762" s="2" t="s">
        <v>413</v>
      </c>
      <c r="F762" s="2" t="s">
        <v>40</v>
      </c>
      <c r="J762" s="2" t="s">
        <v>541</v>
      </c>
      <c r="K762" s="2" t="s">
        <v>542</v>
      </c>
      <c r="L762" s="2">
        <v>5</v>
      </c>
      <c r="M762" s="2" t="s">
        <v>547</v>
      </c>
      <c r="O762" s="2" t="s">
        <v>524</v>
      </c>
      <c r="Y762" s="2" t="s">
        <v>600</v>
      </c>
    </row>
    <row r="763" spans="1:25" x14ac:dyDescent="0.25">
      <c r="A763" s="2" t="s">
        <v>311</v>
      </c>
      <c r="B763" s="2" t="s">
        <v>540</v>
      </c>
      <c r="C763" s="2" t="s">
        <v>407</v>
      </c>
      <c r="D763" s="2" t="s">
        <v>412</v>
      </c>
      <c r="E763" s="2" t="s">
        <v>413</v>
      </c>
      <c r="F763" s="2" t="s">
        <v>40</v>
      </c>
      <c r="J763" s="2" t="s">
        <v>541</v>
      </c>
      <c r="K763" s="2" t="s">
        <v>542</v>
      </c>
      <c r="L763" s="2">
        <v>6</v>
      </c>
      <c r="M763" s="2" t="s">
        <v>548</v>
      </c>
      <c r="O763" s="2" t="s">
        <v>524</v>
      </c>
      <c r="Y763" s="2" t="s">
        <v>600</v>
      </c>
    </row>
    <row r="764" spans="1:25" x14ac:dyDescent="0.25">
      <c r="A764" s="2" t="s">
        <v>311</v>
      </c>
      <c r="B764" s="2" t="s">
        <v>540</v>
      </c>
      <c r="C764" s="2" t="s">
        <v>407</v>
      </c>
      <c r="D764" s="2" t="s">
        <v>412</v>
      </c>
      <c r="E764" s="2" t="s">
        <v>413</v>
      </c>
      <c r="F764" s="2" t="s">
        <v>40</v>
      </c>
      <c r="J764" s="2" t="s">
        <v>541</v>
      </c>
      <c r="K764" s="2" t="s">
        <v>542</v>
      </c>
      <c r="L764" s="2">
        <v>7</v>
      </c>
      <c r="M764" s="2" t="s">
        <v>549</v>
      </c>
      <c r="O764" s="2" t="s">
        <v>524</v>
      </c>
      <c r="Y764" s="2" t="s">
        <v>600</v>
      </c>
    </row>
    <row r="765" spans="1:25" x14ac:dyDescent="0.25">
      <c r="A765" s="2" t="s">
        <v>311</v>
      </c>
      <c r="B765" s="2" t="s">
        <v>540</v>
      </c>
      <c r="C765" s="2" t="s">
        <v>407</v>
      </c>
      <c r="D765" s="2" t="s">
        <v>412</v>
      </c>
      <c r="E765" s="2" t="s">
        <v>413</v>
      </c>
      <c r="F765" s="2" t="s">
        <v>40</v>
      </c>
      <c r="J765" s="2" t="s">
        <v>541</v>
      </c>
      <c r="K765" s="2" t="s">
        <v>542</v>
      </c>
      <c r="L765" s="2">
        <v>8</v>
      </c>
      <c r="M765" s="2" t="s">
        <v>550</v>
      </c>
      <c r="O765" s="2" t="s">
        <v>524</v>
      </c>
      <c r="Y765" s="2" t="s">
        <v>600</v>
      </c>
    </row>
    <row r="766" spans="1:25" x14ac:dyDescent="0.25">
      <c r="A766" s="2" t="s">
        <v>311</v>
      </c>
      <c r="B766" s="2" t="s">
        <v>540</v>
      </c>
      <c r="C766" s="2" t="s">
        <v>407</v>
      </c>
      <c r="D766" s="2" t="s">
        <v>412</v>
      </c>
      <c r="E766" s="2" t="s">
        <v>413</v>
      </c>
      <c r="F766" s="2" t="s">
        <v>40</v>
      </c>
      <c r="J766" s="2" t="s">
        <v>541</v>
      </c>
      <c r="K766" s="2" t="s">
        <v>542</v>
      </c>
      <c r="L766" s="2">
        <v>9</v>
      </c>
      <c r="M766" s="2" t="s">
        <v>551</v>
      </c>
      <c r="O766" s="2" t="s">
        <v>524</v>
      </c>
      <c r="Y766" s="2" t="s">
        <v>600</v>
      </c>
    </row>
    <row r="767" spans="1:25" x14ac:dyDescent="0.25">
      <c r="A767" s="2" t="s">
        <v>311</v>
      </c>
      <c r="B767" s="2" t="s">
        <v>540</v>
      </c>
      <c r="C767" s="2" t="s">
        <v>407</v>
      </c>
      <c r="D767" s="2" t="s">
        <v>412</v>
      </c>
      <c r="E767" s="2" t="s">
        <v>413</v>
      </c>
      <c r="F767" s="2" t="s">
        <v>40</v>
      </c>
      <c r="J767" s="2" t="s">
        <v>541</v>
      </c>
      <c r="K767" s="2" t="s">
        <v>542</v>
      </c>
      <c r="L767" s="2">
        <v>10</v>
      </c>
      <c r="M767" s="2" t="s">
        <v>552</v>
      </c>
      <c r="O767" s="2" t="s">
        <v>524</v>
      </c>
      <c r="Y767" s="2" t="s">
        <v>600</v>
      </c>
    </row>
    <row r="768" spans="1:25" x14ac:dyDescent="0.25">
      <c r="A768" s="2" t="s">
        <v>311</v>
      </c>
      <c r="B768" s="2" t="s">
        <v>540</v>
      </c>
      <c r="C768" s="2" t="s">
        <v>407</v>
      </c>
      <c r="D768" s="2" t="s">
        <v>412</v>
      </c>
      <c r="E768" s="2" t="s">
        <v>413</v>
      </c>
      <c r="F768" s="2" t="s">
        <v>40</v>
      </c>
      <c r="J768" s="2" t="s">
        <v>541</v>
      </c>
      <c r="K768" s="2" t="s">
        <v>542</v>
      </c>
      <c r="L768" s="2">
        <v>11</v>
      </c>
      <c r="M768" s="2" t="s">
        <v>553</v>
      </c>
      <c r="O768" s="2" t="s">
        <v>524</v>
      </c>
      <c r="Y768" s="2" t="s">
        <v>600</v>
      </c>
    </row>
    <row r="769" spans="1:34" x14ac:dyDescent="0.25">
      <c r="A769" s="2" t="s">
        <v>311</v>
      </c>
      <c r="B769" s="2" t="s">
        <v>540</v>
      </c>
      <c r="C769" s="2" t="s">
        <v>407</v>
      </c>
      <c r="D769" s="2" t="s">
        <v>412</v>
      </c>
      <c r="E769" s="2" t="s">
        <v>413</v>
      </c>
      <c r="F769" s="2" t="s">
        <v>40</v>
      </c>
      <c r="J769" s="2" t="s">
        <v>541</v>
      </c>
      <c r="K769" s="2" t="s">
        <v>542</v>
      </c>
      <c r="L769" s="2">
        <v>12</v>
      </c>
      <c r="M769" s="2" t="s">
        <v>554</v>
      </c>
      <c r="O769" s="2" t="s">
        <v>524</v>
      </c>
      <c r="Y769" s="2" t="s">
        <v>600</v>
      </c>
    </row>
    <row r="770" spans="1:34" x14ac:dyDescent="0.25">
      <c r="A770" s="2" t="s">
        <v>311</v>
      </c>
      <c r="B770" s="2" t="s">
        <v>555</v>
      </c>
      <c r="C770" s="2" t="s">
        <v>407</v>
      </c>
      <c r="D770" s="2" t="s">
        <v>412</v>
      </c>
      <c r="E770" s="2" t="s">
        <v>413</v>
      </c>
      <c r="F770" s="2" t="s">
        <v>40</v>
      </c>
      <c r="J770" s="2" t="s">
        <v>556</v>
      </c>
      <c r="O770" s="2" t="s">
        <v>524</v>
      </c>
      <c r="Y770" s="2" t="s">
        <v>600</v>
      </c>
      <c r="AB770" s="2">
        <v>2</v>
      </c>
    </row>
    <row r="771" spans="1:34" x14ac:dyDescent="0.25">
      <c r="A771" s="2" t="s">
        <v>311</v>
      </c>
      <c r="B771" s="2" t="s">
        <v>557</v>
      </c>
      <c r="C771" s="2" t="s">
        <v>407</v>
      </c>
      <c r="D771" s="2" t="s">
        <v>412</v>
      </c>
      <c r="E771" s="2" t="s">
        <v>413</v>
      </c>
      <c r="F771" s="2" t="s">
        <v>40</v>
      </c>
      <c r="J771" s="2" t="s">
        <v>558</v>
      </c>
      <c r="O771" s="2" t="s">
        <v>524</v>
      </c>
      <c r="Y771" s="2" t="s">
        <v>600</v>
      </c>
      <c r="AC771" s="2">
        <f>COUNTIFS($B:$B,"BLOCK_LOAD_Q",$A:$A,$A771,$C:$C,$C771,$E:$E,$E771,$F:$F,$F771,$N:$N, "&lt;&gt;")</f>
        <v>0</v>
      </c>
      <c r="AD771" s="2">
        <f>COUNTIFS($B:$B,"BLOCK_TRUST_Q",$A:$A,$A771,$C:$C,$C771,$E:$E,$E771,$F:$F,$F771,$N:$N, "&lt;&gt;")</f>
        <v>0</v>
      </c>
      <c r="AE771" s="2" t="str">
        <f>IFERROR(AVERAGEIFS($P:$P,$B:$B,"BLOCK_LOAD_Q",$A:$A,$A771,$C:$C,$C771,$E:$E,$E771,$F:$F,$F771,$P:$P,"&gt;0"),"")</f>
        <v/>
      </c>
      <c r="AF771" s="2" t="str">
        <f>IFERROR(AVERAGEIFS($P:$P,$B:$B,"BLOCK_TRUST_Q",$A:$A,$A771,$C:$C,$C771,$E:$E,$E771,$F:$F,$F771,$P:$P,"&gt;0"),"")</f>
        <v/>
      </c>
      <c r="AG771" s="2">
        <f>5-AC771</f>
        <v>5</v>
      </c>
      <c r="AH771" s="2">
        <f>12-AD771</f>
        <v>12</v>
      </c>
    </row>
    <row r="772" spans="1:34" x14ac:dyDescent="0.25">
      <c r="A772" s="2" t="s">
        <v>311</v>
      </c>
      <c r="B772" s="2" t="s">
        <v>402</v>
      </c>
      <c r="C772" s="2" t="s">
        <v>407</v>
      </c>
      <c r="D772" s="2" t="s">
        <v>412</v>
      </c>
      <c r="E772" s="2" t="s">
        <v>414</v>
      </c>
      <c r="F772" s="2" t="s">
        <v>39</v>
      </c>
      <c r="G772" s="2" t="s">
        <v>415</v>
      </c>
      <c r="H772" s="2" t="s">
        <v>350</v>
      </c>
      <c r="S772" s="2" t="s">
        <v>57</v>
      </c>
      <c r="U772" s="2" t="s">
        <v>58</v>
      </c>
      <c r="W772" s="2" t="s">
        <v>59</v>
      </c>
    </row>
    <row r="773" spans="1:34" x14ac:dyDescent="0.25">
      <c r="A773" s="2" t="s">
        <v>311</v>
      </c>
      <c r="B773" s="2" t="s">
        <v>402</v>
      </c>
      <c r="C773" s="2" t="s">
        <v>407</v>
      </c>
      <c r="D773" s="2" t="s">
        <v>412</v>
      </c>
      <c r="E773" s="2" t="s">
        <v>414</v>
      </c>
      <c r="F773" s="2" t="s">
        <v>39</v>
      </c>
      <c r="G773" s="2" t="s">
        <v>416</v>
      </c>
      <c r="H773" s="2" t="s">
        <v>571</v>
      </c>
      <c r="S773" s="2" t="s">
        <v>59</v>
      </c>
      <c r="U773" s="2" t="s">
        <v>57</v>
      </c>
      <c r="W773" s="2" t="s">
        <v>60</v>
      </c>
    </row>
    <row r="774" spans="1:34" x14ac:dyDescent="0.25">
      <c r="A774" s="2" t="s">
        <v>311</v>
      </c>
      <c r="B774" s="2" t="s">
        <v>402</v>
      </c>
      <c r="C774" s="2" t="s">
        <v>407</v>
      </c>
      <c r="D774" s="2" t="s">
        <v>412</v>
      </c>
      <c r="E774" s="2" t="s">
        <v>414</v>
      </c>
      <c r="F774" s="2" t="s">
        <v>39</v>
      </c>
      <c r="G774" s="2" t="s">
        <v>417</v>
      </c>
      <c r="H774" s="2" t="s">
        <v>572</v>
      </c>
      <c r="S774" s="2" t="s">
        <v>57</v>
      </c>
      <c r="U774" s="2" t="s">
        <v>59</v>
      </c>
      <c r="W774" s="2" t="s">
        <v>58</v>
      </c>
    </row>
    <row r="775" spans="1:34" x14ac:dyDescent="0.25">
      <c r="A775" s="2" t="s">
        <v>311</v>
      </c>
      <c r="B775" s="2" t="s">
        <v>402</v>
      </c>
      <c r="C775" s="2" t="s">
        <v>407</v>
      </c>
      <c r="D775" s="2" t="s">
        <v>412</v>
      </c>
      <c r="E775" s="2" t="s">
        <v>414</v>
      </c>
      <c r="F775" s="2" t="s">
        <v>39</v>
      </c>
      <c r="G775" s="2" t="s">
        <v>418</v>
      </c>
      <c r="H775" s="2" t="s">
        <v>573</v>
      </c>
      <c r="S775" s="2" t="s">
        <v>58</v>
      </c>
      <c r="U775" s="2" t="s">
        <v>58</v>
      </c>
      <c r="W775" s="2" t="s">
        <v>58</v>
      </c>
    </row>
    <row r="776" spans="1:34" x14ac:dyDescent="0.25">
      <c r="A776" s="2" t="s">
        <v>311</v>
      </c>
      <c r="B776" s="2" t="s">
        <v>402</v>
      </c>
      <c r="C776" s="2" t="s">
        <v>407</v>
      </c>
      <c r="D776" s="2" t="s">
        <v>412</v>
      </c>
      <c r="E776" s="2" t="s">
        <v>414</v>
      </c>
      <c r="F776" s="2" t="s">
        <v>39</v>
      </c>
      <c r="G776" s="2" t="s">
        <v>419</v>
      </c>
      <c r="H776" s="2" t="s">
        <v>365</v>
      </c>
      <c r="S776" s="2" t="s">
        <v>59</v>
      </c>
      <c r="U776" s="2" t="s">
        <v>59</v>
      </c>
      <c r="W776" s="2" t="s">
        <v>60</v>
      </c>
    </row>
    <row r="777" spans="1:34" x14ac:dyDescent="0.25">
      <c r="A777" s="2" t="s">
        <v>311</v>
      </c>
      <c r="B777" s="2" t="s">
        <v>531</v>
      </c>
      <c r="C777" s="2" t="s">
        <v>407</v>
      </c>
      <c r="D777" s="2" t="s">
        <v>412</v>
      </c>
      <c r="E777" s="2" t="s">
        <v>414</v>
      </c>
      <c r="F777" s="2" t="s">
        <v>39</v>
      </c>
      <c r="J777" s="2" t="s">
        <v>532</v>
      </c>
      <c r="K777" s="2" t="s">
        <v>533</v>
      </c>
      <c r="L777" s="2">
        <v>1</v>
      </c>
      <c r="M777" s="2" t="s">
        <v>534</v>
      </c>
      <c r="O777" s="2" t="s">
        <v>524</v>
      </c>
      <c r="Y777" s="2" t="s">
        <v>601</v>
      </c>
    </row>
    <row r="778" spans="1:34" x14ac:dyDescent="0.25">
      <c r="A778" s="2" t="s">
        <v>311</v>
      </c>
      <c r="B778" s="2" t="s">
        <v>531</v>
      </c>
      <c r="C778" s="2" t="s">
        <v>407</v>
      </c>
      <c r="D778" s="2" t="s">
        <v>412</v>
      </c>
      <c r="E778" s="2" t="s">
        <v>414</v>
      </c>
      <c r="F778" s="2" t="s">
        <v>39</v>
      </c>
      <c r="J778" s="2" t="s">
        <v>532</v>
      </c>
      <c r="K778" s="2" t="s">
        <v>533</v>
      </c>
      <c r="L778" s="2">
        <v>2</v>
      </c>
      <c r="M778" s="2" t="s">
        <v>536</v>
      </c>
      <c r="O778" s="2" t="s">
        <v>524</v>
      </c>
      <c r="Y778" s="2" t="s">
        <v>601</v>
      </c>
    </row>
    <row r="779" spans="1:34" x14ac:dyDescent="0.25">
      <c r="A779" s="2" t="s">
        <v>311</v>
      </c>
      <c r="B779" s="2" t="s">
        <v>531</v>
      </c>
      <c r="C779" s="2" t="s">
        <v>407</v>
      </c>
      <c r="D779" s="2" t="s">
        <v>412</v>
      </c>
      <c r="E779" s="2" t="s">
        <v>414</v>
      </c>
      <c r="F779" s="2" t="s">
        <v>39</v>
      </c>
      <c r="J779" s="2" t="s">
        <v>532</v>
      </c>
      <c r="K779" s="2" t="s">
        <v>533</v>
      </c>
      <c r="L779" s="2">
        <v>3</v>
      </c>
      <c r="M779" s="2" t="s">
        <v>537</v>
      </c>
      <c r="O779" s="2" t="s">
        <v>524</v>
      </c>
      <c r="Y779" s="2" t="s">
        <v>601</v>
      </c>
    </row>
    <row r="780" spans="1:34" x14ac:dyDescent="0.25">
      <c r="A780" s="2" t="s">
        <v>311</v>
      </c>
      <c r="B780" s="2" t="s">
        <v>531</v>
      </c>
      <c r="C780" s="2" t="s">
        <v>407</v>
      </c>
      <c r="D780" s="2" t="s">
        <v>412</v>
      </c>
      <c r="E780" s="2" t="s">
        <v>414</v>
      </c>
      <c r="F780" s="2" t="s">
        <v>39</v>
      </c>
      <c r="J780" s="2" t="s">
        <v>532</v>
      </c>
      <c r="K780" s="2" t="s">
        <v>533</v>
      </c>
      <c r="L780" s="2">
        <v>4</v>
      </c>
      <c r="M780" s="2" t="s">
        <v>538</v>
      </c>
      <c r="O780" s="2" t="s">
        <v>524</v>
      </c>
      <c r="Y780" s="2" t="s">
        <v>601</v>
      </c>
    </row>
    <row r="781" spans="1:34" x14ac:dyDescent="0.25">
      <c r="A781" s="2" t="s">
        <v>311</v>
      </c>
      <c r="B781" s="2" t="s">
        <v>531</v>
      </c>
      <c r="C781" s="2" t="s">
        <v>407</v>
      </c>
      <c r="D781" s="2" t="s">
        <v>412</v>
      </c>
      <c r="E781" s="2" t="s">
        <v>414</v>
      </c>
      <c r="F781" s="2" t="s">
        <v>39</v>
      </c>
      <c r="J781" s="2" t="s">
        <v>532</v>
      </c>
      <c r="K781" s="2" t="s">
        <v>533</v>
      </c>
      <c r="L781" s="2">
        <v>5</v>
      </c>
      <c r="M781" s="2" t="s">
        <v>539</v>
      </c>
      <c r="O781" s="2" t="s">
        <v>524</v>
      </c>
      <c r="Y781" s="2" t="s">
        <v>601</v>
      </c>
    </row>
    <row r="782" spans="1:34" x14ac:dyDescent="0.25">
      <c r="A782" s="2" t="s">
        <v>311</v>
      </c>
      <c r="B782" s="2" t="s">
        <v>540</v>
      </c>
      <c r="C782" s="2" t="s">
        <v>407</v>
      </c>
      <c r="D782" s="2" t="s">
        <v>412</v>
      </c>
      <c r="E782" s="2" t="s">
        <v>414</v>
      </c>
      <c r="F782" s="2" t="s">
        <v>39</v>
      </c>
      <c r="J782" s="2" t="s">
        <v>541</v>
      </c>
      <c r="K782" s="2" t="s">
        <v>542</v>
      </c>
      <c r="L782" s="2">
        <v>1</v>
      </c>
      <c r="M782" s="2" t="s">
        <v>543</v>
      </c>
      <c r="O782" s="2" t="s">
        <v>524</v>
      </c>
      <c r="Y782" s="2" t="s">
        <v>601</v>
      </c>
    </row>
    <row r="783" spans="1:34" x14ac:dyDescent="0.25">
      <c r="A783" s="2" t="s">
        <v>311</v>
      </c>
      <c r="B783" s="2" t="s">
        <v>540</v>
      </c>
      <c r="C783" s="2" t="s">
        <v>407</v>
      </c>
      <c r="D783" s="2" t="s">
        <v>412</v>
      </c>
      <c r="E783" s="2" t="s">
        <v>414</v>
      </c>
      <c r="F783" s="2" t="s">
        <v>39</v>
      </c>
      <c r="J783" s="2" t="s">
        <v>541</v>
      </c>
      <c r="K783" s="2" t="s">
        <v>542</v>
      </c>
      <c r="L783" s="2">
        <v>2</v>
      </c>
      <c r="M783" s="2" t="s">
        <v>544</v>
      </c>
      <c r="O783" s="2" t="s">
        <v>524</v>
      </c>
      <c r="Y783" s="2" t="s">
        <v>601</v>
      </c>
    </row>
    <row r="784" spans="1:34" x14ac:dyDescent="0.25">
      <c r="A784" s="2" t="s">
        <v>311</v>
      </c>
      <c r="B784" s="2" t="s">
        <v>540</v>
      </c>
      <c r="C784" s="2" t="s">
        <v>407</v>
      </c>
      <c r="D784" s="2" t="s">
        <v>412</v>
      </c>
      <c r="E784" s="2" t="s">
        <v>414</v>
      </c>
      <c r="F784" s="2" t="s">
        <v>39</v>
      </c>
      <c r="J784" s="2" t="s">
        <v>541</v>
      </c>
      <c r="K784" s="2" t="s">
        <v>542</v>
      </c>
      <c r="L784" s="2">
        <v>3</v>
      </c>
      <c r="M784" s="2" t="s">
        <v>545</v>
      </c>
      <c r="O784" s="2" t="s">
        <v>524</v>
      </c>
      <c r="Y784" s="2" t="s">
        <v>601</v>
      </c>
    </row>
    <row r="785" spans="1:34" x14ac:dyDescent="0.25">
      <c r="A785" s="2" t="s">
        <v>311</v>
      </c>
      <c r="B785" s="2" t="s">
        <v>540</v>
      </c>
      <c r="C785" s="2" t="s">
        <v>407</v>
      </c>
      <c r="D785" s="2" t="s">
        <v>412</v>
      </c>
      <c r="E785" s="2" t="s">
        <v>414</v>
      </c>
      <c r="F785" s="2" t="s">
        <v>39</v>
      </c>
      <c r="J785" s="2" t="s">
        <v>541</v>
      </c>
      <c r="K785" s="2" t="s">
        <v>542</v>
      </c>
      <c r="L785" s="2">
        <v>4</v>
      </c>
      <c r="M785" s="2" t="s">
        <v>546</v>
      </c>
      <c r="O785" s="2" t="s">
        <v>524</v>
      </c>
      <c r="Y785" s="2" t="s">
        <v>601</v>
      </c>
    </row>
    <row r="786" spans="1:34" x14ac:dyDescent="0.25">
      <c r="A786" s="2" t="s">
        <v>311</v>
      </c>
      <c r="B786" s="2" t="s">
        <v>540</v>
      </c>
      <c r="C786" s="2" t="s">
        <v>407</v>
      </c>
      <c r="D786" s="2" t="s">
        <v>412</v>
      </c>
      <c r="E786" s="2" t="s">
        <v>414</v>
      </c>
      <c r="F786" s="2" t="s">
        <v>39</v>
      </c>
      <c r="J786" s="2" t="s">
        <v>541</v>
      </c>
      <c r="K786" s="2" t="s">
        <v>542</v>
      </c>
      <c r="L786" s="2">
        <v>5</v>
      </c>
      <c r="M786" s="2" t="s">
        <v>547</v>
      </c>
      <c r="O786" s="2" t="s">
        <v>524</v>
      </c>
      <c r="Y786" s="2" t="s">
        <v>601</v>
      </c>
    </row>
    <row r="787" spans="1:34" x14ac:dyDescent="0.25">
      <c r="A787" s="2" t="s">
        <v>311</v>
      </c>
      <c r="B787" s="2" t="s">
        <v>540</v>
      </c>
      <c r="C787" s="2" t="s">
        <v>407</v>
      </c>
      <c r="D787" s="2" t="s">
        <v>412</v>
      </c>
      <c r="E787" s="2" t="s">
        <v>414</v>
      </c>
      <c r="F787" s="2" t="s">
        <v>39</v>
      </c>
      <c r="J787" s="2" t="s">
        <v>541</v>
      </c>
      <c r="K787" s="2" t="s">
        <v>542</v>
      </c>
      <c r="L787" s="2">
        <v>6</v>
      </c>
      <c r="M787" s="2" t="s">
        <v>548</v>
      </c>
      <c r="O787" s="2" t="s">
        <v>524</v>
      </c>
      <c r="Y787" s="2" t="s">
        <v>601</v>
      </c>
    </row>
    <row r="788" spans="1:34" x14ac:dyDescent="0.25">
      <c r="A788" s="2" t="s">
        <v>311</v>
      </c>
      <c r="B788" s="2" t="s">
        <v>540</v>
      </c>
      <c r="C788" s="2" t="s">
        <v>407</v>
      </c>
      <c r="D788" s="2" t="s">
        <v>412</v>
      </c>
      <c r="E788" s="2" t="s">
        <v>414</v>
      </c>
      <c r="F788" s="2" t="s">
        <v>39</v>
      </c>
      <c r="J788" s="2" t="s">
        <v>541</v>
      </c>
      <c r="K788" s="2" t="s">
        <v>542</v>
      </c>
      <c r="L788" s="2">
        <v>7</v>
      </c>
      <c r="M788" s="2" t="s">
        <v>549</v>
      </c>
      <c r="O788" s="2" t="s">
        <v>524</v>
      </c>
      <c r="Y788" s="2" t="s">
        <v>601</v>
      </c>
    </row>
    <row r="789" spans="1:34" x14ac:dyDescent="0.25">
      <c r="A789" s="2" t="s">
        <v>311</v>
      </c>
      <c r="B789" s="2" t="s">
        <v>540</v>
      </c>
      <c r="C789" s="2" t="s">
        <v>407</v>
      </c>
      <c r="D789" s="2" t="s">
        <v>412</v>
      </c>
      <c r="E789" s="2" t="s">
        <v>414</v>
      </c>
      <c r="F789" s="2" t="s">
        <v>39</v>
      </c>
      <c r="J789" s="2" t="s">
        <v>541</v>
      </c>
      <c r="K789" s="2" t="s">
        <v>542</v>
      </c>
      <c r="L789" s="2">
        <v>8</v>
      </c>
      <c r="M789" s="2" t="s">
        <v>550</v>
      </c>
      <c r="O789" s="2" t="s">
        <v>524</v>
      </c>
      <c r="Y789" s="2" t="s">
        <v>601</v>
      </c>
    </row>
    <row r="790" spans="1:34" x14ac:dyDescent="0.25">
      <c r="A790" s="2" t="s">
        <v>311</v>
      </c>
      <c r="B790" s="2" t="s">
        <v>540</v>
      </c>
      <c r="C790" s="2" t="s">
        <v>407</v>
      </c>
      <c r="D790" s="2" t="s">
        <v>412</v>
      </c>
      <c r="E790" s="2" t="s">
        <v>414</v>
      </c>
      <c r="F790" s="2" t="s">
        <v>39</v>
      </c>
      <c r="J790" s="2" t="s">
        <v>541</v>
      </c>
      <c r="K790" s="2" t="s">
        <v>542</v>
      </c>
      <c r="L790" s="2">
        <v>9</v>
      </c>
      <c r="M790" s="2" t="s">
        <v>551</v>
      </c>
      <c r="O790" s="2" t="s">
        <v>524</v>
      </c>
      <c r="Y790" s="2" t="s">
        <v>601</v>
      </c>
    </row>
    <row r="791" spans="1:34" x14ac:dyDescent="0.25">
      <c r="A791" s="2" t="s">
        <v>311</v>
      </c>
      <c r="B791" s="2" t="s">
        <v>540</v>
      </c>
      <c r="C791" s="2" t="s">
        <v>407</v>
      </c>
      <c r="D791" s="2" t="s">
        <v>412</v>
      </c>
      <c r="E791" s="2" t="s">
        <v>414</v>
      </c>
      <c r="F791" s="2" t="s">
        <v>39</v>
      </c>
      <c r="J791" s="2" t="s">
        <v>541</v>
      </c>
      <c r="K791" s="2" t="s">
        <v>542</v>
      </c>
      <c r="L791" s="2">
        <v>10</v>
      </c>
      <c r="M791" s="2" t="s">
        <v>552</v>
      </c>
      <c r="O791" s="2" t="s">
        <v>524</v>
      </c>
      <c r="Y791" s="2" t="s">
        <v>601</v>
      </c>
    </row>
    <row r="792" spans="1:34" x14ac:dyDescent="0.25">
      <c r="A792" s="2" t="s">
        <v>311</v>
      </c>
      <c r="B792" s="2" t="s">
        <v>540</v>
      </c>
      <c r="C792" s="2" t="s">
        <v>407</v>
      </c>
      <c r="D792" s="2" t="s">
        <v>412</v>
      </c>
      <c r="E792" s="2" t="s">
        <v>414</v>
      </c>
      <c r="F792" s="2" t="s">
        <v>39</v>
      </c>
      <c r="J792" s="2" t="s">
        <v>541</v>
      </c>
      <c r="K792" s="2" t="s">
        <v>542</v>
      </c>
      <c r="L792" s="2">
        <v>11</v>
      </c>
      <c r="M792" s="2" t="s">
        <v>553</v>
      </c>
      <c r="O792" s="2" t="s">
        <v>524</v>
      </c>
      <c r="Y792" s="2" t="s">
        <v>601</v>
      </c>
    </row>
    <row r="793" spans="1:34" x14ac:dyDescent="0.25">
      <c r="A793" s="2" t="s">
        <v>311</v>
      </c>
      <c r="B793" s="2" t="s">
        <v>540</v>
      </c>
      <c r="C793" s="2" t="s">
        <v>407</v>
      </c>
      <c r="D793" s="2" t="s">
        <v>412</v>
      </c>
      <c r="E793" s="2" t="s">
        <v>414</v>
      </c>
      <c r="F793" s="2" t="s">
        <v>39</v>
      </c>
      <c r="J793" s="2" t="s">
        <v>541</v>
      </c>
      <c r="K793" s="2" t="s">
        <v>542</v>
      </c>
      <c r="L793" s="2">
        <v>12</v>
      </c>
      <c r="M793" s="2" t="s">
        <v>554</v>
      </c>
      <c r="O793" s="2" t="s">
        <v>524</v>
      </c>
      <c r="Y793" s="2" t="s">
        <v>601</v>
      </c>
    </row>
    <row r="794" spans="1:34" x14ac:dyDescent="0.25">
      <c r="A794" s="2" t="s">
        <v>311</v>
      </c>
      <c r="B794" s="2" t="s">
        <v>555</v>
      </c>
      <c r="C794" s="2" t="s">
        <v>407</v>
      </c>
      <c r="D794" s="2" t="s">
        <v>412</v>
      </c>
      <c r="E794" s="2" t="s">
        <v>414</v>
      </c>
      <c r="F794" s="2" t="s">
        <v>39</v>
      </c>
      <c r="J794" s="2" t="s">
        <v>556</v>
      </c>
      <c r="O794" s="2" t="s">
        <v>524</v>
      </c>
      <c r="Y794" s="2" t="s">
        <v>601</v>
      </c>
      <c r="AB794" s="2">
        <v>1</v>
      </c>
    </row>
    <row r="795" spans="1:34" x14ac:dyDescent="0.25">
      <c r="A795" s="2" t="s">
        <v>311</v>
      </c>
      <c r="B795" s="2" t="s">
        <v>557</v>
      </c>
      <c r="C795" s="2" t="s">
        <v>407</v>
      </c>
      <c r="D795" s="2" t="s">
        <v>412</v>
      </c>
      <c r="E795" s="2" t="s">
        <v>414</v>
      </c>
      <c r="F795" s="2" t="s">
        <v>39</v>
      </c>
      <c r="J795" s="2" t="s">
        <v>558</v>
      </c>
      <c r="O795" s="2" t="s">
        <v>524</v>
      </c>
      <c r="Y795" s="2" t="s">
        <v>601</v>
      </c>
      <c r="AC795" s="2">
        <f>COUNTIFS($B:$B,"BLOCK_LOAD_Q",$A:$A,$A795,$C:$C,$C795,$E:$E,$E795,$F:$F,$F795,$N:$N, "&lt;&gt;")</f>
        <v>0</v>
      </c>
      <c r="AD795" s="2">
        <f>COUNTIFS($B:$B,"BLOCK_TRUST_Q",$A:$A,$A795,$C:$C,$C795,$E:$E,$E795,$F:$F,$F795,$N:$N, "&lt;&gt;")</f>
        <v>0</v>
      </c>
      <c r="AE795" s="2" t="str">
        <f>IFERROR(AVERAGEIFS($P:$P,$B:$B,"BLOCK_LOAD_Q",$A:$A,$A795,$C:$C,$C795,$E:$E,$E795,$F:$F,$F795,$P:$P,"&gt;0"),"")</f>
        <v/>
      </c>
      <c r="AF795" s="2" t="str">
        <f>IFERROR(AVERAGEIFS($P:$P,$B:$B,"BLOCK_TRUST_Q",$A:$A,$A795,$C:$C,$C795,$E:$E,$E795,$F:$F,$F795,$P:$P,"&gt;0"),"")</f>
        <v/>
      </c>
      <c r="AG795" s="2">
        <f>5-AC795</f>
        <v>5</v>
      </c>
      <c r="AH795" s="2">
        <f>12-AD795</f>
        <v>12</v>
      </c>
    </row>
    <row r="796" spans="1:34" x14ac:dyDescent="0.25">
      <c r="A796" s="2" t="s">
        <v>311</v>
      </c>
      <c r="B796" s="2" t="s">
        <v>403</v>
      </c>
      <c r="C796" s="2" t="s">
        <v>407</v>
      </c>
      <c r="D796" s="2" t="s">
        <v>412</v>
      </c>
      <c r="Z796" s="2" t="s">
        <v>435</v>
      </c>
    </row>
    <row r="797" spans="1:34" x14ac:dyDescent="0.25">
      <c r="A797" s="2" t="s">
        <v>311</v>
      </c>
      <c r="B797" s="2" t="s">
        <v>402</v>
      </c>
      <c r="C797" s="2" t="s">
        <v>408</v>
      </c>
      <c r="D797" s="2" t="s">
        <v>410</v>
      </c>
      <c r="E797" s="2" t="s">
        <v>413</v>
      </c>
      <c r="F797" s="2" t="s">
        <v>39</v>
      </c>
      <c r="G797" s="2" t="s">
        <v>415</v>
      </c>
      <c r="H797" s="2" t="s">
        <v>373</v>
      </c>
      <c r="S797" s="2" t="s">
        <v>60</v>
      </c>
      <c r="U797" s="2" t="s">
        <v>60</v>
      </c>
      <c r="W797" s="2" t="s">
        <v>60</v>
      </c>
    </row>
    <row r="798" spans="1:34" x14ac:dyDescent="0.25">
      <c r="A798" s="2" t="s">
        <v>311</v>
      </c>
      <c r="B798" s="2" t="s">
        <v>402</v>
      </c>
      <c r="C798" s="2" t="s">
        <v>408</v>
      </c>
      <c r="D798" s="2" t="s">
        <v>410</v>
      </c>
      <c r="E798" s="2" t="s">
        <v>413</v>
      </c>
      <c r="F798" s="2" t="s">
        <v>39</v>
      </c>
      <c r="G798" s="2" t="s">
        <v>416</v>
      </c>
      <c r="H798" s="2" t="s">
        <v>528</v>
      </c>
      <c r="S798" s="2" t="s">
        <v>60</v>
      </c>
      <c r="U798" s="2" t="s">
        <v>59</v>
      </c>
      <c r="W798" s="2" t="s">
        <v>59</v>
      </c>
    </row>
    <row r="799" spans="1:34" x14ac:dyDescent="0.25">
      <c r="A799" s="2" t="s">
        <v>311</v>
      </c>
      <c r="B799" s="2" t="s">
        <v>402</v>
      </c>
      <c r="C799" s="2" t="s">
        <v>408</v>
      </c>
      <c r="D799" s="2" t="s">
        <v>410</v>
      </c>
      <c r="E799" s="2" t="s">
        <v>413</v>
      </c>
      <c r="F799" s="2" t="s">
        <v>39</v>
      </c>
      <c r="G799" s="2" t="s">
        <v>417</v>
      </c>
      <c r="H799" s="2" t="s">
        <v>529</v>
      </c>
      <c r="S799" s="2" t="s">
        <v>57</v>
      </c>
      <c r="U799" s="2" t="s">
        <v>59</v>
      </c>
      <c r="W799" s="2" t="s">
        <v>60</v>
      </c>
    </row>
    <row r="800" spans="1:34" x14ac:dyDescent="0.25">
      <c r="A800" s="2" t="s">
        <v>311</v>
      </c>
      <c r="B800" s="2" t="s">
        <v>402</v>
      </c>
      <c r="C800" s="2" t="s">
        <v>408</v>
      </c>
      <c r="D800" s="2" t="s">
        <v>410</v>
      </c>
      <c r="E800" s="2" t="s">
        <v>413</v>
      </c>
      <c r="F800" s="2" t="s">
        <v>39</v>
      </c>
      <c r="G800" s="2" t="s">
        <v>418</v>
      </c>
      <c r="H800" s="2" t="s">
        <v>347</v>
      </c>
      <c r="S800" s="2" t="s">
        <v>60</v>
      </c>
      <c r="U800" s="2" t="s">
        <v>57</v>
      </c>
      <c r="W800" s="2" t="s">
        <v>59</v>
      </c>
    </row>
    <row r="801" spans="1:25" x14ac:dyDescent="0.25">
      <c r="A801" s="2" t="s">
        <v>311</v>
      </c>
      <c r="B801" s="2" t="s">
        <v>402</v>
      </c>
      <c r="C801" s="2" t="s">
        <v>408</v>
      </c>
      <c r="D801" s="2" t="s">
        <v>410</v>
      </c>
      <c r="E801" s="2" t="s">
        <v>413</v>
      </c>
      <c r="F801" s="2" t="s">
        <v>39</v>
      </c>
      <c r="G801" s="2" t="s">
        <v>419</v>
      </c>
      <c r="H801" s="2" t="s">
        <v>530</v>
      </c>
      <c r="S801" s="2" t="s">
        <v>57</v>
      </c>
      <c r="U801" s="2" t="s">
        <v>60</v>
      </c>
      <c r="W801" s="2" t="s">
        <v>58</v>
      </c>
    </row>
    <row r="802" spans="1:25" x14ac:dyDescent="0.25">
      <c r="A802" s="2" t="s">
        <v>311</v>
      </c>
      <c r="B802" s="2" t="s">
        <v>531</v>
      </c>
      <c r="C802" s="2" t="s">
        <v>408</v>
      </c>
      <c r="D802" s="2" t="s">
        <v>410</v>
      </c>
      <c r="E802" s="2" t="s">
        <v>413</v>
      </c>
      <c r="F802" s="2" t="s">
        <v>39</v>
      </c>
      <c r="J802" s="2" t="s">
        <v>532</v>
      </c>
      <c r="K802" s="2" t="s">
        <v>533</v>
      </c>
      <c r="L802" s="2">
        <v>1</v>
      </c>
      <c r="M802" s="2" t="s">
        <v>534</v>
      </c>
      <c r="O802" s="2" t="s">
        <v>524</v>
      </c>
      <c r="Y802" s="2" t="s">
        <v>602</v>
      </c>
    </row>
    <row r="803" spans="1:25" x14ac:dyDescent="0.25">
      <c r="A803" s="2" t="s">
        <v>311</v>
      </c>
      <c r="B803" s="2" t="s">
        <v>531</v>
      </c>
      <c r="C803" s="2" t="s">
        <v>408</v>
      </c>
      <c r="D803" s="2" t="s">
        <v>410</v>
      </c>
      <c r="E803" s="2" t="s">
        <v>413</v>
      </c>
      <c r="F803" s="2" t="s">
        <v>39</v>
      </c>
      <c r="J803" s="2" t="s">
        <v>532</v>
      </c>
      <c r="K803" s="2" t="s">
        <v>533</v>
      </c>
      <c r="L803" s="2">
        <v>2</v>
      </c>
      <c r="M803" s="2" t="s">
        <v>536</v>
      </c>
      <c r="O803" s="2" t="s">
        <v>524</v>
      </c>
      <c r="Y803" s="2" t="s">
        <v>602</v>
      </c>
    </row>
    <row r="804" spans="1:25" x14ac:dyDescent="0.25">
      <c r="A804" s="2" t="s">
        <v>311</v>
      </c>
      <c r="B804" s="2" t="s">
        <v>531</v>
      </c>
      <c r="C804" s="2" t="s">
        <v>408</v>
      </c>
      <c r="D804" s="2" t="s">
        <v>410</v>
      </c>
      <c r="E804" s="2" t="s">
        <v>413</v>
      </c>
      <c r="F804" s="2" t="s">
        <v>39</v>
      </c>
      <c r="J804" s="2" t="s">
        <v>532</v>
      </c>
      <c r="K804" s="2" t="s">
        <v>533</v>
      </c>
      <c r="L804" s="2">
        <v>3</v>
      </c>
      <c r="M804" s="2" t="s">
        <v>537</v>
      </c>
      <c r="O804" s="2" t="s">
        <v>524</v>
      </c>
      <c r="Y804" s="2" t="s">
        <v>602</v>
      </c>
    </row>
    <row r="805" spans="1:25" x14ac:dyDescent="0.25">
      <c r="A805" s="2" t="s">
        <v>311</v>
      </c>
      <c r="B805" s="2" t="s">
        <v>531</v>
      </c>
      <c r="C805" s="2" t="s">
        <v>408</v>
      </c>
      <c r="D805" s="2" t="s">
        <v>410</v>
      </c>
      <c r="E805" s="2" t="s">
        <v>413</v>
      </c>
      <c r="F805" s="2" t="s">
        <v>39</v>
      </c>
      <c r="J805" s="2" t="s">
        <v>532</v>
      </c>
      <c r="K805" s="2" t="s">
        <v>533</v>
      </c>
      <c r="L805" s="2">
        <v>4</v>
      </c>
      <c r="M805" s="2" t="s">
        <v>538</v>
      </c>
      <c r="O805" s="2" t="s">
        <v>524</v>
      </c>
      <c r="Y805" s="2" t="s">
        <v>602</v>
      </c>
    </row>
    <row r="806" spans="1:25" x14ac:dyDescent="0.25">
      <c r="A806" s="2" t="s">
        <v>311</v>
      </c>
      <c r="B806" s="2" t="s">
        <v>531</v>
      </c>
      <c r="C806" s="2" t="s">
        <v>408</v>
      </c>
      <c r="D806" s="2" t="s">
        <v>410</v>
      </c>
      <c r="E806" s="2" t="s">
        <v>413</v>
      </c>
      <c r="F806" s="2" t="s">
        <v>39</v>
      </c>
      <c r="J806" s="2" t="s">
        <v>532</v>
      </c>
      <c r="K806" s="2" t="s">
        <v>533</v>
      </c>
      <c r="L806" s="2">
        <v>5</v>
      </c>
      <c r="M806" s="2" t="s">
        <v>539</v>
      </c>
      <c r="O806" s="2" t="s">
        <v>524</v>
      </c>
      <c r="Y806" s="2" t="s">
        <v>602</v>
      </c>
    </row>
    <row r="807" spans="1:25" x14ac:dyDescent="0.25">
      <c r="A807" s="2" t="s">
        <v>311</v>
      </c>
      <c r="B807" s="2" t="s">
        <v>540</v>
      </c>
      <c r="C807" s="2" t="s">
        <v>408</v>
      </c>
      <c r="D807" s="2" t="s">
        <v>410</v>
      </c>
      <c r="E807" s="2" t="s">
        <v>413</v>
      </c>
      <c r="F807" s="2" t="s">
        <v>39</v>
      </c>
      <c r="J807" s="2" t="s">
        <v>541</v>
      </c>
      <c r="K807" s="2" t="s">
        <v>542</v>
      </c>
      <c r="L807" s="2">
        <v>1</v>
      </c>
      <c r="M807" s="2" t="s">
        <v>543</v>
      </c>
      <c r="O807" s="2" t="s">
        <v>524</v>
      </c>
      <c r="Y807" s="2" t="s">
        <v>602</v>
      </c>
    </row>
    <row r="808" spans="1:25" x14ac:dyDescent="0.25">
      <c r="A808" s="2" t="s">
        <v>311</v>
      </c>
      <c r="B808" s="2" t="s">
        <v>540</v>
      </c>
      <c r="C808" s="2" t="s">
        <v>408</v>
      </c>
      <c r="D808" s="2" t="s">
        <v>410</v>
      </c>
      <c r="E808" s="2" t="s">
        <v>413</v>
      </c>
      <c r="F808" s="2" t="s">
        <v>39</v>
      </c>
      <c r="J808" s="2" t="s">
        <v>541</v>
      </c>
      <c r="K808" s="2" t="s">
        <v>542</v>
      </c>
      <c r="L808" s="2">
        <v>2</v>
      </c>
      <c r="M808" s="2" t="s">
        <v>544</v>
      </c>
      <c r="O808" s="2" t="s">
        <v>524</v>
      </c>
      <c r="Y808" s="2" t="s">
        <v>602</v>
      </c>
    </row>
    <row r="809" spans="1:25" x14ac:dyDescent="0.25">
      <c r="A809" s="2" t="s">
        <v>311</v>
      </c>
      <c r="B809" s="2" t="s">
        <v>540</v>
      </c>
      <c r="C809" s="2" t="s">
        <v>408</v>
      </c>
      <c r="D809" s="2" t="s">
        <v>410</v>
      </c>
      <c r="E809" s="2" t="s">
        <v>413</v>
      </c>
      <c r="F809" s="2" t="s">
        <v>39</v>
      </c>
      <c r="J809" s="2" t="s">
        <v>541</v>
      </c>
      <c r="K809" s="2" t="s">
        <v>542</v>
      </c>
      <c r="L809" s="2">
        <v>3</v>
      </c>
      <c r="M809" s="2" t="s">
        <v>545</v>
      </c>
      <c r="O809" s="2" t="s">
        <v>524</v>
      </c>
      <c r="Y809" s="2" t="s">
        <v>602</v>
      </c>
    </row>
    <row r="810" spans="1:25" x14ac:dyDescent="0.25">
      <c r="A810" s="2" t="s">
        <v>311</v>
      </c>
      <c r="B810" s="2" t="s">
        <v>540</v>
      </c>
      <c r="C810" s="2" t="s">
        <v>408</v>
      </c>
      <c r="D810" s="2" t="s">
        <v>410</v>
      </c>
      <c r="E810" s="2" t="s">
        <v>413</v>
      </c>
      <c r="F810" s="2" t="s">
        <v>39</v>
      </c>
      <c r="J810" s="2" t="s">
        <v>541</v>
      </c>
      <c r="K810" s="2" t="s">
        <v>542</v>
      </c>
      <c r="L810" s="2">
        <v>4</v>
      </c>
      <c r="M810" s="2" t="s">
        <v>546</v>
      </c>
      <c r="O810" s="2" t="s">
        <v>524</v>
      </c>
      <c r="Y810" s="2" t="s">
        <v>602</v>
      </c>
    </row>
    <row r="811" spans="1:25" x14ac:dyDescent="0.25">
      <c r="A811" s="2" t="s">
        <v>311</v>
      </c>
      <c r="B811" s="2" t="s">
        <v>540</v>
      </c>
      <c r="C811" s="2" t="s">
        <v>408</v>
      </c>
      <c r="D811" s="2" t="s">
        <v>410</v>
      </c>
      <c r="E811" s="2" t="s">
        <v>413</v>
      </c>
      <c r="F811" s="2" t="s">
        <v>39</v>
      </c>
      <c r="J811" s="2" t="s">
        <v>541</v>
      </c>
      <c r="K811" s="2" t="s">
        <v>542</v>
      </c>
      <c r="L811" s="2">
        <v>5</v>
      </c>
      <c r="M811" s="2" t="s">
        <v>547</v>
      </c>
      <c r="O811" s="2" t="s">
        <v>524</v>
      </c>
      <c r="Y811" s="2" t="s">
        <v>602</v>
      </c>
    </row>
    <row r="812" spans="1:25" x14ac:dyDescent="0.25">
      <c r="A812" s="2" t="s">
        <v>311</v>
      </c>
      <c r="B812" s="2" t="s">
        <v>540</v>
      </c>
      <c r="C812" s="2" t="s">
        <v>408</v>
      </c>
      <c r="D812" s="2" t="s">
        <v>410</v>
      </c>
      <c r="E812" s="2" t="s">
        <v>413</v>
      </c>
      <c r="F812" s="2" t="s">
        <v>39</v>
      </c>
      <c r="J812" s="2" t="s">
        <v>541</v>
      </c>
      <c r="K812" s="2" t="s">
        <v>542</v>
      </c>
      <c r="L812" s="2">
        <v>6</v>
      </c>
      <c r="M812" s="2" t="s">
        <v>548</v>
      </c>
      <c r="O812" s="2" t="s">
        <v>524</v>
      </c>
      <c r="Y812" s="2" t="s">
        <v>602</v>
      </c>
    </row>
    <row r="813" spans="1:25" x14ac:dyDescent="0.25">
      <c r="A813" s="2" t="s">
        <v>311</v>
      </c>
      <c r="B813" s="2" t="s">
        <v>540</v>
      </c>
      <c r="C813" s="2" t="s">
        <v>408</v>
      </c>
      <c r="D813" s="2" t="s">
        <v>410</v>
      </c>
      <c r="E813" s="2" t="s">
        <v>413</v>
      </c>
      <c r="F813" s="2" t="s">
        <v>39</v>
      </c>
      <c r="J813" s="2" t="s">
        <v>541</v>
      </c>
      <c r="K813" s="2" t="s">
        <v>542</v>
      </c>
      <c r="L813" s="2">
        <v>7</v>
      </c>
      <c r="M813" s="2" t="s">
        <v>549</v>
      </c>
      <c r="O813" s="2" t="s">
        <v>524</v>
      </c>
      <c r="Y813" s="2" t="s">
        <v>602</v>
      </c>
    </row>
    <row r="814" spans="1:25" x14ac:dyDescent="0.25">
      <c r="A814" s="2" t="s">
        <v>311</v>
      </c>
      <c r="B814" s="2" t="s">
        <v>540</v>
      </c>
      <c r="C814" s="2" t="s">
        <v>408</v>
      </c>
      <c r="D814" s="2" t="s">
        <v>410</v>
      </c>
      <c r="E814" s="2" t="s">
        <v>413</v>
      </c>
      <c r="F814" s="2" t="s">
        <v>39</v>
      </c>
      <c r="J814" s="2" t="s">
        <v>541</v>
      </c>
      <c r="K814" s="2" t="s">
        <v>542</v>
      </c>
      <c r="L814" s="2">
        <v>8</v>
      </c>
      <c r="M814" s="2" t="s">
        <v>550</v>
      </c>
      <c r="O814" s="2" t="s">
        <v>524</v>
      </c>
      <c r="Y814" s="2" t="s">
        <v>602</v>
      </c>
    </row>
    <row r="815" spans="1:25" x14ac:dyDescent="0.25">
      <c r="A815" s="2" t="s">
        <v>311</v>
      </c>
      <c r="B815" s="2" t="s">
        <v>540</v>
      </c>
      <c r="C815" s="2" t="s">
        <v>408</v>
      </c>
      <c r="D815" s="2" t="s">
        <v>410</v>
      </c>
      <c r="E815" s="2" t="s">
        <v>413</v>
      </c>
      <c r="F815" s="2" t="s">
        <v>39</v>
      </c>
      <c r="J815" s="2" t="s">
        <v>541</v>
      </c>
      <c r="K815" s="2" t="s">
        <v>542</v>
      </c>
      <c r="L815" s="2">
        <v>9</v>
      </c>
      <c r="M815" s="2" t="s">
        <v>551</v>
      </c>
      <c r="O815" s="2" t="s">
        <v>524</v>
      </c>
      <c r="Y815" s="2" t="s">
        <v>602</v>
      </c>
    </row>
    <row r="816" spans="1:25" x14ac:dyDescent="0.25">
      <c r="A816" s="2" t="s">
        <v>311</v>
      </c>
      <c r="B816" s="2" t="s">
        <v>540</v>
      </c>
      <c r="C816" s="2" t="s">
        <v>408</v>
      </c>
      <c r="D816" s="2" t="s">
        <v>410</v>
      </c>
      <c r="E816" s="2" t="s">
        <v>413</v>
      </c>
      <c r="F816" s="2" t="s">
        <v>39</v>
      </c>
      <c r="J816" s="2" t="s">
        <v>541</v>
      </c>
      <c r="K816" s="2" t="s">
        <v>542</v>
      </c>
      <c r="L816" s="2">
        <v>10</v>
      </c>
      <c r="M816" s="2" t="s">
        <v>552</v>
      </c>
      <c r="O816" s="2" t="s">
        <v>524</v>
      </c>
      <c r="Y816" s="2" t="s">
        <v>602</v>
      </c>
    </row>
    <row r="817" spans="1:34" x14ac:dyDescent="0.25">
      <c r="A817" s="2" t="s">
        <v>311</v>
      </c>
      <c r="B817" s="2" t="s">
        <v>540</v>
      </c>
      <c r="C817" s="2" t="s">
        <v>408</v>
      </c>
      <c r="D817" s="2" t="s">
        <v>410</v>
      </c>
      <c r="E817" s="2" t="s">
        <v>413</v>
      </c>
      <c r="F817" s="2" t="s">
        <v>39</v>
      </c>
      <c r="J817" s="2" t="s">
        <v>541</v>
      </c>
      <c r="K817" s="2" t="s">
        <v>542</v>
      </c>
      <c r="L817" s="2">
        <v>11</v>
      </c>
      <c r="M817" s="2" t="s">
        <v>553</v>
      </c>
      <c r="O817" s="2" t="s">
        <v>524</v>
      </c>
      <c r="Y817" s="2" t="s">
        <v>602</v>
      </c>
    </row>
    <row r="818" spans="1:34" x14ac:dyDescent="0.25">
      <c r="A818" s="2" t="s">
        <v>311</v>
      </c>
      <c r="B818" s="2" t="s">
        <v>540</v>
      </c>
      <c r="C818" s="2" t="s">
        <v>408</v>
      </c>
      <c r="D818" s="2" t="s">
        <v>410</v>
      </c>
      <c r="E818" s="2" t="s">
        <v>413</v>
      </c>
      <c r="F818" s="2" t="s">
        <v>39</v>
      </c>
      <c r="J818" s="2" t="s">
        <v>541</v>
      </c>
      <c r="K818" s="2" t="s">
        <v>542</v>
      </c>
      <c r="L818" s="2">
        <v>12</v>
      </c>
      <c r="M818" s="2" t="s">
        <v>554</v>
      </c>
      <c r="O818" s="2" t="s">
        <v>524</v>
      </c>
      <c r="Y818" s="2" t="s">
        <v>602</v>
      </c>
    </row>
    <row r="819" spans="1:34" x14ac:dyDescent="0.25">
      <c r="A819" s="2" t="s">
        <v>311</v>
      </c>
      <c r="B819" s="2" t="s">
        <v>555</v>
      </c>
      <c r="C819" s="2" t="s">
        <v>408</v>
      </c>
      <c r="D819" s="2" t="s">
        <v>410</v>
      </c>
      <c r="E819" s="2" t="s">
        <v>413</v>
      </c>
      <c r="F819" s="2" t="s">
        <v>39</v>
      </c>
      <c r="J819" s="2" t="s">
        <v>556</v>
      </c>
      <c r="O819" s="2" t="s">
        <v>524</v>
      </c>
      <c r="Y819" s="2" t="s">
        <v>602</v>
      </c>
      <c r="AB819" s="2">
        <v>1</v>
      </c>
    </row>
    <row r="820" spans="1:34" x14ac:dyDescent="0.25">
      <c r="A820" s="2" t="s">
        <v>311</v>
      </c>
      <c r="B820" s="2" t="s">
        <v>557</v>
      </c>
      <c r="C820" s="2" t="s">
        <v>408</v>
      </c>
      <c r="D820" s="2" t="s">
        <v>410</v>
      </c>
      <c r="E820" s="2" t="s">
        <v>413</v>
      </c>
      <c r="F820" s="2" t="s">
        <v>39</v>
      </c>
      <c r="J820" s="2" t="s">
        <v>558</v>
      </c>
      <c r="O820" s="2" t="s">
        <v>524</v>
      </c>
      <c r="Y820" s="2" t="s">
        <v>602</v>
      </c>
      <c r="AC820" s="2">
        <f>COUNTIFS($B:$B,"BLOCK_LOAD_Q",$A:$A,$A820,$C:$C,$C820,$E:$E,$E820,$F:$F,$F820,$N:$N, "&lt;&gt;")</f>
        <v>0</v>
      </c>
      <c r="AD820" s="2">
        <f>COUNTIFS($B:$B,"BLOCK_TRUST_Q",$A:$A,$A820,$C:$C,$C820,$E:$E,$E820,$F:$F,$F820,$N:$N, "&lt;&gt;")</f>
        <v>0</v>
      </c>
      <c r="AE820" s="2" t="str">
        <f>IFERROR(AVERAGEIFS($P:$P,$B:$B,"BLOCK_LOAD_Q",$A:$A,$A820,$C:$C,$C820,$E:$E,$E820,$F:$F,$F820,$P:$P,"&gt;0"),"")</f>
        <v/>
      </c>
      <c r="AF820" s="2" t="str">
        <f>IFERROR(AVERAGEIFS($P:$P,$B:$B,"BLOCK_TRUST_Q",$A:$A,$A820,$C:$C,$C820,$E:$E,$E820,$F:$F,$F820,$P:$P,"&gt;0"),"")</f>
        <v/>
      </c>
      <c r="AG820" s="2">
        <f>5-AC820</f>
        <v>5</v>
      </c>
      <c r="AH820" s="2">
        <f>12-AD820</f>
        <v>12</v>
      </c>
    </row>
    <row r="821" spans="1:34" x14ac:dyDescent="0.25">
      <c r="A821" s="2" t="s">
        <v>311</v>
      </c>
      <c r="B821" s="2" t="s">
        <v>402</v>
      </c>
      <c r="C821" s="2" t="s">
        <v>408</v>
      </c>
      <c r="D821" s="2" t="s">
        <v>410</v>
      </c>
      <c r="E821" s="2" t="s">
        <v>414</v>
      </c>
      <c r="F821" s="2" t="s">
        <v>40</v>
      </c>
      <c r="G821" s="2" t="s">
        <v>415</v>
      </c>
      <c r="H821" s="2" t="s">
        <v>354</v>
      </c>
      <c r="S821" s="2" t="s">
        <v>59</v>
      </c>
      <c r="U821" s="2" t="s">
        <v>59</v>
      </c>
      <c r="W821" s="2" t="s">
        <v>58</v>
      </c>
    </row>
    <row r="822" spans="1:34" x14ac:dyDescent="0.25">
      <c r="A822" s="2" t="s">
        <v>311</v>
      </c>
      <c r="B822" s="2" t="s">
        <v>402</v>
      </c>
      <c r="C822" s="2" t="s">
        <v>408</v>
      </c>
      <c r="D822" s="2" t="s">
        <v>410</v>
      </c>
      <c r="E822" s="2" t="s">
        <v>414</v>
      </c>
      <c r="F822" s="2" t="s">
        <v>40</v>
      </c>
      <c r="G822" s="2" t="s">
        <v>416</v>
      </c>
      <c r="H822" s="2" t="s">
        <v>559</v>
      </c>
      <c r="S822" s="2" t="s">
        <v>57</v>
      </c>
      <c r="U822" s="2" t="s">
        <v>57</v>
      </c>
      <c r="W822" s="2" t="s">
        <v>58</v>
      </c>
    </row>
    <row r="823" spans="1:34" x14ac:dyDescent="0.25">
      <c r="A823" s="2" t="s">
        <v>311</v>
      </c>
      <c r="B823" s="2" t="s">
        <v>402</v>
      </c>
      <c r="C823" s="2" t="s">
        <v>408</v>
      </c>
      <c r="D823" s="2" t="s">
        <v>410</v>
      </c>
      <c r="E823" s="2" t="s">
        <v>414</v>
      </c>
      <c r="F823" s="2" t="s">
        <v>40</v>
      </c>
      <c r="G823" s="2" t="s">
        <v>417</v>
      </c>
      <c r="H823" s="2" t="s">
        <v>370</v>
      </c>
      <c r="S823" s="2" t="s">
        <v>60</v>
      </c>
      <c r="U823" s="2" t="s">
        <v>58</v>
      </c>
      <c r="W823" s="2" t="s">
        <v>59</v>
      </c>
    </row>
    <row r="824" spans="1:34" x14ac:dyDescent="0.25">
      <c r="A824" s="2" t="s">
        <v>311</v>
      </c>
      <c r="B824" s="2" t="s">
        <v>402</v>
      </c>
      <c r="C824" s="2" t="s">
        <v>408</v>
      </c>
      <c r="D824" s="2" t="s">
        <v>410</v>
      </c>
      <c r="E824" s="2" t="s">
        <v>414</v>
      </c>
      <c r="F824" s="2" t="s">
        <v>40</v>
      </c>
      <c r="G824" s="2" t="s">
        <v>418</v>
      </c>
      <c r="H824" s="2" t="s">
        <v>560</v>
      </c>
      <c r="S824" s="2" t="s">
        <v>57</v>
      </c>
      <c r="U824" s="2" t="s">
        <v>58</v>
      </c>
      <c r="W824" s="2" t="s">
        <v>60</v>
      </c>
    </row>
    <row r="825" spans="1:34" x14ac:dyDescent="0.25">
      <c r="A825" s="2" t="s">
        <v>311</v>
      </c>
      <c r="B825" s="2" t="s">
        <v>531</v>
      </c>
      <c r="C825" s="2" t="s">
        <v>408</v>
      </c>
      <c r="D825" s="2" t="s">
        <v>410</v>
      </c>
      <c r="E825" s="2" t="s">
        <v>414</v>
      </c>
      <c r="F825" s="2" t="s">
        <v>40</v>
      </c>
      <c r="J825" s="2" t="s">
        <v>532</v>
      </c>
      <c r="K825" s="2" t="s">
        <v>533</v>
      </c>
      <c r="L825" s="2">
        <v>1</v>
      </c>
      <c r="M825" s="2" t="s">
        <v>534</v>
      </c>
      <c r="O825" s="2" t="s">
        <v>524</v>
      </c>
      <c r="Y825" s="2" t="s">
        <v>603</v>
      </c>
    </row>
    <row r="826" spans="1:34" x14ac:dyDescent="0.25">
      <c r="A826" s="2" t="s">
        <v>311</v>
      </c>
      <c r="B826" s="2" t="s">
        <v>531</v>
      </c>
      <c r="C826" s="2" t="s">
        <v>408</v>
      </c>
      <c r="D826" s="2" t="s">
        <v>410</v>
      </c>
      <c r="E826" s="2" t="s">
        <v>414</v>
      </c>
      <c r="F826" s="2" t="s">
        <v>40</v>
      </c>
      <c r="J826" s="2" t="s">
        <v>532</v>
      </c>
      <c r="K826" s="2" t="s">
        <v>533</v>
      </c>
      <c r="L826" s="2">
        <v>2</v>
      </c>
      <c r="M826" s="2" t="s">
        <v>536</v>
      </c>
      <c r="O826" s="2" t="s">
        <v>524</v>
      </c>
      <c r="Y826" s="2" t="s">
        <v>603</v>
      </c>
    </row>
    <row r="827" spans="1:34" x14ac:dyDescent="0.25">
      <c r="A827" s="2" t="s">
        <v>311</v>
      </c>
      <c r="B827" s="2" t="s">
        <v>531</v>
      </c>
      <c r="C827" s="2" t="s">
        <v>408</v>
      </c>
      <c r="D827" s="2" t="s">
        <v>410</v>
      </c>
      <c r="E827" s="2" t="s">
        <v>414</v>
      </c>
      <c r="F827" s="2" t="s">
        <v>40</v>
      </c>
      <c r="J827" s="2" t="s">
        <v>532</v>
      </c>
      <c r="K827" s="2" t="s">
        <v>533</v>
      </c>
      <c r="L827" s="2">
        <v>3</v>
      </c>
      <c r="M827" s="2" t="s">
        <v>537</v>
      </c>
      <c r="O827" s="2" t="s">
        <v>524</v>
      </c>
      <c r="Y827" s="2" t="s">
        <v>603</v>
      </c>
    </row>
    <row r="828" spans="1:34" x14ac:dyDescent="0.25">
      <c r="A828" s="2" t="s">
        <v>311</v>
      </c>
      <c r="B828" s="2" t="s">
        <v>531</v>
      </c>
      <c r="C828" s="2" t="s">
        <v>408</v>
      </c>
      <c r="D828" s="2" t="s">
        <v>410</v>
      </c>
      <c r="E828" s="2" t="s">
        <v>414</v>
      </c>
      <c r="F828" s="2" t="s">
        <v>40</v>
      </c>
      <c r="J828" s="2" t="s">
        <v>532</v>
      </c>
      <c r="K828" s="2" t="s">
        <v>533</v>
      </c>
      <c r="L828" s="2">
        <v>4</v>
      </c>
      <c r="M828" s="2" t="s">
        <v>538</v>
      </c>
      <c r="O828" s="2" t="s">
        <v>524</v>
      </c>
      <c r="Y828" s="2" t="s">
        <v>603</v>
      </c>
    </row>
    <row r="829" spans="1:34" x14ac:dyDescent="0.25">
      <c r="A829" s="2" t="s">
        <v>311</v>
      </c>
      <c r="B829" s="2" t="s">
        <v>531</v>
      </c>
      <c r="C829" s="2" t="s">
        <v>408</v>
      </c>
      <c r="D829" s="2" t="s">
        <v>410</v>
      </c>
      <c r="E829" s="2" t="s">
        <v>414</v>
      </c>
      <c r="F829" s="2" t="s">
        <v>40</v>
      </c>
      <c r="J829" s="2" t="s">
        <v>532</v>
      </c>
      <c r="K829" s="2" t="s">
        <v>533</v>
      </c>
      <c r="L829" s="2">
        <v>5</v>
      </c>
      <c r="M829" s="2" t="s">
        <v>539</v>
      </c>
      <c r="O829" s="2" t="s">
        <v>524</v>
      </c>
      <c r="Y829" s="2" t="s">
        <v>603</v>
      </c>
    </row>
    <row r="830" spans="1:34" x14ac:dyDescent="0.25">
      <c r="A830" s="2" t="s">
        <v>311</v>
      </c>
      <c r="B830" s="2" t="s">
        <v>540</v>
      </c>
      <c r="C830" s="2" t="s">
        <v>408</v>
      </c>
      <c r="D830" s="2" t="s">
        <v>410</v>
      </c>
      <c r="E830" s="2" t="s">
        <v>414</v>
      </c>
      <c r="F830" s="2" t="s">
        <v>40</v>
      </c>
      <c r="J830" s="2" t="s">
        <v>541</v>
      </c>
      <c r="K830" s="2" t="s">
        <v>542</v>
      </c>
      <c r="L830" s="2">
        <v>1</v>
      </c>
      <c r="M830" s="2" t="s">
        <v>543</v>
      </c>
      <c r="O830" s="2" t="s">
        <v>524</v>
      </c>
      <c r="Y830" s="2" t="s">
        <v>603</v>
      </c>
    </row>
    <row r="831" spans="1:34" x14ac:dyDescent="0.25">
      <c r="A831" s="2" t="s">
        <v>311</v>
      </c>
      <c r="B831" s="2" t="s">
        <v>540</v>
      </c>
      <c r="C831" s="2" t="s">
        <v>408</v>
      </c>
      <c r="D831" s="2" t="s">
        <v>410</v>
      </c>
      <c r="E831" s="2" t="s">
        <v>414</v>
      </c>
      <c r="F831" s="2" t="s">
        <v>40</v>
      </c>
      <c r="J831" s="2" t="s">
        <v>541</v>
      </c>
      <c r="K831" s="2" t="s">
        <v>542</v>
      </c>
      <c r="L831" s="2">
        <v>2</v>
      </c>
      <c r="M831" s="2" t="s">
        <v>544</v>
      </c>
      <c r="O831" s="2" t="s">
        <v>524</v>
      </c>
      <c r="Y831" s="2" t="s">
        <v>603</v>
      </c>
    </row>
    <row r="832" spans="1:34" x14ac:dyDescent="0.25">
      <c r="A832" s="2" t="s">
        <v>311</v>
      </c>
      <c r="B832" s="2" t="s">
        <v>540</v>
      </c>
      <c r="C832" s="2" t="s">
        <v>408</v>
      </c>
      <c r="D832" s="2" t="s">
        <v>410</v>
      </c>
      <c r="E832" s="2" t="s">
        <v>414</v>
      </c>
      <c r="F832" s="2" t="s">
        <v>40</v>
      </c>
      <c r="J832" s="2" t="s">
        <v>541</v>
      </c>
      <c r="K832" s="2" t="s">
        <v>542</v>
      </c>
      <c r="L832" s="2">
        <v>3</v>
      </c>
      <c r="M832" s="2" t="s">
        <v>545</v>
      </c>
      <c r="O832" s="2" t="s">
        <v>524</v>
      </c>
      <c r="Y832" s="2" t="s">
        <v>603</v>
      </c>
    </row>
    <row r="833" spans="1:34" x14ac:dyDescent="0.25">
      <c r="A833" s="2" t="s">
        <v>311</v>
      </c>
      <c r="B833" s="2" t="s">
        <v>540</v>
      </c>
      <c r="C833" s="2" t="s">
        <v>408</v>
      </c>
      <c r="D833" s="2" t="s">
        <v>410</v>
      </c>
      <c r="E833" s="2" t="s">
        <v>414</v>
      </c>
      <c r="F833" s="2" t="s">
        <v>40</v>
      </c>
      <c r="J833" s="2" t="s">
        <v>541</v>
      </c>
      <c r="K833" s="2" t="s">
        <v>542</v>
      </c>
      <c r="L833" s="2">
        <v>4</v>
      </c>
      <c r="M833" s="2" t="s">
        <v>546</v>
      </c>
      <c r="O833" s="2" t="s">
        <v>524</v>
      </c>
      <c r="Y833" s="2" t="s">
        <v>603</v>
      </c>
    </row>
    <row r="834" spans="1:34" x14ac:dyDescent="0.25">
      <c r="A834" s="2" t="s">
        <v>311</v>
      </c>
      <c r="B834" s="2" t="s">
        <v>540</v>
      </c>
      <c r="C834" s="2" t="s">
        <v>408</v>
      </c>
      <c r="D834" s="2" t="s">
        <v>410</v>
      </c>
      <c r="E834" s="2" t="s">
        <v>414</v>
      </c>
      <c r="F834" s="2" t="s">
        <v>40</v>
      </c>
      <c r="J834" s="2" t="s">
        <v>541</v>
      </c>
      <c r="K834" s="2" t="s">
        <v>542</v>
      </c>
      <c r="L834" s="2">
        <v>5</v>
      </c>
      <c r="M834" s="2" t="s">
        <v>547</v>
      </c>
      <c r="O834" s="2" t="s">
        <v>524</v>
      </c>
      <c r="Y834" s="2" t="s">
        <v>603</v>
      </c>
    </row>
    <row r="835" spans="1:34" x14ac:dyDescent="0.25">
      <c r="A835" s="2" t="s">
        <v>311</v>
      </c>
      <c r="B835" s="2" t="s">
        <v>540</v>
      </c>
      <c r="C835" s="2" t="s">
        <v>408</v>
      </c>
      <c r="D835" s="2" t="s">
        <v>410</v>
      </c>
      <c r="E835" s="2" t="s">
        <v>414</v>
      </c>
      <c r="F835" s="2" t="s">
        <v>40</v>
      </c>
      <c r="J835" s="2" t="s">
        <v>541</v>
      </c>
      <c r="K835" s="2" t="s">
        <v>542</v>
      </c>
      <c r="L835" s="2">
        <v>6</v>
      </c>
      <c r="M835" s="2" t="s">
        <v>548</v>
      </c>
      <c r="O835" s="2" t="s">
        <v>524</v>
      </c>
      <c r="Y835" s="2" t="s">
        <v>603</v>
      </c>
    </row>
    <row r="836" spans="1:34" x14ac:dyDescent="0.25">
      <c r="A836" s="2" t="s">
        <v>311</v>
      </c>
      <c r="B836" s="2" t="s">
        <v>540</v>
      </c>
      <c r="C836" s="2" t="s">
        <v>408</v>
      </c>
      <c r="D836" s="2" t="s">
        <v>410</v>
      </c>
      <c r="E836" s="2" t="s">
        <v>414</v>
      </c>
      <c r="F836" s="2" t="s">
        <v>40</v>
      </c>
      <c r="J836" s="2" t="s">
        <v>541</v>
      </c>
      <c r="K836" s="2" t="s">
        <v>542</v>
      </c>
      <c r="L836" s="2">
        <v>7</v>
      </c>
      <c r="M836" s="2" t="s">
        <v>549</v>
      </c>
      <c r="O836" s="2" t="s">
        <v>524</v>
      </c>
      <c r="Y836" s="2" t="s">
        <v>603</v>
      </c>
    </row>
    <row r="837" spans="1:34" x14ac:dyDescent="0.25">
      <c r="A837" s="2" t="s">
        <v>311</v>
      </c>
      <c r="B837" s="2" t="s">
        <v>540</v>
      </c>
      <c r="C837" s="2" t="s">
        <v>408</v>
      </c>
      <c r="D837" s="2" t="s">
        <v>410</v>
      </c>
      <c r="E837" s="2" t="s">
        <v>414</v>
      </c>
      <c r="F837" s="2" t="s">
        <v>40</v>
      </c>
      <c r="J837" s="2" t="s">
        <v>541</v>
      </c>
      <c r="K837" s="2" t="s">
        <v>542</v>
      </c>
      <c r="L837" s="2">
        <v>8</v>
      </c>
      <c r="M837" s="2" t="s">
        <v>550</v>
      </c>
      <c r="O837" s="2" t="s">
        <v>524</v>
      </c>
      <c r="Y837" s="2" t="s">
        <v>603</v>
      </c>
    </row>
    <row r="838" spans="1:34" x14ac:dyDescent="0.25">
      <c r="A838" s="2" t="s">
        <v>311</v>
      </c>
      <c r="B838" s="2" t="s">
        <v>540</v>
      </c>
      <c r="C838" s="2" t="s">
        <v>408</v>
      </c>
      <c r="D838" s="2" t="s">
        <v>410</v>
      </c>
      <c r="E838" s="2" t="s">
        <v>414</v>
      </c>
      <c r="F838" s="2" t="s">
        <v>40</v>
      </c>
      <c r="J838" s="2" t="s">
        <v>541</v>
      </c>
      <c r="K838" s="2" t="s">
        <v>542</v>
      </c>
      <c r="L838" s="2">
        <v>9</v>
      </c>
      <c r="M838" s="2" t="s">
        <v>551</v>
      </c>
      <c r="O838" s="2" t="s">
        <v>524</v>
      </c>
      <c r="Y838" s="2" t="s">
        <v>603</v>
      </c>
    </row>
    <row r="839" spans="1:34" x14ac:dyDescent="0.25">
      <c r="A839" s="2" t="s">
        <v>311</v>
      </c>
      <c r="B839" s="2" t="s">
        <v>540</v>
      </c>
      <c r="C839" s="2" t="s">
        <v>408</v>
      </c>
      <c r="D839" s="2" t="s">
        <v>410</v>
      </c>
      <c r="E839" s="2" t="s">
        <v>414</v>
      </c>
      <c r="F839" s="2" t="s">
        <v>40</v>
      </c>
      <c r="J839" s="2" t="s">
        <v>541</v>
      </c>
      <c r="K839" s="2" t="s">
        <v>542</v>
      </c>
      <c r="L839" s="2">
        <v>10</v>
      </c>
      <c r="M839" s="2" t="s">
        <v>552</v>
      </c>
      <c r="O839" s="2" t="s">
        <v>524</v>
      </c>
      <c r="Y839" s="2" t="s">
        <v>603</v>
      </c>
    </row>
    <row r="840" spans="1:34" x14ac:dyDescent="0.25">
      <c r="A840" s="2" t="s">
        <v>311</v>
      </c>
      <c r="B840" s="2" t="s">
        <v>540</v>
      </c>
      <c r="C840" s="2" t="s">
        <v>408</v>
      </c>
      <c r="D840" s="2" t="s">
        <v>410</v>
      </c>
      <c r="E840" s="2" t="s">
        <v>414</v>
      </c>
      <c r="F840" s="2" t="s">
        <v>40</v>
      </c>
      <c r="J840" s="2" t="s">
        <v>541</v>
      </c>
      <c r="K840" s="2" t="s">
        <v>542</v>
      </c>
      <c r="L840" s="2">
        <v>11</v>
      </c>
      <c r="M840" s="2" t="s">
        <v>553</v>
      </c>
      <c r="O840" s="2" t="s">
        <v>524</v>
      </c>
      <c r="Y840" s="2" t="s">
        <v>603</v>
      </c>
    </row>
    <row r="841" spans="1:34" x14ac:dyDescent="0.25">
      <c r="A841" s="2" t="s">
        <v>311</v>
      </c>
      <c r="B841" s="2" t="s">
        <v>540</v>
      </c>
      <c r="C841" s="2" t="s">
        <v>408</v>
      </c>
      <c r="D841" s="2" t="s">
        <v>410</v>
      </c>
      <c r="E841" s="2" t="s">
        <v>414</v>
      </c>
      <c r="F841" s="2" t="s">
        <v>40</v>
      </c>
      <c r="J841" s="2" t="s">
        <v>541</v>
      </c>
      <c r="K841" s="2" t="s">
        <v>542</v>
      </c>
      <c r="L841" s="2">
        <v>12</v>
      </c>
      <c r="M841" s="2" t="s">
        <v>554</v>
      </c>
      <c r="O841" s="2" t="s">
        <v>524</v>
      </c>
      <c r="Y841" s="2" t="s">
        <v>603</v>
      </c>
    </row>
    <row r="842" spans="1:34" x14ac:dyDescent="0.25">
      <c r="A842" s="2" t="s">
        <v>311</v>
      </c>
      <c r="B842" s="2" t="s">
        <v>555</v>
      </c>
      <c r="C842" s="2" t="s">
        <v>408</v>
      </c>
      <c r="D842" s="2" t="s">
        <v>410</v>
      </c>
      <c r="E842" s="2" t="s">
        <v>414</v>
      </c>
      <c r="F842" s="2" t="s">
        <v>40</v>
      </c>
      <c r="J842" s="2" t="s">
        <v>556</v>
      </c>
      <c r="O842" s="2" t="s">
        <v>524</v>
      </c>
      <c r="Y842" s="2" t="s">
        <v>603</v>
      </c>
      <c r="AB842" s="2">
        <v>2</v>
      </c>
    </row>
    <row r="843" spans="1:34" x14ac:dyDescent="0.25">
      <c r="A843" s="2" t="s">
        <v>311</v>
      </c>
      <c r="B843" s="2" t="s">
        <v>557</v>
      </c>
      <c r="C843" s="2" t="s">
        <v>408</v>
      </c>
      <c r="D843" s="2" t="s">
        <v>410</v>
      </c>
      <c r="E843" s="2" t="s">
        <v>414</v>
      </c>
      <c r="F843" s="2" t="s">
        <v>40</v>
      </c>
      <c r="J843" s="2" t="s">
        <v>558</v>
      </c>
      <c r="O843" s="2" t="s">
        <v>524</v>
      </c>
      <c r="Y843" s="2" t="s">
        <v>603</v>
      </c>
      <c r="AC843" s="2">
        <f>COUNTIFS($B:$B,"BLOCK_LOAD_Q",$A:$A,$A843,$C:$C,$C843,$E:$E,$E843,$F:$F,$F843,$N:$N, "&lt;&gt;")</f>
        <v>0</v>
      </c>
      <c r="AD843" s="2">
        <f>COUNTIFS($B:$B,"BLOCK_TRUST_Q",$A:$A,$A843,$C:$C,$C843,$E:$E,$E843,$F:$F,$F843,$N:$N, "&lt;&gt;")</f>
        <v>0</v>
      </c>
      <c r="AE843" s="2" t="str">
        <f>IFERROR(AVERAGEIFS($P:$P,$B:$B,"BLOCK_LOAD_Q",$A:$A,$A843,$C:$C,$C843,$E:$E,$E843,$F:$F,$F843,$P:$P,"&gt;0"),"")</f>
        <v/>
      </c>
      <c r="AF843" s="2" t="str">
        <f>IFERROR(AVERAGEIFS($P:$P,$B:$B,"BLOCK_TRUST_Q",$A:$A,$A843,$C:$C,$C843,$E:$E,$E843,$F:$F,$F843,$P:$P,"&gt;0"),"")</f>
        <v/>
      </c>
      <c r="AG843" s="2">
        <f>5-AC843</f>
        <v>5</v>
      </c>
      <c r="AH843" s="2">
        <f>12-AD843</f>
        <v>12</v>
      </c>
    </row>
    <row r="844" spans="1:34" x14ac:dyDescent="0.25">
      <c r="A844" s="2" t="s">
        <v>311</v>
      </c>
      <c r="B844" s="2" t="s">
        <v>403</v>
      </c>
      <c r="C844" s="2" t="s">
        <v>408</v>
      </c>
      <c r="D844" s="2" t="s">
        <v>410</v>
      </c>
      <c r="Z844" s="2" t="s">
        <v>436</v>
      </c>
    </row>
    <row r="845" spans="1:34" x14ac:dyDescent="0.25">
      <c r="A845" s="2" t="s">
        <v>311</v>
      </c>
      <c r="B845" s="2" t="s">
        <v>402</v>
      </c>
      <c r="C845" s="2" t="s">
        <v>409</v>
      </c>
      <c r="D845" s="2" t="s">
        <v>411</v>
      </c>
      <c r="E845" s="2" t="s">
        <v>413</v>
      </c>
      <c r="F845" s="2" t="s">
        <v>40</v>
      </c>
      <c r="G845" s="2" t="s">
        <v>415</v>
      </c>
      <c r="H845" s="2" t="s">
        <v>357</v>
      </c>
      <c r="S845" s="2" t="s">
        <v>59</v>
      </c>
      <c r="U845" s="2" t="s">
        <v>60</v>
      </c>
      <c r="W845" s="2" t="s">
        <v>57</v>
      </c>
    </row>
    <row r="846" spans="1:34" x14ac:dyDescent="0.25">
      <c r="A846" s="2" t="s">
        <v>311</v>
      </c>
      <c r="B846" s="2" t="s">
        <v>402</v>
      </c>
      <c r="C846" s="2" t="s">
        <v>409</v>
      </c>
      <c r="D846" s="2" t="s">
        <v>411</v>
      </c>
      <c r="E846" s="2" t="s">
        <v>413</v>
      </c>
      <c r="F846" s="2" t="s">
        <v>40</v>
      </c>
      <c r="G846" s="2" t="s">
        <v>416</v>
      </c>
      <c r="H846" s="2" t="s">
        <v>348</v>
      </c>
      <c r="S846" s="2" t="s">
        <v>58</v>
      </c>
      <c r="U846" s="2" t="s">
        <v>59</v>
      </c>
      <c r="W846" s="2" t="s">
        <v>59</v>
      </c>
    </row>
    <row r="847" spans="1:34" x14ac:dyDescent="0.25">
      <c r="A847" s="2" t="s">
        <v>311</v>
      </c>
      <c r="B847" s="2" t="s">
        <v>402</v>
      </c>
      <c r="C847" s="2" t="s">
        <v>409</v>
      </c>
      <c r="D847" s="2" t="s">
        <v>411</v>
      </c>
      <c r="E847" s="2" t="s">
        <v>413</v>
      </c>
      <c r="F847" s="2" t="s">
        <v>40</v>
      </c>
      <c r="G847" s="2" t="s">
        <v>417</v>
      </c>
      <c r="H847" s="2" t="s">
        <v>562</v>
      </c>
      <c r="S847" s="2" t="s">
        <v>59</v>
      </c>
      <c r="U847" s="2" t="s">
        <v>57</v>
      </c>
      <c r="W847" s="2" t="s">
        <v>57</v>
      </c>
    </row>
    <row r="848" spans="1:34" x14ac:dyDescent="0.25">
      <c r="A848" s="2" t="s">
        <v>311</v>
      </c>
      <c r="B848" s="2" t="s">
        <v>402</v>
      </c>
      <c r="C848" s="2" t="s">
        <v>409</v>
      </c>
      <c r="D848" s="2" t="s">
        <v>411</v>
      </c>
      <c r="E848" s="2" t="s">
        <v>413</v>
      </c>
      <c r="F848" s="2" t="s">
        <v>40</v>
      </c>
      <c r="G848" s="2" t="s">
        <v>418</v>
      </c>
      <c r="H848" s="2" t="s">
        <v>563</v>
      </c>
      <c r="S848" s="2" t="s">
        <v>57</v>
      </c>
      <c r="U848" s="2" t="s">
        <v>60</v>
      </c>
      <c r="W848" s="2" t="s">
        <v>60</v>
      </c>
    </row>
    <row r="849" spans="1:25" x14ac:dyDescent="0.25">
      <c r="A849" s="2" t="s">
        <v>311</v>
      </c>
      <c r="B849" s="2" t="s">
        <v>531</v>
      </c>
      <c r="C849" s="2" t="s">
        <v>409</v>
      </c>
      <c r="D849" s="2" t="s">
        <v>411</v>
      </c>
      <c r="E849" s="2" t="s">
        <v>413</v>
      </c>
      <c r="F849" s="2" t="s">
        <v>40</v>
      </c>
      <c r="J849" s="2" t="s">
        <v>532</v>
      </c>
      <c r="K849" s="2" t="s">
        <v>533</v>
      </c>
      <c r="L849" s="2">
        <v>1</v>
      </c>
      <c r="M849" s="2" t="s">
        <v>534</v>
      </c>
      <c r="O849" s="2" t="s">
        <v>524</v>
      </c>
      <c r="Y849" s="2" t="s">
        <v>604</v>
      </c>
    </row>
    <row r="850" spans="1:25" x14ac:dyDescent="0.25">
      <c r="A850" s="2" t="s">
        <v>311</v>
      </c>
      <c r="B850" s="2" t="s">
        <v>531</v>
      </c>
      <c r="C850" s="2" t="s">
        <v>409</v>
      </c>
      <c r="D850" s="2" t="s">
        <v>411</v>
      </c>
      <c r="E850" s="2" t="s">
        <v>413</v>
      </c>
      <c r="F850" s="2" t="s">
        <v>40</v>
      </c>
      <c r="J850" s="2" t="s">
        <v>532</v>
      </c>
      <c r="K850" s="2" t="s">
        <v>533</v>
      </c>
      <c r="L850" s="2">
        <v>2</v>
      </c>
      <c r="M850" s="2" t="s">
        <v>536</v>
      </c>
      <c r="O850" s="2" t="s">
        <v>524</v>
      </c>
      <c r="Y850" s="2" t="s">
        <v>604</v>
      </c>
    </row>
    <row r="851" spans="1:25" x14ac:dyDescent="0.25">
      <c r="A851" s="2" t="s">
        <v>311</v>
      </c>
      <c r="B851" s="2" t="s">
        <v>531</v>
      </c>
      <c r="C851" s="2" t="s">
        <v>409</v>
      </c>
      <c r="D851" s="2" t="s">
        <v>411</v>
      </c>
      <c r="E851" s="2" t="s">
        <v>413</v>
      </c>
      <c r="F851" s="2" t="s">
        <v>40</v>
      </c>
      <c r="J851" s="2" t="s">
        <v>532</v>
      </c>
      <c r="K851" s="2" t="s">
        <v>533</v>
      </c>
      <c r="L851" s="2">
        <v>3</v>
      </c>
      <c r="M851" s="2" t="s">
        <v>537</v>
      </c>
      <c r="O851" s="2" t="s">
        <v>524</v>
      </c>
      <c r="Y851" s="2" t="s">
        <v>604</v>
      </c>
    </row>
    <row r="852" spans="1:25" x14ac:dyDescent="0.25">
      <c r="A852" s="2" t="s">
        <v>311</v>
      </c>
      <c r="B852" s="2" t="s">
        <v>531</v>
      </c>
      <c r="C852" s="2" t="s">
        <v>409</v>
      </c>
      <c r="D852" s="2" t="s">
        <v>411</v>
      </c>
      <c r="E852" s="2" t="s">
        <v>413</v>
      </c>
      <c r="F852" s="2" t="s">
        <v>40</v>
      </c>
      <c r="J852" s="2" t="s">
        <v>532</v>
      </c>
      <c r="K852" s="2" t="s">
        <v>533</v>
      </c>
      <c r="L852" s="2">
        <v>4</v>
      </c>
      <c r="M852" s="2" t="s">
        <v>538</v>
      </c>
      <c r="O852" s="2" t="s">
        <v>524</v>
      </c>
      <c r="Y852" s="2" t="s">
        <v>604</v>
      </c>
    </row>
    <row r="853" spans="1:25" x14ac:dyDescent="0.25">
      <c r="A853" s="2" t="s">
        <v>311</v>
      </c>
      <c r="B853" s="2" t="s">
        <v>531</v>
      </c>
      <c r="C853" s="2" t="s">
        <v>409</v>
      </c>
      <c r="D853" s="2" t="s">
        <v>411</v>
      </c>
      <c r="E853" s="2" t="s">
        <v>413</v>
      </c>
      <c r="F853" s="2" t="s">
        <v>40</v>
      </c>
      <c r="J853" s="2" t="s">
        <v>532</v>
      </c>
      <c r="K853" s="2" t="s">
        <v>533</v>
      </c>
      <c r="L853" s="2">
        <v>5</v>
      </c>
      <c r="M853" s="2" t="s">
        <v>539</v>
      </c>
      <c r="O853" s="2" t="s">
        <v>524</v>
      </c>
      <c r="Y853" s="2" t="s">
        <v>604</v>
      </c>
    </row>
    <row r="854" spans="1:25" x14ac:dyDescent="0.25">
      <c r="A854" s="2" t="s">
        <v>311</v>
      </c>
      <c r="B854" s="2" t="s">
        <v>540</v>
      </c>
      <c r="C854" s="2" t="s">
        <v>409</v>
      </c>
      <c r="D854" s="2" t="s">
        <v>411</v>
      </c>
      <c r="E854" s="2" t="s">
        <v>413</v>
      </c>
      <c r="F854" s="2" t="s">
        <v>40</v>
      </c>
      <c r="J854" s="2" t="s">
        <v>541</v>
      </c>
      <c r="K854" s="2" t="s">
        <v>542</v>
      </c>
      <c r="L854" s="2">
        <v>1</v>
      </c>
      <c r="M854" s="2" t="s">
        <v>543</v>
      </c>
      <c r="O854" s="2" t="s">
        <v>524</v>
      </c>
      <c r="Y854" s="2" t="s">
        <v>604</v>
      </c>
    </row>
    <row r="855" spans="1:25" x14ac:dyDescent="0.25">
      <c r="A855" s="2" t="s">
        <v>311</v>
      </c>
      <c r="B855" s="2" t="s">
        <v>540</v>
      </c>
      <c r="C855" s="2" t="s">
        <v>409</v>
      </c>
      <c r="D855" s="2" t="s">
        <v>411</v>
      </c>
      <c r="E855" s="2" t="s">
        <v>413</v>
      </c>
      <c r="F855" s="2" t="s">
        <v>40</v>
      </c>
      <c r="J855" s="2" t="s">
        <v>541</v>
      </c>
      <c r="K855" s="2" t="s">
        <v>542</v>
      </c>
      <c r="L855" s="2">
        <v>2</v>
      </c>
      <c r="M855" s="2" t="s">
        <v>544</v>
      </c>
      <c r="O855" s="2" t="s">
        <v>524</v>
      </c>
      <c r="Y855" s="2" t="s">
        <v>604</v>
      </c>
    </row>
    <row r="856" spans="1:25" x14ac:dyDescent="0.25">
      <c r="A856" s="2" t="s">
        <v>311</v>
      </c>
      <c r="B856" s="2" t="s">
        <v>540</v>
      </c>
      <c r="C856" s="2" t="s">
        <v>409</v>
      </c>
      <c r="D856" s="2" t="s">
        <v>411</v>
      </c>
      <c r="E856" s="2" t="s">
        <v>413</v>
      </c>
      <c r="F856" s="2" t="s">
        <v>40</v>
      </c>
      <c r="J856" s="2" t="s">
        <v>541</v>
      </c>
      <c r="K856" s="2" t="s">
        <v>542</v>
      </c>
      <c r="L856" s="2">
        <v>3</v>
      </c>
      <c r="M856" s="2" t="s">
        <v>545</v>
      </c>
      <c r="O856" s="2" t="s">
        <v>524</v>
      </c>
      <c r="Y856" s="2" t="s">
        <v>604</v>
      </c>
    </row>
    <row r="857" spans="1:25" x14ac:dyDescent="0.25">
      <c r="A857" s="2" t="s">
        <v>311</v>
      </c>
      <c r="B857" s="2" t="s">
        <v>540</v>
      </c>
      <c r="C857" s="2" t="s">
        <v>409</v>
      </c>
      <c r="D857" s="2" t="s">
        <v>411</v>
      </c>
      <c r="E857" s="2" t="s">
        <v>413</v>
      </c>
      <c r="F857" s="2" t="s">
        <v>40</v>
      </c>
      <c r="J857" s="2" t="s">
        <v>541</v>
      </c>
      <c r="K857" s="2" t="s">
        <v>542</v>
      </c>
      <c r="L857" s="2">
        <v>4</v>
      </c>
      <c r="M857" s="2" t="s">
        <v>546</v>
      </c>
      <c r="O857" s="2" t="s">
        <v>524</v>
      </c>
      <c r="Y857" s="2" t="s">
        <v>604</v>
      </c>
    </row>
    <row r="858" spans="1:25" x14ac:dyDescent="0.25">
      <c r="A858" s="2" t="s">
        <v>311</v>
      </c>
      <c r="B858" s="2" t="s">
        <v>540</v>
      </c>
      <c r="C858" s="2" t="s">
        <v>409</v>
      </c>
      <c r="D858" s="2" t="s">
        <v>411</v>
      </c>
      <c r="E858" s="2" t="s">
        <v>413</v>
      </c>
      <c r="F858" s="2" t="s">
        <v>40</v>
      </c>
      <c r="J858" s="2" t="s">
        <v>541</v>
      </c>
      <c r="K858" s="2" t="s">
        <v>542</v>
      </c>
      <c r="L858" s="2">
        <v>5</v>
      </c>
      <c r="M858" s="2" t="s">
        <v>547</v>
      </c>
      <c r="O858" s="2" t="s">
        <v>524</v>
      </c>
      <c r="Y858" s="2" t="s">
        <v>604</v>
      </c>
    </row>
    <row r="859" spans="1:25" x14ac:dyDescent="0.25">
      <c r="A859" s="2" t="s">
        <v>311</v>
      </c>
      <c r="B859" s="2" t="s">
        <v>540</v>
      </c>
      <c r="C859" s="2" t="s">
        <v>409</v>
      </c>
      <c r="D859" s="2" t="s">
        <v>411</v>
      </c>
      <c r="E859" s="2" t="s">
        <v>413</v>
      </c>
      <c r="F859" s="2" t="s">
        <v>40</v>
      </c>
      <c r="J859" s="2" t="s">
        <v>541</v>
      </c>
      <c r="K859" s="2" t="s">
        <v>542</v>
      </c>
      <c r="L859" s="2">
        <v>6</v>
      </c>
      <c r="M859" s="2" t="s">
        <v>548</v>
      </c>
      <c r="O859" s="2" t="s">
        <v>524</v>
      </c>
      <c r="Y859" s="2" t="s">
        <v>604</v>
      </c>
    </row>
    <row r="860" spans="1:25" x14ac:dyDescent="0.25">
      <c r="A860" s="2" t="s">
        <v>311</v>
      </c>
      <c r="B860" s="2" t="s">
        <v>540</v>
      </c>
      <c r="C860" s="2" t="s">
        <v>409</v>
      </c>
      <c r="D860" s="2" t="s">
        <v>411</v>
      </c>
      <c r="E860" s="2" t="s">
        <v>413</v>
      </c>
      <c r="F860" s="2" t="s">
        <v>40</v>
      </c>
      <c r="J860" s="2" t="s">
        <v>541</v>
      </c>
      <c r="K860" s="2" t="s">
        <v>542</v>
      </c>
      <c r="L860" s="2">
        <v>7</v>
      </c>
      <c r="M860" s="2" t="s">
        <v>549</v>
      </c>
      <c r="O860" s="2" t="s">
        <v>524</v>
      </c>
      <c r="Y860" s="2" t="s">
        <v>604</v>
      </c>
    </row>
    <row r="861" spans="1:25" x14ac:dyDescent="0.25">
      <c r="A861" s="2" t="s">
        <v>311</v>
      </c>
      <c r="B861" s="2" t="s">
        <v>540</v>
      </c>
      <c r="C861" s="2" t="s">
        <v>409</v>
      </c>
      <c r="D861" s="2" t="s">
        <v>411</v>
      </c>
      <c r="E861" s="2" t="s">
        <v>413</v>
      </c>
      <c r="F861" s="2" t="s">
        <v>40</v>
      </c>
      <c r="J861" s="2" t="s">
        <v>541</v>
      </c>
      <c r="K861" s="2" t="s">
        <v>542</v>
      </c>
      <c r="L861" s="2">
        <v>8</v>
      </c>
      <c r="M861" s="2" t="s">
        <v>550</v>
      </c>
      <c r="O861" s="2" t="s">
        <v>524</v>
      </c>
      <c r="Y861" s="2" t="s">
        <v>604</v>
      </c>
    </row>
    <row r="862" spans="1:25" x14ac:dyDescent="0.25">
      <c r="A862" s="2" t="s">
        <v>311</v>
      </c>
      <c r="B862" s="2" t="s">
        <v>540</v>
      </c>
      <c r="C862" s="2" t="s">
        <v>409</v>
      </c>
      <c r="D862" s="2" t="s">
        <v>411</v>
      </c>
      <c r="E862" s="2" t="s">
        <v>413</v>
      </c>
      <c r="F862" s="2" t="s">
        <v>40</v>
      </c>
      <c r="J862" s="2" t="s">
        <v>541</v>
      </c>
      <c r="K862" s="2" t="s">
        <v>542</v>
      </c>
      <c r="L862" s="2">
        <v>9</v>
      </c>
      <c r="M862" s="2" t="s">
        <v>551</v>
      </c>
      <c r="O862" s="2" t="s">
        <v>524</v>
      </c>
      <c r="Y862" s="2" t="s">
        <v>604</v>
      </c>
    </row>
    <row r="863" spans="1:25" x14ac:dyDescent="0.25">
      <c r="A863" s="2" t="s">
        <v>311</v>
      </c>
      <c r="B863" s="2" t="s">
        <v>540</v>
      </c>
      <c r="C863" s="2" t="s">
        <v>409</v>
      </c>
      <c r="D863" s="2" t="s">
        <v>411</v>
      </c>
      <c r="E863" s="2" t="s">
        <v>413</v>
      </c>
      <c r="F863" s="2" t="s">
        <v>40</v>
      </c>
      <c r="J863" s="2" t="s">
        <v>541</v>
      </c>
      <c r="K863" s="2" t="s">
        <v>542</v>
      </c>
      <c r="L863" s="2">
        <v>10</v>
      </c>
      <c r="M863" s="2" t="s">
        <v>552</v>
      </c>
      <c r="O863" s="2" t="s">
        <v>524</v>
      </c>
      <c r="Y863" s="2" t="s">
        <v>604</v>
      </c>
    </row>
    <row r="864" spans="1:25" x14ac:dyDescent="0.25">
      <c r="A864" s="2" t="s">
        <v>311</v>
      </c>
      <c r="B864" s="2" t="s">
        <v>540</v>
      </c>
      <c r="C864" s="2" t="s">
        <v>409</v>
      </c>
      <c r="D864" s="2" t="s">
        <v>411</v>
      </c>
      <c r="E864" s="2" t="s">
        <v>413</v>
      </c>
      <c r="F864" s="2" t="s">
        <v>40</v>
      </c>
      <c r="J864" s="2" t="s">
        <v>541</v>
      </c>
      <c r="K864" s="2" t="s">
        <v>542</v>
      </c>
      <c r="L864" s="2">
        <v>11</v>
      </c>
      <c r="M864" s="2" t="s">
        <v>553</v>
      </c>
      <c r="O864" s="2" t="s">
        <v>524</v>
      </c>
      <c r="Y864" s="2" t="s">
        <v>604</v>
      </c>
    </row>
    <row r="865" spans="1:34" x14ac:dyDescent="0.25">
      <c r="A865" s="2" t="s">
        <v>311</v>
      </c>
      <c r="B865" s="2" t="s">
        <v>540</v>
      </c>
      <c r="C865" s="2" t="s">
        <v>409</v>
      </c>
      <c r="D865" s="2" t="s">
        <v>411</v>
      </c>
      <c r="E865" s="2" t="s">
        <v>413</v>
      </c>
      <c r="F865" s="2" t="s">
        <v>40</v>
      </c>
      <c r="J865" s="2" t="s">
        <v>541</v>
      </c>
      <c r="K865" s="2" t="s">
        <v>542</v>
      </c>
      <c r="L865" s="2">
        <v>12</v>
      </c>
      <c r="M865" s="2" t="s">
        <v>554</v>
      </c>
      <c r="O865" s="2" t="s">
        <v>524</v>
      </c>
      <c r="Y865" s="2" t="s">
        <v>604</v>
      </c>
    </row>
    <row r="866" spans="1:34" x14ac:dyDescent="0.25">
      <c r="A866" s="2" t="s">
        <v>311</v>
      </c>
      <c r="B866" s="2" t="s">
        <v>555</v>
      </c>
      <c r="C866" s="2" t="s">
        <v>409</v>
      </c>
      <c r="D866" s="2" t="s">
        <v>411</v>
      </c>
      <c r="E866" s="2" t="s">
        <v>413</v>
      </c>
      <c r="F866" s="2" t="s">
        <v>40</v>
      </c>
      <c r="J866" s="2" t="s">
        <v>556</v>
      </c>
      <c r="O866" s="2" t="s">
        <v>524</v>
      </c>
      <c r="Y866" s="2" t="s">
        <v>604</v>
      </c>
      <c r="AB866" s="2">
        <v>2</v>
      </c>
    </row>
    <row r="867" spans="1:34" x14ac:dyDescent="0.25">
      <c r="A867" s="2" t="s">
        <v>311</v>
      </c>
      <c r="B867" s="2" t="s">
        <v>557</v>
      </c>
      <c r="C867" s="2" t="s">
        <v>409</v>
      </c>
      <c r="D867" s="2" t="s">
        <v>411</v>
      </c>
      <c r="E867" s="2" t="s">
        <v>413</v>
      </c>
      <c r="F867" s="2" t="s">
        <v>40</v>
      </c>
      <c r="J867" s="2" t="s">
        <v>558</v>
      </c>
      <c r="O867" s="2" t="s">
        <v>524</v>
      </c>
      <c r="Y867" s="2" t="s">
        <v>604</v>
      </c>
      <c r="AC867" s="2">
        <f>COUNTIFS($B:$B,"BLOCK_LOAD_Q",$A:$A,$A867,$C:$C,$C867,$E:$E,$E867,$F:$F,$F867,$N:$N, "&lt;&gt;")</f>
        <v>0</v>
      </c>
      <c r="AD867" s="2">
        <f>COUNTIFS($B:$B,"BLOCK_TRUST_Q",$A:$A,$A867,$C:$C,$C867,$E:$E,$E867,$F:$F,$F867,$N:$N, "&lt;&gt;")</f>
        <v>0</v>
      </c>
      <c r="AE867" s="2" t="str">
        <f>IFERROR(AVERAGEIFS($P:$P,$B:$B,"BLOCK_LOAD_Q",$A:$A,$A867,$C:$C,$C867,$E:$E,$E867,$F:$F,$F867,$P:$P,"&gt;0"),"")</f>
        <v/>
      </c>
      <c r="AF867" s="2" t="str">
        <f>IFERROR(AVERAGEIFS($P:$P,$B:$B,"BLOCK_TRUST_Q",$A:$A,$A867,$C:$C,$C867,$E:$E,$E867,$F:$F,$F867,$P:$P,"&gt;0"),"")</f>
        <v/>
      </c>
      <c r="AG867" s="2">
        <f>5-AC867</f>
        <v>5</v>
      </c>
      <c r="AH867" s="2">
        <f>12-AD867</f>
        <v>12</v>
      </c>
    </row>
    <row r="868" spans="1:34" x14ac:dyDescent="0.25">
      <c r="A868" s="2" t="s">
        <v>311</v>
      </c>
      <c r="B868" s="2" t="s">
        <v>402</v>
      </c>
      <c r="C868" s="2" t="s">
        <v>409</v>
      </c>
      <c r="D868" s="2" t="s">
        <v>411</v>
      </c>
      <c r="E868" s="2" t="s">
        <v>414</v>
      </c>
      <c r="F868" s="2" t="s">
        <v>39</v>
      </c>
      <c r="G868" s="2" t="s">
        <v>415</v>
      </c>
      <c r="H868" s="2" t="s">
        <v>349</v>
      </c>
      <c r="S868" s="2" t="s">
        <v>58</v>
      </c>
      <c r="U868" s="2" t="s">
        <v>60</v>
      </c>
      <c r="W868" s="2" t="s">
        <v>58</v>
      </c>
    </row>
    <row r="869" spans="1:34" x14ac:dyDescent="0.25">
      <c r="A869" s="2" t="s">
        <v>311</v>
      </c>
      <c r="B869" s="2" t="s">
        <v>402</v>
      </c>
      <c r="C869" s="2" t="s">
        <v>409</v>
      </c>
      <c r="D869" s="2" t="s">
        <v>411</v>
      </c>
      <c r="E869" s="2" t="s">
        <v>414</v>
      </c>
      <c r="F869" s="2" t="s">
        <v>39</v>
      </c>
      <c r="G869" s="2" t="s">
        <v>416</v>
      </c>
      <c r="H869" s="2" t="s">
        <v>565</v>
      </c>
      <c r="S869" s="2" t="s">
        <v>59</v>
      </c>
      <c r="U869" s="2" t="s">
        <v>60</v>
      </c>
      <c r="W869" s="2" t="s">
        <v>60</v>
      </c>
    </row>
    <row r="870" spans="1:34" x14ac:dyDescent="0.25">
      <c r="A870" s="2" t="s">
        <v>311</v>
      </c>
      <c r="B870" s="2" t="s">
        <v>402</v>
      </c>
      <c r="C870" s="2" t="s">
        <v>409</v>
      </c>
      <c r="D870" s="2" t="s">
        <v>411</v>
      </c>
      <c r="E870" s="2" t="s">
        <v>414</v>
      </c>
      <c r="F870" s="2" t="s">
        <v>39</v>
      </c>
      <c r="G870" s="2" t="s">
        <v>417</v>
      </c>
      <c r="H870" s="2" t="s">
        <v>361</v>
      </c>
      <c r="S870" s="2" t="s">
        <v>60</v>
      </c>
      <c r="U870" s="2" t="s">
        <v>60</v>
      </c>
      <c r="W870" s="2" t="s">
        <v>60</v>
      </c>
    </row>
    <row r="871" spans="1:34" x14ac:dyDescent="0.25">
      <c r="A871" s="2" t="s">
        <v>311</v>
      </c>
      <c r="B871" s="2" t="s">
        <v>402</v>
      </c>
      <c r="C871" s="2" t="s">
        <v>409</v>
      </c>
      <c r="D871" s="2" t="s">
        <v>411</v>
      </c>
      <c r="E871" s="2" t="s">
        <v>414</v>
      </c>
      <c r="F871" s="2" t="s">
        <v>39</v>
      </c>
      <c r="G871" s="2" t="s">
        <v>418</v>
      </c>
      <c r="H871" s="2" t="s">
        <v>353</v>
      </c>
      <c r="S871" s="2" t="s">
        <v>58</v>
      </c>
      <c r="U871" s="2" t="s">
        <v>59</v>
      </c>
      <c r="W871" s="2" t="s">
        <v>58</v>
      </c>
    </row>
    <row r="872" spans="1:34" x14ac:dyDescent="0.25">
      <c r="A872" s="2" t="s">
        <v>311</v>
      </c>
      <c r="B872" s="2" t="s">
        <v>402</v>
      </c>
      <c r="C872" s="2" t="s">
        <v>409</v>
      </c>
      <c r="D872" s="2" t="s">
        <v>411</v>
      </c>
      <c r="E872" s="2" t="s">
        <v>414</v>
      </c>
      <c r="F872" s="2" t="s">
        <v>39</v>
      </c>
      <c r="G872" s="2" t="s">
        <v>419</v>
      </c>
      <c r="H872" s="2" t="s">
        <v>371</v>
      </c>
      <c r="S872" s="2" t="s">
        <v>60</v>
      </c>
      <c r="U872" s="2" t="s">
        <v>59</v>
      </c>
      <c r="W872" s="2" t="s">
        <v>57</v>
      </c>
    </row>
    <row r="873" spans="1:34" x14ac:dyDescent="0.25">
      <c r="A873" s="2" t="s">
        <v>311</v>
      </c>
      <c r="B873" s="2" t="s">
        <v>531</v>
      </c>
      <c r="C873" s="2" t="s">
        <v>409</v>
      </c>
      <c r="D873" s="2" t="s">
        <v>411</v>
      </c>
      <c r="E873" s="2" t="s">
        <v>414</v>
      </c>
      <c r="F873" s="2" t="s">
        <v>39</v>
      </c>
      <c r="J873" s="2" t="s">
        <v>532</v>
      </c>
      <c r="K873" s="2" t="s">
        <v>533</v>
      </c>
      <c r="L873" s="2">
        <v>1</v>
      </c>
      <c r="M873" s="2" t="s">
        <v>534</v>
      </c>
      <c r="O873" s="2" t="s">
        <v>524</v>
      </c>
      <c r="Y873" s="2" t="s">
        <v>605</v>
      </c>
    </row>
    <row r="874" spans="1:34" x14ac:dyDescent="0.25">
      <c r="A874" s="2" t="s">
        <v>311</v>
      </c>
      <c r="B874" s="2" t="s">
        <v>531</v>
      </c>
      <c r="C874" s="2" t="s">
        <v>409</v>
      </c>
      <c r="D874" s="2" t="s">
        <v>411</v>
      </c>
      <c r="E874" s="2" t="s">
        <v>414</v>
      </c>
      <c r="F874" s="2" t="s">
        <v>39</v>
      </c>
      <c r="J874" s="2" t="s">
        <v>532</v>
      </c>
      <c r="K874" s="2" t="s">
        <v>533</v>
      </c>
      <c r="L874" s="2">
        <v>2</v>
      </c>
      <c r="M874" s="2" t="s">
        <v>536</v>
      </c>
      <c r="O874" s="2" t="s">
        <v>524</v>
      </c>
      <c r="Y874" s="2" t="s">
        <v>605</v>
      </c>
    </row>
    <row r="875" spans="1:34" x14ac:dyDescent="0.25">
      <c r="A875" s="2" t="s">
        <v>311</v>
      </c>
      <c r="B875" s="2" t="s">
        <v>531</v>
      </c>
      <c r="C875" s="2" t="s">
        <v>409</v>
      </c>
      <c r="D875" s="2" t="s">
        <v>411</v>
      </c>
      <c r="E875" s="2" t="s">
        <v>414</v>
      </c>
      <c r="F875" s="2" t="s">
        <v>39</v>
      </c>
      <c r="J875" s="2" t="s">
        <v>532</v>
      </c>
      <c r="K875" s="2" t="s">
        <v>533</v>
      </c>
      <c r="L875" s="2">
        <v>3</v>
      </c>
      <c r="M875" s="2" t="s">
        <v>537</v>
      </c>
      <c r="O875" s="2" t="s">
        <v>524</v>
      </c>
      <c r="Y875" s="2" t="s">
        <v>605</v>
      </c>
    </row>
    <row r="876" spans="1:34" x14ac:dyDescent="0.25">
      <c r="A876" s="2" t="s">
        <v>311</v>
      </c>
      <c r="B876" s="2" t="s">
        <v>531</v>
      </c>
      <c r="C876" s="2" t="s">
        <v>409</v>
      </c>
      <c r="D876" s="2" t="s">
        <v>411</v>
      </c>
      <c r="E876" s="2" t="s">
        <v>414</v>
      </c>
      <c r="F876" s="2" t="s">
        <v>39</v>
      </c>
      <c r="J876" s="2" t="s">
        <v>532</v>
      </c>
      <c r="K876" s="2" t="s">
        <v>533</v>
      </c>
      <c r="L876" s="2">
        <v>4</v>
      </c>
      <c r="M876" s="2" t="s">
        <v>538</v>
      </c>
      <c r="O876" s="2" t="s">
        <v>524</v>
      </c>
      <c r="Y876" s="2" t="s">
        <v>605</v>
      </c>
    </row>
    <row r="877" spans="1:34" x14ac:dyDescent="0.25">
      <c r="A877" s="2" t="s">
        <v>311</v>
      </c>
      <c r="B877" s="2" t="s">
        <v>531</v>
      </c>
      <c r="C877" s="2" t="s">
        <v>409</v>
      </c>
      <c r="D877" s="2" t="s">
        <v>411</v>
      </c>
      <c r="E877" s="2" t="s">
        <v>414</v>
      </c>
      <c r="F877" s="2" t="s">
        <v>39</v>
      </c>
      <c r="J877" s="2" t="s">
        <v>532</v>
      </c>
      <c r="K877" s="2" t="s">
        <v>533</v>
      </c>
      <c r="L877" s="2">
        <v>5</v>
      </c>
      <c r="M877" s="2" t="s">
        <v>539</v>
      </c>
      <c r="O877" s="2" t="s">
        <v>524</v>
      </c>
      <c r="Y877" s="2" t="s">
        <v>605</v>
      </c>
    </row>
    <row r="878" spans="1:34" x14ac:dyDescent="0.25">
      <c r="A878" s="2" t="s">
        <v>311</v>
      </c>
      <c r="B878" s="2" t="s">
        <v>540</v>
      </c>
      <c r="C878" s="2" t="s">
        <v>409</v>
      </c>
      <c r="D878" s="2" t="s">
        <v>411</v>
      </c>
      <c r="E878" s="2" t="s">
        <v>414</v>
      </c>
      <c r="F878" s="2" t="s">
        <v>39</v>
      </c>
      <c r="J878" s="2" t="s">
        <v>541</v>
      </c>
      <c r="K878" s="2" t="s">
        <v>542</v>
      </c>
      <c r="L878" s="2">
        <v>1</v>
      </c>
      <c r="M878" s="2" t="s">
        <v>543</v>
      </c>
      <c r="O878" s="2" t="s">
        <v>524</v>
      </c>
      <c r="Y878" s="2" t="s">
        <v>605</v>
      </c>
    </row>
    <row r="879" spans="1:34" x14ac:dyDescent="0.25">
      <c r="A879" s="2" t="s">
        <v>311</v>
      </c>
      <c r="B879" s="2" t="s">
        <v>540</v>
      </c>
      <c r="C879" s="2" t="s">
        <v>409</v>
      </c>
      <c r="D879" s="2" t="s">
        <v>411</v>
      </c>
      <c r="E879" s="2" t="s">
        <v>414</v>
      </c>
      <c r="F879" s="2" t="s">
        <v>39</v>
      </c>
      <c r="J879" s="2" t="s">
        <v>541</v>
      </c>
      <c r="K879" s="2" t="s">
        <v>542</v>
      </c>
      <c r="L879" s="2">
        <v>2</v>
      </c>
      <c r="M879" s="2" t="s">
        <v>544</v>
      </c>
      <c r="O879" s="2" t="s">
        <v>524</v>
      </c>
      <c r="Y879" s="2" t="s">
        <v>605</v>
      </c>
    </row>
    <row r="880" spans="1:34" x14ac:dyDescent="0.25">
      <c r="A880" s="2" t="s">
        <v>311</v>
      </c>
      <c r="B880" s="2" t="s">
        <v>540</v>
      </c>
      <c r="C880" s="2" t="s">
        <v>409</v>
      </c>
      <c r="D880" s="2" t="s">
        <v>411</v>
      </c>
      <c r="E880" s="2" t="s">
        <v>414</v>
      </c>
      <c r="F880" s="2" t="s">
        <v>39</v>
      </c>
      <c r="J880" s="2" t="s">
        <v>541</v>
      </c>
      <c r="K880" s="2" t="s">
        <v>542</v>
      </c>
      <c r="L880" s="2">
        <v>3</v>
      </c>
      <c r="M880" s="2" t="s">
        <v>545</v>
      </c>
      <c r="O880" s="2" t="s">
        <v>524</v>
      </c>
      <c r="Y880" s="2" t="s">
        <v>605</v>
      </c>
    </row>
    <row r="881" spans="1:34" x14ac:dyDescent="0.25">
      <c r="A881" s="2" t="s">
        <v>311</v>
      </c>
      <c r="B881" s="2" t="s">
        <v>540</v>
      </c>
      <c r="C881" s="2" t="s">
        <v>409</v>
      </c>
      <c r="D881" s="2" t="s">
        <v>411</v>
      </c>
      <c r="E881" s="2" t="s">
        <v>414</v>
      </c>
      <c r="F881" s="2" t="s">
        <v>39</v>
      </c>
      <c r="J881" s="2" t="s">
        <v>541</v>
      </c>
      <c r="K881" s="2" t="s">
        <v>542</v>
      </c>
      <c r="L881" s="2">
        <v>4</v>
      </c>
      <c r="M881" s="2" t="s">
        <v>546</v>
      </c>
      <c r="O881" s="2" t="s">
        <v>524</v>
      </c>
      <c r="Y881" s="2" t="s">
        <v>605</v>
      </c>
    </row>
    <row r="882" spans="1:34" x14ac:dyDescent="0.25">
      <c r="A882" s="2" t="s">
        <v>311</v>
      </c>
      <c r="B882" s="2" t="s">
        <v>540</v>
      </c>
      <c r="C882" s="2" t="s">
        <v>409</v>
      </c>
      <c r="D882" s="2" t="s">
        <v>411</v>
      </c>
      <c r="E882" s="2" t="s">
        <v>414</v>
      </c>
      <c r="F882" s="2" t="s">
        <v>39</v>
      </c>
      <c r="J882" s="2" t="s">
        <v>541</v>
      </c>
      <c r="K882" s="2" t="s">
        <v>542</v>
      </c>
      <c r="L882" s="2">
        <v>5</v>
      </c>
      <c r="M882" s="2" t="s">
        <v>547</v>
      </c>
      <c r="O882" s="2" t="s">
        <v>524</v>
      </c>
      <c r="Y882" s="2" t="s">
        <v>605</v>
      </c>
    </row>
    <row r="883" spans="1:34" x14ac:dyDescent="0.25">
      <c r="A883" s="2" t="s">
        <v>311</v>
      </c>
      <c r="B883" s="2" t="s">
        <v>540</v>
      </c>
      <c r="C883" s="2" t="s">
        <v>409</v>
      </c>
      <c r="D883" s="2" t="s">
        <v>411</v>
      </c>
      <c r="E883" s="2" t="s">
        <v>414</v>
      </c>
      <c r="F883" s="2" t="s">
        <v>39</v>
      </c>
      <c r="J883" s="2" t="s">
        <v>541</v>
      </c>
      <c r="K883" s="2" t="s">
        <v>542</v>
      </c>
      <c r="L883" s="2">
        <v>6</v>
      </c>
      <c r="M883" s="2" t="s">
        <v>548</v>
      </c>
      <c r="O883" s="2" t="s">
        <v>524</v>
      </c>
      <c r="Y883" s="2" t="s">
        <v>605</v>
      </c>
    </row>
    <row r="884" spans="1:34" x14ac:dyDescent="0.25">
      <c r="A884" s="2" t="s">
        <v>311</v>
      </c>
      <c r="B884" s="2" t="s">
        <v>540</v>
      </c>
      <c r="C884" s="2" t="s">
        <v>409</v>
      </c>
      <c r="D884" s="2" t="s">
        <v>411</v>
      </c>
      <c r="E884" s="2" t="s">
        <v>414</v>
      </c>
      <c r="F884" s="2" t="s">
        <v>39</v>
      </c>
      <c r="J884" s="2" t="s">
        <v>541</v>
      </c>
      <c r="K884" s="2" t="s">
        <v>542</v>
      </c>
      <c r="L884" s="2">
        <v>7</v>
      </c>
      <c r="M884" s="2" t="s">
        <v>549</v>
      </c>
      <c r="O884" s="2" t="s">
        <v>524</v>
      </c>
      <c r="Y884" s="2" t="s">
        <v>605</v>
      </c>
    </row>
    <row r="885" spans="1:34" x14ac:dyDescent="0.25">
      <c r="A885" s="2" t="s">
        <v>311</v>
      </c>
      <c r="B885" s="2" t="s">
        <v>540</v>
      </c>
      <c r="C885" s="2" t="s">
        <v>409</v>
      </c>
      <c r="D885" s="2" t="s">
        <v>411</v>
      </c>
      <c r="E885" s="2" t="s">
        <v>414</v>
      </c>
      <c r="F885" s="2" t="s">
        <v>39</v>
      </c>
      <c r="J885" s="2" t="s">
        <v>541</v>
      </c>
      <c r="K885" s="2" t="s">
        <v>542</v>
      </c>
      <c r="L885" s="2">
        <v>8</v>
      </c>
      <c r="M885" s="2" t="s">
        <v>550</v>
      </c>
      <c r="O885" s="2" t="s">
        <v>524</v>
      </c>
      <c r="Y885" s="2" t="s">
        <v>605</v>
      </c>
    </row>
    <row r="886" spans="1:34" x14ac:dyDescent="0.25">
      <c r="A886" s="2" t="s">
        <v>311</v>
      </c>
      <c r="B886" s="2" t="s">
        <v>540</v>
      </c>
      <c r="C886" s="2" t="s">
        <v>409</v>
      </c>
      <c r="D886" s="2" t="s">
        <v>411</v>
      </c>
      <c r="E886" s="2" t="s">
        <v>414</v>
      </c>
      <c r="F886" s="2" t="s">
        <v>39</v>
      </c>
      <c r="J886" s="2" t="s">
        <v>541</v>
      </c>
      <c r="K886" s="2" t="s">
        <v>542</v>
      </c>
      <c r="L886" s="2">
        <v>9</v>
      </c>
      <c r="M886" s="2" t="s">
        <v>551</v>
      </c>
      <c r="O886" s="2" t="s">
        <v>524</v>
      </c>
      <c r="Y886" s="2" t="s">
        <v>605</v>
      </c>
    </row>
    <row r="887" spans="1:34" x14ac:dyDescent="0.25">
      <c r="A887" s="2" t="s">
        <v>311</v>
      </c>
      <c r="B887" s="2" t="s">
        <v>540</v>
      </c>
      <c r="C887" s="2" t="s">
        <v>409</v>
      </c>
      <c r="D887" s="2" t="s">
        <v>411</v>
      </c>
      <c r="E887" s="2" t="s">
        <v>414</v>
      </c>
      <c r="F887" s="2" t="s">
        <v>39</v>
      </c>
      <c r="J887" s="2" t="s">
        <v>541</v>
      </c>
      <c r="K887" s="2" t="s">
        <v>542</v>
      </c>
      <c r="L887" s="2">
        <v>10</v>
      </c>
      <c r="M887" s="2" t="s">
        <v>552</v>
      </c>
      <c r="O887" s="2" t="s">
        <v>524</v>
      </c>
      <c r="Y887" s="2" t="s">
        <v>605</v>
      </c>
    </row>
    <row r="888" spans="1:34" x14ac:dyDescent="0.25">
      <c r="A888" s="2" t="s">
        <v>311</v>
      </c>
      <c r="B888" s="2" t="s">
        <v>540</v>
      </c>
      <c r="C888" s="2" t="s">
        <v>409</v>
      </c>
      <c r="D888" s="2" t="s">
        <v>411</v>
      </c>
      <c r="E888" s="2" t="s">
        <v>414</v>
      </c>
      <c r="F888" s="2" t="s">
        <v>39</v>
      </c>
      <c r="J888" s="2" t="s">
        <v>541</v>
      </c>
      <c r="K888" s="2" t="s">
        <v>542</v>
      </c>
      <c r="L888" s="2">
        <v>11</v>
      </c>
      <c r="M888" s="2" t="s">
        <v>553</v>
      </c>
      <c r="O888" s="2" t="s">
        <v>524</v>
      </c>
      <c r="Y888" s="2" t="s">
        <v>605</v>
      </c>
    </row>
    <row r="889" spans="1:34" x14ac:dyDescent="0.25">
      <c r="A889" s="2" t="s">
        <v>311</v>
      </c>
      <c r="B889" s="2" t="s">
        <v>540</v>
      </c>
      <c r="C889" s="2" t="s">
        <v>409</v>
      </c>
      <c r="D889" s="2" t="s">
        <v>411</v>
      </c>
      <c r="E889" s="2" t="s">
        <v>414</v>
      </c>
      <c r="F889" s="2" t="s">
        <v>39</v>
      </c>
      <c r="J889" s="2" t="s">
        <v>541</v>
      </c>
      <c r="K889" s="2" t="s">
        <v>542</v>
      </c>
      <c r="L889" s="2">
        <v>12</v>
      </c>
      <c r="M889" s="2" t="s">
        <v>554</v>
      </c>
      <c r="O889" s="2" t="s">
        <v>524</v>
      </c>
      <c r="Y889" s="2" t="s">
        <v>605</v>
      </c>
    </row>
    <row r="890" spans="1:34" x14ac:dyDescent="0.25">
      <c r="A890" s="2" t="s">
        <v>311</v>
      </c>
      <c r="B890" s="2" t="s">
        <v>555</v>
      </c>
      <c r="C890" s="2" t="s">
        <v>409</v>
      </c>
      <c r="D890" s="2" t="s">
        <v>411</v>
      </c>
      <c r="E890" s="2" t="s">
        <v>414</v>
      </c>
      <c r="F890" s="2" t="s">
        <v>39</v>
      </c>
      <c r="J890" s="2" t="s">
        <v>556</v>
      </c>
      <c r="O890" s="2" t="s">
        <v>524</v>
      </c>
      <c r="Y890" s="2" t="s">
        <v>605</v>
      </c>
      <c r="AB890" s="2">
        <v>1</v>
      </c>
    </row>
    <row r="891" spans="1:34" x14ac:dyDescent="0.25">
      <c r="A891" s="2" t="s">
        <v>311</v>
      </c>
      <c r="B891" s="2" t="s">
        <v>557</v>
      </c>
      <c r="C891" s="2" t="s">
        <v>409</v>
      </c>
      <c r="D891" s="2" t="s">
        <v>411</v>
      </c>
      <c r="E891" s="2" t="s">
        <v>414</v>
      </c>
      <c r="F891" s="2" t="s">
        <v>39</v>
      </c>
      <c r="J891" s="2" t="s">
        <v>558</v>
      </c>
      <c r="O891" s="2" t="s">
        <v>524</v>
      </c>
      <c r="Y891" s="2" t="s">
        <v>605</v>
      </c>
      <c r="AC891" s="2">
        <f>COUNTIFS($B:$B,"BLOCK_LOAD_Q",$A:$A,$A891,$C:$C,$C891,$E:$E,$E891,$F:$F,$F891,$N:$N, "&lt;&gt;")</f>
        <v>0</v>
      </c>
      <c r="AD891" s="2">
        <f>COUNTIFS($B:$B,"BLOCK_TRUST_Q",$A:$A,$A891,$C:$C,$C891,$E:$E,$E891,$F:$F,$F891,$N:$N, "&lt;&gt;")</f>
        <v>0</v>
      </c>
      <c r="AE891" s="2" t="str">
        <f>IFERROR(AVERAGEIFS($P:$P,$B:$B,"BLOCK_LOAD_Q",$A:$A,$A891,$C:$C,$C891,$E:$E,$E891,$F:$F,$F891,$P:$P,"&gt;0"),"")</f>
        <v/>
      </c>
      <c r="AF891" s="2" t="str">
        <f>IFERROR(AVERAGEIFS($P:$P,$B:$B,"BLOCK_TRUST_Q",$A:$A,$A891,$C:$C,$C891,$E:$E,$E891,$F:$F,$F891,$P:$P,"&gt;0"),"")</f>
        <v/>
      </c>
      <c r="AG891" s="2">
        <f>5-AC891</f>
        <v>5</v>
      </c>
      <c r="AH891" s="2">
        <f>12-AD891</f>
        <v>12</v>
      </c>
    </row>
    <row r="892" spans="1:34" x14ac:dyDescent="0.25">
      <c r="A892" s="2" t="s">
        <v>311</v>
      </c>
      <c r="B892" s="2" t="s">
        <v>403</v>
      </c>
      <c r="C892" s="2" t="s">
        <v>409</v>
      </c>
      <c r="D892" s="2" t="s">
        <v>411</v>
      </c>
      <c r="Z892" s="2" t="s">
        <v>437</v>
      </c>
    </row>
    <row r="893" spans="1:34" x14ac:dyDescent="0.25">
      <c r="A893" s="2" t="s">
        <v>311</v>
      </c>
      <c r="B893" s="2" t="s">
        <v>404</v>
      </c>
      <c r="J893" s="2" t="s">
        <v>575</v>
      </c>
      <c r="AA893" s="2" t="s">
        <v>336</v>
      </c>
    </row>
    <row r="894" spans="1:34" x14ac:dyDescent="0.25">
      <c r="A894" s="2" t="s">
        <v>311</v>
      </c>
      <c r="B894" s="2" t="s">
        <v>405</v>
      </c>
    </row>
    <row r="895" spans="1:34" x14ac:dyDescent="0.25">
      <c r="A895" s="2" t="s">
        <v>311</v>
      </c>
      <c r="B895" s="2" t="s">
        <v>406</v>
      </c>
    </row>
    <row r="896" spans="1:34" x14ac:dyDescent="0.25">
      <c r="A896" s="2" t="s">
        <v>312</v>
      </c>
      <c r="B896" s="2" t="s">
        <v>523</v>
      </c>
      <c r="C896" s="2" t="s">
        <v>524</v>
      </c>
      <c r="D896" s="2" t="s">
        <v>524</v>
      </c>
      <c r="E896" s="2" t="s">
        <v>524</v>
      </c>
      <c r="F896" s="2" t="s">
        <v>524</v>
      </c>
      <c r="J896" s="2" t="s">
        <v>525</v>
      </c>
      <c r="O896" s="2" t="s">
        <v>524</v>
      </c>
    </row>
    <row r="897" spans="1:25" x14ac:dyDescent="0.25">
      <c r="A897" s="2" t="s">
        <v>312</v>
      </c>
      <c r="B897" s="2" t="s">
        <v>526</v>
      </c>
      <c r="C897" s="2" t="s">
        <v>524</v>
      </c>
      <c r="D897" s="2" t="s">
        <v>524</v>
      </c>
      <c r="E897" s="2" t="s">
        <v>524</v>
      </c>
      <c r="F897" s="2" t="s">
        <v>524</v>
      </c>
      <c r="J897" s="2" t="s">
        <v>527</v>
      </c>
      <c r="O897" s="2" t="s">
        <v>524</v>
      </c>
    </row>
    <row r="898" spans="1:25" x14ac:dyDescent="0.25">
      <c r="A898" s="2" t="s">
        <v>312</v>
      </c>
      <c r="B898" s="2" t="s">
        <v>402</v>
      </c>
      <c r="C898" s="2" t="s">
        <v>407</v>
      </c>
      <c r="D898" s="2" t="s">
        <v>410</v>
      </c>
      <c r="E898" s="2" t="s">
        <v>413</v>
      </c>
      <c r="F898" s="2" t="s">
        <v>39</v>
      </c>
      <c r="G898" s="2" t="s">
        <v>415</v>
      </c>
      <c r="H898" s="2" t="s">
        <v>373</v>
      </c>
      <c r="S898" s="2" t="s">
        <v>60</v>
      </c>
      <c r="U898" s="2" t="s">
        <v>60</v>
      </c>
      <c r="W898" s="2" t="s">
        <v>60</v>
      </c>
    </row>
    <row r="899" spans="1:25" x14ac:dyDescent="0.25">
      <c r="A899" s="2" t="s">
        <v>312</v>
      </c>
      <c r="B899" s="2" t="s">
        <v>402</v>
      </c>
      <c r="C899" s="2" t="s">
        <v>407</v>
      </c>
      <c r="D899" s="2" t="s">
        <v>410</v>
      </c>
      <c r="E899" s="2" t="s">
        <v>413</v>
      </c>
      <c r="F899" s="2" t="s">
        <v>39</v>
      </c>
      <c r="G899" s="2" t="s">
        <v>416</v>
      </c>
      <c r="H899" s="2" t="s">
        <v>528</v>
      </c>
      <c r="S899" s="2" t="s">
        <v>60</v>
      </c>
      <c r="U899" s="2" t="s">
        <v>59</v>
      </c>
      <c r="W899" s="2" t="s">
        <v>59</v>
      </c>
    </row>
    <row r="900" spans="1:25" x14ac:dyDescent="0.25">
      <c r="A900" s="2" t="s">
        <v>312</v>
      </c>
      <c r="B900" s="2" t="s">
        <v>402</v>
      </c>
      <c r="C900" s="2" t="s">
        <v>407</v>
      </c>
      <c r="D900" s="2" t="s">
        <v>410</v>
      </c>
      <c r="E900" s="2" t="s">
        <v>413</v>
      </c>
      <c r="F900" s="2" t="s">
        <v>39</v>
      </c>
      <c r="G900" s="2" t="s">
        <v>417</v>
      </c>
      <c r="H900" s="2" t="s">
        <v>529</v>
      </c>
      <c r="S900" s="2" t="s">
        <v>57</v>
      </c>
      <c r="U900" s="2" t="s">
        <v>59</v>
      </c>
      <c r="W900" s="2" t="s">
        <v>60</v>
      </c>
    </row>
    <row r="901" spans="1:25" x14ac:dyDescent="0.25">
      <c r="A901" s="2" t="s">
        <v>312</v>
      </c>
      <c r="B901" s="2" t="s">
        <v>402</v>
      </c>
      <c r="C901" s="2" t="s">
        <v>407</v>
      </c>
      <c r="D901" s="2" t="s">
        <v>410</v>
      </c>
      <c r="E901" s="2" t="s">
        <v>413</v>
      </c>
      <c r="F901" s="2" t="s">
        <v>39</v>
      </c>
      <c r="G901" s="2" t="s">
        <v>418</v>
      </c>
      <c r="H901" s="2" t="s">
        <v>347</v>
      </c>
      <c r="S901" s="2" t="s">
        <v>60</v>
      </c>
      <c r="U901" s="2" t="s">
        <v>57</v>
      </c>
      <c r="W901" s="2" t="s">
        <v>59</v>
      </c>
    </row>
    <row r="902" spans="1:25" x14ac:dyDescent="0.25">
      <c r="A902" s="2" t="s">
        <v>312</v>
      </c>
      <c r="B902" s="2" t="s">
        <v>402</v>
      </c>
      <c r="C902" s="2" t="s">
        <v>407</v>
      </c>
      <c r="D902" s="2" t="s">
        <v>410</v>
      </c>
      <c r="E902" s="2" t="s">
        <v>413</v>
      </c>
      <c r="F902" s="2" t="s">
        <v>39</v>
      </c>
      <c r="G902" s="2" t="s">
        <v>419</v>
      </c>
      <c r="H902" s="2" t="s">
        <v>530</v>
      </c>
      <c r="S902" s="2" t="s">
        <v>57</v>
      </c>
      <c r="U902" s="2" t="s">
        <v>60</v>
      </c>
      <c r="W902" s="2" t="s">
        <v>58</v>
      </c>
    </row>
    <row r="903" spans="1:25" x14ac:dyDescent="0.25">
      <c r="A903" s="2" t="s">
        <v>312</v>
      </c>
      <c r="B903" s="2" t="s">
        <v>531</v>
      </c>
      <c r="C903" s="2" t="s">
        <v>407</v>
      </c>
      <c r="D903" s="2" t="s">
        <v>410</v>
      </c>
      <c r="E903" s="2" t="s">
        <v>413</v>
      </c>
      <c r="F903" s="2" t="s">
        <v>39</v>
      </c>
      <c r="J903" s="2" t="s">
        <v>532</v>
      </c>
      <c r="K903" s="2" t="s">
        <v>533</v>
      </c>
      <c r="L903" s="2">
        <v>1</v>
      </c>
      <c r="M903" s="2" t="s">
        <v>534</v>
      </c>
      <c r="O903" s="2" t="s">
        <v>524</v>
      </c>
      <c r="Y903" s="2" t="s">
        <v>606</v>
      </c>
    </row>
    <row r="904" spans="1:25" x14ac:dyDescent="0.25">
      <c r="A904" s="2" t="s">
        <v>312</v>
      </c>
      <c r="B904" s="2" t="s">
        <v>531</v>
      </c>
      <c r="C904" s="2" t="s">
        <v>407</v>
      </c>
      <c r="D904" s="2" t="s">
        <v>410</v>
      </c>
      <c r="E904" s="2" t="s">
        <v>413</v>
      </c>
      <c r="F904" s="2" t="s">
        <v>39</v>
      </c>
      <c r="J904" s="2" t="s">
        <v>532</v>
      </c>
      <c r="K904" s="2" t="s">
        <v>533</v>
      </c>
      <c r="L904" s="2">
        <v>2</v>
      </c>
      <c r="M904" s="2" t="s">
        <v>536</v>
      </c>
      <c r="O904" s="2" t="s">
        <v>524</v>
      </c>
      <c r="Y904" s="2" t="s">
        <v>606</v>
      </c>
    </row>
    <row r="905" spans="1:25" x14ac:dyDescent="0.25">
      <c r="A905" s="2" t="s">
        <v>312</v>
      </c>
      <c r="B905" s="2" t="s">
        <v>531</v>
      </c>
      <c r="C905" s="2" t="s">
        <v>407</v>
      </c>
      <c r="D905" s="2" t="s">
        <v>410</v>
      </c>
      <c r="E905" s="2" t="s">
        <v>413</v>
      </c>
      <c r="F905" s="2" t="s">
        <v>39</v>
      </c>
      <c r="J905" s="2" t="s">
        <v>532</v>
      </c>
      <c r="K905" s="2" t="s">
        <v>533</v>
      </c>
      <c r="L905" s="2">
        <v>3</v>
      </c>
      <c r="M905" s="2" t="s">
        <v>537</v>
      </c>
      <c r="O905" s="2" t="s">
        <v>524</v>
      </c>
      <c r="Y905" s="2" t="s">
        <v>606</v>
      </c>
    </row>
    <row r="906" spans="1:25" x14ac:dyDescent="0.25">
      <c r="A906" s="2" t="s">
        <v>312</v>
      </c>
      <c r="B906" s="2" t="s">
        <v>531</v>
      </c>
      <c r="C906" s="2" t="s">
        <v>407</v>
      </c>
      <c r="D906" s="2" t="s">
        <v>410</v>
      </c>
      <c r="E906" s="2" t="s">
        <v>413</v>
      </c>
      <c r="F906" s="2" t="s">
        <v>39</v>
      </c>
      <c r="J906" s="2" t="s">
        <v>532</v>
      </c>
      <c r="K906" s="2" t="s">
        <v>533</v>
      </c>
      <c r="L906" s="2">
        <v>4</v>
      </c>
      <c r="M906" s="2" t="s">
        <v>538</v>
      </c>
      <c r="O906" s="2" t="s">
        <v>524</v>
      </c>
      <c r="Y906" s="2" t="s">
        <v>606</v>
      </c>
    </row>
    <row r="907" spans="1:25" x14ac:dyDescent="0.25">
      <c r="A907" s="2" t="s">
        <v>312</v>
      </c>
      <c r="B907" s="2" t="s">
        <v>531</v>
      </c>
      <c r="C907" s="2" t="s">
        <v>407</v>
      </c>
      <c r="D907" s="2" t="s">
        <v>410</v>
      </c>
      <c r="E907" s="2" t="s">
        <v>413</v>
      </c>
      <c r="F907" s="2" t="s">
        <v>39</v>
      </c>
      <c r="J907" s="2" t="s">
        <v>532</v>
      </c>
      <c r="K907" s="2" t="s">
        <v>533</v>
      </c>
      <c r="L907" s="2">
        <v>5</v>
      </c>
      <c r="M907" s="2" t="s">
        <v>539</v>
      </c>
      <c r="O907" s="2" t="s">
        <v>524</v>
      </c>
      <c r="Y907" s="2" t="s">
        <v>606</v>
      </c>
    </row>
    <row r="908" spans="1:25" x14ac:dyDescent="0.25">
      <c r="A908" s="2" t="s">
        <v>312</v>
      </c>
      <c r="B908" s="2" t="s">
        <v>540</v>
      </c>
      <c r="C908" s="2" t="s">
        <v>407</v>
      </c>
      <c r="D908" s="2" t="s">
        <v>410</v>
      </c>
      <c r="E908" s="2" t="s">
        <v>413</v>
      </c>
      <c r="F908" s="2" t="s">
        <v>39</v>
      </c>
      <c r="J908" s="2" t="s">
        <v>541</v>
      </c>
      <c r="K908" s="2" t="s">
        <v>542</v>
      </c>
      <c r="L908" s="2">
        <v>1</v>
      </c>
      <c r="M908" s="2" t="s">
        <v>543</v>
      </c>
      <c r="O908" s="2" t="s">
        <v>524</v>
      </c>
      <c r="Y908" s="2" t="s">
        <v>606</v>
      </c>
    </row>
    <row r="909" spans="1:25" x14ac:dyDescent="0.25">
      <c r="A909" s="2" t="s">
        <v>312</v>
      </c>
      <c r="B909" s="2" t="s">
        <v>540</v>
      </c>
      <c r="C909" s="2" t="s">
        <v>407</v>
      </c>
      <c r="D909" s="2" t="s">
        <v>410</v>
      </c>
      <c r="E909" s="2" t="s">
        <v>413</v>
      </c>
      <c r="F909" s="2" t="s">
        <v>39</v>
      </c>
      <c r="J909" s="2" t="s">
        <v>541</v>
      </c>
      <c r="K909" s="2" t="s">
        <v>542</v>
      </c>
      <c r="L909" s="2">
        <v>2</v>
      </c>
      <c r="M909" s="2" t="s">
        <v>544</v>
      </c>
      <c r="O909" s="2" t="s">
        <v>524</v>
      </c>
      <c r="Y909" s="2" t="s">
        <v>606</v>
      </c>
    </row>
    <row r="910" spans="1:25" x14ac:dyDescent="0.25">
      <c r="A910" s="2" t="s">
        <v>312</v>
      </c>
      <c r="B910" s="2" t="s">
        <v>540</v>
      </c>
      <c r="C910" s="2" t="s">
        <v>407</v>
      </c>
      <c r="D910" s="2" t="s">
        <v>410</v>
      </c>
      <c r="E910" s="2" t="s">
        <v>413</v>
      </c>
      <c r="F910" s="2" t="s">
        <v>39</v>
      </c>
      <c r="J910" s="2" t="s">
        <v>541</v>
      </c>
      <c r="K910" s="2" t="s">
        <v>542</v>
      </c>
      <c r="L910" s="2">
        <v>3</v>
      </c>
      <c r="M910" s="2" t="s">
        <v>545</v>
      </c>
      <c r="O910" s="2" t="s">
        <v>524</v>
      </c>
      <c r="Y910" s="2" t="s">
        <v>606</v>
      </c>
    </row>
    <row r="911" spans="1:25" x14ac:dyDescent="0.25">
      <c r="A911" s="2" t="s">
        <v>312</v>
      </c>
      <c r="B911" s="2" t="s">
        <v>540</v>
      </c>
      <c r="C911" s="2" t="s">
        <v>407</v>
      </c>
      <c r="D911" s="2" t="s">
        <v>410</v>
      </c>
      <c r="E911" s="2" t="s">
        <v>413</v>
      </c>
      <c r="F911" s="2" t="s">
        <v>39</v>
      </c>
      <c r="J911" s="2" t="s">
        <v>541</v>
      </c>
      <c r="K911" s="2" t="s">
        <v>542</v>
      </c>
      <c r="L911" s="2">
        <v>4</v>
      </c>
      <c r="M911" s="2" t="s">
        <v>546</v>
      </c>
      <c r="O911" s="2" t="s">
        <v>524</v>
      </c>
      <c r="Y911" s="2" t="s">
        <v>606</v>
      </c>
    </row>
    <row r="912" spans="1:25" x14ac:dyDescent="0.25">
      <c r="A912" s="2" t="s">
        <v>312</v>
      </c>
      <c r="B912" s="2" t="s">
        <v>540</v>
      </c>
      <c r="C912" s="2" t="s">
        <v>407</v>
      </c>
      <c r="D912" s="2" t="s">
        <v>410</v>
      </c>
      <c r="E912" s="2" t="s">
        <v>413</v>
      </c>
      <c r="F912" s="2" t="s">
        <v>39</v>
      </c>
      <c r="J912" s="2" t="s">
        <v>541</v>
      </c>
      <c r="K912" s="2" t="s">
        <v>542</v>
      </c>
      <c r="L912" s="2">
        <v>5</v>
      </c>
      <c r="M912" s="2" t="s">
        <v>547</v>
      </c>
      <c r="O912" s="2" t="s">
        <v>524</v>
      </c>
      <c r="Y912" s="2" t="s">
        <v>606</v>
      </c>
    </row>
    <row r="913" spans="1:34" x14ac:dyDescent="0.25">
      <c r="A913" s="2" t="s">
        <v>312</v>
      </c>
      <c r="B913" s="2" t="s">
        <v>540</v>
      </c>
      <c r="C913" s="2" t="s">
        <v>407</v>
      </c>
      <c r="D913" s="2" t="s">
        <v>410</v>
      </c>
      <c r="E913" s="2" t="s">
        <v>413</v>
      </c>
      <c r="F913" s="2" t="s">
        <v>39</v>
      </c>
      <c r="J913" s="2" t="s">
        <v>541</v>
      </c>
      <c r="K913" s="2" t="s">
        <v>542</v>
      </c>
      <c r="L913" s="2">
        <v>6</v>
      </c>
      <c r="M913" s="2" t="s">
        <v>548</v>
      </c>
      <c r="O913" s="2" t="s">
        <v>524</v>
      </c>
      <c r="Y913" s="2" t="s">
        <v>606</v>
      </c>
    </row>
    <row r="914" spans="1:34" x14ac:dyDescent="0.25">
      <c r="A914" s="2" t="s">
        <v>312</v>
      </c>
      <c r="B914" s="2" t="s">
        <v>540</v>
      </c>
      <c r="C914" s="2" t="s">
        <v>407</v>
      </c>
      <c r="D914" s="2" t="s">
        <v>410</v>
      </c>
      <c r="E914" s="2" t="s">
        <v>413</v>
      </c>
      <c r="F914" s="2" t="s">
        <v>39</v>
      </c>
      <c r="J914" s="2" t="s">
        <v>541</v>
      </c>
      <c r="K914" s="2" t="s">
        <v>542</v>
      </c>
      <c r="L914" s="2">
        <v>7</v>
      </c>
      <c r="M914" s="2" t="s">
        <v>549</v>
      </c>
      <c r="O914" s="2" t="s">
        <v>524</v>
      </c>
      <c r="Y914" s="2" t="s">
        <v>606</v>
      </c>
    </row>
    <row r="915" spans="1:34" x14ac:dyDescent="0.25">
      <c r="A915" s="2" t="s">
        <v>312</v>
      </c>
      <c r="B915" s="2" t="s">
        <v>540</v>
      </c>
      <c r="C915" s="2" t="s">
        <v>407</v>
      </c>
      <c r="D915" s="2" t="s">
        <v>410</v>
      </c>
      <c r="E915" s="2" t="s">
        <v>413</v>
      </c>
      <c r="F915" s="2" t="s">
        <v>39</v>
      </c>
      <c r="J915" s="2" t="s">
        <v>541</v>
      </c>
      <c r="K915" s="2" t="s">
        <v>542</v>
      </c>
      <c r="L915" s="2">
        <v>8</v>
      </c>
      <c r="M915" s="2" t="s">
        <v>550</v>
      </c>
      <c r="O915" s="2" t="s">
        <v>524</v>
      </c>
      <c r="Y915" s="2" t="s">
        <v>606</v>
      </c>
    </row>
    <row r="916" spans="1:34" x14ac:dyDescent="0.25">
      <c r="A916" s="2" t="s">
        <v>312</v>
      </c>
      <c r="B916" s="2" t="s">
        <v>540</v>
      </c>
      <c r="C916" s="2" t="s">
        <v>407</v>
      </c>
      <c r="D916" s="2" t="s">
        <v>410</v>
      </c>
      <c r="E916" s="2" t="s">
        <v>413</v>
      </c>
      <c r="F916" s="2" t="s">
        <v>39</v>
      </c>
      <c r="J916" s="2" t="s">
        <v>541</v>
      </c>
      <c r="K916" s="2" t="s">
        <v>542</v>
      </c>
      <c r="L916" s="2">
        <v>9</v>
      </c>
      <c r="M916" s="2" t="s">
        <v>551</v>
      </c>
      <c r="O916" s="2" t="s">
        <v>524</v>
      </c>
      <c r="Y916" s="2" t="s">
        <v>606</v>
      </c>
    </row>
    <row r="917" spans="1:34" x14ac:dyDescent="0.25">
      <c r="A917" s="2" t="s">
        <v>312</v>
      </c>
      <c r="B917" s="2" t="s">
        <v>540</v>
      </c>
      <c r="C917" s="2" t="s">
        <v>407</v>
      </c>
      <c r="D917" s="2" t="s">
        <v>410</v>
      </c>
      <c r="E917" s="2" t="s">
        <v>413</v>
      </c>
      <c r="F917" s="2" t="s">
        <v>39</v>
      </c>
      <c r="J917" s="2" t="s">
        <v>541</v>
      </c>
      <c r="K917" s="2" t="s">
        <v>542</v>
      </c>
      <c r="L917" s="2">
        <v>10</v>
      </c>
      <c r="M917" s="2" t="s">
        <v>552</v>
      </c>
      <c r="O917" s="2" t="s">
        <v>524</v>
      </c>
      <c r="Y917" s="2" t="s">
        <v>606</v>
      </c>
    </row>
    <row r="918" spans="1:34" x14ac:dyDescent="0.25">
      <c r="A918" s="2" t="s">
        <v>312</v>
      </c>
      <c r="B918" s="2" t="s">
        <v>540</v>
      </c>
      <c r="C918" s="2" t="s">
        <v>407</v>
      </c>
      <c r="D918" s="2" t="s">
        <v>410</v>
      </c>
      <c r="E918" s="2" t="s">
        <v>413</v>
      </c>
      <c r="F918" s="2" t="s">
        <v>39</v>
      </c>
      <c r="J918" s="2" t="s">
        <v>541</v>
      </c>
      <c r="K918" s="2" t="s">
        <v>542</v>
      </c>
      <c r="L918" s="2">
        <v>11</v>
      </c>
      <c r="M918" s="2" t="s">
        <v>553</v>
      </c>
      <c r="O918" s="2" t="s">
        <v>524</v>
      </c>
      <c r="Y918" s="2" t="s">
        <v>606</v>
      </c>
    </row>
    <row r="919" spans="1:34" x14ac:dyDescent="0.25">
      <c r="A919" s="2" t="s">
        <v>312</v>
      </c>
      <c r="B919" s="2" t="s">
        <v>540</v>
      </c>
      <c r="C919" s="2" t="s">
        <v>407</v>
      </c>
      <c r="D919" s="2" t="s">
        <v>410</v>
      </c>
      <c r="E919" s="2" t="s">
        <v>413</v>
      </c>
      <c r="F919" s="2" t="s">
        <v>39</v>
      </c>
      <c r="J919" s="2" t="s">
        <v>541</v>
      </c>
      <c r="K919" s="2" t="s">
        <v>542</v>
      </c>
      <c r="L919" s="2">
        <v>12</v>
      </c>
      <c r="M919" s="2" t="s">
        <v>554</v>
      </c>
      <c r="O919" s="2" t="s">
        <v>524</v>
      </c>
      <c r="Y919" s="2" t="s">
        <v>606</v>
      </c>
    </row>
    <row r="920" spans="1:34" x14ac:dyDescent="0.25">
      <c r="A920" s="2" t="s">
        <v>312</v>
      </c>
      <c r="B920" s="2" t="s">
        <v>555</v>
      </c>
      <c r="C920" s="2" t="s">
        <v>407</v>
      </c>
      <c r="D920" s="2" t="s">
        <v>410</v>
      </c>
      <c r="E920" s="2" t="s">
        <v>413</v>
      </c>
      <c r="F920" s="2" t="s">
        <v>39</v>
      </c>
      <c r="J920" s="2" t="s">
        <v>556</v>
      </c>
      <c r="O920" s="2" t="s">
        <v>524</v>
      </c>
      <c r="Y920" s="2" t="s">
        <v>606</v>
      </c>
      <c r="AB920" s="2">
        <v>1</v>
      </c>
    </row>
    <row r="921" spans="1:34" x14ac:dyDescent="0.25">
      <c r="A921" s="2" t="s">
        <v>312</v>
      </c>
      <c r="B921" s="2" t="s">
        <v>557</v>
      </c>
      <c r="C921" s="2" t="s">
        <v>407</v>
      </c>
      <c r="D921" s="2" t="s">
        <v>410</v>
      </c>
      <c r="E921" s="2" t="s">
        <v>413</v>
      </c>
      <c r="F921" s="2" t="s">
        <v>39</v>
      </c>
      <c r="J921" s="2" t="s">
        <v>558</v>
      </c>
      <c r="O921" s="2" t="s">
        <v>524</v>
      </c>
      <c r="Y921" s="2" t="s">
        <v>606</v>
      </c>
      <c r="AC921" s="2">
        <f>COUNTIFS($B:$B,"BLOCK_LOAD_Q",$A:$A,$A921,$C:$C,$C921,$E:$E,$E921,$F:$F,$F921,$N:$N, "&lt;&gt;")</f>
        <v>0</v>
      </c>
      <c r="AD921" s="2">
        <f>COUNTIFS($B:$B,"BLOCK_TRUST_Q",$A:$A,$A921,$C:$C,$C921,$E:$E,$E921,$F:$F,$F921,$N:$N, "&lt;&gt;")</f>
        <v>0</v>
      </c>
      <c r="AE921" s="2" t="str">
        <f>IFERROR(AVERAGEIFS($P:$P,$B:$B,"BLOCK_LOAD_Q",$A:$A,$A921,$C:$C,$C921,$E:$E,$E921,$F:$F,$F921,$P:$P,"&gt;0"),"")</f>
        <v/>
      </c>
      <c r="AF921" s="2" t="str">
        <f>IFERROR(AVERAGEIFS($P:$P,$B:$B,"BLOCK_TRUST_Q",$A:$A,$A921,$C:$C,$C921,$E:$E,$E921,$F:$F,$F921,$P:$P,"&gt;0"),"")</f>
        <v/>
      </c>
      <c r="AG921" s="2">
        <f>5-AC921</f>
        <v>5</v>
      </c>
      <c r="AH921" s="2">
        <f>12-AD921</f>
        <v>12</v>
      </c>
    </row>
    <row r="922" spans="1:34" x14ac:dyDescent="0.25">
      <c r="A922" s="2" t="s">
        <v>312</v>
      </c>
      <c r="B922" s="2" t="s">
        <v>402</v>
      </c>
      <c r="C922" s="2" t="s">
        <v>407</v>
      </c>
      <c r="D922" s="2" t="s">
        <v>410</v>
      </c>
      <c r="E922" s="2" t="s">
        <v>414</v>
      </c>
      <c r="F922" s="2" t="s">
        <v>40</v>
      </c>
      <c r="G922" s="2" t="s">
        <v>415</v>
      </c>
      <c r="H922" s="2" t="s">
        <v>354</v>
      </c>
      <c r="S922" s="2" t="s">
        <v>59</v>
      </c>
      <c r="U922" s="2" t="s">
        <v>59</v>
      </c>
      <c r="W922" s="2" t="s">
        <v>58</v>
      </c>
    </row>
    <row r="923" spans="1:34" x14ac:dyDescent="0.25">
      <c r="A923" s="2" t="s">
        <v>312</v>
      </c>
      <c r="B923" s="2" t="s">
        <v>402</v>
      </c>
      <c r="C923" s="2" t="s">
        <v>407</v>
      </c>
      <c r="D923" s="2" t="s">
        <v>410</v>
      </c>
      <c r="E923" s="2" t="s">
        <v>414</v>
      </c>
      <c r="F923" s="2" t="s">
        <v>40</v>
      </c>
      <c r="G923" s="2" t="s">
        <v>416</v>
      </c>
      <c r="H923" s="2" t="s">
        <v>559</v>
      </c>
      <c r="S923" s="2" t="s">
        <v>57</v>
      </c>
      <c r="U923" s="2" t="s">
        <v>57</v>
      </c>
      <c r="W923" s="2" t="s">
        <v>58</v>
      </c>
    </row>
    <row r="924" spans="1:34" x14ac:dyDescent="0.25">
      <c r="A924" s="2" t="s">
        <v>312</v>
      </c>
      <c r="B924" s="2" t="s">
        <v>402</v>
      </c>
      <c r="C924" s="2" t="s">
        <v>407</v>
      </c>
      <c r="D924" s="2" t="s">
        <v>410</v>
      </c>
      <c r="E924" s="2" t="s">
        <v>414</v>
      </c>
      <c r="F924" s="2" t="s">
        <v>40</v>
      </c>
      <c r="G924" s="2" t="s">
        <v>417</v>
      </c>
      <c r="H924" s="2" t="s">
        <v>370</v>
      </c>
      <c r="S924" s="2" t="s">
        <v>60</v>
      </c>
      <c r="U924" s="2" t="s">
        <v>58</v>
      </c>
      <c r="W924" s="2" t="s">
        <v>59</v>
      </c>
    </row>
    <row r="925" spans="1:34" x14ac:dyDescent="0.25">
      <c r="A925" s="2" t="s">
        <v>312</v>
      </c>
      <c r="B925" s="2" t="s">
        <v>402</v>
      </c>
      <c r="C925" s="2" t="s">
        <v>407</v>
      </c>
      <c r="D925" s="2" t="s">
        <v>410</v>
      </c>
      <c r="E925" s="2" t="s">
        <v>414</v>
      </c>
      <c r="F925" s="2" t="s">
        <v>40</v>
      </c>
      <c r="G925" s="2" t="s">
        <v>418</v>
      </c>
      <c r="H925" s="2" t="s">
        <v>560</v>
      </c>
      <c r="S925" s="2" t="s">
        <v>57</v>
      </c>
      <c r="U925" s="2" t="s">
        <v>58</v>
      </c>
      <c r="W925" s="2" t="s">
        <v>60</v>
      </c>
    </row>
    <row r="926" spans="1:34" x14ac:dyDescent="0.25">
      <c r="A926" s="2" t="s">
        <v>312</v>
      </c>
      <c r="B926" s="2" t="s">
        <v>531</v>
      </c>
      <c r="C926" s="2" t="s">
        <v>407</v>
      </c>
      <c r="D926" s="2" t="s">
        <v>410</v>
      </c>
      <c r="E926" s="2" t="s">
        <v>414</v>
      </c>
      <c r="F926" s="2" t="s">
        <v>40</v>
      </c>
      <c r="J926" s="2" t="s">
        <v>532</v>
      </c>
      <c r="K926" s="2" t="s">
        <v>533</v>
      </c>
      <c r="L926" s="2">
        <v>1</v>
      </c>
      <c r="M926" s="2" t="s">
        <v>534</v>
      </c>
      <c r="O926" s="2" t="s">
        <v>524</v>
      </c>
      <c r="Y926" s="2" t="s">
        <v>607</v>
      </c>
    </row>
    <row r="927" spans="1:34" x14ac:dyDescent="0.25">
      <c r="A927" s="2" t="s">
        <v>312</v>
      </c>
      <c r="B927" s="2" t="s">
        <v>531</v>
      </c>
      <c r="C927" s="2" t="s">
        <v>407</v>
      </c>
      <c r="D927" s="2" t="s">
        <v>410</v>
      </c>
      <c r="E927" s="2" t="s">
        <v>414</v>
      </c>
      <c r="F927" s="2" t="s">
        <v>40</v>
      </c>
      <c r="J927" s="2" t="s">
        <v>532</v>
      </c>
      <c r="K927" s="2" t="s">
        <v>533</v>
      </c>
      <c r="L927" s="2">
        <v>2</v>
      </c>
      <c r="M927" s="2" t="s">
        <v>536</v>
      </c>
      <c r="O927" s="2" t="s">
        <v>524</v>
      </c>
      <c r="Y927" s="2" t="s">
        <v>607</v>
      </c>
    </row>
    <row r="928" spans="1:34" x14ac:dyDescent="0.25">
      <c r="A928" s="2" t="s">
        <v>312</v>
      </c>
      <c r="B928" s="2" t="s">
        <v>531</v>
      </c>
      <c r="C928" s="2" t="s">
        <v>407</v>
      </c>
      <c r="D928" s="2" t="s">
        <v>410</v>
      </c>
      <c r="E928" s="2" t="s">
        <v>414</v>
      </c>
      <c r="F928" s="2" t="s">
        <v>40</v>
      </c>
      <c r="J928" s="2" t="s">
        <v>532</v>
      </c>
      <c r="K928" s="2" t="s">
        <v>533</v>
      </c>
      <c r="L928" s="2">
        <v>3</v>
      </c>
      <c r="M928" s="2" t="s">
        <v>537</v>
      </c>
      <c r="O928" s="2" t="s">
        <v>524</v>
      </c>
      <c r="Y928" s="2" t="s">
        <v>607</v>
      </c>
    </row>
    <row r="929" spans="1:34" x14ac:dyDescent="0.25">
      <c r="A929" s="2" t="s">
        <v>312</v>
      </c>
      <c r="B929" s="2" t="s">
        <v>531</v>
      </c>
      <c r="C929" s="2" t="s">
        <v>407</v>
      </c>
      <c r="D929" s="2" t="s">
        <v>410</v>
      </c>
      <c r="E929" s="2" t="s">
        <v>414</v>
      </c>
      <c r="F929" s="2" t="s">
        <v>40</v>
      </c>
      <c r="J929" s="2" t="s">
        <v>532</v>
      </c>
      <c r="K929" s="2" t="s">
        <v>533</v>
      </c>
      <c r="L929" s="2">
        <v>4</v>
      </c>
      <c r="M929" s="2" t="s">
        <v>538</v>
      </c>
      <c r="O929" s="2" t="s">
        <v>524</v>
      </c>
      <c r="Y929" s="2" t="s">
        <v>607</v>
      </c>
    </row>
    <row r="930" spans="1:34" x14ac:dyDescent="0.25">
      <c r="A930" s="2" t="s">
        <v>312</v>
      </c>
      <c r="B930" s="2" t="s">
        <v>531</v>
      </c>
      <c r="C930" s="2" t="s">
        <v>407</v>
      </c>
      <c r="D930" s="2" t="s">
        <v>410</v>
      </c>
      <c r="E930" s="2" t="s">
        <v>414</v>
      </c>
      <c r="F930" s="2" t="s">
        <v>40</v>
      </c>
      <c r="J930" s="2" t="s">
        <v>532</v>
      </c>
      <c r="K930" s="2" t="s">
        <v>533</v>
      </c>
      <c r="L930" s="2">
        <v>5</v>
      </c>
      <c r="M930" s="2" t="s">
        <v>539</v>
      </c>
      <c r="O930" s="2" t="s">
        <v>524</v>
      </c>
      <c r="Y930" s="2" t="s">
        <v>607</v>
      </c>
    </row>
    <row r="931" spans="1:34" x14ac:dyDescent="0.25">
      <c r="A931" s="2" t="s">
        <v>312</v>
      </c>
      <c r="B931" s="2" t="s">
        <v>540</v>
      </c>
      <c r="C931" s="2" t="s">
        <v>407</v>
      </c>
      <c r="D931" s="2" t="s">
        <v>410</v>
      </c>
      <c r="E931" s="2" t="s">
        <v>414</v>
      </c>
      <c r="F931" s="2" t="s">
        <v>40</v>
      </c>
      <c r="J931" s="2" t="s">
        <v>541</v>
      </c>
      <c r="K931" s="2" t="s">
        <v>542</v>
      </c>
      <c r="L931" s="2">
        <v>1</v>
      </c>
      <c r="M931" s="2" t="s">
        <v>543</v>
      </c>
      <c r="O931" s="2" t="s">
        <v>524</v>
      </c>
      <c r="Y931" s="2" t="s">
        <v>607</v>
      </c>
    </row>
    <row r="932" spans="1:34" x14ac:dyDescent="0.25">
      <c r="A932" s="2" t="s">
        <v>312</v>
      </c>
      <c r="B932" s="2" t="s">
        <v>540</v>
      </c>
      <c r="C932" s="2" t="s">
        <v>407</v>
      </c>
      <c r="D932" s="2" t="s">
        <v>410</v>
      </c>
      <c r="E932" s="2" t="s">
        <v>414</v>
      </c>
      <c r="F932" s="2" t="s">
        <v>40</v>
      </c>
      <c r="J932" s="2" t="s">
        <v>541</v>
      </c>
      <c r="K932" s="2" t="s">
        <v>542</v>
      </c>
      <c r="L932" s="2">
        <v>2</v>
      </c>
      <c r="M932" s="2" t="s">
        <v>544</v>
      </c>
      <c r="O932" s="2" t="s">
        <v>524</v>
      </c>
      <c r="Y932" s="2" t="s">
        <v>607</v>
      </c>
    </row>
    <row r="933" spans="1:34" x14ac:dyDescent="0.25">
      <c r="A933" s="2" t="s">
        <v>312</v>
      </c>
      <c r="B933" s="2" t="s">
        <v>540</v>
      </c>
      <c r="C933" s="2" t="s">
        <v>407</v>
      </c>
      <c r="D933" s="2" t="s">
        <v>410</v>
      </c>
      <c r="E933" s="2" t="s">
        <v>414</v>
      </c>
      <c r="F933" s="2" t="s">
        <v>40</v>
      </c>
      <c r="J933" s="2" t="s">
        <v>541</v>
      </c>
      <c r="K933" s="2" t="s">
        <v>542</v>
      </c>
      <c r="L933" s="2">
        <v>3</v>
      </c>
      <c r="M933" s="2" t="s">
        <v>545</v>
      </c>
      <c r="O933" s="2" t="s">
        <v>524</v>
      </c>
      <c r="Y933" s="2" t="s">
        <v>607</v>
      </c>
    </row>
    <row r="934" spans="1:34" x14ac:dyDescent="0.25">
      <c r="A934" s="2" t="s">
        <v>312</v>
      </c>
      <c r="B934" s="2" t="s">
        <v>540</v>
      </c>
      <c r="C934" s="2" t="s">
        <v>407</v>
      </c>
      <c r="D934" s="2" t="s">
        <v>410</v>
      </c>
      <c r="E934" s="2" t="s">
        <v>414</v>
      </c>
      <c r="F934" s="2" t="s">
        <v>40</v>
      </c>
      <c r="J934" s="2" t="s">
        <v>541</v>
      </c>
      <c r="K934" s="2" t="s">
        <v>542</v>
      </c>
      <c r="L934" s="2">
        <v>4</v>
      </c>
      <c r="M934" s="2" t="s">
        <v>546</v>
      </c>
      <c r="O934" s="2" t="s">
        <v>524</v>
      </c>
      <c r="Y934" s="2" t="s">
        <v>607</v>
      </c>
    </row>
    <row r="935" spans="1:34" x14ac:dyDescent="0.25">
      <c r="A935" s="2" t="s">
        <v>312</v>
      </c>
      <c r="B935" s="2" t="s">
        <v>540</v>
      </c>
      <c r="C935" s="2" t="s">
        <v>407</v>
      </c>
      <c r="D935" s="2" t="s">
        <v>410</v>
      </c>
      <c r="E935" s="2" t="s">
        <v>414</v>
      </c>
      <c r="F935" s="2" t="s">
        <v>40</v>
      </c>
      <c r="J935" s="2" t="s">
        <v>541</v>
      </c>
      <c r="K935" s="2" t="s">
        <v>542</v>
      </c>
      <c r="L935" s="2">
        <v>5</v>
      </c>
      <c r="M935" s="2" t="s">
        <v>547</v>
      </c>
      <c r="O935" s="2" t="s">
        <v>524</v>
      </c>
      <c r="Y935" s="2" t="s">
        <v>607</v>
      </c>
    </row>
    <row r="936" spans="1:34" x14ac:dyDescent="0.25">
      <c r="A936" s="2" t="s">
        <v>312</v>
      </c>
      <c r="B936" s="2" t="s">
        <v>540</v>
      </c>
      <c r="C936" s="2" t="s">
        <v>407</v>
      </c>
      <c r="D936" s="2" t="s">
        <v>410</v>
      </c>
      <c r="E936" s="2" t="s">
        <v>414</v>
      </c>
      <c r="F936" s="2" t="s">
        <v>40</v>
      </c>
      <c r="J936" s="2" t="s">
        <v>541</v>
      </c>
      <c r="K936" s="2" t="s">
        <v>542</v>
      </c>
      <c r="L936" s="2">
        <v>6</v>
      </c>
      <c r="M936" s="2" t="s">
        <v>548</v>
      </c>
      <c r="O936" s="2" t="s">
        <v>524</v>
      </c>
      <c r="Y936" s="2" t="s">
        <v>607</v>
      </c>
    </row>
    <row r="937" spans="1:34" x14ac:dyDescent="0.25">
      <c r="A937" s="2" t="s">
        <v>312</v>
      </c>
      <c r="B937" s="2" t="s">
        <v>540</v>
      </c>
      <c r="C937" s="2" t="s">
        <v>407</v>
      </c>
      <c r="D937" s="2" t="s">
        <v>410</v>
      </c>
      <c r="E937" s="2" t="s">
        <v>414</v>
      </c>
      <c r="F937" s="2" t="s">
        <v>40</v>
      </c>
      <c r="J937" s="2" t="s">
        <v>541</v>
      </c>
      <c r="K937" s="2" t="s">
        <v>542</v>
      </c>
      <c r="L937" s="2">
        <v>7</v>
      </c>
      <c r="M937" s="2" t="s">
        <v>549</v>
      </c>
      <c r="O937" s="2" t="s">
        <v>524</v>
      </c>
      <c r="Y937" s="2" t="s">
        <v>607</v>
      </c>
    </row>
    <row r="938" spans="1:34" x14ac:dyDescent="0.25">
      <c r="A938" s="2" t="s">
        <v>312</v>
      </c>
      <c r="B938" s="2" t="s">
        <v>540</v>
      </c>
      <c r="C938" s="2" t="s">
        <v>407</v>
      </c>
      <c r="D938" s="2" t="s">
        <v>410</v>
      </c>
      <c r="E938" s="2" t="s">
        <v>414</v>
      </c>
      <c r="F938" s="2" t="s">
        <v>40</v>
      </c>
      <c r="J938" s="2" t="s">
        <v>541</v>
      </c>
      <c r="K938" s="2" t="s">
        <v>542</v>
      </c>
      <c r="L938" s="2">
        <v>8</v>
      </c>
      <c r="M938" s="2" t="s">
        <v>550</v>
      </c>
      <c r="O938" s="2" t="s">
        <v>524</v>
      </c>
      <c r="Y938" s="2" t="s">
        <v>607</v>
      </c>
    </row>
    <row r="939" spans="1:34" x14ac:dyDescent="0.25">
      <c r="A939" s="2" t="s">
        <v>312</v>
      </c>
      <c r="B939" s="2" t="s">
        <v>540</v>
      </c>
      <c r="C939" s="2" t="s">
        <v>407</v>
      </c>
      <c r="D939" s="2" t="s">
        <v>410</v>
      </c>
      <c r="E939" s="2" t="s">
        <v>414</v>
      </c>
      <c r="F939" s="2" t="s">
        <v>40</v>
      </c>
      <c r="J939" s="2" t="s">
        <v>541</v>
      </c>
      <c r="K939" s="2" t="s">
        <v>542</v>
      </c>
      <c r="L939" s="2">
        <v>9</v>
      </c>
      <c r="M939" s="2" t="s">
        <v>551</v>
      </c>
      <c r="O939" s="2" t="s">
        <v>524</v>
      </c>
      <c r="Y939" s="2" t="s">
        <v>607</v>
      </c>
    </row>
    <row r="940" spans="1:34" x14ac:dyDescent="0.25">
      <c r="A940" s="2" t="s">
        <v>312</v>
      </c>
      <c r="B940" s="2" t="s">
        <v>540</v>
      </c>
      <c r="C940" s="2" t="s">
        <v>407</v>
      </c>
      <c r="D940" s="2" t="s">
        <v>410</v>
      </c>
      <c r="E940" s="2" t="s">
        <v>414</v>
      </c>
      <c r="F940" s="2" t="s">
        <v>40</v>
      </c>
      <c r="J940" s="2" t="s">
        <v>541</v>
      </c>
      <c r="K940" s="2" t="s">
        <v>542</v>
      </c>
      <c r="L940" s="2">
        <v>10</v>
      </c>
      <c r="M940" s="2" t="s">
        <v>552</v>
      </c>
      <c r="O940" s="2" t="s">
        <v>524</v>
      </c>
      <c r="Y940" s="2" t="s">
        <v>607</v>
      </c>
    </row>
    <row r="941" spans="1:34" x14ac:dyDescent="0.25">
      <c r="A941" s="2" t="s">
        <v>312</v>
      </c>
      <c r="B941" s="2" t="s">
        <v>540</v>
      </c>
      <c r="C941" s="2" t="s">
        <v>407</v>
      </c>
      <c r="D941" s="2" t="s">
        <v>410</v>
      </c>
      <c r="E941" s="2" t="s">
        <v>414</v>
      </c>
      <c r="F941" s="2" t="s">
        <v>40</v>
      </c>
      <c r="J941" s="2" t="s">
        <v>541</v>
      </c>
      <c r="K941" s="2" t="s">
        <v>542</v>
      </c>
      <c r="L941" s="2">
        <v>11</v>
      </c>
      <c r="M941" s="2" t="s">
        <v>553</v>
      </c>
      <c r="O941" s="2" t="s">
        <v>524</v>
      </c>
      <c r="Y941" s="2" t="s">
        <v>607</v>
      </c>
    </row>
    <row r="942" spans="1:34" x14ac:dyDescent="0.25">
      <c r="A942" s="2" t="s">
        <v>312</v>
      </c>
      <c r="B942" s="2" t="s">
        <v>540</v>
      </c>
      <c r="C942" s="2" t="s">
        <v>407</v>
      </c>
      <c r="D942" s="2" t="s">
        <v>410</v>
      </c>
      <c r="E942" s="2" t="s">
        <v>414</v>
      </c>
      <c r="F942" s="2" t="s">
        <v>40</v>
      </c>
      <c r="J942" s="2" t="s">
        <v>541</v>
      </c>
      <c r="K942" s="2" t="s">
        <v>542</v>
      </c>
      <c r="L942" s="2">
        <v>12</v>
      </c>
      <c r="M942" s="2" t="s">
        <v>554</v>
      </c>
      <c r="O942" s="2" t="s">
        <v>524</v>
      </c>
      <c r="Y942" s="2" t="s">
        <v>607</v>
      </c>
    </row>
    <row r="943" spans="1:34" x14ac:dyDescent="0.25">
      <c r="A943" s="2" t="s">
        <v>312</v>
      </c>
      <c r="B943" s="2" t="s">
        <v>555</v>
      </c>
      <c r="C943" s="2" t="s">
        <v>407</v>
      </c>
      <c r="D943" s="2" t="s">
        <v>410</v>
      </c>
      <c r="E943" s="2" t="s">
        <v>414</v>
      </c>
      <c r="F943" s="2" t="s">
        <v>40</v>
      </c>
      <c r="J943" s="2" t="s">
        <v>556</v>
      </c>
      <c r="O943" s="2" t="s">
        <v>524</v>
      </c>
      <c r="Y943" s="2" t="s">
        <v>607</v>
      </c>
      <c r="AB943" s="2">
        <v>2</v>
      </c>
    </row>
    <row r="944" spans="1:34" x14ac:dyDescent="0.25">
      <c r="A944" s="2" t="s">
        <v>312</v>
      </c>
      <c r="B944" s="2" t="s">
        <v>557</v>
      </c>
      <c r="C944" s="2" t="s">
        <v>407</v>
      </c>
      <c r="D944" s="2" t="s">
        <v>410</v>
      </c>
      <c r="E944" s="2" t="s">
        <v>414</v>
      </c>
      <c r="F944" s="2" t="s">
        <v>40</v>
      </c>
      <c r="J944" s="2" t="s">
        <v>558</v>
      </c>
      <c r="O944" s="2" t="s">
        <v>524</v>
      </c>
      <c r="Y944" s="2" t="s">
        <v>607</v>
      </c>
      <c r="AC944" s="2">
        <f>COUNTIFS($B:$B,"BLOCK_LOAD_Q",$A:$A,$A944,$C:$C,$C944,$E:$E,$E944,$F:$F,$F944,$N:$N, "&lt;&gt;")</f>
        <v>0</v>
      </c>
      <c r="AD944" s="2">
        <f>COUNTIFS($B:$B,"BLOCK_TRUST_Q",$A:$A,$A944,$C:$C,$C944,$E:$E,$E944,$F:$F,$F944,$N:$N, "&lt;&gt;")</f>
        <v>0</v>
      </c>
      <c r="AE944" s="2" t="str">
        <f>IFERROR(AVERAGEIFS($P:$P,$B:$B,"BLOCK_LOAD_Q",$A:$A,$A944,$C:$C,$C944,$E:$E,$E944,$F:$F,$F944,$P:$P,"&gt;0"),"")</f>
        <v/>
      </c>
      <c r="AF944" s="2" t="str">
        <f>IFERROR(AVERAGEIFS($P:$P,$B:$B,"BLOCK_TRUST_Q",$A:$A,$A944,$C:$C,$C944,$E:$E,$E944,$F:$F,$F944,$P:$P,"&gt;0"),"")</f>
        <v/>
      </c>
      <c r="AG944" s="2">
        <f>5-AC944</f>
        <v>5</v>
      </c>
      <c r="AH944" s="2">
        <f>12-AD944</f>
        <v>12</v>
      </c>
    </row>
    <row r="945" spans="1:26" x14ac:dyDescent="0.25">
      <c r="A945" s="2" t="s">
        <v>312</v>
      </c>
      <c r="B945" s="2" t="s">
        <v>403</v>
      </c>
      <c r="C945" s="2" t="s">
        <v>407</v>
      </c>
      <c r="D945" s="2" t="s">
        <v>410</v>
      </c>
      <c r="Z945" s="2" t="s">
        <v>438</v>
      </c>
    </row>
    <row r="946" spans="1:26" x14ac:dyDescent="0.25">
      <c r="A946" s="2" t="s">
        <v>312</v>
      </c>
      <c r="B946" s="2" t="s">
        <v>402</v>
      </c>
      <c r="C946" s="2" t="s">
        <v>408</v>
      </c>
      <c r="D946" s="2" t="s">
        <v>411</v>
      </c>
      <c r="E946" s="2" t="s">
        <v>413</v>
      </c>
      <c r="F946" s="2" t="s">
        <v>39</v>
      </c>
      <c r="G946" s="2" t="s">
        <v>415</v>
      </c>
      <c r="H946" s="2" t="s">
        <v>349</v>
      </c>
      <c r="S946" s="2" t="s">
        <v>58</v>
      </c>
      <c r="U946" s="2" t="s">
        <v>60</v>
      </c>
      <c r="W946" s="2" t="s">
        <v>58</v>
      </c>
    </row>
    <row r="947" spans="1:26" x14ac:dyDescent="0.25">
      <c r="A947" s="2" t="s">
        <v>312</v>
      </c>
      <c r="B947" s="2" t="s">
        <v>402</v>
      </c>
      <c r="C947" s="2" t="s">
        <v>408</v>
      </c>
      <c r="D947" s="2" t="s">
        <v>411</v>
      </c>
      <c r="E947" s="2" t="s">
        <v>413</v>
      </c>
      <c r="F947" s="2" t="s">
        <v>39</v>
      </c>
      <c r="G947" s="2" t="s">
        <v>416</v>
      </c>
      <c r="H947" s="2" t="s">
        <v>565</v>
      </c>
      <c r="S947" s="2" t="s">
        <v>59</v>
      </c>
      <c r="U947" s="2" t="s">
        <v>60</v>
      </c>
      <c r="W947" s="2" t="s">
        <v>60</v>
      </c>
    </row>
    <row r="948" spans="1:26" x14ac:dyDescent="0.25">
      <c r="A948" s="2" t="s">
        <v>312</v>
      </c>
      <c r="B948" s="2" t="s">
        <v>402</v>
      </c>
      <c r="C948" s="2" t="s">
        <v>408</v>
      </c>
      <c r="D948" s="2" t="s">
        <v>411</v>
      </c>
      <c r="E948" s="2" t="s">
        <v>413</v>
      </c>
      <c r="F948" s="2" t="s">
        <v>39</v>
      </c>
      <c r="G948" s="2" t="s">
        <v>417</v>
      </c>
      <c r="H948" s="2" t="s">
        <v>361</v>
      </c>
      <c r="S948" s="2" t="s">
        <v>60</v>
      </c>
      <c r="U948" s="2" t="s">
        <v>60</v>
      </c>
      <c r="W948" s="2" t="s">
        <v>60</v>
      </c>
    </row>
    <row r="949" spans="1:26" x14ac:dyDescent="0.25">
      <c r="A949" s="2" t="s">
        <v>312</v>
      </c>
      <c r="B949" s="2" t="s">
        <v>402</v>
      </c>
      <c r="C949" s="2" t="s">
        <v>408</v>
      </c>
      <c r="D949" s="2" t="s">
        <v>411</v>
      </c>
      <c r="E949" s="2" t="s">
        <v>413</v>
      </c>
      <c r="F949" s="2" t="s">
        <v>39</v>
      </c>
      <c r="G949" s="2" t="s">
        <v>418</v>
      </c>
      <c r="H949" s="2" t="s">
        <v>353</v>
      </c>
      <c r="S949" s="2" t="s">
        <v>58</v>
      </c>
      <c r="U949" s="2" t="s">
        <v>59</v>
      </c>
      <c r="W949" s="2" t="s">
        <v>58</v>
      </c>
    </row>
    <row r="950" spans="1:26" x14ac:dyDescent="0.25">
      <c r="A950" s="2" t="s">
        <v>312</v>
      </c>
      <c r="B950" s="2" t="s">
        <v>402</v>
      </c>
      <c r="C950" s="2" t="s">
        <v>408</v>
      </c>
      <c r="D950" s="2" t="s">
        <v>411</v>
      </c>
      <c r="E950" s="2" t="s">
        <v>413</v>
      </c>
      <c r="F950" s="2" t="s">
        <v>39</v>
      </c>
      <c r="G950" s="2" t="s">
        <v>419</v>
      </c>
      <c r="H950" s="2" t="s">
        <v>371</v>
      </c>
      <c r="S950" s="2" t="s">
        <v>60</v>
      </c>
      <c r="U950" s="2" t="s">
        <v>59</v>
      </c>
      <c r="W950" s="2" t="s">
        <v>57</v>
      </c>
    </row>
    <row r="951" spans="1:26" x14ac:dyDescent="0.25">
      <c r="A951" s="2" t="s">
        <v>312</v>
      </c>
      <c r="B951" s="2" t="s">
        <v>531</v>
      </c>
      <c r="C951" s="2" t="s">
        <v>408</v>
      </c>
      <c r="D951" s="2" t="s">
        <v>411</v>
      </c>
      <c r="E951" s="2" t="s">
        <v>413</v>
      </c>
      <c r="F951" s="2" t="s">
        <v>39</v>
      </c>
      <c r="J951" s="2" t="s">
        <v>532</v>
      </c>
      <c r="K951" s="2" t="s">
        <v>533</v>
      </c>
      <c r="L951" s="2">
        <v>1</v>
      </c>
      <c r="M951" s="2" t="s">
        <v>534</v>
      </c>
      <c r="O951" s="2" t="s">
        <v>524</v>
      </c>
      <c r="Y951" s="2" t="s">
        <v>608</v>
      </c>
    </row>
    <row r="952" spans="1:26" x14ac:dyDescent="0.25">
      <c r="A952" s="2" t="s">
        <v>312</v>
      </c>
      <c r="B952" s="2" t="s">
        <v>531</v>
      </c>
      <c r="C952" s="2" t="s">
        <v>408</v>
      </c>
      <c r="D952" s="2" t="s">
        <v>411</v>
      </c>
      <c r="E952" s="2" t="s">
        <v>413</v>
      </c>
      <c r="F952" s="2" t="s">
        <v>39</v>
      </c>
      <c r="J952" s="2" t="s">
        <v>532</v>
      </c>
      <c r="K952" s="2" t="s">
        <v>533</v>
      </c>
      <c r="L952" s="2">
        <v>2</v>
      </c>
      <c r="M952" s="2" t="s">
        <v>536</v>
      </c>
      <c r="O952" s="2" t="s">
        <v>524</v>
      </c>
      <c r="Y952" s="2" t="s">
        <v>608</v>
      </c>
    </row>
    <row r="953" spans="1:26" x14ac:dyDescent="0.25">
      <c r="A953" s="2" t="s">
        <v>312</v>
      </c>
      <c r="B953" s="2" t="s">
        <v>531</v>
      </c>
      <c r="C953" s="2" t="s">
        <v>408</v>
      </c>
      <c r="D953" s="2" t="s">
        <v>411</v>
      </c>
      <c r="E953" s="2" t="s">
        <v>413</v>
      </c>
      <c r="F953" s="2" t="s">
        <v>39</v>
      </c>
      <c r="J953" s="2" t="s">
        <v>532</v>
      </c>
      <c r="K953" s="2" t="s">
        <v>533</v>
      </c>
      <c r="L953" s="2">
        <v>3</v>
      </c>
      <c r="M953" s="2" t="s">
        <v>537</v>
      </c>
      <c r="O953" s="2" t="s">
        <v>524</v>
      </c>
      <c r="Y953" s="2" t="s">
        <v>608</v>
      </c>
    </row>
    <row r="954" spans="1:26" x14ac:dyDescent="0.25">
      <c r="A954" s="2" t="s">
        <v>312</v>
      </c>
      <c r="B954" s="2" t="s">
        <v>531</v>
      </c>
      <c r="C954" s="2" t="s">
        <v>408</v>
      </c>
      <c r="D954" s="2" t="s">
        <v>411</v>
      </c>
      <c r="E954" s="2" t="s">
        <v>413</v>
      </c>
      <c r="F954" s="2" t="s">
        <v>39</v>
      </c>
      <c r="J954" s="2" t="s">
        <v>532</v>
      </c>
      <c r="K954" s="2" t="s">
        <v>533</v>
      </c>
      <c r="L954" s="2">
        <v>4</v>
      </c>
      <c r="M954" s="2" t="s">
        <v>538</v>
      </c>
      <c r="O954" s="2" t="s">
        <v>524</v>
      </c>
      <c r="Y954" s="2" t="s">
        <v>608</v>
      </c>
    </row>
    <row r="955" spans="1:26" x14ac:dyDescent="0.25">
      <c r="A955" s="2" t="s">
        <v>312</v>
      </c>
      <c r="B955" s="2" t="s">
        <v>531</v>
      </c>
      <c r="C955" s="2" t="s">
        <v>408</v>
      </c>
      <c r="D955" s="2" t="s">
        <v>411</v>
      </c>
      <c r="E955" s="2" t="s">
        <v>413</v>
      </c>
      <c r="F955" s="2" t="s">
        <v>39</v>
      </c>
      <c r="J955" s="2" t="s">
        <v>532</v>
      </c>
      <c r="K955" s="2" t="s">
        <v>533</v>
      </c>
      <c r="L955" s="2">
        <v>5</v>
      </c>
      <c r="M955" s="2" t="s">
        <v>539</v>
      </c>
      <c r="O955" s="2" t="s">
        <v>524</v>
      </c>
      <c r="Y955" s="2" t="s">
        <v>608</v>
      </c>
    </row>
    <row r="956" spans="1:26" x14ac:dyDescent="0.25">
      <c r="A956" s="2" t="s">
        <v>312</v>
      </c>
      <c r="B956" s="2" t="s">
        <v>540</v>
      </c>
      <c r="C956" s="2" t="s">
        <v>408</v>
      </c>
      <c r="D956" s="2" t="s">
        <v>411</v>
      </c>
      <c r="E956" s="2" t="s">
        <v>413</v>
      </c>
      <c r="F956" s="2" t="s">
        <v>39</v>
      </c>
      <c r="J956" s="2" t="s">
        <v>541</v>
      </c>
      <c r="K956" s="2" t="s">
        <v>542</v>
      </c>
      <c r="L956" s="2">
        <v>1</v>
      </c>
      <c r="M956" s="2" t="s">
        <v>543</v>
      </c>
      <c r="O956" s="2" t="s">
        <v>524</v>
      </c>
      <c r="Y956" s="2" t="s">
        <v>608</v>
      </c>
    </row>
    <row r="957" spans="1:26" x14ac:dyDescent="0.25">
      <c r="A957" s="2" t="s">
        <v>312</v>
      </c>
      <c r="B957" s="2" t="s">
        <v>540</v>
      </c>
      <c r="C957" s="2" t="s">
        <v>408</v>
      </c>
      <c r="D957" s="2" t="s">
        <v>411</v>
      </c>
      <c r="E957" s="2" t="s">
        <v>413</v>
      </c>
      <c r="F957" s="2" t="s">
        <v>39</v>
      </c>
      <c r="J957" s="2" t="s">
        <v>541</v>
      </c>
      <c r="K957" s="2" t="s">
        <v>542</v>
      </c>
      <c r="L957" s="2">
        <v>2</v>
      </c>
      <c r="M957" s="2" t="s">
        <v>544</v>
      </c>
      <c r="O957" s="2" t="s">
        <v>524</v>
      </c>
      <c r="Y957" s="2" t="s">
        <v>608</v>
      </c>
    </row>
    <row r="958" spans="1:26" x14ac:dyDescent="0.25">
      <c r="A958" s="2" t="s">
        <v>312</v>
      </c>
      <c r="B958" s="2" t="s">
        <v>540</v>
      </c>
      <c r="C958" s="2" t="s">
        <v>408</v>
      </c>
      <c r="D958" s="2" t="s">
        <v>411</v>
      </c>
      <c r="E958" s="2" t="s">
        <v>413</v>
      </c>
      <c r="F958" s="2" t="s">
        <v>39</v>
      </c>
      <c r="J958" s="2" t="s">
        <v>541</v>
      </c>
      <c r="K958" s="2" t="s">
        <v>542</v>
      </c>
      <c r="L958" s="2">
        <v>3</v>
      </c>
      <c r="M958" s="2" t="s">
        <v>545</v>
      </c>
      <c r="O958" s="2" t="s">
        <v>524</v>
      </c>
      <c r="Y958" s="2" t="s">
        <v>608</v>
      </c>
    </row>
    <row r="959" spans="1:26" x14ac:dyDescent="0.25">
      <c r="A959" s="2" t="s">
        <v>312</v>
      </c>
      <c r="B959" s="2" t="s">
        <v>540</v>
      </c>
      <c r="C959" s="2" t="s">
        <v>408</v>
      </c>
      <c r="D959" s="2" t="s">
        <v>411</v>
      </c>
      <c r="E959" s="2" t="s">
        <v>413</v>
      </c>
      <c r="F959" s="2" t="s">
        <v>39</v>
      </c>
      <c r="J959" s="2" t="s">
        <v>541</v>
      </c>
      <c r="K959" s="2" t="s">
        <v>542</v>
      </c>
      <c r="L959" s="2">
        <v>4</v>
      </c>
      <c r="M959" s="2" t="s">
        <v>546</v>
      </c>
      <c r="O959" s="2" t="s">
        <v>524</v>
      </c>
      <c r="Y959" s="2" t="s">
        <v>608</v>
      </c>
    </row>
    <row r="960" spans="1:26" x14ac:dyDescent="0.25">
      <c r="A960" s="2" t="s">
        <v>312</v>
      </c>
      <c r="B960" s="2" t="s">
        <v>540</v>
      </c>
      <c r="C960" s="2" t="s">
        <v>408</v>
      </c>
      <c r="D960" s="2" t="s">
        <v>411</v>
      </c>
      <c r="E960" s="2" t="s">
        <v>413</v>
      </c>
      <c r="F960" s="2" t="s">
        <v>39</v>
      </c>
      <c r="J960" s="2" t="s">
        <v>541</v>
      </c>
      <c r="K960" s="2" t="s">
        <v>542</v>
      </c>
      <c r="L960" s="2">
        <v>5</v>
      </c>
      <c r="M960" s="2" t="s">
        <v>547</v>
      </c>
      <c r="O960" s="2" t="s">
        <v>524</v>
      </c>
      <c r="Y960" s="2" t="s">
        <v>608</v>
      </c>
    </row>
    <row r="961" spans="1:34" x14ac:dyDescent="0.25">
      <c r="A961" s="2" t="s">
        <v>312</v>
      </c>
      <c r="B961" s="2" t="s">
        <v>540</v>
      </c>
      <c r="C961" s="2" t="s">
        <v>408</v>
      </c>
      <c r="D961" s="2" t="s">
        <v>411</v>
      </c>
      <c r="E961" s="2" t="s">
        <v>413</v>
      </c>
      <c r="F961" s="2" t="s">
        <v>39</v>
      </c>
      <c r="J961" s="2" t="s">
        <v>541</v>
      </c>
      <c r="K961" s="2" t="s">
        <v>542</v>
      </c>
      <c r="L961" s="2">
        <v>6</v>
      </c>
      <c r="M961" s="2" t="s">
        <v>548</v>
      </c>
      <c r="O961" s="2" t="s">
        <v>524</v>
      </c>
      <c r="Y961" s="2" t="s">
        <v>608</v>
      </c>
    </row>
    <row r="962" spans="1:34" x14ac:dyDescent="0.25">
      <c r="A962" s="2" t="s">
        <v>312</v>
      </c>
      <c r="B962" s="2" t="s">
        <v>540</v>
      </c>
      <c r="C962" s="2" t="s">
        <v>408</v>
      </c>
      <c r="D962" s="2" t="s">
        <v>411</v>
      </c>
      <c r="E962" s="2" t="s">
        <v>413</v>
      </c>
      <c r="F962" s="2" t="s">
        <v>39</v>
      </c>
      <c r="J962" s="2" t="s">
        <v>541</v>
      </c>
      <c r="K962" s="2" t="s">
        <v>542</v>
      </c>
      <c r="L962" s="2">
        <v>7</v>
      </c>
      <c r="M962" s="2" t="s">
        <v>549</v>
      </c>
      <c r="O962" s="2" t="s">
        <v>524</v>
      </c>
      <c r="Y962" s="2" t="s">
        <v>608</v>
      </c>
    </row>
    <row r="963" spans="1:34" x14ac:dyDescent="0.25">
      <c r="A963" s="2" t="s">
        <v>312</v>
      </c>
      <c r="B963" s="2" t="s">
        <v>540</v>
      </c>
      <c r="C963" s="2" t="s">
        <v>408</v>
      </c>
      <c r="D963" s="2" t="s">
        <v>411</v>
      </c>
      <c r="E963" s="2" t="s">
        <v>413</v>
      </c>
      <c r="F963" s="2" t="s">
        <v>39</v>
      </c>
      <c r="J963" s="2" t="s">
        <v>541</v>
      </c>
      <c r="K963" s="2" t="s">
        <v>542</v>
      </c>
      <c r="L963" s="2">
        <v>8</v>
      </c>
      <c r="M963" s="2" t="s">
        <v>550</v>
      </c>
      <c r="O963" s="2" t="s">
        <v>524</v>
      </c>
      <c r="Y963" s="2" t="s">
        <v>608</v>
      </c>
    </row>
    <row r="964" spans="1:34" x14ac:dyDescent="0.25">
      <c r="A964" s="2" t="s">
        <v>312</v>
      </c>
      <c r="B964" s="2" t="s">
        <v>540</v>
      </c>
      <c r="C964" s="2" t="s">
        <v>408</v>
      </c>
      <c r="D964" s="2" t="s">
        <v>411</v>
      </c>
      <c r="E964" s="2" t="s">
        <v>413</v>
      </c>
      <c r="F964" s="2" t="s">
        <v>39</v>
      </c>
      <c r="J964" s="2" t="s">
        <v>541</v>
      </c>
      <c r="K964" s="2" t="s">
        <v>542</v>
      </c>
      <c r="L964" s="2">
        <v>9</v>
      </c>
      <c r="M964" s="2" t="s">
        <v>551</v>
      </c>
      <c r="O964" s="2" t="s">
        <v>524</v>
      </c>
      <c r="Y964" s="2" t="s">
        <v>608</v>
      </c>
    </row>
    <row r="965" spans="1:34" x14ac:dyDescent="0.25">
      <c r="A965" s="2" t="s">
        <v>312</v>
      </c>
      <c r="B965" s="2" t="s">
        <v>540</v>
      </c>
      <c r="C965" s="2" t="s">
        <v>408</v>
      </c>
      <c r="D965" s="2" t="s">
        <v>411</v>
      </c>
      <c r="E965" s="2" t="s">
        <v>413</v>
      </c>
      <c r="F965" s="2" t="s">
        <v>39</v>
      </c>
      <c r="J965" s="2" t="s">
        <v>541</v>
      </c>
      <c r="K965" s="2" t="s">
        <v>542</v>
      </c>
      <c r="L965" s="2">
        <v>10</v>
      </c>
      <c r="M965" s="2" t="s">
        <v>552</v>
      </c>
      <c r="O965" s="2" t="s">
        <v>524</v>
      </c>
      <c r="Y965" s="2" t="s">
        <v>608</v>
      </c>
    </row>
    <row r="966" spans="1:34" x14ac:dyDescent="0.25">
      <c r="A966" s="2" t="s">
        <v>312</v>
      </c>
      <c r="B966" s="2" t="s">
        <v>540</v>
      </c>
      <c r="C966" s="2" t="s">
        <v>408</v>
      </c>
      <c r="D966" s="2" t="s">
        <v>411</v>
      </c>
      <c r="E966" s="2" t="s">
        <v>413</v>
      </c>
      <c r="F966" s="2" t="s">
        <v>39</v>
      </c>
      <c r="J966" s="2" t="s">
        <v>541</v>
      </c>
      <c r="K966" s="2" t="s">
        <v>542</v>
      </c>
      <c r="L966" s="2">
        <v>11</v>
      </c>
      <c r="M966" s="2" t="s">
        <v>553</v>
      </c>
      <c r="O966" s="2" t="s">
        <v>524</v>
      </c>
      <c r="Y966" s="2" t="s">
        <v>608</v>
      </c>
    </row>
    <row r="967" spans="1:34" x14ac:dyDescent="0.25">
      <c r="A967" s="2" t="s">
        <v>312</v>
      </c>
      <c r="B967" s="2" t="s">
        <v>540</v>
      </c>
      <c r="C967" s="2" t="s">
        <v>408</v>
      </c>
      <c r="D967" s="2" t="s">
        <v>411</v>
      </c>
      <c r="E967" s="2" t="s">
        <v>413</v>
      </c>
      <c r="F967" s="2" t="s">
        <v>39</v>
      </c>
      <c r="J967" s="2" t="s">
        <v>541</v>
      </c>
      <c r="K967" s="2" t="s">
        <v>542</v>
      </c>
      <c r="L967" s="2">
        <v>12</v>
      </c>
      <c r="M967" s="2" t="s">
        <v>554</v>
      </c>
      <c r="O967" s="2" t="s">
        <v>524</v>
      </c>
      <c r="Y967" s="2" t="s">
        <v>608</v>
      </c>
    </row>
    <row r="968" spans="1:34" x14ac:dyDescent="0.25">
      <c r="A968" s="2" t="s">
        <v>312</v>
      </c>
      <c r="B968" s="2" t="s">
        <v>555</v>
      </c>
      <c r="C968" s="2" t="s">
        <v>408</v>
      </c>
      <c r="D968" s="2" t="s">
        <v>411</v>
      </c>
      <c r="E968" s="2" t="s">
        <v>413</v>
      </c>
      <c r="F968" s="2" t="s">
        <v>39</v>
      </c>
      <c r="J968" s="2" t="s">
        <v>556</v>
      </c>
      <c r="O968" s="2" t="s">
        <v>524</v>
      </c>
      <c r="Y968" s="2" t="s">
        <v>608</v>
      </c>
      <c r="AB968" s="2">
        <v>1</v>
      </c>
    </row>
    <row r="969" spans="1:34" x14ac:dyDescent="0.25">
      <c r="A969" s="2" t="s">
        <v>312</v>
      </c>
      <c r="B969" s="2" t="s">
        <v>557</v>
      </c>
      <c r="C969" s="2" t="s">
        <v>408</v>
      </c>
      <c r="D969" s="2" t="s">
        <v>411</v>
      </c>
      <c r="E969" s="2" t="s">
        <v>413</v>
      </c>
      <c r="F969" s="2" t="s">
        <v>39</v>
      </c>
      <c r="J969" s="2" t="s">
        <v>558</v>
      </c>
      <c r="O969" s="2" t="s">
        <v>524</v>
      </c>
      <c r="Y969" s="2" t="s">
        <v>608</v>
      </c>
      <c r="AC969" s="2">
        <f>COUNTIFS($B:$B,"BLOCK_LOAD_Q",$A:$A,$A969,$C:$C,$C969,$E:$E,$E969,$F:$F,$F969,$N:$N, "&lt;&gt;")</f>
        <v>0</v>
      </c>
      <c r="AD969" s="2">
        <f>COUNTIFS($B:$B,"BLOCK_TRUST_Q",$A:$A,$A969,$C:$C,$C969,$E:$E,$E969,$F:$F,$F969,$N:$N, "&lt;&gt;")</f>
        <v>0</v>
      </c>
      <c r="AE969" s="2" t="str">
        <f>IFERROR(AVERAGEIFS($P:$P,$B:$B,"BLOCK_LOAD_Q",$A:$A,$A969,$C:$C,$C969,$E:$E,$E969,$F:$F,$F969,$P:$P,"&gt;0"),"")</f>
        <v/>
      </c>
      <c r="AF969" s="2" t="str">
        <f>IFERROR(AVERAGEIFS($P:$P,$B:$B,"BLOCK_TRUST_Q",$A:$A,$A969,$C:$C,$C969,$E:$E,$E969,$F:$F,$F969,$P:$P,"&gt;0"),"")</f>
        <v/>
      </c>
      <c r="AG969" s="2">
        <f>5-AC969</f>
        <v>5</v>
      </c>
      <c r="AH969" s="2">
        <f>12-AD969</f>
        <v>12</v>
      </c>
    </row>
    <row r="970" spans="1:34" x14ac:dyDescent="0.25">
      <c r="A970" s="2" t="s">
        <v>312</v>
      </c>
      <c r="B970" s="2" t="s">
        <v>402</v>
      </c>
      <c r="C970" s="2" t="s">
        <v>408</v>
      </c>
      <c r="D970" s="2" t="s">
        <v>411</v>
      </c>
      <c r="E970" s="2" t="s">
        <v>414</v>
      </c>
      <c r="F970" s="2" t="s">
        <v>40</v>
      </c>
      <c r="G970" s="2" t="s">
        <v>415</v>
      </c>
      <c r="H970" s="2" t="s">
        <v>357</v>
      </c>
      <c r="S970" s="2" t="s">
        <v>59</v>
      </c>
      <c r="U970" s="2" t="s">
        <v>60</v>
      </c>
      <c r="W970" s="2" t="s">
        <v>57</v>
      </c>
    </row>
    <row r="971" spans="1:34" x14ac:dyDescent="0.25">
      <c r="A971" s="2" t="s">
        <v>312</v>
      </c>
      <c r="B971" s="2" t="s">
        <v>402</v>
      </c>
      <c r="C971" s="2" t="s">
        <v>408</v>
      </c>
      <c r="D971" s="2" t="s">
        <v>411</v>
      </c>
      <c r="E971" s="2" t="s">
        <v>414</v>
      </c>
      <c r="F971" s="2" t="s">
        <v>40</v>
      </c>
      <c r="G971" s="2" t="s">
        <v>416</v>
      </c>
      <c r="H971" s="2" t="s">
        <v>348</v>
      </c>
      <c r="S971" s="2" t="s">
        <v>58</v>
      </c>
      <c r="U971" s="2" t="s">
        <v>59</v>
      </c>
      <c r="W971" s="2" t="s">
        <v>59</v>
      </c>
    </row>
    <row r="972" spans="1:34" x14ac:dyDescent="0.25">
      <c r="A972" s="2" t="s">
        <v>312</v>
      </c>
      <c r="B972" s="2" t="s">
        <v>402</v>
      </c>
      <c r="C972" s="2" t="s">
        <v>408</v>
      </c>
      <c r="D972" s="2" t="s">
        <v>411</v>
      </c>
      <c r="E972" s="2" t="s">
        <v>414</v>
      </c>
      <c r="F972" s="2" t="s">
        <v>40</v>
      </c>
      <c r="G972" s="2" t="s">
        <v>417</v>
      </c>
      <c r="H972" s="2" t="s">
        <v>562</v>
      </c>
      <c r="S972" s="2" t="s">
        <v>59</v>
      </c>
      <c r="U972" s="2" t="s">
        <v>57</v>
      </c>
      <c r="W972" s="2" t="s">
        <v>57</v>
      </c>
    </row>
    <row r="973" spans="1:34" x14ac:dyDescent="0.25">
      <c r="A973" s="2" t="s">
        <v>312</v>
      </c>
      <c r="B973" s="2" t="s">
        <v>402</v>
      </c>
      <c r="C973" s="2" t="s">
        <v>408</v>
      </c>
      <c r="D973" s="2" t="s">
        <v>411</v>
      </c>
      <c r="E973" s="2" t="s">
        <v>414</v>
      </c>
      <c r="F973" s="2" t="s">
        <v>40</v>
      </c>
      <c r="G973" s="2" t="s">
        <v>418</v>
      </c>
      <c r="H973" s="2" t="s">
        <v>563</v>
      </c>
      <c r="S973" s="2" t="s">
        <v>57</v>
      </c>
      <c r="U973" s="2" t="s">
        <v>60</v>
      </c>
      <c r="W973" s="2" t="s">
        <v>60</v>
      </c>
    </row>
    <row r="974" spans="1:34" x14ac:dyDescent="0.25">
      <c r="A974" s="2" t="s">
        <v>312</v>
      </c>
      <c r="B974" s="2" t="s">
        <v>531</v>
      </c>
      <c r="C974" s="2" t="s">
        <v>408</v>
      </c>
      <c r="D974" s="2" t="s">
        <v>411</v>
      </c>
      <c r="E974" s="2" t="s">
        <v>414</v>
      </c>
      <c r="F974" s="2" t="s">
        <v>40</v>
      </c>
      <c r="J974" s="2" t="s">
        <v>532</v>
      </c>
      <c r="K974" s="2" t="s">
        <v>533</v>
      </c>
      <c r="L974" s="2">
        <v>1</v>
      </c>
      <c r="M974" s="2" t="s">
        <v>534</v>
      </c>
      <c r="O974" s="2" t="s">
        <v>524</v>
      </c>
      <c r="Y974" s="2" t="s">
        <v>609</v>
      </c>
    </row>
    <row r="975" spans="1:34" x14ac:dyDescent="0.25">
      <c r="A975" s="2" t="s">
        <v>312</v>
      </c>
      <c r="B975" s="2" t="s">
        <v>531</v>
      </c>
      <c r="C975" s="2" t="s">
        <v>408</v>
      </c>
      <c r="D975" s="2" t="s">
        <v>411</v>
      </c>
      <c r="E975" s="2" t="s">
        <v>414</v>
      </c>
      <c r="F975" s="2" t="s">
        <v>40</v>
      </c>
      <c r="J975" s="2" t="s">
        <v>532</v>
      </c>
      <c r="K975" s="2" t="s">
        <v>533</v>
      </c>
      <c r="L975" s="2">
        <v>2</v>
      </c>
      <c r="M975" s="2" t="s">
        <v>536</v>
      </c>
      <c r="O975" s="2" t="s">
        <v>524</v>
      </c>
      <c r="Y975" s="2" t="s">
        <v>609</v>
      </c>
    </row>
    <row r="976" spans="1:34" x14ac:dyDescent="0.25">
      <c r="A976" s="2" t="s">
        <v>312</v>
      </c>
      <c r="B976" s="2" t="s">
        <v>531</v>
      </c>
      <c r="C976" s="2" t="s">
        <v>408</v>
      </c>
      <c r="D976" s="2" t="s">
        <v>411</v>
      </c>
      <c r="E976" s="2" t="s">
        <v>414</v>
      </c>
      <c r="F976" s="2" t="s">
        <v>40</v>
      </c>
      <c r="J976" s="2" t="s">
        <v>532</v>
      </c>
      <c r="K976" s="2" t="s">
        <v>533</v>
      </c>
      <c r="L976" s="2">
        <v>3</v>
      </c>
      <c r="M976" s="2" t="s">
        <v>537</v>
      </c>
      <c r="O976" s="2" t="s">
        <v>524</v>
      </c>
      <c r="Y976" s="2" t="s">
        <v>609</v>
      </c>
    </row>
    <row r="977" spans="1:34" x14ac:dyDescent="0.25">
      <c r="A977" s="2" t="s">
        <v>312</v>
      </c>
      <c r="B977" s="2" t="s">
        <v>531</v>
      </c>
      <c r="C977" s="2" t="s">
        <v>408</v>
      </c>
      <c r="D977" s="2" t="s">
        <v>411</v>
      </c>
      <c r="E977" s="2" t="s">
        <v>414</v>
      </c>
      <c r="F977" s="2" t="s">
        <v>40</v>
      </c>
      <c r="J977" s="2" t="s">
        <v>532</v>
      </c>
      <c r="K977" s="2" t="s">
        <v>533</v>
      </c>
      <c r="L977" s="2">
        <v>4</v>
      </c>
      <c r="M977" s="2" t="s">
        <v>538</v>
      </c>
      <c r="O977" s="2" t="s">
        <v>524</v>
      </c>
      <c r="Y977" s="2" t="s">
        <v>609</v>
      </c>
    </row>
    <row r="978" spans="1:34" x14ac:dyDescent="0.25">
      <c r="A978" s="2" t="s">
        <v>312</v>
      </c>
      <c r="B978" s="2" t="s">
        <v>531</v>
      </c>
      <c r="C978" s="2" t="s">
        <v>408</v>
      </c>
      <c r="D978" s="2" t="s">
        <v>411</v>
      </c>
      <c r="E978" s="2" t="s">
        <v>414</v>
      </c>
      <c r="F978" s="2" t="s">
        <v>40</v>
      </c>
      <c r="J978" s="2" t="s">
        <v>532</v>
      </c>
      <c r="K978" s="2" t="s">
        <v>533</v>
      </c>
      <c r="L978" s="2">
        <v>5</v>
      </c>
      <c r="M978" s="2" t="s">
        <v>539</v>
      </c>
      <c r="O978" s="2" t="s">
        <v>524</v>
      </c>
      <c r="Y978" s="2" t="s">
        <v>609</v>
      </c>
    </row>
    <row r="979" spans="1:34" x14ac:dyDescent="0.25">
      <c r="A979" s="2" t="s">
        <v>312</v>
      </c>
      <c r="B979" s="2" t="s">
        <v>540</v>
      </c>
      <c r="C979" s="2" t="s">
        <v>408</v>
      </c>
      <c r="D979" s="2" t="s">
        <v>411</v>
      </c>
      <c r="E979" s="2" t="s">
        <v>414</v>
      </c>
      <c r="F979" s="2" t="s">
        <v>40</v>
      </c>
      <c r="J979" s="2" t="s">
        <v>541</v>
      </c>
      <c r="K979" s="2" t="s">
        <v>542</v>
      </c>
      <c r="L979" s="2">
        <v>1</v>
      </c>
      <c r="M979" s="2" t="s">
        <v>543</v>
      </c>
      <c r="O979" s="2" t="s">
        <v>524</v>
      </c>
      <c r="Y979" s="2" t="s">
        <v>609</v>
      </c>
    </row>
    <row r="980" spans="1:34" x14ac:dyDescent="0.25">
      <c r="A980" s="2" t="s">
        <v>312</v>
      </c>
      <c r="B980" s="2" t="s">
        <v>540</v>
      </c>
      <c r="C980" s="2" t="s">
        <v>408</v>
      </c>
      <c r="D980" s="2" t="s">
        <v>411</v>
      </c>
      <c r="E980" s="2" t="s">
        <v>414</v>
      </c>
      <c r="F980" s="2" t="s">
        <v>40</v>
      </c>
      <c r="J980" s="2" t="s">
        <v>541</v>
      </c>
      <c r="K980" s="2" t="s">
        <v>542</v>
      </c>
      <c r="L980" s="2">
        <v>2</v>
      </c>
      <c r="M980" s="2" t="s">
        <v>544</v>
      </c>
      <c r="O980" s="2" t="s">
        <v>524</v>
      </c>
      <c r="Y980" s="2" t="s">
        <v>609</v>
      </c>
    </row>
    <row r="981" spans="1:34" x14ac:dyDescent="0.25">
      <c r="A981" s="2" t="s">
        <v>312</v>
      </c>
      <c r="B981" s="2" t="s">
        <v>540</v>
      </c>
      <c r="C981" s="2" t="s">
        <v>408</v>
      </c>
      <c r="D981" s="2" t="s">
        <v>411</v>
      </c>
      <c r="E981" s="2" t="s">
        <v>414</v>
      </c>
      <c r="F981" s="2" t="s">
        <v>40</v>
      </c>
      <c r="J981" s="2" t="s">
        <v>541</v>
      </c>
      <c r="K981" s="2" t="s">
        <v>542</v>
      </c>
      <c r="L981" s="2">
        <v>3</v>
      </c>
      <c r="M981" s="2" t="s">
        <v>545</v>
      </c>
      <c r="O981" s="2" t="s">
        <v>524</v>
      </c>
      <c r="Y981" s="2" t="s">
        <v>609</v>
      </c>
    </row>
    <row r="982" spans="1:34" x14ac:dyDescent="0.25">
      <c r="A982" s="2" t="s">
        <v>312</v>
      </c>
      <c r="B982" s="2" t="s">
        <v>540</v>
      </c>
      <c r="C982" s="2" t="s">
        <v>408</v>
      </c>
      <c r="D982" s="2" t="s">
        <v>411</v>
      </c>
      <c r="E982" s="2" t="s">
        <v>414</v>
      </c>
      <c r="F982" s="2" t="s">
        <v>40</v>
      </c>
      <c r="J982" s="2" t="s">
        <v>541</v>
      </c>
      <c r="K982" s="2" t="s">
        <v>542</v>
      </c>
      <c r="L982" s="2">
        <v>4</v>
      </c>
      <c r="M982" s="2" t="s">
        <v>546</v>
      </c>
      <c r="O982" s="2" t="s">
        <v>524</v>
      </c>
      <c r="Y982" s="2" t="s">
        <v>609</v>
      </c>
    </row>
    <row r="983" spans="1:34" x14ac:dyDescent="0.25">
      <c r="A983" s="2" t="s">
        <v>312</v>
      </c>
      <c r="B983" s="2" t="s">
        <v>540</v>
      </c>
      <c r="C983" s="2" t="s">
        <v>408</v>
      </c>
      <c r="D983" s="2" t="s">
        <v>411</v>
      </c>
      <c r="E983" s="2" t="s">
        <v>414</v>
      </c>
      <c r="F983" s="2" t="s">
        <v>40</v>
      </c>
      <c r="J983" s="2" t="s">
        <v>541</v>
      </c>
      <c r="K983" s="2" t="s">
        <v>542</v>
      </c>
      <c r="L983" s="2">
        <v>5</v>
      </c>
      <c r="M983" s="2" t="s">
        <v>547</v>
      </c>
      <c r="O983" s="2" t="s">
        <v>524</v>
      </c>
      <c r="Y983" s="2" t="s">
        <v>609</v>
      </c>
    </row>
    <row r="984" spans="1:34" x14ac:dyDescent="0.25">
      <c r="A984" s="2" t="s">
        <v>312</v>
      </c>
      <c r="B984" s="2" t="s">
        <v>540</v>
      </c>
      <c r="C984" s="2" t="s">
        <v>408</v>
      </c>
      <c r="D984" s="2" t="s">
        <v>411</v>
      </c>
      <c r="E984" s="2" t="s">
        <v>414</v>
      </c>
      <c r="F984" s="2" t="s">
        <v>40</v>
      </c>
      <c r="J984" s="2" t="s">
        <v>541</v>
      </c>
      <c r="K984" s="2" t="s">
        <v>542</v>
      </c>
      <c r="L984" s="2">
        <v>6</v>
      </c>
      <c r="M984" s="2" t="s">
        <v>548</v>
      </c>
      <c r="O984" s="2" t="s">
        <v>524</v>
      </c>
      <c r="Y984" s="2" t="s">
        <v>609</v>
      </c>
    </row>
    <row r="985" spans="1:34" x14ac:dyDescent="0.25">
      <c r="A985" s="2" t="s">
        <v>312</v>
      </c>
      <c r="B985" s="2" t="s">
        <v>540</v>
      </c>
      <c r="C985" s="2" t="s">
        <v>408</v>
      </c>
      <c r="D985" s="2" t="s">
        <v>411</v>
      </c>
      <c r="E985" s="2" t="s">
        <v>414</v>
      </c>
      <c r="F985" s="2" t="s">
        <v>40</v>
      </c>
      <c r="J985" s="2" t="s">
        <v>541</v>
      </c>
      <c r="K985" s="2" t="s">
        <v>542</v>
      </c>
      <c r="L985" s="2">
        <v>7</v>
      </c>
      <c r="M985" s="2" t="s">
        <v>549</v>
      </c>
      <c r="O985" s="2" t="s">
        <v>524</v>
      </c>
      <c r="Y985" s="2" t="s">
        <v>609</v>
      </c>
    </row>
    <row r="986" spans="1:34" x14ac:dyDescent="0.25">
      <c r="A986" s="2" t="s">
        <v>312</v>
      </c>
      <c r="B986" s="2" t="s">
        <v>540</v>
      </c>
      <c r="C986" s="2" t="s">
        <v>408</v>
      </c>
      <c r="D986" s="2" t="s">
        <v>411</v>
      </c>
      <c r="E986" s="2" t="s">
        <v>414</v>
      </c>
      <c r="F986" s="2" t="s">
        <v>40</v>
      </c>
      <c r="J986" s="2" t="s">
        <v>541</v>
      </c>
      <c r="K986" s="2" t="s">
        <v>542</v>
      </c>
      <c r="L986" s="2">
        <v>8</v>
      </c>
      <c r="M986" s="2" t="s">
        <v>550</v>
      </c>
      <c r="O986" s="2" t="s">
        <v>524</v>
      </c>
      <c r="Y986" s="2" t="s">
        <v>609</v>
      </c>
    </row>
    <row r="987" spans="1:34" x14ac:dyDescent="0.25">
      <c r="A987" s="2" t="s">
        <v>312</v>
      </c>
      <c r="B987" s="2" t="s">
        <v>540</v>
      </c>
      <c r="C987" s="2" t="s">
        <v>408</v>
      </c>
      <c r="D987" s="2" t="s">
        <v>411</v>
      </c>
      <c r="E987" s="2" t="s">
        <v>414</v>
      </c>
      <c r="F987" s="2" t="s">
        <v>40</v>
      </c>
      <c r="J987" s="2" t="s">
        <v>541</v>
      </c>
      <c r="K987" s="2" t="s">
        <v>542</v>
      </c>
      <c r="L987" s="2">
        <v>9</v>
      </c>
      <c r="M987" s="2" t="s">
        <v>551</v>
      </c>
      <c r="O987" s="2" t="s">
        <v>524</v>
      </c>
      <c r="Y987" s="2" t="s">
        <v>609</v>
      </c>
    </row>
    <row r="988" spans="1:34" x14ac:dyDescent="0.25">
      <c r="A988" s="2" t="s">
        <v>312</v>
      </c>
      <c r="B988" s="2" t="s">
        <v>540</v>
      </c>
      <c r="C988" s="2" t="s">
        <v>408</v>
      </c>
      <c r="D988" s="2" t="s">
        <v>411</v>
      </c>
      <c r="E988" s="2" t="s">
        <v>414</v>
      </c>
      <c r="F988" s="2" t="s">
        <v>40</v>
      </c>
      <c r="J988" s="2" t="s">
        <v>541</v>
      </c>
      <c r="K988" s="2" t="s">
        <v>542</v>
      </c>
      <c r="L988" s="2">
        <v>10</v>
      </c>
      <c r="M988" s="2" t="s">
        <v>552</v>
      </c>
      <c r="O988" s="2" t="s">
        <v>524</v>
      </c>
      <c r="Y988" s="2" t="s">
        <v>609</v>
      </c>
    </row>
    <row r="989" spans="1:34" x14ac:dyDescent="0.25">
      <c r="A989" s="2" t="s">
        <v>312</v>
      </c>
      <c r="B989" s="2" t="s">
        <v>540</v>
      </c>
      <c r="C989" s="2" t="s">
        <v>408</v>
      </c>
      <c r="D989" s="2" t="s">
        <v>411</v>
      </c>
      <c r="E989" s="2" t="s">
        <v>414</v>
      </c>
      <c r="F989" s="2" t="s">
        <v>40</v>
      </c>
      <c r="J989" s="2" t="s">
        <v>541</v>
      </c>
      <c r="K989" s="2" t="s">
        <v>542</v>
      </c>
      <c r="L989" s="2">
        <v>11</v>
      </c>
      <c r="M989" s="2" t="s">
        <v>553</v>
      </c>
      <c r="O989" s="2" t="s">
        <v>524</v>
      </c>
      <c r="Y989" s="2" t="s">
        <v>609</v>
      </c>
    </row>
    <row r="990" spans="1:34" x14ac:dyDescent="0.25">
      <c r="A990" s="2" t="s">
        <v>312</v>
      </c>
      <c r="B990" s="2" t="s">
        <v>540</v>
      </c>
      <c r="C990" s="2" t="s">
        <v>408</v>
      </c>
      <c r="D990" s="2" t="s">
        <v>411</v>
      </c>
      <c r="E990" s="2" t="s">
        <v>414</v>
      </c>
      <c r="F990" s="2" t="s">
        <v>40</v>
      </c>
      <c r="J990" s="2" t="s">
        <v>541</v>
      </c>
      <c r="K990" s="2" t="s">
        <v>542</v>
      </c>
      <c r="L990" s="2">
        <v>12</v>
      </c>
      <c r="M990" s="2" t="s">
        <v>554</v>
      </c>
      <c r="O990" s="2" t="s">
        <v>524</v>
      </c>
      <c r="Y990" s="2" t="s">
        <v>609</v>
      </c>
    </row>
    <row r="991" spans="1:34" x14ac:dyDescent="0.25">
      <c r="A991" s="2" t="s">
        <v>312</v>
      </c>
      <c r="B991" s="2" t="s">
        <v>555</v>
      </c>
      <c r="C991" s="2" t="s">
        <v>408</v>
      </c>
      <c r="D991" s="2" t="s">
        <v>411</v>
      </c>
      <c r="E991" s="2" t="s">
        <v>414</v>
      </c>
      <c r="F991" s="2" t="s">
        <v>40</v>
      </c>
      <c r="J991" s="2" t="s">
        <v>556</v>
      </c>
      <c r="O991" s="2" t="s">
        <v>524</v>
      </c>
      <c r="Y991" s="2" t="s">
        <v>609</v>
      </c>
      <c r="AB991" s="2">
        <v>2</v>
      </c>
    </row>
    <row r="992" spans="1:34" x14ac:dyDescent="0.25">
      <c r="A992" s="2" t="s">
        <v>312</v>
      </c>
      <c r="B992" s="2" t="s">
        <v>557</v>
      </c>
      <c r="C992" s="2" t="s">
        <v>408</v>
      </c>
      <c r="D992" s="2" t="s">
        <v>411</v>
      </c>
      <c r="E992" s="2" t="s">
        <v>414</v>
      </c>
      <c r="F992" s="2" t="s">
        <v>40</v>
      </c>
      <c r="J992" s="2" t="s">
        <v>558</v>
      </c>
      <c r="O992" s="2" t="s">
        <v>524</v>
      </c>
      <c r="Y992" s="2" t="s">
        <v>609</v>
      </c>
      <c r="AC992" s="2">
        <f>COUNTIFS($B:$B,"BLOCK_LOAD_Q",$A:$A,$A992,$C:$C,$C992,$E:$E,$E992,$F:$F,$F992,$N:$N, "&lt;&gt;")</f>
        <v>0</v>
      </c>
      <c r="AD992" s="2">
        <f>COUNTIFS($B:$B,"BLOCK_TRUST_Q",$A:$A,$A992,$C:$C,$C992,$E:$E,$E992,$F:$F,$F992,$N:$N, "&lt;&gt;")</f>
        <v>0</v>
      </c>
      <c r="AE992" s="2" t="str">
        <f>IFERROR(AVERAGEIFS($P:$P,$B:$B,"BLOCK_LOAD_Q",$A:$A,$A992,$C:$C,$C992,$E:$E,$E992,$F:$F,$F992,$P:$P,"&gt;0"),"")</f>
        <v/>
      </c>
      <c r="AF992" s="2" t="str">
        <f>IFERROR(AVERAGEIFS($P:$P,$B:$B,"BLOCK_TRUST_Q",$A:$A,$A992,$C:$C,$C992,$E:$E,$E992,$F:$F,$F992,$P:$P,"&gt;0"),"")</f>
        <v/>
      </c>
      <c r="AG992" s="2">
        <f>5-AC992</f>
        <v>5</v>
      </c>
      <c r="AH992" s="2">
        <f>12-AD992</f>
        <v>12</v>
      </c>
    </row>
    <row r="993" spans="1:26" x14ac:dyDescent="0.25">
      <c r="A993" s="2" t="s">
        <v>312</v>
      </c>
      <c r="B993" s="2" t="s">
        <v>403</v>
      </c>
      <c r="C993" s="2" t="s">
        <v>408</v>
      </c>
      <c r="D993" s="2" t="s">
        <v>411</v>
      </c>
      <c r="Z993" s="2" t="s">
        <v>439</v>
      </c>
    </row>
    <row r="994" spans="1:26" x14ac:dyDescent="0.25">
      <c r="A994" s="2" t="s">
        <v>312</v>
      </c>
      <c r="B994" s="2" t="s">
        <v>402</v>
      </c>
      <c r="C994" s="2" t="s">
        <v>409</v>
      </c>
      <c r="D994" s="2" t="s">
        <v>412</v>
      </c>
      <c r="E994" s="2" t="s">
        <v>413</v>
      </c>
      <c r="F994" s="2" t="s">
        <v>40</v>
      </c>
      <c r="G994" s="2" t="s">
        <v>415</v>
      </c>
      <c r="H994" s="2" t="s">
        <v>567</v>
      </c>
      <c r="S994" s="2" t="s">
        <v>58</v>
      </c>
      <c r="U994" s="2" t="s">
        <v>57</v>
      </c>
      <c r="W994" s="2" t="s">
        <v>60</v>
      </c>
    </row>
    <row r="995" spans="1:26" x14ac:dyDescent="0.25">
      <c r="A995" s="2" t="s">
        <v>312</v>
      </c>
      <c r="B995" s="2" t="s">
        <v>402</v>
      </c>
      <c r="C995" s="2" t="s">
        <v>409</v>
      </c>
      <c r="D995" s="2" t="s">
        <v>412</v>
      </c>
      <c r="E995" s="2" t="s">
        <v>413</v>
      </c>
      <c r="F995" s="2" t="s">
        <v>40</v>
      </c>
      <c r="G995" s="2" t="s">
        <v>416</v>
      </c>
      <c r="H995" s="2" t="s">
        <v>568</v>
      </c>
      <c r="S995" s="2" t="s">
        <v>59</v>
      </c>
      <c r="U995" s="2" t="s">
        <v>60</v>
      </c>
      <c r="W995" s="2" t="s">
        <v>59</v>
      </c>
    </row>
    <row r="996" spans="1:26" x14ac:dyDescent="0.25">
      <c r="A996" s="2" t="s">
        <v>312</v>
      </c>
      <c r="B996" s="2" t="s">
        <v>402</v>
      </c>
      <c r="C996" s="2" t="s">
        <v>409</v>
      </c>
      <c r="D996" s="2" t="s">
        <v>412</v>
      </c>
      <c r="E996" s="2" t="s">
        <v>413</v>
      </c>
      <c r="F996" s="2" t="s">
        <v>40</v>
      </c>
      <c r="G996" s="2" t="s">
        <v>417</v>
      </c>
      <c r="H996" s="2" t="s">
        <v>569</v>
      </c>
      <c r="S996" s="2" t="s">
        <v>57</v>
      </c>
      <c r="U996" s="2" t="s">
        <v>60</v>
      </c>
      <c r="W996" s="2" t="s">
        <v>57</v>
      </c>
    </row>
    <row r="997" spans="1:26" x14ac:dyDescent="0.25">
      <c r="A997" s="2" t="s">
        <v>312</v>
      </c>
      <c r="B997" s="2" t="s">
        <v>402</v>
      </c>
      <c r="C997" s="2" t="s">
        <v>409</v>
      </c>
      <c r="D997" s="2" t="s">
        <v>412</v>
      </c>
      <c r="E997" s="2" t="s">
        <v>413</v>
      </c>
      <c r="F997" s="2" t="s">
        <v>40</v>
      </c>
      <c r="G997" s="2" t="s">
        <v>418</v>
      </c>
      <c r="H997" s="2" t="s">
        <v>351</v>
      </c>
      <c r="S997" s="2" t="s">
        <v>60</v>
      </c>
      <c r="U997" s="2" t="s">
        <v>57</v>
      </c>
      <c r="W997" s="2" t="s">
        <v>57</v>
      </c>
    </row>
    <row r="998" spans="1:26" x14ac:dyDescent="0.25">
      <c r="A998" s="2" t="s">
        <v>312</v>
      </c>
      <c r="B998" s="2" t="s">
        <v>531</v>
      </c>
      <c r="C998" s="2" t="s">
        <v>409</v>
      </c>
      <c r="D998" s="2" t="s">
        <v>412</v>
      </c>
      <c r="E998" s="2" t="s">
        <v>413</v>
      </c>
      <c r="F998" s="2" t="s">
        <v>40</v>
      </c>
      <c r="J998" s="2" t="s">
        <v>532</v>
      </c>
      <c r="K998" s="2" t="s">
        <v>533</v>
      </c>
      <c r="L998" s="2">
        <v>1</v>
      </c>
      <c r="M998" s="2" t="s">
        <v>534</v>
      </c>
      <c r="O998" s="2" t="s">
        <v>524</v>
      </c>
      <c r="Y998" s="2" t="s">
        <v>610</v>
      </c>
    </row>
    <row r="999" spans="1:26" x14ac:dyDescent="0.25">
      <c r="A999" s="2" t="s">
        <v>312</v>
      </c>
      <c r="B999" s="2" t="s">
        <v>531</v>
      </c>
      <c r="C999" s="2" t="s">
        <v>409</v>
      </c>
      <c r="D999" s="2" t="s">
        <v>412</v>
      </c>
      <c r="E999" s="2" t="s">
        <v>413</v>
      </c>
      <c r="F999" s="2" t="s">
        <v>40</v>
      </c>
      <c r="J999" s="2" t="s">
        <v>532</v>
      </c>
      <c r="K999" s="2" t="s">
        <v>533</v>
      </c>
      <c r="L999" s="2">
        <v>2</v>
      </c>
      <c r="M999" s="2" t="s">
        <v>536</v>
      </c>
      <c r="O999" s="2" t="s">
        <v>524</v>
      </c>
      <c r="Y999" s="2" t="s">
        <v>610</v>
      </c>
    </row>
    <row r="1000" spans="1:26" x14ac:dyDescent="0.25">
      <c r="A1000" s="2" t="s">
        <v>312</v>
      </c>
      <c r="B1000" s="2" t="s">
        <v>531</v>
      </c>
      <c r="C1000" s="2" t="s">
        <v>409</v>
      </c>
      <c r="D1000" s="2" t="s">
        <v>412</v>
      </c>
      <c r="E1000" s="2" t="s">
        <v>413</v>
      </c>
      <c r="F1000" s="2" t="s">
        <v>40</v>
      </c>
      <c r="J1000" s="2" t="s">
        <v>532</v>
      </c>
      <c r="K1000" s="2" t="s">
        <v>533</v>
      </c>
      <c r="L1000" s="2">
        <v>3</v>
      </c>
      <c r="M1000" s="2" t="s">
        <v>537</v>
      </c>
      <c r="O1000" s="2" t="s">
        <v>524</v>
      </c>
      <c r="Y1000" s="2" t="s">
        <v>610</v>
      </c>
    </row>
    <row r="1001" spans="1:26" x14ac:dyDescent="0.25">
      <c r="A1001" s="2" t="s">
        <v>312</v>
      </c>
      <c r="B1001" s="2" t="s">
        <v>531</v>
      </c>
      <c r="C1001" s="2" t="s">
        <v>409</v>
      </c>
      <c r="D1001" s="2" t="s">
        <v>412</v>
      </c>
      <c r="E1001" s="2" t="s">
        <v>413</v>
      </c>
      <c r="F1001" s="2" t="s">
        <v>40</v>
      </c>
      <c r="J1001" s="2" t="s">
        <v>532</v>
      </c>
      <c r="K1001" s="2" t="s">
        <v>533</v>
      </c>
      <c r="L1001" s="2">
        <v>4</v>
      </c>
      <c r="M1001" s="2" t="s">
        <v>538</v>
      </c>
      <c r="O1001" s="2" t="s">
        <v>524</v>
      </c>
      <c r="Y1001" s="2" t="s">
        <v>610</v>
      </c>
    </row>
    <row r="1002" spans="1:26" x14ac:dyDescent="0.25">
      <c r="A1002" s="2" t="s">
        <v>312</v>
      </c>
      <c r="B1002" s="2" t="s">
        <v>531</v>
      </c>
      <c r="C1002" s="2" t="s">
        <v>409</v>
      </c>
      <c r="D1002" s="2" t="s">
        <v>412</v>
      </c>
      <c r="E1002" s="2" t="s">
        <v>413</v>
      </c>
      <c r="F1002" s="2" t="s">
        <v>40</v>
      </c>
      <c r="J1002" s="2" t="s">
        <v>532</v>
      </c>
      <c r="K1002" s="2" t="s">
        <v>533</v>
      </c>
      <c r="L1002" s="2">
        <v>5</v>
      </c>
      <c r="M1002" s="2" t="s">
        <v>539</v>
      </c>
      <c r="O1002" s="2" t="s">
        <v>524</v>
      </c>
      <c r="Y1002" s="2" t="s">
        <v>610</v>
      </c>
    </row>
    <row r="1003" spans="1:26" x14ac:dyDescent="0.25">
      <c r="A1003" s="2" t="s">
        <v>312</v>
      </c>
      <c r="B1003" s="2" t="s">
        <v>540</v>
      </c>
      <c r="C1003" s="2" t="s">
        <v>409</v>
      </c>
      <c r="D1003" s="2" t="s">
        <v>412</v>
      </c>
      <c r="E1003" s="2" t="s">
        <v>413</v>
      </c>
      <c r="F1003" s="2" t="s">
        <v>40</v>
      </c>
      <c r="J1003" s="2" t="s">
        <v>541</v>
      </c>
      <c r="K1003" s="2" t="s">
        <v>542</v>
      </c>
      <c r="L1003" s="2">
        <v>1</v>
      </c>
      <c r="M1003" s="2" t="s">
        <v>543</v>
      </c>
      <c r="O1003" s="2" t="s">
        <v>524</v>
      </c>
      <c r="Y1003" s="2" t="s">
        <v>610</v>
      </c>
    </row>
    <row r="1004" spans="1:26" x14ac:dyDescent="0.25">
      <c r="A1004" s="2" t="s">
        <v>312</v>
      </c>
      <c r="B1004" s="2" t="s">
        <v>540</v>
      </c>
      <c r="C1004" s="2" t="s">
        <v>409</v>
      </c>
      <c r="D1004" s="2" t="s">
        <v>412</v>
      </c>
      <c r="E1004" s="2" t="s">
        <v>413</v>
      </c>
      <c r="F1004" s="2" t="s">
        <v>40</v>
      </c>
      <c r="J1004" s="2" t="s">
        <v>541</v>
      </c>
      <c r="K1004" s="2" t="s">
        <v>542</v>
      </c>
      <c r="L1004" s="2">
        <v>2</v>
      </c>
      <c r="M1004" s="2" t="s">
        <v>544</v>
      </c>
      <c r="O1004" s="2" t="s">
        <v>524</v>
      </c>
      <c r="Y1004" s="2" t="s">
        <v>610</v>
      </c>
    </row>
    <row r="1005" spans="1:26" x14ac:dyDescent="0.25">
      <c r="A1005" s="2" t="s">
        <v>312</v>
      </c>
      <c r="B1005" s="2" t="s">
        <v>540</v>
      </c>
      <c r="C1005" s="2" t="s">
        <v>409</v>
      </c>
      <c r="D1005" s="2" t="s">
        <v>412</v>
      </c>
      <c r="E1005" s="2" t="s">
        <v>413</v>
      </c>
      <c r="F1005" s="2" t="s">
        <v>40</v>
      </c>
      <c r="J1005" s="2" t="s">
        <v>541</v>
      </c>
      <c r="K1005" s="2" t="s">
        <v>542</v>
      </c>
      <c r="L1005" s="2">
        <v>3</v>
      </c>
      <c r="M1005" s="2" t="s">
        <v>545</v>
      </c>
      <c r="O1005" s="2" t="s">
        <v>524</v>
      </c>
      <c r="Y1005" s="2" t="s">
        <v>610</v>
      </c>
    </row>
    <row r="1006" spans="1:26" x14ac:dyDescent="0.25">
      <c r="A1006" s="2" t="s">
        <v>312</v>
      </c>
      <c r="B1006" s="2" t="s">
        <v>540</v>
      </c>
      <c r="C1006" s="2" t="s">
        <v>409</v>
      </c>
      <c r="D1006" s="2" t="s">
        <v>412</v>
      </c>
      <c r="E1006" s="2" t="s">
        <v>413</v>
      </c>
      <c r="F1006" s="2" t="s">
        <v>40</v>
      </c>
      <c r="J1006" s="2" t="s">
        <v>541</v>
      </c>
      <c r="K1006" s="2" t="s">
        <v>542</v>
      </c>
      <c r="L1006" s="2">
        <v>4</v>
      </c>
      <c r="M1006" s="2" t="s">
        <v>546</v>
      </c>
      <c r="O1006" s="2" t="s">
        <v>524</v>
      </c>
      <c r="Y1006" s="2" t="s">
        <v>610</v>
      </c>
    </row>
    <row r="1007" spans="1:26" x14ac:dyDescent="0.25">
      <c r="A1007" s="2" t="s">
        <v>312</v>
      </c>
      <c r="B1007" s="2" t="s">
        <v>540</v>
      </c>
      <c r="C1007" s="2" t="s">
        <v>409</v>
      </c>
      <c r="D1007" s="2" t="s">
        <v>412</v>
      </c>
      <c r="E1007" s="2" t="s">
        <v>413</v>
      </c>
      <c r="F1007" s="2" t="s">
        <v>40</v>
      </c>
      <c r="J1007" s="2" t="s">
        <v>541</v>
      </c>
      <c r="K1007" s="2" t="s">
        <v>542</v>
      </c>
      <c r="L1007" s="2">
        <v>5</v>
      </c>
      <c r="M1007" s="2" t="s">
        <v>547</v>
      </c>
      <c r="O1007" s="2" t="s">
        <v>524</v>
      </c>
      <c r="Y1007" s="2" t="s">
        <v>610</v>
      </c>
    </row>
    <row r="1008" spans="1:26" x14ac:dyDescent="0.25">
      <c r="A1008" s="2" t="s">
        <v>312</v>
      </c>
      <c r="B1008" s="2" t="s">
        <v>540</v>
      </c>
      <c r="C1008" s="2" t="s">
        <v>409</v>
      </c>
      <c r="D1008" s="2" t="s">
        <v>412</v>
      </c>
      <c r="E1008" s="2" t="s">
        <v>413</v>
      </c>
      <c r="F1008" s="2" t="s">
        <v>40</v>
      </c>
      <c r="J1008" s="2" t="s">
        <v>541</v>
      </c>
      <c r="K1008" s="2" t="s">
        <v>542</v>
      </c>
      <c r="L1008" s="2">
        <v>6</v>
      </c>
      <c r="M1008" s="2" t="s">
        <v>548</v>
      </c>
      <c r="O1008" s="2" t="s">
        <v>524</v>
      </c>
      <c r="Y1008" s="2" t="s">
        <v>610</v>
      </c>
    </row>
    <row r="1009" spans="1:34" x14ac:dyDescent="0.25">
      <c r="A1009" s="2" t="s">
        <v>312</v>
      </c>
      <c r="B1009" s="2" t="s">
        <v>540</v>
      </c>
      <c r="C1009" s="2" t="s">
        <v>409</v>
      </c>
      <c r="D1009" s="2" t="s">
        <v>412</v>
      </c>
      <c r="E1009" s="2" t="s">
        <v>413</v>
      </c>
      <c r="F1009" s="2" t="s">
        <v>40</v>
      </c>
      <c r="J1009" s="2" t="s">
        <v>541</v>
      </c>
      <c r="K1009" s="2" t="s">
        <v>542</v>
      </c>
      <c r="L1009" s="2">
        <v>7</v>
      </c>
      <c r="M1009" s="2" t="s">
        <v>549</v>
      </c>
      <c r="O1009" s="2" t="s">
        <v>524</v>
      </c>
      <c r="Y1009" s="2" t="s">
        <v>610</v>
      </c>
    </row>
    <row r="1010" spans="1:34" x14ac:dyDescent="0.25">
      <c r="A1010" s="2" t="s">
        <v>312</v>
      </c>
      <c r="B1010" s="2" t="s">
        <v>540</v>
      </c>
      <c r="C1010" s="2" t="s">
        <v>409</v>
      </c>
      <c r="D1010" s="2" t="s">
        <v>412</v>
      </c>
      <c r="E1010" s="2" t="s">
        <v>413</v>
      </c>
      <c r="F1010" s="2" t="s">
        <v>40</v>
      </c>
      <c r="J1010" s="2" t="s">
        <v>541</v>
      </c>
      <c r="K1010" s="2" t="s">
        <v>542</v>
      </c>
      <c r="L1010" s="2">
        <v>8</v>
      </c>
      <c r="M1010" s="2" t="s">
        <v>550</v>
      </c>
      <c r="O1010" s="2" t="s">
        <v>524</v>
      </c>
      <c r="Y1010" s="2" t="s">
        <v>610</v>
      </c>
    </row>
    <row r="1011" spans="1:34" x14ac:dyDescent="0.25">
      <c r="A1011" s="2" t="s">
        <v>312</v>
      </c>
      <c r="B1011" s="2" t="s">
        <v>540</v>
      </c>
      <c r="C1011" s="2" t="s">
        <v>409</v>
      </c>
      <c r="D1011" s="2" t="s">
        <v>412</v>
      </c>
      <c r="E1011" s="2" t="s">
        <v>413</v>
      </c>
      <c r="F1011" s="2" t="s">
        <v>40</v>
      </c>
      <c r="J1011" s="2" t="s">
        <v>541</v>
      </c>
      <c r="K1011" s="2" t="s">
        <v>542</v>
      </c>
      <c r="L1011" s="2">
        <v>9</v>
      </c>
      <c r="M1011" s="2" t="s">
        <v>551</v>
      </c>
      <c r="O1011" s="2" t="s">
        <v>524</v>
      </c>
      <c r="Y1011" s="2" t="s">
        <v>610</v>
      </c>
    </row>
    <row r="1012" spans="1:34" x14ac:dyDescent="0.25">
      <c r="A1012" s="2" t="s">
        <v>312</v>
      </c>
      <c r="B1012" s="2" t="s">
        <v>540</v>
      </c>
      <c r="C1012" s="2" t="s">
        <v>409</v>
      </c>
      <c r="D1012" s="2" t="s">
        <v>412</v>
      </c>
      <c r="E1012" s="2" t="s">
        <v>413</v>
      </c>
      <c r="F1012" s="2" t="s">
        <v>40</v>
      </c>
      <c r="J1012" s="2" t="s">
        <v>541</v>
      </c>
      <c r="K1012" s="2" t="s">
        <v>542</v>
      </c>
      <c r="L1012" s="2">
        <v>10</v>
      </c>
      <c r="M1012" s="2" t="s">
        <v>552</v>
      </c>
      <c r="O1012" s="2" t="s">
        <v>524</v>
      </c>
      <c r="Y1012" s="2" t="s">
        <v>610</v>
      </c>
    </row>
    <row r="1013" spans="1:34" x14ac:dyDescent="0.25">
      <c r="A1013" s="2" t="s">
        <v>312</v>
      </c>
      <c r="B1013" s="2" t="s">
        <v>540</v>
      </c>
      <c r="C1013" s="2" t="s">
        <v>409</v>
      </c>
      <c r="D1013" s="2" t="s">
        <v>412</v>
      </c>
      <c r="E1013" s="2" t="s">
        <v>413</v>
      </c>
      <c r="F1013" s="2" t="s">
        <v>40</v>
      </c>
      <c r="J1013" s="2" t="s">
        <v>541</v>
      </c>
      <c r="K1013" s="2" t="s">
        <v>542</v>
      </c>
      <c r="L1013" s="2">
        <v>11</v>
      </c>
      <c r="M1013" s="2" t="s">
        <v>553</v>
      </c>
      <c r="O1013" s="2" t="s">
        <v>524</v>
      </c>
      <c r="Y1013" s="2" t="s">
        <v>610</v>
      </c>
    </row>
    <row r="1014" spans="1:34" x14ac:dyDescent="0.25">
      <c r="A1014" s="2" t="s">
        <v>312</v>
      </c>
      <c r="B1014" s="2" t="s">
        <v>540</v>
      </c>
      <c r="C1014" s="2" t="s">
        <v>409</v>
      </c>
      <c r="D1014" s="2" t="s">
        <v>412</v>
      </c>
      <c r="E1014" s="2" t="s">
        <v>413</v>
      </c>
      <c r="F1014" s="2" t="s">
        <v>40</v>
      </c>
      <c r="J1014" s="2" t="s">
        <v>541</v>
      </c>
      <c r="K1014" s="2" t="s">
        <v>542</v>
      </c>
      <c r="L1014" s="2">
        <v>12</v>
      </c>
      <c r="M1014" s="2" t="s">
        <v>554</v>
      </c>
      <c r="O1014" s="2" t="s">
        <v>524</v>
      </c>
      <c r="Y1014" s="2" t="s">
        <v>610</v>
      </c>
    </row>
    <row r="1015" spans="1:34" x14ac:dyDescent="0.25">
      <c r="A1015" s="2" t="s">
        <v>312</v>
      </c>
      <c r="B1015" s="2" t="s">
        <v>555</v>
      </c>
      <c r="C1015" s="2" t="s">
        <v>409</v>
      </c>
      <c r="D1015" s="2" t="s">
        <v>412</v>
      </c>
      <c r="E1015" s="2" t="s">
        <v>413</v>
      </c>
      <c r="F1015" s="2" t="s">
        <v>40</v>
      </c>
      <c r="J1015" s="2" t="s">
        <v>556</v>
      </c>
      <c r="O1015" s="2" t="s">
        <v>524</v>
      </c>
      <c r="Y1015" s="2" t="s">
        <v>610</v>
      </c>
      <c r="AB1015" s="2">
        <v>2</v>
      </c>
    </row>
    <row r="1016" spans="1:34" x14ac:dyDescent="0.25">
      <c r="A1016" s="2" t="s">
        <v>312</v>
      </c>
      <c r="B1016" s="2" t="s">
        <v>557</v>
      </c>
      <c r="C1016" s="2" t="s">
        <v>409</v>
      </c>
      <c r="D1016" s="2" t="s">
        <v>412</v>
      </c>
      <c r="E1016" s="2" t="s">
        <v>413</v>
      </c>
      <c r="F1016" s="2" t="s">
        <v>40</v>
      </c>
      <c r="J1016" s="2" t="s">
        <v>558</v>
      </c>
      <c r="O1016" s="2" t="s">
        <v>524</v>
      </c>
      <c r="Y1016" s="2" t="s">
        <v>610</v>
      </c>
      <c r="AC1016" s="2">
        <f>COUNTIFS($B:$B,"BLOCK_LOAD_Q",$A:$A,$A1016,$C:$C,$C1016,$E:$E,$E1016,$F:$F,$F1016,$N:$N, "&lt;&gt;")</f>
        <v>0</v>
      </c>
      <c r="AD1016" s="2">
        <f>COUNTIFS($B:$B,"BLOCK_TRUST_Q",$A:$A,$A1016,$C:$C,$C1016,$E:$E,$E1016,$F:$F,$F1016,$N:$N, "&lt;&gt;")</f>
        <v>0</v>
      </c>
      <c r="AE1016" s="2" t="str">
        <f>IFERROR(AVERAGEIFS($P:$P,$B:$B,"BLOCK_LOAD_Q",$A:$A,$A1016,$C:$C,$C1016,$E:$E,$E1016,$F:$F,$F1016,$P:$P,"&gt;0"),"")</f>
        <v/>
      </c>
      <c r="AF1016" s="2" t="str">
        <f>IFERROR(AVERAGEIFS($P:$P,$B:$B,"BLOCK_TRUST_Q",$A:$A,$A1016,$C:$C,$C1016,$E:$E,$E1016,$F:$F,$F1016,$P:$P,"&gt;0"),"")</f>
        <v/>
      </c>
      <c r="AG1016" s="2">
        <f>5-AC1016</f>
        <v>5</v>
      </c>
      <c r="AH1016" s="2">
        <f>12-AD1016</f>
        <v>12</v>
      </c>
    </row>
    <row r="1017" spans="1:34" x14ac:dyDescent="0.25">
      <c r="A1017" s="2" t="s">
        <v>312</v>
      </c>
      <c r="B1017" s="2" t="s">
        <v>402</v>
      </c>
      <c r="C1017" s="2" t="s">
        <v>409</v>
      </c>
      <c r="D1017" s="2" t="s">
        <v>412</v>
      </c>
      <c r="E1017" s="2" t="s">
        <v>414</v>
      </c>
      <c r="F1017" s="2" t="s">
        <v>39</v>
      </c>
      <c r="G1017" s="2" t="s">
        <v>415</v>
      </c>
      <c r="H1017" s="2" t="s">
        <v>350</v>
      </c>
      <c r="S1017" s="2" t="s">
        <v>57</v>
      </c>
      <c r="U1017" s="2" t="s">
        <v>58</v>
      </c>
      <c r="W1017" s="2" t="s">
        <v>59</v>
      </c>
    </row>
    <row r="1018" spans="1:34" x14ac:dyDescent="0.25">
      <c r="A1018" s="2" t="s">
        <v>312</v>
      </c>
      <c r="B1018" s="2" t="s">
        <v>402</v>
      </c>
      <c r="C1018" s="2" t="s">
        <v>409</v>
      </c>
      <c r="D1018" s="2" t="s">
        <v>412</v>
      </c>
      <c r="E1018" s="2" t="s">
        <v>414</v>
      </c>
      <c r="F1018" s="2" t="s">
        <v>39</v>
      </c>
      <c r="G1018" s="2" t="s">
        <v>416</v>
      </c>
      <c r="H1018" s="2" t="s">
        <v>571</v>
      </c>
      <c r="S1018" s="2" t="s">
        <v>59</v>
      </c>
      <c r="U1018" s="2" t="s">
        <v>57</v>
      </c>
      <c r="W1018" s="2" t="s">
        <v>60</v>
      </c>
    </row>
    <row r="1019" spans="1:34" x14ac:dyDescent="0.25">
      <c r="A1019" s="2" t="s">
        <v>312</v>
      </c>
      <c r="B1019" s="2" t="s">
        <v>402</v>
      </c>
      <c r="C1019" s="2" t="s">
        <v>409</v>
      </c>
      <c r="D1019" s="2" t="s">
        <v>412</v>
      </c>
      <c r="E1019" s="2" t="s">
        <v>414</v>
      </c>
      <c r="F1019" s="2" t="s">
        <v>39</v>
      </c>
      <c r="G1019" s="2" t="s">
        <v>417</v>
      </c>
      <c r="H1019" s="2" t="s">
        <v>572</v>
      </c>
      <c r="S1019" s="2" t="s">
        <v>57</v>
      </c>
      <c r="U1019" s="2" t="s">
        <v>59</v>
      </c>
      <c r="W1019" s="2" t="s">
        <v>58</v>
      </c>
    </row>
    <row r="1020" spans="1:34" x14ac:dyDescent="0.25">
      <c r="A1020" s="2" t="s">
        <v>312</v>
      </c>
      <c r="B1020" s="2" t="s">
        <v>402</v>
      </c>
      <c r="C1020" s="2" t="s">
        <v>409</v>
      </c>
      <c r="D1020" s="2" t="s">
        <v>412</v>
      </c>
      <c r="E1020" s="2" t="s">
        <v>414</v>
      </c>
      <c r="F1020" s="2" t="s">
        <v>39</v>
      </c>
      <c r="G1020" s="2" t="s">
        <v>418</v>
      </c>
      <c r="H1020" s="2" t="s">
        <v>573</v>
      </c>
      <c r="S1020" s="2" t="s">
        <v>58</v>
      </c>
      <c r="U1020" s="2" t="s">
        <v>58</v>
      </c>
      <c r="W1020" s="2" t="s">
        <v>58</v>
      </c>
    </row>
    <row r="1021" spans="1:34" x14ac:dyDescent="0.25">
      <c r="A1021" s="2" t="s">
        <v>312</v>
      </c>
      <c r="B1021" s="2" t="s">
        <v>402</v>
      </c>
      <c r="C1021" s="2" t="s">
        <v>409</v>
      </c>
      <c r="D1021" s="2" t="s">
        <v>412</v>
      </c>
      <c r="E1021" s="2" t="s">
        <v>414</v>
      </c>
      <c r="F1021" s="2" t="s">
        <v>39</v>
      </c>
      <c r="G1021" s="2" t="s">
        <v>419</v>
      </c>
      <c r="H1021" s="2" t="s">
        <v>365</v>
      </c>
      <c r="S1021" s="2" t="s">
        <v>59</v>
      </c>
      <c r="U1021" s="2" t="s">
        <v>59</v>
      </c>
      <c r="W1021" s="2" t="s">
        <v>60</v>
      </c>
    </row>
    <row r="1022" spans="1:34" x14ac:dyDescent="0.25">
      <c r="A1022" s="2" t="s">
        <v>312</v>
      </c>
      <c r="B1022" s="2" t="s">
        <v>531</v>
      </c>
      <c r="C1022" s="2" t="s">
        <v>409</v>
      </c>
      <c r="D1022" s="2" t="s">
        <v>412</v>
      </c>
      <c r="E1022" s="2" t="s">
        <v>414</v>
      </c>
      <c r="F1022" s="2" t="s">
        <v>39</v>
      </c>
      <c r="J1022" s="2" t="s">
        <v>532</v>
      </c>
      <c r="K1022" s="2" t="s">
        <v>533</v>
      </c>
      <c r="L1022" s="2">
        <v>1</v>
      </c>
      <c r="M1022" s="2" t="s">
        <v>534</v>
      </c>
      <c r="O1022" s="2" t="s">
        <v>524</v>
      </c>
      <c r="Y1022" s="2" t="s">
        <v>611</v>
      </c>
    </row>
    <row r="1023" spans="1:34" x14ac:dyDescent="0.25">
      <c r="A1023" s="2" t="s">
        <v>312</v>
      </c>
      <c r="B1023" s="2" t="s">
        <v>531</v>
      </c>
      <c r="C1023" s="2" t="s">
        <v>409</v>
      </c>
      <c r="D1023" s="2" t="s">
        <v>412</v>
      </c>
      <c r="E1023" s="2" t="s">
        <v>414</v>
      </c>
      <c r="F1023" s="2" t="s">
        <v>39</v>
      </c>
      <c r="J1023" s="2" t="s">
        <v>532</v>
      </c>
      <c r="K1023" s="2" t="s">
        <v>533</v>
      </c>
      <c r="L1023" s="2">
        <v>2</v>
      </c>
      <c r="M1023" s="2" t="s">
        <v>536</v>
      </c>
      <c r="O1023" s="2" t="s">
        <v>524</v>
      </c>
      <c r="Y1023" s="2" t="s">
        <v>611</v>
      </c>
    </row>
    <row r="1024" spans="1:34" x14ac:dyDescent="0.25">
      <c r="A1024" s="2" t="s">
        <v>312</v>
      </c>
      <c r="B1024" s="2" t="s">
        <v>531</v>
      </c>
      <c r="C1024" s="2" t="s">
        <v>409</v>
      </c>
      <c r="D1024" s="2" t="s">
        <v>412</v>
      </c>
      <c r="E1024" s="2" t="s">
        <v>414</v>
      </c>
      <c r="F1024" s="2" t="s">
        <v>39</v>
      </c>
      <c r="J1024" s="2" t="s">
        <v>532</v>
      </c>
      <c r="K1024" s="2" t="s">
        <v>533</v>
      </c>
      <c r="L1024" s="2">
        <v>3</v>
      </c>
      <c r="M1024" s="2" t="s">
        <v>537</v>
      </c>
      <c r="O1024" s="2" t="s">
        <v>524</v>
      </c>
      <c r="Y1024" s="2" t="s">
        <v>611</v>
      </c>
    </row>
    <row r="1025" spans="1:34" x14ac:dyDescent="0.25">
      <c r="A1025" s="2" t="s">
        <v>312</v>
      </c>
      <c r="B1025" s="2" t="s">
        <v>531</v>
      </c>
      <c r="C1025" s="2" t="s">
        <v>409</v>
      </c>
      <c r="D1025" s="2" t="s">
        <v>412</v>
      </c>
      <c r="E1025" s="2" t="s">
        <v>414</v>
      </c>
      <c r="F1025" s="2" t="s">
        <v>39</v>
      </c>
      <c r="J1025" s="2" t="s">
        <v>532</v>
      </c>
      <c r="K1025" s="2" t="s">
        <v>533</v>
      </c>
      <c r="L1025" s="2">
        <v>4</v>
      </c>
      <c r="M1025" s="2" t="s">
        <v>538</v>
      </c>
      <c r="O1025" s="2" t="s">
        <v>524</v>
      </c>
      <c r="Y1025" s="2" t="s">
        <v>611</v>
      </c>
    </row>
    <row r="1026" spans="1:34" x14ac:dyDescent="0.25">
      <c r="A1026" s="2" t="s">
        <v>312</v>
      </c>
      <c r="B1026" s="2" t="s">
        <v>531</v>
      </c>
      <c r="C1026" s="2" t="s">
        <v>409</v>
      </c>
      <c r="D1026" s="2" t="s">
        <v>412</v>
      </c>
      <c r="E1026" s="2" t="s">
        <v>414</v>
      </c>
      <c r="F1026" s="2" t="s">
        <v>39</v>
      </c>
      <c r="J1026" s="2" t="s">
        <v>532</v>
      </c>
      <c r="K1026" s="2" t="s">
        <v>533</v>
      </c>
      <c r="L1026" s="2">
        <v>5</v>
      </c>
      <c r="M1026" s="2" t="s">
        <v>539</v>
      </c>
      <c r="O1026" s="2" t="s">
        <v>524</v>
      </c>
      <c r="Y1026" s="2" t="s">
        <v>611</v>
      </c>
    </row>
    <row r="1027" spans="1:34" x14ac:dyDescent="0.25">
      <c r="A1027" s="2" t="s">
        <v>312</v>
      </c>
      <c r="B1027" s="2" t="s">
        <v>540</v>
      </c>
      <c r="C1027" s="2" t="s">
        <v>409</v>
      </c>
      <c r="D1027" s="2" t="s">
        <v>412</v>
      </c>
      <c r="E1027" s="2" t="s">
        <v>414</v>
      </c>
      <c r="F1027" s="2" t="s">
        <v>39</v>
      </c>
      <c r="J1027" s="2" t="s">
        <v>541</v>
      </c>
      <c r="K1027" s="2" t="s">
        <v>542</v>
      </c>
      <c r="L1027" s="2">
        <v>1</v>
      </c>
      <c r="M1027" s="2" t="s">
        <v>543</v>
      </c>
      <c r="O1027" s="2" t="s">
        <v>524</v>
      </c>
      <c r="Y1027" s="2" t="s">
        <v>611</v>
      </c>
    </row>
    <row r="1028" spans="1:34" x14ac:dyDescent="0.25">
      <c r="A1028" s="2" t="s">
        <v>312</v>
      </c>
      <c r="B1028" s="2" t="s">
        <v>540</v>
      </c>
      <c r="C1028" s="2" t="s">
        <v>409</v>
      </c>
      <c r="D1028" s="2" t="s">
        <v>412</v>
      </c>
      <c r="E1028" s="2" t="s">
        <v>414</v>
      </c>
      <c r="F1028" s="2" t="s">
        <v>39</v>
      </c>
      <c r="J1028" s="2" t="s">
        <v>541</v>
      </c>
      <c r="K1028" s="2" t="s">
        <v>542</v>
      </c>
      <c r="L1028" s="2">
        <v>2</v>
      </c>
      <c r="M1028" s="2" t="s">
        <v>544</v>
      </c>
      <c r="O1028" s="2" t="s">
        <v>524</v>
      </c>
      <c r="Y1028" s="2" t="s">
        <v>611</v>
      </c>
    </row>
    <row r="1029" spans="1:34" x14ac:dyDescent="0.25">
      <c r="A1029" s="2" t="s">
        <v>312</v>
      </c>
      <c r="B1029" s="2" t="s">
        <v>540</v>
      </c>
      <c r="C1029" s="2" t="s">
        <v>409</v>
      </c>
      <c r="D1029" s="2" t="s">
        <v>412</v>
      </c>
      <c r="E1029" s="2" t="s">
        <v>414</v>
      </c>
      <c r="F1029" s="2" t="s">
        <v>39</v>
      </c>
      <c r="J1029" s="2" t="s">
        <v>541</v>
      </c>
      <c r="K1029" s="2" t="s">
        <v>542</v>
      </c>
      <c r="L1029" s="2">
        <v>3</v>
      </c>
      <c r="M1029" s="2" t="s">
        <v>545</v>
      </c>
      <c r="O1029" s="2" t="s">
        <v>524</v>
      </c>
      <c r="Y1029" s="2" t="s">
        <v>611</v>
      </c>
    </row>
    <row r="1030" spans="1:34" x14ac:dyDescent="0.25">
      <c r="A1030" s="2" t="s">
        <v>312</v>
      </c>
      <c r="B1030" s="2" t="s">
        <v>540</v>
      </c>
      <c r="C1030" s="2" t="s">
        <v>409</v>
      </c>
      <c r="D1030" s="2" t="s">
        <v>412</v>
      </c>
      <c r="E1030" s="2" t="s">
        <v>414</v>
      </c>
      <c r="F1030" s="2" t="s">
        <v>39</v>
      </c>
      <c r="J1030" s="2" t="s">
        <v>541</v>
      </c>
      <c r="K1030" s="2" t="s">
        <v>542</v>
      </c>
      <c r="L1030" s="2">
        <v>4</v>
      </c>
      <c r="M1030" s="2" t="s">
        <v>546</v>
      </c>
      <c r="O1030" s="2" t="s">
        <v>524</v>
      </c>
      <c r="Y1030" s="2" t="s">
        <v>611</v>
      </c>
    </row>
    <row r="1031" spans="1:34" x14ac:dyDescent="0.25">
      <c r="A1031" s="2" t="s">
        <v>312</v>
      </c>
      <c r="B1031" s="2" t="s">
        <v>540</v>
      </c>
      <c r="C1031" s="2" t="s">
        <v>409</v>
      </c>
      <c r="D1031" s="2" t="s">
        <v>412</v>
      </c>
      <c r="E1031" s="2" t="s">
        <v>414</v>
      </c>
      <c r="F1031" s="2" t="s">
        <v>39</v>
      </c>
      <c r="J1031" s="2" t="s">
        <v>541</v>
      </c>
      <c r="K1031" s="2" t="s">
        <v>542</v>
      </c>
      <c r="L1031" s="2">
        <v>5</v>
      </c>
      <c r="M1031" s="2" t="s">
        <v>547</v>
      </c>
      <c r="O1031" s="2" t="s">
        <v>524</v>
      </c>
      <c r="Y1031" s="2" t="s">
        <v>611</v>
      </c>
    </row>
    <row r="1032" spans="1:34" x14ac:dyDescent="0.25">
      <c r="A1032" s="2" t="s">
        <v>312</v>
      </c>
      <c r="B1032" s="2" t="s">
        <v>540</v>
      </c>
      <c r="C1032" s="2" t="s">
        <v>409</v>
      </c>
      <c r="D1032" s="2" t="s">
        <v>412</v>
      </c>
      <c r="E1032" s="2" t="s">
        <v>414</v>
      </c>
      <c r="F1032" s="2" t="s">
        <v>39</v>
      </c>
      <c r="J1032" s="2" t="s">
        <v>541</v>
      </c>
      <c r="K1032" s="2" t="s">
        <v>542</v>
      </c>
      <c r="L1032" s="2">
        <v>6</v>
      </c>
      <c r="M1032" s="2" t="s">
        <v>548</v>
      </c>
      <c r="O1032" s="2" t="s">
        <v>524</v>
      </c>
      <c r="Y1032" s="2" t="s">
        <v>611</v>
      </c>
    </row>
    <row r="1033" spans="1:34" x14ac:dyDescent="0.25">
      <c r="A1033" s="2" t="s">
        <v>312</v>
      </c>
      <c r="B1033" s="2" t="s">
        <v>540</v>
      </c>
      <c r="C1033" s="2" t="s">
        <v>409</v>
      </c>
      <c r="D1033" s="2" t="s">
        <v>412</v>
      </c>
      <c r="E1033" s="2" t="s">
        <v>414</v>
      </c>
      <c r="F1033" s="2" t="s">
        <v>39</v>
      </c>
      <c r="J1033" s="2" t="s">
        <v>541</v>
      </c>
      <c r="K1033" s="2" t="s">
        <v>542</v>
      </c>
      <c r="L1033" s="2">
        <v>7</v>
      </c>
      <c r="M1033" s="2" t="s">
        <v>549</v>
      </c>
      <c r="O1033" s="2" t="s">
        <v>524</v>
      </c>
      <c r="Y1033" s="2" t="s">
        <v>611</v>
      </c>
    </row>
    <row r="1034" spans="1:34" x14ac:dyDescent="0.25">
      <c r="A1034" s="2" t="s">
        <v>312</v>
      </c>
      <c r="B1034" s="2" t="s">
        <v>540</v>
      </c>
      <c r="C1034" s="2" t="s">
        <v>409</v>
      </c>
      <c r="D1034" s="2" t="s">
        <v>412</v>
      </c>
      <c r="E1034" s="2" t="s">
        <v>414</v>
      </c>
      <c r="F1034" s="2" t="s">
        <v>39</v>
      </c>
      <c r="J1034" s="2" t="s">
        <v>541</v>
      </c>
      <c r="K1034" s="2" t="s">
        <v>542</v>
      </c>
      <c r="L1034" s="2">
        <v>8</v>
      </c>
      <c r="M1034" s="2" t="s">
        <v>550</v>
      </c>
      <c r="O1034" s="2" t="s">
        <v>524</v>
      </c>
      <c r="Y1034" s="2" t="s">
        <v>611</v>
      </c>
    </row>
    <row r="1035" spans="1:34" x14ac:dyDescent="0.25">
      <c r="A1035" s="2" t="s">
        <v>312</v>
      </c>
      <c r="B1035" s="2" t="s">
        <v>540</v>
      </c>
      <c r="C1035" s="2" t="s">
        <v>409</v>
      </c>
      <c r="D1035" s="2" t="s">
        <v>412</v>
      </c>
      <c r="E1035" s="2" t="s">
        <v>414</v>
      </c>
      <c r="F1035" s="2" t="s">
        <v>39</v>
      </c>
      <c r="J1035" s="2" t="s">
        <v>541</v>
      </c>
      <c r="K1035" s="2" t="s">
        <v>542</v>
      </c>
      <c r="L1035" s="2">
        <v>9</v>
      </c>
      <c r="M1035" s="2" t="s">
        <v>551</v>
      </c>
      <c r="O1035" s="2" t="s">
        <v>524</v>
      </c>
      <c r="Y1035" s="2" t="s">
        <v>611</v>
      </c>
    </row>
    <row r="1036" spans="1:34" x14ac:dyDescent="0.25">
      <c r="A1036" s="2" t="s">
        <v>312</v>
      </c>
      <c r="B1036" s="2" t="s">
        <v>540</v>
      </c>
      <c r="C1036" s="2" t="s">
        <v>409</v>
      </c>
      <c r="D1036" s="2" t="s">
        <v>412</v>
      </c>
      <c r="E1036" s="2" t="s">
        <v>414</v>
      </c>
      <c r="F1036" s="2" t="s">
        <v>39</v>
      </c>
      <c r="J1036" s="2" t="s">
        <v>541</v>
      </c>
      <c r="K1036" s="2" t="s">
        <v>542</v>
      </c>
      <c r="L1036" s="2">
        <v>10</v>
      </c>
      <c r="M1036" s="2" t="s">
        <v>552</v>
      </c>
      <c r="O1036" s="2" t="s">
        <v>524</v>
      </c>
      <c r="Y1036" s="2" t="s">
        <v>611</v>
      </c>
    </row>
    <row r="1037" spans="1:34" x14ac:dyDescent="0.25">
      <c r="A1037" s="2" t="s">
        <v>312</v>
      </c>
      <c r="B1037" s="2" t="s">
        <v>540</v>
      </c>
      <c r="C1037" s="2" t="s">
        <v>409</v>
      </c>
      <c r="D1037" s="2" t="s">
        <v>412</v>
      </c>
      <c r="E1037" s="2" t="s">
        <v>414</v>
      </c>
      <c r="F1037" s="2" t="s">
        <v>39</v>
      </c>
      <c r="J1037" s="2" t="s">
        <v>541</v>
      </c>
      <c r="K1037" s="2" t="s">
        <v>542</v>
      </c>
      <c r="L1037" s="2">
        <v>11</v>
      </c>
      <c r="M1037" s="2" t="s">
        <v>553</v>
      </c>
      <c r="O1037" s="2" t="s">
        <v>524</v>
      </c>
      <c r="Y1037" s="2" t="s">
        <v>611</v>
      </c>
    </row>
    <row r="1038" spans="1:34" x14ac:dyDescent="0.25">
      <c r="A1038" s="2" t="s">
        <v>312</v>
      </c>
      <c r="B1038" s="2" t="s">
        <v>540</v>
      </c>
      <c r="C1038" s="2" t="s">
        <v>409</v>
      </c>
      <c r="D1038" s="2" t="s">
        <v>412</v>
      </c>
      <c r="E1038" s="2" t="s">
        <v>414</v>
      </c>
      <c r="F1038" s="2" t="s">
        <v>39</v>
      </c>
      <c r="J1038" s="2" t="s">
        <v>541</v>
      </c>
      <c r="K1038" s="2" t="s">
        <v>542</v>
      </c>
      <c r="L1038" s="2">
        <v>12</v>
      </c>
      <c r="M1038" s="2" t="s">
        <v>554</v>
      </c>
      <c r="O1038" s="2" t="s">
        <v>524</v>
      </c>
      <c r="Y1038" s="2" t="s">
        <v>611</v>
      </c>
    </row>
    <row r="1039" spans="1:34" x14ac:dyDescent="0.25">
      <c r="A1039" s="2" t="s">
        <v>312</v>
      </c>
      <c r="B1039" s="2" t="s">
        <v>555</v>
      </c>
      <c r="C1039" s="2" t="s">
        <v>409</v>
      </c>
      <c r="D1039" s="2" t="s">
        <v>412</v>
      </c>
      <c r="E1039" s="2" t="s">
        <v>414</v>
      </c>
      <c r="F1039" s="2" t="s">
        <v>39</v>
      </c>
      <c r="J1039" s="2" t="s">
        <v>556</v>
      </c>
      <c r="O1039" s="2" t="s">
        <v>524</v>
      </c>
      <c r="Y1039" s="2" t="s">
        <v>611</v>
      </c>
      <c r="AB1039" s="2">
        <v>1</v>
      </c>
    </row>
    <row r="1040" spans="1:34" x14ac:dyDescent="0.25">
      <c r="A1040" s="2" t="s">
        <v>312</v>
      </c>
      <c r="B1040" s="2" t="s">
        <v>557</v>
      </c>
      <c r="C1040" s="2" t="s">
        <v>409</v>
      </c>
      <c r="D1040" s="2" t="s">
        <v>412</v>
      </c>
      <c r="E1040" s="2" t="s">
        <v>414</v>
      </c>
      <c r="F1040" s="2" t="s">
        <v>39</v>
      </c>
      <c r="J1040" s="2" t="s">
        <v>558</v>
      </c>
      <c r="O1040" s="2" t="s">
        <v>524</v>
      </c>
      <c r="Y1040" s="2" t="s">
        <v>611</v>
      </c>
      <c r="AC1040" s="2">
        <f>COUNTIFS($B:$B,"BLOCK_LOAD_Q",$A:$A,$A1040,$C:$C,$C1040,$E:$E,$E1040,$F:$F,$F1040,$N:$N, "&lt;&gt;")</f>
        <v>0</v>
      </c>
      <c r="AD1040" s="2">
        <f>COUNTIFS($B:$B,"BLOCK_TRUST_Q",$A:$A,$A1040,$C:$C,$C1040,$E:$E,$E1040,$F:$F,$F1040,$N:$N, "&lt;&gt;")</f>
        <v>0</v>
      </c>
      <c r="AE1040" s="2" t="str">
        <f>IFERROR(AVERAGEIFS($P:$P,$B:$B,"BLOCK_LOAD_Q",$A:$A,$A1040,$C:$C,$C1040,$E:$E,$E1040,$F:$F,$F1040,$P:$P,"&gt;0"),"")</f>
        <v/>
      </c>
      <c r="AF1040" s="2" t="str">
        <f>IFERROR(AVERAGEIFS($P:$P,$B:$B,"BLOCK_TRUST_Q",$A:$A,$A1040,$C:$C,$C1040,$E:$E,$E1040,$F:$F,$F1040,$P:$P,"&gt;0"),"")</f>
        <v/>
      </c>
      <c r="AG1040" s="2">
        <f>5-AC1040</f>
        <v>5</v>
      </c>
      <c r="AH1040" s="2">
        <f>12-AD1040</f>
        <v>12</v>
      </c>
    </row>
    <row r="1041" spans="1:27" x14ac:dyDescent="0.25">
      <c r="A1041" s="2" t="s">
        <v>312</v>
      </c>
      <c r="B1041" s="2" t="s">
        <v>403</v>
      </c>
      <c r="C1041" s="2" t="s">
        <v>409</v>
      </c>
      <c r="D1041" s="2" t="s">
        <v>412</v>
      </c>
      <c r="Z1041" s="2" t="s">
        <v>440</v>
      </c>
    </row>
    <row r="1042" spans="1:27" x14ac:dyDescent="0.25">
      <c r="A1042" s="2" t="s">
        <v>312</v>
      </c>
      <c r="B1042" s="2" t="s">
        <v>404</v>
      </c>
      <c r="J1042" s="2" t="s">
        <v>575</v>
      </c>
      <c r="AA1042" s="2" t="s">
        <v>337</v>
      </c>
    </row>
    <row r="1043" spans="1:27" x14ac:dyDescent="0.25">
      <c r="A1043" s="2" t="s">
        <v>312</v>
      </c>
      <c r="B1043" s="2" t="s">
        <v>405</v>
      </c>
    </row>
    <row r="1044" spans="1:27" x14ac:dyDescent="0.25">
      <c r="A1044" s="2" t="s">
        <v>312</v>
      </c>
      <c r="B1044" s="2" t="s">
        <v>406</v>
      </c>
    </row>
    <row r="1045" spans="1:27" x14ac:dyDescent="0.25">
      <c r="A1045" s="2" t="s">
        <v>313</v>
      </c>
      <c r="B1045" s="2" t="s">
        <v>523</v>
      </c>
      <c r="C1045" s="2" t="s">
        <v>524</v>
      </c>
      <c r="D1045" s="2" t="s">
        <v>524</v>
      </c>
      <c r="E1045" s="2" t="s">
        <v>524</v>
      </c>
      <c r="F1045" s="2" t="s">
        <v>524</v>
      </c>
      <c r="J1045" s="2" t="s">
        <v>525</v>
      </c>
      <c r="O1045" s="2" t="s">
        <v>524</v>
      </c>
    </row>
    <row r="1046" spans="1:27" x14ac:dyDescent="0.25">
      <c r="A1046" s="2" t="s">
        <v>313</v>
      </c>
      <c r="B1046" s="2" t="s">
        <v>526</v>
      </c>
      <c r="C1046" s="2" t="s">
        <v>524</v>
      </c>
      <c r="D1046" s="2" t="s">
        <v>524</v>
      </c>
      <c r="E1046" s="2" t="s">
        <v>524</v>
      </c>
      <c r="F1046" s="2" t="s">
        <v>524</v>
      </c>
      <c r="J1046" s="2" t="s">
        <v>527</v>
      </c>
      <c r="O1046" s="2" t="s">
        <v>524</v>
      </c>
    </row>
    <row r="1047" spans="1:27" x14ac:dyDescent="0.25">
      <c r="A1047" s="2" t="s">
        <v>313</v>
      </c>
      <c r="B1047" s="2" t="s">
        <v>402</v>
      </c>
      <c r="C1047" s="2" t="s">
        <v>407</v>
      </c>
      <c r="D1047" s="2" t="s">
        <v>411</v>
      </c>
      <c r="E1047" s="2" t="s">
        <v>413</v>
      </c>
      <c r="F1047" s="2" t="s">
        <v>40</v>
      </c>
      <c r="G1047" s="2" t="s">
        <v>415</v>
      </c>
      <c r="H1047" s="2" t="s">
        <v>357</v>
      </c>
      <c r="S1047" s="2" t="s">
        <v>59</v>
      </c>
      <c r="U1047" s="2" t="s">
        <v>60</v>
      </c>
      <c r="W1047" s="2" t="s">
        <v>57</v>
      </c>
    </row>
    <row r="1048" spans="1:27" x14ac:dyDescent="0.25">
      <c r="A1048" s="2" t="s">
        <v>313</v>
      </c>
      <c r="B1048" s="2" t="s">
        <v>402</v>
      </c>
      <c r="C1048" s="2" t="s">
        <v>407</v>
      </c>
      <c r="D1048" s="2" t="s">
        <v>411</v>
      </c>
      <c r="E1048" s="2" t="s">
        <v>413</v>
      </c>
      <c r="F1048" s="2" t="s">
        <v>40</v>
      </c>
      <c r="G1048" s="2" t="s">
        <v>416</v>
      </c>
      <c r="H1048" s="2" t="s">
        <v>348</v>
      </c>
      <c r="S1048" s="2" t="s">
        <v>58</v>
      </c>
      <c r="U1048" s="2" t="s">
        <v>59</v>
      </c>
      <c r="W1048" s="2" t="s">
        <v>59</v>
      </c>
    </row>
    <row r="1049" spans="1:27" x14ac:dyDescent="0.25">
      <c r="A1049" s="2" t="s">
        <v>313</v>
      </c>
      <c r="B1049" s="2" t="s">
        <v>402</v>
      </c>
      <c r="C1049" s="2" t="s">
        <v>407</v>
      </c>
      <c r="D1049" s="2" t="s">
        <v>411</v>
      </c>
      <c r="E1049" s="2" t="s">
        <v>413</v>
      </c>
      <c r="F1049" s="2" t="s">
        <v>40</v>
      </c>
      <c r="G1049" s="2" t="s">
        <v>417</v>
      </c>
      <c r="H1049" s="2" t="s">
        <v>562</v>
      </c>
      <c r="S1049" s="2" t="s">
        <v>59</v>
      </c>
      <c r="U1049" s="2" t="s">
        <v>57</v>
      </c>
      <c r="W1049" s="2" t="s">
        <v>57</v>
      </c>
    </row>
    <row r="1050" spans="1:27" x14ac:dyDescent="0.25">
      <c r="A1050" s="2" t="s">
        <v>313</v>
      </c>
      <c r="B1050" s="2" t="s">
        <v>402</v>
      </c>
      <c r="C1050" s="2" t="s">
        <v>407</v>
      </c>
      <c r="D1050" s="2" t="s">
        <v>411</v>
      </c>
      <c r="E1050" s="2" t="s">
        <v>413</v>
      </c>
      <c r="F1050" s="2" t="s">
        <v>40</v>
      </c>
      <c r="G1050" s="2" t="s">
        <v>418</v>
      </c>
      <c r="H1050" s="2" t="s">
        <v>563</v>
      </c>
      <c r="S1050" s="2" t="s">
        <v>57</v>
      </c>
      <c r="U1050" s="2" t="s">
        <v>60</v>
      </c>
      <c r="W1050" s="2" t="s">
        <v>60</v>
      </c>
    </row>
    <row r="1051" spans="1:27" x14ac:dyDescent="0.25">
      <c r="A1051" s="2" t="s">
        <v>313</v>
      </c>
      <c r="B1051" s="2" t="s">
        <v>531</v>
      </c>
      <c r="C1051" s="2" t="s">
        <v>407</v>
      </c>
      <c r="D1051" s="2" t="s">
        <v>411</v>
      </c>
      <c r="E1051" s="2" t="s">
        <v>413</v>
      </c>
      <c r="F1051" s="2" t="s">
        <v>40</v>
      </c>
      <c r="J1051" s="2" t="s">
        <v>532</v>
      </c>
      <c r="K1051" s="2" t="s">
        <v>533</v>
      </c>
      <c r="L1051" s="2">
        <v>1</v>
      </c>
      <c r="M1051" s="2" t="s">
        <v>534</v>
      </c>
      <c r="O1051" s="2" t="s">
        <v>524</v>
      </c>
      <c r="Y1051" s="2" t="s">
        <v>612</v>
      </c>
    </row>
    <row r="1052" spans="1:27" x14ac:dyDescent="0.25">
      <c r="A1052" s="2" t="s">
        <v>313</v>
      </c>
      <c r="B1052" s="2" t="s">
        <v>531</v>
      </c>
      <c r="C1052" s="2" t="s">
        <v>407</v>
      </c>
      <c r="D1052" s="2" t="s">
        <v>411</v>
      </c>
      <c r="E1052" s="2" t="s">
        <v>413</v>
      </c>
      <c r="F1052" s="2" t="s">
        <v>40</v>
      </c>
      <c r="J1052" s="2" t="s">
        <v>532</v>
      </c>
      <c r="K1052" s="2" t="s">
        <v>533</v>
      </c>
      <c r="L1052" s="2">
        <v>2</v>
      </c>
      <c r="M1052" s="2" t="s">
        <v>536</v>
      </c>
      <c r="O1052" s="2" t="s">
        <v>524</v>
      </c>
      <c r="Y1052" s="2" t="s">
        <v>612</v>
      </c>
    </row>
    <row r="1053" spans="1:27" x14ac:dyDescent="0.25">
      <c r="A1053" s="2" t="s">
        <v>313</v>
      </c>
      <c r="B1053" s="2" t="s">
        <v>531</v>
      </c>
      <c r="C1053" s="2" t="s">
        <v>407</v>
      </c>
      <c r="D1053" s="2" t="s">
        <v>411</v>
      </c>
      <c r="E1053" s="2" t="s">
        <v>413</v>
      </c>
      <c r="F1053" s="2" t="s">
        <v>40</v>
      </c>
      <c r="J1053" s="2" t="s">
        <v>532</v>
      </c>
      <c r="K1053" s="2" t="s">
        <v>533</v>
      </c>
      <c r="L1053" s="2">
        <v>3</v>
      </c>
      <c r="M1053" s="2" t="s">
        <v>537</v>
      </c>
      <c r="O1053" s="2" t="s">
        <v>524</v>
      </c>
      <c r="Y1053" s="2" t="s">
        <v>612</v>
      </c>
    </row>
    <row r="1054" spans="1:27" x14ac:dyDescent="0.25">
      <c r="A1054" s="2" t="s">
        <v>313</v>
      </c>
      <c r="B1054" s="2" t="s">
        <v>531</v>
      </c>
      <c r="C1054" s="2" t="s">
        <v>407</v>
      </c>
      <c r="D1054" s="2" t="s">
        <v>411</v>
      </c>
      <c r="E1054" s="2" t="s">
        <v>413</v>
      </c>
      <c r="F1054" s="2" t="s">
        <v>40</v>
      </c>
      <c r="J1054" s="2" t="s">
        <v>532</v>
      </c>
      <c r="K1054" s="2" t="s">
        <v>533</v>
      </c>
      <c r="L1054" s="2">
        <v>4</v>
      </c>
      <c r="M1054" s="2" t="s">
        <v>538</v>
      </c>
      <c r="O1054" s="2" t="s">
        <v>524</v>
      </c>
      <c r="Y1054" s="2" t="s">
        <v>612</v>
      </c>
    </row>
    <row r="1055" spans="1:27" x14ac:dyDescent="0.25">
      <c r="A1055" s="2" t="s">
        <v>313</v>
      </c>
      <c r="B1055" s="2" t="s">
        <v>531</v>
      </c>
      <c r="C1055" s="2" t="s">
        <v>407</v>
      </c>
      <c r="D1055" s="2" t="s">
        <v>411</v>
      </c>
      <c r="E1055" s="2" t="s">
        <v>413</v>
      </c>
      <c r="F1055" s="2" t="s">
        <v>40</v>
      </c>
      <c r="J1055" s="2" t="s">
        <v>532</v>
      </c>
      <c r="K1055" s="2" t="s">
        <v>533</v>
      </c>
      <c r="L1055" s="2">
        <v>5</v>
      </c>
      <c r="M1055" s="2" t="s">
        <v>539</v>
      </c>
      <c r="O1055" s="2" t="s">
        <v>524</v>
      </c>
      <c r="Y1055" s="2" t="s">
        <v>612</v>
      </c>
    </row>
    <row r="1056" spans="1:27" x14ac:dyDescent="0.25">
      <c r="A1056" s="2" t="s">
        <v>313</v>
      </c>
      <c r="B1056" s="2" t="s">
        <v>540</v>
      </c>
      <c r="C1056" s="2" t="s">
        <v>407</v>
      </c>
      <c r="D1056" s="2" t="s">
        <v>411</v>
      </c>
      <c r="E1056" s="2" t="s">
        <v>413</v>
      </c>
      <c r="F1056" s="2" t="s">
        <v>40</v>
      </c>
      <c r="J1056" s="2" t="s">
        <v>541</v>
      </c>
      <c r="K1056" s="2" t="s">
        <v>542</v>
      </c>
      <c r="L1056" s="2">
        <v>1</v>
      </c>
      <c r="M1056" s="2" t="s">
        <v>543</v>
      </c>
      <c r="O1056" s="2" t="s">
        <v>524</v>
      </c>
      <c r="Y1056" s="2" t="s">
        <v>612</v>
      </c>
    </row>
    <row r="1057" spans="1:34" x14ac:dyDescent="0.25">
      <c r="A1057" s="2" t="s">
        <v>313</v>
      </c>
      <c r="B1057" s="2" t="s">
        <v>540</v>
      </c>
      <c r="C1057" s="2" t="s">
        <v>407</v>
      </c>
      <c r="D1057" s="2" t="s">
        <v>411</v>
      </c>
      <c r="E1057" s="2" t="s">
        <v>413</v>
      </c>
      <c r="F1057" s="2" t="s">
        <v>40</v>
      </c>
      <c r="J1057" s="2" t="s">
        <v>541</v>
      </c>
      <c r="K1057" s="2" t="s">
        <v>542</v>
      </c>
      <c r="L1057" s="2">
        <v>2</v>
      </c>
      <c r="M1057" s="2" t="s">
        <v>544</v>
      </c>
      <c r="O1057" s="2" t="s">
        <v>524</v>
      </c>
      <c r="Y1057" s="2" t="s">
        <v>612</v>
      </c>
    </row>
    <row r="1058" spans="1:34" x14ac:dyDescent="0.25">
      <c r="A1058" s="2" t="s">
        <v>313</v>
      </c>
      <c r="B1058" s="2" t="s">
        <v>540</v>
      </c>
      <c r="C1058" s="2" t="s">
        <v>407</v>
      </c>
      <c r="D1058" s="2" t="s">
        <v>411</v>
      </c>
      <c r="E1058" s="2" t="s">
        <v>413</v>
      </c>
      <c r="F1058" s="2" t="s">
        <v>40</v>
      </c>
      <c r="J1058" s="2" t="s">
        <v>541</v>
      </c>
      <c r="K1058" s="2" t="s">
        <v>542</v>
      </c>
      <c r="L1058" s="2">
        <v>3</v>
      </c>
      <c r="M1058" s="2" t="s">
        <v>545</v>
      </c>
      <c r="O1058" s="2" t="s">
        <v>524</v>
      </c>
      <c r="Y1058" s="2" t="s">
        <v>612</v>
      </c>
    </row>
    <row r="1059" spans="1:34" x14ac:dyDescent="0.25">
      <c r="A1059" s="2" t="s">
        <v>313</v>
      </c>
      <c r="B1059" s="2" t="s">
        <v>540</v>
      </c>
      <c r="C1059" s="2" t="s">
        <v>407</v>
      </c>
      <c r="D1059" s="2" t="s">
        <v>411</v>
      </c>
      <c r="E1059" s="2" t="s">
        <v>413</v>
      </c>
      <c r="F1059" s="2" t="s">
        <v>40</v>
      </c>
      <c r="J1059" s="2" t="s">
        <v>541</v>
      </c>
      <c r="K1059" s="2" t="s">
        <v>542</v>
      </c>
      <c r="L1059" s="2">
        <v>4</v>
      </c>
      <c r="M1059" s="2" t="s">
        <v>546</v>
      </c>
      <c r="O1059" s="2" t="s">
        <v>524</v>
      </c>
      <c r="Y1059" s="2" t="s">
        <v>612</v>
      </c>
    </row>
    <row r="1060" spans="1:34" x14ac:dyDescent="0.25">
      <c r="A1060" s="2" t="s">
        <v>313</v>
      </c>
      <c r="B1060" s="2" t="s">
        <v>540</v>
      </c>
      <c r="C1060" s="2" t="s">
        <v>407</v>
      </c>
      <c r="D1060" s="2" t="s">
        <v>411</v>
      </c>
      <c r="E1060" s="2" t="s">
        <v>413</v>
      </c>
      <c r="F1060" s="2" t="s">
        <v>40</v>
      </c>
      <c r="J1060" s="2" t="s">
        <v>541</v>
      </c>
      <c r="K1060" s="2" t="s">
        <v>542</v>
      </c>
      <c r="L1060" s="2">
        <v>5</v>
      </c>
      <c r="M1060" s="2" t="s">
        <v>547</v>
      </c>
      <c r="O1060" s="2" t="s">
        <v>524</v>
      </c>
      <c r="Y1060" s="2" t="s">
        <v>612</v>
      </c>
    </row>
    <row r="1061" spans="1:34" x14ac:dyDescent="0.25">
      <c r="A1061" s="2" t="s">
        <v>313</v>
      </c>
      <c r="B1061" s="2" t="s">
        <v>540</v>
      </c>
      <c r="C1061" s="2" t="s">
        <v>407</v>
      </c>
      <c r="D1061" s="2" t="s">
        <v>411</v>
      </c>
      <c r="E1061" s="2" t="s">
        <v>413</v>
      </c>
      <c r="F1061" s="2" t="s">
        <v>40</v>
      </c>
      <c r="J1061" s="2" t="s">
        <v>541</v>
      </c>
      <c r="K1061" s="2" t="s">
        <v>542</v>
      </c>
      <c r="L1061" s="2">
        <v>6</v>
      </c>
      <c r="M1061" s="2" t="s">
        <v>548</v>
      </c>
      <c r="O1061" s="2" t="s">
        <v>524</v>
      </c>
      <c r="Y1061" s="2" t="s">
        <v>612</v>
      </c>
    </row>
    <row r="1062" spans="1:34" x14ac:dyDescent="0.25">
      <c r="A1062" s="2" t="s">
        <v>313</v>
      </c>
      <c r="B1062" s="2" t="s">
        <v>540</v>
      </c>
      <c r="C1062" s="2" t="s">
        <v>407</v>
      </c>
      <c r="D1062" s="2" t="s">
        <v>411</v>
      </c>
      <c r="E1062" s="2" t="s">
        <v>413</v>
      </c>
      <c r="F1062" s="2" t="s">
        <v>40</v>
      </c>
      <c r="J1062" s="2" t="s">
        <v>541</v>
      </c>
      <c r="K1062" s="2" t="s">
        <v>542</v>
      </c>
      <c r="L1062" s="2">
        <v>7</v>
      </c>
      <c r="M1062" s="2" t="s">
        <v>549</v>
      </c>
      <c r="O1062" s="2" t="s">
        <v>524</v>
      </c>
      <c r="Y1062" s="2" t="s">
        <v>612</v>
      </c>
    </row>
    <row r="1063" spans="1:34" x14ac:dyDescent="0.25">
      <c r="A1063" s="2" t="s">
        <v>313</v>
      </c>
      <c r="B1063" s="2" t="s">
        <v>540</v>
      </c>
      <c r="C1063" s="2" t="s">
        <v>407</v>
      </c>
      <c r="D1063" s="2" t="s">
        <v>411</v>
      </c>
      <c r="E1063" s="2" t="s">
        <v>413</v>
      </c>
      <c r="F1063" s="2" t="s">
        <v>40</v>
      </c>
      <c r="J1063" s="2" t="s">
        <v>541</v>
      </c>
      <c r="K1063" s="2" t="s">
        <v>542</v>
      </c>
      <c r="L1063" s="2">
        <v>8</v>
      </c>
      <c r="M1063" s="2" t="s">
        <v>550</v>
      </c>
      <c r="O1063" s="2" t="s">
        <v>524</v>
      </c>
      <c r="Y1063" s="2" t="s">
        <v>612</v>
      </c>
    </row>
    <row r="1064" spans="1:34" x14ac:dyDescent="0.25">
      <c r="A1064" s="2" t="s">
        <v>313</v>
      </c>
      <c r="B1064" s="2" t="s">
        <v>540</v>
      </c>
      <c r="C1064" s="2" t="s">
        <v>407</v>
      </c>
      <c r="D1064" s="2" t="s">
        <v>411</v>
      </c>
      <c r="E1064" s="2" t="s">
        <v>413</v>
      </c>
      <c r="F1064" s="2" t="s">
        <v>40</v>
      </c>
      <c r="J1064" s="2" t="s">
        <v>541</v>
      </c>
      <c r="K1064" s="2" t="s">
        <v>542</v>
      </c>
      <c r="L1064" s="2">
        <v>9</v>
      </c>
      <c r="M1064" s="2" t="s">
        <v>551</v>
      </c>
      <c r="O1064" s="2" t="s">
        <v>524</v>
      </c>
      <c r="Y1064" s="2" t="s">
        <v>612</v>
      </c>
    </row>
    <row r="1065" spans="1:34" x14ac:dyDescent="0.25">
      <c r="A1065" s="2" t="s">
        <v>313</v>
      </c>
      <c r="B1065" s="2" t="s">
        <v>540</v>
      </c>
      <c r="C1065" s="2" t="s">
        <v>407</v>
      </c>
      <c r="D1065" s="2" t="s">
        <v>411</v>
      </c>
      <c r="E1065" s="2" t="s">
        <v>413</v>
      </c>
      <c r="F1065" s="2" t="s">
        <v>40</v>
      </c>
      <c r="J1065" s="2" t="s">
        <v>541</v>
      </c>
      <c r="K1065" s="2" t="s">
        <v>542</v>
      </c>
      <c r="L1065" s="2">
        <v>10</v>
      </c>
      <c r="M1065" s="2" t="s">
        <v>552</v>
      </c>
      <c r="O1065" s="2" t="s">
        <v>524</v>
      </c>
      <c r="Y1065" s="2" t="s">
        <v>612</v>
      </c>
    </row>
    <row r="1066" spans="1:34" x14ac:dyDescent="0.25">
      <c r="A1066" s="2" t="s">
        <v>313</v>
      </c>
      <c r="B1066" s="2" t="s">
        <v>540</v>
      </c>
      <c r="C1066" s="2" t="s">
        <v>407</v>
      </c>
      <c r="D1066" s="2" t="s">
        <v>411</v>
      </c>
      <c r="E1066" s="2" t="s">
        <v>413</v>
      </c>
      <c r="F1066" s="2" t="s">
        <v>40</v>
      </c>
      <c r="J1066" s="2" t="s">
        <v>541</v>
      </c>
      <c r="K1066" s="2" t="s">
        <v>542</v>
      </c>
      <c r="L1066" s="2">
        <v>11</v>
      </c>
      <c r="M1066" s="2" t="s">
        <v>553</v>
      </c>
      <c r="O1066" s="2" t="s">
        <v>524</v>
      </c>
      <c r="Y1066" s="2" t="s">
        <v>612</v>
      </c>
    </row>
    <row r="1067" spans="1:34" x14ac:dyDescent="0.25">
      <c r="A1067" s="2" t="s">
        <v>313</v>
      </c>
      <c r="B1067" s="2" t="s">
        <v>540</v>
      </c>
      <c r="C1067" s="2" t="s">
        <v>407</v>
      </c>
      <c r="D1067" s="2" t="s">
        <v>411</v>
      </c>
      <c r="E1067" s="2" t="s">
        <v>413</v>
      </c>
      <c r="F1067" s="2" t="s">
        <v>40</v>
      </c>
      <c r="J1067" s="2" t="s">
        <v>541</v>
      </c>
      <c r="K1067" s="2" t="s">
        <v>542</v>
      </c>
      <c r="L1067" s="2">
        <v>12</v>
      </c>
      <c r="M1067" s="2" t="s">
        <v>554</v>
      </c>
      <c r="O1067" s="2" t="s">
        <v>524</v>
      </c>
      <c r="Y1067" s="2" t="s">
        <v>612</v>
      </c>
    </row>
    <row r="1068" spans="1:34" x14ac:dyDescent="0.25">
      <c r="A1068" s="2" t="s">
        <v>313</v>
      </c>
      <c r="B1068" s="2" t="s">
        <v>555</v>
      </c>
      <c r="C1068" s="2" t="s">
        <v>407</v>
      </c>
      <c r="D1068" s="2" t="s">
        <v>411</v>
      </c>
      <c r="E1068" s="2" t="s">
        <v>413</v>
      </c>
      <c r="F1068" s="2" t="s">
        <v>40</v>
      </c>
      <c r="J1068" s="2" t="s">
        <v>556</v>
      </c>
      <c r="O1068" s="2" t="s">
        <v>524</v>
      </c>
      <c r="Y1068" s="2" t="s">
        <v>612</v>
      </c>
      <c r="AB1068" s="2">
        <v>2</v>
      </c>
    </row>
    <row r="1069" spans="1:34" x14ac:dyDescent="0.25">
      <c r="A1069" s="2" t="s">
        <v>313</v>
      </c>
      <c r="B1069" s="2" t="s">
        <v>557</v>
      </c>
      <c r="C1069" s="2" t="s">
        <v>407</v>
      </c>
      <c r="D1069" s="2" t="s">
        <v>411</v>
      </c>
      <c r="E1069" s="2" t="s">
        <v>413</v>
      </c>
      <c r="F1069" s="2" t="s">
        <v>40</v>
      </c>
      <c r="J1069" s="2" t="s">
        <v>558</v>
      </c>
      <c r="O1069" s="2" t="s">
        <v>524</v>
      </c>
      <c r="Y1069" s="2" t="s">
        <v>612</v>
      </c>
      <c r="AC1069" s="2">
        <f>COUNTIFS($B:$B,"BLOCK_LOAD_Q",$A:$A,$A1069,$C:$C,$C1069,$E:$E,$E1069,$F:$F,$F1069,$N:$N, "&lt;&gt;")</f>
        <v>0</v>
      </c>
      <c r="AD1069" s="2">
        <f>COUNTIFS($B:$B,"BLOCK_TRUST_Q",$A:$A,$A1069,$C:$C,$C1069,$E:$E,$E1069,$F:$F,$F1069,$N:$N, "&lt;&gt;")</f>
        <v>0</v>
      </c>
      <c r="AE1069" s="2" t="str">
        <f>IFERROR(AVERAGEIFS($P:$P,$B:$B,"BLOCK_LOAD_Q",$A:$A,$A1069,$C:$C,$C1069,$E:$E,$E1069,$F:$F,$F1069,$P:$P,"&gt;0"),"")</f>
        <v/>
      </c>
      <c r="AF1069" s="2" t="str">
        <f>IFERROR(AVERAGEIFS($P:$P,$B:$B,"BLOCK_TRUST_Q",$A:$A,$A1069,$C:$C,$C1069,$E:$E,$E1069,$F:$F,$F1069,$P:$P,"&gt;0"),"")</f>
        <v/>
      </c>
      <c r="AG1069" s="2">
        <f>5-AC1069</f>
        <v>5</v>
      </c>
      <c r="AH1069" s="2">
        <f>12-AD1069</f>
        <v>12</v>
      </c>
    </row>
    <row r="1070" spans="1:34" x14ac:dyDescent="0.25">
      <c r="A1070" s="2" t="s">
        <v>313</v>
      </c>
      <c r="B1070" s="2" t="s">
        <v>402</v>
      </c>
      <c r="C1070" s="2" t="s">
        <v>407</v>
      </c>
      <c r="D1070" s="2" t="s">
        <v>411</v>
      </c>
      <c r="E1070" s="2" t="s">
        <v>414</v>
      </c>
      <c r="F1070" s="2" t="s">
        <v>39</v>
      </c>
      <c r="G1070" s="2" t="s">
        <v>415</v>
      </c>
      <c r="H1070" s="2" t="s">
        <v>349</v>
      </c>
      <c r="S1070" s="2" t="s">
        <v>58</v>
      </c>
      <c r="U1070" s="2" t="s">
        <v>60</v>
      </c>
      <c r="W1070" s="2" t="s">
        <v>58</v>
      </c>
    </row>
    <row r="1071" spans="1:34" x14ac:dyDescent="0.25">
      <c r="A1071" s="2" t="s">
        <v>313</v>
      </c>
      <c r="B1071" s="2" t="s">
        <v>402</v>
      </c>
      <c r="C1071" s="2" t="s">
        <v>407</v>
      </c>
      <c r="D1071" s="2" t="s">
        <v>411</v>
      </c>
      <c r="E1071" s="2" t="s">
        <v>414</v>
      </c>
      <c r="F1071" s="2" t="s">
        <v>39</v>
      </c>
      <c r="G1071" s="2" t="s">
        <v>416</v>
      </c>
      <c r="H1071" s="2" t="s">
        <v>565</v>
      </c>
      <c r="S1071" s="2" t="s">
        <v>59</v>
      </c>
      <c r="U1071" s="2" t="s">
        <v>60</v>
      </c>
      <c r="W1071" s="2" t="s">
        <v>60</v>
      </c>
    </row>
    <row r="1072" spans="1:34" x14ac:dyDescent="0.25">
      <c r="A1072" s="2" t="s">
        <v>313</v>
      </c>
      <c r="B1072" s="2" t="s">
        <v>402</v>
      </c>
      <c r="C1072" s="2" t="s">
        <v>407</v>
      </c>
      <c r="D1072" s="2" t="s">
        <v>411</v>
      </c>
      <c r="E1072" s="2" t="s">
        <v>414</v>
      </c>
      <c r="F1072" s="2" t="s">
        <v>39</v>
      </c>
      <c r="G1072" s="2" t="s">
        <v>417</v>
      </c>
      <c r="H1072" s="2" t="s">
        <v>361</v>
      </c>
      <c r="S1072" s="2" t="s">
        <v>60</v>
      </c>
      <c r="U1072" s="2" t="s">
        <v>60</v>
      </c>
      <c r="W1072" s="2" t="s">
        <v>60</v>
      </c>
    </row>
    <row r="1073" spans="1:25" x14ac:dyDescent="0.25">
      <c r="A1073" s="2" t="s">
        <v>313</v>
      </c>
      <c r="B1073" s="2" t="s">
        <v>402</v>
      </c>
      <c r="C1073" s="2" t="s">
        <v>407</v>
      </c>
      <c r="D1073" s="2" t="s">
        <v>411</v>
      </c>
      <c r="E1073" s="2" t="s">
        <v>414</v>
      </c>
      <c r="F1073" s="2" t="s">
        <v>39</v>
      </c>
      <c r="G1073" s="2" t="s">
        <v>418</v>
      </c>
      <c r="H1073" s="2" t="s">
        <v>353</v>
      </c>
      <c r="S1073" s="2" t="s">
        <v>58</v>
      </c>
      <c r="U1073" s="2" t="s">
        <v>59</v>
      </c>
      <c r="W1073" s="2" t="s">
        <v>58</v>
      </c>
    </row>
    <row r="1074" spans="1:25" x14ac:dyDescent="0.25">
      <c r="A1074" s="2" t="s">
        <v>313</v>
      </c>
      <c r="B1074" s="2" t="s">
        <v>402</v>
      </c>
      <c r="C1074" s="2" t="s">
        <v>407</v>
      </c>
      <c r="D1074" s="2" t="s">
        <v>411</v>
      </c>
      <c r="E1074" s="2" t="s">
        <v>414</v>
      </c>
      <c r="F1074" s="2" t="s">
        <v>39</v>
      </c>
      <c r="G1074" s="2" t="s">
        <v>419</v>
      </c>
      <c r="H1074" s="2" t="s">
        <v>371</v>
      </c>
      <c r="S1074" s="2" t="s">
        <v>60</v>
      </c>
      <c r="U1074" s="2" t="s">
        <v>59</v>
      </c>
      <c r="W1074" s="2" t="s">
        <v>57</v>
      </c>
    </row>
    <row r="1075" spans="1:25" x14ac:dyDescent="0.25">
      <c r="A1075" s="2" t="s">
        <v>313</v>
      </c>
      <c r="B1075" s="2" t="s">
        <v>531</v>
      </c>
      <c r="C1075" s="2" t="s">
        <v>407</v>
      </c>
      <c r="D1075" s="2" t="s">
        <v>411</v>
      </c>
      <c r="E1075" s="2" t="s">
        <v>414</v>
      </c>
      <c r="F1075" s="2" t="s">
        <v>39</v>
      </c>
      <c r="J1075" s="2" t="s">
        <v>532</v>
      </c>
      <c r="K1075" s="2" t="s">
        <v>533</v>
      </c>
      <c r="L1075" s="2">
        <v>1</v>
      </c>
      <c r="M1075" s="2" t="s">
        <v>534</v>
      </c>
      <c r="O1075" s="2" t="s">
        <v>524</v>
      </c>
      <c r="Y1075" s="2" t="s">
        <v>613</v>
      </c>
    </row>
    <row r="1076" spans="1:25" x14ac:dyDescent="0.25">
      <c r="A1076" s="2" t="s">
        <v>313</v>
      </c>
      <c r="B1076" s="2" t="s">
        <v>531</v>
      </c>
      <c r="C1076" s="2" t="s">
        <v>407</v>
      </c>
      <c r="D1076" s="2" t="s">
        <v>411</v>
      </c>
      <c r="E1076" s="2" t="s">
        <v>414</v>
      </c>
      <c r="F1076" s="2" t="s">
        <v>39</v>
      </c>
      <c r="J1076" s="2" t="s">
        <v>532</v>
      </c>
      <c r="K1076" s="2" t="s">
        <v>533</v>
      </c>
      <c r="L1076" s="2">
        <v>2</v>
      </c>
      <c r="M1076" s="2" t="s">
        <v>536</v>
      </c>
      <c r="O1076" s="2" t="s">
        <v>524</v>
      </c>
      <c r="Y1076" s="2" t="s">
        <v>613</v>
      </c>
    </row>
    <row r="1077" spans="1:25" x14ac:dyDescent="0.25">
      <c r="A1077" s="2" t="s">
        <v>313</v>
      </c>
      <c r="B1077" s="2" t="s">
        <v>531</v>
      </c>
      <c r="C1077" s="2" t="s">
        <v>407</v>
      </c>
      <c r="D1077" s="2" t="s">
        <v>411</v>
      </c>
      <c r="E1077" s="2" t="s">
        <v>414</v>
      </c>
      <c r="F1077" s="2" t="s">
        <v>39</v>
      </c>
      <c r="J1077" s="2" t="s">
        <v>532</v>
      </c>
      <c r="K1077" s="2" t="s">
        <v>533</v>
      </c>
      <c r="L1077" s="2">
        <v>3</v>
      </c>
      <c r="M1077" s="2" t="s">
        <v>537</v>
      </c>
      <c r="O1077" s="2" t="s">
        <v>524</v>
      </c>
      <c r="Y1077" s="2" t="s">
        <v>613</v>
      </c>
    </row>
    <row r="1078" spans="1:25" x14ac:dyDescent="0.25">
      <c r="A1078" s="2" t="s">
        <v>313</v>
      </c>
      <c r="B1078" s="2" t="s">
        <v>531</v>
      </c>
      <c r="C1078" s="2" t="s">
        <v>407</v>
      </c>
      <c r="D1078" s="2" t="s">
        <v>411</v>
      </c>
      <c r="E1078" s="2" t="s">
        <v>414</v>
      </c>
      <c r="F1078" s="2" t="s">
        <v>39</v>
      </c>
      <c r="J1078" s="2" t="s">
        <v>532</v>
      </c>
      <c r="K1078" s="2" t="s">
        <v>533</v>
      </c>
      <c r="L1078" s="2">
        <v>4</v>
      </c>
      <c r="M1078" s="2" t="s">
        <v>538</v>
      </c>
      <c r="O1078" s="2" t="s">
        <v>524</v>
      </c>
      <c r="Y1078" s="2" t="s">
        <v>613</v>
      </c>
    </row>
    <row r="1079" spans="1:25" x14ac:dyDescent="0.25">
      <c r="A1079" s="2" t="s">
        <v>313</v>
      </c>
      <c r="B1079" s="2" t="s">
        <v>531</v>
      </c>
      <c r="C1079" s="2" t="s">
        <v>407</v>
      </c>
      <c r="D1079" s="2" t="s">
        <v>411</v>
      </c>
      <c r="E1079" s="2" t="s">
        <v>414</v>
      </c>
      <c r="F1079" s="2" t="s">
        <v>39</v>
      </c>
      <c r="J1079" s="2" t="s">
        <v>532</v>
      </c>
      <c r="K1079" s="2" t="s">
        <v>533</v>
      </c>
      <c r="L1079" s="2">
        <v>5</v>
      </c>
      <c r="M1079" s="2" t="s">
        <v>539</v>
      </c>
      <c r="O1079" s="2" t="s">
        <v>524</v>
      </c>
      <c r="Y1079" s="2" t="s">
        <v>613</v>
      </c>
    </row>
    <row r="1080" spans="1:25" x14ac:dyDescent="0.25">
      <c r="A1080" s="2" t="s">
        <v>313</v>
      </c>
      <c r="B1080" s="2" t="s">
        <v>540</v>
      </c>
      <c r="C1080" s="2" t="s">
        <v>407</v>
      </c>
      <c r="D1080" s="2" t="s">
        <v>411</v>
      </c>
      <c r="E1080" s="2" t="s">
        <v>414</v>
      </c>
      <c r="F1080" s="2" t="s">
        <v>39</v>
      </c>
      <c r="J1080" s="2" t="s">
        <v>541</v>
      </c>
      <c r="K1080" s="2" t="s">
        <v>542</v>
      </c>
      <c r="L1080" s="2">
        <v>1</v>
      </c>
      <c r="M1080" s="2" t="s">
        <v>543</v>
      </c>
      <c r="O1080" s="2" t="s">
        <v>524</v>
      </c>
      <c r="Y1080" s="2" t="s">
        <v>613</v>
      </c>
    </row>
    <row r="1081" spans="1:25" x14ac:dyDescent="0.25">
      <c r="A1081" s="2" t="s">
        <v>313</v>
      </c>
      <c r="B1081" s="2" t="s">
        <v>540</v>
      </c>
      <c r="C1081" s="2" t="s">
        <v>407</v>
      </c>
      <c r="D1081" s="2" t="s">
        <v>411</v>
      </c>
      <c r="E1081" s="2" t="s">
        <v>414</v>
      </c>
      <c r="F1081" s="2" t="s">
        <v>39</v>
      </c>
      <c r="J1081" s="2" t="s">
        <v>541</v>
      </c>
      <c r="K1081" s="2" t="s">
        <v>542</v>
      </c>
      <c r="L1081" s="2">
        <v>2</v>
      </c>
      <c r="M1081" s="2" t="s">
        <v>544</v>
      </c>
      <c r="O1081" s="2" t="s">
        <v>524</v>
      </c>
      <c r="Y1081" s="2" t="s">
        <v>613</v>
      </c>
    </row>
    <row r="1082" spans="1:25" x14ac:dyDescent="0.25">
      <c r="A1082" s="2" t="s">
        <v>313</v>
      </c>
      <c r="B1082" s="2" t="s">
        <v>540</v>
      </c>
      <c r="C1082" s="2" t="s">
        <v>407</v>
      </c>
      <c r="D1082" s="2" t="s">
        <v>411</v>
      </c>
      <c r="E1082" s="2" t="s">
        <v>414</v>
      </c>
      <c r="F1082" s="2" t="s">
        <v>39</v>
      </c>
      <c r="J1082" s="2" t="s">
        <v>541</v>
      </c>
      <c r="K1082" s="2" t="s">
        <v>542</v>
      </c>
      <c r="L1082" s="2">
        <v>3</v>
      </c>
      <c r="M1082" s="2" t="s">
        <v>545</v>
      </c>
      <c r="O1082" s="2" t="s">
        <v>524</v>
      </c>
      <c r="Y1082" s="2" t="s">
        <v>613</v>
      </c>
    </row>
    <row r="1083" spans="1:25" x14ac:dyDescent="0.25">
      <c r="A1083" s="2" t="s">
        <v>313</v>
      </c>
      <c r="B1083" s="2" t="s">
        <v>540</v>
      </c>
      <c r="C1083" s="2" t="s">
        <v>407</v>
      </c>
      <c r="D1083" s="2" t="s">
        <v>411</v>
      </c>
      <c r="E1083" s="2" t="s">
        <v>414</v>
      </c>
      <c r="F1083" s="2" t="s">
        <v>39</v>
      </c>
      <c r="J1083" s="2" t="s">
        <v>541</v>
      </c>
      <c r="K1083" s="2" t="s">
        <v>542</v>
      </c>
      <c r="L1083" s="2">
        <v>4</v>
      </c>
      <c r="M1083" s="2" t="s">
        <v>546</v>
      </c>
      <c r="O1083" s="2" t="s">
        <v>524</v>
      </c>
      <c r="Y1083" s="2" t="s">
        <v>613</v>
      </c>
    </row>
    <row r="1084" spans="1:25" x14ac:dyDescent="0.25">
      <c r="A1084" s="2" t="s">
        <v>313</v>
      </c>
      <c r="B1084" s="2" t="s">
        <v>540</v>
      </c>
      <c r="C1084" s="2" t="s">
        <v>407</v>
      </c>
      <c r="D1084" s="2" t="s">
        <v>411</v>
      </c>
      <c r="E1084" s="2" t="s">
        <v>414</v>
      </c>
      <c r="F1084" s="2" t="s">
        <v>39</v>
      </c>
      <c r="J1084" s="2" t="s">
        <v>541</v>
      </c>
      <c r="K1084" s="2" t="s">
        <v>542</v>
      </c>
      <c r="L1084" s="2">
        <v>5</v>
      </c>
      <c r="M1084" s="2" t="s">
        <v>547</v>
      </c>
      <c r="O1084" s="2" t="s">
        <v>524</v>
      </c>
      <c r="Y1084" s="2" t="s">
        <v>613</v>
      </c>
    </row>
    <row r="1085" spans="1:25" x14ac:dyDescent="0.25">
      <c r="A1085" s="2" t="s">
        <v>313</v>
      </c>
      <c r="B1085" s="2" t="s">
        <v>540</v>
      </c>
      <c r="C1085" s="2" t="s">
        <v>407</v>
      </c>
      <c r="D1085" s="2" t="s">
        <v>411</v>
      </c>
      <c r="E1085" s="2" t="s">
        <v>414</v>
      </c>
      <c r="F1085" s="2" t="s">
        <v>39</v>
      </c>
      <c r="J1085" s="2" t="s">
        <v>541</v>
      </c>
      <c r="K1085" s="2" t="s">
        <v>542</v>
      </c>
      <c r="L1085" s="2">
        <v>6</v>
      </c>
      <c r="M1085" s="2" t="s">
        <v>548</v>
      </c>
      <c r="O1085" s="2" t="s">
        <v>524</v>
      </c>
      <c r="Y1085" s="2" t="s">
        <v>613</v>
      </c>
    </row>
    <row r="1086" spans="1:25" x14ac:dyDescent="0.25">
      <c r="A1086" s="2" t="s">
        <v>313</v>
      </c>
      <c r="B1086" s="2" t="s">
        <v>540</v>
      </c>
      <c r="C1086" s="2" t="s">
        <v>407</v>
      </c>
      <c r="D1086" s="2" t="s">
        <v>411</v>
      </c>
      <c r="E1086" s="2" t="s">
        <v>414</v>
      </c>
      <c r="F1086" s="2" t="s">
        <v>39</v>
      </c>
      <c r="J1086" s="2" t="s">
        <v>541</v>
      </c>
      <c r="K1086" s="2" t="s">
        <v>542</v>
      </c>
      <c r="L1086" s="2">
        <v>7</v>
      </c>
      <c r="M1086" s="2" t="s">
        <v>549</v>
      </c>
      <c r="O1086" s="2" t="s">
        <v>524</v>
      </c>
      <c r="Y1086" s="2" t="s">
        <v>613</v>
      </c>
    </row>
    <row r="1087" spans="1:25" x14ac:dyDescent="0.25">
      <c r="A1087" s="2" t="s">
        <v>313</v>
      </c>
      <c r="B1087" s="2" t="s">
        <v>540</v>
      </c>
      <c r="C1087" s="2" t="s">
        <v>407</v>
      </c>
      <c r="D1087" s="2" t="s">
        <v>411</v>
      </c>
      <c r="E1087" s="2" t="s">
        <v>414</v>
      </c>
      <c r="F1087" s="2" t="s">
        <v>39</v>
      </c>
      <c r="J1087" s="2" t="s">
        <v>541</v>
      </c>
      <c r="K1087" s="2" t="s">
        <v>542</v>
      </c>
      <c r="L1087" s="2">
        <v>8</v>
      </c>
      <c r="M1087" s="2" t="s">
        <v>550</v>
      </c>
      <c r="O1087" s="2" t="s">
        <v>524</v>
      </c>
      <c r="Y1087" s="2" t="s">
        <v>613</v>
      </c>
    </row>
    <row r="1088" spans="1:25" x14ac:dyDescent="0.25">
      <c r="A1088" s="2" t="s">
        <v>313</v>
      </c>
      <c r="B1088" s="2" t="s">
        <v>540</v>
      </c>
      <c r="C1088" s="2" t="s">
        <v>407</v>
      </c>
      <c r="D1088" s="2" t="s">
        <v>411</v>
      </c>
      <c r="E1088" s="2" t="s">
        <v>414</v>
      </c>
      <c r="F1088" s="2" t="s">
        <v>39</v>
      </c>
      <c r="J1088" s="2" t="s">
        <v>541</v>
      </c>
      <c r="K1088" s="2" t="s">
        <v>542</v>
      </c>
      <c r="L1088" s="2">
        <v>9</v>
      </c>
      <c r="M1088" s="2" t="s">
        <v>551</v>
      </c>
      <c r="O1088" s="2" t="s">
        <v>524</v>
      </c>
      <c r="Y1088" s="2" t="s">
        <v>613</v>
      </c>
    </row>
    <row r="1089" spans="1:34" x14ac:dyDescent="0.25">
      <c r="A1089" s="2" t="s">
        <v>313</v>
      </c>
      <c r="B1089" s="2" t="s">
        <v>540</v>
      </c>
      <c r="C1089" s="2" t="s">
        <v>407</v>
      </c>
      <c r="D1089" s="2" t="s">
        <v>411</v>
      </c>
      <c r="E1089" s="2" t="s">
        <v>414</v>
      </c>
      <c r="F1089" s="2" t="s">
        <v>39</v>
      </c>
      <c r="J1089" s="2" t="s">
        <v>541</v>
      </c>
      <c r="K1089" s="2" t="s">
        <v>542</v>
      </c>
      <c r="L1089" s="2">
        <v>10</v>
      </c>
      <c r="M1089" s="2" t="s">
        <v>552</v>
      </c>
      <c r="O1089" s="2" t="s">
        <v>524</v>
      </c>
      <c r="Y1089" s="2" t="s">
        <v>613</v>
      </c>
    </row>
    <row r="1090" spans="1:34" x14ac:dyDescent="0.25">
      <c r="A1090" s="2" t="s">
        <v>313</v>
      </c>
      <c r="B1090" s="2" t="s">
        <v>540</v>
      </c>
      <c r="C1090" s="2" t="s">
        <v>407</v>
      </c>
      <c r="D1090" s="2" t="s">
        <v>411</v>
      </c>
      <c r="E1090" s="2" t="s">
        <v>414</v>
      </c>
      <c r="F1090" s="2" t="s">
        <v>39</v>
      </c>
      <c r="J1090" s="2" t="s">
        <v>541</v>
      </c>
      <c r="K1090" s="2" t="s">
        <v>542</v>
      </c>
      <c r="L1090" s="2">
        <v>11</v>
      </c>
      <c r="M1090" s="2" t="s">
        <v>553</v>
      </c>
      <c r="O1090" s="2" t="s">
        <v>524</v>
      </c>
      <c r="Y1090" s="2" t="s">
        <v>613</v>
      </c>
    </row>
    <row r="1091" spans="1:34" x14ac:dyDescent="0.25">
      <c r="A1091" s="2" t="s">
        <v>313</v>
      </c>
      <c r="B1091" s="2" t="s">
        <v>540</v>
      </c>
      <c r="C1091" s="2" t="s">
        <v>407</v>
      </c>
      <c r="D1091" s="2" t="s">
        <v>411</v>
      </c>
      <c r="E1091" s="2" t="s">
        <v>414</v>
      </c>
      <c r="F1091" s="2" t="s">
        <v>39</v>
      </c>
      <c r="J1091" s="2" t="s">
        <v>541</v>
      </c>
      <c r="K1091" s="2" t="s">
        <v>542</v>
      </c>
      <c r="L1091" s="2">
        <v>12</v>
      </c>
      <c r="M1091" s="2" t="s">
        <v>554</v>
      </c>
      <c r="O1091" s="2" t="s">
        <v>524</v>
      </c>
      <c r="Y1091" s="2" t="s">
        <v>613</v>
      </c>
    </row>
    <row r="1092" spans="1:34" x14ac:dyDescent="0.25">
      <c r="A1092" s="2" t="s">
        <v>313</v>
      </c>
      <c r="B1092" s="2" t="s">
        <v>555</v>
      </c>
      <c r="C1092" s="2" t="s">
        <v>407</v>
      </c>
      <c r="D1092" s="2" t="s">
        <v>411</v>
      </c>
      <c r="E1092" s="2" t="s">
        <v>414</v>
      </c>
      <c r="F1092" s="2" t="s">
        <v>39</v>
      </c>
      <c r="J1092" s="2" t="s">
        <v>556</v>
      </c>
      <c r="O1092" s="2" t="s">
        <v>524</v>
      </c>
      <c r="Y1092" s="2" t="s">
        <v>613</v>
      </c>
      <c r="AB1092" s="2">
        <v>1</v>
      </c>
    </row>
    <row r="1093" spans="1:34" x14ac:dyDescent="0.25">
      <c r="A1093" s="2" t="s">
        <v>313</v>
      </c>
      <c r="B1093" s="2" t="s">
        <v>557</v>
      </c>
      <c r="C1093" s="2" t="s">
        <v>407</v>
      </c>
      <c r="D1093" s="2" t="s">
        <v>411</v>
      </c>
      <c r="E1093" s="2" t="s">
        <v>414</v>
      </c>
      <c r="F1093" s="2" t="s">
        <v>39</v>
      </c>
      <c r="J1093" s="2" t="s">
        <v>558</v>
      </c>
      <c r="O1093" s="2" t="s">
        <v>524</v>
      </c>
      <c r="Y1093" s="2" t="s">
        <v>613</v>
      </c>
      <c r="AC1093" s="2">
        <f>COUNTIFS($B:$B,"BLOCK_LOAD_Q",$A:$A,$A1093,$C:$C,$C1093,$E:$E,$E1093,$F:$F,$F1093,$N:$N, "&lt;&gt;")</f>
        <v>0</v>
      </c>
      <c r="AD1093" s="2">
        <f>COUNTIFS($B:$B,"BLOCK_TRUST_Q",$A:$A,$A1093,$C:$C,$C1093,$E:$E,$E1093,$F:$F,$F1093,$N:$N, "&lt;&gt;")</f>
        <v>0</v>
      </c>
      <c r="AE1093" s="2" t="str">
        <f>IFERROR(AVERAGEIFS($P:$P,$B:$B,"BLOCK_LOAD_Q",$A:$A,$A1093,$C:$C,$C1093,$E:$E,$E1093,$F:$F,$F1093,$P:$P,"&gt;0"),"")</f>
        <v/>
      </c>
      <c r="AF1093" s="2" t="str">
        <f>IFERROR(AVERAGEIFS($P:$P,$B:$B,"BLOCK_TRUST_Q",$A:$A,$A1093,$C:$C,$C1093,$E:$E,$E1093,$F:$F,$F1093,$P:$P,"&gt;0"),"")</f>
        <v/>
      </c>
      <c r="AG1093" s="2">
        <f>5-AC1093</f>
        <v>5</v>
      </c>
      <c r="AH1093" s="2">
        <f>12-AD1093</f>
        <v>12</v>
      </c>
    </row>
    <row r="1094" spans="1:34" x14ac:dyDescent="0.25">
      <c r="A1094" s="2" t="s">
        <v>313</v>
      </c>
      <c r="B1094" s="2" t="s">
        <v>403</v>
      </c>
      <c r="C1094" s="2" t="s">
        <v>407</v>
      </c>
      <c r="D1094" s="2" t="s">
        <v>411</v>
      </c>
      <c r="Z1094" s="2" t="s">
        <v>441</v>
      </c>
    </row>
    <row r="1095" spans="1:34" x14ac:dyDescent="0.25">
      <c r="A1095" s="2" t="s">
        <v>313</v>
      </c>
      <c r="B1095" s="2" t="s">
        <v>402</v>
      </c>
      <c r="C1095" s="2" t="s">
        <v>408</v>
      </c>
      <c r="D1095" s="2" t="s">
        <v>412</v>
      </c>
      <c r="E1095" s="2" t="s">
        <v>413</v>
      </c>
      <c r="F1095" s="2" t="s">
        <v>39</v>
      </c>
      <c r="G1095" s="2" t="s">
        <v>415</v>
      </c>
      <c r="H1095" s="2" t="s">
        <v>350</v>
      </c>
      <c r="S1095" s="2" t="s">
        <v>57</v>
      </c>
      <c r="U1095" s="2" t="s">
        <v>58</v>
      </c>
      <c r="W1095" s="2" t="s">
        <v>59</v>
      </c>
    </row>
    <row r="1096" spans="1:34" x14ac:dyDescent="0.25">
      <c r="A1096" s="2" t="s">
        <v>313</v>
      </c>
      <c r="B1096" s="2" t="s">
        <v>402</v>
      </c>
      <c r="C1096" s="2" t="s">
        <v>408</v>
      </c>
      <c r="D1096" s="2" t="s">
        <v>412</v>
      </c>
      <c r="E1096" s="2" t="s">
        <v>413</v>
      </c>
      <c r="F1096" s="2" t="s">
        <v>39</v>
      </c>
      <c r="G1096" s="2" t="s">
        <v>416</v>
      </c>
      <c r="H1096" s="2" t="s">
        <v>571</v>
      </c>
      <c r="S1096" s="2" t="s">
        <v>59</v>
      </c>
      <c r="U1096" s="2" t="s">
        <v>57</v>
      </c>
      <c r="W1096" s="2" t="s">
        <v>60</v>
      </c>
    </row>
    <row r="1097" spans="1:34" x14ac:dyDescent="0.25">
      <c r="A1097" s="2" t="s">
        <v>313</v>
      </c>
      <c r="B1097" s="2" t="s">
        <v>402</v>
      </c>
      <c r="C1097" s="2" t="s">
        <v>408</v>
      </c>
      <c r="D1097" s="2" t="s">
        <v>412</v>
      </c>
      <c r="E1097" s="2" t="s">
        <v>413</v>
      </c>
      <c r="F1097" s="2" t="s">
        <v>39</v>
      </c>
      <c r="G1097" s="2" t="s">
        <v>417</v>
      </c>
      <c r="H1097" s="2" t="s">
        <v>572</v>
      </c>
      <c r="S1097" s="2" t="s">
        <v>57</v>
      </c>
      <c r="U1097" s="2" t="s">
        <v>59</v>
      </c>
      <c r="W1097" s="2" t="s">
        <v>58</v>
      </c>
    </row>
    <row r="1098" spans="1:34" x14ac:dyDescent="0.25">
      <c r="A1098" s="2" t="s">
        <v>313</v>
      </c>
      <c r="B1098" s="2" t="s">
        <v>402</v>
      </c>
      <c r="C1098" s="2" t="s">
        <v>408</v>
      </c>
      <c r="D1098" s="2" t="s">
        <v>412</v>
      </c>
      <c r="E1098" s="2" t="s">
        <v>413</v>
      </c>
      <c r="F1098" s="2" t="s">
        <v>39</v>
      </c>
      <c r="G1098" s="2" t="s">
        <v>418</v>
      </c>
      <c r="H1098" s="2" t="s">
        <v>573</v>
      </c>
      <c r="S1098" s="2" t="s">
        <v>58</v>
      </c>
      <c r="U1098" s="2" t="s">
        <v>58</v>
      </c>
      <c r="W1098" s="2" t="s">
        <v>58</v>
      </c>
    </row>
    <row r="1099" spans="1:34" x14ac:dyDescent="0.25">
      <c r="A1099" s="2" t="s">
        <v>313</v>
      </c>
      <c r="B1099" s="2" t="s">
        <v>402</v>
      </c>
      <c r="C1099" s="2" t="s">
        <v>408</v>
      </c>
      <c r="D1099" s="2" t="s">
        <v>412</v>
      </c>
      <c r="E1099" s="2" t="s">
        <v>413</v>
      </c>
      <c r="F1099" s="2" t="s">
        <v>39</v>
      </c>
      <c r="G1099" s="2" t="s">
        <v>419</v>
      </c>
      <c r="H1099" s="2" t="s">
        <v>365</v>
      </c>
      <c r="S1099" s="2" t="s">
        <v>59</v>
      </c>
      <c r="U1099" s="2" t="s">
        <v>59</v>
      </c>
      <c r="W1099" s="2" t="s">
        <v>60</v>
      </c>
    </row>
    <row r="1100" spans="1:34" x14ac:dyDescent="0.25">
      <c r="A1100" s="2" t="s">
        <v>313</v>
      </c>
      <c r="B1100" s="2" t="s">
        <v>531</v>
      </c>
      <c r="C1100" s="2" t="s">
        <v>408</v>
      </c>
      <c r="D1100" s="2" t="s">
        <v>412</v>
      </c>
      <c r="E1100" s="2" t="s">
        <v>413</v>
      </c>
      <c r="F1100" s="2" t="s">
        <v>39</v>
      </c>
      <c r="J1100" s="2" t="s">
        <v>532</v>
      </c>
      <c r="K1100" s="2" t="s">
        <v>533</v>
      </c>
      <c r="L1100" s="2">
        <v>1</v>
      </c>
      <c r="M1100" s="2" t="s">
        <v>534</v>
      </c>
      <c r="O1100" s="2" t="s">
        <v>524</v>
      </c>
      <c r="Y1100" s="2" t="s">
        <v>614</v>
      </c>
    </row>
    <row r="1101" spans="1:34" x14ac:dyDescent="0.25">
      <c r="A1101" s="2" t="s">
        <v>313</v>
      </c>
      <c r="B1101" s="2" t="s">
        <v>531</v>
      </c>
      <c r="C1101" s="2" t="s">
        <v>408</v>
      </c>
      <c r="D1101" s="2" t="s">
        <v>412</v>
      </c>
      <c r="E1101" s="2" t="s">
        <v>413</v>
      </c>
      <c r="F1101" s="2" t="s">
        <v>39</v>
      </c>
      <c r="J1101" s="2" t="s">
        <v>532</v>
      </c>
      <c r="K1101" s="2" t="s">
        <v>533</v>
      </c>
      <c r="L1101" s="2">
        <v>2</v>
      </c>
      <c r="M1101" s="2" t="s">
        <v>536</v>
      </c>
      <c r="O1101" s="2" t="s">
        <v>524</v>
      </c>
      <c r="Y1101" s="2" t="s">
        <v>614</v>
      </c>
    </row>
    <row r="1102" spans="1:34" x14ac:dyDescent="0.25">
      <c r="A1102" s="2" t="s">
        <v>313</v>
      </c>
      <c r="B1102" s="2" t="s">
        <v>531</v>
      </c>
      <c r="C1102" s="2" t="s">
        <v>408</v>
      </c>
      <c r="D1102" s="2" t="s">
        <v>412</v>
      </c>
      <c r="E1102" s="2" t="s">
        <v>413</v>
      </c>
      <c r="F1102" s="2" t="s">
        <v>39</v>
      </c>
      <c r="J1102" s="2" t="s">
        <v>532</v>
      </c>
      <c r="K1102" s="2" t="s">
        <v>533</v>
      </c>
      <c r="L1102" s="2">
        <v>3</v>
      </c>
      <c r="M1102" s="2" t="s">
        <v>537</v>
      </c>
      <c r="O1102" s="2" t="s">
        <v>524</v>
      </c>
      <c r="Y1102" s="2" t="s">
        <v>614</v>
      </c>
    </row>
    <row r="1103" spans="1:34" x14ac:dyDescent="0.25">
      <c r="A1103" s="2" t="s">
        <v>313</v>
      </c>
      <c r="B1103" s="2" t="s">
        <v>531</v>
      </c>
      <c r="C1103" s="2" t="s">
        <v>408</v>
      </c>
      <c r="D1103" s="2" t="s">
        <v>412</v>
      </c>
      <c r="E1103" s="2" t="s">
        <v>413</v>
      </c>
      <c r="F1103" s="2" t="s">
        <v>39</v>
      </c>
      <c r="J1103" s="2" t="s">
        <v>532</v>
      </c>
      <c r="K1103" s="2" t="s">
        <v>533</v>
      </c>
      <c r="L1103" s="2">
        <v>4</v>
      </c>
      <c r="M1103" s="2" t="s">
        <v>538</v>
      </c>
      <c r="O1103" s="2" t="s">
        <v>524</v>
      </c>
      <c r="Y1103" s="2" t="s">
        <v>614</v>
      </c>
    </row>
    <row r="1104" spans="1:34" x14ac:dyDescent="0.25">
      <c r="A1104" s="2" t="s">
        <v>313</v>
      </c>
      <c r="B1104" s="2" t="s">
        <v>531</v>
      </c>
      <c r="C1104" s="2" t="s">
        <v>408</v>
      </c>
      <c r="D1104" s="2" t="s">
        <v>412</v>
      </c>
      <c r="E1104" s="2" t="s">
        <v>413</v>
      </c>
      <c r="F1104" s="2" t="s">
        <v>39</v>
      </c>
      <c r="J1104" s="2" t="s">
        <v>532</v>
      </c>
      <c r="K1104" s="2" t="s">
        <v>533</v>
      </c>
      <c r="L1104" s="2">
        <v>5</v>
      </c>
      <c r="M1104" s="2" t="s">
        <v>539</v>
      </c>
      <c r="O1104" s="2" t="s">
        <v>524</v>
      </c>
      <c r="Y1104" s="2" t="s">
        <v>614</v>
      </c>
    </row>
    <row r="1105" spans="1:34" x14ac:dyDescent="0.25">
      <c r="A1105" s="2" t="s">
        <v>313</v>
      </c>
      <c r="B1105" s="2" t="s">
        <v>540</v>
      </c>
      <c r="C1105" s="2" t="s">
        <v>408</v>
      </c>
      <c r="D1105" s="2" t="s">
        <v>412</v>
      </c>
      <c r="E1105" s="2" t="s">
        <v>413</v>
      </c>
      <c r="F1105" s="2" t="s">
        <v>39</v>
      </c>
      <c r="J1105" s="2" t="s">
        <v>541</v>
      </c>
      <c r="K1105" s="2" t="s">
        <v>542</v>
      </c>
      <c r="L1105" s="2">
        <v>1</v>
      </c>
      <c r="M1105" s="2" t="s">
        <v>543</v>
      </c>
      <c r="O1105" s="2" t="s">
        <v>524</v>
      </c>
      <c r="Y1105" s="2" t="s">
        <v>614</v>
      </c>
    </row>
    <row r="1106" spans="1:34" x14ac:dyDescent="0.25">
      <c r="A1106" s="2" t="s">
        <v>313</v>
      </c>
      <c r="B1106" s="2" t="s">
        <v>540</v>
      </c>
      <c r="C1106" s="2" t="s">
        <v>408</v>
      </c>
      <c r="D1106" s="2" t="s">
        <v>412</v>
      </c>
      <c r="E1106" s="2" t="s">
        <v>413</v>
      </c>
      <c r="F1106" s="2" t="s">
        <v>39</v>
      </c>
      <c r="J1106" s="2" t="s">
        <v>541</v>
      </c>
      <c r="K1106" s="2" t="s">
        <v>542</v>
      </c>
      <c r="L1106" s="2">
        <v>2</v>
      </c>
      <c r="M1106" s="2" t="s">
        <v>544</v>
      </c>
      <c r="O1106" s="2" t="s">
        <v>524</v>
      </c>
      <c r="Y1106" s="2" t="s">
        <v>614</v>
      </c>
    </row>
    <row r="1107" spans="1:34" x14ac:dyDescent="0.25">
      <c r="A1107" s="2" t="s">
        <v>313</v>
      </c>
      <c r="B1107" s="2" t="s">
        <v>540</v>
      </c>
      <c r="C1107" s="2" t="s">
        <v>408</v>
      </c>
      <c r="D1107" s="2" t="s">
        <v>412</v>
      </c>
      <c r="E1107" s="2" t="s">
        <v>413</v>
      </c>
      <c r="F1107" s="2" t="s">
        <v>39</v>
      </c>
      <c r="J1107" s="2" t="s">
        <v>541</v>
      </c>
      <c r="K1107" s="2" t="s">
        <v>542</v>
      </c>
      <c r="L1107" s="2">
        <v>3</v>
      </c>
      <c r="M1107" s="2" t="s">
        <v>545</v>
      </c>
      <c r="O1107" s="2" t="s">
        <v>524</v>
      </c>
      <c r="Y1107" s="2" t="s">
        <v>614</v>
      </c>
    </row>
    <row r="1108" spans="1:34" x14ac:dyDescent="0.25">
      <c r="A1108" s="2" t="s">
        <v>313</v>
      </c>
      <c r="B1108" s="2" t="s">
        <v>540</v>
      </c>
      <c r="C1108" s="2" t="s">
        <v>408</v>
      </c>
      <c r="D1108" s="2" t="s">
        <v>412</v>
      </c>
      <c r="E1108" s="2" t="s">
        <v>413</v>
      </c>
      <c r="F1108" s="2" t="s">
        <v>39</v>
      </c>
      <c r="J1108" s="2" t="s">
        <v>541</v>
      </c>
      <c r="K1108" s="2" t="s">
        <v>542</v>
      </c>
      <c r="L1108" s="2">
        <v>4</v>
      </c>
      <c r="M1108" s="2" t="s">
        <v>546</v>
      </c>
      <c r="O1108" s="2" t="s">
        <v>524</v>
      </c>
      <c r="Y1108" s="2" t="s">
        <v>614</v>
      </c>
    </row>
    <row r="1109" spans="1:34" x14ac:dyDescent="0.25">
      <c r="A1109" s="2" t="s">
        <v>313</v>
      </c>
      <c r="B1109" s="2" t="s">
        <v>540</v>
      </c>
      <c r="C1109" s="2" t="s">
        <v>408</v>
      </c>
      <c r="D1109" s="2" t="s">
        <v>412</v>
      </c>
      <c r="E1109" s="2" t="s">
        <v>413</v>
      </c>
      <c r="F1109" s="2" t="s">
        <v>39</v>
      </c>
      <c r="J1109" s="2" t="s">
        <v>541</v>
      </c>
      <c r="K1109" s="2" t="s">
        <v>542</v>
      </c>
      <c r="L1109" s="2">
        <v>5</v>
      </c>
      <c r="M1109" s="2" t="s">
        <v>547</v>
      </c>
      <c r="O1109" s="2" t="s">
        <v>524</v>
      </c>
      <c r="Y1109" s="2" t="s">
        <v>614</v>
      </c>
    </row>
    <row r="1110" spans="1:34" x14ac:dyDescent="0.25">
      <c r="A1110" s="2" t="s">
        <v>313</v>
      </c>
      <c r="B1110" s="2" t="s">
        <v>540</v>
      </c>
      <c r="C1110" s="2" t="s">
        <v>408</v>
      </c>
      <c r="D1110" s="2" t="s">
        <v>412</v>
      </c>
      <c r="E1110" s="2" t="s">
        <v>413</v>
      </c>
      <c r="F1110" s="2" t="s">
        <v>39</v>
      </c>
      <c r="J1110" s="2" t="s">
        <v>541</v>
      </c>
      <c r="K1110" s="2" t="s">
        <v>542</v>
      </c>
      <c r="L1110" s="2">
        <v>6</v>
      </c>
      <c r="M1110" s="2" t="s">
        <v>548</v>
      </c>
      <c r="O1110" s="2" t="s">
        <v>524</v>
      </c>
      <c r="Y1110" s="2" t="s">
        <v>614</v>
      </c>
    </row>
    <row r="1111" spans="1:34" x14ac:dyDescent="0.25">
      <c r="A1111" s="2" t="s">
        <v>313</v>
      </c>
      <c r="B1111" s="2" t="s">
        <v>540</v>
      </c>
      <c r="C1111" s="2" t="s">
        <v>408</v>
      </c>
      <c r="D1111" s="2" t="s">
        <v>412</v>
      </c>
      <c r="E1111" s="2" t="s">
        <v>413</v>
      </c>
      <c r="F1111" s="2" t="s">
        <v>39</v>
      </c>
      <c r="J1111" s="2" t="s">
        <v>541</v>
      </c>
      <c r="K1111" s="2" t="s">
        <v>542</v>
      </c>
      <c r="L1111" s="2">
        <v>7</v>
      </c>
      <c r="M1111" s="2" t="s">
        <v>549</v>
      </c>
      <c r="O1111" s="2" t="s">
        <v>524</v>
      </c>
      <c r="Y1111" s="2" t="s">
        <v>614</v>
      </c>
    </row>
    <row r="1112" spans="1:34" x14ac:dyDescent="0.25">
      <c r="A1112" s="2" t="s">
        <v>313</v>
      </c>
      <c r="B1112" s="2" t="s">
        <v>540</v>
      </c>
      <c r="C1112" s="2" t="s">
        <v>408</v>
      </c>
      <c r="D1112" s="2" t="s">
        <v>412</v>
      </c>
      <c r="E1112" s="2" t="s">
        <v>413</v>
      </c>
      <c r="F1112" s="2" t="s">
        <v>39</v>
      </c>
      <c r="J1112" s="2" t="s">
        <v>541</v>
      </c>
      <c r="K1112" s="2" t="s">
        <v>542</v>
      </c>
      <c r="L1112" s="2">
        <v>8</v>
      </c>
      <c r="M1112" s="2" t="s">
        <v>550</v>
      </c>
      <c r="O1112" s="2" t="s">
        <v>524</v>
      </c>
      <c r="Y1112" s="2" t="s">
        <v>614</v>
      </c>
    </row>
    <row r="1113" spans="1:34" x14ac:dyDescent="0.25">
      <c r="A1113" s="2" t="s">
        <v>313</v>
      </c>
      <c r="B1113" s="2" t="s">
        <v>540</v>
      </c>
      <c r="C1113" s="2" t="s">
        <v>408</v>
      </c>
      <c r="D1113" s="2" t="s">
        <v>412</v>
      </c>
      <c r="E1113" s="2" t="s">
        <v>413</v>
      </c>
      <c r="F1113" s="2" t="s">
        <v>39</v>
      </c>
      <c r="J1113" s="2" t="s">
        <v>541</v>
      </c>
      <c r="K1113" s="2" t="s">
        <v>542</v>
      </c>
      <c r="L1113" s="2">
        <v>9</v>
      </c>
      <c r="M1113" s="2" t="s">
        <v>551</v>
      </c>
      <c r="O1113" s="2" t="s">
        <v>524</v>
      </c>
      <c r="Y1113" s="2" t="s">
        <v>614</v>
      </c>
    </row>
    <row r="1114" spans="1:34" x14ac:dyDescent="0.25">
      <c r="A1114" s="2" t="s">
        <v>313</v>
      </c>
      <c r="B1114" s="2" t="s">
        <v>540</v>
      </c>
      <c r="C1114" s="2" t="s">
        <v>408</v>
      </c>
      <c r="D1114" s="2" t="s">
        <v>412</v>
      </c>
      <c r="E1114" s="2" t="s">
        <v>413</v>
      </c>
      <c r="F1114" s="2" t="s">
        <v>39</v>
      </c>
      <c r="J1114" s="2" t="s">
        <v>541</v>
      </c>
      <c r="K1114" s="2" t="s">
        <v>542</v>
      </c>
      <c r="L1114" s="2">
        <v>10</v>
      </c>
      <c r="M1114" s="2" t="s">
        <v>552</v>
      </c>
      <c r="O1114" s="2" t="s">
        <v>524</v>
      </c>
      <c r="Y1114" s="2" t="s">
        <v>614</v>
      </c>
    </row>
    <row r="1115" spans="1:34" x14ac:dyDescent="0.25">
      <c r="A1115" s="2" t="s">
        <v>313</v>
      </c>
      <c r="B1115" s="2" t="s">
        <v>540</v>
      </c>
      <c r="C1115" s="2" t="s">
        <v>408</v>
      </c>
      <c r="D1115" s="2" t="s">
        <v>412</v>
      </c>
      <c r="E1115" s="2" t="s">
        <v>413</v>
      </c>
      <c r="F1115" s="2" t="s">
        <v>39</v>
      </c>
      <c r="J1115" s="2" t="s">
        <v>541</v>
      </c>
      <c r="K1115" s="2" t="s">
        <v>542</v>
      </c>
      <c r="L1115" s="2">
        <v>11</v>
      </c>
      <c r="M1115" s="2" t="s">
        <v>553</v>
      </c>
      <c r="O1115" s="2" t="s">
        <v>524</v>
      </c>
      <c r="Y1115" s="2" t="s">
        <v>614</v>
      </c>
    </row>
    <row r="1116" spans="1:34" x14ac:dyDescent="0.25">
      <c r="A1116" s="2" t="s">
        <v>313</v>
      </c>
      <c r="B1116" s="2" t="s">
        <v>540</v>
      </c>
      <c r="C1116" s="2" t="s">
        <v>408</v>
      </c>
      <c r="D1116" s="2" t="s">
        <v>412</v>
      </c>
      <c r="E1116" s="2" t="s">
        <v>413</v>
      </c>
      <c r="F1116" s="2" t="s">
        <v>39</v>
      </c>
      <c r="J1116" s="2" t="s">
        <v>541</v>
      </c>
      <c r="K1116" s="2" t="s">
        <v>542</v>
      </c>
      <c r="L1116" s="2">
        <v>12</v>
      </c>
      <c r="M1116" s="2" t="s">
        <v>554</v>
      </c>
      <c r="O1116" s="2" t="s">
        <v>524</v>
      </c>
      <c r="Y1116" s="2" t="s">
        <v>614</v>
      </c>
    </row>
    <row r="1117" spans="1:34" x14ac:dyDescent="0.25">
      <c r="A1117" s="2" t="s">
        <v>313</v>
      </c>
      <c r="B1117" s="2" t="s">
        <v>555</v>
      </c>
      <c r="C1117" s="2" t="s">
        <v>408</v>
      </c>
      <c r="D1117" s="2" t="s">
        <v>412</v>
      </c>
      <c r="E1117" s="2" t="s">
        <v>413</v>
      </c>
      <c r="F1117" s="2" t="s">
        <v>39</v>
      </c>
      <c r="J1117" s="2" t="s">
        <v>556</v>
      </c>
      <c r="O1117" s="2" t="s">
        <v>524</v>
      </c>
      <c r="Y1117" s="2" t="s">
        <v>614</v>
      </c>
      <c r="AB1117" s="2">
        <v>1</v>
      </c>
    </row>
    <row r="1118" spans="1:34" x14ac:dyDescent="0.25">
      <c r="A1118" s="2" t="s">
        <v>313</v>
      </c>
      <c r="B1118" s="2" t="s">
        <v>557</v>
      </c>
      <c r="C1118" s="2" t="s">
        <v>408</v>
      </c>
      <c r="D1118" s="2" t="s">
        <v>412</v>
      </c>
      <c r="E1118" s="2" t="s">
        <v>413</v>
      </c>
      <c r="F1118" s="2" t="s">
        <v>39</v>
      </c>
      <c r="J1118" s="2" t="s">
        <v>558</v>
      </c>
      <c r="O1118" s="2" t="s">
        <v>524</v>
      </c>
      <c r="Y1118" s="2" t="s">
        <v>614</v>
      </c>
      <c r="AC1118" s="2">
        <f>COUNTIFS($B:$B,"BLOCK_LOAD_Q",$A:$A,$A1118,$C:$C,$C1118,$E:$E,$E1118,$F:$F,$F1118,$N:$N, "&lt;&gt;")</f>
        <v>0</v>
      </c>
      <c r="AD1118" s="2">
        <f>COUNTIFS($B:$B,"BLOCK_TRUST_Q",$A:$A,$A1118,$C:$C,$C1118,$E:$E,$E1118,$F:$F,$F1118,$N:$N, "&lt;&gt;")</f>
        <v>0</v>
      </c>
      <c r="AE1118" s="2" t="str">
        <f>IFERROR(AVERAGEIFS($P:$P,$B:$B,"BLOCK_LOAD_Q",$A:$A,$A1118,$C:$C,$C1118,$E:$E,$E1118,$F:$F,$F1118,$P:$P,"&gt;0"),"")</f>
        <v/>
      </c>
      <c r="AF1118" s="2" t="str">
        <f>IFERROR(AVERAGEIFS($P:$P,$B:$B,"BLOCK_TRUST_Q",$A:$A,$A1118,$C:$C,$C1118,$E:$E,$E1118,$F:$F,$F1118,$P:$P,"&gt;0"),"")</f>
        <v/>
      </c>
      <c r="AG1118" s="2">
        <f>5-AC1118</f>
        <v>5</v>
      </c>
      <c r="AH1118" s="2">
        <f>12-AD1118</f>
        <v>12</v>
      </c>
    </row>
    <row r="1119" spans="1:34" x14ac:dyDescent="0.25">
      <c r="A1119" s="2" t="s">
        <v>313</v>
      </c>
      <c r="B1119" s="2" t="s">
        <v>402</v>
      </c>
      <c r="C1119" s="2" t="s">
        <v>408</v>
      </c>
      <c r="D1119" s="2" t="s">
        <v>412</v>
      </c>
      <c r="E1119" s="2" t="s">
        <v>414</v>
      </c>
      <c r="F1119" s="2" t="s">
        <v>40</v>
      </c>
      <c r="G1119" s="2" t="s">
        <v>415</v>
      </c>
      <c r="H1119" s="2" t="s">
        <v>567</v>
      </c>
      <c r="S1119" s="2" t="s">
        <v>58</v>
      </c>
      <c r="U1119" s="2" t="s">
        <v>57</v>
      </c>
      <c r="W1119" s="2" t="s">
        <v>60</v>
      </c>
    </row>
    <row r="1120" spans="1:34" x14ac:dyDescent="0.25">
      <c r="A1120" s="2" t="s">
        <v>313</v>
      </c>
      <c r="B1120" s="2" t="s">
        <v>402</v>
      </c>
      <c r="C1120" s="2" t="s">
        <v>408</v>
      </c>
      <c r="D1120" s="2" t="s">
        <v>412</v>
      </c>
      <c r="E1120" s="2" t="s">
        <v>414</v>
      </c>
      <c r="F1120" s="2" t="s">
        <v>40</v>
      </c>
      <c r="G1120" s="2" t="s">
        <v>416</v>
      </c>
      <c r="H1120" s="2" t="s">
        <v>568</v>
      </c>
      <c r="S1120" s="2" t="s">
        <v>59</v>
      </c>
      <c r="U1120" s="2" t="s">
        <v>60</v>
      </c>
      <c r="W1120" s="2" t="s">
        <v>59</v>
      </c>
    </row>
    <row r="1121" spans="1:25" x14ac:dyDescent="0.25">
      <c r="A1121" s="2" t="s">
        <v>313</v>
      </c>
      <c r="B1121" s="2" t="s">
        <v>402</v>
      </c>
      <c r="C1121" s="2" t="s">
        <v>408</v>
      </c>
      <c r="D1121" s="2" t="s">
        <v>412</v>
      </c>
      <c r="E1121" s="2" t="s">
        <v>414</v>
      </c>
      <c r="F1121" s="2" t="s">
        <v>40</v>
      </c>
      <c r="G1121" s="2" t="s">
        <v>417</v>
      </c>
      <c r="H1121" s="2" t="s">
        <v>569</v>
      </c>
      <c r="S1121" s="2" t="s">
        <v>57</v>
      </c>
      <c r="U1121" s="2" t="s">
        <v>60</v>
      </c>
      <c r="W1121" s="2" t="s">
        <v>57</v>
      </c>
    </row>
    <row r="1122" spans="1:25" x14ac:dyDescent="0.25">
      <c r="A1122" s="2" t="s">
        <v>313</v>
      </c>
      <c r="B1122" s="2" t="s">
        <v>402</v>
      </c>
      <c r="C1122" s="2" t="s">
        <v>408</v>
      </c>
      <c r="D1122" s="2" t="s">
        <v>412</v>
      </c>
      <c r="E1122" s="2" t="s">
        <v>414</v>
      </c>
      <c r="F1122" s="2" t="s">
        <v>40</v>
      </c>
      <c r="G1122" s="2" t="s">
        <v>418</v>
      </c>
      <c r="H1122" s="2" t="s">
        <v>351</v>
      </c>
      <c r="S1122" s="2" t="s">
        <v>60</v>
      </c>
      <c r="U1122" s="2" t="s">
        <v>57</v>
      </c>
      <c r="W1122" s="2" t="s">
        <v>57</v>
      </c>
    </row>
    <row r="1123" spans="1:25" x14ac:dyDescent="0.25">
      <c r="A1123" s="2" t="s">
        <v>313</v>
      </c>
      <c r="B1123" s="2" t="s">
        <v>531</v>
      </c>
      <c r="C1123" s="2" t="s">
        <v>408</v>
      </c>
      <c r="D1123" s="2" t="s">
        <v>412</v>
      </c>
      <c r="E1123" s="2" t="s">
        <v>414</v>
      </c>
      <c r="F1123" s="2" t="s">
        <v>40</v>
      </c>
      <c r="J1123" s="2" t="s">
        <v>532</v>
      </c>
      <c r="K1123" s="2" t="s">
        <v>533</v>
      </c>
      <c r="L1123" s="2">
        <v>1</v>
      </c>
      <c r="M1123" s="2" t="s">
        <v>534</v>
      </c>
      <c r="O1123" s="2" t="s">
        <v>524</v>
      </c>
      <c r="Y1123" s="2" t="s">
        <v>615</v>
      </c>
    </row>
    <row r="1124" spans="1:25" x14ac:dyDescent="0.25">
      <c r="A1124" s="2" t="s">
        <v>313</v>
      </c>
      <c r="B1124" s="2" t="s">
        <v>531</v>
      </c>
      <c r="C1124" s="2" t="s">
        <v>408</v>
      </c>
      <c r="D1124" s="2" t="s">
        <v>412</v>
      </c>
      <c r="E1124" s="2" t="s">
        <v>414</v>
      </c>
      <c r="F1124" s="2" t="s">
        <v>40</v>
      </c>
      <c r="J1124" s="2" t="s">
        <v>532</v>
      </c>
      <c r="K1124" s="2" t="s">
        <v>533</v>
      </c>
      <c r="L1124" s="2">
        <v>2</v>
      </c>
      <c r="M1124" s="2" t="s">
        <v>536</v>
      </c>
      <c r="O1124" s="2" t="s">
        <v>524</v>
      </c>
      <c r="Y1124" s="2" t="s">
        <v>615</v>
      </c>
    </row>
    <row r="1125" spans="1:25" x14ac:dyDescent="0.25">
      <c r="A1125" s="2" t="s">
        <v>313</v>
      </c>
      <c r="B1125" s="2" t="s">
        <v>531</v>
      </c>
      <c r="C1125" s="2" t="s">
        <v>408</v>
      </c>
      <c r="D1125" s="2" t="s">
        <v>412</v>
      </c>
      <c r="E1125" s="2" t="s">
        <v>414</v>
      </c>
      <c r="F1125" s="2" t="s">
        <v>40</v>
      </c>
      <c r="J1125" s="2" t="s">
        <v>532</v>
      </c>
      <c r="K1125" s="2" t="s">
        <v>533</v>
      </c>
      <c r="L1125" s="2">
        <v>3</v>
      </c>
      <c r="M1125" s="2" t="s">
        <v>537</v>
      </c>
      <c r="O1125" s="2" t="s">
        <v>524</v>
      </c>
      <c r="Y1125" s="2" t="s">
        <v>615</v>
      </c>
    </row>
    <row r="1126" spans="1:25" x14ac:dyDescent="0.25">
      <c r="A1126" s="2" t="s">
        <v>313</v>
      </c>
      <c r="B1126" s="2" t="s">
        <v>531</v>
      </c>
      <c r="C1126" s="2" t="s">
        <v>408</v>
      </c>
      <c r="D1126" s="2" t="s">
        <v>412</v>
      </c>
      <c r="E1126" s="2" t="s">
        <v>414</v>
      </c>
      <c r="F1126" s="2" t="s">
        <v>40</v>
      </c>
      <c r="J1126" s="2" t="s">
        <v>532</v>
      </c>
      <c r="K1126" s="2" t="s">
        <v>533</v>
      </c>
      <c r="L1126" s="2">
        <v>4</v>
      </c>
      <c r="M1126" s="2" t="s">
        <v>538</v>
      </c>
      <c r="O1126" s="2" t="s">
        <v>524</v>
      </c>
      <c r="Y1126" s="2" t="s">
        <v>615</v>
      </c>
    </row>
    <row r="1127" spans="1:25" x14ac:dyDescent="0.25">
      <c r="A1127" s="2" t="s">
        <v>313</v>
      </c>
      <c r="B1127" s="2" t="s">
        <v>531</v>
      </c>
      <c r="C1127" s="2" t="s">
        <v>408</v>
      </c>
      <c r="D1127" s="2" t="s">
        <v>412</v>
      </c>
      <c r="E1127" s="2" t="s">
        <v>414</v>
      </c>
      <c r="F1127" s="2" t="s">
        <v>40</v>
      </c>
      <c r="J1127" s="2" t="s">
        <v>532</v>
      </c>
      <c r="K1127" s="2" t="s">
        <v>533</v>
      </c>
      <c r="L1127" s="2">
        <v>5</v>
      </c>
      <c r="M1127" s="2" t="s">
        <v>539</v>
      </c>
      <c r="O1127" s="2" t="s">
        <v>524</v>
      </c>
      <c r="Y1127" s="2" t="s">
        <v>615</v>
      </c>
    </row>
    <row r="1128" spans="1:25" x14ac:dyDescent="0.25">
      <c r="A1128" s="2" t="s">
        <v>313</v>
      </c>
      <c r="B1128" s="2" t="s">
        <v>540</v>
      </c>
      <c r="C1128" s="2" t="s">
        <v>408</v>
      </c>
      <c r="D1128" s="2" t="s">
        <v>412</v>
      </c>
      <c r="E1128" s="2" t="s">
        <v>414</v>
      </c>
      <c r="F1128" s="2" t="s">
        <v>40</v>
      </c>
      <c r="J1128" s="2" t="s">
        <v>541</v>
      </c>
      <c r="K1128" s="2" t="s">
        <v>542</v>
      </c>
      <c r="L1128" s="2">
        <v>1</v>
      </c>
      <c r="M1128" s="2" t="s">
        <v>543</v>
      </c>
      <c r="O1128" s="2" t="s">
        <v>524</v>
      </c>
      <c r="Y1128" s="2" t="s">
        <v>615</v>
      </c>
    </row>
    <row r="1129" spans="1:25" x14ac:dyDescent="0.25">
      <c r="A1129" s="2" t="s">
        <v>313</v>
      </c>
      <c r="B1129" s="2" t="s">
        <v>540</v>
      </c>
      <c r="C1129" s="2" t="s">
        <v>408</v>
      </c>
      <c r="D1129" s="2" t="s">
        <v>412</v>
      </c>
      <c r="E1129" s="2" t="s">
        <v>414</v>
      </c>
      <c r="F1129" s="2" t="s">
        <v>40</v>
      </c>
      <c r="J1129" s="2" t="s">
        <v>541</v>
      </c>
      <c r="K1129" s="2" t="s">
        <v>542</v>
      </c>
      <c r="L1129" s="2">
        <v>2</v>
      </c>
      <c r="M1129" s="2" t="s">
        <v>544</v>
      </c>
      <c r="O1129" s="2" t="s">
        <v>524</v>
      </c>
      <c r="Y1129" s="2" t="s">
        <v>615</v>
      </c>
    </row>
    <row r="1130" spans="1:25" x14ac:dyDescent="0.25">
      <c r="A1130" s="2" t="s">
        <v>313</v>
      </c>
      <c r="B1130" s="2" t="s">
        <v>540</v>
      </c>
      <c r="C1130" s="2" t="s">
        <v>408</v>
      </c>
      <c r="D1130" s="2" t="s">
        <v>412</v>
      </c>
      <c r="E1130" s="2" t="s">
        <v>414</v>
      </c>
      <c r="F1130" s="2" t="s">
        <v>40</v>
      </c>
      <c r="J1130" s="2" t="s">
        <v>541</v>
      </c>
      <c r="K1130" s="2" t="s">
        <v>542</v>
      </c>
      <c r="L1130" s="2">
        <v>3</v>
      </c>
      <c r="M1130" s="2" t="s">
        <v>545</v>
      </c>
      <c r="O1130" s="2" t="s">
        <v>524</v>
      </c>
      <c r="Y1130" s="2" t="s">
        <v>615</v>
      </c>
    </row>
    <row r="1131" spans="1:25" x14ac:dyDescent="0.25">
      <c r="A1131" s="2" t="s">
        <v>313</v>
      </c>
      <c r="B1131" s="2" t="s">
        <v>540</v>
      </c>
      <c r="C1131" s="2" t="s">
        <v>408</v>
      </c>
      <c r="D1131" s="2" t="s">
        <v>412</v>
      </c>
      <c r="E1131" s="2" t="s">
        <v>414</v>
      </c>
      <c r="F1131" s="2" t="s">
        <v>40</v>
      </c>
      <c r="J1131" s="2" t="s">
        <v>541</v>
      </c>
      <c r="K1131" s="2" t="s">
        <v>542</v>
      </c>
      <c r="L1131" s="2">
        <v>4</v>
      </c>
      <c r="M1131" s="2" t="s">
        <v>546</v>
      </c>
      <c r="O1131" s="2" t="s">
        <v>524</v>
      </c>
      <c r="Y1131" s="2" t="s">
        <v>615</v>
      </c>
    </row>
    <row r="1132" spans="1:25" x14ac:dyDescent="0.25">
      <c r="A1132" s="2" t="s">
        <v>313</v>
      </c>
      <c r="B1132" s="2" t="s">
        <v>540</v>
      </c>
      <c r="C1132" s="2" t="s">
        <v>408</v>
      </c>
      <c r="D1132" s="2" t="s">
        <v>412</v>
      </c>
      <c r="E1132" s="2" t="s">
        <v>414</v>
      </c>
      <c r="F1132" s="2" t="s">
        <v>40</v>
      </c>
      <c r="J1132" s="2" t="s">
        <v>541</v>
      </c>
      <c r="K1132" s="2" t="s">
        <v>542</v>
      </c>
      <c r="L1132" s="2">
        <v>5</v>
      </c>
      <c r="M1132" s="2" t="s">
        <v>547</v>
      </c>
      <c r="O1132" s="2" t="s">
        <v>524</v>
      </c>
      <c r="Y1132" s="2" t="s">
        <v>615</v>
      </c>
    </row>
    <row r="1133" spans="1:25" x14ac:dyDescent="0.25">
      <c r="A1133" s="2" t="s">
        <v>313</v>
      </c>
      <c r="B1133" s="2" t="s">
        <v>540</v>
      </c>
      <c r="C1133" s="2" t="s">
        <v>408</v>
      </c>
      <c r="D1133" s="2" t="s">
        <v>412</v>
      </c>
      <c r="E1133" s="2" t="s">
        <v>414</v>
      </c>
      <c r="F1133" s="2" t="s">
        <v>40</v>
      </c>
      <c r="J1133" s="2" t="s">
        <v>541</v>
      </c>
      <c r="K1133" s="2" t="s">
        <v>542</v>
      </c>
      <c r="L1133" s="2">
        <v>6</v>
      </c>
      <c r="M1133" s="2" t="s">
        <v>548</v>
      </c>
      <c r="O1133" s="2" t="s">
        <v>524</v>
      </c>
      <c r="Y1133" s="2" t="s">
        <v>615</v>
      </c>
    </row>
    <row r="1134" spans="1:25" x14ac:dyDescent="0.25">
      <c r="A1134" s="2" t="s">
        <v>313</v>
      </c>
      <c r="B1134" s="2" t="s">
        <v>540</v>
      </c>
      <c r="C1134" s="2" t="s">
        <v>408</v>
      </c>
      <c r="D1134" s="2" t="s">
        <v>412</v>
      </c>
      <c r="E1134" s="2" t="s">
        <v>414</v>
      </c>
      <c r="F1134" s="2" t="s">
        <v>40</v>
      </c>
      <c r="J1134" s="2" t="s">
        <v>541</v>
      </c>
      <c r="K1134" s="2" t="s">
        <v>542</v>
      </c>
      <c r="L1134" s="2">
        <v>7</v>
      </c>
      <c r="M1134" s="2" t="s">
        <v>549</v>
      </c>
      <c r="O1134" s="2" t="s">
        <v>524</v>
      </c>
      <c r="Y1134" s="2" t="s">
        <v>615</v>
      </c>
    </row>
    <row r="1135" spans="1:25" x14ac:dyDescent="0.25">
      <c r="A1135" s="2" t="s">
        <v>313</v>
      </c>
      <c r="B1135" s="2" t="s">
        <v>540</v>
      </c>
      <c r="C1135" s="2" t="s">
        <v>408</v>
      </c>
      <c r="D1135" s="2" t="s">
        <v>412</v>
      </c>
      <c r="E1135" s="2" t="s">
        <v>414</v>
      </c>
      <c r="F1135" s="2" t="s">
        <v>40</v>
      </c>
      <c r="J1135" s="2" t="s">
        <v>541</v>
      </c>
      <c r="K1135" s="2" t="s">
        <v>542</v>
      </c>
      <c r="L1135" s="2">
        <v>8</v>
      </c>
      <c r="M1135" s="2" t="s">
        <v>550</v>
      </c>
      <c r="O1135" s="2" t="s">
        <v>524</v>
      </c>
      <c r="Y1135" s="2" t="s">
        <v>615</v>
      </c>
    </row>
    <row r="1136" spans="1:25" x14ac:dyDescent="0.25">
      <c r="A1136" s="2" t="s">
        <v>313</v>
      </c>
      <c r="B1136" s="2" t="s">
        <v>540</v>
      </c>
      <c r="C1136" s="2" t="s">
        <v>408</v>
      </c>
      <c r="D1136" s="2" t="s">
        <v>412</v>
      </c>
      <c r="E1136" s="2" t="s">
        <v>414</v>
      </c>
      <c r="F1136" s="2" t="s">
        <v>40</v>
      </c>
      <c r="J1136" s="2" t="s">
        <v>541</v>
      </c>
      <c r="K1136" s="2" t="s">
        <v>542</v>
      </c>
      <c r="L1136" s="2">
        <v>9</v>
      </c>
      <c r="M1136" s="2" t="s">
        <v>551</v>
      </c>
      <c r="O1136" s="2" t="s">
        <v>524</v>
      </c>
      <c r="Y1136" s="2" t="s">
        <v>615</v>
      </c>
    </row>
    <row r="1137" spans="1:34" x14ac:dyDescent="0.25">
      <c r="A1137" s="2" t="s">
        <v>313</v>
      </c>
      <c r="B1137" s="2" t="s">
        <v>540</v>
      </c>
      <c r="C1137" s="2" t="s">
        <v>408</v>
      </c>
      <c r="D1137" s="2" t="s">
        <v>412</v>
      </c>
      <c r="E1137" s="2" t="s">
        <v>414</v>
      </c>
      <c r="F1137" s="2" t="s">
        <v>40</v>
      </c>
      <c r="J1137" s="2" t="s">
        <v>541</v>
      </c>
      <c r="K1137" s="2" t="s">
        <v>542</v>
      </c>
      <c r="L1137" s="2">
        <v>10</v>
      </c>
      <c r="M1137" s="2" t="s">
        <v>552</v>
      </c>
      <c r="O1137" s="2" t="s">
        <v>524</v>
      </c>
      <c r="Y1137" s="2" t="s">
        <v>615</v>
      </c>
    </row>
    <row r="1138" spans="1:34" x14ac:dyDescent="0.25">
      <c r="A1138" s="2" t="s">
        <v>313</v>
      </c>
      <c r="B1138" s="2" t="s">
        <v>540</v>
      </c>
      <c r="C1138" s="2" t="s">
        <v>408</v>
      </c>
      <c r="D1138" s="2" t="s">
        <v>412</v>
      </c>
      <c r="E1138" s="2" t="s">
        <v>414</v>
      </c>
      <c r="F1138" s="2" t="s">
        <v>40</v>
      </c>
      <c r="J1138" s="2" t="s">
        <v>541</v>
      </c>
      <c r="K1138" s="2" t="s">
        <v>542</v>
      </c>
      <c r="L1138" s="2">
        <v>11</v>
      </c>
      <c r="M1138" s="2" t="s">
        <v>553</v>
      </c>
      <c r="O1138" s="2" t="s">
        <v>524</v>
      </c>
      <c r="Y1138" s="2" t="s">
        <v>615</v>
      </c>
    </row>
    <row r="1139" spans="1:34" x14ac:dyDescent="0.25">
      <c r="A1139" s="2" t="s">
        <v>313</v>
      </c>
      <c r="B1139" s="2" t="s">
        <v>540</v>
      </c>
      <c r="C1139" s="2" t="s">
        <v>408</v>
      </c>
      <c r="D1139" s="2" t="s">
        <v>412</v>
      </c>
      <c r="E1139" s="2" t="s">
        <v>414</v>
      </c>
      <c r="F1139" s="2" t="s">
        <v>40</v>
      </c>
      <c r="J1139" s="2" t="s">
        <v>541</v>
      </c>
      <c r="K1139" s="2" t="s">
        <v>542</v>
      </c>
      <c r="L1139" s="2">
        <v>12</v>
      </c>
      <c r="M1139" s="2" t="s">
        <v>554</v>
      </c>
      <c r="O1139" s="2" t="s">
        <v>524</v>
      </c>
      <c r="Y1139" s="2" t="s">
        <v>615</v>
      </c>
    </row>
    <row r="1140" spans="1:34" x14ac:dyDescent="0.25">
      <c r="A1140" s="2" t="s">
        <v>313</v>
      </c>
      <c r="B1140" s="2" t="s">
        <v>555</v>
      </c>
      <c r="C1140" s="2" t="s">
        <v>408</v>
      </c>
      <c r="D1140" s="2" t="s">
        <v>412</v>
      </c>
      <c r="E1140" s="2" t="s">
        <v>414</v>
      </c>
      <c r="F1140" s="2" t="s">
        <v>40</v>
      </c>
      <c r="J1140" s="2" t="s">
        <v>556</v>
      </c>
      <c r="O1140" s="2" t="s">
        <v>524</v>
      </c>
      <c r="Y1140" s="2" t="s">
        <v>615</v>
      </c>
      <c r="AB1140" s="2">
        <v>2</v>
      </c>
    </row>
    <row r="1141" spans="1:34" x14ac:dyDescent="0.25">
      <c r="A1141" s="2" t="s">
        <v>313</v>
      </c>
      <c r="B1141" s="2" t="s">
        <v>557</v>
      </c>
      <c r="C1141" s="2" t="s">
        <v>408</v>
      </c>
      <c r="D1141" s="2" t="s">
        <v>412</v>
      </c>
      <c r="E1141" s="2" t="s">
        <v>414</v>
      </c>
      <c r="F1141" s="2" t="s">
        <v>40</v>
      </c>
      <c r="J1141" s="2" t="s">
        <v>558</v>
      </c>
      <c r="O1141" s="2" t="s">
        <v>524</v>
      </c>
      <c r="Y1141" s="2" t="s">
        <v>615</v>
      </c>
      <c r="AC1141" s="2">
        <f>COUNTIFS($B:$B,"BLOCK_LOAD_Q",$A:$A,$A1141,$C:$C,$C1141,$E:$E,$E1141,$F:$F,$F1141,$N:$N, "&lt;&gt;")</f>
        <v>0</v>
      </c>
      <c r="AD1141" s="2">
        <f>COUNTIFS($B:$B,"BLOCK_TRUST_Q",$A:$A,$A1141,$C:$C,$C1141,$E:$E,$E1141,$F:$F,$F1141,$N:$N, "&lt;&gt;")</f>
        <v>0</v>
      </c>
      <c r="AE1141" s="2" t="str">
        <f>IFERROR(AVERAGEIFS($P:$P,$B:$B,"BLOCK_LOAD_Q",$A:$A,$A1141,$C:$C,$C1141,$E:$E,$E1141,$F:$F,$F1141,$P:$P,"&gt;0"),"")</f>
        <v/>
      </c>
      <c r="AF1141" s="2" t="str">
        <f>IFERROR(AVERAGEIFS($P:$P,$B:$B,"BLOCK_TRUST_Q",$A:$A,$A1141,$C:$C,$C1141,$E:$E,$E1141,$F:$F,$F1141,$P:$P,"&gt;0"),"")</f>
        <v/>
      </c>
      <c r="AG1141" s="2">
        <f>5-AC1141</f>
        <v>5</v>
      </c>
      <c r="AH1141" s="2">
        <f>12-AD1141</f>
        <v>12</v>
      </c>
    </row>
    <row r="1142" spans="1:34" x14ac:dyDescent="0.25">
      <c r="A1142" s="2" t="s">
        <v>313</v>
      </c>
      <c r="B1142" s="2" t="s">
        <v>403</v>
      </c>
      <c r="C1142" s="2" t="s">
        <v>408</v>
      </c>
      <c r="D1142" s="2" t="s">
        <v>412</v>
      </c>
      <c r="Z1142" s="2" t="s">
        <v>442</v>
      </c>
    </row>
    <row r="1143" spans="1:34" x14ac:dyDescent="0.25">
      <c r="A1143" s="2" t="s">
        <v>313</v>
      </c>
      <c r="B1143" s="2" t="s">
        <v>402</v>
      </c>
      <c r="C1143" s="2" t="s">
        <v>409</v>
      </c>
      <c r="D1143" s="2" t="s">
        <v>410</v>
      </c>
      <c r="E1143" s="2" t="s">
        <v>413</v>
      </c>
      <c r="F1143" s="2" t="s">
        <v>39</v>
      </c>
      <c r="G1143" s="2" t="s">
        <v>415</v>
      </c>
      <c r="H1143" s="2" t="s">
        <v>373</v>
      </c>
      <c r="S1143" s="2" t="s">
        <v>60</v>
      </c>
      <c r="U1143" s="2" t="s">
        <v>60</v>
      </c>
      <c r="W1143" s="2" t="s">
        <v>60</v>
      </c>
    </row>
    <row r="1144" spans="1:34" x14ac:dyDescent="0.25">
      <c r="A1144" s="2" t="s">
        <v>313</v>
      </c>
      <c r="B1144" s="2" t="s">
        <v>402</v>
      </c>
      <c r="C1144" s="2" t="s">
        <v>409</v>
      </c>
      <c r="D1144" s="2" t="s">
        <v>410</v>
      </c>
      <c r="E1144" s="2" t="s">
        <v>413</v>
      </c>
      <c r="F1144" s="2" t="s">
        <v>39</v>
      </c>
      <c r="G1144" s="2" t="s">
        <v>416</v>
      </c>
      <c r="H1144" s="2" t="s">
        <v>528</v>
      </c>
      <c r="S1144" s="2" t="s">
        <v>60</v>
      </c>
      <c r="U1144" s="2" t="s">
        <v>59</v>
      </c>
      <c r="W1144" s="2" t="s">
        <v>59</v>
      </c>
    </row>
    <row r="1145" spans="1:34" x14ac:dyDescent="0.25">
      <c r="A1145" s="2" t="s">
        <v>313</v>
      </c>
      <c r="B1145" s="2" t="s">
        <v>402</v>
      </c>
      <c r="C1145" s="2" t="s">
        <v>409</v>
      </c>
      <c r="D1145" s="2" t="s">
        <v>410</v>
      </c>
      <c r="E1145" s="2" t="s">
        <v>413</v>
      </c>
      <c r="F1145" s="2" t="s">
        <v>39</v>
      </c>
      <c r="G1145" s="2" t="s">
        <v>417</v>
      </c>
      <c r="H1145" s="2" t="s">
        <v>529</v>
      </c>
      <c r="S1145" s="2" t="s">
        <v>57</v>
      </c>
      <c r="U1145" s="2" t="s">
        <v>59</v>
      </c>
      <c r="W1145" s="2" t="s">
        <v>60</v>
      </c>
    </row>
    <row r="1146" spans="1:34" x14ac:dyDescent="0.25">
      <c r="A1146" s="2" t="s">
        <v>313</v>
      </c>
      <c r="B1146" s="2" t="s">
        <v>402</v>
      </c>
      <c r="C1146" s="2" t="s">
        <v>409</v>
      </c>
      <c r="D1146" s="2" t="s">
        <v>410</v>
      </c>
      <c r="E1146" s="2" t="s">
        <v>413</v>
      </c>
      <c r="F1146" s="2" t="s">
        <v>39</v>
      </c>
      <c r="G1146" s="2" t="s">
        <v>418</v>
      </c>
      <c r="H1146" s="2" t="s">
        <v>347</v>
      </c>
      <c r="S1146" s="2" t="s">
        <v>60</v>
      </c>
      <c r="U1146" s="2" t="s">
        <v>57</v>
      </c>
      <c r="W1146" s="2" t="s">
        <v>59</v>
      </c>
    </row>
    <row r="1147" spans="1:34" x14ac:dyDescent="0.25">
      <c r="A1147" s="2" t="s">
        <v>313</v>
      </c>
      <c r="B1147" s="2" t="s">
        <v>402</v>
      </c>
      <c r="C1147" s="2" t="s">
        <v>409</v>
      </c>
      <c r="D1147" s="2" t="s">
        <v>410</v>
      </c>
      <c r="E1147" s="2" t="s">
        <v>413</v>
      </c>
      <c r="F1147" s="2" t="s">
        <v>39</v>
      </c>
      <c r="G1147" s="2" t="s">
        <v>419</v>
      </c>
      <c r="H1147" s="2" t="s">
        <v>530</v>
      </c>
      <c r="S1147" s="2" t="s">
        <v>57</v>
      </c>
      <c r="U1147" s="2" t="s">
        <v>60</v>
      </c>
      <c r="W1147" s="2" t="s">
        <v>58</v>
      </c>
    </row>
    <row r="1148" spans="1:34" x14ac:dyDescent="0.25">
      <c r="A1148" s="2" t="s">
        <v>313</v>
      </c>
      <c r="B1148" s="2" t="s">
        <v>531</v>
      </c>
      <c r="C1148" s="2" t="s">
        <v>409</v>
      </c>
      <c r="D1148" s="2" t="s">
        <v>410</v>
      </c>
      <c r="E1148" s="2" t="s">
        <v>413</v>
      </c>
      <c r="F1148" s="2" t="s">
        <v>39</v>
      </c>
      <c r="J1148" s="2" t="s">
        <v>532</v>
      </c>
      <c r="K1148" s="2" t="s">
        <v>533</v>
      </c>
      <c r="L1148" s="2">
        <v>1</v>
      </c>
      <c r="M1148" s="2" t="s">
        <v>534</v>
      </c>
      <c r="O1148" s="2" t="s">
        <v>524</v>
      </c>
      <c r="Y1148" s="2" t="s">
        <v>616</v>
      </c>
    </row>
    <row r="1149" spans="1:34" x14ac:dyDescent="0.25">
      <c r="A1149" s="2" t="s">
        <v>313</v>
      </c>
      <c r="B1149" s="2" t="s">
        <v>531</v>
      </c>
      <c r="C1149" s="2" t="s">
        <v>409</v>
      </c>
      <c r="D1149" s="2" t="s">
        <v>410</v>
      </c>
      <c r="E1149" s="2" t="s">
        <v>413</v>
      </c>
      <c r="F1149" s="2" t="s">
        <v>39</v>
      </c>
      <c r="J1149" s="2" t="s">
        <v>532</v>
      </c>
      <c r="K1149" s="2" t="s">
        <v>533</v>
      </c>
      <c r="L1149" s="2">
        <v>2</v>
      </c>
      <c r="M1149" s="2" t="s">
        <v>536</v>
      </c>
      <c r="O1149" s="2" t="s">
        <v>524</v>
      </c>
      <c r="Y1149" s="2" t="s">
        <v>616</v>
      </c>
    </row>
    <row r="1150" spans="1:34" x14ac:dyDescent="0.25">
      <c r="A1150" s="2" t="s">
        <v>313</v>
      </c>
      <c r="B1150" s="2" t="s">
        <v>531</v>
      </c>
      <c r="C1150" s="2" t="s">
        <v>409</v>
      </c>
      <c r="D1150" s="2" t="s">
        <v>410</v>
      </c>
      <c r="E1150" s="2" t="s">
        <v>413</v>
      </c>
      <c r="F1150" s="2" t="s">
        <v>39</v>
      </c>
      <c r="J1150" s="2" t="s">
        <v>532</v>
      </c>
      <c r="K1150" s="2" t="s">
        <v>533</v>
      </c>
      <c r="L1150" s="2">
        <v>3</v>
      </c>
      <c r="M1150" s="2" t="s">
        <v>537</v>
      </c>
      <c r="O1150" s="2" t="s">
        <v>524</v>
      </c>
      <c r="Y1150" s="2" t="s">
        <v>616</v>
      </c>
    </row>
    <row r="1151" spans="1:34" x14ac:dyDescent="0.25">
      <c r="A1151" s="2" t="s">
        <v>313</v>
      </c>
      <c r="B1151" s="2" t="s">
        <v>531</v>
      </c>
      <c r="C1151" s="2" t="s">
        <v>409</v>
      </c>
      <c r="D1151" s="2" t="s">
        <v>410</v>
      </c>
      <c r="E1151" s="2" t="s">
        <v>413</v>
      </c>
      <c r="F1151" s="2" t="s">
        <v>39</v>
      </c>
      <c r="J1151" s="2" t="s">
        <v>532</v>
      </c>
      <c r="K1151" s="2" t="s">
        <v>533</v>
      </c>
      <c r="L1151" s="2">
        <v>4</v>
      </c>
      <c r="M1151" s="2" t="s">
        <v>538</v>
      </c>
      <c r="O1151" s="2" t="s">
        <v>524</v>
      </c>
      <c r="Y1151" s="2" t="s">
        <v>616</v>
      </c>
    </row>
    <row r="1152" spans="1:34" x14ac:dyDescent="0.25">
      <c r="A1152" s="2" t="s">
        <v>313</v>
      </c>
      <c r="B1152" s="2" t="s">
        <v>531</v>
      </c>
      <c r="C1152" s="2" t="s">
        <v>409</v>
      </c>
      <c r="D1152" s="2" t="s">
        <v>410</v>
      </c>
      <c r="E1152" s="2" t="s">
        <v>413</v>
      </c>
      <c r="F1152" s="2" t="s">
        <v>39</v>
      </c>
      <c r="J1152" s="2" t="s">
        <v>532</v>
      </c>
      <c r="K1152" s="2" t="s">
        <v>533</v>
      </c>
      <c r="L1152" s="2">
        <v>5</v>
      </c>
      <c r="M1152" s="2" t="s">
        <v>539</v>
      </c>
      <c r="O1152" s="2" t="s">
        <v>524</v>
      </c>
      <c r="Y1152" s="2" t="s">
        <v>616</v>
      </c>
    </row>
    <row r="1153" spans="1:34" x14ac:dyDescent="0.25">
      <c r="A1153" s="2" t="s">
        <v>313</v>
      </c>
      <c r="B1153" s="2" t="s">
        <v>540</v>
      </c>
      <c r="C1153" s="2" t="s">
        <v>409</v>
      </c>
      <c r="D1153" s="2" t="s">
        <v>410</v>
      </c>
      <c r="E1153" s="2" t="s">
        <v>413</v>
      </c>
      <c r="F1153" s="2" t="s">
        <v>39</v>
      </c>
      <c r="J1153" s="2" t="s">
        <v>541</v>
      </c>
      <c r="K1153" s="2" t="s">
        <v>542</v>
      </c>
      <c r="L1153" s="2">
        <v>1</v>
      </c>
      <c r="M1153" s="2" t="s">
        <v>543</v>
      </c>
      <c r="O1153" s="2" t="s">
        <v>524</v>
      </c>
      <c r="Y1153" s="2" t="s">
        <v>616</v>
      </c>
    </row>
    <row r="1154" spans="1:34" x14ac:dyDescent="0.25">
      <c r="A1154" s="2" t="s">
        <v>313</v>
      </c>
      <c r="B1154" s="2" t="s">
        <v>540</v>
      </c>
      <c r="C1154" s="2" t="s">
        <v>409</v>
      </c>
      <c r="D1154" s="2" t="s">
        <v>410</v>
      </c>
      <c r="E1154" s="2" t="s">
        <v>413</v>
      </c>
      <c r="F1154" s="2" t="s">
        <v>39</v>
      </c>
      <c r="J1154" s="2" t="s">
        <v>541</v>
      </c>
      <c r="K1154" s="2" t="s">
        <v>542</v>
      </c>
      <c r="L1154" s="2">
        <v>2</v>
      </c>
      <c r="M1154" s="2" t="s">
        <v>544</v>
      </c>
      <c r="O1154" s="2" t="s">
        <v>524</v>
      </c>
      <c r="Y1154" s="2" t="s">
        <v>616</v>
      </c>
    </row>
    <row r="1155" spans="1:34" x14ac:dyDescent="0.25">
      <c r="A1155" s="2" t="s">
        <v>313</v>
      </c>
      <c r="B1155" s="2" t="s">
        <v>540</v>
      </c>
      <c r="C1155" s="2" t="s">
        <v>409</v>
      </c>
      <c r="D1155" s="2" t="s">
        <v>410</v>
      </c>
      <c r="E1155" s="2" t="s">
        <v>413</v>
      </c>
      <c r="F1155" s="2" t="s">
        <v>39</v>
      </c>
      <c r="J1155" s="2" t="s">
        <v>541</v>
      </c>
      <c r="K1155" s="2" t="s">
        <v>542</v>
      </c>
      <c r="L1155" s="2">
        <v>3</v>
      </c>
      <c r="M1155" s="2" t="s">
        <v>545</v>
      </c>
      <c r="O1155" s="2" t="s">
        <v>524</v>
      </c>
      <c r="Y1155" s="2" t="s">
        <v>616</v>
      </c>
    </row>
    <row r="1156" spans="1:34" x14ac:dyDescent="0.25">
      <c r="A1156" s="2" t="s">
        <v>313</v>
      </c>
      <c r="B1156" s="2" t="s">
        <v>540</v>
      </c>
      <c r="C1156" s="2" t="s">
        <v>409</v>
      </c>
      <c r="D1156" s="2" t="s">
        <v>410</v>
      </c>
      <c r="E1156" s="2" t="s">
        <v>413</v>
      </c>
      <c r="F1156" s="2" t="s">
        <v>39</v>
      </c>
      <c r="J1156" s="2" t="s">
        <v>541</v>
      </c>
      <c r="K1156" s="2" t="s">
        <v>542</v>
      </c>
      <c r="L1156" s="2">
        <v>4</v>
      </c>
      <c r="M1156" s="2" t="s">
        <v>546</v>
      </c>
      <c r="O1156" s="2" t="s">
        <v>524</v>
      </c>
      <c r="Y1156" s="2" t="s">
        <v>616</v>
      </c>
    </row>
    <row r="1157" spans="1:34" x14ac:dyDescent="0.25">
      <c r="A1157" s="2" t="s">
        <v>313</v>
      </c>
      <c r="B1157" s="2" t="s">
        <v>540</v>
      </c>
      <c r="C1157" s="2" t="s">
        <v>409</v>
      </c>
      <c r="D1157" s="2" t="s">
        <v>410</v>
      </c>
      <c r="E1157" s="2" t="s">
        <v>413</v>
      </c>
      <c r="F1157" s="2" t="s">
        <v>39</v>
      </c>
      <c r="J1157" s="2" t="s">
        <v>541</v>
      </c>
      <c r="K1157" s="2" t="s">
        <v>542</v>
      </c>
      <c r="L1157" s="2">
        <v>5</v>
      </c>
      <c r="M1157" s="2" t="s">
        <v>547</v>
      </c>
      <c r="O1157" s="2" t="s">
        <v>524</v>
      </c>
      <c r="Y1157" s="2" t="s">
        <v>616</v>
      </c>
    </row>
    <row r="1158" spans="1:34" x14ac:dyDescent="0.25">
      <c r="A1158" s="2" t="s">
        <v>313</v>
      </c>
      <c r="B1158" s="2" t="s">
        <v>540</v>
      </c>
      <c r="C1158" s="2" t="s">
        <v>409</v>
      </c>
      <c r="D1158" s="2" t="s">
        <v>410</v>
      </c>
      <c r="E1158" s="2" t="s">
        <v>413</v>
      </c>
      <c r="F1158" s="2" t="s">
        <v>39</v>
      </c>
      <c r="J1158" s="2" t="s">
        <v>541</v>
      </c>
      <c r="K1158" s="2" t="s">
        <v>542</v>
      </c>
      <c r="L1158" s="2">
        <v>6</v>
      </c>
      <c r="M1158" s="2" t="s">
        <v>548</v>
      </c>
      <c r="O1158" s="2" t="s">
        <v>524</v>
      </c>
      <c r="Y1158" s="2" t="s">
        <v>616</v>
      </c>
    </row>
    <row r="1159" spans="1:34" x14ac:dyDescent="0.25">
      <c r="A1159" s="2" t="s">
        <v>313</v>
      </c>
      <c r="B1159" s="2" t="s">
        <v>540</v>
      </c>
      <c r="C1159" s="2" t="s">
        <v>409</v>
      </c>
      <c r="D1159" s="2" t="s">
        <v>410</v>
      </c>
      <c r="E1159" s="2" t="s">
        <v>413</v>
      </c>
      <c r="F1159" s="2" t="s">
        <v>39</v>
      </c>
      <c r="J1159" s="2" t="s">
        <v>541</v>
      </c>
      <c r="K1159" s="2" t="s">
        <v>542</v>
      </c>
      <c r="L1159" s="2">
        <v>7</v>
      </c>
      <c r="M1159" s="2" t="s">
        <v>549</v>
      </c>
      <c r="O1159" s="2" t="s">
        <v>524</v>
      </c>
      <c r="Y1159" s="2" t="s">
        <v>616</v>
      </c>
    </row>
    <row r="1160" spans="1:34" x14ac:dyDescent="0.25">
      <c r="A1160" s="2" t="s">
        <v>313</v>
      </c>
      <c r="B1160" s="2" t="s">
        <v>540</v>
      </c>
      <c r="C1160" s="2" t="s">
        <v>409</v>
      </c>
      <c r="D1160" s="2" t="s">
        <v>410</v>
      </c>
      <c r="E1160" s="2" t="s">
        <v>413</v>
      </c>
      <c r="F1160" s="2" t="s">
        <v>39</v>
      </c>
      <c r="J1160" s="2" t="s">
        <v>541</v>
      </c>
      <c r="K1160" s="2" t="s">
        <v>542</v>
      </c>
      <c r="L1160" s="2">
        <v>8</v>
      </c>
      <c r="M1160" s="2" t="s">
        <v>550</v>
      </c>
      <c r="O1160" s="2" t="s">
        <v>524</v>
      </c>
      <c r="Y1160" s="2" t="s">
        <v>616</v>
      </c>
    </row>
    <row r="1161" spans="1:34" x14ac:dyDescent="0.25">
      <c r="A1161" s="2" t="s">
        <v>313</v>
      </c>
      <c r="B1161" s="2" t="s">
        <v>540</v>
      </c>
      <c r="C1161" s="2" t="s">
        <v>409</v>
      </c>
      <c r="D1161" s="2" t="s">
        <v>410</v>
      </c>
      <c r="E1161" s="2" t="s">
        <v>413</v>
      </c>
      <c r="F1161" s="2" t="s">
        <v>39</v>
      </c>
      <c r="J1161" s="2" t="s">
        <v>541</v>
      </c>
      <c r="K1161" s="2" t="s">
        <v>542</v>
      </c>
      <c r="L1161" s="2">
        <v>9</v>
      </c>
      <c r="M1161" s="2" t="s">
        <v>551</v>
      </c>
      <c r="O1161" s="2" t="s">
        <v>524</v>
      </c>
      <c r="Y1161" s="2" t="s">
        <v>616</v>
      </c>
    </row>
    <row r="1162" spans="1:34" x14ac:dyDescent="0.25">
      <c r="A1162" s="2" t="s">
        <v>313</v>
      </c>
      <c r="B1162" s="2" t="s">
        <v>540</v>
      </c>
      <c r="C1162" s="2" t="s">
        <v>409</v>
      </c>
      <c r="D1162" s="2" t="s">
        <v>410</v>
      </c>
      <c r="E1162" s="2" t="s">
        <v>413</v>
      </c>
      <c r="F1162" s="2" t="s">
        <v>39</v>
      </c>
      <c r="J1162" s="2" t="s">
        <v>541</v>
      </c>
      <c r="K1162" s="2" t="s">
        <v>542</v>
      </c>
      <c r="L1162" s="2">
        <v>10</v>
      </c>
      <c r="M1162" s="2" t="s">
        <v>552</v>
      </c>
      <c r="O1162" s="2" t="s">
        <v>524</v>
      </c>
      <c r="Y1162" s="2" t="s">
        <v>616</v>
      </c>
    </row>
    <row r="1163" spans="1:34" x14ac:dyDescent="0.25">
      <c r="A1163" s="2" t="s">
        <v>313</v>
      </c>
      <c r="B1163" s="2" t="s">
        <v>540</v>
      </c>
      <c r="C1163" s="2" t="s">
        <v>409</v>
      </c>
      <c r="D1163" s="2" t="s">
        <v>410</v>
      </c>
      <c r="E1163" s="2" t="s">
        <v>413</v>
      </c>
      <c r="F1163" s="2" t="s">
        <v>39</v>
      </c>
      <c r="J1163" s="2" t="s">
        <v>541</v>
      </c>
      <c r="K1163" s="2" t="s">
        <v>542</v>
      </c>
      <c r="L1163" s="2">
        <v>11</v>
      </c>
      <c r="M1163" s="2" t="s">
        <v>553</v>
      </c>
      <c r="O1163" s="2" t="s">
        <v>524</v>
      </c>
      <c r="Y1163" s="2" t="s">
        <v>616</v>
      </c>
    </row>
    <row r="1164" spans="1:34" x14ac:dyDescent="0.25">
      <c r="A1164" s="2" t="s">
        <v>313</v>
      </c>
      <c r="B1164" s="2" t="s">
        <v>540</v>
      </c>
      <c r="C1164" s="2" t="s">
        <v>409</v>
      </c>
      <c r="D1164" s="2" t="s">
        <v>410</v>
      </c>
      <c r="E1164" s="2" t="s">
        <v>413</v>
      </c>
      <c r="F1164" s="2" t="s">
        <v>39</v>
      </c>
      <c r="J1164" s="2" t="s">
        <v>541</v>
      </c>
      <c r="K1164" s="2" t="s">
        <v>542</v>
      </c>
      <c r="L1164" s="2">
        <v>12</v>
      </c>
      <c r="M1164" s="2" t="s">
        <v>554</v>
      </c>
      <c r="O1164" s="2" t="s">
        <v>524</v>
      </c>
      <c r="Y1164" s="2" t="s">
        <v>616</v>
      </c>
    </row>
    <row r="1165" spans="1:34" x14ac:dyDescent="0.25">
      <c r="A1165" s="2" t="s">
        <v>313</v>
      </c>
      <c r="B1165" s="2" t="s">
        <v>555</v>
      </c>
      <c r="C1165" s="2" t="s">
        <v>409</v>
      </c>
      <c r="D1165" s="2" t="s">
        <v>410</v>
      </c>
      <c r="E1165" s="2" t="s">
        <v>413</v>
      </c>
      <c r="F1165" s="2" t="s">
        <v>39</v>
      </c>
      <c r="J1165" s="2" t="s">
        <v>556</v>
      </c>
      <c r="O1165" s="2" t="s">
        <v>524</v>
      </c>
      <c r="Y1165" s="2" t="s">
        <v>616</v>
      </c>
      <c r="AB1165" s="2">
        <v>1</v>
      </c>
    </row>
    <row r="1166" spans="1:34" x14ac:dyDescent="0.25">
      <c r="A1166" s="2" t="s">
        <v>313</v>
      </c>
      <c r="B1166" s="2" t="s">
        <v>557</v>
      </c>
      <c r="C1166" s="2" t="s">
        <v>409</v>
      </c>
      <c r="D1166" s="2" t="s">
        <v>410</v>
      </c>
      <c r="E1166" s="2" t="s">
        <v>413</v>
      </c>
      <c r="F1166" s="2" t="s">
        <v>39</v>
      </c>
      <c r="J1166" s="2" t="s">
        <v>558</v>
      </c>
      <c r="O1166" s="2" t="s">
        <v>524</v>
      </c>
      <c r="Y1166" s="2" t="s">
        <v>616</v>
      </c>
      <c r="AC1166" s="2">
        <f>COUNTIFS($B:$B,"BLOCK_LOAD_Q",$A:$A,$A1166,$C:$C,$C1166,$E:$E,$E1166,$F:$F,$F1166,$N:$N, "&lt;&gt;")</f>
        <v>0</v>
      </c>
      <c r="AD1166" s="2">
        <f>COUNTIFS($B:$B,"BLOCK_TRUST_Q",$A:$A,$A1166,$C:$C,$C1166,$E:$E,$E1166,$F:$F,$F1166,$N:$N, "&lt;&gt;")</f>
        <v>0</v>
      </c>
      <c r="AE1166" s="2" t="str">
        <f>IFERROR(AVERAGEIFS($P:$P,$B:$B,"BLOCK_LOAD_Q",$A:$A,$A1166,$C:$C,$C1166,$E:$E,$E1166,$F:$F,$F1166,$P:$P,"&gt;0"),"")</f>
        <v/>
      </c>
      <c r="AF1166" s="2" t="str">
        <f>IFERROR(AVERAGEIFS($P:$P,$B:$B,"BLOCK_TRUST_Q",$A:$A,$A1166,$C:$C,$C1166,$E:$E,$E1166,$F:$F,$F1166,$P:$P,"&gt;0"),"")</f>
        <v/>
      </c>
      <c r="AG1166" s="2">
        <f>5-AC1166</f>
        <v>5</v>
      </c>
      <c r="AH1166" s="2">
        <f>12-AD1166</f>
        <v>12</v>
      </c>
    </row>
    <row r="1167" spans="1:34" x14ac:dyDescent="0.25">
      <c r="A1167" s="2" t="s">
        <v>313</v>
      </c>
      <c r="B1167" s="2" t="s">
        <v>402</v>
      </c>
      <c r="C1167" s="2" t="s">
        <v>409</v>
      </c>
      <c r="D1167" s="2" t="s">
        <v>410</v>
      </c>
      <c r="E1167" s="2" t="s">
        <v>414</v>
      </c>
      <c r="F1167" s="2" t="s">
        <v>40</v>
      </c>
      <c r="G1167" s="2" t="s">
        <v>415</v>
      </c>
      <c r="H1167" s="2" t="s">
        <v>354</v>
      </c>
      <c r="S1167" s="2" t="s">
        <v>59</v>
      </c>
      <c r="U1167" s="2" t="s">
        <v>59</v>
      </c>
      <c r="W1167" s="2" t="s">
        <v>58</v>
      </c>
    </row>
    <row r="1168" spans="1:34" x14ac:dyDescent="0.25">
      <c r="A1168" s="2" t="s">
        <v>313</v>
      </c>
      <c r="B1168" s="2" t="s">
        <v>402</v>
      </c>
      <c r="C1168" s="2" t="s">
        <v>409</v>
      </c>
      <c r="D1168" s="2" t="s">
        <v>410</v>
      </c>
      <c r="E1168" s="2" t="s">
        <v>414</v>
      </c>
      <c r="F1168" s="2" t="s">
        <v>40</v>
      </c>
      <c r="G1168" s="2" t="s">
        <v>416</v>
      </c>
      <c r="H1168" s="2" t="s">
        <v>559</v>
      </c>
      <c r="S1168" s="2" t="s">
        <v>57</v>
      </c>
      <c r="U1168" s="2" t="s">
        <v>57</v>
      </c>
      <c r="W1168" s="2" t="s">
        <v>58</v>
      </c>
    </row>
    <row r="1169" spans="1:25" x14ac:dyDescent="0.25">
      <c r="A1169" s="2" t="s">
        <v>313</v>
      </c>
      <c r="B1169" s="2" t="s">
        <v>402</v>
      </c>
      <c r="C1169" s="2" t="s">
        <v>409</v>
      </c>
      <c r="D1169" s="2" t="s">
        <v>410</v>
      </c>
      <c r="E1169" s="2" t="s">
        <v>414</v>
      </c>
      <c r="F1169" s="2" t="s">
        <v>40</v>
      </c>
      <c r="G1169" s="2" t="s">
        <v>417</v>
      </c>
      <c r="H1169" s="2" t="s">
        <v>370</v>
      </c>
      <c r="S1169" s="2" t="s">
        <v>60</v>
      </c>
      <c r="U1169" s="2" t="s">
        <v>58</v>
      </c>
      <c r="W1169" s="2" t="s">
        <v>59</v>
      </c>
    </row>
    <row r="1170" spans="1:25" x14ac:dyDescent="0.25">
      <c r="A1170" s="2" t="s">
        <v>313</v>
      </c>
      <c r="B1170" s="2" t="s">
        <v>402</v>
      </c>
      <c r="C1170" s="2" t="s">
        <v>409</v>
      </c>
      <c r="D1170" s="2" t="s">
        <v>410</v>
      </c>
      <c r="E1170" s="2" t="s">
        <v>414</v>
      </c>
      <c r="F1170" s="2" t="s">
        <v>40</v>
      </c>
      <c r="G1170" s="2" t="s">
        <v>418</v>
      </c>
      <c r="H1170" s="2" t="s">
        <v>560</v>
      </c>
      <c r="S1170" s="2" t="s">
        <v>57</v>
      </c>
      <c r="U1170" s="2" t="s">
        <v>58</v>
      </c>
      <c r="W1170" s="2" t="s">
        <v>60</v>
      </c>
    </row>
    <row r="1171" spans="1:25" x14ac:dyDescent="0.25">
      <c r="A1171" s="2" t="s">
        <v>313</v>
      </c>
      <c r="B1171" s="2" t="s">
        <v>531</v>
      </c>
      <c r="C1171" s="2" t="s">
        <v>409</v>
      </c>
      <c r="D1171" s="2" t="s">
        <v>410</v>
      </c>
      <c r="E1171" s="2" t="s">
        <v>414</v>
      </c>
      <c r="F1171" s="2" t="s">
        <v>40</v>
      </c>
      <c r="J1171" s="2" t="s">
        <v>532</v>
      </c>
      <c r="K1171" s="2" t="s">
        <v>533</v>
      </c>
      <c r="L1171" s="2">
        <v>1</v>
      </c>
      <c r="M1171" s="2" t="s">
        <v>534</v>
      </c>
      <c r="O1171" s="2" t="s">
        <v>524</v>
      </c>
      <c r="Y1171" s="2" t="s">
        <v>617</v>
      </c>
    </row>
    <row r="1172" spans="1:25" x14ac:dyDescent="0.25">
      <c r="A1172" s="2" t="s">
        <v>313</v>
      </c>
      <c r="B1172" s="2" t="s">
        <v>531</v>
      </c>
      <c r="C1172" s="2" t="s">
        <v>409</v>
      </c>
      <c r="D1172" s="2" t="s">
        <v>410</v>
      </c>
      <c r="E1172" s="2" t="s">
        <v>414</v>
      </c>
      <c r="F1172" s="2" t="s">
        <v>40</v>
      </c>
      <c r="J1172" s="2" t="s">
        <v>532</v>
      </c>
      <c r="K1172" s="2" t="s">
        <v>533</v>
      </c>
      <c r="L1172" s="2">
        <v>2</v>
      </c>
      <c r="M1172" s="2" t="s">
        <v>536</v>
      </c>
      <c r="O1172" s="2" t="s">
        <v>524</v>
      </c>
      <c r="Y1172" s="2" t="s">
        <v>617</v>
      </c>
    </row>
    <row r="1173" spans="1:25" x14ac:dyDescent="0.25">
      <c r="A1173" s="2" t="s">
        <v>313</v>
      </c>
      <c r="B1173" s="2" t="s">
        <v>531</v>
      </c>
      <c r="C1173" s="2" t="s">
        <v>409</v>
      </c>
      <c r="D1173" s="2" t="s">
        <v>410</v>
      </c>
      <c r="E1173" s="2" t="s">
        <v>414</v>
      </c>
      <c r="F1173" s="2" t="s">
        <v>40</v>
      </c>
      <c r="J1173" s="2" t="s">
        <v>532</v>
      </c>
      <c r="K1173" s="2" t="s">
        <v>533</v>
      </c>
      <c r="L1173" s="2">
        <v>3</v>
      </c>
      <c r="M1173" s="2" t="s">
        <v>537</v>
      </c>
      <c r="O1173" s="2" t="s">
        <v>524</v>
      </c>
      <c r="Y1173" s="2" t="s">
        <v>617</v>
      </c>
    </row>
    <row r="1174" spans="1:25" x14ac:dyDescent="0.25">
      <c r="A1174" s="2" t="s">
        <v>313</v>
      </c>
      <c r="B1174" s="2" t="s">
        <v>531</v>
      </c>
      <c r="C1174" s="2" t="s">
        <v>409</v>
      </c>
      <c r="D1174" s="2" t="s">
        <v>410</v>
      </c>
      <c r="E1174" s="2" t="s">
        <v>414</v>
      </c>
      <c r="F1174" s="2" t="s">
        <v>40</v>
      </c>
      <c r="J1174" s="2" t="s">
        <v>532</v>
      </c>
      <c r="K1174" s="2" t="s">
        <v>533</v>
      </c>
      <c r="L1174" s="2">
        <v>4</v>
      </c>
      <c r="M1174" s="2" t="s">
        <v>538</v>
      </c>
      <c r="O1174" s="2" t="s">
        <v>524</v>
      </c>
      <c r="Y1174" s="2" t="s">
        <v>617</v>
      </c>
    </row>
    <row r="1175" spans="1:25" x14ac:dyDescent="0.25">
      <c r="A1175" s="2" t="s">
        <v>313</v>
      </c>
      <c r="B1175" s="2" t="s">
        <v>531</v>
      </c>
      <c r="C1175" s="2" t="s">
        <v>409</v>
      </c>
      <c r="D1175" s="2" t="s">
        <v>410</v>
      </c>
      <c r="E1175" s="2" t="s">
        <v>414</v>
      </c>
      <c r="F1175" s="2" t="s">
        <v>40</v>
      </c>
      <c r="J1175" s="2" t="s">
        <v>532</v>
      </c>
      <c r="K1175" s="2" t="s">
        <v>533</v>
      </c>
      <c r="L1175" s="2">
        <v>5</v>
      </c>
      <c r="M1175" s="2" t="s">
        <v>539</v>
      </c>
      <c r="O1175" s="2" t="s">
        <v>524</v>
      </c>
      <c r="Y1175" s="2" t="s">
        <v>617</v>
      </c>
    </row>
    <row r="1176" spans="1:25" x14ac:dyDescent="0.25">
      <c r="A1176" s="2" t="s">
        <v>313</v>
      </c>
      <c r="B1176" s="2" t="s">
        <v>540</v>
      </c>
      <c r="C1176" s="2" t="s">
        <v>409</v>
      </c>
      <c r="D1176" s="2" t="s">
        <v>410</v>
      </c>
      <c r="E1176" s="2" t="s">
        <v>414</v>
      </c>
      <c r="F1176" s="2" t="s">
        <v>40</v>
      </c>
      <c r="J1176" s="2" t="s">
        <v>541</v>
      </c>
      <c r="K1176" s="2" t="s">
        <v>542</v>
      </c>
      <c r="L1176" s="2">
        <v>1</v>
      </c>
      <c r="M1176" s="2" t="s">
        <v>543</v>
      </c>
      <c r="O1176" s="2" t="s">
        <v>524</v>
      </c>
      <c r="Y1176" s="2" t="s">
        <v>617</v>
      </c>
    </row>
    <row r="1177" spans="1:25" x14ac:dyDescent="0.25">
      <c r="A1177" s="2" t="s">
        <v>313</v>
      </c>
      <c r="B1177" s="2" t="s">
        <v>540</v>
      </c>
      <c r="C1177" s="2" t="s">
        <v>409</v>
      </c>
      <c r="D1177" s="2" t="s">
        <v>410</v>
      </c>
      <c r="E1177" s="2" t="s">
        <v>414</v>
      </c>
      <c r="F1177" s="2" t="s">
        <v>40</v>
      </c>
      <c r="J1177" s="2" t="s">
        <v>541</v>
      </c>
      <c r="K1177" s="2" t="s">
        <v>542</v>
      </c>
      <c r="L1177" s="2">
        <v>2</v>
      </c>
      <c r="M1177" s="2" t="s">
        <v>544</v>
      </c>
      <c r="O1177" s="2" t="s">
        <v>524</v>
      </c>
      <c r="Y1177" s="2" t="s">
        <v>617</v>
      </c>
    </row>
    <row r="1178" spans="1:25" x14ac:dyDescent="0.25">
      <c r="A1178" s="2" t="s">
        <v>313</v>
      </c>
      <c r="B1178" s="2" t="s">
        <v>540</v>
      </c>
      <c r="C1178" s="2" t="s">
        <v>409</v>
      </c>
      <c r="D1178" s="2" t="s">
        <v>410</v>
      </c>
      <c r="E1178" s="2" t="s">
        <v>414</v>
      </c>
      <c r="F1178" s="2" t="s">
        <v>40</v>
      </c>
      <c r="J1178" s="2" t="s">
        <v>541</v>
      </c>
      <c r="K1178" s="2" t="s">
        <v>542</v>
      </c>
      <c r="L1178" s="2">
        <v>3</v>
      </c>
      <c r="M1178" s="2" t="s">
        <v>545</v>
      </c>
      <c r="O1178" s="2" t="s">
        <v>524</v>
      </c>
      <c r="Y1178" s="2" t="s">
        <v>617</v>
      </c>
    </row>
    <row r="1179" spans="1:25" x14ac:dyDescent="0.25">
      <c r="A1179" s="2" t="s">
        <v>313</v>
      </c>
      <c r="B1179" s="2" t="s">
        <v>540</v>
      </c>
      <c r="C1179" s="2" t="s">
        <v>409</v>
      </c>
      <c r="D1179" s="2" t="s">
        <v>410</v>
      </c>
      <c r="E1179" s="2" t="s">
        <v>414</v>
      </c>
      <c r="F1179" s="2" t="s">
        <v>40</v>
      </c>
      <c r="J1179" s="2" t="s">
        <v>541</v>
      </c>
      <c r="K1179" s="2" t="s">
        <v>542</v>
      </c>
      <c r="L1179" s="2">
        <v>4</v>
      </c>
      <c r="M1179" s="2" t="s">
        <v>546</v>
      </c>
      <c r="O1179" s="2" t="s">
        <v>524</v>
      </c>
      <c r="Y1179" s="2" t="s">
        <v>617</v>
      </c>
    </row>
    <row r="1180" spans="1:25" x14ac:dyDescent="0.25">
      <c r="A1180" s="2" t="s">
        <v>313</v>
      </c>
      <c r="B1180" s="2" t="s">
        <v>540</v>
      </c>
      <c r="C1180" s="2" t="s">
        <v>409</v>
      </c>
      <c r="D1180" s="2" t="s">
        <v>410</v>
      </c>
      <c r="E1180" s="2" t="s">
        <v>414</v>
      </c>
      <c r="F1180" s="2" t="s">
        <v>40</v>
      </c>
      <c r="J1180" s="2" t="s">
        <v>541</v>
      </c>
      <c r="K1180" s="2" t="s">
        <v>542</v>
      </c>
      <c r="L1180" s="2">
        <v>5</v>
      </c>
      <c r="M1180" s="2" t="s">
        <v>547</v>
      </c>
      <c r="O1180" s="2" t="s">
        <v>524</v>
      </c>
      <c r="Y1180" s="2" t="s">
        <v>617</v>
      </c>
    </row>
    <row r="1181" spans="1:25" x14ac:dyDescent="0.25">
      <c r="A1181" s="2" t="s">
        <v>313</v>
      </c>
      <c r="B1181" s="2" t="s">
        <v>540</v>
      </c>
      <c r="C1181" s="2" t="s">
        <v>409</v>
      </c>
      <c r="D1181" s="2" t="s">
        <v>410</v>
      </c>
      <c r="E1181" s="2" t="s">
        <v>414</v>
      </c>
      <c r="F1181" s="2" t="s">
        <v>40</v>
      </c>
      <c r="J1181" s="2" t="s">
        <v>541</v>
      </c>
      <c r="K1181" s="2" t="s">
        <v>542</v>
      </c>
      <c r="L1181" s="2">
        <v>6</v>
      </c>
      <c r="M1181" s="2" t="s">
        <v>548</v>
      </c>
      <c r="O1181" s="2" t="s">
        <v>524</v>
      </c>
      <c r="Y1181" s="2" t="s">
        <v>617</v>
      </c>
    </row>
    <row r="1182" spans="1:25" x14ac:dyDescent="0.25">
      <c r="A1182" s="2" t="s">
        <v>313</v>
      </c>
      <c r="B1182" s="2" t="s">
        <v>540</v>
      </c>
      <c r="C1182" s="2" t="s">
        <v>409</v>
      </c>
      <c r="D1182" s="2" t="s">
        <v>410</v>
      </c>
      <c r="E1182" s="2" t="s">
        <v>414</v>
      </c>
      <c r="F1182" s="2" t="s">
        <v>40</v>
      </c>
      <c r="J1182" s="2" t="s">
        <v>541</v>
      </c>
      <c r="K1182" s="2" t="s">
        <v>542</v>
      </c>
      <c r="L1182" s="2">
        <v>7</v>
      </c>
      <c r="M1182" s="2" t="s">
        <v>549</v>
      </c>
      <c r="O1182" s="2" t="s">
        <v>524</v>
      </c>
      <c r="Y1182" s="2" t="s">
        <v>617</v>
      </c>
    </row>
    <row r="1183" spans="1:25" x14ac:dyDescent="0.25">
      <c r="A1183" s="2" t="s">
        <v>313</v>
      </c>
      <c r="B1183" s="2" t="s">
        <v>540</v>
      </c>
      <c r="C1183" s="2" t="s">
        <v>409</v>
      </c>
      <c r="D1183" s="2" t="s">
        <v>410</v>
      </c>
      <c r="E1183" s="2" t="s">
        <v>414</v>
      </c>
      <c r="F1183" s="2" t="s">
        <v>40</v>
      </c>
      <c r="J1183" s="2" t="s">
        <v>541</v>
      </c>
      <c r="K1183" s="2" t="s">
        <v>542</v>
      </c>
      <c r="L1183" s="2">
        <v>8</v>
      </c>
      <c r="M1183" s="2" t="s">
        <v>550</v>
      </c>
      <c r="O1183" s="2" t="s">
        <v>524</v>
      </c>
      <c r="Y1183" s="2" t="s">
        <v>617</v>
      </c>
    </row>
    <row r="1184" spans="1:25" x14ac:dyDescent="0.25">
      <c r="A1184" s="2" t="s">
        <v>313</v>
      </c>
      <c r="B1184" s="2" t="s">
        <v>540</v>
      </c>
      <c r="C1184" s="2" t="s">
        <v>409</v>
      </c>
      <c r="D1184" s="2" t="s">
        <v>410</v>
      </c>
      <c r="E1184" s="2" t="s">
        <v>414</v>
      </c>
      <c r="F1184" s="2" t="s">
        <v>40</v>
      </c>
      <c r="J1184" s="2" t="s">
        <v>541</v>
      </c>
      <c r="K1184" s="2" t="s">
        <v>542</v>
      </c>
      <c r="L1184" s="2">
        <v>9</v>
      </c>
      <c r="M1184" s="2" t="s">
        <v>551</v>
      </c>
      <c r="O1184" s="2" t="s">
        <v>524</v>
      </c>
      <c r="Y1184" s="2" t="s">
        <v>617</v>
      </c>
    </row>
    <row r="1185" spans="1:34" x14ac:dyDescent="0.25">
      <c r="A1185" s="2" t="s">
        <v>313</v>
      </c>
      <c r="B1185" s="2" t="s">
        <v>540</v>
      </c>
      <c r="C1185" s="2" t="s">
        <v>409</v>
      </c>
      <c r="D1185" s="2" t="s">
        <v>410</v>
      </c>
      <c r="E1185" s="2" t="s">
        <v>414</v>
      </c>
      <c r="F1185" s="2" t="s">
        <v>40</v>
      </c>
      <c r="J1185" s="2" t="s">
        <v>541</v>
      </c>
      <c r="K1185" s="2" t="s">
        <v>542</v>
      </c>
      <c r="L1185" s="2">
        <v>10</v>
      </c>
      <c r="M1185" s="2" t="s">
        <v>552</v>
      </c>
      <c r="O1185" s="2" t="s">
        <v>524</v>
      </c>
      <c r="Y1185" s="2" t="s">
        <v>617</v>
      </c>
    </row>
    <row r="1186" spans="1:34" x14ac:dyDescent="0.25">
      <c r="A1186" s="2" t="s">
        <v>313</v>
      </c>
      <c r="B1186" s="2" t="s">
        <v>540</v>
      </c>
      <c r="C1186" s="2" t="s">
        <v>409</v>
      </c>
      <c r="D1186" s="2" t="s">
        <v>410</v>
      </c>
      <c r="E1186" s="2" t="s">
        <v>414</v>
      </c>
      <c r="F1186" s="2" t="s">
        <v>40</v>
      </c>
      <c r="J1186" s="2" t="s">
        <v>541</v>
      </c>
      <c r="K1186" s="2" t="s">
        <v>542</v>
      </c>
      <c r="L1186" s="2">
        <v>11</v>
      </c>
      <c r="M1186" s="2" t="s">
        <v>553</v>
      </c>
      <c r="O1186" s="2" t="s">
        <v>524</v>
      </c>
      <c r="Y1186" s="2" t="s">
        <v>617</v>
      </c>
    </row>
    <row r="1187" spans="1:34" x14ac:dyDescent="0.25">
      <c r="A1187" s="2" t="s">
        <v>313</v>
      </c>
      <c r="B1187" s="2" t="s">
        <v>540</v>
      </c>
      <c r="C1187" s="2" t="s">
        <v>409</v>
      </c>
      <c r="D1187" s="2" t="s">
        <v>410</v>
      </c>
      <c r="E1187" s="2" t="s">
        <v>414</v>
      </c>
      <c r="F1187" s="2" t="s">
        <v>40</v>
      </c>
      <c r="J1187" s="2" t="s">
        <v>541</v>
      </c>
      <c r="K1187" s="2" t="s">
        <v>542</v>
      </c>
      <c r="L1187" s="2">
        <v>12</v>
      </c>
      <c r="M1187" s="2" t="s">
        <v>554</v>
      </c>
      <c r="O1187" s="2" t="s">
        <v>524</v>
      </c>
      <c r="Y1187" s="2" t="s">
        <v>617</v>
      </c>
    </row>
    <row r="1188" spans="1:34" x14ac:dyDescent="0.25">
      <c r="A1188" s="2" t="s">
        <v>313</v>
      </c>
      <c r="B1188" s="2" t="s">
        <v>555</v>
      </c>
      <c r="C1188" s="2" t="s">
        <v>409</v>
      </c>
      <c r="D1188" s="2" t="s">
        <v>410</v>
      </c>
      <c r="E1188" s="2" t="s">
        <v>414</v>
      </c>
      <c r="F1188" s="2" t="s">
        <v>40</v>
      </c>
      <c r="J1188" s="2" t="s">
        <v>556</v>
      </c>
      <c r="O1188" s="2" t="s">
        <v>524</v>
      </c>
      <c r="Y1188" s="2" t="s">
        <v>617</v>
      </c>
      <c r="AB1188" s="2">
        <v>2</v>
      </c>
    </row>
    <row r="1189" spans="1:34" x14ac:dyDescent="0.25">
      <c r="A1189" s="2" t="s">
        <v>313</v>
      </c>
      <c r="B1189" s="2" t="s">
        <v>557</v>
      </c>
      <c r="C1189" s="2" t="s">
        <v>409</v>
      </c>
      <c r="D1189" s="2" t="s">
        <v>410</v>
      </c>
      <c r="E1189" s="2" t="s">
        <v>414</v>
      </c>
      <c r="F1189" s="2" t="s">
        <v>40</v>
      </c>
      <c r="J1189" s="2" t="s">
        <v>558</v>
      </c>
      <c r="O1189" s="2" t="s">
        <v>524</v>
      </c>
      <c r="Y1189" s="2" t="s">
        <v>617</v>
      </c>
      <c r="AC1189" s="2">
        <f>COUNTIFS($B:$B,"BLOCK_LOAD_Q",$A:$A,$A1189,$C:$C,$C1189,$E:$E,$E1189,$F:$F,$F1189,$N:$N, "&lt;&gt;")</f>
        <v>0</v>
      </c>
      <c r="AD1189" s="2">
        <f>COUNTIFS($B:$B,"BLOCK_TRUST_Q",$A:$A,$A1189,$C:$C,$C1189,$E:$E,$E1189,$F:$F,$F1189,$N:$N, "&lt;&gt;")</f>
        <v>0</v>
      </c>
      <c r="AE1189" s="2" t="str">
        <f>IFERROR(AVERAGEIFS($P:$P,$B:$B,"BLOCK_LOAD_Q",$A:$A,$A1189,$C:$C,$C1189,$E:$E,$E1189,$F:$F,$F1189,$P:$P,"&gt;0"),"")</f>
        <v/>
      </c>
      <c r="AF1189" s="2" t="str">
        <f>IFERROR(AVERAGEIFS($P:$P,$B:$B,"BLOCK_TRUST_Q",$A:$A,$A1189,$C:$C,$C1189,$E:$E,$E1189,$F:$F,$F1189,$P:$P,"&gt;0"),"")</f>
        <v/>
      </c>
      <c r="AG1189" s="2">
        <f>5-AC1189</f>
        <v>5</v>
      </c>
      <c r="AH1189" s="2">
        <f>12-AD1189</f>
        <v>12</v>
      </c>
    </row>
    <row r="1190" spans="1:34" x14ac:dyDescent="0.25">
      <c r="A1190" s="2" t="s">
        <v>313</v>
      </c>
      <c r="B1190" s="2" t="s">
        <v>403</v>
      </c>
      <c r="C1190" s="2" t="s">
        <v>409</v>
      </c>
      <c r="D1190" s="2" t="s">
        <v>410</v>
      </c>
      <c r="Z1190" s="2" t="s">
        <v>443</v>
      </c>
    </row>
    <row r="1191" spans="1:34" x14ac:dyDescent="0.25">
      <c r="A1191" s="2" t="s">
        <v>313</v>
      </c>
      <c r="B1191" s="2" t="s">
        <v>404</v>
      </c>
      <c r="J1191" s="2" t="s">
        <v>575</v>
      </c>
      <c r="AA1191" s="2" t="s">
        <v>338</v>
      </c>
    </row>
    <row r="1192" spans="1:34" x14ac:dyDescent="0.25">
      <c r="A1192" s="2" t="s">
        <v>313</v>
      </c>
      <c r="B1192" s="2" t="s">
        <v>405</v>
      </c>
    </row>
    <row r="1193" spans="1:34" x14ac:dyDescent="0.25">
      <c r="A1193" s="2" t="s">
        <v>313</v>
      </c>
      <c r="B1193" s="2" t="s">
        <v>406</v>
      </c>
    </row>
    <row r="1194" spans="1:34" x14ac:dyDescent="0.25">
      <c r="A1194" s="2" t="s">
        <v>314</v>
      </c>
      <c r="B1194" s="2" t="s">
        <v>523</v>
      </c>
      <c r="C1194" s="2" t="s">
        <v>524</v>
      </c>
      <c r="D1194" s="2" t="s">
        <v>524</v>
      </c>
      <c r="E1194" s="2" t="s">
        <v>524</v>
      </c>
      <c r="F1194" s="2" t="s">
        <v>524</v>
      </c>
      <c r="J1194" s="2" t="s">
        <v>525</v>
      </c>
      <c r="O1194" s="2" t="s">
        <v>524</v>
      </c>
    </row>
    <row r="1195" spans="1:34" x14ac:dyDescent="0.25">
      <c r="A1195" s="2" t="s">
        <v>314</v>
      </c>
      <c r="B1195" s="2" t="s">
        <v>526</v>
      </c>
      <c r="C1195" s="2" t="s">
        <v>524</v>
      </c>
      <c r="D1195" s="2" t="s">
        <v>524</v>
      </c>
      <c r="E1195" s="2" t="s">
        <v>524</v>
      </c>
      <c r="F1195" s="2" t="s">
        <v>524</v>
      </c>
      <c r="J1195" s="2" t="s">
        <v>527</v>
      </c>
      <c r="O1195" s="2" t="s">
        <v>524</v>
      </c>
    </row>
    <row r="1196" spans="1:34" x14ac:dyDescent="0.25">
      <c r="A1196" s="2" t="s">
        <v>314</v>
      </c>
      <c r="B1196" s="2" t="s">
        <v>402</v>
      </c>
      <c r="C1196" s="2" t="s">
        <v>407</v>
      </c>
      <c r="D1196" s="2" t="s">
        <v>412</v>
      </c>
      <c r="E1196" s="2" t="s">
        <v>413</v>
      </c>
      <c r="F1196" s="2" t="s">
        <v>40</v>
      </c>
      <c r="G1196" s="2" t="s">
        <v>415</v>
      </c>
      <c r="H1196" s="2" t="s">
        <v>567</v>
      </c>
      <c r="S1196" s="2" t="s">
        <v>58</v>
      </c>
      <c r="U1196" s="2" t="s">
        <v>57</v>
      </c>
      <c r="W1196" s="2" t="s">
        <v>60</v>
      </c>
    </row>
    <row r="1197" spans="1:34" x14ac:dyDescent="0.25">
      <c r="A1197" s="2" t="s">
        <v>314</v>
      </c>
      <c r="B1197" s="2" t="s">
        <v>402</v>
      </c>
      <c r="C1197" s="2" t="s">
        <v>407</v>
      </c>
      <c r="D1197" s="2" t="s">
        <v>412</v>
      </c>
      <c r="E1197" s="2" t="s">
        <v>413</v>
      </c>
      <c r="F1197" s="2" t="s">
        <v>40</v>
      </c>
      <c r="G1197" s="2" t="s">
        <v>416</v>
      </c>
      <c r="H1197" s="2" t="s">
        <v>568</v>
      </c>
      <c r="S1197" s="2" t="s">
        <v>59</v>
      </c>
      <c r="U1197" s="2" t="s">
        <v>60</v>
      </c>
      <c r="W1197" s="2" t="s">
        <v>59</v>
      </c>
    </row>
    <row r="1198" spans="1:34" x14ac:dyDescent="0.25">
      <c r="A1198" s="2" t="s">
        <v>314</v>
      </c>
      <c r="B1198" s="2" t="s">
        <v>402</v>
      </c>
      <c r="C1198" s="2" t="s">
        <v>407</v>
      </c>
      <c r="D1198" s="2" t="s">
        <v>412</v>
      </c>
      <c r="E1198" s="2" t="s">
        <v>413</v>
      </c>
      <c r="F1198" s="2" t="s">
        <v>40</v>
      </c>
      <c r="G1198" s="2" t="s">
        <v>417</v>
      </c>
      <c r="H1198" s="2" t="s">
        <v>569</v>
      </c>
      <c r="S1198" s="2" t="s">
        <v>57</v>
      </c>
      <c r="U1198" s="2" t="s">
        <v>60</v>
      </c>
      <c r="W1198" s="2" t="s">
        <v>57</v>
      </c>
    </row>
    <row r="1199" spans="1:34" x14ac:dyDescent="0.25">
      <c r="A1199" s="2" t="s">
        <v>314</v>
      </c>
      <c r="B1199" s="2" t="s">
        <v>402</v>
      </c>
      <c r="C1199" s="2" t="s">
        <v>407</v>
      </c>
      <c r="D1199" s="2" t="s">
        <v>412</v>
      </c>
      <c r="E1199" s="2" t="s">
        <v>413</v>
      </c>
      <c r="F1199" s="2" t="s">
        <v>40</v>
      </c>
      <c r="G1199" s="2" t="s">
        <v>418</v>
      </c>
      <c r="H1199" s="2" t="s">
        <v>351</v>
      </c>
      <c r="S1199" s="2" t="s">
        <v>60</v>
      </c>
      <c r="U1199" s="2" t="s">
        <v>57</v>
      </c>
      <c r="W1199" s="2" t="s">
        <v>57</v>
      </c>
    </row>
    <row r="1200" spans="1:34" x14ac:dyDescent="0.25">
      <c r="A1200" s="2" t="s">
        <v>314</v>
      </c>
      <c r="B1200" s="2" t="s">
        <v>531</v>
      </c>
      <c r="C1200" s="2" t="s">
        <v>407</v>
      </c>
      <c r="D1200" s="2" t="s">
        <v>412</v>
      </c>
      <c r="E1200" s="2" t="s">
        <v>413</v>
      </c>
      <c r="F1200" s="2" t="s">
        <v>40</v>
      </c>
      <c r="J1200" s="2" t="s">
        <v>532</v>
      </c>
      <c r="K1200" s="2" t="s">
        <v>533</v>
      </c>
      <c r="L1200" s="2">
        <v>1</v>
      </c>
      <c r="M1200" s="2" t="s">
        <v>534</v>
      </c>
      <c r="O1200" s="2" t="s">
        <v>524</v>
      </c>
      <c r="Y1200" s="2" t="s">
        <v>618</v>
      </c>
    </row>
    <row r="1201" spans="1:25" x14ac:dyDescent="0.25">
      <c r="A1201" s="2" t="s">
        <v>314</v>
      </c>
      <c r="B1201" s="2" t="s">
        <v>531</v>
      </c>
      <c r="C1201" s="2" t="s">
        <v>407</v>
      </c>
      <c r="D1201" s="2" t="s">
        <v>412</v>
      </c>
      <c r="E1201" s="2" t="s">
        <v>413</v>
      </c>
      <c r="F1201" s="2" t="s">
        <v>40</v>
      </c>
      <c r="J1201" s="2" t="s">
        <v>532</v>
      </c>
      <c r="K1201" s="2" t="s">
        <v>533</v>
      </c>
      <c r="L1201" s="2">
        <v>2</v>
      </c>
      <c r="M1201" s="2" t="s">
        <v>536</v>
      </c>
      <c r="O1201" s="2" t="s">
        <v>524</v>
      </c>
      <c r="Y1201" s="2" t="s">
        <v>618</v>
      </c>
    </row>
    <row r="1202" spans="1:25" x14ac:dyDescent="0.25">
      <c r="A1202" s="2" t="s">
        <v>314</v>
      </c>
      <c r="B1202" s="2" t="s">
        <v>531</v>
      </c>
      <c r="C1202" s="2" t="s">
        <v>407</v>
      </c>
      <c r="D1202" s="2" t="s">
        <v>412</v>
      </c>
      <c r="E1202" s="2" t="s">
        <v>413</v>
      </c>
      <c r="F1202" s="2" t="s">
        <v>40</v>
      </c>
      <c r="J1202" s="2" t="s">
        <v>532</v>
      </c>
      <c r="K1202" s="2" t="s">
        <v>533</v>
      </c>
      <c r="L1202" s="2">
        <v>3</v>
      </c>
      <c r="M1202" s="2" t="s">
        <v>537</v>
      </c>
      <c r="O1202" s="2" t="s">
        <v>524</v>
      </c>
      <c r="Y1202" s="2" t="s">
        <v>618</v>
      </c>
    </row>
    <row r="1203" spans="1:25" x14ac:dyDescent="0.25">
      <c r="A1203" s="2" t="s">
        <v>314</v>
      </c>
      <c r="B1203" s="2" t="s">
        <v>531</v>
      </c>
      <c r="C1203" s="2" t="s">
        <v>407</v>
      </c>
      <c r="D1203" s="2" t="s">
        <v>412</v>
      </c>
      <c r="E1203" s="2" t="s">
        <v>413</v>
      </c>
      <c r="F1203" s="2" t="s">
        <v>40</v>
      </c>
      <c r="J1203" s="2" t="s">
        <v>532</v>
      </c>
      <c r="K1203" s="2" t="s">
        <v>533</v>
      </c>
      <c r="L1203" s="2">
        <v>4</v>
      </c>
      <c r="M1203" s="2" t="s">
        <v>538</v>
      </c>
      <c r="O1203" s="2" t="s">
        <v>524</v>
      </c>
      <c r="Y1203" s="2" t="s">
        <v>618</v>
      </c>
    </row>
    <row r="1204" spans="1:25" x14ac:dyDescent="0.25">
      <c r="A1204" s="2" t="s">
        <v>314</v>
      </c>
      <c r="B1204" s="2" t="s">
        <v>531</v>
      </c>
      <c r="C1204" s="2" t="s">
        <v>407</v>
      </c>
      <c r="D1204" s="2" t="s">
        <v>412</v>
      </c>
      <c r="E1204" s="2" t="s">
        <v>413</v>
      </c>
      <c r="F1204" s="2" t="s">
        <v>40</v>
      </c>
      <c r="J1204" s="2" t="s">
        <v>532</v>
      </c>
      <c r="K1204" s="2" t="s">
        <v>533</v>
      </c>
      <c r="L1204" s="2">
        <v>5</v>
      </c>
      <c r="M1204" s="2" t="s">
        <v>539</v>
      </c>
      <c r="O1204" s="2" t="s">
        <v>524</v>
      </c>
      <c r="Y1204" s="2" t="s">
        <v>618</v>
      </c>
    </row>
    <row r="1205" spans="1:25" x14ac:dyDescent="0.25">
      <c r="A1205" s="2" t="s">
        <v>314</v>
      </c>
      <c r="B1205" s="2" t="s">
        <v>540</v>
      </c>
      <c r="C1205" s="2" t="s">
        <v>407</v>
      </c>
      <c r="D1205" s="2" t="s">
        <v>412</v>
      </c>
      <c r="E1205" s="2" t="s">
        <v>413</v>
      </c>
      <c r="F1205" s="2" t="s">
        <v>40</v>
      </c>
      <c r="J1205" s="2" t="s">
        <v>541</v>
      </c>
      <c r="K1205" s="2" t="s">
        <v>542</v>
      </c>
      <c r="L1205" s="2">
        <v>1</v>
      </c>
      <c r="M1205" s="2" t="s">
        <v>543</v>
      </c>
      <c r="O1205" s="2" t="s">
        <v>524</v>
      </c>
      <c r="Y1205" s="2" t="s">
        <v>618</v>
      </c>
    </row>
    <row r="1206" spans="1:25" x14ac:dyDescent="0.25">
      <c r="A1206" s="2" t="s">
        <v>314</v>
      </c>
      <c r="B1206" s="2" t="s">
        <v>540</v>
      </c>
      <c r="C1206" s="2" t="s">
        <v>407</v>
      </c>
      <c r="D1206" s="2" t="s">
        <v>412</v>
      </c>
      <c r="E1206" s="2" t="s">
        <v>413</v>
      </c>
      <c r="F1206" s="2" t="s">
        <v>40</v>
      </c>
      <c r="J1206" s="2" t="s">
        <v>541</v>
      </c>
      <c r="K1206" s="2" t="s">
        <v>542</v>
      </c>
      <c r="L1206" s="2">
        <v>2</v>
      </c>
      <c r="M1206" s="2" t="s">
        <v>544</v>
      </c>
      <c r="O1206" s="2" t="s">
        <v>524</v>
      </c>
      <c r="Y1206" s="2" t="s">
        <v>618</v>
      </c>
    </row>
    <row r="1207" spans="1:25" x14ac:dyDescent="0.25">
      <c r="A1207" s="2" t="s">
        <v>314</v>
      </c>
      <c r="B1207" s="2" t="s">
        <v>540</v>
      </c>
      <c r="C1207" s="2" t="s">
        <v>407</v>
      </c>
      <c r="D1207" s="2" t="s">
        <v>412</v>
      </c>
      <c r="E1207" s="2" t="s">
        <v>413</v>
      </c>
      <c r="F1207" s="2" t="s">
        <v>40</v>
      </c>
      <c r="J1207" s="2" t="s">
        <v>541</v>
      </c>
      <c r="K1207" s="2" t="s">
        <v>542</v>
      </c>
      <c r="L1207" s="2">
        <v>3</v>
      </c>
      <c r="M1207" s="2" t="s">
        <v>545</v>
      </c>
      <c r="O1207" s="2" t="s">
        <v>524</v>
      </c>
      <c r="Y1207" s="2" t="s">
        <v>618</v>
      </c>
    </row>
    <row r="1208" spans="1:25" x14ac:dyDescent="0.25">
      <c r="A1208" s="2" t="s">
        <v>314</v>
      </c>
      <c r="B1208" s="2" t="s">
        <v>540</v>
      </c>
      <c r="C1208" s="2" t="s">
        <v>407</v>
      </c>
      <c r="D1208" s="2" t="s">
        <v>412</v>
      </c>
      <c r="E1208" s="2" t="s">
        <v>413</v>
      </c>
      <c r="F1208" s="2" t="s">
        <v>40</v>
      </c>
      <c r="J1208" s="2" t="s">
        <v>541</v>
      </c>
      <c r="K1208" s="2" t="s">
        <v>542</v>
      </c>
      <c r="L1208" s="2">
        <v>4</v>
      </c>
      <c r="M1208" s="2" t="s">
        <v>546</v>
      </c>
      <c r="O1208" s="2" t="s">
        <v>524</v>
      </c>
      <c r="Y1208" s="2" t="s">
        <v>618</v>
      </c>
    </row>
    <row r="1209" spans="1:25" x14ac:dyDescent="0.25">
      <c r="A1209" s="2" t="s">
        <v>314</v>
      </c>
      <c r="B1209" s="2" t="s">
        <v>540</v>
      </c>
      <c r="C1209" s="2" t="s">
        <v>407</v>
      </c>
      <c r="D1209" s="2" t="s">
        <v>412</v>
      </c>
      <c r="E1209" s="2" t="s">
        <v>413</v>
      </c>
      <c r="F1209" s="2" t="s">
        <v>40</v>
      </c>
      <c r="J1209" s="2" t="s">
        <v>541</v>
      </c>
      <c r="K1209" s="2" t="s">
        <v>542</v>
      </c>
      <c r="L1209" s="2">
        <v>5</v>
      </c>
      <c r="M1209" s="2" t="s">
        <v>547</v>
      </c>
      <c r="O1209" s="2" t="s">
        <v>524</v>
      </c>
      <c r="Y1209" s="2" t="s">
        <v>618</v>
      </c>
    </row>
    <row r="1210" spans="1:25" x14ac:dyDescent="0.25">
      <c r="A1210" s="2" t="s">
        <v>314</v>
      </c>
      <c r="B1210" s="2" t="s">
        <v>540</v>
      </c>
      <c r="C1210" s="2" t="s">
        <v>407</v>
      </c>
      <c r="D1210" s="2" t="s">
        <v>412</v>
      </c>
      <c r="E1210" s="2" t="s">
        <v>413</v>
      </c>
      <c r="F1210" s="2" t="s">
        <v>40</v>
      </c>
      <c r="J1210" s="2" t="s">
        <v>541</v>
      </c>
      <c r="K1210" s="2" t="s">
        <v>542</v>
      </c>
      <c r="L1210" s="2">
        <v>6</v>
      </c>
      <c r="M1210" s="2" t="s">
        <v>548</v>
      </c>
      <c r="O1210" s="2" t="s">
        <v>524</v>
      </c>
      <c r="Y1210" s="2" t="s">
        <v>618</v>
      </c>
    </row>
    <row r="1211" spans="1:25" x14ac:dyDescent="0.25">
      <c r="A1211" s="2" t="s">
        <v>314</v>
      </c>
      <c r="B1211" s="2" t="s">
        <v>540</v>
      </c>
      <c r="C1211" s="2" t="s">
        <v>407</v>
      </c>
      <c r="D1211" s="2" t="s">
        <v>412</v>
      </c>
      <c r="E1211" s="2" t="s">
        <v>413</v>
      </c>
      <c r="F1211" s="2" t="s">
        <v>40</v>
      </c>
      <c r="J1211" s="2" t="s">
        <v>541</v>
      </c>
      <c r="K1211" s="2" t="s">
        <v>542</v>
      </c>
      <c r="L1211" s="2">
        <v>7</v>
      </c>
      <c r="M1211" s="2" t="s">
        <v>549</v>
      </c>
      <c r="O1211" s="2" t="s">
        <v>524</v>
      </c>
      <c r="Y1211" s="2" t="s">
        <v>618</v>
      </c>
    </row>
    <row r="1212" spans="1:25" x14ac:dyDescent="0.25">
      <c r="A1212" s="2" t="s">
        <v>314</v>
      </c>
      <c r="B1212" s="2" t="s">
        <v>540</v>
      </c>
      <c r="C1212" s="2" t="s">
        <v>407</v>
      </c>
      <c r="D1212" s="2" t="s">
        <v>412</v>
      </c>
      <c r="E1212" s="2" t="s">
        <v>413</v>
      </c>
      <c r="F1212" s="2" t="s">
        <v>40</v>
      </c>
      <c r="J1212" s="2" t="s">
        <v>541</v>
      </c>
      <c r="K1212" s="2" t="s">
        <v>542</v>
      </c>
      <c r="L1212" s="2">
        <v>8</v>
      </c>
      <c r="M1212" s="2" t="s">
        <v>550</v>
      </c>
      <c r="O1212" s="2" t="s">
        <v>524</v>
      </c>
      <c r="Y1212" s="2" t="s">
        <v>618</v>
      </c>
    </row>
    <row r="1213" spans="1:25" x14ac:dyDescent="0.25">
      <c r="A1213" s="2" t="s">
        <v>314</v>
      </c>
      <c r="B1213" s="2" t="s">
        <v>540</v>
      </c>
      <c r="C1213" s="2" t="s">
        <v>407</v>
      </c>
      <c r="D1213" s="2" t="s">
        <v>412</v>
      </c>
      <c r="E1213" s="2" t="s">
        <v>413</v>
      </c>
      <c r="F1213" s="2" t="s">
        <v>40</v>
      </c>
      <c r="J1213" s="2" t="s">
        <v>541</v>
      </c>
      <c r="K1213" s="2" t="s">
        <v>542</v>
      </c>
      <c r="L1213" s="2">
        <v>9</v>
      </c>
      <c r="M1213" s="2" t="s">
        <v>551</v>
      </c>
      <c r="O1213" s="2" t="s">
        <v>524</v>
      </c>
      <c r="Y1213" s="2" t="s">
        <v>618</v>
      </c>
    </row>
    <row r="1214" spans="1:25" x14ac:dyDescent="0.25">
      <c r="A1214" s="2" t="s">
        <v>314</v>
      </c>
      <c r="B1214" s="2" t="s">
        <v>540</v>
      </c>
      <c r="C1214" s="2" t="s">
        <v>407</v>
      </c>
      <c r="D1214" s="2" t="s">
        <v>412</v>
      </c>
      <c r="E1214" s="2" t="s">
        <v>413</v>
      </c>
      <c r="F1214" s="2" t="s">
        <v>40</v>
      </c>
      <c r="J1214" s="2" t="s">
        <v>541</v>
      </c>
      <c r="K1214" s="2" t="s">
        <v>542</v>
      </c>
      <c r="L1214" s="2">
        <v>10</v>
      </c>
      <c r="M1214" s="2" t="s">
        <v>552</v>
      </c>
      <c r="O1214" s="2" t="s">
        <v>524</v>
      </c>
      <c r="Y1214" s="2" t="s">
        <v>618</v>
      </c>
    </row>
    <row r="1215" spans="1:25" x14ac:dyDescent="0.25">
      <c r="A1215" s="2" t="s">
        <v>314</v>
      </c>
      <c r="B1215" s="2" t="s">
        <v>540</v>
      </c>
      <c r="C1215" s="2" t="s">
        <v>407</v>
      </c>
      <c r="D1215" s="2" t="s">
        <v>412</v>
      </c>
      <c r="E1215" s="2" t="s">
        <v>413</v>
      </c>
      <c r="F1215" s="2" t="s">
        <v>40</v>
      </c>
      <c r="J1215" s="2" t="s">
        <v>541</v>
      </c>
      <c r="K1215" s="2" t="s">
        <v>542</v>
      </c>
      <c r="L1215" s="2">
        <v>11</v>
      </c>
      <c r="M1215" s="2" t="s">
        <v>553</v>
      </c>
      <c r="O1215" s="2" t="s">
        <v>524</v>
      </c>
      <c r="Y1215" s="2" t="s">
        <v>618</v>
      </c>
    </row>
    <row r="1216" spans="1:25" x14ac:dyDescent="0.25">
      <c r="A1216" s="2" t="s">
        <v>314</v>
      </c>
      <c r="B1216" s="2" t="s">
        <v>540</v>
      </c>
      <c r="C1216" s="2" t="s">
        <v>407</v>
      </c>
      <c r="D1216" s="2" t="s">
        <v>412</v>
      </c>
      <c r="E1216" s="2" t="s">
        <v>413</v>
      </c>
      <c r="F1216" s="2" t="s">
        <v>40</v>
      </c>
      <c r="J1216" s="2" t="s">
        <v>541</v>
      </c>
      <c r="K1216" s="2" t="s">
        <v>542</v>
      </c>
      <c r="L1216" s="2">
        <v>12</v>
      </c>
      <c r="M1216" s="2" t="s">
        <v>554</v>
      </c>
      <c r="O1216" s="2" t="s">
        <v>524</v>
      </c>
      <c r="Y1216" s="2" t="s">
        <v>618</v>
      </c>
    </row>
    <row r="1217" spans="1:34" x14ac:dyDescent="0.25">
      <c r="A1217" s="2" t="s">
        <v>314</v>
      </c>
      <c r="B1217" s="2" t="s">
        <v>555</v>
      </c>
      <c r="C1217" s="2" t="s">
        <v>407</v>
      </c>
      <c r="D1217" s="2" t="s">
        <v>412</v>
      </c>
      <c r="E1217" s="2" t="s">
        <v>413</v>
      </c>
      <c r="F1217" s="2" t="s">
        <v>40</v>
      </c>
      <c r="J1217" s="2" t="s">
        <v>556</v>
      </c>
      <c r="O1217" s="2" t="s">
        <v>524</v>
      </c>
      <c r="Y1217" s="2" t="s">
        <v>618</v>
      </c>
      <c r="AB1217" s="2">
        <v>2</v>
      </c>
    </row>
    <row r="1218" spans="1:34" x14ac:dyDescent="0.25">
      <c r="A1218" s="2" t="s">
        <v>314</v>
      </c>
      <c r="B1218" s="2" t="s">
        <v>557</v>
      </c>
      <c r="C1218" s="2" t="s">
        <v>407</v>
      </c>
      <c r="D1218" s="2" t="s">
        <v>412</v>
      </c>
      <c r="E1218" s="2" t="s">
        <v>413</v>
      </c>
      <c r="F1218" s="2" t="s">
        <v>40</v>
      </c>
      <c r="J1218" s="2" t="s">
        <v>558</v>
      </c>
      <c r="O1218" s="2" t="s">
        <v>524</v>
      </c>
      <c r="Y1218" s="2" t="s">
        <v>618</v>
      </c>
      <c r="AC1218" s="2">
        <f>COUNTIFS($B:$B,"BLOCK_LOAD_Q",$A:$A,$A1218,$C:$C,$C1218,$E:$E,$E1218,$F:$F,$F1218,$N:$N, "&lt;&gt;")</f>
        <v>0</v>
      </c>
      <c r="AD1218" s="2">
        <f>COUNTIFS($B:$B,"BLOCK_TRUST_Q",$A:$A,$A1218,$C:$C,$C1218,$E:$E,$E1218,$F:$F,$F1218,$N:$N, "&lt;&gt;")</f>
        <v>0</v>
      </c>
      <c r="AE1218" s="2" t="str">
        <f>IFERROR(AVERAGEIFS($P:$P,$B:$B,"BLOCK_LOAD_Q",$A:$A,$A1218,$C:$C,$C1218,$E:$E,$E1218,$F:$F,$F1218,$P:$P,"&gt;0"),"")</f>
        <v/>
      </c>
      <c r="AF1218" s="2" t="str">
        <f>IFERROR(AVERAGEIFS($P:$P,$B:$B,"BLOCK_TRUST_Q",$A:$A,$A1218,$C:$C,$C1218,$E:$E,$E1218,$F:$F,$F1218,$P:$P,"&gt;0"),"")</f>
        <v/>
      </c>
      <c r="AG1218" s="2">
        <f>5-AC1218</f>
        <v>5</v>
      </c>
      <c r="AH1218" s="2">
        <f>12-AD1218</f>
        <v>12</v>
      </c>
    </row>
    <row r="1219" spans="1:34" x14ac:dyDescent="0.25">
      <c r="A1219" s="2" t="s">
        <v>314</v>
      </c>
      <c r="B1219" s="2" t="s">
        <v>402</v>
      </c>
      <c r="C1219" s="2" t="s">
        <v>407</v>
      </c>
      <c r="D1219" s="2" t="s">
        <v>412</v>
      </c>
      <c r="E1219" s="2" t="s">
        <v>414</v>
      </c>
      <c r="F1219" s="2" t="s">
        <v>39</v>
      </c>
      <c r="G1219" s="2" t="s">
        <v>415</v>
      </c>
      <c r="H1219" s="2" t="s">
        <v>350</v>
      </c>
      <c r="S1219" s="2" t="s">
        <v>57</v>
      </c>
      <c r="U1219" s="2" t="s">
        <v>58</v>
      </c>
      <c r="W1219" s="2" t="s">
        <v>59</v>
      </c>
    </row>
    <row r="1220" spans="1:34" x14ac:dyDescent="0.25">
      <c r="A1220" s="2" t="s">
        <v>314</v>
      </c>
      <c r="B1220" s="2" t="s">
        <v>402</v>
      </c>
      <c r="C1220" s="2" t="s">
        <v>407</v>
      </c>
      <c r="D1220" s="2" t="s">
        <v>412</v>
      </c>
      <c r="E1220" s="2" t="s">
        <v>414</v>
      </c>
      <c r="F1220" s="2" t="s">
        <v>39</v>
      </c>
      <c r="G1220" s="2" t="s">
        <v>416</v>
      </c>
      <c r="H1220" s="2" t="s">
        <v>571</v>
      </c>
      <c r="S1220" s="2" t="s">
        <v>59</v>
      </c>
      <c r="U1220" s="2" t="s">
        <v>57</v>
      </c>
      <c r="W1220" s="2" t="s">
        <v>60</v>
      </c>
    </row>
    <row r="1221" spans="1:34" x14ac:dyDescent="0.25">
      <c r="A1221" s="2" t="s">
        <v>314</v>
      </c>
      <c r="B1221" s="2" t="s">
        <v>402</v>
      </c>
      <c r="C1221" s="2" t="s">
        <v>407</v>
      </c>
      <c r="D1221" s="2" t="s">
        <v>412</v>
      </c>
      <c r="E1221" s="2" t="s">
        <v>414</v>
      </c>
      <c r="F1221" s="2" t="s">
        <v>39</v>
      </c>
      <c r="G1221" s="2" t="s">
        <v>417</v>
      </c>
      <c r="H1221" s="2" t="s">
        <v>572</v>
      </c>
      <c r="S1221" s="2" t="s">
        <v>57</v>
      </c>
      <c r="U1221" s="2" t="s">
        <v>59</v>
      </c>
      <c r="W1221" s="2" t="s">
        <v>58</v>
      </c>
    </row>
    <row r="1222" spans="1:34" x14ac:dyDescent="0.25">
      <c r="A1222" s="2" t="s">
        <v>314</v>
      </c>
      <c r="B1222" s="2" t="s">
        <v>402</v>
      </c>
      <c r="C1222" s="2" t="s">
        <v>407</v>
      </c>
      <c r="D1222" s="2" t="s">
        <v>412</v>
      </c>
      <c r="E1222" s="2" t="s">
        <v>414</v>
      </c>
      <c r="F1222" s="2" t="s">
        <v>39</v>
      </c>
      <c r="G1222" s="2" t="s">
        <v>418</v>
      </c>
      <c r="H1222" s="2" t="s">
        <v>573</v>
      </c>
      <c r="S1222" s="2" t="s">
        <v>58</v>
      </c>
      <c r="U1222" s="2" t="s">
        <v>58</v>
      </c>
      <c r="W1222" s="2" t="s">
        <v>58</v>
      </c>
    </row>
    <row r="1223" spans="1:34" x14ac:dyDescent="0.25">
      <c r="A1223" s="2" t="s">
        <v>314</v>
      </c>
      <c r="B1223" s="2" t="s">
        <v>402</v>
      </c>
      <c r="C1223" s="2" t="s">
        <v>407</v>
      </c>
      <c r="D1223" s="2" t="s">
        <v>412</v>
      </c>
      <c r="E1223" s="2" t="s">
        <v>414</v>
      </c>
      <c r="F1223" s="2" t="s">
        <v>39</v>
      </c>
      <c r="G1223" s="2" t="s">
        <v>419</v>
      </c>
      <c r="H1223" s="2" t="s">
        <v>365</v>
      </c>
      <c r="S1223" s="2" t="s">
        <v>59</v>
      </c>
      <c r="U1223" s="2" t="s">
        <v>59</v>
      </c>
      <c r="W1223" s="2" t="s">
        <v>60</v>
      </c>
    </row>
    <row r="1224" spans="1:34" x14ac:dyDescent="0.25">
      <c r="A1224" s="2" t="s">
        <v>314</v>
      </c>
      <c r="B1224" s="2" t="s">
        <v>531</v>
      </c>
      <c r="C1224" s="2" t="s">
        <v>407</v>
      </c>
      <c r="D1224" s="2" t="s">
        <v>412</v>
      </c>
      <c r="E1224" s="2" t="s">
        <v>414</v>
      </c>
      <c r="F1224" s="2" t="s">
        <v>39</v>
      </c>
      <c r="J1224" s="2" t="s">
        <v>532</v>
      </c>
      <c r="K1224" s="2" t="s">
        <v>533</v>
      </c>
      <c r="L1224" s="2">
        <v>1</v>
      </c>
      <c r="M1224" s="2" t="s">
        <v>534</v>
      </c>
      <c r="O1224" s="2" t="s">
        <v>524</v>
      </c>
      <c r="Y1224" s="2" t="s">
        <v>619</v>
      </c>
    </row>
    <row r="1225" spans="1:34" x14ac:dyDescent="0.25">
      <c r="A1225" s="2" t="s">
        <v>314</v>
      </c>
      <c r="B1225" s="2" t="s">
        <v>531</v>
      </c>
      <c r="C1225" s="2" t="s">
        <v>407</v>
      </c>
      <c r="D1225" s="2" t="s">
        <v>412</v>
      </c>
      <c r="E1225" s="2" t="s">
        <v>414</v>
      </c>
      <c r="F1225" s="2" t="s">
        <v>39</v>
      </c>
      <c r="J1225" s="2" t="s">
        <v>532</v>
      </c>
      <c r="K1225" s="2" t="s">
        <v>533</v>
      </c>
      <c r="L1225" s="2">
        <v>2</v>
      </c>
      <c r="M1225" s="2" t="s">
        <v>536</v>
      </c>
      <c r="O1225" s="2" t="s">
        <v>524</v>
      </c>
      <c r="Y1225" s="2" t="s">
        <v>619</v>
      </c>
    </row>
    <row r="1226" spans="1:34" x14ac:dyDescent="0.25">
      <c r="A1226" s="2" t="s">
        <v>314</v>
      </c>
      <c r="B1226" s="2" t="s">
        <v>531</v>
      </c>
      <c r="C1226" s="2" t="s">
        <v>407</v>
      </c>
      <c r="D1226" s="2" t="s">
        <v>412</v>
      </c>
      <c r="E1226" s="2" t="s">
        <v>414</v>
      </c>
      <c r="F1226" s="2" t="s">
        <v>39</v>
      </c>
      <c r="J1226" s="2" t="s">
        <v>532</v>
      </c>
      <c r="K1226" s="2" t="s">
        <v>533</v>
      </c>
      <c r="L1226" s="2">
        <v>3</v>
      </c>
      <c r="M1226" s="2" t="s">
        <v>537</v>
      </c>
      <c r="O1226" s="2" t="s">
        <v>524</v>
      </c>
      <c r="Y1226" s="2" t="s">
        <v>619</v>
      </c>
    </row>
    <row r="1227" spans="1:34" x14ac:dyDescent="0.25">
      <c r="A1227" s="2" t="s">
        <v>314</v>
      </c>
      <c r="B1227" s="2" t="s">
        <v>531</v>
      </c>
      <c r="C1227" s="2" t="s">
        <v>407</v>
      </c>
      <c r="D1227" s="2" t="s">
        <v>412</v>
      </c>
      <c r="E1227" s="2" t="s">
        <v>414</v>
      </c>
      <c r="F1227" s="2" t="s">
        <v>39</v>
      </c>
      <c r="J1227" s="2" t="s">
        <v>532</v>
      </c>
      <c r="K1227" s="2" t="s">
        <v>533</v>
      </c>
      <c r="L1227" s="2">
        <v>4</v>
      </c>
      <c r="M1227" s="2" t="s">
        <v>538</v>
      </c>
      <c r="O1227" s="2" t="s">
        <v>524</v>
      </c>
      <c r="Y1227" s="2" t="s">
        <v>619</v>
      </c>
    </row>
    <row r="1228" spans="1:34" x14ac:dyDescent="0.25">
      <c r="A1228" s="2" t="s">
        <v>314</v>
      </c>
      <c r="B1228" s="2" t="s">
        <v>531</v>
      </c>
      <c r="C1228" s="2" t="s">
        <v>407</v>
      </c>
      <c r="D1228" s="2" t="s">
        <v>412</v>
      </c>
      <c r="E1228" s="2" t="s">
        <v>414</v>
      </c>
      <c r="F1228" s="2" t="s">
        <v>39</v>
      </c>
      <c r="J1228" s="2" t="s">
        <v>532</v>
      </c>
      <c r="K1228" s="2" t="s">
        <v>533</v>
      </c>
      <c r="L1228" s="2">
        <v>5</v>
      </c>
      <c r="M1228" s="2" t="s">
        <v>539</v>
      </c>
      <c r="O1228" s="2" t="s">
        <v>524</v>
      </c>
      <c r="Y1228" s="2" t="s">
        <v>619</v>
      </c>
    </row>
    <row r="1229" spans="1:34" x14ac:dyDescent="0.25">
      <c r="A1229" s="2" t="s">
        <v>314</v>
      </c>
      <c r="B1229" s="2" t="s">
        <v>540</v>
      </c>
      <c r="C1229" s="2" t="s">
        <v>407</v>
      </c>
      <c r="D1229" s="2" t="s">
        <v>412</v>
      </c>
      <c r="E1229" s="2" t="s">
        <v>414</v>
      </c>
      <c r="F1229" s="2" t="s">
        <v>39</v>
      </c>
      <c r="J1229" s="2" t="s">
        <v>541</v>
      </c>
      <c r="K1229" s="2" t="s">
        <v>542</v>
      </c>
      <c r="L1229" s="2">
        <v>1</v>
      </c>
      <c r="M1229" s="2" t="s">
        <v>543</v>
      </c>
      <c r="O1229" s="2" t="s">
        <v>524</v>
      </c>
      <c r="Y1229" s="2" t="s">
        <v>619</v>
      </c>
    </row>
    <row r="1230" spans="1:34" x14ac:dyDescent="0.25">
      <c r="A1230" s="2" t="s">
        <v>314</v>
      </c>
      <c r="B1230" s="2" t="s">
        <v>540</v>
      </c>
      <c r="C1230" s="2" t="s">
        <v>407</v>
      </c>
      <c r="D1230" s="2" t="s">
        <v>412</v>
      </c>
      <c r="E1230" s="2" t="s">
        <v>414</v>
      </c>
      <c r="F1230" s="2" t="s">
        <v>39</v>
      </c>
      <c r="J1230" s="2" t="s">
        <v>541</v>
      </c>
      <c r="K1230" s="2" t="s">
        <v>542</v>
      </c>
      <c r="L1230" s="2">
        <v>2</v>
      </c>
      <c r="M1230" s="2" t="s">
        <v>544</v>
      </c>
      <c r="O1230" s="2" t="s">
        <v>524</v>
      </c>
      <c r="Y1230" s="2" t="s">
        <v>619</v>
      </c>
    </row>
    <row r="1231" spans="1:34" x14ac:dyDescent="0.25">
      <c r="A1231" s="2" t="s">
        <v>314</v>
      </c>
      <c r="B1231" s="2" t="s">
        <v>540</v>
      </c>
      <c r="C1231" s="2" t="s">
        <v>407</v>
      </c>
      <c r="D1231" s="2" t="s">
        <v>412</v>
      </c>
      <c r="E1231" s="2" t="s">
        <v>414</v>
      </c>
      <c r="F1231" s="2" t="s">
        <v>39</v>
      </c>
      <c r="J1231" s="2" t="s">
        <v>541</v>
      </c>
      <c r="K1231" s="2" t="s">
        <v>542</v>
      </c>
      <c r="L1231" s="2">
        <v>3</v>
      </c>
      <c r="M1231" s="2" t="s">
        <v>545</v>
      </c>
      <c r="O1231" s="2" t="s">
        <v>524</v>
      </c>
      <c r="Y1231" s="2" t="s">
        <v>619</v>
      </c>
    </row>
    <row r="1232" spans="1:34" x14ac:dyDescent="0.25">
      <c r="A1232" s="2" t="s">
        <v>314</v>
      </c>
      <c r="B1232" s="2" t="s">
        <v>540</v>
      </c>
      <c r="C1232" s="2" t="s">
        <v>407</v>
      </c>
      <c r="D1232" s="2" t="s">
        <v>412</v>
      </c>
      <c r="E1232" s="2" t="s">
        <v>414</v>
      </c>
      <c r="F1232" s="2" t="s">
        <v>39</v>
      </c>
      <c r="J1232" s="2" t="s">
        <v>541</v>
      </c>
      <c r="K1232" s="2" t="s">
        <v>542</v>
      </c>
      <c r="L1232" s="2">
        <v>4</v>
      </c>
      <c r="M1232" s="2" t="s">
        <v>546</v>
      </c>
      <c r="O1232" s="2" t="s">
        <v>524</v>
      </c>
      <c r="Y1232" s="2" t="s">
        <v>619</v>
      </c>
    </row>
    <row r="1233" spans="1:34" x14ac:dyDescent="0.25">
      <c r="A1233" s="2" t="s">
        <v>314</v>
      </c>
      <c r="B1233" s="2" t="s">
        <v>540</v>
      </c>
      <c r="C1233" s="2" t="s">
        <v>407</v>
      </c>
      <c r="D1233" s="2" t="s">
        <v>412</v>
      </c>
      <c r="E1233" s="2" t="s">
        <v>414</v>
      </c>
      <c r="F1233" s="2" t="s">
        <v>39</v>
      </c>
      <c r="J1233" s="2" t="s">
        <v>541</v>
      </c>
      <c r="K1233" s="2" t="s">
        <v>542</v>
      </c>
      <c r="L1233" s="2">
        <v>5</v>
      </c>
      <c r="M1233" s="2" t="s">
        <v>547</v>
      </c>
      <c r="O1233" s="2" t="s">
        <v>524</v>
      </c>
      <c r="Y1233" s="2" t="s">
        <v>619</v>
      </c>
    </row>
    <row r="1234" spans="1:34" x14ac:dyDescent="0.25">
      <c r="A1234" s="2" t="s">
        <v>314</v>
      </c>
      <c r="B1234" s="2" t="s">
        <v>540</v>
      </c>
      <c r="C1234" s="2" t="s">
        <v>407</v>
      </c>
      <c r="D1234" s="2" t="s">
        <v>412</v>
      </c>
      <c r="E1234" s="2" t="s">
        <v>414</v>
      </c>
      <c r="F1234" s="2" t="s">
        <v>39</v>
      </c>
      <c r="J1234" s="2" t="s">
        <v>541</v>
      </c>
      <c r="K1234" s="2" t="s">
        <v>542</v>
      </c>
      <c r="L1234" s="2">
        <v>6</v>
      </c>
      <c r="M1234" s="2" t="s">
        <v>548</v>
      </c>
      <c r="O1234" s="2" t="s">
        <v>524</v>
      </c>
      <c r="Y1234" s="2" t="s">
        <v>619</v>
      </c>
    </row>
    <row r="1235" spans="1:34" x14ac:dyDescent="0.25">
      <c r="A1235" s="2" t="s">
        <v>314</v>
      </c>
      <c r="B1235" s="2" t="s">
        <v>540</v>
      </c>
      <c r="C1235" s="2" t="s">
        <v>407</v>
      </c>
      <c r="D1235" s="2" t="s">
        <v>412</v>
      </c>
      <c r="E1235" s="2" t="s">
        <v>414</v>
      </c>
      <c r="F1235" s="2" t="s">
        <v>39</v>
      </c>
      <c r="J1235" s="2" t="s">
        <v>541</v>
      </c>
      <c r="K1235" s="2" t="s">
        <v>542</v>
      </c>
      <c r="L1235" s="2">
        <v>7</v>
      </c>
      <c r="M1235" s="2" t="s">
        <v>549</v>
      </c>
      <c r="O1235" s="2" t="s">
        <v>524</v>
      </c>
      <c r="Y1235" s="2" t="s">
        <v>619</v>
      </c>
    </row>
    <row r="1236" spans="1:34" x14ac:dyDescent="0.25">
      <c r="A1236" s="2" t="s">
        <v>314</v>
      </c>
      <c r="B1236" s="2" t="s">
        <v>540</v>
      </c>
      <c r="C1236" s="2" t="s">
        <v>407</v>
      </c>
      <c r="D1236" s="2" t="s">
        <v>412</v>
      </c>
      <c r="E1236" s="2" t="s">
        <v>414</v>
      </c>
      <c r="F1236" s="2" t="s">
        <v>39</v>
      </c>
      <c r="J1236" s="2" t="s">
        <v>541</v>
      </c>
      <c r="K1236" s="2" t="s">
        <v>542</v>
      </c>
      <c r="L1236" s="2">
        <v>8</v>
      </c>
      <c r="M1236" s="2" t="s">
        <v>550</v>
      </c>
      <c r="O1236" s="2" t="s">
        <v>524</v>
      </c>
      <c r="Y1236" s="2" t="s">
        <v>619</v>
      </c>
    </row>
    <row r="1237" spans="1:34" x14ac:dyDescent="0.25">
      <c r="A1237" s="2" t="s">
        <v>314</v>
      </c>
      <c r="B1237" s="2" t="s">
        <v>540</v>
      </c>
      <c r="C1237" s="2" t="s">
        <v>407</v>
      </c>
      <c r="D1237" s="2" t="s">
        <v>412</v>
      </c>
      <c r="E1237" s="2" t="s">
        <v>414</v>
      </c>
      <c r="F1237" s="2" t="s">
        <v>39</v>
      </c>
      <c r="J1237" s="2" t="s">
        <v>541</v>
      </c>
      <c r="K1237" s="2" t="s">
        <v>542</v>
      </c>
      <c r="L1237" s="2">
        <v>9</v>
      </c>
      <c r="M1237" s="2" t="s">
        <v>551</v>
      </c>
      <c r="O1237" s="2" t="s">
        <v>524</v>
      </c>
      <c r="Y1237" s="2" t="s">
        <v>619</v>
      </c>
    </row>
    <row r="1238" spans="1:34" x14ac:dyDescent="0.25">
      <c r="A1238" s="2" t="s">
        <v>314</v>
      </c>
      <c r="B1238" s="2" t="s">
        <v>540</v>
      </c>
      <c r="C1238" s="2" t="s">
        <v>407</v>
      </c>
      <c r="D1238" s="2" t="s">
        <v>412</v>
      </c>
      <c r="E1238" s="2" t="s">
        <v>414</v>
      </c>
      <c r="F1238" s="2" t="s">
        <v>39</v>
      </c>
      <c r="J1238" s="2" t="s">
        <v>541</v>
      </c>
      <c r="K1238" s="2" t="s">
        <v>542</v>
      </c>
      <c r="L1238" s="2">
        <v>10</v>
      </c>
      <c r="M1238" s="2" t="s">
        <v>552</v>
      </c>
      <c r="O1238" s="2" t="s">
        <v>524</v>
      </c>
      <c r="Y1238" s="2" t="s">
        <v>619</v>
      </c>
    </row>
    <row r="1239" spans="1:34" x14ac:dyDescent="0.25">
      <c r="A1239" s="2" t="s">
        <v>314</v>
      </c>
      <c r="B1239" s="2" t="s">
        <v>540</v>
      </c>
      <c r="C1239" s="2" t="s">
        <v>407</v>
      </c>
      <c r="D1239" s="2" t="s">
        <v>412</v>
      </c>
      <c r="E1239" s="2" t="s">
        <v>414</v>
      </c>
      <c r="F1239" s="2" t="s">
        <v>39</v>
      </c>
      <c r="J1239" s="2" t="s">
        <v>541</v>
      </c>
      <c r="K1239" s="2" t="s">
        <v>542</v>
      </c>
      <c r="L1239" s="2">
        <v>11</v>
      </c>
      <c r="M1239" s="2" t="s">
        <v>553</v>
      </c>
      <c r="O1239" s="2" t="s">
        <v>524</v>
      </c>
      <c r="Y1239" s="2" t="s">
        <v>619</v>
      </c>
    </row>
    <row r="1240" spans="1:34" x14ac:dyDescent="0.25">
      <c r="A1240" s="2" t="s">
        <v>314</v>
      </c>
      <c r="B1240" s="2" t="s">
        <v>540</v>
      </c>
      <c r="C1240" s="2" t="s">
        <v>407</v>
      </c>
      <c r="D1240" s="2" t="s">
        <v>412</v>
      </c>
      <c r="E1240" s="2" t="s">
        <v>414</v>
      </c>
      <c r="F1240" s="2" t="s">
        <v>39</v>
      </c>
      <c r="J1240" s="2" t="s">
        <v>541</v>
      </c>
      <c r="K1240" s="2" t="s">
        <v>542</v>
      </c>
      <c r="L1240" s="2">
        <v>12</v>
      </c>
      <c r="M1240" s="2" t="s">
        <v>554</v>
      </c>
      <c r="O1240" s="2" t="s">
        <v>524</v>
      </c>
      <c r="Y1240" s="2" t="s">
        <v>619</v>
      </c>
    </row>
    <row r="1241" spans="1:34" x14ac:dyDescent="0.25">
      <c r="A1241" s="2" t="s">
        <v>314</v>
      </c>
      <c r="B1241" s="2" t="s">
        <v>555</v>
      </c>
      <c r="C1241" s="2" t="s">
        <v>407</v>
      </c>
      <c r="D1241" s="2" t="s">
        <v>412</v>
      </c>
      <c r="E1241" s="2" t="s">
        <v>414</v>
      </c>
      <c r="F1241" s="2" t="s">
        <v>39</v>
      </c>
      <c r="J1241" s="2" t="s">
        <v>556</v>
      </c>
      <c r="O1241" s="2" t="s">
        <v>524</v>
      </c>
      <c r="Y1241" s="2" t="s">
        <v>619</v>
      </c>
      <c r="AB1241" s="2">
        <v>1</v>
      </c>
    </row>
    <row r="1242" spans="1:34" x14ac:dyDescent="0.25">
      <c r="A1242" s="2" t="s">
        <v>314</v>
      </c>
      <c r="B1242" s="2" t="s">
        <v>557</v>
      </c>
      <c r="C1242" s="2" t="s">
        <v>407</v>
      </c>
      <c r="D1242" s="2" t="s">
        <v>412</v>
      </c>
      <c r="E1242" s="2" t="s">
        <v>414</v>
      </c>
      <c r="F1242" s="2" t="s">
        <v>39</v>
      </c>
      <c r="J1242" s="2" t="s">
        <v>558</v>
      </c>
      <c r="O1242" s="2" t="s">
        <v>524</v>
      </c>
      <c r="Y1242" s="2" t="s">
        <v>619</v>
      </c>
      <c r="AC1242" s="2">
        <f>COUNTIFS($B:$B,"BLOCK_LOAD_Q",$A:$A,$A1242,$C:$C,$C1242,$E:$E,$E1242,$F:$F,$F1242,$N:$N, "&lt;&gt;")</f>
        <v>0</v>
      </c>
      <c r="AD1242" s="2">
        <f>COUNTIFS($B:$B,"BLOCK_TRUST_Q",$A:$A,$A1242,$C:$C,$C1242,$E:$E,$E1242,$F:$F,$F1242,$N:$N, "&lt;&gt;")</f>
        <v>0</v>
      </c>
      <c r="AE1242" s="2" t="str">
        <f>IFERROR(AVERAGEIFS($P:$P,$B:$B,"BLOCK_LOAD_Q",$A:$A,$A1242,$C:$C,$C1242,$E:$E,$E1242,$F:$F,$F1242,$P:$P,"&gt;0"),"")</f>
        <v/>
      </c>
      <c r="AF1242" s="2" t="str">
        <f>IFERROR(AVERAGEIFS($P:$P,$B:$B,"BLOCK_TRUST_Q",$A:$A,$A1242,$C:$C,$C1242,$E:$E,$E1242,$F:$F,$F1242,$P:$P,"&gt;0"),"")</f>
        <v/>
      </c>
      <c r="AG1242" s="2">
        <f>5-AC1242</f>
        <v>5</v>
      </c>
      <c r="AH1242" s="2">
        <f>12-AD1242</f>
        <v>12</v>
      </c>
    </row>
    <row r="1243" spans="1:34" x14ac:dyDescent="0.25">
      <c r="A1243" s="2" t="s">
        <v>314</v>
      </c>
      <c r="B1243" s="2" t="s">
        <v>403</v>
      </c>
      <c r="C1243" s="2" t="s">
        <v>407</v>
      </c>
      <c r="D1243" s="2" t="s">
        <v>412</v>
      </c>
      <c r="Z1243" s="2" t="s">
        <v>444</v>
      </c>
    </row>
    <row r="1244" spans="1:34" x14ac:dyDescent="0.25">
      <c r="A1244" s="2" t="s">
        <v>314</v>
      </c>
      <c r="B1244" s="2" t="s">
        <v>402</v>
      </c>
      <c r="C1244" s="2" t="s">
        <v>408</v>
      </c>
      <c r="D1244" s="2" t="s">
        <v>410</v>
      </c>
      <c r="E1244" s="2" t="s">
        <v>413</v>
      </c>
      <c r="F1244" s="2" t="s">
        <v>39</v>
      </c>
      <c r="G1244" s="2" t="s">
        <v>415</v>
      </c>
      <c r="H1244" s="2" t="s">
        <v>373</v>
      </c>
      <c r="S1244" s="2" t="s">
        <v>60</v>
      </c>
      <c r="U1244" s="2" t="s">
        <v>60</v>
      </c>
      <c r="W1244" s="2" t="s">
        <v>60</v>
      </c>
    </row>
    <row r="1245" spans="1:34" x14ac:dyDescent="0.25">
      <c r="A1245" s="2" t="s">
        <v>314</v>
      </c>
      <c r="B1245" s="2" t="s">
        <v>402</v>
      </c>
      <c r="C1245" s="2" t="s">
        <v>408</v>
      </c>
      <c r="D1245" s="2" t="s">
        <v>410</v>
      </c>
      <c r="E1245" s="2" t="s">
        <v>413</v>
      </c>
      <c r="F1245" s="2" t="s">
        <v>39</v>
      </c>
      <c r="G1245" s="2" t="s">
        <v>416</v>
      </c>
      <c r="H1245" s="2" t="s">
        <v>528</v>
      </c>
      <c r="S1245" s="2" t="s">
        <v>60</v>
      </c>
      <c r="U1245" s="2" t="s">
        <v>59</v>
      </c>
      <c r="W1245" s="2" t="s">
        <v>59</v>
      </c>
    </row>
    <row r="1246" spans="1:34" x14ac:dyDescent="0.25">
      <c r="A1246" s="2" t="s">
        <v>314</v>
      </c>
      <c r="B1246" s="2" t="s">
        <v>402</v>
      </c>
      <c r="C1246" s="2" t="s">
        <v>408</v>
      </c>
      <c r="D1246" s="2" t="s">
        <v>410</v>
      </c>
      <c r="E1246" s="2" t="s">
        <v>413</v>
      </c>
      <c r="F1246" s="2" t="s">
        <v>39</v>
      </c>
      <c r="G1246" s="2" t="s">
        <v>417</v>
      </c>
      <c r="H1246" s="2" t="s">
        <v>529</v>
      </c>
      <c r="S1246" s="2" t="s">
        <v>57</v>
      </c>
      <c r="U1246" s="2" t="s">
        <v>59</v>
      </c>
      <c r="W1246" s="2" t="s">
        <v>60</v>
      </c>
    </row>
    <row r="1247" spans="1:34" x14ac:dyDescent="0.25">
      <c r="A1247" s="2" t="s">
        <v>314</v>
      </c>
      <c r="B1247" s="2" t="s">
        <v>402</v>
      </c>
      <c r="C1247" s="2" t="s">
        <v>408</v>
      </c>
      <c r="D1247" s="2" t="s">
        <v>410</v>
      </c>
      <c r="E1247" s="2" t="s">
        <v>413</v>
      </c>
      <c r="F1247" s="2" t="s">
        <v>39</v>
      </c>
      <c r="G1247" s="2" t="s">
        <v>418</v>
      </c>
      <c r="H1247" s="2" t="s">
        <v>347</v>
      </c>
      <c r="S1247" s="2" t="s">
        <v>60</v>
      </c>
      <c r="U1247" s="2" t="s">
        <v>57</v>
      </c>
      <c r="W1247" s="2" t="s">
        <v>59</v>
      </c>
    </row>
    <row r="1248" spans="1:34" x14ac:dyDescent="0.25">
      <c r="A1248" s="2" t="s">
        <v>314</v>
      </c>
      <c r="B1248" s="2" t="s">
        <v>402</v>
      </c>
      <c r="C1248" s="2" t="s">
        <v>408</v>
      </c>
      <c r="D1248" s="2" t="s">
        <v>410</v>
      </c>
      <c r="E1248" s="2" t="s">
        <v>413</v>
      </c>
      <c r="F1248" s="2" t="s">
        <v>39</v>
      </c>
      <c r="G1248" s="2" t="s">
        <v>419</v>
      </c>
      <c r="H1248" s="2" t="s">
        <v>530</v>
      </c>
      <c r="S1248" s="2" t="s">
        <v>57</v>
      </c>
      <c r="U1248" s="2" t="s">
        <v>60</v>
      </c>
      <c r="W1248" s="2" t="s">
        <v>58</v>
      </c>
    </row>
    <row r="1249" spans="1:25" x14ac:dyDescent="0.25">
      <c r="A1249" s="2" t="s">
        <v>314</v>
      </c>
      <c r="B1249" s="2" t="s">
        <v>531</v>
      </c>
      <c r="C1249" s="2" t="s">
        <v>408</v>
      </c>
      <c r="D1249" s="2" t="s">
        <v>410</v>
      </c>
      <c r="E1249" s="2" t="s">
        <v>413</v>
      </c>
      <c r="F1249" s="2" t="s">
        <v>39</v>
      </c>
      <c r="J1249" s="2" t="s">
        <v>532</v>
      </c>
      <c r="K1249" s="2" t="s">
        <v>533</v>
      </c>
      <c r="L1249" s="2">
        <v>1</v>
      </c>
      <c r="M1249" s="2" t="s">
        <v>534</v>
      </c>
      <c r="O1249" s="2" t="s">
        <v>524</v>
      </c>
      <c r="Y1249" s="2" t="s">
        <v>620</v>
      </c>
    </row>
    <row r="1250" spans="1:25" x14ac:dyDescent="0.25">
      <c r="A1250" s="2" t="s">
        <v>314</v>
      </c>
      <c r="B1250" s="2" t="s">
        <v>531</v>
      </c>
      <c r="C1250" s="2" t="s">
        <v>408</v>
      </c>
      <c r="D1250" s="2" t="s">
        <v>410</v>
      </c>
      <c r="E1250" s="2" t="s">
        <v>413</v>
      </c>
      <c r="F1250" s="2" t="s">
        <v>39</v>
      </c>
      <c r="J1250" s="2" t="s">
        <v>532</v>
      </c>
      <c r="K1250" s="2" t="s">
        <v>533</v>
      </c>
      <c r="L1250" s="2">
        <v>2</v>
      </c>
      <c r="M1250" s="2" t="s">
        <v>536</v>
      </c>
      <c r="O1250" s="2" t="s">
        <v>524</v>
      </c>
      <c r="Y1250" s="2" t="s">
        <v>620</v>
      </c>
    </row>
    <row r="1251" spans="1:25" x14ac:dyDescent="0.25">
      <c r="A1251" s="2" t="s">
        <v>314</v>
      </c>
      <c r="B1251" s="2" t="s">
        <v>531</v>
      </c>
      <c r="C1251" s="2" t="s">
        <v>408</v>
      </c>
      <c r="D1251" s="2" t="s">
        <v>410</v>
      </c>
      <c r="E1251" s="2" t="s">
        <v>413</v>
      </c>
      <c r="F1251" s="2" t="s">
        <v>39</v>
      </c>
      <c r="J1251" s="2" t="s">
        <v>532</v>
      </c>
      <c r="K1251" s="2" t="s">
        <v>533</v>
      </c>
      <c r="L1251" s="2">
        <v>3</v>
      </c>
      <c r="M1251" s="2" t="s">
        <v>537</v>
      </c>
      <c r="O1251" s="2" t="s">
        <v>524</v>
      </c>
      <c r="Y1251" s="2" t="s">
        <v>620</v>
      </c>
    </row>
    <row r="1252" spans="1:25" x14ac:dyDescent="0.25">
      <c r="A1252" s="2" t="s">
        <v>314</v>
      </c>
      <c r="B1252" s="2" t="s">
        <v>531</v>
      </c>
      <c r="C1252" s="2" t="s">
        <v>408</v>
      </c>
      <c r="D1252" s="2" t="s">
        <v>410</v>
      </c>
      <c r="E1252" s="2" t="s">
        <v>413</v>
      </c>
      <c r="F1252" s="2" t="s">
        <v>39</v>
      </c>
      <c r="J1252" s="2" t="s">
        <v>532</v>
      </c>
      <c r="K1252" s="2" t="s">
        <v>533</v>
      </c>
      <c r="L1252" s="2">
        <v>4</v>
      </c>
      <c r="M1252" s="2" t="s">
        <v>538</v>
      </c>
      <c r="O1252" s="2" t="s">
        <v>524</v>
      </c>
      <c r="Y1252" s="2" t="s">
        <v>620</v>
      </c>
    </row>
    <row r="1253" spans="1:25" x14ac:dyDescent="0.25">
      <c r="A1253" s="2" t="s">
        <v>314</v>
      </c>
      <c r="B1253" s="2" t="s">
        <v>531</v>
      </c>
      <c r="C1253" s="2" t="s">
        <v>408</v>
      </c>
      <c r="D1253" s="2" t="s">
        <v>410</v>
      </c>
      <c r="E1253" s="2" t="s">
        <v>413</v>
      </c>
      <c r="F1253" s="2" t="s">
        <v>39</v>
      </c>
      <c r="J1253" s="2" t="s">
        <v>532</v>
      </c>
      <c r="K1253" s="2" t="s">
        <v>533</v>
      </c>
      <c r="L1253" s="2">
        <v>5</v>
      </c>
      <c r="M1253" s="2" t="s">
        <v>539</v>
      </c>
      <c r="O1253" s="2" t="s">
        <v>524</v>
      </c>
      <c r="Y1253" s="2" t="s">
        <v>620</v>
      </c>
    </row>
    <row r="1254" spans="1:25" x14ac:dyDescent="0.25">
      <c r="A1254" s="2" t="s">
        <v>314</v>
      </c>
      <c r="B1254" s="2" t="s">
        <v>540</v>
      </c>
      <c r="C1254" s="2" t="s">
        <v>408</v>
      </c>
      <c r="D1254" s="2" t="s">
        <v>410</v>
      </c>
      <c r="E1254" s="2" t="s">
        <v>413</v>
      </c>
      <c r="F1254" s="2" t="s">
        <v>39</v>
      </c>
      <c r="J1254" s="2" t="s">
        <v>541</v>
      </c>
      <c r="K1254" s="2" t="s">
        <v>542</v>
      </c>
      <c r="L1254" s="2">
        <v>1</v>
      </c>
      <c r="M1254" s="2" t="s">
        <v>543</v>
      </c>
      <c r="O1254" s="2" t="s">
        <v>524</v>
      </c>
      <c r="Y1254" s="2" t="s">
        <v>620</v>
      </c>
    </row>
    <row r="1255" spans="1:25" x14ac:dyDescent="0.25">
      <c r="A1255" s="2" t="s">
        <v>314</v>
      </c>
      <c r="B1255" s="2" t="s">
        <v>540</v>
      </c>
      <c r="C1255" s="2" t="s">
        <v>408</v>
      </c>
      <c r="D1255" s="2" t="s">
        <v>410</v>
      </c>
      <c r="E1255" s="2" t="s">
        <v>413</v>
      </c>
      <c r="F1255" s="2" t="s">
        <v>39</v>
      </c>
      <c r="J1255" s="2" t="s">
        <v>541</v>
      </c>
      <c r="K1255" s="2" t="s">
        <v>542</v>
      </c>
      <c r="L1255" s="2">
        <v>2</v>
      </c>
      <c r="M1255" s="2" t="s">
        <v>544</v>
      </c>
      <c r="O1255" s="2" t="s">
        <v>524</v>
      </c>
      <c r="Y1255" s="2" t="s">
        <v>620</v>
      </c>
    </row>
    <row r="1256" spans="1:25" x14ac:dyDescent="0.25">
      <c r="A1256" s="2" t="s">
        <v>314</v>
      </c>
      <c r="B1256" s="2" t="s">
        <v>540</v>
      </c>
      <c r="C1256" s="2" t="s">
        <v>408</v>
      </c>
      <c r="D1256" s="2" t="s">
        <v>410</v>
      </c>
      <c r="E1256" s="2" t="s">
        <v>413</v>
      </c>
      <c r="F1256" s="2" t="s">
        <v>39</v>
      </c>
      <c r="J1256" s="2" t="s">
        <v>541</v>
      </c>
      <c r="K1256" s="2" t="s">
        <v>542</v>
      </c>
      <c r="L1256" s="2">
        <v>3</v>
      </c>
      <c r="M1256" s="2" t="s">
        <v>545</v>
      </c>
      <c r="O1256" s="2" t="s">
        <v>524</v>
      </c>
      <c r="Y1256" s="2" t="s">
        <v>620</v>
      </c>
    </row>
    <row r="1257" spans="1:25" x14ac:dyDescent="0.25">
      <c r="A1257" s="2" t="s">
        <v>314</v>
      </c>
      <c r="B1257" s="2" t="s">
        <v>540</v>
      </c>
      <c r="C1257" s="2" t="s">
        <v>408</v>
      </c>
      <c r="D1257" s="2" t="s">
        <v>410</v>
      </c>
      <c r="E1257" s="2" t="s">
        <v>413</v>
      </c>
      <c r="F1257" s="2" t="s">
        <v>39</v>
      </c>
      <c r="J1257" s="2" t="s">
        <v>541</v>
      </c>
      <c r="K1257" s="2" t="s">
        <v>542</v>
      </c>
      <c r="L1257" s="2">
        <v>4</v>
      </c>
      <c r="M1257" s="2" t="s">
        <v>546</v>
      </c>
      <c r="O1257" s="2" t="s">
        <v>524</v>
      </c>
      <c r="Y1257" s="2" t="s">
        <v>620</v>
      </c>
    </row>
    <row r="1258" spans="1:25" x14ac:dyDescent="0.25">
      <c r="A1258" s="2" t="s">
        <v>314</v>
      </c>
      <c r="B1258" s="2" t="s">
        <v>540</v>
      </c>
      <c r="C1258" s="2" t="s">
        <v>408</v>
      </c>
      <c r="D1258" s="2" t="s">
        <v>410</v>
      </c>
      <c r="E1258" s="2" t="s">
        <v>413</v>
      </c>
      <c r="F1258" s="2" t="s">
        <v>39</v>
      </c>
      <c r="J1258" s="2" t="s">
        <v>541</v>
      </c>
      <c r="K1258" s="2" t="s">
        <v>542</v>
      </c>
      <c r="L1258" s="2">
        <v>5</v>
      </c>
      <c r="M1258" s="2" t="s">
        <v>547</v>
      </c>
      <c r="O1258" s="2" t="s">
        <v>524</v>
      </c>
      <c r="Y1258" s="2" t="s">
        <v>620</v>
      </c>
    </row>
    <row r="1259" spans="1:25" x14ac:dyDescent="0.25">
      <c r="A1259" s="2" t="s">
        <v>314</v>
      </c>
      <c r="B1259" s="2" t="s">
        <v>540</v>
      </c>
      <c r="C1259" s="2" t="s">
        <v>408</v>
      </c>
      <c r="D1259" s="2" t="s">
        <v>410</v>
      </c>
      <c r="E1259" s="2" t="s">
        <v>413</v>
      </c>
      <c r="F1259" s="2" t="s">
        <v>39</v>
      </c>
      <c r="J1259" s="2" t="s">
        <v>541</v>
      </c>
      <c r="K1259" s="2" t="s">
        <v>542</v>
      </c>
      <c r="L1259" s="2">
        <v>6</v>
      </c>
      <c r="M1259" s="2" t="s">
        <v>548</v>
      </c>
      <c r="O1259" s="2" t="s">
        <v>524</v>
      </c>
      <c r="Y1259" s="2" t="s">
        <v>620</v>
      </c>
    </row>
    <row r="1260" spans="1:25" x14ac:dyDescent="0.25">
      <c r="A1260" s="2" t="s">
        <v>314</v>
      </c>
      <c r="B1260" s="2" t="s">
        <v>540</v>
      </c>
      <c r="C1260" s="2" t="s">
        <v>408</v>
      </c>
      <c r="D1260" s="2" t="s">
        <v>410</v>
      </c>
      <c r="E1260" s="2" t="s">
        <v>413</v>
      </c>
      <c r="F1260" s="2" t="s">
        <v>39</v>
      </c>
      <c r="J1260" s="2" t="s">
        <v>541</v>
      </c>
      <c r="K1260" s="2" t="s">
        <v>542</v>
      </c>
      <c r="L1260" s="2">
        <v>7</v>
      </c>
      <c r="M1260" s="2" t="s">
        <v>549</v>
      </c>
      <c r="O1260" s="2" t="s">
        <v>524</v>
      </c>
      <c r="Y1260" s="2" t="s">
        <v>620</v>
      </c>
    </row>
    <row r="1261" spans="1:25" x14ac:dyDescent="0.25">
      <c r="A1261" s="2" t="s">
        <v>314</v>
      </c>
      <c r="B1261" s="2" t="s">
        <v>540</v>
      </c>
      <c r="C1261" s="2" t="s">
        <v>408</v>
      </c>
      <c r="D1261" s="2" t="s">
        <v>410</v>
      </c>
      <c r="E1261" s="2" t="s">
        <v>413</v>
      </c>
      <c r="F1261" s="2" t="s">
        <v>39</v>
      </c>
      <c r="J1261" s="2" t="s">
        <v>541</v>
      </c>
      <c r="K1261" s="2" t="s">
        <v>542</v>
      </c>
      <c r="L1261" s="2">
        <v>8</v>
      </c>
      <c r="M1261" s="2" t="s">
        <v>550</v>
      </c>
      <c r="O1261" s="2" t="s">
        <v>524</v>
      </c>
      <c r="Y1261" s="2" t="s">
        <v>620</v>
      </c>
    </row>
    <row r="1262" spans="1:25" x14ac:dyDescent="0.25">
      <c r="A1262" s="2" t="s">
        <v>314</v>
      </c>
      <c r="B1262" s="2" t="s">
        <v>540</v>
      </c>
      <c r="C1262" s="2" t="s">
        <v>408</v>
      </c>
      <c r="D1262" s="2" t="s">
        <v>410</v>
      </c>
      <c r="E1262" s="2" t="s">
        <v>413</v>
      </c>
      <c r="F1262" s="2" t="s">
        <v>39</v>
      </c>
      <c r="J1262" s="2" t="s">
        <v>541</v>
      </c>
      <c r="K1262" s="2" t="s">
        <v>542</v>
      </c>
      <c r="L1262" s="2">
        <v>9</v>
      </c>
      <c r="M1262" s="2" t="s">
        <v>551</v>
      </c>
      <c r="O1262" s="2" t="s">
        <v>524</v>
      </c>
      <c r="Y1262" s="2" t="s">
        <v>620</v>
      </c>
    </row>
    <row r="1263" spans="1:25" x14ac:dyDescent="0.25">
      <c r="A1263" s="2" t="s">
        <v>314</v>
      </c>
      <c r="B1263" s="2" t="s">
        <v>540</v>
      </c>
      <c r="C1263" s="2" t="s">
        <v>408</v>
      </c>
      <c r="D1263" s="2" t="s">
        <v>410</v>
      </c>
      <c r="E1263" s="2" t="s">
        <v>413</v>
      </c>
      <c r="F1263" s="2" t="s">
        <v>39</v>
      </c>
      <c r="J1263" s="2" t="s">
        <v>541</v>
      </c>
      <c r="K1263" s="2" t="s">
        <v>542</v>
      </c>
      <c r="L1263" s="2">
        <v>10</v>
      </c>
      <c r="M1263" s="2" t="s">
        <v>552</v>
      </c>
      <c r="O1263" s="2" t="s">
        <v>524</v>
      </c>
      <c r="Y1263" s="2" t="s">
        <v>620</v>
      </c>
    </row>
    <row r="1264" spans="1:25" x14ac:dyDescent="0.25">
      <c r="A1264" s="2" t="s">
        <v>314</v>
      </c>
      <c r="B1264" s="2" t="s">
        <v>540</v>
      </c>
      <c r="C1264" s="2" t="s">
        <v>408</v>
      </c>
      <c r="D1264" s="2" t="s">
        <v>410</v>
      </c>
      <c r="E1264" s="2" t="s">
        <v>413</v>
      </c>
      <c r="F1264" s="2" t="s">
        <v>39</v>
      </c>
      <c r="J1264" s="2" t="s">
        <v>541</v>
      </c>
      <c r="K1264" s="2" t="s">
        <v>542</v>
      </c>
      <c r="L1264" s="2">
        <v>11</v>
      </c>
      <c r="M1264" s="2" t="s">
        <v>553</v>
      </c>
      <c r="O1264" s="2" t="s">
        <v>524</v>
      </c>
      <c r="Y1264" s="2" t="s">
        <v>620</v>
      </c>
    </row>
    <row r="1265" spans="1:34" x14ac:dyDescent="0.25">
      <c r="A1265" s="2" t="s">
        <v>314</v>
      </c>
      <c r="B1265" s="2" t="s">
        <v>540</v>
      </c>
      <c r="C1265" s="2" t="s">
        <v>408</v>
      </c>
      <c r="D1265" s="2" t="s">
        <v>410</v>
      </c>
      <c r="E1265" s="2" t="s">
        <v>413</v>
      </c>
      <c r="F1265" s="2" t="s">
        <v>39</v>
      </c>
      <c r="J1265" s="2" t="s">
        <v>541</v>
      </c>
      <c r="K1265" s="2" t="s">
        <v>542</v>
      </c>
      <c r="L1265" s="2">
        <v>12</v>
      </c>
      <c r="M1265" s="2" t="s">
        <v>554</v>
      </c>
      <c r="O1265" s="2" t="s">
        <v>524</v>
      </c>
      <c r="Y1265" s="2" t="s">
        <v>620</v>
      </c>
    </row>
    <row r="1266" spans="1:34" x14ac:dyDescent="0.25">
      <c r="A1266" s="2" t="s">
        <v>314</v>
      </c>
      <c r="B1266" s="2" t="s">
        <v>555</v>
      </c>
      <c r="C1266" s="2" t="s">
        <v>408</v>
      </c>
      <c r="D1266" s="2" t="s">
        <v>410</v>
      </c>
      <c r="E1266" s="2" t="s">
        <v>413</v>
      </c>
      <c r="F1266" s="2" t="s">
        <v>39</v>
      </c>
      <c r="J1266" s="2" t="s">
        <v>556</v>
      </c>
      <c r="O1266" s="2" t="s">
        <v>524</v>
      </c>
      <c r="Y1266" s="2" t="s">
        <v>620</v>
      </c>
      <c r="AB1266" s="2">
        <v>1</v>
      </c>
    </row>
    <row r="1267" spans="1:34" x14ac:dyDescent="0.25">
      <c r="A1267" s="2" t="s">
        <v>314</v>
      </c>
      <c r="B1267" s="2" t="s">
        <v>557</v>
      </c>
      <c r="C1267" s="2" t="s">
        <v>408</v>
      </c>
      <c r="D1267" s="2" t="s">
        <v>410</v>
      </c>
      <c r="E1267" s="2" t="s">
        <v>413</v>
      </c>
      <c r="F1267" s="2" t="s">
        <v>39</v>
      </c>
      <c r="J1267" s="2" t="s">
        <v>558</v>
      </c>
      <c r="O1267" s="2" t="s">
        <v>524</v>
      </c>
      <c r="Y1267" s="2" t="s">
        <v>620</v>
      </c>
      <c r="AC1267" s="2">
        <f>COUNTIFS($B:$B,"BLOCK_LOAD_Q",$A:$A,$A1267,$C:$C,$C1267,$E:$E,$E1267,$F:$F,$F1267,$N:$N, "&lt;&gt;")</f>
        <v>0</v>
      </c>
      <c r="AD1267" s="2">
        <f>COUNTIFS($B:$B,"BLOCK_TRUST_Q",$A:$A,$A1267,$C:$C,$C1267,$E:$E,$E1267,$F:$F,$F1267,$N:$N, "&lt;&gt;")</f>
        <v>0</v>
      </c>
      <c r="AE1267" s="2" t="str">
        <f>IFERROR(AVERAGEIFS($P:$P,$B:$B,"BLOCK_LOAD_Q",$A:$A,$A1267,$C:$C,$C1267,$E:$E,$E1267,$F:$F,$F1267,$P:$P,"&gt;0"),"")</f>
        <v/>
      </c>
      <c r="AF1267" s="2" t="str">
        <f>IFERROR(AVERAGEIFS($P:$P,$B:$B,"BLOCK_TRUST_Q",$A:$A,$A1267,$C:$C,$C1267,$E:$E,$E1267,$F:$F,$F1267,$P:$P,"&gt;0"),"")</f>
        <v/>
      </c>
      <c r="AG1267" s="2">
        <f>5-AC1267</f>
        <v>5</v>
      </c>
      <c r="AH1267" s="2">
        <f>12-AD1267</f>
        <v>12</v>
      </c>
    </row>
    <row r="1268" spans="1:34" x14ac:dyDescent="0.25">
      <c r="A1268" s="2" t="s">
        <v>314</v>
      </c>
      <c r="B1268" s="2" t="s">
        <v>402</v>
      </c>
      <c r="C1268" s="2" t="s">
        <v>408</v>
      </c>
      <c r="D1268" s="2" t="s">
        <v>410</v>
      </c>
      <c r="E1268" s="2" t="s">
        <v>414</v>
      </c>
      <c r="F1268" s="2" t="s">
        <v>40</v>
      </c>
      <c r="G1268" s="2" t="s">
        <v>415</v>
      </c>
      <c r="H1268" s="2" t="s">
        <v>354</v>
      </c>
      <c r="S1268" s="2" t="s">
        <v>59</v>
      </c>
      <c r="U1268" s="2" t="s">
        <v>59</v>
      </c>
      <c r="W1268" s="2" t="s">
        <v>58</v>
      </c>
    </row>
    <row r="1269" spans="1:34" x14ac:dyDescent="0.25">
      <c r="A1269" s="2" t="s">
        <v>314</v>
      </c>
      <c r="B1269" s="2" t="s">
        <v>402</v>
      </c>
      <c r="C1269" s="2" t="s">
        <v>408</v>
      </c>
      <c r="D1269" s="2" t="s">
        <v>410</v>
      </c>
      <c r="E1269" s="2" t="s">
        <v>414</v>
      </c>
      <c r="F1269" s="2" t="s">
        <v>40</v>
      </c>
      <c r="G1269" s="2" t="s">
        <v>416</v>
      </c>
      <c r="H1269" s="2" t="s">
        <v>559</v>
      </c>
      <c r="S1269" s="2" t="s">
        <v>57</v>
      </c>
      <c r="U1269" s="2" t="s">
        <v>57</v>
      </c>
      <c r="W1269" s="2" t="s">
        <v>58</v>
      </c>
    </row>
    <row r="1270" spans="1:34" x14ac:dyDescent="0.25">
      <c r="A1270" s="2" t="s">
        <v>314</v>
      </c>
      <c r="B1270" s="2" t="s">
        <v>402</v>
      </c>
      <c r="C1270" s="2" t="s">
        <v>408</v>
      </c>
      <c r="D1270" s="2" t="s">
        <v>410</v>
      </c>
      <c r="E1270" s="2" t="s">
        <v>414</v>
      </c>
      <c r="F1270" s="2" t="s">
        <v>40</v>
      </c>
      <c r="G1270" s="2" t="s">
        <v>417</v>
      </c>
      <c r="H1270" s="2" t="s">
        <v>370</v>
      </c>
      <c r="S1270" s="2" t="s">
        <v>60</v>
      </c>
      <c r="U1270" s="2" t="s">
        <v>58</v>
      </c>
      <c r="W1270" s="2" t="s">
        <v>59</v>
      </c>
    </row>
    <row r="1271" spans="1:34" x14ac:dyDescent="0.25">
      <c r="A1271" s="2" t="s">
        <v>314</v>
      </c>
      <c r="B1271" s="2" t="s">
        <v>402</v>
      </c>
      <c r="C1271" s="2" t="s">
        <v>408</v>
      </c>
      <c r="D1271" s="2" t="s">
        <v>410</v>
      </c>
      <c r="E1271" s="2" t="s">
        <v>414</v>
      </c>
      <c r="F1271" s="2" t="s">
        <v>40</v>
      </c>
      <c r="G1271" s="2" t="s">
        <v>418</v>
      </c>
      <c r="H1271" s="2" t="s">
        <v>560</v>
      </c>
      <c r="S1271" s="2" t="s">
        <v>57</v>
      </c>
      <c r="U1271" s="2" t="s">
        <v>58</v>
      </c>
      <c r="W1271" s="2" t="s">
        <v>60</v>
      </c>
    </row>
    <row r="1272" spans="1:34" x14ac:dyDescent="0.25">
      <c r="A1272" s="2" t="s">
        <v>314</v>
      </c>
      <c r="B1272" s="2" t="s">
        <v>531</v>
      </c>
      <c r="C1272" s="2" t="s">
        <v>408</v>
      </c>
      <c r="D1272" s="2" t="s">
        <v>410</v>
      </c>
      <c r="E1272" s="2" t="s">
        <v>414</v>
      </c>
      <c r="F1272" s="2" t="s">
        <v>40</v>
      </c>
      <c r="J1272" s="2" t="s">
        <v>532</v>
      </c>
      <c r="K1272" s="2" t="s">
        <v>533</v>
      </c>
      <c r="L1272" s="2">
        <v>1</v>
      </c>
      <c r="M1272" s="2" t="s">
        <v>534</v>
      </c>
      <c r="O1272" s="2" t="s">
        <v>524</v>
      </c>
      <c r="Y1272" s="2" t="s">
        <v>621</v>
      </c>
    </row>
    <row r="1273" spans="1:34" x14ac:dyDescent="0.25">
      <c r="A1273" s="2" t="s">
        <v>314</v>
      </c>
      <c r="B1273" s="2" t="s">
        <v>531</v>
      </c>
      <c r="C1273" s="2" t="s">
        <v>408</v>
      </c>
      <c r="D1273" s="2" t="s">
        <v>410</v>
      </c>
      <c r="E1273" s="2" t="s">
        <v>414</v>
      </c>
      <c r="F1273" s="2" t="s">
        <v>40</v>
      </c>
      <c r="J1273" s="2" t="s">
        <v>532</v>
      </c>
      <c r="K1273" s="2" t="s">
        <v>533</v>
      </c>
      <c r="L1273" s="2">
        <v>2</v>
      </c>
      <c r="M1273" s="2" t="s">
        <v>536</v>
      </c>
      <c r="O1273" s="2" t="s">
        <v>524</v>
      </c>
      <c r="Y1273" s="2" t="s">
        <v>621</v>
      </c>
    </row>
    <row r="1274" spans="1:34" x14ac:dyDescent="0.25">
      <c r="A1274" s="2" t="s">
        <v>314</v>
      </c>
      <c r="B1274" s="2" t="s">
        <v>531</v>
      </c>
      <c r="C1274" s="2" t="s">
        <v>408</v>
      </c>
      <c r="D1274" s="2" t="s">
        <v>410</v>
      </c>
      <c r="E1274" s="2" t="s">
        <v>414</v>
      </c>
      <c r="F1274" s="2" t="s">
        <v>40</v>
      </c>
      <c r="J1274" s="2" t="s">
        <v>532</v>
      </c>
      <c r="K1274" s="2" t="s">
        <v>533</v>
      </c>
      <c r="L1274" s="2">
        <v>3</v>
      </c>
      <c r="M1274" s="2" t="s">
        <v>537</v>
      </c>
      <c r="O1274" s="2" t="s">
        <v>524</v>
      </c>
      <c r="Y1274" s="2" t="s">
        <v>621</v>
      </c>
    </row>
    <row r="1275" spans="1:34" x14ac:dyDescent="0.25">
      <c r="A1275" s="2" t="s">
        <v>314</v>
      </c>
      <c r="B1275" s="2" t="s">
        <v>531</v>
      </c>
      <c r="C1275" s="2" t="s">
        <v>408</v>
      </c>
      <c r="D1275" s="2" t="s">
        <v>410</v>
      </c>
      <c r="E1275" s="2" t="s">
        <v>414</v>
      </c>
      <c r="F1275" s="2" t="s">
        <v>40</v>
      </c>
      <c r="J1275" s="2" t="s">
        <v>532</v>
      </c>
      <c r="K1275" s="2" t="s">
        <v>533</v>
      </c>
      <c r="L1275" s="2">
        <v>4</v>
      </c>
      <c r="M1275" s="2" t="s">
        <v>538</v>
      </c>
      <c r="O1275" s="2" t="s">
        <v>524</v>
      </c>
      <c r="Y1275" s="2" t="s">
        <v>621</v>
      </c>
    </row>
    <row r="1276" spans="1:34" x14ac:dyDescent="0.25">
      <c r="A1276" s="2" t="s">
        <v>314</v>
      </c>
      <c r="B1276" s="2" t="s">
        <v>531</v>
      </c>
      <c r="C1276" s="2" t="s">
        <v>408</v>
      </c>
      <c r="D1276" s="2" t="s">
        <v>410</v>
      </c>
      <c r="E1276" s="2" t="s">
        <v>414</v>
      </c>
      <c r="F1276" s="2" t="s">
        <v>40</v>
      </c>
      <c r="J1276" s="2" t="s">
        <v>532</v>
      </c>
      <c r="K1276" s="2" t="s">
        <v>533</v>
      </c>
      <c r="L1276" s="2">
        <v>5</v>
      </c>
      <c r="M1276" s="2" t="s">
        <v>539</v>
      </c>
      <c r="O1276" s="2" t="s">
        <v>524</v>
      </c>
      <c r="Y1276" s="2" t="s">
        <v>621</v>
      </c>
    </row>
    <row r="1277" spans="1:34" x14ac:dyDescent="0.25">
      <c r="A1277" s="2" t="s">
        <v>314</v>
      </c>
      <c r="B1277" s="2" t="s">
        <v>540</v>
      </c>
      <c r="C1277" s="2" t="s">
        <v>408</v>
      </c>
      <c r="D1277" s="2" t="s">
        <v>410</v>
      </c>
      <c r="E1277" s="2" t="s">
        <v>414</v>
      </c>
      <c r="F1277" s="2" t="s">
        <v>40</v>
      </c>
      <c r="J1277" s="2" t="s">
        <v>541</v>
      </c>
      <c r="K1277" s="2" t="s">
        <v>542</v>
      </c>
      <c r="L1277" s="2">
        <v>1</v>
      </c>
      <c r="M1277" s="2" t="s">
        <v>543</v>
      </c>
      <c r="O1277" s="2" t="s">
        <v>524</v>
      </c>
      <c r="Y1277" s="2" t="s">
        <v>621</v>
      </c>
    </row>
    <row r="1278" spans="1:34" x14ac:dyDescent="0.25">
      <c r="A1278" s="2" t="s">
        <v>314</v>
      </c>
      <c r="B1278" s="2" t="s">
        <v>540</v>
      </c>
      <c r="C1278" s="2" t="s">
        <v>408</v>
      </c>
      <c r="D1278" s="2" t="s">
        <v>410</v>
      </c>
      <c r="E1278" s="2" t="s">
        <v>414</v>
      </c>
      <c r="F1278" s="2" t="s">
        <v>40</v>
      </c>
      <c r="J1278" s="2" t="s">
        <v>541</v>
      </c>
      <c r="K1278" s="2" t="s">
        <v>542</v>
      </c>
      <c r="L1278" s="2">
        <v>2</v>
      </c>
      <c r="M1278" s="2" t="s">
        <v>544</v>
      </c>
      <c r="O1278" s="2" t="s">
        <v>524</v>
      </c>
      <c r="Y1278" s="2" t="s">
        <v>621</v>
      </c>
    </row>
    <row r="1279" spans="1:34" x14ac:dyDescent="0.25">
      <c r="A1279" s="2" t="s">
        <v>314</v>
      </c>
      <c r="B1279" s="2" t="s">
        <v>540</v>
      </c>
      <c r="C1279" s="2" t="s">
        <v>408</v>
      </c>
      <c r="D1279" s="2" t="s">
        <v>410</v>
      </c>
      <c r="E1279" s="2" t="s">
        <v>414</v>
      </c>
      <c r="F1279" s="2" t="s">
        <v>40</v>
      </c>
      <c r="J1279" s="2" t="s">
        <v>541</v>
      </c>
      <c r="K1279" s="2" t="s">
        <v>542</v>
      </c>
      <c r="L1279" s="2">
        <v>3</v>
      </c>
      <c r="M1279" s="2" t="s">
        <v>545</v>
      </c>
      <c r="O1279" s="2" t="s">
        <v>524</v>
      </c>
      <c r="Y1279" s="2" t="s">
        <v>621</v>
      </c>
    </row>
    <row r="1280" spans="1:34" x14ac:dyDescent="0.25">
      <c r="A1280" s="2" t="s">
        <v>314</v>
      </c>
      <c r="B1280" s="2" t="s">
        <v>540</v>
      </c>
      <c r="C1280" s="2" t="s">
        <v>408</v>
      </c>
      <c r="D1280" s="2" t="s">
        <v>410</v>
      </c>
      <c r="E1280" s="2" t="s">
        <v>414</v>
      </c>
      <c r="F1280" s="2" t="s">
        <v>40</v>
      </c>
      <c r="J1280" s="2" t="s">
        <v>541</v>
      </c>
      <c r="K1280" s="2" t="s">
        <v>542</v>
      </c>
      <c r="L1280" s="2">
        <v>4</v>
      </c>
      <c r="M1280" s="2" t="s">
        <v>546</v>
      </c>
      <c r="O1280" s="2" t="s">
        <v>524</v>
      </c>
      <c r="Y1280" s="2" t="s">
        <v>621</v>
      </c>
    </row>
    <row r="1281" spans="1:34" x14ac:dyDescent="0.25">
      <c r="A1281" s="2" t="s">
        <v>314</v>
      </c>
      <c r="B1281" s="2" t="s">
        <v>540</v>
      </c>
      <c r="C1281" s="2" t="s">
        <v>408</v>
      </c>
      <c r="D1281" s="2" t="s">
        <v>410</v>
      </c>
      <c r="E1281" s="2" t="s">
        <v>414</v>
      </c>
      <c r="F1281" s="2" t="s">
        <v>40</v>
      </c>
      <c r="J1281" s="2" t="s">
        <v>541</v>
      </c>
      <c r="K1281" s="2" t="s">
        <v>542</v>
      </c>
      <c r="L1281" s="2">
        <v>5</v>
      </c>
      <c r="M1281" s="2" t="s">
        <v>547</v>
      </c>
      <c r="O1281" s="2" t="s">
        <v>524</v>
      </c>
      <c r="Y1281" s="2" t="s">
        <v>621</v>
      </c>
    </row>
    <row r="1282" spans="1:34" x14ac:dyDescent="0.25">
      <c r="A1282" s="2" t="s">
        <v>314</v>
      </c>
      <c r="B1282" s="2" t="s">
        <v>540</v>
      </c>
      <c r="C1282" s="2" t="s">
        <v>408</v>
      </c>
      <c r="D1282" s="2" t="s">
        <v>410</v>
      </c>
      <c r="E1282" s="2" t="s">
        <v>414</v>
      </c>
      <c r="F1282" s="2" t="s">
        <v>40</v>
      </c>
      <c r="J1282" s="2" t="s">
        <v>541</v>
      </c>
      <c r="K1282" s="2" t="s">
        <v>542</v>
      </c>
      <c r="L1282" s="2">
        <v>6</v>
      </c>
      <c r="M1282" s="2" t="s">
        <v>548</v>
      </c>
      <c r="O1282" s="2" t="s">
        <v>524</v>
      </c>
      <c r="Y1282" s="2" t="s">
        <v>621</v>
      </c>
    </row>
    <row r="1283" spans="1:34" x14ac:dyDescent="0.25">
      <c r="A1283" s="2" t="s">
        <v>314</v>
      </c>
      <c r="B1283" s="2" t="s">
        <v>540</v>
      </c>
      <c r="C1283" s="2" t="s">
        <v>408</v>
      </c>
      <c r="D1283" s="2" t="s">
        <v>410</v>
      </c>
      <c r="E1283" s="2" t="s">
        <v>414</v>
      </c>
      <c r="F1283" s="2" t="s">
        <v>40</v>
      </c>
      <c r="J1283" s="2" t="s">
        <v>541</v>
      </c>
      <c r="K1283" s="2" t="s">
        <v>542</v>
      </c>
      <c r="L1283" s="2">
        <v>7</v>
      </c>
      <c r="M1283" s="2" t="s">
        <v>549</v>
      </c>
      <c r="O1283" s="2" t="s">
        <v>524</v>
      </c>
      <c r="Y1283" s="2" t="s">
        <v>621</v>
      </c>
    </row>
    <row r="1284" spans="1:34" x14ac:dyDescent="0.25">
      <c r="A1284" s="2" t="s">
        <v>314</v>
      </c>
      <c r="B1284" s="2" t="s">
        <v>540</v>
      </c>
      <c r="C1284" s="2" t="s">
        <v>408</v>
      </c>
      <c r="D1284" s="2" t="s">
        <v>410</v>
      </c>
      <c r="E1284" s="2" t="s">
        <v>414</v>
      </c>
      <c r="F1284" s="2" t="s">
        <v>40</v>
      </c>
      <c r="J1284" s="2" t="s">
        <v>541</v>
      </c>
      <c r="K1284" s="2" t="s">
        <v>542</v>
      </c>
      <c r="L1284" s="2">
        <v>8</v>
      </c>
      <c r="M1284" s="2" t="s">
        <v>550</v>
      </c>
      <c r="O1284" s="2" t="s">
        <v>524</v>
      </c>
      <c r="Y1284" s="2" t="s">
        <v>621</v>
      </c>
    </row>
    <row r="1285" spans="1:34" x14ac:dyDescent="0.25">
      <c r="A1285" s="2" t="s">
        <v>314</v>
      </c>
      <c r="B1285" s="2" t="s">
        <v>540</v>
      </c>
      <c r="C1285" s="2" t="s">
        <v>408</v>
      </c>
      <c r="D1285" s="2" t="s">
        <v>410</v>
      </c>
      <c r="E1285" s="2" t="s">
        <v>414</v>
      </c>
      <c r="F1285" s="2" t="s">
        <v>40</v>
      </c>
      <c r="J1285" s="2" t="s">
        <v>541</v>
      </c>
      <c r="K1285" s="2" t="s">
        <v>542</v>
      </c>
      <c r="L1285" s="2">
        <v>9</v>
      </c>
      <c r="M1285" s="2" t="s">
        <v>551</v>
      </c>
      <c r="O1285" s="2" t="s">
        <v>524</v>
      </c>
      <c r="Y1285" s="2" t="s">
        <v>621</v>
      </c>
    </row>
    <row r="1286" spans="1:34" x14ac:dyDescent="0.25">
      <c r="A1286" s="2" t="s">
        <v>314</v>
      </c>
      <c r="B1286" s="2" t="s">
        <v>540</v>
      </c>
      <c r="C1286" s="2" t="s">
        <v>408</v>
      </c>
      <c r="D1286" s="2" t="s">
        <v>410</v>
      </c>
      <c r="E1286" s="2" t="s">
        <v>414</v>
      </c>
      <c r="F1286" s="2" t="s">
        <v>40</v>
      </c>
      <c r="J1286" s="2" t="s">
        <v>541</v>
      </c>
      <c r="K1286" s="2" t="s">
        <v>542</v>
      </c>
      <c r="L1286" s="2">
        <v>10</v>
      </c>
      <c r="M1286" s="2" t="s">
        <v>552</v>
      </c>
      <c r="O1286" s="2" t="s">
        <v>524</v>
      </c>
      <c r="Y1286" s="2" t="s">
        <v>621</v>
      </c>
    </row>
    <row r="1287" spans="1:34" x14ac:dyDescent="0.25">
      <c r="A1287" s="2" t="s">
        <v>314</v>
      </c>
      <c r="B1287" s="2" t="s">
        <v>540</v>
      </c>
      <c r="C1287" s="2" t="s">
        <v>408</v>
      </c>
      <c r="D1287" s="2" t="s">
        <v>410</v>
      </c>
      <c r="E1287" s="2" t="s">
        <v>414</v>
      </c>
      <c r="F1287" s="2" t="s">
        <v>40</v>
      </c>
      <c r="J1287" s="2" t="s">
        <v>541</v>
      </c>
      <c r="K1287" s="2" t="s">
        <v>542</v>
      </c>
      <c r="L1287" s="2">
        <v>11</v>
      </c>
      <c r="M1287" s="2" t="s">
        <v>553</v>
      </c>
      <c r="O1287" s="2" t="s">
        <v>524</v>
      </c>
      <c r="Y1287" s="2" t="s">
        <v>621</v>
      </c>
    </row>
    <row r="1288" spans="1:34" x14ac:dyDescent="0.25">
      <c r="A1288" s="2" t="s">
        <v>314</v>
      </c>
      <c r="B1288" s="2" t="s">
        <v>540</v>
      </c>
      <c r="C1288" s="2" t="s">
        <v>408</v>
      </c>
      <c r="D1288" s="2" t="s">
        <v>410</v>
      </c>
      <c r="E1288" s="2" t="s">
        <v>414</v>
      </c>
      <c r="F1288" s="2" t="s">
        <v>40</v>
      </c>
      <c r="J1288" s="2" t="s">
        <v>541</v>
      </c>
      <c r="K1288" s="2" t="s">
        <v>542</v>
      </c>
      <c r="L1288" s="2">
        <v>12</v>
      </c>
      <c r="M1288" s="2" t="s">
        <v>554</v>
      </c>
      <c r="O1288" s="2" t="s">
        <v>524</v>
      </c>
      <c r="Y1288" s="2" t="s">
        <v>621</v>
      </c>
    </row>
    <row r="1289" spans="1:34" x14ac:dyDescent="0.25">
      <c r="A1289" s="2" t="s">
        <v>314</v>
      </c>
      <c r="B1289" s="2" t="s">
        <v>555</v>
      </c>
      <c r="C1289" s="2" t="s">
        <v>408</v>
      </c>
      <c r="D1289" s="2" t="s">
        <v>410</v>
      </c>
      <c r="E1289" s="2" t="s">
        <v>414</v>
      </c>
      <c r="F1289" s="2" t="s">
        <v>40</v>
      </c>
      <c r="J1289" s="2" t="s">
        <v>556</v>
      </c>
      <c r="O1289" s="2" t="s">
        <v>524</v>
      </c>
      <c r="Y1289" s="2" t="s">
        <v>621</v>
      </c>
      <c r="AB1289" s="2">
        <v>2</v>
      </c>
    </row>
    <row r="1290" spans="1:34" x14ac:dyDescent="0.25">
      <c r="A1290" s="2" t="s">
        <v>314</v>
      </c>
      <c r="B1290" s="2" t="s">
        <v>557</v>
      </c>
      <c r="C1290" s="2" t="s">
        <v>408</v>
      </c>
      <c r="D1290" s="2" t="s">
        <v>410</v>
      </c>
      <c r="E1290" s="2" t="s">
        <v>414</v>
      </c>
      <c r="F1290" s="2" t="s">
        <v>40</v>
      </c>
      <c r="J1290" s="2" t="s">
        <v>558</v>
      </c>
      <c r="O1290" s="2" t="s">
        <v>524</v>
      </c>
      <c r="Y1290" s="2" t="s">
        <v>621</v>
      </c>
      <c r="AC1290" s="2">
        <f>COUNTIFS($B:$B,"BLOCK_LOAD_Q",$A:$A,$A1290,$C:$C,$C1290,$E:$E,$E1290,$F:$F,$F1290,$N:$N, "&lt;&gt;")</f>
        <v>0</v>
      </c>
      <c r="AD1290" s="2">
        <f>COUNTIFS($B:$B,"BLOCK_TRUST_Q",$A:$A,$A1290,$C:$C,$C1290,$E:$E,$E1290,$F:$F,$F1290,$N:$N, "&lt;&gt;")</f>
        <v>0</v>
      </c>
      <c r="AE1290" s="2" t="str">
        <f>IFERROR(AVERAGEIFS($P:$P,$B:$B,"BLOCK_LOAD_Q",$A:$A,$A1290,$C:$C,$C1290,$E:$E,$E1290,$F:$F,$F1290,$P:$P,"&gt;0"),"")</f>
        <v/>
      </c>
      <c r="AF1290" s="2" t="str">
        <f>IFERROR(AVERAGEIFS($P:$P,$B:$B,"BLOCK_TRUST_Q",$A:$A,$A1290,$C:$C,$C1290,$E:$E,$E1290,$F:$F,$F1290,$P:$P,"&gt;0"),"")</f>
        <v/>
      </c>
      <c r="AG1290" s="2">
        <f>5-AC1290</f>
        <v>5</v>
      </c>
      <c r="AH1290" s="2">
        <f>12-AD1290</f>
        <v>12</v>
      </c>
    </row>
    <row r="1291" spans="1:34" x14ac:dyDescent="0.25">
      <c r="A1291" s="2" t="s">
        <v>314</v>
      </c>
      <c r="B1291" s="2" t="s">
        <v>403</v>
      </c>
      <c r="C1291" s="2" t="s">
        <v>408</v>
      </c>
      <c r="D1291" s="2" t="s">
        <v>410</v>
      </c>
      <c r="Z1291" s="2" t="s">
        <v>445</v>
      </c>
    </row>
    <row r="1292" spans="1:34" x14ac:dyDescent="0.25">
      <c r="A1292" s="2" t="s">
        <v>314</v>
      </c>
      <c r="B1292" s="2" t="s">
        <v>402</v>
      </c>
      <c r="C1292" s="2" t="s">
        <v>409</v>
      </c>
      <c r="D1292" s="2" t="s">
        <v>411</v>
      </c>
      <c r="E1292" s="2" t="s">
        <v>413</v>
      </c>
      <c r="F1292" s="2" t="s">
        <v>39</v>
      </c>
      <c r="G1292" s="2" t="s">
        <v>415</v>
      </c>
      <c r="H1292" s="2" t="s">
        <v>349</v>
      </c>
      <c r="S1292" s="2" t="s">
        <v>58</v>
      </c>
      <c r="U1292" s="2" t="s">
        <v>60</v>
      </c>
      <c r="W1292" s="2" t="s">
        <v>58</v>
      </c>
    </row>
    <row r="1293" spans="1:34" x14ac:dyDescent="0.25">
      <c r="A1293" s="2" t="s">
        <v>314</v>
      </c>
      <c r="B1293" s="2" t="s">
        <v>402</v>
      </c>
      <c r="C1293" s="2" t="s">
        <v>409</v>
      </c>
      <c r="D1293" s="2" t="s">
        <v>411</v>
      </c>
      <c r="E1293" s="2" t="s">
        <v>413</v>
      </c>
      <c r="F1293" s="2" t="s">
        <v>39</v>
      </c>
      <c r="G1293" s="2" t="s">
        <v>416</v>
      </c>
      <c r="H1293" s="2" t="s">
        <v>565</v>
      </c>
      <c r="S1293" s="2" t="s">
        <v>59</v>
      </c>
      <c r="U1293" s="2" t="s">
        <v>60</v>
      </c>
      <c r="W1293" s="2" t="s">
        <v>60</v>
      </c>
    </row>
    <row r="1294" spans="1:34" x14ac:dyDescent="0.25">
      <c r="A1294" s="2" t="s">
        <v>314</v>
      </c>
      <c r="B1294" s="2" t="s">
        <v>402</v>
      </c>
      <c r="C1294" s="2" t="s">
        <v>409</v>
      </c>
      <c r="D1294" s="2" t="s">
        <v>411</v>
      </c>
      <c r="E1294" s="2" t="s">
        <v>413</v>
      </c>
      <c r="F1294" s="2" t="s">
        <v>39</v>
      </c>
      <c r="G1294" s="2" t="s">
        <v>417</v>
      </c>
      <c r="H1294" s="2" t="s">
        <v>361</v>
      </c>
      <c r="S1294" s="2" t="s">
        <v>60</v>
      </c>
      <c r="U1294" s="2" t="s">
        <v>60</v>
      </c>
      <c r="W1294" s="2" t="s">
        <v>60</v>
      </c>
    </row>
    <row r="1295" spans="1:34" x14ac:dyDescent="0.25">
      <c r="A1295" s="2" t="s">
        <v>314</v>
      </c>
      <c r="B1295" s="2" t="s">
        <v>402</v>
      </c>
      <c r="C1295" s="2" t="s">
        <v>409</v>
      </c>
      <c r="D1295" s="2" t="s">
        <v>411</v>
      </c>
      <c r="E1295" s="2" t="s">
        <v>413</v>
      </c>
      <c r="F1295" s="2" t="s">
        <v>39</v>
      </c>
      <c r="G1295" s="2" t="s">
        <v>418</v>
      </c>
      <c r="H1295" s="2" t="s">
        <v>353</v>
      </c>
      <c r="S1295" s="2" t="s">
        <v>58</v>
      </c>
      <c r="U1295" s="2" t="s">
        <v>59</v>
      </c>
      <c r="W1295" s="2" t="s">
        <v>58</v>
      </c>
    </row>
    <row r="1296" spans="1:34" x14ac:dyDescent="0.25">
      <c r="A1296" s="2" t="s">
        <v>314</v>
      </c>
      <c r="B1296" s="2" t="s">
        <v>402</v>
      </c>
      <c r="C1296" s="2" t="s">
        <v>409</v>
      </c>
      <c r="D1296" s="2" t="s">
        <v>411</v>
      </c>
      <c r="E1296" s="2" t="s">
        <v>413</v>
      </c>
      <c r="F1296" s="2" t="s">
        <v>39</v>
      </c>
      <c r="G1296" s="2" t="s">
        <v>419</v>
      </c>
      <c r="H1296" s="2" t="s">
        <v>371</v>
      </c>
      <c r="S1296" s="2" t="s">
        <v>60</v>
      </c>
      <c r="U1296" s="2" t="s">
        <v>59</v>
      </c>
      <c r="W1296" s="2" t="s">
        <v>57</v>
      </c>
    </row>
    <row r="1297" spans="1:25" x14ac:dyDescent="0.25">
      <c r="A1297" s="2" t="s">
        <v>314</v>
      </c>
      <c r="B1297" s="2" t="s">
        <v>531</v>
      </c>
      <c r="C1297" s="2" t="s">
        <v>409</v>
      </c>
      <c r="D1297" s="2" t="s">
        <v>411</v>
      </c>
      <c r="E1297" s="2" t="s">
        <v>413</v>
      </c>
      <c r="F1297" s="2" t="s">
        <v>39</v>
      </c>
      <c r="J1297" s="2" t="s">
        <v>532</v>
      </c>
      <c r="K1297" s="2" t="s">
        <v>533</v>
      </c>
      <c r="L1297" s="2">
        <v>1</v>
      </c>
      <c r="M1297" s="2" t="s">
        <v>534</v>
      </c>
      <c r="O1297" s="2" t="s">
        <v>524</v>
      </c>
      <c r="Y1297" s="2" t="s">
        <v>622</v>
      </c>
    </row>
    <row r="1298" spans="1:25" x14ac:dyDescent="0.25">
      <c r="A1298" s="2" t="s">
        <v>314</v>
      </c>
      <c r="B1298" s="2" t="s">
        <v>531</v>
      </c>
      <c r="C1298" s="2" t="s">
        <v>409</v>
      </c>
      <c r="D1298" s="2" t="s">
        <v>411</v>
      </c>
      <c r="E1298" s="2" t="s">
        <v>413</v>
      </c>
      <c r="F1298" s="2" t="s">
        <v>39</v>
      </c>
      <c r="J1298" s="2" t="s">
        <v>532</v>
      </c>
      <c r="K1298" s="2" t="s">
        <v>533</v>
      </c>
      <c r="L1298" s="2">
        <v>2</v>
      </c>
      <c r="M1298" s="2" t="s">
        <v>536</v>
      </c>
      <c r="O1298" s="2" t="s">
        <v>524</v>
      </c>
      <c r="Y1298" s="2" t="s">
        <v>622</v>
      </c>
    </row>
    <row r="1299" spans="1:25" x14ac:dyDescent="0.25">
      <c r="A1299" s="2" t="s">
        <v>314</v>
      </c>
      <c r="B1299" s="2" t="s">
        <v>531</v>
      </c>
      <c r="C1299" s="2" t="s">
        <v>409</v>
      </c>
      <c r="D1299" s="2" t="s">
        <v>411</v>
      </c>
      <c r="E1299" s="2" t="s">
        <v>413</v>
      </c>
      <c r="F1299" s="2" t="s">
        <v>39</v>
      </c>
      <c r="J1299" s="2" t="s">
        <v>532</v>
      </c>
      <c r="K1299" s="2" t="s">
        <v>533</v>
      </c>
      <c r="L1299" s="2">
        <v>3</v>
      </c>
      <c r="M1299" s="2" t="s">
        <v>537</v>
      </c>
      <c r="O1299" s="2" t="s">
        <v>524</v>
      </c>
      <c r="Y1299" s="2" t="s">
        <v>622</v>
      </c>
    </row>
    <row r="1300" spans="1:25" x14ac:dyDescent="0.25">
      <c r="A1300" s="2" t="s">
        <v>314</v>
      </c>
      <c r="B1300" s="2" t="s">
        <v>531</v>
      </c>
      <c r="C1300" s="2" t="s">
        <v>409</v>
      </c>
      <c r="D1300" s="2" t="s">
        <v>411</v>
      </c>
      <c r="E1300" s="2" t="s">
        <v>413</v>
      </c>
      <c r="F1300" s="2" t="s">
        <v>39</v>
      </c>
      <c r="J1300" s="2" t="s">
        <v>532</v>
      </c>
      <c r="K1300" s="2" t="s">
        <v>533</v>
      </c>
      <c r="L1300" s="2">
        <v>4</v>
      </c>
      <c r="M1300" s="2" t="s">
        <v>538</v>
      </c>
      <c r="O1300" s="2" t="s">
        <v>524</v>
      </c>
      <c r="Y1300" s="2" t="s">
        <v>622</v>
      </c>
    </row>
    <row r="1301" spans="1:25" x14ac:dyDescent="0.25">
      <c r="A1301" s="2" t="s">
        <v>314</v>
      </c>
      <c r="B1301" s="2" t="s">
        <v>531</v>
      </c>
      <c r="C1301" s="2" t="s">
        <v>409</v>
      </c>
      <c r="D1301" s="2" t="s">
        <v>411</v>
      </c>
      <c r="E1301" s="2" t="s">
        <v>413</v>
      </c>
      <c r="F1301" s="2" t="s">
        <v>39</v>
      </c>
      <c r="J1301" s="2" t="s">
        <v>532</v>
      </c>
      <c r="K1301" s="2" t="s">
        <v>533</v>
      </c>
      <c r="L1301" s="2">
        <v>5</v>
      </c>
      <c r="M1301" s="2" t="s">
        <v>539</v>
      </c>
      <c r="O1301" s="2" t="s">
        <v>524</v>
      </c>
      <c r="Y1301" s="2" t="s">
        <v>622</v>
      </c>
    </row>
    <row r="1302" spans="1:25" x14ac:dyDescent="0.25">
      <c r="A1302" s="2" t="s">
        <v>314</v>
      </c>
      <c r="B1302" s="2" t="s">
        <v>540</v>
      </c>
      <c r="C1302" s="2" t="s">
        <v>409</v>
      </c>
      <c r="D1302" s="2" t="s">
        <v>411</v>
      </c>
      <c r="E1302" s="2" t="s">
        <v>413</v>
      </c>
      <c r="F1302" s="2" t="s">
        <v>39</v>
      </c>
      <c r="J1302" s="2" t="s">
        <v>541</v>
      </c>
      <c r="K1302" s="2" t="s">
        <v>542</v>
      </c>
      <c r="L1302" s="2">
        <v>1</v>
      </c>
      <c r="M1302" s="2" t="s">
        <v>543</v>
      </c>
      <c r="O1302" s="2" t="s">
        <v>524</v>
      </c>
      <c r="Y1302" s="2" t="s">
        <v>622</v>
      </c>
    </row>
    <row r="1303" spans="1:25" x14ac:dyDescent="0.25">
      <c r="A1303" s="2" t="s">
        <v>314</v>
      </c>
      <c r="B1303" s="2" t="s">
        <v>540</v>
      </c>
      <c r="C1303" s="2" t="s">
        <v>409</v>
      </c>
      <c r="D1303" s="2" t="s">
        <v>411</v>
      </c>
      <c r="E1303" s="2" t="s">
        <v>413</v>
      </c>
      <c r="F1303" s="2" t="s">
        <v>39</v>
      </c>
      <c r="J1303" s="2" t="s">
        <v>541</v>
      </c>
      <c r="K1303" s="2" t="s">
        <v>542</v>
      </c>
      <c r="L1303" s="2">
        <v>2</v>
      </c>
      <c r="M1303" s="2" t="s">
        <v>544</v>
      </c>
      <c r="O1303" s="2" t="s">
        <v>524</v>
      </c>
      <c r="Y1303" s="2" t="s">
        <v>622</v>
      </c>
    </row>
    <row r="1304" spans="1:25" x14ac:dyDescent="0.25">
      <c r="A1304" s="2" t="s">
        <v>314</v>
      </c>
      <c r="B1304" s="2" t="s">
        <v>540</v>
      </c>
      <c r="C1304" s="2" t="s">
        <v>409</v>
      </c>
      <c r="D1304" s="2" t="s">
        <v>411</v>
      </c>
      <c r="E1304" s="2" t="s">
        <v>413</v>
      </c>
      <c r="F1304" s="2" t="s">
        <v>39</v>
      </c>
      <c r="J1304" s="2" t="s">
        <v>541</v>
      </c>
      <c r="K1304" s="2" t="s">
        <v>542</v>
      </c>
      <c r="L1304" s="2">
        <v>3</v>
      </c>
      <c r="M1304" s="2" t="s">
        <v>545</v>
      </c>
      <c r="O1304" s="2" t="s">
        <v>524</v>
      </c>
      <c r="Y1304" s="2" t="s">
        <v>622</v>
      </c>
    </row>
    <row r="1305" spans="1:25" x14ac:dyDescent="0.25">
      <c r="A1305" s="2" t="s">
        <v>314</v>
      </c>
      <c r="B1305" s="2" t="s">
        <v>540</v>
      </c>
      <c r="C1305" s="2" t="s">
        <v>409</v>
      </c>
      <c r="D1305" s="2" t="s">
        <v>411</v>
      </c>
      <c r="E1305" s="2" t="s">
        <v>413</v>
      </c>
      <c r="F1305" s="2" t="s">
        <v>39</v>
      </c>
      <c r="J1305" s="2" t="s">
        <v>541</v>
      </c>
      <c r="K1305" s="2" t="s">
        <v>542</v>
      </c>
      <c r="L1305" s="2">
        <v>4</v>
      </c>
      <c r="M1305" s="2" t="s">
        <v>546</v>
      </c>
      <c r="O1305" s="2" t="s">
        <v>524</v>
      </c>
      <c r="Y1305" s="2" t="s">
        <v>622</v>
      </c>
    </row>
    <row r="1306" spans="1:25" x14ac:dyDescent="0.25">
      <c r="A1306" s="2" t="s">
        <v>314</v>
      </c>
      <c r="B1306" s="2" t="s">
        <v>540</v>
      </c>
      <c r="C1306" s="2" t="s">
        <v>409</v>
      </c>
      <c r="D1306" s="2" t="s">
        <v>411</v>
      </c>
      <c r="E1306" s="2" t="s">
        <v>413</v>
      </c>
      <c r="F1306" s="2" t="s">
        <v>39</v>
      </c>
      <c r="J1306" s="2" t="s">
        <v>541</v>
      </c>
      <c r="K1306" s="2" t="s">
        <v>542</v>
      </c>
      <c r="L1306" s="2">
        <v>5</v>
      </c>
      <c r="M1306" s="2" t="s">
        <v>547</v>
      </c>
      <c r="O1306" s="2" t="s">
        <v>524</v>
      </c>
      <c r="Y1306" s="2" t="s">
        <v>622</v>
      </c>
    </row>
    <row r="1307" spans="1:25" x14ac:dyDescent="0.25">
      <c r="A1307" s="2" t="s">
        <v>314</v>
      </c>
      <c r="B1307" s="2" t="s">
        <v>540</v>
      </c>
      <c r="C1307" s="2" t="s">
        <v>409</v>
      </c>
      <c r="D1307" s="2" t="s">
        <v>411</v>
      </c>
      <c r="E1307" s="2" t="s">
        <v>413</v>
      </c>
      <c r="F1307" s="2" t="s">
        <v>39</v>
      </c>
      <c r="J1307" s="2" t="s">
        <v>541</v>
      </c>
      <c r="K1307" s="2" t="s">
        <v>542</v>
      </c>
      <c r="L1307" s="2">
        <v>6</v>
      </c>
      <c r="M1307" s="2" t="s">
        <v>548</v>
      </c>
      <c r="O1307" s="2" t="s">
        <v>524</v>
      </c>
      <c r="Y1307" s="2" t="s">
        <v>622</v>
      </c>
    </row>
    <row r="1308" spans="1:25" x14ac:dyDescent="0.25">
      <c r="A1308" s="2" t="s">
        <v>314</v>
      </c>
      <c r="B1308" s="2" t="s">
        <v>540</v>
      </c>
      <c r="C1308" s="2" t="s">
        <v>409</v>
      </c>
      <c r="D1308" s="2" t="s">
        <v>411</v>
      </c>
      <c r="E1308" s="2" t="s">
        <v>413</v>
      </c>
      <c r="F1308" s="2" t="s">
        <v>39</v>
      </c>
      <c r="J1308" s="2" t="s">
        <v>541</v>
      </c>
      <c r="K1308" s="2" t="s">
        <v>542</v>
      </c>
      <c r="L1308" s="2">
        <v>7</v>
      </c>
      <c r="M1308" s="2" t="s">
        <v>549</v>
      </c>
      <c r="O1308" s="2" t="s">
        <v>524</v>
      </c>
      <c r="Y1308" s="2" t="s">
        <v>622</v>
      </c>
    </row>
    <row r="1309" spans="1:25" x14ac:dyDescent="0.25">
      <c r="A1309" s="2" t="s">
        <v>314</v>
      </c>
      <c r="B1309" s="2" t="s">
        <v>540</v>
      </c>
      <c r="C1309" s="2" t="s">
        <v>409</v>
      </c>
      <c r="D1309" s="2" t="s">
        <v>411</v>
      </c>
      <c r="E1309" s="2" t="s">
        <v>413</v>
      </c>
      <c r="F1309" s="2" t="s">
        <v>39</v>
      </c>
      <c r="J1309" s="2" t="s">
        <v>541</v>
      </c>
      <c r="K1309" s="2" t="s">
        <v>542</v>
      </c>
      <c r="L1309" s="2">
        <v>8</v>
      </c>
      <c r="M1309" s="2" t="s">
        <v>550</v>
      </c>
      <c r="O1309" s="2" t="s">
        <v>524</v>
      </c>
      <c r="Y1309" s="2" t="s">
        <v>622</v>
      </c>
    </row>
    <row r="1310" spans="1:25" x14ac:dyDescent="0.25">
      <c r="A1310" s="2" t="s">
        <v>314</v>
      </c>
      <c r="B1310" s="2" t="s">
        <v>540</v>
      </c>
      <c r="C1310" s="2" t="s">
        <v>409</v>
      </c>
      <c r="D1310" s="2" t="s">
        <v>411</v>
      </c>
      <c r="E1310" s="2" t="s">
        <v>413</v>
      </c>
      <c r="F1310" s="2" t="s">
        <v>39</v>
      </c>
      <c r="J1310" s="2" t="s">
        <v>541</v>
      </c>
      <c r="K1310" s="2" t="s">
        <v>542</v>
      </c>
      <c r="L1310" s="2">
        <v>9</v>
      </c>
      <c r="M1310" s="2" t="s">
        <v>551</v>
      </c>
      <c r="O1310" s="2" t="s">
        <v>524</v>
      </c>
      <c r="Y1310" s="2" t="s">
        <v>622</v>
      </c>
    </row>
    <row r="1311" spans="1:25" x14ac:dyDescent="0.25">
      <c r="A1311" s="2" t="s">
        <v>314</v>
      </c>
      <c r="B1311" s="2" t="s">
        <v>540</v>
      </c>
      <c r="C1311" s="2" t="s">
        <v>409</v>
      </c>
      <c r="D1311" s="2" t="s">
        <v>411</v>
      </c>
      <c r="E1311" s="2" t="s">
        <v>413</v>
      </c>
      <c r="F1311" s="2" t="s">
        <v>39</v>
      </c>
      <c r="J1311" s="2" t="s">
        <v>541</v>
      </c>
      <c r="K1311" s="2" t="s">
        <v>542</v>
      </c>
      <c r="L1311" s="2">
        <v>10</v>
      </c>
      <c r="M1311" s="2" t="s">
        <v>552</v>
      </c>
      <c r="O1311" s="2" t="s">
        <v>524</v>
      </c>
      <c r="Y1311" s="2" t="s">
        <v>622</v>
      </c>
    </row>
    <row r="1312" spans="1:25" x14ac:dyDescent="0.25">
      <c r="A1312" s="2" t="s">
        <v>314</v>
      </c>
      <c r="B1312" s="2" t="s">
        <v>540</v>
      </c>
      <c r="C1312" s="2" t="s">
        <v>409</v>
      </c>
      <c r="D1312" s="2" t="s">
        <v>411</v>
      </c>
      <c r="E1312" s="2" t="s">
        <v>413</v>
      </c>
      <c r="F1312" s="2" t="s">
        <v>39</v>
      </c>
      <c r="J1312" s="2" t="s">
        <v>541</v>
      </c>
      <c r="K1312" s="2" t="s">
        <v>542</v>
      </c>
      <c r="L1312" s="2">
        <v>11</v>
      </c>
      <c r="M1312" s="2" t="s">
        <v>553</v>
      </c>
      <c r="O1312" s="2" t="s">
        <v>524</v>
      </c>
      <c r="Y1312" s="2" t="s">
        <v>622</v>
      </c>
    </row>
    <row r="1313" spans="1:34" x14ac:dyDescent="0.25">
      <c r="A1313" s="2" t="s">
        <v>314</v>
      </c>
      <c r="B1313" s="2" t="s">
        <v>540</v>
      </c>
      <c r="C1313" s="2" t="s">
        <v>409</v>
      </c>
      <c r="D1313" s="2" t="s">
        <v>411</v>
      </c>
      <c r="E1313" s="2" t="s">
        <v>413</v>
      </c>
      <c r="F1313" s="2" t="s">
        <v>39</v>
      </c>
      <c r="J1313" s="2" t="s">
        <v>541</v>
      </c>
      <c r="K1313" s="2" t="s">
        <v>542</v>
      </c>
      <c r="L1313" s="2">
        <v>12</v>
      </c>
      <c r="M1313" s="2" t="s">
        <v>554</v>
      </c>
      <c r="O1313" s="2" t="s">
        <v>524</v>
      </c>
      <c r="Y1313" s="2" t="s">
        <v>622</v>
      </c>
    </row>
    <row r="1314" spans="1:34" x14ac:dyDescent="0.25">
      <c r="A1314" s="2" t="s">
        <v>314</v>
      </c>
      <c r="B1314" s="2" t="s">
        <v>555</v>
      </c>
      <c r="C1314" s="2" t="s">
        <v>409</v>
      </c>
      <c r="D1314" s="2" t="s">
        <v>411</v>
      </c>
      <c r="E1314" s="2" t="s">
        <v>413</v>
      </c>
      <c r="F1314" s="2" t="s">
        <v>39</v>
      </c>
      <c r="J1314" s="2" t="s">
        <v>556</v>
      </c>
      <c r="O1314" s="2" t="s">
        <v>524</v>
      </c>
      <c r="Y1314" s="2" t="s">
        <v>622</v>
      </c>
      <c r="AB1314" s="2">
        <v>1</v>
      </c>
    </row>
    <row r="1315" spans="1:34" x14ac:dyDescent="0.25">
      <c r="A1315" s="2" t="s">
        <v>314</v>
      </c>
      <c r="B1315" s="2" t="s">
        <v>557</v>
      </c>
      <c r="C1315" s="2" t="s">
        <v>409</v>
      </c>
      <c r="D1315" s="2" t="s">
        <v>411</v>
      </c>
      <c r="E1315" s="2" t="s">
        <v>413</v>
      </c>
      <c r="F1315" s="2" t="s">
        <v>39</v>
      </c>
      <c r="J1315" s="2" t="s">
        <v>558</v>
      </c>
      <c r="O1315" s="2" t="s">
        <v>524</v>
      </c>
      <c r="Y1315" s="2" t="s">
        <v>622</v>
      </c>
      <c r="AC1315" s="2">
        <f>COUNTIFS($B:$B,"BLOCK_LOAD_Q",$A:$A,$A1315,$C:$C,$C1315,$E:$E,$E1315,$F:$F,$F1315,$N:$N, "&lt;&gt;")</f>
        <v>0</v>
      </c>
      <c r="AD1315" s="2">
        <f>COUNTIFS($B:$B,"BLOCK_TRUST_Q",$A:$A,$A1315,$C:$C,$C1315,$E:$E,$E1315,$F:$F,$F1315,$N:$N, "&lt;&gt;")</f>
        <v>0</v>
      </c>
      <c r="AE1315" s="2" t="str">
        <f>IFERROR(AVERAGEIFS($P:$P,$B:$B,"BLOCK_LOAD_Q",$A:$A,$A1315,$C:$C,$C1315,$E:$E,$E1315,$F:$F,$F1315,$P:$P,"&gt;0"),"")</f>
        <v/>
      </c>
      <c r="AF1315" s="2" t="str">
        <f>IFERROR(AVERAGEIFS($P:$P,$B:$B,"BLOCK_TRUST_Q",$A:$A,$A1315,$C:$C,$C1315,$E:$E,$E1315,$F:$F,$F1315,$P:$P,"&gt;0"),"")</f>
        <v/>
      </c>
      <c r="AG1315" s="2">
        <f>5-AC1315</f>
        <v>5</v>
      </c>
      <c r="AH1315" s="2">
        <f>12-AD1315</f>
        <v>12</v>
      </c>
    </row>
    <row r="1316" spans="1:34" x14ac:dyDescent="0.25">
      <c r="A1316" s="2" t="s">
        <v>314</v>
      </c>
      <c r="B1316" s="2" t="s">
        <v>402</v>
      </c>
      <c r="C1316" s="2" t="s">
        <v>409</v>
      </c>
      <c r="D1316" s="2" t="s">
        <v>411</v>
      </c>
      <c r="E1316" s="2" t="s">
        <v>414</v>
      </c>
      <c r="F1316" s="2" t="s">
        <v>40</v>
      </c>
      <c r="G1316" s="2" t="s">
        <v>415</v>
      </c>
      <c r="H1316" s="2" t="s">
        <v>357</v>
      </c>
      <c r="S1316" s="2" t="s">
        <v>59</v>
      </c>
      <c r="U1316" s="2" t="s">
        <v>60</v>
      </c>
      <c r="W1316" s="2" t="s">
        <v>57</v>
      </c>
    </row>
    <row r="1317" spans="1:34" x14ac:dyDescent="0.25">
      <c r="A1317" s="2" t="s">
        <v>314</v>
      </c>
      <c r="B1317" s="2" t="s">
        <v>402</v>
      </c>
      <c r="C1317" s="2" t="s">
        <v>409</v>
      </c>
      <c r="D1317" s="2" t="s">
        <v>411</v>
      </c>
      <c r="E1317" s="2" t="s">
        <v>414</v>
      </c>
      <c r="F1317" s="2" t="s">
        <v>40</v>
      </c>
      <c r="G1317" s="2" t="s">
        <v>416</v>
      </c>
      <c r="H1317" s="2" t="s">
        <v>348</v>
      </c>
      <c r="S1317" s="2" t="s">
        <v>58</v>
      </c>
      <c r="U1317" s="2" t="s">
        <v>59</v>
      </c>
      <c r="W1317" s="2" t="s">
        <v>59</v>
      </c>
    </row>
    <row r="1318" spans="1:34" x14ac:dyDescent="0.25">
      <c r="A1318" s="2" t="s">
        <v>314</v>
      </c>
      <c r="B1318" s="2" t="s">
        <v>402</v>
      </c>
      <c r="C1318" s="2" t="s">
        <v>409</v>
      </c>
      <c r="D1318" s="2" t="s">
        <v>411</v>
      </c>
      <c r="E1318" s="2" t="s">
        <v>414</v>
      </c>
      <c r="F1318" s="2" t="s">
        <v>40</v>
      </c>
      <c r="G1318" s="2" t="s">
        <v>417</v>
      </c>
      <c r="H1318" s="2" t="s">
        <v>562</v>
      </c>
      <c r="S1318" s="2" t="s">
        <v>59</v>
      </c>
      <c r="U1318" s="2" t="s">
        <v>57</v>
      </c>
      <c r="W1318" s="2" t="s">
        <v>57</v>
      </c>
    </row>
    <row r="1319" spans="1:34" x14ac:dyDescent="0.25">
      <c r="A1319" s="2" t="s">
        <v>314</v>
      </c>
      <c r="B1319" s="2" t="s">
        <v>402</v>
      </c>
      <c r="C1319" s="2" t="s">
        <v>409</v>
      </c>
      <c r="D1319" s="2" t="s">
        <v>411</v>
      </c>
      <c r="E1319" s="2" t="s">
        <v>414</v>
      </c>
      <c r="F1319" s="2" t="s">
        <v>40</v>
      </c>
      <c r="G1319" s="2" t="s">
        <v>418</v>
      </c>
      <c r="H1319" s="2" t="s">
        <v>563</v>
      </c>
      <c r="S1319" s="2" t="s">
        <v>57</v>
      </c>
      <c r="U1319" s="2" t="s">
        <v>60</v>
      </c>
      <c r="W1319" s="2" t="s">
        <v>60</v>
      </c>
    </row>
    <row r="1320" spans="1:34" x14ac:dyDescent="0.25">
      <c r="A1320" s="2" t="s">
        <v>314</v>
      </c>
      <c r="B1320" s="2" t="s">
        <v>531</v>
      </c>
      <c r="C1320" s="2" t="s">
        <v>409</v>
      </c>
      <c r="D1320" s="2" t="s">
        <v>411</v>
      </c>
      <c r="E1320" s="2" t="s">
        <v>414</v>
      </c>
      <c r="F1320" s="2" t="s">
        <v>40</v>
      </c>
      <c r="J1320" s="2" t="s">
        <v>532</v>
      </c>
      <c r="K1320" s="2" t="s">
        <v>533</v>
      </c>
      <c r="L1320" s="2">
        <v>1</v>
      </c>
      <c r="M1320" s="2" t="s">
        <v>534</v>
      </c>
      <c r="O1320" s="2" t="s">
        <v>524</v>
      </c>
      <c r="Y1320" s="2" t="s">
        <v>623</v>
      </c>
    </row>
    <row r="1321" spans="1:34" x14ac:dyDescent="0.25">
      <c r="A1321" s="2" t="s">
        <v>314</v>
      </c>
      <c r="B1321" s="2" t="s">
        <v>531</v>
      </c>
      <c r="C1321" s="2" t="s">
        <v>409</v>
      </c>
      <c r="D1321" s="2" t="s">
        <v>411</v>
      </c>
      <c r="E1321" s="2" t="s">
        <v>414</v>
      </c>
      <c r="F1321" s="2" t="s">
        <v>40</v>
      </c>
      <c r="J1321" s="2" t="s">
        <v>532</v>
      </c>
      <c r="K1321" s="2" t="s">
        <v>533</v>
      </c>
      <c r="L1321" s="2">
        <v>2</v>
      </c>
      <c r="M1321" s="2" t="s">
        <v>536</v>
      </c>
      <c r="O1321" s="2" t="s">
        <v>524</v>
      </c>
      <c r="Y1321" s="2" t="s">
        <v>623</v>
      </c>
    </row>
    <row r="1322" spans="1:34" x14ac:dyDescent="0.25">
      <c r="A1322" s="2" t="s">
        <v>314</v>
      </c>
      <c r="B1322" s="2" t="s">
        <v>531</v>
      </c>
      <c r="C1322" s="2" t="s">
        <v>409</v>
      </c>
      <c r="D1322" s="2" t="s">
        <v>411</v>
      </c>
      <c r="E1322" s="2" t="s">
        <v>414</v>
      </c>
      <c r="F1322" s="2" t="s">
        <v>40</v>
      </c>
      <c r="J1322" s="2" t="s">
        <v>532</v>
      </c>
      <c r="K1322" s="2" t="s">
        <v>533</v>
      </c>
      <c r="L1322" s="2">
        <v>3</v>
      </c>
      <c r="M1322" s="2" t="s">
        <v>537</v>
      </c>
      <c r="O1322" s="2" t="s">
        <v>524</v>
      </c>
      <c r="Y1322" s="2" t="s">
        <v>623</v>
      </c>
    </row>
    <row r="1323" spans="1:34" x14ac:dyDescent="0.25">
      <c r="A1323" s="2" t="s">
        <v>314</v>
      </c>
      <c r="B1323" s="2" t="s">
        <v>531</v>
      </c>
      <c r="C1323" s="2" t="s">
        <v>409</v>
      </c>
      <c r="D1323" s="2" t="s">
        <v>411</v>
      </c>
      <c r="E1323" s="2" t="s">
        <v>414</v>
      </c>
      <c r="F1323" s="2" t="s">
        <v>40</v>
      </c>
      <c r="J1323" s="2" t="s">
        <v>532</v>
      </c>
      <c r="K1323" s="2" t="s">
        <v>533</v>
      </c>
      <c r="L1323" s="2">
        <v>4</v>
      </c>
      <c r="M1323" s="2" t="s">
        <v>538</v>
      </c>
      <c r="O1323" s="2" t="s">
        <v>524</v>
      </c>
      <c r="Y1323" s="2" t="s">
        <v>623</v>
      </c>
    </row>
    <row r="1324" spans="1:34" x14ac:dyDescent="0.25">
      <c r="A1324" s="2" t="s">
        <v>314</v>
      </c>
      <c r="B1324" s="2" t="s">
        <v>531</v>
      </c>
      <c r="C1324" s="2" t="s">
        <v>409</v>
      </c>
      <c r="D1324" s="2" t="s">
        <v>411</v>
      </c>
      <c r="E1324" s="2" t="s">
        <v>414</v>
      </c>
      <c r="F1324" s="2" t="s">
        <v>40</v>
      </c>
      <c r="J1324" s="2" t="s">
        <v>532</v>
      </c>
      <c r="K1324" s="2" t="s">
        <v>533</v>
      </c>
      <c r="L1324" s="2">
        <v>5</v>
      </c>
      <c r="M1324" s="2" t="s">
        <v>539</v>
      </c>
      <c r="O1324" s="2" t="s">
        <v>524</v>
      </c>
      <c r="Y1324" s="2" t="s">
        <v>623</v>
      </c>
    </row>
    <row r="1325" spans="1:34" x14ac:dyDescent="0.25">
      <c r="A1325" s="2" t="s">
        <v>314</v>
      </c>
      <c r="B1325" s="2" t="s">
        <v>540</v>
      </c>
      <c r="C1325" s="2" t="s">
        <v>409</v>
      </c>
      <c r="D1325" s="2" t="s">
        <v>411</v>
      </c>
      <c r="E1325" s="2" t="s">
        <v>414</v>
      </c>
      <c r="F1325" s="2" t="s">
        <v>40</v>
      </c>
      <c r="J1325" s="2" t="s">
        <v>541</v>
      </c>
      <c r="K1325" s="2" t="s">
        <v>542</v>
      </c>
      <c r="L1325" s="2">
        <v>1</v>
      </c>
      <c r="M1325" s="2" t="s">
        <v>543</v>
      </c>
      <c r="O1325" s="2" t="s">
        <v>524</v>
      </c>
      <c r="Y1325" s="2" t="s">
        <v>623</v>
      </c>
    </row>
    <row r="1326" spans="1:34" x14ac:dyDescent="0.25">
      <c r="A1326" s="2" t="s">
        <v>314</v>
      </c>
      <c r="B1326" s="2" t="s">
        <v>540</v>
      </c>
      <c r="C1326" s="2" t="s">
        <v>409</v>
      </c>
      <c r="D1326" s="2" t="s">
        <v>411</v>
      </c>
      <c r="E1326" s="2" t="s">
        <v>414</v>
      </c>
      <c r="F1326" s="2" t="s">
        <v>40</v>
      </c>
      <c r="J1326" s="2" t="s">
        <v>541</v>
      </c>
      <c r="K1326" s="2" t="s">
        <v>542</v>
      </c>
      <c r="L1326" s="2">
        <v>2</v>
      </c>
      <c r="M1326" s="2" t="s">
        <v>544</v>
      </c>
      <c r="O1326" s="2" t="s">
        <v>524</v>
      </c>
      <c r="Y1326" s="2" t="s">
        <v>623</v>
      </c>
    </row>
    <row r="1327" spans="1:34" x14ac:dyDescent="0.25">
      <c r="A1327" s="2" t="s">
        <v>314</v>
      </c>
      <c r="B1327" s="2" t="s">
        <v>540</v>
      </c>
      <c r="C1327" s="2" t="s">
        <v>409</v>
      </c>
      <c r="D1327" s="2" t="s">
        <v>411</v>
      </c>
      <c r="E1327" s="2" t="s">
        <v>414</v>
      </c>
      <c r="F1327" s="2" t="s">
        <v>40</v>
      </c>
      <c r="J1327" s="2" t="s">
        <v>541</v>
      </c>
      <c r="K1327" s="2" t="s">
        <v>542</v>
      </c>
      <c r="L1327" s="2">
        <v>3</v>
      </c>
      <c r="M1327" s="2" t="s">
        <v>545</v>
      </c>
      <c r="O1327" s="2" t="s">
        <v>524</v>
      </c>
      <c r="Y1327" s="2" t="s">
        <v>623</v>
      </c>
    </row>
    <row r="1328" spans="1:34" x14ac:dyDescent="0.25">
      <c r="A1328" s="2" t="s">
        <v>314</v>
      </c>
      <c r="B1328" s="2" t="s">
        <v>540</v>
      </c>
      <c r="C1328" s="2" t="s">
        <v>409</v>
      </c>
      <c r="D1328" s="2" t="s">
        <v>411</v>
      </c>
      <c r="E1328" s="2" t="s">
        <v>414</v>
      </c>
      <c r="F1328" s="2" t="s">
        <v>40</v>
      </c>
      <c r="J1328" s="2" t="s">
        <v>541</v>
      </c>
      <c r="K1328" s="2" t="s">
        <v>542</v>
      </c>
      <c r="L1328" s="2">
        <v>4</v>
      </c>
      <c r="M1328" s="2" t="s">
        <v>546</v>
      </c>
      <c r="O1328" s="2" t="s">
        <v>524</v>
      </c>
      <c r="Y1328" s="2" t="s">
        <v>623</v>
      </c>
    </row>
    <row r="1329" spans="1:34" x14ac:dyDescent="0.25">
      <c r="A1329" s="2" t="s">
        <v>314</v>
      </c>
      <c r="B1329" s="2" t="s">
        <v>540</v>
      </c>
      <c r="C1329" s="2" t="s">
        <v>409</v>
      </c>
      <c r="D1329" s="2" t="s">
        <v>411</v>
      </c>
      <c r="E1329" s="2" t="s">
        <v>414</v>
      </c>
      <c r="F1329" s="2" t="s">
        <v>40</v>
      </c>
      <c r="J1329" s="2" t="s">
        <v>541</v>
      </c>
      <c r="K1329" s="2" t="s">
        <v>542</v>
      </c>
      <c r="L1329" s="2">
        <v>5</v>
      </c>
      <c r="M1329" s="2" t="s">
        <v>547</v>
      </c>
      <c r="O1329" s="2" t="s">
        <v>524</v>
      </c>
      <c r="Y1329" s="2" t="s">
        <v>623</v>
      </c>
    </row>
    <row r="1330" spans="1:34" x14ac:dyDescent="0.25">
      <c r="A1330" s="2" t="s">
        <v>314</v>
      </c>
      <c r="B1330" s="2" t="s">
        <v>540</v>
      </c>
      <c r="C1330" s="2" t="s">
        <v>409</v>
      </c>
      <c r="D1330" s="2" t="s">
        <v>411</v>
      </c>
      <c r="E1330" s="2" t="s">
        <v>414</v>
      </c>
      <c r="F1330" s="2" t="s">
        <v>40</v>
      </c>
      <c r="J1330" s="2" t="s">
        <v>541</v>
      </c>
      <c r="K1330" s="2" t="s">
        <v>542</v>
      </c>
      <c r="L1330" s="2">
        <v>6</v>
      </c>
      <c r="M1330" s="2" t="s">
        <v>548</v>
      </c>
      <c r="O1330" s="2" t="s">
        <v>524</v>
      </c>
      <c r="Y1330" s="2" t="s">
        <v>623</v>
      </c>
    </row>
    <row r="1331" spans="1:34" x14ac:dyDescent="0.25">
      <c r="A1331" s="2" t="s">
        <v>314</v>
      </c>
      <c r="B1331" s="2" t="s">
        <v>540</v>
      </c>
      <c r="C1331" s="2" t="s">
        <v>409</v>
      </c>
      <c r="D1331" s="2" t="s">
        <v>411</v>
      </c>
      <c r="E1331" s="2" t="s">
        <v>414</v>
      </c>
      <c r="F1331" s="2" t="s">
        <v>40</v>
      </c>
      <c r="J1331" s="2" t="s">
        <v>541</v>
      </c>
      <c r="K1331" s="2" t="s">
        <v>542</v>
      </c>
      <c r="L1331" s="2">
        <v>7</v>
      </c>
      <c r="M1331" s="2" t="s">
        <v>549</v>
      </c>
      <c r="O1331" s="2" t="s">
        <v>524</v>
      </c>
      <c r="Y1331" s="2" t="s">
        <v>623</v>
      </c>
    </row>
    <row r="1332" spans="1:34" x14ac:dyDescent="0.25">
      <c r="A1332" s="2" t="s">
        <v>314</v>
      </c>
      <c r="B1332" s="2" t="s">
        <v>540</v>
      </c>
      <c r="C1332" s="2" t="s">
        <v>409</v>
      </c>
      <c r="D1332" s="2" t="s">
        <v>411</v>
      </c>
      <c r="E1332" s="2" t="s">
        <v>414</v>
      </c>
      <c r="F1332" s="2" t="s">
        <v>40</v>
      </c>
      <c r="J1332" s="2" t="s">
        <v>541</v>
      </c>
      <c r="K1332" s="2" t="s">
        <v>542</v>
      </c>
      <c r="L1332" s="2">
        <v>8</v>
      </c>
      <c r="M1332" s="2" t="s">
        <v>550</v>
      </c>
      <c r="O1332" s="2" t="s">
        <v>524</v>
      </c>
      <c r="Y1332" s="2" t="s">
        <v>623</v>
      </c>
    </row>
    <row r="1333" spans="1:34" x14ac:dyDescent="0.25">
      <c r="A1333" s="2" t="s">
        <v>314</v>
      </c>
      <c r="B1333" s="2" t="s">
        <v>540</v>
      </c>
      <c r="C1333" s="2" t="s">
        <v>409</v>
      </c>
      <c r="D1333" s="2" t="s">
        <v>411</v>
      </c>
      <c r="E1333" s="2" t="s">
        <v>414</v>
      </c>
      <c r="F1333" s="2" t="s">
        <v>40</v>
      </c>
      <c r="J1333" s="2" t="s">
        <v>541</v>
      </c>
      <c r="K1333" s="2" t="s">
        <v>542</v>
      </c>
      <c r="L1333" s="2">
        <v>9</v>
      </c>
      <c r="M1333" s="2" t="s">
        <v>551</v>
      </c>
      <c r="O1333" s="2" t="s">
        <v>524</v>
      </c>
      <c r="Y1333" s="2" t="s">
        <v>623</v>
      </c>
    </row>
    <row r="1334" spans="1:34" x14ac:dyDescent="0.25">
      <c r="A1334" s="2" t="s">
        <v>314</v>
      </c>
      <c r="B1334" s="2" t="s">
        <v>540</v>
      </c>
      <c r="C1334" s="2" t="s">
        <v>409</v>
      </c>
      <c r="D1334" s="2" t="s">
        <v>411</v>
      </c>
      <c r="E1334" s="2" t="s">
        <v>414</v>
      </c>
      <c r="F1334" s="2" t="s">
        <v>40</v>
      </c>
      <c r="J1334" s="2" t="s">
        <v>541</v>
      </c>
      <c r="K1334" s="2" t="s">
        <v>542</v>
      </c>
      <c r="L1334" s="2">
        <v>10</v>
      </c>
      <c r="M1334" s="2" t="s">
        <v>552</v>
      </c>
      <c r="O1334" s="2" t="s">
        <v>524</v>
      </c>
      <c r="Y1334" s="2" t="s">
        <v>623</v>
      </c>
    </row>
    <row r="1335" spans="1:34" x14ac:dyDescent="0.25">
      <c r="A1335" s="2" t="s">
        <v>314</v>
      </c>
      <c r="B1335" s="2" t="s">
        <v>540</v>
      </c>
      <c r="C1335" s="2" t="s">
        <v>409</v>
      </c>
      <c r="D1335" s="2" t="s">
        <v>411</v>
      </c>
      <c r="E1335" s="2" t="s">
        <v>414</v>
      </c>
      <c r="F1335" s="2" t="s">
        <v>40</v>
      </c>
      <c r="J1335" s="2" t="s">
        <v>541</v>
      </c>
      <c r="K1335" s="2" t="s">
        <v>542</v>
      </c>
      <c r="L1335" s="2">
        <v>11</v>
      </c>
      <c r="M1335" s="2" t="s">
        <v>553</v>
      </c>
      <c r="O1335" s="2" t="s">
        <v>524</v>
      </c>
      <c r="Y1335" s="2" t="s">
        <v>623</v>
      </c>
    </row>
    <row r="1336" spans="1:34" x14ac:dyDescent="0.25">
      <c r="A1336" s="2" t="s">
        <v>314</v>
      </c>
      <c r="B1336" s="2" t="s">
        <v>540</v>
      </c>
      <c r="C1336" s="2" t="s">
        <v>409</v>
      </c>
      <c r="D1336" s="2" t="s">
        <v>411</v>
      </c>
      <c r="E1336" s="2" t="s">
        <v>414</v>
      </c>
      <c r="F1336" s="2" t="s">
        <v>40</v>
      </c>
      <c r="J1336" s="2" t="s">
        <v>541</v>
      </c>
      <c r="K1336" s="2" t="s">
        <v>542</v>
      </c>
      <c r="L1336" s="2">
        <v>12</v>
      </c>
      <c r="M1336" s="2" t="s">
        <v>554</v>
      </c>
      <c r="O1336" s="2" t="s">
        <v>524</v>
      </c>
      <c r="Y1336" s="2" t="s">
        <v>623</v>
      </c>
    </row>
    <row r="1337" spans="1:34" x14ac:dyDescent="0.25">
      <c r="A1337" s="2" t="s">
        <v>314</v>
      </c>
      <c r="B1337" s="2" t="s">
        <v>555</v>
      </c>
      <c r="C1337" s="2" t="s">
        <v>409</v>
      </c>
      <c r="D1337" s="2" t="s">
        <v>411</v>
      </c>
      <c r="E1337" s="2" t="s">
        <v>414</v>
      </c>
      <c r="F1337" s="2" t="s">
        <v>40</v>
      </c>
      <c r="J1337" s="2" t="s">
        <v>556</v>
      </c>
      <c r="O1337" s="2" t="s">
        <v>524</v>
      </c>
      <c r="Y1337" s="2" t="s">
        <v>623</v>
      </c>
      <c r="AB1337" s="2">
        <v>2</v>
      </c>
    </row>
    <row r="1338" spans="1:34" x14ac:dyDescent="0.25">
      <c r="A1338" s="2" t="s">
        <v>314</v>
      </c>
      <c r="B1338" s="2" t="s">
        <v>557</v>
      </c>
      <c r="C1338" s="2" t="s">
        <v>409</v>
      </c>
      <c r="D1338" s="2" t="s">
        <v>411</v>
      </c>
      <c r="E1338" s="2" t="s">
        <v>414</v>
      </c>
      <c r="F1338" s="2" t="s">
        <v>40</v>
      </c>
      <c r="J1338" s="2" t="s">
        <v>558</v>
      </c>
      <c r="O1338" s="2" t="s">
        <v>524</v>
      </c>
      <c r="Y1338" s="2" t="s">
        <v>623</v>
      </c>
      <c r="AC1338" s="2">
        <f>COUNTIFS($B:$B,"BLOCK_LOAD_Q",$A:$A,$A1338,$C:$C,$C1338,$E:$E,$E1338,$F:$F,$F1338,$N:$N, "&lt;&gt;")</f>
        <v>0</v>
      </c>
      <c r="AD1338" s="2">
        <f>COUNTIFS($B:$B,"BLOCK_TRUST_Q",$A:$A,$A1338,$C:$C,$C1338,$E:$E,$E1338,$F:$F,$F1338,$N:$N, "&lt;&gt;")</f>
        <v>0</v>
      </c>
      <c r="AE1338" s="2" t="str">
        <f>IFERROR(AVERAGEIFS($P:$P,$B:$B,"BLOCK_LOAD_Q",$A:$A,$A1338,$C:$C,$C1338,$E:$E,$E1338,$F:$F,$F1338,$P:$P,"&gt;0"),"")</f>
        <v/>
      </c>
      <c r="AF1338" s="2" t="str">
        <f>IFERROR(AVERAGEIFS($P:$P,$B:$B,"BLOCK_TRUST_Q",$A:$A,$A1338,$C:$C,$C1338,$E:$E,$E1338,$F:$F,$F1338,$P:$P,"&gt;0"),"")</f>
        <v/>
      </c>
      <c r="AG1338" s="2">
        <f>5-AC1338</f>
        <v>5</v>
      </c>
      <c r="AH1338" s="2">
        <f>12-AD1338</f>
        <v>12</v>
      </c>
    </row>
    <row r="1339" spans="1:34" x14ac:dyDescent="0.25">
      <c r="A1339" s="2" t="s">
        <v>314</v>
      </c>
      <c r="B1339" s="2" t="s">
        <v>403</v>
      </c>
      <c r="C1339" s="2" t="s">
        <v>409</v>
      </c>
      <c r="D1339" s="2" t="s">
        <v>411</v>
      </c>
      <c r="Z1339" s="2" t="s">
        <v>446</v>
      </c>
    </row>
    <row r="1340" spans="1:34" x14ac:dyDescent="0.25">
      <c r="A1340" s="2" t="s">
        <v>314</v>
      </c>
      <c r="B1340" s="2" t="s">
        <v>404</v>
      </c>
      <c r="J1340" s="2" t="s">
        <v>575</v>
      </c>
      <c r="AA1340" s="2" t="s">
        <v>336</v>
      </c>
    </row>
    <row r="1341" spans="1:34" x14ac:dyDescent="0.25">
      <c r="A1341" s="2" t="s">
        <v>314</v>
      </c>
      <c r="B1341" s="2" t="s">
        <v>405</v>
      </c>
    </row>
    <row r="1342" spans="1:34" x14ac:dyDescent="0.25">
      <c r="A1342" s="2" t="s">
        <v>314</v>
      </c>
      <c r="B1342" s="2" t="s">
        <v>406</v>
      </c>
    </row>
    <row r="1343" spans="1:34" x14ac:dyDescent="0.25">
      <c r="A1343" s="2" t="s">
        <v>315</v>
      </c>
      <c r="B1343" s="2" t="s">
        <v>523</v>
      </c>
      <c r="C1343" s="2" t="s">
        <v>524</v>
      </c>
      <c r="D1343" s="2" t="s">
        <v>524</v>
      </c>
      <c r="E1343" s="2" t="s">
        <v>524</v>
      </c>
      <c r="F1343" s="2" t="s">
        <v>524</v>
      </c>
      <c r="J1343" s="2" t="s">
        <v>525</v>
      </c>
      <c r="O1343" s="2" t="s">
        <v>524</v>
      </c>
    </row>
    <row r="1344" spans="1:34" x14ac:dyDescent="0.25">
      <c r="A1344" s="2" t="s">
        <v>315</v>
      </c>
      <c r="B1344" s="2" t="s">
        <v>526</v>
      </c>
      <c r="C1344" s="2" t="s">
        <v>524</v>
      </c>
      <c r="D1344" s="2" t="s">
        <v>524</v>
      </c>
      <c r="E1344" s="2" t="s">
        <v>524</v>
      </c>
      <c r="F1344" s="2" t="s">
        <v>524</v>
      </c>
      <c r="J1344" s="2" t="s">
        <v>527</v>
      </c>
      <c r="O1344" s="2" t="s">
        <v>524</v>
      </c>
    </row>
    <row r="1345" spans="1:25" x14ac:dyDescent="0.25">
      <c r="A1345" s="2" t="s">
        <v>315</v>
      </c>
      <c r="B1345" s="2" t="s">
        <v>402</v>
      </c>
      <c r="C1345" s="2" t="s">
        <v>407</v>
      </c>
      <c r="D1345" s="2" t="s">
        <v>410</v>
      </c>
      <c r="E1345" s="2" t="s">
        <v>413</v>
      </c>
      <c r="F1345" s="2" t="s">
        <v>39</v>
      </c>
      <c r="G1345" s="2" t="s">
        <v>415</v>
      </c>
      <c r="H1345" s="2" t="s">
        <v>373</v>
      </c>
      <c r="S1345" s="2" t="s">
        <v>60</v>
      </c>
      <c r="U1345" s="2" t="s">
        <v>60</v>
      </c>
      <c r="W1345" s="2" t="s">
        <v>60</v>
      </c>
    </row>
    <row r="1346" spans="1:25" x14ac:dyDescent="0.25">
      <c r="A1346" s="2" t="s">
        <v>315</v>
      </c>
      <c r="B1346" s="2" t="s">
        <v>402</v>
      </c>
      <c r="C1346" s="2" t="s">
        <v>407</v>
      </c>
      <c r="D1346" s="2" t="s">
        <v>410</v>
      </c>
      <c r="E1346" s="2" t="s">
        <v>413</v>
      </c>
      <c r="F1346" s="2" t="s">
        <v>39</v>
      </c>
      <c r="G1346" s="2" t="s">
        <v>416</v>
      </c>
      <c r="H1346" s="2" t="s">
        <v>528</v>
      </c>
      <c r="S1346" s="2" t="s">
        <v>60</v>
      </c>
      <c r="U1346" s="2" t="s">
        <v>59</v>
      </c>
      <c r="W1346" s="2" t="s">
        <v>59</v>
      </c>
    </row>
    <row r="1347" spans="1:25" x14ac:dyDescent="0.25">
      <c r="A1347" s="2" t="s">
        <v>315</v>
      </c>
      <c r="B1347" s="2" t="s">
        <v>402</v>
      </c>
      <c r="C1347" s="2" t="s">
        <v>407</v>
      </c>
      <c r="D1347" s="2" t="s">
        <v>410</v>
      </c>
      <c r="E1347" s="2" t="s">
        <v>413</v>
      </c>
      <c r="F1347" s="2" t="s">
        <v>39</v>
      </c>
      <c r="G1347" s="2" t="s">
        <v>417</v>
      </c>
      <c r="H1347" s="2" t="s">
        <v>529</v>
      </c>
      <c r="S1347" s="2" t="s">
        <v>57</v>
      </c>
      <c r="U1347" s="2" t="s">
        <v>59</v>
      </c>
      <c r="W1347" s="2" t="s">
        <v>60</v>
      </c>
    </row>
    <row r="1348" spans="1:25" x14ac:dyDescent="0.25">
      <c r="A1348" s="2" t="s">
        <v>315</v>
      </c>
      <c r="B1348" s="2" t="s">
        <v>402</v>
      </c>
      <c r="C1348" s="2" t="s">
        <v>407</v>
      </c>
      <c r="D1348" s="2" t="s">
        <v>410</v>
      </c>
      <c r="E1348" s="2" t="s">
        <v>413</v>
      </c>
      <c r="F1348" s="2" t="s">
        <v>39</v>
      </c>
      <c r="G1348" s="2" t="s">
        <v>418</v>
      </c>
      <c r="H1348" s="2" t="s">
        <v>347</v>
      </c>
      <c r="S1348" s="2" t="s">
        <v>60</v>
      </c>
      <c r="U1348" s="2" t="s">
        <v>57</v>
      </c>
      <c r="W1348" s="2" t="s">
        <v>59</v>
      </c>
    </row>
    <row r="1349" spans="1:25" x14ac:dyDescent="0.25">
      <c r="A1349" s="2" t="s">
        <v>315</v>
      </c>
      <c r="B1349" s="2" t="s">
        <v>402</v>
      </c>
      <c r="C1349" s="2" t="s">
        <v>407</v>
      </c>
      <c r="D1349" s="2" t="s">
        <v>410</v>
      </c>
      <c r="E1349" s="2" t="s">
        <v>413</v>
      </c>
      <c r="F1349" s="2" t="s">
        <v>39</v>
      </c>
      <c r="G1349" s="2" t="s">
        <v>419</v>
      </c>
      <c r="H1349" s="2" t="s">
        <v>530</v>
      </c>
      <c r="S1349" s="2" t="s">
        <v>57</v>
      </c>
      <c r="U1349" s="2" t="s">
        <v>60</v>
      </c>
      <c r="W1349" s="2" t="s">
        <v>58</v>
      </c>
    </row>
    <row r="1350" spans="1:25" x14ac:dyDescent="0.25">
      <c r="A1350" s="2" t="s">
        <v>315</v>
      </c>
      <c r="B1350" s="2" t="s">
        <v>531</v>
      </c>
      <c r="C1350" s="2" t="s">
        <v>407</v>
      </c>
      <c r="D1350" s="2" t="s">
        <v>410</v>
      </c>
      <c r="E1350" s="2" t="s">
        <v>413</v>
      </c>
      <c r="F1350" s="2" t="s">
        <v>39</v>
      </c>
      <c r="J1350" s="2" t="s">
        <v>532</v>
      </c>
      <c r="K1350" s="2" t="s">
        <v>533</v>
      </c>
      <c r="L1350" s="2">
        <v>1</v>
      </c>
      <c r="M1350" s="2" t="s">
        <v>534</v>
      </c>
      <c r="O1350" s="2" t="s">
        <v>524</v>
      </c>
      <c r="Y1350" s="2" t="s">
        <v>624</v>
      </c>
    </row>
    <row r="1351" spans="1:25" x14ac:dyDescent="0.25">
      <c r="A1351" s="2" t="s">
        <v>315</v>
      </c>
      <c r="B1351" s="2" t="s">
        <v>531</v>
      </c>
      <c r="C1351" s="2" t="s">
        <v>407</v>
      </c>
      <c r="D1351" s="2" t="s">
        <v>410</v>
      </c>
      <c r="E1351" s="2" t="s">
        <v>413</v>
      </c>
      <c r="F1351" s="2" t="s">
        <v>39</v>
      </c>
      <c r="J1351" s="2" t="s">
        <v>532</v>
      </c>
      <c r="K1351" s="2" t="s">
        <v>533</v>
      </c>
      <c r="L1351" s="2">
        <v>2</v>
      </c>
      <c r="M1351" s="2" t="s">
        <v>536</v>
      </c>
      <c r="O1351" s="2" t="s">
        <v>524</v>
      </c>
      <c r="Y1351" s="2" t="s">
        <v>624</v>
      </c>
    </row>
    <row r="1352" spans="1:25" x14ac:dyDescent="0.25">
      <c r="A1352" s="2" t="s">
        <v>315</v>
      </c>
      <c r="B1352" s="2" t="s">
        <v>531</v>
      </c>
      <c r="C1352" s="2" t="s">
        <v>407</v>
      </c>
      <c r="D1352" s="2" t="s">
        <v>410</v>
      </c>
      <c r="E1352" s="2" t="s">
        <v>413</v>
      </c>
      <c r="F1352" s="2" t="s">
        <v>39</v>
      </c>
      <c r="J1352" s="2" t="s">
        <v>532</v>
      </c>
      <c r="K1352" s="2" t="s">
        <v>533</v>
      </c>
      <c r="L1352" s="2">
        <v>3</v>
      </c>
      <c r="M1352" s="2" t="s">
        <v>537</v>
      </c>
      <c r="O1352" s="2" t="s">
        <v>524</v>
      </c>
      <c r="Y1352" s="2" t="s">
        <v>624</v>
      </c>
    </row>
    <row r="1353" spans="1:25" x14ac:dyDescent="0.25">
      <c r="A1353" s="2" t="s">
        <v>315</v>
      </c>
      <c r="B1353" s="2" t="s">
        <v>531</v>
      </c>
      <c r="C1353" s="2" t="s">
        <v>407</v>
      </c>
      <c r="D1353" s="2" t="s">
        <v>410</v>
      </c>
      <c r="E1353" s="2" t="s">
        <v>413</v>
      </c>
      <c r="F1353" s="2" t="s">
        <v>39</v>
      </c>
      <c r="J1353" s="2" t="s">
        <v>532</v>
      </c>
      <c r="K1353" s="2" t="s">
        <v>533</v>
      </c>
      <c r="L1353" s="2">
        <v>4</v>
      </c>
      <c r="M1353" s="2" t="s">
        <v>538</v>
      </c>
      <c r="O1353" s="2" t="s">
        <v>524</v>
      </c>
      <c r="Y1353" s="2" t="s">
        <v>624</v>
      </c>
    </row>
    <row r="1354" spans="1:25" x14ac:dyDescent="0.25">
      <c r="A1354" s="2" t="s">
        <v>315</v>
      </c>
      <c r="B1354" s="2" t="s">
        <v>531</v>
      </c>
      <c r="C1354" s="2" t="s">
        <v>407</v>
      </c>
      <c r="D1354" s="2" t="s">
        <v>410</v>
      </c>
      <c r="E1354" s="2" t="s">
        <v>413</v>
      </c>
      <c r="F1354" s="2" t="s">
        <v>39</v>
      </c>
      <c r="J1354" s="2" t="s">
        <v>532</v>
      </c>
      <c r="K1354" s="2" t="s">
        <v>533</v>
      </c>
      <c r="L1354" s="2">
        <v>5</v>
      </c>
      <c r="M1354" s="2" t="s">
        <v>539</v>
      </c>
      <c r="O1354" s="2" t="s">
        <v>524</v>
      </c>
      <c r="Y1354" s="2" t="s">
        <v>624</v>
      </c>
    </row>
    <row r="1355" spans="1:25" x14ac:dyDescent="0.25">
      <c r="A1355" s="2" t="s">
        <v>315</v>
      </c>
      <c r="B1355" s="2" t="s">
        <v>540</v>
      </c>
      <c r="C1355" s="2" t="s">
        <v>407</v>
      </c>
      <c r="D1355" s="2" t="s">
        <v>410</v>
      </c>
      <c r="E1355" s="2" t="s">
        <v>413</v>
      </c>
      <c r="F1355" s="2" t="s">
        <v>39</v>
      </c>
      <c r="J1355" s="2" t="s">
        <v>541</v>
      </c>
      <c r="K1355" s="2" t="s">
        <v>542</v>
      </c>
      <c r="L1355" s="2">
        <v>1</v>
      </c>
      <c r="M1355" s="2" t="s">
        <v>543</v>
      </c>
      <c r="O1355" s="2" t="s">
        <v>524</v>
      </c>
      <c r="Y1355" s="2" t="s">
        <v>624</v>
      </c>
    </row>
    <row r="1356" spans="1:25" x14ac:dyDescent="0.25">
      <c r="A1356" s="2" t="s">
        <v>315</v>
      </c>
      <c r="B1356" s="2" t="s">
        <v>540</v>
      </c>
      <c r="C1356" s="2" t="s">
        <v>407</v>
      </c>
      <c r="D1356" s="2" t="s">
        <v>410</v>
      </c>
      <c r="E1356" s="2" t="s">
        <v>413</v>
      </c>
      <c r="F1356" s="2" t="s">
        <v>39</v>
      </c>
      <c r="J1356" s="2" t="s">
        <v>541</v>
      </c>
      <c r="K1356" s="2" t="s">
        <v>542</v>
      </c>
      <c r="L1356" s="2">
        <v>2</v>
      </c>
      <c r="M1356" s="2" t="s">
        <v>544</v>
      </c>
      <c r="O1356" s="2" t="s">
        <v>524</v>
      </c>
      <c r="Y1356" s="2" t="s">
        <v>624</v>
      </c>
    </row>
    <row r="1357" spans="1:25" x14ac:dyDescent="0.25">
      <c r="A1357" s="2" t="s">
        <v>315</v>
      </c>
      <c r="B1357" s="2" t="s">
        <v>540</v>
      </c>
      <c r="C1357" s="2" t="s">
        <v>407</v>
      </c>
      <c r="D1357" s="2" t="s">
        <v>410</v>
      </c>
      <c r="E1357" s="2" t="s">
        <v>413</v>
      </c>
      <c r="F1357" s="2" t="s">
        <v>39</v>
      </c>
      <c r="J1357" s="2" t="s">
        <v>541</v>
      </c>
      <c r="K1357" s="2" t="s">
        <v>542</v>
      </c>
      <c r="L1357" s="2">
        <v>3</v>
      </c>
      <c r="M1357" s="2" t="s">
        <v>545</v>
      </c>
      <c r="O1357" s="2" t="s">
        <v>524</v>
      </c>
      <c r="Y1357" s="2" t="s">
        <v>624</v>
      </c>
    </row>
    <row r="1358" spans="1:25" x14ac:dyDescent="0.25">
      <c r="A1358" s="2" t="s">
        <v>315</v>
      </c>
      <c r="B1358" s="2" t="s">
        <v>540</v>
      </c>
      <c r="C1358" s="2" t="s">
        <v>407</v>
      </c>
      <c r="D1358" s="2" t="s">
        <v>410</v>
      </c>
      <c r="E1358" s="2" t="s">
        <v>413</v>
      </c>
      <c r="F1358" s="2" t="s">
        <v>39</v>
      </c>
      <c r="J1358" s="2" t="s">
        <v>541</v>
      </c>
      <c r="K1358" s="2" t="s">
        <v>542</v>
      </c>
      <c r="L1358" s="2">
        <v>4</v>
      </c>
      <c r="M1358" s="2" t="s">
        <v>546</v>
      </c>
      <c r="O1358" s="2" t="s">
        <v>524</v>
      </c>
      <c r="Y1358" s="2" t="s">
        <v>624</v>
      </c>
    </row>
    <row r="1359" spans="1:25" x14ac:dyDescent="0.25">
      <c r="A1359" s="2" t="s">
        <v>315</v>
      </c>
      <c r="B1359" s="2" t="s">
        <v>540</v>
      </c>
      <c r="C1359" s="2" t="s">
        <v>407</v>
      </c>
      <c r="D1359" s="2" t="s">
        <v>410</v>
      </c>
      <c r="E1359" s="2" t="s">
        <v>413</v>
      </c>
      <c r="F1359" s="2" t="s">
        <v>39</v>
      </c>
      <c r="J1359" s="2" t="s">
        <v>541</v>
      </c>
      <c r="K1359" s="2" t="s">
        <v>542</v>
      </c>
      <c r="L1359" s="2">
        <v>5</v>
      </c>
      <c r="M1359" s="2" t="s">
        <v>547</v>
      </c>
      <c r="O1359" s="2" t="s">
        <v>524</v>
      </c>
      <c r="Y1359" s="2" t="s">
        <v>624</v>
      </c>
    </row>
    <row r="1360" spans="1:25" x14ac:dyDescent="0.25">
      <c r="A1360" s="2" t="s">
        <v>315</v>
      </c>
      <c r="B1360" s="2" t="s">
        <v>540</v>
      </c>
      <c r="C1360" s="2" t="s">
        <v>407</v>
      </c>
      <c r="D1360" s="2" t="s">
        <v>410</v>
      </c>
      <c r="E1360" s="2" t="s">
        <v>413</v>
      </c>
      <c r="F1360" s="2" t="s">
        <v>39</v>
      </c>
      <c r="J1360" s="2" t="s">
        <v>541</v>
      </c>
      <c r="K1360" s="2" t="s">
        <v>542</v>
      </c>
      <c r="L1360" s="2">
        <v>6</v>
      </c>
      <c r="M1360" s="2" t="s">
        <v>548</v>
      </c>
      <c r="O1360" s="2" t="s">
        <v>524</v>
      </c>
      <c r="Y1360" s="2" t="s">
        <v>624</v>
      </c>
    </row>
    <row r="1361" spans="1:34" x14ac:dyDescent="0.25">
      <c r="A1361" s="2" t="s">
        <v>315</v>
      </c>
      <c r="B1361" s="2" t="s">
        <v>540</v>
      </c>
      <c r="C1361" s="2" t="s">
        <v>407</v>
      </c>
      <c r="D1361" s="2" t="s">
        <v>410</v>
      </c>
      <c r="E1361" s="2" t="s">
        <v>413</v>
      </c>
      <c r="F1361" s="2" t="s">
        <v>39</v>
      </c>
      <c r="J1361" s="2" t="s">
        <v>541</v>
      </c>
      <c r="K1361" s="2" t="s">
        <v>542</v>
      </c>
      <c r="L1361" s="2">
        <v>7</v>
      </c>
      <c r="M1361" s="2" t="s">
        <v>549</v>
      </c>
      <c r="O1361" s="2" t="s">
        <v>524</v>
      </c>
      <c r="Y1361" s="2" t="s">
        <v>624</v>
      </c>
    </row>
    <row r="1362" spans="1:34" x14ac:dyDescent="0.25">
      <c r="A1362" s="2" t="s">
        <v>315</v>
      </c>
      <c r="B1362" s="2" t="s">
        <v>540</v>
      </c>
      <c r="C1362" s="2" t="s">
        <v>407</v>
      </c>
      <c r="D1362" s="2" t="s">
        <v>410</v>
      </c>
      <c r="E1362" s="2" t="s">
        <v>413</v>
      </c>
      <c r="F1362" s="2" t="s">
        <v>39</v>
      </c>
      <c r="J1362" s="2" t="s">
        <v>541</v>
      </c>
      <c r="K1362" s="2" t="s">
        <v>542</v>
      </c>
      <c r="L1362" s="2">
        <v>8</v>
      </c>
      <c r="M1362" s="2" t="s">
        <v>550</v>
      </c>
      <c r="O1362" s="2" t="s">
        <v>524</v>
      </c>
      <c r="Y1362" s="2" t="s">
        <v>624</v>
      </c>
    </row>
    <row r="1363" spans="1:34" x14ac:dyDescent="0.25">
      <c r="A1363" s="2" t="s">
        <v>315</v>
      </c>
      <c r="B1363" s="2" t="s">
        <v>540</v>
      </c>
      <c r="C1363" s="2" t="s">
        <v>407</v>
      </c>
      <c r="D1363" s="2" t="s">
        <v>410</v>
      </c>
      <c r="E1363" s="2" t="s">
        <v>413</v>
      </c>
      <c r="F1363" s="2" t="s">
        <v>39</v>
      </c>
      <c r="J1363" s="2" t="s">
        <v>541</v>
      </c>
      <c r="K1363" s="2" t="s">
        <v>542</v>
      </c>
      <c r="L1363" s="2">
        <v>9</v>
      </c>
      <c r="M1363" s="2" t="s">
        <v>551</v>
      </c>
      <c r="O1363" s="2" t="s">
        <v>524</v>
      </c>
      <c r="Y1363" s="2" t="s">
        <v>624</v>
      </c>
    </row>
    <row r="1364" spans="1:34" x14ac:dyDescent="0.25">
      <c r="A1364" s="2" t="s">
        <v>315</v>
      </c>
      <c r="B1364" s="2" t="s">
        <v>540</v>
      </c>
      <c r="C1364" s="2" t="s">
        <v>407</v>
      </c>
      <c r="D1364" s="2" t="s">
        <v>410</v>
      </c>
      <c r="E1364" s="2" t="s">
        <v>413</v>
      </c>
      <c r="F1364" s="2" t="s">
        <v>39</v>
      </c>
      <c r="J1364" s="2" t="s">
        <v>541</v>
      </c>
      <c r="K1364" s="2" t="s">
        <v>542</v>
      </c>
      <c r="L1364" s="2">
        <v>10</v>
      </c>
      <c r="M1364" s="2" t="s">
        <v>552</v>
      </c>
      <c r="O1364" s="2" t="s">
        <v>524</v>
      </c>
      <c r="Y1364" s="2" t="s">
        <v>624</v>
      </c>
    </row>
    <row r="1365" spans="1:34" x14ac:dyDescent="0.25">
      <c r="A1365" s="2" t="s">
        <v>315</v>
      </c>
      <c r="B1365" s="2" t="s">
        <v>540</v>
      </c>
      <c r="C1365" s="2" t="s">
        <v>407</v>
      </c>
      <c r="D1365" s="2" t="s">
        <v>410</v>
      </c>
      <c r="E1365" s="2" t="s">
        <v>413</v>
      </c>
      <c r="F1365" s="2" t="s">
        <v>39</v>
      </c>
      <c r="J1365" s="2" t="s">
        <v>541</v>
      </c>
      <c r="K1365" s="2" t="s">
        <v>542</v>
      </c>
      <c r="L1365" s="2">
        <v>11</v>
      </c>
      <c r="M1365" s="2" t="s">
        <v>553</v>
      </c>
      <c r="O1365" s="2" t="s">
        <v>524</v>
      </c>
      <c r="Y1365" s="2" t="s">
        <v>624</v>
      </c>
    </row>
    <row r="1366" spans="1:34" x14ac:dyDescent="0.25">
      <c r="A1366" s="2" t="s">
        <v>315</v>
      </c>
      <c r="B1366" s="2" t="s">
        <v>540</v>
      </c>
      <c r="C1366" s="2" t="s">
        <v>407</v>
      </c>
      <c r="D1366" s="2" t="s">
        <v>410</v>
      </c>
      <c r="E1366" s="2" t="s">
        <v>413</v>
      </c>
      <c r="F1366" s="2" t="s">
        <v>39</v>
      </c>
      <c r="J1366" s="2" t="s">
        <v>541</v>
      </c>
      <c r="K1366" s="2" t="s">
        <v>542</v>
      </c>
      <c r="L1366" s="2">
        <v>12</v>
      </c>
      <c r="M1366" s="2" t="s">
        <v>554</v>
      </c>
      <c r="O1366" s="2" t="s">
        <v>524</v>
      </c>
      <c r="Y1366" s="2" t="s">
        <v>624</v>
      </c>
    </row>
    <row r="1367" spans="1:34" x14ac:dyDescent="0.25">
      <c r="A1367" s="2" t="s">
        <v>315</v>
      </c>
      <c r="B1367" s="2" t="s">
        <v>555</v>
      </c>
      <c r="C1367" s="2" t="s">
        <v>407</v>
      </c>
      <c r="D1367" s="2" t="s">
        <v>410</v>
      </c>
      <c r="E1367" s="2" t="s">
        <v>413</v>
      </c>
      <c r="F1367" s="2" t="s">
        <v>39</v>
      </c>
      <c r="J1367" s="2" t="s">
        <v>556</v>
      </c>
      <c r="O1367" s="2" t="s">
        <v>524</v>
      </c>
      <c r="Y1367" s="2" t="s">
        <v>624</v>
      </c>
      <c r="AB1367" s="2">
        <v>1</v>
      </c>
    </row>
    <row r="1368" spans="1:34" x14ac:dyDescent="0.25">
      <c r="A1368" s="2" t="s">
        <v>315</v>
      </c>
      <c r="B1368" s="2" t="s">
        <v>557</v>
      </c>
      <c r="C1368" s="2" t="s">
        <v>407</v>
      </c>
      <c r="D1368" s="2" t="s">
        <v>410</v>
      </c>
      <c r="E1368" s="2" t="s">
        <v>413</v>
      </c>
      <c r="F1368" s="2" t="s">
        <v>39</v>
      </c>
      <c r="J1368" s="2" t="s">
        <v>558</v>
      </c>
      <c r="O1368" s="2" t="s">
        <v>524</v>
      </c>
      <c r="Y1368" s="2" t="s">
        <v>624</v>
      </c>
      <c r="AC1368" s="2">
        <f>COUNTIFS($B:$B,"BLOCK_LOAD_Q",$A:$A,$A1368,$C:$C,$C1368,$E:$E,$E1368,$F:$F,$F1368,$N:$N, "&lt;&gt;")</f>
        <v>0</v>
      </c>
      <c r="AD1368" s="2">
        <f>COUNTIFS($B:$B,"BLOCK_TRUST_Q",$A:$A,$A1368,$C:$C,$C1368,$E:$E,$E1368,$F:$F,$F1368,$N:$N, "&lt;&gt;")</f>
        <v>0</v>
      </c>
      <c r="AE1368" s="2" t="str">
        <f>IFERROR(AVERAGEIFS($P:$P,$B:$B,"BLOCK_LOAD_Q",$A:$A,$A1368,$C:$C,$C1368,$E:$E,$E1368,$F:$F,$F1368,$P:$P,"&gt;0"),"")</f>
        <v/>
      </c>
      <c r="AF1368" s="2" t="str">
        <f>IFERROR(AVERAGEIFS($P:$P,$B:$B,"BLOCK_TRUST_Q",$A:$A,$A1368,$C:$C,$C1368,$E:$E,$E1368,$F:$F,$F1368,$P:$P,"&gt;0"),"")</f>
        <v/>
      </c>
      <c r="AG1368" s="2">
        <f>5-AC1368</f>
        <v>5</v>
      </c>
      <c r="AH1368" s="2">
        <f>12-AD1368</f>
        <v>12</v>
      </c>
    </row>
    <row r="1369" spans="1:34" x14ac:dyDescent="0.25">
      <c r="A1369" s="2" t="s">
        <v>315</v>
      </c>
      <c r="B1369" s="2" t="s">
        <v>402</v>
      </c>
      <c r="C1369" s="2" t="s">
        <v>407</v>
      </c>
      <c r="D1369" s="2" t="s">
        <v>410</v>
      </c>
      <c r="E1369" s="2" t="s">
        <v>414</v>
      </c>
      <c r="F1369" s="2" t="s">
        <v>40</v>
      </c>
      <c r="G1369" s="2" t="s">
        <v>415</v>
      </c>
      <c r="H1369" s="2" t="s">
        <v>354</v>
      </c>
      <c r="S1369" s="2" t="s">
        <v>59</v>
      </c>
      <c r="U1369" s="2" t="s">
        <v>59</v>
      </c>
      <c r="W1369" s="2" t="s">
        <v>58</v>
      </c>
    </row>
    <row r="1370" spans="1:34" x14ac:dyDescent="0.25">
      <c r="A1370" s="2" t="s">
        <v>315</v>
      </c>
      <c r="B1370" s="2" t="s">
        <v>402</v>
      </c>
      <c r="C1370" s="2" t="s">
        <v>407</v>
      </c>
      <c r="D1370" s="2" t="s">
        <v>410</v>
      </c>
      <c r="E1370" s="2" t="s">
        <v>414</v>
      </c>
      <c r="F1370" s="2" t="s">
        <v>40</v>
      </c>
      <c r="G1370" s="2" t="s">
        <v>416</v>
      </c>
      <c r="H1370" s="2" t="s">
        <v>559</v>
      </c>
      <c r="S1370" s="2" t="s">
        <v>57</v>
      </c>
      <c r="U1370" s="2" t="s">
        <v>57</v>
      </c>
      <c r="W1370" s="2" t="s">
        <v>58</v>
      </c>
    </row>
    <row r="1371" spans="1:34" x14ac:dyDescent="0.25">
      <c r="A1371" s="2" t="s">
        <v>315</v>
      </c>
      <c r="B1371" s="2" t="s">
        <v>402</v>
      </c>
      <c r="C1371" s="2" t="s">
        <v>407</v>
      </c>
      <c r="D1371" s="2" t="s">
        <v>410</v>
      </c>
      <c r="E1371" s="2" t="s">
        <v>414</v>
      </c>
      <c r="F1371" s="2" t="s">
        <v>40</v>
      </c>
      <c r="G1371" s="2" t="s">
        <v>417</v>
      </c>
      <c r="H1371" s="2" t="s">
        <v>370</v>
      </c>
      <c r="S1371" s="2" t="s">
        <v>60</v>
      </c>
      <c r="U1371" s="2" t="s">
        <v>58</v>
      </c>
      <c r="W1371" s="2" t="s">
        <v>59</v>
      </c>
    </row>
    <row r="1372" spans="1:34" x14ac:dyDescent="0.25">
      <c r="A1372" s="2" t="s">
        <v>315</v>
      </c>
      <c r="B1372" s="2" t="s">
        <v>402</v>
      </c>
      <c r="C1372" s="2" t="s">
        <v>407</v>
      </c>
      <c r="D1372" s="2" t="s">
        <v>410</v>
      </c>
      <c r="E1372" s="2" t="s">
        <v>414</v>
      </c>
      <c r="F1372" s="2" t="s">
        <v>40</v>
      </c>
      <c r="G1372" s="2" t="s">
        <v>418</v>
      </c>
      <c r="H1372" s="2" t="s">
        <v>560</v>
      </c>
      <c r="S1372" s="2" t="s">
        <v>57</v>
      </c>
      <c r="U1372" s="2" t="s">
        <v>58</v>
      </c>
      <c r="W1372" s="2" t="s">
        <v>60</v>
      </c>
    </row>
    <row r="1373" spans="1:34" x14ac:dyDescent="0.25">
      <c r="A1373" s="2" t="s">
        <v>315</v>
      </c>
      <c r="B1373" s="2" t="s">
        <v>531</v>
      </c>
      <c r="C1373" s="2" t="s">
        <v>407</v>
      </c>
      <c r="D1373" s="2" t="s">
        <v>410</v>
      </c>
      <c r="E1373" s="2" t="s">
        <v>414</v>
      </c>
      <c r="F1373" s="2" t="s">
        <v>40</v>
      </c>
      <c r="J1373" s="2" t="s">
        <v>532</v>
      </c>
      <c r="K1373" s="2" t="s">
        <v>533</v>
      </c>
      <c r="L1373" s="2">
        <v>1</v>
      </c>
      <c r="M1373" s="2" t="s">
        <v>534</v>
      </c>
      <c r="O1373" s="2" t="s">
        <v>524</v>
      </c>
      <c r="Y1373" s="2" t="s">
        <v>625</v>
      </c>
    </row>
    <row r="1374" spans="1:34" x14ac:dyDescent="0.25">
      <c r="A1374" s="2" t="s">
        <v>315</v>
      </c>
      <c r="B1374" s="2" t="s">
        <v>531</v>
      </c>
      <c r="C1374" s="2" t="s">
        <v>407</v>
      </c>
      <c r="D1374" s="2" t="s">
        <v>410</v>
      </c>
      <c r="E1374" s="2" t="s">
        <v>414</v>
      </c>
      <c r="F1374" s="2" t="s">
        <v>40</v>
      </c>
      <c r="J1374" s="2" t="s">
        <v>532</v>
      </c>
      <c r="K1374" s="2" t="s">
        <v>533</v>
      </c>
      <c r="L1374" s="2">
        <v>2</v>
      </c>
      <c r="M1374" s="2" t="s">
        <v>536</v>
      </c>
      <c r="O1374" s="2" t="s">
        <v>524</v>
      </c>
      <c r="Y1374" s="2" t="s">
        <v>625</v>
      </c>
    </row>
    <row r="1375" spans="1:34" x14ac:dyDescent="0.25">
      <c r="A1375" s="2" t="s">
        <v>315</v>
      </c>
      <c r="B1375" s="2" t="s">
        <v>531</v>
      </c>
      <c r="C1375" s="2" t="s">
        <v>407</v>
      </c>
      <c r="D1375" s="2" t="s">
        <v>410</v>
      </c>
      <c r="E1375" s="2" t="s">
        <v>414</v>
      </c>
      <c r="F1375" s="2" t="s">
        <v>40</v>
      </c>
      <c r="J1375" s="2" t="s">
        <v>532</v>
      </c>
      <c r="K1375" s="2" t="s">
        <v>533</v>
      </c>
      <c r="L1375" s="2">
        <v>3</v>
      </c>
      <c r="M1375" s="2" t="s">
        <v>537</v>
      </c>
      <c r="O1375" s="2" t="s">
        <v>524</v>
      </c>
      <c r="Y1375" s="2" t="s">
        <v>625</v>
      </c>
    </row>
    <row r="1376" spans="1:34" x14ac:dyDescent="0.25">
      <c r="A1376" s="2" t="s">
        <v>315</v>
      </c>
      <c r="B1376" s="2" t="s">
        <v>531</v>
      </c>
      <c r="C1376" s="2" t="s">
        <v>407</v>
      </c>
      <c r="D1376" s="2" t="s">
        <v>410</v>
      </c>
      <c r="E1376" s="2" t="s">
        <v>414</v>
      </c>
      <c r="F1376" s="2" t="s">
        <v>40</v>
      </c>
      <c r="J1376" s="2" t="s">
        <v>532</v>
      </c>
      <c r="K1376" s="2" t="s">
        <v>533</v>
      </c>
      <c r="L1376" s="2">
        <v>4</v>
      </c>
      <c r="M1376" s="2" t="s">
        <v>538</v>
      </c>
      <c r="O1376" s="2" t="s">
        <v>524</v>
      </c>
      <c r="Y1376" s="2" t="s">
        <v>625</v>
      </c>
    </row>
    <row r="1377" spans="1:34" x14ac:dyDescent="0.25">
      <c r="A1377" s="2" t="s">
        <v>315</v>
      </c>
      <c r="B1377" s="2" t="s">
        <v>531</v>
      </c>
      <c r="C1377" s="2" t="s">
        <v>407</v>
      </c>
      <c r="D1377" s="2" t="s">
        <v>410</v>
      </c>
      <c r="E1377" s="2" t="s">
        <v>414</v>
      </c>
      <c r="F1377" s="2" t="s">
        <v>40</v>
      </c>
      <c r="J1377" s="2" t="s">
        <v>532</v>
      </c>
      <c r="K1377" s="2" t="s">
        <v>533</v>
      </c>
      <c r="L1377" s="2">
        <v>5</v>
      </c>
      <c r="M1377" s="2" t="s">
        <v>539</v>
      </c>
      <c r="O1377" s="2" t="s">
        <v>524</v>
      </c>
      <c r="Y1377" s="2" t="s">
        <v>625</v>
      </c>
    </row>
    <row r="1378" spans="1:34" x14ac:dyDescent="0.25">
      <c r="A1378" s="2" t="s">
        <v>315</v>
      </c>
      <c r="B1378" s="2" t="s">
        <v>540</v>
      </c>
      <c r="C1378" s="2" t="s">
        <v>407</v>
      </c>
      <c r="D1378" s="2" t="s">
        <v>410</v>
      </c>
      <c r="E1378" s="2" t="s">
        <v>414</v>
      </c>
      <c r="F1378" s="2" t="s">
        <v>40</v>
      </c>
      <c r="J1378" s="2" t="s">
        <v>541</v>
      </c>
      <c r="K1378" s="2" t="s">
        <v>542</v>
      </c>
      <c r="L1378" s="2">
        <v>1</v>
      </c>
      <c r="M1378" s="2" t="s">
        <v>543</v>
      </c>
      <c r="O1378" s="2" t="s">
        <v>524</v>
      </c>
      <c r="Y1378" s="2" t="s">
        <v>625</v>
      </c>
    </row>
    <row r="1379" spans="1:34" x14ac:dyDescent="0.25">
      <c r="A1379" s="2" t="s">
        <v>315</v>
      </c>
      <c r="B1379" s="2" t="s">
        <v>540</v>
      </c>
      <c r="C1379" s="2" t="s">
        <v>407</v>
      </c>
      <c r="D1379" s="2" t="s">
        <v>410</v>
      </c>
      <c r="E1379" s="2" t="s">
        <v>414</v>
      </c>
      <c r="F1379" s="2" t="s">
        <v>40</v>
      </c>
      <c r="J1379" s="2" t="s">
        <v>541</v>
      </c>
      <c r="K1379" s="2" t="s">
        <v>542</v>
      </c>
      <c r="L1379" s="2">
        <v>2</v>
      </c>
      <c r="M1379" s="2" t="s">
        <v>544</v>
      </c>
      <c r="O1379" s="2" t="s">
        <v>524</v>
      </c>
      <c r="Y1379" s="2" t="s">
        <v>625</v>
      </c>
    </row>
    <row r="1380" spans="1:34" x14ac:dyDescent="0.25">
      <c r="A1380" s="2" t="s">
        <v>315</v>
      </c>
      <c r="B1380" s="2" t="s">
        <v>540</v>
      </c>
      <c r="C1380" s="2" t="s">
        <v>407</v>
      </c>
      <c r="D1380" s="2" t="s">
        <v>410</v>
      </c>
      <c r="E1380" s="2" t="s">
        <v>414</v>
      </c>
      <c r="F1380" s="2" t="s">
        <v>40</v>
      </c>
      <c r="J1380" s="2" t="s">
        <v>541</v>
      </c>
      <c r="K1380" s="2" t="s">
        <v>542</v>
      </c>
      <c r="L1380" s="2">
        <v>3</v>
      </c>
      <c r="M1380" s="2" t="s">
        <v>545</v>
      </c>
      <c r="O1380" s="2" t="s">
        <v>524</v>
      </c>
      <c r="Y1380" s="2" t="s">
        <v>625</v>
      </c>
    </row>
    <row r="1381" spans="1:34" x14ac:dyDescent="0.25">
      <c r="A1381" s="2" t="s">
        <v>315</v>
      </c>
      <c r="B1381" s="2" t="s">
        <v>540</v>
      </c>
      <c r="C1381" s="2" t="s">
        <v>407</v>
      </c>
      <c r="D1381" s="2" t="s">
        <v>410</v>
      </c>
      <c r="E1381" s="2" t="s">
        <v>414</v>
      </c>
      <c r="F1381" s="2" t="s">
        <v>40</v>
      </c>
      <c r="J1381" s="2" t="s">
        <v>541</v>
      </c>
      <c r="K1381" s="2" t="s">
        <v>542</v>
      </c>
      <c r="L1381" s="2">
        <v>4</v>
      </c>
      <c r="M1381" s="2" t="s">
        <v>546</v>
      </c>
      <c r="O1381" s="2" t="s">
        <v>524</v>
      </c>
      <c r="Y1381" s="2" t="s">
        <v>625</v>
      </c>
    </row>
    <row r="1382" spans="1:34" x14ac:dyDescent="0.25">
      <c r="A1382" s="2" t="s">
        <v>315</v>
      </c>
      <c r="B1382" s="2" t="s">
        <v>540</v>
      </c>
      <c r="C1382" s="2" t="s">
        <v>407</v>
      </c>
      <c r="D1382" s="2" t="s">
        <v>410</v>
      </c>
      <c r="E1382" s="2" t="s">
        <v>414</v>
      </c>
      <c r="F1382" s="2" t="s">
        <v>40</v>
      </c>
      <c r="J1382" s="2" t="s">
        <v>541</v>
      </c>
      <c r="K1382" s="2" t="s">
        <v>542</v>
      </c>
      <c r="L1382" s="2">
        <v>5</v>
      </c>
      <c r="M1382" s="2" t="s">
        <v>547</v>
      </c>
      <c r="O1382" s="2" t="s">
        <v>524</v>
      </c>
      <c r="Y1382" s="2" t="s">
        <v>625</v>
      </c>
    </row>
    <row r="1383" spans="1:34" x14ac:dyDescent="0.25">
      <c r="A1383" s="2" t="s">
        <v>315</v>
      </c>
      <c r="B1383" s="2" t="s">
        <v>540</v>
      </c>
      <c r="C1383" s="2" t="s">
        <v>407</v>
      </c>
      <c r="D1383" s="2" t="s">
        <v>410</v>
      </c>
      <c r="E1383" s="2" t="s">
        <v>414</v>
      </c>
      <c r="F1383" s="2" t="s">
        <v>40</v>
      </c>
      <c r="J1383" s="2" t="s">
        <v>541</v>
      </c>
      <c r="K1383" s="2" t="s">
        <v>542</v>
      </c>
      <c r="L1383" s="2">
        <v>6</v>
      </c>
      <c r="M1383" s="2" t="s">
        <v>548</v>
      </c>
      <c r="O1383" s="2" t="s">
        <v>524</v>
      </c>
      <c r="Y1383" s="2" t="s">
        <v>625</v>
      </c>
    </row>
    <row r="1384" spans="1:34" x14ac:dyDescent="0.25">
      <c r="A1384" s="2" t="s">
        <v>315</v>
      </c>
      <c r="B1384" s="2" t="s">
        <v>540</v>
      </c>
      <c r="C1384" s="2" t="s">
        <v>407</v>
      </c>
      <c r="D1384" s="2" t="s">
        <v>410</v>
      </c>
      <c r="E1384" s="2" t="s">
        <v>414</v>
      </c>
      <c r="F1384" s="2" t="s">
        <v>40</v>
      </c>
      <c r="J1384" s="2" t="s">
        <v>541</v>
      </c>
      <c r="K1384" s="2" t="s">
        <v>542</v>
      </c>
      <c r="L1384" s="2">
        <v>7</v>
      </c>
      <c r="M1384" s="2" t="s">
        <v>549</v>
      </c>
      <c r="O1384" s="2" t="s">
        <v>524</v>
      </c>
      <c r="Y1384" s="2" t="s">
        <v>625</v>
      </c>
    </row>
    <row r="1385" spans="1:34" x14ac:dyDescent="0.25">
      <c r="A1385" s="2" t="s">
        <v>315</v>
      </c>
      <c r="B1385" s="2" t="s">
        <v>540</v>
      </c>
      <c r="C1385" s="2" t="s">
        <v>407</v>
      </c>
      <c r="D1385" s="2" t="s">
        <v>410</v>
      </c>
      <c r="E1385" s="2" t="s">
        <v>414</v>
      </c>
      <c r="F1385" s="2" t="s">
        <v>40</v>
      </c>
      <c r="J1385" s="2" t="s">
        <v>541</v>
      </c>
      <c r="K1385" s="2" t="s">
        <v>542</v>
      </c>
      <c r="L1385" s="2">
        <v>8</v>
      </c>
      <c r="M1385" s="2" t="s">
        <v>550</v>
      </c>
      <c r="O1385" s="2" t="s">
        <v>524</v>
      </c>
      <c r="Y1385" s="2" t="s">
        <v>625</v>
      </c>
    </row>
    <row r="1386" spans="1:34" x14ac:dyDescent="0.25">
      <c r="A1386" s="2" t="s">
        <v>315</v>
      </c>
      <c r="B1386" s="2" t="s">
        <v>540</v>
      </c>
      <c r="C1386" s="2" t="s">
        <v>407</v>
      </c>
      <c r="D1386" s="2" t="s">
        <v>410</v>
      </c>
      <c r="E1386" s="2" t="s">
        <v>414</v>
      </c>
      <c r="F1386" s="2" t="s">
        <v>40</v>
      </c>
      <c r="J1386" s="2" t="s">
        <v>541</v>
      </c>
      <c r="K1386" s="2" t="s">
        <v>542</v>
      </c>
      <c r="L1386" s="2">
        <v>9</v>
      </c>
      <c r="M1386" s="2" t="s">
        <v>551</v>
      </c>
      <c r="O1386" s="2" t="s">
        <v>524</v>
      </c>
      <c r="Y1386" s="2" t="s">
        <v>625</v>
      </c>
    </row>
    <row r="1387" spans="1:34" x14ac:dyDescent="0.25">
      <c r="A1387" s="2" t="s">
        <v>315</v>
      </c>
      <c r="B1387" s="2" t="s">
        <v>540</v>
      </c>
      <c r="C1387" s="2" t="s">
        <v>407</v>
      </c>
      <c r="D1387" s="2" t="s">
        <v>410</v>
      </c>
      <c r="E1387" s="2" t="s">
        <v>414</v>
      </c>
      <c r="F1387" s="2" t="s">
        <v>40</v>
      </c>
      <c r="J1387" s="2" t="s">
        <v>541</v>
      </c>
      <c r="K1387" s="2" t="s">
        <v>542</v>
      </c>
      <c r="L1387" s="2">
        <v>10</v>
      </c>
      <c r="M1387" s="2" t="s">
        <v>552</v>
      </c>
      <c r="O1387" s="2" t="s">
        <v>524</v>
      </c>
      <c r="Y1387" s="2" t="s">
        <v>625</v>
      </c>
    </row>
    <row r="1388" spans="1:34" x14ac:dyDescent="0.25">
      <c r="A1388" s="2" t="s">
        <v>315</v>
      </c>
      <c r="B1388" s="2" t="s">
        <v>540</v>
      </c>
      <c r="C1388" s="2" t="s">
        <v>407</v>
      </c>
      <c r="D1388" s="2" t="s">
        <v>410</v>
      </c>
      <c r="E1388" s="2" t="s">
        <v>414</v>
      </c>
      <c r="F1388" s="2" t="s">
        <v>40</v>
      </c>
      <c r="J1388" s="2" t="s">
        <v>541</v>
      </c>
      <c r="K1388" s="2" t="s">
        <v>542</v>
      </c>
      <c r="L1388" s="2">
        <v>11</v>
      </c>
      <c r="M1388" s="2" t="s">
        <v>553</v>
      </c>
      <c r="O1388" s="2" t="s">
        <v>524</v>
      </c>
      <c r="Y1388" s="2" t="s">
        <v>625</v>
      </c>
    </row>
    <row r="1389" spans="1:34" x14ac:dyDescent="0.25">
      <c r="A1389" s="2" t="s">
        <v>315</v>
      </c>
      <c r="B1389" s="2" t="s">
        <v>540</v>
      </c>
      <c r="C1389" s="2" t="s">
        <v>407</v>
      </c>
      <c r="D1389" s="2" t="s">
        <v>410</v>
      </c>
      <c r="E1389" s="2" t="s">
        <v>414</v>
      </c>
      <c r="F1389" s="2" t="s">
        <v>40</v>
      </c>
      <c r="J1389" s="2" t="s">
        <v>541</v>
      </c>
      <c r="K1389" s="2" t="s">
        <v>542</v>
      </c>
      <c r="L1389" s="2">
        <v>12</v>
      </c>
      <c r="M1389" s="2" t="s">
        <v>554</v>
      </c>
      <c r="O1389" s="2" t="s">
        <v>524</v>
      </c>
      <c r="Y1389" s="2" t="s">
        <v>625</v>
      </c>
    </row>
    <row r="1390" spans="1:34" x14ac:dyDescent="0.25">
      <c r="A1390" s="2" t="s">
        <v>315</v>
      </c>
      <c r="B1390" s="2" t="s">
        <v>555</v>
      </c>
      <c r="C1390" s="2" t="s">
        <v>407</v>
      </c>
      <c r="D1390" s="2" t="s">
        <v>410</v>
      </c>
      <c r="E1390" s="2" t="s">
        <v>414</v>
      </c>
      <c r="F1390" s="2" t="s">
        <v>40</v>
      </c>
      <c r="J1390" s="2" t="s">
        <v>556</v>
      </c>
      <c r="O1390" s="2" t="s">
        <v>524</v>
      </c>
      <c r="Y1390" s="2" t="s">
        <v>625</v>
      </c>
      <c r="AB1390" s="2">
        <v>2</v>
      </c>
    </row>
    <row r="1391" spans="1:34" x14ac:dyDescent="0.25">
      <c r="A1391" s="2" t="s">
        <v>315</v>
      </c>
      <c r="B1391" s="2" t="s">
        <v>557</v>
      </c>
      <c r="C1391" s="2" t="s">
        <v>407</v>
      </c>
      <c r="D1391" s="2" t="s">
        <v>410</v>
      </c>
      <c r="E1391" s="2" t="s">
        <v>414</v>
      </c>
      <c r="F1391" s="2" t="s">
        <v>40</v>
      </c>
      <c r="J1391" s="2" t="s">
        <v>558</v>
      </c>
      <c r="O1391" s="2" t="s">
        <v>524</v>
      </c>
      <c r="Y1391" s="2" t="s">
        <v>625</v>
      </c>
      <c r="AC1391" s="2">
        <f>COUNTIFS($B:$B,"BLOCK_LOAD_Q",$A:$A,$A1391,$C:$C,$C1391,$E:$E,$E1391,$F:$F,$F1391,$N:$N, "&lt;&gt;")</f>
        <v>0</v>
      </c>
      <c r="AD1391" s="2">
        <f>COUNTIFS($B:$B,"BLOCK_TRUST_Q",$A:$A,$A1391,$C:$C,$C1391,$E:$E,$E1391,$F:$F,$F1391,$N:$N, "&lt;&gt;")</f>
        <v>0</v>
      </c>
      <c r="AE1391" s="2" t="str">
        <f>IFERROR(AVERAGEIFS($P:$P,$B:$B,"BLOCK_LOAD_Q",$A:$A,$A1391,$C:$C,$C1391,$E:$E,$E1391,$F:$F,$F1391,$P:$P,"&gt;0"),"")</f>
        <v/>
      </c>
      <c r="AF1391" s="2" t="str">
        <f>IFERROR(AVERAGEIFS($P:$P,$B:$B,"BLOCK_TRUST_Q",$A:$A,$A1391,$C:$C,$C1391,$E:$E,$E1391,$F:$F,$F1391,$P:$P,"&gt;0"),"")</f>
        <v/>
      </c>
      <c r="AG1391" s="2">
        <f>5-AC1391</f>
        <v>5</v>
      </c>
      <c r="AH1391" s="2">
        <f>12-AD1391</f>
        <v>12</v>
      </c>
    </row>
    <row r="1392" spans="1:34" x14ac:dyDescent="0.25">
      <c r="A1392" s="2" t="s">
        <v>315</v>
      </c>
      <c r="B1392" s="2" t="s">
        <v>403</v>
      </c>
      <c r="C1392" s="2" t="s">
        <v>407</v>
      </c>
      <c r="D1392" s="2" t="s">
        <v>410</v>
      </c>
      <c r="Z1392" s="2" t="s">
        <v>447</v>
      </c>
    </row>
    <row r="1393" spans="1:25" x14ac:dyDescent="0.25">
      <c r="A1393" s="2" t="s">
        <v>315</v>
      </c>
      <c r="B1393" s="2" t="s">
        <v>402</v>
      </c>
      <c r="C1393" s="2" t="s">
        <v>408</v>
      </c>
      <c r="D1393" s="2" t="s">
        <v>411</v>
      </c>
      <c r="E1393" s="2" t="s">
        <v>413</v>
      </c>
      <c r="F1393" s="2" t="s">
        <v>39</v>
      </c>
      <c r="G1393" s="2" t="s">
        <v>415</v>
      </c>
      <c r="H1393" s="2" t="s">
        <v>349</v>
      </c>
      <c r="S1393" s="2" t="s">
        <v>58</v>
      </c>
      <c r="U1393" s="2" t="s">
        <v>60</v>
      </c>
      <c r="W1393" s="2" t="s">
        <v>58</v>
      </c>
    </row>
    <row r="1394" spans="1:25" x14ac:dyDescent="0.25">
      <c r="A1394" s="2" t="s">
        <v>315</v>
      </c>
      <c r="B1394" s="2" t="s">
        <v>402</v>
      </c>
      <c r="C1394" s="2" t="s">
        <v>408</v>
      </c>
      <c r="D1394" s="2" t="s">
        <v>411</v>
      </c>
      <c r="E1394" s="2" t="s">
        <v>413</v>
      </c>
      <c r="F1394" s="2" t="s">
        <v>39</v>
      </c>
      <c r="G1394" s="2" t="s">
        <v>416</v>
      </c>
      <c r="H1394" s="2" t="s">
        <v>565</v>
      </c>
      <c r="S1394" s="2" t="s">
        <v>59</v>
      </c>
      <c r="U1394" s="2" t="s">
        <v>60</v>
      </c>
      <c r="W1394" s="2" t="s">
        <v>60</v>
      </c>
    </row>
    <row r="1395" spans="1:25" x14ac:dyDescent="0.25">
      <c r="A1395" s="2" t="s">
        <v>315</v>
      </c>
      <c r="B1395" s="2" t="s">
        <v>402</v>
      </c>
      <c r="C1395" s="2" t="s">
        <v>408</v>
      </c>
      <c r="D1395" s="2" t="s">
        <v>411</v>
      </c>
      <c r="E1395" s="2" t="s">
        <v>413</v>
      </c>
      <c r="F1395" s="2" t="s">
        <v>39</v>
      </c>
      <c r="G1395" s="2" t="s">
        <v>417</v>
      </c>
      <c r="H1395" s="2" t="s">
        <v>361</v>
      </c>
      <c r="S1395" s="2" t="s">
        <v>60</v>
      </c>
      <c r="U1395" s="2" t="s">
        <v>60</v>
      </c>
      <c r="W1395" s="2" t="s">
        <v>60</v>
      </c>
    </row>
    <row r="1396" spans="1:25" x14ac:dyDescent="0.25">
      <c r="A1396" s="2" t="s">
        <v>315</v>
      </c>
      <c r="B1396" s="2" t="s">
        <v>402</v>
      </c>
      <c r="C1396" s="2" t="s">
        <v>408</v>
      </c>
      <c r="D1396" s="2" t="s">
        <v>411</v>
      </c>
      <c r="E1396" s="2" t="s">
        <v>413</v>
      </c>
      <c r="F1396" s="2" t="s">
        <v>39</v>
      </c>
      <c r="G1396" s="2" t="s">
        <v>418</v>
      </c>
      <c r="H1396" s="2" t="s">
        <v>353</v>
      </c>
      <c r="S1396" s="2" t="s">
        <v>58</v>
      </c>
      <c r="U1396" s="2" t="s">
        <v>59</v>
      </c>
      <c r="W1396" s="2" t="s">
        <v>58</v>
      </c>
    </row>
    <row r="1397" spans="1:25" x14ac:dyDescent="0.25">
      <c r="A1397" s="2" t="s">
        <v>315</v>
      </c>
      <c r="B1397" s="2" t="s">
        <v>402</v>
      </c>
      <c r="C1397" s="2" t="s">
        <v>408</v>
      </c>
      <c r="D1397" s="2" t="s">
        <v>411</v>
      </c>
      <c r="E1397" s="2" t="s">
        <v>413</v>
      </c>
      <c r="F1397" s="2" t="s">
        <v>39</v>
      </c>
      <c r="G1397" s="2" t="s">
        <v>419</v>
      </c>
      <c r="H1397" s="2" t="s">
        <v>371</v>
      </c>
      <c r="S1397" s="2" t="s">
        <v>60</v>
      </c>
      <c r="U1397" s="2" t="s">
        <v>59</v>
      </c>
      <c r="W1397" s="2" t="s">
        <v>57</v>
      </c>
    </row>
    <row r="1398" spans="1:25" x14ac:dyDescent="0.25">
      <c r="A1398" s="2" t="s">
        <v>315</v>
      </c>
      <c r="B1398" s="2" t="s">
        <v>531</v>
      </c>
      <c r="C1398" s="2" t="s">
        <v>408</v>
      </c>
      <c r="D1398" s="2" t="s">
        <v>411</v>
      </c>
      <c r="E1398" s="2" t="s">
        <v>413</v>
      </c>
      <c r="F1398" s="2" t="s">
        <v>39</v>
      </c>
      <c r="J1398" s="2" t="s">
        <v>532</v>
      </c>
      <c r="K1398" s="2" t="s">
        <v>533</v>
      </c>
      <c r="L1398" s="2">
        <v>1</v>
      </c>
      <c r="M1398" s="2" t="s">
        <v>534</v>
      </c>
      <c r="O1398" s="2" t="s">
        <v>524</v>
      </c>
      <c r="Y1398" s="2" t="s">
        <v>626</v>
      </c>
    </row>
    <row r="1399" spans="1:25" x14ac:dyDescent="0.25">
      <c r="A1399" s="2" t="s">
        <v>315</v>
      </c>
      <c r="B1399" s="2" t="s">
        <v>531</v>
      </c>
      <c r="C1399" s="2" t="s">
        <v>408</v>
      </c>
      <c r="D1399" s="2" t="s">
        <v>411</v>
      </c>
      <c r="E1399" s="2" t="s">
        <v>413</v>
      </c>
      <c r="F1399" s="2" t="s">
        <v>39</v>
      </c>
      <c r="J1399" s="2" t="s">
        <v>532</v>
      </c>
      <c r="K1399" s="2" t="s">
        <v>533</v>
      </c>
      <c r="L1399" s="2">
        <v>2</v>
      </c>
      <c r="M1399" s="2" t="s">
        <v>536</v>
      </c>
      <c r="O1399" s="2" t="s">
        <v>524</v>
      </c>
      <c r="Y1399" s="2" t="s">
        <v>626</v>
      </c>
    </row>
    <row r="1400" spans="1:25" x14ac:dyDescent="0.25">
      <c r="A1400" s="2" t="s">
        <v>315</v>
      </c>
      <c r="B1400" s="2" t="s">
        <v>531</v>
      </c>
      <c r="C1400" s="2" t="s">
        <v>408</v>
      </c>
      <c r="D1400" s="2" t="s">
        <v>411</v>
      </c>
      <c r="E1400" s="2" t="s">
        <v>413</v>
      </c>
      <c r="F1400" s="2" t="s">
        <v>39</v>
      </c>
      <c r="J1400" s="2" t="s">
        <v>532</v>
      </c>
      <c r="K1400" s="2" t="s">
        <v>533</v>
      </c>
      <c r="L1400" s="2">
        <v>3</v>
      </c>
      <c r="M1400" s="2" t="s">
        <v>537</v>
      </c>
      <c r="O1400" s="2" t="s">
        <v>524</v>
      </c>
      <c r="Y1400" s="2" t="s">
        <v>626</v>
      </c>
    </row>
    <row r="1401" spans="1:25" x14ac:dyDescent="0.25">
      <c r="A1401" s="2" t="s">
        <v>315</v>
      </c>
      <c r="B1401" s="2" t="s">
        <v>531</v>
      </c>
      <c r="C1401" s="2" t="s">
        <v>408</v>
      </c>
      <c r="D1401" s="2" t="s">
        <v>411</v>
      </c>
      <c r="E1401" s="2" t="s">
        <v>413</v>
      </c>
      <c r="F1401" s="2" t="s">
        <v>39</v>
      </c>
      <c r="J1401" s="2" t="s">
        <v>532</v>
      </c>
      <c r="K1401" s="2" t="s">
        <v>533</v>
      </c>
      <c r="L1401" s="2">
        <v>4</v>
      </c>
      <c r="M1401" s="2" t="s">
        <v>538</v>
      </c>
      <c r="O1401" s="2" t="s">
        <v>524</v>
      </c>
      <c r="Y1401" s="2" t="s">
        <v>626</v>
      </c>
    </row>
    <row r="1402" spans="1:25" x14ac:dyDescent="0.25">
      <c r="A1402" s="2" t="s">
        <v>315</v>
      </c>
      <c r="B1402" s="2" t="s">
        <v>531</v>
      </c>
      <c r="C1402" s="2" t="s">
        <v>408</v>
      </c>
      <c r="D1402" s="2" t="s">
        <v>411</v>
      </c>
      <c r="E1402" s="2" t="s">
        <v>413</v>
      </c>
      <c r="F1402" s="2" t="s">
        <v>39</v>
      </c>
      <c r="J1402" s="2" t="s">
        <v>532</v>
      </c>
      <c r="K1402" s="2" t="s">
        <v>533</v>
      </c>
      <c r="L1402" s="2">
        <v>5</v>
      </c>
      <c r="M1402" s="2" t="s">
        <v>539</v>
      </c>
      <c r="O1402" s="2" t="s">
        <v>524</v>
      </c>
      <c r="Y1402" s="2" t="s">
        <v>626</v>
      </c>
    </row>
    <row r="1403" spans="1:25" x14ac:dyDescent="0.25">
      <c r="A1403" s="2" t="s">
        <v>315</v>
      </c>
      <c r="B1403" s="2" t="s">
        <v>540</v>
      </c>
      <c r="C1403" s="2" t="s">
        <v>408</v>
      </c>
      <c r="D1403" s="2" t="s">
        <v>411</v>
      </c>
      <c r="E1403" s="2" t="s">
        <v>413</v>
      </c>
      <c r="F1403" s="2" t="s">
        <v>39</v>
      </c>
      <c r="J1403" s="2" t="s">
        <v>541</v>
      </c>
      <c r="K1403" s="2" t="s">
        <v>542</v>
      </c>
      <c r="L1403" s="2">
        <v>1</v>
      </c>
      <c r="M1403" s="2" t="s">
        <v>543</v>
      </c>
      <c r="O1403" s="2" t="s">
        <v>524</v>
      </c>
      <c r="Y1403" s="2" t="s">
        <v>626</v>
      </c>
    </row>
    <row r="1404" spans="1:25" x14ac:dyDescent="0.25">
      <c r="A1404" s="2" t="s">
        <v>315</v>
      </c>
      <c r="B1404" s="2" t="s">
        <v>540</v>
      </c>
      <c r="C1404" s="2" t="s">
        <v>408</v>
      </c>
      <c r="D1404" s="2" t="s">
        <v>411</v>
      </c>
      <c r="E1404" s="2" t="s">
        <v>413</v>
      </c>
      <c r="F1404" s="2" t="s">
        <v>39</v>
      </c>
      <c r="J1404" s="2" t="s">
        <v>541</v>
      </c>
      <c r="K1404" s="2" t="s">
        <v>542</v>
      </c>
      <c r="L1404" s="2">
        <v>2</v>
      </c>
      <c r="M1404" s="2" t="s">
        <v>544</v>
      </c>
      <c r="O1404" s="2" t="s">
        <v>524</v>
      </c>
      <c r="Y1404" s="2" t="s">
        <v>626</v>
      </c>
    </row>
    <row r="1405" spans="1:25" x14ac:dyDescent="0.25">
      <c r="A1405" s="2" t="s">
        <v>315</v>
      </c>
      <c r="B1405" s="2" t="s">
        <v>540</v>
      </c>
      <c r="C1405" s="2" t="s">
        <v>408</v>
      </c>
      <c r="D1405" s="2" t="s">
        <v>411</v>
      </c>
      <c r="E1405" s="2" t="s">
        <v>413</v>
      </c>
      <c r="F1405" s="2" t="s">
        <v>39</v>
      </c>
      <c r="J1405" s="2" t="s">
        <v>541</v>
      </c>
      <c r="K1405" s="2" t="s">
        <v>542</v>
      </c>
      <c r="L1405" s="2">
        <v>3</v>
      </c>
      <c r="M1405" s="2" t="s">
        <v>545</v>
      </c>
      <c r="O1405" s="2" t="s">
        <v>524</v>
      </c>
      <c r="Y1405" s="2" t="s">
        <v>626</v>
      </c>
    </row>
    <row r="1406" spans="1:25" x14ac:dyDescent="0.25">
      <c r="A1406" s="2" t="s">
        <v>315</v>
      </c>
      <c r="B1406" s="2" t="s">
        <v>540</v>
      </c>
      <c r="C1406" s="2" t="s">
        <v>408</v>
      </c>
      <c r="D1406" s="2" t="s">
        <v>411</v>
      </c>
      <c r="E1406" s="2" t="s">
        <v>413</v>
      </c>
      <c r="F1406" s="2" t="s">
        <v>39</v>
      </c>
      <c r="J1406" s="2" t="s">
        <v>541</v>
      </c>
      <c r="K1406" s="2" t="s">
        <v>542</v>
      </c>
      <c r="L1406" s="2">
        <v>4</v>
      </c>
      <c r="M1406" s="2" t="s">
        <v>546</v>
      </c>
      <c r="O1406" s="2" t="s">
        <v>524</v>
      </c>
      <c r="Y1406" s="2" t="s">
        <v>626</v>
      </c>
    </row>
    <row r="1407" spans="1:25" x14ac:dyDescent="0.25">
      <c r="A1407" s="2" t="s">
        <v>315</v>
      </c>
      <c r="B1407" s="2" t="s">
        <v>540</v>
      </c>
      <c r="C1407" s="2" t="s">
        <v>408</v>
      </c>
      <c r="D1407" s="2" t="s">
        <v>411</v>
      </c>
      <c r="E1407" s="2" t="s">
        <v>413</v>
      </c>
      <c r="F1407" s="2" t="s">
        <v>39</v>
      </c>
      <c r="J1407" s="2" t="s">
        <v>541</v>
      </c>
      <c r="K1407" s="2" t="s">
        <v>542</v>
      </c>
      <c r="L1407" s="2">
        <v>5</v>
      </c>
      <c r="M1407" s="2" t="s">
        <v>547</v>
      </c>
      <c r="O1407" s="2" t="s">
        <v>524</v>
      </c>
      <c r="Y1407" s="2" t="s">
        <v>626</v>
      </c>
    </row>
    <row r="1408" spans="1:25" x14ac:dyDescent="0.25">
      <c r="A1408" s="2" t="s">
        <v>315</v>
      </c>
      <c r="B1408" s="2" t="s">
        <v>540</v>
      </c>
      <c r="C1408" s="2" t="s">
        <v>408</v>
      </c>
      <c r="D1408" s="2" t="s">
        <v>411</v>
      </c>
      <c r="E1408" s="2" t="s">
        <v>413</v>
      </c>
      <c r="F1408" s="2" t="s">
        <v>39</v>
      </c>
      <c r="J1408" s="2" t="s">
        <v>541</v>
      </c>
      <c r="K1408" s="2" t="s">
        <v>542</v>
      </c>
      <c r="L1408" s="2">
        <v>6</v>
      </c>
      <c r="M1408" s="2" t="s">
        <v>548</v>
      </c>
      <c r="O1408" s="2" t="s">
        <v>524</v>
      </c>
      <c r="Y1408" s="2" t="s">
        <v>626</v>
      </c>
    </row>
    <row r="1409" spans="1:34" x14ac:dyDescent="0.25">
      <c r="A1409" s="2" t="s">
        <v>315</v>
      </c>
      <c r="B1409" s="2" t="s">
        <v>540</v>
      </c>
      <c r="C1409" s="2" t="s">
        <v>408</v>
      </c>
      <c r="D1409" s="2" t="s">
        <v>411</v>
      </c>
      <c r="E1409" s="2" t="s">
        <v>413</v>
      </c>
      <c r="F1409" s="2" t="s">
        <v>39</v>
      </c>
      <c r="J1409" s="2" t="s">
        <v>541</v>
      </c>
      <c r="K1409" s="2" t="s">
        <v>542</v>
      </c>
      <c r="L1409" s="2">
        <v>7</v>
      </c>
      <c r="M1409" s="2" t="s">
        <v>549</v>
      </c>
      <c r="O1409" s="2" t="s">
        <v>524</v>
      </c>
      <c r="Y1409" s="2" t="s">
        <v>626</v>
      </c>
    </row>
    <row r="1410" spans="1:34" x14ac:dyDescent="0.25">
      <c r="A1410" s="2" t="s">
        <v>315</v>
      </c>
      <c r="B1410" s="2" t="s">
        <v>540</v>
      </c>
      <c r="C1410" s="2" t="s">
        <v>408</v>
      </c>
      <c r="D1410" s="2" t="s">
        <v>411</v>
      </c>
      <c r="E1410" s="2" t="s">
        <v>413</v>
      </c>
      <c r="F1410" s="2" t="s">
        <v>39</v>
      </c>
      <c r="J1410" s="2" t="s">
        <v>541</v>
      </c>
      <c r="K1410" s="2" t="s">
        <v>542</v>
      </c>
      <c r="L1410" s="2">
        <v>8</v>
      </c>
      <c r="M1410" s="2" t="s">
        <v>550</v>
      </c>
      <c r="O1410" s="2" t="s">
        <v>524</v>
      </c>
      <c r="Y1410" s="2" t="s">
        <v>626</v>
      </c>
    </row>
    <row r="1411" spans="1:34" x14ac:dyDescent="0.25">
      <c r="A1411" s="2" t="s">
        <v>315</v>
      </c>
      <c r="B1411" s="2" t="s">
        <v>540</v>
      </c>
      <c r="C1411" s="2" t="s">
        <v>408</v>
      </c>
      <c r="D1411" s="2" t="s">
        <v>411</v>
      </c>
      <c r="E1411" s="2" t="s">
        <v>413</v>
      </c>
      <c r="F1411" s="2" t="s">
        <v>39</v>
      </c>
      <c r="J1411" s="2" t="s">
        <v>541</v>
      </c>
      <c r="K1411" s="2" t="s">
        <v>542</v>
      </c>
      <c r="L1411" s="2">
        <v>9</v>
      </c>
      <c r="M1411" s="2" t="s">
        <v>551</v>
      </c>
      <c r="O1411" s="2" t="s">
        <v>524</v>
      </c>
      <c r="Y1411" s="2" t="s">
        <v>626</v>
      </c>
    </row>
    <row r="1412" spans="1:34" x14ac:dyDescent="0.25">
      <c r="A1412" s="2" t="s">
        <v>315</v>
      </c>
      <c r="B1412" s="2" t="s">
        <v>540</v>
      </c>
      <c r="C1412" s="2" t="s">
        <v>408</v>
      </c>
      <c r="D1412" s="2" t="s">
        <v>411</v>
      </c>
      <c r="E1412" s="2" t="s">
        <v>413</v>
      </c>
      <c r="F1412" s="2" t="s">
        <v>39</v>
      </c>
      <c r="J1412" s="2" t="s">
        <v>541</v>
      </c>
      <c r="K1412" s="2" t="s">
        <v>542</v>
      </c>
      <c r="L1412" s="2">
        <v>10</v>
      </c>
      <c r="M1412" s="2" t="s">
        <v>552</v>
      </c>
      <c r="O1412" s="2" t="s">
        <v>524</v>
      </c>
      <c r="Y1412" s="2" t="s">
        <v>626</v>
      </c>
    </row>
    <row r="1413" spans="1:34" x14ac:dyDescent="0.25">
      <c r="A1413" s="2" t="s">
        <v>315</v>
      </c>
      <c r="B1413" s="2" t="s">
        <v>540</v>
      </c>
      <c r="C1413" s="2" t="s">
        <v>408</v>
      </c>
      <c r="D1413" s="2" t="s">
        <v>411</v>
      </c>
      <c r="E1413" s="2" t="s">
        <v>413</v>
      </c>
      <c r="F1413" s="2" t="s">
        <v>39</v>
      </c>
      <c r="J1413" s="2" t="s">
        <v>541</v>
      </c>
      <c r="K1413" s="2" t="s">
        <v>542</v>
      </c>
      <c r="L1413" s="2">
        <v>11</v>
      </c>
      <c r="M1413" s="2" t="s">
        <v>553</v>
      </c>
      <c r="O1413" s="2" t="s">
        <v>524</v>
      </c>
      <c r="Y1413" s="2" t="s">
        <v>626</v>
      </c>
    </row>
    <row r="1414" spans="1:34" x14ac:dyDescent="0.25">
      <c r="A1414" s="2" t="s">
        <v>315</v>
      </c>
      <c r="B1414" s="2" t="s">
        <v>540</v>
      </c>
      <c r="C1414" s="2" t="s">
        <v>408</v>
      </c>
      <c r="D1414" s="2" t="s">
        <v>411</v>
      </c>
      <c r="E1414" s="2" t="s">
        <v>413</v>
      </c>
      <c r="F1414" s="2" t="s">
        <v>39</v>
      </c>
      <c r="J1414" s="2" t="s">
        <v>541</v>
      </c>
      <c r="K1414" s="2" t="s">
        <v>542</v>
      </c>
      <c r="L1414" s="2">
        <v>12</v>
      </c>
      <c r="M1414" s="2" t="s">
        <v>554</v>
      </c>
      <c r="O1414" s="2" t="s">
        <v>524</v>
      </c>
      <c r="Y1414" s="2" t="s">
        <v>626</v>
      </c>
    </row>
    <row r="1415" spans="1:34" x14ac:dyDescent="0.25">
      <c r="A1415" s="2" t="s">
        <v>315</v>
      </c>
      <c r="B1415" s="2" t="s">
        <v>555</v>
      </c>
      <c r="C1415" s="2" t="s">
        <v>408</v>
      </c>
      <c r="D1415" s="2" t="s">
        <v>411</v>
      </c>
      <c r="E1415" s="2" t="s">
        <v>413</v>
      </c>
      <c r="F1415" s="2" t="s">
        <v>39</v>
      </c>
      <c r="J1415" s="2" t="s">
        <v>556</v>
      </c>
      <c r="O1415" s="2" t="s">
        <v>524</v>
      </c>
      <c r="Y1415" s="2" t="s">
        <v>626</v>
      </c>
      <c r="AB1415" s="2">
        <v>1</v>
      </c>
    </row>
    <row r="1416" spans="1:34" x14ac:dyDescent="0.25">
      <c r="A1416" s="2" t="s">
        <v>315</v>
      </c>
      <c r="B1416" s="2" t="s">
        <v>557</v>
      </c>
      <c r="C1416" s="2" t="s">
        <v>408</v>
      </c>
      <c r="D1416" s="2" t="s">
        <v>411</v>
      </c>
      <c r="E1416" s="2" t="s">
        <v>413</v>
      </c>
      <c r="F1416" s="2" t="s">
        <v>39</v>
      </c>
      <c r="J1416" s="2" t="s">
        <v>558</v>
      </c>
      <c r="O1416" s="2" t="s">
        <v>524</v>
      </c>
      <c r="Y1416" s="2" t="s">
        <v>626</v>
      </c>
      <c r="AC1416" s="2">
        <f>COUNTIFS($B:$B,"BLOCK_LOAD_Q",$A:$A,$A1416,$C:$C,$C1416,$E:$E,$E1416,$F:$F,$F1416,$N:$N, "&lt;&gt;")</f>
        <v>0</v>
      </c>
      <c r="AD1416" s="2">
        <f>COUNTIFS($B:$B,"BLOCK_TRUST_Q",$A:$A,$A1416,$C:$C,$C1416,$E:$E,$E1416,$F:$F,$F1416,$N:$N, "&lt;&gt;")</f>
        <v>0</v>
      </c>
      <c r="AE1416" s="2" t="str">
        <f>IFERROR(AVERAGEIFS($P:$P,$B:$B,"BLOCK_LOAD_Q",$A:$A,$A1416,$C:$C,$C1416,$E:$E,$E1416,$F:$F,$F1416,$P:$P,"&gt;0"),"")</f>
        <v/>
      </c>
      <c r="AF1416" s="2" t="str">
        <f>IFERROR(AVERAGEIFS($P:$P,$B:$B,"BLOCK_TRUST_Q",$A:$A,$A1416,$C:$C,$C1416,$E:$E,$E1416,$F:$F,$F1416,$P:$P,"&gt;0"),"")</f>
        <v/>
      </c>
      <c r="AG1416" s="2">
        <f>5-AC1416</f>
        <v>5</v>
      </c>
      <c r="AH1416" s="2">
        <f>12-AD1416</f>
        <v>12</v>
      </c>
    </row>
    <row r="1417" spans="1:34" x14ac:dyDescent="0.25">
      <c r="A1417" s="2" t="s">
        <v>315</v>
      </c>
      <c r="B1417" s="2" t="s">
        <v>402</v>
      </c>
      <c r="C1417" s="2" t="s">
        <v>408</v>
      </c>
      <c r="D1417" s="2" t="s">
        <v>411</v>
      </c>
      <c r="E1417" s="2" t="s">
        <v>414</v>
      </c>
      <c r="F1417" s="2" t="s">
        <v>40</v>
      </c>
      <c r="G1417" s="2" t="s">
        <v>415</v>
      </c>
      <c r="H1417" s="2" t="s">
        <v>357</v>
      </c>
      <c r="S1417" s="2" t="s">
        <v>59</v>
      </c>
      <c r="U1417" s="2" t="s">
        <v>60</v>
      </c>
      <c r="W1417" s="2" t="s">
        <v>57</v>
      </c>
    </row>
    <row r="1418" spans="1:34" x14ac:dyDescent="0.25">
      <c r="A1418" s="2" t="s">
        <v>315</v>
      </c>
      <c r="B1418" s="2" t="s">
        <v>402</v>
      </c>
      <c r="C1418" s="2" t="s">
        <v>408</v>
      </c>
      <c r="D1418" s="2" t="s">
        <v>411</v>
      </c>
      <c r="E1418" s="2" t="s">
        <v>414</v>
      </c>
      <c r="F1418" s="2" t="s">
        <v>40</v>
      </c>
      <c r="G1418" s="2" t="s">
        <v>416</v>
      </c>
      <c r="H1418" s="2" t="s">
        <v>348</v>
      </c>
      <c r="S1418" s="2" t="s">
        <v>58</v>
      </c>
      <c r="U1418" s="2" t="s">
        <v>59</v>
      </c>
      <c r="W1418" s="2" t="s">
        <v>59</v>
      </c>
    </row>
    <row r="1419" spans="1:34" x14ac:dyDescent="0.25">
      <c r="A1419" s="2" t="s">
        <v>315</v>
      </c>
      <c r="B1419" s="2" t="s">
        <v>402</v>
      </c>
      <c r="C1419" s="2" t="s">
        <v>408</v>
      </c>
      <c r="D1419" s="2" t="s">
        <v>411</v>
      </c>
      <c r="E1419" s="2" t="s">
        <v>414</v>
      </c>
      <c r="F1419" s="2" t="s">
        <v>40</v>
      </c>
      <c r="G1419" s="2" t="s">
        <v>417</v>
      </c>
      <c r="H1419" s="2" t="s">
        <v>562</v>
      </c>
      <c r="S1419" s="2" t="s">
        <v>59</v>
      </c>
      <c r="U1419" s="2" t="s">
        <v>57</v>
      </c>
      <c r="W1419" s="2" t="s">
        <v>57</v>
      </c>
    </row>
    <row r="1420" spans="1:34" x14ac:dyDescent="0.25">
      <c r="A1420" s="2" t="s">
        <v>315</v>
      </c>
      <c r="B1420" s="2" t="s">
        <v>402</v>
      </c>
      <c r="C1420" s="2" t="s">
        <v>408</v>
      </c>
      <c r="D1420" s="2" t="s">
        <v>411</v>
      </c>
      <c r="E1420" s="2" t="s">
        <v>414</v>
      </c>
      <c r="F1420" s="2" t="s">
        <v>40</v>
      </c>
      <c r="G1420" s="2" t="s">
        <v>418</v>
      </c>
      <c r="H1420" s="2" t="s">
        <v>563</v>
      </c>
      <c r="S1420" s="2" t="s">
        <v>57</v>
      </c>
      <c r="U1420" s="2" t="s">
        <v>60</v>
      </c>
      <c r="W1420" s="2" t="s">
        <v>60</v>
      </c>
    </row>
    <row r="1421" spans="1:34" x14ac:dyDescent="0.25">
      <c r="A1421" s="2" t="s">
        <v>315</v>
      </c>
      <c r="B1421" s="2" t="s">
        <v>531</v>
      </c>
      <c r="C1421" s="2" t="s">
        <v>408</v>
      </c>
      <c r="D1421" s="2" t="s">
        <v>411</v>
      </c>
      <c r="E1421" s="2" t="s">
        <v>414</v>
      </c>
      <c r="F1421" s="2" t="s">
        <v>40</v>
      </c>
      <c r="J1421" s="2" t="s">
        <v>532</v>
      </c>
      <c r="K1421" s="2" t="s">
        <v>533</v>
      </c>
      <c r="L1421" s="2">
        <v>1</v>
      </c>
      <c r="M1421" s="2" t="s">
        <v>534</v>
      </c>
      <c r="O1421" s="2" t="s">
        <v>524</v>
      </c>
      <c r="Y1421" s="2" t="s">
        <v>627</v>
      </c>
    </row>
    <row r="1422" spans="1:34" x14ac:dyDescent="0.25">
      <c r="A1422" s="2" t="s">
        <v>315</v>
      </c>
      <c r="B1422" s="2" t="s">
        <v>531</v>
      </c>
      <c r="C1422" s="2" t="s">
        <v>408</v>
      </c>
      <c r="D1422" s="2" t="s">
        <v>411</v>
      </c>
      <c r="E1422" s="2" t="s">
        <v>414</v>
      </c>
      <c r="F1422" s="2" t="s">
        <v>40</v>
      </c>
      <c r="J1422" s="2" t="s">
        <v>532</v>
      </c>
      <c r="K1422" s="2" t="s">
        <v>533</v>
      </c>
      <c r="L1422" s="2">
        <v>2</v>
      </c>
      <c r="M1422" s="2" t="s">
        <v>536</v>
      </c>
      <c r="O1422" s="2" t="s">
        <v>524</v>
      </c>
      <c r="Y1422" s="2" t="s">
        <v>627</v>
      </c>
    </row>
    <row r="1423" spans="1:34" x14ac:dyDescent="0.25">
      <c r="A1423" s="2" t="s">
        <v>315</v>
      </c>
      <c r="B1423" s="2" t="s">
        <v>531</v>
      </c>
      <c r="C1423" s="2" t="s">
        <v>408</v>
      </c>
      <c r="D1423" s="2" t="s">
        <v>411</v>
      </c>
      <c r="E1423" s="2" t="s">
        <v>414</v>
      </c>
      <c r="F1423" s="2" t="s">
        <v>40</v>
      </c>
      <c r="J1423" s="2" t="s">
        <v>532</v>
      </c>
      <c r="K1423" s="2" t="s">
        <v>533</v>
      </c>
      <c r="L1423" s="2">
        <v>3</v>
      </c>
      <c r="M1423" s="2" t="s">
        <v>537</v>
      </c>
      <c r="O1423" s="2" t="s">
        <v>524</v>
      </c>
      <c r="Y1423" s="2" t="s">
        <v>627</v>
      </c>
    </row>
    <row r="1424" spans="1:34" x14ac:dyDescent="0.25">
      <c r="A1424" s="2" t="s">
        <v>315</v>
      </c>
      <c r="B1424" s="2" t="s">
        <v>531</v>
      </c>
      <c r="C1424" s="2" t="s">
        <v>408</v>
      </c>
      <c r="D1424" s="2" t="s">
        <v>411</v>
      </c>
      <c r="E1424" s="2" t="s">
        <v>414</v>
      </c>
      <c r="F1424" s="2" t="s">
        <v>40</v>
      </c>
      <c r="J1424" s="2" t="s">
        <v>532</v>
      </c>
      <c r="K1424" s="2" t="s">
        <v>533</v>
      </c>
      <c r="L1424" s="2">
        <v>4</v>
      </c>
      <c r="M1424" s="2" t="s">
        <v>538</v>
      </c>
      <c r="O1424" s="2" t="s">
        <v>524</v>
      </c>
      <c r="Y1424" s="2" t="s">
        <v>627</v>
      </c>
    </row>
    <row r="1425" spans="1:34" x14ac:dyDescent="0.25">
      <c r="A1425" s="2" t="s">
        <v>315</v>
      </c>
      <c r="B1425" s="2" t="s">
        <v>531</v>
      </c>
      <c r="C1425" s="2" t="s">
        <v>408</v>
      </c>
      <c r="D1425" s="2" t="s">
        <v>411</v>
      </c>
      <c r="E1425" s="2" t="s">
        <v>414</v>
      </c>
      <c r="F1425" s="2" t="s">
        <v>40</v>
      </c>
      <c r="J1425" s="2" t="s">
        <v>532</v>
      </c>
      <c r="K1425" s="2" t="s">
        <v>533</v>
      </c>
      <c r="L1425" s="2">
        <v>5</v>
      </c>
      <c r="M1425" s="2" t="s">
        <v>539</v>
      </c>
      <c r="O1425" s="2" t="s">
        <v>524</v>
      </c>
      <c r="Y1425" s="2" t="s">
        <v>627</v>
      </c>
    </row>
    <row r="1426" spans="1:34" x14ac:dyDescent="0.25">
      <c r="A1426" s="2" t="s">
        <v>315</v>
      </c>
      <c r="B1426" s="2" t="s">
        <v>540</v>
      </c>
      <c r="C1426" s="2" t="s">
        <v>408</v>
      </c>
      <c r="D1426" s="2" t="s">
        <v>411</v>
      </c>
      <c r="E1426" s="2" t="s">
        <v>414</v>
      </c>
      <c r="F1426" s="2" t="s">
        <v>40</v>
      </c>
      <c r="J1426" s="2" t="s">
        <v>541</v>
      </c>
      <c r="K1426" s="2" t="s">
        <v>542</v>
      </c>
      <c r="L1426" s="2">
        <v>1</v>
      </c>
      <c r="M1426" s="2" t="s">
        <v>543</v>
      </c>
      <c r="O1426" s="2" t="s">
        <v>524</v>
      </c>
      <c r="Y1426" s="2" t="s">
        <v>627</v>
      </c>
    </row>
    <row r="1427" spans="1:34" x14ac:dyDescent="0.25">
      <c r="A1427" s="2" t="s">
        <v>315</v>
      </c>
      <c r="B1427" s="2" t="s">
        <v>540</v>
      </c>
      <c r="C1427" s="2" t="s">
        <v>408</v>
      </c>
      <c r="D1427" s="2" t="s">
        <v>411</v>
      </c>
      <c r="E1427" s="2" t="s">
        <v>414</v>
      </c>
      <c r="F1427" s="2" t="s">
        <v>40</v>
      </c>
      <c r="J1427" s="2" t="s">
        <v>541</v>
      </c>
      <c r="K1427" s="2" t="s">
        <v>542</v>
      </c>
      <c r="L1427" s="2">
        <v>2</v>
      </c>
      <c r="M1427" s="2" t="s">
        <v>544</v>
      </c>
      <c r="O1427" s="2" t="s">
        <v>524</v>
      </c>
      <c r="Y1427" s="2" t="s">
        <v>627</v>
      </c>
    </row>
    <row r="1428" spans="1:34" x14ac:dyDescent="0.25">
      <c r="A1428" s="2" t="s">
        <v>315</v>
      </c>
      <c r="B1428" s="2" t="s">
        <v>540</v>
      </c>
      <c r="C1428" s="2" t="s">
        <v>408</v>
      </c>
      <c r="D1428" s="2" t="s">
        <v>411</v>
      </c>
      <c r="E1428" s="2" t="s">
        <v>414</v>
      </c>
      <c r="F1428" s="2" t="s">
        <v>40</v>
      </c>
      <c r="J1428" s="2" t="s">
        <v>541</v>
      </c>
      <c r="K1428" s="2" t="s">
        <v>542</v>
      </c>
      <c r="L1428" s="2">
        <v>3</v>
      </c>
      <c r="M1428" s="2" t="s">
        <v>545</v>
      </c>
      <c r="O1428" s="2" t="s">
        <v>524</v>
      </c>
      <c r="Y1428" s="2" t="s">
        <v>627</v>
      </c>
    </row>
    <row r="1429" spans="1:34" x14ac:dyDescent="0.25">
      <c r="A1429" s="2" t="s">
        <v>315</v>
      </c>
      <c r="B1429" s="2" t="s">
        <v>540</v>
      </c>
      <c r="C1429" s="2" t="s">
        <v>408</v>
      </c>
      <c r="D1429" s="2" t="s">
        <v>411</v>
      </c>
      <c r="E1429" s="2" t="s">
        <v>414</v>
      </c>
      <c r="F1429" s="2" t="s">
        <v>40</v>
      </c>
      <c r="J1429" s="2" t="s">
        <v>541</v>
      </c>
      <c r="K1429" s="2" t="s">
        <v>542</v>
      </c>
      <c r="L1429" s="2">
        <v>4</v>
      </c>
      <c r="M1429" s="2" t="s">
        <v>546</v>
      </c>
      <c r="O1429" s="2" t="s">
        <v>524</v>
      </c>
      <c r="Y1429" s="2" t="s">
        <v>627</v>
      </c>
    </row>
    <row r="1430" spans="1:34" x14ac:dyDescent="0.25">
      <c r="A1430" s="2" t="s">
        <v>315</v>
      </c>
      <c r="B1430" s="2" t="s">
        <v>540</v>
      </c>
      <c r="C1430" s="2" t="s">
        <v>408</v>
      </c>
      <c r="D1430" s="2" t="s">
        <v>411</v>
      </c>
      <c r="E1430" s="2" t="s">
        <v>414</v>
      </c>
      <c r="F1430" s="2" t="s">
        <v>40</v>
      </c>
      <c r="J1430" s="2" t="s">
        <v>541</v>
      </c>
      <c r="K1430" s="2" t="s">
        <v>542</v>
      </c>
      <c r="L1430" s="2">
        <v>5</v>
      </c>
      <c r="M1430" s="2" t="s">
        <v>547</v>
      </c>
      <c r="O1430" s="2" t="s">
        <v>524</v>
      </c>
      <c r="Y1430" s="2" t="s">
        <v>627</v>
      </c>
    </row>
    <row r="1431" spans="1:34" x14ac:dyDescent="0.25">
      <c r="A1431" s="2" t="s">
        <v>315</v>
      </c>
      <c r="B1431" s="2" t="s">
        <v>540</v>
      </c>
      <c r="C1431" s="2" t="s">
        <v>408</v>
      </c>
      <c r="D1431" s="2" t="s">
        <v>411</v>
      </c>
      <c r="E1431" s="2" t="s">
        <v>414</v>
      </c>
      <c r="F1431" s="2" t="s">
        <v>40</v>
      </c>
      <c r="J1431" s="2" t="s">
        <v>541</v>
      </c>
      <c r="K1431" s="2" t="s">
        <v>542</v>
      </c>
      <c r="L1431" s="2">
        <v>6</v>
      </c>
      <c r="M1431" s="2" t="s">
        <v>548</v>
      </c>
      <c r="O1431" s="2" t="s">
        <v>524</v>
      </c>
      <c r="Y1431" s="2" t="s">
        <v>627</v>
      </c>
    </row>
    <row r="1432" spans="1:34" x14ac:dyDescent="0.25">
      <c r="A1432" s="2" t="s">
        <v>315</v>
      </c>
      <c r="B1432" s="2" t="s">
        <v>540</v>
      </c>
      <c r="C1432" s="2" t="s">
        <v>408</v>
      </c>
      <c r="D1432" s="2" t="s">
        <v>411</v>
      </c>
      <c r="E1432" s="2" t="s">
        <v>414</v>
      </c>
      <c r="F1432" s="2" t="s">
        <v>40</v>
      </c>
      <c r="J1432" s="2" t="s">
        <v>541</v>
      </c>
      <c r="K1432" s="2" t="s">
        <v>542</v>
      </c>
      <c r="L1432" s="2">
        <v>7</v>
      </c>
      <c r="M1432" s="2" t="s">
        <v>549</v>
      </c>
      <c r="O1432" s="2" t="s">
        <v>524</v>
      </c>
      <c r="Y1432" s="2" t="s">
        <v>627</v>
      </c>
    </row>
    <row r="1433" spans="1:34" x14ac:dyDescent="0.25">
      <c r="A1433" s="2" t="s">
        <v>315</v>
      </c>
      <c r="B1433" s="2" t="s">
        <v>540</v>
      </c>
      <c r="C1433" s="2" t="s">
        <v>408</v>
      </c>
      <c r="D1433" s="2" t="s">
        <v>411</v>
      </c>
      <c r="E1433" s="2" t="s">
        <v>414</v>
      </c>
      <c r="F1433" s="2" t="s">
        <v>40</v>
      </c>
      <c r="J1433" s="2" t="s">
        <v>541</v>
      </c>
      <c r="K1433" s="2" t="s">
        <v>542</v>
      </c>
      <c r="L1433" s="2">
        <v>8</v>
      </c>
      <c r="M1433" s="2" t="s">
        <v>550</v>
      </c>
      <c r="O1433" s="2" t="s">
        <v>524</v>
      </c>
      <c r="Y1433" s="2" t="s">
        <v>627</v>
      </c>
    </row>
    <row r="1434" spans="1:34" x14ac:dyDescent="0.25">
      <c r="A1434" s="2" t="s">
        <v>315</v>
      </c>
      <c r="B1434" s="2" t="s">
        <v>540</v>
      </c>
      <c r="C1434" s="2" t="s">
        <v>408</v>
      </c>
      <c r="D1434" s="2" t="s">
        <v>411</v>
      </c>
      <c r="E1434" s="2" t="s">
        <v>414</v>
      </c>
      <c r="F1434" s="2" t="s">
        <v>40</v>
      </c>
      <c r="J1434" s="2" t="s">
        <v>541</v>
      </c>
      <c r="K1434" s="2" t="s">
        <v>542</v>
      </c>
      <c r="L1434" s="2">
        <v>9</v>
      </c>
      <c r="M1434" s="2" t="s">
        <v>551</v>
      </c>
      <c r="O1434" s="2" t="s">
        <v>524</v>
      </c>
      <c r="Y1434" s="2" t="s">
        <v>627</v>
      </c>
    </row>
    <row r="1435" spans="1:34" x14ac:dyDescent="0.25">
      <c r="A1435" s="2" t="s">
        <v>315</v>
      </c>
      <c r="B1435" s="2" t="s">
        <v>540</v>
      </c>
      <c r="C1435" s="2" t="s">
        <v>408</v>
      </c>
      <c r="D1435" s="2" t="s">
        <v>411</v>
      </c>
      <c r="E1435" s="2" t="s">
        <v>414</v>
      </c>
      <c r="F1435" s="2" t="s">
        <v>40</v>
      </c>
      <c r="J1435" s="2" t="s">
        <v>541</v>
      </c>
      <c r="K1435" s="2" t="s">
        <v>542</v>
      </c>
      <c r="L1435" s="2">
        <v>10</v>
      </c>
      <c r="M1435" s="2" t="s">
        <v>552</v>
      </c>
      <c r="O1435" s="2" t="s">
        <v>524</v>
      </c>
      <c r="Y1435" s="2" t="s">
        <v>627</v>
      </c>
    </row>
    <row r="1436" spans="1:34" x14ac:dyDescent="0.25">
      <c r="A1436" s="2" t="s">
        <v>315</v>
      </c>
      <c r="B1436" s="2" t="s">
        <v>540</v>
      </c>
      <c r="C1436" s="2" t="s">
        <v>408</v>
      </c>
      <c r="D1436" s="2" t="s">
        <v>411</v>
      </c>
      <c r="E1436" s="2" t="s">
        <v>414</v>
      </c>
      <c r="F1436" s="2" t="s">
        <v>40</v>
      </c>
      <c r="J1436" s="2" t="s">
        <v>541</v>
      </c>
      <c r="K1436" s="2" t="s">
        <v>542</v>
      </c>
      <c r="L1436" s="2">
        <v>11</v>
      </c>
      <c r="M1436" s="2" t="s">
        <v>553</v>
      </c>
      <c r="O1436" s="2" t="s">
        <v>524</v>
      </c>
      <c r="Y1436" s="2" t="s">
        <v>627</v>
      </c>
    </row>
    <row r="1437" spans="1:34" x14ac:dyDescent="0.25">
      <c r="A1437" s="2" t="s">
        <v>315</v>
      </c>
      <c r="B1437" s="2" t="s">
        <v>540</v>
      </c>
      <c r="C1437" s="2" t="s">
        <v>408</v>
      </c>
      <c r="D1437" s="2" t="s">
        <v>411</v>
      </c>
      <c r="E1437" s="2" t="s">
        <v>414</v>
      </c>
      <c r="F1437" s="2" t="s">
        <v>40</v>
      </c>
      <c r="J1437" s="2" t="s">
        <v>541</v>
      </c>
      <c r="K1437" s="2" t="s">
        <v>542</v>
      </c>
      <c r="L1437" s="2">
        <v>12</v>
      </c>
      <c r="M1437" s="2" t="s">
        <v>554</v>
      </c>
      <c r="O1437" s="2" t="s">
        <v>524</v>
      </c>
      <c r="Y1437" s="2" t="s">
        <v>627</v>
      </c>
    </row>
    <row r="1438" spans="1:34" x14ac:dyDescent="0.25">
      <c r="A1438" s="2" t="s">
        <v>315</v>
      </c>
      <c r="B1438" s="2" t="s">
        <v>555</v>
      </c>
      <c r="C1438" s="2" t="s">
        <v>408</v>
      </c>
      <c r="D1438" s="2" t="s">
        <v>411</v>
      </c>
      <c r="E1438" s="2" t="s">
        <v>414</v>
      </c>
      <c r="F1438" s="2" t="s">
        <v>40</v>
      </c>
      <c r="J1438" s="2" t="s">
        <v>556</v>
      </c>
      <c r="O1438" s="2" t="s">
        <v>524</v>
      </c>
      <c r="Y1438" s="2" t="s">
        <v>627</v>
      </c>
      <c r="AB1438" s="2">
        <v>2</v>
      </c>
    </row>
    <row r="1439" spans="1:34" x14ac:dyDescent="0.25">
      <c r="A1439" s="2" t="s">
        <v>315</v>
      </c>
      <c r="B1439" s="2" t="s">
        <v>557</v>
      </c>
      <c r="C1439" s="2" t="s">
        <v>408</v>
      </c>
      <c r="D1439" s="2" t="s">
        <v>411</v>
      </c>
      <c r="E1439" s="2" t="s">
        <v>414</v>
      </c>
      <c r="F1439" s="2" t="s">
        <v>40</v>
      </c>
      <c r="J1439" s="2" t="s">
        <v>558</v>
      </c>
      <c r="O1439" s="2" t="s">
        <v>524</v>
      </c>
      <c r="Y1439" s="2" t="s">
        <v>627</v>
      </c>
      <c r="AC1439" s="2">
        <f>COUNTIFS($B:$B,"BLOCK_LOAD_Q",$A:$A,$A1439,$C:$C,$C1439,$E:$E,$E1439,$F:$F,$F1439,$N:$N, "&lt;&gt;")</f>
        <v>0</v>
      </c>
      <c r="AD1439" s="2">
        <f>COUNTIFS($B:$B,"BLOCK_TRUST_Q",$A:$A,$A1439,$C:$C,$C1439,$E:$E,$E1439,$F:$F,$F1439,$N:$N, "&lt;&gt;")</f>
        <v>0</v>
      </c>
      <c r="AE1439" s="2" t="str">
        <f>IFERROR(AVERAGEIFS($P:$P,$B:$B,"BLOCK_LOAD_Q",$A:$A,$A1439,$C:$C,$C1439,$E:$E,$E1439,$F:$F,$F1439,$P:$P,"&gt;0"),"")</f>
        <v/>
      </c>
      <c r="AF1439" s="2" t="str">
        <f>IFERROR(AVERAGEIFS($P:$P,$B:$B,"BLOCK_TRUST_Q",$A:$A,$A1439,$C:$C,$C1439,$E:$E,$E1439,$F:$F,$F1439,$P:$P,"&gt;0"),"")</f>
        <v/>
      </c>
      <c r="AG1439" s="2">
        <f>5-AC1439</f>
        <v>5</v>
      </c>
      <c r="AH1439" s="2">
        <f>12-AD1439</f>
        <v>12</v>
      </c>
    </row>
    <row r="1440" spans="1:34" x14ac:dyDescent="0.25">
      <c r="A1440" s="2" t="s">
        <v>315</v>
      </c>
      <c r="B1440" s="2" t="s">
        <v>403</v>
      </c>
      <c r="C1440" s="2" t="s">
        <v>408</v>
      </c>
      <c r="D1440" s="2" t="s">
        <v>411</v>
      </c>
      <c r="Z1440" s="2" t="s">
        <v>448</v>
      </c>
    </row>
    <row r="1441" spans="1:25" x14ac:dyDescent="0.25">
      <c r="A1441" s="2" t="s">
        <v>315</v>
      </c>
      <c r="B1441" s="2" t="s">
        <v>402</v>
      </c>
      <c r="C1441" s="2" t="s">
        <v>409</v>
      </c>
      <c r="D1441" s="2" t="s">
        <v>412</v>
      </c>
      <c r="E1441" s="2" t="s">
        <v>413</v>
      </c>
      <c r="F1441" s="2" t="s">
        <v>40</v>
      </c>
      <c r="G1441" s="2" t="s">
        <v>415</v>
      </c>
      <c r="H1441" s="2" t="s">
        <v>567</v>
      </c>
      <c r="S1441" s="2" t="s">
        <v>58</v>
      </c>
      <c r="U1441" s="2" t="s">
        <v>57</v>
      </c>
      <c r="W1441" s="2" t="s">
        <v>60</v>
      </c>
    </row>
    <row r="1442" spans="1:25" x14ac:dyDescent="0.25">
      <c r="A1442" s="2" t="s">
        <v>315</v>
      </c>
      <c r="B1442" s="2" t="s">
        <v>402</v>
      </c>
      <c r="C1442" s="2" t="s">
        <v>409</v>
      </c>
      <c r="D1442" s="2" t="s">
        <v>412</v>
      </c>
      <c r="E1442" s="2" t="s">
        <v>413</v>
      </c>
      <c r="F1442" s="2" t="s">
        <v>40</v>
      </c>
      <c r="G1442" s="2" t="s">
        <v>416</v>
      </c>
      <c r="H1442" s="2" t="s">
        <v>568</v>
      </c>
      <c r="S1442" s="2" t="s">
        <v>59</v>
      </c>
      <c r="U1442" s="2" t="s">
        <v>60</v>
      </c>
      <c r="W1442" s="2" t="s">
        <v>59</v>
      </c>
    </row>
    <row r="1443" spans="1:25" x14ac:dyDescent="0.25">
      <c r="A1443" s="2" t="s">
        <v>315</v>
      </c>
      <c r="B1443" s="2" t="s">
        <v>402</v>
      </c>
      <c r="C1443" s="2" t="s">
        <v>409</v>
      </c>
      <c r="D1443" s="2" t="s">
        <v>412</v>
      </c>
      <c r="E1443" s="2" t="s">
        <v>413</v>
      </c>
      <c r="F1443" s="2" t="s">
        <v>40</v>
      </c>
      <c r="G1443" s="2" t="s">
        <v>417</v>
      </c>
      <c r="H1443" s="2" t="s">
        <v>569</v>
      </c>
      <c r="S1443" s="2" t="s">
        <v>57</v>
      </c>
      <c r="U1443" s="2" t="s">
        <v>60</v>
      </c>
      <c r="W1443" s="2" t="s">
        <v>57</v>
      </c>
    </row>
    <row r="1444" spans="1:25" x14ac:dyDescent="0.25">
      <c r="A1444" s="2" t="s">
        <v>315</v>
      </c>
      <c r="B1444" s="2" t="s">
        <v>402</v>
      </c>
      <c r="C1444" s="2" t="s">
        <v>409</v>
      </c>
      <c r="D1444" s="2" t="s">
        <v>412</v>
      </c>
      <c r="E1444" s="2" t="s">
        <v>413</v>
      </c>
      <c r="F1444" s="2" t="s">
        <v>40</v>
      </c>
      <c r="G1444" s="2" t="s">
        <v>418</v>
      </c>
      <c r="H1444" s="2" t="s">
        <v>351</v>
      </c>
      <c r="S1444" s="2" t="s">
        <v>60</v>
      </c>
      <c r="U1444" s="2" t="s">
        <v>57</v>
      </c>
      <c r="W1444" s="2" t="s">
        <v>57</v>
      </c>
    </row>
    <row r="1445" spans="1:25" x14ac:dyDescent="0.25">
      <c r="A1445" s="2" t="s">
        <v>315</v>
      </c>
      <c r="B1445" s="2" t="s">
        <v>531</v>
      </c>
      <c r="C1445" s="2" t="s">
        <v>409</v>
      </c>
      <c r="D1445" s="2" t="s">
        <v>412</v>
      </c>
      <c r="E1445" s="2" t="s">
        <v>413</v>
      </c>
      <c r="F1445" s="2" t="s">
        <v>40</v>
      </c>
      <c r="J1445" s="2" t="s">
        <v>532</v>
      </c>
      <c r="K1445" s="2" t="s">
        <v>533</v>
      </c>
      <c r="L1445" s="2">
        <v>1</v>
      </c>
      <c r="M1445" s="2" t="s">
        <v>534</v>
      </c>
      <c r="O1445" s="2" t="s">
        <v>524</v>
      </c>
      <c r="Y1445" s="2" t="s">
        <v>628</v>
      </c>
    </row>
    <row r="1446" spans="1:25" x14ac:dyDescent="0.25">
      <c r="A1446" s="2" t="s">
        <v>315</v>
      </c>
      <c r="B1446" s="2" t="s">
        <v>531</v>
      </c>
      <c r="C1446" s="2" t="s">
        <v>409</v>
      </c>
      <c r="D1446" s="2" t="s">
        <v>412</v>
      </c>
      <c r="E1446" s="2" t="s">
        <v>413</v>
      </c>
      <c r="F1446" s="2" t="s">
        <v>40</v>
      </c>
      <c r="J1446" s="2" t="s">
        <v>532</v>
      </c>
      <c r="K1446" s="2" t="s">
        <v>533</v>
      </c>
      <c r="L1446" s="2">
        <v>2</v>
      </c>
      <c r="M1446" s="2" t="s">
        <v>536</v>
      </c>
      <c r="O1446" s="2" t="s">
        <v>524</v>
      </c>
      <c r="Y1446" s="2" t="s">
        <v>628</v>
      </c>
    </row>
    <row r="1447" spans="1:25" x14ac:dyDescent="0.25">
      <c r="A1447" s="2" t="s">
        <v>315</v>
      </c>
      <c r="B1447" s="2" t="s">
        <v>531</v>
      </c>
      <c r="C1447" s="2" t="s">
        <v>409</v>
      </c>
      <c r="D1447" s="2" t="s">
        <v>412</v>
      </c>
      <c r="E1447" s="2" t="s">
        <v>413</v>
      </c>
      <c r="F1447" s="2" t="s">
        <v>40</v>
      </c>
      <c r="J1447" s="2" t="s">
        <v>532</v>
      </c>
      <c r="K1447" s="2" t="s">
        <v>533</v>
      </c>
      <c r="L1447" s="2">
        <v>3</v>
      </c>
      <c r="M1447" s="2" t="s">
        <v>537</v>
      </c>
      <c r="O1447" s="2" t="s">
        <v>524</v>
      </c>
      <c r="Y1447" s="2" t="s">
        <v>628</v>
      </c>
    </row>
    <row r="1448" spans="1:25" x14ac:dyDescent="0.25">
      <c r="A1448" s="2" t="s">
        <v>315</v>
      </c>
      <c r="B1448" s="2" t="s">
        <v>531</v>
      </c>
      <c r="C1448" s="2" t="s">
        <v>409</v>
      </c>
      <c r="D1448" s="2" t="s">
        <v>412</v>
      </c>
      <c r="E1448" s="2" t="s">
        <v>413</v>
      </c>
      <c r="F1448" s="2" t="s">
        <v>40</v>
      </c>
      <c r="J1448" s="2" t="s">
        <v>532</v>
      </c>
      <c r="K1448" s="2" t="s">
        <v>533</v>
      </c>
      <c r="L1448" s="2">
        <v>4</v>
      </c>
      <c r="M1448" s="2" t="s">
        <v>538</v>
      </c>
      <c r="O1448" s="2" t="s">
        <v>524</v>
      </c>
      <c r="Y1448" s="2" t="s">
        <v>628</v>
      </c>
    </row>
    <row r="1449" spans="1:25" x14ac:dyDescent="0.25">
      <c r="A1449" s="2" t="s">
        <v>315</v>
      </c>
      <c r="B1449" s="2" t="s">
        <v>531</v>
      </c>
      <c r="C1449" s="2" t="s">
        <v>409</v>
      </c>
      <c r="D1449" s="2" t="s">
        <v>412</v>
      </c>
      <c r="E1449" s="2" t="s">
        <v>413</v>
      </c>
      <c r="F1449" s="2" t="s">
        <v>40</v>
      </c>
      <c r="J1449" s="2" t="s">
        <v>532</v>
      </c>
      <c r="K1449" s="2" t="s">
        <v>533</v>
      </c>
      <c r="L1449" s="2">
        <v>5</v>
      </c>
      <c r="M1449" s="2" t="s">
        <v>539</v>
      </c>
      <c r="O1449" s="2" t="s">
        <v>524</v>
      </c>
      <c r="Y1449" s="2" t="s">
        <v>628</v>
      </c>
    </row>
    <row r="1450" spans="1:25" x14ac:dyDescent="0.25">
      <c r="A1450" s="2" t="s">
        <v>315</v>
      </c>
      <c r="B1450" s="2" t="s">
        <v>540</v>
      </c>
      <c r="C1450" s="2" t="s">
        <v>409</v>
      </c>
      <c r="D1450" s="2" t="s">
        <v>412</v>
      </c>
      <c r="E1450" s="2" t="s">
        <v>413</v>
      </c>
      <c r="F1450" s="2" t="s">
        <v>40</v>
      </c>
      <c r="J1450" s="2" t="s">
        <v>541</v>
      </c>
      <c r="K1450" s="2" t="s">
        <v>542</v>
      </c>
      <c r="L1450" s="2">
        <v>1</v>
      </c>
      <c r="M1450" s="2" t="s">
        <v>543</v>
      </c>
      <c r="O1450" s="2" t="s">
        <v>524</v>
      </c>
      <c r="Y1450" s="2" t="s">
        <v>628</v>
      </c>
    </row>
    <row r="1451" spans="1:25" x14ac:dyDescent="0.25">
      <c r="A1451" s="2" t="s">
        <v>315</v>
      </c>
      <c r="B1451" s="2" t="s">
        <v>540</v>
      </c>
      <c r="C1451" s="2" t="s">
        <v>409</v>
      </c>
      <c r="D1451" s="2" t="s">
        <v>412</v>
      </c>
      <c r="E1451" s="2" t="s">
        <v>413</v>
      </c>
      <c r="F1451" s="2" t="s">
        <v>40</v>
      </c>
      <c r="J1451" s="2" t="s">
        <v>541</v>
      </c>
      <c r="K1451" s="2" t="s">
        <v>542</v>
      </c>
      <c r="L1451" s="2">
        <v>2</v>
      </c>
      <c r="M1451" s="2" t="s">
        <v>544</v>
      </c>
      <c r="O1451" s="2" t="s">
        <v>524</v>
      </c>
      <c r="Y1451" s="2" t="s">
        <v>628</v>
      </c>
    </row>
    <row r="1452" spans="1:25" x14ac:dyDescent="0.25">
      <c r="A1452" s="2" t="s">
        <v>315</v>
      </c>
      <c r="B1452" s="2" t="s">
        <v>540</v>
      </c>
      <c r="C1452" s="2" t="s">
        <v>409</v>
      </c>
      <c r="D1452" s="2" t="s">
        <v>412</v>
      </c>
      <c r="E1452" s="2" t="s">
        <v>413</v>
      </c>
      <c r="F1452" s="2" t="s">
        <v>40</v>
      </c>
      <c r="J1452" s="2" t="s">
        <v>541</v>
      </c>
      <c r="K1452" s="2" t="s">
        <v>542</v>
      </c>
      <c r="L1452" s="2">
        <v>3</v>
      </c>
      <c r="M1452" s="2" t="s">
        <v>545</v>
      </c>
      <c r="O1452" s="2" t="s">
        <v>524</v>
      </c>
      <c r="Y1452" s="2" t="s">
        <v>628</v>
      </c>
    </row>
    <row r="1453" spans="1:25" x14ac:dyDescent="0.25">
      <c r="A1453" s="2" t="s">
        <v>315</v>
      </c>
      <c r="B1453" s="2" t="s">
        <v>540</v>
      </c>
      <c r="C1453" s="2" t="s">
        <v>409</v>
      </c>
      <c r="D1453" s="2" t="s">
        <v>412</v>
      </c>
      <c r="E1453" s="2" t="s">
        <v>413</v>
      </c>
      <c r="F1453" s="2" t="s">
        <v>40</v>
      </c>
      <c r="J1453" s="2" t="s">
        <v>541</v>
      </c>
      <c r="K1453" s="2" t="s">
        <v>542</v>
      </c>
      <c r="L1453" s="2">
        <v>4</v>
      </c>
      <c r="M1453" s="2" t="s">
        <v>546</v>
      </c>
      <c r="O1453" s="2" t="s">
        <v>524</v>
      </c>
      <c r="Y1453" s="2" t="s">
        <v>628</v>
      </c>
    </row>
    <row r="1454" spans="1:25" x14ac:dyDescent="0.25">
      <c r="A1454" s="2" t="s">
        <v>315</v>
      </c>
      <c r="B1454" s="2" t="s">
        <v>540</v>
      </c>
      <c r="C1454" s="2" t="s">
        <v>409</v>
      </c>
      <c r="D1454" s="2" t="s">
        <v>412</v>
      </c>
      <c r="E1454" s="2" t="s">
        <v>413</v>
      </c>
      <c r="F1454" s="2" t="s">
        <v>40</v>
      </c>
      <c r="J1454" s="2" t="s">
        <v>541</v>
      </c>
      <c r="K1454" s="2" t="s">
        <v>542</v>
      </c>
      <c r="L1454" s="2">
        <v>5</v>
      </c>
      <c r="M1454" s="2" t="s">
        <v>547</v>
      </c>
      <c r="O1454" s="2" t="s">
        <v>524</v>
      </c>
      <c r="Y1454" s="2" t="s">
        <v>628</v>
      </c>
    </row>
    <row r="1455" spans="1:25" x14ac:dyDescent="0.25">
      <c r="A1455" s="2" t="s">
        <v>315</v>
      </c>
      <c r="B1455" s="2" t="s">
        <v>540</v>
      </c>
      <c r="C1455" s="2" t="s">
        <v>409</v>
      </c>
      <c r="D1455" s="2" t="s">
        <v>412</v>
      </c>
      <c r="E1455" s="2" t="s">
        <v>413</v>
      </c>
      <c r="F1455" s="2" t="s">
        <v>40</v>
      </c>
      <c r="J1455" s="2" t="s">
        <v>541</v>
      </c>
      <c r="K1455" s="2" t="s">
        <v>542</v>
      </c>
      <c r="L1455" s="2">
        <v>6</v>
      </c>
      <c r="M1455" s="2" t="s">
        <v>548</v>
      </c>
      <c r="O1455" s="2" t="s">
        <v>524</v>
      </c>
      <c r="Y1455" s="2" t="s">
        <v>628</v>
      </c>
    </row>
    <row r="1456" spans="1:25" x14ac:dyDescent="0.25">
      <c r="A1456" s="2" t="s">
        <v>315</v>
      </c>
      <c r="B1456" s="2" t="s">
        <v>540</v>
      </c>
      <c r="C1456" s="2" t="s">
        <v>409</v>
      </c>
      <c r="D1456" s="2" t="s">
        <v>412</v>
      </c>
      <c r="E1456" s="2" t="s">
        <v>413</v>
      </c>
      <c r="F1456" s="2" t="s">
        <v>40</v>
      </c>
      <c r="J1456" s="2" t="s">
        <v>541</v>
      </c>
      <c r="K1456" s="2" t="s">
        <v>542</v>
      </c>
      <c r="L1456" s="2">
        <v>7</v>
      </c>
      <c r="M1456" s="2" t="s">
        <v>549</v>
      </c>
      <c r="O1456" s="2" t="s">
        <v>524</v>
      </c>
      <c r="Y1456" s="2" t="s">
        <v>628</v>
      </c>
    </row>
    <row r="1457" spans="1:34" x14ac:dyDescent="0.25">
      <c r="A1457" s="2" t="s">
        <v>315</v>
      </c>
      <c r="B1457" s="2" t="s">
        <v>540</v>
      </c>
      <c r="C1457" s="2" t="s">
        <v>409</v>
      </c>
      <c r="D1457" s="2" t="s">
        <v>412</v>
      </c>
      <c r="E1457" s="2" t="s">
        <v>413</v>
      </c>
      <c r="F1457" s="2" t="s">
        <v>40</v>
      </c>
      <c r="J1457" s="2" t="s">
        <v>541</v>
      </c>
      <c r="K1457" s="2" t="s">
        <v>542</v>
      </c>
      <c r="L1457" s="2">
        <v>8</v>
      </c>
      <c r="M1457" s="2" t="s">
        <v>550</v>
      </c>
      <c r="O1457" s="2" t="s">
        <v>524</v>
      </c>
      <c r="Y1457" s="2" t="s">
        <v>628</v>
      </c>
    </row>
    <row r="1458" spans="1:34" x14ac:dyDescent="0.25">
      <c r="A1458" s="2" t="s">
        <v>315</v>
      </c>
      <c r="B1458" s="2" t="s">
        <v>540</v>
      </c>
      <c r="C1458" s="2" t="s">
        <v>409</v>
      </c>
      <c r="D1458" s="2" t="s">
        <v>412</v>
      </c>
      <c r="E1458" s="2" t="s">
        <v>413</v>
      </c>
      <c r="F1458" s="2" t="s">
        <v>40</v>
      </c>
      <c r="J1458" s="2" t="s">
        <v>541</v>
      </c>
      <c r="K1458" s="2" t="s">
        <v>542</v>
      </c>
      <c r="L1458" s="2">
        <v>9</v>
      </c>
      <c r="M1458" s="2" t="s">
        <v>551</v>
      </c>
      <c r="O1458" s="2" t="s">
        <v>524</v>
      </c>
      <c r="Y1458" s="2" t="s">
        <v>628</v>
      </c>
    </row>
    <row r="1459" spans="1:34" x14ac:dyDescent="0.25">
      <c r="A1459" s="2" t="s">
        <v>315</v>
      </c>
      <c r="B1459" s="2" t="s">
        <v>540</v>
      </c>
      <c r="C1459" s="2" t="s">
        <v>409</v>
      </c>
      <c r="D1459" s="2" t="s">
        <v>412</v>
      </c>
      <c r="E1459" s="2" t="s">
        <v>413</v>
      </c>
      <c r="F1459" s="2" t="s">
        <v>40</v>
      </c>
      <c r="J1459" s="2" t="s">
        <v>541</v>
      </c>
      <c r="K1459" s="2" t="s">
        <v>542</v>
      </c>
      <c r="L1459" s="2">
        <v>10</v>
      </c>
      <c r="M1459" s="2" t="s">
        <v>552</v>
      </c>
      <c r="O1459" s="2" t="s">
        <v>524</v>
      </c>
      <c r="Y1459" s="2" t="s">
        <v>628</v>
      </c>
    </row>
    <row r="1460" spans="1:34" x14ac:dyDescent="0.25">
      <c r="A1460" s="2" t="s">
        <v>315</v>
      </c>
      <c r="B1460" s="2" t="s">
        <v>540</v>
      </c>
      <c r="C1460" s="2" t="s">
        <v>409</v>
      </c>
      <c r="D1460" s="2" t="s">
        <v>412</v>
      </c>
      <c r="E1460" s="2" t="s">
        <v>413</v>
      </c>
      <c r="F1460" s="2" t="s">
        <v>40</v>
      </c>
      <c r="J1460" s="2" t="s">
        <v>541</v>
      </c>
      <c r="K1460" s="2" t="s">
        <v>542</v>
      </c>
      <c r="L1460" s="2">
        <v>11</v>
      </c>
      <c r="M1460" s="2" t="s">
        <v>553</v>
      </c>
      <c r="O1460" s="2" t="s">
        <v>524</v>
      </c>
      <c r="Y1460" s="2" t="s">
        <v>628</v>
      </c>
    </row>
    <row r="1461" spans="1:34" x14ac:dyDescent="0.25">
      <c r="A1461" s="2" t="s">
        <v>315</v>
      </c>
      <c r="B1461" s="2" t="s">
        <v>540</v>
      </c>
      <c r="C1461" s="2" t="s">
        <v>409</v>
      </c>
      <c r="D1461" s="2" t="s">
        <v>412</v>
      </c>
      <c r="E1461" s="2" t="s">
        <v>413</v>
      </c>
      <c r="F1461" s="2" t="s">
        <v>40</v>
      </c>
      <c r="J1461" s="2" t="s">
        <v>541</v>
      </c>
      <c r="K1461" s="2" t="s">
        <v>542</v>
      </c>
      <c r="L1461" s="2">
        <v>12</v>
      </c>
      <c r="M1461" s="2" t="s">
        <v>554</v>
      </c>
      <c r="O1461" s="2" t="s">
        <v>524</v>
      </c>
      <c r="Y1461" s="2" t="s">
        <v>628</v>
      </c>
    </row>
    <row r="1462" spans="1:34" x14ac:dyDescent="0.25">
      <c r="A1462" s="2" t="s">
        <v>315</v>
      </c>
      <c r="B1462" s="2" t="s">
        <v>555</v>
      </c>
      <c r="C1462" s="2" t="s">
        <v>409</v>
      </c>
      <c r="D1462" s="2" t="s">
        <v>412</v>
      </c>
      <c r="E1462" s="2" t="s">
        <v>413</v>
      </c>
      <c r="F1462" s="2" t="s">
        <v>40</v>
      </c>
      <c r="J1462" s="2" t="s">
        <v>556</v>
      </c>
      <c r="O1462" s="2" t="s">
        <v>524</v>
      </c>
      <c r="Y1462" s="2" t="s">
        <v>628</v>
      </c>
      <c r="AB1462" s="2">
        <v>2</v>
      </c>
    </row>
    <row r="1463" spans="1:34" x14ac:dyDescent="0.25">
      <c r="A1463" s="2" t="s">
        <v>315</v>
      </c>
      <c r="B1463" s="2" t="s">
        <v>557</v>
      </c>
      <c r="C1463" s="2" t="s">
        <v>409</v>
      </c>
      <c r="D1463" s="2" t="s">
        <v>412</v>
      </c>
      <c r="E1463" s="2" t="s">
        <v>413</v>
      </c>
      <c r="F1463" s="2" t="s">
        <v>40</v>
      </c>
      <c r="J1463" s="2" t="s">
        <v>558</v>
      </c>
      <c r="O1463" s="2" t="s">
        <v>524</v>
      </c>
      <c r="Y1463" s="2" t="s">
        <v>628</v>
      </c>
      <c r="AC1463" s="2">
        <f>COUNTIFS($B:$B,"BLOCK_LOAD_Q",$A:$A,$A1463,$C:$C,$C1463,$E:$E,$E1463,$F:$F,$F1463,$N:$N, "&lt;&gt;")</f>
        <v>0</v>
      </c>
      <c r="AD1463" s="2">
        <f>COUNTIFS($B:$B,"BLOCK_TRUST_Q",$A:$A,$A1463,$C:$C,$C1463,$E:$E,$E1463,$F:$F,$F1463,$N:$N, "&lt;&gt;")</f>
        <v>0</v>
      </c>
      <c r="AE1463" s="2" t="str">
        <f>IFERROR(AVERAGEIFS($P:$P,$B:$B,"BLOCK_LOAD_Q",$A:$A,$A1463,$C:$C,$C1463,$E:$E,$E1463,$F:$F,$F1463,$P:$P,"&gt;0"),"")</f>
        <v/>
      </c>
      <c r="AF1463" s="2" t="str">
        <f>IFERROR(AVERAGEIFS($P:$P,$B:$B,"BLOCK_TRUST_Q",$A:$A,$A1463,$C:$C,$C1463,$E:$E,$E1463,$F:$F,$F1463,$P:$P,"&gt;0"),"")</f>
        <v/>
      </c>
      <c r="AG1463" s="2">
        <f>5-AC1463</f>
        <v>5</v>
      </c>
      <c r="AH1463" s="2">
        <f>12-AD1463</f>
        <v>12</v>
      </c>
    </row>
    <row r="1464" spans="1:34" x14ac:dyDescent="0.25">
      <c r="A1464" s="2" t="s">
        <v>315</v>
      </c>
      <c r="B1464" s="2" t="s">
        <v>402</v>
      </c>
      <c r="C1464" s="2" t="s">
        <v>409</v>
      </c>
      <c r="D1464" s="2" t="s">
        <v>412</v>
      </c>
      <c r="E1464" s="2" t="s">
        <v>414</v>
      </c>
      <c r="F1464" s="2" t="s">
        <v>39</v>
      </c>
      <c r="G1464" s="2" t="s">
        <v>415</v>
      </c>
      <c r="H1464" s="2" t="s">
        <v>350</v>
      </c>
      <c r="S1464" s="2" t="s">
        <v>57</v>
      </c>
      <c r="U1464" s="2" t="s">
        <v>58</v>
      </c>
      <c r="W1464" s="2" t="s">
        <v>59</v>
      </c>
    </row>
    <row r="1465" spans="1:34" x14ac:dyDescent="0.25">
      <c r="A1465" s="2" t="s">
        <v>315</v>
      </c>
      <c r="B1465" s="2" t="s">
        <v>402</v>
      </c>
      <c r="C1465" s="2" t="s">
        <v>409</v>
      </c>
      <c r="D1465" s="2" t="s">
        <v>412</v>
      </c>
      <c r="E1465" s="2" t="s">
        <v>414</v>
      </c>
      <c r="F1465" s="2" t="s">
        <v>39</v>
      </c>
      <c r="G1465" s="2" t="s">
        <v>416</v>
      </c>
      <c r="H1465" s="2" t="s">
        <v>571</v>
      </c>
      <c r="S1465" s="2" t="s">
        <v>59</v>
      </c>
      <c r="U1465" s="2" t="s">
        <v>57</v>
      </c>
      <c r="W1465" s="2" t="s">
        <v>60</v>
      </c>
    </row>
    <row r="1466" spans="1:34" x14ac:dyDescent="0.25">
      <c r="A1466" s="2" t="s">
        <v>315</v>
      </c>
      <c r="B1466" s="2" t="s">
        <v>402</v>
      </c>
      <c r="C1466" s="2" t="s">
        <v>409</v>
      </c>
      <c r="D1466" s="2" t="s">
        <v>412</v>
      </c>
      <c r="E1466" s="2" t="s">
        <v>414</v>
      </c>
      <c r="F1466" s="2" t="s">
        <v>39</v>
      </c>
      <c r="G1466" s="2" t="s">
        <v>417</v>
      </c>
      <c r="H1466" s="2" t="s">
        <v>572</v>
      </c>
      <c r="S1466" s="2" t="s">
        <v>57</v>
      </c>
      <c r="U1466" s="2" t="s">
        <v>59</v>
      </c>
      <c r="W1466" s="2" t="s">
        <v>58</v>
      </c>
    </row>
    <row r="1467" spans="1:34" x14ac:dyDescent="0.25">
      <c r="A1467" s="2" t="s">
        <v>315</v>
      </c>
      <c r="B1467" s="2" t="s">
        <v>402</v>
      </c>
      <c r="C1467" s="2" t="s">
        <v>409</v>
      </c>
      <c r="D1467" s="2" t="s">
        <v>412</v>
      </c>
      <c r="E1467" s="2" t="s">
        <v>414</v>
      </c>
      <c r="F1467" s="2" t="s">
        <v>39</v>
      </c>
      <c r="G1467" s="2" t="s">
        <v>418</v>
      </c>
      <c r="H1467" s="2" t="s">
        <v>573</v>
      </c>
      <c r="S1467" s="2" t="s">
        <v>58</v>
      </c>
      <c r="U1467" s="2" t="s">
        <v>58</v>
      </c>
      <c r="W1467" s="2" t="s">
        <v>58</v>
      </c>
    </row>
    <row r="1468" spans="1:34" x14ac:dyDescent="0.25">
      <c r="A1468" s="2" t="s">
        <v>315</v>
      </c>
      <c r="B1468" s="2" t="s">
        <v>402</v>
      </c>
      <c r="C1468" s="2" t="s">
        <v>409</v>
      </c>
      <c r="D1468" s="2" t="s">
        <v>412</v>
      </c>
      <c r="E1468" s="2" t="s">
        <v>414</v>
      </c>
      <c r="F1468" s="2" t="s">
        <v>39</v>
      </c>
      <c r="G1468" s="2" t="s">
        <v>419</v>
      </c>
      <c r="H1468" s="2" t="s">
        <v>365</v>
      </c>
      <c r="S1468" s="2" t="s">
        <v>59</v>
      </c>
      <c r="U1468" s="2" t="s">
        <v>59</v>
      </c>
      <c r="W1468" s="2" t="s">
        <v>60</v>
      </c>
    </row>
    <row r="1469" spans="1:34" x14ac:dyDescent="0.25">
      <c r="A1469" s="2" t="s">
        <v>315</v>
      </c>
      <c r="B1469" s="2" t="s">
        <v>531</v>
      </c>
      <c r="C1469" s="2" t="s">
        <v>409</v>
      </c>
      <c r="D1469" s="2" t="s">
        <v>412</v>
      </c>
      <c r="E1469" s="2" t="s">
        <v>414</v>
      </c>
      <c r="F1469" s="2" t="s">
        <v>39</v>
      </c>
      <c r="J1469" s="2" t="s">
        <v>532</v>
      </c>
      <c r="K1469" s="2" t="s">
        <v>533</v>
      </c>
      <c r="L1469" s="2">
        <v>1</v>
      </c>
      <c r="M1469" s="2" t="s">
        <v>534</v>
      </c>
      <c r="O1469" s="2" t="s">
        <v>524</v>
      </c>
      <c r="Y1469" s="2" t="s">
        <v>629</v>
      </c>
    </row>
    <row r="1470" spans="1:34" x14ac:dyDescent="0.25">
      <c r="A1470" s="2" t="s">
        <v>315</v>
      </c>
      <c r="B1470" s="2" t="s">
        <v>531</v>
      </c>
      <c r="C1470" s="2" t="s">
        <v>409</v>
      </c>
      <c r="D1470" s="2" t="s">
        <v>412</v>
      </c>
      <c r="E1470" s="2" t="s">
        <v>414</v>
      </c>
      <c r="F1470" s="2" t="s">
        <v>39</v>
      </c>
      <c r="J1470" s="2" t="s">
        <v>532</v>
      </c>
      <c r="K1470" s="2" t="s">
        <v>533</v>
      </c>
      <c r="L1470" s="2">
        <v>2</v>
      </c>
      <c r="M1470" s="2" t="s">
        <v>536</v>
      </c>
      <c r="O1470" s="2" t="s">
        <v>524</v>
      </c>
      <c r="Y1470" s="2" t="s">
        <v>629</v>
      </c>
    </row>
    <row r="1471" spans="1:34" x14ac:dyDescent="0.25">
      <c r="A1471" s="2" t="s">
        <v>315</v>
      </c>
      <c r="B1471" s="2" t="s">
        <v>531</v>
      </c>
      <c r="C1471" s="2" t="s">
        <v>409</v>
      </c>
      <c r="D1471" s="2" t="s">
        <v>412</v>
      </c>
      <c r="E1471" s="2" t="s">
        <v>414</v>
      </c>
      <c r="F1471" s="2" t="s">
        <v>39</v>
      </c>
      <c r="J1471" s="2" t="s">
        <v>532</v>
      </c>
      <c r="K1471" s="2" t="s">
        <v>533</v>
      </c>
      <c r="L1471" s="2">
        <v>3</v>
      </c>
      <c r="M1471" s="2" t="s">
        <v>537</v>
      </c>
      <c r="O1471" s="2" t="s">
        <v>524</v>
      </c>
      <c r="Y1471" s="2" t="s">
        <v>629</v>
      </c>
    </row>
    <row r="1472" spans="1:34" x14ac:dyDescent="0.25">
      <c r="A1472" s="2" t="s">
        <v>315</v>
      </c>
      <c r="B1472" s="2" t="s">
        <v>531</v>
      </c>
      <c r="C1472" s="2" t="s">
        <v>409</v>
      </c>
      <c r="D1472" s="2" t="s">
        <v>412</v>
      </c>
      <c r="E1472" s="2" t="s">
        <v>414</v>
      </c>
      <c r="F1472" s="2" t="s">
        <v>39</v>
      </c>
      <c r="J1472" s="2" t="s">
        <v>532</v>
      </c>
      <c r="K1472" s="2" t="s">
        <v>533</v>
      </c>
      <c r="L1472" s="2">
        <v>4</v>
      </c>
      <c r="M1472" s="2" t="s">
        <v>538</v>
      </c>
      <c r="O1472" s="2" t="s">
        <v>524</v>
      </c>
      <c r="Y1472" s="2" t="s">
        <v>629</v>
      </c>
    </row>
    <row r="1473" spans="1:34" x14ac:dyDescent="0.25">
      <c r="A1473" s="2" t="s">
        <v>315</v>
      </c>
      <c r="B1473" s="2" t="s">
        <v>531</v>
      </c>
      <c r="C1473" s="2" t="s">
        <v>409</v>
      </c>
      <c r="D1473" s="2" t="s">
        <v>412</v>
      </c>
      <c r="E1473" s="2" t="s">
        <v>414</v>
      </c>
      <c r="F1473" s="2" t="s">
        <v>39</v>
      </c>
      <c r="J1473" s="2" t="s">
        <v>532</v>
      </c>
      <c r="K1473" s="2" t="s">
        <v>533</v>
      </c>
      <c r="L1473" s="2">
        <v>5</v>
      </c>
      <c r="M1473" s="2" t="s">
        <v>539</v>
      </c>
      <c r="O1473" s="2" t="s">
        <v>524</v>
      </c>
      <c r="Y1473" s="2" t="s">
        <v>629</v>
      </c>
    </row>
    <row r="1474" spans="1:34" x14ac:dyDescent="0.25">
      <c r="A1474" s="2" t="s">
        <v>315</v>
      </c>
      <c r="B1474" s="2" t="s">
        <v>540</v>
      </c>
      <c r="C1474" s="2" t="s">
        <v>409</v>
      </c>
      <c r="D1474" s="2" t="s">
        <v>412</v>
      </c>
      <c r="E1474" s="2" t="s">
        <v>414</v>
      </c>
      <c r="F1474" s="2" t="s">
        <v>39</v>
      </c>
      <c r="J1474" s="2" t="s">
        <v>541</v>
      </c>
      <c r="K1474" s="2" t="s">
        <v>542</v>
      </c>
      <c r="L1474" s="2">
        <v>1</v>
      </c>
      <c r="M1474" s="2" t="s">
        <v>543</v>
      </c>
      <c r="O1474" s="2" t="s">
        <v>524</v>
      </c>
      <c r="Y1474" s="2" t="s">
        <v>629</v>
      </c>
    </row>
    <row r="1475" spans="1:34" x14ac:dyDescent="0.25">
      <c r="A1475" s="2" t="s">
        <v>315</v>
      </c>
      <c r="B1475" s="2" t="s">
        <v>540</v>
      </c>
      <c r="C1475" s="2" t="s">
        <v>409</v>
      </c>
      <c r="D1475" s="2" t="s">
        <v>412</v>
      </c>
      <c r="E1475" s="2" t="s">
        <v>414</v>
      </c>
      <c r="F1475" s="2" t="s">
        <v>39</v>
      </c>
      <c r="J1475" s="2" t="s">
        <v>541</v>
      </c>
      <c r="K1475" s="2" t="s">
        <v>542</v>
      </c>
      <c r="L1475" s="2">
        <v>2</v>
      </c>
      <c r="M1475" s="2" t="s">
        <v>544</v>
      </c>
      <c r="O1475" s="2" t="s">
        <v>524</v>
      </c>
      <c r="Y1475" s="2" t="s">
        <v>629</v>
      </c>
    </row>
    <row r="1476" spans="1:34" x14ac:dyDescent="0.25">
      <c r="A1476" s="2" t="s">
        <v>315</v>
      </c>
      <c r="B1476" s="2" t="s">
        <v>540</v>
      </c>
      <c r="C1476" s="2" t="s">
        <v>409</v>
      </c>
      <c r="D1476" s="2" t="s">
        <v>412</v>
      </c>
      <c r="E1476" s="2" t="s">
        <v>414</v>
      </c>
      <c r="F1476" s="2" t="s">
        <v>39</v>
      </c>
      <c r="J1476" s="2" t="s">
        <v>541</v>
      </c>
      <c r="K1476" s="2" t="s">
        <v>542</v>
      </c>
      <c r="L1476" s="2">
        <v>3</v>
      </c>
      <c r="M1476" s="2" t="s">
        <v>545</v>
      </c>
      <c r="O1476" s="2" t="s">
        <v>524</v>
      </c>
      <c r="Y1476" s="2" t="s">
        <v>629</v>
      </c>
    </row>
    <row r="1477" spans="1:34" x14ac:dyDescent="0.25">
      <c r="A1477" s="2" t="s">
        <v>315</v>
      </c>
      <c r="B1477" s="2" t="s">
        <v>540</v>
      </c>
      <c r="C1477" s="2" t="s">
        <v>409</v>
      </c>
      <c r="D1477" s="2" t="s">
        <v>412</v>
      </c>
      <c r="E1477" s="2" t="s">
        <v>414</v>
      </c>
      <c r="F1477" s="2" t="s">
        <v>39</v>
      </c>
      <c r="J1477" s="2" t="s">
        <v>541</v>
      </c>
      <c r="K1477" s="2" t="s">
        <v>542</v>
      </c>
      <c r="L1477" s="2">
        <v>4</v>
      </c>
      <c r="M1477" s="2" t="s">
        <v>546</v>
      </c>
      <c r="O1477" s="2" t="s">
        <v>524</v>
      </c>
      <c r="Y1477" s="2" t="s">
        <v>629</v>
      </c>
    </row>
    <row r="1478" spans="1:34" x14ac:dyDescent="0.25">
      <c r="A1478" s="2" t="s">
        <v>315</v>
      </c>
      <c r="B1478" s="2" t="s">
        <v>540</v>
      </c>
      <c r="C1478" s="2" t="s">
        <v>409</v>
      </c>
      <c r="D1478" s="2" t="s">
        <v>412</v>
      </c>
      <c r="E1478" s="2" t="s">
        <v>414</v>
      </c>
      <c r="F1478" s="2" t="s">
        <v>39</v>
      </c>
      <c r="J1478" s="2" t="s">
        <v>541</v>
      </c>
      <c r="K1478" s="2" t="s">
        <v>542</v>
      </c>
      <c r="L1478" s="2">
        <v>5</v>
      </c>
      <c r="M1478" s="2" t="s">
        <v>547</v>
      </c>
      <c r="O1478" s="2" t="s">
        <v>524</v>
      </c>
      <c r="Y1478" s="2" t="s">
        <v>629</v>
      </c>
    </row>
    <row r="1479" spans="1:34" x14ac:dyDescent="0.25">
      <c r="A1479" s="2" t="s">
        <v>315</v>
      </c>
      <c r="B1479" s="2" t="s">
        <v>540</v>
      </c>
      <c r="C1479" s="2" t="s">
        <v>409</v>
      </c>
      <c r="D1479" s="2" t="s">
        <v>412</v>
      </c>
      <c r="E1479" s="2" t="s">
        <v>414</v>
      </c>
      <c r="F1479" s="2" t="s">
        <v>39</v>
      </c>
      <c r="J1479" s="2" t="s">
        <v>541</v>
      </c>
      <c r="K1479" s="2" t="s">
        <v>542</v>
      </c>
      <c r="L1479" s="2">
        <v>6</v>
      </c>
      <c r="M1479" s="2" t="s">
        <v>548</v>
      </c>
      <c r="O1479" s="2" t="s">
        <v>524</v>
      </c>
      <c r="Y1479" s="2" t="s">
        <v>629</v>
      </c>
    </row>
    <row r="1480" spans="1:34" x14ac:dyDescent="0.25">
      <c r="A1480" s="2" t="s">
        <v>315</v>
      </c>
      <c r="B1480" s="2" t="s">
        <v>540</v>
      </c>
      <c r="C1480" s="2" t="s">
        <v>409</v>
      </c>
      <c r="D1480" s="2" t="s">
        <v>412</v>
      </c>
      <c r="E1480" s="2" t="s">
        <v>414</v>
      </c>
      <c r="F1480" s="2" t="s">
        <v>39</v>
      </c>
      <c r="J1480" s="2" t="s">
        <v>541</v>
      </c>
      <c r="K1480" s="2" t="s">
        <v>542</v>
      </c>
      <c r="L1480" s="2">
        <v>7</v>
      </c>
      <c r="M1480" s="2" t="s">
        <v>549</v>
      </c>
      <c r="O1480" s="2" t="s">
        <v>524</v>
      </c>
      <c r="Y1480" s="2" t="s">
        <v>629</v>
      </c>
    </row>
    <row r="1481" spans="1:34" x14ac:dyDescent="0.25">
      <c r="A1481" s="2" t="s">
        <v>315</v>
      </c>
      <c r="B1481" s="2" t="s">
        <v>540</v>
      </c>
      <c r="C1481" s="2" t="s">
        <v>409</v>
      </c>
      <c r="D1481" s="2" t="s">
        <v>412</v>
      </c>
      <c r="E1481" s="2" t="s">
        <v>414</v>
      </c>
      <c r="F1481" s="2" t="s">
        <v>39</v>
      </c>
      <c r="J1481" s="2" t="s">
        <v>541</v>
      </c>
      <c r="K1481" s="2" t="s">
        <v>542</v>
      </c>
      <c r="L1481" s="2">
        <v>8</v>
      </c>
      <c r="M1481" s="2" t="s">
        <v>550</v>
      </c>
      <c r="O1481" s="2" t="s">
        <v>524</v>
      </c>
      <c r="Y1481" s="2" t="s">
        <v>629</v>
      </c>
    </row>
    <row r="1482" spans="1:34" x14ac:dyDescent="0.25">
      <c r="A1482" s="2" t="s">
        <v>315</v>
      </c>
      <c r="B1482" s="2" t="s">
        <v>540</v>
      </c>
      <c r="C1482" s="2" t="s">
        <v>409</v>
      </c>
      <c r="D1482" s="2" t="s">
        <v>412</v>
      </c>
      <c r="E1482" s="2" t="s">
        <v>414</v>
      </c>
      <c r="F1482" s="2" t="s">
        <v>39</v>
      </c>
      <c r="J1482" s="2" t="s">
        <v>541</v>
      </c>
      <c r="K1482" s="2" t="s">
        <v>542</v>
      </c>
      <c r="L1482" s="2">
        <v>9</v>
      </c>
      <c r="M1482" s="2" t="s">
        <v>551</v>
      </c>
      <c r="O1482" s="2" t="s">
        <v>524</v>
      </c>
      <c r="Y1482" s="2" t="s">
        <v>629</v>
      </c>
    </row>
    <row r="1483" spans="1:34" x14ac:dyDescent="0.25">
      <c r="A1483" s="2" t="s">
        <v>315</v>
      </c>
      <c r="B1483" s="2" t="s">
        <v>540</v>
      </c>
      <c r="C1483" s="2" t="s">
        <v>409</v>
      </c>
      <c r="D1483" s="2" t="s">
        <v>412</v>
      </c>
      <c r="E1483" s="2" t="s">
        <v>414</v>
      </c>
      <c r="F1483" s="2" t="s">
        <v>39</v>
      </c>
      <c r="J1483" s="2" t="s">
        <v>541</v>
      </c>
      <c r="K1483" s="2" t="s">
        <v>542</v>
      </c>
      <c r="L1483" s="2">
        <v>10</v>
      </c>
      <c r="M1483" s="2" t="s">
        <v>552</v>
      </c>
      <c r="O1483" s="2" t="s">
        <v>524</v>
      </c>
      <c r="Y1483" s="2" t="s">
        <v>629</v>
      </c>
    </row>
    <row r="1484" spans="1:34" x14ac:dyDescent="0.25">
      <c r="A1484" s="2" t="s">
        <v>315</v>
      </c>
      <c r="B1484" s="2" t="s">
        <v>540</v>
      </c>
      <c r="C1484" s="2" t="s">
        <v>409</v>
      </c>
      <c r="D1484" s="2" t="s">
        <v>412</v>
      </c>
      <c r="E1484" s="2" t="s">
        <v>414</v>
      </c>
      <c r="F1484" s="2" t="s">
        <v>39</v>
      </c>
      <c r="J1484" s="2" t="s">
        <v>541</v>
      </c>
      <c r="K1484" s="2" t="s">
        <v>542</v>
      </c>
      <c r="L1484" s="2">
        <v>11</v>
      </c>
      <c r="M1484" s="2" t="s">
        <v>553</v>
      </c>
      <c r="O1484" s="2" t="s">
        <v>524</v>
      </c>
      <c r="Y1484" s="2" t="s">
        <v>629</v>
      </c>
    </row>
    <row r="1485" spans="1:34" x14ac:dyDescent="0.25">
      <c r="A1485" s="2" t="s">
        <v>315</v>
      </c>
      <c r="B1485" s="2" t="s">
        <v>540</v>
      </c>
      <c r="C1485" s="2" t="s">
        <v>409</v>
      </c>
      <c r="D1485" s="2" t="s">
        <v>412</v>
      </c>
      <c r="E1485" s="2" t="s">
        <v>414</v>
      </c>
      <c r="F1485" s="2" t="s">
        <v>39</v>
      </c>
      <c r="J1485" s="2" t="s">
        <v>541</v>
      </c>
      <c r="K1485" s="2" t="s">
        <v>542</v>
      </c>
      <c r="L1485" s="2">
        <v>12</v>
      </c>
      <c r="M1485" s="2" t="s">
        <v>554</v>
      </c>
      <c r="O1485" s="2" t="s">
        <v>524</v>
      </c>
      <c r="Y1485" s="2" t="s">
        <v>629</v>
      </c>
    </row>
    <row r="1486" spans="1:34" x14ac:dyDescent="0.25">
      <c r="A1486" s="2" t="s">
        <v>315</v>
      </c>
      <c r="B1486" s="2" t="s">
        <v>555</v>
      </c>
      <c r="C1486" s="2" t="s">
        <v>409</v>
      </c>
      <c r="D1486" s="2" t="s">
        <v>412</v>
      </c>
      <c r="E1486" s="2" t="s">
        <v>414</v>
      </c>
      <c r="F1486" s="2" t="s">
        <v>39</v>
      </c>
      <c r="J1486" s="2" t="s">
        <v>556</v>
      </c>
      <c r="O1486" s="2" t="s">
        <v>524</v>
      </c>
      <c r="Y1486" s="2" t="s">
        <v>629</v>
      </c>
      <c r="AB1486" s="2">
        <v>1</v>
      </c>
    </row>
    <row r="1487" spans="1:34" x14ac:dyDescent="0.25">
      <c r="A1487" s="2" t="s">
        <v>315</v>
      </c>
      <c r="B1487" s="2" t="s">
        <v>557</v>
      </c>
      <c r="C1487" s="2" t="s">
        <v>409</v>
      </c>
      <c r="D1487" s="2" t="s">
        <v>412</v>
      </c>
      <c r="E1487" s="2" t="s">
        <v>414</v>
      </c>
      <c r="F1487" s="2" t="s">
        <v>39</v>
      </c>
      <c r="J1487" s="2" t="s">
        <v>558</v>
      </c>
      <c r="O1487" s="2" t="s">
        <v>524</v>
      </c>
      <c r="Y1487" s="2" t="s">
        <v>629</v>
      </c>
      <c r="AC1487" s="2">
        <f>COUNTIFS($B:$B,"BLOCK_LOAD_Q",$A:$A,$A1487,$C:$C,$C1487,$E:$E,$E1487,$F:$F,$F1487,$N:$N, "&lt;&gt;")</f>
        <v>0</v>
      </c>
      <c r="AD1487" s="2">
        <f>COUNTIFS($B:$B,"BLOCK_TRUST_Q",$A:$A,$A1487,$C:$C,$C1487,$E:$E,$E1487,$F:$F,$F1487,$N:$N, "&lt;&gt;")</f>
        <v>0</v>
      </c>
      <c r="AE1487" s="2" t="str">
        <f>IFERROR(AVERAGEIFS($P:$P,$B:$B,"BLOCK_LOAD_Q",$A:$A,$A1487,$C:$C,$C1487,$E:$E,$E1487,$F:$F,$F1487,$P:$P,"&gt;0"),"")</f>
        <v/>
      </c>
      <c r="AF1487" s="2" t="str">
        <f>IFERROR(AVERAGEIFS($P:$P,$B:$B,"BLOCK_TRUST_Q",$A:$A,$A1487,$C:$C,$C1487,$E:$E,$E1487,$F:$F,$F1487,$P:$P,"&gt;0"),"")</f>
        <v/>
      </c>
      <c r="AG1487" s="2">
        <f>5-AC1487</f>
        <v>5</v>
      </c>
      <c r="AH1487" s="2">
        <f>12-AD1487</f>
        <v>12</v>
      </c>
    </row>
    <row r="1488" spans="1:34" x14ac:dyDescent="0.25">
      <c r="A1488" s="2" t="s">
        <v>315</v>
      </c>
      <c r="B1488" s="2" t="s">
        <v>403</v>
      </c>
      <c r="C1488" s="2" t="s">
        <v>409</v>
      </c>
      <c r="D1488" s="2" t="s">
        <v>412</v>
      </c>
      <c r="Z1488" s="2" t="s">
        <v>449</v>
      </c>
    </row>
    <row r="1489" spans="1:27" x14ac:dyDescent="0.25">
      <c r="A1489" s="2" t="s">
        <v>315</v>
      </c>
      <c r="B1489" s="2" t="s">
        <v>404</v>
      </c>
      <c r="J1489" s="2" t="s">
        <v>575</v>
      </c>
      <c r="AA1489" s="2" t="s">
        <v>337</v>
      </c>
    </row>
    <row r="1490" spans="1:27" x14ac:dyDescent="0.25">
      <c r="A1490" s="2" t="s">
        <v>315</v>
      </c>
      <c r="B1490" s="2" t="s">
        <v>405</v>
      </c>
    </row>
    <row r="1491" spans="1:27" x14ac:dyDescent="0.25">
      <c r="A1491" s="2" t="s">
        <v>315</v>
      </c>
      <c r="B1491" s="2" t="s">
        <v>406</v>
      </c>
    </row>
    <row r="1492" spans="1:27" x14ac:dyDescent="0.25">
      <c r="A1492" s="2" t="s">
        <v>316</v>
      </c>
      <c r="B1492" s="2" t="s">
        <v>523</v>
      </c>
      <c r="C1492" s="2" t="s">
        <v>524</v>
      </c>
      <c r="D1492" s="2" t="s">
        <v>524</v>
      </c>
      <c r="E1492" s="2" t="s">
        <v>524</v>
      </c>
      <c r="F1492" s="2" t="s">
        <v>524</v>
      </c>
      <c r="J1492" s="2" t="s">
        <v>525</v>
      </c>
      <c r="O1492" s="2" t="s">
        <v>524</v>
      </c>
    </row>
    <row r="1493" spans="1:27" x14ac:dyDescent="0.25">
      <c r="A1493" s="2" t="s">
        <v>316</v>
      </c>
      <c r="B1493" s="2" t="s">
        <v>526</v>
      </c>
      <c r="C1493" s="2" t="s">
        <v>524</v>
      </c>
      <c r="D1493" s="2" t="s">
        <v>524</v>
      </c>
      <c r="E1493" s="2" t="s">
        <v>524</v>
      </c>
      <c r="F1493" s="2" t="s">
        <v>524</v>
      </c>
      <c r="J1493" s="2" t="s">
        <v>527</v>
      </c>
      <c r="O1493" s="2" t="s">
        <v>524</v>
      </c>
    </row>
    <row r="1494" spans="1:27" x14ac:dyDescent="0.25">
      <c r="A1494" s="2" t="s">
        <v>316</v>
      </c>
      <c r="B1494" s="2" t="s">
        <v>402</v>
      </c>
      <c r="C1494" s="2" t="s">
        <v>407</v>
      </c>
      <c r="D1494" s="2" t="s">
        <v>411</v>
      </c>
      <c r="E1494" s="2" t="s">
        <v>413</v>
      </c>
      <c r="F1494" s="2" t="s">
        <v>39</v>
      </c>
      <c r="G1494" s="2" t="s">
        <v>415</v>
      </c>
      <c r="H1494" s="2" t="s">
        <v>349</v>
      </c>
      <c r="S1494" s="2" t="s">
        <v>58</v>
      </c>
      <c r="U1494" s="2" t="s">
        <v>60</v>
      </c>
      <c r="W1494" s="2" t="s">
        <v>58</v>
      </c>
    </row>
    <row r="1495" spans="1:27" x14ac:dyDescent="0.25">
      <c r="A1495" s="2" t="s">
        <v>316</v>
      </c>
      <c r="B1495" s="2" t="s">
        <v>402</v>
      </c>
      <c r="C1495" s="2" t="s">
        <v>407</v>
      </c>
      <c r="D1495" s="2" t="s">
        <v>411</v>
      </c>
      <c r="E1495" s="2" t="s">
        <v>413</v>
      </c>
      <c r="F1495" s="2" t="s">
        <v>39</v>
      </c>
      <c r="G1495" s="2" t="s">
        <v>416</v>
      </c>
      <c r="H1495" s="2" t="s">
        <v>565</v>
      </c>
      <c r="S1495" s="2" t="s">
        <v>59</v>
      </c>
      <c r="U1495" s="2" t="s">
        <v>60</v>
      </c>
      <c r="W1495" s="2" t="s">
        <v>60</v>
      </c>
    </row>
    <row r="1496" spans="1:27" x14ac:dyDescent="0.25">
      <c r="A1496" s="2" t="s">
        <v>316</v>
      </c>
      <c r="B1496" s="2" t="s">
        <v>402</v>
      </c>
      <c r="C1496" s="2" t="s">
        <v>407</v>
      </c>
      <c r="D1496" s="2" t="s">
        <v>411</v>
      </c>
      <c r="E1496" s="2" t="s">
        <v>413</v>
      </c>
      <c r="F1496" s="2" t="s">
        <v>39</v>
      </c>
      <c r="G1496" s="2" t="s">
        <v>417</v>
      </c>
      <c r="H1496" s="2" t="s">
        <v>361</v>
      </c>
      <c r="S1496" s="2" t="s">
        <v>60</v>
      </c>
      <c r="U1496" s="2" t="s">
        <v>60</v>
      </c>
      <c r="W1496" s="2" t="s">
        <v>60</v>
      </c>
    </row>
    <row r="1497" spans="1:27" x14ac:dyDescent="0.25">
      <c r="A1497" s="2" t="s">
        <v>316</v>
      </c>
      <c r="B1497" s="2" t="s">
        <v>402</v>
      </c>
      <c r="C1497" s="2" t="s">
        <v>407</v>
      </c>
      <c r="D1497" s="2" t="s">
        <v>411</v>
      </c>
      <c r="E1497" s="2" t="s">
        <v>413</v>
      </c>
      <c r="F1497" s="2" t="s">
        <v>39</v>
      </c>
      <c r="G1497" s="2" t="s">
        <v>418</v>
      </c>
      <c r="H1497" s="2" t="s">
        <v>353</v>
      </c>
      <c r="S1497" s="2" t="s">
        <v>58</v>
      </c>
      <c r="U1497" s="2" t="s">
        <v>59</v>
      </c>
      <c r="W1497" s="2" t="s">
        <v>58</v>
      </c>
    </row>
    <row r="1498" spans="1:27" x14ac:dyDescent="0.25">
      <c r="A1498" s="2" t="s">
        <v>316</v>
      </c>
      <c r="B1498" s="2" t="s">
        <v>402</v>
      </c>
      <c r="C1498" s="2" t="s">
        <v>407</v>
      </c>
      <c r="D1498" s="2" t="s">
        <v>411</v>
      </c>
      <c r="E1498" s="2" t="s">
        <v>413</v>
      </c>
      <c r="F1498" s="2" t="s">
        <v>39</v>
      </c>
      <c r="G1498" s="2" t="s">
        <v>419</v>
      </c>
      <c r="H1498" s="2" t="s">
        <v>371</v>
      </c>
      <c r="S1498" s="2" t="s">
        <v>60</v>
      </c>
      <c r="U1498" s="2" t="s">
        <v>59</v>
      </c>
      <c r="W1498" s="2" t="s">
        <v>57</v>
      </c>
    </row>
    <row r="1499" spans="1:27" x14ac:dyDescent="0.25">
      <c r="A1499" s="2" t="s">
        <v>316</v>
      </c>
      <c r="B1499" s="2" t="s">
        <v>531</v>
      </c>
      <c r="C1499" s="2" t="s">
        <v>407</v>
      </c>
      <c r="D1499" s="2" t="s">
        <v>411</v>
      </c>
      <c r="E1499" s="2" t="s">
        <v>413</v>
      </c>
      <c r="F1499" s="2" t="s">
        <v>39</v>
      </c>
      <c r="J1499" s="2" t="s">
        <v>532</v>
      </c>
      <c r="K1499" s="2" t="s">
        <v>533</v>
      </c>
      <c r="L1499" s="2">
        <v>1</v>
      </c>
      <c r="M1499" s="2" t="s">
        <v>534</v>
      </c>
      <c r="O1499" s="2" t="s">
        <v>524</v>
      </c>
      <c r="Y1499" s="2" t="s">
        <v>630</v>
      </c>
    </row>
    <row r="1500" spans="1:27" x14ac:dyDescent="0.25">
      <c r="A1500" s="2" t="s">
        <v>316</v>
      </c>
      <c r="B1500" s="2" t="s">
        <v>531</v>
      </c>
      <c r="C1500" s="2" t="s">
        <v>407</v>
      </c>
      <c r="D1500" s="2" t="s">
        <v>411</v>
      </c>
      <c r="E1500" s="2" t="s">
        <v>413</v>
      </c>
      <c r="F1500" s="2" t="s">
        <v>39</v>
      </c>
      <c r="J1500" s="2" t="s">
        <v>532</v>
      </c>
      <c r="K1500" s="2" t="s">
        <v>533</v>
      </c>
      <c r="L1500" s="2">
        <v>2</v>
      </c>
      <c r="M1500" s="2" t="s">
        <v>536</v>
      </c>
      <c r="O1500" s="2" t="s">
        <v>524</v>
      </c>
      <c r="Y1500" s="2" t="s">
        <v>630</v>
      </c>
    </row>
    <row r="1501" spans="1:27" x14ac:dyDescent="0.25">
      <c r="A1501" s="2" t="s">
        <v>316</v>
      </c>
      <c r="B1501" s="2" t="s">
        <v>531</v>
      </c>
      <c r="C1501" s="2" t="s">
        <v>407</v>
      </c>
      <c r="D1501" s="2" t="s">
        <v>411</v>
      </c>
      <c r="E1501" s="2" t="s">
        <v>413</v>
      </c>
      <c r="F1501" s="2" t="s">
        <v>39</v>
      </c>
      <c r="J1501" s="2" t="s">
        <v>532</v>
      </c>
      <c r="K1501" s="2" t="s">
        <v>533</v>
      </c>
      <c r="L1501" s="2">
        <v>3</v>
      </c>
      <c r="M1501" s="2" t="s">
        <v>537</v>
      </c>
      <c r="O1501" s="2" t="s">
        <v>524</v>
      </c>
      <c r="Y1501" s="2" t="s">
        <v>630</v>
      </c>
    </row>
    <row r="1502" spans="1:27" x14ac:dyDescent="0.25">
      <c r="A1502" s="2" t="s">
        <v>316</v>
      </c>
      <c r="B1502" s="2" t="s">
        <v>531</v>
      </c>
      <c r="C1502" s="2" t="s">
        <v>407</v>
      </c>
      <c r="D1502" s="2" t="s">
        <v>411</v>
      </c>
      <c r="E1502" s="2" t="s">
        <v>413</v>
      </c>
      <c r="F1502" s="2" t="s">
        <v>39</v>
      </c>
      <c r="J1502" s="2" t="s">
        <v>532</v>
      </c>
      <c r="K1502" s="2" t="s">
        <v>533</v>
      </c>
      <c r="L1502" s="2">
        <v>4</v>
      </c>
      <c r="M1502" s="2" t="s">
        <v>538</v>
      </c>
      <c r="O1502" s="2" t="s">
        <v>524</v>
      </c>
      <c r="Y1502" s="2" t="s">
        <v>630</v>
      </c>
    </row>
    <row r="1503" spans="1:27" x14ac:dyDescent="0.25">
      <c r="A1503" s="2" t="s">
        <v>316</v>
      </c>
      <c r="B1503" s="2" t="s">
        <v>531</v>
      </c>
      <c r="C1503" s="2" t="s">
        <v>407</v>
      </c>
      <c r="D1503" s="2" t="s">
        <v>411</v>
      </c>
      <c r="E1503" s="2" t="s">
        <v>413</v>
      </c>
      <c r="F1503" s="2" t="s">
        <v>39</v>
      </c>
      <c r="J1503" s="2" t="s">
        <v>532</v>
      </c>
      <c r="K1503" s="2" t="s">
        <v>533</v>
      </c>
      <c r="L1503" s="2">
        <v>5</v>
      </c>
      <c r="M1503" s="2" t="s">
        <v>539</v>
      </c>
      <c r="O1503" s="2" t="s">
        <v>524</v>
      </c>
      <c r="Y1503" s="2" t="s">
        <v>630</v>
      </c>
    </row>
    <row r="1504" spans="1:27" x14ac:dyDescent="0.25">
      <c r="A1504" s="2" t="s">
        <v>316</v>
      </c>
      <c r="B1504" s="2" t="s">
        <v>540</v>
      </c>
      <c r="C1504" s="2" t="s">
        <v>407</v>
      </c>
      <c r="D1504" s="2" t="s">
        <v>411</v>
      </c>
      <c r="E1504" s="2" t="s">
        <v>413</v>
      </c>
      <c r="F1504" s="2" t="s">
        <v>39</v>
      </c>
      <c r="J1504" s="2" t="s">
        <v>541</v>
      </c>
      <c r="K1504" s="2" t="s">
        <v>542</v>
      </c>
      <c r="L1504" s="2">
        <v>1</v>
      </c>
      <c r="M1504" s="2" t="s">
        <v>543</v>
      </c>
      <c r="O1504" s="2" t="s">
        <v>524</v>
      </c>
      <c r="Y1504" s="2" t="s">
        <v>630</v>
      </c>
    </row>
    <row r="1505" spans="1:34" x14ac:dyDescent="0.25">
      <c r="A1505" s="2" t="s">
        <v>316</v>
      </c>
      <c r="B1505" s="2" t="s">
        <v>540</v>
      </c>
      <c r="C1505" s="2" t="s">
        <v>407</v>
      </c>
      <c r="D1505" s="2" t="s">
        <v>411</v>
      </c>
      <c r="E1505" s="2" t="s">
        <v>413</v>
      </c>
      <c r="F1505" s="2" t="s">
        <v>39</v>
      </c>
      <c r="J1505" s="2" t="s">
        <v>541</v>
      </c>
      <c r="K1505" s="2" t="s">
        <v>542</v>
      </c>
      <c r="L1505" s="2">
        <v>2</v>
      </c>
      <c r="M1505" s="2" t="s">
        <v>544</v>
      </c>
      <c r="O1505" s="2" t="s">
        <v>524</v>
      </c>
      <c r="Y1505" s="2" t="s">
        <v>630</v>
      </c>
    </row>
    <row r="1506" spans="1:34" x14ac:dyDescent="0.25">
      <c r="A1506" s="2" t="s">
        <v>316</v>
      </c>
      <c r="B1506" s="2" t="s">
        <v>540</v>
      </c>
      <c r="C1506" s="2" t="s">
        <v>407</v>
      </c>
      <c r="D1506" s="2" t="s">
        <v>411</v>
      </c>
      <c r="E1506" s="2" t="s">
        <v>413</v>
      </c>
      <c r="F1506" s="2" t="s">
        <v>39</v>
      </c>
      <c r="J1506" s="2" t="s">
        <v>541</v>
      </c>
      <c r="K1506" s="2" t="s">
        <v>542</v>
      </c>
      <c r="L1506" s="2">
        <v>3</v>
      </c>
      <c r="M1506" s="2" t="s">
        <v>545</v>
      </c>
      <c r="O1506" s="2" t="s">
        <v>524</v>
      </c>
      <c r="Y1506" s="2" t="s">
        <v>630</v>
      </c>
    </row>
    <row r="1507" spans="1:34" x14ac:dyDescent="0.25">
      <c r="A1507" s="2" t="s">
        <v>316</v>
      </c>
      <c r="B1507" s="2" t="s">
        <v>540</v>
      </c>
      <c r="C1507" s="2" t="s">
        <v>407</v>
      </c>
      <c r="D1507" s="2" t="s">
        <v>411</v>
      </c>
      <c r="E1507" s="2" t="s">
        <v>413</v>
      </c>
      <c r="F1507" s="2" t="s">
        <v>39</v>
      </c>
      <c r="J1507" s="2" t="s">
        <v>541</v>
      </c>
      <c r="K1507" s="2" t="s">
        <v>542</v>
      </c>
      <c r="L1507" s="2">
        <v>4</v>
      </c>
      <c r="M1507" s="2" t="s">
        <v>546</v>
      </c>
      <c r="O1507" s="2" t="s">
        <v>524</v>
      </c>
      <c r="Y1507" s="2" t="s">
        <v>630</v>
      </c>
    </row>
    <row r="1508" spans="1:34" x14ac:dyDescent="0.25">
      <c r="A1508" s="2" t="s">
        <v>316</v>
      </c>
      <c r="B1508" s="2" t="s">
        <v>540</v>
      </c>
      <c r="C1508" s="2" t="s">
        <v>407</v>
      </c>
      <c r="D1508" s="2" t="s">
        <v>411</v>
      </c>
      <c r="E1508" s="2" t="s">
        <v>413</v>
      </c>
      <c r="F1508" s="2" t="s">
        <v>39</v>
      </c>
      <c r="J1508" s="2" t="s">
        <v>541</v>
      </c>
      <c r="K1508" s="2" t="s">
        <v>542</v>
      </c>
      <c r="L1508" s="2">
        <v>5</v>
      </c>
      <c r="M1508" s="2" t="s">
        <v>547</v>
      </c>
      <c r="O1508" s="2" t="s">
        <v>524</v>
      </c>
      <c r="Y1508" s="2" t="s">
        <v>630</v>
      </c>
    </row>
    <row r="1509" spans="1:34" x14ac:dyDescent="0.25">
      <c r="A1509" s="2" t="s">
        <v>316</v>
      </c>
      <c r="B1509" s="2" t="s">
        <v>540</v>
      </c>
      <c r="C1509" s="2" t="s">
        <v>407</v>
      </c>
      <c r="D1509" s="2" t="s">
        <v>411</v>
      </c>
      <c r="E1509" s="2" t="s">
        <v>413</v>
      </c>
      <c r="F1509" s="2" t="s">
        <v>39</v>
      </c>
      <c r="J1509" s="2" t="s">
        <v>541</v>
      </c>
      <c r="K1509" s="2" t="s">
        <v>542</v>
      </c>
      <c r="L1509" s="2">
        <v>6</v>
      </c>
      <c r="M1509" s="2" t="s">
        <v>548</v>
      </c>
      <c r="O1509" s="2" t="s">
        <v>524</v>
      </c>
      <c r="Y1509" s="2" t="s">
        <v>630</v>
      </c>
    </row>
    <row r="1510" spans="1:34" x14ac:dyDescent="0.25">
      <c r="A1510" s="2" t="s">
        <v>316</v>
      </c>
      <c r="B1510" s="2" t="s">
        <v>540</v>
      </c>
      <c r="C1510" s="2" t="s">
        <v>407</v>
      </c>
      <c r="D1510" s="2" t="s">
        <v>411</v>
      </c>
      <c r="E1510" s="2" t="s">
        <v>413</v>
      </c>
      <c r="F1510" s="2" t="s">
        <v>39</v>
      </c>
      <c r="J1510" s="2" t="s">
        <v>541</v>
      </c>
      <c r="K1510" s="2" t="s">
        <v>542</v>
      </c>
      <c r="L1510" s="2">
        <v>7</v>
      </c>
      <c r="M1510" s="2" t="s">
        <v>549</v>
      </c>
      <c r="O1510" s="2" t="s">
        <v>524</v>
      </c>
      <c r="Y1510" s="2" t="s">
        <v>630</v>
      </c>
    </row>
    <row r="1511" spans="1:34" x14ac:dyDescent="0.25">
      <c r="A1511" s="2" t="s">
        <v>316</v>
      </c>
      <c r="B1511" s="2" t="s">
        <v>540</v>
      </c>
      <c r="C1511" s="2" t="s">
        <v>407</v>
      </c>
      <c r="D1511" s="2" t="s">
        <v>411</v>
      </c>
      <c r="E1511" s="2" t="s">
        <v>413</v>
      </c>
      <c r="F1511" s="2" t="s">
        <v>39</v>
      </c>
      <c r="J1511" s="2" t="s">
        <v>541</v>
      </c>
      <c r="K1511" s="2" t="s">
        <v>542</v>
      </c>
      <c r="L1511" s="2">
        <v>8</v>
      </c>
      <c r="M1511" s="2" t="s">
        <v>550</v>
      </c>
      <c r="O1511" s="2" t="s">
        <v>524</v>
      </c>
      <c r="Y1511" s="2" t="s">
        <v>630</v>
      </c>
    </row>
    <row r="1512" spans="1:34" x14ac:dyDescent="0.25">
      <c r="A1512" s="2" t="s">
        <v>316</v>
      </c>
      <c r="B1512" s="2" t="s">
        <v>540</v>
      </c>
      <c r="C1512" s="2" t="s">
        <v>407</v>
      </c>
      <c r="D1512" s="2" t="s">
        <v>411</v>
      </c>
      <c r="E1512" s="2" t="s">
        <v>413</v>
      </c>
      <c r="F1512" s="2" t="s">
        <v>39</v>
      </c>
      <c r="J1512" s="2" t="s">
        <v>541</v>
      </c>
      <c r="K1512" s="2" t="s">
        <v>542</v>
      </c>
      <c r="L1512" s="2">
        <v>9</v>
      </c>
      <c r="M1512" s="2" t="s">
        <v>551</v>
      </c>
      <c r="O1512" s="2" t="s">
        <v>524</v>
      </c>
      <c r="Y1512" s="2" t="s">
        <v>630</v>
      </c>
    </row>
    <row r="1513" spans="1:34" x14ac:dyDescent="0.25">
      <c r="A1513" s="2" t="s">
        <v>316</v>
      </c>
      <c r="B1513" s="2" t="s">
        <v>540</v>
      </c>
      <c r="C1513" s="2" t="s">
        <v>407</v>
      </c>
      <c r="D1513" s="2" t="s">
        <v>411</v>
      </c>
      <c r="E1513" s="2" t="s">
        <v>413</v>
      </c>
      <c r="F1513" s="2" t="s">
        <v>39</v>
      </c>
      <c r="J1513" s="2" t="s">
        <v>541</v>
      </c>
      <c r="K1513" s="2" t="s">
        <v>542</v>
      </c>
      <c r="L1513" s="2">
        <v>10</v>
      </c>
      <c r="M1513" s="2" t="s">
        <v>552</v>
      </c>
      <c r="O1513" s="2" t="s">
        <v>524</v>
      </c>
      <c r="Y1513" s="2" t="s">
        <v>630</v>
      </c>
    </row>
    <row r="1514" spans="1:34" x14ac:dyDescent="0.25">
      <c r="A1514" s="2" t="s">
        <v>316</v>
      </c>
      <c r="B1514" s="2" t="s">
        <v>540</v>
      </c>
      <c r="C1514" s="2" t="s">
        <v>407</v>
      </c>
      <c r="D1514" s="2" t="s">
        <v>411</v>
      </c>
      <c r="E1514" s="2" t="s">
        <v>413</v>
      </c>
      <c r="F1514" s="2" t="s">
        <v>39</v>
      </c>
      <c r="J1514" s="2" t="s">
        <v>541</v>
      </c>
      <c r="K1514" s="2" t="s">
        <v>542</v>
      </c>
      <c r="L1514" s="2">
        <v>11</v>
      </c>
      <c r="M1514" s="2" t="s">
        <v>553</v>
      </c>
      <c r="O1514" s="2" t="s">
        <v>524</v>
      </c>
      <c r="Y1514" s="2" t="s">
        <v>630</v>
      </c>
    </row>
    <row r="1515" spans="1:34" x14ac:dyDescent="0.25">
      <c r="A1515" s="2" t="s">
        <v>316</v>
      </c>
      <c r="B1515" s="2" t="s">
        <v>540</v>
      </c>
      <c r="C1515" s="2" t="s">
        <v>407</v>
      </c>
      <c r="D1515" s="2" t="s">
        <v>411</v>
      </c>
      <c r="E1515" s="2" t="s">
        <v>413</v>
      </c>
      <c r="F1515" s="2" t="s">
        <v>39</v>
      </c>
      <c r="J1515" s="2" t="s">
        <v>541</v>
      </c>
      <c r="K1515" s="2" t="s">
        <v>542</v>
      </c>
      <c r="L1515" s="2">
        <v>12</v>
      </c>
      <c r="M1515" s="2" t="s">
        <v>554</v>
      </c>
      <c r="O1515" s="2" t="s">
        <v>524</v>
      </c>
      <c r="Y1515" s="2" t="s">
        <v>630</v>
      </c>
    </row>
    <row r="1516" spans="1:34" x14ac:dyDescent="0.25">
      <c r="A1516" s="2" t="s">
        <v>316</v>
      </c>
      <c r="B1516" s="2" t="s">
        <v>555</v>
      </c>
      <c r="C1516" s="2" t="s">
        <v>407</v>
      </c>
      <c r="D1516" s="2" t="s">
        <v>411</v>
      </c>
      <c r="E1516" s="2" t="s">
        <v>413</v>
      </c>
      <c r="F1516" s="2" t="s">
        <v>39</v>
      </c>
      <c r="J1516" s="2" t="s">
        <v>556</v>
      </c>
      <c r="O1516" s="2" t="s">
        <v>524</v>
      </c>
      <c r="Y1516" s="2" t="s">
        <v>630</v>
      </c>
      <c r="AB1516" s="2">
        <v>1</v>
      </c>
    </row>
    <row r="1517" spans="1:34" x14ac:dyDescent="0.25">
      <c r="A1517" s="2" t="s">
        <v>316</v>
      </c>
      <c r="B1517" s="2" t="s">
        <v>557</v>
      </c>
      <c r="C1517" s="2" t="s">
        <v>407</v>
      </c>
      <c r="D1517" s="2" t="s">
        <v>411</v>
      </c>
      <c r="E1517" s="2" t="s">
        <v>413</v>
      </c>
      <c r="F1517" s="2" t="s">
        <v>39</v>
      </c>
      <c r="J1517" s="2" t="s">
        <v>558</v>
      </c>
      <c r="O1517" s="2" t="s">
        <v>524</v>
      </c>
      <c r="Y1517" s="2" t="s">
        <v>630</v>
      </c>
      <c r="AC1517" s="2">
        <f>COUNTIFS($B:$B,"BLOCK_LOAD_Q",$A:$A,$A1517,$C:$C,$C1517,$E:$E,$E1517,$F:$F,$F1517,$N:$N, "&lt;&gt;")</f>
        <v>0</v>
      </c>
      <c r="AD1517" s="2">
        <f>COUNTIFS($B:$B,"BLOCK_TRUST_Q",$A:$A,$A1517,$C:$C,$C1517,$E:$E,$E1517,$F:$F,$F1517,$N:$N, "&lt;&gt;")</f>
        <v>0</v>
      </c>
      <c r="AE1517" s="2" t="str">
        <f>IFERROR(AVERAGEIFS($P:$P,$B:$B,"BLOCK_LOAD_Q",$A:$A,$A1517,$C:$C,$C1517,$E:$E,$E1517,$F:$F,$F1517,$P:$P,"&gt;0"),"")</f>
        <v/>
      </c>
      <c r="AF1517" s="2" t="str">
        <f>IFERROR(AVERAGEIFS($P:$P,$B:$B,"BLOCK_TRUST_Q",$A:$A,$A1517,$C:$C,$C1517,$E:$E,$E1517,$F:$F,$F1517,$P:$P,"&gt;0"),"")</f>
        <v/>
      </c>
      <c r="AG1517" s="2">
        <f>5-AC1517</f>
        <v>5</v>
      </c>
      <c r="AH1517" s="2">
        <f>12-AD1517</f>
        <v>12</v>
      </c>
    </row>
    <row r="1518" spans="1:34" x14ac:dyDescent="0.25">
      <c r="A1518" s="2" t="s">
        <v>316</v>
      </c>
      <c r="B1518" s="2" t="s">
        <v>402</v>
      </c>
      <c r="C1518" s="2" t="s">
        <v>407</v>
      </c>
      <c r="D1518" s="2" t="s">
        <v>411</v>
      </c>
      <c r="E1518" s="2" t="s">
        <v>414</v>
      </c>
      <c r="F1518" s="2" t="s">
        <v>40</v>
      </c>
      <c r="G1518" s="2" t="s">
        <v>415</v>
      </c>
      <c r="H1518" s="2" t="s">
        <v>357</v>
      </c>
      <c r="S1518" s="2" t="s">
        <v>59</v>
      </c>
      <c r="U1518" s="2" t="s">
        <v>60</v>
      </c>
      <c r="W1518" s="2" t="s">
        <v>57</v>
      </c>
    </row>
    <row r="1519" spans="1:34" x14ac:dyDescent="0.25">
      <c r="A1519" s="2" t="s">
        <v>316</v>
      </c>
      <c r="B1519" s="2" t="s">
        <v>402</v>
      </c>
      <c r="C1519" s="2" t="s">
        <v>407</v>
      </c>
      <c r="D1519" s="2" t="s">
        <v>411</v>
      </c>
      <c r="E1519" s="2" t="s">
        <v>414</v>
      </c>
      <c r="F1519" s="2" t="s">
        <v>40</v>
      </c>
      <c r="G1519" s="2" t="s">
        <v>416</v>
      </c>
      <c r="H1519" s="2" t="s">
        <v>348</v>
      </c>
      <c r="S1519" s="2" t="s">
        <v>58</v>
      </c>
      <c r="U1519" s="2" t="s">
        <v>59</v>
      </c>
      <c r="W1519" s="2" t="s">
        <v>59</v>
      </c>
    </row>
    <row r="1520" spans="1:34" x14ac:dyDescent="0.25">
      <c r="A1520" s="2" t="s">
        <v>316</v>
      </c>
      <c r="B1520" s="2" t="s">
        <v>402</v>
      </c>
      <c r="C1520" s="2" t="s">
        <v>407</v>
      </c>
      <c r="D1520" s="2" t="s">
        <v>411</v>
      </c>
      <c r="E1520" s="2" t="s">
        <v>414</v>
      </c>
      <c r="F1520" s="2" t="s">
        <v>40</v>
      </c>
      <c r="G1520" s="2" t="s">
        <v>417</v>
      </c>
      <c r="H1520" s="2" t="s">
        <v>562</v>
      </c>
      <c r="S1520" s="2" t="s">
        <v>59</v>
      </c>
      <c r="U1520" s="2" t="s">
        <v>57</v>
      </c>
      <c r="W1520" s="2" t="s">
        <v>57</v>
      </c>
    </row>
    <row r="1521" spans="1:25" x14ac:dyDescent="0.25">
      <c r="A1521" s="2" t="s">
        <v>316</v>
      </c>
      <c r="B1521" s="2" t="s">
        <v>402</v>
      </c>
      <c r="C1521" s="2" t="s">
        <v>407</v>
      </c>
      <c r="D1521" s="2" t="s">
        <v>411</v>
      </c>
      <c r="E1521" s="2" t="s">
        <v>414</v>
      </c>
      <c r="F1521" s="2" t="s">
        <v>40</v>
      </c>
      <c r="G1521" s="2" t="s">
        <v>418</v>
      </c>
      <c r="H1521" s="2" t="s">
        <v>563</v>
      </c>
      <c r="S1521" s="2" t="s">
        <v>57</v>
      </c>
      <c r="U1521" s="2" t="s">
        <v>60</v>
      </c>
      <c r="W1521" s="2" t="s">
        <v>60</v>
      </c>
    </row>
    <row r="1522" spans="1:25" x14ac:dyDescent="0.25">
      <c r="A1522" s="2" t="s">
        <v>316</v>
      </c>
      <c r="B1522" s="2" t="s">
        <v>531</v>
      </c>
      <c r="C1522" s="2" t="s">
        <v>407</v>
      </c>
      <c r="D1522" s="2" t="s">
        <v>411</v>
      </c>
      <c r="E1522" s="2" t="s">
        <v>414</v>
      </c>
      <c r="F1522" s="2" t="s">
        <v>40</v>
      </c>
      <c r="J1522" s="2" t="s">
        <v>532</v>
      </c>
      <c r="K1522" s="2" t="s">
        <v>533</v>
      </c>
      <c r="L1522" s="2">
        <v>1</v>
      </c>
      <c r="M1522" s="2" t="s">
        <v>534</v>
      </c>
      <c r="O1522" s="2" t="s">
        <v>524</v>
      </c>
      <c r="Y1522" s="2" t="s">
        <v>631</v>
      </c>
    </row>
    <row r="1523" spans="1:25" x14ac:dyDescent="0.25">
      <c r="A1523" s="2" t="s">
        <v>316</v>
      </c>
      <c r="B1523" s="2" t="s">
        <v>531</v>
      </c>
      <c r="C1523" s="2" t="s">
        <v>407</v>
      </c>
      <c r="D1523" s="2" t="s">
        <v>411</v>
      </c>
      <c r="E1523" s="2" t="s">
        <v>414</v>
      </c>
      <c r="F1523" s="2" t="s">
        <v>40</v>
      </c>
      <c r="J1523" s="2" t="s">
        <v>532</v>
      </c>
      <c r="K1523" s="2" t="s">
        <v>533</v>
      </c>
      <c r="L1523" s="2">
        <v>2</v>
      </c>
      <c r="M1523" s="2" t="s">
        <v>536</v>
      </c>
      <c r="O1523" s="2" t="s">
        <v>524</v>
      </c>
      <c r="Y1523" s="2" t="s">
        <v>631</v>
      </c>
    </row>
    <row r="1524" spans="1:25" x14ac:dyDescent="0.25">
      <c r="A1524" s="2" t="s">
        <v>316</v>
      </c>
      <c r="B1524" s="2" t="s">
        <v>531</v>
      </c>
      <c r="C1524" s="2" t="s">
        <v>407</v>
      </c>
      <c r="D1524" s="2" t="s">
        <v>411</v>
      </c>
      <c r="E1524" s="2" t="s">
        <v>414</v>
      </c>
      <c r="F1524" s="2" t="s">
        <v>40</v>
      </c>
      <c r="J1524" s="2" t="s">
        <v>532</v>
      </c>
      <c r="K1524" s="2" t="s">
        <v>533</v>
      </c>
      <c r="L1524" s="2">
        <v>3</v>
      </c>
      <c r="M1524" s="2" t="s">
        <v>537</v>
      </c>
      <c r="O1524" s="2" t="s">
        <v>524</v>
      </c>
      <c r="Y1524" s="2" t="s">
        <v>631</v>
      </c>
    </row>
    <row r="1525" spans="1:25" x14ac:dyDescent="0.25">
      <c r="A1525" s="2" t="s">
        <v>316</v>
      </c>
      <c r="B1525" s="2" t="s">
        <v>531</v>
      </c>
      <c r="C1525" s="2" t="s">
        <v>407</v>
      </c>
      <c r="D1525" s="2" t="s">
        <v>411</v>
      </c>
      <c r="E1525" s="2" t="s">
        <v>414</v>
      </c>
      <c r="F1525" s="2" t="s">
        <v>40</v>
      </c>
      <c r="J1525" s="2" t="s">
        <v>532</v>
      </c>
      <c r="K1525" s="2" t="s">
        <v>533</v>
      </c>
      <c r="L1525" s="2">
        <v>4</v>
      </c>
      <c r="M1525" s="2" t="s">
        <v>538</v>
      </c>
      <c r="O1525" s="2" t="s">
        <v>524</v>
      </c>
      <c r="Y1525" s="2" t="s">
        <v>631</v>
      </c>
    </row>
    <row r="1526" spans="1:25" x14ac:dyDescent="0.25">
      <c r="A1526" s="2" t="s">
        <v>316</v>
      </c>
      <c r="B1526" s="2" t="s">
        <v>531</v>
      </c>
      <c r="C1526" s="2" t="s">
        <v>407</v>
      </c>
      <c r="D1526" s="2" t="s">
        <v>411</v>
      </c>
      <c r="E1526" s="2" t="s">
        <v>414</v>
      </c>
      <c r="F1526" s="2" t="s">
        <v>40</v>
      </c>
      <c r="J1526" s="2" t="s">
        <v>532</v>
      </c>
      <c r="K1526" s="2" t="s">
        <v>533</v>
      </c>
      <c r="L1526" s="2">
        <v>5</v>
      </c>
      <c r="M1526" s="2" t="s">
        <v>539</v>
      </c>
      <c r="O1526" s="2" t="s">
        <v>524</v>
      </c>
      <c r="Y1526" s="2" t="s">
        <v>631</v>
      </c>
    </row>
    <row r="1527" spans="1:25" x14ac:dyDescent="0.25">
      <c r="A1527" s="2" t="s">
        <v>316</v>
      </c>
      <c r="B1527" s="2" t="s">
        <v>540</v>
      </c>
      <c r="C1527" s="2" t="s">
        <v>407</v>
      </c>
      <c r="D1527" s="2" t="s">
        <v>411</v>
      </c>
      <c r="E1527" s="2" t="s">
        <v>414</v>
      </c>
      <c r="F1527" s="2" t="s">
        <v>40</v>
      </c>
      <c r="J1527" s="2" t="s">
        <v>541</v>
      </c>
      <c r="K1527" s="2" t="s">
        <v>542</v>
      </c>
      <c r="L1527" s="2">
        <v>1</v>
      </c>
      <c r="M1527" s="2" t="s">
        <v>543</v>
      </c>
      <c r="O1527" s="2" t="s">
        <v>524</v>
      </c>
      <c r="Y1527" s="2" t="s">
        <v>631</v>
      </c>
    </row>
    <row r="1528" spans="1:25" x14ac:dyDescent="0.25">
      <c r="A1528" s="2" t="s">
        <v>316</v>
      </c>
      <c r="B1528" s="2" t="s">
        <v>540</v>
      </c>
      <c r="C1528" s="2" t="s">
        <v>407</v>
      </c>
      <c r="D1528" s="2" t="s">
        <v>411</v>
      </c>
      <c r="E1528" s="2" t="s">
        <v>414</v>
      </c>
      <c r="F1528" s="2" t="s">
        <v>40</v>
      </c>
      <c r="J1528" s="2" t="s">
        <v>541</v>
      </c>
      <c r="K1528" s="2" t="s">
        <v>542</v>
      </c>
      <c r="L1528" s="2">
        <v>2</v>
      </c>
      <c r="M1528" s="2" t="s">
        <v>544</v>
      </c>
      <c r="O1528" s="2" t="s">
        <v>524</v>
      </c>
      <c r="Y1528" s="2" t="s">
        <v>631</v>
      </c>
    </row>
    <row r="1529" spans="1:25" x14ac:dyDescent="0.25">
      <c r="A1529" s="2" t="s">
        <v>316</v>
      </c>
      <c r="B1529" s="2" t="s">
        <v>540</v>
      </c>
      <c r="C1529" s="2" t="s">
        <v>407</v>
      </c>
      <c r="D1529" s="2" t="s">
        <v>411</v>
      </c>
      <c r="E1529" s="2" t="s">
        <v>414</v>
      </c>
      <c r="F1529" s="2" t="s">
        <v>40</v>
      </c>
      <c r="J1529" s="2" t="s">
        <v>541</v>
      </c>
      <c r="K1529" s="2" t="s">
        <v>542</v>
      </c>
      <c r="L1529" s="2">
        <v>3</v>
      </c>
      <c r="M1529" s="2" t="s">
        <v>545</v>
      </c>
      <c r="O1529" s="2" t="s">
        <v>524</v>
      </c>
      <c r="Y1529" s="2" t="s">
        <v>631</v>
      </c>
    </row>
    <row r="1530" spans="1:25" x14ac:dyDescent="0.25">
      <c r="A1530" s="2" t="s">
        <v>316</v>
      </c>
      <c r="B1530" s="2" t="s">
        <v>540</v>
      </c>
      <c r="C1530" s="2" t="s">
        <v>407</v>
      </c>
      <c r="D1530" s="2" t="s">
        <v>411</v>
      </c>
      <c r="E1530" s="2" t="s">
        <v>414</v>
      </c>
      <c r="F1530" s="2" t="s">
        <v>40</v>
      </c>
      <c r="J1530" s="2" t="s">
        <v>541</v>
      </c>
      <c r="K1530" s="2" t="s">
        <v>542</v>
      </c>
      <c r="L1530" s="2">
        <v>4</v>
      </c>
      <c r="M1530" s="2" t="s">
        <v>546</v>
      </c>
      <c r="O1530" s="2" t="s">
        <v>524</v>
      </c>
      <c r="Y1530" s="2" t="s">
        <v>631</v>
      </c>
    </row>
    <row r="1531" spans="1:25" x14ac:dyDescent="0.25">
      <c r="A1531" s="2" t="s">
        <v>316</v>
      </c>
      <c r="B1531" s="2" t="s">
        <v>540</v>
      </c>
      <c r="C1531" s="2" t="s">
        <v>407</v>
      </c>
      <c r="D1531" s="2" t="s">
        <v>411</v>
      </c>
      <c r="E1531" s="2" t="s">
        <v>414</v>
      </c>
      <c r="F1531" s="2" t="s">
        <v>40</v>
      </c>
      <c r="J1531" s="2" t="s">
        <v>541</v>
      </c>
      <c r="K1531" s="2" t="s">
        <v>542</v>
      </c>
      <c r="L1531" s="2">
        <v>5</v>
      </c>
      <c r="M1531" s="2" t="s">
        <v>547</v>
      </c>
      <c r="O1531" s="2" t="s">
        <v>524</v>
      </c>
      <c r="Y1531" s="2" t="s">
        <v>631</v>
      </c>
    </row>
    <row r="1532" spans="1:25" x14ac:dyDescent="0.25">
      <c r="A1532" s="2" t="s">
        <v>316</v>
      </c>
      <c r="B1532" s="2" t="s">
        <v>540</v>
      </c>
      <c r="C1532" s="2" t="s">
        <v>407</v>
      </c>
      <c r="D1532" s="2" t="s">
        <v>411</v>
      </c>
      <c r="E1532" s="2" t="s">
        <v>414</v>
      </c>
      <c r="F1532" s="2" t="s">
        <v>40</v>
      </c>
      <c r="J1532" s="2" t="s">
        <v>541</v>
      </c>
      <c r="K1532" s="2" t="s">
        <v>542</v>
      </c>
      <c r="L1532" s="2">
        <v>6</v>
      </c>
      <c r="M1532" s="2" t="s">
        <v>548</v>
      </c>
      <c r="O1532" s="2" t="s">
        <v>524</v>
      </c>
      <c r="Y1532" s="2" t="s">
        <v>631</v>
      </c>
    </row>
    <row r="1533" spans="1:25" x14ac:dyDescent="0.25">
      <c r="A1533" s="2" t="s">
        <v>316</v>
      </c>
      <c r="B1533" s="2" t="s">
        <v>540</v>
      </c>
      <c r="C1533" s="2" t="s">
        <v>407</v>
      </c>
      <c r="D1533" s="2" t="s">
        <v>411</v>
      </c>
      <c r="E1533" s="2" t="s">
        <v>414</v>
      </c>
      <c r="F1533" s="2" t="s">
        <v>40</v>
      </c>
      <c r="J1533" s="2" t="s">
        <v>541</v>
      </c>
      <c r="K1533" s="2" t="s">
        <v>542</v>
      </c>
      <c r="L1533" s="2">
        <v>7</v>
      </c>
      <c r="M1533" s="2" t="s">
        <v>549</v>
      </c>
      <c r="O1533" s="2" t="s">
        <v>524</v>
      </c>
      <c r="Y1533" s="2" t="s">
        <v>631</v>
      </c>
    </row>
    <row r="1534" spans="1:25" x14ac:dyDescent="0.25">
      <c r="A1534" s="2" t="s">
        <v>316</v>
      </c>
      <c r="B1534" s="2" t="s">
        <v>540</v>
      </c>
      <c r="C1534" s="2" t="s">
        <v>407</v>
      </c>
      <c r="D1534" s="2" t="s">
        <v>411</v>
      </c>
      <c r="E1534" s="2" t="s">
        <v>414</v>
      </c>
      <c r="F1534" s="2" t="s">
        <v>40</v>
      </c>
      <c r="J1534" s="2" t="s">
        <v>541</v>
      </c>
      <c r="K1534" s="2" t="s">
        <v>542</v>
      </c>
      <c r="L1534" s="2">
        <v>8</v>
      </c>
      <c r="M1534" s="2" t="s">
        <v>550</v>
      </c>
      <c r="O1534" s="2" t="s">
        <v>524</v>
      </c>
      <c r="Y1534" s="2" t="s">
        <v>631</v>
      </c>
    </row>
    <row r="1535" spans="1:25" x14ac:dyDescent="0.25">
      <c r="A1535" s="2" t="s">
        <v>316</v>
      </c>
      <c r="B1535" s="2" t="s">
        <v>540</v>
      </c>
      <c r="C1535" s="2" t="s">
        <v>407</v>
      </c>
      <c r="D1535" s="2" t="s">
        <v>411</v>
      </c>
      <c r="E1535" s="2" t="s">
        <v>414</v>
      </c>
      <c r="F1535" s="2" t="s">
        <v>40</v>
      </c>
      <c r="J1535" s="2" t="s">
        <v>541</v>
      </c>
      <c r="K1535" s="2" t="s">
        <v>542</v>
      </c>
      <c r="L1535" s="2">
        <v>9</v>
      </c>
      <c r="M1535" s="2" t="s">
        <v>551</v>
      </c>
      <c r="O1535" s="2" t="s">
        <v>524</v>
      </c>
      <c r="Y1535" s="2" t="s">
        <v>631</v>
      </c>
    </row>
    <row r="1536" spans="1:25" x14ac:dyDescent="0.25">
      <c r="A1536" s="2" t="s">
        <v>316</v>
      </c>
      <c r="B1536" s="2" t="s">
        <v>540</v>
      </c>
      <c r="C1536" s="2" t="s">
        <v>407</v>
      </c>
      <c r="D1536" s="2" t="s">
        <v>411</v>
      </c>
      <c r="E1536" s="2" t="s">
        <v>414</v>
      </c>
      <c r="F1536" s="2" t="s">
        <v>40</v>
      </c>
      <c r="J1536" s="2" t="s">
        <v>541</v>
      </c>
      <c r="K1536" s="2" t="s">
        <v>542</v>
      </c>
      <c r="L1536" s="2">
        <v>10</v>
      </c>
      <c r="M1536" s="2" t="s">
        <v>552</v>
      </c>
      <c r="O1536" s="2" t="s">
        <v>524</v>
      </c>
      <c r="Y1536" s="2" t="s">
        <v>631</v>
      </c>
    </row>
    <row r="1537" spans="1:34" x14ac:dyDescent="0.25">
      <c r="A1537" s="2" t="s">
        <v>316</v>
      </c>
      <c r="B1537" s="2" t="s">
        <v>540</v>
      </c>
      <c r="C1537" s="2" t="s">
        <v>407</v>
      </c>
      <c r="D1537" s="2" t="s">
        <v>411</v>
      </c>
      <c r="E1537" s="2" t="s">
        <v>414</v>
      </c>
      <c r="F1537" s="2" t="s">
        <v>40</v>
      </c>
      <c r="J1537" s="2" t="s">
        <v>541</v>
      </c>
      <c r="K1537" s="2" t="s">
        <v>542</v>
      </c>
      <c r="L1537" s="2">
        <v>11</v>
      </c>
      <c r="M1537" s="2" t="s">
        <v>553</v>
      </c>
      <c r="O1537" s="2" t="s">
        <v>524</v>
      </c>
      <c r="Y1537" s="2" t="s">
        <v>631</v>
      </c>
    </row>
    <row r="1538" spans="1:34" x14ac:dyDescent="0.25">
      <c r="A1538" s="2" t="s">
        <v>316</v>
      </c>
      <c r="B1538" s="2" t="s">
        <v>540</v>
      </c>
      <c r="C1538" s="2" t="s">
        <v>407</v>
      </c>
      <c r="D1538" s="2" t="s">
        <v>411</v>
      </c>
      <c r="E1538" s="2" t="s">
        <v>414</v>
      </c>
      <c r="F1538" s="2" t="s">
        <v>40</v>
      </c>
      <c r="J1538" s="2" t="s">
        <v>541</v>
      </c>
      <c r="K1538" s="2" t="s">
        <v>542</v>
      </c>
      <c r="L1538" s="2">
        <v>12</v>
      </c>
      <c r="M1538" s="2" t="s">
        <v>554</v>
      </c>
      <c r="O1538" s="2" t="s">
        <v>524</v>
      </c>
      <c r="Y1538" s="2" t="s">
        <v>631</v>
      </c>
    </row>
    <row r="1539" spans="1:34" x14ac:dyDescent="0.25">
      <c r="A1539" s="2" t="s">
        <v>316</v>
      </c>
      <c r="B1539" s="2" t="s">
        <v>555</v>
      </c>
      <c r="C1539" s="2" t="s">
        <v>407</v>
      </c>
      <c r="D1539" s="2" t="s">
        <v>411</v>
      </c>
      <c r="E1539" s="2" t="s">
        <v>414</v>
      </c>
      <c r="F1539" s="2" t="s">
        <v>40</v>
      </c>
      <c r="J1539" s="2" t="s">
        <v>556</v>
      </c>
      <c r="O1539" s="2" t="s">
        <v>524</v>
      </c>
      <c r="Y1539" s="2" t="s">
        <v>631</v>
      </c>
      <c r="AB1539" s="2">
        <v>2</v>
      </c>
    </row>
    <row r="1540" spans="1:34" x14ac:dyDescent="0.25">
      <c r="A1540" s="2" t="s">
        <v>316</v>
      </c>
      <c r="B1540" s="2" t="s">
        <v>557</v>
      </c>
      <c r="C1540" s="2" t="s">
        <v>407</v>
      </c>
      <c r="D1540" s="2" t="s">
        <v>411</v>
      </c>
      <c r="E1540" s="2" t="s">
        <v>414</v>
      </c>
      <c r="F1540" s="2" t="s">
        <v>40</v>
      </c>
      <c r="J1540" s="2" t="s">
        <v>558</v>
      </c>
      <c r="O1540" s="2" t="s">
        <v>524</v>
      </c>
      <c r="Y1540" s="2" t="s">
        <v>631</v>
      </c>
      <c r="AC1540" s="2">
        <f>COUNTIFS($B:$B,"BLOCK_LOAD_Q",$A:$A,$A1540,$C:$C,$C1540,$E:$E,$E1540,$F:$F,$F1540,$N:$N, "&lt;&gt;")</f>
        <v>0</v>
      </c>
      <c r="AD1540" s="2">
        <f>COUNTIFS($B:$B,"BLOCK_TRUST_Q",$A:$A,$A1540,$C:$C,$C1540,$E:$E,$E1540,$F:$F,$F1540,$N:$N, "&lt;&gt;")</f>
        <v>0</v>
      </c>
      <c r="AE1540" s="2" t="str">
        <f>IFERROR(AVERAGEIFS($P:$P,$B:$B,"BLOCK_LOAD_Q",$A:$A,$A1540,$C:$C,$C1540,$E:$E,$E1540,$F:$F,$F1540,$P:$P,"&gt;0"),"")</f>
        <v/>
      </c>
      <c r="AF1540" s="2" t="str">
        <f>IFERROR(AVERAGEIFS($P:$P,$B:$B,"BLOCK_TRUST_Q",$A:$A,$A1540,$C:$C,$C1540,$E:$E,$E1540,$F:$F,$F1540,$P:$P,"&gt;0"),"")</f>
        <v/>
      </c>
      <c r="AG1540" s="2">
        <f>5-AC1540</f>
        <v>5</v>
      </c>
      <c r="AH1540" s="2">
        <f>12-AD1540</f>
        <v>12</v>
      </c>
    </row>
    <row r="1541" spans="1:34" x14ac:dyDescent="0.25">
      <c r="A1541" s="2" t="s">
        <v>316</v>
      </c>
      <c r="B1541" s="2" t="s">
        <v>403</v>
      </c>
      <c r="C1541" s="2" t="s">
        <v>407</v>
      </c>
      <c r="D1541" s="2" t="s">
        <v>411</v>
      </c>
      <c r="Z1541" s="2" t="s">
        <v>450</v>
      </c>
    </row>
    <row r="1542" spans="1:34" x14ac:dyDescent="0.25">
      <c r="A1542" s="2" t="s">
        <v>316</v>
      </c>
      <c r="B1542" s="2" t="s">
        <v>402</v>
      </c>
      <c r="C1542" s="2" t="s">
        <v>408</v>
      </c>
      <c r="D1542" s="2" t="s">
        <v>412</v>
      </c>
      <c r="E1542" s="2" t="s">
        <v>413</v>
      </c>
      <c r="F1542" s="2" t="s">
        <v>39</v>
      </c>
      <c r="G1542" s="2" t="s">
        <v>415</v>
      </c>
      <c r="H1542" s="2" t="s">
        <v>350</v>
      </c>
      <c r="S1542" s="2" t="s">
        <v>57</v>
      </c>
      <c r="U1542" s="2" t="s">
        <v>58</v>
      </c>
      <c r="W1542" s="2" t="s">
        <v>59</v>
      </c>
    </row>
    <row r="1543" spans="1:34" x14ac:dyDescent="0.25">
      <c r="A1543" s="2" t="s">
        <v>316</v>
      </c>
      <c r="B1543" s="2" t="s">
        <v>402</v>
      </c>
      <c r="C1543" s="2" t="s">
        <v>408</v>
      </c>
      <c r="D1543" s="2" t="s">
        <v>412</v>
      </c>
      <c r="E1543" s="2" t="s">
        <v>413</v>
      </c>
      <c r="F1543" s="2" t="s">
        <v>39</v>
      </c>
      <c r="G1543" s="2" t="s">
        <v>416</v>
      </c>
      <c r="H1543" s="2" t="s">
        <v>571</v>
      </c>
      <c r="S1543" s="2" t="s">
        <v>59</v>
      </c>
      <c r="U1543" s="2" t="s">
        <v>57</v>
      </c>
      <c r="W1543" s="2" t="s">
        <v>60</v>
      </c>
    </row>
    <row r="1544" spans="1:34" x14ac:dyDescent="0.25">
      <c r="A1544" s="2" t="s">
        <v>316</v>
      </c>
      <c r="B1544" s="2" t="s">
        <v>402</v>
      </c>
      <c r="C1544" s="2" t="s">
        <v>408</v>
      </c>
      <c r="D1544" s="2" t="s">
        <v>412</v>
      </c>
      <c r="E1544" s="2" t="s">
        <v>413</v>
      </c>
      <c r="F1544" s="2" t="s">
        <v>39</v>
      </c>
      <c r="G1544" s="2" t="s">
        <v>417</v>
      </c>
      <c r="H1544" s="2" t="s">
        <v>572</v>
      </c>
      <c r="S1544" s="2" t="s">
        <v>57</v>
      </c>
      <c r="U1544" s="2" t="s">
        <v>59</v>
      </c>
      <c r="W1544" s="2" t="s">
        <v>58</v>
      </c>
    </row>
    <row r="1545" spans="1:34" x14ac:dyDescent="0.25">
      <c r="A1545" s="2" t="s">
        <v>316</v>
      </c>
      <c r="B1545" s="2" t="s">
        <v>402</v>
      </c>
      <c r="C1545" s="2" t="s">
        <v>408</v>
      </c>
      <c r="D1545" s="2" t="s">
        <v>412</v>
      </c>
      <c r="E1545" s="2" t="s">
        <v>413</v>
      </c>
      <c r="F1545" s="2" t="s">
        <v>39</v>
      </c>
      <c r="G1545" s="2" t="s">
        <v>418</v>
      </c>
      <c r="H1545" s="2" t="s">
        <v>573</v>
      </c>
      <c r="S1545" s="2" t="s">
        <v>58</v>
      </c>
      <c r="U1545" s="2" t="s">
        <v>58</v>
      </c>
      <c r="W1545" s="2" t="s">
        <v>58</v>
      </c>
    </row>
    <row r="1546" spans="1:34" x14ac:dyDescent="0.25">
      <c r="A1546" s="2" t="s">
        <v>316</v>
      </c>
      <c r="B1546" s="2" t="s">
        <v>402</v>
      </c>
      <c r="C1546" s="2" t="s">
        <v>408</v>
      </c>
      <c r="D1546" s="2" t="s">
        <v>412</v>
      </c>
      <c r="E1546" s="2" t="s">
        <v>413</v>
      </c>
      <c r="F1546" s="2" t="s">
        <v>39</v>
      </c>
      <c r="G1546" s="2" t="s">
        <v>419</v>
      </c>
      <c r="H1546" s="2" t="s">
        <v>365</v>
      </c>
      <c r="S1546" s="2" t="s">
        <v>59</v>
      </c>
      <c r="U1546" s="2" t="s">
        <v>59</v>
      </c>
      <c r="W1546" s="2" t="s">
        <v>60</v>
      </c>
    </row>
    <row r="1547" spans="1:34" x14ac:dyDescent="0.25">
      <c r="A1547" s="2" t="s">
        <v>316</v>
      </c>
      <c r="B1547" s="2" t="s">
        <v>531</v>
      </c>
      <c r="C1547" s="2" t="s">
        <v>408</v>
      </c>
      <c r="D1547" s="2" t="s">
        <v>412</v>
      </c>
      <c r="E1547" s="2" t="s">
        <v>413</v>
      </c>
      <c r="F1547" s="2" t="s">
        <v>39</v>
      </c>
      <c r="J1547" s="2" t="s">
        <v>532</v>
      </c>
      <c r="K1547" s="2" t="s">
        <v>533</v>
      </c>
      <c r="L1547" s="2">
        <v>1</v>
      </c>
      <c r="M1547" s="2" t="s">
        <v>534</v>
      </c>
      <c r="O1547" s="2" t="s">
        <v>524</v>
      </c>
      <c r="Y1547" s="2" t="s">
        <v>632</v>
      </c>
    </row>
    <row r="1548" spans="1:34" x14ac:dyDescent="0.25">
      <c r="A1548" s="2" t="s">
        <v>316</v>
      </c>
      <c r="B1548" s="2" t="s">
        <v>531</v>
      </c>
      <c r="C1548" s="2" t="s">
        <v>408</v>
      </c>
      <c r="D1548" s="2" t="s">
        <v>412</v>
      </c>
      <c r="E1548" s="2" t="s">
        <v>413</v>
      </c>
      <c r="F1548" s="2" t="s">
        <v>39</v>
      </c>
      <c r="J1548" s="2" t="s">
        <v>532</v>
      </c>
      <c r="K1548" s="2" t="s">
        <v>533</v>
      </c>
      <c r="L1548" s="2">
        <v>2</v>
      </c>
      <c r="M1548" s="2" t="s">
        <v>536</v>
      </c>
      <c r="O1548" s="2" t="s">
        <v>524</v>
      </c>
      <c r="Y1548" s="2" t="s">
        <v>632</v>
      </c>
    </row>
    <row r="1549" spans="1:34" x14ac:dyDescent="0.25">
      <c r="A1549" s="2" t="s">
        <v>316</v>
      </c>
      <c r="B1549" s="2" t="s">
        <v>531</v>
      </c>
      <c r="C1549" s="2" t="s">
        <v>408</v>
      </c>
      <c r="D1549" s="2" t="s">
        <v>412</v>
      </c>
      <c r="E1549" s="2" t="s">
        <v>413</v>
      </c>
      <c r="F1549" s="2" t="s">
        <v>39</v>
      </c>
      <c r="J1549" s="2" t="s">
        <v>532</v>
      </c>
      <c r="K1549" s="2" t="s">
        <v>533</v>
      </c>
      <c r="L1549" s="2">
        <v>3</v>
      </c>
      <c r="M1549" s="2" t="s">
        <v>537</v>
      </c>
      <c r="O1549" s="2" t="s">
        <v>524</v>
      </c>
      <c r="Y1549" s="2" t="s">
        <v>632</v>
      </c>
    </row>
    <row r="1550" spans="1:34" x14ac:dyDescent="0.25">
      <c r="A1550" s="2" t="s">
        <v>316</v>
      </c>
      <c r="B1550" s="2" t="s">
        <v>531</v>
      </c>
      <c r="C1550" s="2" t="s">
        <v>408</v>
      </c>
      <c r="D1550" s="2" t="s">
        <v>412</v>
      </c>
      <c r="E1550" s="2" t="s">
        <v>413</v>
      </c>
      <c r="F1550" s="2" t="s">
        <v>39</v>
      </c>
      <c r="J1550" s="2" t="s">
        <v>532</v>
      </c>
      <c r="K1550" s="2" t="s">
        <v>533</v>
      </c>
      <c r="L1550" s="2">
        <v>4</v>
      </c>
      <c r="M1550" s="2" t="s">
        <v>538</v>
      </c>
      <c r="O1550" s="2" t="s">
        <v>524</v>
      </c>
      <c r="Y1550" s="2" t="s">
        <v>632</v>
      </c>
    </row>
    <row r="1551" spans="1:34" x14ac:dyDescent="0.25">
      <c r="A1551" s="2" t="s">
        <v>316</v>
      </c>
      <c r="B1551" s="2" t="s">
        <v>531</v>
      </c>
      <c r="C1551" s="2" t="s">
        <v>408</v>
      </c>
      <c r="D1551" s="2" t="s">
        <v>412</v>
      </c>
      <c r="E1551" s="2" t="s">
        <v>413</v>
      </c>
      <c r="F1551" s="2" t="s">
        <v>39</v>
      </c>
      <c r="J1551" s="2" t="s">
        <v>532</v>
      </c>
      <c r="K1551" s="2" t="s">
        <v>533</v>
      </c>
      <c r="L1551" s="2">
        <v>5</v>
      </c>
      <c r="M1551" s="2" t="s">
        <v>539</v>
      </c>
      <c r="O1551" s="2" t="s">
        <v>524</v>
      </c>
      <c r="Y1551" s="2" t="s">
        <v>632</v>
      </c>
    </row>
    <row r="1552" spans="1:34" x14ac:dyDescent="0.25">
      <c r="A1552" s="2" t="s">
        <v>316</v>
      </c>
      <c r="B1552" s="2" t="s">
        <v>540</v>
      </c>
      <c r="C1552" s="2" t="s">
        <v>408</v>
      </c>
      <c r="D1552" s="2" t="s">
        <v>412</v>
      </c>
      <c r="E1552" s="2" t="s">
        <v>413</v>
      </c>
      <c r="F1552" s="2" t="s">
        <v>39</v>
      </c>
      <c r="J1552" s="2" t="s">
        <v>541</v>
      </c>
      <c r="K1552" s="2" t="s">
        <v>542</v>
      </c>
      <c r="L1552" s="2">
        <v>1</v>
      </c>
      <c r="M1552" s="2" t="s">
        <v>543</v>
      </c>
      <c r="O1552" s="2" t="s">
        <v>524</v>
      </c>
      <c r="Y1552" s="2" t="s">
        <v>632</v>
      </c>
    </row>
    <row r="1553" spans="1:34" x14ac:dyDescent="0.25">
      <c r="A1553" s="2" t="s">
        <v>316</v>
      </c>
      <c r="B1553" s="2" t="s">
        <v>540</v>
      </c>
      <c r="C1553" s="2" t="s">
        <v>408</v>
      </c>
      <c r="D1553" s="2" t="s">
        <v>412</v>
      </c>
      <c r="E1553" s="2" t="s">
        <v>413</v>
      </c>
      <c r="F1553" s="2" t="s">
        <v>39</v>
      </c>
      <c r="J1553" s="2" t="s">
        <v>541</v>
      </c>
      <c r="K1553" s="2" t="s">
        <v>542</v>
      </c>
      <c r="L1553" s="2">
        <v>2</v>
      </c>
      <c r="M1553" s="2" t="s">
        <v>544</v>
      </c>
      <c r="O1553" s="2" t="s">
        <v>524</v>
      </c>
      <c r="Y1553" s="2" t="s">
        <v>632</v>
      </c>
    </row>
    <row r="1554" spans="1:34" x14ac:dyDescent="0.25">
      <c r="A1554" s="2" t="s">
        <v>316</v>
      </c>
      <c r="B1554" s="2" t="s">
        <v>540</v>
      </c>
      <c r="C1554" s="2" t="s">
        <v>408</v>
      </c>
      <c r="D1554" s="2" t="s">
        <v>412</v>
      </c>
      <c r="E1554" s="2" t="s">
        <v>413</v>
      </c>
      <c r="F1554" s="2" t="s">
        <v>39</v>
      </c>
      <c r="J1554" s="2" t="s">
        <v>541</v>
      </c>
      <c r="K1554" s="2" t="s">
        <v>542</v>
      </c>
      <c r="L1554" s="2">
        <v>3</v>
      </c>
      <c r="M1554" s="2" t="s">
        <v>545</v>
      </c>
      <c r="O1554" s="2" t="s">
        <v>524</v>
      </c>
      <c r="Y1554" s="2" t="s">
        <v>632</v>
      </c>
    </row>
    <row r="1555" spans="1:34" x14ac:dyDescent="0.25">
      <c r="A1555" s="2" t="s">
        <v>316</v>
      </c>
      <c r="B1555" s="2" t="s">
        <v>540</v>
      </c>
      <c r="C1555" s="2" t="s">
        <v>408</v>
      </c>
      <c r="D1555" s="2" t="s">
        <v>412</v>
      </c>
      <c r="E1555" s="2" t="s">
        <v>413</v>
      </c>
      <c r="F1555" s="2" t="s">
        <v>39</v>
      </c>
      <c r="J1555" s="2" t="s">
        <v>541</v>
      </c>
      <c r="K1555" s="2" t="s">
        <v>542</v>
      </c>
      <c r="L1555" s="2">
        <v>4</v>
      </c>
      <c r="M1555" s="2" t="s">
        <v>546</v>
      </c>
      <c r="O1555" s="2" t="s">
        <v>524</v>
      </c>
      <c r="Y1555" s="2" t="s">
        <v>632</v>
      </c>
    </row>
    <row r="1556" spans="1:34" x14ac:dyDescent="0.25">
      <c r="A1556" s="2" t="s">
        <v>316</v>
      </c>
      <c r="B1556" s="2" t="s">
        <v>540</v>
      </c>
      <c r="C1556" s="2" t="s">
        <v>408</v>
      </c>
      <c r="D1556" s="2" t="s">
        <v>412</v>
      </c>
      <c r="E1556" s="2" t="s">
        <v>413</v>
      </c>
      <c r="F1556" s="2" t="s">
        <v>39</v>
      </c>
      <c r="J1556" s="2" t="s">
        <v>541</v>
      </c>
      <c r="K1556" s="2" t="s">
        <v>542</v>
      </c>
      <c r="L1556" s="2">
        <v>5</v>
      </c>
      <c r="M1556" s="2" t="s">
        <v>547</v>
      </c>
      <c r="O1556" s="2" t="s">
        <v>524</v>
      </c>
      <c r="Y1556" s="2" t="s">
        <v>632</v>
      </c>
    </row>
    <row r="1557" spans="1:34" x14ac:dyDescent="0.25">
      <c r="A1557" s="2" t="s">
        <v>316</v>
      </c>
      <c r="B1557" s="2" t="s">
        <v>540</v>
      </c>
      <c r="C1557" s="2" t="s">
        <v>408</v>
      </c>
      <c r="D1557" s="2" t="s">
        <v>412</v>
      </c>
      <c r="E1557" s="2" t="s">
        <v>413</v>
      </c>
      <c r="F1557" s="2" t="s">
        <v>39</v>
      </c>
      <c r="J1557" s="2" t="s">
        <v>541</v>
      </c>
      <c r="K1557" s="2" t="s">
        <v>542</v>
      </c>
      <c r="L1557" s="2">
        <v>6</v>
      </c>
      <c r="M1557" s="2" t="s">
        <v>548</v>
      </c>
      <c r="O1557" s="2" t="s">
        <v>524</v>
      </c>
      <c r="Y1557" s="2" t="s">
        <v>632</v>
      </c>
    </row>
    <row r="1558" spans="1:34" x14ac:dyDescent="0.25">
      <c r="A1558" s="2" t="s">
        <v>316</v>
      </c>
      <c r="B1558" s="2" t="s">
        <v>540</v>
      </c>
      <c r="C1558" s="2" t="s">
        <v>408</v>
      </c>
      <c r="D1558" s="2" t="s">
        <v>412</v>
      </c>
      <c r="E1558" s="2" t="s">
        <v>413</v>
      </c>
      <c r="F1558" s="2" t="s">
        <v>39</v>
      </c>
      <c r="J1558" s="2" t="s">
        <v>541</v>
      </c>
      <c r="K1558" s="2" t="s">
        <v>542</v>
      </c>
      <c r="L1558" s="2">
        <v>7</v>
      </c>
      <c r="M1558" s="2" t="s">
        <v>549</v>
      </c>
      <c r="O1558" s="2" t="s">
        <v>524</v>
      </c>
      <c r="Y1558" s="2" t="s">
        <v>632</v>
      </c>
    </row>
    <row r="1559" spans="1:34" x14ac:dyDescent="0.25">
      <c r="A1559" s="2" t="s">
        <v>316</v>
      </c>
      <c r="B1559" s="2" t="s">
        <v>540</v>
      </c>
      <c r="C1559" s="2" t="s">
        <v>408</v>
      </c>
      <c r="D1559" s="2" t="s">
        <v>412</v>
      </c>
      <c r="E1559" s="2" t="s">
        <v>413</v>
      </c>
      <c r="F1559" s="2" t="s">
        <v>39</v>
      </c>
      <c r="J1559" s="2" t="s">
        <v>541</v>
      </c>
      <c r="K1559" s="2" t="s">
        <v>542</v>
      </c>
      <c r="L1559" s="2">
        <v>8</v>
      </c>
      <c r="M1559" s="2" t="s">
        <v>550</v>
      </c>
      <c r="O1559" s="2" t="s">
        <v>524</v>
      </c>
      <c r="Y1559" s="2" t="s">
        <v>632</v>
      </c>
    </row>
    <row r="1560" spans="1:34" x14ac:dyDescent="0.25">
      <c r="A1560" s="2" t="s">
        <v>316</v>
      </c>
      <c r="B1560" s="2" t="s">
        <v>540</v>
      </c>
      <c r="C1560" s="2" t="s">
        <v>408</v>
      </c>
      <c r="D1560" s="2" t="s">
        <v>412</v>
      </c>
      <c r="E1560" s="2" t="s">
        <v>413</v>
      </c>
      <c r="F1560" s="2" t="s">
        <v>39</v>
      </c>
      <c r="J1560" s="2" t="s">
        <v>541</v>
      </c>
      <c r="K1560" s="2" t="s">
        <v>542</v>
      </c>
      <c r="L1560" s="2">
        <v>9</v>
      </c>
      <c r="M1560" s="2" t="s">
        <v>551</v>
      </c>
      <c r="O1560" s="2" t="s">
        <v>524</v>
      </c>
      <c r="Y1560" s="2" t="s">
        <v>632</v>
      </c>
    </row>
    <row r="1561" spans="1:34" x14ac:dyDescent="0.25">
      <c r="A1561" s="2" t="s">
        <v>316</v>
      </c>
      <c r="B1561" s="2" t="s">
        <v>540</v>
      </c>
      <c r="C1561" s="2" t="s">
        <v>408</v>
      </c>
      <c r="D1561" s="2" t="s">
        <v>412</v>
      </c>
      <c r="E1561" s="2" t="s">
        <v>413</v>
      </c>
      <c r="F1561" s="2" t="s">
        <v>39</v>
      </c>
      <c r="J1561" s="2" t="s">
        <v>541</v>
      </c>
      <c r="K1561" s="2" t="s">
        <v>542</v>
      </c>
      <c r="L1561" s="2">
        <v>10</v>
      </c>
      <c r="M1561" s="2" t="s">
        <v>552</v>
      </c>
      <c r="O1561" s="2" t="s">
        <v>524</v>
      </c>
      <c r="Y1561" s="2" t="s">
        <v>632</v>
      </c>
    </row>
    <row r="1562" spans="1:34" x14ac:dyDescent="0.25">
      <c r="A1562" s="2" t="s">
        <v>316</v>
      </c>
      <c r="B1562" s="2" t="s">
        <v>540</v>
      </c>
      <c r="C1562" s="2" t="s">
        <v>408</v>
      </c>
      <c r="D1562" s="2" t="s">
        <v>412</v>
      </c>
      <c r="E1562" s="2" t="s">
        <v>413</v>
      </c>
      <c r="F1562" s="2" t="s">
        <v>39</v>
      </c>
      <c r="J1562" s="2" t="s">
        <v>541</v>
      </c>
      <c r="K1562" s="2" t="s">
        <v>542</v>
      </c>
      <c r="L1562" s="2">
        <v>11</v>
      </c>
      <c r="M1562" s="2" t="s">
        <v>553</v>
      </c>
      <c r="O1562" s="2" t="s">
        <v>524</v>
      </c>
      <c r="Y1562" s="2" t="s">
        <v>632</v>
      </c>
    </row>
    <row r="1563" spans="1:34" x14ac:dyDescent="0.25">
      <c r="A1563" s="2" t="s">
        <v>316</v>
      </c>
      <c r="B1563" s="2" t="s">
        <v>540</v>
      </c>
      <c r="C1563" s="2" t="s">
        <v>408</v>
      </c>
      <c r="D1563" s="2" t="s">
        <v>412</v>
      </c>
      <c r="E1563" s="2" t="s">
        <v>413</v>
      </c>
      <c r="F1563" s="2" t="s">
        <v>39</v>
      </c>
      <c r="J1563" s="2" t="s">
        <v>541</v>
      </c>
      <c r="K1563" s="2" t="s">
        <v>542</v>
      </c>
      <c r="L1563" s="2">
        <v>12</v>
      </c>
      <c r="M1563" s="2" t="s">
        <v>554</v>
      </c>
      <c r="O1563" s="2" t="s">
        <v>524</v>
      </c>
      <c r="Y1563" s="2" t="s">
        <v>632</v>
      </c>
    </row>
    <row r="1564" spans="1:34" x14ac:dyDescent="0.25">
      <c r="A1564" s="2" t="s">
        <v>316</v>
      </c>
      <c r="B1564" s="2" t="s">
        <v>555</v>
      </c>
      <c r="C1564" s="2" t="s">
        <v>408</v>
      </c>
      <c r="D1564" s="2" t="s">
        <v>412</v>
      </c>
      <c r="E1564" s="2" t="s">
        <v>413</v>
      </c>
      <c r="F1564" s="2" t="s">
        <v>39</v>
      </c>
      <c r="J1564" s="2" t="s">
        <v>556</v>
      </c>
      <c r="O1564" s="2" t="s">
        <v>524</v>
      </c>
      <c r="Y1564" s="2" t="s">
        <v>632</v>
      </c>
      <c r="AB1564" s="2">
        <v>1</v>
      </c>
    </row>
    <row r="1565" spans="1:34" x14ac:dyDescent="0.25">
      <c r="A1565" s="2" t="s">
        <v>316</v>
      </c>
      <c r="B1565" s="2" t="s">
        <v>557</v>
      </c>
      <c r="C1565" s="2" t="s">
        <v>408</v>
      </c>
      <c r="D1565" s="2" t="s">
        <v>412</v>
      </c>
      <c r="E1565" s="2" t="s">
        <v>413</v>
      </c>
      <c r="F1565" s="2" t="s">
        <v>39</v>
      </c>
      <c r="J1565" s="2" t="s">
        <v>558</v>
      </c>
      <c r="O1565" s="2" t="s">
        <v>524</v>
      </c>
      <c r="Y1565" s="2" t="s">
        <v>632</v>
      </c>
      <c r="AC1565" s="2">
        <f>COUNTIFS($B:$B,"BLOCK_LOAD_Q",$A:$A,$A1565,$C:$C,$C1565,$E:$E,$E1565,$F:$F,$F1565,$N:$N, "&lt;&gt;")</f>
        <v>0</v>
      </c>
      <c r="AD1565" s="2">
        <f>COUNTIFS($B:$B,"BLOCK_TRUST_Q",$A:$A,$A1565,$C:$C,$C1565,$E:$E,$E1565,$F:$F,$F1565,$N:$N, "&lt;&gt;")</f>
        <v>0</v>
      </c>
      <c r="AE1565" s="2" t="str">
        <f>IFERROR(AVERAGEIFS($P:$P,$B:$B,"BLOCK_LOAD_Q",$A:$A,$A1565,$C:$C,$C1565,$E:$E,$E1565,$F:$F,$F1565,$P:$P,"&gt;0"),"")</f>
        <v/>
      </c>
      <c r="AF1565" s="2" t="str">
        <f>IFERROR(AVERAGEIFS($P:$P,$B:$B,"BLOCK_TRUST_Q",$A:$A,$A1565,$C:$C,$C1565,$E:$E,$E1565,$F:$F,$F1565,$P:$P,"&gt;0"),"")</f>
        <v/>
      </c>
      <c r="AG1565" s="2">
        <f>5-AC1565</f>
        <v>5</v>
      </c>
      <c r="AH1565" s="2">
        <f>12-AD1565</f>
        <v>12</v>
      </c>
    </row>
    <row r="1566" spans="1:34" x14ac:dyDescent="0.25">
      <c r="A1566" s="2" t="s">
        <v>316</v>
      </c>
      <c r="B1566" s="2" t="s">
        <v>402</v>
      </c>
      <c r="C1566" s="2" t="s">
        <v>408</v>
      </c>
      <c r="D1566" s="2" t="s">
        <v>412</v>
      </c>
      <c r="E1566" s="2" t="s">
        <v>414</v>
      </c>
      <c r="F1566" s="2" t="s">
        <v>40</v>
      </c>
      <c r="G1566" s="2" t="s">
        <v>415</v>
      </c>
      <c r="H1566" s="2" t="s">
        <v>567</v>
      </c>
      <c r="S1566" s="2" t="s">
        <v>58</v>
      </c>
      <c r="U1566" s="2" t="s">
        <v>57</v>
      </c>
      <c r="W1566" s="2" t="s">
        <v>60</v>
      </c>
    </row>
    <row r="1567" spans="1:34" x14ac:dyDescent="0.25">
      <c r="A1567" s="2" t="s">
        <v>316</v>
      </c>
      <c r="B1567" s="2" t="s">
        <v>402</v>
      </c>
      <c r="C1567" s="2" t="s">
        <v>408</v>
      </c>
      <c r="D1567" s="2" t="s">
        <v>412</v>
      </c>
      <c r="E1567" s="2" t="s">
        <v>414</v>
      </c>
      <c r="F1567" s="2" t="s">
        <v>40</v>
      </c>
      <c r="G1567" s="2" t="s">
        <v>416</v>
      </c>
      <c r="H1567" s="2" t="s">
        <v>568</v>
      </c>
      <c r="S1567" s="2" t="s">
        <v>59</v>
      </c>
      <c r="U1567" s="2" t="s">
        <v>60</v>
      </c>
      <c r="W1567" s="2" t="s">
        <v>59</v>
      </c>
    </row>
    <row r="1568" spans="1:34" x14ac:dyDescent="0.25">
      <c r="A1568" s="2" t="s">
        <v>316</v>
      </c>
      <c r="B1568" s="2" t="s">
        <v>402</v>
      </c>
      <c r="C1568" s="2" t="s">
        <v>408</v>
      </c>
      <c r="D1568" s="2" t="s">
        <v>412</v>
      </c>
      <c r="E1568" s="2" t="s">
        <v>414</v>
      </c>
      <c r="F1568" s="2" t="s">
        <v>40</v>
      </c>
      <c r="G1568" s="2" t="s">
        <v>417</v>
      </c>
      <c r="H1568" s="2" t="s">
        <v>569</v>
      </c>
      <c r="S1568" s="2" t="s">
        <v>57</v>
      </c>
      <c r="U1568" s="2" t="s">
        <v>60</v>
      </c>
      <c r="W1568" s="2" t="s">
        <v>57</v>
      </c>
    </row>
    <row r="1569" spans="1:25" x14ac:dyDescent="0.25">
      <c r="A1569" s="2" t="s">
        <v>316</v>
      </c>
      <c r="B1569" s="2" t="s">
        <v>402</v>
      </c>
      <c r="C1569" s="2" t="s">
        <v>408</v>
      </c>
      <c r="D1569" s="2" t="s">
        <v>412</v>
      </c>
      <c r="E1569" s="2" t="s">
        <v>414</v>
      </c>
      <c r="F1569" s="2" t="s">
        <v>40</v>
      </c>
      <c r="G1569" s="2" t="s">
        <v>418</v>
      </c>
      <c r="H1569" s="2" t="s">
        <v>351</v>
      </c>
      <c r="S1569" s="2" t="s">
        <v>60</v>
      </c>
      <c r="U1569" s="2" t="s">
        <v>57</v>
      </c>
      <c r="W1569" s="2" t="s">
        <v>57</v>
      </c>
    </row>
    <row r="1570" spans="1:25" x14ac:dyDescent="0.25">
      <c r="A1570" s="2" t="s">
        <v>316</v>
      </c>
      <c r="B1570" s="2" t="s">
        <v>531</v>
      </c>
      <c r="C1570" s="2" t="s">
        <v>408</v>
      </c>
      <c r="D1570" s="2" t="s">
        <v>412</v>
      </c>
      <c r="E1570" s="2" t="s">
        <v>414</v>
      </c>
      <c r="F1570" s="2" t="s">
        <v>40</v>
      </c>
      <c r="J1570" s="2" t="s">
        <v>532</v>
      </c>
      <c r="K1570" s="2" t="s">
        <v>533</v>
      </c>
      <c r="L1570" s="2">
        <v>1</v>
      </c>
      <c r="M1570" s="2" t="s">
        <v>534</v>
      </c>
      <c r="O1570" s="2" t="s">
        <v>524</v>
      </c>
      <c r="Y1570" s="2" t="s">
        <v>633</v>
      </c>
    </row>
    <row r="1571" spans="1:25" x14ac:dyDescent="0.25">
      <c r="A1571" s="2" t="s">
        <v>316</v>
      </c>
      <c r="B1571" s="2" t="s">
        <v>531</v>
      </c>
      <c r="C1571" s="2" t="s">
        <v>408</v>
      </c>
      <c r="D1571" s="2" t="s">
        <v>412</v>
      </c>
      <c r="E1571" s="2" t="s">
        <v>414</v>
      </c>
      <c r="F1571" s="2" t="s">
        <v>40</v>
      </c>
      <c r="J1571" s="2" t="s">
        <v>532</v>
      </c>
      <c r="K1571" s="2" t="s">
        <v>533</v>
      </c>
      <c r="L1571" s="2">
        <v>2</v>
      </c>
      <c r="M1571" s="2" t="s">
        <v>536</v>
      </c>
      <c r="O1571" s="2" t="s">
        <v>524</v>
      </c>
      <c r="Y1571" s="2" t="s">
        <v>633</v>
      </c>
    </row>
    <row r="1572" spans="1:25" x14ac:dyDescent="0.25">
      <c r="A1572" s="2" t="s">
        <v>316</v>
      </c>
      <c r="B1572" s="2" t="s">
        <v>531</v>
      </c>
      <c r="C1572" s="2" t="s">
        <v>408</v>
      </c>
      <c r="D1572" s="2" t="s">
        <v>412</v>
      </c>
      <c r="E1572" s="2" t="s">
        <v>414</v>
      </c>
      <c r="F1572" s="2" t="s">
        <v>40</v>
      </c>
      <c r="J1572" s="2" t="s">
        <v>532</v>
      </c>
      <c r="K1572" s="2" t="s">
        <v>533</v>
      </c>
      <c r="L1572" s="2">
        <v>3</v>
      </c>
      <c r="M1572" s="2" t="s">
        <v>537</v>
      </c>
      <c r="O1572" s="2" t="s">
        <v>524</v>
      </c>
      <c r="Y1572" s="2" t="s">
        <v>633</v>
      </c>
    </row>
    <row r="1573" spans="1:25" x14ac:dyDescent="0.25">
      <c r="A1573" s="2" t="s">
        <v>316</v>
      </c>
      <c r="B1573" s="2" t="s">
        <v>531</v>
      </c>
      <c r="C1573" s="2" t="s">
        <v>408</v>
      </c>
      <c r="D1573" s="2" t="s">
        <v>412</v>
      </c>
      <c r="E1573" s="2" t="s">
        <v>414</v>
      </c>
      <c r="F1573" s="2" t="s">
        <v>40</v>
      </c>
      <c r="J1573" s="2" t="s">
        <v>532</v>
      </c>
      <c r="K1573" s="2" t="s">
        <v>533</v>
      </c>
      <c r="L1573" s="2">
        <v>4</v>
      </c>
      <c r="M1573" s="2" t="s">
        <v>538</v>
      </c>
      <c r="O1573" s="2" t="s">
        <v>524</v>
      </c>
      <c r="Y1573" s="2" t="s">
        <v>633</v>
      </c>
    </row>
    <row r="1574" spans="1:25" x14ac:dyDescent="0.25">
      <c r="A1574" s="2" t="s">
        <v>316</v>
      </c>
      <c r="B1574" s="2" t="s">
        <v>531</v>
      </c>
      <c r="C1574" s="2" t="s">
        <v>408</v>
      </c>
      <c r="D1574" s="2" t="s">
        <v>412</v>
      </c>
      <c r="E1574" s="2" t="s">
        <v>414</v>
      </c>
      <c r="F1574" s="2" t="s">
        <v>40</v>
      </c>
      <c r="J1574" s="2" t="s">
        <v>532</v>
      </c>
      <c r="K1574" s="2" t="s">
        <v>533</v>
      </c>
      <c r="L1574" s="2">
        <v>5</v>
      </c>
      <c r="M1574" s="2" t="s">
        <v>539</v>
      </c>
      <c r="O1574" s="2" t="s">
        <v>524</v>
      </c>
      <c r="Y1574" s="2" t="s">
        <v>633</v>
      </c>
    </row>
    <row r="1575" spans="1:25" x14ac:dyDescent="0.25">
      <c r="A1575" s="2" t="s">
        <v>316</v>
      </c>
      <c r="B1575" s="2" t="s">
        <v>540</v>
      </c>
      <c r="C1575" s="2" t="s">
        <v>408</v>
      </c>
      <c r="D1575" s="2" t="s">
        <v>412</v>
      </c>
      <c r="E1575" s="2" t="s">
        <v>414</v>
      </c>
      <c r="F1575" s="2" t="s">
        <v>40</v>
      </c>
      <c r="J1575" s="2" t="s">
        <v>541</v>
      </c>
      <c r="K1575" s="2" t="s">
        <v>542</v>
      </c>
      <c r="L1575" s="2">
        <v>1</v>
      </c>
      <c r="M1575" s="2" t="s">
        <v>543</v>
      </c>
      <c r="O1575" s="2" t="s">
        <v>524</v>
      </c>
      <c r="Y1575" s="2" t="s">
        <v>633</v>
      </c>
    </row>
    <row r="1576" spans="1:25" x14ac:dyDescent="0.25">
      <c r="A1576" s="2" t="s">
        <v>316</v>
      </c>
      <c r="B1576" s="2" t="s">
        <v>540</v>
      </c>
      <c r="C1576" s="2" t="s">
        <v>408</v>
      </c>
      <c r="D1576" s="2" t="s">
        <v>412</v>
      </c>
      <c r="E1576" s="2" t="s">
        <v>414</v>
      </c>
      <c r="F1576" s="2" t="s">
        <v>40</v>
      </c>
      <c r="J1576" s="2" t="s">
        <v>541</v>
      </c>
      <c r="K1576" s="2" t="s">
        <v>542</v>
      </c>
      <c r="L1576" s="2">
        <v>2</v>
      </c>
      <c r="M1576" s="2" t="s">
        <v>544</v>
      </c>
      <c r="O1576" s="2" t="s">
        <v>524</v>
      </c>
      <c r="Y1576" s="2" t="s">
        <v>633</v>
      </c>
    </row>
    <row r="1577" spans="1:25" x14ac:dyDescent="0.25">
      <c r="A1577" s="2" t="s">
        <v>316</v>
      </c>
      <c r="B1577" s="2" t="s">
        <v>540</v>
      </c>
      <c r="C1577" s="2" t="s">
        <v>408</v>
      </c>
      <c r="D1577" s="2" t="s">
        <v>412</v>
      </c>
      <c r="E1577" s="2" t="s">
        <v>414</v>
      </c>
      <c r="F1577" s="2" t="s">
        <v>40</v>
      </c>
      <c r="J1577" s="2" t="s">
        <v>541</v>
      </c>
      <c r="K1577" s="2" t="s">
        <v>542</v>
      </c>
      <c r="L1577" s="2">
        <v>3</v>
      </c>
      <c r="M1577" s="2" t="s">
        <v>545</v>
      </c>
      <c r="O1577" s="2" t="s">
        <v>524</v>
      </c>
      <c r="Y1577" s="2" t="s">
        <v>633</v>
      </c>
    </row>
    <row r="1578" spans="1:25" x14ac:dyDescent="0.25">
      <c r="A1578" s="2" t="s">
        <v>316</v>
      </c>
      <c r="B1578" s="2" t="s">
        <v>540</v>
      </c>
      <c r="C1578" s="2" t="s">
        <v>408</v>
      </c>
      <c r="D1578" s="2" t="s">
        <v>412</v>
      </c>
      <c r="E1578" s="2" t="s">
        <v>414</v>
      </c>
      <c r="F1578" s="2" t="s">
        <v>40</v>
      </c>
      <c r="J1578" s="2" t="s">
        <v>541</v>
      </c>
      <c r="K1578" s="2" t="s">
        <v>542</v>
      </c>
      <c r="L1578" s="2">
        <v>4</v>
      </c>
      <c r="M1578" s="2" t="s">
        <v>546</v>
      </c>
      <c r="O1578" s="2" t="s">
        <v>524</v>
      </c>
      <c r="Y1578" s="2" t="s">
        <v>633</v>
      </c>
    </row>
    <row r="1579" spans="1:25" x14ac:dyDescent="0.25">
      <c r="A1579" s="2" t="s">
        <v>316</v>
      </c>
      <c r="B1579" s="2" t="s">
        <v>540</v>
      </c>
      <c r="C1579" s="2" t="s">
        <v>408</v>
      </c>
      <c r="D1579" s="2" t="s">
        <v>412</v>
      </c>
      <c r="E1579" s="2" t="s">
        <v>414</v>
      </c>
      <c r="F1579" s="2" t="s">
        <v>40</v>
      </c>
      <c r="J1579" s="2" t="s">
        <v>541</v>
      </c>
      <c r="K1579" s="2" t="s">
        <v>542</v>
      </c>
      <c r="L1579" s="2">
        <v>5</v>
      </c>
      <c r="M1579" s="2" t="s">
        <v>547</v>
      </c>
      <c r="O1579" s="2" t="s">
        <v>524</v>
      </c>
      <c r="Y1579" s="2" t="s">
        <v>633</v>
      </c>
    </row>
    <row r="1580" spans="1:25" x14ac:dyDescent="0.25">
      <c r="A1580" s="2" t="s">
        <v>316</v>
      </c>
      <c r="B1580" s="2" t="s">
        <v>540</v>
      </c>
      <c r="C1580" s="2" t="s">
        <v>408</v>
      </c>
      <c r="D1580" s="2" t="s">
        <v>412</v>
      </c>
      <c r="E1580" s="2" t="s">
        <v>414</v>
      </c>
      <c r="F1580" s="2" t="s">
        <v>40</v>
      </c>
      <c r="J1580" s="2" t="s">
        <v>541</v>
      </c>
      <c r="K1580" s="2" t="s">
        <v>542</v>
      </c>
      <c r="L1580" s="2">
        <v>6</v>
      </c>
      <c r="M1580" s="2" t="s">
        <v>548</v>
      </c>
      <c r="O1580" s="2" t="s">
        <v>524</v>
      </c>
      <c r="Y1580" s="2" t="s">
        <v>633</v>
      </c>
    </row>
    <row r="1581" spans="1:25" x14ac:dyDescent="0.25">
      <c r="A1581" s="2" t="s">
        <v>316</v>
      </c>
      <c r="B1581" s="2" t="s">
        <v>540</v>
      </c>
      <c r="C1581" s="2" t="s">
        <v>408</v>
      </c>
      <c r="D1581" s="2" t="s">
        <v>412</v>
      </c>
      <c r="E1581" s="2" t="s">
        <v>414</v>
      </c>
      <c r="F1581" s="2" t="s">
        <v>40</v>
      </c>
      <c r="J1581" s="2" t="s">
        <v>541</v>
      </c>
      <c r="K1581" s="2" t="s">
        <v>542</v>
      </c>
      <c r="L1581" s="2">
        <v>7</v>
      </c>
      <c r="M1581" s="2" t="s">
        <v>549</v>
      </c>
      <c r="O1581" s="2" t="s">
        <v>524</v>
      </c>
      <c r="Y1581" s="2" t="s">
        <v>633</v>
      </c>
    </row>
    <row r="1582" spans="1:25" x14ac:dyDescent="0.25">
      <c r="A1582" s="2" t="s">
        <v>316</v>
      </c>
      <c r="B1582" s="2" t="s">
        <v>540</v>
      </c>
      <c r="C1582" s="2" t="s">
        <v>408</v>
      </c>
      <c r="D1582" s="2" t="s">
        <v>412</v>
      </c>
      <c r="E1582" s="2" t="s">
        <v>414</v>
      </c>
      <c r="F1582" s="2" t="s">
        <v>40</v>
      </c>
      <c r="J1582" s="2" t="s">
        <v>541</v>
      </c>
      <c r="K1582" s="2" t="s">
        <v>542</v>
      </c>
      <c r="L1582" s="2">
        <v>8</v>
      </c>
      <c r="M1582" s="2" t="s">
        <v>550</v>
      </c>
      <c r="O1582" s="2" t="s">
        <v>524</v>
      </c>
      <c r="Y1582" s="2" t="s">
        <v>633</v>
      </c>
    </row>
    <row r="1583" spans="1:25" x14ac:dyDescent="0.25">
      <c r="A1583" s="2" t="s">
        <v>316</v>
      </c>
      <c r="B1583" s="2" t="s">
        <v>540</v>
      </c>
      <c r="C1583" s="2" t="s">
        <v>408</v>
      </c>
      <c r="D1583" s="2" t="s">
        <v>412</v>
      </c>
      <c r="E1583" s="2" t="s">
        <v>414</v>
      </c>
      <c r="F1583" s="2" t="s">
        <v>40</v>
      </c>
      <c r="J1583" s="2" t="s">
        <v>541</v>
      </c>
      <c r="K1583" s="2" t="s">
        <v>542</v>
      </c>
      <c r="L1583" s="2">
        <v>9</v>
      </c>
      <c r="M1583" s="2" t="s">
        <v>551</v>
      </c>
      <c r="O1583" s="2" t="s">
        <v>524</v>
      </c>
      <c r="Y1583" s="2" t="s">
        <v>633</v>
      </c>
    </row>
    <row r="1584" spans="1:25" x14ac:dyDescent="0.25">
      <c r="A1584" s="2" t="s">
        <v>316</v>
      </c>
      <c r="B1584" s="2" t="s">
        <v>540</v>
      </c>
      <c r="C1584" s="2" t="s">
        <v>408</v>
      </c>
      <c r="D1584" s="2" t="s">
        <v>412</v>
      </c>
      <c r="E1584" s="2" t="s">
        <v>414</v>
      </c>
      <c r="F1584" s="2" t="s">
        <v>40</v>
      </c>
      <c r="J1584" s="2" t="s">
        <v>541</v>
      </c>
      <c r="K1584" s="2" t="s">
        <v>542</v>
      </c>
      <c r="L1584" s="2">
        <v>10</v>
      </c>
      <c r="M1584" s="2" t="s">
        <v>552</v>
      </c>
      <c r="O1584" s="2" t="s">
        <v>524</v>
      </c>
      <c r="Y1584" s="2" t="s">
        <v>633</v>
      </c>
    </row>
    <row r="1585" spans="1:34" x14ac:dyDescent="0.25">
      <c r="A1585" s="2" t="s">
        <v>316</v>
      </c>
      <c r="B1585" s="2" t="s">
        <v>540</v>
      </c>
      <c r="C1585" s="2" t="s">
        <v>408</v>
      </c>
      <c r="D1585" s="2" t="s">
        <v>412</v>
      </c>
      <c r="E1585" s="2" t="s">
        <v>414</v>
      </c>
      <c r="F1585" s="2" t="s">
        <v>40</v>
      </c>
      <c r="J1585" s="2" t="s">
        <v>541</v>
      </c>
      <c r="K1585" s="2" t="s">
        <v>542</v>
      </c>
      <c r="L1585" s="2">
        <v>11</v>
      </c>
      <c r="M1585" s="2" t="s">
        <v>553</v>
      </c>
      <c r="O1585" s="2" t="s">
        <v>524</v>
      </c>
      <c r="Y1585" s="2" t="s">
        <v>633</v>
      </c>
    </row>
    <row r="1586" spans="1:34" x14ac:dyDescent="0.25">
      <c r="A1586" s="2" t="s">
        <v>316</v>
      </c>
      <c r="B1586" s="2" t="s">
        <v>540</v>
      </c>
      <c r="C1586" s="2" t="s">
        <v>408</v>
      </c>
      <c r="D1586" s="2" t="s">
        <v>412</v>
      </c>
      <c r="E1586" s="2" t="s">
        <v>414</v>
      </c>
      <c r="F1586" s="2" t="s">
        <v>40</v>
      </c>
      <c r="J1586" s="2" t="s">
        <v>541</v>
      </c>
      <c r="K1586" s="2" t="s">
        <v>542</v>
      </c>
      <c r="L1586" s="2">
        <v>12</v>
      </c>
      <c r="M1586" s="2" t="s">
        <v>554</v>
      </c>
      <c r="O1586" s="2" t="s">
        <v>524</v>
      </c>
      <c r="Y1586" s="2" t="s">
        <v>633</v>
      </c>
    </row>
    <row r="1587" spans="1:34" x14ac:dyDescent="0.25">
      <c r="A1587" s="2" t="s">
        <v>316</v>
      </c>
      <c r="B1587" s="2" t="s">
        <v>555</v>
      </c>
      <c r="C1587" s="2" t="s">
        <v>408</v>
      </c>
      <c r="D1587" s="2" t="s">
        <v>412</v>
      </c>
      <c r="E1587" s="2" t="s">
        <v>414</v>
      </c>
      <c r="F1587" s="2" t="s">
        <v>40</v>
      </c>
      <c r="J1587" s="2" t="s">
        <v>556</v>
      </c>
      <c r="O1587" s="2" t="s">
        <v>524</v>
      </c>
      <c r="Y1587" s="2" t="s">
        <v>633</v>
      </c>
      <c r="AB1587" s="2">
        <v>2</v>
      </c>
    </row>
    <row r="1588" spans="1:34" x14ac:dyDescent="0.25">
      <c r="A1588" s="2" t="s">
        <v>316</v>
      </c>
      <c r="B1588" s="2" t="s">
        <v>557</v>
      </c>
      <c r="C1588" s="2" t="s">
        <v>408</v>
      </c>
      <c r="D1588" s="2" t="s">
        <v>412</v>
      </c>
      <c r="E1588" s="2" t="s">
        <v>414</v>
      </c>
      <c r="F1588" s="2" t="s">
        <v>40</v>
      </c>
      <c r="J1588" s="2" t="s">
        <v>558</v>
      </c>
      <c r="O1588" s="2" t="s">
        <v>524</v>
      </c>
      <c r="Y1588" s="2" t="s">
        <v>633</v>
      </c>
      <c r="AC1588" s="2">
        <f>COUNTIFS($B:$B,"BLOCK_LOAD_Q",$A:$A,$A1588,$C:$C,$C1588,$E:$E,$E1588,$F:$F,$F1588,$N:$N, "&lt;&gt;")</f>
        <v>0</v>
      </c>
      <c r="AD1588" s="2">
        <f>COUNTIFS($B:$B,"BLOCK_TRUST_Q",$A:$A,$A1588,$C:$C,$C1588,$E:$E,$E1588,$F:$F,$F1588,$N:$N, "&lt;&gt;")</f>
        <v>0</v>
      </c>
      <c r="AE1588" s="2" t="str">
        <f>IFERROR(AVERAGEIFS($P:$P,$B:$B,"BLOCK_LOAD_Q",$A:$A,$A1588,$C:$C,$C1588,$E:$E,$E1588,$F:$F,$F1588,$P:$P,"&gt;0"),"")</f>
        <v/>
      </c>
      <c r="AF1588" s="2" t="str">
        <f>IFERROR(AVERAGEIFS($P:$P,$B:$B,"BLOCK_TRUST_Q",$A:$A,$A1588,$C:$C,$C1588,$E:$E,$E1588,$F:$F,$F1588,$P:$P,"&gt;0"),"")</f>
        <v/>
      </c>
      <c r="AG1588" s="2">
        <f>5-AC1588</f>
        <v>5</v>
      </c>
      <c r="AH1588" s="2">
        <f>12-AD1588</f>
        <v>12</v>
      </c>
    </row>
    <row r="1589" spans="1:34" x14ac:dyDescent="0.25">
      <c r="A1589" s="2" t="s">
        <v>316</v>
      </c>
      <c r="B1589" s="2" t="s">
        <v>403</v>
      </c>
      <c r="C1589" s="2" t="s">
        <v>408</v>
      </c>
      <c r="D1589" s="2" t="s">
        <v>412</v>
      </c>
      <c r="Z1589" s="2" t="s">
        <v>451</v>
      </c>
    </row>
    <row r="1590" spans="1:34" x14ac:dyDescent="0.25">
      <c r="A1590" s="2" t="s">
        <v>316</v>
      </c>
      <c r="B1590" s="2" t="s">
        <v>402</v>
      </c>
      <c r="C1590" s="2" t="s">
        <v>409</v>
      </c>
      <c r="D1590" s="2" t="s">
        <v>410</v>
      </c>
      <c r="E1590" s="2" t="s">
        <v>413</v>
      </c>
      <c r="F1590" s="2" t="s">
        <v>39</v>
      </c>
      <c r="G1590" s="2" t="s">
        <v>415</v>
      </c>
      <c r="H1590" s="2" t="s">
        <v>373</v>
      </c>
      <c r="S1590" s="2" t="s">
        <v>60</v>
      </c>
      <c r="U1590" s="2" t="s">
        <v>60</v>
      </c>
      <c r="W1590" s="2" t="s">
        <v>60</v>
      </c>
    </row>
    <row r="1591" spans="1:34" x14ac:dyDescent="0.25">
      <c r="A1591" s="2" t="s">
        <v>316</v>
      </c>
      <c r="B1591" s="2" t="s">
        <v>402</v>
      </c>
      <c r="C1591" s="2" t="s">
        <v>409</v>
      </c>
      <c r="D1591" s="2" t="s">
        <v>410</v>
      </c>
      <c r="E1591" s="2" t="s">
        <v>413</v>
      </c>
      <c r="F1591" s="2" t="s">
        <v>39</v>
      </c>
      <c r="G1591" s="2" t="s">
        <v>416</v>
      </c>
      <c r="H1591" s="2" t="s">
        <v>528</v>
      </c>
      <c r="S1591" s="2" t="s">
        <v>60</v>
      </c>
      <c r="U1591" s="2" t="s">
        <v>59</v>
      </c>
      <c r="W1591" s="2" t="s">
        <v>59</v>
      </c>
    </row>
    <row r="1592" spans="1:34" x14ac:dyDescent="0.25">
      <c r="A1592" s="2" t="s">
        <v>316</v>
      </c>
      <c r="B1592" s="2" t="s">
        <v>402</v>
      </c>
      <c r="C1592" s="2" t="s">
        <v>409</v>
      </c>
      <c r="D1592" s="2" t="s">
        <v>410</v>
      </c>
      <c r="E1592" s="2" t="s">
        <v>413</v>
      </c>
      <c r="F1592" s="2" t="s">
        <v>39</v>
      </c>
      <c r="G1592" s="2" t="s">
        <v>417</v>
      </c>
      <c r="H1592" s="2" t="s">
        <v>529</v>
      </c>
      <c r="S1592" s="2" t="s">
        <v>57</v>
      </c>
      <c r="U1592" s="2" t="s">
        <v>59</v>
      </c>
      <c r="W1592" s="2" t="s">
        <v>60</v>
      </c>
    </row>
    <row r="1593" spans="1:34" x14ac:dyDescent="0.25">
      <c r="A1593" s="2" t="s">
        <v>316</v>
      </c>
      <c r="B1593" s="2" t="s">
        <v>402</v>
      </c>
      <c r="C1593" s="2" t="s">
        <v>409</v>
      </c>
      <c r="D1593" s="2" t="s">
        <v>410</v>
      </c>
      <c r="E1593" s="2" t="s">
        <v>413</v>
      </c>
      <c r="F1593" s="2" t="s">
        <v>39</v>
      </c>
      <c r="G1593" s="2" t="s">
        <v>418</v>
      </c>
      <c r="H1593" s="2" t="s">
        <v>347</v>
      </c>
      <c r="S1593" s="2" t="s">
        <v>60</v>
      </c>
      <c r="U1593" s="2" t="s">
        <v>57</v>
      </c>
      <c r="W1593" s="2" t="s">
        <v>59</v>
      </c>
    </row>
    <row r="1594" spans="1:34" x14ac:dyDescent="0.25">
      <c r="A1594" s="2" t="s">
        <v>316</v>
      </c>
      <c r="B1594" s="2" t="s">
        <v>402</v>
      </c>
      <c r="C1594" s="2" t="s">
        <v>409</v>
      </c>
      <c r="D1594" s="2" t="s">
        <v>410</v>
      </c>
      <c r="E1594" s="2" t="s">
        <v>413</v>
      </c>
      <c r="F1594" s="2" t="s">
        <v>39</v>
      </c>
      <c r="G1594" s="2" t="s">
        <v>419</v>
      </c>
      <c r="H1594" s="2" t="s">
        <v>530</v>
      </c>
      <c r="S1594" s="2" t="s">
        <v>57</v>
      </c>
      <c r="U1594" s="2" t="s">
        <v>60</v>
      </c>
      <c r="W1594" s="2" t="s">
        <v>58</v>
      </c>
    </row>
    <row r="1595" spans="1:34" x14ac:dyDescent="0.25">
      <c r="A1595" s="2" t="s">
        <v>316</v>
      </c>
      <c r="B1595" s="2" t="s">
        <v>531</v>
      </c>
      <c r="C1595" s="2" t="s">
        <v>409</v>
      </c>
      <c r="D1595" s="2" t="s">
        <v>410</v>
      </c>
      <c r="E1595" s="2" t="s">
        <v>413</v>
      </c>
      <c r="F1595" s="2" t="s">
        <v>39</v>
      </c>
      <c r="J1595" s="2" t="s">
        <v>532</v>
      </c>
      <c r="K1595" s="2" t="s">
        <v>533</v>
      </c>
      <c r="L1595" s="2">
        <v>1</v>
      </c>
      <c r="M1595" s="2" t="s">
        <v>534</v>
      </c>
      <c r="O1595" s="2" t="s">
        <v>524</v>
      </c>
      <c r="Y1595" s="2" t="s">
        <v>634</v>
      </c>
    </row>
    <row r="1596" spans="1:34" x14ac:dyDescent="0.25">
      <c r="A1596" s="2" t="s">
        <v>316</v>
      </c>
      <c r="B1596" s="2" t="s">
        <v>531</v>
      </c>
      <c r="C1596" s="2" t="s">
        <v>409</v>
      </c>
      <c r="D1596" s="2" t="s">
        <v>410</v>
      </c>
      <c r="E1596" s="2" t="s">
        <v>413</v>
      </c>
      <c r="F1596" s="2" t="s">
        <v>39</v>
      </c>
      <c r="J1596" s="2" t="s">
        <v>532</v>
      </c>
      <c r="K1596" s="2" t="s">
        <v>533</v>
      </c>
      <c r="L1596" s="2">
        <v>2</v>
      </c>
      <c r="M1596" s="2" t="s">
        <v>536</v>
      </c>
      <c r="O1596" s="2" t="s">
        <v>524</v>
      </c>
      <c r="Y1596" s="2" t="s">
        <v>634</v>
      </c>
    </row>
    <row r="1597" spans="1:34" x14ac:dyDescent="0.25">
      <c r="A1597" s="2" t="s">
        <v>316</v>
      </c>
      <c r="B1597" s="2" t="s">
        <v>531</v>
      </c>
      <c r="C1597" s="2" t="s">
        <v>409</v>
      </c>
      <c r="D1597" s="2" t="s">
        <v>410</v>
      </c>
      <c r="E1597" s="2" t="s">
        <v>413</v>
      </c>
      <c r="F1597" s="2" t="s">
        <v>39</v>
      </c>
      <c r="J1597" s="2" t="s">
        <v>532</v>
      </c>
      <c r="K1597" s="2" t="s">
        <v>533</v>
      </c>
      <c r="L1597" s="2">
        <v>3</v>
      </c>
      <c r="M1597" s="2" t="s">
        <v>537</v>
      </c>
      <c r="O1597" s="2" t="s">
        <v>524</v>
      </c>
      <c r="Y1597" s="2" t="s">
        <v>634</v>
      </c>
    </row>
    <row r="1598" spans="1:34" x14ac:dyDescent="0.25">
      <c r="A1598" s="2" t="s">
        <v>316</v>
      </c>
      <c r="B1598" s="2" t="s">
        <v>531</v>
      </c>
      <c r="C1598" s="2" t="s">
        <v>409</v>
      </c>
      <c r="D1598" s="2" t="s">
        <v>410</v>
      </c>
      <c r="E1598" s="2" t="s">
        <v>413</v>
      </c>
      <c r="F1598" s="2" t="s">
        <v>39</v>
      </c>
      <c r="J1598" s="2" t="s">
        <v>532</v>
      </c>
      <c r="K1598" s="2" t="s">
        <v>533</v>
      </c>
      <c r="L1598" s="2">
        <v>4</v>
      </c>
      <c r="M1598" s="2" t="s">
        <v>538</v>
      </c>
      <c r="O1598" s="2" t="s">
        <v>524</v>
      </c>
      <c r="Y1598" s="2" t="s">
        <v>634</v>
      </c>
    </row>
    <row r="1599" spans="1:34" x14ac:dyDescent="0.25">
      <c r="A1599" s="2" t="s">
        <v>316</v>
      </c>
      <c r="B1599" s="2" t="s">
        <v>531</v>
      </c>
      <c r="C1599" s="2" t="s">
        <v>409</v>
      </c>
      <c r="D1599" s="2" t="s">
        <v>410</v>
      </c>
      <c r="E1599" s="2" t="s">
        <v>413</v>
      </c>
      <c r="F1599" s="2" t="s">
        <v>39</v>
      </c>
      <c r="J1599" s="2" t="s">
        <v>532</v>
      </c>
      <c r="K1599" s="2" t="s">
        <v>533</v>
      </c>
      <c r="L1599" s="2">
        <v>5</v>
      </c>
      <c r="M1599" s="2" t="s">
        <v>539</v>
      </c>
      <c r="O1599" s="2" t="s">
        <v>524</v>
      </c>
      <c r="Y1599" s="2" t="s">
        <v>634</v>
      </c>
    </row>
    <row r="1600" spans="1:34" x14ac:dyDescent="0.25">
      <c r="A1600" s="2" t="s">
        <v>316</v>
      </c>
      <c r="B1600" s="2" t="s">
        <v>540</v>
      </c>
      <c r="C1600" s="2" t="s">
        <v>409</v>
      </c>
      <c r="D1600" s="2" t="s">
        <v>410</v>
      </c>
      <c r="E1600" s="2" t="s">
        <v>413</v>
      </c>
      <c r="F1600" s="2" t="s">
        <v>39</v>
      </c>
      <c r="J1600" s="2" t="s">
        <v>541</v>
      </c>
      <c r="K1600" s="2" t="s">
        <v>542</v>
      </c>
      <c r="L1600" s="2">
        <v>1</v>
      </c>
      <c r="M1600" s="2" t="s">
        <v>543</v>
      </c>
      <c r="O1600" s="2" t="s">
        <v>524</v>
      </c>
      <c r="Y1600" s="2" t="s">
        <v>634</v>
      </c>
    </row>
    <row r="1601" spans="1:34" x14ac:dyDescent="0.25">
      <c r="A1601" s="2" t="s">
        <v>316</v>
      </c>
      <c r="B1601" s="2" t="s">
        <v>540</v>
      </c>
      <c r="C1601" s="2" t="s">
        <v>409</v>
      </c>
      <c r="D1601" s="2" t="s">
        <v>410</v>
      </c>
      <c r="E1601" s="2" t="s">
        <v>413</v>
      </c>
      <c r="F1601" s="2" t="s">
        <v>39</v>
      </c>
      <c r="J1601" s="2" t="s">
        <v>541</v>
      </c>
      <c r="K1601" s="2" t="s">
        <v>542</v>
      </c>
      <c r="L1601" s="2">
        <v>2</v>
      </c>
      <c r="M1601" s="2" t="s">
        <v>544</v>
      </c>
      <c r="O1601" s="2" t="s">
        <v>524</v>
      </c>
      <c r="Y1601" s="2" t="s">
        <v>634</v>
      </c>
    </row>
    <row r="1602" spans="1:34" x14ac:dyDescent="0.25">
      <c r="A1602" s="2" t="s">
        <v>316</v>
      </c>
      <c r="B1602" s="2" t="s">
        <v>540</v>
      </c>
      <c r="C1602" s="2" t="s">
        <v>409</v>
      </c>
      <c r="D1602" s="2" t="s">
        <v>410</v>
      </c>
      <c r="E1602" s="2" t="s">
        <v>413</v>
      </c>
      <c r="F1602" s="2" t="s">
        <v>39</v>
      </c>
      <c r="J1602" s="2" t="s">
        <v>541</v>
      </c>
      <c r="K1602" s="2" t="s">
        <v>542</v>
      </c>
      <c r="L1602" s="2">
        <v>3</v>
      </c>
      <c r="M1602" s="2" t="s">
        <v>545</v>
      </c>
      <c r="O1602" s="2" t="s">
        <v>524</v>
      </c>
      <c r="Y1602" s="2" t="s">
        <v>634</v>
      </c>
    </row>
    <row r="1603" spans="1:34" x14ac:dyDescent="0.25">
      <c r="A1603" s="2" t="s">
        <v>316</v>
      </c>
      <c r="B1603" s="2" t="s">
        <v>540</v>
      </c>
      <c r="C1603" s="2" t="s">
        <v>409</v>
      </c>
      <c r="D1603" s="2" t="s">
        <v>410</v>
      </c>
      <c r="E1603" s="2" t="s">
        <v>413</v>
      </c>
      <c r="F1603" s="2" t="s">
        <v>39</v>
      </c>
      <c r="J1603" s="2" t="s">
        <v>541</v>
      </c>
      <c r="K1603" s="2" t="s">
        <v>542</v>
      </c>
      <c r="L1603" s="2">
        <v>4</v>
      </c>
      <c r="M1603" s="2" t="s">
        <v>546</v>
      </c>
      <c r="O1603" s="2" t="s">
        <v>524</v>
      </c>
      <c r="Y1603" s="2" t="s">
        <v>634</v>
      </c>
    </row>
    <row r="1604" spans="1:34" x14ac:dyDescent="0.25">
      <c r="A1604" s="2" t="s">
        <v>316</v>
      </c>
      <c r="B1604" s="2" t="s">
        <v>540</v>
      </c>
      <c r="C1604" s="2" t="s">
        <v>409</v>
      </c>
      <c r="D1604" s="2" t="s">
        <v>410</v>
      </c>
      <c r="E1604" s="2" t="s">
        <v>413</v>
      </c>
      <c r="F1604" s="2" t="s">
        <v>39</v>
      </c>
      <c r="J1604" s="2" t="s">
        <v>541</v>
      </c>
      <c r="K1604" s="2" t="s">
        <v>542</v>
      </c>
      <c r="L1604" s="2">
        <v>5</v>
      </c>
      <c r="M1604" s="2" t="s">
        <v>547</v>
      </c>
      <c r="O1604" s="2" t="s">
        <v>524</v>
      </c>
      <c r="Y1604" s="2" t="s">
        <v>634</v>
      </c>
    </row>
    <row r="1605" spans="1:34" x14ac:dyDescent="0.25">
      <c r="A1605" s="2" t="s">
        <v>316</v>
      </c>
      <c r="B1605" s="2" t="s">
        <v>540</v>
      </c>
      <c r="C1605" s="2" t="s">
        <v>409</v>
      </c>
      <c r="D1605" s="2" t="s">
        <v>410</v>
      </c>
      <c r="E1605" s="2" t="s">
        <v>413</v>
      </c>
      <c r="F1605" s="2" t="s">
        <v>39</v>
      </c>
      <c r="J1605" s="2" t="s">
        <v>541</v>
      </c>
      <c r="K1605" s="2" t="s">
        <v>542</v>
      </c>
      <c r="L1605" s="2">
        <v>6</v>
      </c>
      <c r="M1605" s="2" t="s">
        <v>548</v>
      </c>
      <c r="O1605" s="2" t="s">
        <v>524</v>
      </c>
      <c r="Y1605" s="2" t="s">
        <v>634</v>
      </c>
    </row>
    <row r="1606" spans="1:34" x14ac:dyDescent="0.25">
      <c r="A1606" s="2" t="s">
        <v>316</v>
      </c>
      <c r="B1606" s="2" t="s">
        <v>540</v>
      </c>
      <c r="C1606" s="2" t="s">
        <v>409</v>
      </c>
      <c r="D1606" s="2" t="s">
        <v>410</v>
      </c>
      <c r="E1606" s="2" t="s">
        <v>413</v>
      </c>
      <c r="F1606" s="2" t="s">
        <v>39</v>
      </c>
      <c r="J1606" s="2" t="s">
        <v>541</v>
      </c>
      <c r="K1606" s="2" t="s">
        <v>542</v>
      </c>
      <c r="L1606" s="2">
        <v>7</v>
      </c>
      <c r="M1606" s="2" t="s">
        <v>549</v>
      </c>
      <c r="O1606" s="2" t="s">
        <v>524</v>
      </c>
      <c r="Y1606" s="2" t="s">
        <v>634</v>
      </c>
    </row>
    <row r="1607" spans="1:34" x14ac:dyDescent="0.25">
      <c r="A1607" s="2" t="s">
        <v>316</v>
      </c>
      <c r="B1607" s="2" t="s">
        <v>540</v>
      </c>
      <c r="C1607" s="2" t="s">
        <v>409</v>
      </c>
      <c r="D1607" s="2" t="s">
        <v>410</v>
      </c>
      <c r="E1607" s="2" t="s">
        <v>413</v>
      </c>
      <c r="F1607" s="2" t="s">
        <v>39</v>
      </c>
      <c r="J1607" s="2" t="s">
        <v>541</v>
      </c>
      <c r="K1607" s="2" t="s">
        <v>542</v>
      </c>
      <c r="L1607" s="2">
        <v>8</v>
      </c>
      <c r="M1607" s="2" t="s">
        <v>550</v>
      </c>
      <c r="O1607" s="2" t="s">
        <v>524</v>
      </c>
      <c r="Y1607" s="2" t="s">
        <v>634</v>
      </c>
    </row>
    <row r="1608" spans="1:34" x14ac:dyDescent="0.25">
      <c r="A1608" s="2" t="s">
        <v>316</v>
      </c>
      <c r="B1608" s="2" t="s">
        <v>540</v>
      </c>
      <c r="C1608" s="2" t="s">
        <v>409</v>
      </c>
      <c r="D1608" s="2" t="s">
        <v>410</v>
      </c>
      <c r="E1608" s="2" t="s">
        <v>413</v>
      </c>
      <c r="F1608" s="2" t="s">
        <v>39</v>
      </c>
      <c r="J1608" s="2" t="s">
        <v>541</v>
      </c>
      <c r="K1608" s="2" t="s">
        <v>542</v>
      </c>
      <c r="L1608" s="2">
        <v>9</v>
      </c>
      <c r="M1608" s="2" t="s">
        <v>551</v>
      </c>
      <c r="O1608" s="2" t="s">
        <v>524</v>
      </c>
      <c r="Y1608" s="2" t="s">
        <v>634</v>
      </c>
    </row>
    <row r="1609" spans="1:34" x14ac:dyDescent="0.25">
      <c r="A1609" s="2" t="s">
        <v>316</v>
      </c>
      <c r="B1609" s="2" t="s">
        <v>540</v>
      </c>
      <c r="C1609" s="2" t="s">
        <v>409</v>
      </c>
      <c r="D1609" s="2" t="s">
        <v>410</v>
      </c>
      <c r="E1609" s="2" t="s">
        <v>413</v>
      </c>
      <c r="F1609" s="2" t="s">
        <v>39</v>
      </c>
      <c r="J1609" s="2" t="s">
        <v>541</v>
      </c>
      <c r="K1609" s="2" t="s">
        <v>542</v>
      </c>
      <c r="L1609" s="2">
        <v>10</v>
      </c>
      <c r="M1609" s="2" t="s">
        <v>552</v>
      </c>
      <c r="O1609" s="2" t="s">
        <v>524</v>
      </c>
      <c r="Y1609" s="2" t="s">
        <v>634</v>
      </c>
    </row>
    <row r="1610" spans="1:34" x14ac:dyDescent="0.25">
      <c r="A1610" s="2" t="s">
        <v>316</v>
      </c>
      <c r="B1610" s="2" t="s">
        <v>540</v>
      </c>
      <c r="C1610" s="2" t="s">
        <v>409</v>
      </c>
      <c r="D1610" s="2" t="s">
        <v>410</v>
      </c>
      <c r="E1610" s="2" t="s">
        <v>413</v>
      </c>
      <c r="F1610" s="2" t="s">
        <v>39</v>
      </c>
      <c r="J1610" s="2" t="s">
        <v>541</v>
      </c>
      <c r="K1610" s="2" t="s">
        <v>542</v>
      </c>
      <c r="L1610" s="2">
        <v>11</v>
      </c>
      <c r="M1610" s="2" t="s">
        <v>553</v>
      </c>
      <c r="O1610" s="2" t="s">
        <v>524</v>
      </c>
      <c r="Y1610" s="2" t="s">
        <v>634</v>
      </c>
    </row>
    <row r="1611" spans="1:34" x14ac:dyDescent="0.25">
      <c r="A1611" s="2" t="s">
        <v>316</v>
      </c>
      <c r="B1611" s="2" t="s">
        <v>540</v>
      </c>
      <c r="C1611" s="2" t="s">
        <v>409</v>
      </c>
      <c r="D1611" s="2" t="s">
        <v>410</v>
      </c>
      <c r="E1611" s="2" t="s">
        <v>413</v>
      </c>
      <c r="F1611" s="2" t="s">
        <v>39</v>
      </c>
      <c r="J1611" s="2" t="s">
        <v>541</v>
      </c>
      <c r="K1611" s="2" t="s">
        <v>542</v>
      </c>
      <c r="L1611" s="2">
        <v>12</v>
      </c>
      <c r="M1611" s="2" t="s">
        <v>554</v>
      </c>
      <c r="O1611" s="2" t="s">
        <v>524</v>
      </c>
      <c r="Y1611" s="2" t="s">
        <v>634</v>
      </c>
    </row>
    <row r="1612" spans="1:34" x14ac:dyDescent="0.25">
      <c r="A1612" s="2" t="s">
        <v>316</v>
      </c>
      <c r="B1612" s="2" t="s">
        <v>555</v>
      </c>
      <c r="C1612" s="2" t="s">
        <v>409</v>
      </c>
      <c r="D1612" s="2" t="s">
        <v>410</v>
      </c>
      <c r="E1612" s="2" t="s">
        <v>413</v>
      </c>
      <c r="F1612" s="2" t="s">
        <v>39</v>
      </c>
      <c r="J1612" s="2" t="s">
        <v>556</v>
      </c>
      <c r="O1612" s="2" t="s">
        <v>524</v>
      </c>
      <c r="Y1612" s="2" t="s">
        <v>634</v>
      </c>
      <c r="AB1612" s="2">
        <v>1</v>
      </c>
    </row>
    <row r="1613" spans="1:34" x14ac:dyDescent="0.25">
      <c r="A1613" s="2" t="s">
        <v>316</v>
      </c>
      <c r="B1613" s="2" t="s">
        <v>557</v>
      </c>
      <c r="C1613" s="2" t="s">
        <v>409</v>
      </c>
      <c r="D1613" s="2" t="s">
        <v>410</v>
      </c>
      <c r="E1613" s="2" t="s">
        <v>413</v>
      </c>
      <c r="F1613" s="2" t="s">
        <v>39</v>
      </c>
      <c r="J1613" s="2" t="s">
        <v>558</v>
      </c>
      <c r="O1613" s="2" t="s">
        <v>524</v>
      </c>
      <c r="Y1613" s="2" t="s">
        <v>634</v>
      </c>
      <c r="AC1613" s="2">
        <f>COUNTIFS($B:$B,"BLOCK_LOAD_Q",$A:$A,$A1613,$C:$C,$C1613,$E:$E,$E1613,$F:$F,$F1613,$N:$N, "&lt;&gt;")</f>
        <v>0</v>
      </c>
      <c r="AD1613" s="2">
        <f>COUNTIFS($B:$B,"BLOCK_TRUST_Q",$A:$A,$A1613,$C:$C,$C1613,$E:$E,$E1613,$F:$F,$F1613,$N:$N, "&lt;&gt;")</f>
        <v>0</v>
      </c>
      <c r="AE1613" s="2" t="str">
        <f>IFERROR(AVERAGEIFS($P:$P,$B:$B,"BLOCK_LOAD_Q",$A:$A,$A1613,$C:$C,$C1613,$E:$E,$E1613,$F:$F,$F1613,$P:$P,"&gt;0"),"")</f>
        <v/>
      </c>
      <c r="AF1613" s="2" t="str">
        <f>IFERROR(AVERAGEIFS($P:$P,$B:$B,"BLOCK_TRUST_Q",$A:$A,$A1613,$C:$C,$C1613,$E:$E,$E1613,$F:$F,$F1613,$P:$P,"&gt;0"),"")</f>
        <v/>
      </c>
      <c r="AG1613" s="2">
        <f>5-AC1613</f>
        <v>5</v>
      </c>
      <c r="AH1613" s="2">
        <f>12-AD1613</f>
        <v>12</v>
      </c>
    </row>
    <row r="1614" spans="1:34" x14ac:dyDescent="0.25">
      <c r="A1614" s="2" t="s">
        <v>316</v>
      </c>
      <c r="B1614" s="2" t="s">
        <v>402</v>
      </c>
      <c r="C1614" s="2" t="s">
        <v>409</v>
      </c>
      <c r="D1614" s="2" t="s">
        <v>410</v>
      </c>
      <c r="E1614" s="2" t="s">
        <v>414</v>
      </c>
      <c r="F1614" s="2" t="s">
        <v>40</v>
      </c>
      <c r="G1614" s="2" t="s">
        <v>415</v>
      </c>
      <c r="H1614" s="2" t="s">
        <v>354</v>
      </c>
      <c r="S1614" s="2" t="s">
        <v>59</v>
      </c>
      <c r="U1614" s="2" t="s">
        <v>59</v>
      </c>
      <c r="W1614" s="2" t="s">
        <v>58</v>
      </c>
    </row>
    <row r="1615" spans="1:34" x14ac:dyDescent="0.25">
      <c r="A1615" s="2" t="s">
        <v>316</v>
      </c>
      <c r="B1615" s="2" t="s">
        <v>402</v>
      </c>
      <c r="C1615" s="2" t="s">
        <v>409</v>
      </c>
      <c r="D1615" s="2" t="s">
        <v>410</v>
      </c>
      <c r="E1615" s="2" t="s">
        <v>414</v>
      </c>
      <c r="F1615" s="2" t="s">
        <v>40</v>
      </c>
      <c r="G1615" s="2" t="s">
        <v>416</v>
      </c>
      <c r="H1615" s="2" t="s">
        <v>559</v>
      </c>
      <c r="S1615" s="2" t="s">
        <v>57</v>
      </c>
      <c r="U1615" s="2" t="s">
        <v>57</v>
      </c>
      <c r="W1615" s="2" t="s">
        <v>58</v>
      </c>
    </row>
    <row r="1616" spans="1:34" x14ac:dyDescent="0.25">
      <c r="A1616" s="2" t="s">
        <v>316</v>
      </c>
      <c r="B1616" s="2" t="s">
        <v>402</v>
      </c>
      <c r="C1616" s="2" t="s">
        <v>409</v>
      </c>
      <c r="D1616" s="2" t="s">
        <v>410</v>
      </c>
      <c r="E1616" s="2" t="s">
        <v>414</v>
      </c>
      <c r="F1616" s="2" t="s">
        <v>40</v>
      </c>
      <c r="G1616" s="2" t="s">
        <v>417</v>
      </c>
      <c r="H1616" s="2" t="s">
        <v>370</v>
      </c>
      <c r="S1616" s="2" t="s">
        <v>60</v>
      </c>
      <c r="U1616" s="2" t="s">
        <v>58</v>
      </c>
      <c r="W1616" s="2" t="s">
        <v>59</v>
      </c>
    </row>
    <row r="1617" spans="1:25" x14ac:dyDescent="0.25">
      <c r="A1617" s="2" t="s">
        <v>316</v>
      </c>
      <c r="B1617" s="2" t="s">
        <v>402</v>
      </c>
      <c r="C1617" s="2" t="s">
        <v>409</v>
      </c>
      <c r="D1617" s="2" t="s">
        <v>410</v>
      </c>
      <c r="E1617" s="2" t="s">
        <v>414</v>
      </c>
      <c r="F1617" s="2" t="s">
        <v>40</v>
      </c>
      <c r="G1617" s="2" t="s">
        <v>418</v>
      </c>
      <c r="H1617" s="2" t="s">
        <v>560</v>
      </c>
      <c r="S1617" s="2" t="s">
        <v>57</v>
      </c>
      <c r="U1617" s="2" t="s">
        <v>58</v>
      </c>
      <c r="W1617" s="2" t="s">
        <v>60</v>
      </c>
    </row>
    <row r="1618" spans="1:25" x14ac:dyDescent="0.25">
      <c r="A1618" s="2" t="s">
        <v>316</v>
      </c>
      <c r="B1618" s="2" t="s">
        <v>531</v>
      </c>
      <c r="C1618" s="2" t="s">
        <v>409</v>
      </c>
      <c r="D1618" s="2" t="s">
        <v>410</v>
      </c>
      <c r="E1618" s="2" t="s">
        <v>414</v>
      </c>
      <c r="F1618" s="2" t="s">
        <v>40</v>
      </c>
      <c r="J1618" s="2" t="s">
        <v>532</v>
      </c>
      <c r="K1618" s="2" t="s">
        <v>533</v>
      </c>
      <c r="L1618" s="2">
        <v>1</v>
      </c>
      <c r="M1618" s="2" t="s">
        <v>534</v>
      </c>
      <c r="O1618" s="2" t="s">
        <v>524</v>
      </c>
      <c r="Y1618" s="2" t="s">
        <v>635</v>
      </c>
    </row>
    <row r="1619" spans="1:25" x14ac:dyDescent="0.25">
      <c r="A1619" s="2" t="s">
        <v>316</v>
      </c>
      <c r="B1619" s="2" t="s">
        <v>531</v>
      </c>
      <c r="C1619" s="2" t="s">
        <v>409</v>
      </c>
      <c r="D1619" s="2" t="s">
        <v>410</v>
      </c>
      <c r="E1619" s="2" t="s">
        <v>414</v>
      </c>
      <c r="F1619" s="2" t="s">
        <v>40</v>
      </c>
      <c r="J1619" s="2" t="s">
        <v>532</v>
      </c>
      <c r="K1619" s="2" t="s">
        <v>533</v>
      </c>
      <c r="L1619" s="2">
        <v>2</v>
      </c>
      <c r="M1619" s="2" t="s">
        <v>536</v>
      </c>
      <c r="O1619" s="2" t="s">
        <v>524</v>
      </c>
      <c r="Y1619" s="2" t="s">
        <v>635</v>
      </c>
    </row>
    <row r="1620" spans="1:25" x14ac:dyDescent="0.25">
      <c r="A1620" s="2" t="s">
        <v>316</v>
      </c>
      <c r="B1620" s="2" t="s">
        <v>531</v>
      </c>
      <c r="C1620" s="2" t="s">
        <v>409</v>
      </c>
      <c r="D1620" s="2" t="s">
        <v>410</v>
      </c>
      <c r="E1620" s="2" t="s">
        <v>414</v>
      </c>
      <c r="F1620" s="2" t="s">
        <v>40</v>
      </c>
      <c r="J1620" s="2" t="s">
        <v>532</v>
      </c>
      <c r="K1620" s="2" t="s">
        <v>533</v>
      </c>
      <c r="L1620" s="2">
        <v>3</v>
      </c>
      <c r="M1620" s="2" t="s">
        <v>537</v>
      </c>
      <c r="O1620" s="2" t="s">
        <v>524</v>
      </c>
      <c r="Y1620" s="2" t="s">
        <v>635</v>
      </c>
    </row>
    <row r="1621" spans="1:25" x14ac:dyDescent="0.25">
      <c r="A1621" s="2" t="s">
        <v>316</v>
      </c>
      <c r="B1621" s="2" t="s">
        <v>531</v>
      </c>
      <c r="C1621" s="2" t="s">
        <v>409</v>
      </c>
      <c r="D1621" s="2" t="s">
        <v>410</v>
      </c>
      <c r="E1621" s="2" t="s">
        <v>414</v>
      </c>
      <c r="F1621" s="2" t="s">
        <v>40</v>
      </c>
      <c r="J1621" s="2" t="s">
        <v>532</v>
      </c>
      <c r="K1621" s="2" t="s">
        <v>533</v>
      </c>
      <c r="L1621" s="2">
        <v>4</v>
      </c>
      <c r="M1621" s="2" t="s">
        <v>538</v>
      </c>
      <c r="O1621" s="2" t="s">
        <v>524</v>
      </c>
      <c r="Y1621" s="2" t="s">
        <v>635</v>
      </c>
    </row>
    <row r="1622" spans="1:25" x14ac:dyDescent="0.25">
      <c r="A1622" s="2" t="s">
        <v>316</v>
      </c>
      <c r="B1622" s="2" t="s">
        <v>531</v>
      </c>
      <c r="C1622" s="2" t="s">
        <v>409</v>
      </c>
      <c r="D1622" s="2" t="s">
        <v>410</v>
      </c>
      <c r="E1622" s="2" t="s">
        <v>414</v>
      </c>
      <c r="F1622" s="2" t="s">
        <v>40</v>
      </c>
      <c r="J1622" s="2" t="s">
        <v>532</v>
      </c>
      <c r="K1622" s="2" t="s">
        <v>533</v>
      </c>
      <c r="L1622" s="2">
        <v>5</v>
      </c>
      <c r="M1622" s="2" t="s">
        <v>539</v>
      </c>
      <c r="O1622" s="2" t="s">
        <v>524</v>
      </c>
      <c r="Y1622" s="2" t="s">
        <v>635</v>
      </c>
    </row>
    <row r="1623" spans="1:25" x14ac:dyDescent="0.25">
      <c r="A1623" s="2" t="s">
        <v>316</v>
      </c>
      <c r="B1623" s="2" t="s">
        <v>540</v>
      </c>
      <c r="C1623" s="2" t="s">
        <v>409</v>
      </c>
      <c r="D1623" s="2" t="s">
        <v>410</v>
      </c>
      <c r="E1623" s="2" t="s">
        <v>414</v>
      </c>
      <c r="F1623" s="2" t="s">
        <v>40</v>
      </c>
      <c r="J1623" s="2" t="s">
        <v>541</v>
      </c>
      <c r="K1623" s="2" t="s">
        <v>542</v>
      </c>
      <c r="L1623" s="2">
        <v>1</v>
      </c>
      <c r="M1623" s="2" t="s">
        <v>543</v>
      </c>
      <c r="O1623" s="2" t="s">
        <v>524</v>
      </c>
      <c r="Y1623" s="2" t="s">
        <v>635</v>
      </c>
    </row>
    <row r="1624" spans="1:25" x14ac:dyDescent="0.25">
      <c r="A1624" s="2" t="s">
        <v>316</v>
      </c>
      <c r="B1624" s="2" t="s">
        <v>540</v>
      </c>
      <c r="C1624" s="2" t="s">
        <v>409</v>
      </c>
      <c r="D1624" s="2" t="s">
        <v>410</v>
      </c>
      <c r="E1624" s="2" t="s">
        <v>414</v>
      </c>
      <c r="F1624" s="2" t="s">
        <v>40</v>
      </c>
      <c r="J1624" s="2" t="s">
        <v>541</v>
      </c>
      <c r="K1624" s="2" t="s">
        <v>542</v>
      </c>
      <c r="L1624" s="2">
        <v>2</v>
      </c>
      <c r="M1624" s="2" t="s">
        <v>544</v>
      </c>
      <c r="O1624" s="2" t="s">
        <v>524</v>
      </c>
      <c r="Y1624" s="2" t="s">
        <v>635</v>
      </c>
    </row>
    <row r="1625" spans="1:25" x14ac:dyDescent="0.25">
      <c r="A1625" s="2" t="s">
        <v>316</v>
      </c>
      <c r="B1625" s="2" t="s">
        <v>540</v>
      </c>
      <c r="C1625" s="2" t="s">
        <v>409</v>
      </c>
      <c r="D1625" s="2" t="s">
        <v>410</v>
      </c>
      <c r="E1625" s="2" t="s">
        <v>414</v>
      </c>
      <c r="F1625" s="2" t="s">
        <v>40</v>
      </c>
      <c r="J1625" s="2" t="s">
        <v>541</v>
      </c>
      <c r="K1625" s="2" t="s">
        <v>542</v>
      </c>
      <c r="L1625" s="2">
        <v>3</v>
      </c>
      <c r="M1625" s="2" t="s">
        <v>545</v>
      </c>
      <c r="O1625" s="2" t="s">
        <v>524</v>
      </c>
      <c r="Y1625" s="2" t="s">
        <v>635</v>
      </c>
    </row>
    <row r="1626" spans="1:25" x14ac:dyDescent="0.25">
      <c r="A1626" s="2" t="s">
        <v>316</v>
      </c>
      <c r="B1626" s="2" t="s">
        <v>540</v>
      </c>
      <c r="C1626" s="2" t="s">
        <v>409</v>
      </c>
      <c r="D1626" s="2" t="s">
        <v>410</v>
      </c>
      <c r="E1626" s="2" t="s">
        <v>414</v>
      </c>
      <c r="F1626" s="2" t="s">
        <v>40</v>
      </c>
      <c r="J1626" s="2" t="s">
        <v>541</v>
      </c>
      <c r="K1626" s="2" t="s">
        <v>542</v>
      </c>
      <c r="L1626" s="2">
        <v>4</v>
      </c>
      <c r="M1626" s="2" t="s">
        <v>546</v>
      </c>
      <c r="O1626" s="2" t="s">
        <v>524</v>
      </c>
      <c r="Y1626" s="2" t="s">
        <v>635</v>
      </c>
    </row>
    <row r="1627" spans="1:25" x14ac:dyDescent="0.25">
      <c r="A1627" s="2" t="s">
        <v>316</v>
      </c>
      <c r="B1627" s="2" t="s">
        <v>540</v>
      </c>
      <c r="C1627" s="2" t="s">
        <v>409</v>
      </c>
      <c r="D1627" s="2" t="s">
        <v>410</v>
      </c>
      <c r="E1627" s="2" t="s">
        <v>414</v>
      </c>
      <c r="F1627" s="2" t="s">
        <v>40</v>
      </c>
      <c r="J1627" s="2" t="s">
        <v>541</v>
      </c>
      <c r="K1627" s="2" t="s">
        <v>542</v>
      </c>
      <c r="L1627" s="2">
        <v>5</v>
      </c>
      <c r="M1627" s="2" t="s">
        <v>547</v>
      </c>
      <c r="O1627" s="2" t="s">
        <v>524</v>
      </c>
      <c r="Y1627" s="2" t="s">
        <v>635</v>
      </c>
    </row>
    <row r="1628" spans="1:25" x14ac:dyDescent="0.25">
      <c r="A1628" s="2" t="s">
        <v>316</v>
      </c>
      <c r="B1628" s="2" t="s">
        <v>540</v>
      </c>
      <c r="C1628" s="2" t="s">
        <v>409</v>
      </c>
      <c r="D1628" s="2" t="s">
        <v>410</v>
      </c>
      <c r="E1628" s="2" t="s">
        <v>414</v>
      </c>
      <c r="F1628" s="2" t="s">
        <v>40</v>
      </c>
      <c r="J1628" s="2" t="s">
        <v>541</v>
      </c>
      <c r="K1628" s="2" t="s">
        <v>542</v>
      </c>
      <c r="L1628" s="2">
        <v>6</v>
      </c>
      <c r="M1628" s="2" t="s">
        <v>548</v>
      </c>
      <c r="O1628" s="2" t="s">
        <v>524</v>
      </c>
      <c r="Y1628" s="2" t="s">
        <v>635</v>
      </c>
    </row>
    <row r="1629" spans="1:25" x14ac:dyDescent="0.25">
      <c r="A1629" s="2" t="s">
        <v>316</v>
      </c>
      <c r="B1629" s="2" t="s">
        <v>540</v>
      </c>
      <c r="C1629" s="2" t="s">
        <v>409</v>
      </c>
      <c r="D1629" s="2" t="s">
        <v>410</v>
      </c>
      <c r="E1629" s="2" t="s">
        <v>414</v>
      </c>
      <c r="F1629" s="2" t="s">
        <v>40</v>
      </c>
      <c r="J1629" s="2" t="s">
        <v>541</v>
      </c>
      <c r="K1629" s="2" t="s">
        <v>542</v>
      </c>
      <c r="L1629" s="2">
        <v>7</v>
      </c>
      <c r="M1629" s="2" t="s">
        <v>549</v>
      </c>
      <c r="O1629" s="2" t="s">
        <v>524</v>
      </c>
      <c r="Y1629" s="2" t="s">
        <v>635</v>
      </c>
    </row>
    <row r="1630" spans="1:25" x14ac:dyDescent="0.25">
      <c r="A1630" s="2" t="s">
        <v>316</v>
      </c>
      <c r="B1630" s="2" t="s">
        <v>540</v>
      </c>
      <c r="C1630" s="2" t="s">
        <v>409</v>
      </c>
      <c r="D1630" s="2" t="s">
        <v>410</v>
      </c>
      <c r="E1630" s="2" t="s">
        <v>414</v>
      </c>
      <c r="F1630" s="2" t="s">
        <v>40</v>
      </c>
      <c r="J1630" s="2" t="s">
        <v>541</v>
      </c>
      <c r="K1630" s="2" t="s">
        <v>542</v>
      </c>
      <c r="L1630" s="2">
        <v>8</v>
      </c>
      <c r="M1630" s="2" t="s">
        <v>550</v>
      </c>
      <c r="O1630" s="2" t="s">
        <v>524</v>
      </c>
      <c r="Y1630" s="2" t="s">
        <v>635</v>
      </c>
    </row>
    <row r="1631" spans="1:25" x14ac:dyDescent="0.25">
      <c r="A1631" s="2" t="s">
        <v>316</v>
      </c>
      <c r="B1631" s="2" t="s">
        <v>540</v>
      </c>
      <c r="C1631" s="2" t="s">
        <v>409</v>
      </c>
      <c r="D1631" s="2" t="s">
        <v>410</v>
      </c>
      <c r="E1631" s="2" t="s">
        <v>414</v>
      </c>
      <c r="F1631" s="2" t="s">
        <v>40</v>
      </c>
      <c r="J1631" s="2" t="s">
        <v>541</v>
      </c>
      <c r="K1631" s="2" t="s">
        <v>542</v>
      </c>
      <c r="L1631" s="2">
        <v>9</v>
      </c>
      <c r="M1631" s="2" t="s">
        <v>551</v>
      </c>
      <c r="O1631" s="2" t="s">
        <v>524</v>
      </c>
      <c r="Y1631" s="2" t="s">
        <v>635</v>
      </c>
    </row>
    <row r="1632" spans="1:25" x14ac:dyDescent="0.25">
      <c r="A1632" s="2" t="s">
        <v>316</v>
      </c>
      <c r="B1632" s="2" t="s">
        <v>540</v>
      </c>
      <c r="C1632" s="2" t="s">
        <v>409</v>
      </c>
      <c r="D1632" s="2" t="s">
        <v>410</v>
      </c>
      <c r="E1632" s="2" t="s">
        <v>414</v>
      </c>
      <c r="F1632" s="2" t="s">
        <v>40</v>
      </c>
      <c r="J1632" s="2" t="s">
        <v>541</v>
      </c>
      <c r="K1632" s="2" t="s">
        <v>542</v>
      </c>
      <c r="L1632" s="2">
        <v>10</v>
      </c>
      <c r="M1632" s="2" t="s">
        <v>552</v>
      </c>
      <c r="O1632" s="2" t="s">
        <v>524</v>
      </c>
      <c r="Y1632" s="2" t="s">
        <v>635</v>
      </c>
    </row>
    <row r="1633" spans="1:34" x14ac:dyDescent="0.25">
      <c r="A1633" s="2" t="s">
        <v>316</v>
      </c>
      <c r="B1633" s="2" t="s">
        <v>540</v>
      </c>
      <c r="C1633" s="2" t="s">
        <v>409</v>
      </c>
      <c r="D1633" s="2" t="s">
        <v>410</v>
      </c>
      <c r="E1633" s="2" t="s">
        <v>414</v>
      </c>
      <c r="F1633" s="2" t="s">
        <v>40</v>
      </c>
      <c r="J1633" s="2" t="s">
        <v>541</v>
      </c>
      <c r="K1633" s="2" t="s">
        <v>542</v>
      </c>
      <c r="L1633" s="2">
        <v>11</v>
      </c>
      <c r="M1633" s="2" t="s">
        <v>553</v>
      </c>
      <c r="O1633" s="2" t="s">
        <v>524</v>
      </c>
      <c r="Y1633" s="2" t="s">
        <v>635</v>
      </c>
    </row>
    <row r="1634" spans="1:34" x14ac:dyDescent="0.25">
      <c r="A1634" s="2" t="s">
        <v>316</v>
      </c>
      <c r="B1634" s="2" t="s">
        <v>540</v>
      </c>
      <c r="C1634" s="2" t="s">
        <v>409</v>
      </c>
      <c r="D1634" s="2" t="s">
        <v>410</v>
      </c>
      <c r="E1634" s="2" t="s">
        <v>414</v>
      </c>
      <c r="F1634" s="2" t="s">
        <v>40</v>
      </c>
      <c r="J1634" s="2" t="s">
        <v>541</v>
      </c>
      <c r="K1634" s="2" t="s">
        <v>542</v>
      </c>
      <c r="L1634" s="2">
        <v>12</v>
      </c>
      <c r="M1634" s="2" t="s">
        <v>554</v>
      </c>
      <c r="O1634" s="2" t="s">
        <v>524</v>
      </c>
      <c r="Y1634" s="2" t="s">
        <v>635</v>
      </c>
    </row>
    <row r="1635" spans="1:34" x14ac:dyDescent="0.25">
      <c r="A1635" s="2" t="s">
        <v>316</v>
      </c>
      <c r="B1635" s="2" t="s">
        <v>555</v>
      </c>
      <c r="C1635" s="2" t="s">
        <v>409</v>
      </c>
      <c r="D1635" s="2" t="s">
        <v>410</v>
      </c>
      <c r="E1635" s="2" t="s">
        <v>414</v>
      </c>
      <c r="F1635" s="2" t="s">
        <v>40</v>
      </c>
      <c r="J1635" s="2" t="s">
        <v>556</v>
      </c>
      <c r="O1635" s="2" t="s">
        <v>524</v>
      </c>
      <c r="Y1635" s="2" t="s">
        <v>635</v>
      </c>
      <c r="AB1635" s="2">
        <v>2</v>
      </c>
    </row>
    <row r="1636" spans="1:34" x14ac:dyDescent="0.25">
      <c r="A1636" s="2" t="s">
        <v>316</v>
      </c>
      <c r="B1636" s="2" t="s">
        <v>557</v>
      </c>
      <c r="C1636" s="2" t="s">
        <v>409</v>
      </c>
      <c r="D1636" s="2" t="s">
        <v>410</v>
      </c>
      <c r="E1636" s="2" t="s">
        <v>414</v>
      </c>
      <c r="F1636" s="2" t="s">
        <v>40</v>
      </c>
      <c r="J1636" s="2" t="s">
        <v>558</v>
      </c>
      <c r="O1636" s="2" t="s">
        <v>524</v>
      </c>
      <c r="Y1636" s="2" t="s">
        <v>635</v>
      </c>
      <c r="AC1636" s="2">
        <f>COUNTIFS($B:$B,"BLOCK_LOAD_Q",$A:$A,$A1636,$C:$C,$C1636,$E:$E,$E1636,$F:$F,$F1636,$N:$N, "&lt;&gt;")</f>
        <v>0</v>
      </c>
      <c r="AD1636" s="2">
        <f>COUNTIFS($B:$B,"BLOCK_TRUST_Q",$A:$A,$A1636,$C:$C,$C1636,$E:$E,$E1636,$F:$F,$F1636,$N:$N, "&lt;&gt;")</f>
        <v>0</v>
      </c>
      <c r="AE1636" s="2" t="str">
        <f>IFERROR(AVERAGEIFS($P:$P,$B:$B,"BLOCK_LOAD_Q",$A:$A,$A1636,$C:$C,$C1636,$E:$E,$E1636,$F:$F,$F1636,$P:$P,"&gt;0"),"")</f>
        <v/>
      </c>
      <c r="AF1636" s="2" t="str">
        <f>IFERROR(AVERAGEIFS($P:$P,$B:$B,"BLOCK_TRUST_Q",$A:$A,$A1636,$C:$C,$C1636,$E:$E,$E1636,$F:$F,$F1636,$P:$P,"&gt;0"),"")</f>
        <v/>
      </c>
      <c r="AG1636" s="2">
        <f>5-AC1636</f>
        <v>5</v>
      </c>
      <c r="AH1636" s="2">
        <f>12-AD1636</f>
        <v>12</v>
      </c>
    </row>
    <row r="1637" spans="1:34" x14ac:dyDescent="0.25">
      <c r="A1637" s="2" t="s">
        <v>316</v>
      </c>
      <c r="B1637" s="2" t="s">
        <v>403</v>
      </c>
      <c r="C1637" s="2" t="s">
        <v>409</v>
      </c>
      <c r="D1637" s="2" t="s">
        <v>410</v>
      </c>
      <c r="Z1637" s="2" t="s">
        <v>452</v>
      </c>
    </row>
    <row r="1638" spans="1:34" x14ac:dyDescent="0.25">
      <c r="A1638" s="2" t="s">
        <v>316</v>
      </c>
      <c r="B1638" s="2" t="s">
        <v>404</v>
      </c>
      <c r="J1638" s="2" t="s">
        <v>575</v>
      </c>
      <c r="AA1638" s="2" t="s">
        <v>338</v>
      </c>
    </row>
    <row r="1639" spans="1:34" x14ac:dyDescent="0.25">
      <c r="A1639" s="2" t="s">
        <v>316</v>
      </c>
      <c r="B1639" s="2" t="s">
        <v>405</v>
      </c>
    </row>
    <row r="1640" spans="1:34" x14ac:dyDescent="0.25">
      <c r="A1640" s="2" t="s">
        <v>316</v>
      </c>
      <c r="B1640" s="2" t="s">
        <v>406</v>
      </c>
    </row>
    <row r="1641" spans="1:34" x14ac:dyDescent="0.25">
      <c r="A1641" s="2" t="s">
        <v>317</v>
      </c>
      <c r="B1641" s="2" t="s">
        <v>523</v>
      </c>
      <c r="C1641" s="2" t="s">
        <v>524</v>
      </c>
      <c r="D1641" s="2" t="s">
        <v>524</v>
      </c>
      <c r="E1641" s="2" t="s">
        <v>524</v>
      </c>
      <c r="F1641" s="2" t="s">
        <v>524</v>
      </c>
      <c r="J1641" s="2" t="s">
        <v>525</v>
      </c>
      <c r="O1641" s="2" t="s">
        <v>524</v>
      </c>
    </row>
    <row r="1642" spans="1:34" x14ac:dyDescent="0.25">
      <c r="A1642" s="2" t="s">
        <v>317</v>
      </c>
      <c r="B1642" s="2" t="s">
        <v>526</v>
      </c>
      <c r="C1642" s="2" t="s">
        <v>524</v>
      </c>
      <c r="D1642" s="2" t="s">
        <v>524</v>
      </c>
      <c r="E1642" s="2" t="s">
        <v>524</v>
      </c>
      <c r="F1642" s="2" t="s">
        <v>524</v>
      </c>
      <c r="J1642" s="2" t="s">
        <v>527</v>
      </c>
      <c r="O1642" s="2" t="s">
        <v>524</v>
      </c>
    </row>
    <row r="1643" spans="1:34" x14ac:dyDescent="0.25">
      <c r="A1643" s="2" t="s">
        <v>317</v>
      </c>
      <c r="B1643" s="2" t="s">
        <v>402</v>
      </c>
      <c r="C1643" s="2" t="s">
        <v>407</v>
      </c>
      <c r="D1643" s="2" t="s">
        <v>412</v>
      </c>
      <c r="E1643" s="2" t="s">
        <v>413</v>
      </c>
      <c r="F1643" s="2" t="s">
        <v>40</v>
      </c>
      <c r="G1643" s="2" t="s">
        <v>415</v>
      </c>
      <c r="H1643" s="2" t="s">
        <v>567</v>
      </c>
      <c r="S1643" s="2" t="s">
        <v>58</v>
      </c>
      <c r="U1643" s="2" t="s">
        <v>57</v>
      </c>
      <c r="W1643" s="2" t="s">
        <v>60</v>
      </c>
    </row>
    <row r="1644" spans="1:34" x14ac:dyDescent="0.25">
      <c r="A1644" s="2" t="s">
        <v>317</v>
      </c>
      <c r="B1644" s="2" t="s">
        <v>402</v>
      </c>
      <c r="C1644" s="2" t="s">
        <v>407</v>
      </c>
      <c r="D1644" s="2" t="s">
        <v>412</v>
      </c>
      <c r="E1644" s="2" t="s">
        <v>413</v>
      </c>
      <c r="F1644" s="2" t="s">
        <v>40</v>
      </c>
      <c r="G1644" s="2" t="s">
        <v>416</v>
      </c>
      <c r="H1644" s="2" t="s">
        <v>568</v>
      </c>
      <c r="S1644" s="2" t="s">
        <v>59</v>
      </c>
      <c r="U1644" s="2" t="s">
        <v>60</v>
      </c>
      <c r="W1644" s="2" t="s">
        <v>59</v>
      </c>
    </row>
    <row r="1645" spans="1:34" x14ac:dyDescent="0.25">
      <c r="A1645" s="2" t="s">
        <v>317</v>
      </c>
      <c r="B1645" s="2" t="s">
        <v>402</v>
      </c>
      <c r="C1645" s="2" t="s">
        <v>407</v>
      </c>
      <c r="D1645" s="2" t="s">
        <v>412</v>
      </c>
      <c r="E1645" s="2" t="s">
        <v>413</v>
      </c>
      <c r="F1645" s="2" t="s">
        <v>40</v>
      </c>
      <c r="G1645" s="2" t="s">
        <v>417</v>
      </c>
      <c r="H1645" s="2" t="s">
        <v>569</v>
      </c>
      <c r="S1645" s="2" t="s">
        <v>57</v>
      </c>
      <c r="U1645" s="2" t="s">
        <v>60</v>
      </c>
      <c r="W1645" s="2" t="s">
        <v>57</v>
      </c>
    </row>
    <row r="1646" spans="1:34" x14ac:dyDescent="0.25">
      <c r="A1646" s="2" t="s">
        <v>317</v>
      </c>
      <c r="B1646" s="2" t="s">
        <v>402</v>
      </c>
      <c r="C1646" s="2" t="s">
        <v>407</v>
      </c>
      <c r="D1646" s="2" t="s">
        <v>412</v>
      </c>
      <c r="E1646" s="2" t="s">
        <v>413</v>
      </c>
      <c r="F1646" s="2" t="s">
        <v>40</v>
      </c>
      <c r="G1646" s="2" t="s">
        <v>418</v>
      </c>
      <c r="H1646" s="2" t="s">
        <v>351</v>
      </c>
      <c r="S1646" s="2" t="s">
        <v>60</v>
      </c>
      <c r="U1646" s="2" t="s">
        <v>57</v>
      </c>
      <c r="W1646" s="2" t="s">
        <v>57</v>
      </c>
    </row>
    <row r="1647" spans="1:34" x14ac:dyDescent="0.25">
      <c r="A1647" s="2" t="s">
        <v>317</v>
      </c>
      <c r="B1647" s="2" t="s">
        <v>531</v>
      </c>
      <c r="C1647" s="2" t="s">
        <v>407</v>
      </c>
      <c r="D1647" s="2" t="s">
        <v>412</v>
      </c>
      <c r="E1647" s="2" t="s">
        <v>413</v>
      </c>
      <c r="F1647" s="2" t="s">
        <v>40</v>
      </c>
      <c r="J1647" s="2" t="s">
        <v>532</v>
      </c>
      <c r="K1647" s="2" t="s">
        <v>533</v>
      </c>
      <c r="L1647" s="2">
        <v>1</v>
      </c>
      <c r="M1647" s="2" t="s">
        <v>534</v>
      </c>
      <c r="O1647" s="2" t="s">
        <v>524</v>
      </c>
      <c r="Y1647" s="2" t="s">
        <v>636</v>
      </c>
    </row>
    <row r="1648" spans="1:34" x14ac:dyDescent="0.25">
      <c r="A1648" s="2" t="s">
        <v>317</v>
      </c>
      <c r="B1648" s="2" t="s">
        <v>531</v>
      </c>
      <c r="C1648" s="2" t="s">
        <v>407</v>
      </c>
      <c r="D1648" s="2" t="s">
        <v>412</v>
      </c>
      <c r="E1648" s="2" t="s">
        <v>413</v>
      </c>
      <c r="F1648" s="2" t="s">
        <v>40</v>
      </c>
      <c r="J1648" s="2" t="s">
        <v>532</v>
      </c>
      <c r="K1648" s="2" t="s">
        <v>533</v>
      </c>
      <c r="L1648" s="2">
        <v>2</v>
      </c>
      <c r="M1648" s="2" t="s">
        <v>536</v>
      </c>
      <c r="O1648" s="2" t="s">
        <v>524</v>
      </c>
      <c r="Y1648" s="2" t="s">
        <v>636</v>
      </c>
    </row>
    <row r="1649" spans="1:28" x14ac:dyDescent="0.25">
      <c r="A1649" s="2" t="s">
        <v>317</v>
      </c>
      <c r="B1649" s="2" t="s">
        <v>531</v>
      </c>
      <c r="C1649" s="2" t="s">
        <v>407</v>
      </c>
      <c r="D1649" s="2" t="s">
        <v>412</v>
      </c>
      <c r="E1649" s="2" t="s">
        <v>413</v>
      </c>
      <c r="F1649" s="2" t="s">
        <v>40</v>
      </c>
      <c r="J1649" s="2" t="s">
        <v>532</v>
      </c>
      <c r="K1649" s="2" t="s">
        <v>533</v>
      </c>
      <c r="L1649" s="2">
        <v>3</v>
      </c>
      <c r="M1649" s="2" t="s">
        <v>537</v>
      </c>
      <c r="O1649" s="2" t="s">
        <v>524</v>
      </c>
      <c r="Y1649" s="2" t="s">
        <v>636</v>
      </c>
    </row>
    <row r="1650" spans="1:28" x14ac:dyDescent="0.25">
      <c r="A1650" s="2" t="s">
        <v>317</v>
      </c>
      <c r="B1650" s="2" t="s">
        <v>531</v>
      </c>
      <c r="C1650" s="2" t="s">
        <v>407</v>
      </c>
      <c r="D1650" s="2" t="s">
        <v>412</v>
      </c>
      <c r="E1650" s="2" t="s">
        <v>413</v>
      </c>
      <c r="F1650" s="2" t="s">
        <v>40</v>
      </c>
      <c r="J1650" s="2" t="s">
        <v>532</v>
      </c>
      <c r="K1650" s="2" t="s">
        <v>533</v>
      </c>
      <c r="L1650" s="2">
        <v>4</v>
      </c>
      <c r="M1650" s="2" t="s">
        <v>538</v>
      </c>
      <c r="O1650" s="2" t="s">
        <v>524</v>
      </c>
      <c r="Y1650" s="2" t="s">
        <v>636</v>
      </c>
    </row>
    <row r="1651" spans="1:28" x14ac:dyDescent="0.25">
      <c r="A1651" s="2" t="s">
        <v>317</v>
      </c>
      <c r="B1651" s="2" t="s">
        <v>531</v>
      </c>
      <c r="C1651" s="2" t="s">
        <v>407</v>
      </c>
      <c r="D1651" s="2" t="s">
        <v>412</v>
      </c>
      <c r="E1651" s="2" t="s">
        <v>413</v>
      </c>
      <c r="F1651" s="2" t="s">
        <v>40</v>
      </c>
      <c r="J1651" s="2" t="s">
        <v>532</v>
      </c>
      <c r="K1651" s="2" t="s">
        <v>533</v>
      </c>
      <c r="L1651" s="2">
        <v>5</v>
      </c>
      <c r="M1651" s="2" t="s">
        <v>539</v>
      </c>
      <c r="O1651" s="2" t="s">
        <v>524</v>
      </c>
      <c r="Y1651" s="2" t="s">
        <v>636</v>
      </c>
    </row>
    <row r="1652" spans="1:28" x14ac:dyDescent="0.25">
      <c r="A1652" s="2" t="s">
        <v>317</v>
      </c>
      <c r="B1652" s="2" t="s">
        <v>540</v>
      </c>
      <c r="C1652" s="2" t="s">
        <v>407</v>
      </c>
      <c r="D1652" s="2" t="s">
        <v>412</v>
      </c>
      <c r="E1652" s="2" t="s">
        <v>413</v>
      </c>
      <c r="F1652" s="2" t="s">
        <v>40</v>
      </c>
      <c r="J1652" s="2" t="s">
        <v>541</v>
      </c>
      <c r="K1652" s="2" t="s">
        <v>542</v>
      </c>
      <c r="L1652" s="2">
        <v>1</v>
      </c>
      <c r="M1652" s="2" t="s">
        <v>543</v>
      </c>
      <c r="O1652" s="2" t="s">
        <v>524</v>
      </c>
      <c r="Y1652" s="2" t="s">
        <v>636</v>
      </c>
    </row>
    <row r="1653" spans="1:28" x14ac:dyDescent="0.25">
      <c r="A1653" s="2" t="s">
        <v>317</v>
      </c>
      <c r="B1653" s="2" t="s">
        <v>540</v>
      </c>
      <c r="C1653" s="2" t="s">
        <v>407</v>
      </c>
      <c r="D1653" s="2" t="s">
        <v>412</v>
      </c>
      <c r="E1653" s="2" t="s">
        <v>413</v>
      </c>
      <c r="F1653" s="2" t="s">
        <v>40</v>
      </c>
      <c r="J1653" s="2" t="s">
        <v>541</v>
      </c>
      <c r="K1653" s="2" t="s">
        <v>542</v>
      </c>
      <c r="L1653" s="2">
        <v>2</v>
      </c>
      <c r="M1653" s="2" t="s">
        <v>544</v>
      </c>
      <c r="O1653" s="2" t="s">
        <v>524</v>
      </c>
      <c r="Y1653" s="2" t="s">
        <v>636</v>
      </c>
    </row>
    <row r="1654" spans="1:28" x14ac:dyDescent="0.25">
      <c r="A1654" s="2" t="s">
        <v>317</v>
      </c>
      <c r="B1654" s="2" t="s">
        <v>540</v>
      </c>
      <c r="C1654" s="2" t="s">
        <v>407</v>
      </c>
      <c r="D1654" s="2" t="s">
        <v>412</v>
      </c>
      <c r="E1654" s="2" t="s">
        <v>413</v>
      </c>
      <c r="F1654" s="2" t="s">
        <v>40</v>
      </c>
      <c r="J1654" s="2" t="s">
        <v>541</v>
      </c>
      <c r="K1654" s="2" t="s">
        <v>542</v>
      </c>
      <c r="L1654" s="2">
        <v>3</v>
      </c>
      <c r="M1654" s="2" t="s">
        <v>545</v>
      </c>
      <c r="O1654" s="2" t="s">
        <v>524</v>
      </c>
      <c r="Y1654" s="2" t="s">
        <v>636</v>
      </c>
    </row>
    <row r="1655" spans="1:28" x14ac:dyDescent="0.25">
      <c r="A1655" s="2" t="s">
        <v>317</v>
      </c>
      <c r="B1655" s="2" t="s">
        <v>540</v>
      </c>
      <c r="C1655" s="2" t="s">
        <v>407</v>
      </c>
      <c r="D1655" s="2" t="s">
        <v>412</v>
      </c>
      <c r="E1655" s="2" t="s">
        <v>413</v>
      </c>
      <c r="F1655" s="2" t="s">
        <v>40</v>
      </c>
      <c r="J1655" s="2" t="s">
        <v>541</v>
      </c>
      <c r="K1655" s="2" t="s">
        <v>542</v>
      </c>
      <c r="L1655" s="2">
        <v>4</v>
      </c>
      <c r="M1655" s="2" t="s">
        <v>546</v>
      </c>
      <c r="O1655" s="2" t="s">
        <v>524</v>
      </c>
      <c r="Y1655" s="2" t="s">
        <v>636</v>
      </c>
    </row>
    <row r="1656" spans="1:28" x14ac:dyDescent="0.25">
      <c r="A1656" s="2" t="s">
        <v>317</v>
      </c>
      <c r="B1656" s="2" t="s">
        <v>540</v>
      </c>
      <c r="C1656" s="2" t="s">
        <v>407</v>
      </c>
      <c r="D1656" s="2" t="s">
        <v>412</v>
      </c>
      <c r="E1656" s="2" t="s">
        <v>413</v>
      </c>
      <c r="F1656" s="2" t="s">
        <v>40</v>
      </c>
      <c r="J1656" s="2" t="s">
        <v>541</v>
      </c>
      <c r="K1656" s="2" t="s">
        <v>542</v>
      </c>
      <c r="L1656" s="2">
        <v>5</v>
      </c>
      <c r="M1656" s="2" t="s">
        <v>547</v>
      </c>
      <c r="O1656" s="2" t="s">
        <v>524</v>
      </c>
      <c r="Y1656" s="2" t="s">
        <v>636</v>
      </c>
    </row>
    <row r="1657" spans="1:28" x14ac:dyDescent="0.25">
      <c r="A1657" s="2" t="s">
        <v>317</v>
      </c>
      <c r="B1657" s="2" t="s">
        <v>540</v>
      </c>
      <c r="C1657" s="2" t="s">
        <v>407</v>
      </c>
      <c r="D1657" s="2" t="s">
        <v>412</v>
      </c>
      <c r="E1657" s="2" t="s">
        <v>413</v>
      </c>
      <c r="F1657" s="2" t="s">
        <v>40</v>
      </c>
      <c r="J1657" s="2" t="s">
        <v>541</v>
      </c>
      <c r="K1657" s="2" t="s">
        <v>542</v>
      </c>
      <c r="L1657" s="2">
        <v>6</v>
      </c>
      <c r="M1657" s="2" t="s">
        <v>548</v>
      </c>
      <c r="O1657" s="2" t="s">
        <v>524</v>
      </c>
      <c r="Y1657" s="2" t="s">
        <v>636</v>
      </c>
    </row>
    <row r="1658" spans="1:28" x14ac:dyDescent="0.25">
      <c r="A1658" s="2" t="s">
        <v>317</v>
      </c>
      <c r="B1658" s="2" t="s">
        <v>540</v>
      </c>
      <c r="C1658" s="2" t="s">
        <v>407</v>
      </c>
      <c r="D1658" s="2" t="s">
        <v>412</v>
      </c>
      <c r="E1658" s="2" t="s">
        <v>413</v>
      </c>
      <c r="F1658" s="2" t="s">
        <v>40</v>
      </c>
      <c r="J1658" s="2" t="s">
        <v>541</v>
      </c>
      <c r="K1658" s="2" t="s">
        <v>542</v>
      </c>
      <c r="L1658" s="2">
        <v>7</v>
      </c>
      <c r="M1658" s="2" t="s">
        <v>549</v>
      </c>
      <c r="O1658" s="2" t="s">
        <v>524</v>
      </c>
      <c r="Y1658" s="2" t="s">
        <v>636</v>
      </c>
    </row>
    <row r="1659" spans="1:28" x14ac:dyDescent="0.25">
      <c r="A1659" s="2" t="s">
        <v>317</v>
      </c>
      <c r="B1659" s="2" t="s">
        <v>540</v>
      </c>
      <c r="C1659" s="2" t="s">
        <v>407</v>
      </c>
      <c r="D1659" s="2" t="s">
        <v>412</v>
      </c>
      <c r="E1659" s="2" t="s">
        <v>413</v>
      </c>
      <c r="F1659" s="2" t="s">
        <v>40</v>
      </c>
      <c r="J1659" s="2" t="s">
        <v>541</v>
      </c>
      <c r="K1659" s="2" t="s">
        <v>542</v>
      </c>
      <c r="L1659" s="2">
        <v>8</v>
      </c>
      <c r="M1659" s="2" t="s">
        <v>550</v>
      </c>
      <c r="O1659" s="2" t="s">
        <v>524</v>
      </c>
      <c r="Y1659" s="2" t="s">
        <v>636</v>
      </c>
    </row>
    <row r="1660" spans="1:28" x14ac:dyDescent="0.25">
      <c r="A1660" s="2" t="s">
        <v>317</v>
      </c>
      <c r="B1660" s="2" t="s">
        <v>540</v>
      </c>
      <c r="C1660" s="2" t="s">
        <v>407</v>
      </c>
      <c r="D1660" s="2" t="s">
        <v>412</v>
      </c>
      <c r="E1660" s="2" t="s">
        <v>413</v>
      </c>
      <c r="F1660" s="2" t="s">
        <v>40</v>
      </c>
      <c r="J1660" s="2" t="s">
        <v>541</v>
      </c>
      <c r="K1660" s="2" t="s">
        <v>542</v>
      </c>
      <c r="L1660" s="2">
        <v>9</v>
      </c>
      <c r="M1660" s="2" t="s">
        <v>551</v>
      </c>
      <c r="O1660" s="2" t="s">
        <v>524</v>
      </c>
      <c r="Y1660" s="2" t="s">
        <v>636</v>
      </c>
    </row>
    <row r="1661" spans="1:28" x14ac:dyDescent="0.25">
      <c r="A1661" s="2" t="s">
        <v>317</v>
      </c>
      <c r="B1661" s="2" t="s">
        <v>540</v>
      </c>
      <c r="C1661" s="2" t="s">
        <v>407</v>
      </c>
      <c r="D1661" s="2" t="s">
        <v>412</v>
      </c>
      <c r="E1661" s="2" t="s">
        <v>413</v>
      </c>
      <c r="F1661" s="2" t="s">
        <v>40</v>
      </c>
      <c r="J1661" s="2" t="s">
        <v>541</v>
      </c>
      <c r="K1661" s="2" t="s">
        <v>542</v>
      </c>
      <c r="L1661" s="2">
        <v>10</v>
      </c>
      <c r="M1661" s="2" t="s">
        <v>552</v>
      </c>
      <c r="O1661" s="2" t="s">
        <v>524</v>
      </c>
      <c r="Y1661" s="2" t="s">
        <v>636</v>
      </c>
    </row>
    <row r="1662" spans="1:28" x14ac:dyDescent="0.25">
      <c r="A1662" s="2" t="s">
        <v>317</v>
      </c>
      <c r="B1662" s="2" t="s">
        <v>540</v>
      </c>
      <c r="C1662" s="2" t="s">
        <v>407</v>
      </c>
      <c r="D1662" s="2" t="s">
        <v>412</v>
      </c>
      <c r="E1662" s="2" t="s">
        <v>413</v>
      </c>
      <c r="F1662" s="2" t="s">
        <v>40</v>
      </c>
      <c r="J1662" s="2" t="s">
        <v>541</v>
      </c>
      <c r="K1662" s="2" t="s">
        <v>542</v>
      </c>
      <c r="L1662" s="2">
        <v>11</v>
      </c>
      <c r="M1662" s="2" t="s">
        <v>553</v>
      </c>
      <c r="O1662" s="2" t="s">
        <v>524</v>
      </c>
      <c r="Y1662" s="2" t="s">
        <v>636</v>
      </c>
    </row>
    <row r="1663" spans="1:28" x14ac:dyDescent="0.25">
      <c r="A1663" s="2" t="s">
        <v>317</v>
      </c>
      <c r="B1663" s="2" t="s">
        <v>540</v>
      </c>
      <c r="C1663" s="2" t="s">
        <v>407</v>
      </c>
      <c r="D1663" s="2" t="s">
        <v>412</v>
      </c>
      <c r="E1663" s="2" t="s">
        <v>413</v>
      </c>
      <c r="F1663" s="2" t="s">
        <v>40</v>
      </c>
      <c r="J1663" s="2" t="s">
        <v>541</v>
      </c>
      <c r="K1663" s="2" t="s">
        <v>542</v>
      </c>
      <c r="L1663" s="2">
        <v>12</v>
      </c>
      <c r="M1663" s="2" t="s">
        <v>554</v>
      </c>
      <c r="O1663" s="2" t="s">
        <v>524</v>
      </c>
      <c r="Y1663" s="2" t="s">
        <v>636</v>
      </c>
    </row>
    <row r="1664" spans="1:28" x14ac:dyDescent="0.25">
      <c r="A1664" s="2" t="s">
        <v>317</v>
      </c>
      <c r="B1664" s="2" t="s">
        <v>555</v>
      </c>
      <c r="C1664" s="2" t="s">
        <v>407</v>
      </c>
      <c r="D1664" s="2" t="s">
        <v>412</v>
      </c>
      <c r="E1664" s="2" t="s">
        <v>413</v>
      </c>
      <c r="F1664" s="2" t="s">
        <v>40</v>
      </c>
      <c r="J1664" s="2" t="s">
        <v>556</v>
      </c>
      <c r="O1664" s="2" t="s">
        <v>524</v>
      </c>
      <c r="Y1664" s="2" t="s">
        <v>636</v>
      </c>
      <c r="AB1664" s="2">
        <v>2</v>
      </c>
    </row>
    <row r="1665" spans="1:34" x14ac:dyDescent="0.25">
      <c r="A1665" s="2" t="s">
        <v>317</v>
      </c>
      <c r="B1665" s="2" t="s">
        <v>557</v>
      </c>
      <c r="C1665" s="2" t="s">
        <v>407</v>
      </c>
      <c r="D1665" s="2" t="s">
        <v>412</v>
      </c>
      <c r="E1665" s="2" t="s">
        <v>413</v>
      </c>
      <c r="F1665" s="2" t="s">
        <v>40</v>
      </c>
      <c r="J1665" s="2" t="s">
        <v>558</v>
      </c>
      <c r="O1665" s="2" t="s">
        <v>524</v>
      </c>
      <c r="Y1665" s="2" t="s">
        <v>636</v>
      </c>
      <c r="AC1665" s="2">
        <f>COUNTIFS($B:$B,"BLOCK_LOAD_Q",$A:$A,$A1665,$C:$C,$C1665,$E:$E,$E1665,$F:$F,$F1665,$N:$N, "&lt;&gt;")</f>
        <v>0</v>
      </c>
      <c r="AD1665" s="2">
        <f>COUNTIFS($B:$B,"BLOCK_TRUST_Q",$A:$A,$A1665,$C:$C,$C1665,$E:$E,$E1665,$F:$F,$F1665,$N:$N, "&lt;&gt;")</f>
        <v>0</v>
      </c>
      <c r="AE1665" s="2" t="str">
        <f>IFERROR(AVERAGEIFS($P:$P,$B:$B,"BLOCK_LOAD_Q",$A:$A,$A1665,$C:$C,$C1665,$E:$E,$E1665,$F:$F,$F1665,$P:$P,"&gt;0"),"")</f>
        <v/>
      </c>
      <c r="AF1665" s="2" t="str">
        <f>IFERROR(AVERAGEIFS($P:$P,$B:$B,"BLOCK_TRUST_Q",$A:$A,$A1665,$C:$C,$C1665,$E:$E,$E1665,$F:$F,$F1665,$P:$P,"&gt;0"),"")</f>
        <v/>
      </c>
      <c r="AG1665" s="2">
        <f>5-AC1665</f>
        <v>5</v>
      </c>
      <c r="AH1665" s="2">
        <f>12-AD1665</f>
        <v>12</v>
      </c>
    </row>
    <row r="1666" spans="1:34" x14ac:dyDescent="0.25">
      <c r="A1666" s="2" t="s">
        <v>317</v>
      </c>
      <c r="B1666" s="2" t="s">
        <v>402</v>
      </c>
      <c r="C1666" s="2" t="s">
        <v>407</v>
      </c>
      <c r="D1666" s="2" t="s">
        <v>412</v>
      </c>
      <c r="E1666" s="2" t="s">
        <v>414</v>
      </c>
      <c r="F1666" s="2" t="s">
        <v>39</v>
      </c>
      <c r="G1666" s="2" t="s">
        <v>415</v>
      </c>
      <c r="H1666" s="2" t="s">
        <v>350</v>
      </c>
      <c r="S1666" s="2" t="s">
        <v>57</v>
      </c>
      <c r="U1666" s="2" t="s">
        <v>58</v>
      </c>
      <c r="W1666" s="2" t="s">
        <v>59</v>
      </c>
    </row>
    <row r="1667" spans="1:34" x14ac:dyDescent="0.25">
      <c r="A1667" s="2" t="s">
        <v>317</v>
      </c>
      <c r="B1667" s="2" t="s">
        <v>402</v>
      </c>
      <c r="C1667" s="2" t="s">
        <v>407</v>
      </c>
      <c r="D1667" s="2" t="s">
        <v>412</v>
      </c>
      <c r="E1667" s="2" t="s">
        <v>414</v>
      </c>
      <c r="F1667" s="2" t="s">
        <v>39</v>
      </c>
      <c r="G1667" s="2" t="s">
        <v>416</v>
      </c>
      <c r="H1667" s="2" t="s">
        <v>571</v>
      </c>
      <c r="S1667" s="2" t="s">
        <v>59</v>
      </c>
      <c r="U1667" s="2" t="s">
        <v>57</v>
      </c>
      <c r="W1667" s="2" t="s">
        <v>60</v>
      </c>
    </row>
    <row r="1668" spans="1:34" x14ac:dyDescent="0.25">
      <c r="A1668" s="2" t="s">
        <v>317</v>
      </c>
      <c r="B1668" s="2" t="s">
        <v>402</v>
      </c>
      <c r="C1668" s="2" t="s">
        <v>407</v>
      </c>
      <c r="D1668" s="2" t="s">
        <v>412</v>
      </c>
      <c r="E1668" s="2" t="s">
        <v>414</v>
      </c>
      <c r="F1668" s="2" t="s">
        <v>39</v>
      </c>
      <c r="G1668" s="2" t="s">
        <v>417</v>
      </c>
      <c r="H1668" s="2" t="s">
        <v>572</v>
      </c>
      <c r="S1668" s="2" t="s">
        <v>57</v>
      </c>
      <c r="U1668" s="2" t="s">
        <v>59</v>
      </c>
      <c r="W1668" s="2" t="s">
        <v>58</v>
      </c>
    </row>
    <row r="1669" spans="1:34" x14ac:dyDescent="0.25">
      <c r="A1669" s="2" t="s">
        <v>317</v>
      </c>
      <c r="B1669" s="2" t="s">
        <v>402</v>
      </c>
      <c r="C1669" s="2" t="s">
        <v>407</v>
      </c>
      <c r="D1669" s="2" t="s">
        <v>412</v>
      </c>
      <c r="E1669" s="2" t="s">
        <v>414</v>
      </c>
      <c r="F1669" s="2" t="s">
        <v>39</v>
      </c>
      <c r="G1669" s="2" t="s">
        <v>418</v>
      </c>
      <c r="H1669" s="2" t="s">
        <v>573</v>
      </c>
      <c r="S1669" s="2" t="s">
        <v>58</v>
      </c>
      <c r="U1669" s="2" t="s">
        <v>58</v>
      </c>
      <c r="W1669" s="2" t="s">
        <v>58</v>
      </c>
    </row>
    <row r="1670" spans="1:34" x14ac:dyDescent="0.25">
      <c r="A1670" s="2" t="s">
        <v>317</v>
      </c>
      <c r="B1670" s="2" t="s">
        <v>402</v>
      </c>
      <c r="C1670" s="2" t="s">
        <v>407</v>
      </c>
      <c r="D1670" s="2" t="s">
        <v>412</v>
      </c>
      <c r="E1670" s="2" t="s">
        <v>414</v>
      </c>
      <c r="F1670" s="2" t="s">
        <v>39</v>
      </c>
      <c r="G1670" s="2" t="s">
        <v>419</v>
      </c>
      <c r="H1670" s="2" t="s">
        <v>365</v>
      </c>
      <c r="S1670" s="2" t="s">
        <v>59</v>
      </c>
      <c r="U1670" s="2" t="s">
        <v>59</v>
      </c>
      <c r="W1670" s="2" t="s">
        <v>60</v>
      </c>
    </row>
    <row r="1671" spans="1:34" x14ac:dyDescent="0.25">
      <c r="A1671" s="2" t="s">
        <v>317</v>
      </c>
      <c r="B1671" s="2" t="s">
        <v>531</v>
      </c>
      <c r="C1671" s="2" t="s">
        <v>407</v>
      </c>
      <c r="D1671" s="2" t="s">
        <v>412</v>
      </c>
      <c r="E1671" s="2" t="s">
        <v>414</v>
      </c>
      <c r="F1671" s="2" t="s">
        <v>39</v>
      </c>
      <c r="J1671" s="2" t="s">
        <v>532</v>
      </c>
      <c r="K1671" s="2" t="s">
        <v>533</v>
      </c>
      <c r="L1671" s="2">
        <v>1</v>
      </c>
      <c r="M1671" s="2" t="s">
        <v>534</v>
      </c>
      <c r="O1671" s="2" t="s">
        <v>524</v>
      </c>
      <c r="Y1671" s="2" t="s">
        <v>637</v>
      </c>
    </row>
    <row r="1672" spans="1:34" x14ac:dyDescent="0.25">
      <c r="A1672" s="2" t="s">
        <v>317</v>
      </c>
      <c r="B1672" s="2" t="s">
        <v>531</v>
      </c>
      <c r="C1672" s="2" t="s">
        <v>407</v>
      </c>
      <c r="D1672" s="2" t="s">
        <v>412</v>
      </c>
      <c r="E1672" s="2" t="s">
        <v>414</v>
      </c>
      <c r="F1672" s="2" t="s">
        <v>39</v>
      </c>
      <c r="J1672" s="2" t="s">
        <v>532</v>
      </c>
      <c r="K1672" s="2" t="s">
        <v>533</v>
      </c>
      <c r="L1672" s="2">
        <v>2</v>
      </c>
      <c r="M1672" s="2" t="s">
        <v>536</v>
      </c>
      <c r="O1672" s="2" t="s">
        <v>524</v>
      </c>
      <c r="Y1672" s="2" t="s">
        <v>637</v>
      </c>
    </row>
    <row r="1673" spans="1:34" x14ac:dyDescent="0.25">
      <c r="A1673" s="2" t="s">
        <v>317</v>
      </c>
      <c r="B1673" s="2" t="s">
        <v>531</v>
      </c>
      <c r="C1673" s="2" t="s">
        <v>407</v>
      </c>
      <c r="D1673" s="2" t="s">
        <v>412</v>
      </c>
      <c r="E1673" s="2" t="s">
        <v>414</v>
      </c>
      <c r="F1673" s="2" t="s">
        <v>39</v>
      </c>
      <c r="J1673" s="2" t="s">
        <v>532</v>
      </c>
      <c r="K1673" s="2" t="s">
        <v>533</v>
      </c>
      <c r="L1673" s="2">
        <v>3</v>
      </c>
      <c r="M1673" s="2" t="s">
        <v>537</v>
      </c>
      <c r="O1673" s="2" t="s">
        <v>524</v>
      </c>
      <c r="Y1673" s="2" t="s">
        <v>637</v>
      </c>
    </row>
    <row r="1674" spans="1:34" x14ac:dyDescent="0.25">
      <c r="A1674" s="2" t="s">
        <v>317</v>
      </c>
      <c r="B1674" s="2" t="s">
        <v>531</v>
      </c>
      <c r="C1674" s="2" t="s">
        <v>407</v>
      </c>
      <c r="D1674" s="2" t="s">
        <v>412</v>
      </c>
      <c r="E1674" s="2" t="s">
        <v>414</v>
      </c>
      <c r="F1674" s="2" t="s">
        <v>39</v>
      </c>
      <c r="J1674" s="2" t="s">
        <v>532</v>
      </c>
      <c r="K1674" s="2" t="s">
        <v>533</v>
      </c>
      <c r="L1674" s="2">
        <v>4</v>
      </c>
      <c r="M1674" s="2" t="s">
        <v>538</v>
      </c>
      <c r="O1674" s="2" t="s">
        <v>524</v>
      </c>
      <c r="Y1674" s="2" t="s">
        <v>637</v>
      </c>
    </row>
    <row r="1675" spans="1:34" x14ac:dyDescent="0.25">
      <c r="A1675" s="2" t="s">
        <v>317</v>
      </c>
      <c r="B1675" s="2" t="s">
        <v>531</v>
      </c>
      <c r="C1675" s="2" t="s">
        <v>407</v>
      </c>
      <c r="D1675" s="2" t="s">
        <v>412</v>
      </c>
      <c r="E1675" s="2" t="s">
        <v>414</v>
      </c>
      <c r="F1675" s="2" t="s">
        <v>39</v>
      </c>
      <c r="J1675" s="2" t="s">
        <v>532</v>
      </c>
      <c r="K1675" s="2" t="s">
        <v>533</v>
      </c>
      <c r="L1675" s="2">
        <v>5</v>
      </c>
      <c r="M1675" s="2" t="s">
        <v>539</v>
      </c>
      <c r="O1675" s="2" t="s">
        <v>524</v>
      </c>
      <c r="Y1675" s="2" t="s">
        <v>637</v>
      </c>
    </row>
    <row r="1676" spans="1:34" x14ac:dyDescent="0.25">
      <c r="A1676" s="2" t="s">
        <v>317</v>
      </c>
      <c r="B1676" s="2" t="s">
        <v>540</v>
      </c>
      <c r="C1676" s="2" t="s">
        <v>407</v>
      </c>
      <c r="D1676" s="2" t="s">
        <v>412</v>
      </c>
      <c r="E1676" s="2" t="s">
        <v>414</v>
      </c>
      <c r="F1676" s="2" t="s">
        <v>39</v>
      </c>
      <c r="J1676" s="2" t="s">
        <v>541</v>
      </c>
      <c r="K1676" s="2" t="s">
        <v>542</v>
      </c>
      <c r="L1676" s="2">
        <v>1</v>
      </c>
      <c r="M1676" s="2" t="s">
        <v>543</v>
      </c>
      <c r="O1676" s="2" t="s">
        <v>524</v>
      </c>
      <c r="Y1676" s="2" t="s">
        <v>637</v>
      </c>
    </row>
    <row r="1677" spans="1:34" x14ac:dyDescent="0.25">
      <c r="A1677" s="2" t="s">
        <v>317</v>
      </c>
      <c r="B1677" s="2" t="s">
        <v>540</v>
      </c>
      <c r="C1677" s="2" t="s">
        <v>407</v>
      </c>
      <c r="D1677" s="2" t="s">
        <v>412</v>
      </c>
      <c r="E1677" s="2" t="s">
        <v>414</v>
      </c>
      <c r="F1677" s="2" t="s">
        <v>39</v>
      </c>
      <c r="J1677" s="2" t="s">
        <v>541</v>
      </c>
      <c r="K1677" s="2" t="s">
        <v>542</v>
      </c>
      <c r="L1677" s="2">
        <v>2</v>
      </c>
      <c r="M1677" s="2" t="s">
        <v>544</v>
      </c>
      <c r="O1677" s="2" t="s">
        <v>524</v>
      </c>
      <c r="Y1677" s="2" t="s">
        <v>637</v>
      </c>
    </row>
    <row r="1678" spans="1:34" x14ac:dyDescent="0.25">
      <c r="A1678" s="2" t="s">
        <v>317</v>
      </c>
      <c r="B1678" s="2" t="s">
        <v>540</v>
      </c>
      <c r="C1678" s="2" t="s">
        <v>407</v>
      </c>
      <c r="D1678" s="2" t="s">
        <v>412</v>
      </c>
      <c r="E1678" s="2" t="s">
        <v>414</v>
      </c>
      <c r="F1678" s="2" t="s">
        <v>39</v>
      </c>
      <c r="J1678" s="2" t="s">
        <v>541</v>
      </c>
      <c r="K1678" s="2" t="s">
        <v>542</v>
      </c>
      <c r="L1678" s="2">
        <v>3</v>
      </c>
      <c r="M1678" s="2" t="s">
        <v>545</v>
      </c>
      <c r="O1678" s="2" t="s">
        <v>524</v>
      </c>
      <c r="Y1678" s="2" t="s">
        <v>637</v>
      </c>
    </row>
    <row r="1679" spans="1:34" x14ac:dyDescent="0.25">
      <c r="A1679" s="2" t="s">
        <v>317</v>
      </c>
      <c r="B1679" s="2" t="s">
        <v>540</v>
      </c>
      <c r="C1679" s="2" t="s">
        <v>407</v>
      </c>
      <c r="D1679" s="2" t="s">
        <v>412</v>
      </c>
      <c r="E1679" s="2" t="s">
        <v>414</v>
      </c>
      <c r="F1679" s="2" t="s">
        <v>39</v>
      </c>
      <c r="J1679" s="2" t="s">
        <v>541</v>
      </c>
      <c r="K1679" s="2" t="s">
        <v>542</v>
      </c>
      <c r="L1679" s="2">
        <v>4</v>
      </c>
      <c r="M1679" s="2" t="s">
        <v>546</v>
      </c>
      <c r="O1679" s="2" t="s">
        <v>524</v>
      </c>
      <c r="Y1679" s="2" t="s">
        <v>637</v>
      </c>
    </row>
    <row r="1680" spans="1:34" x14ac:dyDescent="0.25">
      <c r="A1680" s="2" t="s">
        <v>317</v>
      </c>
      <c r="B1680" s="2" t="s">
        <v>540</v>
      </c>
      <c r="C1680" s="2" t="s">
        <v>407</v>
      </c>
      <c r="D1680" s="2" t="s">
        <v>412</v>
      </c>
      <c r="E1680" s="2" t="s">
        <v>414</v>
      </c>
      <c r="F1680" s="2" t="s">
        <v>39</v>
      </c>
      <c r="J1680" s="2" t="s">
        <v>541</v>
      </c>
      <c r="K1680" s="2" t="s">
        <v>542</v>
      </c>
      <c r="L1680" s="2">
        <v>5</v>
      </c>
      <c r="M1680" s="2" t="s">
        <v>547</v>
      </c>
      <c r="O1680" s="2" t="s">
        <v>524</v>
      </c>
      <c r="Y1680" s="2" t="s">
        <v>637</v>
      </c>
    </row>
    <row r="1681" spans="1:34" x14ac:dyDescent="0.25">
      <c r="A1681" s="2" t="s">
        <v>317</v>
      </c>
      <c r="B1681" s="2" t="s">
        <v>540</v>
      </c>
      <c r="C1681" s="2" t="s">
        <v>407</v>
      </c>
      <c r="D1681" s="2" t="s">
        <v>412</v>
      </c>
      <c r="E1681" s="2" t="s">
        <v>414</v>
      </c>
      <c r="F1681" s="2" t="s">
        <v>39</v>
      </c>
      <c r="J1681" s="2" t="s">
        <v>541</v>
      </c>
      <c r="K1681" s="2" t="s">
        <v>542</v>
      </c>
      <c r="L1681" s="2">
        <v>6</v>
      </c>
      <c r="M1681" s="2" t="s">
        <v>548</v>
      </c>
      <c r="O1681" s="2" t="s">
        <v>524</v>
      </c>
      <c r="Y1681" s="2" t="s">
        <v>637</v>
      </c>
    </row>
    <row r="1682" spans="1:34" x14ac:dyDescent="0.25">
      <c r="A1682" s="2" t="s">
        <v>317</v>
      </c>
      <c r="B1682" s="2" t="s">
        <v>540</v>
      </c>
      <c r="C1682" s="2" t="s">
        <v>407</v>
      </c>
      <c r="D1682" s="2" t="s">
        <v>412</v>
      </c>
      <c r="E1682" s="2" t="s">
        <v>414</v>
      </c>
      <c r="F1682" s="2" t="s">
        <v>39</v>
      </c>
      <c r="J1682" s="2" t="s">
        <v>541</v>
      </c>
      <c r="K1682" s="2" t="s">
        <v>542</v>
      </c>
      <c r="L1682" s="2">
        <v>7</v>
      </c>
      <c r="M1682" s="2" t="s">
        <v>549</v>
      </c>
      <c r="O1682" s="2" t="s">
        <v>524</v>
      </c>
      <c r="Y1682" s="2" t="s">
        <v>637</v>
      </c>
    </row>
    <row r="1683" spans="1:34" x14ac:dyDescent="0.25">
      <c r="A1683" s="2" t="s">
        <v>317</v>
      </c>
      <c r="B1683" s="2" t="s">
        <v>540</v>
      </c>
      <c r="C1683" s="2" t="s">
        <v>407</v>
      </c>
      <c r="D1683" s="2" t="s">
        <v>412</v>
      </c>
      <c r="E1683" s="2" t="s">
        <v>414</v>
      </c>
      <c r="F1683" s="2" t="s">
        <v>39</v>
      </c>
      <c r="J1683" s="2" t="s">
        <v>541</v>
      </c>
      <c r="K1683" s="2" t="s">
        <v>542</v>
      </c>
      <c r="L1683" s="2">
        <v>8</v>
      </c>
      <c r="M1683" s="2" t="s">
        <v>550</v>
      </c>
      <c r="O1683" s="2" t="s">
        <v>524</v>
      </c>
      <c r="Y1683" s="2" t="s">
        <v>637</v>
      </c>
    </row>
    <row r="1684" spans="1:34" x14ac:dyDescent="0.25">
      <c r="A1684" s="2" t="s">
        <v>317</v>
      </c>
      <c r="B1684" s="2" t="s">
        <v>540</v>
      </c>
      <c r="C1684" s="2" t="s">
        <v>407</v>
      </c>
      <c r="D1684" s="2" t="s">
        <v>412</v>
      </c>
      <c r="E1684" s="2" t="s">
        <v>414</v>
      </c>
      <c r="F1684" s="2" t="s">
        <v>39</v>
      </c>
      <c r="J1684" s="2" t="s">
        <v>541</v>
      </c>
      <c r="K1684" s="2" t="s">
        <v>542</v>
      </c>
      <c r="L1684" s="2">
        <v>9</v>
      </c>
      <c r="M1684" s="2" t="s">
        <v>551</v>
      </c>
      <c r="O1684" s="2" t="s">
        <v>524</v>
      </c>
      <c r="Y1684" s="2" t="s">
        <v>637</v>
      </c>
    </row>
    <row r="1685" spans="1:34" x14ac:dyDescent="0.25">
      <c r="A1685" s="2" t="s">
        <v>317</v>
      </c>
      <c r="B1685" s="2" t="s">
        <v>540</v>
      </c>
      <c r="C1685" s="2" t="s">
        <v>407</v>
      </c>
      <c r="D1685" s="2" t="s">
        <v>412</v>
      </c>
      <c r="E1685" s="2" t="s">
        <v>414</v>
      </c>
      <c r="F1685" s="2" t="s">
        <v>39</v>
      </c>
      <c r="J1685" s="2" t="s">
        <v>541</v>
      </c>
      <c r="K1685" s="2" t="s">
        <v>542</v>
      </c>
      <c r="L1685" s="2">
        <v>10</v>
      </c>
      <c r="M1685" s="2" t="s">
        <v>552</v>
      </c>
      <c r="O1685" s="2" t="s">
        <v>524</v>
      </c>
      <c r="Y1685" s="2" t="s">
        <v>637</v>
      </c>
    </row>
    <row r="1686" spans="1:34" x14ac:dyDescent="0.25">
      <c r="A1686" s="2" t="s">
        <v>317</v>
      </c>
      <c r="B1686" s="2" t="s">
        <v>540</v>
      </c>
      <c r="C1686" s="2" t="s">
        <v>407</v>
      </c>
      <c r="D1686" s="2" t="s">
        <v>412</v>
      </c>
      <c r="E1686" s="2" t="s">
        <v>414</v>
      </c>
      <c r="F1686" s="2" t="s">
        <v>39</v>
      </c>
      <c r="J1686" s="2" t="s">
        <v>541</v>
      </c>
      <c r="K1686" s="2" t="s">
        <v>542</v>
      </c>
      <c r="L1686" s="2">
        <v>11</v>
      </c>
      <c r="M1686" s="2" t="s">
        <v>553</v>
      </c>
      <c r="O1686" s="2" t="s">
        <v>524</v>
      </c>
      <c r="Y1686" s="2" t="s">
        <v>637</v>
      </c>
    </row>
    <row r="1687" spans="1:34" x14ac:dyDescent="0.25">
      <c r="A1687" s="2" t="s">
        <v>317</v>
      </c>
      <c r="B1687" s="2" t="s">
        <v>540</v>
      </c>
      <c r="C1687" s="2" t="s">
        <v>407</v>
      </c>
      <c r="D1687" s="2" t="s">
        <v>412</v>
      </c>
      <c r="E1687" s="2" t="s">
        <v>414</v>
      </c>
      <c r="F1687" s="2" t="s">
        <v>39</v>
      </c>
      <c r="J1687" s="2" t="s">
        <v>541</v>
      </c>
      <c r="K1687" s="2" t="s">
        <v>542</v>
      </c>
      <c r="L1687" s="2">
        <v>12</v>
      </c>
      <c r="M1687" s="2" t="s">
        <v>554</v>
      </c>
      <c r="O1687" s="2" t="s">
        <v>524</v>
      </c>
      <c r="Y1687" s="2" t="s">
        <v>637</v>
      </c>
    </row>
    <row r="1688" spans="1:34" x14ac:dyDescent="0.25">
      <c r="A1688" s="2" t="s">
        <v>317</v>
      </c>
      <c r="B1688" s="2" t="s">
        <v>555</v>
      </c>
      <c r="C1688" s="2" t="s">
        <v>407</v>
      </c>
      <c r="D1688" s="2" t="s">
        <v>412</v>
      </c>
      <c r="E1688" s="2" t="s">
        <v>414</v>
      </c>
      <c r="F1688" s="2" t="s">
        <v>39</v>
      </c>
      <c r="J1688" s="2" t="s">
        <v>556</v>
      </c>
      <c r="O1688" s="2" t="s">
        <v>524</v>
      </c>
      <c r="Y1688" s="2" t="s">
        <v>637</v>
      </c>
      <c r="AB1688" s="2">
        <v>1</v>
      </c>
    </row>
    <row r="1689" spans="1:34" x14ac:dyDescent="0.25">
      <c r="A1689" s="2" t="s">
        <v>317</v>
      </c>
      <c r="B1689" s="2" t="s">
        <v>557</v>
      </c>
      <c r="C1689" s="2" t="s">
        <v>407</v>
      </c>
      <c r="D1689" s="2" t="s">
        <v>412</v>
      </c>
      <c r="E1689" s="2" t="s">
        <v>414</v>
      </c>
      <c r="F1689" s="2" t="s">
        <v>39</v>
      </c>
      <c r="J1689" s="2" t="s">
        <v>558</v>
      </c>
      <c r="O1689" s="2" t="s">
        <v>524</v>
      </c>
      <c r="Y1689" s="2" t="s">
        <v>637</v>
      </c>
      <c r="AC1689" s="2">
        <f>COUNTIFS($B:$B,"BLOCK_LOAD_Q",$A:$A,$A1689,$C:$C,$C1689,$E:$E,$E1689,$F:$F,$F1689,$N:$N, "&lt;&gt;")</f>
        <v>0</v>
      </c>
      <c r="AD1689" s="2">
        <f>COUNTIFS($B:$B,"BLOCK_TRUST_Q",$A:$A,$A1689,$C:$C,$C1689,$E:$E,$E1689,$F:$F,$F1689,$N:$N, "&lt;&gt;")</f>
        <v>0</v>
      </c>
      <c r="AE1689" s="2" t="str">
        <f>IFERROR(AVERAGEIFS($P:$P,$B:$B,"BLOCK_LOAD_Q",$A:$A,$A1689,$C:$C,$C1689,$E:$E,$E1689,$F:$F,$F1689,$P:$P,"&gt;0"),"")</f>
        <v/>
      </c>
      <c r="AF1689" s="2" t="str">
        <f>IFERROR(AVERAGEIFS($P:$P,$B:$B,"BLOCK_TRUST_Q",$A:$A,$A1689,$C:$C,$C1689,$E:$E,$E1689,$F:$F,$F1689,$P:$P,"&gt;0"),"")</f>
        <v/>
      </c>
      <c r="AG1689" s="2">
        <f>5-AC1689</f>
        <v>5</v>
      </c>
      <c r="AH1689" s="2">
        <f>12-AD1689</f>
        <v>12</v>
      </c>
    </row>
    <row r="1690" spans="1:34" x14ac:dyDescent="0.25">
      <c r="A1690" s="2" t="s">
        <v>317</v>
      </c>
      <c r="B1690" s="2" t="s">
        <v>403</v>
      </c>
      <c r="C1690" s="2" t="s">
        <v>407</v>
      </c>
      <c r="D1690" s="2" t="s">
        <v>412</v>
      </c>
      <c r="Z1690" s="2" t="s">
        <v>453</v>
      </c>
    </row>
    <row r="1691" spans="1:34" x14ac:dyDescent="0.25">
      <c r="A1691" s="2" t="s">
        <v>317</v>
      </c>
      <c r="B1691" s="2" t="s">
        <v>402</v>
      </c>
      <c r="C1691" s="2" t="s">
        <v>408</v>
      </c>
      <c r="D1691" s="2" t="s">
        <v>410</v>
      </c>
      <c r="E1691" s="2" t="s">
        <v>413</v>
      </c>
      <c r="F1691" s="2" t="s">
        <v>40</v>
      </c>
      <c r="G1691" s="2" t="s">
        <v>415</v>
      </c>
      <c r="H1691" s="2" t="s">
        <v>354</v>
      </c>
      <c r="S1691" s="2" t="s">
        <v>59</v>
      </c>
      <c r="U1691" s="2" t="s">
        <v>59</v>
      </c>
      <c r="W1691" s="2" t="s">
        <v>58</v>
      </c>
    </row>
    <row r="1692" spans="1:34" x14ac:dyDescent="0.25">
      <c r="A1692" s="2" t="s">
        <v>317</v>
      </c>
      <c r="B1692" s="2" t="s">
        <v>402</v>
      </c>
      <c r="C1692" s="2" t="s">
        <v>408</v>
      </c>
      <c r="D1692" s="2" t="s">
        <v>410</v>
      </c>
      <c r="E1692" s="2" t="s">
        <v>413</v>
      </c>
      <c r="F1692" s="2" t="s">
        <v>40</v>
      </c>
      <c r="G1692" s="2" t="s">
        <v>416</v>
      </c>
      <c r="H1692" s="2" t="s">
        <v>559</v>
      </c>
      <c r="S1692" s="2" t="s">
        <v>57</v>
      </c>
      <c r="U1692" s="2" t="s">
        <v>57</v>
      </c>
      <c r="W1692" s="2" t="s">
        <v>58</v>
      </c>
    </row>
    <row r="1693" spans="1:34" x14ac:dyDescent="0.25">
      <c r="A1693" s="2" t="s">
        <v>317</v>
      </c>
      <c r="B1693" s="2" t="s">
        <v>402</v>
      </c>
      <c r="C1693" s="2" t="s">
        <v>408</v>
      </c>
      <c r="D1693" s="2" t="s">
        <v>410</v>
      </c>
      <c r="E1693" s="2" t="s">
        <v>413</v>
      </c>
      <c r="F1693" s="2" t="s">
        <v>40</v>
      </c>
      <c r="G1693" s="2" t="s">
        <v>417</v>
      </c>
      <c r="H1693" s="2" t="s">
        <v>370</v>
      </c>
      <c r="S1693" s="2" t="s">
        <v>60</v>
      </c>
      <c r="U1693" s="2" t="s">
        <v>58</v>
      </c>
      <c r="W1693" s="2" t="s">
        <v>59</v>
      </c>
    </row>
    <row r="1694" spans="1:34" x14ac:dyDescent="0.25">
      <c r="A1694" s="2" t="s">
        <v>317</v>
      </c>
      <c r="B1694" s="2" t="s">
        <v>402</v>
      </c>
      <c r="C1694" s="2" t="s">
        <v>408</v>
      </c>
      <c r="D1694" s="2" t="s">
        <v>410</v>
      </c>
      <c r="E1694" s="2" t="s">
        <v>413</v>
      </c>
      <c r="F1694" s="2" t="s">
        <v>40</v>
      </c>
      <c r="G1694" s="2" t="s">
        <v>418</v>
      </c>
      <c r="H1694" s="2" t="s">
        <v>560</v>
      </c>
      <c r="S1694" s="2" t="s">
        <v>57</v>
      </c>
      <c r="U1694" s="2" t="s">
        <v>58</v>
      </c>
      <c r="W1694" s="2" t="s">
        <v>60</v>
      </c>
    </row>
    <row r="1695" spans="1:34" x14ac:dyDescent="0.25">
      <c r="A1695" s="2" t="s">
        <v>317</v>
      </c>
      <c r="B1695" s="2" t="s">
        <v>531</v>
      </c>
      <c r="C1695" s="2" t="s">
        <v>408</v>
      </c>
      <c r="D1695" s="2" t="s">
        <v>410</v>
      </c>
      <c r="E1695" s="2" t="s">
        <v>413</v>
      </c>
      <c r="F1695" s="2" t="s">
        <v>40</v>
      </c>
      <c r="J1695" s="2" t="s">
        <v>532</v>
      </c>
      <c r="K1695" s="2" t="s">
        <v>533</v>
      </c>
      <c r="L1695" s="2">
        <v>1</v>
      </c>
      <c r="M1695" s="2" t="s">
        <v>534</v>
      </c>
      <c r="O1695" s="2" t="s">
        <v>524</v>
      </c>
      <c r="Y1695" s="2" t="s">
        <v>638</v>
      </c>
    </row>
    <row r="1696" spans="1:34" x14ac:dyDescent="0.25">
      <c r="A1696" s="2" t="s">
        <v>317</v>
      </c>
      <c r="B1696" s="2" t="s">
        <v>531</v>
      </c>
      <c r="C1696" s="2" t="s">
        <v>408</v>
      </c>
      <c r="D1696" s="2" t="s">
        <v>410</v>
      </c>
      <c r="E1696" s="2" t="s">
        <v>413</v>
      </c>
      <c r="F1696" s="2" t="s">
        <v>40</v>
      </c>
      <c r="J1696" s="2" t="s">
        <v>532</v>
      </c>
      <c r="K1696" s="2" t="s">
        <v>533</v>
      </c>
      <c r="L1696" s="2">
        <v>2</v>
      </c>
      <c r="M1696" s="2" t="s">
        <v>536</v>
      </c>
      <c r="O1696" s="2" t="s">
        <v>524</v>
      </c>
      <c r="Y1696" s="2" t="s">
        <v>638</v>
      </c>
    </row>
    <row r="1697" spans="1:28" x14ac:dyDescent="0.25">
      <c r="A1697" s="2" t="s">
        <v>317</v>
      </c>
      <c r="B1697" s="2" t="s">
        <v>531</v>
      </c>
      <c r="C1697" s="2" t="s">
        <v>408</v>
      </c>
      <c r="D1697" s="2" t="s">
        <v>410</v>
      </c>
      <c r="E1697" s="2" t="s">
        <v>413</v>
      </c>
      <c r="F1697" s="2" t="s">
        <v>40</v>
      </c>
      <c r="J1697" s="2" t="s">
        <v>532</v>
      </c>
      <c r="K1697" s="2" t="s">
        <v>533</v>
      </c>
      <c r="L1697" s="2">
        <v>3</v>
      </c>
      <c r="M1697" s="2" t="s">
        <v>537</v>
      </c>
      <c r="O1697" s="2" t="s">
        <v>524</v>
      </c>
      <c r="Y1697" s="2" t="s">
        <v>638</v>
      </c>
    </row>
    <row r="1698" spans="1:28" x14ac:dyDescent="0.25">
      <c r="A1698" s="2" t="s">
        <v>317</v>
      </c>
      <c r="B1698" s="2" t="s">
        <v>531</v>
      </c>
      <c r="C1698" s="2" t="s">
        <v>408</v>
      </c>
      <c r="D1698" s="2" t="s">
        <v>410</v>
      </c>
      <c r="E1698" s="2" t="s">
        <v>413</v>
      </c>
      <c r="F1698" s="2" t="s">
        <v>40</v>
      </c>
      <c r="J1698" s="2" t="s">
        <v>532</v>
      </c>
      <c r="K1698" s="2" t="s">
        <v>533</v>
      </c>
      <c r="L1698" s="2">
        <v>4</v>
      </c>
      <c r="M1698" s="2" t="s">
        <v>538</v>
      </c>
      <c r="O1698" s="2" t="s">
        <v>524</v>
      </c>
      <c r="Y1698" s="2" t="s">
        <v>638</v>
      </c>
    </row>
    <row r="1699" spans="1:28" x14ac:dyDescent="0.25">
      <c r="A1699" s="2" t="s">
        <v>317</v>
      </c>
      <c r="B1699" s="2" t="s">
        <v>531</v>
      </c>
      <c r="C1699" s="2" t="s">
        <v>408</v>
      </c>
      <c r="D1699" s="2" t="s">
        <v>410</v>
      </c>
      <c r="E1699" s="2" t="s">
        <v>413</v>
      </c>
      <c r="F1699" s="2" t="s">
        <v>40</v>
      </c>
      <c r="J1699" s="2" t="s">
        <v>532</v>
      </c>
      <c r="K1699" s="2" t="s">
        <v>533</v>
      </c>
      <c r="L1699" s="2">
        <v>5</v>
      </c>
      <c r="M1699" s="2" t="s">
        <v>539</v>
      </c>
      <c r="O1699" s="2" t="s">
        <v>524</v>
      </c>
      <c r="Y1699" s="2" t="s">
        <v>638</v>
      </c>
    </row>
    <row r="1700" spans="1:28" x14ac:dyDescent="0.25">
      <c r="A1700" s="2" t="s">
        <v>317</v>
      </c>
      <c r="B1700" s="2" t="s">
        <v>540</v>
      </c>
      <c r="C1700" s="2" t="s">
        <v>408</v>
      </c>
      <c r="D1700" s="2" t="s">
        <v>410</v>
      </c>
      <c r="E1700" s="2" t="s">
        <v>413</v>
      </c>
      <c r="F1700" s="2" t="s">
        <v>40</v>
      </c>
      <c r="J1700" s="2" t="s">
        <v>541</v>
      </c>
      <c r="K1700" s="2" t="s">
        <v>542</v>
      </c>
      <c r="L1700" s="2">
        <v>1</v>
      </c>
      <c r="M1700" s="2" t="s">
        <v>543</v>
      </c>
      <c r="O1700" s="2" t="s">
        <v>524</v>
      </c>
      <c r="Y1700" s="2" t="s">
        <v>638</v>
      </c>
    </row>
    <row r="1701" spans="1:28" x14ac:dyDescent="0.25">
      <c r="A1701" s="2" t="s">
        <v>317</v>
      </c>
      <c r="B1701" s="2" t="s">
        <v>540</v>
      </c>
      <c r="C1701" s="2" t="s">
        <v>408</v>
      </c>
      <c r="D1701" s="2" t="s">
        <v>410</v>
      </c>
      <c r="E1701" s="2" t="s">
        <v>413</v>
      </c>
      <c r="F1701" s="2" t="s">
        <v>40</v>
      </c>
      <c r="J1701" s="2" t="s">
        <v>541</v>
      </c>
      <c r="K1701" s="2" t="s">
        <v>542</v>
      </c>
      <c r="L1701" s="2">
        <v>2</v>
      </c>
      <c r="M1701" s="2" t="s">
        <v>544</v>
      </c>
      <c r="O1701" s="2" t="s">
        <v>524</v>
      </c>
      <c r="Y1701" s="2" t="s">
        <v>638</v>
      </c>
    </row>
    <row r="1702" spans="1:28" x14ac:dyDescent="0.25">
      <c r="A1702" s="2" t="s">
        <v>317</v>
      </c>
      <c r="B1702" s="2" t="s">
        <v>540</v>
      </c>
      <c r="C1702" s="2" t="s">
        <v>408</v>
      </c>
      <c r="D1702" s="2" t="s">
        <v>410</v>
      </c>
      <c r="E1702" s="2" t="s">
        <v>413</v>
      </c>
      <c r="F1702" s="2" t="s">
        <v>40</v>
      </c>
      <c r="J1702" s="2" t="s">
        <v>541</v>
      </c>
      <c r="K1702" s="2" t="s">
        <v>542</v>
      </c>
      <c r="L1702" s="2">
        <v>3</v>
      </c>
      <c r="M1702" s="2" t="s">
        <v>545</v>
      </c>
      <c r="O1702" s="2" t="s">
        <v>524</v>
      </c>
      <c r="Y1702" s="2" t="s">
        <v>638</v>
      </c>
    </row>
    <row r="1703" spans="1:28" x14ac:dyDescent="0.25">
      <c r="A1703" s="2" t="s">
        <v>317</v>
      </c>
      <c r="B1703" s="2" t="s">
        <v>540</v>
      </c>
      <c r="C1703" s="2" t="s">
        <v>408</v>
      </c>
      <c r="D1703" s="2" t="s">
        <v>410</v>
      </c>
      <c r="E1703" s="2" t="s">
        <v>413</v>
      </c>
      <c r="F1703" s="2" t="s">
        <v>40</v>
      </c>
      <c r="J1703" s="2" t="s">
        <v>541</v>
      </c>
      <c r="K1703" s="2" t="s">
        <v>542</v>
      </c>
      <c r="L1703" s="2">
        <v>4</v>
      </c>
      <c r="M1703" s="2" t="s">
        <v>546</v>
      </c>
      <c r="O1703" s="2" t="s">
        <v>524</v>
      </c>
      <c r="Y1703" s="2" t="s">
        <v>638</v>
      </c>
    </row>
    <row r="1704" spans="1:28" x14ac:dyDescent="0.25">
      <c r="A1704" s="2" t="s">
        <v>317</v>
      </c>
      <c r="B1704" s="2" t="s">
        <v>540</v>
      </c>
      <c r="C1704" s="2" t="s">
        <v>408</v>
      </c>
      <c r="D1704" s="2" t="s">
        <v>410</v>
      </c>
      <c r="E1704" s="2" t="s">
        <v>413</v>
      </c>
      <c r="F1704" s="2" t="s">
        <v>40</v>
      </c>
      <c r="J1704" s="2" t="s">
        <v>541</v>
      </c>
      <c r="K1704" s="2" t="s">
        <v>542</v>
      </c>
      <c r="L1704" s="2">
        <v>5</v>
      </c>
      <c r="M1704" s="2" t="s">
        <v>547</v>
      </c>
      <c r="O1704" s="2" t="s">
        <v>524</v>
      </c>
      <c r="Y1704" s="2" t="s">
        <v>638</v>
      </c>
    </row>
    <row r="1705" spans="1:28" x14ac:dyDescent="0.25">
      <c r="A1705" s="2" t="s">
        <v>317</v>
      </c>
      <c r="B1705" s="2" t="s">
        <v>540</v>
      </c>
      <c r="C1705" s="2" t="s">
        <v>408</v>
      </c>
      <c r="D1705" s="2" t="s">
        <v>410</v>
      </c>
      <c r="E1705" s="2" t="s">
        <v>413</v>
      </c>
      <c r="F1705" s="2" t="s">
        <v>40</v>
      </c>
      <c r="J1705" s="2" t="s">
        <v>541</v>
      </c>
      <c r="K1705" s="2" t="s">
        <v>542</v>
      </c>
      <c r="L1705" s="2">
        <v>6</v>
      </c>
      <c r="M1705" s="2" t="s">
        <v>548</v>
      </c>
      <c r="O1705" s="2" t="s">
        <v>524</v>
      </c>
      <c r="Y1705" s="2" t="s">
        <v>638</v>
      </c>
    </row>
    <row r="1706" spans="1:28" x14ac:dyDescent="0.25">
      <c r="A1706" s="2" t="s">
        <v>317</v>
      </c>
      <c r="B1706" s="2" t="s">
        <v>540</v>
      </c>
      <c r="C1706" s="2" t="s">
        <v>408</v>
      </c>
      <c r="D1706" s="2" t="s">
        <v>410</v>
      </c>
      <c r="E1706" s="2" t="s">
        <v>413</v>
      </c>
      <c r="F1706" s="2" t="s">
        <v>40</v>
      </c>
      <c r="J1706" s="2" t="s">
        <v>541</v>
      </c>
      <c r="K1706" s="2" t="s">
        <v>542</v>
      </c>
      <c r="L1706" s="2">
        <v>7</v>
      </c>
      <c r="M1706" s="2" t="s">
        <v>549</v>
      </c>
      <c r="O1706" s="2" t="s">
        <v>524</v>
      </c>
      <c r="Y1706" s="2" t="s">
        <v>638</v>
      </c>
    </row>
    <row r="1707" spans="1:28" x14ac:dyDescent="0.25">
      <c r="A1707" s="2" t="s">
        <v>317</v>
      </c>
      <c r="B1707" s="2" t="s">
        <v>540</v>
      </c>
      <c r="C1707" s="2" t="s">
        <v>408</v>
      </c>
      <c r="D1707" s="2" t="s">
        <v>410</v>
      </c>
      <c r="E1707" s="2" t="s">
        <v>413</v>
      </c>
      <c r="F1707" s="2" t="s">
        <v>40</v>
      </c>
      <c r="J1707" s="2" t="s">
        <v>541</v>
      </c>
      <c r="K1707" s="2" t="s">
        <v>542</v>
      </c>
      <c r="L1707" s="2">
        <v>8</v>
      </c>
      <c r="M1707" s="2" t="s">
        <v>550</v>
      </c>
      <c r="O1707" s="2" t="s">
        <v>524</v>
      </c>
      <c r="Y1707" s="2" t="s">
        <v>638</v>
      </c>
    </row>
    <row r="1708" spans="1:28" x14ac:dyDescent="0.25">
      <c r="A1708" s="2" t="s">
        <v>317</v>
      </c>
      <c r="B1708" s="2" t="s">
        <v>540</v>
      </c>
      <c r="C1708" s="2" t="s">
        <v>408</v>
      </c>
      <c r="D1708" s="2" t="s">
        <v>410</v>
      </c>
      <c r="E1708" s="2" t="s">
        <v>413</v>
      </c>
      <c r="F1708" s="2" t="s">
        <v>40</v>
      </c>
      <c r="J1708" s="2" t="s">
        <v>541</v>
      </c>
      <c r="K1708" s="2" t="s">
        <v>542</v>
      </c>
      <c r="L1708" s="2">
        <v>9</v>
      </c>
      <c r="M1708" s="2" t="s">
        <v>551</v>
      </c>
      <c r="O1708" s="2" t="s">
        <v>524</v>
      </c>
      <c r="Y1708" s="2" t="s">
        <v>638</v>
      </c>
    </row>
    <row r="1709" spans="1:28" x14ac:dyDescent="0.25">
      <c r="A1709" s="2" t="s">
        <v>317</v>
      </c>
      <c r="B1709" s="2" t="s">
        <v>540</v>
      </c>
      <c r="C1709" s="2" t="s">
        <v>408</v>
      </c>
      <c r="D1709" s="2" t="s">
        <v>410</v>
      </c>
      <c r="E1709" s="2" t="s">
        <v>413</v>
      </c>
      <c r="F1709" s="2" t="s">
        <v>40</v>
      </c>
      <c r="J1709" s="2" t="s">
        <v>541</v>
      </c>
      <c r="K1709" s="2" t="s">
        <v>542</v>
      </c>
      <c r="L1709" s="2">
        <v>10</v>
      </c>
      <c r="M1709" s="2" t="s">
        <v>552</v>
      </c>
      <c r="O1709" s="2" t="s">
        <v>524</v>
      </c>
      <c r="Y1709" s="2" t="s">
        <v>638</v>
      </c>
    </row>
    <row r="1710" spans="1:28" x14ac:dyDescent="0.25">
      <c r="A1710" s="2" t="s">
        <v>317</v>
      </c>
      <c r="B1710" s="2" t="s">
        <v>540</v>
      </c>
      <c r="C1710" s="2" t="s">
        <v>408</v>
      </c>
      <c r="D1710" s="2" t="s">
        <v>410</v>
      </c>
      <c r="E1710" s="2" t="s">
        <v>413</v>
      </c>
      <c r="F1710" s="2" t="s">
        <v>40</v>
      </c>
      <c r="J1710" s="2" t="s">
        <v>541</v>
      </c>
      <c r="K1710" s="2" t="s">
        <v>542</v>
      </c>
      <c r="L1710" s="2">
        <v>11</v>
      </c>
      <c r="M1710" s="2" t="s">
        <v>553</v>
      </c>
      <c r="O1710" s="2" t="s">
        <v>524</v>
      </c>
      <c r="Y1710" s="2" t="s">
        <v>638</v>
      </c>
    </row>
    <row r="1711" spans="1:28" x14ac:dyDescent="0.25">
      <c r="A1711" s="2" t="s">
        <v>317</v>
      </c>
      <c r="B1711" s="2" t="s">
        <v>540</v>
      </c>
      <c r="C1711" s="2" t="s">
        <v>408</v>
      </c>
      <c r="D1711" s="2" t="s">
        <v>410</v>
      </c>
      <c r="E1711" s="2" t="s">
        <v>413</v>
      </c>
      <c r="F1711" s="2" t="s">
        <v>40</v>
      </c>
      <c r="J1711" s="2" t="s">
        <v>541</v>
      </c>
      <c r="K1711" s="2" t="s">
        <v>542</v>
      </c>
      <c r="L1711" s="2">
        <v>12</v>
      </c>
      <c r="M1711" s="2" t="s">
        <v>554</v>
      </c>
      <c r="O1711" s="2" t="s">
        <v>524</v>
      </c>
      <c r="Y1711" s="2" t="s">
        <v>638</v>
      </c>
    </row>
    <row r="1712" spans="1:28" x14ac:dyDescent="0.25">
      <c r="A1712" s="2" t="s">
        <v>317</v>
      </c>
      <c r="B1712" s="2" t="s">
        <v>555</v>
      </c>
      <c r="C1712" s="2" t="s">
        <v>408</v>
      </c>
      <c r="D1712" s="2" t="s">
        <v>410</v>
      </c>
      <c r="E1712" s="2" t="s">
        <v>413</v>
      </c>
      <c r="F1712" s="2" t="s">
        <v>40</v>
      </c>
      <c r="J1712" s="2" t="s">
        <v>556</v>
      </c>
      <c r="O1712" s="2" t="s">
        <v>524</v>
      </c>
      <c r="Y1712" s="2" t="s">
        <v>638</v>
      </c>
      <c r="AB1712" s="2">
        <v>2</v>
      </c>
    </row>
    <row r="1713" spans="1:34" x14ac:dyDescent="0.25">
      <c r="A1713" s="2" t="s">
        <v>317</v>
      </c>
      <c r="B1713" s="2" t="s">
        <v>557</v>
      </c>
      <c r="C1713" s="2" t="s">
        <v>408</v>
      </c>
      <c r="D1713" s="2" t="s">
        <v>410</v>
      </c>
      <c r="E1713" s="2" t="s">
        <v>413</v>
      </c>
      <c r="F1713" s="2" t="s">
        <v>40</v>
      </c>
      <c r="J1713" s="2" t="s">
        <v>558</v>
      </c>
      <c r="O1713" s="2" t="s">
        <v>524</v>
      </c>
      <c r="Y1713" s="2" t="s">
        <v>638</v>
      </c>
      <c r="AC1713" s="2">
        <f>COUNTIFS($B:$B,"BLOCK_LOAD_Q",$A:$A,$A1713,$C:$C,$C1713,$E:$E,$E1713,$F:$F,$F1713,$N:$N, "&lt;&gt;")</f>
        <v>0</v>
      </c>
      <c r="AD1713" s="2">
        <f>COUNTIFS($B:$B,"BLOCK_TRUST_Q",$A:$A,$A1713,$C:$C,$C1713,$E:$E,$E1713,$F:$F,$F1713,$N:$N, "&lt;&gt;")</f>
        <v>0</v>
      </c>
      <c r="AE1713" s="2" t="str">
        <f>IFERROR(AVERAGEIFS($P:$P,$B:$B,"BLOCK_LOAD_Q",$A:$A,$A1713,$C:$C,$C1713,$E:$E,$E1713,$F:$F,$F1713,$P:$P,"&gt;0"),"")</f>
        <v/>
      </c>
      <c r="AF1713" s="2" t="str">
        <f>IFERROR(AVERAGEIFS($P:$P,$B:$B,"BLOCK_TRUST_Q",$A:$A,$A1713,$C:$C,$C1713,$E:$E,$E1713,$F:$F,$F1713,$P:$P,"&gt;0"),"")</f>
        <v/>
      </c>
      <c r="AG1713" s="2">
        <f>5-AC1713</f>
        <v>5</v>
      </c>
      <c r="AH1713" s="2">
        <f>12-AD1713</f>
        <v>12</v>
      </c>
    </row>
    <row r="1714" spans="1:34" x14ac:dyDescent="0.25">
      <c r="A1714" s="2" t="s">
        <v>317</v>
      </c>
      <c r="B1714" s="2" t="s">
        <v>402</v>
      </c>
      <c r="C1714" s="2" t="s">
        <v>408</v>
      </c>
      <c r="D1714" s="2" t="s">
        <v>410</v>
      </c>
      <c r="E1714" s="2" t="s">
        <v>414</v>
      </c>
      <c r="F1714" s="2" t="s">
        <v>39</v>
      </c>
      <c r="G1714" s="2" t="s">
        <v>415</v>
      </c>
      <c r="H1714" s="2" t="s">
        <v>373</v>
      </c>
      <c r="S1714" s="2" t="s">
        <v>60</v>
      </c>
      <c r="U1714" s="2" t="s">
        <v>60</v>
      </c>
      <c r="W1714" s="2" t="s">
        <v>60</v>
      </c>
    </row>
    <row r="1715" spans="1:34" x14ac:dyDescent="0.25">
      <c r="A1715" s="2" t="s">
        <v>317</v>
      </c>
      <c r="B1715" s="2" t="s">
        <v>402</v>
      </c>
      <c r="C1715" s="2" t="s">
        <v>408</v>
      </c>
      <c r="D1715" s="2" t="s">
        <v>410</v>
      </c>
      <c r="E1715" s="2" t="s">
        <v>414</v>
      </c>
      <c r="F1715" s="2" t="s">
        <v>39</v>
      </c>
      <c r="G1715" s="2" t="s">
        <v>416</v>
      </c>
      <c r="H1715" s="2" t="s">
        <v>528</v>
      </c>
      <c r="S1715" s="2" t="s">
        <v>60</v>
      </c>
      <c r="U1715" s="2" t="s">
        <v>59</v>
      </c>
      <c r="W1715" s="2" t="s">
        <v>59</v>
      </c>
    </row>
    <row r="1716" spans="1:34" x14ac:dyDescent="0.25">
      <c r="A1716" s="2" t="s">
        <v>317</v>
      </c>
      <c r="B1716" s="2" t="s">
        <v>402</v>
      </c>
      <c r="C1716" s="2" t="s">
        <v>408</v>
      </c>
      <c r="D1716" s="2" t="s">
        <v>410</v>
      </c>
      <c r="E1716" s="2" t="s">
        <v>414</v>
      </c>
      <c r="F1716" s="2" t="s">
        <v>39</v>
      </c>
      <c r="G1716" s="2" t="s">
        <v>417</v>
      </c>
      <c r="H1716" s="2" t="s">
        <v>529</v>
      </c>
      <c r="S1716" s="2" t="s">
        <v>57</v>
      </c>
      <c r="U1716" s="2" t="s">
        <v>59</v>
      </c>
      <c r="W1716" s="2" t="s">
        <v>60</v>
      </c>
    </row>
    <row r="1717" spans="1:34" x14ac:dyDescent="0.25">
      <c r="A1717" s="2" t="s">
        <v>317</v>
      </c>
      <c r="B1717" s="2" t="s">
        <v>402</v>
      </c>
      <c r="C1717" s="2" t="s">
        <v>408</v>
      </c>
      <c r="D1717" s="2" t="s">
        <v>410</v>
      </c>
      <c r="E1717" s="2" t="s">
        <v>414</v>
      </c>
      <c r="F1717" s="2" t="s">
        <v>39</v>
      </c>
      <c r="G1717" s="2" t="s">
        <v>418</v>
      </c>
      <c r="H1717" s="2" t="s">
        <v>347</v>
      </c>
      <c r="S1717" s="2" t="s">
        <v>60</v>
      </c>
      <c r="U1717" s="2" t="s">
        <v>57</v>
      </c>
      <c r="W1717" s="2" t="s">
        <v>59</v>
      </c>
    </row>
    <row r="1718" spans="1:34" x14ac:dyDescent="0.25">
      <c r="A1718" s="2" t="s">
        <v>317</v>
      </c>
      <c r="B1718" s="2" t="s">
        <v>402</v>
      </c>
      <c r="C1718" s="2" t="s">
        <v>408</v>
      </c>
      <c r="D1718" s="2" t="s">
        <v>410</v>
      </c>
      <c r="E1718" s="2" t="s">
        <v>414</v>
      </c>
      <c r="F1718" s="2" t="s">
        <v>39</v>
      </c>
      <c r="G1718" s="2" t="s">
        <v>419</v>
      </c>
      <c r="H1718" s="2" t="s">
        <v>530</v>
      </c>
      <c r="S1718" s="2" t="s">
        <v>57</v>
      </c>
      <c r="U1718" s="2" t="s">
        <v>60</v>
      </c>
      <c r="W1718" s="2" t="s">
        <v>58</v>
      </c>
    </row>
    <row r="1719" spans="1:34" x14ac:dyDescent="0.25">
      <c r="A1719" s="2" t="s">
        <v>317</v>
      </c>
      <c r="B1719" s="2" t="s">
        <v>531</v>
      </c>
      <c r="C1719" s="2" t="s">
        <v>408</v>
      </c>
      <c r="D1719" s="2" t="s">
        <v>410</v>
      </c>
      <c r="E1719" s="2" t="s">
        <v>414</v>
      </c>
      <c r="F1719" s="2" t="s">
        <v>39</v>
      </c>
      <c r="J1719" s="2" t="s">
        <v>532</v>
      </c>
      <c r="K1719" s="2" t="s">
        <v>533</v>
      </c>
      <c r="L1719" s="2">
        <v>1</v>
      </c>
      <c r="M1719" s="2" t="s">
        <v>534</v>
      </c>
      <c r="O1719" s="2" t="s">
        <v>524</v>
      </c>
      <c r="Y1719" s="2" t="s">
        <v>639</v>
      </c>
    </row>
    <row r="1720" spans="1:34" x14ac:dyDescent="0.25">
      <c r="A1720" s="2" t="s">
        <v>317</v>
      </c>
      <c r="B1720" s="2" t="s">
        <v>531</v>
      </c>
      <c r="C1720" s="2" t="s">
        <v>408</v>
      </c>
      <c r="D1720" s="2" t="s">
        <v>410</v>
      </c>
      <c r="E1720" s="2" t="s">
        <v>414</v>
      </c>
      <c r="F1720" s="2" t="s">
        <v>39</v>
      </c>
      <c r="J1720" s="2" t="s">
        <v>532</v>
      </c>
      <c r="K1720" s="2" t="s">
        <v>533</v>
      </c>
      <c r="L1720" s="2">
        <v>2</v>
      </c>
      <c r="M1720" s="2" t="s">
        <v>536</v>
      </c>
      <c r="O1720" s="2" t="s">
        <v>524</v>
      </c>
      <c r="Y1720" s="2" t="s">
        <v>639</v>
      </c>
    </row>
    <row r="1721" spans="1:34" x14ac:dyDescent="0.25">
      <c r="A1721" s="2" t="s">
        <v>317</v>
      </c>
      <c r="B1721" s="2" t="s">
        <v>531</v>
      </c>
      <c r="C1721" s="2" t="s">
        <v>408</v>
      </c>
      <c r="D1721" s="2" t="s">
        <v>410</v>
      </c>
      <c r="E1721" s="2" t="s">
        <v>414</v>
      </c>
      <c r="F1721" s="2" t="s">
        <v>39</v>
      </c>
      <c r="J1721" s="2" t="s">
        <v>532</v>
      </c>
      <c r="K1721" s="2" t="s">
        <v>533</v>
      </c>
      <c r="L1721" s="2">
        <v>3</v>
      </c>
      <c r="M1721" s="2" t="s">
        <v>537</v>
      </c>
      <c r="O1721" s="2" t="s">
        <v>524</v>
      </c>
      <c r="Y1721" s="2" t="s">
        <v>639</v>
      </c>
    </row>
    <row r="1722" spans="1:34" x14ac:dyDescent="0.25">
      <c r="A1722" s="2" t="s">
        <v>317</v>
      </c>
      <c r="B1722" s="2" t="s">
        <v>531</v>
      </c>
      <c r="C1722" s="2" t="s">
        <v>408</v>
      </c>
      <c r="D1722" s="2" t="s">
        <v>410</v>
      </c>
      <c r="E1722" s="2" t="s">
        <v>414</v>
      </c>
      <c r="F1722" s="2" t="s">
        <v>39</v>
      </c>
      <c r="J1722" s="2" t="s">
        <v>532</v>
      </c>
      <c r="K1722" s="2" t="s">
        <v>533</v>
      </c>
      <c r="L1722" s="2">
        <v>4</v>
      </c>
      <c r="M1722" s="2" t="s">
        <v>538</v>
      </c>
      <c r="O1722" s="2" t="s">
        <v>524</v>
      </c>
      <c r="Y1722" s="2" t="s">
        <v>639</v>
      </c>
    </row>
    <row r="1723" spans="1:34" x14ac:dyDescent="0.25">
      <c r="A1723" s="2" t="s">
        <v>317</v>
      </c>
      <c r="B1723" s="2" t="s">
        <v>531</v>
      </c>
      <c r="C1723" s="2" t="s">
        <v>408</v>
      </c>
      <c r="D1723" s="2" t="s">
        <v>410</v>
      </c>
      <c r="E1723" s="2" t="s">
        <v>414</v>
      </c>
      <c r="F1723" s="2" t="s">
        <v>39</v>
      </c>
      <c r="J1723" s="2" t="s">
        <v>532</v>
      </c>
      <c r="K1723" s="2" t="s">
        <v>533</v>
      </c>
      <c r="L1723" s="2">
        <v>5</v>
      </c>
      <c r="M1723" s="2" t="s">
        <v>539</v>
      </c>
      <c r="O1723" s="2" t="s">
        <v>524</v>
      </c>
      <c r="Y1723" s="2" t="s">
        <v>639</v>
      </c>
    </row>
    <row r="1724" spans="1:34" x14ac:dyDescent="0.25">
      <c r="A1724" s="2" t="s">
        <v>317</v>
      </c>
      <c r="B1724" s="2" t="s">
        <v>540</v>
      </c>
      <c r="C1724" s="2" t="s">
        <v>408</v>
      </c>
      <c r="D1724" s="2" t="s">
        <v>410</v>
      </c>
      <c r="E1724" s="2" t="s">
        <v>414</v>
      </c>
      <c r="F1724" s="2" t="s">
        <v>39</v>
      </c>
      <c r="J1724" s="2" t="s">
        <v>541</v>
      </c>
      <c r="K1724" s="2" t="s">
        <v>542</v>
      </c>
      <c r="L1724" s="2">
        <v>1</v>
      </c>
      <c r="M1724" s="2" t="s">
        <v>543</v>
      </c>
      <c r="O1724" s="2" t="s">
        <v>524</v>
      </c>
      <c r="Y1724" s="2" t="s">
        <v>639</v>
      </c>
    </row>
    <row r="1725" spans="1:34" x14ac:dyDescent="0.25">
      <c r="A1725" s="2" t="s">
        <v>317</v>
      </c>
      <c r="B1725" s="2" t="s">
        <v>540</v>
      </c>
      <c r="C1725" s="2" t="s">
        <v>408</v>
      </c>
      <c r="D1725" s="2" t="s">
        <v>410</v>
      </c>
      <c r="E1725" s="2" t="s">
        <v>414</v>
      </c>
      <c r="F1725" s="2" t="s">
        <v>39</v>
      </c>
      <c r="J1725" s="2" t="s">
        <v>541</v>
      </c>
      <c r="K1725" s="2" t="s">
        <v>542</v>
      </c>
      <c r="L1725" s="2">
        <v>2</v>
      </c>
      <c r="M1725" s="2" t="s">
        <v>544</v>
      </c>
      <c r="O1725" s="2" t="s">
        <v>524</v>
      </c>
      <c r="Y1725" s="2" t="s">
        <v>639</v>
      </c>
    </row>
    <row r="1726" spans="1:34" x14ac:dyDescent="0.25">
      <c r="A1726" s="2" t="s">
        <v>317</v>
      </c>
      <c r="B1726" s="2" t="s">
        <v>540</v>
      </c>
      <c r="C1726" s="2" t="s">
        <v>408</v>
      </c>
      <c r="D1726" s="2" t="s">
        <v>410</v>
      </c>
      <c r="E1726" s="2" t="s">
        <v>414</v>
      </c>
      <c r="F1726" s="2" t="s">
        <v>39</v>
      </c>
      <c r="J1726" s="2" t="s">
        <v>541</v>
      </c>
      <c r="K1726" s="2" t="s">
        <v>542</v>
      </c>
      <c r="L1726" s="2">
        <v>3</v>
      </c>
      <c r="M1726" s="2" t="s">
        <v>545</v>
      </c>
      <c r="O1726" s="2" t="s">
        <v>524</v>
      </c>
      <c r="Y1726" s="2" t="s">
        <v>639</v>
      </c>
    </row>
    <row r="1727" spans="1:34" x14ac:dyDescent="0.25">
      <c r="A1727" s="2" t="s">
        <v>317</v>
      </c>
      <c r="B1727" s="2" t="s">
        <v>540</v>
      </c>
      <c r="C1727" s="2" t="s">
        <v>408</v>
      </c>
      <c r="D1727" s="2" t="s">
        <v>410</v>
      </c>
      <c r="E1727" s="2" t="s">
        <v>414</v>
      </c>
      <c r="F1727" s="2" t="s">
        <v>39</v>
      </c>
      <c r="J1727" s="2" t="s">
        <v>541</v>
      </c>
      <c r="K1727" s="2" t="s">
        <v>542</v>
      </c>
      <c r="L1727" s="2">
        <v>4</v>
      </c>
      <c r="M1727" s="2" t="s">
        <v>546</v>
      </c>
      <c r="O1727" s="2" t="s">
        <v>524</v>
      </c>
      <c r="Y1727" s="2" t="s">
        <v>639</v>
      </c>
    </row>
    <row r="1728" spans="1:34" x14ac:dyDescent="0.25">
      <c r="A1728" s="2" t="s">
        <v>317</v>
      </c>
      <c r="B1728" s="2" t="s">
        <v>540</v>
      </c>
      <c r="C1728" s="2" t="s">
        <v>408</v>
      </c>
      <c r="D1728" s="2" t="s">
        <v>410</v>
      </c>
      <c r="E1728" s="2" t="s">
        <v>414</v>
      </c>
      <c r="F1728" s="2" t="s">
        <v>39</v>
      </c>
      <c r="J1728" s="2" t="s">
        <v>541</v>
      </c>
      <c r="K1728" s="2" t="s">
        <v>542</v>
      </c>
      <c r="L1728" s="2">
        <v>5</v>
      </c>
      <c r="M1728" s="2" t="s">
        <v>547</v>
      </c>
      <c r="O1728" s="2" t="s">
        <v>524</v>
      </c>
      <c r="Y1728" s="2" t="s">
        <v>639</v>
      </c>
    </row>
    <row r="1729" spans="1:34" x14ac:dyDescent="0.25">
      <c r="A1729" s="2" t="s">
        <v>317</v>
      </c>
      <c r="B1729" s="2" t="s">
        <v>540</v>
      </c>
      <c r="C1729" s="2" t="s">
        <v>408</v>
      </c>
      <c r="D1729" s="2" t="s">
        <v>410</v>
      </c>
      <c r="E1729" s="2" t="s">
        <v>414</v>
      </c>
      <c r="F1729" s="2" t="s">
        <v>39</v>
      </c>
      <c r="J1729" s="2" t="s">
        <v>541</v>
      </c>
      <c r="K1729" s="2" t="s">
        <v>542</v>
      </c>
      <c r="L1729" s="2">
        <v>6</v>
      </c>
      <c r="M1729" s="2" t="s">
        <v>548</v>
      </c>
      <c r="O1729" s="2" t="s">
        <v>524</v>
      </c>
      <c r="Y1729" s="2" t="s">
        <v>639</v>
      </c>
    </row>
    <row r="1730" spans="1:34" x14ac:dyDescent="0.25">
      <c r="A1730" s="2" t="s">
        <v>317</v>
      </c>
      <c r="B1730" s="2" t="s">
        <v>540</v>
      </c>
      <c r="C1730" s="2" t="s">
        <v>408</v>
      </c>
      <c r="D1730" s="2" t="s">
        <v>410</v>
      </c>
      <c r="E1730" s="2" t="s">
        <v>414</v>
      </c>
      <c r="F1730" s="2" t="s">
        <v>39</v>
      </c>
      <c r="J1730" s="2" t="s">
        <v>541</v>
      </c>
      <c r="K1730" s="2" t="s">
        <v>542</v>
      </c>
      <c r="L1730" s="2">
        <v>7</v>
      </c>
      <c r="M1730" s="2" t="s">
        <v>549</v>
      </c>
      <c r="O1730" s="2" t="s">
        <v>524</v>
      </c>
      <c r="Y1730" s="2" t="s">
        <v>639</v>
      </c>
    </row>
    <row r="1731" spans="1:34" x14ac:dyDescent="0.25">
      <c r="A1731" s="2" t="s">
        <v>317</v>
      </c>
      <c r="B1731" s="2" t="s">
        <v>540</v>
      </c>
      <c r="C1731" s="2" t="s">
        <v>408</v>
      </c>
      <c r="D1731" s="2" t="s">
        <v>410</v>
      </c>
      <c r="E1731" s="2" t="s">
        <v>414</v>
      </c>
      <c r="F1731" s="2" t="s">
        <v>39</v>
      </c>
      <c r="J1731" s="2" t="s">
        <v>541</v>
      </c>
      <c r="K1731" s="2" t="s">
        <v>542</v>
      </c>
      <c r="L1731" s="2">
        <v>8</v>
      </c>
      <c r="M1731" s="2" t="s">
        <v>550</v>
      </c>
      <c r="O1731" s="2" t="s">
        <v>524</v>
      </c>
      <c r="Y1731" s="2" t="s">
        <v>639</v>
      </c>
    </row>
    <row r="1732" spans="1:34" x14ac:dyDescent="0.25">
      <c r="A1732" s="2" t="s">
        <v>317</v>
      </c>
      <c r="B1732" s="2" t="s">
        <v>540</v>
      </c>
      <c r="C1732" s="2" t="s">
        <v>408</v>
      </c>
      <c r="D1732" s="2" t="s">
        <v>410</v>
      </c>
      <c r="E1732" s="2" t="s">
        <v>414</v>
      </c>
      <c r="F1732" s="2" t="s">
        <v>39</v>
      </c>
      <c r="J1732" s="2" t="s">
        <v>541</v>
      </c>
      <c r="K1732" s="2" t="s">
        <v>542</v>
      </c>
      <c r="L1732" s="2">
        <v>9</v>
      </c>
      <c r="M1732" s="2" t="s">
        <v>551</v>
      </c>
      <c r="O1732" s="2" t="s">
        <v>524</v>
      </c>
      <c r="Y1732" s="2" t="s">
        <v>639</v>
      </c>
    </row>
    <row r="1733" spans="1:34" x14ac:dyDescent="0.25">
      <c r="A1733" s="2" t="s">
        <v>317</v>
      </c>
      <c r="B1733" s="2" t="s">
        <v>540</v>
      </c>
      <c r="C1733" s="2" t="s">
        <v>408</v>
      </c>
      <c r="D1733" s="2" t="s">
        <v>410</v>
      </c>
      <c r="E1733" s="2" t="s">
        <v>414</v>
      </c>
      <c r="F1733" s="2" t="s">
        <v>39</v>
      </c>
      <c r="J1733" s="2" t="s">
        <v>541</v>
      </c>
      <c r="K1733" s="2" t="s">
        <v>542</v>
      </c>
      <c r="L1733" s="2">
        <v>10</v>
      </c>
      <c r="M1733" s="2" t="s">
        <v>552</v>
      </c>
      <c r="O1733" s="2" t="s">
        <v>524</v>
      </c>
      <c r="Y1733" s="2" t="s">
        <v>639</v>
      </c>
    </row>
    <row r="1734" spans="1:34" x14ac:dyDescent="0.25">
      <c r="A1734" s="2" t="s">
        <v>317</v>
      </c>
      <c r="B1734" s="2" t="s">
        <v>540</v>
      </c>
      <c r="C1734" s="2" t="s">
        <v>408</v>
      </c>
      <c r="D1734" s="2" t="s">
        <v>410</v>
      </c>
      <c r="E1734" s="2" t="s">
        <v>414</v>
      </c>
      <c r="F1734" s="2" t="s">
        <v>39</v>
      </c>
      <c r="J1734" s="2" t="s">
        <v>541</v>
      </c>
      <c r="K1734" s="2" t="s">
        <v>542</v>
      </c>
      <c r="L1734" s="2">
        <v>11</v>
      </c>
      <c r="M1734" s="2" t="s">
        <v>553</v>
      </c>
      <c r="O1734" s="2" t="s">
        <v>524</v>
      </c>
      <c r="Y1734" s="2" t="s">
        <v>639</v>
      </c>
    </row>
    <row r="1735" spans="1:34" x14ac:dyDescent="0.25">
      <c r="A1735" s="2" t="s">
        <v>317</v>
      </c>
      <c r="B1735" s="2" t="s">
        <v>540</v>
      </c>
      <c r="C1735" s="2" t="s">
        <v>408</v>
      </c>
      <c r="D1735" s="2" t="s">
        <v>410</v>
      </c>
      <c r="E1735" s="2" t="s">
        <v>414</v>
      </c>
      <c r="F1735" s="2" t="s">
        <v>39</v>
      </c>
      <c r="J1735" s="2" t="s">
        <v>541</v>
      </c>
      <c r="K1735" s="2" t="s">
        <v>542</v>
      </c>
      <c r="L1735" s="2">
        <v>12</v>
      </c>
      <c r="M1735" s="2" t="s">
        <v>554</v>
      </c>
      <c r="O1735" s="2" t="s">
        <v>524</v>
      </c>
      <c r="Y1735" s="2" t="s">
        <v>639</v>
      </c>
    </row>
    <row r="1736" spans="1:34" x14ac:dyDescent="0.25">
      <c r="A1736" s="2" t="s">
        <v>317</v>
      </c>
      <c r="B1736" s="2" t="s">
        <v>555</v>
      </c>
      <c r="C1736" s="2" t="s">
        <v>408</v>
      </c>
      <c r="D1736" s="2" t="s">
        <v>410</v>
      </c>
      <c r="E1736" s="2" t="s">
        <v>414</v>
      </c>
      <c r="F1736" s="2" t="s">
        <v>39</v>
      </c>
      <c r="J1736" s="2" t="s">
        <v>556</v>
      </c>
      <c r="O1736" s="2" t="s">
        <v>524</v>
      </c>
      <c r="Y1736" s="2" t="s">
        <v>639</v>
      </c>
      <c r="AB1736" s="2">
        <v>1</v>
      </c>
    </row>
    <row r="1737" spans="1:34" x14ac:dyDescent="0.25">
      <c r="A1737" s="2" t="s">
        <v>317</v>
      </c>
      <c r="B1737" s="2" t="s">
        <v>557</v>
      </c>
      <c r="C1737" s="2" t="s">
        <v>408</v>
      </c>
      <c r="D1737" s="2" t="s">
        <v>410</v>
      </c>
      <c r="E1737" s="2" t="s">
        <v>414</v>
      </c>
      <c r="F1737" s="2" t="s">
        <v>39</v>
      </c>
      <c r="J1737" s="2" t="s">
        <v>558</v>
      </c>
      <c r="O1737" s="2" t="s">
        <v>524</v>
      </c>
      <c r="Y1737" s="2" t="s">
        <v>639</v>
      </c>
      <c r="AC1737" s="2">
        <f>COUNTIFS($B:$B,"BLOCK_LOAD_Q",$A:$A,$A1737,$C:$C,$C1737,$E:$E,$E1737,$F:$F,$F1737,$N:$N, "&lt;&gt;")</f>
        <v>0</v>
      </c>
      <c r="AD1737" s="2">
        <f>COUNTIFS($B:$B,"BLOCK_TRUST_Q",$A:$A,$A1737,$C:$C,$C1737,$E:$E,$E1737,$F:$F,$F1737,$N:$N, "&lt;&gt;")</f>
        <v>0</v>
      </c>
      <c r="AE1737" s="2" t="str">
        <f>IFERROR(AVERAGEIFS($P:$P,$B:$B,"BLOCK_LOAD_Q",$A:$A,$A1737,$C:$C,$C1737,$E:$E,$E1737,$F:$F,$F1737,$P:$P,"&gt;0"),"")</f>
        <v/>
      </c>
      <c r="AF1737" s="2" t="str">
        <f>IFERROR(AVERAGEIFS($P:$P,$B:$B,"BLOCK_TRUST_Q",$A:$A,$A1737,$C:$C,$C1737,$E:$E,$E1737,$F:$F,$F1737,$P:$P,"&gt;0"),"")</f>
        <v/>
      </c>
      <c r="AG1737" s="2">
        <f>5-AC1737</f>
        <v>5</v>
      </c>
      <c r="AH1737" s="2">
        <f>12-AD1737</f>
        <v>12</v>
      </c>
    </row>
    <row r="1738" spans="1:34" x14ac:dyDescent="0.25">
      <c r="A1738" s="2" t="s">
        <v>317</v>
      </c>
      <c r="B1738" s="2" t="s">
        <v>403</v>
      </c>
      <c r="C1738" s="2" t="s">
        <v>408</v>
      </c>
      <c r="D1738" s="2" t="s">
        <v>410</v>
      </c>
      <c r="Z1738" s="2" t="s">
        <v>454</v>
      </c>
    </row>
    <row r="1739" spans="1:34" x14ac:dyDescent="0.25">
      <c r="A1739" s="2" t="s">
        <v>317</v>
      </c>
      <c r="B1739" s="2" t="s">
        <v>402</v>
      </c>
      <c r="C1739" s="2" t="s">
        <v>409</v>
      </c>
      <c r="D1739" s="2" t="s">
        <v>411</v>
      </c>
      <c r="E1739" s="2" t="s">
        <v>413</v>
      </c>
      <c r="F1739" s="2" t="s">
        <v>40</v>
      </c>
      <c r="G1739" s="2" t="s">
        <v>415</v>
      </c>
      <c r="H1739" s="2" t="s">
        <v>357</v>
      </c>
      <c r="S1739" s="2" t="s">
        <v>59</v>
      </c>
      <c r="U1739" s="2" t="s">
        <v>60</v>
      </c>
      <c r="W1739" s="2" t="s">
        <v>57</v>
      </c>
    </row>
    <row r="1740" spans="1:34" x14ac:dyDescent="0.25">
      <c r="A1740" s="2" t="s">
        <v>317</v>
      </c>
      <c r="B1740" s="2" t="s">
        <v>402</v>
      </c>
      <c r="C1740" s="2" t="s">
        <v>409</v>
      </c>
      <c r="D1740" s="2" t="s">
        <v>411</v>
      </c>
      <c r="E1740" s="2" t="s">
        <v>413</v>
      </c>
      <c r="F1740" s="2" t="s">
        <v>40</v>
      </c>
      <c r="G1740" s="2" t="s">
        <v>416</v>
      </c>
      <c r="H1740" s="2" t="s">
        <v>348</v>
      </c>
      <c r="S1740" s="2" t="s">
        <v>58</v>
      </c>
      <c r="U1740" s="2" t="s">
        <v>59</v>
      </c>
      <c r="W1740" s="2" t="s">
        <v>59</v>
      </c>
    </row>
    <row r="1741" spans="1:34" x14ac:dyDescent="0.25">
      <c r="A1741" s="2" t="s">
        <v>317</v>
      </c>
      <c r="B1741" s="2" t="s">
        <v>402</v>
      </c>
      <c r="C1741" s="2" t="s">
        <v>409</v>
      </c>
      <c r="D1741" s="2" t="s">
        <v>411</v>
      </c>
      <c r="E1741" s="2" t="s">
        <v>413</v>
      </c>
      <c r="F1741" s="2" t="s">
        <v>40</v>
      </c>
      <c r="G1741" s="2" t="s">
        <v>417</v>
      </c>
      <c r="H1741" s="2" t="s">
        <v>562</v>
      </c>
      <c r="S1741" s="2" t="s">
        <v>59</v>
      </c>
      <c r="U1741" s="2" t="s">
        <v>57</v>
      </c>
      <c r="W1741" s="2" t="s">
        <v>57</v>
      </c>
    </row>
    <row r="1742" spans="1:34" x14ac:dyDescent="0.25">
      <c r="A1742" s="2" t="s">
        <v>317</v>
      </c>
      <c r="B1742" s="2" t="s">
        <v>402</v>
      </c>
      <c r="C1742" s="2" t="s">
        <v>409</v>
      </c>
      <c r="D1742" s="2" t="s">
        <v>411</v>
      </c>
      <c r="E1742" s="2" t="s">
        <v>413</v>
      </c>
      <c r="F1742" s="2" t="s">
        <v>40</v>
      </c>
      <c r="G1742" s="2" t="s">
        <v>418</v>
      </c>
      <c r="H1742" s="2" t="s">
        <v>563</v>
      </c>
      <c r="S1742" s="2" t="s">
        <v>57</v>
      </c>
      <c r="U1742" s="2" t="s">
        <v>60</v>
      </c>
      <c r="W1742" s="2" t="s">
        <v>60</v>
      </c>
    </row>
    <row r="1743" spans="1:34" x14ac:dyDescent="0.25">
      <c r="A1743" s="2" t="s">
        <v>317</v>
      </c>
      <c r="B1743" s="2" t="s">
        <v>531</v>
      </c>
      <c r="C1743" s="2" t="s">
        <v>409</v>
      </c>
      <c r="D1743" s="2" t="s">
        <v>411</v>
      </c>
      <c r="E1743" s="2" t="s">
        <v>413</v>
      </c>
      <c r="F1743" s="2" t="s">
        <v>40</v>
      </c>
      <c r="J1743" s="2" t="s">
        <v>532</v>
      </c>
      <c r="K1743" s="2" t="s">
        <v>533</v>
      </c>
      <c r="L1743" s="2">
        <v>1</v>
      </c>
      <c r="M1743" s="2" t="s">
        <v>534</v>
      </c>
      <c r="O1743" s="2" t="s">
        <v>524</v>
      </c>
      <c r="Y1743" s="2" t="s">
        <v>640</v>
      </c>
    </row>
    <row r="1744" spans="1:34" x14ac:dyDescent="0.25">
      <c r="A1744" s="2" t="s">
        <v>317</v>
      </c>
      <c r="B1744" s="2" t="s">
        <v>531</v>
      </c>
      <c r="C1744" s="2" t="s">
        <v>409</v>
      </c>
      <c r="D1744" s="2" t="s">
        <v>411</v>
      </c>
      <c r="E1744" s="2" t="s">
        <v>413</v>
      </c>
      <c r="F1744" s="2" t="s">
        <v>40</v>
      </c>
      <c r="J1744" s="2" t="s">
        <v>532</v>
      </c>
      <c r="K1744" s="2" t="s">
        <v>533</v>
      </c>
      <c r="L1744" s="2">
        <v>2</v>
      </c>
      <c r="M1744" s="2" t="s">
        <v>536</v>
      </c>
      <c r="O1744" s="2" t="s">
        <v>524</v>
      </c>
      <c r="Y1744" s="2" t="s">
        <v>640</v>
      </c>
    </row>
    <row r="1745" spans="1:28" x14ac:dyDescent="0.25">
      <c r="A1745" s="2" t="s">
        <v>317</v>
      </c>
      <c r="B1745" s="2" t="s">
        <v>531</v>
      </c>
      <c r="C1745" s="2" t="s">
        <v>409</v>
      </c>
      <c r="D1745" s="2" t="s">
        <v>411</v>
      </c>
      <c r="E1745" s="2" t="s">
        <v>413</v>
      </c>
      <c r="F1745" s="2" t="s">
        <v>40</v>
      </c>
      <c r="J1745" s="2" t="s">
        <v>532</v>
      </c>
      <c r="K1745" s="2" t="s">
        <v>533</v>
      </c>
      <c r="L1745" s="2">
        <v>3</v>
      </c>
      <c r="M1745" s="2" t="s">
        <v>537</v>
      </c>
      <c r="O1745" s="2" t="s">
        <v>524</v>
      </c>
      <c r="Y1745" s="2" t="s">
        <v>640</v>
      </c>
    </row>
    <row r="1746" spans="1:28" x14ac:dyDescent="0.25">
      <c r="A1746" s="2" t="s">
        <v>317</v>
      </c>
      <c r="B1746" s="2" t="s">
        <v>531</v>
      </c>
      <c r="C1746" s="2" t="s">
        <v>409</v>
      </c>
      <c r="D1746" s="2" t="s">
        <v>411</v>
      </c>
      <c r="E1746" s="2" t="s">
        <v>413</v>
      </c>
      <c r="F1746" s="2" t="s">
        <v>40</v>
      </c>
      <c r="J1746" s="2" t="s">
        <v>532</v>
      </c>
      <c r="K1746" s="2" t="s">
        <v>533</v>
      </c>
      <c r="L1746" s="2">
        <v>4</v>
      </c>
      <c r="M1746" s="2" t="s">
        <v>538</v>
      </c>
      <c r="O1746" s="2" t="s">
        <v>524</v>
      </c>
      <c r="Y1746" s="2" t="s">
        <v>640</v>
      </c>
    </row>
    <row r="1747" spans="1:28" x14ac:dyDescent="0.25">
      <c r="A1747" s="2" t="s">
        <v>317</v>
      </c>
      <c r="B1747" s="2" t="s">
        <v>531</v>
      </c>
      <c r="C1747" s="2" t="s">
        <v>409</v>
      </c>
      <c r="D1747" s="2" t="s">
        <v>411</v>
      </c>
      <c r="E1747" s="2" t="s">
        <v>413</v>
      </c>
      <c r="F1747" s="2" t="s">
        <v>40</v>
      </c>
      <c r="J1747" s="2" t="s">
        <v>532</v>
      </c>
      <c r="K1747" s="2" t="s">
        <v>533</v>
      </c>
      <c r="L1747" s="2">
        <v>5</v>
      </c>
      <c r="M1747" s="2" t="s">
        <v>539</v>
      </c>
      <c r="O1747" s="2" t="s">
        <v>524</v>
      </c>
      <c r="Y1747" s="2" t="s">
        <v>640</v>
      </c>
    </row>
    <row r="1748" spans="1:28" x14ac:dyDescent="0.25">
      <c r="A1748" s="2" t="s">
        <v>317</v>
      </c>
      <c r="B1748" s="2" t="s">
        <v>540</v>
      </c>
      <c r="C1748" s="2" t="s">
        <v>409</v>
      </c>
      <c r="D1748" s="2" t="s">
        <v>411</v>
      </c>
      <c r="E1748" s="2" t="s">
        <v>413</v>
      </c>
      <c r="F1748" s="2" t="s">
        <v>40</v>
      </c>
      <c r="J1748" s="2" t="s">
        <v>541</v>
      </c>
      <c r="K1748" s="2" t="s">
        <v>542</v>
      </c>
      <c r="L1748" s="2">
        <v>1</v>
      </c>
      <c r="M1748" s="2" t="s">
        <v>543</v>
      </c>
      <c r="O1748" s="2" t="s">
        <v>524</v>
      </c>
      <c r="Y1748" s="2" t="s">
        <v>640</v>
      </c>
    </row>
    <row r="1749" spans="1:28" x14ac:dyDescent="0.25">
      <c r="A1749" s="2" t="s">
        <v>317</v>
      </c>
      <c r="B1749" s="2" t="s">
        <v>540</v>
      </c>
      <c r="C1749" s="2" t="s">
        <v>409</v>
      </c>
      <c r="D1749" s="2" t="s">
        <v>411</v>
      </c>
      <c r="E1749" s="2" t="s">
        <v>413</v>
      </c>
      <c r="F1749" s="2" t="s">
        <v>40</v>
      </c>
      <c r="J1749" s="2" t="s">
        <v>541</v>
      </c>
      <c r="K1749" s="2" t="s">
        <v>542</v>
      </c>
      <c r="L1749" s="2">
        <v>2</v>
      </c>
      <c r="M1749" s="2" t="s">
        <v>544</v>
      </c>
      <c r="O1749" s="2" t="s">
        <v>524</v>
      </c>
      <c r="Y1749" s="2" t="s">
        <v>640</v>
      </c>
    </row>
    <row r="1750" spans="1:28" x14ac:dyDescent="0.25">
      <c r="A1750" s="2" t="s">
        <v>317</v>
      </c>
      <c r="B1750" s="2" t="s">
        <v>540</v>
      </c>
      <c r="C1750" s="2" t="s">
        <v>409</v>
      </c>
      <c r="D1750" s="2" t="s">
        <v>411</v>
      </c>
      <c r="E1750" s="2" t="s">
        <v>413</v>
      </c>
      <c r="F1750" s="2" t="s">
        <v>40</v>
      </c>
      <c r="J1750" s="2" t="s">
        <v>541</v>
      </c>
      <c r="K1750" s="2" t="s">
        <v>542</v>
      </c>
      <c r="L1750" s="2">
        <v>3</v>
      </c>
      <c r="M1750" s="2" t="s">
        <v>545</v>
      </c>
      <c r="O1750" s="2" t="s">
        <v>524</v>
      </c>
      <c r="Y1750" s="2" t="s">
        <v>640</v>
      </c>
    </row>
    <row r="1751" spans="1:28" x14ac:dyDescent="0.25">
      <c r="A1751" s="2" t="s">
        <v>317</v>
      </c>
      <c r="B1751" s="2" t="s">
        <v>540</v>
      </c>
      <c r="C1751" s="2" t="s">
        <v>409</v>
      </c>
      <c r="D1751" s="2" t="s">
        <v>411</v>
      </c>
      <c r="E1751" s="2" t="s">
        <v>413</v>
      </c>
      <c r="F1751" s="2" t="s">
        <v>40</v>
      </c>
      <c r="J1751" s="2" t="s">
        <v>541</v>
      </c>
      <c r="K1751" s="2" t="s">
        <v>542</v>
      </c>
      <c r="L1751" s="2">
        <v>4</v>
      </c>
      <c r="M1751" s="2" t="s">
        <v>546</v>
      </c>
      <c r="O1751" s="2" t="s">
        <v>524</v>
      </c>
      <c r="Y1751" s="2" t="s">
        <v>640</v>
      </c>
    </row>
    <row r="1752" spans="1:28" x14ac:dyDescent="0.25">
      <c r="A1752" s="2" t="s">
        <v>317</v>
      </c>
      <c r="B1752" s="2" t="s">
        <v>540</v>
      </c>
      <c r="C1752" s="2" t="s">
        <v>409</v>
      </c>
      <c r="D1752" s="2" t="s">
        <v>411</v>
      </c>
      <c r="E1752" s="2" t="s">
        <v>413</v>
      </c>
      <c r="F1752" s="2" t="s">
        <v>40</v>
      </c>
      <c r="J1752" s="2" t="s">
        <v>541</v>
      </c>
      <c r="K1752" s="2" t="s">
        <v>542</v>
      </c>
      <c r="L1752" s="2">
        <v>5</v>
      </c>
      <c r="M1752" s="2" t="s">
        <v>547</v>
      </c>
      <c r="O1752" s="2" t="s">
        <v>524</v>
      </c>
      <c r="Y1752" s="2" t="s">
        <v>640</v>
      </c>
    </row>
    <row r="1753" spans="1:28" x14ac:dyDescent="0.25">
      <c r="A1753" s="2" t="s">
        <v>317</v>
      </c>
      <c r="B1753" s="2" t="s">
        <v>540</v>
      </c>
      <c r="C1753" s="2" t="s">
        <v>409</v>
      </c>
      <c r="D1753" s="2" t="s">
        <v>411</v>
      </c>
      <c r="E1753" s="2" t="s">
        <v>413</v>
      </c>
      <c r="F1753" s="2" t="s">
        <v>40</v>
      </c>
      <c r="J1753" s="2" t="s">
        <v>541</v>
      </c>
      <c r="K1753" s="2" t="s">
        <v>542</v>
      </c>
      <c r="L1753" s="2">
        <v>6</v>
      </c>
      <c r="M1753" s="2" t="s">
        <v>548</v>
      </c>
      <c r="O1753" s="2" t="s">
        <v>524</v>
      </c>
      <c r="Y1753" s="2" t="s">
        <v>640</v>
      </c>
    </row>
    <row r="1754" spans="1:28" x14ac:dyDescent="0.25">
      <c r="A1754" s="2" t="s">
        <v>317</v>
      </c>
      <c r="B1754" s="2" t="s">
        <v>540</v>
      </c>
      <c r="C1754" s="2" t="s">
        <v>409</v>
      </c>
      <c r="D1754" s="2" t="s">
        <v>411</v>
      </c>
      <c r="E1754" s="2" t="s">
        <v>413</v>
      </c>
      <c r="F1754" s="2" t="s">
        <v>40</v>
      </c>
      <c r="J1754" s="2" t="s">
        <v>541</v>
      </c>
      <c r="K1754" s="2" t="s">
        <v>542</v>
      </c>
      <c r="L1754" s="2">
        <v>7</v>
      </c>
      <c r="M1754" s="2" t="s">
        <v>549</v>
      </c>
      <c r="O1754" s="2" t="s">
        <v>524</v>
      </c>
      <c r="Y1754" s="2" t="s">
        <v>640</v>
      </c>
    </row>
    <row r="1755" spans="1:28" x14ac:dyDescent="0.25">
      <c r="A1755" s="2" t="s">
        <v>317</v>
      </c>
      <c r="B1755" s="2" t="s">
        <v>540</v>
      </c>
      <c r="C1755" s="2" t="s">
        <v>409</v>
      </c>
      <c r="D1755" s="2" t="s">
        <v>411</v>
      </c>
      <c r="E1755" s="2" t="s">
        <v>413</v>
      </c>
      <c r="F1755" s="2" t="s">
        <v>40</v>
      </c>
      <c r="J1755" s="2" t="s">
        <v>541</v>
      </c>
      <c r="K1755" s="2" t="s">
        <v>542</v>
      </c>
      <c r="L1755" s="2">
        <v>8</v>
      </c>
      <c r="M1755" s="2" t="s">
        <v>550</v>
      </c>
      <c r="O1755" s="2" t="s">
        <v>524</v>
      </c>
      <c r="Y1755" s="2" t="s">
        <v>640</v>
      </c>
    </row>
    <row r="1756" spans="1:28" x14ac:dyDescent="0.25">
      <c r="A1756" s="2" t="s">
        <v>317</v>
      </c>
      <c r="B1756" s="2" t="s">
        <v>540</v>
      </c>
      <c r="C1756" s="2" t="s">
        <v>409</v>
      </c>
      <c r="D1756" s="2" t="s">
        <v>411</v>
      </c>
      <c r="E1756" s="2" t="s">
        <v>413</v>
      </c>
      <c r="F1756" s="2" t="s">
        <v>40</v>
      </c>
      <c r="J1756" s="2" t="s">
        <v>541</v>
      </c>
      <c r="K1756" s="2" t="s">
        <v>542</v>
      </c>
      <c r="L1756" s="2">
        <v>9</v>
      </c>
      <c r="M1756" s="2" t="s">
        <v>551</v>
      </c>
      <c r="O1756" s="2" t="s">
        <v>524</v>
      </c>
      <c r="Y1756" s="2" t="s">
        <v>640</v>
      </c>
    </row>
    <row r="1757" spans="1:28" x14ac:dyDescent="0.25">
      <c r="A1757" s="2" t="s">
        <v>317</v>
      </c>
      <c r="B1757" s="2" t="s">
        <v>540</v>
      </c>
      <c r="C1757" s="2" t="s">
        <v>409</v>
      </c>
      <c r="D1757" s="2" t="s">
        <v>411</v>
      </c>
      <c r="E1757" s="2" t="s">
        <v>413</v>
      </c>
      <c r="F1757" s="2" t="s">
        <v>40</v>
      </c>
      <c r="J1757" s="2" t="s">
        <v>541</v>
      </c>
      <c r="K1757" s="2" t="s">
        <v>542</v>
      </c>
      <c r="L1757" s="2">
        <v>10</v>
      </c>
      <c r="M1757" s="2" t="s">
        <v>552</v>
      </c>
      <c r="O1757" s="2" t="s">
        <v>524</v>
      </c>
      <c r="Y1757" s="2" t="s">
        <v>640</v>
      </c>
    </row>
    <row r="1758" spans="1:28" x14ac:dyDescent="0.25">
      <c r="A1758" s="2" t="s">
        <v>317</v>
      </c>
      <c r="B1758" s="2" t="s">
        <v>540</v>
      </c>
      <c r="C1758" s="2" t="s">
        <v>409</v>
      </c>
      <c r="D1758" s="2" t="s">
        <v>411</v>
      </c>
      <c r="E1758" s="2" t="s">
        <v>413</v>
      </c>
      <c r="F1758" s="2" t="s">
        <v>40</v>
      </c>
      <c r="J1758" s="2" t="s">
        <v>541</v>
      </c>
      <c r="K1758" s="2" t="s">
        <v>542</v>
      </c>
      <c r="L1758" s="2">
        <v>11</v>
      </c>
      <c r="M1758" s="2" t="s">
        <v>553</v>
      </c>
      <c r="O1758" s="2" t="s">
        <v>524</v>
      </c>
      <c r="Y1758" s="2" t="s">
        <v>640</v>
      </c>
    </row>
    <row r="1759" spans="1:28" x14ac:dyDescent="0.25">
      <c r="A1759" s="2" t="s">
        <v>317</v>
      </c>
      <c r="B1759" s="2" t="s">
        <v>540</v>
      </c>
      <c r="C1759" s="2" t="s">
        <v>409</v>
      </c>
      <c r="D1759" s="2" t="s">
        <v>411</v>
      </c>
      <c r="E1759" s="2" t="s">
        <v>413</v>
      </c>
      <c r="F1759" s="2" t="s">
        <v>40</v>
      </c>
      <c r="J1759" s="2" t="s">
        <v>541</v>
      </c>
      <c r="K1759" s="2" t="s">
        <v>542</v>
      </c>
      <c r="L1759" s="2">
        <v>12</v>
      </c>
      <c r="M1759" s="2" t="s">
        <v>554</v>
      </c>
      <c r="O1759" s="2" t="s">
        <v>524</v>
      </c>
      <c r="Y1759" s="2" t="s">
        <v>640</v>
      </c>
    </row>
    <row r="1760" spans="1:28" x14ac:dyDescent="0.25">
      <c r="A1760" s="2" t="s">
        <v>317</v>
      </c>
      <c r="B1760" s="2" t="s">
        <v>555</v>
      </c>
      <c r="C1760" s="2" t="s">
        <v>409</v>
      </c>
      <c r="D1760" s="2" t="s">
        <v>411</v>
      </c>
      <c r="E1760" s="2" t="s">
        <v>413</v>
      </c>
      <c r="F1760" s="2" t="s">
        <v>40</v>
      </c>
      <c r="J1760" s="2" t="s">
        <v>556</v>
      </c>
      <c r="O1760" s="2" t="s">
        <v>524</v>
      </c>
      <c r="Y1760" s="2" t="s">
        <v>640</v>
      </c>
      <c r="AB1760" s="2">
        <v>2</v>
      </c>
    </row>
    <row r="1761" spans="1:34" x14ac:dyDescent="0.25">
      <c r="A1761" s="2" t="s">
        <v>317</v>
      </c>
      <c r="B1761" s="2" t="s">
        <v>557</v>
      </c>
      <c r="C1761" s="2" t="s">
        <v>409</v>
      </c>
      <c r="D1761" s="2" t="s">
        <v>411</v>
      </c>
      <c r="E1761" s="2" t="s">
        <v>413</v>
      </c>
      <c r="F1761" s="2" t="s">
        <v>40</v>
      </c>
      <c r="J1761" s="2" t="s">
        <v>558</v>
      </c>
      <c r="O1761" s="2" t="s">
        <v>524</v>
      </c>
      <c r="Y1761" s="2" t="s">
        <v>640</v>
      </c>
      <c r="AC1761" s="2">
        <f>COUNTIFS($B:$B,"BLOCK_LOAD_Q",$A:$A,$A1761,$C:$C,$C1761,$E:$E,$E1761,$F:$F,$F1761,$N:$N, "&lt;&gt;")</f>
        <v>0</v>
      </c>
      <c r="AD1761" s="2">
        <f>COUNTIFS($B:$B,"BLOCK_TRUST_Q",$A:$A,$A1761,$C:$C,$C1761,$E:$E,$E1761,$F:$F,$F1761,$N:$N, "&lt;&gt;")</f>
        <v>0</v>
      </c>
      <c r="AE1761" s="2" t="str">
        <f>IFERROR(AVERAGEIFS($P:$P,$B:$B,"BLOCK_LOAD_Q",$A:$A,$A1761,$C:$C,$C1761,$E:$E,$E1761,$F:$F,$F1761,$P:$P,"&gt;0"),"")</f>
        <v/>
      </c>
      <c r="AF1761" s="2" t="str">
        <f>IFERROR(AVERAGEIFS($P:$P,$B:$B,"BLOCK_TRUST_Q",$A:$A,$A1761,$C:$C,$C1761,$E:$E,$E1761,$F:$F,$F1761,$P:$P,"&gt;0"),"")</f>
        <v/>
      </c>
      <c r="AG1761" s="2">
        <f>5-AC1761</f>
        <v>5</v>
      </c>
      <c r="AH1761" s="2">
        <f>12-AD1761</f>
        <v>12</v>
      </c>
    </row>
    <row r="1762" spans="1:34" x14ac:dyDescent="0.25">
      <c r="A1762" s="2" t="s">
        <v>317</v>
      </c>
      <c r="B1762" s="2" t="s">
        <v>402</v>
      </c>
      <c r="C1762" s="2" t="s">
        <v>409</v>
      </c>
      <c r="D1762" s="2" t="s">
        <v>411</v>
      </c>
      <c r="E1762" s="2" t="s">
        <v>414</v>
      </c>
      <c r="F1762" s="2" t="s">
        <v>39</v>
      </c>
      <c r="G1762" s="2" t="s">
        <v>415</v>
      </c>
      <c r="H1762" s="2" t="s">
        <v>349</v>
      </c>
      <c r="S1762" s="2" t="s">
        <v>58</v>
      </c>
      <c r="U1762" s="2" t="s">
        <v>60</v>
      </c>
      <c r="W1762" s="2" t="s">
        <v>58</v>
      </c>
    </row>
    <row r="1763" spans="1:34" x14ac:dyDescent="0.25">
      <c r="A1763" s="2" t="s">
        <v>317</v>
      </c>
      <c r="B1763" s="2" t="s">
        <v>402</v>
      </c>
      <c r="C1763" s="2" t="s">
        <v>409</v>
      </c>
      <c r="D1763" s="2" t="s">
        <v>411</v>
      </c>
      <c r="E1763" s="2" t="s">
        <v>414</v>
      </c>
      <c r="F1763" s="2" t="s">
        <v>39</v>
      </c>
      <c r="G1763" s="2" t="s">
        <v>416</v>
      </c>
      <c r="H1763" s="2" t="s">
        <v>565</v>
      </c>
      <c r="S1763" s="2" t="s">
        <v>59</v>
      </c>
      <c r="U1763" s="2" t="s">
        <v>60</v>
      </c>
      <c r="W1763" s="2" t="s">
        <v>60</v>
      </c>
    </row>
    <row r="1764" spans="1:34" x14ac:dyDescent="0.25">
      <c r="A1764" s="2" t="s">
        <v>317</v>
      </c>
      <c r="B1764" s="2" t="s">
        <v>402</v>
      </c>
      <c r="C1764" s="2" t="s">
        <v>409</v>
      </c>
      <c r="D1764" s="2" t="s">
        <v>411</v>
      </c>
      <c r="E1764" s="2" t="s">
        <v>414</v>
      </c>
      <c r="F1764" s="2" t="s">
        <v>39</v>
      </c>
      <c r="G1764" s="2" t="s">
        <v>417</v>
      </c>
      <c r="H1764" s="2" t="s">
        <v>361</v>
      </c>
      <c r="S1764" s="2" t="s">
        <v>60</v>
      </c>
      <c r="U1764" s="2" t="s">
        <v>60</v>
      </c>
      <c r="W1764" s="2" t="s">
        <v>60</v>
      </c>
    </row>
    <row r="1765" spans="1:34" x14ac:dyDescent="0.25">
      <c r="A1765" s="2" t="s">
        <v>317</v>
      </c>
      <c r="B1765" s="2" t="s">
        <v>402</v>
      </c>
      <c r="C1765" s="2" t="s">
        <v>409</v>
      </c>
      <c r="D1765" s="2" t="s">
        <v>411</v>
      </c>
      <c r="E1765" s="2" t="s">
        <v>414</v>
      </c>
      <c r="F1765" s="2" t="s">
        <v>39</v>
      </c>
      <c r="G1765" s="2" t="s">
        <v>418</v>
      </c>
      <c r="H1765" s="2" t="s">
        <v>353</v>
      </c>
      <c r="S1765" s="2" t="s">
        <v>58</v>
      </c>
      <c r="U1765" s="2" t="s">
        <v>59</v>
      </c>
      <c r="W1765" s="2" t="s">
        <v>58</v>
      </c>
    </row>
    <row r="1766" spans="1:34" x14ac:dyDescent="0.25">
      <c r="A1766" s="2" t="s">
        <v>317</v>
      </c>
      <c r="B1766" s="2" t="s">
        <v>402</v>
      </c>
      <c r="C1766" s="2" t="s">
        <v>409</v>
      </c>
      <c r="D1766" s="2" t="s">
        <v>411</v>
      </c>
      <c r="E1766" s="2" t="s">
        <v>414</v>
      </c>
      <c r="F1766" s="2" t="s">
        <v>39</v>
      </c>
      <c r="G1766" s="2" t="s">
        <v>419</v>
      </c>
      <c r="H1766" s="2" t="s">
        <v>371</v>
      </c>
      <c r="S1766" s="2" t="s">
        <v>60</v>
      </c>
      <c r="U1766" s="2" t="s">
        <v>59</v>
      </c>
      <c r="W1766" s="2" t="s">
        <v>57</v>
      </c>
    </row>
    <row r="1767" spans="1:34" x14ac:dyDescent="0.25">
      <c r="A1767" s="2" t="s">
        <v>317</v>
      </c>
      <c r="B1767" s="2" t="s">
        <v>531</v>
      </c>
      <c r="C1767" s="2" t="s">
        <v>409</v>
      </c>
      <c r="D1767" s="2" t="s">
        <v>411</v>
      </c>
      <c r="E1767" s="2" t="s">
        <v>414</v>
      </c>
      <c r="F1767" s="2" t="s">
        <v>39</v>
      </c>
      <c r="J1767" s="2" t="s">
        <v>532</v>
      </c>
      <c r="K1767" s="2" t="s">
        <v>533</v>
      </c>
      <c r="L1767" s="2">
        <v>1</v>
      </c>
      <c r="M1767" s="2" t="s">
        <v>534</v>
      </c>
      <c r="O1767" s="2" t="s">
        <v>524</v>
      </c>
      <c r="Y1767" s="2" t="s">
        <v>641</v>
      </c>
    </row>
    <row r="1768" spans="1:34" x14ac:dyDescent="0.25">
      <c r="A1768" s="2" t="s">
        <v>317</v>
      </c>
      <c r="B1768" s="2" t="s">
        <v>531</v>
      </c>
      <c r="C1768" s="2" t="s">
        <v>409</v>
      </c>
      <c r="D1768" s="2" t="s">
        <v>411</v>
      </c>
      <c r="E1768" s="2" t="s">
        <v>414</v>
      </c>
      <c r="F1768" s="2" t="s">
        <v>39</v>
      </c>
      <c r="J1768" s="2" t="s">
        <v>532</v>
      </c>
      <c r="K1768" s="2" t="s">
        <v>533</v>
      </c>
      <c r="L1768" s="2">
        <v>2</v>
      </c>
      <c r="M1768" s="2" t="s">
        <v>536</v>
      </c>
      <c r="O1768" s="2" t="s">
        <v>524</v>
      </c>
      <c r="Y1768" s="2" t="s">
        <v>641</v>
      </c>
    </row>
    <row r="1769" spans="1:34" x14ac:dyDescent="0.25">
      <c r="A1769" s="2" t="s">
        <v>317</v>
      </c>
      <c r="B1769" s="2" t="s">
        <v>531</v>
      </c>
      <c r="C1769" s="2" t="s">
        <v>409</v>
      </c>
      <c r="D1769" s="2" t="s">
        <v>411</v>
      </c>
      <c r="E1769" s="2" t="s">
        <v>414</v>
      </c>
      <c r="F1769" s="2" t="s">
        <v>39</v>
      </c>
      <c r="J1769" s="2" t="s">
        <v>532</v>
      </c>
      <c r="K1769" s="2" t="s">
        <v>533</v>
      </c>
      <c r="L1769" s="2">
        <v>3</v>
      </c>
      <c r="M1769" s="2" t="s">
        <v>537</v>
      </c>
      <c r="O1769" s="2" t="s">
        <v>524</v>
      </c>
      <c r="Y1769" s="2" t="s">
        <v>641</v>
      </c>
    </row>
    <row r="1770" spans="1:34" x14ac:dyDescent="0.25">
      <c r="A1770" s="2" t="s">
        <v>317</v>
      </c>
      <c r="B1770" s="2" t="s">
        <v>531</v>
      </c>
      <c r="C1770" s="2" t="s">
        <v>409</v>
      </c>
      <c r="D1770" s="2" t="s">
        <v>411</v>
      </c>
      <c r="E1770" s="2" t="s">
        <v>414</v>
      </c>
      <c r="F1770" s="2" t="s">
        <v>39</v>
      </c>
      <c r="J1770" s="2" t="s">
        <v>532</v>
      </c>
      <c r="K1770" s="2" t="s">
        <v>533</v>
      </c>
      <c r="L1770" s="2">
        <v>4</v>
      </c>
      <c r="M1770" s="2" t="s">
        <v>538</v>
      </c>
      <c r="O1770" s="2" t="s">
        <v>524</v>
      </c>
      <c r="Y1770" s="2" t="s">
        <v>641</v>
      </c>
    </row>
    <row r="1771" spans="1:34" x14ac:dyDescent="0.25">
      <c r="A1771" s="2" t="s">
        <v>317</v>
      </c>
      <c r="B1771" s="2" t="s">
        <v>531</v>
      </c>
      <c r="C1771" s="2" t="s">
        <v>409</v>
      </c>
      <c r="D1771" s="2" t="s">
        <v>411</v>
      </c>
      <c r="E1771" s="2" t="s">
        <v>414</v>
      </c>
      <c r="F1771" s="2" t="s">
        <v>39</v>
      </c>
      <c r="J1771" s="2" t="s">
        <v>532</v>
      </c>
      <c r="K1771" s="2" t="s">
        <v>533</v>
      </c>
      <c r="L1771" s="2">
        <v>5</v>
      </c>
      <c r="M1771" s="2" t="s">
        <v>539</v>
      </c>
      <c r="O1771" s="2" t="s">
        <v>524</v>
      </c>
      <c r="Y1771" s="2" t="s">
        <v>641</v>
      </c>
    </row>
    <row r="1772" spans="1:34" x14ac:dyDescent="0.25">
      <c r="A1772" s="2" t="s">
        <v>317</v>
      </c>
      <c r="B1772" s="2" t="s">
        <v>540</v>
      </c>
      <c r="C1772" s="2" t="s">
        <v>409</v>
      </c>
      <c r="D1772" s="2" t="s">
        <v>411</v>
      </c>
      <c r="E1772" s="2" t="s">
        <v>414</v>
      </c>
      <c r="F1772" s="2" t="s">
        <v>39</v>
      </c>
      <c r="J1772" s="2" t="s">
        <v>541</v>
      </c>
      <c r="K1772" s="2" t="s">
        <v>542</v>
      </c>
      <c r="L1772" s="2">
        <v>1</v>
      </c>
      <c r="M1772" s="2" t="s">
        <v>543</v>
      </c>
      <c r="O1772" s="2" t="s">
        <v>524</v>
      </c>
      <c r="Y1772" s="2" t="s">
        <v>641</v>
      </c>
    </row>
    <row r="1773" spans="1:34" x14ac:dyDescent="0.25">
      <c r="A1773" s="2" t="s">
        <v>317</v>
      </c>
      <c r="B1773" s="2" t="s">
        <v>540</v>
      </c>
      <c r="C1773" s="2" t="s">
        <v>409</v>
      </c>
      <c r="D1773" s="2" t="s">
        <v>411</v>
      </c>
      <c r="E1773" s="2" t="s">
        <v>414</v>
      </c>
      <c r="F1773" s="2" t="s">
        <v>39</v>
      </c>
      <c r="J1773" s="2" t="s">
        <v>541</v>
      </c>
      <c r="K1773" s="2" t="s">
        <v>542</v>
      </c>
      <c r="L1773" s="2">
        <v>2</v>
      </c>
      <c r="M1773" s="2" t="s">
        <v>544</v>
      </c>
      <c r="O1773" s="2" t="s">
        <v>524</v>
      </c>
      <c r="Y1773" s="2" t="s">
        <v>641</v>
      </c>
    </row>
    <row r="1774" spans="1:34" x14ac:dyDescent="0.25">
      <c r="A1774" s="2" t="s">
        <v>317</v>
      </c>
      <c r="B1774" s="2" t="s">
        <v>540</v>
      </c>
      <c r="C1774" s="2" t="s">
        <v>409</v>
      </c>
      <c r="D1774" s="2" t="s">
        <v>411</v>
      </c>
      <c r="E1774" s="2" t="s">
        <v>414</v>
      </c>
      <c r="F1774" s="2" t="s">
        <v>39</v>
      </c>
      <c r="J1774" s="2" t="s">
        <v>541</v>
      </c>
      <c r="K1774" s="2" t="s">
        <v>542</v>
      </c>
      <c r="L1774" s="2">
        <v>3</v>
      </c>
      <c r="M1774" s="2" t="s">
        <v>545</v>
      </c>
      <c r="O1774" s="2" t="s">
        <v>524</v>
      </c>
      <c r="Y1774" s="2" t="s">
        <v>641</v>
      </c>
    </row>
    <row r="1775" spans="1:34" x14ac:dyDescent="0.25">
      <c r="A1775" s="2" t="s">
        <v>317</v>
      </c>
      <c r="B1775" s="2" t="s">
        <v>540</v>
      </c>
      <c r="C1775" s="2" t="s">
        <v>409</v>
      </c>
      <c r="D1775" s="2" t="s">
        <v>411</v>
      </c>
      <c r="E1775" s="2" t="s">
        <v>414</v>
      </c>
      <c r="F1775" s="2" t="s">
        <v>39</v>
      </c>
      <c r="J1775" s="2" t="s">
        <v>541</v>
      </c>
      <c r="K1775" s="2" t="s">
        <v>542</v>
      </c>
      <c r="L1775" s="2">
        <v>4</v>
      </c>
      <c r="M1775" s="2" t="s">
        <v>546</v>
      </c>
      <c r="O1775" s="2" t="s">
        <v>524</v>
      </c>
      <c r="Y1775" s="2" t="s">
        <v>641</v>
      </c>
    </row>
    <row r="1776" spans="1:34" x14ac:dyDescent="0.25">
      <c r="A1776" s="2" t="s">
        <v>317</v>
      </c>
      <c r="B1776" s="2" t="s">
        <v>540</v>
      </c>
      <c r="C1776" s="2" t="s">
        <v>409</v>
      </c>
      <c r="D1776" s="2" t="s">
        <v>411</v>
      </c>
      <c r="E1776" s="2" t="s">
        <v>414</v>
      </c>
      <c r="F1776" s="2" t="s">
        <v>39</v>
      </c>
      <c r="J1776" s="2" t="s">
        <v>541</v>
      </c>
      <c r="K1776" s="2" t="s">
        <v>542</v>
      </c>
      <c r="L1776" s="2">
        <v>5</v>
      </c>
      <c r="M1776" s="2" t="s">
        <v>547</v>
      </c>
      <c r="O1776" s="2" t="s">
        <v>524</v>
      </c>
      <c r="Y1776" s="2" t="s">
        <v>641</v>
      </c>
    </row>
    <row r="1777" spans="1:34" x14ac:dyDescent="0.25">
      <c r="A1777" s="2" t="s">
        <v>317</v>
      </c>
      <c r="B1777" s="2" t="s">
        <v>540</v>
      </c>
      <c r="C1777" s="2" t="s">
        <v>409</v>
      </c>
      <c r="D1777" s="2" t="s">
        <v>411</v>
      </c>
      <c r="E1777" s="2" t="s">
        <v>414</v>
      </c>
      <c r="F1777" s="2" t="s">
        <v>39</v>
      </c>
      <c r="J1777" s="2" t="s">
        <v>541</v>
      </c>
      <c r="K1777" s="2" t="s">
        <v>542</v>
      </c>
      <c r="L1777" s="2">
        <v>6</v>
      </c>
      <c r="M1777" s="2" t="s">
        <v>548</v>
      </c>
      <c r="O1777" s="2" t="s">
        <v>524</v>
      </c>
      <c r="Y1777" s="2" t="s">
        <v>641</v>
      </c>
    </row>
    <row r="1778" spans="1:34" x14ac:dyDescent="0.25">
      <c r="A1778" s="2" t="s">
        <v>317</v>
      </c>
      <c r="B1778" s="2" t="s">
        <v>540</v>
      </c>
      <c r="C1778" s="2" t="s">
        <v>409</v>
      </c>
      <c r="D1778" s="2" t="s">
        <v>411</v>
      </c>
      <c r="E1778" s="2" t="s">
        <v>414</v>
      </c>
      <c r="F1778" s="2" t="s">
        <v>39</v>
      </c>
      <c r="J1778" s="2" t="s">
        <v>541</v>
      </c>
      <c r="K1778" s="2" t="s">
        <v>542</v>
      </c>
      <c r="L1778" s="2">
        <v>7</v>
      </c>
      <c r="M1778" s="2" t="s">
        <v>549</v>
      </c>
      <c r="O1778" s="2" t="s">
        <v>524</v>
      </c>
      <c r="Y1778" s="2" t="s">
        <v>641</v>
      </c>
    </row>
    <row r="1779" spans="1:34" x14ac:dyDescent="0.25">
      <c r="A1779" s="2" t="s">
        <v>317</v>
      </c>
      <c r="B1779" s="2" t="s">
        <v>540</v>
      </c>
      <c r="C1779" s="2" t="s">
        <v>409</v>
      </c>
      <c r="D1779" s="2" t="s">
        <v>411</v>
      </c>
      <c r="E1779" s="2" t="s">
        <v>414</v>
      </c>
      <c r="F1779" s="2" t="s">
        <v>39</v>
      </c>
      <c r="J1779" s="2" t="s">
        <v>541</v>
      </c>
      <c r="K1779" s="2" t="s">
        <v>542</v>
      </c>
      <c r="L1779" s="2">
        <v>8</v>
      </c>
      <c r="M1779" s="2" t="s">
        <v>550</v>
      </c>
      <c r="O1779" s="2" t="s">
        <v>524</v>
      </c>
      <c r="Y1779" s="2" t="s">
        <v>641</v>
      </c>
    </row>
    <row r="1780" spans="1:34" x14ac:dyDescent="0.25">
      <c r="A1780" s="2" t="s">
        <v>317</v>
      </c>
      <c r="B1780" s="2" t="s">
        <v>540</v>
      </c>
      <c r="C1780" s="2" t="s">
        <v>409</v>
      </c>
      <c r="D1780" s="2" t="s">
        <v>411</v>
      </c>
      <c r="E1780" s="2" t="s">
        <v>414</v>
      </c>
      <c r="F1780" s="2" t="s">
        <v>39</v>
      </c>
      <c r="J1780" s="2" t="s">
        <v>541</v>
      </c>
      <c r="K1780" s="2" t="s">
        <v>542</v>
      </c>
      <c r="L1780" s="2">
        <v>9</v>
      </c>
      <c r="M1780" s="2" t="s">
        <v>551</v>
      </c>
      <c r="O1780" s="2" t="s">
        <v>524</v>
      </c>
      <c r="Y1780" s="2" t="s">
        <v>641</v>
      </c>
    </row>
    <row r="1781" spans="1:34" x14ac:dyDescent="0.25">
      <c r="A1781" s="2" t="s">
        <v>317</v>
      </c>
      <c r="B1781" s="2" t="s">
        <v>540</v>
      </c>
      <c r="C1781" s="2" t="s">
        <v>409</v>
      </c>
      <c r="D1781" s="2" t="s">
        <v>411</v>
      </c>
      <c r="E1781" s="2" t="s">
        <v>414</v>
      </c>
      <c r="F1781" s="2" t="s">
        <v>39</v>
      </c>
      <c r="J1781" s="2" t="s">
        <v>541</v>
      </c>
      <c r="K1781" s="2" t="s">
        <v>542</v>
      </c>
      <c r="L1781" s="2">
        <v>10</v>
      </c>
      <c r="M1781" s="2" t="s">
        <v>552</v>
      </c>
      <c r="O1781" s="2" t="s">
        <v>524</v>
      </c>
      <c r="Y1781" s="2" t="s">
        <v>641</v>
      </c>
    </row>
    <row r="1782" spans="1:34" x14ac:dyDescent="0.25">
      <c r="A1782" s="2" t="s">
        <v>317</v>
      </c>
      <c r="B1782" s="2" t="s">
        <v>540</v>
      </c>
      <c r="C1782" s="2" t="s">
        <v>409</v>
      </c>
      <c r="D1782" s="2" t="s">
        <v>411</v>
      </c>
      <c r="E1782" s="2" t="s">
        <v>414</v>
      </c>
      <c r="F1782" s="2" t="s">
        <v>39</v>
      </c>
      <c r="J1782" s="2" t="s">
        <v>541</v>
      </c>
      <c r="K1782" s="2" t="s">
        <v>542</v>
      </c>
      <c r="L1782" s="2">
        <v>11</v>
      </c>
      <c r="M1782" s="2" t="s">
        <v>553</v>
      </c>
      <c r="O1782" s="2" t="s">
        <v>524</v>
      </c>
      <c r="Y1782" s="2" t="s">
        <v>641</v>
      </c>
    </row>
    <row r="1783" spans="1:34" x14ac:dyDescent="0.25">
      <c r="A1783" s="2" t="s">
        <v>317</v>
      </c>
      <c r="B1783" s="2" t="s">
        <v>540</v>
      </c>
      <c r="C1783" s="2" t="s">
        <v>409</v>
      </c>
      <c r="D1783" s="2" t="s">
        <v>411</v>
      </c>
      <c r="E1783" s="2" t="s">
        <v>414</v>
      </c>
      <c r="F1783" s="2" t="s">
        <v>39</v>
      </c>
      <c r="J1783" s="2" t="s">
        <v>541</v>
      </c>
      <c r="K1783" s="2" t="s">
        <v>542</v>
      </c>
      <c r="L1783" s="2">
        <v>12</v>
      </c>
      <c r="M1783" s="2" t="s">
        <v>554</v>
      </c>
      <c r="O1783" s="2" t="s">
        <v>524</v>
      </c>
      <c r="Y1783" s="2" t="s">
        <v>641</v>
      </c>
    </row>
    <row r="1784" spans="1:34" x14ac:dyDescent="0.25">
      <c r="A1784" s="2" t="s">
        <v>317</v>
      </c>
      <c r="B1784" s="2" t="s">
        <v>555</v>
      </c>
      <c r="C1784" s="2" t="s">
        <v>409</v>
      </c>
      <c r="D1784" s="2" t="s">
        <v>411</v>
      </c>
      <c r="E1784" s="2" t="s">
        <v>414</v>
      </c>
      <c r="F1784" s="2" t="s">
        <v>39</v>
      </c>
      <c r="J1784" s="2" t="s">
        <v>556</v>
      </c>
      <c r="O1784" s="2" t="s">
        <v>524</v>
      </c>
      <c r="Y1784" s="2" t="s">
        <v>641</v>
      </c>
      <c r="AB1784" s="2">
        <v>1</v>
      </c>
    </row>
    <row r="1785" spans="1:34" x14ac:dyDescent="0.25">
      <c r="A1785" s="2" t="s">
        <v>317</v>
      </c>
      <c r="B1785" s="2" t="s">
        <v>557</v>
      </c>
      <c r="C1785" s="2" t="s">
        <v>409</v>
      </c>
      <c r="D1785" s="2" t="s">
        <v>411</v>
      </c>
      <c r="E1785" s="2" t="s">
        <v>414</v>
      </c>
      <c r="F1785" s="2" t="s">
        <v>39</v>
      </c>
      <c r="J1785" s="2" t="s">
        <v>558</v>
      </c>
      <c r="O1785" s="2" t="s">
        <v>524</v>
      </c>
      <c r="Y1785" s="2" t="s">
        <v>641</v>
      </c>
      <c r="AC1785" s="2">
        <f>COUNTIFS($B:$B,"BLOCK_LOAD_Q",$A:$A,$A1785,$C:$C,$C1785,$E:$E,$E1785,$F:$F,$F1785,$N:$N, "&lt;&gt;")</f>
        <v>0</v>
      </c>
      <c r="AD1785" s="2">
        <f>COUNTIFS($B:$B,"BLOCK_TRUST_Q",$A:$A,$A1785,$C:$C,$C1785,$E:$E,$E1785,$F:$F,$F1785,$N:$N, "&lt;&gt;")</f>
        <v>0</v>
      </c>
      <c r="AE1785" s="2" t="str">
        <f>IFERROR(AVERAGEIFS($P:$P,$B:$B,"BLOCK_LOAD_Q",$A:$A,$A1785,$C:$C,$C1785,$E:$E,$E1785,$F:$F,$F1785,$P:$P,"&gt;0"),"")</f>
        <v/>
      </c>
      <c r="AF1785" s="2" t="str">
        <f>IFERROR(AVERAGEIFS($P:$P,$B:$B,"BLOCK_TRUST_Q",$A:$A,$A1785,$C:$C,$C1785,$E:$E,$E1785,$F:$F,$F1785,$P:$P,"&gt;0"),"")</f>
        <v/>
      </c>
      <c r="AG1785" s="2">
        <f>5-AC1785</f>
        <v>5</v>
      </c>
      <c r="AH1785" s="2">
        <f>12-AD1785</f>
        <v>12</v>
      </c>
    </row>
    <row r="1786" spans="1:34" x14ac:dyDescent="0.25">
      <c r="A1786" s="2" t="s">
        <v>317</v>
      </c>
      <c r="B1786" s="2" t="s">
        <v>403</v>
      </c>
      <c r="C1786" s="2" t="s">
        <v>409</v>
      </c>
      <c r="D1786" s="2" t="s">
        <v>411</v>
      </c>
      <c r="Z1786" s="2" t="s">
        <v>455</v>
      </c>
    </row>
    <row r="1787" spans="1:34" x14ac:dyDescent="0.25">
      <c r="A1787" s="2" t="s">
        <v>317</v>
      </c>
      <c r="B1787" s="2" t="s">
        <v>404</v>
      </c>
      <c r="J1787" s="2" t="s">
        <v>575</v>
      </c>
      <c r="AA1787" s="2" t="s">
        <v>336</v>
      </c>
    </row>
    <row r="1788" spans="1:34" x14ac:dyDescent="0.25">
      <c r="A1788" s="2" t="s">
        <v>317</v>
      </c>
      <c r="B1788" s="2" t="s">
        <v>405</v>
      </c>
    </row>
    <row r="1789" spans="1:34" x14ac:dyDescent="0.25">
      <c r="A1789" s="2" t="s">
        <v>317</v>
      </c>
      <c r="B1789" s="2" t="s">
        <v>406</v>
      </c>
    </row>
    <row r="1790" spans="1:34" x14ac:dyDescent="0.25">
      <c r="A1790" s="2" t="s">
        <v>318</v>
      </c>
      <c r="B1790" s="2" t="s">
        <v>523</v>
      </c>
      <c r="C1790" s="2" t="s">
        <v>524</v>
      </c>
      <c r="D1790" s="2" t="s">
        <v>524</v>
      </c>
      <c r="E1790" s="2" t="s">
        <v>524</v>
      </c>
      <c r="F1790" s="2" t="s">
        <v>524</v>
      </c>
      <c r="J1790" s="2" t="s">
        <v>525</v>
      </c>
      <c r="O1790" s="2" t="s">
        <v>524</v>
      </c>
    </row>
    <row r="1791" spans="1:34" x14ac:dyDescent="0.25">
      <c r="A1791" s="2" t="s">
        <v>318</v>
      </c>
      <c r="B1791" s="2" t="s">
        <v>526</v>
      </c>
      <c r="C1791" s="2" t="s">
        <v>524</v>
      </c>
      <c r="D1791" s="2" t="s">
        <v>524</v>
      </c>
      <c r="E1791" s="2" t="s">
        <v>524</v>
      </c>
      <c r="F1791" s="2" t="s">
        <v>524</v>
      </c>
      <c r="J1791" s="2" t="s">
        <v>527</v>
      </c>
      <c r="O1791" s="2" t="s">
        <v>524</v>
      </c>
    </row>
    <row r="1792" spans="1:34" x14ac:dyDescent="0.25">
      <c r="A1792" s="2" t="s">
        <v>318</v>
      </c>
      <c r="B1792" s="2" t="s">
        <v>402</v>
      </c>
      <c r="C1792" s="2" t="s">
        <v>407</v>
      </c>
      <c r="D1792" s="2" t="s">
        <v>410</v>
      </c>
      <c r="E1792" s="2" t="s">
        <v>413</v>
      </c>
      <c r="F1792" s="2" t="s">
        <v>40</v>
      </c>
      <c r="G1792" s="2" t="s">
        <v>415</v>
      </c>
      <c r="H1792" s="2" t="s">
        <v>354</v>
      </c>
      <c r="S1792" s="2" t="s">
        <v>59</v>
      </c>
      <c r="U1792" s="2" t="s">
        <v>59</v>
      </c>
      <c r="W1792" s="2" t="s">
        <v>58</v>
      </c>
    </row>
    <row r="1793" spans="1:25" x14ac:dyDescent="0.25">
      <c r="A1793" s="2" t="s">
        <v>318</v>
      </c>
      <c r="B1793" s="2" t="s">
        <v>402</v>
      </c>
      <c r="C1793" s="2" t="s">
        <v>407</v>
      </c>
      <c r="D1793" s="2" t="s">
        <v>410</v>
      </c>
      <c r="E1793" s="2" t="s">
        <v>413</v>
      </c>
      <c r="F1793" s="2" t="s">
        <v>40</v>
      </c>
      <c r="G1793" s="2" t="s">
        <v>416</v>
      </c>
      <c r="H1793" s="2" t="s">
        <v>559</v>
      </c>
      <c r="S1793" s="2" t="s">
        <v>57</v>
      </c>
      <c r="U1793" s="2" t="s">
        <v>57</v>
      </c>
      <c r="W1793" s="2" t="s">
        <v>58</v>
      </c>
    </row>
    <row r="1794" spans="1:25" x14ac:dyDescent="0.25">
      <c r="A1794" s="2" t="s">
        <v>318</v>
      </c>
      <c r="B1794" s="2" t="s">
        <v>402</v>
      </c>
      <c r="C1794" s="2" t="s">
        <v>407</v>
      </c>
      <c r="D1794" s="2" t="s">
        <v>410</v>
      </c>
      <c r="E1794" s="2" t="s">
        <v>413</v>
      </c>
      <c r="F1794" s="2" t="s">
        <v>40</v>
      </c>
      <c r="G1794" s="2" t="s">
        <v>417</v>
      </c>
      <c r="H1794" s="2" t="s">
        <v>370</v>
      </c>
      <c r="S1794" s="2" t="s">
        <v>60</v>
      </c>
      <c r="U1794" s="2" t="s">
        <v>58</v>
      </c>
      <c r="W1794" s="2" t="s">
        <v>59</v>
      </c>
    </row>
    <row r="1795" spans="1:25" x14ac:dyDescent="0.25">
      <c r="A1795" s="2" t="s">
        <v>318</v>
      </c>
      <c r="B1795" s="2" t="s">
        <v>402</v>
      </c>
      <c r="C1795" s="2" t="s">
        <v>407</v>
      </c>
      <c r="D1795" s="2" t="s">
        <v>410</v>
      </c>
      <c r="E1795" s="2" t="s">
        <v>413</v>
      </c>
      <c r="F1795" s="2" t="s">
        <v>40</v>
      </c>
      <c r="G1795" s="2" t="s">
        <v>418</v>
      </c>
      <c r="H1795" s="2" t="s">
        <v>560</v>
      </c>
      <c r="S1795" s="2" t="s">
        <v>57</v>
      </c>
      <c r="U1795" s="2" t="s">
        <v>58</v>
      </c>
      <c r="W1795" s="2" t="s">
        <v>60</v>
      </c>
    </row>
    <row r="1796" spans="1:25" x14ac:dyDescent="0.25">
      <c r="A1796" s="2" t="s">
        <v>318</v>
      </c>
      <c r="B1796" s="2" t="s">
        <v>531</v>
      </c>
      <c r="C1796" s="2" t="s">
        <v>407</v>
      </c>
      <c r="D1796" s="2" t="s">
        <v>410</v>
      </c>
      <c r="E1796" s="2" t="s">
        <v>413</v>
      </c>
      <c r="F1796" s="2" t="s">
        <v>40</v>
      </c>
      <c r="J1796" s="2" t="s">
        <v>532</v>
      </c>
      <c r="K1796" s="2" t="s">
        <v>533</v>
      </c>
      <c r="L1796" s="2">
        <v>1</v>
      </c>
      <c r="M1796" s="2" t="s">
        <v>534</v>
      </c>
      <c r="O1796" s="2" t="s">
        <v>524</v>
      </c>
      <c r="Y1796" s="2" t="s">
        <v>642</v>
      </c>
    </row>
    <row r="1797" spans="1:25" x14ac:dyDescent="0.25">
      <c r="A1797" s="2" t="s">
        <v>318</v>
      </c>
      <c r="B1797" s="2" t="s">
        <v>531</v>
      </c>
      <c r="C1797" s="2" t="s">
        <v>407</v>
      </c>
      <c r="D1797" s="2" t="s">
        <v>410</v>
      </c>
      <c r="E1797" s="2" t="s">
        <v>413</v>
      </c>
      <c r="F1797" s="2" t="s">
        <v>40</v>
      </c>
      <c r="J1797" s="2" t="s">
        <v>532</v>
      </c>
      <c r="K1797" s="2" t="s">
        <v>533</v>
      </c>
      <c r="L1797" s="2">
        <v>2</v>
      </c>
      <c r="M1797" s="2" t="s">
        <v>536</v>
      </c>
      <c r="O1797" s="2" t="s">
        <v>524</v>
      </c>
      <c r="Y1797" s="2" t="s">
        <v>642</v>
      </c>
    </row>
    <row r="1798" spans="1:25" x14ac:dyDescent="0.25">
      <c r="A1798" s="2" t="s">
        <v>318</v>
      </c>
      <c r="B1798" s="2" t="s">
        <v>531</v>
      </c>
      <c r="C1798" s="2" t="s">
        <v>407</v>
      </c>
      <c r="D1798" s="2" t="s">
        <v>410</v>
      </c>
      <c r="E1798" s="2" t="s">
        <v>413</v>
      </c>
      <c r="F1798" s="2" t="s">
        <v>40</v>
      </c>
      <c r="J1798" s="2" t="s">
        <v>532</v>
      </c>
      <c r="K1798" s="2" t="s">
        <v>533</v>
      </c>
      <c r="L1798" s="2">
        <v>3</v>
      </c>
      <c r="M1798" s="2" t="s">
        <v>537</v>
      </c>
      <c r="O1798" s="2" t="s">
        <v>524</v>
      </c>
      <c r="Y1798" s="2" t="s">
        <v>642</v>
      </c>
    </row>
    <row r="1799" spans="1:25" x14ac:dyDescent="0.25">
      <c r="A1799" s="2" t="s">
        <v>318</v>
      </c>
      <c r="B1799" s="2" t="s">
        <v>531</v>
      </c>
      <c r="C1799" s="2" t="s">
        <v>407</v>
      </c>
      <c r="D1799" s="2" t="s">
        <v>410</v>
      </c>
      <c r="E1799" s="2" t="s">
        <v>413</v>
      </c>
      <c r="F1799" s="2" t="s">
        <v>40</v>
      </c>
      <c r="J1799" s="2" t="s">
        <v>532</v>
      </c>
      <c r="K1799" s="2" t="s">
        <v>533</v>
      </c>
      <c r="L1799" s="2">
        <v>4</v>
      </c>
      <c r="M1799" s="2" t="s">
        <v>538</v>
      </c>
      <c r="O1799" s="2" t="s">
        <v>524</v>
      </c>
      <c r="Y1799" s="2" t="s">
        <v>642</v>
      </c>
    </row>
    <row r="1800" spans="1:25" x14ac:dyDescent="0.25">
      <c r="A1800" s="2" t="s">
        <v>318</v>
      </c>
      <c r="B1800" s="2" t="s">
        <v>531</v>
      </c>
      <c r="C1800" s="2" t="s">
        <v>407</v>
      </c>
      <c r="D1800" s="2" t="s">
        <v>410</v>
      </c>
      <c r="E1800" s="2" t="s">
        <v>413</v>
      </c>
      <c r="F1800" s="2" t="s">
        <v>40</v>
      </c>
      <c r="J1800" s="2" t="s">
        <v>532</v>
      </c>
      <c r="K1800" s="2" t="s">
        <v>533</v>
      </c>
      <c r="L1800" s="2">
        <v>5</v>
      </c>
      <c r="M1800" s="2" t="s">
        <v>539</v>
      </c>
      <c r="O1800" s="2" t="s">
        <v>524</v>
      </c>
      <c r="Y1800" s="2" t="s">
        <v>642</v>
      </c>
    </row>
    <row r="1801" spans="1:25" x14ac:dyDescent="0.25">
      <c r="A1801" s="2" t="s">
        <v>318</v>
      </c>
      <c r="B1801" s="2" t="s">
        <v>540</v>
      </c>
      <c r="C1801" s="2" t="s">
        <v>407</v>
      </c>
      <c r="D1801" s="2" t="s">
        <v>410</v>
      </c>
      <c r="E1801" s="2" t="s">
        <v>413</v>
      </c>
      <c r="F1801" s="2" t="s">
        <v>40</v>
      </c>
      <c r="J1801" s="2" t="s">
        <v>541</v>
      </c>
      <c r="K1801" s="2" t="s">
        <v>542</v>
      </c>
      <c r="L1801" s="2">
        <v>1</v>
      </c>
      <c r="M1801" s="2" t="s">
        <v>543</v>
      </c>
      <c r="O1801" s="2" t="s">
        <v>524</v>
      </c>
      <c r="Y1801" s="2" t="s">
        <v>642</v>
      </c>
    </row>
    <row r="1802" spans="1:25" x14ac:dyDescent="0.25">
      <c r="A1802" s="2" t="s">
        <v>318</v>
      </c>
      <c r="B1802" s="2" t="s">
        <v>540</v>
      </c>
      <c r="C1802" s="2" t="s">
        <v>407</v>
      </c>
      <c r="D1802" s="2" t="s">
        <v>410</v>
      </c>
      <c r="E1802" s="2" t="s">
        <v>413</v>
      </c>
      <c r="F1802" s="2" t="s">
        <v>40</v>
      </c>
      <c r="J1802" s="2" t="s">
        <v>541</v>
      </c>
      <c r="K1802" s="2" t="s">
        <v>542</v>
      </c>
      <c r="L1802" s="2">
        <v>2</v>
      </c>
      <c r="M1802" s="2" t="s">
        <v>544</v>
      </c>
      <c r="O1802" s="2" t="s">
        <v>524</v>
      </c>
      <c r="Y1802" s="2" t="s">
        <v>642</v>
      </c>
    </row>
    <row r="1803" spans="1:25" x14ac:dyDescent="0.25">
      <c r="A1803" s="2" t="s">
        <v>318</v>
      </c>
      <c r="B1803" s="2" t="s">
        <v>540</v>
      </c>
      <c r="C1803" s="2" t="s">
        <v>407</v>
      </c>
      <c r="D1803" s="2" t="s">
        <v>410</v>
      </c>
      <c r="E1803" s="2" t="s">
        <v>413</v>
      </c>
      <c r="F1803" s="2" t="s">
        <v>40</v>
      </c>
      <c r="J1803" s="2" t="s">
        <v>541</v>
      </c>
      <c r="K1803" s="2" t="s">
        <v>542</v>
      </c>
      <c r="L1803" s="2">
        <v>3</v>
      </c>
      <c r="M1803" s="2" t="s">
        <v>545</v>
      </c>
      <c r="O1803" s="2" t="s">
        <v>524</v>
      </c>
      <c r="Y1803" s="2" t="s">
        <v>642</v>
      </c>
    </row>
    <row r="1804" spans="1:25" x14ac:dyDescent="0.25">
      <c r="A1804" s="2" t="s">
        <v>318</v>
      </c>
      <c r="B1804" s="2" t="s">
        <v>540</v>
      </c>
      <c r="C1804" s="2" t="s">
        <v>407</v>
      </c>
      <c r="D1804" s="2" t="s">
        <v>410</v>
      </c>
      <c r="E1804" s="2" t="s">
        <v>413</v>
      </c>
      <c r="F1804" s="2" t="s">
        <v>40</v>
      </c>
      <c r="J1804" s="2" t="s">
        <v>541</v>
      </c>
      <c r="K1804" s="2" t="s">
        <v>542</v>
      </c>
      <c r="L1804" s="2">
        <v>4</v>
      </c>
      <c r="M1804" s="2" t="s">
        <v>546</v>
      </c>
      <c r="O1804" s="2" t="s">
        <v>524</v>
      </c>
      <c r="Y1804" s="2" t="s">
        <v>642</v>
      </c>
    </row>
    <row r="1805" spans="1:25" x14ac:dyDescent="0.25">
      <c r="A1805" s="2" t="s">
        <v>318</v>
      </c>
      <c r="B1805" s="2" t="s">
        <v>540</v>
      </c>
      <c r="C1805" s="2" t="s">
        <v>407</v>
      </c>
      <c r="D1805" s="2" t="s">
        <v>410</v>
      </c>
      <c r="E1805" s="2" t="s">
        <v>413</v>
      </c>
      <c r="F1805" s="2" t="s">
        <v>40</v>
      </c>
      <c r="J1805" s="2" t="s">
        <v>541</v>
      </c>
      <c r="K1805" s="2" t="s">
        <v>542</v>
      </c>
      <c r="L1805" s="2">
        <v>5</v>
      </c>
      <c r="M1805" s="2" t="s">
        <v>547</v>
      </c>
      <c r="O1805" s="2" t="s">
        <v>524</v>
      </c>
      <c r="Y1805" s="2" t="s">
        <v>642</v>
      </c>
    </row>
    <row r="1806" spans="1:25" x14ac:dyDescent="0.25">
      <c r="A1806" s="2" t="s">
        <v>318</v>
      </c>
      <c r="B1806" s="2" t="s">
        <v>540</v>
      </c>
      <c r="C1806" s="2" t="s">
        <v>407</v>
      </c>
      <c r="D1806" s="2" t="s">
        <v>410</v>
      </c>
      <c r="E1806" s="2" t="s">
        <v>413</v>
      </c>
      <c r="F1806" s="2" t="s">
        <v>40</v>
      </c>
      <c r="J1806" s="2" t="s">
        <v>541</v>
      </c>
      <c r="K1806" s="2" t="s">
        <v>542</v>
      </c>
      <c r="L1806" s="2">
        <v>6</v>
      </c>
      <c r="M1806" s="2" t="s">
        <v>548</v>
      </c>
      <c r="O1806" s="2" t="s">
        <v>524</v>
      </c>
      <c r="Y1806" s="2" t="s">
        <v>642</v>
      </c>
    </row>
    <row r="1807" spans="1:25" x14ac:dyDescent="0.25">
      <c r="A1807" s="2" t="s">
        <v>318</v>
      </c>
      <c r="B1807" s="2" t="s">
        <v>540</v>
      </c>
      <c r="C1807" s="2" t="s">
        <v>407</v>
      </c>
      <c r="D1807" s="2" t="s">
        <v>410</v>
      </c>
      <c r="E1807" s="2" t="s">
        <v>413</v>
      </c>
      <c r="F1807" s="2" t="s">
        <v>40</v>
      </c>
      <c r="J1807" s="2" t="s">
        <v>541</v>
      </c>
      <c r="K1807" s="2" t="s">
        <v>542</v>
      </c>
      <c r="L1807" s="2">
        <v>7</v>
      </c>
      <c r="M1807" s="2" t="s">
        <v>549</v>
      </c>
      <c r="O1807" s="2" t="s">
        <v>524</v>
      </c>
      <c r="Y1807" s="2" t="s">
        <v>642</v>
      </c>
    </row>
    <row r="1808" spans="1:25" x14ac:dyDescent="0.25">
      <c r="A1808" s="2" t="s">
        <v>318</v>
      </c>
      <c r="B1808" s="2" t="s">
        <v>540</v>
      </c>
      <c r="C1808" s="2" t="s">
        <v>407</v>
      </c>
      <c r="D1808" s="2" t="s">
        <v>410</v>
      </c>
      <c r="E1808" s="2" t="s">
        <v>413</v>
      </c>
      <c r="F1808" s="2" t="s">
        <v>40</v>
      </c>
      <c r="J1808" s="2" t="s">
        <v>541</v>
      </c>
      <c r="K1808" s="2" t="s">
        <v>542</v>
      </c>
      <c r="L1808" s="2">
        <v>8</v>
      </c>
      <c r="M1808" s="2" t="s">
        <v>550</v>
      </c>
      <c r="O1808" s="2" t="s">
        <v>524</v>
      </c>
      <c r="Y1808" s="2" t="s">
        <v>642</v>
      </c>
    </row>
    <row r="1809" spans="1:34" x14ac:dyDescent="0.25">
      <c r="A1809" s="2" t="s">
        <v>318</v>
      </c>
      <c r="B1809" s="2" t="s">
        <v>540</v>
      </c>
      <c r="C1809" s="2" t="s">
        <v>407</v>
      </c>
      <c r="D1809" s="2" t="s">
        <v>410</v>
      </c>
      <c r="E1809" s="2" t="s">
        <v>413</v>
      </c>
      <c r="F1809" s="2" t="s">
        <v>40</v>
      </c>
      <c r="J1809" s="2" t="s">
        <v>541</v>
      </c>
      <c r="K1809" s="2" t="s">
        <v>542</v>
      </c>
      <c r="L1809" s="2">
        <v>9</v>
      </c>
      <c r="M1809" s="2" t="s">
        <v>551</v>
      </c>
      <c r="O1809" s="2" t="s">
        <v>524</v>
      </c>
      <c r="Y1809" s="2" t="s">
        <v>642</v>
      </c>
    </row>
    <row r="1810" spans="1:34" x14ac:dyDescent="0.25">
      <c r="A1810" s="2" t="s">
        <v>318</v>
      </c>
      <c r="B1810" s="2" t="s">
        <v>540</v>
      </c>
      <c r="C1810" s="2" t="s">
        <v>407</v>
      </c>
      <c r="D1810" s="2" t="s">
        <v>410</v>
      </c>
      <c r="E1810" s="2" t="s">
        <v>413</v>
      </c>
      <c r="F1810" s="2" t="s">
        <v>40</v>
      </c>
      <c r="J1810" s="2" t="s">
        <v>541</v>
      </c>
      <c r="K1810" s="2" t="s">
        <v>542</v>
      </c>
      <c r="L1810" s="2">
        <v>10</v>
      </c>
      <c r="M1810" s="2" t="s">
        <v>552</v>
      </c>
      <c r="O1810" s="2" t="s">
        <v>524</v>
      </c>
      <c r="Y1810" s="2" t="s">
        <v>642</v>
      </c>
    </row>
    <row r="1811" spans="1:34" x14ac:dyDescent="0.25">
      <c r="A1811" s="2" t="s">
        <v>318</v>
      </c>
      <c r="B1811" s="2" t="s">
        <v>540</v>
      </c>
      <c r="C1811" s="2" t="s">
        <v>407</v>
      </c>
      <c r="D1811" s="2" t="s">
        <v>410</v>
      </c>
      <c r="E1811" s="2" t="s">
        <v>413</v>
      </c>
      <c r="F1811" s="2" t="s">
        <v>40</v>
      </c>
      <c r="J1811" s="2" t="s">
        <v>541</v>
      </c>
      <c r="K1811" s="2" t="s">
        <v>542</v>
      </c>
      <c r="L1811" s="2">
        <v>11</v>
      </c>
      <c r="M1811" s="2" t="s">
        <v>553</v>
      </c>
      <c r="O1811" s="2" t="s">
        <v>524</v>
      </c>
      <c r="Y1811" s="2" t="s">
        <v>642</v>
      </c>
    </row>
    <row r="1812" spans="1:34" x14ac:dyDescent="0.25">
      <c r="A1812" s="2" t="s">
        <v>318</v>
      </c>
      <c r="B1812" s="2" t="s">
        <v>540</v>
      </c>
      <c r="C1812" s="2" t="s">
        <v>407</v>
      </c>
      <c r="D1812" s="2" t="s">
        <v>410</v>
      </c>
      <c r="E1812" s="2" t="s">
        <v>413</v>
      </c>
      <c r="F1812" s="2" t="s">
        <v>40</v>
      </c>
      <c r="J1812" s="2" t="s">
        <v>541</v>
      </c>
      <c r="K1812" s="2" t="s">
        <v>542</v>
      </c>
      <c r="L1812" s="2">
        <v>12</v>
      </c>
      <c r="M1812" s="2" t="s">
        <v>554</v>
      </c>
      <c r="O1812" s="2" t="s">
        <v>524</v>
      </c>
      <c r="Y1812" s="2" t="s">
        <v>642</v>
      </c>
    </row>
    <row r="1813" spans="1:34" x14ac:dyDescent="0.25">
      <c r="A1813" s="2" t="s">
        <v>318</v>
      </c>
      <c r="B1813" s="2" t="s">
        <v>555</v>
      </c>
      <c r="C1813" s="2" t="s">
        <v>407</v>
      </c>
      <c r="D1813" s="2" t="s">
        <v>410</v>
      </c>
      <c r="E1813" s="2" t="s">
        <v>413</v>
      </c>
      <c r="F1813" s="2" t="s">
        <v>40</v>
      </c>
      <c r="J1813" s="2" t="s">
        <v>556</v>
      </c>
      <c r="O1813" s="2" t="s">
        <v>524</v>
      </c>
      <c r="Y1813" s="2" t="s">
        <v>642</v>
      </c>
      <c r="AB1813" s="2">
        <v>2</v>
      </c>
    </row>
    <row r="1814" spans="1:34" x14ac:dyDescent="0.25">
      <c r="A1814" s="2" t="s">
        <v>318</v>
      </c>
      <c r="B1814" s="2" t="s">
        <v>557</v>
      </c>
      <c r="C1814" s="2" t="s">
        <v>407</v>
      </c>
      <c r="D1814" s="2" t="s">
        <v>410</v>
      </c>
      <c r="E1814" s="2" t="s">
        <v>413</v>
      </c>
      <c r="F1814" s="2" t="s">
        <v>40</v>
      </c>
      <c r="J1814" s="2" t="s">
        <v>558</v>
      </c>
      <c r="O1814" s="2" t="s">
        <v>524</v>
      </c>
      <c r="Y1814" s="2" t="s">
        <v>642</v>
      </c>
      <c r="AC1814" s="2">
        <f>COUNTIFS($B:$B,"BLOCK_LOAD_Q",$A:$A,$A1814,$C:$C,$C1814,$E:$E,$E1814,$F:$F,$F1814,$N:$N, "&lt;&gt;")</f>
        <v>0</v>
      </c>
      <c r="AD1814" s="2">
        <f>COUNTIFS($B:$B,"BLOCK_TRUST_Q",$A:$A,$A1814,$C:$C,$C1814,$E:$E,$E1814,$F:$F,$F1814,$N:$N, "&lt;&gt;")</f>
        <v>0</v>
      </c>
      <c r="AE1814" s="2" t="str">
        <f>IFERROR(AVERAGEIFS($P:$P,$B:$B,"BLOCK_LOAD_Q",$A:$A,$A1814,$C:$C,$C1814,$E:$E,$E1814,$F:$F,$F1814,$P:$P,"&gt;0"),"")</f>
        <v/>
      </c>
      <c r="AF1814" s="2" t="str">
        <f>IFERROR(AVERAGEIFS($P:$P,$B:$B,"BLOCK_TRUST_Q",$A:$A,$A1814,$C:$C,$C1814,$E:$E,$E1814,$F:$F,$F1814,$P:$P,"&gt;0"),"")</f>
        <v/>
      </c>
      <c r="AG1814" s="2">
        <f>5-AC1814</f>
        <v>5</v>
      </c>
      <c r="AH1814" s="2">
        <f>12-AD1814</f>
        <v>12</v>
      </c>
    </row>
    <row r="1815" spans="1:34" x14ac:dyDescent="0.25">
      <c r="A1815" s="2" t="s">
        <v>318</v>
      </c>
      <c r="B1815" s="2" t="s">
        <v>402</v>
      </c>
      <c r="C1815" s="2" t="s">
        <v>407</v>
      </c>
      <c r="D1815" s="2" t="s">
        <v>410</v>
      </c>
      <c r="E1815" s="2" t="s">
        <v>414</v>
      </c>
      <c r="F1815" s="2" t="s">
        <v>39</v>
      </c>
      <c r="G1815" s="2" t="s">
        <v>415</v>
      </c>
      <c r="H1815" s="2" t="s">
        <v>373</v>
      </c>
      <c r="S1815" s="2" t="s">
        <v>60</v>
      </c>
      <c r="U1815" s="2" t="s">
        <v>60</v>
      </c>
      <c r="W1815" s="2" t="s">
        <v>60</v>
      </c>
    </row>
    <row r="1816" spans="1:34" x14ac:dyDescent="0.25">
      <c r="A1816" s="2" t="s">
        <v>318</v>
      </c>
      <c r="B1816" s="2" t="s">
        <v>402</v>
      </c>
      <c r="C1816" s="2" t="s">
        <v>407</v>
      </c>
      <c r="D1816" s="2" t="s">
        <v>410</v>
      </c>
      <c r="E1816" s="2" t="s">
        <v>414</v>
      </c>
      <c r="F1816" s="2" t="s">
        <v>39</v>
      </c>
      <c r="G1816" s="2" t="s">
        <v>416</v>
      </c>
      <c r="H1816" s="2" t="s">
        <v>528</v>
      </c>
      <c r="S1816" s="2" t="s">
        <v>60</v>
      </c>
      <c r="U1816" s="2" t="s">
        <v>59</v>
      </c>
      <c r="W1816" s="2" t="s">
        <v>59</v>
      </c>
    </row>
    <row r="1817" spans="1:34" x14ac:dyDescent="0.25">
      <c r="A1817" s="2" t="s">
        <v>318</v>
      </c>
      <c r="B1817" s="2" t="s">
        <v>402</v>
      </c>
      <c r="C1817" s="2" t="s">
        <v>407</v>
      </c>
      <c r="D1817" s="2" t="s">
        <v>410</v>
      </c>
      <c r="E1817" s="2" t="s">
        <v>414</v>
      </c>
      <c r="F1817" s="2" t="s">
        <v>39</v>
      </c>
      <c r="G1817" s="2" t="s">
        <v>417</v>
      </c>
      <c r="H1817" s="2" t="s">
        <v>529</v>
      </c>
      <c r="S1817" s="2" t="s">
        <v>57</v>
      </c>
      <c r="U1817" s="2" t="s">
        <v>59</v>
      </c>
      <c r="W1817" s="2" t="s">
        <v>60</v>
      </c>
    </row>
    <row r="1818" spans="1:34" x14ac:dyDescent="0.25">
      <c r="A1818" s="2" t="s">
        <v>318</v>
      </c>
      <c r="B1818" s="2" t="s">
        <v>402</v>
      </c>
      <c r="C1818" s="2" t="s">
        <v>407</v>
      </c>
      <c r="D1818" s="2" t="s">
        <v>410</v>
      </c>
      <c r="E1818" s="2" t="s">
        <v>414</v>
      </c>
      <c r="F1818" s="2" t="s">
        <v>39</v>
      </c>
      <c r="G1818" s="2" t="s">
        <v>418</v>
      </c>
      <c r="H1818" s="2" t="s">
        <v>347</v>
      </c>
      <c r="S1818" s="2" t="s">
        <v>60</v>
      </c>
      <c r="U1818" s="2" t="s">
        <v>57</v>
      </c>
      <c r="W1818" s="2" t="s">
        <v>59</v>
      </c>
    </row>
    <row r="1819" spans="1:34" x14ac:dyDescent="0.25">
      <c r="A1819" s="2" t="s">
        <v>318</v>
      </c>
      <c r="B1819" s="2" t="s">
        <v>402</v>
      </c>
      <c r="C1819" s="2" t="s">
        <v>407</v>
      </c>
      <c r="D1819" s="2" t="s">
        <v>410</v>
      </c>
      <c r="E1819" s="2" t="s">
        <v>414</v>
      </c>
      <c r="F1819" s="2" t="s">
        <v>39</v>
      </c>
      <c r="G1819" s="2" t="s">
        <v>419</v>
      </c>
      <c r="H1819" s="2" t="s">
        <v>530</v>
      </c>
      <c r="S1819" s="2" t="s">
        <v>57</v>
      </c>
      <c r="U1819" s="2" t="s">
        <v>60</v>
      </c>
      <c r="W1819" s="2" t="s">
        <v>58</v>
      </c>
    </row>
    <row r="1820" spans="1:34" x14ac:dyDescent="0.25">
      <c r="A1820" s="2" t="s">
        <v>318</v>
      </c>
      <c r="B1820" s="2" t="s">
        <v>531</v>
      </c>
      <c r="C1820" s="2" t="s">
        <v>407</v>
      </c>
      <c r="D1820" s="2" t="s">
        <v>410</v>
      </c>
      <c r="E1820" s="2" t="s">
        <v>414</v>
      </c>
      <c r="F1820" s="2" t="s">
        <v>39</v>
      </c>
      <c r="J1820" s="2" t="s">
        <v>532</v>
      </c>
      <c r="K1820" s="2" t="s">
        <v>533</v>
      </c>
      <c r="L1820" s="2">
        <v>1</v>
      </c>
      <c r="M1820" s="2" t="s">
        <v>534</v>
      </c>
      <c r="O1820" s="2" t="s">
        <v>524</v>
      </c>
      <c r="Y1820" s="2" t="s">
        <v>643</v>
      </c>
    </row>
    <row r="1821" spans="1:34" x14ac:dyDescent="0.25">
      <c r="A1821" s="2" t="s">
        <v>318</v>
      </c>
      <c r="B1821" s="2" t="s">
        <v>531</v>
      </c>
      <c r="C1821" s="2" t="s">
        <v>407</v>
      </c>
      <c r="D1821" s="2" t="s">
        <v>410</v>
      </c>
      <c r="E1821" s="2" t="s">
        <v>414</v>
      </c>
      <c r="F1821" s="2" t="s">
        <v>39</v>
      </c>
      <c r="J1821" s="2" t="s">
        <v>532</v>
      </c>
      <c r="K1821" s="2" t="s">
        <v>533</v>
      </c>
      <c r="L1821" s="2">
        <v>2</v>
      </c>
      <c r="M1821" s="2" t="s">
        <v>536</v>
      </c>
      <c r="O1821" s="2" t="s">
        <v>524</v>
      </c>
      <c r="Y1821" s="2" t="s">
        <v>643</v>
      </c>
    </row>
    <row r="1822" spans="1:34" x14ac:dyDescent="0.25">
      <c r="A1822" s="2" t="s">
        <v>318</v>
      </c>
      <c r="B1822" s="2" t="s">
        <v>531</v>
      </c>
      <c r="C1822" s="2" t="s">
        <v>407</v>
      </c>
      <c r="D1822" s="2" t="s">
        <v>410</v>
      </c>
      <c r="E1822" s="2" t="s">
        <v>414</v>
      </c>
      <c r="F1822" s="2" t="s">
        <v>39</v>
      </c>
      <c r="J1822" s="2" t="s">
        <v>532</v>
      </c>
      <c r="K1822" s="2" t="s">
        <v>533</v>
      </c>
      <c r="L1822" s="2">
        <v>3</v>
      </c>
      <c r="M1822" s="2" t="s">
        <v>537</v>
      </c>
      <c r="O1822" s="2" t="s">
        <v>524</v>
      </c>
      <c r="Y1822" s="2" t="s">
        <v>643</v>
      </c>
    </row>
    <row r="1823" spans="1:34" x14ac:dyDescent="0.25">
      <c r="A1823" s="2" t="s">
        <v>318</v>
      </c>
      <c r="B1823" s="2" t="s">
        <v>531</v>
      </c>
      <c r="C1823" s="2" t="s">
        <v>407</v>
      </c>
      <c r="D1823" s="2" t="s">
        <v>410</v>
      </c>
      <c r="E1823" s="2" t="s">
        <v>414</v>
      </c>
      <c r="F1823" s="2" t="s">
        <v>39</v>
      </c>
      <c r="J1823" s="2" t="s">
        <v>532</v>
      </c>
      <c r="K1823" s="2" t="s">
        <v>533</v>
      </c>
      <c r="L1823" s="2">
        <v>4</v>
      </c>
      <c r="M1823" s="2" t="s">
        <v>538</v>
      </c>
      <c r="O1823" s="2" t="s">
        <v>524</v>
      </c>
      <c r="Y1823" s="2" t="s">
        <v>643</v>
      </c>
    </row>
    <row r="1824" spans="1:34" x14ac:dyDescent="0.25">
      <c r="A1824" s="2" t="s">
        <v>318</v>
      </c>
      <c r="B1824" s="2" t="s">
        <v>531</v>
      </c>
      <c r="C1824" s="2" t="s">
        <v>407</v>
      </c>
      <c r="D1824" s="2" t="s">
        <v>410</v>
      </c>
      <c r="E1824" s="2" t="s">
        <v>414</v>
      </c>
      <c r="F1824" s="2" t="s">
        <v>39</v>
      </c>
      <c r="J1824" s="2" t="s">
        <v>532</v>
      </c>
      <c r="K1824" s="2" t="s">
        <v>533</v>
      </c>
      <c r="L1824" s="2">
        <v>5</v>
      </c>
      <c r="M1824" s="2" t="s">
        <v>539</v>
      </c>
      <c r="O1824" s="2" t="s">
        <v>524</v>
      </c>
      <c r="Y1824" s="2" t="s">
        <v>643</v>
      </c>
    </row>
    <row r="1825" spans="1:34" x14ac:dyDescent="0.25">
      <c r="A1825" s="2" t="s">
        <v>318</v>
      </c>
      <c r="B1825" s="2" t="s">
        <v>540</v>
      </c>
      <c r="C1825" s="2" t="s">
        <v>407</v>
      </c>
      <c r="D1825" s="2" t="s">
        <v>410</v>
      </c>
      <c r="E1825" s="2" t="s">
        <v>414</v>
      </c>
      <c r="F1825" s="2" t="s">
        <v>39</v>
      </c>
      <c r="J1825" s="2" t="s">
        <v>541</v>
      </c>
      <c r="K1825" s="2" t="s">
        <v>542</v>
      </c>
      <c r="L1825" s="2">
        <v>1</v>
      </c>
      <c r="M1825" s="2" t="s">
        <v>543</v>
      </c>
      <c r="O1825" s="2" t="s">
        <v>524</v>
      </c>
      <c r="Y1825" s="2" t="s">
        <v>643</v>
      </c>
    </row>
    <row r="1826" spans="1:34" x14ac:dyDescent="0.25">
      <c r="A1826" s="2" t="s">
        <v>318</v>
      </c>
      <c r="B1826" s="2" t="s">
        <v>540</v>
      </c>
      <c r="C1826" s="2" t="s">
        <v>407</v>
      </c>
      <c r="D1826" s="2" t="s">
        <v>410</v>
      </c>
      <c r="E1826" s="2" t="s">
        <v>414</v>
      </c>
      <c r="F1826" s="2" t="s">
        <v>39</v>
      </c>
      <c r="J1826" s="2" t="s">
        <v>541</v>
      </c>
      <c r="K1826" s="2" t="s">
        <v>542</v>
      </c>
      <c r="L1826" s="2">
        <v>2</v>
      </c>
      <c r="M1826" s="2" t="s">
        <v>544</v>
      </c>
      <c r="O1826" s="2" t="s">
        <v>524</v>
      </c>
      <c r="Y1826" s="2" t="s">
        <v>643</v>
      </c>
    </row>
    <row r="1827" spans="1:34" x14ac:dyDescent="0.25">
      <c r="A1827" s="2" t="s">
        <v>318</v>
      </c>
      <c r="B1827" s="2" t="s">
        <v>540</v>
      </c>
      <c r="C1827" s="2" t="s">
        <v>407</v>
      </c>
      <c r="D1827" s="2" t="s">
        <v>410</v>
      </c>
      <c r="E1827" s="2" t="s">
        <v>414</v>
      </c>
      <c r="F1827" s="2" t="s">
        <v>39</v>
      </c>
      <c r="J1827" s="2" t="s">
        <v>541</v>
      </c>
      <c r="K1827" s="2" t="s">
        <v>542</v>
      </c>
      <c r="L1827" s="2">
        <v>3</v>
      </c>
      <c r="M1827" s="2" t="s">
        <v>545</v>
      </c>
      <c r="O1827" s="2" t="s">
        <v>524</v>
      </c>
      <c r="Y1827" s="2" t="s">
        <v>643</v>
      </c>
    </row>
    <row r="1828" spans="1:34" x14ac:dyDescent="0.25">
      <c r="A1828" s="2" t="s">
        <v>318</v>
      </c>
      <c r="B1828" s="2" t="s">
        <v>540</v>
      </c>
      <c r="C1828" s="2" t="s">
        <v>407</v>
      </c>
      <c r="D1828" s="2" t="s">
        <v>410</v>
      </c>
      <c r="E1828" s="2" t="s">
        <v>414</v>
      </c>
      <c r="F1828" s="2" t="s">
        <v>39</v>
      </c>
      <c r="J1828" s="2" t="s">
        <v>541</v>
      </c>
      <c r="K1828" s="2" t="s">
        <v>542</v>
      </c>
      <c r="L1828" s="2">
        <v>4</v>
      </c>
      <c r="M1828" s="2" t="s">
        <v>546</v>
      </c>
      <c r="O1828" s="2" t="s">
        <v>524</v>
      </c>
      <c r="Y1828" s="2" t="s">
        <v>643</v>
      </c>
    </row>
    <row r="1829" spans="1:34" x14ac:dyDescent="0.25">
      <c r="A1829" s="2" t="s">
        <v>318</v>
      </c>
      <c r="B1829" s="2" t="s">
        <v>540</v>
      </c>
      <c r="C1829" s="2" t="s">
        <v>407</v>
      </c>
      <c r="D1829" s="2" t="s">
        <v>410</v>
      </c>
      <c r="E1829" s="2" t="s">
        <v>414</v>
      </c>
      <c r="F1829" s="2" t="s">
        <v>39</v>
      </c>
      <c r="J1829" s="2" t="s">
        <v>541</v>
      </c>
      <c r="K1829" s="2" t="s">
        <v>542</v>
      </c>
      <c r="L1829" s="2">
        <v>5</v>
      </c>
      <c r="M1829" s="2" t="s">
        <v>547</v>
      </c>
      <c r="O1829" s="2" t="s">
        <v>524</v>
      </c>
      <c r="Y1829" s="2" t="s">
        <v>643</v>
      </c>
    </row>
    <row r="1830" spans="1:34" x14ac:dyDescent="0.25">
      <c r="A1830" s="2" t="s">
        <v>318</v>
      </c>
      <c r="B1830" s="2" t="s">
        <v>540</v>
      </c>
      <c r="C1830" s="2" t="s">
        <v>407</v>
      </c>
      <c r="D1830" s="2" t="s">
        <v>410</v>
      </c>
      <c r="E1830" s="2" t="s">
        <v>414</v>
      </c>
      <c r="F1830" s="2" t="s">
        <v>39</v>
      </c>
      <c r="J1830" s="2" t="s">
        <v>541</v>
      </c>
      <c r="K1830" s="2" t="s">
        <v>542</v>
      </c>
      <c r="L1830" s="2">
        <v>6</v>
      </c>
      <c r="M1830" s="2" t="s">
        <v>548</v>
      </c>
      <c r="O1830" s="2" t="s">
        <v>524</v>
      </c>
      <c r="Y1830" s="2" t="s">
        <v>643</v>
      </c>
    </row>
    <row r="1831" spans="1:34" x14ac:dyDescent="0.25">
      <c r="A1831" s="2" t="s">
        <v>318</v>
      </c>
      <c r="B1831" s="2" t="s">
        <v>540</v>
      </c>
      <c r="C1831" s="2" t="s">
        <v>407</v>
      </c>
      <c r="D1831" s="2" t="s">
        <v>410</v>
      </c>
      <c r="E1831" s="2" t="s">
        <v>414</v>
      </c>
      <c r="F1831" s="2" t="s">
        <v>39</v>
      </c>
      <c r="J1831" s="2" t="s">
        <v>541</v>
      </c>
      <c r="K1831" s="2" t="s">
        <v>542</v>
      </c>
      <c r="L1831" s="2">
        <v>7</v>
      </c>
      <c r="M1831" s="2" t="s">
        <v>549</v>
      </c>
      <c r="O1831" s="2" t="s">
        <v>524</v>
      </c>
      <c r="Y1831" s="2" t="s">
        <v>643</v>
      </c>
    </row>
    <row r="1832" spans="1:34" x14ac:dyDescent="0.25">
      <c r="A1832" s="2" t="s">
        <v>318</v>
      </c>
      <c r="B1832" s="2" t="s">
        <v>540</v>
      </c>
      <c r="C1832" s="2" t="s">
        <v>407</v>
      </c>
      <c r="D1832" s="2" t="s">
        <v>410</v>
      </c>
      <c r="E1832" s="2" t="s">
        <v>414</v>
      </c>
      <c r="F1832" s="2" t="s">
        <v>39</v>
      </c>
      <c r="J1832" s="2" t="s">
        <v>541</v>
      </c>
      <c r="K1832" s="2" t="s">
        <v>542</v>
      </c>
      <c r="L1832" s="2">
        <v>8</v>
      </c>
      <c r="M1832" s="2" t="s">
        <v>550</v>
      </c>
      <c r="O1832" s="2" t="s">
        <v>524</v>
      </c>
      <c r="Y1832" s="2" t="s">
        <v>643</v>
      </c>
    </row>
    <row r="1833" spans="1:34" x14ac:dyDescent="0.25">
      <c r="A1833" s="2" t="s">
        <v>318</v>
      </c>
      <c r="B1833" s="2" t="s">
        <v>540</v>
      </c>
      <c r="C1833" s="2" t="s">
        <v>407</v>
      </c>
      <c r="D1833" s="2" t="s">
        <v>410</v>
      </c>
      <c r="E1833" s="2" t="s">
        <v>414</v>
      </c>
      <c r="F1833" s="2" t="s">
        <v>39</v>
      </c>
      <c r="J1833" s="2" t="s">
        <v>541</v>
      </c>
      <c r="K1833" s="2" t="s">
        <v>542</v>
      </c>
      <c r="L1833" s="2">
        <v>9</v>
      </c>
      <c r="M1833" s="2" t="s">
        <v>551</v>
      </c>
      <c r="O1833" s="2" t="s">
        <v>524</v>
      </c>
      <c r="Y1833" s="2" t="s">
        <v>643</v>
      </c>
    </row>
    <row r="1834" spans="1:34" x14ac:dyDescent="0.25">
      <c r="A1834" s="2" t="s">
        <v>318</v>
      </c>
      <c r="B1834" s="2" t="s">
        <v>540</v>
      </c>
      <c r="C1834" s="2" t="s">
        <v>407</v>
      </c>
      <c r="D1834" s="2" t="s">
        <v>410</v>
      </c>
      <c r="E1834" s="2" t="s">
        <v>414</v>
      </c>
      <c r="F1834" s="2" t="s">
        <v>39</v>
      </c>
      <c r="J1834" s="2" t="s">
        <v>541</v>
      </c>
      <c r="K1834" s="2" t="s">
        <v>542</v>
      </c>
      <c r="L1834" s="2">
        <v>10</v>
      </c>
      <c r="M1834" s="2" t="s">
        <v>552</v>
      </c>
      <c r="O1834" s="2" t="s">
        <v>524</v>
      </c>
      <c r="Y1834" s="2" t="s">
        <v>643</v>
      </c>
    </row>
    <row r="1835" spans="1:34" x14ac:dyDescent="0.25">
      <c r="A1835" s="2" t="s">
        <v>318</v>
      </c>
      <c r="B1835" s="2" t="s">
        <v>540</v>
      </c>
      <c r="C1835" s="2" t="s">
        <v>407</v>
      </c>
      <c r="D1835" s="2" t="s">
        <v>410</v>
      </c>
      <c r="E1835" s="2" t="s">
        <v>414</v>
      </c>
      <c r="F1835" s="2" t="s">
        <v>39</v>
      </c>
      <c r="J1835" s="2" t="s">
        <v>541</v>
      </c>
      <c r="K1835" s="2" t="s">
        <v>542</v>
      </c>
      <c r="L1835" s="2">
        <v>11</v>
      </c>
      <c r="M1835" s="2" t="s">
        <v>553</v>
      </c>
      <c r="O1835" s="2" t="s">
        <v>524</v>
      </c>
      <c r="Y1835" s="2" t="s">
        <v>643</v>
      </c>
    </row>
    <row r="1836" spans="1:34" x14ac:dyDescent="0.25">
      <c r="A1836" s="2" t="s">
        <v>318</v>
      </c>
      <c r="B1836" s="2" t="s">
        <v>540</v>
      </c>
      <c r="C1836" s="2" t="s">
        <v>407</v>
      </c>
      <c r="D1836" s="2" t="s">
        <v>410</v>
      </c>
      <c r="E1836" s="2" t="s">
        <v>414</v>
      </c>
      <c r="F1836" s="2" t="s">
        <v>39</v>
      </c>
      <c r="J1836" s="2" t="s">
        <v>541</v>
      </c>
      <c r="K1836" s="2" t="s">
        <v>542</v>
      </c>
      <c r="L1836" s="2">
        <v>12</v>
      </c>
      <c r="M1836" s="2" t="s">
        <v>554</v>
      </c>
      <c r="O1836" s="2" t="s">
        <v>524</v>
      </c>
      <c r="Y1836" s="2" t="s">
        <v>643</v>
      </c>
    </row>
    <row r="1837" spans="1:34" x14ac:dyDescent="0.25">
      <c r="A1837" s="2" t="s">
        <v>318</v>
      </c>
      <c r="B1837" s="2" t="s">
        <v>555</v>
      </c>
      <c r="C1837" s="2" t="s">
        <v>407</v>
      </c>
      <c r="D1837" s="2" t="s">
        <v>410</v>
      </c>
      <c r="E1837" s="2" t="s">
        <v>414</v>
      </c>
      <c r="F1837" s="2" t="s">
        <v>39</v>
      </c>
      <c r="J1837" s="2" t="s">
        <v>556</v>
      </c>
      <c r="O1837" s="2" t="s">
        <v>524</v>
      </c>
      <c r="Y1837" s="2" t="s">
        <v>643</v>
      </c>
      <c r="AB1837" s="2">
        <v>1</v>
      </c>
    </row>
    <row r="1838" spans="1:34" x14ac:dyDescent="0.25">
      <c r="A1838" s="2" t="s">
        <v>318</v>
      </c>
      <c r="B1838" s="2" t="s">
        <v>557</v>
      </c>
      <c r="C1838" s="2" t="s">
        <v>407</v>
      </c>
      <c r="D1838" s="2" t="s">
        <v>410</v>
      </c>
      <c r="E1838" s="2" t="s">
        <v>414</v>
      </c>
      <c r="F1838" s="2" t="s">
        <v>39</v>
      </c>
      <c r="J1838" s="2" t="s">
        <v>558</v>
      </c>
      <c r="O1838" s="2" t="s">
        <v>524</v>
      </c>
      <c r="Y1838" s="2" t="s">
        <v>643</v>
      </c>
      <c r="AC1838" s="2">
        <f>COUNTIFS($B:$B,"BLOCK_LOAD_Q",$A:$A,$A1838,$C:$C,$C1838,$E:$E,$E1838,$F:$F,$F1838,$N:$N, "&lt;&gt;")</f>
        <v>0</v>
      </c>
      <c r="AD1838" s="2">
        <f>COUNTIFS($B:$B,"BLOCK_TRUST_Q",$A:$A,$A1838,$C:$C,$C1838,$E:$E,$E1838,$F:$F,$F1838,$N:$N, "&lt;&gt;")</f>
        <v>0</v>
      </c>
      <c r="AE1838" s="2" t="str">
        <f>IFERROR(AVERAGEIFS($P:$P,$B:$B,"BLOCK_LOAD_Q",$A:$A,$A1838,$C:$C,$C1838,$E:$E,$E1838,$F:$F,$F1838,$P:$P,"&gt;0"),"")</f>
        <v/>
      </c>
      <c r="AF1838" s="2" t="str">
        <f>IFERROR(AVERAGEIFS($P:$P,$B:$B,"BLOCK_TRUST_Q",$A:$A,$A1838,$C:$C,$C1838,$E:$E,$E1838,$F:$F,$F1838,$P:$P,"&gt;0"),"")</f>
        <v/>
      </c>
      <c r="AG1838" s="2">
        <f>5-AC1838</f>
        <v>5</v>
      </c>
      <c r="AH1838" s="2">
        <f>12-AD1838</f>
        <v>12</v>
      </c>
    </row>
    <row r="1839" spans="1:34" x14ac:dyDescent="0.25">
      <c r="A1839" s="2" t="s">
        <v>318</v>
      </c>
      <c r="B1839" s="2" t="s">
        <v>403</v>
      </c>
      <c r="C1839" s="2" t="s">
        <v>407</v>
      </c>
      <c r="D1839" s="2" t="s">
        <v>410</v>
      </c>
      <c r="Z1839" s="2" t="s">
        <v>456</v>
      </c>
    </row>
    <row r="1840" spans="1:34" x14ac:dyDescent="0.25">
      <c r="A1840" s="2" t="s">
        <v>318</v>
      </c>
      <c r="B1840" s="2" t="s">
        <v>402</v>
      </c>
      <c r="C1840" s="2" t="s">
        <v>408</v>
      </c>
      <c r="D1840" s="2" t="s">
        <v>411</v>
      </c>
      <c r="E1840" s="2" t="s">
        <v>413</v>
      </c>
      <c r="F1840" s="2" t="s">
        <v>39</v>
      </c>
      <c r="G1840" s="2" t="s">
        <v>415</v>
      </c>
      <c r="H1840" s="2" t="s">
        <v>349</v>
      </c>
      <c r="S1840" s="2" t="s">
        <v>58</v>
      </c>
      <c r="U1840" s="2" t="s">
        <v>60</v>
      </c>
      <c r="W1840" s="2" t="s">
        <v>58</v>
      </c>
    </row>
    <row r="1841" spans="1:25" x14ac:dyDescent="0.25">
      <c r="A1841" s="2" t="s">
        <v>318</v>
      </c>
      <c r="B1841" s="2" t="s">
        <v>402</v>
      </c>
      <c r="C1841" s="2" t="s">
        <v>408</v>
      </c>
      <c r="D1841" s="2" t="s">
        <v>411</v>
      </c>
      <c r="E1841" s="2" t="s">
        <v>413</v>
      </c>
      <c r="F1841" s="2" t="s">
        <v>39</v>
      </c>
      <c r="G1841" s="2" t="s">
        <v>416</v>
      </c>
      <c r="H1841" s="2" t="s">
        <v>565</v>
      </c>
      <c r="S1841" s="2" t="s">
        <v>59</v>
      </c>
      <c r="U1841" s="2" t="s">
        <v>60</v>
      </c>
      <c r="W1841" s="2" t="s">
        <v>60</v>
      </c>
    </row>
    <row r="1842" spans="1:25" x14ac:dyDescent="0.25">
      <c r="A1842" s="2" t="s">
        <v>318</v>
      </c>
      <c r="B1842" s="2" t="s">
        <v>402</v>
      </c>
      <c r="C1842" s="2" t="s">
        <v>408</v>
      </c>
      <c r="D1842" s="2" t="s">
        <v>411</v>
      </c>
      <c r="E1842" s="2" t="s">
        <v>413</v>
      </c>
      <c r="F1842" s="2" t="s">
        <v>39</v>
      </c>
      <c r="G1842" s="2" t="s">
        <v>417</v>
      </c>
      <c r="H1842" s="2" t="s">
        <v>361</v>
      </c>
      <c r="S1842" s="2" t="s">
        <v>60</v>
      </c>
      <c r="U1842" s="2" t="s">
        <v>60</v>
      </c>
      <c r="W1842" s="2" t="s">
        <v>60</v>
      </c>
    </row>
    <row r="1843" spans="1:25" x14ac:dyDescent="0.25">
      <c r="A1843" s="2" t="s">
        <v>318</v>
      </c>
      <c r="B1843" s="2" t="s">
        <v>402</v>
      </c>
      <c r="C1843" s="2" t="s">
        <v>408</v>
      </c>
      <c r="D1843" s="2" t="s">
        <v>411</v>
      </c>
      <c r="E1843" s="2" t="s">
        <v>413</v>
      </c>
      <c r="F1843" s="2" t="s">
        <v>39</v>
      </c>
      <c r="G1843" s="2" t="s">
        <v>418</v>
      </c>
      <c r="H1843" s="2" t="s">
        <v>353</v>
      </c>
      <c r="S1843" s="2" t="s">
        <v>58</v>
      </c>
      <c r="U1843" s="2" t="s">
        <v>59</v>
      </c>
      <c r="W1843" s="2" t="s">
        <v>58</v>
      </c>
    </row>
    <row r="1844" spans="1:25" x14ac:dyDescent="0.25">
      <c r="A1844" s="2" t="s">
        <v>318</v>
      </c>
      <c r="B1844" s="2" t="s">
        <v>402</v>
      </c>
      <c r="C1844" s="2" t="s">
        <v>408</v>
      </c>
      <c r="D1844" s="2" t="s">
        <v>411</v>
      </c>
      <c r="E1844" s="2" t="s">
        <v>413</v>
      </c>
      <c r="F1844" s="2" t="s">
        <v>39</v>
      </c>
      <c r="G1844" s="2" t="s">
        <v>419</v>
      </c>
      <c r="H1844" s="2" t="s">
        <v>371</v>
      </c>
      <c r="S1844" s="2" t="s">
        <v>60</v>
      </c>
      <c r="U1844" s="2" t="s">
        <v>59</v>
      </c>
      <c r="W1844" s="2" t="s">
        <v>57</v>
      </c>
    </row>
    <row r="1845" spans="1:25" x14ac:dyDescent="0.25">
      <c r="A1845" s="2" t="s">
        <v>318</v>
      </c>
      <c r="B1845" s="2" t="s">
        <v>531</v>
      </c>
      <c r="C1845" s="2" t="s">
        <v>408</v>
      </c>
      <c r="D1845" s="2" t="s">
        <v>411</v>
      </c>
      <c r="E1845" s="2" t="s">
        <v>413</v>
      </c>
      <c r="F1845" s="2" t="s">
        <v>39</v>
      </c>
      <c r="J1845" s="2" t="s">
        <v>532</v>
      </c>
      <c r="K1845" s="2" t="s">
        <v>533</v>
      </c>
      <c r="L1845" s="2">
        <v>1</v>
      </c>
      <c r="M1845" s="2" t="s">
        <v>534</v>
      </c>
      <c r="O1845" s="2" t="s">
        <v>524</v>
      </c>
      <c r="Y1845" s="2" t="s">
        <v>644</v>
      </c>
    </row>
    <row r="1846" spans="1:25" x14ac:dyDescent="0.25">
      <c r="A1846" s="2" t="s">
        <v>318</v>
      </c>
      <c r="B1846" s="2" t="s">
        <v>531</v>
      </c>
      <c r="C1846" s="2" t="s">
        <v>408</v>
      </c>
      <c r="D1846" s="2" t="s">
        <v>411</v>
      </c>
      <c r="E1846" s="2" t="s">
        <v>413</v>
      </c>
      <c r="F1846" s="2" t="s">
        <v>39</v>
      </c>
      <c r="J1846" s="2" t="s">
        <v>532</v>
      </c>
      <c r="K1846" s="2" t="s">
        <v>533</v>
      </c>
      <c r="L1846" s="2">
        <v>2</v>
      </c>
      <c r="M1846" s="2" t="s">
        <v>536</v>
      </c>
      <c r="O1846" s="2" t="s">
        <v>524</v>
      </c>
      <c r="Y1846" s="2" t="s">
        <v>644</v>
      </c>
    </row>
    <row r="1847" spans="1:25" x14ac:dyDescent="0.25">
      <c r="A1847" s="2" t="s">
        <v>318</v>
      </c>
      <c r="B1847" s="2" t="s">
        <v>531</v>
      </c>
      <c r="C1847" s="2" t="s">
        <v>408</v>
      </c>
      <c r="D1847" s="2" t="s">
        <v>411</v>
      </c>
      <c r="E1847" s="2" t="s">
        <v>413</v>
      </c>
      <c r="F1847" s="2" t="s">
        <v>39</v>
      </c>
      <c r="J1847" s="2" t="s">
        <v>532</v>
      </c>
      <c r="K1847" s="2" t="s">
        <v>533</v>
      </c>
      <c r="L1847" s="2">
        <v>3</v>
      </c>
      <c r="M1847" s="2" t="s">
        <v>537</v>
      </c>
      <c r="O1847" s="2" t="s">
        <v>524</v>
      </c>
      <c r="Y1847" s="2" t="s">
        <v>644</v>
      </c>
    </row>
    <row r="1848" spans="1:25" x14ac:dyDescent="0.25">
      <c r="A1848" s="2" t="s">
        <v>318</v>
      </c>
      <c r="B1848" s="2" t="s">
        <v>531</v>
      </c>
      <c r="C1848" s="2" t="s">
        <v>408</v>
      </c>
      <c r="D1848" s="2" t="s">
        <v>411</v>
      </c>
      <c r="E1848" s="2" t="s">
        <v>413</v>
      </c>
      <c r="F1848" s="2" t="s">
        <v>39</v>
      </c>
      <c r="J1848" s="2" t="s">
        <v>532</v>
      </c>
      <c r="K1848" s="2" t="s">
        <v>533</v>
      </c>
      <c r="L1848" s="2">
        <v>4</v>
      </c>
      <c r="M1848" s="2" t="s">
        <v>538</v>
      </c>
      <c r="O1848" s="2" t="s">
        <v>524</v>
      </c>
      <c r="Y1848" s="2" t="s">
        <v>644</v>
      </c>
    </row>
    <row r="1849" spans="1:25" x14ac:dyDescent="0.25">
      <c r="A1849" s="2" t="s">
        <v>318</v>
      </c>
      <c r="B1849" s="2" t="s">
        <v>531</v>
      </c>
      <c r="C1849" s="2" t="s">
        <v>408</v>
      </c>
      <c r="D1849" s="2" t="s">
        <v>411</v>
      </c>
      <c r="E1849" s="2" t="s">
        <v>413</v>
      </c>
      <c r="F1849" s="2" t="s">
        <v>39</v>
      </c>
      <c r="J1849" s="2" t="s">
        <v>532</v>
      </c>
      <c r="K1849" s="2" t="s">
        <v>533</v>
      </c>
      <c r="L1849" s="2">
        <v>5</v>
      </c>
      <c r="M1849" s="2" t="s">
        <v>539</v>
      </c>
      <c r="O1849" s="2" t="s">
        <v>524</v>
      </c>
      <c r="Y1849" s="2" t="s">
        <v>644</v>
      </c>
    </row>
    <row r="1850" spans="1:25" x14ac:dyDescent="0.25">
      <c r="A1850" s="2" t="s">
        <v>318</v>
      </c>
      <c r="B1850" s="2" t="s">
        <v>540</v>
      </c>
      <c r="C1850" s="2" t="s">
        <v>408</v>
      </c>
      <c r="D1850" s="2" t="s">
        <v>411</v>
      </c>
      <c r="E1850" s="2" t="s">
        <v>413</v>
      </c>
      <c r="F1850" s="2" t="s">
        <v>39</v>
      </c>
      <c r="J1850" s="2" t="s">
        <v>541</v>
      </c>
      <c r="K1850" s="2" t="s">
        <v>542</v>
      </c>
      <c r="L1850" s="2">
        <v>1</v>
      </c>
      <c r="M1850" s="2" t="s">
        <v>543</v>
      </c>
      <c r="O1850" s="2" t="s">
        <v>524</v>
      </c>
      <c r="Y1850" s="2" t="s">
        <v>644</v>
      </c>
    </row>
    <row r="1851" spans="1:25" x14ac:dyDescent="0.25">
      <c r="A1851" s="2" t="s">
        <v>318</v>
      </c>
      <c r="B1851" s="2" t="s">
        <v>540</v>
      </c>
      <c r="C1851" s="2" t="s">
        <v>408</v>
      </c>
      <c r="D1851" s="2" t="s">
        <v>411</v>
      </c>
      <c r="E1851" s="2" t="s">
        <v>413</v>
      </c>
      <c r="F1851" s="2" t="s">
        <v>39</v>
      </c>
      <c r="J1851" s="2" t="s">
        <v>541</v>
      </c>
      <c r="K1851" s="2" t="s">
        <v>542</v>
      </c>
      <c r="L1851" s="2">
        <v>2</v>
      </c>
      <c r="M1851" s="2" t="s">
        <v>544</v>
      </c>
      <c r="O1851" s="2" t="s">
        <v>524</v>
      </c>
      <c r="Y1851" s="2" t="s">
        <v>644</v>
      </c>
    </row>
    <row r="1852" spans="1:25" x14ac:dyDescent="0.25">
      <c r="A1852" s="2" t="s">
        <v>318</v>
      </c>
      <c r="B1852" s="2" t="s">
        <v>540</v>
      </c>
      <c r="C1852" s="2" t="s">
        <v>408</v>
      </c>
      <c r="D1852" s="2" t="s">
        <v>411</v>
      </c>
      <c r="E1852" s="2" t="s">
        <v>413</v>
      </c>
      <c r="F1852" s="2" t="s">
        <v>39</v>
      </c>
      <c r="J1852" s="2" t="s">
        <v>541</v>
      </c>
      <c r="K1852" s="2" t="s">
        <v>542</v>
      </c>
      <c r="L1852" s="2">
        <v>3</v>
      </c>
      <c r="M1852" s="2" t="s">
        <v>545</v>
      </c>
      <c r="O1852" s="2" t="s">
        <v>524</v>
      </c>
      <c r="Y1852" s="2" t="s">
        <v>644</v>
      </c>
    </row>
    <row r="1853" spans="1:25" x14ac:dyDescent="0.25">
      <c r="A1853" s="2" t="s">
        <v>318</v>
      </c>
      <c r="B1853" s="2" t="s">
        <v>540</v>
      </c>
      <c r="C1853" s="2" t="s">
        <v>408</v>
      </c>
      <c r="D1853" s="2" t="s">
        <v>411</v>
      </c>
      <c r="E1853" s="2" t="s">
        <v>413</v>
      </c>
      <c r="F1853" s="2" t="s">
        <v>39</v>
      </c>
      <c r="J1853" s="2" t="s">
        <v>541</v>
      </c>
      <c r="K1853" s="2" t="s">
        <v>542</v>
      </c>
      <c r="L1853" s="2">
        <v>4</v>
      </c>
      <c r="M1853" s="2" t="s">
        <v>546</v>
      </c>
      <c r="O1853" s="2" t="s">
        <v>524</v>
      </c>
      <c r="Y1853" s="2" t="s">
        <v>644</v>
      </c>
    </row>
    <row r="1854" spans="1:25" x14ac:dyDescent="0.25">
      <c r="A1854" s="2" t="s">
        <v>318</v>
      </c>
      <c r="B1854" s="2" t="s">
        <v>540</v>
      </c>
      <c r="C1854" s="2" t="s">
        <v>408</v>
      </c>
      <c r="D1854" s="2" t="s">
        <v>411</v>
      </c>
      <c r="E1854" s="2" t="s">
        <v>413</v>
      </c>
      <c r="F1854" s="2" t="s">
        <v>39</v>
      </c>
      <c r="J1854" s="2" t="s">
        <v>541</v>
      </c>
      <c r="K1854" s="2" t="s">
        <v>542</v>
      </c>
      <c r="L1854" s="2">
        <v>5</v>
      </c>
      <c r="M1854" s="2" t="s">
        <v>547</v>
      </c>
      <c r="O1854" s="2" t="s">
        <v>524</v>
      </c>
      <c r="Y1854" s="2" t="s">
        <v>644</v>
      </c>
    </row>
    <row r="1855" spans="1:25" x14ac:dyDescent="0.25">
      <c r="A1855" s="2" t="s">
        <v>318</v>
      </c>
      <c r="B1855" s="2" t="s">
        <v>540</v>
      </c>
      <c r="C1855" s="2" t="s">
        <v>408</v>
      </c>
      <c r="D1855" s="2" t="s">
        <v>411</v>
      </c>
      <c r="E1855" s="2" t="s">
        <v>413</v>
      </c>
      <c r="F1855" s="2" t="s">
        <v>39</v>
      </c>
      <c r="J1855" s="2" t="s">
        <v>541</v>
      </c>
      <c r="K1855" s="2" t="s">
        <v>542</v>
      </c>
      <c r="L1855" s="2">
        <v>6</v>
      </c>
      <c r="M1855" s="2" t="s">
        <v>548</v>
      </c>
      <c r="O1855" s="2" t="s">
        <v>524</v>
      </c>
      <c r="Y1855" s="2" t="s">
        <v>644</v>
      </c>
    </row>
    <row r="1856" spans="1:25" x14ac:dyDescent="0.25">
      <c r="A1856" s="2" t="s">
        <v>318</v>
      </c>
      <c r="B1856" s="2" t="s">
        <v>540</v>
      </c>
      <c r="C1856" s="2" t="s">
        <v>408</v>
      </c>
      <c r="D1856" s="2" t="s">
        <v>411</v>
      </c>
      <c r="E1856" s="2" t="s">
        <v>413</v>
      </c>
      <c r="F1856" s="2" t="s">
        <v>39</v>
      </c>
      <c r="J1856" s="2" t="s">
        <v>541</v>
      </c>
      <c r="K1856" s="2" t="s">
        <v>542</v>
      </c>
      <c r="L1856" s="2">
        <v>7</v>
      </c>
      <c r="M1856" s="2" t="s">
        <v>549</v>
      </c>
      <c r="O1856" s="2" t="s">
        <v>524</v>
      </c>
      <c r="Y1856" s="2" t="s">
        <v>644</v>
      </c>
    </row>
    <row r="1857" spans="1:34" x14ac:dyDescent="0.25">
      <c r="A1857" s="2" t="s">
        <v>318</v>
      </c>
      <c r="B1857" s="2" t="s">
        <v>540</v>
      </c>
      <c r="C1857" s="2" t="s">
        <v>408</v>
      </c>
      <c r="D1857" s="2" t="s">
        <v>411</v>
      </c>
      <c r="E1857" s="2" t="s">
        <v>413</v>
      </c>
      <c r="F1857" s="2" t="s">
        <v>39</v>
      </c>
      <c r="J1857" s="2" t="s">
        <v>541</v>
      </c>
      <c r="K1857" s="2" t="s">
        <v>542</v>
      </c>
      <c r="L1857" s="2">
        <v>8</v>
      </c>
      <c r="M1857" s="2" t="s">
        <v>550</v>
      </c>
      <c r="O1857" s="2" t="s">
        <v>524</v>
      </c>
      <c r="Y1857" s="2" t="s">
        <v>644</v>
      </c>
    </row>
    <row r="1858" spans="1:34" x14ac:dyDescent="0.25">
      <c r="A1858" s="2" t="s">
        <v>318</v>
      </c>
      <c r="B1858" s="2" t="s">
        <v>540</v>
      </c>
      <c r="C1858" s="2" t="s">
        <v>408</v>
      </c>
      <c r="D1858" s="2" t="s">
        <v>411</v>
      </c>
      <c r="E1858" s="2" t="s">
        <v>413</v>
      </c>
      <c r="F1858" s="2" t="s">
        <v>39</v>
      </c>
      <c r="J1858" s="2" t="s">
        <v>541</v>
      </c>
      <c r="K1858" s="2" t="s">
        <v>542</v>
      </c>
      <c r="L1858" s="2">
        <v>9</v>
      </c>
      <c r="M1858" s="2" t="s">
        <v>551</v>
      </c>
      <c r="O1858" s="2" t="s">
        <v>524</v>
      </c>
      <c r="Y1858" s="2" t="s">
        <v>644</v>
      </c>
    </row>
    <row r="1859" spans="1:34" x14ac:dyDescent="0.25">
      <c r="A1859" s="2" t="s">
        <v>318</v>
      </c>
      <c r="B1859" s="2" t="s">
        <v>540</v>
      </c>
      <c r="C1859" s="2" t="s">
        <v>408</v>
      </c>
      <c r="D1859" s="2" t="s">
        <v>411</v>
      </c>
      <c r="E1859" s="2" t="s">
        <v>413</v>
      </c>
      <c r="F1859" s="2" t="s">
        <v>39</v>
      </c>
      <c r="J1859" s="2" t="s">
        <v>541</v>
      </c>
      <c r="K1859" s="2" t="s">
        <v>542</v>
      </c>
      <c r="L1859" s="2">
        <v>10</v>
      </c>
      <c r="M1859" s="2" t="s">
        <v>552</v>
      </c>
      <c r="O1859" s="2" t="s">
        <v>524</v>
      </c>
      <c r="Y1859" s="2" t="s">
        <v>644</v>
      </c>
    </row>
    <row r="1860" spans="1:34" x14ac:dyDescent="0.25">
      <c r="A1860" s="2" t="s">
        <v>318</v>
      </c>
      <c r="B1860" s="2" t="s">
        <v>540</v>
      </c>
      <c r="C1860" s="2" t="s">
        <v>408</v>
      </c>
      <c r="D1860" s="2" t="s">
        <v>411</v>
      </c>
      <c r="E1860" s="2" t="s">
        <v>413</v>
      </c>
      <c r="F1860" s="2" t="s">
        <v>39</v>
      </c>
      <c r="J1860" s="2" t="s">
        <v>541</v>
      </c>
      <c r="K1860" s="2" t="s">
        <v>542</v>
      </c>
      <c r="L1860" s="2">
        <v>11</v>
      </c>
      <c r="M1860" s="2" t="s">
        <v>553</v>
      </c>
      <c r="O1860" s="2" t="s">
        <v>524</v>
      </c>
      <c r="Y1860" s="2" t="s">
        <v>644</v>
      </c>
    </row>
    <row r="1861" spans="1:34" x14ac:dyDescent="0.25">
      <c r="A1861" s="2" t="s">
        <v>318</v>
      </c>
      <c r="B1861" s="2" t="s">
        <v>540</v>
      </c>
      <c r="C1861" s="2" t="s">
        <v>408</v>
      </c>
      <c r="D1861" s="2" t="s">
        <v>411</v>
      </c>
      <c r="E1861" s="2" t="s">
        <v>413</v>
      </c>
      <c r="F1861" s="2" t="s">
        <v>39</v>
      </c>
      <c r="J1861" s="2" t="s">
        <v>541</v>
      </c>
      <c r="K1861" s="2" t="s">
        <v>542</v>
      </c>
      <c r="L1861" s="2">
        <v>12</v>
      </c>
      <c r="M1861" s="2" t="s">
        <v>554</v>
      </c>
      <c r="O1861" s="2" t="s">
        <v>524</v>
      </c>
      <c r="Y1861" s="2" t="s">
        <v>644</v>
      </c>
    </row>
    <row r="1862" spans="1:34" x14ac:dyDescent="0.25">
      <c r="A1862" s="2" t="s">
        <v>318</v>
      </c>
      <c r="B1862" s="2" t="s">
        <v>555</v>
      </c>
      <c r="C1862" s="2" t="s">
        <v>408</v>
      </c>
      <c r="D1862" s="2" t="s">
        <v>411</v>
      </c>
      <c r="E1862" s="2" t="s">
        <v>413</v>
      </c>
      <c r="F1862" s="2" t="s">
        <v>39</v>
      </c>
      <c r="J1862" s="2" t="s">
        <v>556</v>
      </c>
      <c r="O1862" s="2" t="s">
        <v>524</v>
      </c>
      <c r="Y1862" s="2" t="s">
        <v>644</v>
      </c>
      <c r="AB1862" s="2">
        <v>1</v>
      </c>
    </row>
    <row r="1863" spans="1:34" x14ac:dyDescent="0.25">
      <c r="A1863" s="2" t="s">
        <v>318</v>
      </c>
      <c r="B1863" s="2" t="s">
        <v>557</v>
      </c>
      <c r="C1863" s="2" t="s">
        <v>408</v>
      </c>
      <c r="D1863" s="2" t="s">
        <v>411</v>
      </c>
      <c r="E1863" s="2" t="s">
        <v>413</v>
      </c>
      <c r="F1863" s="2" t="s">
        <v>39</v>
      </c>
      <c r="J1863" s="2" t="s">
        <v>558</v>
      </c>
      <c r="O1863" s="2" t="s">
        <v>524</v>
      </c>
      <c r="Y1863" s="2" t="s">
        <v>644</v>
      </c>
      <c r="AC1863" s="2">
        <f>COUNTIFS($B:$B,"BLOCK_LOAD_Q",$A:$A,$A1863,$C:$C,$C1863,$E:$E,$E1863,$F:$F,$F1863,$N:$N, "&lt;&gt;")</f>
        <v>0</v>
      </c>
      <c r="AD1863" s="2">
        <f>COUNTIFS($B:$B,"BLOCK_TRUST_Q",$A:$A,$A1863,$C:$C,$C1863,$E:$E,$E1863,$F:$F,$F1863,$N:$N, "&lt;&gt;")</f>
        <v>0</v>
      </c>
      <c r="AE1863" s="2" t="str">
        <f>IFERROR(AVERAGEIFS($P:$P,$B:$B,"BLOCK_LOAD_Q",$A:$A,$A1863,$C:$C,$C1863,$E:$E,$E1863,$F:$F,$F1863,$P:$P,"&gt;0"),"")</f>
        <v/>
      </c>
      <c r="AF1863" s="2" t="str">
        <f>IFERROR(AVERAGEIFS($P:$P,$B:$B,"BLOCK_TRUST_Q",$A:$A,$A1863,$C:$C,$C1863,$E:$E,$E1863,$F:$F,$F1863,$P:$P,"&gt;0"),"")</f>
        <v/>
      </c>
      <c r="AG1863" s="2">
        <f>5-AC1863</f>
        <v>5</v>
      </c>
      <c r="AH1863" s="2">
        <f>12-AD1863</f>
        <v>12</v>
      </c>
    </row>
    <row r="1864" spans="1:34" x14ac:dyDescent="0.25">
      <c r="A1864" s="2" t="s">
        <v>318</v>
      </c>
      <c r="B1864" s="2" t="s">
        <v>402</v>
      </c>
      <c r="C1864" s="2" t="s">
        <v>408</v>
      </c>
      <c r="D1864" s="2" t="s">
        <v>411</v>
      </c>
      <c r="E1864" s="2" t="s">
        <v>414</v>
      </c>
      <c r="F1864" s="2" t="s">
        <v>40</v>
      </c>
      <c r="G1864" s="2" t="s">
        <v>415</v>
      </c>
      <c r="H1864" s="2" t="s">
        <v>357</v>
      </c>
      <c r="S1864" s="2" t="s">
        <v>59</v>
      </c>
      <c r="U1864" s="2" t="s">
        <v>60</v>
      </c>
      <c r="W1864" s="2" t="s">
        <v>57</v>
      </c>
    </row>
    <row r="1865" spans="1:34" x14ac:dyDescent="0.25">
      <c r="A1865" s="2" t="s">
        <v>318</v>
      </c>
      <c r="B1865" s="2" t="s">
        <v>402</v>
      </c>
      <c r="C1865" s="2" t="s">
        <v>408</v>
      </c>
      <c r="D1865" s="2" t="s">
        <v>411</v>
      </c>
      <c r="E1865" s="2" t="s">
        <v>414</v>
      </c>
      <c r="F1865" s="2" t="s">
        <v>40</v>
      </c>
      <c r="G1865" s="2" t="s">
        <v>416</v>
      </c>
      <c r="H1865" s="2" t="s">
        <v>348</v>
      </c>
      <c r="S1865" s="2" t="s">
        <v>58</v>
      </c>
      <c r="U1865" s="2" t="s">
        <v>59</v>
      </c>
      <c r="W1865" s="2" t="s">
        <v>59</v>
      </c>
    </row>
    <row r="1866" spans="1:34" x14ac:dyDescent="0.25">
      <c r="A1866" s="2" t="s">
        <v>318</v>
      </c>
      <c r="B1866" s="2" t="s">
        <v>402</v>
      </c>
      <c r="C1866" s="2" t="s">
        <v>408</v>
      </c>
      <c r="D1866" s="2" t="s">
        <v>411</v>
      </c>
      <c r="E1866" s="2" t="s">
        <v>414</v>
      </c>
      <c r="F1866" s="2" t="s">
        <v>40</v>
      </c>
      <c r="G1866" s="2" t="s">
        <v>417</v>
      </c>
      <c r="H1866" s="2" t="s">
        <v>562</v>
      </c>
      <c r="S1866" s="2" t="s">
        <v>59</v>
      </c>
      <c r="U1866" s="2" t="s">
        <v>57</v>
      </c>
      <c r="W1866" s="2" t="s">
        <v>57</v>
      </c>
    </row>
    <row r="1867" spans="1:34" x14ac:dyDescent="0.25">
      <c r="A1867" s="2" t="s">
        <v>318</v>
      </c>
      <c r="B1867" s="2" t="s">
        <v>402</v>
      </c>
      <c r="C1867" s="2" t="s">
        <v>408</v>
      </c>
      <c r="D1867" s="2" t="s">
        <v>411</v>
      </c>
      <c r="E1867" s="2" t="s">
        <v>414</v>
      </c>
      <c r="F1867" s="2" t="s">
        <v>40</v>
      </c>
      <c r="G1867" s="2" t="s">
        <v>418</v>
      </c>
      <c r="H1867" s="2" t="s">
        <v>563</v>
      </c>
      <c r="S1867" s="2" t="s">
        <v>57</v>
      </c>
      <c r="U1867" s="2" t="s">
        <v>60</v>
      </c>
      <c r="W1867" s="2" t="s">
        <v>60</v>
      </c>
    </row>
    <row r="1868" spans="1:34" x14ac:dyDescent="0.25">
      <c r="A1868" s="2" t="s">
        <v>318</v>
      </c>
      <c r="B1868" s="2" t="s">
        <v>531</v>
      </c>
      <c r="C1868" s="2" t="s">
        <v>408</v>
      </c>
      <c r="D1868" s="2" t="s">
        <v>411</v>
      </c>
      <c r="E1868" s="2" t="s">
        <v>414</v>
      </c>
      <c r="F1868" s="2" t="s">
        <v>40</v>
      </c>
      <c r="J1868" s="2" t="s">
        <v>532</v>
      </c>
      <c r="K1868" s="2" t="s">
        <v>533</v>
      </c>
      <c r="L1868" s="2">
        <v>1</v>
      </c>
      <c r="M1868" s="2" t="s">
        <v>534</v>
      </c>
      <c r="O1868" s="2" t="s">
        <v>524</v>
      </c>
      <c r="Y1868" s="2" t="s">
        <v>645</v>
      </c>
    </row>
    <row r="1869" spans="1:34" x14ac:dyDescent="0.25">
      <c r="A1869" s="2" t="s">
        <v>318</v>
      </c>
      <c r="B1869" s="2" t="s">
        <v>531</v>
      </c>
      <c r="C1869" s="2" t="s">
        <v>408</v>
      </c>
      <c r="D1869" s="2" t="s">
        <v>411</v>
      </c>
      <c r="E1869" s="2" t="s">
        <v>414</v>
      </c>
      <c r="F1869" s="2" t="s">
        <v>40</v>
      </c>
      <c r="J1869" s="2" t="s">
        <v>532</v>
      </c>
      <c r="K1869" s="2" t="s">
        <v>533</v>
      </c>
      <c r="L1869" s="2">
        <v>2</v>
      </c>
      <c r="M1869" s="2" t="s">
        <v>536</v>
      </c>
      <c r="O1869" s="2" t="s">
        <v>524</v>
      </c>
      <c r="Y1869" s="2" t="s">
        <v>645</v>
      </c>
    </row>
    <row r="1870" spans="1:34" x14ac:dyDescent="0.25">
      <c r="A1870" s="2" t="s">
        <v>318</v>
      </c>
      <c r="B1870" s="2" t="s">
        <v>531</v>
      </c>
      <c r="C1870" s="2" t="s">
        <v>408</v>
      </c>
      <c r="D1870" s="2" t="s">
        <v>411</v>
      </c>
      <c r="E1870" s="2" t="s">
        <v>414</v>
      </c>
      <c r="F1870" s="2" t="s">
        <v>40</v>
      </c>
      <c r="J1870" s="2" t="s">
        <v>532</v>
      </c>
      <c r="K1870" s="2" t="s">
        <v>533</v>
      </c>
      <c r="L1870" s="2">
        <v>3</v>
      </c>
      <c r="M1870" s="2" t="s">
        <v>537</v>
      </c>
      <c r="O1870" s="2" t="s">
        <v>524</v>
      </c>
      <c r="Y1870" s="2" t="s">
        <v>645</v>
      </c>
    </row>
    <row r="1871" spans="1:34" x14ac:dyDescent="0.25">
      <c r="A1871" s="2" t="s">
        <v>318</v>
      </c>
      <c r="B1871" s="2" t="s">
        <v>531</v>
      </c>
      <c r="C1871" s="2" t="s">
        <v>408</v>
      </c>
      <c r="D1871" s="2" t="s">
        <v>411</v>
      </c>
      <c r="E1871" s="2" t="s">
        <v>414</v>
      </c>
      <c r="F1871" s="2" t="s">
        <v>40</v>
      </c>
      <c r="J1871" s="2" t="s">
        <v>532</v>
      </c>
      <c r="K1871" s="2" t="s">
        <v>533</v>
      </c>
      <c r="L1871" s="2">
        <v>4</v>
      </c>
      <c r="M1871" s="2" t="s">
        <v>538</v>
      </c>
      <c r="O1871" s="2" t="s">
        <v>524</v>
      </c>
      <c r="Y1871" s="2" t="s">
        <v>645</v>
      </c>
    </row>
    <row r="1872" spans="1:34" x14ac:dyDescent="0.25">
      <c r="A1872" s="2" t="s">
        <v>318</v>
      </c>
      <c r="B1872" s="2" t="s">
        <v>531</v>
      </c>
      <c r="C1872" s="2" t="s">
        <v>408</v>
      </c>
      <c r="D1872" s="2" t="s">
        <v>411</v>
      </c>
      <c r="E1872" s="2" t="s">
        <v>414</v>
      </c>
      <c r="F1872" s="2" t="s">
        <v>40</v>
      </c>
      <c r="J1872" s="2" t="s">
        <v>532</v>
      </c>
      <c r="K1872" s="2" t="s">
        <v>533</v>
      </c>
      <c r="L1872" s="2">
        <v>5</v>
      </c>
      <c r="M1872" s="2" t="s">
        <v>539</v>
      </c>
      <c r="O1872" s="2" t="s">
        <v>524</v>
      </c>
      <c r="Y1872" s="2" t="s">
        <v>645</v>
      </c>
    </row>
    <row r="1873" spans="1:34" x14ac:dyDescent="0.25">
      <c r="A1873" s="2" t="s">
        <v>318</v>
      </c>
      <c r="B1873" s="2" t="s">
        <v>540</v>
      </c>
      <c r="C1873" s="2" t="s">
        <v>408</v>
      </c>
      <c r="D1873" s="2" t="s">
        <v>411</v>
      </c>
      <c r="E1873" s="2" t="s">
        <v>414</v>
      </c>
      <c r="F1873" s="2" t="s">
        <v>40</v>
      </c>
      <c r="J1873" s="2" t="s">
        <v>541</v>
      </c>
      <c r="K1873" s="2" t="s">
        <v>542</v>
      </c>
      <c r="L1873" s="2">
        <v>1</v>
      </c>
      <c r="M1873" s="2" t="s">
        <v>543</v>
      </c>
      <c r="O1873" s="2" t="s">
        <v>524</v>
      </c>
      <c r="Y1873" s="2" t="s">
        <v>645</v>
      </c>
    </row>
    <row r="1874" spans="1:34" x14ac:dyDescent="0.25">
      <c r="A1874" s="2" t="s">
        <v>318</v>
      </c>
      <c r="B1874" s="2" t="s">
        <v>540</v>
      </c>
      <c r="C1874" s="2" t="s">
        <v>408</v>
      </c>
      <c r="D1874" s="2" t="s">
        <v>411</v>
      </c>
      <c r="E1874" s="2" t="s">
        <v>414</v>
      </c>
      <c r="F1874" s="2" t="s">
        <v>40</v>
      </c>
      <c r="J1874" s="2" t="s">
        <v>541</v>
      </c>
      <c r="K1874" s="2" t="s">
        <v>542</v>
      </c>
      <c r="L1874" s="2">
        <v>2</v>
      </c>
      <c r="M1874" s="2" t="s">
        <v>544</v>
      </c>
      <c r="O1874" s="2" t="s">
        <v>524</v>
      </c>
      <c r="Y1874" s="2" t="s">
        <v>645</v>
      </c>
    </row>
    <row r="1875" spans="1:34" x14ac:dyDescent="0.25">
      <c r="A1875" s="2" t="s">
        <v>318</v>
      </c>
      <c r="B1875" s="2" t="s">
        <v>540</v>
      </c>
      <c r="C1875" s="2" t="s">
        <v>408</v>
      </c>
      <c r="D1875" s="2" t="s">
        <v>411</v>
      </c>
      <c r="E1875" s="2" t="s">
        <v>414</v>
      </c>
      <c r="F1875" s="2" t="s">
        <v>40</v>
      </c>
      <c r="J1875" s="2" t="s">
        <v>541</v>
      </c>
      <c r="K1875" s="2" t="s">
        <v>542</v>
      </c>
      <c r="L1875" s="2">
        <v>3</v>
      </c>
      <c r="M1875" s="2" t="s">
        <v>545</v>
      </c>
      <c r="O1875" s="2" t="s">
        <v>524</v>
      </c>
      <c r="Y1875" s="2" t="s">
        <v>645</v>
      </c>
    </row>
    <row r="1876" spans="1:34" x14ac:dyDescent="0.25">
      <c r="A1876" s="2" t="s">
        <v>318</v>
      </c>
      <c r="B1876" s="2" t="s">
        <v>540</v>
      </c>
      <c r="C1876" s="2" t="s">
        <v>408</v>
      </c>
      <c r="D1876" s="2" t="s">
        <v>411</v>
      </c>
      <c r="E1876" s="2" t="s">
        <v>414</v>
      </c>
      <c r="F1876" s="2" t="s">
        <v>40</v>
      </c>
      <c r="J1876" s="2" t="s">
        <v>541</v>
      </c>
      <c r="K1876" s="2" t="s">
        <v>542</v>
      </c>
      <c r="L1876" s="2">
        <v>4</v>
      </c>
      <c r="M1876" s="2" t="s">
        <v>546</v>
      </c>
      <c r="O1876" s="2" t="s">
        <v>524</v>
      </c>
      <c r="Y1876" s="2" t="s">
        <v>645</v>
      </c>
    </row>
    <row r="1877" spans="1:34" x14ac:dyDescent="0.25">
      <c r="A1877" s="2" t="s">
        <v>318</v>
      </c>
      <c r="B1877" s="2" t="s">
        <v>540</v>
      </c>
      <c r="C1877" s="2" t="s">
        <v>408</v>
      </c>
      <c r="D1877" s="2" t="s">
        <v>411</v>
      </c>
      <c r="E1877" s="2" t="s">
        <v>414</v>
      </c>
      <c r="F1877" s="2" t="s">
        <v>40</v>
      </c>
      <c r="J1877" s="2" t="s">
        <v>541</v>
      </c>
      <c r="K1877" s="2" t="s">
        <v>542</v>
      </c>
      <c r="L1877" s="2">
        <v>5</v>
      </c>
      <c r="M1877" s="2" t="s">
        <v>547</v>
      </c>
      <c r="O1877" s="2" t="s">
        <v>524</v>
      </c>
      <c r="Y1877" s="2" t="s">
        <v>645</v>
      </c>
    </row>
    <row r="1878" spans="1:34" x14ac:dyDescent="0.25">
      <c r="A1878" s="2" t="s">
        <v>318</v>
      </c>
      <c r="B1878" s="2" t="s">
        <v>540</v>
      </c>
      <c r="C1878" s="2" t="s">
        <v>408</v>
      </c>
      <c r="D1878" s="2" t="s">
        <v>411</v>
      </c>
      <c r="E1878" s="2" t="s">
        <v>414</v>
      </c>
      <c r="F1878" s="2" t="s">
        <v>40</v>
      </c>
      <c r="J1878" s="2" t="s">
        <v>541</v>
      </c>
      <c r="K1878" s="2" t="s">
        <v>542</v>
      </c>
      <c r="L1878" s="2">
        <v>6</v>
      </c>
      <c r="M1878" s="2" t="s">
        <v>548</v>
      </c>
      <c r="O1878" s="2" t="s">
        <v>524</v>
      </c>
      <c r="Y1878" s="2" t="s">
        <v>645</v>
      </c>
    </row>
    <row r="1879" spans="1:34" x14ac:dyDescent="0.25">
      <c r="A1879" s="2" t="s">
        <v>318</v>
      </c>
      <c r="B1879" s="2" t="s">
        <v>540</v>
      </c>
      <c r="C1879" s="2" t="s">
        <v>408</v>
      </c>
      <c r="D1879" s="2" t="s">
        <v>411</v>
      </c>
      <c r="E1879" s="2" t="s">
        <v>414</v>
      </c>
      <c r="F1879" s="2" t="s">
        <v>40</v>
      </c>
      <c r="J1879" s="2" t="s">
        <v>541</v>
      </c>
      <c r="K1879" s="2" t="s">
        <v>542</v>
      </c>
      <c r="L1879" s="2">
        <v>7</v>
      </c>
      <c r="M1879" s="2" t="s">
        <v>549</v>
      </c>
      <c r="O1879" s="2" t="s">
        <v>524</v>
      </c>
      <c r="Y1879" s="2" t="s">
        <v>645</v>
      </c>
    </row>
    <row r="1880" spans="1:34" x14ac:dyDescent="0.25">
      <c r="A1880" s="2" t="s">
        <v>318</v>
      </c>
      <c r="B1880" s="2" t="s">
        <v>540</v>
      </c>
      <c r="C1880" s="2" t="s">
        <v>408</v>
      </c>
      <c r="D1880" s="2" t="s">
        <v>411</v>
      </c>
      <c r="E1880" s="2" t="s">
        <v>414</v>
      </c>
      <c r="F1880" s="2" t="s">
        <v>40</v>
      </c>
      <c r="J1880" s="2" t="s">
        <v>541</v>
      </c>
      <c r="K1880" s="2" t="s">
        <v>542</v>
      </c>
      <c r="L1880" s="2">
        <v>8</v>
      </c>
      <c r="M1880" s="2" t="s">
        <v>550</v>
      </c>
      <c r="O1880" s="2" t="s">
        <v>524</v>
      </c>
      <c r="Y1880" s="2" t="s">
        <v>645</v>
      </c>
    </row>
    <row r="1881" spans="1:34" x14ac:dyDescent="0.25">
      <c r="A1881" s="2" t="s">
        <v>318</v>
      </c>
      <c r="B1881" s="2" t="s">
        <v>540</v>
      </c>
      <c r="C1881" s="2" t="s">
        <v>408</v>
      </c>
      <c r="D1881" s="2" t="s">
        <v>411</v>
      </c>
      <c r="E1881" s="2" t="s">
        <v>414</v>
      </c>
      <c r="F1881" s="2" t="s">
        <v>40</v>
      </c>
      <c r="J1881" s="2" t="s">
        <v>541</v>
      </c>
      <c r="K1881" s="2" t="s">
        <v>542</v>
      </c>
      <c r="L1881" s="2">
        <v>9</v>
      </c>
      <c r="M1881" s="2" t="s">
        <v>551</v>
      </c>
      <c r="O1881" s="2" t="s">
        <v>524</v>
      </c>
      <c r="Y1881" s="2" t="s">
        <v>645</v>
      </c>
    </row>
    <row r="1882" spans="1:34" x14ac:dyDescent="0.25">
      <c r="A1882" s="2" t="s">
        <v>318</v>
      </c>
      <c r="B1882" s="2" t="s">
        <v>540</v>
      </c>
      <c r="C1882" s="2" t="s">
        <v>408</v>
      </c>
      <c r="D1882" s="2" t="s">
        <v>411</v>
      </c>
      <c r="E1882" s="2" t="s">
        <v>414</v>
      </c>
      <c r="F1882" s="2" t="s">
        <v>40</v>
      </c>
      <c r="J1882" s="2" t="s">
        <v>541</v>
      </c>
      <c r="K1882" s="2" t="s">
        <v>542</v>
      </c>
      <c r="L1882" s="2">
        <v>10</v>
      </c>
      <c r="M1882" s="2" t="s">
        <v>552</v>
      </c>
      <c r="O1882" s="2" t="s">
        <v>524</v>
      </c>
      <c r="Y1882" s="2" t="s">
        <v>645</v>
      </c>
    </row>
    <row r="1883" spans="1:34" x14ac:dyDescent="0.25">
      <c r="A1883" s="2" t="s">
        <v>318</v>
      </c>
      <c r="B1883" s="2" t="s">
        <v>540</v>
      </c>
      <c r="C1883" s="2" t="s">
        <v>408</v>
      </c>
      <c r="D1883" s="2" t="s">
        <v>411</v>
      </c>
      <c r="E1883" s="2" t="s">
        <v>414</v>
      </c>
      <c r="F1883" s="2" t="s">
        <v>40</v>
      </c>
      <c r="J1883" s="2" t="s">
        <v>541</v>
      </c>
      <c r="K1883" s="2" t="s">
        <v>542</v>
      </c>
      <c r="L1883" s="2">
        <v>11</v>
      </c>
      <c r="M1883" s="2" t="s">
        <v>553</v>
      </c>
      <c r="O1883" s="2" t="s">
        <v>524</v>
      </c>
      <c r="Y1883" s="2" t="s">
        <v>645</v>
      </c>
    </row>
    <row r="1884" spans="1:34" x14ac:dyDescent="0.25">
      <c r="A1884" s="2" t="s">
        <v>318</v>
      </c>
      <c r="B1884" s="2" t="s">
        <v>540</v>
      </c>
      <c r="C1884" s="2" t="s">
        <v>408</v>
      </c>
      <c r="D1884" s="2" t="s">
        <v>411</v>
      </c>
      <c r="E1884" s="2" t="s">
        <v>414</v>
      </c>
      <c r="F1884" s="2" t="s">
        <v>40</v>
      </c>
      <c r="J1884" s="2" t="s">
        <v>541</v>
      </c>
      <c r="K1884" s="2" t="s">
        <v>542</v>
      </c>
      <c r="L1884" s="2">
        <v>12</v>
      </c>
      <c r="M1884" s="2" t="s">
        <v>554</v>
      </c>
      <c r="O1884" s="2" t="s">
        <v>524</v>
      </c>
      <c r="Y1884" s="2" t="s">
        <v>645</v>
      </c>
    </row>
    <row r="1885" spans="1:34" x14ac:dyDescent="0.25">
      <c r="A1885" s="2" t="s">
        <v>318</v>
      </c>
      <c r="B1885" s="2" t="s">
        <v>555</v>
      </c>
      <c r="C1885" s="2" t="s">
        <v>408</v>
      </c>
      <c r="D1885" s="2" t="s">
        <v>411</v>
      </c>
      <c r="E1885" s="2" t="s">
        <v>414</v>
      </c>
      <c r="F1885" s="2" t="s">
        <v>40</v>
      </c>
      <c r="J1885" s="2" t="s">
        <v>556</v>
      </c>
      <c r="O1885" s="2" t="s">
        <v>524</v>
      </c>
      <c r="Y1885" s="2" t="s">
        <v>645</v>
      </c>
      <c r="AB1885" s="2">
        <v>2</v>
      </c>
    </row>
    <row r="1886" spans="1:34" x14ac:dyDescent="0.25">
      <c r="A1886" s="2" t="s">
        <v>318</v>
      </c>
      <c r="B1886" s="2" t="s">
        <v>557</v>
      </c>
      <c r="C1886" s="2" t="s">
        <v>408</v>
      </c>
      <c r="D1886" s="2" t="s">
        <v>411</v>
      </c>
      <c r="E1886" s="2" t="s">
        <v>414</v>
      </c>
      <c r="F1886" s="2" t="s">
        <v>40</v>
      </c>
      <c r="J1886" s="2" t="s">
        <v>558</v>
      </c>
      <c r="O1886" s="2" t="s">
        <v>524</v>
      </c>
      <c r="Y1886" s="2" t="s">
        <v>645</v>
      </c>
      <c r="AC1886" s="2">
        <f>COUNTIFS($B:$B,"BLOCK_LOAD_Q",$A:$A,$A1886,$C:$C,$C1886,$E:$E,$E1886,$F:$F,$F1886,$N:$N, "&lt;&gt;")</f>
        <v>0</v>
      </c>
      <c r="AD1886" s="2">
        <f>COUNTIFS($B:$B,"BLOCK_TRUST_Q",$A:$A,$A1886,$C:$C,$C1886,$E:$E,$E1886,$F:$F,$F1886,$N:$N, "&lt;&gt;")</f>
        <v>0</v>
      </c>
      <c r="AE1886" s="2" t="str">
        <f>IFERROR(AVERAGEIFS($P:$P,$B:$B,"BLOCK_LOAD_Q",$A:$A,$A1886,$C:$C,$C1886,$E:$E,$E1886,$F:$F,$F1886,$P:$P,"&gt;0"),"")</f>
        <v/>
      </c>
      <c r="AF1886" s="2" t="str">
        <f>IFERROR(AVERAGEIFS($P:$P,$B:$B,"BLOCK_TRUST_Q",$A:$A,$A1886,$C:$C,$C1886,$E:$E,$E1886,$F:$F,$F1886,$P:$P,"&gt;0"),"")</f>
        <v/>
      </c>
      <c r="AG1886" s="2">
        <f>5-AC1886</f>
        <v>5</v>
      </c>
      <c r="AH1886" s="2">
        <f>12-AD1886</f>
        <v>12</v>
      </c>
    </row>
    <row r="1887" spans="1:34" x14ac:dyDescent="0.25">
      <c r="A1887" s="2" t="s">
        <v>318</v>
      </c>
      <c r="B1887" s="2" t="s">
        <v>403</v>
      </c>
      <c r="C1887" s="2" t="s">
        <v>408</v>
      </c>
      <c r="D1887" s="2" t="s">
        <v>411</v>
      </c>
      <c r="Z1887" s="2" t="s">
        <v>457</v>
      </c>
    </row>
    <row r="1888" spans="1:34" x14ac:dyDescent="0.25">
      <c r="A1888" s="2" t="s">
        <v>318</v>
      </c>
      <c r="B1888" s="2" t="s">
        <v>402</v>
      </c>
      <c r="C1888" s="2" t="s">
        <v>409</v>
      </c>
      <c r="D1888" s="2" t="s">
        <v>412</v>
      </c>
      <c r="E1888" s="2" t="s">
        <v>413</v>
      </c>
      <c r="F1888" s="2" t="s">
        <v>39</v>
      </c>
      <c r="G1888" s="2" t="s">
        <v>415</v>
      </c>
      <c r="H1888" s="2" t="s">
        <v>350</v>
      </c>
      <c r="S1888" s="2" t="s">
        <v>57</v>
      </c>
      <c r="U1888" s="2" t="s">
        <v>58</v>
      </c>
      <c r="W1888" s="2" t="s">
        <v>59</v>
      </c>
    </row>
    <row r="1889" spans="1:25" x14ac:dyDescent="0.25">
      <c r="A1889" s="2" t="s">
        <v>318</v>
      </c>
      <c r="B1889" s="2" t="s">
        <v>402</v>
      </c>
      <c r="C1889" s="2" t="s">
        <v>409</v>
      </c>
      <c r="D1889" s="2" t="s">
        <v>412</v>
      </c>
      <c r="E1889" s="2" t="s">
        <v>413</v>
      </c>
      <c r="F1889" s="2" t="s">
        <v>39</v>
      </c>
      <c r="G1889" s="2" t="s">
        <v>416</v>
      </c>
      <c r="H1889" s="2" t="s">
        <v>571</v>
      </c>
      <c r="S1889" s="2" t="s">
        <v>59</v>
      </c>
      <c r="U1889" s="2" t="s">
        <v>57</v>
      </c>
      <c r="W1889" s="2" t="s">
        <v>60</v>
      </c>
    </row>
    <row r="1890" spans="1:25" x14ac:dyDescent="0.25">
      <c r="A1890" s="2" t="s">
        <v>318</v>
      </c>
      <c r="B1890" s="2" t="s">
        <v>402</v>
      </c>
      <c r="C1890" s="2" t="s">
        <v>409</v>
      </c>
      <c r="D1890" s="2" t="s">
        <v>412</v>
      </c>
      <c r="E1890" s="2" t="s">
        <v>413</v>
      </c>
      <c r="F1890" s="2" t="s">
        <v>39</v>
      </c>
      <c r="G1890" s="2" t="s">
        <v>417</v>
      </c>
      <c r="H1890" s="2" t="s">
        <v>572</v>
      </c>
      <c r="S1890" s="2" t="s">
        <v>57</v>
      </c>
      <c r="U1890" s="2" t="s">
        <v>59</v>
      </c>
      <c r="W1890" s="2" t="s">
        <v>58</v>
      </c>
    </row>
    <row r="1891" spans="1:25" x14ac:dyDescent="0.25">
      <c r="A1891" s="2" t="s">
        <v>318</v>
      </c>
      <c r="B1891" s="2" t="s">
        <v>402</v>
      </c>
      <c r="C1891" s="2" t="s">
        <v>409</v>
      </c>
      <c r="D1891" s="2" t="s">
        <v>412</v>
      </c>
      <c r="E1891" s="2" t="s">
        <v>413</v>
      </c>
      <c r="F1891" s="2" t="s">
        <v>39</v>
      </c>
      <c r="G1891" s="2" t="s">
        <v>418</v>
      </c>
      <c r="H1891" s="2" t="s">
        <v>573</v>
      </c>
      <c r="S1891" s="2" t="s">
        <v>58</v>
      </c>
      <c r="U1891" s="2" t="s">
        <v>58</v>
      </c>
      <c r="W1891" s="2" t="s">
        <v>58</v>
      </c>
    </row>
    <row r="1892" spans="1:25" x14ac:dyDescent="0.25">
      <c r="A1892" s="2" t="s">
        <v>318</v>
      </c>
      <c r="B1892" s="2" t="s">
        <v>402</v>
      </c>
      <c r="C1892" s="2" t="s">
        <v>409</v>
      </c>
      <c r="D1892" s="2" t="s">
        <v>412</v>
      </c>
      <c r="E1892" s="2" t="s">
        <v>413</v>
      </c>
      <c r="F1892" s="2" t="s">
        <v>39</v>
      </c>
      <c r="G1892" s="2" t="s">
        <v>419</v>
      </c>
      <c r="H1892" s="2" t="s">
        <v>365</v>
      </c>
      <c r="S1892" s="2" t="s">
        <v>59</v>
      </c>
      <c r="U1892" s="2" t="s">
        <v>59</v>
      </c>
      <c r="W1892" s="2" t="s">
        <v>60</v>
      </c>
    </row>
    <row r="1893" spans="1:25" x14ac:dyDescent="0.25">
      <c r="A1893" s="2" t="s">
        <v>318</v>
      </c>
      <c r="B1893" s="2" t="s">
        <v>531</v>
      </c>
      <c r="C1893" s="2" t="s">
        <v>409</v>
      </c>
      <c r="D1893" s="2" t="s">
        <v>412</v>
      </c>
      <c r="E1893" s="2" t="s">
        <v>413</v>
      </c>
      <c r="F1893" s="2" t="s">
        <v>39</v>
      </c>
      <c r="J1893" s="2" t="s">
        <v>532</v>
      </c>
      <c r="K1893" s="2" t="s">
        <v>533</v>
      </c>
      <c r="L1893" s="2">
        <v>1</v>
      </c>
      <c r="M1893" s="2" t="s">
        <v>534</v>
      </c>
      <c r="O1893" s="2" t="s">
        <v>524</v>
      </c>
      <c r="Y1893" s="2" t="s">
        <v>646</v>
      </c>
    </row>
    <row r="1894" spans="1:25" x14ac:dyDescent="0.25">
      <c r="A1894" s="2" t="s">
        <v>318</v>
      </c>
      <c r="B1894" s="2" t="s">
        <v>531</v>
      </c>
      <c r="C1894" s="2" t="s">
        <v>409</v>
      </c>
      <c r="D1894" s="2" t="s">
        <v>412</v>
      </c>
      <c r="E1894" s="2" t="s">
        <v>413</v>
      </c>
      <c r="F1894" s="2" t="s">
        <v>39</v>
      </c>
      <c r="J1894" s="2" t="s">
        <v>532</v>
      </c>
      <c r="K1894" s="2" t="s">
        <v>533</v>
      </c>
      <c r="L1894" s="2">
        <v>2</v>
      </c>
      <c r="M1894" s="2" t="s">
        <v>536</v>
      </c>
      <c r="O1894" s="2" t="s">
        <v>524</v>
      </c>
      <c r="Y1894" s="2" t="s">
        <v>646</v>
      </c>
    </row>
    <row r="1895" spans="1:25" x14ac:dyDescent="0.25">
      <c r="A1895" s="2" t="s">
        <v>318</v>
      </c>
      <c r="B1895" s="2" t="s">
        <v>531</v>
      </c>
      <c r="C1895" s="2" t="s">
        <v>409</v>
      </c>
      <c r="D1895" s="2" t="s">
        <v>412</v>
      </c>
      <c r="E1895" s="2" t="s">
        <v>413</v>
      </c>
      <c r="F1895" s="2" t="s">
        <v>39</v>
      </c>
      <c r="J1895" s="2" t="s">
        <v>532</v>
      </c>
      <c r="K1895" s="2" t="s">
        <v>533</v>
      </c>
      <c r="L1895" s="2">
        <v>3</v>
      </c>
      <c r="M1895" s="2" t="s">
        <v>537</v>
      </c>
      <c r="O1895" s="2" t="s">
        <v>524</v>
      </c>
      <c r="Y1895" s="2" t="s">
        <v>646</v>
      </c>
    </row>
    <row r="1896" spans="1:25" x14ac:dyDescent="0.25">
      <c r="A1896" s="2" t="s">
        <v>318</v>
      </c>
      <c r="B1896" s="2" t="s">
        <v>531</v>
      </c>
      <c r="C1896" s="2" t="s">
        <v>409</v>
      </c>
      <c r="D1896" s="2" t="s">
        <v>412</v>
      </c>
      <c r="E1896" s="2" t="s">
        <v>413</v>
      </c>
      <c r="F1896" s="2" t="s">
        <v>39</v>
      </c>
      <c r="J1896" s="2" t="s">
        <v>532</v>
      </c>
      <c r="K1896" s="2" t="s">
        <v>533</v>
      </c>
      <c r="L1896" s="2">
        <v>4</v>
      </c>
      <c r="M1896" s="2" t="s">
        <v>538</v>
      </c>
      <c r="O1896" s="2" t="s">
        <v>524</v>
      </c>
      <c r="Y1896" s="2" t="s">
        <v>646</v>
      </c>
    </row>
    <row r="1897" spans="1:25" x14ac:dyDescent="0.25">
      <c r="A1897" s="2" t="s">
        <v>318</v>
      </c>
      <c r="B1897" s="2" t="s">
        <v>531</v>
      </c>
      <c r="C1897" s="2" t="s">
        <v>409</v>
      </c>
      <c r="D1897" s="2" t="s">
        <v>412</v>
      </c>
      <c r="E1897" s="2" t="s">
        <v>413</v>
      </c>
      <c r="F1897" s="2" t="s">
        <v>39</v>
      </c>
      <c r="J1897" s="2" t="s">
        <v>532</v>
      </c>
      <c r="K1897" s="2" t="s">
        <v>533</v>
      </c>
      <c r="L1897" s="2">
        <v>5</v>
      </c>
      <c r="M1897" s="2" t="s">
        <v>539</v>
      </c>
      <c r="O1897" s="2" t="s">
        <v>524</v>
      </c>
      <c r="Y1897" s="2" t="s">
        <v>646</v>
      </c>
    </row>
    <row r="1898" spans="1:25" x14ac:dyDescent="0.25">
      <c r="A1898" s="2" t="s">
        <v>318</v>
      </c>
      <c r="B1898" s="2" t="s">
        <v>540</v>
      </c>
      <c r="C1898" s="2" t="s">
        <v>409</v>
      </c>
      <c r="D1898" s="2" t="s">
        <v>412</v>
      </c>
      <c r="E1898" s="2" t="s">
        <v>413</v>
      </c>
      <c r="F1898" s="2" t="s">
        <v>39</v>
      </c>
      <c r="J1898" s="2" t="s">
        <v>541</v>
      </c>
      <c r="K1898" s="2" t="s">
        <v>542</v>
      </c>
      <c r="L1898" s="2">
        <v>1</v>
      </c>
      <c r="M1898" s="2" t="s">
        <v>543</v>
      </c>
      <c r="O1898" s="2" t="s">
        <v>524</v>
      </c>
      <c r="Y1898" s="2" t="s">
        <v>646</v>
      </c>
    </row>
    <row r="1899" spans="1:25" x14ac:dyDescent="0.25">
      <c r="A1899" s="2" t="s">
        <v>318</v>
      </c>
      <c r="B1899" s="2" t="s">
        <v>540</v>
      </c>
      <c r="C1899" s="2" t="s">
        <v>409</v>
      </c>
      <c r="D1899" s="2" t="s">
        <v>412</v>
      </c>
      <c r="E1899" s="2" t="s">
        <v>413</v>
      </c>
      <c r="F1899" s="2" t="s">
        <v>39</v>
      </c>
      <c r="J1899" s="2" t="s">
        <v>541</v>
      </c>
      <c r="K1899" s="2" t="s">
        <v>542</v>
      </c>
      <c r="L1899" s="2">
        <v>2</v>
      </c>
      <c r="M1899" s="2" t="s">
        <v>544</v>
      </c>
      <c r="O1899" s="2" t="s">
        <v>524</v>
      </c>
      <c r="Y1899" s="2" t="s">
        <v>646</v>
      </c>
    </row>
    <row r="1900" spans="1:25" x14ac:dyDescent="0.25">
      <c r="A1900" s="2" t="s">
        <v>318</v>
      </c>
      <c r="B1900" s="2" t="s">
        <v>540</v>
      </c>
      <c r="C1900" s="2" t="s">
        <v>409</v>
      </c>
      <c r="D1900" s="2" t="s">
        <v>412</v>
      </c>
      <c r="E1900" s="2" t="s">
        <v>413</v>
      </c>
      <c r="F1900" s="2" t="s">
        <v>39</v>
      </c>
      <c r="J1900" s="2" t="s">
        <v>541</v>
      </c>
      <c r="K1900" s="2" t="s">
        <v>542</v>
      </c>
      <c r="L1900" s="2">
        <v>3</v>
      </c>
      <c r="M1900" s="2" t="s">
        <v>545</v>
      </c>
      <c r="O1900" s="2" t="s">
        <v>524</v>
      </c>
      <c r="Y1900" s="2" t="s">
        <v>646</v>
      </c>
    </row>
    <row r="1901" spans="1:25" x14ac:dyDescent="0.25">
      <c r="A1901" s="2" t="s">
        <v>318</v>
      </c>
      <c r="B1901" s="2" t="s">
        <v>540</v>
      </c>
      <c r="C1901" s="2" t="s">
        <v>409</v>
      </c>
      <c r="D1901" s="2" t="s">
        <v>412</v>
      </c>
      <c r="E1901" s="2" t="s">
        <v>413</v>
      </c>
      <c r="F1901" s="2" t="s">
        <v>39</v>
      </c>
      <c r="J1901" s="2" t="s">
        <v>541</v>
      </c>
      <c r="K1901" s="2" t="s">
        <v>542</v>
      </c>
      <c r="L1901" s="2">
        <v>4</v>
      </c>
      <c r="M1901" s="2" t="s">
        <v>546</v>
      </c>
      <c r="O1901" s="2" t="s">
        <v>524</v>
      </c>
      <c r="Y1901" s="2" t="s">
        <v>646</v>
      </c>
    </row>
    <row r="1902" spans="1:25" x14ac:dyDescent="0.25">
      <c r="A1902" s="2" t="s">
        <v>318</v>
      </c>
      <c r="B1902" s="2" t="s">
        <v>540</v>
      </c>
      <c r="C1902" s="2" t="s">
        <v>409</v>
      </c>
      <c r="D1902" s="2" t="s">
        <v>412</v>
      </c>
      <c r="E1902" s="2" t="s">
        <v>413</v>
      </c>
      <c r="F1902" s="2" t="s">
        <v>39</v>
      </c>
      <c r="J1902" s="2" t="s">
        <v>541</v>
      </c>
      <c r="K1902" s="2" t="s">
        <v>542</v>
      </c>
      <c r="L1902" s="2">
        <v>5</v>
      </c>
      <c r="M1902" s="2" t="s">
        <v>547</v>
      </c>
      <c r="O1902" s="2" t="s">
        <v>524</v>
      </c>
      <c r="Y1902" s="2" t="s">
        <v>646</v>
      </c>
    </row>
    <row r="1903" spans="1:25" x14ac:dyDescent="0.25">
      <c r="A1903" s="2" t="s">
        <v>318</v>
      </c>
      <c r="B1903" s="2" t="s">
        <v>540</v>
      </c>
      <c r="C1903" s="2" t="s">
        <v>409</v>
      </c>
      <c r="D1903" s="2" t="s">
        <v>412</v>
      </c>
      <c r="E1903" s="2" t="s">
        <v>413</v>
      </c>
      <c r="F1903" s="2" t="s">
        <v>39</v>
      </c>
      <c r="J1903" s="2" t="s">
        <v>541</v>
      </c>
      <c r="K1903" s="2" t="s">
        <v>542</v>
      </c>
      <c r="L1903" s="2">
        <v>6</v>
      </c>
      <c r="M1903" s="2" t="s">
        <v>548</v>
      </c>
      <c r="O1903" s="2" t="s">
        <v>524</v>
      </c>
      <c r="Y1903" s="2" t="s">
        <v>646</v>
      </c>
    </row>
    <row r="1904" spans="1:25" x14ac:dyDescent="0.25">
      <c r="A1904" s="2" t="s">
        <v>318</v>
      </c>
      <c r="B1904" s="2" t="s">
        <v>540</v>
      </c>
      <c r="C1904" s="2" t="s">
        <v>409</v>
      </c>
      <c r="D1904" s="2" t="s">
        <v>412</v>
      </c>
      <c r="E1904" s="2" t="s">
        <v>413</v>
      </c>
      <c r="F1904" s="2" t="s">
        <v>39</v>
      </c>
      <c r="J1904" s="2" t="s">
        <v>541</v>
      </c>
      <c r="K1904" s="2" t="s">
        <v>542</v>
      </c>
      <c r="L1904" s="2">
        <v>7</v>
      </c>
      <c r="M1904" s="2" t="s">
        <v>549</v>
      </c>
      <c r="O1904" s="2" t="s">
        <v>524</v>
      </c>
      <c r="Y1904" s="2" t="s">
        <v>646</v>
      </c>
    </row>
    <row r="1905" spans="1:34" x14ac:dyDescent="0.25">
      <c r="A1905" s="2" t="s">
        <v>318</v>
      </c>
      <c r="B1905" s="2" t="s">
        <v>540</v>
      </c>
      <c r="C1905" s="2" t="s">
        <v>409</v>
      </c>
      <c r="D1905" s="2" t="s">
        <v>412</v>
      </c>
      <c r="E1905" s="2" t="s">
        <v>413</v>
      </c>
      <c r="F1905" s="2" t="s">
        <v>39</v>
      </c>
      <c r="J1905" s="2" t="s">
        <v>541</v>
      </c>
      <c r="K1905" s="2" t="s">
        <v>542</v>
      </c>
      <c r="L1905" s="2">
        <v>8</v>
      </c>
      <c r="M1905" s="2" t="s">
        <v>550</v>
      </c>
      <c r="O1905" s="2" t="s">
        <v>524</v>
      </c>
      <c r="Y1905" s="2" t="s">
        <v>646</v>
      </c>
    </row>
    <row r="1906" spans="1:34" x14ac:dyDescent="0.25">
      <c r="A1906" s="2" t="s">
        <v>318</v>
      </c>
      <c r="B1906" s="2" t="s">
        <v>540</v>
      </c>
      <c r="C1906" s="2" t="s">
        <v>409</v>
      </c>
      <c r="D1906" s="2" t="s">
        <v>412</v>
      </c>
      <c r="E1906" s="2" t="s">
        <v>413</v>
      </c>
      <c r="F1906" s="2" t="s">
        <v>39</v>
      </c>
      <c r="J1906" s="2" t="s">
        <v>541</v>
      </c>
      <c r="K1906" s="2" t="s">
        <v>542</v>
      </c>
      <c r="L1906" s="2">
        <v>9</v>
      </c>
      <c r="M1906" s="2" t="s">
        <v>551</v>
      </c>
      <c r="O1906" s="2" t="s">
        <v>524</v>
      </c>
      <c r="Y1906" s="2" t="s">
        <v>646</v>
      </c>
    </row>
    <row r="1907" spans="1:34" x14ac:dyDescent="0.25">
      <c r="A1907" s="2" t="s">
        <v>318</v>
      </c>
      <c r="B1907" s="2" t="s">
        <v>540</v>
      </c>
      <c r="C1907" s="2" t="s">
        <v>409</v>
      </c>
      <c r="D1907" s="2" t="s">
        <v>412</v>
      </c>
      <c r="E1907" s="2" t="s">
        <v>413</v>
      </c>
      <c r="F1907" s="2" t="s">
        <v>39</v>
      </c>
      <c r="J1907" s="2" t="s">
        <v>541</v>
      </c>
      <c r="K1907" s="2" t="s">
        <v>542</v>
      </c>
      <c r="L1907" s="2">
        <v>10</v>
      </c>
      <c r="M1907" s="2" t="s">
        <v>552</v>
      </c>
      <c r="O1907" s="2" t="s">
        <v>524</v>
      </c>
      <c r="Y1907" s="2" t="s">
        <v>646</v>
      </c>
    </row>
    <row r="1908" spans="1:34" x14ac:dyDescent="0.25">
      <c r="A1908" s="2" t="s">
        <v>318</v>
      </c>
      <c r="B1908" s="2" t="s">
        <v>540</v>
      </c>
      <c r="C1908" s="2" t="s">
        <v>409</v>
      </c>
      <c r="D1908" s="2" t="s">
        <v>412</v>
      </c>
      <c r="E1908" s="2" t="s">
        <v>413</v>
      </c>
      <c r="F1908" s="2" t="s">
        <v>39</v>
      </c>
      <c r="J1908" s="2" t="s">
        <v>541</v>
      </c>
      <c r="K1908" s="2" t="s">
        <v>542</v>
      </c>
      <c r="L1908" s="2">
        <v>11</v>
      </c>
      <c r="M1908" s="2" t="s">
        <v>553</v>
      </c>
      <c r="O1908" s="2" t="s">
        <v>524</v>
      </c>
      <c r="Y1908" s="2" t="s">
        <v>646</v>
      </c>
    </row>
    <row r="1909" spans="1:34" x14ac:dyDescent="0.25">
      <c r="A1909" s="2" t="s">
        <v>318</v>
      </c>
      <c r="B1909" s="2" t="s">
        <v>540</v>
      </c>
      <c r="C1909" s="2" t="s">
        <v>409</v>
      </c>
      <c r="D1909" s="2" t="s">
        <v>412</v>
      </c>
      <c r="E1909" s="2" t="s">
        <v>413</v>
      </c>
      <c r="F1909" s="2" t="s">
        <v>39</v>
      </c>
      <c r="J1909" s="2" t="s">
        <v>541</v>
      </c>
      <c r="K1909" s="2" t="s">
        <v>542</v>
      </c>
      <c r="L1909" s="2">
        <v>12</v>
      </c>
      <c r="M1909" s="2" t="s">
        <v>554</v>
      </c>
      <c r="O1909" s="2" t="s">
        <v>524</v>
      </c>
      <c r="Y1909" s="2" t="s">
        <v>646</v>
      </c>
    </row>
    <row r="1910" spans="1:34" x14ac:dyDescent="0.25">
      <c r="A1910" s="2" t="s">
        <v>318</v>
      </c>
      <c r="B1910" s="2" t="s">
        <v>555</v>
      </c>
      <c r="C1910" s="2" t="s">
        <v>409</v>
      </c>
      <c r="D1910" s="2" t="s">
        <v>412</v>
      </c>
      <c r="E1910" s="2" t="s">
        <v>413</v>
      </c>
      <c r="F1910" s="2" t="s">
        <v>39</v>
      </c>
      <c r="J1910" s="2" t="s">
        <v>556</v>
      </c>
      <c r="O1910" s="2" t="s">
        <v>524</v>
      </c>
      <c r="Y1910" s="2" t="s">
        <v>646</v>
      </c>
      <c r="AB1910" s="2">
        <v>1</v>
      </c>
    </row>
    <row r="1911" spans="1:34" x14ac:dyDescent="0.25">
      <c r="A1911" s="2" t="s">
        <v>318</v>
      </c>
      <c r="B1911" s="2" t="s">
        <v>557</v>
      </c>
      <c r="C1911" s="2" t="s">
        <v>409</v>
      </c>
      <c r="D1911" s="2" t="s">
        <v>412</v>
      </c>
      <c r="E1911" s="2" t="s">
        <v>413</v>
      </c>
      <c r="F1911" s="2" t="s">
        <v>39</v>
      </c>
      <c r="J1911" s="2" t="s">
        <v>558</v>
      </c>
      <c r="O1911" s="2" t="s">
        <v>524</v>
      </c>
      <c r="Y1911" s="2" t="s">
        <v>646</v>
      </c>
      <c r="AC1911" s="2">
        <f>COUNTIFS($B:$B,"BLOCK_LOAD_Q",$A:$A,$A1911,$C:$C,$C1911,$E:$E,$E1911,$F:$F,$F1911,$N:$N, "&lt;&gt;")</f>
        <v>0</v>
      </c>
      <c r="AD1911" s="2">
        <f>COUNTIFS($B:$B,"BLOCK_TRUST_Q",$A:$A,$A1911,$C:$C,$C1911,$E:$E,$E1911,$F:$F,$F1911,$N:$N, "&lt;&gt;")</f>
        <v>0</v>
      </c>
      <c r="AE1911" s="2" t="str">
        <f>IFERROR(AVERAGEIFS($P:$P,$B:$B,"BLOCK_LOAD_Q",$A:$A,$A1911,$C:$C,$C1911,$E:$E,$E1911,$F:$F,$F1911,$P:$P,"&gt;0"),"")</f>
        <v/>
      </c>
      <c r="AF1911" s="2" t="str">
        <f>IFERROR(AVERAGEIFS($P:$P,$B:$B,"BLOCK_TRUST_Q",$A:$A,$A1911,$C:$C,$C1911,$E:$E,$E1911,$F:$F,$F1911,$P:$P,"&gt;0"),"")</f>
        <v/>
      </c>
      <c r="AG1911" s="2">
        <f>5-AC1911</f>
        <v>5</v>
      </c>
      <c r="AH1911" s="2">
        <f>12-AD1911</f>
        <v>12</v>
      </c>
    </row>
    <row r="1912" spans="1:34" x14ac:dyDescent="0.25">
      <c r="A1912" s="2" t="s">
        <v>318</v>
      </c>
      <c r="B1912" s="2" t="s">
        <v>402</v>
      </c>
      <c r="C1912" s="2" t="s">
        <v>409</v>
      </c>
      <c r="D1912" s="2" t="s">
        <v>412</v>
      </c>
      <c r="E1912" s="2" t="s">
        <v>414</v>
      </c>
      <c r="F1912" s="2" t="s">
        <v>40</v>
      </c>
      <c r="G1912" s="2" t="s">
        <v>415</v>
      </c>
      <c r="H1912" s="2" t="s">
        <v>567</v>
      </c>
      <c r="S1912" s="2" t="s">
        <v>58</v>
      </c>
      <c r="U1912" s="2" t="s">
        <v>57</v>
      </c>
      <c r="W1912" s="2" t="s">
        <v>60</v>
      </c>
    </row>
    <row r="1913" spans="1:34" x14ac:dyDescent="0.25">
      <c r="A1913" s="2" t="s">
        <v>318</v>
      </c>
      <c r="B1913" s="2" t="s">
        <v>402</v>
      </c>
      <c r="C1913" s="2" t="s">
        <v>409</v>
      </c>
      <c r="D1913" s="2" t="s">
        <v>412</v>
      </c>
      <c r="E1913" s="2" t="s">
        <v>414</v>
      </c>
      <c r="F1913" s="2" t="s">
        <v>40</v>
      </c>
      <c r="G1913" s="2" t="s">
        <v>416</v>
      </c>
      <c r="H1913" s="2" t="s">
        <v>568</v>
      </c>
      <c r="S1913" s="2" t="s">
        <v>59</v>
      </c>
      <c r="U1913" s="2" t="s">
        <v>60</v>
      </c>
      <c r="W1913" s="2" t="s">
        <v>59</v>
      </c>
    </row>
    <row r="1914" spans="1:34" x14ac:dyDescent="0.25">
      <c r="A1914" s="2" t="s">
        <v>318</v>
      </c>
      <c r="B1914" s="2" t="s">
        <v>402</v>
      </c>
      <c r="C1914" s="2" t="s">
        <v>409</v>
      </c>
      <c r="D1914" s="2" t="s">
        <v>412</v>
      </c>
      <c r="E1914" s="2" t="s">
        <v>414</v>
      </c>
      <c r="F1914" s="2" t="s">
        <v>40</v>
      </c>
      <c r="G1914" s="2" t="s">
        <v>417</v>
      </c>
      <c r="H1914" s="2" t="s">
        <v>569</v>
      </c>
      <c r="S1914" s="2" t="s">
        <v>57</v>
      </c>
      <c r="U1914" s="2" t="s">
        <v>60</v>
      </c>
      <c r="W1914" s="2" t="s">
        <v>57</v>
      </c>
    </row>
    <row r="1915" spans="1:34" x14ac:dyDescent="0.25">
      <c r="A1915" s="2" t="s">
        <v>318</v>
      </c>
      <c r="B1915" s="2" t="s">
        <v>402</v>
      </c>
      <c r="C1915" s="2" t="s">
        <v>409</v>
      </c>
      <c r="D1915" s="2" t="s">
        <v>412</v>
      </c>
      <c r="E1915" s="2" t="s">
        <v>414</v>
      </c>
      <c r="F1915" s="2" t="s">
        <v>40</v>
      </c>
      <c r="G1915" s="2" t="s">
        <v>418</v>
      </c>
      <c r="H1915" s="2" t="s">
        <v>351</v>
      </c>
      <c r="S1915" s="2" t="s">
        <v>60</v>
      </c>
      <c r="U1915" s="2" t="s">
        <v>57</v>
      </c>
      <c r="W1915" s="2" t="s">
        <v>57</v>
      </c>
    </row>
    <row r="1916" spans="1:34" x14ac:dyDescent="0.25">
      <c r="A1916" s="2" t="s">
        <v>318</v>
      </c>
      <c r="B1916" s="2" t="s">
        <v>531</v>
      </c>
      <c r="C1916" s="2" t="s">
        <v>409</v>
      </c>
      <c r="D1916" s="2" t="s">
        <v>412</v>
      </c>
      <c r="E1916" s="2" t="s">
        <v>414</v>
      </c>
      <c r="F1916" s="2" t="s">
        <v>40</v>
      </c>
      <c r="J1916" s="2" t="s">
        <v>532</v>
      </c>
      <c r="K1916" s="2" t="s">
        <v>533</v>
      </c>
      <c r="L1916" s="2">
        <v>1</v>
      </c>
      <c r="M1916" s="2" t="s">
        <v>534</v>
      </c>
      <c r="O1916" s="2" t="s">
        <v>524</v>
      </c>
      <c r="Y1916" s="2" t="s">
        <v>647</v>
      </c>
    </row>
    <row r="1917" spans="1:34" x14ac:dyDescent="0.25">
      <c r="A1917" s="2" t="s">
        <v>318</v>
      </c>
      <c r="B1917" s="2" t="s">
        <v>531</v>
      </c>
      <c r="C1917" s="2" t="s">
        <v>409</v>
      </c>
      <c r="D1917" s="2" t="s">
        <v>412</v>
      </c>
      <c r="E1917" s="2" t="s">
        <v>414</v>
      </c>
      <c r="F1917" s="2" t="s">
        <v>40</v>
      </c>
      <c r="J1917" s="2" t="s">
        <v>532</v>
      </c>
      <c r="K1917" s="2" t="s">
        <v>533</v>
      </c>
      <c r="L1917" s="2">
        <v>2</v>
      </c>
      <c r="M1917" s="2" t="s">
        <v>536</v>
      </c>
      <c r="O1917" s="2" t="s">
        <v>524</v>
      </c>
      <c r="Y1917" s="2" t="s">
        <v>647</v>
      </c>
    </row>
    <row r="1918" spans="1:34" x14ac:dyDescent="0.25">
      <c r="A1918" s="2" t="s">
        <v>318</v>
      </c>
      <c r="B1918" s="2" t="s">
        <v>531</v>
      </c>
      <c r="C1918" s="2" t="s">
        <v>409</v>
      </c>
      <c r="D1918" s="2" t="s">
        <v>412</v>
      </c>
      <c r="E1918" s="2" t="s">
        <v>414</v>
      </c>
      <c r="F1918" s="2" t="s">
        <v>40</v>
      </c>
      <c r="J1918" s="2" t="s">
        <v>532</v>
      </c>
      <c r="K1918" s="2" t="s">
        <v>533</v>
      </c>
      <c r="L1918" s="2">
        <v>3</v>
      </c>
      <c r="M1918" s="2" t="s">
        <v>537</v>
      </c>
      <c r="O1918" s="2" t="s">
        <v>524</v>
      </c>
      <c r="Y1918" s="2" t="s">
        <v>647</v>
      </c>
    </row>
    <row r="1919" spans="1:34" x14ac:dyDescent="0.25">
      <c r="A1919" s="2" t="s">
        <v>318</v>
      </c>
      <c r="B1919" s="2" t="s">
        <v>531</v>
      </c>
      <c r="C1919" s="2" t="s">
        <v>409</v>
      </c>
      <c r="D1919" s="2" t="s">
        <v>412</v>
      </c>
      <c r="E1919" s="2" t="s">
        <v>414</v>
      </c>
      <c r="F1919" s="2" t="s">
        <v>40</v>
      </c>
      <c r="J1919" s="2" t="s">
        <v>532</v>
      </c>
      <c r="K1919" s="2" t="s">
        <v>533</v>
      </c>
      <c r="L1919" s="2">
        <v>4</v>
      </c>
      <c r="M1919" s="2" t="s">
        <v>538</v>
      </c>
      <c r="O1919" s="2" t="s">
        <v>524</v>
      </c>
      <c r="Y1919" s="2" t="s">
        <v>647</v>
      </c>
    </row>
    <row r="1920" spans="1:34" x14ac:dyDescent="0.25">
      <c r="A1920" s="2" t="s">
        <v>318</v>
      </c>
      <c r="B1920" s="2" t="s">
        <v>531</v>
      </c>
      <c r="C1920" s="2" t="s">
        <v>409</v>
      </c>
      <c r="D1920" s="2" t="s">
        <v>412</v>
      </c>
      <c r="E1920" s="2" t="s">
        <v>414</v>
      </c>
      <c r="F1920" s="2" t="s">
        <v>40</v>
      </c>
      <c r="J1920" s="2" t="s">
        <v>532</v>
      </c>
      <c r="K1920" s="2" t="s">
        <v>533</v>
      </c>
      <c r="L1920" s="2">
        <v>5</v>
      </c>
      <c r="M1920" s="2" t="s">
        <v>539</v>
      </c>
      <c r="O1920" s="2" t="s">
        <v>524</v>
      </c>
      <c r="Y1920" s="2" t="s">
        <v>647</v>
      </c>
    </row>
    <row r="1921" spans="1:34" x14ac:dyDescent="0.25">
      <c r="A1921" s="2" t="s">
        <v>318</v>
      </c>
      <c r="B1921" s="2" t="s">
        <v>540</v>
      </c>
      <c r="C1921" s="2" t="s">
        <v>409</v>
      </c>
      <c r="D1921" s="2" t="s">
        <v>412</v>
      </c>
      <c r="E1921" s="2" t="s">
        <v>414</v>
      </c>
      <c r="F1921" s="2" t="s">
        <v>40</v>
      </c>
      <c r="J1921" s="2" t="s">
        <v>541</v>
      </c>
      <c r="K1921" s="2" t="s">
        <v>542</v>
      </c>
      <c r="L1921" s="2">
        <v>1</v>
      </c>
      <c r="M1921" s="2" t="s">
        <v>543</v>
      </c>
      <c r="O1921" s="2" t="s">
        <v>524</v>
      </c>
      <c r="Y1921" s="2" t="s">
        <v>647</v>
      </c>
    </row>
    <row r="1922" spans="1:34" x14ac:dyDescent="0.25">
      <c r="A1922" s="2" t="s">
        <v>318</v>
      </c>
      <c r="B1922" s="2" t="s">
        <v>540</v>
      </c>
      <c r="C1922" s="2" t="s">
        <v>409</v>
      </c>
      <c r="D1922" s="2" t="s">
        <v>412</v>
      </c>
      <c r="E1922" s="2" t="s">
        <v>414</v>
      </c>
      <c r="F1922" s="2" t="s">
        <v>40</v>
      </c>
      <c r="J1922" s="2" t="s">
        <v>541</v>
      </c>
      <c r="K1922" s="2" t="s">
        <v>542</v>
      </c>
      <c r="L1922" s="2">
        <v>2</v>
      </c>
      <c r="M1922" s="2" t="s">
        <v>544</v>
      </c>
      <c r="O1922" s="2" t="s">
        <v>524</v>
      </c>
      <c r="Y1922" s="2" t="s">
        <v>647</v>
      </c>
    </row>
    <row r="1923" spans="1:34" x14ac:dyDescent="0.25">
      <c r="A1923" s="2" t="s">
        <v>318</v>
      </c>
      <c r="B1923" s="2" t="s">
        <v>540</v>
      </c>
      <c r="C1923" s="2" t="s">
        <v>409</v>
      </c>
      <c r="D1923" s="2" t="s">
        <v>412</v>
      </c>
      <c r="E1923" s="2" t="s">
        <v>414</v>
      </c>
      <c r="F1923" s="2" t="s">
        <v>40</v>
      </c>
      <c r="J1923" s="2" t="s">
        <v>541</v>
      </c>
      <c r="K1923" s="2" t="s">
        <v>542</v>
      </c>
      <c r="L1923" s="2">
        <v>3</v>
      </c>
      <c r="M1923" s="2" t="s">
        <v>545</v>
      </c>
      <c r="O1923" s="2" t="s">
        <v>524</v>
      </c>
      <c r="Y1923" s="2" t="s">
        <v>647</v>
      </c>
    </row>
    <row r="1924" spans="1:34" x14ac:dyDescent="0.25">
      <c r="A1924" s="2" t="s">
        <v>318</v>
      </c>
      <c r="B1924" s="2" t="s">
        <v>540</v>
      </c>
      <c r="C1924" s="2" t="s">
        <v>409</v>
      </c>
      <c r="D1924" s="2" t="s">
        <v>412</v>
      </c>
      <c r="E1924" s="2" t="s">
        <v>414</v>
      </c>
      <c r="F1924" s="2" t="s">
        <v>40</v>
      </c>
      <c r="J1924" s="2" t="s">
        <v>541</v>
      </c>
      <c r="K1924" s="2" t="s">
        <v>542</v>
      </c>
      <c r="L1924" s="2">
        <v>4</v>
      </c>
      <c r="M1924" s="2" t="s">
        <v>546</v>
      </c>
      <c r="O1924" s="2" t="s">
        <v>524</v>
      </c>
      <c r="Y1924" s="2" t="s">
        <v>647</v>
      </c>
    </row>
    <row r="1925" spans="1:34" x14ac:dyDescent="0.25">
      <c r="A1925" s="2" t="s">
        <v>318</v>
      </c>
      <c r="B1925" s="2" t="s">
        <v>540</v>
      </c>
      <c r="C1925" s="2" t="s">
        <v>409</v>
      </c>
      <c r="D1925" s="2" t="s">
        <v>412</v>
      </c>
      <c r="E1925" s="2" t="s">
        <v>414</v>
      </c>
      <c r="F1925" s="2" t="s">
        <v>40</v>
      </c>
      <c r="J1925" s="2" t="s">
        <v>541</v>
      </c>
      <c r="K1925" s="2" t="s">
        <v>542</v>
      </c>
      <c r="L1925" s="2">
        <v>5</v>
      </c>
      <c r="M1925" s="2" t="s">
        <v>547</v>
      </c>
      <c r="O1925" s="2" t="s">
        <v>524</v>
      </c>
      <c r="Y1925" s="2" t="s">
        <v>647</v>
      </c>
    </row>
    <row r="1926" spans="1:34" x14ac:dyDescent="0.25">
      <c r="A1926" s="2" t="s">
        <v>318</v>
      </c>
      <c r="B1926" s="2" t="s">
        <v>540</v>
      </c>
      <c r="C1926" s="2" t="s">
        <v>409</v>
      </c>
      <c r="D1926" s="2" t="s">
        <v>412</v>
      </c>
      <c r="E1926" s="2" t="s">
        <v>414</v>
      </c>
      <c r="F1926" s="2" t="s">
        <v>40</v>
      </c>
      <c r="J1926" s="2" t="s">
        <v>541</v>
      </c>
      <c r="K1926" s="2" t="s">
        <v>542</v>
      </c>
      <c r="L1926" s="2">
        <v>6</v>
      </c>
      <c r="M1926" s="2" t="s">
        <v>548</v>
      </c>
      <c r="O1926" s="2" t="s">
        <v>524</v>
      </c>
      <c r="Y1926" s="2" t="s">
        <v>647</v>
      </c>
    </row>
    <row r="1927" spans="1:34" x14ac:dyDescent="0.25">
      <c r="A1927" s="2" t="s">
        <v>318</v>
      </c>
      <c r="B1927" s="2" t="s">
        <v>540</v>
      </c>
      <c r="C1927" s="2" t="s">
        <v>409</v>
      </c>
      <c r="D1927" s="2" t="s">
        <v>412</v>
      </c>
      <c r="E1927" s="2" t="s">
        <v>414</v>
      </c>
      <c r="F1927" s="2" t="s">
        <v>40</v>
      </c>
      <c r="J1927" s="2" t="s">
        <v>541</v>
      </c>
      <c r="K1927" s="2" t="s">
        <v>542</v>
      </c>
      <c r="L1927" s="2">
        <v>7</v>
      </c>
      <c r="M1927" s="2" t="s">
        <v>549</v>
      </c>
      <c r="O1927" s="2" t="s">
        <v>524</v>
      </c>
      <c r="Y1927" s="2" t="s">
        <v>647</v>
      </c>
    </row>
    <row r="1928" spans="1:34" x14ac:dyDescent="0.25">
      <c r="A1928" s="2" t="s">
        <v>318</v>
      </c>
      <c r="B1928" s="2" t="s">
        <v>540</v>
      </c>
      <c r="C1928" s="2" t="s">
        <v>409</v>
      </c>
      <c r="D1928" s="2" t="s">
        <v>412</v>
      </c>
      <c r="E1928" s="2" t="s">
        <v>414</v>
      </c>
      <c r="F1928" s="2" t="s">
        <v>40</v>
      </c>
      <c r="J1928" s="2" t="s">
        <v>541</v>
      </c>
      <c r="K1928" s="2" t="s">
        <v>542</v>
      </c>
      <c r="L1928" s="2">
        <v>8</v>
      </c>
      <c r="M1928" s="2" t="s">
        <v>550</v>
      </c>
      <c r="O1928" s="2" t="s">
        <v>524</v>
      </c>
      <c r="Y1928" s="2" t="s">
        <v>647</v>
      </c>
    </row>
    <row r="1929" spans="1:34" x14ac:dyDescent="0.25">
      <c r="A1929" s="2" t="s">
        <v>318</v>
      </c>
      <c r="B1929" s="2" t="s">
        <v>540</v>
      </c>
      <c r="C1929" s="2" t="s">
        <v>409</v>
      </c>
      <c r="D1929" s="2" t="s">
        <v>412</v>
      </c>
      <c r="E1929" s="2" t="s">
        <v>414</v>
      </c>
      <c r="F1929" s="2" t="s">
        <v>40</v>
      </c>
      <c r="J1929" s="2" t="s">
        <v>541</v>
      </c>
      <c r="K1929" s="2" t="s">
        <v>542</v>
      </c>
      <c r="L1929" s="2">
        <v>9</v>
      </c>
      <c r="M1929" s="2" t="s">
        <v>551</v>
      </c>
      <c r="O1929" s="2" t="s">
        <v>524</v>
      </c>
      <c r="Y1929" s="2" t="s">
        <v>647</v>
      </c>
    </row>
    <row r="1930" spans="1:34" x14ac:dyDescent="0.25">
      <c r="A1930" s="2" t="s">
        <v>318</v>
      </c>
      <c r="B1930" s="2" t="s">
        <v>540</v>
      </c>
      <c r="C1930" s="2" t="s">
        <v>409</v>
      </c>
      <c r="D1930" s="2" t="s">
        <v>412</v>
      </c>
      <c r="E1930" s="2" t="s">
        <v>414</v>
      </c>
      <c r="F1930" s="2" t="s">
        <v>40</v>
      </c>
      <c r="J1930" s="2" t="s">
        <v>541</v>
      </c>
      <c r="K1930" s="2" t="s">
        <v>542</v>
      </c>
      <c r="L1930" s="2">
        <v>10</v>
      </c>
      <c r="M1930" s="2" t="s">
        <v>552</v>
      </c>
      <c r="O1930" s="2" t="s">
        <v>524</v>
      </c>
      <c r="Y1930" s="2" t="s">
        <v>647</v>
      </c>
    </row>
    <row r="1931" spans="1:34" x14ac:dyDescent="0.25">
      <c r="A1931" s="2" t="s">
        <v>318</v>
      </c>
      <c r="B1931" s="2" t="s">
        <v>540</v>
      </c>
      <c r="C1931" s="2" t="s">
        <v>409</v>
      </c>
      <c r="D1931" s="2" t="s">
        <v>412</v>
      </c>
      <c r="E1931" s="2" t="s">
        <v>414</v>
      </c>
      <c r="F1931" s="2" t="s">
        <v>40</v>
      </c>
      <c r="J1931" s="2" t="s">
        <v>541</v>
      </c>
      <c r="K1931" s="2" t="s">
        <v>542</v>
      </c>
      <c r="L1931" s="2">
        <v>11</v>
      </c>
      <c r="M1931" s="2" t="s">
        <v>553</v>
      </c>
      <c r="O1931" s="2" t="s">
        <v>524</v>
      </c>
      <c r="Y1931" s="2" t="s">
        <v>647</v>
      </c>
    </row>
    <row r="1932" spans="1:34" x14ac:dyDescent="0.25">
      <c r="A1932" s="2" t="s">
        <v>318</v>
      </c>
      <c r="B1932" s="2" t="s">
        <v>540</v>
      </c>
      <c r="C1932" s="2" t="s">
        <v>409</v>
      </c>
      <c r="D1932" s="2" t="s">
        <v>412</v>
      </c>
      <c r="E1932" s="2" t="s">
        <v>414</v>
      </c>
      <c r="F1932" s="2" t="s">
        <v>40</v>
      </c>
      <c r="J1932" s="2" t="s">
        <v>541</v>
      </c>
      <c r="K1932" s="2" t="s">
        <v>542</v>
      </c>
      <c r="L1932" s="2">
        <v>12</v>
      </c>
      <c r="M1932" s="2" t="s">
        <v>554</v>
      </c>
      <c r="O1932" s="2" t="s">
        <v>524</v>
      </c>
      <c r="Y1932" s="2" t="s">
        <v>647</v>
      </c>
    </row>
    <row r="1933" spans="1:34" x14ac:dyDescent="0.25">
      <c r="A1933" s="2" t="s">
        <v>318</v>
      </c>
      <c r="B1933" s="2" t="s">
        <v>555</v>
      </c>
      <c r="C1933" s="2" t="s">
        <v>409</v>
      </c>
      <c r="D1933" s="2" t="s">
        <v>412</v>
      </c>
      <c r="E1933" s="2" t="s">
        <v>414</v>
      </c>
      <c r="F1933" s="2" t="s">
        <v>40</v>
      </c>
      <c r="J1933" s="2" t="s">
        <v>556</v>
      </c>
      <c r="O1933" s="2" t="s">
        <v>524</v>
      </c>
      <c r="Y1933" s="2" t="s">
        <v>647</v>
      </c>
      <c r="AB1933" s="2">
        <v>2</v>
      </c>
    </row>
    <row r="1934" spans="1:34" x14ac:dyDescent="0.25">
      <c r="A1934" s="2" t="s">
        <v>318</v>
      </c>
      <c r="B1934" s="2" t="s">
        <v>557</v>
      </c>
      <c r="C1934" s="2" t="s">
        <v>409</v>
      </c>
      <c r="D1934" s="2" t="s">
        <v>412</v>
      </c>
      <c r="E1934" s="2" t="s">
        <v>414</v>
      </c>
      <c r="F1934" s="2" t="s">
        <v>40</v>
      </c>
      <c r="J1934" s="2" t="s">
        <v>558</v>
      </c>
      <c r="O1934" s="2" t="s">
        <v>524</v>
      </c>
      <c r="Y1934" s="2" t="s">
        <v>647</v>
      </c>
      <c r="AC1934" s="2">
        <f>COUNTIFS($B:$B,"BLOCK_LOAD_Q",$A:$A,$A1934,$C:$C,$C1934,$E:$E,$E1934,$F:$F,$F1934,$N:$N, "&lt;&gt;")</f>
        <v>0</v>
      </c>
      <c r="AD1934" s="2">
        <f>COUNTIFS($B:$B,"BLOCK_TRUST_Q",$A:$A,$A1934,$C:$C,$C1934,$E:$E,$E1934,$F:$F,$F1934,$N:$N, "&lt;&gt;")</f>
        <v>0</v>
      </c>
      <c r="AE1934" s="2" t="str">
        <f>IFERROR(AVERAGEIFS($P:$P,$B:$B,"BLOCK_LOAD_Q",$A:$A,$A1934,$C:$C,$C1934,$E:$E,$E1934,$F:$F,$F1934,$P:$P,"&gt;0"),"")</f>
        <v/>
      </c>
      <c r="AF1934" s="2" t="str">
        <f>IFERROR(AVERAGEIFS($P:$P,$B:$B,"BLOCK_TRUST_Q",$A:$A,$A1934,$C:$C,$C1934,$E:$E,$E1934,$F:$F,$F1934,$P:$P,"&gt;0"),"")</f>
        <v/>
      </c>
      <c r="AG1934" s="2">
        <f>5-AC1934</f>
        <v>5</v>
      </c>
      <c r="AH1934" s="2">
        <f>12-AD1934</f>
        <v>12</v>
      </c>
    </row>
    <row r="1935" spans="1:34" x14ac:dyDescent="0.25">
      <c r="A1935" s="2" t="s">
        <v>318</v>
      </c>
      <c r="B1935" s="2" t="s">
        <v>403</v>
      </c>
      <c r="C1935" s="2" t="s">
        <v>409</v>
      </c>
      <c r="D1935" s="2" t="s">
        <v>412</v>
      </c>
      <c r="Z1935" s="2" t="s">
        <v>458</v>
      </c>
    </row>
    <row r="1936" spans="1:34" x14ac:dyDescent="0.25">
      <c r="A1936" s="2" t="s">
        <v>318</v>
      </c>
      <c r="B1936" s="2" t="s">
        <v>404</v>
      </c>
      <c r="J1936" s="2" t="s">
        <v>575</v>
      </c>
      <c r="AA1936" s="2" t="s">
        <v>337</v>
      </c>
    </row>
    <row r="1937" spans="1:25" x14ac:dyDescent="0.25">
      <c r="A1937" s="2" t="s">
        <v>318</v>
      </c>
      <c r="B1937" s="2" t="s">
        <v>405</v>
      </c>
    </row>
    <row r="1938" spans="1:25" x14ac:dyDescent="0.25">
      <c r="A1938" s="2" t="s">
        <v>318</v>
      </c>
      <c r="B1938" s="2" t="s">
        <v>406</v>
      </c>
    </row>
    <row r="1939" spans="1:25" x14ac:dyDescent="0.25">
      <c r="A1939" s="2" t="s">
        <v>319</v>
      </c>
      <c r="B1939" s="2" t="s">
        <v>523</v>
      </c>
      <c r="C1939" s="2" t="s">
        <v>524</v>
      </c>
      <c r="D1939" s="2" t="s">
        <v>524</v>
      </c>
      <c r="E1939" s="2" t="s">
        <v>524</v>
      </c>
      <c r="F1939" s="2" t="s">
        <v>524</v>
      </c>
      <c r="J1939" s="2" t="s">
        <v>525</v>
      </c>
      <c r="O1939" s="2" t="s">
        <v>524</v>
      </c>
    </row>
    <row r="1940" spans="1:25" x14ac:dyDescent="0.25">
      <c r="A1940" s="2" t="s">
        <v>319</v>
      </c>
      <c r="B1940" s="2" t="s">
        <v>526</v>
      </c>
      <c r="C1940" s="2" t="s">
        <v>524</v>
      </c>
      <c r="D1940" s="2" t="s">
        <v>524</v>
      </c>
      <c r="E1940" s="2" t="s">
        <v>524</v>
      </c>
      <c r="F1940" s="2" t="s">
        <v>524</v>
      </c>
      <c r="J1940" s="2" t="s">
        <v>527</v>
      </c>
      <c r="O1940" s="2" t="s">
        <v>524</v>
      </c>
    </row>
    <row r="1941" spans="1:25" x14ac:dyDescent="0.25">
      <c r="A1941" s="2" t="s">
        <v>319</v>
      </c>
      <c r="B1941" s="2" t="s">
        <v>402</v>
      </c>
      <c r="C1941" s="2" t="s">
        <v>407</v>
      </c>
      <c r="D1941" s="2" t="s">
        <v>411</v>
      </c>
      <c r="E1941" s="2" t="s">
        <v>413</v>
      </c>
      <c r="F1941" s="2" t="s">
        <v>40</v>
      </c>
      <c r="G1941" s="2" t="s">
        <v>415</v>
      </c>
      <c r="H1941" s="2" t="s">
        <v>357</v>
      </c>
      <c r="S1941" s="2" t="s">
        <v>59</v>
      </c>
      <c r="U1941" s="2" t="s">
        <v>60</v>
      </c>
      <c r="W1941" s="2" t="s">
        <v>57</v>
      </c>
    </row>
    <row r="1942" spans="1:25" x14ac:dyDescent="0.25">
      <c r="A1942" s="2" t="s">
        <v>319</v>
      </c>
      <c r="B1942" s="2" t="s">
        <v>402</v>
      </c>
      <c r="C1942" s="2" t="s">
        <v>407</v>
      </c>
      <c r="D1942" s="2" t="s">
        <v>411</v>
      </c>
      <c r="E1942" s="2" t="s">
        <v>413</v>
      </c>
      <c r="F1942" s="2" t="s">
        <v>40</v>
      </c>
      <c r="G1942" s="2" t="s">
        <v>416</v>
      </c>
      <c r="H1942" s="2" t="s">
        <v>348</v>
      </c>
      <c r="S1942" s="2" t="s">
        <v>58</v>
      </c>
      <c r="U1942" s="2" t="s">
        <v>59</v>
      </c>
      <c r="W1942" s="2" t="s">
        <v>59</v>
      </c>
    </row>
    <row r="1943" spans="1:25" x14ac:dyDescent="0.25">
      <c r="A1943" s="2" t="s">
        <v>319</v>
      </c>
      <c r="B1943" s="2" t="s">
        <v>402</v>
      </c>
      <c r="C1943" s="2" t="s">
        <v>407</v>
      </c>
      <c r="D1943" s="2" t="s">
        <v>411</v>
      </c>
      <c r="E1943" s="2" t="s">
        <v>413</v>
      </c>
      <c r="F1943" s="2" t="s">
        <v>40</v>
      </c>
      <c r="G1943" s="2" t="s">
        <v>417</v>
      </c>
      <c r="H1943" s="2" t="s">
        <v>562</v>
      </c>
      <c r="S1943" s="2" t="s">
        <v>59</v>
      </c>
      <c r="U1943" s="2" t="s">
        <v>57</v>
      </c>
      <c r="W1943" s="2" t="s">
        <v>57</v>
      </c>
    </row>
    <row r="1944" spans="1:25" x14ac:dyDescent="0.25">
      <c r="A1944" s="2" t="s">
        <v>319</v>
      </c>
      <c r="B1944" s="2" t="s">
        <v>402</v>
      </c>
      <c r="C1944" s="2" t="s">
        <v>407</v>
      </c>
      <c r="D1944" s="2" t="s">
        <v>411</v>
      </c>
      <c r="E1944" s="2" t="s">
        <v>413</v>
      </c>
      <c r="F1944" s="2" t="s">
        <v>40</v>
      </c>
      <c r="G1944" s="2" t="s">
        <v>418</v>
      </c>
      <c r="H1944" s="2" t="s">
        <v>563</v>
      </c>
      <c r="S1944" s="2" t="s">
        <v>57</v>
      </c>
      <c r="U1944" s="2" t="s">
        <v>60</v>
      </c>
      <c r="W1944" s="2" t="s">
        <v>60</v>
      </c>
    </row>
    <row r="1945" spans="1:25" x14ac:dyDescent="0.25">
      <c r="A1945" s="2" t="s">
        <v>319</v>
      </c>
      <c r="B1945" s="2" t="s">
        <v>531</v>
      </c>
      <c r="C1945" s="2" t="s">
        <v>407</v>
      </c>
      <c r="D1945" s="2" t="s">
        <v>411</v>
      </c>
      <c r="E1945" s="2" t="s">
        <v>413</v>
      </c>
      <c r="F1945" s="2" t="s">
        <v>40</v>
      </c>
      <c r="J1945" s="2" t="s">
        <v>532</v>
      </c>
      <c r="K1945" s="2" t="s">
        <v>533</v>
      </c>
      <c r="L1945" s="2">
        <v>1</v>
      </c>
      <c r="M1945" s="2" t="s">
        <v>534</v>
      </c>
      <c r="O1945" s="2" t="s">
        <v>524</v>
      </c>
      <c r="Y1945" s="2" t="s">
        <v>648</v>
      </c>
    </row>
    <row r="1946" spans="1:25" x14ac:dyDescent="0.25">
      <c r="A1946" s="2" t="s">
        <v>319</v>
      </c>
      <c r="B1946" s="2" t="s">
        <v>531</v>
      </c>
      <c r="C1946" s="2" t="s">
        <v>407</v>
      </c>
      <c r="D1946" s="2" t="s">
        <v>411</v>
      </c>
      <c r="E1946" s="2" t="s">
        <v>413</v>
      </c>
      <c r="F1946" s="2" t="s">
        <v>40</v>
      </c>
      <c r="J1946" s="2" t="s">
        <v>532</v>
      </c>
      <c r="K1946" s="2" t="s">
        <v>533</v>
      </c>
      <c r="L1946" s="2">
        <v>2</v>
      </c>
      <c r="M1946" s="2" t="s">
        <v>536</v>
      </c>
      <c r="O1946" s="2" t="s">
        <v>524</v>
      </c>
      <c r="Y1946" s="2" t="s">
        <v>648</v>
      </c>
    </row>
    <row r="1947" spans="1:25" x14ac:dyDescent="0.25">
      <c r="A1947" s="2" t="s">
        <v>319</v>
      </c>
      <c r="B1947" s="2" t="s">
        <v>531</v>
      </c>
      <c r="C1947" s="2" t="s">
        <v>407</v>
      </c>
      <c r="D1947" s="2" t="s">
        <v>411</v>
      </c>
      <c r="E1947" s="2" t="s">
        <v>413</v>
      </c>
      <c r="F1947" s="2" t="s">
        <v>40</v>
      </c>
      <c r="J1947" s="2" t="s">
        <v>532</v>
      </c>
      <c r="K1947" s="2" t="s">
        <v>533</v>
      </c>
      <c r="L1947" s="2">
        <v>3</v>
      </c>
      <c r="M1947" s="2" t="s">
        <v>537</v>
      </c>
      <c r="O1947" s="2" t="s">
        <v>524</v>
      </c>
      <c r="Y1947" s="2" t="s">
        <v>648</v>
      </c>
    </row>
    <row r="1948" spans="1:25" x14ac:dyDescent="0.25">
      <c r="A1948" s="2" t="s">
        <v>319</v>
      </c>
      <c r="B1948" s="2" t="s">
        <v>531</v>
      </c>
      <c r="C1948" s="2" t="s">
        <v>407</v>
      </c>
      <c r="D1948" s="2" t="s">
        <v>411</v>
      </c>
      <c r="E1948" s="2" t="s">
        <v>413</v>
      </c>
      <c r="F1948" s="2" t="s">
        <v>40</v>
      </c>
      <c r="J1948" s="2" t="s">
        <v>532</v>
      </c>
      <c r="K1948" s="2" t="s">
        <v>533</v>
      </c>
      <c r="L1948" s="2">
        <v>4</v>
      </c>
      <c r="M1948" s="2" t="s">
        <v>538</v>
      </c>
      <c r="O1948" s="2" t="s">
        <v>524</v>
      </c>
      <c r="Y1948" s="2" t="s">
        <v>648</v>
      </c>
    </row>
    <row r="1949" spans="1:25" x14ac:dyDescent="0.25">
      <c r="A1949" s="2" t="s">
        <v>319</v>
      </c>
      <c r="B1949" s="2" t="s">
        <v>531</v>
      </c>
      <c r="C1949" s="2" t="s">
        <v>407</v>
      </c>
      <c r="D1949" s="2" t="s">
        <v>411</v>
      </c>
      <c r="E1949" s="2" t="s">
        <v>413</v>
      </c>
      <c r="F1949" s="2" t="s">
        <v>40</v>
      </c>
      <c r="J1949" s="2" t="s">
        <v>532</v>
      </c>
      <c r="K1949" s="2" t="s">
        <v>533</v>
      </c>
      <c r="L1949" s="2">
        <v>5</v>
      </c>
      <c r="M1949" s="2" t="s">
        <v>539</v>
      </c>
      <c r="O1949" s="2" t="s">
        <v>524</v>
      </c>
      <c r="Y1949" s="2" t="s">
        <v>648</v>
      </c>
    </row>
    <row r="1950" spans="1:25" x14ac:dyDescent="0.25">
      <c r="A1950" s="2" t="s">
        <v>319</v>
      </c>
      <c r="B1950" s="2" t="s">
        <v>540</v>
      </c>
      <c r="C1950" s="2" t="s">
        <v>407</v>
      </c>
      <c r="D1950" s="2" t="s">
        <v>411</v>
      </c>
      <c r="E1950" s="2" t="s">
        <v>413</v>
      </c>
      <c r="F1950" s="2" t="s">
        <v>40</v>
      </c>
      <c r="J1950" s="2" t="s">
        <v>541</v>
      </c>
      <c r="K1950" s="2" t="s">
        <v>542</v>
      </c>
      <c r="L1950" s="2">
        <v>1</v>
      </c>
      <c r="M1950" s="2" t="s">
        <v>543</v>
      </c>
      <c r="O1950" s="2" t="s">
        <v>524</v>
      </c>
      <c r="Y1950" s="2" t="s">
        <v>648</v>
      </c>
    </row>
    <row r="1951" spans="1:25" x14ac:dyDescent="0.25">
      <c r="A1951" s="2" t="s">
        <v>319</v>
      </c>
      <c r="B1951" s="2" t="s">
        <v>540</v>
      </c>
      <c r="C1951" s="2" t="s">
        <v>407</v>
      </c>
      <c r="D1951" s="2" t="s">
        <v>411</v>
      </c>
      <c r="E1951" s="2" t="s">
        <v>413</v>
      </c>
      <c r="F1951" s="2" t="s">
        <v>40</v>
      </c>
      <c r="J1951" s="2" t="s">
        <v>541</v>
      </c>
      <c r="K1951" s="2" t="s">
        <v>542</v>
      </c>
      <c r="L1951" s="2">
        <v>2</v>
      </c>
      <c r="M1951" s="2" t="s">
        <v>544</v>
      </c>
      <c r="O1951" s="2" t="s">
        <v>524</v>
      </c>
      <c r="Y1951" s="2" t="s">
        <v>648</v>
      </c>
    </row>
    <row r="1952" spans="1:25" x14ac:dyDescent="0.25">
      <c r="A1952" s="2" t="s">
        <v>319</v>
      </c>
      <c r="B1952" s="2" t="s">
        <v>540</v>
      </c>
      <c r="C1952" s="2" t="s">
        <v>407</v>
      </c>
      <c r="D1952" s="2" t="s">
        <v>411</v>
      </c>
      <c r="E1952" s="2" t="s">
        <v>413</v>
      </c>
      <c r="F1952" s="2" t="s">
        <v>40</v>
      </c>
      <c r="J1952" s="2" t="s">
        <v>541</v>
      </c>
      <c r="K1952" s="2" t="s">
        <v>542</v>
      </c>
      <c r="L1952" s="2">
        <v>3</v>
      </c>
      <c r="M1952" s="2" t="s">
        <v>545</v>
      </c>
      <c r="O1952" s="2" t="s">
        <v>524</v>
      </c>
      <c r="Y1952" s="2" t="s">
        <v>648</v>
      </c>
    </row>
    <row r="1953" spans="1:34" x14ac:dyDescent="0.25">
      <c r="A1953" s="2" t="s">
        <v>319</v>
      </c>
      <c r="B1953" s="2" t="s">
        <v>540</v>
      </c>
      <c r="C1953" s="2" t="s">
        <v>407</v>
      </c>
      <c r="D1953" s="2" t="s">
        <v>411</v>
      </c>
      <c r="E1953" s="2" t="s">
        <v>413</v>
      </c>
      <c r="F1953" s="2" t="s">
        <v>40</v>
      </c>
      <c r="J1953" s="2" t="s">
        <v>541</v>
      </c>
      <c r="K1953" s="2" t="s">
        <v>542</v>
      </c>
      <c r="L1953" s="2">
        <v>4</v>
      </c>
      <c r="M1953" s="2" t="s">
        <v>546</v>
      </c>
      <c r="O1953" s="2" t="s">
        <v>524</v>
      </c>
      <c r="Y1953" s="2" t="s">
        <v>648</v>
      </c>
    </row>
    <row r="1954" spans="1:34" x14ac:dyDescent="0.25">
      <c r="A1954" s="2" t="s">
        <v>319</v>
      </c>
      <c r="B1954" s="2" t="s">
        <v>540</v>
      </c>
      <c r="C1954" s="2" t="s">
        <v>407</v>
      </c>
      <c r="D1954" s="2" t="s">
        <v>411</v>
      </c>
      <c r="E1954" s="2" t="s">
        <v>413</v>
      </c>
      <c r="F1954" s="2" t="s">
        <v>40</v>
      </c>
      <c r="J1954" s="2" t="s">
        <v>541</v>
      </c>
      <c r="K1954" s="2" t="s">
        <v>542</v>
      </c>
      <c r="L1954" s="2">
        <v>5</v>
      </c>
      <c r="M1954" s="2" t="s">
        <v>547</v>
      </c>
      <c r="O1954" s="2" t="s">
        <v>524</v>
      </c>
      <c r="Y1954" s="2" t="s">
        <v>648</v>
      </c>
    </row>
    <row r="1955" spans="1:34" x14ac:dyDescent="0.25">
      <c r="A1955" s="2" t="s">
        <v>319</v>
      </c>
      <c r="B1955" s="2" t="s">
        <v>540</v>
      </c>
      <c r="C1955" s="2" t="s">
        <v>407</v>
      </c>
      <c r="D1955" s="2" t="s">
        <v>411</v>
      </c>
      <c r="E1955" s="2" t="s">
        <v>413</v>
      </c>
      <c r="F1955" s="2" t="s">
        <v>40</v>
      </c>
      <c r="J1955" s="2" t="s">
        <v>541</v>
      </c>
      <c r="K1955" s="2" t="s">
        <v>542</v>
      </c>
      <c r="L1955" s="2">
        <v>6</v>
      </c>
      <c r="M1955" s="2" t="s">
        <v>548</v>
      </c>
      <c r="O1955" s="2" t="s">
        <v>524</v>
      </c>
      <c r="Y1955" s="2" t="s">
        <v>648</v>
      </c>
    </row>
    <row r="1956" spans="1:34" x14ac:dyDescent="0.25">
      <c r="A1956" s="2" t="s">
        <v>319</v>
      </c>
      <c r="B1956" s="2" t="s">
        <v>540</v>
      </c>
      <c r="C1956" s="2" t="s">
        <v>407</v>
      </c>
      <c r="D1956" s="2" t="s">
        <v>411</v>
      </c>
      <c r="E1956" s="2" t="s">
        <v>413</v>
      </c>
      <c r="F1956" s="2" t="s">
        <v>40</v>
      </c>
      <c r="J1956" s="2" t="s">
        <v>541</v>
      </c>
      <c r="K1956" s="2" t="s">
        <v>542</v>
      </c>
      <c r="L1956" s="2">
        <v>7</v>
      </c>
      <c r="M1956" s="2" t="s">
        <v>549</v>
      </c>
      <c r="O1956" s="2" t="s">
        <v>524</v>
      </c>
      <c r="Y1956" s="2" t="s">
        <v>648</v>
      </c>
    </row>
    <row r="1957" spans="1:34" x14ac:dyDescent="0.25">
      <c r="A1957" s="2" t="s">
        <v>319</v>
      </c>
      <c r="B1957" s="2" t="s">
        <v>540</v>
      </c>
      <c r="C1957" s="2" t="s">
        <v>407</v>
      </c>
      <c r="D1957" s="2" t="s">
        <v>411</v>
      </c>
      <c r="E1957" s="2" t="s">
        <v>413</v>
      </c>
      <c r="F1957" s="2" t="s">
        <v>40</v>
      </c>
      <c r="J1957" s="2" t="s">
        <v>541</v>
      </c>
      <c r="K1957" s="2" t="s">
        <v>542</v>
      </c>
      <c r="L1957" s="2">
        <v>8</v>
      </c>
      <c r="M1957" s="2" t="s">
        <v>550</v>
      </c>
      <c r="O1957" s="2" t="s">
        <v>524</v>
      </c>
      <c r="Y1957" s="2" t="s">
        <v>648</v>
      </c>
    </row>
    <row r="1958" spans="1:34" x14ac:dyDescent="0.25">
      <c r="A1958" s="2" t="s">
        <v>319</v>
      </c>
      <c r="B1958" s="2" t="s">
        <v>540</v>
      </c>
      <c r="C1958" s="2" t="s">
        <v>407</v>
      </c>
      <c r="D1958" s="2" t="s">
        <v>411</v>
      </c>
      <c r="E1958" s="2" t="s">
        <v>413</v>
      </c>
      <c r="F1958" s="2" t="s">
        <v>40</v>
      </c>
      <c r="J1958" s="2" t="s">
        <v>541</v>
      </c>
      <c r="K1958" s="2" t="s">
        <v>542</v>
      </c>
      <c r="L1958" s="2">
        <v>9</v>
      </c>
      <c r="M1958" s="2" t="s">
        <v>551</v>
      </c>
      <c r="O1958" s="2" t="s">
        <v>524</v>
      </c>
      <c r="Y1958" s="2" t="s">
        <v>648</v>
      </c>
    </row>
    <row r="1959" spans="1:34" x14ac:dyDescent="0.25">
      <c r="A1959" s="2" t="s">
        <v>319</v>
      </c>
      <c r="B1959" s="2" t="s">
        <v>540</v>
      </c>
      <c r="C1959" s="2" t="s">
        <v>407</v>
      </c>
      <c r="D1959" s="2" t="s">
        <v>411</v>
      </c>
      <c r="E1959" s="2" t="s">
        <v>413</v>
      </c>
      <c r="F1959" s="2" t="s">
        <v>40</v>
      </c>
      <c r="J1959" s="2" t="s">
        <v>541</v>
      </c>
      <c r="K1959" s="2" t="s">
        <v>542</v>
      </c>
      <c r="L1959" s="2">
        <v>10</v>
      </c>
      <c r="M1959" s="2" t="s">
        <v>552</v>
      </c>
      <c r="O1959" s="2" t="s">
        <v>524</v>
      </c>
      <c r="Y1959" s="2" t="s">
        <v>648</v>
      </c>
    </row>
    <row r="1960" spans="1:34" x14ac:dyDescent="0.25">
      <c r="A1960" s="2" t="s">
        <v>319</v>
      </c>
      <c r="B1960" s="2" t="s">
        <v>540</v>
      </c>
      <c r="C1960" s="2" t="s">
        <v>407</v>
      </c>
      <c r="D1960" s="2" t="s">
        <v>411</v>
      </c>
      <c r="E1960" s="2" t="s">
        <v>413</v>
      </c>
      <c r="F1960" s="2" t="s">
        <v>40</v>
      </c>
      <c r="J1960" s="2" t="s">
        <v>541</v>
      </c>
      <c r="K1960" s="2" t="s">
        <v>542</v>
      </c>
      <c r="L1960" s="2">
        <v>11</v>
      </c>
      <c r="M1960" s="2" t="s">
        <v>553</v>
      </c>
      <c r="O1960" s="2" t="s">
        <v>524</v>
      </c>
      <c r="Y1960" s="2" t="s">
        <v>648</v>
      </c>
    </row>
    <row r="1961" spans="1:34" x14ac:dyDescent="0.25">
      <c r="A1961" s="2" t="s">
        <v>319</v>
      </c>
      <c r="B1961" s="2" t="s">
        <v>540</v>
      </c>
      <c r="C1961" s="2" t="s">
        <v>407</v>
      </c>
      <c r="D1961" s="2" t="s">
        <v>411</v>
      </c>
      <c r="E1961" s="2" t="s">
        <v>413</v>
      </c>
      <c r="F1961" s="2" t="s">
        <v>40</v>
      </c>
      <c r="J1961" s="2" t="s">
        <v>541</v>
      </c>
      <c r="K1961" s="2" t="s">
        <v>542</v>
      </c>
      <c r="L1961" s="2">
        <v>12</v>
      </c>
      <c r="M1961" s="2" t="s">
        <v>554</v>
      </c>
      <c r="O1961" s="2" t="s">
        <v>524</v>
      </c>
      <c r="Y1961" s="2" t="s">
        <v>648</v>
      </c>
    </row>
    <row r="1962" spans="1:34" x14ac:dyDescent="0.25">
      <c r="A1962" s="2" t="s">
        <v>319</v>
      </c>
      <c r="B1962" s="2" t="s">
        <v>555</v>
      </c>
      <c r="C1962" s="2" t="s">
        <v>407</v>
      </c>
      <c r="D1962" s="2" t="s">
        <v>411</v>
      </c>
      <c r="E1962" s="2" t="s">
        <v>413</v>
      </c>
      <c r="F1962" s="2" t="s">
        <v>40</v>
      </c>
      <c r="J1962" s="2" t="s">
        <v>556</v>
      </c>
      <c r="O1962" s="2" t="s">
        <v>524</v>
      </c>
      <c r="Y1962" s="2" t="s">
        <v>648</v>
      </c>
      <c r="AB1962" s="2">
        <v>2</v>
      </c>
    </row>
    <row r="1963" spans="1:34" x14ac:dyDescent="0.25">
      <c r="A1963" s="2" t="s">
        <v>319</v>
      </c>
      <c r="B1963" s="2" t="s">
        <v>557</v>
      </c>
      <c r="C1963" s="2" t="s">
        <v>407</v>
      </c>
      <c r="D1963" s="2" t="s">
        <v>411</v>
      </c>
      <c r="E1963" s="2" t="s">
        <v>413</v>
      </c>
      <c r="F1963" s="2" t="s">
        <v>40</v>
      </c>
      <c r="J1963" s="2" t="s">
        <v>558</v>
      </c>
      <c r="O1963" s="2" t="s">
        <v>524</v>
      </c>
      <c r="Y1963" s="2" t="s">
        <v>648</v>
      </c>
      <c r="AC1963" s="2">
        <f>COUNTIFS($B:$B,"BLOCK_LOAD_Q",$A:$A,$A1963,$C:$C,$C1963,$E:$E,$E1963,$F:$F,$F1963,$N:$N, "&lt;&gt;")</f>
        <v>0</v>
      </c>
      <c r="AD1963" s="2">
        <f>COUNTIFS($B:$B,"BLOCK_TRUST_Q",$A:$A,$A1963,$C:$C,$C1963,$E:$E,$E1963,$F:$F,$F1963,$N:$N, "&lt;&gt;")</f>
        <v>0</v>
      </c>
      <c r="AE1963" s="2" t="str">
        <f>IFERROR(AVERAGEIFS($P:$P,$B:$B,"BLOCK_LOAD_Q",$A:$A,$A1963,$C:$C,$C1963,$E:$E,$E1963,$F:$F,$F1963,$P:$P,"&gt;0"),"")</f>
        <v/>
      </c>
      <c r="AF1963" s="2" t="str">
        <f>IFERROR(AVERAGEIFS($P:$P,$B:$B,"BLOCK_TRUST_Q",$A:$A,$A1963,$C:$C,$C1963,$E:$E,$E1963,$F:$F,$F1963,$P:$P,"&gt;0"),"")</f>
        <v/>
      </c>
      <c r="AG1963" s="2">
        <f>5-AC1963</f>
        <v>5</v>
      </c>
      <c r="AH1963" s="2">
        <f>12-AD1963</f>
        <v>12</v>
      </c>
    </row>
    <row r="1964" spans="1:34" x14ac:dyDescent="0.25">
      <c r="A1964" s="2" t="s">
        <v>319</v>
      </c>
      <c r="B1964" s="2" t="s">
        <v>402</v>
      </c>
      <c r="C1964" s="2" t="s">
        <v>407</v>
      </c>
      <c r="D1964" s="2" t="s">
        <v>411</v>
      </c>
      <c r="E1964" s="2" t="s">
        <v>414</v>
      </c>
      <c r="F1964" s="2" t="s">
        <v>39</v>
      </c>
      <c r="G1964" s="2" t="s">
        <v>415</v>
      </c>
      <c r="H1964" s="2" t="s">
        <v>349</v>
      </c>
      <c r="S1964" s="2" t="s">
        <v>58</v>
      </c>
      <c r="U1964" s="2" t="s">
        <v>60</v>
      </c>
      <c r="W1964" s="2" t="s">
        <v>58</v>
      </c>
    </row>
    <row r="1965" spans="1:34" x14ac:dyDescent="0.25">
      <c r="A1965" s="2" t="s">
        <v>319</v>
      </c>
      <c r="B1965" s="2" t="s">
        <v>402</v>
      </c>
      <c r="C1965" s="2" t="s">
        <v>407</v>
      </c>
      <c r="D1965" s="2" t="s">
        <v>411</v>
      </c>
      <c r="E1965" s="2" t="s">
        <v>414</v>
      </c>
      <c r="F1965" s="2" t="s">
        <v>39</v>
      </c>
      <c r="G1965" s="2" t="s">
        <v>416</v>
      </c>
      <c r="H1965" s="2" t="s">
        <v>565</v>
      </c>
      <c r="S1965" s="2" t="s">
        <v>59</v>
      </c>
      <c r="U1965" s="2" t="s">
        <v>60</v>
      </c>
      <c r="W1965" s="2" t="s">
        <v>60</v>
      </c>
    </row>
    <row r="1966" spans="1:34" x14ac:dyDescent="0.25">
      <c r="A1966" s="2" t="s">
        <v>319</v>
      </c>
      <c r="B1966" s="2" t="s">
        <v>402</v>
      </c>
      <c r="C1966" s="2" t="s">
        <v>407</v>
      </c>
      <c r="D1966" s="2" t="s">
        <v>411</v>
      </c>
      <c r="E1966" s="2" t="s">
        <v>414</v>
      </c>
      <c r="F1966" s="2" t="s">
        <v>39</v>
      </c>
      <c r="G1966" s="2" t="s">
        <v>417</v>
      </c>
      <c r="H1966" s="2" t="s">
        <v>361</v>
      </c>
      <c r="S1966" s="2" t="s">
        <v>60</v>
      </c>
      <c r="U1966" s="2" t="s">
        <v>60</v>
      </c>
      <c r="W1966" s="2" t="s">
        <v>60</v>
      </c>
    </row>
    <row r="1967" spans="1:34" x14ac:dyDescent="0.25">
      <c r="A1967" s="2" t="s">
        <v>319</v>
      </c>
      <c r="B1967" s="2" t="s">
        <v>402</v>
      </c>
      <c r="C1967" s="2" t="s">
        <v>407</v>
      </c>
      <c r="D1967" s="2" t="s">
        <v>411</v>
      </c>
      <c r="E1967" s="2" t="s">
        <v>414</v>
      </c>
      <c r="F1967" s="2" t="s">
        <v>39</v>
      </c>
      <c r="G1967" s="2" t="s">
        <v>418</v>
      </c>
      <c r="H1967" s="2" t="s">
        <v>353</v>
      </c>
      <c r="S1967" s="2" t="s">
        <v>58</v>
      </c>
      <c r="U1967" s="2" t="s">
        <v>59</v>
      </c>
      <c r="W1967" s="2" t="s">
        <v>58</v>
      </c>
    </row>
    <row r="1968" spans="1:34" x14ac:dyDescent="0.25">
      <c r="A1968" s="2" t="s">
        <v>319</v>
      </c>
      <c r="B1968" s="2" t="s">
        <v>402</v>
      </c>
      <c r="C1968" s="2" t="s">
        <v>407</v>
      </c>
      <c r="D1968" s="2" t="s">
        <v>411</v>
      </c>
      <c r="E1968" s="2" t="s">
        <v>414</v>
      </c>
      <c r="F1968" s="2" t="s">
        <v>39</v>
      </c>
      <c r="G1968" s="2" t="s">
        <v>419</v>
      </c>
      <c r="H1968" s="2" t="s">
        <v>371</v>
      </c>
      <c r="S1968" s="2" t="s">
        <v>60</v>
      </c>
      <c r="U1968" s="2" t="s">
        <v>59</v>
      </c>
      <c r="W1968" s="2" t="s">
        <v>57</v>
      </c>
    </row>
    <row r="1969" spans="1:25" x14ac:dyDescent="0.25">
      <c r="A1969" s="2" t="s">
        <v>319</v>
      </c>
      <c r="B1969" s="2" t="s">
        <v>531</v>
      </c>
      <c r="C1969" s="2" t="s">
        <v>407</v>
      </c>
      <c r="D1969" s="2" t="s">
        <v>411</v>
      </c>
      <c r="E1969" s="2" t="s">
        <v>414</v>
      </c>
      <c r="F1969" s="2" t="s">
        <v>39</v>
      </c>
      <c r="J1969" s="2" t="s">
        <v>532</v>
      </c>
      <c r="K1969" s="2" t="s">
        <v>533</v>
      </c>
      <c r="L1969" s="2">
        <v>1</v>
      </c>
      <c r="M1969" s="2" t="s">
        <v>534</v>
      </c>
      <c r="O1969" s="2" t="s">
        <v>524</v>
      </c>
      <c r="Y1969" s="2" t="s">
        <v>649</v>
      </c>
    </row>
    <row r="1970" spans="1:25" x14ac:dyDescent="0.25">
      <c r="A1970" s="2" t="s">
        <v>319</v>
      </c>
      <c r="B1970" s="2" t="s">
        <v>531</v>
      </c>
      <c r="C1970" s="2" t="s">
        <v>407</v>
      </c>
      <c r="D1970" s="2" t="s">
        <v>411</v>
      </c>
      <c r="E1970" s="2" t="s">
        <v>414</v>
      </c>
      <c r="F1970" s="2" t="s">
        <v>39</v>
      </c>
      <c r="J1970" s="2" t="s">
        <v>532</v>
      </c>
      <c r="K1970" s="2" t="s">
        <v>533</v>
      </c>
      <c r="L1970" s="2">
        <v>2</v>
      </c>
      <c r="M1970" s="2" t="s">
        <v>536</v>
      </c>
      <c r="O1970" s="2" t="s">
        <v>524</v>
      </c>
      <c r="Y1970" s="2" t="s">
        <v>649</v>
      </c>
    </row>
    <row r="1971" spans="1:25" x14ac:dyDescent="0.25">
      <c r="A1971" s="2" t="s">
        <v>319</v>
      </c>
      <c r="B1971" s="2" t="s">
        <v>531</v>
      </c>
      <c r="C1971" s="2" t="s">
        <v>407</v>
      </c>
      <c r="D1971" s="2" t="s">
        <v>411</v>
      </c>
      <c r="E1971" s="2" t="s">
        <v>414</v>
      </c>
      <c r="F1971" s="2" t="s">
        <v>39</v>
      </c>
      <c r="J1971" s="2" t="s">
        <v>532</v>
      </c>
      <c r="K1971" s="2" t="s">
        <v>533</v>
      </c>
      <c r="L1971" s="2">
        <v>3</v>
      </c>
      <c r="M1971" s="2" t="s">
        <v>537</v>
      </c>
      <c r="O1971" s="2" t="s">
        <v>524</v>
      </c>
      <c r="Y1971" s="2" t="s">
        <v>649</v>
      </c>
    </row>
    <row r="1972" spans="1:25" x14ac:dyDescent="0.25">
      <c r="A1972" s="2" t="s">
        <v>319</v>
      </c>
      <c r="B1972" s="2" t="s">
        <v>531</v>
      </c>
      <c r="C1972" s="2" t="s">
        <v>407</v>
      </c>
      <c r="D1972" s="2" t="s">
        <v>411</v>
      </c>
      <c r="E1972" s="2" t="s">
        <v>414</v>
      </c>
      <c r="F1972" s="2" t="s">
        <v>39</v>
      </c>
      <c r="J1972" s="2" t="s">
        <v>532</v>
      </c>
      <c r="K1972" s="2" t="s">
        <v>533</v>
      </c>
      <c r="L1972" s="2">
        <v>4</v>
      </c>
      <c r="M1972" s="2" t="s">
        <v>538</v>
      </c>
      <c r="O1972" s="2" t="s">
        <v>524</v>
      </c>
      <c r="Y1972" s="2" t="s">
        <v>649</v>
      </c>
    </row>
    <row r="1973" spans="1:25" x14ac:dyDescent="0.25">
      <c r="A1973" s="2" t="s">
        <v>319</v>
      </c>
      <c r="B1973" s="2" t="s">
        <v>531</v>
      </c>
      <c r="C1973" s="2" t="s">
        <v>407</v>
      </c>
      <c r="D1973" s="2" t="s">
        <v>411</v>
      </c>
      <c r="E1973" s="2" t="s">
        <v>414</v>
      </c>
      <c r="F1973" s="2" t="s">
        <v>39</v>
      </c>
      <c r="J1973" s="2" t="s">
        <v>532</v>
      </c>
      <c r="K1973" s="2" t="s">
        <v>533</v>
      </c>
      <c r="L1973" s="2">
        <v>5</v>
      </c>
      <c r="M1973" s="2" t="s">
        <v>539</v>
      </c>
      <c r="O1973" s="2" t="s">
        <v>524</v>
      </c>
      <c r="Y1973" s="2" t="s">
        <v>649</v>
      </c>
    </row>
    <row r="1974" spans="1:25" x14ac:dyDescent="0.25">
      <c r="A1974" s="2" t="s">
        <v>319</v>
      </c>
      <c r="B1974" s="2" t="s">
        <v>540</v>
      </c>
      <c r="C1974" s="2" t="s">
        <v>407</v>
      </c>
      <c r="D1974" s="2" t="s">
        <v>411</v>
      </c>
      <c r="E1974" s="2" t="s">
        <v>414</v>
      </c>
      <c r="F1974" s="2" t="s">
        <v>39</v>
      </c>
      <c r="J1974" s="2" t="s">
        <v>541</v>
      </c>
      <c r="K1974" s="2" t="s">
        <v>542</v>
      </c>
      <c r="L1974" s="2">
        <v>1</v>
      </c>
      <c r="M1974" s="2" t="s">
        <v>543</v>
      </c>
      <c r="O1974" s="2" t="s">
        <v>524</v>
      </c>
      <c r="Y1974" s="2" t="s">
        <v>649</v>
      </c>
    </row>
    <row r="1975" spans="1:25" x14ac:dyDescent="0.25">
      <c r="A1975" s="2" t="s">
        <v>319</v>
      </c>
      <c r="B1975" s="2" t="s">
        <v>540</v>
      </c>
      <c r="C1975" s="2" t="s">
        <v>407</v>
      </c>
      <c r="D1975" s="2" t="s">
        <v>411</v>
      </c>
      <c r="E1975" s="2" t="s">
        <v>414</v>
      </c>
      <c r="F1975" s="2" t="s">
        <v>39</v>
      </c>
      <c r="J1975" s="2" t="s">
        <v>541</v>
      </c>
      <c r="K1975" s="2" t="s">
        <v>542</v>
      </c>
      <c r="L1975" s="2">
        <v>2</v>
      </c>
      <c r="M1975" s="2" t="s">
        <v>544</v>
      </c>
      <c r="O1975" s="2" t="s">
        <v>524</v>
      </c>
      <c r="Y1975" s="2" t="s">
        <v>649</v>
      </c>
    </row>
    <row r="1976" spans="1:25" x14ac:dyDescent="0.25">
      <c r="A1976" s="2" t="s">
        <v>319</v>
      </c>
      <c r="B1976" s="2" t="s">
        <v>540</v>
      </c>
      <c r="C1976" s="2" t="s">
        <v>407</v>
      </c>
      <c r="D1976" s="2" t="s">
        <v>411</v>
      </c>
      <c r="E1976" s="2" t="s">
        <v>414</v>
      </c>
      <c r="F1976" s="2" t="s">
        <v>39</v>
      </c>
      <c r="J1976" s="2" t="s">
        <v>541</v>
      </c>
      <c r="K1976" s="2" t="s">
        <v>542</v>
      </c>
      <c r="L1976" s="2">
        <v>3</v>
      </c>
      <c r="M1976" s="2" t="s">
        <v>545</v>
      </c>
      <c r="O1976" s="2" t="s">
        <v>524</v>
      </c>
      <c r="Y1976" s="2" t="s">
        <v>649</v>
      </c>
    </row>
    <row r="1977" spans="1:25" x14ac:dyDescent="0.25">
      <c r="A1977" s="2" t="s">
        <v>319</v>
      </c>
      <c r="B1977" s="2" t="s">
        <v>540</v>
      </c>
      <c r="C1977" s="2" t="s">
        <v>407</v>
      </c>
      <c r="D1977" s="2" t="s">
        <v>411</v>
      </c>
      <c r="E1977" s="2" t="s">
        <v>414</v>
      </c>
      <c r="F1977" s="2" t="s">
        <v>39</v>
      </c>
      <c r="J1977" s="2" t="s">
        <v>541</v>
      </c>
      <c r="K1977" s="2" t="s">
        <v>542</v>
      </c>
      <c r="L1977" s="2">
        <v>4</v>
      </c>
      <c r="M1977" s="2" t="s">
        <v>546</v>
      </c>
      <c r="O1977" s="2" t="s">
        <v>524</v>
      </c>
      <c r="Y1977" s="2" t="s">
        <v>649</v>
      </c>
    </row>
    <row r="1978" spans="1:25" x14ac:dyDescent="0.25">
      <c r="A1978" s="2" t="s">
        <v>319</v>
      </c>
      <c r="B1978" s="2" t="s">
        <v>540</v>
      </c>
      <c r="C1978" s="2" t="s">
        <v>407</v>
      </c>
      <c r="D1978" s="2" t="s">
        <v>411</v>
      </c>
      <c r="E1978" s="2" t="s">
        <v>414</v>
      </c>
      <c r="F1978" s="2" t="s">
        <v>39</v>
      </c>
      <c r="J1978" s="2" t="s">
        <v>541</v>
      </c>
      <c r="K1978" s="2" t="s">
        <v>542</v>
      </c>
      <c r="L1978" s="2">
        <v>5</v>
      </c>
      <c r="M1978" s="2" t="s">
        <v>547</v>
      </c>
      <c r="O1978" s="2" t="s">
        <v>524</v>
      </c>
      <c r="Y1978" s="2" t="s">
        <v>649</v>
      </c>
    </row>
    <row r="1979" spans="1:25" x14ac:dyDescent="0.25">
      <c r="A1979" s="2" t="s">
        <v>319</v>
      </c>
      <c r="B1979" s="2" t="s">
        <v>540</v>
      </c>
      <c r="C1979" s="2" t="s">
        <v>407</v>
      </c>
      <c r="D1979" s="2" t="s">
        <v>411</v>
      </c>
      <c r="E1979" s="2" t="s">
        <v>414</v>
      </c>
      <c r="F1979" s="2" t="s">
        <v>39</v>
      </c>
      <c r="J1979" s="2" t="s">
        <v>541</v>
      </c>
      <c r="K1979" s="2" t="s">
        <v>542</v>
      </c>
      <c r="L1979" s="2">
        <v>6</v>
      </c>
      <c r="M1979" s="2" t="s">
        <v>548</v>
      </c>
      <c r="O1979" s="2" t="s">
        <v>524</v>
      </c>
      <c r="Y1979" s="2" t="s">
        <v>649</v>
      </c>
    </row>
    <row r="1980" spans="1:25" x14ac:dyDescent="0.25">
      <c r="A1980" s="2" t="s">
        <v>319</v>
      </c>
      <c r="B1980" s="2" t="s">
        <v>540</v>
      </c>
      <c r="C1980" s="2" t="s">
        <v>407</v>
      </c>
      <c r="D1980" s="2" t="s">
        <v>411</v>
      </c>
      <c r="E1980" s="2" t="s">
        <v>414</v>
      </c>
      <c r="F1980" s="2" t="s">
        <v>39</v>
      </c>
      <c r="J1980" s="2" t="s">
        <v>541</v>
      </c>
      <c r="K1980" s="2" t="s">
        <v>542</v>
      </c>
      <c r="L1980" s="2">
        <v>7</v>
      </c>
      <c r="M1980" s="2" t="s">
        <v>549</v>
      </c>
      <c r="O1980" s="2" t="s">
        <v>524</v>
      </c>
      <c r="Y1980" s="2" t="s">
        <v>649</v>
      </c>
    </row>
    <row r="1981" spans="1:25" x14ac:dyDescent="0.25">
      <c r="A1981" s="2" t="s">
        <v>319</v>
      </c>
      <c r="B1981" s="2" t="s">
        <v>540</v>
      </c>
      <c r="C1981" s="2" t="s">
        <v>407</v>
      </c>
      <c r="D1981" s="2" t="s">
        <v>411</v>
      </c>
      <c r="E1981" s="2" t="s">
        <v>414</v>
      </c>
      <c r="F1981" s="2" t="s">
        <v>39</v>
      </c>
      <c r="J1981" s="2" t="s">
        <v>541</v>
      </c>
      <c r="K1981" s="2" t="s">
        <v>542</v>
      </c>
      <c r="L1981" s="2">
        <v>8</v>
      </c>
      <c r="M1981" s="2" t="s">
        <v>550</v>
      </c>
      <c r="O1981" s="2" t="s">
        <v>524</v>
      </c>
      <c r="Y1981" s="2" t="s">
        <v>649</v>
      </c>
    </row>
    <row r="1982" spans="1:25" x14ac:dyDescent="0.25">
      <c r="A1982" s="2" t="s">
        <v>319</v>
      </c>
      <c r="B1982" s="2" t="s">
        <v>540</v>
      </c>
      <c r="C1982" s="2" t="s">
        <v>407</v>
      </c>
      <c r="D1982" s="2" t="s">
        <v>411</v>
      </c>
      <c r="E1982" s="2" t="s">
        <v>414</v>
      </c>
      <c r="F1982" s="2" t="s">
        <v>39</v>
      </c>
      <c r="J1982" s="2" t="s">
        <v>541</v>
      </c>
      <c r="K1982" s="2" t="s">
        <v>542</v>
      </c>
      <c r="L1982" s="2">
        <v>9</v>
      </c>
      <c r="M1982" s="2" t="s">
        <v>551</v>
      </c>
      <c r="O1982" s="2" t="s">
        <v>524</v>
      </c>
      <c r="Y1982" s="2" t="s">
        <v>649</v>
      </c>
    </row>
    <row r="1983" spans="1:25" x14ac:dyDescent="0.25">
      <c r="A1983" s="2" t="s">
        <v>319</v>
      </c>
      <c r="B1983" s="2" t="s">
        <v>540</v>
      </c>
      <c r="C1983" s="2" t="s">
        <v>407</v>
      </c>
      <c r="D1983" s="2" t="s">
        <v>411</v>
      </c>
      <c r="E1983" s="2" t="s">
        <v>414</v>
      </c>
      <c r="F1983" s="2" t="s">
        <v>39</v>
      </c>
      <c r="J1983" s="2" t="s">
        <v>541</v>
      </c>
      <c r="K1983" s="2" t="s">
        <v>542</v>
      </c>
      <c r="L1983" s="2">
        <v>10</v>
      </c>
      <c r="M1983" s="2" t="s">
        <v>552</v>
      </c>
      <c r="O1983" s="2" t="s">
        <v>524</v>
      </c>
      <c r="Y1983" s="2" t="s">
        <v>649</v>
      </c>
    </row>
    <row r="1984" spans="1:25" x14ac:dyDescent="0.25">
      <c r="A1984" s="2" t="s">
        <v>319</v>
      </c>
      <c r="B1984" s="2" t="s">
        <v>540</v>
      </c>
      <c r="C1984" s="2" t="s">
        <v>407</v>
      </c>
      <c r="D1984" s="2" t="s">
        <v>411</v>
      </c>
      <c r="E1984" s="2" t="s">
        <v>414</v>
      </c>
      <c r="F1984" s="2" t="s">
        <v>39</v>
      </c>
      <c r="J1984" s="2" t="s">
        <v>541</v>
      </c>
      <c r="K1984" s="2" t="s">
        <v>542</v>
      </c>
      <c r="L1984" s="2">
        <v>11</v>
      </c>
      <c r="M1984" s="2" t="s">
        <v>553</v>
      </c>
      <c r="O1984" s="2" t="s">
        <v>524</v>
      </c>
      <c r="Y1984" s="2" t="s">
        <v>649</v>
      </c>
    </row>
    <row r="1985" spans="1:34" x14ac:dyDescent="0.25">
      <c r="A1985" s="2" t="s">
        <v>319</v>
      </c>
      <c r="B1985" s="2" t="s">
        <v>540</v>
      </c>
      <c r="C1985" s="2" t="s">
        <v>407</v>
      </c>
      <c r="D1985" s="2" t="s">
        <v>411</v>
      </c>
      <c r="E1985" s="2" t="s">
        <v>414</v>
      </c>
      <c r="F1985" s="2" t="s">
        <v>39</v>
      </c>
      <c r="J1985" s="2" t="s">
        <v>541</v>
      </c>
      <c r="K1985" s="2" t="s">
        <v>542</v>
      </c>
      <c r="L1985" s="2">
        <v>12</v>
      </c>
      <c r="M1985" s="2" t="s">
        <v>554</v>
      </c>
      <c r="O1985" s="2" t="s">
        <v>524</v>
      </c>
      <c r="Y1985" s="2" t="s">
        <v>649</v>
      </c>
    </row>
    <row r="1986" spans="1:34" x14ac:dyDescent="0.25">
      <c r="A1986" s="2" t="s">
        <v>319</v>
      </c>
      <c r="B1986" s="2" t="s">
        <v>555</v>
      </c>
      <c r="C1986" s="2" t="s">
        <v>407</v>
      </c>
      <c r="D1986" s="2" t="s">
        <v>411</v>
      </c>
      <c r="E1986" s="2" t="s">
        <v>414</v>
      </c>
      <c r="F1986" s="2" t="s">
        <v>39</v>
      </c>
      <c r="J1986" s="2" t="s">
        <v>556</v>
      </c>
      <c r="O1986" s="2" t="s">
        <v>524</v>
      </c>
      <c r="Y1986" s="2" t="s">
        <v>649</v>
      </c>
      <c r="AB1986" s="2">
        <v>1</v>
      </c>
    </row>
    <row r="1987" spans="1:34" x14ac:dyDescent="0.25">
      <c r="A1987" s="2" t="s">
        <v>319</v>
      </c>
      <c r="B1987" s="2" t="s">
        <v>557</v>
      </c>
      <c r="C1987" s="2" t="s">
        <v>407</v>
      </c>
      <c r="D1987" s="2" t="s">
        <v>411</v>
      </c>
      <c r="E1987" s="2" t="s">
        <v>414</v>
      </c>
      <c r="F1987" s="2" t="s">
        <v>39</v>
      </c>
      <c r="J1987" s="2" t="s">
        <v>558</v>
      </c>
      <c r="O1987" s="2" t="s">
        <v>524</v>
      </c>
      <c r="Y1987" s="2" t="s">
        <v>649</v>
      </c>
      <c r="AC1987" s="2">
        <f>COUNTIFS($B:$B,"BLOCK_LOAD_Q",$A:$A,$A1987,$C:$C,$C1987,$E:$E,$E1987,$F:$F,$F1987,$N:$N, "&lt;&gt;")</f>
        <v>0</v>
      </c>
      <c r="AD1987" s="2">
        <f>COUNTIFS($B:$B,"BLOCK_TRUST_Q",$A:$A,$A1987,$C:$C,$C1987,$E:$E,$E1987,$F:$F,$F1987,$N:$N, "&lt;&gt;")</f>
        <v>0</v>
      </c>
      <c r="AE1987" s="2" t="str">
        <f>IFERROR(AVERAGEIFS($P:$P,$B:$B,"BLOCK_LOAD_Q",$A:$A,$A1987,$C:$C,$C1987,$E:$E,$E1987,$F:$F,$F1987,$P:$P,"&gt;0"),"")</f>
        <v/>
      </c>
      <c r="AF1987" s="2" t="str">
        <f>IFERROR(AVERAGEIFS($P:$P,$B:$B,"BLOCK_TRUST_Q",$A:$A,$A1987,$C:$C,$C1987,$E:$E,$E1987,$F:$F,$F1987,$P:$P,"&gt;0"),"")</f>
        <v/>
      </c>
      <c r="AG1987" s="2">
        <f>5-AC1987</f>
        <v>5</v>
      </c>
      <c r="AH1987" s="2">
        <f>12-AD1987</f>
        <v>12</v>
      </c>
    </row>
    <row r="1988" spans="1:34" x14ac:dyDescent="0.25">
      <c r="A1988" s="2" t="s">
        <v>319</v>
      </c>
      <c r="B1988" s="2" t="s">
        <v>403</v>
      </c>
      <c r="C1988" s="2" t="s">
        <v>407</v>
      </c>
      <c r="D1988" s="2" t="s">
        <v>411</v>
      </c>
      <c r="Z1988" s="2" t="s">
        <v>459</v>
      </c>
    </row>
    <row r="1989" spans="1:34" x14ac:dyDescent="0.25">
      <c r="A1989" s="2" t="s">
        <v>319</v>
      </c>
      <c r="B1989" s="2" t="s">
        <v>402</v>
      </c>
      <c r="C1989" s="2" t="s">
        <v>408</v>
      </c>
      <c r="D1989" s="2" t="s">
        <v>412</v>
      </c>
      <c r="E1989" s="2" t="s">
        <v>413</v>
      </c>
      <c r="F1989" s="2" t="s">
        <v>40</v>
      </c>
      <c r="G1989" s="2" t="s">
        <v>415</v>
      </c>
      <c r="H1989" s="2" t="s">
        <v>567</v>
      </c>
      <c r="S1989" s="2" t="s">
        <v>58</v>
      </c>
      <c r="U1989" s="2" t="s">
        <v>57</v>
      </c>
      <c r="W1989" s="2" t="s">
        <v>60</v>
      </c>
    </row>
    <row r="1990" spans="1:34" x14ac:dyDescent="0.25">
      <c r="A1990" s="2" t="s">
        <v>319</v>
      </c>
      <c r="B1990" s="2" t="s">
        <v>402</v>
      </c>
      <c r="C1990" s="2" t="s">
        <v>408</v>
      </c>
      <c r="D1990" s="2" t="s">
        <v>412</v>
      </c>
      <c r="E1990" s="2" t="s">
        <v>413</v>
      </c>
      <c r="F1990" s="2" t="s">
        <v>40</v>
      </c>
      <c r="G1990" s="2" t="s">
        <v>416</v>
      </c>
      <c r="H1990" s="2" t="s">
        <v>568</v>
      </c>
      <c r="S1990" s="2" t="s">
        <v>59</v>
      </c>
      <c r="U1990" s="2" t="s">
        <v>60</v>
      </c>
      <c r="W1990" s="2" t="s">
        <v>59</v>
      </c>
    </row>
    <row r="1991" spans="1:34" x14ac:dyDescent="0.25">
      <c r="A1991" s="2" t="s">
        <v>319</v>
      </c>
      <c r="B1991" s="2" t="s">
        <v>402</v>
      </c>
      <c r="C1991" s="2" t="s">
        <v>408</v>
      </c>
      <c r="D1991" s="2" t="s">
        <v>412</v>
      </c>
      <c r="E1991" s="2" t="s">
        <v>413</v>
      </c>
      <c r="F1991" s="2" t="s">
        <v>40</v>
      </c>
      <c r="G1991" s="2" t="s">
        <v>417</v>
      </c>
      <c r="H1991" s="2" t="s">
        <v>569</v>
      </c>
      <c r="S1991" s="2" t="s">
        <v>57</v>
      </c>
      <c r="U1991" s="2" t="s">
        <v>60</v>
      </c>
      <c r="W1991" s="2" t="s">
        <v>57</v>
      </c>
    </row>
    <row r="1992" spans="1:34" x14ac:dyDescent="0.25">
      <c r="A1992" s="2" t="s">
        <v>319</v>
      </c>
      <c r="B1992" s="2" t="s">
        <v>402</v>
      </c>
      <c r="C1992" s="2" t="s">
        <v>408</v>
      </c>
      <c r="D1992" s="2" t="s">
        <v>412</v>
      </c>
      <c r="E1992" s="2" t="s">
        <v>413</v>
      </c>
      <c r="F1992" s="2" t="s">
        <v>40</v>
      </c>
      <c r="G1992" s="2" t="s">
        <v>418</v>
      </c>
      <c r="H1992" s="2" t="s">
        <v>351</v>
      </c>
      <c r="S1992" s="2" t="s">
        <v>60</v>
      </c>
      <c r="U1992" s="2" t="s">
        <v>57</v>
      </c>
      <c r="W1992" s="2" t="s">
        <v>57</v>
      </c>
    </row>
    <row r="1993" spans="1:34" x14ac:dyDescent="0.25">
      <c r="A1993" s="2" t="s">
        <v>319</v>
      </c>
      <c r="B1993" s="2" t="s">
        <v>531</v>
      </c>
      <c r="C1993" s="2" t="s">
        <v>408</v>
      </c>
      <c r="D1993" s="2" t="s">
        <v>412</v>
      </c>
      <c r="E1993" s="2" t="s">
        <v>413</v>
      </c>
      <c r="F1993" s="2" t="s">
        <v>40</v>
      </c>
      <c r="J1993" s="2" t="s">
        <v>532</v>
      </c>
      <c r="K1993" s="2" t="s">
        <v>533</v>
      </c>
      <c r="L1993" s="2">
        <v>1</v>
      </c>
      <c r="M1993" s="2" t="s">
        <v>534</v>
      </c>
      <c r="O1993" s="2" t="s">
        <v>524</v>
      </c>
      <c r="Y1993" s="2" t="s">
        <v>650</v>
      </c>
    </row>
    <row r="1994" spans="1:34" x14ac:dyDescent="0.25">
      <c r="A1994" s="2" t="s">
        <v>319</v>
      </c>
      <c r="B1994" s="2" t="s">
        <v>531</v>
      </c>
      <c r="C1994" s="2" t="s">
        <v>408</v>
      </c>
      <c r="D1994" s="2" t="s">
        <v>412</v>
      </c>
      <c r="E1994" s="2" t="s">
        <v>413</v>
      </c>
      <c r="F1994" s="2" t="s">
        <v>40</v>
      </c>
      <c r="J1994" s="2" t="s">
        <v>532</v>
      </c>
      <c r="K1994" s="2" t="s">
        <v>533</v>
      </c>
      <c r="L1994" s="2">
        <v>2</v>
      </c>
      <c r="M1994" s="2" t="s">
        <v>536</v>
      </c>
      <c r="O1994" s="2" t="s">
        <v>524</v>
      </c>
      <c r="Y1994" s="2" t="s">
        <v>650</v>
      </c>
    </row>
    <row r="1995" spans="1:34" x14ac:dyDescent="0.25">
      <c r="A1995" s="2" t="s">
        <v>319</v>
      </c>
      <c r="B1995" s="2" t="s">
        <v>531</v>
      </c>
      <c r="C1995" s="2" t="s">
        <v>408</v>
      </c>
      <c r="D1995" s="2" t="s">
        <v>412</v>
      </c>
      <c r="E1995" s="2" t="s">
        <v>413</v>
      </c>
      <c r="F1995" s="2" t="s">
        <v>40</v>
      </c>
      <c r="J1995" s="2" t="s">
        <v>532</v>
      </c>
      <c r="K1995" s="2" t="s">
        <v>533</v>
      </c>
      <c r="L1995" s="2">
        <v>3</v>
      </c>
      <c r="M1995" s="2" t="s">
        <v>537</v>
      </c>
      <c r="O1995" s="2" t="s">
        <v>524</v>
      </c>
      <c r="Y1995" s="2" t="s">
        <v>650</v>
      </c>
    </row>
    <row r="1996" spans="1:34" x14ac:dyDescent="0.25">
      <c r="A1996" s="2" t="s">
        <v>319</v>
      </c>
      <c r="B1996" s="2" t="s">
        <v>531</v>
      </c>
      <c r="C1996" s="2" t="s">
        <v>408</v>
      </c>
      <c r="D1996" s="2" t="s">
        <v>412</v>
      </c>
      <c r="E1996" s="2" t="s">
        <v>413</v>
      </c>
      <c r="F1996" s="2" t="s">
        <v>40</v>
      </c>
      <c r="J1996" s="2" t="s">
        <v>532</v>
      </c>
      <c r="K1996" s="2" t="s">
        <v>533</v>
      </c>
      <c r="L1996" s="2">
        <v>4</v>
      </c>
      <c r="M1996" s="2" t="s">
        <v>538</v>
      </c>
      <c r="O1996" s="2" t="s">
        <v>524</v>
      </c>
      <c r="Y1996" s="2" t="s">
        <v>650</v>
      </c>
    </row>
    <row r="1997" spans="1:34" x14ac:dyDescent="0.25">
      <c r="A1997" s="2" t="s">
        <v>319</v>
      </c>
      <c r="B1997" s="2" t="s">
        <v>531</v>
      </c>
      <c r="C1997" s="2" t="s">
        <v>408</v>
      </c>
      <c r="D1997" s="2" t="s">
        <v>412</v>
      </c>
      <c r="E1997" s="2" t="s">
        <v>413</v>
      </c>
      <c r="F1997" s="2" t="s">
        <v>40</v>
      </c>
      <c r="J1997" s="2" t="s">
        <v>532</v>
      </c>
      <c r="K1997" s="2" t="s">
        <v>533</v>
      </c>
      <c r="L1997" s="2">
        <v>5</v>
      </c>
      <c r="M1997" s="2" t="s">
        <v>539</v>
      </c>
      <c r="O1997" s="2" t="s">
        <v>524</v>
      </c>
      <c r="Y1997" s="2" t="s">
        <v>650</v>
      </c>
    </row>
    <row r="1998" spans="1:34" x14ac:dyDescent="0.25">
      <c r="A1998" s="2" t="s">
        <v>319</v>
      </c>
      <c r="B1998" s="2" t="s">
        <v>540</v>
      </c>
      <c r="C1998" s="2" t="s">
        <v>408</v>
      </c>
      <c r="D1998" s="2" t="s">
        <v>412</v>
      </c>
      <c r="E1998" s="2" t="s">
        <v>413</v>
      </c>
      <c r="F1998" s="2" t="s">
        <v>40</v>
      </c>
      <c r="J1998" s="2" t="s">
        <v>541</v>
      </c>
      <c r="K1998" s="2" t="s">
        <v>542</v>
      </c>
      <c r="L1998" s="2">
        <v>1</v>
      </c>
      <c r="M1998" s="2" t="s">
        <v>543</v>
      </c>
      <c r="O1998" s="2" t="s">
        <v>524</v>
      </c>
      <c r="Y1998" s="2" t="s">
        <v>650</v>
      </c>
    </row>
    <row r="1999" spans="1:34" x14ac:dyDescent="0.25">
      <c r="A1999" s="2" t="s">
        <v>319</v>
      </c>
      <c r="B1999" s="2" t="s">
        <v>540</v>
      </c>
      <c r="C1999" s="2" t="s">
        <v>408</v>
      </c>
      <c r="D1999" s="2" t="s">
        <v>412</v>
      </c>
      <c r="E1999" s="2" t="s">
        <v>413</v>
      </c>
      <c r="F1999" s="2" t="s">
        <v>40</v>
      </c>
      <c r="J1999" s="2" t="s">
        <v>541</v>
      </c>
      <c r="K1999" s="2" t="s">
        <v>542</v>
      </c>
      <c r="L1999" s="2">
        <v>2</v>
      </c>
      <c r="M1999" s="2" t="s">
        <v>544</v>
      </c>
      <c r="O1999" s="2" t="s">
        <v>524</v>
      </c>
      <c r="Y1999" s="2" t="s">
        <v>650</v>
      </c>
    </row>
    <row r="2000" spans="1:34" x14ac:dyDescent="0.25">
      <c r="A2000" s="2" t="s">
        <v>319</v>
      </c>
      <c r="B2000" s="2" t="s">
        <v>540</v>
      </c>
      <c r="C2000" s="2" t="s">
        <v>408</v>
      </c>
      <c r="D2000" s="2" t="s">
        <v>412</v>
      </c>
      <c r="E2000" s="2" t="s">
        <v>413</v>
      </c>
      <c r="F2000" s="2" t="s">
        <v>40</v>
      </c>
      <c r="J2000" s="2" t="s">
        <v>541</v>
      </c>
      <c r="K2000" s="2" t="s">
        <v>542</v>
      </c>
      <c r="L2000" s="2">
        <v>3</v>
      </c>
      <c r="M2000" s="2" t="s">
        <v>545</v>
      </c>
      <c r="O2000" s="2" t="s">
        <v>524</v>
      </c>
      <c r="Y2000" s="2" t="s">
        <v>650</v>
      </c>
    </row>
    <row r="2001" spans="1:34" x14ac:dyDescent="0.25">
      <c r="A2001" s="2" t="s">
        <v>319</v>
      </c>
      <c r="B2001" s="2" t="s">
        <v>540</v>
      </c>
      <c r="C2001" s="2" t="s">
        <v>408</v>
      </c>
      <c r="D2001" s="2" t="s">
        <v>412</v>
      </c>
      <c r="E2001" s="2" t="s">
        <v>413</v>
      </c>
      <c r="F2001" s="2" t="s">
        <v>40</v>
      </c>
      <c r="J2001" s="2" t="s">
        <v>541</v>
      </c>
      <c r="K2001" s="2" t="s">
        <v>542</v>
      </c>
      <c r="L2001" s="2">
        <v>4</v>
      </c>
      <c r="M2001" s="2" t="s">
        <v>546</v>
      </c>
      <c r="O2001" s="2" t="s">
        <v>524</v>
      </c>
      <c r="Y2001" s="2" t="s">
        <v>650</v>
      </c>
    </row>
    <row r="2002" spans="1:34" x14ac:dyDescent="0.25">
      <c r="A2002" s="2" t="s">
        <v>319</v>
      </c>
      <c r="B2002" s="2" t="s">
        <v>540</v>
      </c>
      <c r="C2002" s="2" t="s">
        <v>408</v>
      </c>
      <c r="D2002" s="2" t="s">
        <v>412</v>
      </c>
      <c r="E2002" s="2" t="s">
        <v>413</v>
      </c>
      <c r="F2002" s="2" t="s">
        <v>40</v>
      </c>
      <c r="J2002" s="2" t="s">
        <v>541</v>
      </c>
      <c r="K2002" s="2" t="s">
        <v>542</v>
      </c>
      <c r="L2002" s="2">
        <v>5</v>
      </c>
      <c r="M2002" s="2" t="s">
        <v>547</v>
      </c>
      <c r="O2002" s="2" t="s">
        <v>524</v>
      </c>
      <c r="Y2002" s="2" t="s">
        <v>650</v>
      </c>
    </row>
    <row r="2003" spans="1:34" x14ac:dyDescent="0.25">
      <c r="A2003" s="2" t="s">
        <v>319</v>
      </c>
      <c r="B2003" s="2" t="s">
        <v>540</v>
      </c>
      <c r="C2003" s="2" t="s">
        <v>408</v>
      </c>
      <c r="D2003" s="2" t="s">
        <v>412</v>
      </c>
      <c r="E2003" s="2" t="s">
        <v>413</v>
      </c>
      <c r="F2003" s="2" t="s">
        <v>40</v>
      </c>
      <c r="J2003" s="2" t="s">
        <v>541</v>
      </c>
      <c r="K2003" s="2" t="s">
        <v>542</v>
      </c>
      <c r="L2003" s="2">
        <v>6</v>
      </c>
      <c r="M2003" s="2" t="s">
        <v>548</v>
      </c>
      <c r="O2003" s="2" t="s">
        <v>524</v>
      </c>
      <c r="Y2003" s="2" t="s">
        <v>650</v>
      </c>
    </row>
    <row r="2004" spans="1:34" x14ac:dyDescent="0.25">
      <c r="A2004" s="2" t="s">
        <v>319</v>
      </c>
      <c r="B2004" s="2" t="s">
        <v>540</v>
      </c>
      <c r="C2004" s="2" t="s">
        <v>408</v>
      </c>
      <c r="D2004" s="2" t="s">
        <v>412</v>
      </c>
      <c r="E2004" s="2" t="s">
        <v>413</v>
      </c>
      <c r="F2004" s="2" t="s">
        <v>40</v>
      </c>
      <c r="J2004" s="2" t="s">
        <v>541</v>
      </c>
      <c r="K2004" s="2" t="s">
        <v>542</v>
      </c>
      <c r="L2004" s="2">
        <v>7</v>
      </c>
      <c r="M2004" s="2" t="s">
        <v>549</v>
      </c>
      <c r="O2004" s="2" t="s">
        <v>524</v>
      </c>
      <c r="Y2004" s="2" t="s">
        <v>650</v>
      </c>
    </row>
    <row r="2005" spans="1:34" x14ac:dyDescent="0.25">
      <c r="A2005" s="2" t="s">
        <v>319</v>
      </c>
      <c r="B2005" s="2" t="s">
        <v>540</v>
      </c>
      <c r="C2005" s="2" t="s">
        <v>408</v>
      </c>
      <c r="D2005" s="2" t="s">
        <v>412</v>
      </c>
      <c r="E2005" s="2" t="s">
        <v>413</v>
      </c>
      <c r="F2005" s="2" t="s">
        <v>40</v>
      </c>
      <c r="J2005" s="2" t="s">
        <v>541</v>
      </c>
      <c r="K2005" s="2" t="s">
        <v>542</v>
      </c>
      <c r="L2005" s="2">
        <v>8</v>
      </c>
      <c r="M2005" s="2" t="s">
        <v>550</v>
      </c>
      <c r="O2005" s="2" t="s">
        <v>524</v>
      </c>
      <c r="Y2005" s="2" t="s">
        <v>650</v>
      </c>
    </row>
    <row r="2006" spans="1:34" x14ac:dyDescent="0.25">
      <c r="A2006" s="2" t="s">
        <v>319</v>
      </c>
      <c r="B2006" s="2" t="s">
        <v>540</v>
      </c>
      <c r="C2006" s="2" t="s">
        <v>408</v>
      </c>
      <c r="D2006" s="2" t="s">
        <v>412</v>
      </c>
      <c r="E2006" s="2" t="s">
        <v>413</v>
      </c>
      <c r="F2006" s="2" t="s">
        <v>40</v>
      </c>
      <c r="J2006" s="2" t="s">
        <v>541</v>
      </c>
      <c r="K2006" s="2" t="s">
        <v>542</v>
      </c>
      <c r="L2006" s="2">
        <v>9</v>
      </c>
      <c r="M2006" s="2" t="s">
        <v>551</v>
      </c>
      <c r="O2006" s="2" t="s">
        <v>524</v>
      </c>
      <c r="Y2006" s="2" t="s">
        <v>650</v>
      </c>
    </row>
    <row r="2007" spans="1:34" x14ac:dyDescent="0.25">
      <c r="A2007" s="2" t="s">
        <v>319</v>
      </c>
      <c r="B2007" s="2" t="s">
        <v>540</v>
      </c>
      <c r="C2007" s="2" t="s">
        <v>408</v>
      </c>
      <c r="D2007" s="2" t="s">
        <v>412</v>
      </c>
      <c r="E2007" s="2" t="s">
        <v>413</v>
      </c>
      <c r="F2007" s="2" t="s">
        <v>40</v>
      </c>
      <c r="J2007" s="2" t="s">
        <v>541</v>
      </c>
      <c r="K2007" s="2" t="s">
        <v>542</v>
      </c>
      <c r="L2007" s="2">
        <v>10</v>
      </c>
      <c r="M2007" s="2" t="s">
        <v>552</v>
      </c>
      <c r="O2007" s="2" t="s">
        <v>524</v>
      </c>
      <c r="Y2007" s="2" t="s">
        <v>650</v>
      </c>
    </row>
    <row r="2008" spans="1:34" x14ac:dyDescent="0.25">
      <c r="A2008" s="2" t="s">
        <v>319</v>
      </c>
      <c r="B2008" s="2" t="s">
        <v>540</v>
      </c>
      <c r="C2008" s="2" t="s">
        <v>408</v>
      </c>
      <c r="D2008" s="2" t="s">
        <v>412</v>
      </c>
      <c r="E2008" s="2" t="s">
        <v>413</v>
      </c>
      <c r="F2008" s="2" t="s">
        <v>40</v>
      </c>
      <c r="J2008" s="2" t="s">
        <v>541</v>
      </c>
      <c r="K2008" s="2" t="s">
        <v>542</v>
      </c>
      <c r="L2008" s="2">
        <v>11</v>
      </c>
      <c r="M2008" s="2" t="s">
        <v>553</v>
      </c>
      <c r="O2008" s="2" t="s">
        <v>524</v>
      </c>
      <c r="Y2008" s="2" t="s">
        <v>650</v>
      </c>
    </row>
    <row r="2009" spans="1:34" x14ac:dyDescent="0.25">
      <c r="A2009" s="2" t="s">
        <v>319</v>
      </c>
      <c r="B2009" s="2" t="s">
        <v>540</v>
      </c>
      <c r="C2009" s="2" t="s">
        <v>408</v>
      </c>
      <c r="D2009" s="2" t="s">
        <v>412</v>
      </c>
      <c r="E2009" s="2" t="s">
        <v>413</v>
      </c>
      <c r="F2009" s="2" t="s">
        <v>40</v>
      </c>
      <c r="J2009" s="2" t="s">
        <v>541</v>
      </c>
      <c r="K2009" s="2" t="s">
        <v>542</v>
      </c>
      <c r="L2009" s="2">
        <v>12</v>
      </c>
      <c r="M2009" s="2" t="s">
        <v>554</v>
      </c>
      <c r="O2009" s="2" t="s">
        <v>524</v>
      </c>
      <c r="Y2009" s="2" t="s">
        <v>650</v>
      </c>
    </row>
    <row r="2010" spans="1:34" x14ac:dyDescent="0.25">
      <c r="A2010" s="2" t="s">
        <v>319</v>
      </c>
      <c r="B2010" s="2" t="s">
        <v>555</v>
      </c>
      <c r="C2010" s="2" t="s">
        <v>408</v>
      </c>
      <c r="D2010" s="2" t="s">
        <v>412</v>
      </c>
      <c r="E2010" s="2" t="s">
        <v>413</v>
      </c>
      <c r="F2010" s="2" t="s">
        <v>40</v>
      </c>
      <c r="J2010" s="2" t="s">
        <v>556</v>
      </c>
      <c r="O2010" s="2" t="s">
        <v>524</v>
      </c>
      <c r="Y2010" s="2" t="s">
        <v>650</v>
      </c>
      <c r="AB2010" s="2">
        <v>2</v>
      </c>
    </row>
    <row r="2011" spans="1:34" x14ac:dyDescent="0.25">
      <c r="A2011" s="2" t="s">
        <v>319</v>
      </c>
      <c r="B2011" s="2" t="s">
        <v>557</v>
      </c>
      <c r="C2011" s="2" t="s">
        <v>408</v>
      </c>
      <c r="D2011" s="2" t="s">
        <v>412</v>
      </c>
      <c r="E2011" s="2" t="s">
        <v>413</v>
      </c>
      <c r="F2011" s="2" t="s">
        <v>40</v>
      </c>
      <c r="J2011" s="2" t="s">
        <v>558</v>
      </c>
      <c r="O2011" s="2" t="s">
        <v>524</v>
      </c>
      <c r="Y2011" s="2" t="s">
        <v>650</v>
      </c>
      <c r="AC2011" s="2">
        <f>COUNTIFS($B:$B,"BLOCK_LOAD_Q",$A:$A,$A2011,$C:$C,$C2011,$E:$E,$E2011,$F:$F,$F2011,$N:$N, "&lt;&gt;")</f>
        <v>0</v>
      </c>
      <c r="AD2011" s="2">
        <f>COUNTIFS($B:$B,"BLOCK_TRUST_Q",$A:$A,$A2011,$C:$C,$C2011,$E:$E,$E2011,$F:$F,$F2011,$N:$N, "&lt;&gt;")</f>
        <v>0</v>
      </c>
      <c r="AE2011" s="2" t="str">
        <f>IFERROR(AVERAGEIFS($P:$P,$B:$B,"BLOCK_LOAD_Q",$A:$A,$A2011,$C:$C,$C2011,$E:$E,$E2011,$F:$F,$F2011,$P:$P,"&gt;0"),"")</f>
        <v/>
      </c>
      <c r="AF2011" s="2" t="str">
        <f>IFERROR(AVERAGEIFS($P:$P,$B:$B,"BLOCK_TRUST_Q",$A:$A,$A2011,$C:$C,$C2011,$E:$E,$E2011,$F:$F,$F2011,$P:$P,"&gt;0"),"")</f>
        <v/>
      </c>
      <c r="AG2011" s="2">
        <f>5-AC2011</f>
        <v>5</v>
      </c>
      <c r="AH2011" s="2">
        <f>12-AD2011</f>
        <v>12</v>
      </c>
    </row>
    <row r="2012" spans="1:34" x14ac:dyDescent="0.25">
      <c r="A2012" s="2" t="s">
        <v>319</v>
      </c>
      <c r="B2012" s="2" t="s">
        <v>402</v>
      </c>
      <c r="C2012" s="2" t="s">
        <v>408</v>
      </c>
      <c r="D2012" s="2" t="s">
        <v>412</v>
      </c>
      <c r="E2012" s="2" t="s">
        <v>414</v>
      </c>
      <c r="F2012" s="2" t="s">
        <v>39</v>
      </c>
      <c r="G2012" s="2" t="s">
        <v>415</v>
      </c>
      <c r="H2012" s="2" t="s">
        <v>350</v>
      </c>
      <c r="S2012" s="2" t="s">
        <v>57</v>
      </c>
      <c r="U2012" s="2" t="s">
        <v>58</v>
      </c>
      <c r="W2012" s="2" t="s">
        <v>59</v>
      </c>
    </row>
    <row r="2013" spans="1:34" x14ac:dyDescent="0.25">
      <c r="A2013" s="2" t="s">
        <v>319</v>
      </c>
      <c r="B2013" s="2" t="s">
        <v>402</v>
      </c>
      <c r="C2013" s="2" t="s">
        <v>408</v>
      </c>
      <c r="D2013" s="2" t="s">
        <v>412</v>
      </c>
      <c r="E2013" s="2" t="s">
        <v>414</v>
      </c>
      <c r="F2013" s="2" t="s">
        <v>39</v>
      </c>
      <c r="G2013" s="2" t="s">
        <v>416</v>
      </c>
      <c r="H2013" s="2" t="s">
        <v>571</v>
      </c>
      <c r="S2013" s="2" t="s">
        <v>59</v>
      </c>
      <c r="U2013" s="2" t="s">
        <v>57</v>
      </c>
      <c r="W2013" s="2" t="s">
        <v>60</v>
      </c>
    </row>
    <row r="2014" spans="1:34" x14ac:dyDescent="0.25">
      <c r="A2014" s="2" t="s">
        <v>319</v>
      </c>
      <c r="B2014" s="2" t="s">
        <v>402</v>
      </c>
      <c r="C2014" s="2" t="s">
        <v>408</v>
      </c>
      <c r="D2014" s="2" t="s">
        <v>412</v>
      </c>
      <c r="E2014" s="2" t="s">
        <v>414</v>
      </c>
      <c r="F2014" s="2" t="s">
        <v>39</v>
      </c>
      <c r="G2014" s="2" t="s">
        <v>417</v>
      </c>
      <c r="H2014" s="2" t="s">
        <v>572</v>
      </c>
      <c r="S2014" s="2" t="s">
        <v>57</v>
      </c>
      <c r="U2014" s="2" t="s">
        <v>59</v>
      </c>
      <c r="W2014" s="2" t="s">
        <v>58</v>
      </c>
    </row>
    <row r="2015" spans="1:34" x14ac:dyDescent="0.25">
      <c r="A2015" s="2" t="s">
        <v>319</v>
      </c>
      <c r="B2015" s="2" t="s">
        <v>402</v>
      </c>
      <c r="C2015" s="2" t="s">
        <v>408</v>
      </c>
      <c r="D2015" s="2" t="s">
        <v>412</v>
      </c>
      <c r="E2015" s="2" t="s">
        <v>414</v>
      </c>
      <c r="F2015" s="2" t="s">
        <v>39</v>
      </c>
      <c r="G2015" s="2" t="s">
        <v>418</v>
      </c>
      <c r="H2015" s="2" t="s">
        <v>573</v>
      </c>
      <c r="S2015" s="2" t="s">
        <v>58</v>
      </c>
      <c r="U2015" s="2" t="s">
        <v>58</v>
      </c>
      <c r="W2015" s="2" t="s">
        <v>58</v>
      </c>
    </row>
    <row r="2016" spans="1:34" x14ac:dyDescent="0.25">
      <c r="A2016" s="2" t="s">
        <v>319</v>
      </c>
      <c r="B2016" s="2" t="s">
        <v>402</v>
      </c>
      <c r="C2016" s="2" t="s">
        <v>408</v>
      </c>
      <c r="D2016" s="2" t="s">
        <v>412</v>
      </c>
      <c r="E2016" s="2" t="s">
        <v>414</v>
      </c>
      <c r="F2016" s="2" t="s">
        <v>39</v>
      </c>
      <c r="G2016" s="2" t="s">
        <v>419</v>
      </c>
      <c r="H2016" s="2" t="s">
        <v>365</v>
      </c>
      <c r="S2016" s="2" t="s">
        <v>59</v>
      </c>
      <c r="U2016" s="2" t="s">
        <v>59</v>
      </c>
      <c r="W2016" s="2" t="s">
        <v>60</v>
      </c>
    </row>
    <row r="2017" spans="1:25" x14ac:dyDescent="0.25">
      <c r="A2017" s="2" t="s">
        <v>319</v>
      </c>
      <c r="B2017" s="2" t="s">
        <v>531</v>
      </c>
      <c r="C2017" s="2" t="s">
        <v>408</v>
      </c>
      <c r="D2017" s="2" t="s">
        <v>412</v>
      </c>
      <c r="E2017" s="2" t="s">
        <v>414</v>
      </c>
      <c r="F2017" s="2" t="s">
        <v>39</v>
      </c>
      <c r="J2017" s="2" t="s">
        <v>532</v>
      </c>
      <c r="K2017" s="2" t="s">
        <v>533</v>
      </c>
      <c r="L2017" s="2">
        <v>1</v>
      </c>
      <c r="M2017" s="2" t="s">
        <v>534</v>
      </c>
      <c r="O2017" s="2" t="s">
        <v>524</v>
      </c>
      <c r="Y2017" s="2" t="s">
        <v>651</v>
      </c>
    </row>
    <row r="2018" spans="1:25" x14ac:dyDescent="0.25">
      <c r="A2018" s="2" t="s">
        <v>319</v>
      </c>
      <c r="B2018" s="2" t="s">
        <v>531</v>
      </c>
      <c r="C2018" s="2" t="s">
        <v>408</v>
      </c>
      <c r="D2018" s="2" t="s">
        <v>412</v>
      </c>
      <c r="E2018" s="2" t="s">
        <v>414</v>
      </c>
      <c r="F2018" s="2" t="s">
        <v>39</v>
      </c>
      <c r="J2018" s="2" t="s">
        <v>532</v>
      </c>
      <c r="K2018" s="2" t="s">
        <v>533</v>
      </c>
      <c r="L2018" s="2">
        <v>2</v>
      </c>
      <c r="M2018" s="2" t="s">
        <v>536</v>
      </c>
      <c r="O2018" s="2" t="s">
        <v>524</v>
      </c>
      <c r="Y2018" s="2" t="s">
        <v>651</v>
      </c>
    </row>
    <row r="2019" spans="1:25" x14ac:dyDescent="0.25">
      <c r="A2019" s="2" t="s">
        <v>319</v>
      </c>
      <c r="B2019" s="2" t="s">
        <v>531</v>
      </c>
      <c r="C2019" s="2" t="s">
        <v>408</v>
      </c>
      <c r="D2019" s="2" t="s">
        <v>412</v>
      </c>
      <c r="E2019" s="2" t="s">
        <v>414</v>
      </c>
      <c r="F2019" s="2" t="s">
        <v>39</v>
      </c>
      <c r="J2019" s="2" t="s">
        <v>532</v>
      </c>
      <c r="K2019" s="2" t="s">
        <v>533</v>
      </c>
      <c r="L2019" s="2">
        <v>3</v>
      </c>
      <c r="M2019" s="2" t="s">
        <v>537</v>
      </c>
      <c r="O2019" s="2" t="s">
        <v>524</v>
      </c>
      <c r="Y2019" s="2" t="s">
        <v>651</v>
      </c>
    </row>
    <row r="2020" spans="1:25" x14ac:dyDescent="0.25">
      <c r="A2020" s="2" t="s">
        <v>319</v>
      </c>
      <c r="B2020" s="2" t="s">
        <v>531</v>
      </c>
      <c r="C2020" s="2" t="s">
        <v>408</v>
      </c>
      <c r="D2020" s="2" t="s">
        <v>412</v>
      </c>
      <c r="E2020" s="2" t="s">
        <v>414</v>
      </c>
      <c r="F2020" s="2" t="s">
        <v>39</v>
      </c>
      <c r="J2020" s="2" t="s">
        <v>532</v>
      </c>
      <c r="K2020" s="2" t="s">
        <v>533</v>
      </c>
      <c r="L2020" s="2">
        <v>4</v>
      </c>
      <c r="M2020" s="2" t="s">
        <v>538</v>
      </c>
      <c r="O2020" s="2" t="s">
        <v>524</v>
      </c>
      <c r="Y2020" s="2" t="s">
        <v>651</v>
      </c>
    </row>
    <row r="2021" spans="1:25" x14ac:dyDescent="0.25">
      <c r="A2021" s="2" t="s">
        <v>319</v>
      </c>
      <c r="B2021" s="2" t="s">
        <v>531</v>
      </c>
      <c r="C2021" s="2" t="s">
        <v>408</v>
      </c>
      <c r="D2021" s="2" t="s">
        <v>412</v>
      </c>
      <c r="E2021" s="2" t="s">
        <v>414</v>
      </c>
      <c r="F2021" s="2" t="s">
        <v>39</v>
      </c>
      <c r="J2021" s="2" t="s">
        <v>532</v>
      </c>
      <c r="K2021" s="2" t="s">
        <v>533</v>
      </c>
      <c r="L2021" s="2">
        <v>5</v>
      </c>
      <c r="M2021" s="2" t="s">
        <v>539</v>
      </c>
      <c r="O2021" s="2" t="s">
        <v>524</v>
      </c>
      <c r="Y2021" s="2" t="s">
        <v>651</v>
      </c>
    </row>
    <row r="2022" spans="1:25" x14ac:dyDescent="0.25">
      <c r="A2022" s="2" t="s">
        <v>319</v>
      </c>
      <c r="B2022" s="2" t="s">
        <v>540</v>
      </c>
      <c r="C2022" s="2" t="s">
        <v>408</v>
      </c>
      <c r="D2022" s="2" t="s">
        <v>412</v>
      </c>
      <c r="E2022" s="2" t="s">
        <v>414</v>
      </c>
      <c r="F2022" s="2" t="s">
        <v>39</v>
      </c>
      <c r="J2022" s="2" t="s">
        <v>541</v>
      </c>
      <c r="K2022" s="2" t="s">
        <v>542</v>
      </c>
      <c r="L2022" s="2">
        <v>1</v>
      </c>
      <c r="M2022" s="2" t="s">
        <v>543</v>
      </c>
      <c r="O2022" s="2" t="s">
        <v>524</v>
      </c>
      <c r="Y2022" s="2" t="s">
        <v>651</v>
      </c>
    </row>
    <row r="2023" spans="1:25" x14ac:dyDescent="0.25">
      <c r="A2023" s="2" t="s">
        <v>319</v>
      </c>
      <c r="B2023" s="2" t="s">
        <v>540</v>
      </c>
      <c r="C2023" s="2" t="s">
        <v>408</v>
      </c>
      <c r="D2023" s="2" t="s">
        <v>412</v>
      </c>
      <c r="E2023" s="2" t="s">
        <v>414</v>
      </c>
      <c r="F2023" s="2" t="s">
        <v>39</v>
      </c>
      <c r="J2023" s="2" t="s">
        <v>541</v>
      </c>
      <c r="K2023" s="2" t="s">
        <v>542</v>
      </c>
      <c r="L2023" s="2">
        <v>2</v>
      </c>
      <c r="M2023" s="2" t="s">
        <v>544</v>
      </c>
      <c r="O2023" s="2" t="s">
        <v>524</v>
      </c>
      <c r="Y2023" s="2" t="s">
        <v>651</v>
      </c>
    </row>
    <row r="2024" spans="1:25" x14ac:dyDescent="0.25">
      <c r="A2024" s="2" t="s">
        <v>319</v>
      </c>
      <c r="B2024" s="2" t="s">
        <v>540</v>
      </c>
      <c r="C2024" s="2" t="s">
        <v>408</v>
      </c>
      <c r="D2024" s="2" t="s">
        <v>412</v>
      </c>
      <c r="E2024" s="2" t="s">
        <v>414</v>
      </c>
      <c r="F2024" s="2" t="s">
        <v>39</v>
      </c>
      <c r="J2024" s="2" t="s">
        <v>541</v>
      </c>
      <c r="K2024" s="2" t="s">
        <v>542</v>
      </c>
      <c r="L2024" s="2">
        <v>3</v>
      </c>
      <c r="M2024" s="2" t="s">
        <v>545</v>
      </c>
      <c r="O2024" s="2" t="s">
        <v>524</v>
      </c>
      <c r="Y2024" s="2" t="s">
        <v>651</v>
      </c>
    </row>
    <row r="2025" spans="1:25" x14ac:dyDescent="0.25">
      <c r="A2025" s="2" t="s">
        <v>319</v>
      </c>
      <c r="B2025" s="2" t="s">
        <v>540</v>
      </c>
      <c r="C2025" s="2" t="s">
        <v>408</v>
      </c>
      <c r="D2025" s="2" t="s">
        <v>412</v>
      </c>
      <c r="E2025" s="2" t="s">
        <v>414</v>
      </c>
      <c r="F2025" s="2" t="s">
        <v>39</v>
      </c>
      <c r="J2025" s="2" t="s">
        <v>541</v>
      </c>
      <c r="K2025" s="2" t="s">
        <v>542</v>
      </c>
      <c r="L2025" s="2">
        <v>4</v>
      </c>
      <c r="M2025" s="2" t="s">
        <v>546</v>
      </c>
      <c r="O2025" s="2" t="s">
        <v>524</v>
      </c>
      <c r="Y2025" s="2" t="s">
        <v>651</v>
      </c>
    </row>
    <row r="2026" spans="1:25" x14ac:dyDescent="0.25">
      <c r="A2026" s="2" t="s">
        <v>319</v>
      </c>
      <c r="B2026" s="2" t="s">
        <v>540</v>
      </c>
      <c r="C2026" s="2" t="s">
        <v>408</v>
      </c>
      <c r="D2026" s="2" t="s">
        <v>412</v>
      </c>
      <c r="E2026" s="2" t="s">
        <v>414</v>
      </c>
      <c r="F2026" s="2" t="s">
        <v>39</v>
      </c>
      <c r="J2026" s="2" t="s">
        <v>541</v>
      </c>
      <c r="K2026" s="2" t="s">
        <v>542</v>
      </c>
      <c r="L2026" s="2">
        <v>5</v>
      </c>
      <c r="M2026" s="2" t="s">
        <v>547</v>
      </c>
      <c r="O2026" s="2" t="s">
        <v>524</v>
      </c>
      <c r="Y2026" s="2" t="s">
        <v>651</v>
      </c>
    </row>
    <row r="2027" spans="1:25" x14ac:dyDescent="0.25">
      <c r="A2027" s="2" t="s">
        <v>319</v>
      </c>
      <c r="B2027" s="2" t="s">
        <v>540</v>
      </c>
      <c r="C2027" s="2" t="s">
        <v>408</v>
      </c>
      <c r="D2027" s="2" t="s">
        <v>412</v>
      </c>
      <c r="E2027" s="2" t="s">
        <v>414</v>
      </c>
      <c r="F2027" s="2" t="s">
        <v>39</v>
      </c>
      <c r="J2027" s="2" t="s">
        <v>541</v>
      </c>
      <c r="K2027" s="2" t="s">
        <v>542</v>
      </c>
      <c r="L2027" s="2">
        <v>6</v>
      </c>
      <c r="M2027" s="2" t="s">
        <v>548</v>
      </c>
      <c r="O2027" s="2" t="s">
        <v>524</v>
      </c>
      <c r="Y2027" s="2" t="s">
        <v>651</v>
      </c>
    </row>
    <row r="2028" spans="1:25" x14ac:dyDescent="0.25">
      <c r="A2028" s="2" t="s">
        <v>319</v>
      </c>
      <c r="B2028" s="2" t="s">
        <v>540</v>
      </c>
      <c r="C2028" s="2" t="s">
        <v>408</v>
      </c>
      <c r="D2028" s="2" t="s">
        <v>412</v>
      </c>
      <c r="E2028" s="2" t="s">
        <v>414</v>
      </c>
      <c r="F2028" s="2" t="s">
        <v>39</v>
      </c>
      <c r="J2028" s="2" t="s">
        <v>541</v>
      </c>
      <c r="K2028" s="2" t="s">
        <v>542</v>
      </c>
      <c r="L2028" s="2">
        <v>7</v>
      </c>
      <c r="M2028" s="2" t="s">
        <v>549</v>
      </c>
      <c r="O2028" s="2" t="s">
        <v>524</v>
      </c>
      <c r="Y2028" s="2" t="s">
        <v>651</v>
      </c>
    </row>
    <row r="2029" spans="1:25" x14ac:dyDescent="0.25">
      <c r="A2029" s="2" t="s">
        <v>319</v>
      </c>
      <c r="B2029" s="2" t="s">
        <v>540</v>
      </c>
      <c r="C2029" s="2" t="s">
        <v>408</v>
      </c>
      <c r="D2029" s="2" t="s">
        <v>412</v>
      </c>
      <c r="E2029" s="2" t="s">
        <v>414</v>
      </c>
      <c r="F2029" s="2" t="s">
        <v>39</v>
      </c>
      <c r="J2029" s="2" t="s">
        <v>541</v>
      </c>
      <c r="K2029" s="2" t="s">
        <v>542</v>
      </c>
      <c r="L2029" s="2">
        <v>8</v>
      </c>
      <c r="M2029" s="2" t="s">
        <v>550</v>
      </c>
      <c r="O2029" s="2" t="s">
        <v>524</v>
      </c>
      <c r="Y2029" s="2" t="s">
        <v>651</v>
      </c>
    </row>
    <row r="2030" spans="1:25" x14ac:dyDescent="0.25">
      <c r="A2030" s="2" t="s">
        <v>319</v>
      </c>
      <c r="B2030" s="2" t="s">
        <v>540</v>
      </c>
      <c r="C2030" s="2" t="s">
        <v>408</v>
      </c>
      <c r="D2030" s="2" t="s">
        <v>412</v>
      </c>
      <c r="E2030" s="2" t="s">
        <v>414</v>
      </c>
      <c r="F2030" s="2" t="s">
        <v>39</v>
      </c>
      <c r="J2030" s="2" t="s">
        <v>541</v>
      </c>
      <c r="K2030" s="2" t="s">
        <v>542</v>
      </c>
      <c r="L2030" s="2">
        <v>9</v>
      </c>
      <c r="M2030" s="2" t="s">
        <v>551</v>
      </c>
      <c r="O2030" s="2" t="s">
        <v>524</v>
      </c>
      <c r="Y2030" s="2" t="s">
        <v>651</v>
      </c>
    </row>
    <row r="2031" spans="1:25" x14ac:dyDescent="0.25">
      <c r="A2031" s="2" t="s">
        <v>319</v>
      </c>
      <c r="B2031" s="2" t="s">
        <v>540</v>
      </c>
      <c r="C2031" s="2" t="s">
        <v>408</v>
      </c>
      <c r="D2031" s="2" t="s">
        <v>412</v>
      </c>
      <c r="E2031" s="2" t="s">
        <v>414</v>
      </c>
      <c r="F2031" s="2" t="s">
        <v>39</v>
      </c>
      <c r="J2031" s="2" t="s">
        <v>541</v>
      </c>
      <c r="K2031" s="2" t="s">
        <v>542</v>
      </c>
      <c r="L2031" s="2">
        <v>10</v>
      </c>
      <c r="M2031" s="2" t="s">
        <v>552</v>
      </c>
      <c r="O2031" s="2" t="s">
        <v>524</v>
      </c>
      <c r="Y2031" s="2" t="s">
        <v>651</v>
      </c>
    </row>
    <row r="2032" spans="1:25" x14ac:dyDescent="0.25">
      <c r="A2032" s="2" t="s">
        <v>319</v>
      </c>
      <c r="B2032" s="2" t="s">
        <v>540</v>
      </c>
      <c r="C2032" s="2" t="s">
        <v>408</v>
      </c>
      <c r="D2032" s="2" t="s">
        <v>412</v>
      </c>
      <c r="E2032" s="2" t="s">
        <v>414</v>
      </c>
      <c r="F2032" s="2" t="s">
        <v>39</v>
      </c>
      <c r="J2032" s="2" t="s">
        <v>541</v>
      </c>
      <c r="K2032" s="2" t="s">
        <v>542</v>
      </c>
      <c r="L2032" s="2">
        <v>11</v>
      </c>
      <c r="M2032" s="2" t="s">
        <v>553</v>
      </c>
      <c r="O2032" s="2" t="s">
        <v>524</v>
      </c>
      <c r="Y2032" s="2" t="s">
        <v>651</v>
      </c>
    </row>
    <row r="2033" spans="1:34" x14ac:dyDescent="0.25">
      <c r="A2033" s="2" t="s">
        <v>319</v>
      </c>
      <c r="B2033" s="2" t="s">
        <v>540</v>
      </c>
      <c r="C2033" s="2" t="s">
        <v>408</v>
      </c>
      <c r="D2033" s="2" t="s">
        <v>412</v>
      </c>
      <c r="E2033" s="2" t="s">
        <v>414</v>
      </c>
      <c r="F2033" s="2" t="s">
        <v>39</v>
      </c>
      <c r="J2033" s="2" t="s">
        <v>541</v>
      </c>
      <c r="K2033" s="2" t="s">
        <v>542</v>
      </c>
      <c r="L2033" s="2">
        <v>12</v>
      </c>
      <c r="M2033" s="2" t="s">
        <v>554</v>
      </c>
      <c r="O2033" s="2" t="s">
        <v>524</v>
      </c>
      <c r="Y2033" s="2" t="s">
        <v>651</v>
      </c>
    </row>
    <row r="2034" spans="1:34" x14ac:dyDescent="0.25">
      <c r="A2034" s="2" t="s">
        <v>319</v>
      </c>
      <c r="B2034" s="2" t="s">
        <v>555</v>
      </c>
      <c r="C2034" s="2" t="s">
        <v>408</v>
      </c>
      <c r="D2034" s="2" t="s">
        <v>412</v>
      </c>
      <c r="E2034" s="2" t="s">
        <v>414</v>
      </c>
      <c r="F2034" s="2" t="s">
        <v>39</v>
      </c>
      <c r="J2034" s="2" t="s">
        <v>556</v>
      </c>
      <c r="O2034" s="2" t="s">
        <v>524</v>
      </c>
      <c r="Y2034" s="2" t="s">
        <v>651</v>
      </c>
      <c r="AB2034" s="2">
        <v>1</v>
      </c>
    </row>
    <row r="2035" spans="1:34" x14ac:dyDescent="0.25">
      <c r="A2035" s="2" t="s">
        <v>319</v>
      </c>
      <c r="B2035" s="2" t="s">
        <v>557</v>
      </c>
      <c r="C2035" s="2" t="s">
        <v>408</v>
      </c>
      <c r="D2035" s="2" t="s">
        <v>412</v>
      </c>
      <c r="E2035" s="2" t="s">
        <v>414</v>
      </c>
      <c r="F2035" s="2" t="s">
        <v>39</v>
      </c>
      <c r="J2035" s="2" t="s">
        <v>558</v>
      </c>
      <c r="O2035" s="2" t="s">
        <v>524</v>
      </c>
      <c r="Y2035" s="2" t="s">
        <v>651</v>
      </c>
      <c r="AC2035" s="2">
        <f>COUNTIFS($B:$B,"BLOCK_LOAD_Q",$A:$A,$A2035,$C:$C,$C2035,$E:$E,$E2035,$F:$F,$F2035,$N:$N, "&lt;&gt;")</f>
        <v>0</v>
      </c>
      <c r="AD2035" s="2">
        <f>COUNTIFS($B:$B,"BLOCK_TRUST_Q",$A:$A,$A2035,$C:$C,$C2035,$E:$E,$E2035,$F:$F,$F2035,$N:$N, "&lt;&gt;")</f>
        <v>0</v>
      </c>
      <c r="AE2035" s="2" t="str">
        <f>IFERROR(AVERAGEIFS($P:$P,$B:$B,"BLOCK_LOAD_Q",$A:$A,$A2035,$C:$C,$C2035,$E:$E,$E2035,$F:$F,$F2035,$P:$P,"&gt;0"),"")</f>
        <v/>
      </c>
      <c r="AF2035" s="2" t="str">
        <f>IFERROR(AVERAGEIFS($P:$P,$B:$B,"BLOCK_TRUST_Q",$A:$A,$A2035,$C:$C,$C2035,$E:$E,$E2035,$F:$F,$F2035,$P:$P,"&gt;0"),"")</f>
        <v/>
      </c>
      <c r="AG2035" s="2">
        <f>5-AC2035</f>
        <v>5</v>
      </c>
      <c r="AH2035" s="2">
        <f>12-AD2035</f>
        <v>12</v>
      </c>
    </row>
    <row r="2036" spans="1:34" x14ac:dyDescent="0.25">
      <c r="A2036" s="2" t="s">
        <v>319</v>
      </c>
      <c r="B2036" s="2" t="s">
        <v>403</v>
      </c>
      <c r="C2036" s="2" t="s">
        <v>408</v>
      </c>
      <c r="D2036" s="2" t="s">
        <v>412</v>
      </c>
      <c r="Z2036" s="2" t="s">
        <v>460</v>
      </c>
    </row>
    <row r="2037" spans="1:34" x14ac:dyDescent="0.25">
      <c r="A2037" s="2" t="s">
        <v>319</v>
      </c>
      <c r="B2037" s="2" t="s">
        <v>402</v>
      </c>
      <c r="C2037" s="2" t="s">
        <v>409</v>
      </c>
      <c r="D2037" s="2" t="s">
        <v>410</v>
      </c>
      <c r="E2037" s="2" t="s">
        <v>413</v>
      </c>
      <c r="F2037" s="2" t="s">
        <v>40</v>
      </c>
      <c r="G2037" s="2" t="s">
        <v>415</v>
      </c>
      <c r="H2037" s="2" t="s">
        <v>354</v>
      </c>
      <c r="S2037" s="2" t="s">
        <v>59</v>
      </c>
      <c r="U2037" s="2" t="s">
        <v>59</v>
      </c>
      <c r="W2037" s="2" t="s">
        <v>58</v>
      </c>
    </row>
    <row r="2038" spans="1:34" x14ac:dyDescent="0.25">
      <c r="A2038" s="2" t="s">
        <v>319</v>
      </c>
      <c r="B2038" s="2" t="s">
        <v>402</v>
      </c>
      <c r="C2038" s="2" t="s">
        <v>409</v>
      </c>
      <c r="D2038" s="2" t="s">
        <v>410</v>
      </c>
      <c r="E2038" s="2" t="s">
        <v>413</v>
      </c>
      <c r="F2038" s="2" t="s">
        <v>40</v>
      </c>
      <c r="G2038" s="2" t="s">
        <v>416</v>
      </c>
      <c r="H2038" s="2" t="s">
        <v>559</v>
      </c>
      <c r="S2038" s="2" t="s">
        <v>57</v>
      </c>
      <c r="U2038" s="2" t="s">
        <v>57</v>
      </c>
      <c r="W2038" s="2" t="s">
        <v>58</v>
      </c>
    </row>
    <row r="2039" spans="1:34" x14ac:dyDescent="0.25">
      <c r="A2039" s="2" t="s">
        <v>319</v>
      </c>
      <c r="B2039" s="2" t="s">
        <v>402</v>
      </c>
      <c r="C2039" s="2" t="s">
        <v>409</v>
      </c>
      <c r="D2039" s="2" t="s">
        <v>410</v>
      </c>
      <c r="E2039" s="2" t="s">
        <v>413</v>
      </c>
      <c r="F2039" s="2" t="s">
        <v>40</v>
      </c>
      <c r="G2039" s="2" t="s">
        <v>417</v>
      </c>
      <c r="H2039" s="2" t="s">
        <v>370</v>
      </c>
      <c r="S2039" s="2" t="s">
        <v>60</v>
      </c>
      <c r="U2039" s="2" t="s">
        <v>58</v>
      </c>
      <c r="W2039" s="2" t="s">
        <v>59</v>
      </c>
    </row>
    <row r="2040" spans="1:34" x14ac:dyDescent="0.25">
      <c r="A2040" s="2" t="s">
        <v>319</v>
      </c>
      <c r="B2040" s="2" t="s">
        <v>402</v>
      </c>
      <c r="C2040" s="2" t="s">
        <v>409</v>
      </c>
      <c r="D2040" s="2" t="s">
        <v>410</v>
      </c>
      <c r="E2040" s="2" t="s">
        <v>413</v>
      </c>
      <c r="F2040" s="2" t="s">
        <v>40</v>
      </c>
      <c r="G2040" s="2" t="s">
        <v>418</v>
      </c>
      <c r="H2040" s="2" t="s">
        <v>560</v>
      </c>
      <c r="S2040" s="2" t="s">
        <v>57</v>
      </c>
      <c r="U2040" s="2" t="s">
        <v>58</v>
      </c>
      <c r="W2040" s="2" t="s">
        <v>60</v>
      </c>
    </row>
    <row r="2041" spans="1:34" x14ac:dyDescent="0.25">
      <c r="A2041" s="2" t="s">
        <v>319</v>
      </c>
      <c r="B2041" s="2" t="s">
        <v>531</v>
      </c>
      <c r="C2041" s="2" t="s">
        <v>409</v>
      </c>
      <c r="D2041" s="2" t="s">
        <v>410</v>
      </c>
      <c r="E2041" s="2" t="s">
        <v>413</v>
      </c>
      <c r="F2041" s="2" t="s">
        <v>40</v>
      </c>
      <c r="J2041" s="2" t="s">
        <v>532</v>
      </c>
      <c r="K2041" s="2" t="s">
        <v>533</v>
      </c>
      <c r="L2041" s="2">
        <v>1</v>
      </c>
      <c r="M2041" s="2" t="s">
        <v>534</v>
      </c>
      <c r="O2041" s="2" t="s">
        <v>524</v>
      </c>
      <c r="Y2041" s="2" t="s">
        <v>652</v>
      </c>
    </row>
    <row r="2042" spans="1:34" x14ac:dyDescent="0.25">
      <c r="A2042" s="2" t="s">
        <v>319</v>
      </c>
      <c r="B2042" s="2" t="s">
        <v>531</v>
      </c>
      <c r="C2042" s="2" t="s">
        <v>409</v>
      </c>
      <c r="D2042" s="2" t="s">
        <v>410</v>
      </c>
      <c r="E2042" s="2" t="s">
        <v>413</v>
      </c>
      <c r="F2042" s="2" t="s">
        <v>40</v>
      </c>
      <c r="J2042" s="2" t="s">
        <v>532</v>
      </c>
      <c r="K2042" s="2" t="s">
        <v>533</v>
      </c>
      <c r="L2042" s="2">
        <v>2</v>
      </c>
      <c r="M2042" s="2" t="s">
        <v>536</v>
      </c>
      <c r="O2042" s="2" t="s">
        <v>524</v>
      </c>
      <c r="Y2042" s="2" t="s">
        <v>652</v>
      </c>
    </row>
    <row r="2043" spans="1:34" x14ac:dyDescent="0.25">
      <c r="A2043" s="2" t="s">
        <v>319</v>
      </c>
      <c r="B2043" s="2" t="s">
        <v>531</v>
      </c>
      <c r="C2043" s="2" t="s">
        <v>409</v>
      </c>
      <c r="D2043" s="2" t="s">
        <v>410</v>
      </c>
      <c r="E2043" s="2" t="s">
        <v>413</v>
      </c>
      <c r="F2043" s="2" t="s">
        <v>40</v>
      </c>
      <c r="J2043" s="2" t="s">
        <v>532</v>
      </c>
      <c r="K2043" s="2" t="s">
        <v>533</v>
      </c>
      <c r="L2043" s="2">
        <v>3</v>
      </c>
      <c r="M2043" s="2" t="s">
        <v>537</v>
      </c>
      <c r="O2043" s="2" t="s">
        <v>524</v>
      </c>
      <c r="Y2043" s="2" t="s">
        <v>652</v>
      </c>
    </row>
    <row r="2044" spans="1:34" x14ac:dyDescent="0.25">
      <c r="A2044" s="2" t="s">
        <v>319</v>
      </c>
      <c r="B2044" s="2" t="s">
        <v>531</v>
      </c>
      <c r="C2044" s="2" t="s">
        <v>409</v>
      </c>
      <c r="D2044" s="2" t="s">
        <v>410</v>
      </c>
      <c r="E2044" s="2" t="s">
        <v>413</v>
      </c>
      <c r="F2044" s="2" t="s">
        <v>40</v>
      </c>
      <c r="J2044" s="2" t="s">
        <v>532</v>
      </c>
      <c r="K2044" s="2" t="s">
        <v>533</v>
      </c>
      <c r="L2044" s="2">
        <v>4</v>
      </c>
      <c r="M2044" s="2" t="s">
        <v>538</v>
      </c>
      <c r="O2044" s="2" t="s">
        <v>524</v>
      </c>
      <c r="Y2044" s="2" t="s">
        <v>652</v>
      </c>
    </row>
    <row r="2045" spans="1:34" x14ac:dyDescent="0.25">
      <c r="A2045" s="2" t="s">
        <v>319</v>
      </c>
      <c r="B2045" s="2" t="s">
        <v>531</v>
      </c>
      <c r="C2045" s="2" t="s">
        <v>409</v>
      </c>
      <c r="D2045" s="2" t="s">
        <v>410</v>
      </c>
      <c r="E2045" s="2" t="s">
        <v>413</v>
      </c>
      <c r="F2045" s="2" t="s">
        <v>40</v>
      </c>
      <c r="J2045" s="2" t="s">
        <v>532</v>
      </c>
      <c r="K2045" s="2" t="s">
        <v>533</v>
      </c>
      <c r="L2045" s="2">
        <v>5</v>
      </c>
      <c r="M2045" s="2" t="s">
        <v>539</v>
      </c>
      <c r="O2045" s="2" t="s">
        <v>524</v>
      </c>
      <c r="Y2045" s="2" t="s">
        <v>652</v>
      </c>
    </row>
    <row r="2046" spans="1:34" x14ac:dyDescent="0.25">
      <c r="A2046" s="2" t="s">
        <v>319</v>
      </c>
      <c r="B2046" s="2" t="s">
        <v>540</v>
      </c>
      <c r="C2046" s="2" t="s">
        <v>409</v>
      </c>
      <c r="D2046" s="2" t="s">
        <v>410</v>
      </c>
      <c r="E2046" s="2" t="s">
        <v>413</v>
      </c>
      <c r="F2046" s="2" t="s">
        <v>40</v>
      </c>
      <c r="J2046" s="2" t="s">
        <v>541</v>
      </c>
      <c r="K2046" s="2" t="s">
        <v>542</v>
      </c>
      <c r="L2046" s="2">
        <v>1</v>
      </c>
      <c r="M2046" s="2" t="s">
        <v>543</v>
      </c>
      <c r="O2046" s="2" t="s">
        <v>524</v>
      </c>
      <c r="Y2046" s="2" t="s">
        <v>652</v>
      </c>
    </row>
    <row r="2047" spans="1:34" x14ac:dyDescent="0.25">
      <c r="A2047" s="2" t="s">
        <v>319</v>
      </c>
      <c r="B2047" s="2" t="s">
        <v>540</v>
      </c>
      <c r="C2047" s="2" t="s">
        <v>409</v>
      </c>
      <c r="D2047" s="2" t="s">
        <v>410</v>
      </c>
      <c r="E2047" s="2" t="s">
        <v>413</v>
      </c>
      <c r="F2047" s="2" t="s">
        <v>40</v>
      </c>
      <c r="J2047" s="2" t="s">
        <v>541</v>
      </c>
      <c r="K2047" s="2" t="s">
        <v>542</v>
      </c>
      <c r="L2047" s="2">
        <v>2</v>
      </c>
      <c r="M2047" s="2" t="s">
        <v>544</v>
      </c>
      <c r="O2047" s="2" t="s">
        <v>524</v>
      </c>
      <c r="Y2047" s="2" t="s">
        <v>652</v>
      </c>
    </row>
    <row r="2048" spans="1:34" x14ac:dyDescent="0.25">
      <c r="A2048" s="2" t="s">
        <v>319</v>
      </c>
      <c r="B2048" s="2" t="s">
        <v>540</v>
      </c>
      <c r="C2048" s="2" t="s">
        <v>409</v>
      </c>
      <c r="D2048" s="2" t="s">
        <v>410</v>
      </c>
      <c r="E2048" s="2" t="s">
        <v>413</v>
      </c>
      <c r="F2048" s="2" t="s">
        <v>40</v>
      </c>
      <c r="J2048" s="2" t="s">
        <v>541</v>
      </c>
      <c r="K2048" s="2" t="s">
        <v>542</v>
      </c>
      <c r="L2048" s="2">
        <v>3</v>
      </c>
      <c r="M2048" s="2" t="s">
        <v>545</v>
      </c>
      <c r="O2048" s="2" t="s">
        <v>524</v>
      </c>
      <c r="Y2048" s="2" t="s">
        <v>652</v>
      </c>
    </row>
    <row r="2049" spans="1:34" x14ac:dyDescent="0.25">
      <c r="A2049" s="2" t="s">
        <v>319</v>
      </c>
      <c r="B2049" s="2" t="s">
        <v>540</v>
      </c>
      <c r="C2049" s="2" t="s">
        <v>409</v>
      </c>
      <c r="D2049" s="2" t="s">
        <v>410</v>
      </c>
      <c r="E2049" s="2" t="s">
        <v>413</v>
      </c>
      <c r="F2049" s="2" t="s">
        <v>40</v>
      </c>
      <c r="J2049" s="2" t="s">
        <v>541</v>
      </c>
      <c r="K2049" s="2" t="s">
        <v>542</v>
      </c>
      <c r="L2049" s="2">
        <v>4</v>
      </c>
      <c r="M2049" s="2" t="s">
        <v>546</v>
      </c>
      <c r="O2049" s="2" t="s">
        <v>524</v>
      </c>
      <c r="Y2049" s="2" t="s">
        <v>652</v>
      </c>
    </row>
    <row r="2050" spans="1:34" x14ac:dyDescent="0.25">
      <c r="A2050" s="2" t="s">
        <v>319</v>
      </c>
      <c r="B2050" s="2" t="s">
        <v>540</v>
      </c>
      <c r="C2050" s="2" t="s">
        <v>409</v>
      </c>
      <c r="D2050" s="2" t="s">
        <v>410</v>
      </c>
      <c r="E2050" s="2" t="s">
        <v>413</v>
      </c>
      <c r="F2050" s="2" t="s">
        <v>40</v>
      </c>
      <c r="J2050" s="2" t="s">
        <v>541</v>
      </c>
      <c r="K2050" s="2" t="s">
        <v>542</v>
      </c>
      <c r="L2050" s="2">
        <v>5</v>
      </c>
      <c r="M2050" s="2" t="s">
        <v>547</v>
      </c>
      <c r="O2050" s="2" t="s">
        <v>524</v>
      </c>
      <c r="Y2050" s="2" t="s">
        <v>652</v>
      </c>
    </row>
    <row r="2051" spans="1:34" x14ac:dyDescent="0.25">
      <c r="A2051" s="2" t="s">
        <v>319</v>
      </c>
      <c r="B2051" s="2" t="s">
        <v>540</v>
      </c>
      <c r="C2051" s="2" t="s">
        <v>409</v>
      </c>
      <c r="D2051" s="2" t="s">
        <v>410</v>
      </c>
      <c r="E2051" s="2" t="s">
        <v>413</v>
      </c>
      <c r="F2051" s="2" t="s">
        <v>40</v>
      </c>
      <c r="J2051" s="2" t="s">
        <v>541</v>
      </c>
      <c r="K2051" s="2" t="s">
        <v>542</v>
      </c>
      <c r="L2051" s="2">
        <v>6</v>
      </c>
      <c r="M2051" s="2" t="s">
        <v>548</v>
      </c>
      <c r="O2051" s="2" t="s">
        <v>524</v>
      </c>
      <c r="Y2051" s="2" t="s">
        <v>652</v>
      </c>
    </row>
    <row r="2052" spans="1:34" x14ac:dyDescent="0.25">
      <c r="A2052" s="2" t="s">
        <v>319</v>
      </c>
      <c r="B2052" s="2" t="s">
        <v>540</v>
      </c>
      <c r="C2052" s="2" t="s">
        <v>409</v>
      </c>
      <c r="D2052" s="2" t="s">
        <v>410</v>
      </c>
      <c r="E2052" s="2" t="s">
        <v>413</v>
      </c>
      <c r="F2052" s="2" t="s">
        <v>40</v>
      </c>
      <c r="J2052" s="2" t="s">
        <v>541</v>
      </c>
      <c r="K2052" s="2" t="s">
        <v>542</v>
      </c>
      <c r="L2052" s="2">
        <v>7</v>
      </c>
      <c r="M2052" s="2" t="s">
        <v>549</v>
      </c>
      <c r="O2052" s="2" t="s">
        <v>524</v>
      </c>
      <c r="Y2052" s="2" t="s">
        <v>652</v>
      </c>
    </row>
    <row r="2053" spans="1:34" x14ac:dyDescent="0.25">
      <c r="A2053" s="2" t="s">
        <v>319</v>
      </c>
      <c r="B2053" s="2" t="s">
        <v>540</v>
      </c>
      <c r="C2053" s="2" t="s">
        <v>409</v>
      </c>
      <c r="D2053" s="2" t="s">
        <v>410</v>
      </c>
      <c r="E2053" s="2" t="s">
        <v>413</v>
      </c>
      <c r="F2053" s="2" t="s">
        <v>40</v>
      </c>
      <c r="J2053" s="2" t="s">
        <v>541</v>
      </c>
      <c r="K2053" s="2" t="s">
        <v>542</v>
      </c>
      <c r="L2053" s="2">
        <v>8</v>
      </c>
      <c r="M2053" s="2" t="s">
        <v>550</v>
      </c>
      <c r="O2053" s="2" t="s">
        <v>524</v>
      </c>
      <c r="Y2053" s="2" t="s">
        <v>652</v>
      </c>
    </row>
    <row r="2054" spans="1:34" x14ac:dyDescent="0.25">
      <c r="A2054" s="2" t="s">
        <v>319</v>
      </c>
      <c r="B2054" s="2" t="s">
        <v>540</v>
      </c>
      <c r="C2054" s="2" t="s">
        <v>409</v>
      </c>
      <c r="D2054" s="2" t="s">
        <v>410</v>
      </c>
      <c r="E2054" s="2" t="s">
        <v>413</v>
      </c>
      <c r="F2054" s="2" t="s">
        <v>40</v>
      </c>
      <c r="J2054" s="2" t="s">
        <v>541</v>
      </c>
      <c r="K2054" s="2" t="s">
        <v>542</v>
      </c>
      <c r="L2054" s="2">
        <v>9</v>
      </c>
      <c r="M2054" s="2" t="s">
        <v>551</v>
      </c>
      <c r="O2054" s="2" t="s">
        <v>524</v>
      </c>
      <c r="Y2054" s="2" t="s">
        <v>652</v>
      </c>
    </row>
    <row r="2055" spans="1:34" x14ac:dyDescent="0.25">
      <c r="A2055" s="2" t="s">
        <v>319</v>
      </c>
      <c r="B2055" s="2" t="s">
        <v>540</v>
      </c>
      <c r="C2055" s="2" t="s">
        <v>409</v>
      </c>
      <c r="D2055" s="2" t="s">
        <v>410</v>
      </c>
      <c r="E2055" s="2" t="s">
        <v>413</v>
      </c>
      <c r="F2055" s="2" t="s">
        <v>40</v>
      </c>
      <c r="J2055" s="2" t="s">
        <v>541</v>
      </c>
      <c r="K2055" s="2" t="s">
        <v>542</v>
      </c>
      <c r="L2055" s="2">
        <v>10</v>
      </c>
      <c r="M2055" s="2" t="s">
        <v>552</v>
      </c>
      <c r="O2055" s="2" t="s">
        <v>524</v>
      </c>
      <c r="Y2055" s="2" t="s">
        <v>652</v>
      </c>
    </row>
    <row r="2056" spans="1:34" x14ac:dyDescent="0.25">
      <c r="A2056" s="2" t="s">
        <v>319</v>
      </c>
      <c r="B2056" s="2" t="s">
        <v>540</v>
      </c>
      <c r="C2056" s="2" t="s">
        <v>409</v>
      </c>
      <c r="D2056" s="2" t="s">
        <v>410</v>
      </c>
      <c r="E2056" s="2" t="s">
        <v>413</v>
      </c>
      <c r="F2056" s="2" t="s">
        <v>40</v>
      </c>
      <c r="J2056" s="2" t="s">
        <v>541</v>
      </c>
      <c r="K2056" s="2" t="s">
        <v>542</v>
      </c>
      <c r="L2056" s="2">
        <v>11</v>
      </c>
      <c r="M2056" s="2" t="s">
        <v>553</v>
      </c>
      <c r="O2056" s="2" t="s">
        <v>524</v>
      </c>
      <c r="Y2056" s="2" t="s">
        <v>652</v>
      </c>
    </row>
    <row r="2057" spans="1:34" x14ac:dyDescent="0.25">
      <c r="A2057" s="2" t="s">
        <v>319</v>
      </c>
      <c r="B2057" s="2" t="s">
        <v>540</v>
      </c>
      <c r="C2057" s="2" t="s">
        <v>409</v>
      </c>
      <c r="D2057" s="2" t="s">
        <v>410</v>
      </c>
      <c r="E2057" s="2" t="s">
        <v>413</v>
      </c>
      <c r="F2057" s="2" t="s">
        <v>40</v>
      </c>
      <c r="J2057" s="2" t="s">
        <v>541</v>
      </c>
      <c r="K2057" s="2" t="s">
        <v>542</v>
      </c>
      <c r="L2057" s="2">
        <v>12</v>
      </c>
      <c r="M2057" s="2" t="s">
        <v>554</v>
      </c>
      <c r="O2057" s="2" t="s">
        <v>524</v>
      </c>
      <c r="Y2057" s="2" t="s">
        <v>652</v>
      </c>
    </row>
    <row r="2058" spans="1:34" x14ac:dyDescent="0.25">
      <c r="A2058" s="2" t="s">
        <v>319</v>
      </c>
      <c r="B2058" s="2" t="s">
        <v>555</v>
      </c>
      <c r="C2058" s="2" t="s">
        <v>409</v>
      </c>
      <c r="D2058" s="2" t="s">
        <v>410</v>
      </c>
      <c r="E2058" s="2" t="s">
        <v>413</v>
      </c>
      <c r="F2058" s="2" t="s">
        <v>40</v>
      </c>
      <c r="J2058" s="2" t="s">
        <v>556</v>
      </c>
      <c r="O2058" s="2" t="s">
        <v>524</v>
      </c>
      <c r="Y2058" s="2" t="s">
        <v>652</v>
      </c>
      <c r="AB2058" s="2">
        <v>2</v>
      </c>
    </row>
    <row r="2059" spans="1:34" x14ac:dyDescent="0.25">
      <c r="A2059" s="2" t="s">
        <v>319</v>
      </c>
      <c r="B2059" s="2" t="s">
        <v>557</v>
      </c>
      <c r="C2059" s="2" t="s">
        <v>409</v>
      </c>
      <c r="D2059" s="2" t="s">
        <v>410</v>
      </c>
      <c r="E2059" s="2" t="s">
        <v>413</v>
      </c>
      <c r="F2059" s="2" t="s">
        <v>40</v>
      </c>
      <c r="J2059" s="2" t="s">
        <v>558</v>
      </c>
      <c r="O2059" s="2" t="s">
        <v>524</v>
      </c>
      <c r="Y2059" s="2" t="s">
        <v>652</v>
      </c>
      <c r="AC2059" s="2">
        <f>COUNTIFS($B:$B,"BLOCK_LOAD_Q",$A:$A,$A2059,$C:$C,$C2059,$E:$E,$E2059,$F:$F,$F2059,$N:$N, "&lt;&gt;")</f>
        <v>0</v>
      </c>
      <c r="AD2059" s="2">
        <f>COUNTIFS($B:$B,"BLOCK_TRUST_Q",$A:$A,$A2059,$C:$C,$C2059,$E:$E,$E2059,$F:$F,$F2059,$N:$N, "&lt;&gt;")</f>
        <v>0</v>
      </c>
      <c r="AE2059" s="2" t="str">
        <f>IFERROR(AVERAGEIFS($P:$P,$B:$B,"BLOCK_LOAD_Q",$A:$A,$A2059,$C:$C,$C2059,$E:$E,$E2059,$F:$F,$F2059,$P:$P,"&gt;0"),"")</f>
        <v/>
      </c>
      <c r="AF2059" s="2" t="str">
        <f>IFERROR(AVERAGEIFS($P:$P,$B:$B,"BLOCK_TRUST_Q",$A:$A,$A2059,$C:$C,$C2059,$E:$E,$E2059,$F:$F,$F2059,$P:$P,"&gt;0"),"")</f>
        <v/>
      </c>
      <c r="AG2059" s="2">
        <f>5-AC2059</f>
        <v>5</v>
      </c>
      <c r="AH2059" s="2">
        <f>12-AD2059</f>
        <v>12</v>
      </c>
    </row>
    <row r="2060" spans="1:34" x14ac:dyDescent="0.25">
      <c r="A2060" s="2" t="s">
        <v>319</v>
      </c>
      <c r="B2060" s="2" t="s">
        <v>402</v>
      </c>
      <c r="C2060" s="2" t="s">
        <v>409</v>
      </c>
      <c r="D2060" s="2" t="s">
        <v>410</v>
      </c>
      <c r="E2060" s="2" t="s">
        <v>414</v>
      </c>
      <c r="F2060" s="2" t="s">
        <v>39</v>
      </c>
      <c r="G2060" s="2" t="s">
        <v>415</v>
      </c>
      <c r="H2060" s="2" t="s">
        <v>373</v>
      </c>
      <c r="S2060" s="2" t="s">
        <v>60</v>
      </c>
      <c r="U2060" s="2" t="s">
        <v>60</v>
      </c>
      <c r="W2060" s="2" t="s">
        <v>60</v>
      </c>
    </row>
    <row r="2061" spans="1:34" x14ac:dyDescent="0.25">
      <c r="A2061" s="2" t="s">
        <v>319</v>
      </c>
      <c r="B2061" s="2" t="s">
        <v>402</v>
      </c>
      <c r="C2061" s="2" t="s">
        <v>409</v>
      </c>
      <c r="D2061" s="2" t="s">
        <v>410</v>
      </c>
      <c r="E2061" s="2" t="s">
        <v>414</v>
      </c>
      <c r="F2061" s="2" t="s">
        <v>39</v>
      </c>
      <c r="G2061" s="2" t="s">
        <v>416</v>
      </c>
      <c r="H2061" s="2" t="s">
        <v>528</v>
      </c>
      <c r="S2061" s="2" t="s">
        <v>60</v>
      </c>
      <c r="U2061" s="2" t="s">
        <v>59</v>
      </c>
      <c r="W2061" s="2" t="s">
        <v>59</v>
      </c>
    </row>
    <row r="2062" spans="1:34" x14ac:dyDescent="0.25">
      <c r="A2062" s="2" t="s">
        <v>319</v>
      </c>
      <c r="B2062" s="2" t="s">
        <v>402</v>
      </c>
      <c r="C2062" s="2" t="s">
        <v>409</v>
      </c>
      <c r="D2062" s="2" t="s">
        <v>410</v>
      </c>
      <c r="E2062" s="2" t="s">
        <v>414</v>
      </c>
      <c r="F2062" s="2" t="s">
        <v>39</v>
      </c>
      <c r="G2062" s="2" t="s">
        <v>417</v>
      </c>
      <c r="H2062" s="2" t="s">
        <v>529</v>
      </c>
      <c r="S2062" s="2" t="s">
        <v>57</v>
      </c>
      <c r="U2062" s="2" t="s">
        <v>59</v>
      </c>
      <c r="W2062" s="2" t="s">
        <v>60</v>
      </c>
    </row>
    <row r="2063" spans="1:34" x14ac:dyDescent="0.25">
      <c r="A2063" s="2" t="s">
        <v>319</v>
      </c>
      <c r="B2063" s="2" t="s">
        <v>402</v>
      </c>
      <c r="C2063" s="2" t="s">
        <v>409</v>
      </c>
      <c r="D2063" s="2" t="s">
        <v>410</v>
      </c>
      <c r="E2063" s="2" t="s">
        <v>414</v>
      </c>
      <c r="F2063" s="2" t="s">
        <v>39</v>
      </c>
      <c r="G2063" s="2" t="s">
        <v>418</v>
      </c>
      <c r="H2063" s="2" t="s">
        <v>347</v>
      </c>
      <c r="S2063" s="2" t="s">
        <v>60</v>
      </c>
      <c r="U2063" s="2" t="s">
        <v>57</v>
      </c>
      <c r="W2063" s="2" t="s">
        <v>59</v>
      </c>
    </row>
    <row r="2064" spans="1:34" x14ac:dyDescent="0.25">
      <c r="A2064" s="2" t="s">
        <v>319</v>
      </c>
      <c r="B2064" s="2" t="s">
        <v>402</v>
      </c>
      <c r="C2064" s="2" t="s">
        <v>409</v>
      </c>
      <c r="D2064" s="2" t="s">
        <v>410</v>
      </c>
      <c r="E2064" s="2" t="s">
        <v>414</v>
      </c>
      <c r="F2064" s="2" t="s">
        <v>39</v>
      </c>
      <c r="G2064" s="2" t="s">
        <v>419</v>
      </c>
      <c r="H2064" s="2" t="s">
        <v>530</v>
      </c>
      <c r="S2064" s="2" t="s">
        <v>57</v>
      </c>
      <c r="U2064" s="2" t="s">
        <v>60</v>
      </c>
      <c r="W2064" s="2" t="s">
        <v>58</v>
      </c>
    </row>
    <row r="2065" spans="1:25" x14ac:dyDescent="0.25">
      <c r="A2065" s="2" t="s">
        <v>319</v>
      </c>
      <c r="B2065" s="2" t="s">
        <v>531</v>
      </c>
      <c r="C2065" s="2" t="s">
        <v>409</v>
      </c>
      <c r="D2065" s="2" t="s">
        <v>410</v>
      </c>
      <c r="E2065" s="2" t="s">
        <v>414</v>
      </c>
      <c r="F2065" s="2" t="s">
        <v>39</v>
      </c>
      <c r="J2065" s="2" t="s">
        <v>532</v>
      </c>
      <c r="K2065" s="2" t="s">
        <v>533</v>
      </c>
      <c r="L2065" s="2">
        <v>1</v>
      </c>
      <c r="M2065" s="2" t="s">
        <v>534</v>
      </c>
      <c r="O2065" s="2" t="s">
        <v>524</v>
      </c>
      <c r="Y2065" s="2" t="s">
        <v>653</v>
      </c>
    </row>
    <row r="2066" spans="1:25" x14ac:dyDescent="0.25">
      <c r="A2066" s="2" t="s">
        <v>319</v>
      </c>
      <c r="B2066" s="2" t="s">
        <v>531</v>
      </c>
      <c r="C2066" s="2" t="s">
        <v>409</v>
      </c>
      <c r="D2066" s="2" t="s">
        <v>410</v>
      </c>
      <c r="E2066" s="2" t="s">
        <v>414</v>
      </c>
      <c r="F2066" s="2" t="s">
        <v>39</v>
      </c>
      <c r="J2066" s="2" t="s">
        <v>532</v>
      </c>
      <c r="K2066" s="2" t="s">
        <v>533</v>
      </c>
      <c r="L2066" s="2">
        <v>2</v>
      </c>
      <c r="M2066" s="2" t="s">
        <v>536</v>
      </c>
      <c r="O2066" s="2" t="s">
        <v>524</v>
      </c>
      <c r="Y2066" s="2" t="s">
        <v>653</v>
      </c>
    </row>
    <row r="2067" spans="1:25" x14ac:dyDescent="0.25">
      <c r="A2067" s="2" t="s">
        <v>319</v>
      </c>
      <c r="B2067" s="2" t="s">
        <v>531</v>
      </c>
      <c r="C2067" s="2" t="s">
        <v>409</v>
      </c>
      <c r="D2067" s="2" t="s">
        <v>410</v>
      </c>
      <c r="E2067" s="2" t="s">
        <v>414</v>
      </c>
      <c r="F2067" s="2" t="s">
        <v>39</v>
      </c>
      <c r="J2067" s="2" t="s">
        <v>532</v>
      </c>
      <c r="K2067" s="2" t="s">
        <v>533</v>
      </c>
      <c r="L2067" s="2">
        <v>3</v>
      </c>
      <c r="M2067" s="2" t="s">
        <v>537</v>
      </c>
      <c r="O2067" s="2" t="s">
        <v>524</v>
      </c>
      <c r="Y2067" s="2" t="s">
        <v>653</v>
      </c>
    </row>
    <row r="2068" spans="1:25" x14ac:dyDescent="0.25">
      <c r="A2068" s="2" t="s">
        <v>319</v>
      </c>
      <c r="B2068" s="2" t="s">
        <v>531</v>
      </c>
      <c r="C2068" s="2" t="s">
        <v>409</v>
      </c>
      <c r="D2068" s="2" t="s">
        <v>410</v>
      </c>
      <c r="E2068" s="2" t="s">
        <v>414</v>
      </c>
      <c r="F2068" s="2" t="s">
        <v>39</v>
      </c>
      <c r="J2068" s="2" t="s">
        <v>532</v>
      </c>
      <c r="K2068" s="2" t="s">
        <v>533</v>
      </c>
      <c r="L2068" s="2">
        <v>4</v>
      </c>
      <c r="M2068" s="2" t="s">
        <v>538</v>
      </c>
      <c r="O2068" s="2" t="s">
        <v>524</v>
      </c>
      <c r="Y2068" s="2" t="s">
        <v>653</v>
      </c>
    </row>
    <row r="2069" spans="1:25" x14ac:dyDescent="0.25">
      <c r="A2069" s="2" t="s">
        <v>319</v>
      </c>
      <c r="B2069" s="2" t="s">
        <v>531</v>
      </c>
      <c r="C2069" s="2" t="s">
        <v>409</v>
      </c>
      <c r="D2069" s="2" t="s">
        <v>410</v>
      </c>
      <c r="E2069" s="2" t="s">
        <v>414</v>
      </c>
      <c r="F2069" s="2" t="s">
        <v>39</v>
      </c>
      <c r="J2069" s="2" t="s">
        <v>532</v>
      </c>
      <c r="K2069" s="2" t="s">
        <v>533</v>
      </c>
      <c r="L2069" s="2">
        <v>5</v>
      </c>
      <c r="M2069" s="2" t="s">
        <v>539</v>
      </c>
      <c r="O2069" s="2" t="s">
        <v>524</v>
      </c>
      <c r="Y2069" s="2" t="s">
        <v>653</v>
      </c>
    </row>
    <row r="2070" spans="1:25" x14ac:dyDescent="0.25">
      <c r="A2070" s="2" t="s">
        <v>319</v>
      </c>
      <c r="B2070" s="2" t="s">
        <v>540</v>
      </c>
      <c r="C2070" s="2" t="s">
        <v>409</v>
      </c>
      <c r="D2070" s="2" t="s">
        <v>410</v>
      </c>
      <c r="E2070" s="2" t="s">
        <v>414</v>
      </c>
      <c r="F2070" s="2" t="s">
        <v>39</v>
      </c>
      <c r="J2070" s="2" t="s">
        <v>541</v>
      </c>
      <c r="K2070" s="2" t="s">
        <v>542</v>
      </c>
      <c r="L2070" s="2">
        <v>1</v>
      </c>
      <c r="M2070" s="2" t="s">
        <v>543</v>
      </c>
      <c r="O2070" s="2" t="s">
        <v>524</v>
      </c>
      <c r="Y2070" s="2" t="s">
        <v>653</v>
      </c>
    </row>
    <row r="2071" spans="1:25" x14ac:dyDescent="0.25">
      <c r="A2071" s="2" t="s">
        <v>319</v>
      </c>
      <c r="B2071" s="2" t="s">
        <v>540</v>
      </c>
      <c r="C2071" s="2" t="s">
        <v>409</v>
      </c>
      <c r="D2071" s="2" t="s">
        <v>410</v>
      </c>
      <c r="E2071" s="2" t="s">
        <v>414</v>
      </c>
      <c r="F2071" s="2" t="s">
        <v>39</v>
      </c>
      <c r="J2071" s="2" t="s">
        <v>541</v>
      </c>
      <c r="K2071" s="2" t="s">
        <v>542</v>
      </c>
      <c r="L2071" s="2">
        <v>2</v>
      </c>
      <c r="M2071" s="2" t="s">
        <v>544</v>
      </c>
      <c r="O2071" s="2" t="s">
        <v>524</v>
      </c>
      <c r="Y2071" s="2" t="s">
        <v>653</v>
      </c>
    </row>
    <row r="2072" spans="1:25" x14ac:dyDescent="0.25">
      <c r="A2072" s="2" t="s">
        <v>319</v>
      </c>
      <c r="B2072" s="2" t="s">
        <v>540</v>
      </c>
      <c r="C2072" s="2" t="s">
        <v>409</v>
      </c>
      <c r="D2072" s="2" t="s">
        <v>410</v>
      </c>
      <c r="E2072" s="2" t="s">
        <v>414</v>
      </c>
      <c r="F2072" s="2" t="s">
        <v>39</v>
      </c>
      <c r="J2072" s="2" t="s">
        <v>541</v>
      </c>
      <c r="K2072" s="2" t="s">
        <v>542</v>
      </c>
      <c r="L2072" s="2">
        <v>3</v>
      </c>
      <c r="M2072" s="2" t="s">
        <v>545</v>
      </c>
      <c r="O2072" s="2" t="s">
        <v>524</v>
      </c>
      <c r="Y2072" s="2" t="s">
        <v>653</v>
      </c>
    </row>
    <row r="2073" spans="1:25" x14ac:dyDescent="0.25">
      <c r="A2073" s="2" t="s">
        <v>319</v>
      </c>
      <c r="B2073" s="2" t="s">
        <v>540</v>
      </c>
      <c r="C2073" s="2" t="s">
        <v>409</v>
      </c>
      <c r="D2073" s="2" t="s">
        <v>410</v>
      </c>
      <c r="E2073" s="2" t="s">
        <v>414</v>
      </c>
      <c r="F2073" s="2" t="s">
        <v>39</v>
      </c>
      <c r="J2073" s="2" t="s">
        <v>541</v>
      </c>
      <c r="K2073" s="2" t="s">
        <v>542</v>
      </c>
      <c r="L2073" s="2">
        <v>4</v>
      </c>
      <c r="M2073" s="2" t="s">
        <v>546</v>
      </c>
      <c r="O2073" s="2" t="s">
        <v>524</v>
      </c>
      <c r="Y2073" s="2" t="s">
        <v>653</v>
      </c>
    </row>
    <row r="2074" spans="1:25" x14ac:dyDescent="0.25">
      <c r="A2074" s="2" t="s">
        <v>319</v>
      </c>
      <c r="B2074" s="2" t="s">
        <v>540</v>
      </c>
      <c r="C2074" s="2" t="s">
        <v>409</v>
      </c>
      <c r="D2074" s="2" t="s">
        <v>410</v>
      </c>
      <c r="E2074" s="2" t="s">
        <v>414</v>
      </c>
      <c r="F2074" s="2" t="s">
        <v>39</v>
      </c>
      <c r="J2074" s="2" t="s">
        <v>541</v>
      </c>
      <c r="K2074" s="2" t="s">
        <v>542</v>
      </c>
      <c r="L2074" s="2">
        <v>5</v>
      </c>
      <c r="M2074" s="2" t="s">
        <v>547</v>
      </c>
      <c r="O2074" s="2" t="s">
        <v>524</v>
      </c>
      <c r="Y2074" s="2" t="s">
        <v>653</v>
      </c>
    </row>
    <row r="2075" spans="1:25" x14ac:dyDescent="0.25">
      <c r="A2075" s="2" t="s">
        <v>319</v>
      </c>
      <c r="B2075" s="2" t="s">
        <v>540</v>
      </c>
      <c r="C2075" s="2" t="s">
        <v>409</v>
      </c>
      <c r="D2075" s="2" t="s">
        <v>410</v>
      </c>
      <c r="E2075" s="2" t="s">
        <v>414</v>
      </c>
      <c r="F2075" s="2" t="s">
        <v>39</v>
      </c>
      <c r="J2075" s="2" t="s">
        <v>541</v>
      </c>
      <c r="K2075" s="2" t="s">
        <v>542</v>
      </c>
      <c r="L2075" s="2">
        <v>6</v>
      </c>
      <c r="M2075" s="2" t="s">
        <v>548</v>
      </c>
      <c r="O2075" s="2" t="s">
        <v>524</v>
      </c>
      <c r="Y2075" s="2" t="s">
        <v>653</v>
      </c>
    </row>
    <row r="2076" spans="1:25" x14ac:dyDescent="0.25">
      <c r="A2076" s="2" t="s">
        <v>319</v>
      </c>
      <c r="B2076" s="2" t="s">
        <v>540</v>
      </c>
      <c r="C2076" s="2" t="s">
        <v>409</v>
      </c>
      <c r="D2076" s="2" t="s">
        <v>410</v>
      </c>
      <c r="E2076" s="2" t="s">
        <v>414</v>
      </c>
      <c r="F2076" s="2" t="s">
        <v>39</v>
      </c>
      <c r="J2076" s="2" t="s">
        <v>541</v>
      </c>
      <c r="K2076" s="2" t="s">
        <v>542</v>
      </c>
      <c r="L2076" s="2">
        <v>7</v>
      </c>
      <c r="M2076" s="2" t="s">
        <v>549</v>
      </c>
      <c r="O2076" s="2" t="s">
        <v>524</v>
      </c>
      <c r="Y2076" s="2" t="s">
        <v>653</v>
      </c>
    </row>
    <row r="2077" spans="1:25" x14ac:dyDescent="0.25">
      <c r="A2077" s="2" t="s">
        <v>319</v>
      </c>
      <c r="B2077" s="2" t="s">
        <v>540</v>
      </c>
      <c r="C2077" s="2" t="s">
        <v>409</v>
      </c>
      <c r="D2077" s="2" t="s">
        <v>410</v>
      </c>
      <c r="E2077" s="2" t="s">
        <v>414</v>
      </c>
      <c r="F2077" s="2" t="s">
        <v>39</v>
      </c>
      <c r="J2077" s="2" t="s">
        <v>541</v>
      </c>
      <c r="K2077" s="2" t="s">
        <v>542</v>
      </c>
      <c r="L2077" s="2">
        <v>8</v>
      </c>
      <c r="M2077" s="2" t="s">
        <v>550</v>
      </c>
      <c r="O2077" s="2" t="s">
        <v>524</v>
      </c>
      <c r="Y2077" s="2" t="s">
        <v>653</v>
      </c>
    </row>
    <row r="2078" spans="1:25" x14ac:dyDescent="0.25">
      <c r="A2078" s="2" t="s">
        <v>319</v>
      </c>
      <c r="B2078" s="2" t="s">
        <v>540</v>
      </c>
      <c r="C2078" s="2" t="s">
        <v>409</v>
      </c>
      <c r="D2078" s="2" t="s">
        <v>410</v>
      </c>
      <c r="E2078" s="2" t="s">
        <v>414</v>
      </c>
      <c r="F2078" s="2" t="s">
        <v>39</v>
      </c>
      <c r="J2078" s="2" t="s">
        <v>541</v>
      </c>
      <c r="K2078" s="2" t="s">
        <v>542</v>
      </c>
      <c r="L2078" s="2">
        <v>9</v>
      </c>
      <c r="M2078" s="2" t="s">
        <v>551</v>
      </c>
      <c r="O2078" s="2" t="s">
        <v>524</v>
      </c>
      <c r="Y2078" s="2" t="s">
        <v>653</v>
      </c>
    </row>
    <row r="2079" spans="1:25" x14ac:dyDescent="0.25">
      <c r="A2079" s="2" t="s">
        <v>319</v>
      </c>
      <c r="B2079" s="2" t="s">
        <v>540</v>
      </c>
      <c r="C2079" s="2" t="s">
        <v>409</v>
      </c>
      <c r="D2079" s="2" t="s">
        <v>410</v>
      </c>
      <c r="E2079" s="2" t="s">
        <v>414</v>
      </c>
      <c r="F2079" s="2" t="s">
        <v>39</v>
      </c>
      <c r="J2079" s="2" t="s">
        <v>541</v>
      </c>
      <c r="K2079" s="2" t="s">
        <v>542</v>
      </c>
      <c r="L2079" s="2">
        <v>10</v>
      </c>
      <c r="M2079" s="2" t="s">
        <v>552</v>
      </c>
      <c r="O2079" s="2" t="s">
        <v>524</v>
      </c>
      <c r="Y2079" s="2" t="s">
        <v>653</v>
      </c>
    </row>
    <row r="2080" spans="1:25" x14ac:dyDescent="0.25">
      <c r="A2080" s="2" t="s">
        <v>319</v>
      </c>
      <c r="B2080" s="2" t="s">
        <v>540</v>
      </c>
      <c r="C2080" s="2" t="s">
        <v>409</v>
      </c>
      <c r="D2080" s="2" t="s">
        <v>410</v>
      </c>
      <c r="E2080" s="2" t="s">
        <v>414</v>
      </c>
      <c r="F2080" s="2" t="s">
        <v>39</v>
      </c>
      <c r="J2080" s="2" t="s">
        <v>541</v>
      </c>
      <c r="K2080" s="2" t="s">
        <v>542</v>
      </c>
      <c r="L2080" s="2">
        <v>11</v>
      </c>
      <c r="M2080" s="2" t="s">
        <v>553</v>
      </c>
      <c r="O2080" s="2" t="s">
        <v>524</v>
      </c>
      <c r="Y2080" s="2" t="s">
        <v>653</v>
      </c>
    </row>
    <row r="2081" spans="1:34" x14ac:dyDescent="0.25">
      <c r="A2081" s="2" t="s">
        <v>319</v>
      </c>
      <c r="B2081" s="2" t="s">
        <v>540</v>
      </c>
      <c r="C2081" s="2" t="s">
        <v>409</v>
      </c>
      <c r="D2081" s="2" t="s">
        <v>410</v>
      </c>
      <c r="E2081" s="2" t="s">
        <v>414</v>
      </c>
      <c r="F2081" s="2" t="s">
        <v>39</v>
      </c>
      <c r="J2081" s="2" t="s">
        <v>541</v>
      </c>
      <c r="K2081" s="2" t="s">
        <v>542</v>
      </c>
      <c r="L2081" s="2">
        <v>12</v>
      </c>
      <c r="M2081" s="2" t="s">
        <v>554</v>
      </c>
      <c r="O2081" s="2" t="s">
        <v>524</v>
      </c>
      <c r="Y2081" s="2" t="s">
        <v>653</v>
      </c>
    </row>
    <row r="2082" spans="1:34" x14ac:dyDescent="0.25">
      <c r="A2082" s="2" t="s">
        <v>319</v>
      </c>
      <c r="B2082" s="2" t="s">
        <v>555</v>
      </c>
      <c r="C2082" s="2" t="s">
        <v>409</v>
      </c>
      <c r="D2082" s="2" t="s">
        <v>410</v>
      </c>
      <c r="E2082" s="2" t="s">
        <v>414</v>
      </c>
      <c r="F2082" s="2" t="s">
        <v>39</v>
      </c>
      <c r="J2082" s="2" t="s">
        <v>556</v>
      </c>
      <c r="O2082" s="2" t="s">
        <v>524</v>
      </c>
      <c r="Y2082" s="2" t="s">
        <v>653</v>
      </c>
      <c r="AB2082" s="2">
        <v>1</v>
      </c>
    </row>
    <row r="2083" spans="1:34" x14ac:dyDescent="0.25">
      <c r="A2083" s="2" t="s">
        <v>319</v>
      </c>
      <c r="B2083" s="2" t="s">
        <v>557</v>
      </c>
      <c r="C2083" s="2" t="s">
        <v>409</v>
      </c>
      <c r="D2083" s="2" t="s">
        <v>410</v>
      </c>
      <c r="E2083" s="2" t="s">
        <v>414</v>
      </c>
      <c r="F2083" s="2" t="s">
        <v>39</v>
      </c>
      <c r="J2083" s="2" t="s">
        <v>558</v>
      </c>
      <c r="O2083" s="2" t="s">
        <v>524</v>
      </c>
      <c r="Y2083" s="2" t="s">
        <v>653</v>
      </c>
      <c r="AC2083" s="2">
        <f>COUNTIFS($B:$B,"BLOCK_LOAD_Q",$A:$A,$A2083,$C:$C,$C2083,$E:$E,$E2083,$F:$F,$F2083,$N:$N, "&lt;&gt;")</f>
        <v>0</v>
      </c>
      <c r="AD2083" s="2">
        <f>COUNTIFS($B:$B,"BLOCK_TRUST_Q",$A:$A,$A2083,$C:$C,$C2083,$E:$E,$E2083,$F:$F,$F2083,$N:$N, "&lt;&gt;")</f>
        <v>0</v>
      </c>
      <c r="AE2083" s="2" t="str">
        <f>IFERROR(AVERAGEIFS($P:$P,$B:$B,"BLOCK_LOAD_Q",$A:$A,$A2083,$C:$C,$C2083,$E:$E,$E2083,$F:$F,$F2083,$P:$P,"&gt;0"),"")</f>
        <v/>
      </c>
      <c r="AF2083" s="2" t="str">
        <f>IFERROR(AVERAGEIFS($P:$P,$B:$B,"BLOCK_TRUST_Q",$A:$A,$A2083,$C:$C,$C2083,$E:$E,$E2083,$F:$F,$F2083,$P:$P,"&gt;0"),"")</f>
        <v/>
      </c>
      <c r="AG2083" s="2">
        <f>5-AC2083</f>
        <v>5</v>
      </c>
      <c r="AH2083" s="2">
        <f>12-AD2083</f>
        <v>12</v>
      </c>
    </row>
    <row r="2084" spans="1:34" x14ac:dyDescent="0.25">
      <c r="A2084" s="2" t="s">
        <v>319</v>
      </c>
      <c r="B2084" s="2" t="s">
        <v>403</v>
      </c>
      <c r="C2084" s="2" t="s">
        <v>409</v>
      </c>
      <c r="D2084" s="2" t="s">
        <v>410</v>
      </c>
      <c r="Z2084" s="2" t="s">
        <v>461</v>
      </c>
    </row>
    <row r="2085" spans="1:34" x14ac:dyDescent="0.25">
      <c r="A2085" s="2" t="s">
        <v>319</v>
      </c>
      <c r="B2085" s="2" t="s">
        <v>404</v>
      </c>
      <c r="J2085" s="2" t="s">
        <v>575</v>
      </c>
      <c r="AA2085" s="2" t="s">
        <v>338</v>
      </c>
    </row>
    <row r="2086" spans="1:34" x14ac:dyDescent="0.25">
      <c r="A2086" s="2" t="s">
        <v>319</v>
      </c>
      <c r="B2086" s="2" t="s">
        <v>405</v>
      </c>
    </row>
    <row r="2087" spans="1:34" x14ac:dyDescent="0.25">
      <c r="A2087" s="2" t="s">
        <v>319</v>
      </c>
      <c r="B2087" s="2" t="s">
        <v>406</v>
      </c>
    </row>
    <row r="2088" spans="1:34" x14ac:dyDescent="0.25">
      <c r="A2088" s="2" t="s">
        <v>320</v>
      </c>
      <c r="B2088" s="2" t="s">
        <v>523</v>
      </c>
      <c r="C2088" s="2" t="s">
        <v>524</v>
      </c>
      <c r="D2088" s="2" t="s">
        <v>524</v>
      </c>
      <c r="E2088" s="2" t="s">
        <v>524</v>
      </c>
      <c r="F2088" s="2" t="s">
        <v>524</v>
      </c>
      <c r="J2088" s="2" t="s">
        <v>525</v>
      </c>
      <c r="O2088" s="2" t="s">
        <v>524</v>
      </c>
    </row>
    <row r="2089" spans="1:34" x14ac:dyDescent="0.25">
      <c r="A2089" s="2" t="s">
        <v>320</v>
      </c>
      <c r="B2089" s="2" t="s">
        <v>526</v>
      </c>
      <c r="C2089" s="2" t="s">
        <v>524</v>
      </c>
      <c r="D2089" s="2" t="s">
        <v>524</v>
      </c>
      <c r="E2089" s="2" t="s">
        <v>524</v>
      </c>
      <c r="F2089" s="2" t="s">
        <v>524</v>
      </c>
      <c r="J2089" s="2" t="s">
        <v>527</v>
      </c>
      <c r="O2089" s="2" t="s">
        <v>524</v>
      </c>
    </row>
    <row r="2090" spans="1:34" x14ac:dyDescent="0.25">
      <c r="A2090" s="2" t="s">
        <v>320</v>
      </c>
      <c r="B2090" s="2" t="s">
        <v>402</v>
      </c>
      <c r="C2090" s="2" t="s">
        <v>407</v>
      </c>
      <c r="D2090" s="2" t="s">
        <v>412</v>
      </c>
      <c r="E2090" s="2" t="s">
        <v>413</v>
      </c>
      <c r="F2090" s="2" t="s">
        <v>40</v>
      </c>
      <c r="G2090" s="2" t="s">
        <v>415</v>
      </c>
      <c r="H2090" s="2" t="s">
        <v>567</v>
      </c>
      <c r="S2090" s="2" t="s">
        <v>58</v>
      </c>
      <c r="U2090" s="2" t="s">
        <v>57</v>
      </c>
      <c r="W2090" s="2" t="s">
        <v>60</v>
      </c>
    </row>
    <row r="2091" spans="1:34" x14ac:dyDescent="0.25">
      <c r="A2091" s="2" t="s">
        <v>320</v>
      </c>
      <c r="B2091" s="2" t="s">
        <v>402</v>
      </c>
      <c r="C2091" s="2" t="s">
        <v>407</v>
      </c>
      <c r="D2091" s="2" t="s">
        <v>412</v>
      </c>
      <c r="E2091" s="2" t="s">
        <v>413</v>
      </c>
      <c r="F2091" s="2" t="s">
        <v>40</v>
      </c>
      <c r="G2091" s="2" t="s">
        <v>416</v>
      </c>
      <c r="H2091" s="2" t="s">
        <v>568</v>
      </c>
      <c r="S2091" s="2" t="s">
        <v>59</v>
      </c>
      <c r="U2091" s="2" t="s">
        <v>60</v>
      </c>
      <c r="W2091" s="2" t="s">
        <v>59</v>
      </c>
    </row>
    <row r="2092" spans="1:34" x14ac:dyDescent="0.25">
      <c r="A2092" s="2" t="s">
        <v>320</v>
      </c>
      <c r="B2092" s="2" t="s">
        <v>402</v>
      </c>
      <c r="C2092" s="2" t="s">
        <v>407</v>
      </c>
      <c r="D2092" s="2" t="s">
        <v>412</v>
      </c>
      <c r="E2092" s="2" t="s">
        <v>413</v>
      </c>
      <c r="F2092" s="2" t="s">
        <v>40</v>
      </c>
      <c r="G2092" s="2" t="s">
        <v>417</v>
      </c>
      <c r="H2092" s="2" t="s">
        <v>569</v>
      </c>
      <c r="S2092" s="2" t="s">
        <v>57</v>
      </c>
      <c r="U2092" s="2" t="s">
        <v>60</v>
      </c>
      <c r="W2092" s="2" t="s">
        <v>57</v>
      </c>
    </row>
    <row r="2093" spans="1:34" x14ac:dyDescent="0.25">
      <c r="A2093" s="2" t="s">
        <v>320</v>
      </c>
      <c r="B2093" s="2" t="s">
        <v>402</v>
      </c>
      <c r="C2093" s="2" t="s">
        <v>407</v>
      </c>
      <c r="D2093" s="2" t="s">
        <v>412</v>
      </c>
      <c r="E2093" s="2" t="s">
        <v>413</v>
      </c>
      <c r="F2093" s="2" t="s">
        <v>40</v>
      </c>
      <c r="G2093" s="2" t="s">
        <v>418</v>
      </c>
      <c r="H2093" s="2" t="s">
        <v>351</v>
      </c>
      <c r="S2093" s="2" t="s">
        <v>60</v>
      </c>
      <c r="U2093" s="2" t="s">
        <v>57</v>
      </c>
      <c r="W2093" s="2" t="s">
        <v>57</v>
      </c>
    </row>
    <row r="2094" spans="1:34" x14ac:dyDescent="0.25">
      <c r="A2094" s="2" t="s">
        <v>320</v>
      </c>
      <c r="B2094" s="2" t="s">
        <v>531</v>
      </c>
      <c r="C2094" s="2" t="s">
        <v>407</v>
      </c>
      <c r="D2094" s="2" t="s">
        <v>412</v>
      </c>
      <c r="E2094" s="2" t="s">
        <v>413</v>
      </c>
      <c r="F2094" s="2" t="s">
        <v>40</v>
      </c>
      <c r="J2094" s="2" t="s">
        <v>532</v>
      </c>
      <c r="K2094" s="2" t="s">
        <v>533</v>
      </c>
      <c r="L2094" s="2">
        <v>1</v>
      </c>
      <c r="M2094" s="2" t="s">
        <v>534</v>
      </c>
      <c r="O2094" s="2" t="s">
        <v>524</v>
      </c>
      <c r="Y2094" s="2" t="s">
        <v>654</v>
      </c>
    </row>
    <row r="2095" spans="1:34" x14ac:dyDescent="0.25">
      <c r="A2095" s="2" t="s">
        <v>320</v>
      </c>
      <c r="B2095" s="2" t="s">
        <v>531</v>
      </c>
      <c r="C2095" s="2" t="s">
        <v>407</v>
      </c>
      <c r="D2095" s="2" t="s">
        <v>412</v>
      </c>
      <c r="E2095" s="2" t="s">
        <v>413</v>
      </c>
      <c r="F2095" s="2" t="s">
        <v>40</v>
      </c>
      <c r="J2095" s="2" t="s">
        <v>532</v>
      </c>
      <c r="K2095" s="2" t="s">
        <v>533</v>
      </c>
      <c r="L2095" s="2">
        <v>2</v>
      </c>
      <c r="M2095" s="2" t="s">
        <v>536</v>
      </c>
      <c r="O2095" s="2" t="s">
        <v>524</v>
      </c>
      <c r="Y2095" s="2" t="s">
        <v>654</v>
      </c>
    </row>
    <row r="2096" spans="1:34" x14ac:dyDescent="0.25">
      <c r="A2096" s="2" t="s">
        <v>320</v>
      </c>
      <c r="B2096" s="2" t="s">
        <v>531</v>
      </c>
      <c r="C2096" s="2" t="s">
        <v>407</v>
      </c>
      <c r="D2096" s="2" t="s">
        <v>412</v>
      </c>
      <c r="E2096" s="2" t="s">
        <v>413</v>
      </c>
      <c r="F2096" s="2" t="s">
        <v>40</v>
      </c>
      <c r="J2096" s="2" t="s">
        <v>532</v>
      </c>
      <c r="K2096" s="2" t="s">
        <v>533</v>
      </c>
      <c r="L2096" s="2">
        <v>3</v>
      </c>
      <c r="M2096" s="2" t="s">
        <v>537</v>
      </c>
      <c r="O2096" s="2" t="s">
        <v>524</v>
      </c>
      <c r="Y2096" s="2" t="s">
        <v>654</v>
      </c>
    </row>
    <row r="2097" spans="1:34" x14ac:dyDescent="0.25">
      <c r="A2097" s="2" t="s">
        <v>320</v>
      </c>
      <c r="B2097" s="2" t="s">
        <v>531</v>
      </c>
      <c r="C2097" s="2" t="s">
        <v>407</v>
      </c>
      <c r="D2097" s="2" t="s">
        <v>412</v>
      </c>
      <c r="E2097" s="2" t="s">
        <v>413</v>
      </c>
      <c r="F2097" s="2" t="s">
        <v>40</v>
      </c>
      <c r="J2097" s="2" t="s">
        <v>532</v>
      </c>
      <c r="K2097" s="2" t="s">
        <v>533</v>
      </c>
      <c r="L2097" s="2">
        <v>4</v>
      </c>
      <c r="M2097" s="2" t="s">
        <v>538</v>
      </c>
      <c r="O2097" s="2" t="s">
        <v>524</v>
      </c>
      <c r="Y2097" s="2" t="s">
        <v>654</v>
      </c>
    </row>
    <row r="2098" spans="1:34" x14ac:dyDescent="0.25">
      <c r="A2098" s="2" t="s">
        <v>320</v>
      </c>
      <c r="B2098" s="2" t="s">
        <v>531</v>
      </c>
      <c r="C2098" s="2" t="s">
        <v>407</v>
      </c>
      <c r="D2098" s="2" t="s">
        <v>412</v>
      </c>
      <c r="E2098" s="2" t="s">
        <v>413</v>
      </c>
      <c r="F2098" s="2" t="s">
        <v>40</v>
      </c>
      <c r="J2098" s="2" t="s">
        <v>532</v>
      </c>
      <c r="K2098" s="2" t="s">
        <v>533</v>
      </c>
      <c r="L2098" s="2">
        <v>5</v>
      </c>
      <c r="M2098" s="2" t="s">
        <v>539</v>
      </c>
      <c r="O2098" s="2" t="s">
        <v>524</v>
      </c>
      <c r="Y2098" s="2" t="s">
        <v>654</v>
      </c>
    </row>
    <row r="2099" spans="1:34" x14ac:dyDescent="0.25">
      <c r="A2099" s="2" t="s">
        <v>320</v>
      </c>
      <c r="B2099" s="2" t="s">
        <v>540</v>
      </c>
      <c r="C2099" s="2" t="s">
        <v>407</v>
      </c>
      <c r="D2099" s="2" t="s">
        <v>412</v>
      </c>
      <c r="E2099" s="2" t="s">
        <v>413</v>
      </c>
      <c r="F2099" s="2" t="s">
        <v>40</v>
      </c>
      <c r="J2099" s="2" t="s">
        <v>541</v>
      </c>
      <c r="K2099" s="2" t="s">
        <v>542</v>
      </c>
      <c r="L2099" s="2">
        <v>1</v>
      </c>
      <c r="M2099" s="2" t="s">
        <v>543</v>
      </c>
      <c r="O2099" s="2" t="s">
        <v>524</v>
      </c>
      <c r="Y2099" s="2" t="s">
        <v>654</v>
      </c>
    </row>
    <row r="2100" spans="1:34" x14ac:dyDescent="0.25">
      <c r="A2100" s="2" t="s">
        <v>320</v>
      </c>
      <c r="B2100" s="2" t="s">
        <v>540</v>
      </c>
      <c r="C2100" s="2" t="s">
        <v>407</v>
      </c>
      <c r="D2100" s="2" t="s">
        <v>412</v>
      </c>
      <c r="E2100" s="2" t="s">
        <v>413</v>
      </c>
      <c r="F2100" s="2" t="s">
        <v>40</v>
      </c>
      <c r="J2100" s="2" t="s">
        <v>541</v>
      </c>
      <c r="K2100" s="2" t="s">
        <v>542</v>
      </c>
      <c r="L2100" s="2">
        <v>2</v>
      </c>
      <c r="M2100" s="2" t="s">
        <v>544</v>
      </c>
      <c r="O2100" s="2" t="s">
        <v>524</v>
      </c>
      <c r="Y2100" s="2" t="s">
        <v>654</v>
      </c>
    </row>
    <row r="2101" spans="1:34" x14ac:dyDescent="0.25">
      <c r="A2101" s="2" t="s">
        <v>320</v>
      </c>
      <c r="B2101" s="2" t="s">
        <v>540</v>
      </c>
      <c r="C2101" s="2" t="s">
        <v>407</v>
      </c>
      <c r="D2101" s="2" t="s">
        <v>412</v>
      </c>
      <c r="E2101" s="2" t="s">
        <v>413</v>
      </c>
      <c r="F2101" s="2" t="s">
        <v>40</v>
      </c>
      <c r="J2101" s="2" t="s">
        <v>541</v>
      </c>
      <c r="K2101" s="2" t="s">
        <v>542</v>
      </c>
      <c r="L2101" s="2">
        <v>3</v>
      </c>
      <c r="M2101" s="2" t="s">
        <v>545</v>
      </c>
      <c r="O2101" s="2" t="s">
        <v>524</v>
      </c>
      <c r="Y2101" s="2" t="s">
        <v>654</v>
      </c>
    </row>
    <row r="2102" spans="1:34" x14ac:dyDescent="0.25">
      <c r="A2102" s="2" t="s">
        <v>320</v>
      </c>
      <c r="B2102" s="2" t="s">
        <v>540</v>
      </c>
      <c r="C2102" s="2" t="s">
        <v>407</v>
      </c>
      <c r="D2102" s="2" t="s">
        <v>412</v>
      </c>
      <c r="E2102" s="2" t="s">
        <v>413</v>
      </c>
      <c r="F2102" s="2" t="s">
        <v>40</v>
      </c>
      <c r="J2102" s="2" t="s">
        <v>541</v>
      </c>
      <c r="K2102" s="2" t="s">
        <v>542</v>
      </c>
      <c r="L2102" s="2">
        <v>4</v>
      </c>
      <c r="M2102" s="2" t="s">
        <v>546</v>
      </c>
      <c r="O2102" s="2" t="s">
        <v>524</v>
      </c>
      <c r="Y2102" s="2" t="s">
        <v>654</v>
      </c>
    </row>
    <row r="2103" spans="1:34" x14ac:dyDescent="0.25">
      <c r="A2103" s="2" t="s">
        <v>320</v>
      </c>
      <c r="B2103" s="2" t="s">
        <v>540</v>
      </c>
      <c r="C2103" s="2" t="s">
        <v>407</v>
      </c>
      <c r="D2103" s="2" t="s">
        <v>412</v>
      </c>
      <c r="E2103" s="2" t="s">
        <v>413</v>
      </c>
      <c r="F2103" s="2" t="s">
        <v>40</v>
      </c>
      <c r="J2103" s="2" t="s">
        <v>541</v>
      </c>
      <c r="K2103" s="2" t="s">
        <v>542</v>
      </c>
      <c r="L2103" s="2">
        <v>5</v>
      </c>
      <c r="M2103" s="2" t="s">
        <v>547</v>
      </c>
      <c r="O2103" s="2" t="s">
        <v>524</v>
      </c>
      <c r="Y2103" s="2" t="s">
        <v>654</v>
      </c>
    </row>
    <row r="2104" spans="1:34" x14ac:dyDescent="0.25">
      <c r="A2104" s="2" t="s">
        <v>320</v>
      </c>
      <c r="B2104" s="2" t="s">
        <v>540</v>
      </c>
      <c r="C2104" s="2" t="s">
        <v>407</v>
      </c>
      <c r="D2104" s="2" t="s">
        <v>412</v>
      </c>
      <c r="E2104" s="2" t="s">
        <v>413</v>
      </c>
      <c r="F2104" s="2" t="s">
        <v>40</v>
      </c>
      <c r="J2104" s="2" t="s">
        <v>541</v>
      </c>
      <c r="K2104" s="2" t="s">
        <v>542</v>
      </c>
      <c r="L2104" s="2">
        <v>6</v>
      </c>
      <c r="M2104" s="2" t="s">
        <v>548</v>
      </c>
      <c r="O2104" s="2" t="s">
        <v>524</v>
      </c>
      <c r="Y2104" s="2" t="s">
        <v>654</v>
      </c>
    </row>
    <row r="2105" spans="1:34" x14ac:dyDescent="0.25">
      <c r="A2105" s="2" t="s">
        <v>320</v>
      </c>
      <c r="B2105" s="2" t="s">
        <v>540</v>
      </c>
      <c r="C2105" s="2" t="s">
        <v>407</v>
      </c>
      <c r="D2105" s="2" t="s">
        <v>412</v>
      </c>
      <c r="E2105" s="2" t="s">
        <v>413</v>
      </c>
      <c r="F2105" s="2" t="s">
        <v>40</v>
      </c>
      <c r="J2105" s="2" t="s">
        <v>541</v>
      </c>
      <c r="K2105" s="2" t="s">
        <v>542</v>
      </c>
      <c r="L2105" s="2">
        <v>7</v>
      </c>
      <c r="M2105" s="2" t="s">
        <v>549</v>
      </c>
      <c r="O2105" s="2" t="s">
        <v>524</v>
      </c>
      <c r="Y2105" s="2" t="s">
        <v>654</v>
      </c>
    </row>
    <row r="2106" spans="1:34" x14ac:dyDescent="0.25">
      <c r="A2106" s="2" t="s">
        <v>320</v>
      </c>
      <c r="B2106" s="2" t="s">
        <v>540</v>
      </c>
      <c r="C2106" s="2" t="s">
        <v>407</v>
      </c>
      <c r="D2106" s="2" t="s">
        <v>412</v>
      </c>
      <c r="E2106" s="2" t="s">
        <v>413</v>
      </c>
      <c r="F2106" s="2" t="s">
        <v>40</v>
      </c>
      <c r="J2106" s="2" t="s">
        <v>541</v>
      </c>
      <c r="K2106" s="2" t="s">
        <v>542</v>
      </c>
      <c r="L2106" s="2">
        <v>8</v>
      </c>
      <c r="M2106" s="2" t="s">
        <v>550</v>
      </c>
      <c r="O2106" s="2" t="s">
        <v>524</v>
      </c>
      <c r="Y2106" s="2" t="s">
        <v>654</v>
      </c>
    </row>
    <row r="2107" spans="1:34" x14ac:dyDescent="0.25">
      <c r="A2107" s="2" t="s">
        <v>320</v>
      </c>
      <c r="B2107" s="2" t="s">
        <v>540</v>
      </c>
      <c r="C2107" s="2" t="s">
        <v>407</v>
      </c>
      <c r="D2107" s="2" t="s">
        <v>412</v>
      </c>
      <c r="E2107" s="2" t="s">
        <v>413</v>
      </c>
      <c r="F2107" s="2" t="s">
        <v>40</v>
      </c>
      <c r="J2107" s="2" t="s">
        <v>541</v>
      </c>
      <c r="K2107" s="2" t="s">
        <v>542</v>
      </c>
      <c r="L2107" s="2">
        <v>9</v>
      </c>
      <c r="M2107" s="2" t="s">
        <v>551</v>
      </c>
      <c r="O2107" s="2" t="s">
        <v>524</v>
      </c>
      <c r="Y2107" s="2" t="s">
        <v>654</v>
      </c>
    </row>
    <row r="2108" spans="1:34" x14ac:dyDescent="0.25">
      <c r="A2108" s="2" t="s">
        <v>320</v>
      </c>
      <c r="B2108" s="2" t="s">
        <v>540</v>
      </c>
      <c r="C2108" s="2" t="s">
        <v>407</v>
      </c>
      <c r="D2108" s="2" t="s">
        <v>412</v>
      </c>
      <c r="E2108" s="2" t="s">
        <v>413</v>
      </c>
      <c r="F2108" s="2" t="s">
        <v>40</v>
      </c>
      <c r="J2108" s="2" t="s">
        <v>541</v>
      </c>
      <c r="K2108" s="2" t="s">
        <v>542</v>
      </c>
      <c r="L2108" s="2">
        <v>10</v>
      </c>
      <c r="M2108" s="2" t="s">
        <v>552</v>
      </c>
      <c r="O2108" s="2" t="s">
        <v>524</v>
      </c>
      <c r="Y2108" s="2" t="s">
        <v>654</v>
      </c>
    </row>
    <row r="2109" spans="1:34" x14ac:dyDescent="0.25">
      <c r="A2109" s="2" t="s">
        <v>320</v>
      </c>
      <c r="B2109" s="2" t="s">
        <v>540</v>
      </c>
      <c r="C2109" s="2" t="s">
        <v>407</v>
      </c>
      <c r="D2109" s="2" t="s">
        <v>412</v>
      </c>
      <c r="E2109" s="2" t="s">
        <v>413</v>
      </c>
      <c r="F2109" s="2" t="s">
        <v>40</v>
      </c>
      <c r="J2109" s="2" t="s">
        <v>541</v>
      </c>
      <c r="K2109" s="2" t="s">
        <v>542</v>
      </c>
      <c r="L2109" s="2">
        <v>11</v>
      </c>
      <c r="M2109" s="2" t="s">
        <v>553</v>
      </c>
      <c r="O2109" s="2" t="s">
        <v>524</v>
      </c>
      <c r="Y2109" s="2" t="s">
        <v>654</v>
      </c>
    </row>
    <row r="2110" spans="1:34" x14ac:dyDescent="0.25">
      <c r="A2110" s="2" t="s">
        <v>320</v>
      </c>
      <c r="B2110" s="2" t="s">
        <v>540</v>
      </c>
      <c r="C2110" s="2" t="s">
        <v>407</v>
      </c>
      <c r="D2110" s="2" t="s">
        <v>412</v>
      </c>
      <c r="E2110" s="2" t="s">
        <v>413</v>
      </c>
      <c r="F2110" s="2" t="s">
        <v>40</v>
      </c>
      <c r="J2110" s="2" t="s">
        <v>541</v>
      </c>
      <c r="K2110" s="2" t="s">
        <v>542</v>
      </c>
      <c r="L2110" s="2">
        <v>12</v>
      </c>
      <c r="M2110" s="2" t="s">
        <v>554</v>
      </c>
      <c r="O2110" s="2" t="s">
        <v>524</v>
      </c>
      <c r="Y2110" s="2" t="s">
        <v>654</v>
      </c>
    </row>
    <row r="2111" spans="1:34" x14ac:dyDescent="0.25">
      <c r="A2111" s="2" t="s">
        <v>320</v>
      </c>
      <c r="B2111" s="2" t="s">
        <v>555</v>
      </c>
      <c r="C2111" s="2" t="s">
        <v>407</v>
      </c>
      <c r="D2111" s="2" t="s">
        <v>412</v>
      </c>
      <c r="E2111" s="2" t="s">
        <v>413</v>
      </c>
      <c r="F2111" s="2" t="s">
        <v>40</v>
      </c>
      <c r="J2111" s="2" t="s">
        <v>556</v>
      </c>
      <c r="O2111" s="2" t="s">
        <v>524</v>
      </c>
      <c r="Y2111" s="2" t="s">
        <v>654</v>
      </c>
      <c r="AB2111" s="2">
        <v>2</v>
      </c>
    </row>
    <row r="2112" spans="1:34" x14ac:dyDescent="0.25">
      <c r="A2112" s="2" t="s">
        <v>320</v>
      </c>
      <c r="B2112" s="2" t="s">
        <v>557</v>
      </c>
      <c r="C2112" s="2" t="s">
        <v>407</v>
      </c>
      <c r="D2112" s="2" t="s">
        <v>412</v>
      </c>
      <c r="E2112" s="2" t="s">
        <v>413</v>
      </c>
      <c r="F2112" s="2" t="s">
        <v>40</v>
      </c>
      <c r="J2112" s="2" t="s">
        <v>558</v>
      </c>
      <c r="O2112" s="2" t="s">
        <v>524</v>
      </c>
      <c r="Y2112" s="2" t="s">
        <v>654</v>
      </c>
      <c r="AC2112" s="2">
        <f>COUNTIFS($B:$B,"BLOCK_LOAD_Q",$A:$A,$A2112,$C:$C,$C2112,$E:$E,$E2112,$F:$F,$F2112,$N:$N, "&lt;&gt;")</f>
        <v>0</v>
      </c>
      <c r="AD2112" s="2">
        <f>COUNTIFS($B:$B,"BLOCK_TRUST_Q",$A:$A,$A2112,$C:$C,$C2112,$E:$E,$E2112,$F:$F,$F2112,$N:$N, "&lt;&gt;")</f>
        <v>0</v>
      </c>
      <c r="AE2112" s="2" t="str">
        <f>IFERROR(AVERAGEIFS($P:$P,$B:$B,"BLOCK_LOAD_Q",$A:$A,$A2112,$C:$C,$C2112,$E:$E,$E2112,$F:$F,$F2112,$P:$P,"&gt;0"),"")</f>
        <v/>
      </c>
      <c r="AF2112" s="2" t="str">
        <f>IFERROR(AVERAGEIFS($P:$P,$B:$B,"BLOCK_TRUST_Q",$A:$A,$A2112,$C:$C,$C2112,$E:$E,$E2112,$F:$F,$F2112,$P:$P,"&gt;0"),"")</f>
        <v/>
      </c>
      <c r="AG2112" s="2">
        <f>5-AC2112</f>
        <v>5</v>
      </c>
      <c r="AH2112" s="2">
        <f>12-AD2112</f>
        <v>12</v>
      </c>
    </row>
    <row r="2113" spans="1:25" x14ac:dyDescent="0.25">
      <c r="A2113" s="2" t="s">
        <v>320</v>
      </c>
      <c r="B2113" s="2" t="s">
        <v>402</v>
      </c>
      <c r="C2113" s="2" t="s">
        <v>407</v>
      </c>
      <c r="D2113" s="2" t="s">
        <v>412</v>
      </c>
      <c r="E2113" s="2" t="s">
        <v>414</v>
      </c>
      <c r="F2113" s="2" t="s">
        <v>39</v>
      </c>
      <c r="G2113" s="2" t="s">
        <v>415</v>
      </c>
      <c r="H2113" s="2" t="s">
        <v>350</v>
      </c>
      <c r="S2113" s="2" t="s">
        <v>57</v>
      </c>
      <c r="U2113" s="2" t="s">
        <v>58</v>
      </c>
      <c r="W2113" s="2" t="s">
        <v>59</v>
      </c>
    </row>
    <row r="2114" spans="1:25" x14ac:dyDescent="0.25">
      <c r="A2114" s="2" t="s">
        <v>320</v>
      </c>
      <c r="B2114" s="2" t="s">
        <v>402</v>
      </c>
      <c r="C2114" s="2" t="s">
        <v>407</v>
      </c>
      <c r="D2114" s="2" t="s">
        <v>412</v>
      </c>
      <c r="E2114" s="2" t="s">
        <v>414</v>
      </c>
      <c r="F2114" s="2" t="s">
        <v>39</v>
      </c>
      <c r="G2114" s="2" t="s">
        <v>416</v>
      </c>
      <c r="H2114" s="2" t="s">
        <v>571</v>
      </c>
      <c r="S2114" s="2" t="s">
        <v>59</v>
      </c>
      <c r="U2114" s="2" t="s">
        <v>57</v>
      </c>
      <c r="W2114" s="2" t="s">
        <v>60</v>
      </c>
    </row>
    <row r="2115" spans="1:25" x14ac:dyDescent="0.25">
      <c r="A2115" s="2" t="s">
        <v>320</v>
      </c>
      <c r="B2115" s="2" t="s">
        <v>402</v>
      </c>
      <c r="C2115" s="2" t="s">
        <v>407</v>
      </c>
      <c r="D2115" s="2" t="s">
        <v>412</v>
      </c>
      <c r="E2115" s="2" t="s">
        <v>414</v>
      </c>
      <c r="F2115" s="2" t="s">
        <v>39</v>
      </c>
      <c r="G2115" s="2" t="s">
        <v>417</v>
      </c>
      <c r="H2115" s="2" t="s">
        <v>572</v>
      </c>
      <c r="S2115" s="2" t="s">
        <v>57</v>
      </c>
      <c r="U2115" s="2" t="s">
        <v>59</v>
      </c>
      <c r="W2115" s="2" t="s">
        <v>58</v>
      </c>
    </row>
    <row r="2116" spans="1:25" x14ac:dyDescent="0.25">
      <c r="A2116" s="2" t="s">
        <v>320</v>
      </c>
      <c r="B2116" s="2" t="s">
        <v>402</v>
      </c>
      <c r="C2116" s="2" t="s">
        <v>407</v>
      </c>
      <c r="D2116" s="2" t="s">
        <v>412</v>
      </c>
      <c r="E2116" s="2" t="s">
        <v>414</v>
      </c>
      <c r="F2116" s="2" t="s">
        <v>39</v>
      </c>
      <c r="G2116" s="2" t="s">
        <v>418</v>
      </c>
      <c r="H2116" s="2" t="s">
        <v>573</v>
      </c>
      <c r="S2116" s="2" t="s">
        <v>58</v>
      </c>
      <c r="U2116" s="2" t="s">
        <v>58</v>
      </c>
      <c r="W2116" s="2" t="s">
        <v>58</v>
      </c>
    </row>
    <row r="2117" spans="1:25" x14ac:dyDescent="0.25">
      <c r="A2117" s="2" t="s">
        <v>320</v>
      </c>
      <c r="B2117" s="2" t="s">
        <v>402</v>
      </c>
      <c r="C2117" s="2" t="s">
        <v>407</v>
      </c>
      <c r="D2117" s="2" t="s">
        <v>412</v>
      </c>
      <c r="E2117" s="2" t="s">
        <v>414</v>
      </c>
      <c r="F2117" s="2" t="s">
        <v>39</v>
      </c>
      <c r="G2117" s="2" t="s">
        <v>419</v>
      </c>
      <c r="H2117" s="2" t="s">
        <v>365</v>
      </c>
      <c r="S2117" s="2" t="s">
        <v>59</v>
      </c>
      <c r="U2117" s="2" t="s">
        <v>59</v>
      </c>
      <c r="W2117" s="2" t="s">
        <v>60</v>
      </c>
    </row>
    <row r="2118" spans="1:25" x14ac:dyDescent="0.25">
      <c r="A2118" s="2" t="s">
        <v>320</v>
      </c>
      <c r="B2118" s="2" t="s">
        <v>531</v>
      </c>
      <c r="C2118" s="2" t="s">
        <v>407</v>
      </c>
      <c r="D2118" s="2" t="s">
        <v>412</v>
      </c>
      <c r="E2118" s="2" t="s">
        <v>414</v>
      </c>
      <c r="F2118" s="2" t="s">
        <v>39</v>
      </c>
      <c r="J2118" s="2" t="s">
        <v>532</v>
      </c>
      <c r="K2118" s="2" t="s">
        <v>533</v>
      </c>
      <c r="L2118" s="2">
        <v>1</v>
      </c>
      <c r="M2118" s="2" t="s">
        <v>534</v>
      </c>
      <c r="O2118" s="2" t="s">
        <v>524</v>
      </c>
      <c r="Y2118" s="2" t="s">
        <v>655</v>
      </c>
    </row>
    <row r="2119" spans="1:25" x14ac:dyDescent="0.25">
      <c r="A2119" s="2" t="s">
        <v>320</v>
      </c>
      <c r="B2119" s="2" t="s">
        <v>531</v>
      </c>
      <c r="C2119" s="2" t="s">
        <v>407</v>
      </c>
      <c r="D2119" s="2" t="s">
        <v>412</v>
      </c>
      <c r="E2119" s="2" t="s">
        <v>414</v>
      </c>
      <c r="F2119" s="2" t="s">
        <v>39</v>
      </c>
      <c r="J2119" s="2" t="s">
        <v>532</v>
      </c>
      <c r="K2119" s="2" t="s">
        <v>533</v>
      </c>
      <c r="L2119" s="2">
        <v>2</v>
      </c>
      <c r="M2119" s="2" t="s">
        <v>536</v>
      </c>
      <c r="O2119" s="2" t="s">
        <v>524</v>
      </c>
      <c r="Y2119" s="2" t="s">
        <v>655</v>
      </c>
    </row>
    <row r="2120" spans="1:25" x14ac:dyDescent="0.25">
      <c r="A2120" s="2" t="s">
        <v>320</v>
      </c>
      <c r="B2120" s="2" t="s">
        <v>531</v>
      </c>
      <c r="C2120" s="2" t="s">
        <v>407</v>
      </c>
      <c r="D2120" s="2" t="s">
        <v>412</v>
      </c>
      <c r="E2120" s="2" t="s">
        <v>414</v>
      </c>
      <c r="F2120" s="2" t="s">
        <v>39</v>
      </c>
      <c r="J2120" s="2" t="s">
        <v>532</v>
      </c>
      <c r="K2120" s="2" t="s">
        <v>533</v>
      </c>
      <c r="L2120" s="2">
        <v>3</v>
      </c>
      <c r="M2120" s="2" t="s">
        <v>537</v>
      </c>
      <c r="O2120" s="2" t="s">
        <v>524</v>
      </c>
      <c r="Y2120" s="2" t="s">
        <v>655</v>
      </c>
    </row>
    <row r="2121" spans="1:25" x14ac:dyDescent="0.25">
      <c r="A2121" s="2" t="s">
        <v>320</v>
      </c>
      <c r="B2121" s="2" t="s">
        <v>531</v>
      </c>
      <c r="C2121" s="2" t="s">
        <v>407</v>
      </c>
      <c r="D2121" s="2" t="s">
        <v>412</v>
      </c>
      <c r="E2121" s="2" t="s">
        <v>414</v>
      </c>
      <c r="F2121" s="2" t="s">
        <v>39</v>
      </c>
      <c r="J2121" s="2" t="s">
        <v>532</v>
      </c>
      <c r="K2121" s="2" t="s">
        <v>533</v>
      </c>
      <c r="L2121" s="2">
        <v>4</v>
      </c>
      <c r="M2121" s="2" t="s">
        <v>538</v>
      </c>
      <c r="O2121" s="2" t="s">
        <v>524</v>
      </c>
      <c r="Y2121" s="2" t="s">
        <v>655</v>
      </c>
    </row>
    <row r="2122" spans="1:25" x14ac:dyDescent="0.25">
      <c r="A2122" s="2" t="s">
        <v>320</v>
      </c>
      <c r="B2122" s="2" t="s">
        <v>531</v>
      </c>
      <c r="C2122" s="2" t="s">
        <v>407</v>
      </c>
      <c r="D2122" s="2" t="s">
        <v>412</v>
      </c>
      <c r="E2122" s="2" t="s">
        <v>414</v>
      </c>
      <c r="F2122" s="2" t="s">
        <v>39</v>
      </c>
      <c r="J2122" s="2" t="s">
        <v>532</v>
      </c>
      <c r="K2122" s="2" t="s">
        <v>533</v>
      </c>
      <c r="L2122" s="2">
        <v>5</v>
      </c>
      <c r="M2122" s="2" t="s">
        <v>539</v>
      </c>
      <c r="O2122" s="2" t="s">
        <v>524</v>
      </c>
      <c r="Y2122" s="2" t="s">
        <v>655</v>
      </c>
    </row>
    <row r="2123" spans="1:25" x14ac:dyDescent="0.25">
      <c r="A2123" s="2" t="s">
        <v>320</v>
      </c>
      <c r="B2123" s="2" t="s">
        <v>540</v>
      </c>
      <c r="C2123" s="2" t="s">
        <v>407</v>
      </c>
      <c r="D2123" s="2" t="s">
        <v>412</v>
      </c>
      <c r="E2123" s="2" t="s">
        <v>414</v>
      </c>
      <c r="F2123" s="2" t="s">
        <v>39</v>
      </c>
      <c r="J2123" s="2" t="s">
        <v>541</v>
      </c>
      <c r="K2123" s="2" t="s">
        <v>542</v>
      </c>
      <c r="L2123" s="2">
        <v>1</v>
      </c>
      <c r="M2123" s="2" t="s">
        <v>543</v>
      </c>
      <c r="O2123" s="2" t="s">
        <v>524</v>
      </c>
      <c r="Y2123" s="2" t="s">
        <v>655</v>
      </c>
    </row>
    <row r="2124" spans="1:25" x14ac:dyDescent="0.25">
      <c r="A2124" s="2" t="s">
        <v>320</v>
      </c>
      <c r="B2124" s="2" t="s">
        <v>540</v>
      </c>
      <c r="C2124" s="2" t="s">
        <v>407</v>
      </c>
      <c r="D2124" s="2" t="s">
        <v>412</v>
      </c>
      <c r="E2124" s="2" t="s">
        <v>414</v>
      </c>
      <c r="F2124" s="2" t="s">
        <v>39</v>
      </c>
      <c r="J2124" s="2" t="s">
        <v>541</v>
      </c>
      <c r="K2124" s="2" t="s">
        <v>542</v>
      </c>
      <c r="L2124" s="2">
        <v>2</v>
      </c>
      <c r="M2124" s="2" t="s">
        <v>544</v>
      </c>
      <c r="O2124" s="2" t="s">
        <v>524</v>
      </c>
      <c r="Y2124" s="2" t="s">
        <v>655</v>
      </c>
    </row>
    <row r="2125" spans="1:25" x14ac:dyDescent="0.25">
      <c r="A2125" s="2" t="s">
        <v>320</v>
      </c>
      <c r="B2125" s="2" t="s">
        <v>540</v>
      </c>
      <c r="C2125" s="2" t="s">
        <v>407</v>
      </c>
      <c r="D2125" s="2" t="s">
        <v>412</v>
      </c>
      <c r="E2125" s="2" t="s">
        <v>414</v>
      </c>
      <c r="F2125" s="2" t="s">
        <v>39</v>
      </c>
      <c r="J2125" s="2" t="s">
        <v>541</v>
      </c>
      <c r="K2125" s="2" t="s">
        <v>542</v>
      </c>
      <c r="L2125" s="2">
        <v>3</v>
      </c>
      <c r="M2125" s="2" t="s">
        <v>545</v>
      </c>
      <c r="O2125" s="2" t="s">
        <v>524</v>
      </c>
      <c r="Y2125" s="2" t="s">
        <v>655</v>
      </c>
    </row>
    <row r="2126" spans="1:25" x14ac:dyDescent="0.25">
      <c r="A2126" s="2" t="s">
        <v>320</v>
      </c>
      <c r="B2126" s="2" t="s">
        <v>540</v>
      </c>
      <c r="C2126" s="2" t="s">
        <v>407</v>
      </c>
      <c r="D2126" s="2" t="s">
        <v>412</v>
      </c>
      <c r="E2126" s="2" t="s">
        <v>414</v>
      </c>
      <c r="F2126" s="2" t="s">
        <v>39</v>
      </c>
      <c r="J2126" s="2" t="s">
        <v>541</v>
      </c>
      <c r="K2126" s="2" t="s">
        <v>542</v>
      </c>
      <c r="L2126" s="2">
        <v>4</v>
      </c>
      <c r="M2126" s="2" t="s">
        <v>546</v>
      </c>
      <c r="O2126" s="2" t="s">
        <v>524</v>
      </c>
      <c r="Y2126" s="2" t="s">
        <v>655</v>
      </c>
    </row>
    <row r="2127" spans="1:25" x14ac:dyDescent="0.25">
      <c r="A2127" s="2" t="s">
        <v>320</v>
      </c>
      <c r="B2127" s="2" t="s">
        <v>540</v>
      </c>
      <c r="C2127" s="2" t="s">
        <v>407</v>
      </c>
      <c r="D2127" s="2" t="s">
        <v>412</v>
      </c>
      <c r="E2127" s="2" t="s">
        <v>414</v>
      </c>
      <c r="F2127" s="2" t="s">
        <v>39</v>
      </c>
      <c r="J2127" s="2" t="s">
        <v>541</v>
      </c>
      <c r="K2127" s="2" t="s">
        <v>542</v>
      </c>
      <c r="L2127" s="2">
        <v>5</v>
      </c>
      <c r="M2127" s="2" t="s">
        <v>547</v>
      </c>
      <c r="O2127" s="2" t="s">
        <v>524</v>
      </c>
      <c r="Y2127" s="2" t="s">
        <v>655</v>
      </c>
    </row>
    <row r="2128" spans="1:25" x14ac:dyDescent="0.25">
      <c r="A2128" s="2" t="s">
        <v>320</v>
      </c>
      <c r="B2128" s="2" t="s">
        <v>540</v>
      </c>
      <c r="C2128" s="2" t="s">
        <v>407</v>
      </c>
      <c r="D2128" s="2" t="s">
        <v>412</v>
      </c>
      <c r="E2128" s="2" t="s">
        <v>414</v>
      </c>
      <c r="F2128" s="2" t="s">
        <v>39</v>
      </c>
      <c r="J2128" s="2" t="s">
        <v>541</v>
      </c>
      <c r="K2128" s="2" t="s">
        <v>542</v>
      </c>
      <c r="L2128" s="2">
        <v>6</v>
      </c>
      <c r="M2128" s="2" t="s">
        <v>548</v>
      </c>
      <c r="O2128" s="2" t="s">
        <v>524</v>
      </c>
      <c r="Y2128" s="2" t="s">
        <v>655</v>
      </c>
    </row>
    <row r="2129" spans="1:34" x14ac:dyDescent="0.25">
      <c r="A2129" s="2" t="s">
        <v>320</v>
      </c>
      <c r="B2129" s="2" t="s">
        <v>540</v>
      </c>
      <c r="C2129" s="2" t="s">
        <v>407</v>
      </c>
      <c r="D2129" s="2" t="s">
        <v>412</v>
      </c>
      <c r="E2129" s="2" t="s">
        <v>414</v>
      </c>
      <c r="F2129" s="2" t="s">
        <v>39</v>
      </c>
      <c r="J2129" s="2" t="s">
        <v>541</v>
      </c>
      <c r="K2129" s="2" t="s">
        <v>542</v>
      </c>
      <c r="L2129" s="2">
        <v>7</v>
      </c>
      <c r="M2129" s="2" t="s">
        <v>549</v>
      </c>
      <c r="O2129" s="2" t="s">
        <v>524</v>
      </c>
      <c r="Y2129" s="2" t="s">
        <v>655</v>
      </c>
    </row>
    <row r="2130" spans="1:34" x14ac:dyDescent="0.25">
      <c r="A2130" s="2" t="s">
        <v>320</v>
      </c>
      <c r="B2130" s="2" t="s">
        <v>540</v>
      </c>
      <c r="C2130" s="2" t="s">
        <v>407</v>
      </c>
      <c r="D2130" s="2" t="s">
        <v>412</v>
      </c>
      <c r="E2130" s="2" t="s">
        <v>414</v>
      </c>
      <c r="F2130" s="2" t="s">
        <v>39</v>
      </c>
      <c r="J2130" s="2" t="s">
        <v>541</v>
      </c>
      <c r="K2130" s="2" t="s">
        <v>542</v>
      </c>
      <c r="L2130" s="2">
        <v>8</v>
      </c>
      <c r="M2130" s="2" t="s">
        <v>550</v>
      </c>
      <c r="O2130" s="2" t="s">
        <v>524</v>
      </c>
      <c r="Y2130" s="2" t="s">
        <v>655</v>
      </c>
    </row>
    <row r="2131" spans="1:34" x14ac:dyDescent="0.25">
      <c r="A2131" s="2" t="s">
        <v>320</v>
      </c>
      <c r="B2131" s="2" t="s">
        <v>540</v>
      </c>
      <c r="C2131" s="2" t="s">
        <v>407</v>
      </c>
      <c r="D2131" s="2" t="s">
        <v>412</v>
      </c>
      <c r="E2131" s="2" t="s">
        <v>414</v>
      </c>
      <c r="F2131" s="2" t="s">
        <v>39</v>
      </c>
      <c r="J2131" s="2" t="s">
        <v>541</v>
      </c>
      <c r="K2131" s="2" t="s">
        <v>542</v>
      </c>
      <c r="L2131" s="2">
        <v>9</v>
      </c>
      <c r="M2131" s="2" t="s">
        <v>551</v>
      </c>
      <c r="O2131" s="2" t="s">
        <v>524</v>
      </c>
      <c r="Y2131" s="2" t="s">
        <v>655</v>
      </c>
    </row>
    <row r="2132" spans="1:34" x14ac:dyDescent="0.25">
      <c r="A2132" s="2" t="s">
        <v>320</v>
      </c>
      <c r="B2132" s="2" t="s">
        <v>540</v>
      </c>
      <c r="C2132" s="2" t="s">
        <v>407</v>
      </c>
      <c r="D2132" s="2" t="s">
        <v>412</v>
      </c>
      <c r="E2132" s="2" t="s">
        <v>414</v>
      </c>
      <c r="F2132" s="2" t="s">
        <v>39</v>
      </c>
      <c r="J2132" s="2" t="s">
        <v>541</v>
      </c>
      <c r="K2132" s="2" t="s">
        <v>542</v>
      </c>
      <c r="L2132" s="2">
        <v>10</v>
      </c>
      <c r="M2132" s="2" t="s">
        <v>552</v>
      </c>
      <c r="O2132" s="2" t="s">
        <v>524</v>
      </c>
      <c r="Y2132" s="2" t="s">
        <v>655</v>
      </c>
    </row>
    <row r="2133" spans="1:34" x14ac:dyDescent="0.25">
      <c r="A2133" s="2" t="s">
        <v>320</v>
      </c>
      <c r="B2133" s="2" t="s">
        <v>540</v>
      </c>
      <c r="C2133" s="2" t="s">
        <v>407</v>
      </c>
      <c r="D2133" s="2" t="s">
        <v>412</v>
      </c>
      <c r="E2133" s="2" t="s">
        <v>414</v>
      </c>
      <c r="F2133" s="2" t="s">
        <v>39</v>
      </c>
      <c r="J2133" s="2" t="s">
        <v>541</v>
      </c>
      <c r="K2133" s="2" t="s">
        <v>542</v>
      </c>
      <c r="L2133" s="2">
        <v>11</v>
      </c>
      <c r="M2133" s="2" t="s">
        <v>553</v>
      </c>
      <c r="O2133" s="2" t="s">
        <v>524</v>
      </c>
      <c r="Y2133" s="2" t="s">
        <v>655</v>
      </c>
    </row>
    <row r="2134" spans="1:34" x14ac:dyDescent="0.25">
      <c r="A2134" s="2" t="s">
        <v>320</v>
      </c>
      <c r="B2134" s="2" t="s">
        <v>540</v>
      </c>
      <c r="C2134" s="2" t="s">
        <v>407</v>
      </c>
      <c r="D2134" s="2" t="s">
        <v>412</v>
      </c>
      <c r="E2134" s="2" t="s">
        <v>414</v>
      </c>
      <c r="F2134" s="2" t="s">
        <v>39</v>
      </c>
      <c r="J2134" s="2" t="s">
        <v>541</v>
      </c>
      <c r="K2134" s="2" t="s">
        <v>542</v>
      </c>
      <c r="L2134" s="2">
        <v>12</v>
      </c>
      <c r="M2134" s="2" t="s">
        <v>554</v>
      </c>
      <c r="O2134" s="2" t="s">
        <v>524</v>
      </c>
      <c r="Y2134" s="2" t="s">
        <v>655</v>
      </c>
    </row>
    <row r="2135" spans="1:34" x14ac:dyDescent="0.25">
      <c r="A2135" s="2" t="s">
        <v>320</v>
      </c>
      <c r="B2135" s="2" t="s">
        <v>555</v>
      </c>
      <c r="C2135" s="2" t="s">
        <v>407</v>
      </c>
      <c r="D2135" s="2" t="s">
        <v>412</v>
      </c>
      <c r="E2135" s="2" t="s">
        <v>414</v>
      </c>
      <c r="F2135" s="2" t="s">
        <v>39</v>
      </c>
      <c r="J2135" s="2" t="s">
        <v>556</v>
      </c>
      <c r="O2135" s="2" t="s">
        <v>524</v>
      </c>
      <c r="Y2135" s="2" t="s">
        <v>655</v>
      </c>
      <c r="AB2135" s="2">
        <v>1</v>
      </c>
    </row>
    <row r="2136" spans="1:34" x14ac:dyDescent="0.25">
      <c r="A2136" s="2" t="s">
        <v>320</v>
      </c>
      <c r="B2136" s="2" t="s">
        <v>557</v>
      </c>
      <c r="C2136" s="2" t="s">
        <v>407</v>
      </c>
      <c r="D2136" s="2" t="s">
        <v>412</v>
      </c>
      <c r="E2136" s="2" t="s">
        <v>414</v>
      </c>
      <c r="F2136" s="2" t="s">
        <v>39</v>
      </c>
      <c r="J2136" s="2" t="s">
        <v>558</v>
      </c>
      <c r="O2136" s="2" t="s">
        <v>524</v>
      </c>
      <c r="Y2136" s="2" t="s">
        <v>655</v>
      </c>
      <c r="AC2136" s="2">
        <f>COUNTIFS($B:$B,"BLOCK_LOAD_Q",$A:$A,$A2136,$C:$C,$C2136,$E:$E,$E2136,$F:$F,$F2136,$N:$N, "&lt;&gt;")</f>
        <v>0</v>
      </c>
      <c r="AD2136" s="2">
        <f>COUNTIFS($B:$B,"BLOCK_TRUST_Q",$A:$A,$A2136,$C:$C,$C2136,$E:$E,$E2136,$F:$F,$F2136,$N:$N, "&lt;&gt;")</f>
        <v>0</v>
      </c>
      <c r="AE2136" s="2" t="str">
        <f>IFERROR(AVERAGEIFS($P:$P,$B:$B,"BLOCK_LOAD_Q",$A:$A,$A2136,$C:$C,$C2136,$E:$E,$E2136,$F:$F,$F2136,$P:$P,"&gt;0"),"")</f>
        <v/>
      </c>
      <c r="AF2136" s="2" t="str">
        <f>IFERROR(AVERAGEIFS($P:$P,$B:$B,"BLOCK_TRUST_Q",$A:$A,$A2136,$C:$C,$C2136,$E:$E,$E2136,$F:$F,$F2136,$P:$P,"&gt;0"),"")</f>
        <v/>
      </c>
      <c r="AG2136" s="2">
        <f>5-AC2136</f>
        <v>5</v>
      </c>
      <c r="AH2136" s="2">
        <f>12-AD2136</f>
        <v>12</v>
      </c>
    </row>
    <row r="2137" spans="1:34" x14ac:dyDescent="0.25">
      <c r="A2137" s="2" t="s">
        <v>320</v>
      </c>
      <c r="B2137" s="2" t="s">
        <v>403</v>
      </c>
      <c r="C2137" s="2" t="s">
        <v>407</v>
      </c>
      <c r="D2137" s="2" t="s">
        <v>412</v>
      </c>
      <c r="Z2137" s="2" t="s">
        <v>462</v>
      </c>
    </row>
    <row r="2138" spans="1:34" x14ac:dyDescent="0.25">
      <c r="A2138" s="2" t="s">
        <v>320</v>
      </c>
      <c r="B2138" s="2" t="s">
        <v>402</v>
      </c>
      <c r="C2138" s="2" t="s">
        <v>408</v>
      </c>
      <c r="D2138" s="2" t="s">
        <v>410</v>
      </c>
      <c r="E2138" s="2" t="s">
        <v>413</v>
      </c>
      <c r="F2138" s="2" t="s">
        <v>39</v>
      </c>
      <c r="G2138" s="2" t="s">
        <v>415</v>
      </c>
      <c r="H2138" s="2" t="s">
        <v>373</v>
      </c>
      <c r="S2138" s="2" t="s">
        <v>60</v>
      </c>
      <c r="U2138" s="2" t="s">
        <v>60</v>
      </c>
      <c r="W2138" s="2" t="s">
        <v>60</v>
      </c>
    </row>
    <row r="2139" spans="1:34" x14ac:dyDescent="0.25">
      <c r="A2139" s="2" t="s">
        <v>320</v>
      </c>
      <c r="B2139" s="2" t="s">
        <v>402</v>
      </c>
      <c r="C2139" s="2" t="s">
        <v>408</v>
      </c>
      <c r="D2139" s="2" t="s">
        <v>410</v>
      </c>
      <c r="E2139" s="2" t="s">
        <v>413</v>
      </c>
      <c r="F2139" s="2" t="s">
        <v>39</v>
      </c>
      <c r="G2139" s="2" t="s">
        <v>416</v>
      </c>
      <c r="H2139" s="2" t="s">
        <v>528</v>
      </c>
      <c r="S2139" s="2" t="s">
        <v>60</v>
      </c>
      <c r="U2139" s="2" t="s">
        <v>59</v>
      </c>
      <c r="W2139" s="2" t="s">
        <v>59</v>
      </c>
    </row>
    <row r="2140" spans="1:34" x14ac:dyDescent="0.25">
      <c r="A2140" s="2" t="s">
        <v>320</v>
      </c>
      <c r="B2140" s="2" t="s">
        <v>402</v>
      </c>
      <c r="C2140" s="2" t="s">
        <v>408</v>
      </c>
      <c r="D2140" s="2" t="s">
        <v>410</v>
      </c>
      <c r="E2140" s="2" t="s">
        <v>413</v>
      </c>
      <c r="F2140" s="2" t="s">
        <v>39</v>
      </c>
      <c r="G2140" s="2" t="s">
        <v>417</v>
      </c>
      <c r="H2140" s="2" t="s">
        <v>529</v>
      </c>
      <c r="S2140" s="2" t="s">
        <v>57</v>
      </c>
      <c r="U2140" s="2" t="s">
        <v>59</v>
      </c>
      <c r="W2140" s="2" t="s">
        <v>60</v>
      </c>
    </row>
    <row r="2141" spans="1:34" x14ac:dyDescent="0.25">
      <c r="A2141" s="2" t="s">
        <v>320</v>
      </c>
      <c r="B2141" s="2" t="s">
        <v>402</v>
      </c>
      <c r="C2141" s="2" t="s">
        <v>408</v>
      </c>
      <c r="D2141" s="2" t="s">
        <v>410</v>
      </c>
      <c r="E2141" s="2" t="s">
        <v>413</v>
      </c>
      <c r="F2141" s="2" t="s">
        <v>39</v>
      </c>
      <c r="G2141" s="2" t="s">
        <v>418</v>
      </c>
      <c r="H2141" s="2" t="s">
        <v>347</v>
      </c>
      <c r="S2141" s="2" t="s">
        <v>60</v>
      </c>
      <c r="U2141" s="2" t="s">
        <v>57</v>
      </c>
      <c r="W2141" s="2" t="s">
        <v>59</v>
      </c>
    </row>
    <row r="2142" spans="1:34" x14ac:dyDescent="0.25">
      <c r="A2142" s="2" t="s">
        <v>320</v>
      </c>
      <c r="B2142" s="2" t="s">
        <v>402</v>
      </c>
      <c r="C2142" s="2" t="s">
        <v>408</v>
      </c>
      <c r="D2142" s="2" t="s">
        <v>410</v>
      </c>
      <c r="E2142" s="2" t="s">
        <v>413</v>
      </c>
      <c r="F2142" s="2" t="s">
        <v>39</v>
      </c>
      <c r="G2142" s="2" t="s">
        <v>419</v>
      </c>
      <c r="H2142" s="2" t="s">
        <v>530</v>
      </c>
      <c r="S2142" s="2" t="s">
        <v>57</v>
      </c>
      <c r="U2142" s="2" t="s">
        <v>60</v>
      </c>
      <c r="W2142" s="2" t="s">
        <v>58</v>
      </c>
    </row>
    <row r="2143" spans="1:34" x14ac:dyDescent="0.25">
      <c r="A2143" s="2" t="s">
        <v>320</v>
      </c>
      <c r="B2143" s="2" t="s">
        <v>531</v>
      </c>
      <c r="C2143" s="2" t="s">
        <v>408</v>
      </c>
      <c r="D2143" s="2" t="s">
        <v>410</v>
      </c>
      <c r="E2143" s="2" t="s">
        <v>413</v>
      </c>
      <c r="F2143" s="2" t="s">
        <v>39</v>
      </c>
      <c r="J2143" s="2" t="s">
        <v>532</v>
      </c>
      <c r="K2143" s="2" t="s">
        <v>533</v>
      </c>
      <c r="L2143" s="2">
        <v>1</v>
      </c>
      <c r="M2143" s="2" t="s">
        <v>534</v>
      </c>
      <c r="O2143" s="2" t="s">
        <v>524</v>
      </c>
      <c r="Y2143" s="2" t="s">
        <v>656</v>
      </c>
    </row>
    <row r="2144" spans="1:34" x14ac:dyDescent="0.25">
      <c r="A2144" s="2" t="s">
        <v>320</v>
      </c>
      <c r="B2144" s="2" t="s">
        <v>531</v>
      </c>
      <c r="C2144" s="2" t="s">
        <v>408</v>
      </c>
      <c r="D2144" s="2" t="s">
        <v>410</v>
      </c>
      <c r="E2144" s="2" t="s">
        <v>413</v>
      </c>
      <c r="F2144" s="2" t="s">
        <v>39</v>
      </c>
      <c r="J2144" s="2" t="s">
        <v>532</v>
      </c>
      <c r="K2144" s="2" t="s">
        <v>533</v>
      </c>
      <c r="L2144" s="2">
        <v>2</v>
      </c>
      <c r="M2144" s="2" t="s">
        <v>536</v>
      </c>
      <c r="O2144" s="2" t="s">
        <v>524</v>
      </c>
      <c r="Y2144" s="2" t="s">
        <v>656</v>
      </c>
    </row>
    <row r="2145" spans="1:28" x14ac:dyDescent="0.25">
      <c r="A2145" s="2" t="s">
        <v>320</v>
      </c>
      <c r="B2145" s="2" t="s">
        <v>531</v>
      </c>
      <c r="C2145" s="2" t="s">
        <v>408</v>
      </c>
      <c r="D2145" s="2" t="s">
        <v>410</v>
      </c>
      <c r="E2145" s="2" t="s">
        <v>413</v>
      </c>
      <c r="F2145" s="2" t="s">
        <v>39</v>
      </c>
      <c r="J2145" s="2" t="s">
        <v>532</v>
      </c>
      <c r="K2145" s="2" t="s">
        <v>533</v>
      </c>
      <c r="L2145" s="2">
        <v>3</v>
      </c>
      <c r="M2145" s="2" t="s">
        <v>537</v>
      </c>
      <c r="O2145" s="2" t="s">
        <v>524</v>
      </c>
      <c r="Y2145" s="2" t="s">
        <v>656</v>
      </c>
    </row>
    <row r="2146" spans="1:28" x14ac:dyDescent="0.25">
      <c r="A2146" s="2" t="s">
        <v>320</v>
      </c>
      <c r="B2146" s="2" t="s">
        <v>531</v>
      </c>
      <c r="C2146" s="2" t="s">
        <v>408</v>
      </c>
      <c r="D2146" s="2" t="s">
        <v>410</v>
      </c>
      <c r="E2146" s="2" t="s">
        <v>413</v>
      </c>
      <c r="F2146" s="2" t="s">
        <v>39</v>
      </c>
      <c r="J2146" s="2" t="s">
        <v>532</v>
      </c>
      <c r="K2146" s="2" t="s">
        <v>533</v>
      </c>
      <c r="L2146" s="2">
        <v>4</v>
      </c>
      <c r="M2146" s="2" t="s">
        <v>538</v>
      </c>
      <c r="O2146" s="2" t="s">
        <v>524</v>
      </c>
      <c r="Y2146" s="2" t="s">
        <v>656</v>
      </c>
    </row>
    <row r="2147" spans="1:28" x14ac:dyDescent="0.25">
      <c r="A2147" s="2" t="s">
        <v>320</v>
      </c>
      <c r="B2147" s="2" t="s">
        <v>531</v>
      </c>
      <c r="C2147" s="2" t="s">
        <v>408</v>
      </c>
      <c r="D2147" s="2" t="s">
        <v>410</v>
      </c>
      <c r="E2147" s="2" t="s">
        <v>413</v>
      </c>
      <c r="F2147" s="2" t="s">
        <v>39</v>
      </c>
      <c r="J2147" s="2" t="s">
        <v>532</v>
      </c>
      <c r="K2147" s="2" t="s">
        <v>533</v>
      </c>
      <c r="L2147" s="2">
        <v>5</v>
      </c>
      <c r="M2147" s="2" t="s">
        <v>539</v>
      </c>
      <c r="O2147" s="2" t="s">
        <v>524</v>
      </c>
      <c r="Y2147" s="2" t="s">
        <v>656</v>
      </c>
    </row>
    <row r="2148" spans="1:28" x14ac:dyDescent="0.25">
      <c r="A2148" s="2" t="s">
        <v>320</v>
      </c>
      <c r="B2148" s="2" t="s">
        <v>540</v>
      </c>
      <c r="C2148" s="2" t="s">
        <v>408</v>
      </c>
      <c r="D2148" s="2" t="s">
        <v>410</v>
      </c>
      <c r="E2148" s="2" t="s">
        <v>413</v>
      </c>
      <c r="F2148" s="2" t="s">
        <v>39</v>
      </c>
      <c r="J2148" s="2" t="s">
        <v>541</v>
      </c>
      <c r="K2148" s="2" t="s">
        <v>542</v>
      </c>
      <c r="L2148" s="2">
        <v>1</v>
      </c>
      <c r="M2148" s="2" t="s">
        <v>543</v>
      </c>
      <c r="O2148" s="2" t="s">
        <v>524</v>
      </c>
      <c r="Y2148" s="2" t="s">
        <v>656</v>
      </c>
    </row>
    <row r="2149" spans="1:28" x14ac:dyDescent="0.25">
      <c r="A2149" s="2" t="s">
        <v>320</v>
      </c>
      <c r="B2149" s="2" t="s">
        <v>540</v>
      </c>
      <c r="C2149" s="2" t="s">
        <v>408</v>
      </c>
      <c r="D2149" s="2" t="s">
        <v>410</v>
      </c>
      <c r="E2149" s="2" t="s">
        <v>413</v>
      </c>
      <c r="F2149" s="2" t="s">
        <v>39</v>
      </c>
      <c r="J2149" s="2" t="s">
        <v>541</v>
      </c>
      <c r="K2149" s="2" t="s">
        <v>542</v>
      </c>
      <c r="L2149" s="2">
        <v>2</v>
      </c>
      <c r="M2149" s="2" t="s">
        <v>544</v>
      </c>
      <c r="O2149" s="2" t="s">
        <v>524</v>
      </c>
      <c r="Y2149" s="2" t="s">
        <v>656</v>
      </c>
    </row>
    <row r="2150" spans="1:28" x14ac:dyDescent="0.25">
      <c r="A2150" s="2" t="s">
        <v>320</v>
      </c>
      <c r="B2150" s="2" t="s">
        <v>540</v>
      </c>
      <c r="C2150" s="2" t="s">
        <v>408</v>
      </c>
      <c r="D2150" s="2" t="s">
        <v>410</v>
      </c>
      <c r="E2150" s="2" t="s">
        <v>413</v>
      </c>
      <c r="F2150" s="2" t="s">
        <v>39</v>
      </c>
      <c r="J2150" s="2" t="s">
        <v>541</v>
      </c>
      <c r="K2150" s="2" t="s">
        <v>542</v>
      </c>
      <c r="L2150" s="2">
        <v>3</v>
      </c>
      <c r="M2150" s="2" t="s">
        <v>545</v>
      </c>
      <c r="O2150" s="2" t="s">
        <v>524</v>
      </c>
      <c r="Y2150" s="2" t="s">
        <v>656</v>
      </c>
    </row>
    <row r="2151" spans="1:28" x14ac:dyDescent="0.25">
      <c r="A2151" s="2" t="s">
        <v>320</v>
      </c>
      <c r="B2151" s="2" t="s">
        <v>540</v>
      </c>
      <c r="C2151" s="2" t="s">
        <v>408</v>
      </c>
      <c r="D2151" s="2" t="s">
        <v>410</v>
      </c>
      <c r="E2151" s="2" t="s">
        <v>413</v>
      </c>
      <c r="F2151" s="2" t="s">
        <v>39</v>
      </c>
      <c r="J2151" s="2" t="s">
        <v>541</v>
      </c>
      <c r="K2151" s="2" t="s">
        <v>542</v>
      </c>
      <c r="L2151" s="2">
        <v>4</v>
      </c>
      <c r="M2151" s="2" t="s">
        <v>546</v>
      </c>
      <c r="O2151" s="2" t="s">
        <v>524</v>
      </c>
      <c r="Y2151" s="2" t="s">
        <v>656</v>
      </c>
    </row>
    <row r="2152" spans="1:28" x14ac:dyDescent="0.25">
      <c r="A2152" s="2" t="s">
        <v>320</v>
      </c>
      <c r="B2152" s="2" t="s">
        <v>540</v>
      </c>
      <c r="C2152" s="2" t="s">
        <v>408</v>
      </c>
      <c r="D2152" s="2" t="s">
        <v>410</v>
      </c>
      <c r="E2152" s="2" t="s">
        <v>413</v>
      </c>
      <c r="F2152" s="2" t="s">
        <v>39</v>
      </c>
      <c r="J2152" s="2" t="s">
        <v>541</v>
      </c>
      <c r="K2152" s="2" t="s">
        <v>542</v>
      </c>
      <c r="L2152" s="2">
        <v>5</v>
      </c>
      <c r="M2152" s="2" t="s">
        <v>547</v>
      </c>
      <c r="O2152" s="2" t="s">
        <v>524</v>
      </c>
      <c r="Y2152" s="2" t="s">
        <v>656</v>
      </c>
    </row>
    <row r="2153" spans="1:28" x14ac:dyDescent="0.25">
      <c r="A2153" s="2" t="s">
        <v>320</v>
      </c>
      <c r="B2153" s="2" t="s">
        <v>540</v>
      </c>
      <c r="C2153" s="2" t="s">
        <v>408</v>
      </c>
      <c r="D2153" s="2" t="s">
        <v>410</v>
      </c>
      <c r="E2153" s="2" t="s">
        <v>413</v>
      </c>
      <c r="F2153" s="2" t="s">
        <v>39</v>
      </c>
      <c r="J2153" s="2" t="s">
        <v>541</v>
      </c>
      <c r="K2153" s="2" t="s">
        <v>542</v>
      </c>
      <c r="L2153" s="2">
        <v>6</v>
      </c>
      <c r="M2153" s="2" t="s">
        <v>548</v>
      </c>
      <c r="O2153" s="2" t="s">
        <v>524</v>
      </c>
      <c r="Y2153" s="2" t="s">
        <v>656</v>
      </c>
    </row>
    <row r="2154" spans="1:28" x14ac:dyDescent="0.25">
      <c r="A2154" s="2" t="s">
        <v>320</v>
      </c>
      <c r="B2154" s="2" t="s">
        <v>540</v>
      </c>
      <c r="C2154" s="2" t="s">
        <v>408</v>
      </c>
      <c r="D2154" s="2" t="s">
        <v>410</v>
      </c>
      <c r="E2154" s="2" t="s">
        <v>413</v>
      </c>
      <c r="F2154" s="2" t="s">
        <v>39</v>
      </c>
      <c r="J2154" s="2" t="s">
        <v>541</v>
      </c>
      <c r="K2154" s="2" t="s">
        <v>542</v>
      </c>
      <c r="L2154" s="2">
        <v>7</v>
      </c>
      <c r="M2154" s="2" t="s">
        <v>549</v>
      </c>
      <c r="O2154" s="2" t="s">
        <v>524</v>
      </c>
      <c r="Y2154" s="2" t="s">
        <v>656</v>
      </c>
    </row>
    <row r="2155" spans="1:28" x14ac:dyDescent="0.25">
      <c r="A2155" s="2" t="s">
        <v>320</v>
      </c>
      <c r="B2155" s="2" t="s">
        <v>540</v>
      </c>
      <c r="C2155" s="2" t="s">
        <v>408</v>
      </c>
      <c r="D2155" s="2" t="s">
        <v>410</v>
      </c>
      <c r="E2155" s="2" t="s">
        <v>413</v>
      </c>
      <c r="F2155" s="2" t="s">
        <v>39</v>
      </c>
      <c r="J2155" s="2" t="s">
        <v>541</v>
      </c>
      <c r="K2155" s="2" t="s">
        <v>542</v>
      </c>
      <c r="L2155" s="2">
        <v>8</v>
      </c>
      <c r="M2155" s="2" t="s">
        <v>550</v>
      </c>
      <c r="O2155" s="2" t="s">
        <v>524</v>
      </c>
      <c r="Y2155" s="2" t="s">
        <v>656</v>
      </c>
    </row>
    <row r="2156" spans="1:28" x14ac:dyDescent="0.25">
      <c r="A2156" s="2" t="s">
        <v>320</v>
      </c>
      <c r="B2156" s="2" t="s">
        <v>540</v>
      </c>
      <c r="C2156" s="2" t="s">
        <v>408</v>
      </c>
      <c r="D2156" s="2" t="s">
        <v>410</v>
      </c>
      <c r="E2156" s="2" t="s">
        <v>413</v>
      </c>
      <c r="F2156" s="2" t="s">
        <v>39</v>
      </c>
      <c r="J2156" s="2" t="s">
        <v>541</v>
      </c>
      <c r="K2156" s="2" t="s">
        <v>542</v>
      </c>
      <c r="L2156" s="2">
        <v>9</v>
      </c>
      <c r="M2156" s="2" t="s">
        <v>551</v>
      </c>
      <c r="O2156" s="2" t="s">
        <v>524</v>
      </c>
      <c r="Y2156" s="2" t="s">
        <v>656</v>
      </c>
    </row>
    <row r="2157" spans="1:28" x14ac:dyDescent="0.25">
      <c r="A2157" s="2" t="s">
        <v>320</v>
      </c>
      <c r="B2157" s="2" t="s">
        <v>540</v>
      </c>
      <c r="C2157" s="2" t="s">
        <v>408</v>
      </c>
      <c r="D2157" s="2" t="s">
        <v>410</v>
      </c>
      <c r="E2157" s="2" t="s">
        <v>413</v>
      </c>
      <c r="F2157" s="2" t="s">
        <v>39</v>
      </c>
      <c r="J2157" s="2" t="s">
        <v>541</v>
      </c>
      <c r="K2157" s="2" t="s">
        <v>542</v>
      </c>
      <c r="L2157" s="2">
        <v>10</v>
      </c>
      <c r="M2157" s="2" t="s">
        <v>552</v>
      </c>
      <c r="O2157" s="2" t="s">
        <v>524</v>
      </c>
      <c r="Y2157" s="2" t="s">
        <v>656</v>
      </c>
    </row>
    <row r="2158" spans="1:28" x14ac:dyDescent="0.25">
      <c r="A2158" s="2" t="s">
        <v>320</v>
      </c>
      <c r="B2158" s="2" t="s">
        <v>540</v>
      </c>
      <c r="C2158" s="2" t="s">
        <v>408</v>
      </c>
      <c r="D2158" s="2" t="s">
        <v>410</v>
      </c>
      <c r="E2158" s="2" t="s">
        <v>413</v>
      </c>
      <c r="F2158" s="2" t="s">
        <v>39</v>
      </c>
      <c r="J2158" s="2" t="s">
        <v>541</v>
      </c>
      <c r="K2158" s="2" t="s">
        <v>542</v>
      </c>
      <c r="L2158" s="2">
        <v>11</v>
      </c>
      <c r="M2158" s="2" t="s">
        <v>553</v>
      </c>
      <c r="O2158" s="2" t="s">
        <v>524</v>
      </c>
      <c r="Y2158" s="2" t="s">
        <v>656</v>
      </c>
    </row>
    <row r="2159" spans="1:28" x14ac:dyDescent="0.25">
      <c r="A2159" s="2" t="s">
        <v>320</v>
      </c>
      <c r="B2159" s="2" t="s">
        <v>540</v>
      </c>
      <c r="C2159" s="2" t="s">
        <v>408</v>
      </c>
      <c r="D2159" s="2" t="s">
        <v>410</v>
      </c>
      <c r="E2159" s="2" t="s">
        <v>413</v>
      </c>
      <c r="F2159" s="2" t="s">
        <v>39</v>
      </c>
      <c r="J2159" s="2" t="s">
        <v>541</v>
      </c>
      <c r="K2159" s="2" t="s">
        <v>542</v>
      </c>
      <c r="L2159" s="2">
        <v>12</v>
      </c>
      <c r="M2159" s="2" t="s">
        <v>554</v>
      </c>
      <c r="O2159" s="2" t="s">
        <v>524</v>
      </c>
      <c r="Y2159" s="2" t="s">
        <v>656</v>
      </c>
    </row>
    <row r="2160" spans="1:28" x14ac:dyDescent="0.25">
      <c r="A2160" s="2" t="s">
        <v>320</v>
      </c>
      <c r="B2160" s="2" t="s">
        <v>555</v>
      </c>
      <c r="C2160" s="2" t="s">
        <v>408</v>
      </c>
      <c r="D2160" s="2" t="s">
        <v>410</v>
      </c>
      <c r="E2160" s="2" t="s">
        <v>413</v>
      </c>
      <c r="F2160" s="2" t="s">
        <v>39</v>
      </c>
      <c r="J2160" s="2" t="s">
        <v>556</v>
      </c>
      <c r="O2160" s="2" t="s">
        <v>524</v>
      </c>
      <c r="Y2160" s="2" t="s">
        <v>656</v>
      </c>
      <c r="AB2160" s="2">
        <v>1</v>
      </c>
    </row>
    <row r="2161" spans="1:34" x14ac:dyDescent="0.25">
      <c r="A2161" s="2" t="s">
        <v>320</v>
      </c>
      <c r="B2161" s="2" t="s">
        <v>557</v>
      </c>
      <c r="C2161" s="2" t="s">
        <v>408</v>
      </c>
      <c r="D2161" s="2" t="s">
        <v>410</v>
      </c>
      <c r="E2161" s="2" t="s">
        <v>413</v>
      </c>
      <c r="F2161" s="2" t="s">
        <v>39</v>
      </c>
      <c r="J2161" s="2" t="s">
        <v>558</v>
      </c>
      <c r="O2161" s="2" t="s">
        <v>524</v>
      </c>
      <c r="Y2161" s="2" t="s">
        <v>656</v>
      </c>
      <c r="AC2161" s="2">
        <f>COUNTIFS($B:$B,"BLOCK_LOAD_Q",$A:$A,$A2161,$C:$C,$C2161,$E:$E,$E2161,$F:$F,$F2161,$N:$N, "&lt;&gt;")</f>
        <v>0</v>
      </c>
      <c r="AD2161" s="2">
        <f>COUNTIFS($B:$B,"BLOCK_TRUST_Q",$A:$A,$A2161,$C:$C,$C2161,$E:$E,$E2161,$F:$F,$F2161,$N:$N, "&lt;&gt;")</f>
        <v>0</v>
      </c>
      <c r="AE2161" s="2" t="str">
        <f>IFERROR(AVERAGEIFS($P:$P,$B:$B,"BLOCK_LOAD_Q",$A:$A,$A2161,$C:$C,$C2161,$E:$E,$E2161,$F:$F,$F2161,$P:$P,"&gt;0"),"")</f>
        <v/>
      </c>
      <c r="AF2161" s="2" t="str">
        <f>IFERROR(AVERAGEIFS($P:$P,$B:$B,"BLOCK_TRUST_Q",$A:$A,$A2161,$C:$C,$C2161,$E:$E,$E2161,$F:$F,$F2161,$P:$P,"&gt;0"),"")</f>
        <v/>
      </c>
      <c r="AG2161" s="2">
        <f>5-AC2161</f>
        <v>5</v>
      </c>
      <c r="AH2161" s="2">
        <f>12-AD2161</f>
        <v>12</v>
      </c>
    </row>
    <row r="2162" spans="1:34" x14ac:dyDescent="0.25">
      <c r="A2162" s="2" t="s">
        <v>320</v>
      </c>
      <c r="B2162" s="2" t="s">
        <v>402</v>
      </c>
      <c r="C2162" s="2" t="s">
        <v>408</v>
      </c>
      <c r="D2162" s="2" t="s">
        <v>410</v>
      </c>
      <c r="E2162" s="2" t="s">
        <v>414</v>
      </c>
      <c r="F2162" s="2" t="s">
        <v>40</v>
      </c>
      <c r="G2162" s="2" t="s">
        <v>415</v>
      </c>
      <c r="H2162" s="2" t="s">
        <v>354</v>
      </c>
      <c r="S2162" s="2" t="s">
        <v>59</v>
      </c>
      <c r="U2162" s="2" t="s">
        <v>59</v>
      </c>
      <c r="W2162" s="2" t="s">
        <v>58</v>
      </c>
    </row>
    <row r="2163" spans="1:34" x14ac:dyDescent="0.25">
      <c r="A2163" s="2" t="s">
        <v>320</v>
      </c>
      <c r="B2163" s="2" t="s">
        <v>402</v>
      </c>
      <c r="C2163" s="2" t="s">
        <v>408</v>
      </c>
      <c r="D2163" s="2" t="s">
        <v>410</v>
      </c>
      <c r="E2163" s="2" t="s">
        <v>414</v>
      </c>
      <c r="F2163" s="2" t="s">
        <v>40</v>
      </c>
      <c r="G2163" s="2" t="s">
        <v>416</v>
      </c>
      <c r="H2163" s="2" t="s">
        <v>559</v>
      </c>
      <c r="S2163" s="2" t="s">
        <v>57</v>
      </c>
      <c r="U2163" s="2" t="s">
        <v>57</v>
      </c>
      <c r="W2163" s="2" t="s">
        <v>58</v>
      </c>
    </row>
    <row r="2164" spans="1:34" x14ac:dyDescent="0.25">
      <c r="A2164" s="2" t="s">
        <v>320</v>
      </c>
      <c r="B2164" s="2" t="s">
        <v>402</v>
      </c>
      <c r="C2164" s="2" t="s">
        <v>408</v>
      </c>
      <c r="D2164" s="2" t="s">
        <v>410</v>
      </c>
      <c r="E2164" s="2" t="s">
        <v>414</v>
      </c>
      <c r="F2164" s="2" t="s">
        <v>40</v>
      </c>
      <c r="G2164" s="2" t="s">
        <v>417</v>
      </c>
      <c r="H2164" s="2" t="s">
        <v>370</v>
      </c>
      <c r="S2164" s="2" t="s">
        <v>60</v>
      </c>
      <c r="U2164" s="2" t="s">
        <v>58</v>
      </c>
      <c r="W2164" s="2" t="s">
        <v>59</v>
      </c>
    </row>
    <row r="2165" spans="1:34" x14ac:dyDescent="0.25">
      <c r="A2165" s="2" t="s">
        <v>320</v>
      </c>
      <c r="B2165" s="2" t="s">
        <v>402</v>
      </c>
      <c r="C2165" s="2" t="s">
        <v>408</v>
      </c>
      <c r="D2165" s="2" t="s">
        <v>410</v>
      </c>
      <c r="E2165" s="2" t="s">
        <v>414</v>
      </c>
      <c r="F2165" s="2" t="s">
        <v>40</v>
      </c>
      <c r="G2165" s="2" t="s">
        <v>418</v>
      </c>
      <c r="H2165" s="2" t="s">
        <v>560</v>
      </c>
      <c r="S2165" s="2" t="s">
        <v>57</v>
      </c>
      <c r="U2165" s="2" t="s">
        <v>58</v>
      </c>
      <c r="W2165" s="2" t="s">
        <v>60</v>
      </c>
    </row>
    <row r="2166" spans="1:34" x14ac:dyDescent="0.25">
      <c r="A2166" s="2" t="s">
        <v>320</v>
      </c>
      <c r="B2166" s="2" t="s">
        <v>531</v>
      </c>
      <c r="C2166" s="2" t="s">
        <v>408</v>
      </c>
      <c r="D2166" s="2" t="s">
        <v>410</v>
      </c>
      <c r="E2166" s="2" t="s">
        <v>414</v>
      </c>
      <c r="F2166" s="2" t="s">
        <v>40</v>
      </c>
      <c r="J2166" s="2" t="s">
        <v>532</v>
      </c>
      <c r="K2166" s="2" t="s">
        <v>533</v>
      </c>
      <c r="L2166" s="2">
        <v>1</v>
      </c>
      <c r="M2166" s="2" t="s">
        <v>534</v>
      </c>
      <c r="O2166" s="2" t="s">
        <v>524</v>
      </c>
      <c r="Y2166" s="2" t="s">
        <v>657</v>
      </c>
    </row>
    <row r="2167" spans="1:34" x14ac:dyDescent="0.25">
      <c r="A2167" s="2" t="s">
        <v>320</v>
      </c>
      <c r="B2167" s="2" t="s">
        <v>531</v>
      </c>
      <c r="C2167" s="2" t="s">
        <v>408</v>
      </c>
      <c r="D2167" s="2" t="s">
        <v>410</v>
      </c>
      <c r="E2167" s="2" t="s">
        <v>414</v>
      </c>
      <c r="F2167" s="2" t="s">
        <v>40</v>
      </c>
      <c r="J2167" s="2" t="s">
        <v>532</v>
      </c>
      <c r="K2167" s="2" t="s">
        <v>533</v>
      </c>
      <c r="L2167" s="2">
        <v>2</v>
      </c>
      <c r="M2167" s="2" t="s">
        <v>536</v>
      </c>
      <c r="O2167" s="2" t="s">
        <v>524</v>
      </c>
      <c r="Y2167" s="2" t="s">
        <v>657</v>
      </c>
    </row>
    <row r="2168" spans="1:34" x14ac:dyDescent="0.25">
      <c r="A2168" s="2" t="s">
        <v>320</v>
      </c>
      <c r="B2168" s="2" t="s">
        <v>531</v>
      </c>
      <c r="C2168" s="2" t="s">
        <v>408</v>
      </c>
      <c r="D2168" s="2" t="s">
        <v>410</v>
      </c>
      <c r="E2168" s="2" t="s">
        <v>414</v>
      </c>
      <c r="F2168" s="2" t="s">
        <v>40</v>
      </c>
      <c r="J2168" s="2" t="s">
        <v>532</v>
      </c>
      <c r="K2168" s="2" t="s">
        <v>533</v>
      </c>
      <c r="L2168" s="2">
        <v>3</v>
      </c>
      <c r="M2168" s="2" t="s">
        <v>537</v>
      </c>
      <c r="O2168" s="2" t="s">
        <v>524</v>
      </c>
      <c r="Y2168" s="2" t="s">
        <v>657</v>
      </c>
    </row>
    <row r="2169" spans="1:34" x14ac:dyDescent="0.25">
      <c r="A2169" s="2" t="s">
        <v>320</v>
      </c>
      <c r="B2169" s="2" t="s">
        <v>531</v>
      </c>
      <c r="C2169" s="2" t="s">
        <v>408</v>
      </c>
      <c r="D2169" s="2" t="s">
        <v>410</v>
      </c>
      <c r="E2169" s="2" t="s">
        <v>414</v>
      </c>
      <c r="F2169" s="2" t="s">
        <v>40</v>
      </c>
      <c r="J2169" s="2" t="s">
        <v>532</v>
      </c>
      <c r="K2169" s="2" t="s">
        <v>533</v>
      </c>
      <c r="L2169" s="2">
        <v>4</v>
      </c>
      <c r="M2169" s="2" t="s">
        <v>538</v>
      </c>
      <c r="O2169" s="2" t="s">
        <v>524</v>
      </c>
      <c r="Y2169" s="2" t="s">
        <v>657</v>
      </c>
    </row>
    <row r="2170" spans="1:34" x14ac:dyDescent="0.25">
      <c r="A2170" s="2" t="s">
        <v>320</v>
      </c>
      <c r="B2170" s="2" t="s">
        <v>531</v>
      </c>
      <c r="C2170" s="2" t="s">
        <v>408</v>
      </c>
      <c r="D2170" s="2" t="s">
        <v>410</v>
      </c>
      <c r="E2170" s="2" t="s">
        <v>414</v>
      </c>
      <c r="F2170" s="2" t="s">
        <v>40</v>
      </c>
      <c r="J2170" s="2" t="s">
        <v>532</v>
      </c>
      <c r="K2170" s="2" t="s">
        <v>533</v>
      </c>
      <c r="L2170" s="2">
        <v>5</v>
      </c>
      <c r="M2170" s="2" t="s">
        <v>539</v>
      </c>
      <c r="O2170" s="2" t="s">
        <v>524</v>
      </c>
      <c r="Y2170" s="2" t="s">
        <v>657</v>
      </c>
    </row>
    <row r="2171" spans="1:34" x14ac:dyDescent="0.25">
      <c r="A2171" s="2" t="s">
        <v>320</v>
      </c>
      <c r="B2171" s="2" t="s">
        <v>540</v>
      </c>
      <c r="C2171" s="2" t="s">
        <v>408</v>
      </c>
      <c r="D2171" s="2" t="s">
        <v>410</v>
      </c>
      <c r="E2171" s="2" t="s">
        <v>414</v>
      </c>
      <c r="F2171" s="2" t="s">
        <v>40</v>
      </c>
      <c r="J2171" s="2" t="s">
        <v>541</v>
      </c>
      <c r="K2171" s="2" t="s">
        <v>542</v>
      </c>
      <c r="L2171" s="2">
        <v>1</v>
      </c>
      <c r="M2171" s="2" t="s">
        <v>543</v>
      </c>
      <c r="O2171" s="2" t="s">
        <v>524</v>
      </c>
      <c r="Y2171" s="2" t="s">
        <v>657</v>
      </c>
    </row>
    <row r="2172" spans="1:34" x14ac:dyDescent="0.25">
      <c r="A2172" s="2" t="s">
        <v>320</v>
      </c>
      <c r="B2172" s="2" t="s">
        <v>540</v>
      </c>
      <c r="C2172" s="2" t="s">
        <v>408</v>
      </c>
      <c r="D2172" s="2" t="s">
        <v>410</v>
      </c>
      <c r="E2172" s="2" t="s">
        <v>414</v>
      </c>
      <c r="F2172" s="2" t="s">
        <v>40</v>
      </c>
      <c r="J2172" s="2" t="s">
        <v>541</v>
      </c>
      <c r="K2172" s="2" t="s">
        <v>542</v>
      </c>
      <c r="L2172" s="2">
        <v>2</v>
      </c>
      <c r="M2172" s="2" t="s">
        <v>544</v>
      </c>
      <c r="O2172" s="2" t="s">
        <v>524</v>
      </c>
      <c r="Y2172" s="2" t="s">
        <v>657</v>
      </c>
    </row>
    <row r="2173" spans="1:34" x14ac:dyDescent="0.25">
      <c r="A2173" s="2" t="s">
        <v>320</v>
      </c>
      <c r="B2173" s="2" t="s">
        <v>540</v>
      </c>
      <c r="C2173" s="2" t="s">
        <v>408</v>
      </c>
      <c r="D2173" s="2" t="s">
        <v>410</v>
      </c>
      <c r="E2173" s="2" t="s">
        <v>414</v>
      </c>
      <c r="F2173" s="2" t="s">
        <v>40</v>
      </c>
      <c r="J2173" s="2" t="s">
        <v>541</v>
      </c>
      <c r="K2173" s="2" t="s">
        <v>542</v>
      </c>
      <c r="L2173" s="2">
        <v>3</v>
      </c>
      <c r="M2173" s="2" t="s">
        <v>545</v>
      </c>
      <c r="O2173" s="2" t="s">
        <v>524</v>
      </c>
      <c r="Y2173" s="2" t="s">
        <v>657</v>
      </c>
    </row>
    <row r="2174" spans="1:34" x14ac:dyDescent="0.25">
      <c r="A2174" s="2" t="s">
        <v>320</v>
      </c>
      <c r="B2174" s="2" t="s">
        <v>540</v>
      </c>
      <c r="C2174" s="2" t="s">
        <v>408</v>
      </c>
      <c r="D2174" s="2" t="s">
        <v>410</v>
      </c>
      <c r="E2174" s="2" t="s">
        <v>414</v>
      </c>
      <c r="F2174" s="2" t="s">
        <v>40</v>
      </c>
      <c r="J2174" s="2" t="s">
        <v>541</v>
      </c>
      <c r="K2174" s="2" t="s">
        <v>542</v>
      </c>
      <c r="L2174" s="2">
        <v>4</v>
      </c>
      <c r="M2174" s="2" t="s">
        <v>546</v>
      </c>
      <c r="O2174" s="2" t="s">
        <v>524</v>
      </c>
      <c r="Y2174" s="2" t="s">
        <v>657</v>
      </c>
    </row>
    <row r="2175" spans="1:34" x14ac:dyDescent="0.25">
      <c r="A2175" s="2" t="s">
        <v>320</v>
      </c>
      <c r="B2175" s="2" t="s">
        <v>540</v>
      </c>
      <c r="C2175" s="2" t="s">
        <v>408</v>
      </c>
      <c r="D2175" s="2" t="s">
        <v>410</v>
      </c>
      <c r="E2175" s="2" t="s">
        <v>414</v>
      </c>
      <c r="F2175" s="2" t="s">
        <v>40</v>
      </c>
      <c r="J2175" s="2" t="s">
        <v>541</v>
      </c>
      <c r="K2175" s="2" t="s">
        <v>542</v>
      </c>
      <c r="L2175" s="2">
        <v>5</v>
      </c>
      <c r="M2175" s="2" t="s">
        <v>547</v>
      </c>
      <c r="O2175" s="2" t="s">
        <v>524</v>
      </c>
      <c r="Y2175" s="2" t="s">
        <v>657</v>
      </c>
    </row>
    <row r="2176" spans="1:34" x14ac:dyDescent="0.25">
      <c r="A2176" s="2" t="s">
        <v>320</v>
      </c>
      <c r="B2176" s="2" t="s">
        <v>540</v>
      </c>
      <c r="C2176" s="2" t="s">
        <v>408</v>
      </c>
      <c r="D2176" s="2" t="s">
        <v>410</v>
      </c>
      <c r="E2176" s="2" t="s">
        <v>414</v>
      </c>
      <c r="F2176" s="2" t="s">
        <v>40</v>
      </c>
      <c r="J2176" s="2" t="s">
        <v>541</v>
      </c>
      <c r="K2176" s="2" t="s">
        <v>542</v>
      </c>
      <c r="L2176" s="2">
        <v>6</v>
      </c>
      <c r="M2176" s="2" t="s">
        <v>548</v>
      </c>
      <c r="O2176" s="2" t="s">
        <v>524</v>
      </c>
      <c r="Y2176" s="2" t="s">
        <v>657</v>
      </c>
    </row>
    <row r="2177" spans="1:34" x14ac:dyDescent="0.25">
      <c r="A2177" s="2" t="s">
        <v>320</v>
      </c>
      <c r="B2177" s="2" t="s">
        <v>540</v>
      </c>
      <c r="C2177" s="2" t="s">
        <v>408</v>
      </c>
      <c r="D2177" s="2" t="s">
        <v>410</v>
      </c>
      <c r="E2177" s="2" t="s">
        <v>414</v>
      </c>
      <c r="F2177" s="2" t="s">
        <v>40</v>
      </c>
      <c r="J2177" s="2" t="s">
        <v>541</v>
      </c>
      <c r="K2177" s="2" t="s">
        <v>542</v>
      </c>
      <c r="L2177" s="2">
        <v>7</v>
      </c>
      <c r="M2177" s="2" t="s">
        <v>549</v>
      </c>
      <c r="O2177" s="2" t="s">
        <v>524</v>
      </c>
      <c r="Y2177" s="2" t="s">
        <v>657</v>
      </c>
    </row>
    <row r="2178" spans="1:34" x14ac:dyDescent="0.25">
      <c r="A2178" s="2" t="s">
        <v>320</v>
      </c>
      <c r="B2178" s="2" t="s">
        <v>540</v>
      </c>
      <c r="C2178" s="2" t="s">
        <v>408</v>
      </c>
      <c r="D2178" s="2" t="s">
        <v>410</v>
      </c>
      <c r="E2178" s="2" t="s">
        <v>414</v>
      </c>
      <c r="F2178" s="2" t="s">
        <v>40</v>
      </c>
      <c r="J2178" s="2" t="s">
        <v>541</v>
      </c>
      <c r="K2178" s="2" t="s">
        <v>542</v>
      </c>
      <c r="L2178" s="2">
        <v>8</v>
      </c>
      <c r="M2178" s="2" t="s">
        <v>550</v>
      </c>
      <c r="O2178" s="2" t="s">
        <v>524</v>
      </c>
      <c r="Y2178" s="2" t="s">
        <v>657</v>
      </c>
    </row>
    <row r="2179" spans="1:34" x14ac:dyDescent="0.25">
      <c r="A2179" s="2" t="s">
        <v>320</v>
      </c>
      <c r="B2179" s="2" t="s">
        <v>540</v>
      </c>
      <c r="C2179" s="2" t="s">
        <v>408</v>
      </c>
      <c r="D2179" s="2" t="s">
        <v>410</v>
      </c>
      <c r="E2179" s="2" t="s">
        <v>414</v>
      </c>
      <c r="F2179" s="2" t="s">
        <v>40</v>
      </c>
      <c r="J2179" s="2" t="s">
        <v>541</v>
      </c>
      <c r="K2179" s="2" t="s">
        <v>542</v>
      </c>
      <c r="L2179" s="2">
        <v>9</v>
      </c>
      <c r="M2179" s="2" t="s">
        <v>551</v>
      </c>
      <c r="O2179" s="2" t="s">
        <v>524</v>
      </c>
      <c r="Y2179" s="2" t="s">
        <v>657</v>
      </c>
    </row>
    <row r="2180" spans="1:34" x14ac:dyDescent="0.25">
      <c r="A2180" s="2" t="s">
        <v>320</v>
      </c>
      <c r="B2180" s="2" t="s">
        <v>540</v>
      </c>
      <c r="C2180" s="2" t="s">
        <v>408</v>
      </c>
      <c r="D2180" s="2" t="s">
        <v>410</v>
      </c>
      <c r="E2180" s="2" t="s">
        <v>414</v>
      </c>
      <c r="F2180" s="2" t="s">
        <v>40</v>
      </c>
      <c r="J2180" s="2" t="s">
        <v>541</v>
      </c>
      <c r="K2180" s="2" t="s">
        <v>542</v>
      </c>
      <c r="L2180" s="2">
        <v>10</v>
      </c>
      <c r="M2180" s="2" t="s">
        <v>552</v>
      </c>
      <c r="O2180" s="2" t="s">
        <v>524</v>
      </c>
      <c r="Y2180" s="2" t="s">
        <v>657</v>
      </c>
    </row>
    <row r="2181" spans="1:34" x14ac:dyDescent="0.25">
      <c r="A2181" s="2" t="s">
        <v>320</v>
      </c>
      <c r="B2181" s="2" t="s">
        <v>540</v>
      </c>
      <c r="C2181" s="2" t="s">
        <v>408</v>
      </c>
      <c r="D2181" s="2" t="s">
        <v>410</v>
      </c>
      <c r="E2181" s="2" t="s">
        <v>414</v>
      </c>
      <c r="F2181" s="2" t="s">
        <v>40</v>
      </c>
      <c r="J2181" s="2" t="s">
        <v>541</v>
      </c>
      <c r="K2181" s="2" t="s">
        <v>542</v>
      </c>
      <c r="L2181" s="2">
        <v>11</v>
      </c>
      <c r="M2181" s="2" t="s">
        <v>553</v>
      </c>
      <c r="O2181" s="2" t="s">
        <v>524</v>
      </c>
      <c r="Y2181" s="2" t="s">
        <v>657</v>
      </c>
    </row>
    <row r="2182" spans="1:34" x14ac:dyDescent="0.25">
      <c r="A2182" s="2" t="s">
        <v>320</v>
      </c>
      <c r="B2182" s="2" t="s">
        <v>540</v>
      </c>
      <c r="C2182" s="2" t="s">
        <v>408</v>
      </c>
      <c r="D2182" s="2" t="s">
        <v>410</v>
      </c>
      <c r="E2182" s="2" t="s">
        <v>414</v>
      </c>
      <c r="F2182" s="2" t="s">
        <v>40</v>
      </c>
      <c r="J2182" s="2" t="s">
        <v>541</v>
      </c>
      <c r="K2182" s="2" t="s">
        <v>542</v>
      </c>
      <c r="L2182" s="2">
        <v>12</v>
      </c>
      <c r="M2182" s="2" t="s">
        <v>554</v>
      </c>
      <c r="O2182" s="2" t="s">
        <v>524</v>
      </c>
      <c r="Y2182" s="2" t="s">
        <v>657</v>
      </c>
    </row>
    <row r="2183" spans="1:34" x14ac:dyDescent="0.25">
      <c r="A2183" s="2" t="s">
        <v>320</v>
      </c>
      <c r="B2183" s="2" t="s">
        <v>555</v>
      </c>
      <c r="C2183" s="2" t="s">
        <v>408</v>
      </c>
      <c r="D2183" s="2" t="s">
        <v>410</v>
      </c>
      <c r="E2183" s="2" t="s">
        <v>414</v>
      </c>
      <c r="F2183" s="2" t="s">
        <v>40</v>
      </c>
      <c r="J2183" s="2" t="s">
        <v>556</v>
      </c>
      <c r="O2183" s="2" t="s">
        <v>524</v>
      </c>
      <c r="Y2183" s="2" t="s">
        <v>657</v>
      </c>
      <c r="AB2183" s="2">
        <v>2</v>
      </c>
    </row>
    <row r="2184" spans="1:34" x14ac:dyDescent="0.25">
      <c r="A2184" s="2" t="s">
        <v>320</v>
      </c>
      <c r="B2184" s="2" t="s">
        <v>557</v>
      </c>
      <c r="C2184" s="2" t="s">
        <v>408</v>
      </c>
      <c r="D2184" s="2" t="s">
        <v>410</v>
      </c>
      <c r="E2184" s="2" t="s">
        <v>414</v>
      </c>
      <c r="F2184" s="2" t="s">
        <v>40</v>
      </c>
      <c r="J2184" s="2" t="s">
        <v>558</v>
      </c>
      <c r="O2184" s="2" t="s">
        <v>524</v>
      </c>
      <c r="Y2184" s="2" t="s">
        <v>657</v>
      </c>
      <c r="AC2184" s="2">
        <f>COUNTIFS($B:$B,"BLOCK_LOAD_Q",$A:$A,$A2184,$C:$C,$C2184,$E:$E,$E2184,$F:$F,$F2184,$N:$N, "&lt;&gt;")</f>
        <v>0</v>
      </c>
      <c r="AD2184" s="2">
        <f>COUNTIFS($B:$B,"BLOCK_TRUST_Q",$A:$A,$A2184,$C:$C,$C2184,$E:$E,$E2184,$F:$F,$F2184,$N:$N, "&lt;&gt;")</f>
        <v>0</v>
      </c>
      <c r="AE2184" s="2" t="str">
        <f>IFERROR(AVERAGEIFS($P:$P,$B:$B,"BLOCK_LOAD_Q",$A:$A,$A2184,$C:$C,$C2184,$E:$E,$E2184,$F:$F,$F2184,$P:$P,"&gt;0"),"")</f>
        <v/>
      </c>
      <c r="AF2184" s="2" t="str">
        <f>IFERROR(AVERAGEIFS($P:$P,$B:$B,"BLOCK_TRUST_Q",$A:$A,$A2184,$C:$C,$C2184,$E:$E,$E2184,$F:$F,$F2184,$P:$P,"&gt;0"),"")</f>
        <v/>
      </c>
      <c r="AG2184" s="2">
        <f>5-AC2184</f>
        <v>5</v>
      </c>
      <c r="AH2184" s="2">
        <f>12-AD2184</f>
        <v>12</v>
      </c>
    </row>
    <row r="2185" spans="1:34" x14ac:dyDescent="0.25">
      <c r="A2185" s="2" t="s">
        <v>320</v>
      </c>
      <c r="B2185" s="2" t="s">
        <v>403</v>
      </c>
      <c r="C2185" s="2" t="s">
        <v>408</v>
      </c>
      <c r="D2185" s="2" t="s">
        <v>410</v>
      </c>
      <c r="Z2185" s="2" t="s">
        <v>463</v>
      </c>
    </row>
    <row r="2186" spans="1:34" x14ac:dyDescent="0.25">
      <c r="A2186" s="2" t="s">
        <v>320</v>
      </c>
      <c r="B2186" s="2" t="s">
        <v>402</v>
      </c>
      <c r="C2186" s="2" t="s">
        <v>409</v>
      </c>
      <c r="D2186" s="2" t="s">
        <v>411</v>
      </c>
      <c r="E2186" s="2" t="s">
        <v>413</v>
      </c>
      <c r="F2186" s="2" t="s">
        <v>40</v>
      </c>
      <c r="G2186" s="2" t="s">
        <v>415</v>
      </c>
      <c r="H2186" s="2" t="s">
        <v>357</v>
      </c>
      <c r="S2186" s="2" t="s">
        <v>59</v>
      </c>
      <c r="U2186" s="2" t="s">
        <v>60</v>
      </c>
      <c r="W2186" s="2" t="s">
        <v>57</v>
      </c>
    </row>
    <row r="2187" spans="1:34" x14ac:dyDescent="0.25">
      <c r="A2187" s="2" t="s">
        <v>320</v>
      </c>
      <c r="B2187" s="2" t="s">
        <v>402</v>
      </c>
      <c r="C2187" s="2" t="s">
        <v>409</v>
      </c>
      <c r="D2187" s="2" t="s">
        <v>411</v>
      </c>
      <c r="E2187" s="2" t="s">
        <v>413</v>
      </c>
      <c r="F2187" s="2" t="s">
        <v>40</v>
      </c>
      <c r="G2187" s="2" t="s">
        <v>416</v>
      </c>
      <c r="H2187" s="2" t="s">
        <v>348</v>
      </c>
      <c r="S2187" s="2" t="s">
        <v>58</v>
      </c>
      <c r="U2187" s="2" t="s">
        <v>59</v>
      </c>
      <c r="W2187" s="2" t="s">
        <v>59</v>
      </c>
    </row>
    <row r="2188" spans="1:34" x14ac:dyDescent="0.25">
      <c r="A2188" s="2" t="s">
        <v>320</v>
      </c>
      <c r="B2188" s="2" t="s">
        <v>402</v>
      </c>
      <c r="C2188" s="2" t="s">
        <v>409</v>
      </c>
      <c r="D2188" s="2" t="s">
        <v>411</v>
      </c>
      <c r="E2188" s="2" t="s">
        <v>413</v>
      </c>
      <c r="F2188" s="2" t="s">
        <v>40</v>
      </c>
      <c r="G2188" s="2" t="s">
        <v>417</v>
      </c>
      <c r="H2188" s="2" t="s">
        <v>562</v>
      </c>
      <c r="S2188" s="2" t="s">
        <v>59</v>
      </c>
      <c r="U2188" s="2" t="s">
        <v>57</v>
      </c>
      <c r="W2188" s="2" t="s">
        <v>57</v>
      </c>
    </row>
    <row r="2189" spans="1:34" x14ac:dyDescent="0.25">
      <c r="A2189" s="2" t="s">
        <v>320</v>
      </c>
      <c r="B2189" s="2" t="s">
        <v>402</v>
      </c>
      <c r="C2189" s="2" t="s">
        <v>409</v>
      </c>
      <c r="D2189" s="2" t="s">
        <v>411</v>
      </c>
      <c r="E2189" s="2" t="s">
        <v>413</v>
      </c>
      <c r="F2189" s="2" t="s">
        <v>40</v>
      </c>
      <c r="G2189" s="2" t="s">
        <v>418</v>
      </c>
      <c r="H2189" s="2" t="s">
        <v>563</v>
      </c>
      <c r="S2189" s="2" t="s">
        <v>57</v>
      </c>
      <c r="U2189" s="2" t="s">
        <v>60</v>
      </c>
      <c r="W2189" s="2" t="s">
        <v>60</v>
      </c>
    </row>
    <row r="2190" spans="1:34" x14ac:dyDescent="0.25">
      <c r="A2190" s="2" t="s">
        <v>320</v>
      </c>
      <c r="B2190" s="2" t="s">
        <v>531</v>
      </c>
      <c r="C2190" s="2" t="s">
        <v>409</v>
      </c>
      <c r="D2190" s="2" t="s">
        <v>411</v>
      </c>
      <c r="E2190" s="2" t="s">
        <v>413</v>
      </c>
      <c r="F2190" s="2" t="s">
        <v>40</v>
      </c>
      <c r="J2190" s="2" t="s">
        <v>532</v>
      </c>
      <c r="K2190" s="2" t="s">
        <v>533</v>
      </c>
      <c r="L2190" s="2">
        <v>1</v>
      </c>
      <c r="M2190" s="2" t="s">
        <v>534</v>
      </c>
      <c r="O2190" s="2" t="s">
        <v>524</v>
      </c>
      <c r="Y2190" s="2" t="s">
        <v>658</v>
      </c>
    </row>
    <row r="2191" spans="1:34" x14ac:dyDescent="0.25">
      <c r="A2191" s="2" t="s">
        <v>320</v>
      </c>
      <c r="B2191" s="2" t="s">
        <v>531</v>
      </c>
      <c r="C2191" s="2" t="s">
        <v>409</v>
      </c>
      <c r="D2191" s="2" t="s">
        <v>411</v>
      </c>
      <c r="E2191" s="2" t="s">
        <v>413</v>
      </c>
      <c r="F2191" s="2" t="s">
        <v>40</v>
      </c>
      <c r="J2191" s="2" t="s">
        <v>532</v>
      </c>
      <c r="K2191" s="2" t="s">
        <v>533</v>
      </c>
      <c r="L2191" s="2">
        <v>2</v>
      </c>
      <c r="M2191" s="2" t="s">
        <v>536</v>
      </c>
      <c r="O2191" s="2" t="s">
        <v>524</v>
      </c>
      <c r="Y2191" s="2" t="s">
        <v>658</v>
      </c>
    </row>
    <row r="2192" spans="1:34" x14ac:dyDescent="0.25">
      <c r="A2192" s="2" t="s">
        <v>320</v>
      </c>
      <c r="B2192" s="2" t="s">
        <v>531</v>
      </c>
      <c r="C2192" s="2" t="s">
        <v>409</v>
      </c>
      <c r="D2192" s="2" t="s">
        <v>411</v>
      </c>
      <c r="E2192" s="2" t="s">
        <v>413</v>
      </c>
      <c r="F2192" s="2" t="s">
        <v>40</v>
      </c>
      <c r="J2192" s="2" t="s">
        <v>532</v>
      </c>
      <c r="K2192" s="2" t="s">
        <v>533</v>
      </c>
      <c r="L2192" s="2">
        <v>3</v>
      </c>
      <c r="M2192" s="2" t="s">
        <v>537</v>
      </c>
      <c r="O2192" s="2" t="s">
        <v>524</v>
      </c>
      <c r="Y2192" s="2" t="s">
        <v>658</v>
      </c>
    </row>
    <row r="2193" spans="1:34" x14ac:dyDescent="0.25">
      <c r="A2193" s="2" t="s">
        <v>320</v>
      </c>
      <c r="B2193" s="2" t="s">
        <v>531</v>
      </c>
      <c r="C2193" s="2" t="s">
        <v>409</v>
      </c>
      <c r="D2193" s="2" t="s">
        <v>411</v>
      </c>
      <c r="E2193" s="2" t="s">
        <v>413</v>
      </c>
      <c r="F2193" s="2" t="s">
        <v>40</v>
      </c>
      <c r="J2193" s="2" t="s">
        <v>532</v>
      </c>
      <c r="K2193" s="2" t="s">
        <v>533</v>
      </c>
      <c r="L2193" s="2">
        <v>4</v>
      </c>
      <c r="M2193" s="2" t="s">
        <v>538</v>
      </c>
      <c r="O2193" s="2" t="s">
        <v>524</v>
      </c>
      <c r="Y2193" s="2" t="s">
        <v>658</v>
      </c>
    </row>
    <row r="2194" spans="1:34" x14ac:dyDescent="0.25">
      <c r="A2194" s="2" t="s">
        <v>320</v>
      </c>
      <c r="B2194" s="2" t="s">
        <v>531</v>
      </c>
      <c r="C2194" s="2" t="s">
        <v>409</v>
      </c>
      <c r="D2194" s="2" t="s">
        <v>411</v>
      </c>
      <c r="E2194" s="2" t="s">
        <v>413</v>
      </c>
      <c r="F2194" s="2" t="s">
        <v>40</v>
      </c>
      <c r="J2194" s="2" t="s">
        <v>532</v>
      </c>
      <c r="K2194" s="2" t="s">
        <v>533</v>
      </c>
      <c r="L2194" s="2">
        <v>5</v>
      </c>
      <c r="M2194" s="2" t="s">
        <v>539</v>
      </c>
      <c r="O2194" s="2" t="s">
        <v>524</v>
      </c>
      <c r="Y2194" s="2" t="s">
        <v>658</v>
      </c>
    </row>
    <row r="2195" spans="1:34" x14ac:dyDescent="0.25">
      <c r="A2195" s="2" t="s">
        <v>320</v>
      </c>
      <c r="B2195" s="2" t="s">
        <v>540</v>
      </c>
      <c r="C2195" s="2" t="s">
        <v>409</v>
      </c>
      <c r="D2195" s="2" t="s">
        <v>411</v>
      </c>
      <c r="E2195" s="2" t="s">
        <v>413</v>
      </c>
      <c r="F2195" s="2" t="s">
        <v>40</v>
      </c>
      <c r="J2195" s="2" t="s">
        <v>541</v>
      </c>
      <c r="K2195" s="2" t="s">
        <v>542</v>
      </c>
      <c r="L2195" s="2">
        <v>1</v>
      </c>
      <c r="M2195" s="2" t="s">
        <v>543</v>
      </c>
      <c r="O2195" s="2" t="s">
        <v>524</v>
      </c>
      <c r="Y2195" s="2" t="s">
        <v>658</v>
      </c>
    </row>
    <row r="2196" spans="1:34" x14ac:dyDescent="0.25">
      <c r="A2196" s="2" t="s">
        <v>320</v>
      </c>
      <c r="B2196" s="2" t="s">
        <v>540</v>
      </c>
      <c r="C2196" s="2" t="s">
        <v>409</v>
      </c>
      <c r="D2196" s="2" t="s">
        <v>411</v>
      </c>
      <c r="E2196" s="2" t="s">
        <v>413</v>
      </c>
      <c r="F2196" s="2" t="s">
        <v>40</v>
      </c>
      <c r="J2196" s="2" t="s">
        <v>541</v>
      </c>
      <c r="K2196" s="2" t="s">
        <v>542</v>
      </c>
      <c r="L2196" s="2">
        <v>2</v>
      </c>
      <c r="M2196" s="2" t="s">
        <v>544</v>
      </c>
      <c r="O2196" s="2" t="s">
        <v>524</v>
      </c>
      <c r="Y2196" s="2" t="s">
        <v>658</v>
      </c>
    </row>
    <row r="2197" spans="1:34" x14ac:dyDescent="0.25">
      <c r="A2197" s="2" t="s">
        <v>320</v>
      </c>
      <c r="B2197" s="2" t="s">
        <v>540</v>
      </c>
      <c r="C2197" s="2" t="s">
        <v>409</v>
      </c>
      <c r="D2197" s="2" t="s">
        <v>411</v>
      </c>
      <c r="E2197" s="2" t="s">
        <v>413</v>
      </c>
      <c r="F2197" s="2" t="s">
        <v>40</v>
      </c>
      <c r="J2197" s="2" t="s">
        <v>541</v>
      </c>
      <c r="K2197" s="2" t="s">
        <v>542</v>
      </c>
      <c r="L2197" s="2">
        <v>3</v>
      </c>
      <c r="M2197" s="2" t="s">
        <v>545</v>
      </c>
      <c r="O2197" s="2" t="s">
        <v>524</v>
      </c>
      <c r="Y2197" s="2" t="s">
        <v>658</v>
      </c>
    </row>
    <row r="2198" spans="1:34" x14ac:dyDescent="0.25">
      <c r="A2198" s="2" t="s">
        <v>320</v>
      </c>
      <c r="B2198" s="2" t="s">
        <v>540</v>
      </c>
      <c r="C2198" s="2" t="s">
        <v>409</v>
      </c>
      <c r="D2198" s="2" t="s">
        <v>411</v>
      </c>
      <c r="E2198" s="2" t="s">
        <v>413</v>
      </c>
      <c r="F2198" s="2" t="s">
        <v>40</v>
      </c>
      <c r="J2198" s="2" t="s">
        <v>541</v>
      </c>
      <c r="K2198" s="2" t="s">
        <v>542</v>
      </c>
      <c r="L2198" s="2">
        <v>4</v>
      </c>
      <c r="M2198" s="2" t="s">
        <v>546</v>
      </c>
      <c r="O2198" s="2" t="s">
        <v>524</v>
      </c>
      <c r="Y2198" s="2" t="s">
        <v>658</v>
      </c>
    </row>
    <row r="2199" spans="1:34" x14ac:dyDescent="0.25">
      <c r="A2199" s="2" t="s">
        <v>320</v>
      </c>
      <c r="B2199" s="2" t="s">
        <v>540</v>
      </c>
      <c r="C2199" s="2" t="s">
        <v>409</v>
      </c>
      <c r="D2199" s="2" t="s">
        <v>411</v>
      </c>
      <c r="E2199" s="2" t="s">
        <v>413</v>
      </c>
      <c r="F2199" s="2" t="s">
        <v>40</v>
      </c>
      <c r="J2199" s="2" t="s">
        <v>541</v>
      </c>
      <c r="K2199" s="2" t="s">
        <v>542</v>
      </c>
      <c r="L2199" s="2">
        <v>5</v>
      </c>
      <c r="M2199" s="2" t="s">
        <v>547</v>
      </c>
      <c r="O2199" s="2" t="s">
        <v>524</v>
      </c>
      <c r="Y2199" s="2" t="s">
        <v>658</v>
      </c>
    </row>
    <row r="2200" spans="1:34" x14ac:dyDescent="0.25">
      <c r="A2200" s="2" t="s">
        <v>320</v>
      </c>
      <c r="B2200" s="2" t="s">
        <v>540</v>
      </c>
      <c r="C2200" s="2" t="s">
        <v>409</v>
      </c>
      <c r="D2200" s="2" t="s">
        <v>411</v>
      </c>
      <c r="E2200" s="2" t="s">
        <v>413</v>
      </c>
      <c r="F2200" s="2" t="s">
        <v>40</v>
      </c>
      <c r="J2200" s="2" t="s">
        <v>541</v>
      </c>
      <c r="K2200" s="2" t="s">
        <v>542</v>
      </c>
      <c r="L2200" s="2">
        <v>6</v>
      </c>
      <c r="M2200" s="2" t="s">
        <v>548</v>
      </c>
      <c r="O2200" s="2" t="s">
        <v>524</v>
      </c>
      <c r="Y2200" s="2" t="s">
        <v>658</v>
      </c>
    </row>
    <row r="2201" spans="1:34" x14ac:dyDescent="0.25">
      <c r="A2201" s="2" t="s">
        <v>320</v>
      </c>
      <c r="B2201" s="2" t="s">
        <v>540</v>
      </c>
      <c r="C2201" s="2" t="s">
        <v>409</v>
      </c>
      <c r="D2201" s="2" t="s">
        <v>411</v>
      </c>
      <c r="E2201" s="2" t="s">
        <v>413</v>
      </c>
      <c r="F2201" s="2" t="s">
        <v>40</v>
      </c>
      <c r="J2201" s="2" t="s">
        <v>541</v>
      </c>
      <c r="K2201" s="2" t="s">
        <v>542</v>
      </c>
      <c r="L2201" s="2">
        <v>7</v>
      </c>
      <c r="M2201" s="2" t="s">
        <v>549</v>
      </c>
      <c r="O2201" s="2" t="s">
        <v>524</v>
      </c>
      <c r="Y2201" s="2" t="s">
        <v>658</v>
      </c>
    </row>
    <row r="2202" spans="1:34" x14ac:dyDescent="0.25">
      <c r="A2202" s="2" t="s">
        <v>320</v>
      </c>
      <c r="B2202" s="2" t="s">
        <v>540</v>
      </c>
      <c r="C2202" s="2" t="s">
        <v>409</v>
      </c>
      <c r="D2202" s="2" t="s">
        <v>411</v>
      </c>
      <c r="E2202" s="2" t="s">
        <v>413</v>
      </c>
      <c r="F2202" s="2" t="s">
        <v>40</v>
      </c>
      <c r="J2202" s="2" t="s">
        <v>541</v>
      </c>
      <c r="K2202" s="2" t="s">
        <v>542</v>
      </c>
      <c r="L2202" s="2">
        <v>8</v>
      </c>
      <c r="M2202" s="2" t="s">
        <v>550</v>
      </c>
      <c r="O2202" s="2" t="s">
        <v>524</v>
      </c>
      <c r="Y2202" s="2" t="s">
        <v>658</v>
      </c>
    </row>
    <row r="2203" spans="1:34" x14ac:dyDescent="0.25">
      <c r="A2203" s="2" t="s">
        <v>320</v>
      </c>
      <c r="B2203" s="2" t="s">
        <v>540</v>
      </c>
      <c r="C2203" s="2" t="s">
        <v>409</v>
      </c>
      <c r="D2203" s="2" t="s">
        <v>411</v>
      </c>
      <c r="E2203" s="2" t="s">
        <v>413</v>
      </c>
      <c r="F2203" s="2" t="s">
        <v>40</v>
      </c>
      <c r="J2203" s="2" t="s">
        <v>541</v>
      </c>
      <c r="K2203" s="2" t="s">
        <v>542</v>
      </c>
      <c r="L2203" s="2">
        <v>9</v>
      </c>
      <c r="M2203" s="2" t="s">
        <v>551</v>
      </c>
      <c r="O2203" s="2" t="s">
        <v>524</v>
      </c>
      <c r="Y2203" s="2" t="s">
        <v>658</v>
      </c>
    </row>
    <row r="2204" spans="1:34" x14ac:dyDescent="0.25">
      <c r="A2204" s="2" t="s">
        <v>320</v>
      </c>
      <c r="B2204" s="2" t="s">
        <v>540</v>
      </c>
      <c r="C2204" s="2" t="s">
        <v>409</v>
      </c>
      <c r="D2204" s="2" t="s">
        <v>411</v>
      </c>
      <c r="E2204" s="2" t="s">
        <v>413</v>
      </c>
      <c r="F2204" s="2" t="s">
        <v>40</v>
      </c>
      <c r="J2204" s="2" t="s">
        <v>541</v>
      </c>
      <c r="K2204" s="2" t="s">
        <v>542</v>
      </c>
      <c r="L2204" s="2">
        <v>10</v>
      </c>
      <c r="M2204" s="2" t="s">
        <v>552</v>
      </c>
      <c r="O2204" s="2" t="s">
        <v>524</v>
      </c>
      <c r="Y2204" s="2" t="s">
        <v>658</v>
      </c>
    </row>
    <row r="2205" spans="1:34" x14ac:dyDescent="0.25">
      <c r="A2205" s="2" t="s">
        <v>320</v>
      </c>
      <c r="B2205" s="2" t="s">
        <v>540</v>
      </c>
      <c r="C2205" s="2" t="s">
        <v>409</v>
      </c>
      <c r="D2205" s="2" t="s">
        <v>411</v>
      </c>
      <c r="E2205" s="2" t="s">
        <v>413</v>
      </c>
      <c r="F2205" s="2" t="s">
        <v>40</v>
      </c>
      <c r="J2205" s="2" t="s">
        <v>541</v>
      </c>
      <c r="K2205" s="2" t="s">
        <v>542</v>
      </c>
      <c r="L2205" s="2">
        <v>11</v>
      </c>
      <c r="M2205" s="2" t="s">
        <v>553</v>
      </c>
      <c r="O2205" s="2" t="s">
        <v>524</v>
      </c>
      <c r="Y2205" s="2" t="s">
        <v>658</v>
      </c>
    </row>
    <row r="2206" spans="1:34" x14ac:dyDescent="0.25">
      <c r="A2206" s="2" t="s">
        <v>320</v>
      </c>
      <c r="B2206" s="2" t="s">
        <v>540</v>
      </c>
      <c r="C2206" s="2" t="s">
        <v>409</v>
      </c>
      <c r="D2206" s="2" t="s">
        <v>411</v>
      </c>
      <c r="E2206" s="2" t="s">
        <v>413</v>
      </c>
      <c r="F2206" s="2" t="s">
        <v>40</v>
      </c>
      <c r="J2206" s="2" t="s">
        <v>541</v>
      </c>
      <c r="K2206" s="2" t="s">
        <v>542</v>
      </c>
      <c r="L2206" s="2">
        <v>12</v>
      </c>
      <c r="M2206" s="2" t="s">
        <v>554</v>
      </c>
      <c r="O2206" s="2" t="s">
        <v>524</v>
      </c>
      <c r="Y2206" s="2" t="s">
        <v>658</v>
      </c>
    </row>
    <row r="2207" spans="1:34" x14ac:dyDescent="0.25">
      <c r="A2207" s="2" t="s">
        <v>320</v>
      </c>
      <c r="B2207" s="2" t="s">
        <v>555</v>
      </c>
      <c r="C2207" s="2" t="s">
        <v>409</v>
      </c>
      <c r="D2207" s="2" t="s">
        <v>411</v>
      </c>
      <c r="E2207" s="2" t="s">
        <v>413</v>
      </c>
      <c r="F2207" s="2" t="s">
        <v>40</v>
      </c>
      <c r="J2207" s="2" t="s">
        <v>556</v>
      </c>
      <c r="O2207" s="2" t="s">
        <v>524</v>
      </c>
      <c r="Y2207" s="2" t="s">
        <v>658</v>
      </c>
      <c r="AB2207" s="2">
        <v>2</v>
      </c>
    </row>
    <row r="2208" spans="1:34" x14ac:dyDescent="0.25">
      <c r="A2208" s="2" t="s">
        <v>320</v>
      </c>
      <c r="B2208" s="2" t="s">
        <v>557</v>
      </c>
      <c r="C2208" s="2" t="s">
        <v>409</v>
      </c>
      <c r="D2208" s="2" t="s">
        <v>411</v>
      </c>
      <c r="E2208" s="2" t="s">
        <v>413</v>
      </c>
      <c r="F2208" s="2" t="s">
        <v>40</v>
      </c>
      <c r="J2208" s="2" t="s">
        <v>558</v>
      </c>
      <c r="O2208" s="2" t="s">
        <v>524</v>
      </c>
      <c r="Y2208" s="2" t="s">
        <v>658</v>
      </c>
      <c r="AC2208" s="2">
        <f>COUNTIFS($B:$B,"BLOCK_LOAD_Q",$A:$A,$A2208,$C:$C,$C2208,$E:$E,$E2208,$F:$F,$F2208,$N:$N, "&lt;&gt;")</f>
        <v>0</v>
      </c>
      <c r="AD2208" s="2">
        <f>COUNTIFS($B:$B,"BLOCK_TRUST_Q",$A:$A,$A2208,$C:$C,$C2208,$E:$E,$E2208,$F:$F,$F2208,$N:$N, "&lt;&gt;")</f>
        <v>0</v>
      </c>
      <c r="AE2208" s="2" t="str">
        <f>IFERROR(AVERAGEIFS($P:$P,$B:$B,"BLOCK_LOAD_Q",$A:$A,$A2208,$C:$C,$C2208,$E:$E,$E2208,$F:$F,$F2208,$P:$P,"&gt;0"),"")</f>
        <v/>
      </c>
      <c r="AF2208" s="2" t="str">
        <f>IFERROR(AVERAGEIFS($P:$P,$B:$B,"BLOCK_TRUST_Q",$A:$A,$A2208,$C:$C,$C2208,$E:$E,$E2208,$F:$F,$F2208,$P:$P,"&gt;0"),"")</f>
        <v/>
      </c>
      <c r="AG2208" s="2">
        <f>5-AC2208</f>
        <v>5</v>
      </c>
      <c r="AH2208" s="2">
        <f>12-AD2208</f>
        <v>12</v>
      </c>
    </row>
    <row r="2209" spans="1:25" x14ac:dyDescent="0.25">
      <c r="A2209" s="2" t="s">
        <v>320</v>
      </c>
      <c r="B2209" s="2" t="s">
        <v>402</v>
      </c>
      <c r="C2209" s="2" t="s">
        <v>409</v>
      </c>
      <c r="D2209" s="2" t="s">
        <v>411</v>
      </c>
      <c r="E2209" s="2" t="s">
        <v>414</v>
      </c>
      <c r="F2209" s="2" t="s">
        <v>39</v>
      </c>
      <c r="G2209" s="2" t="s">
        <v>415</v>
      </c>
      <c r="H2209" s="2" t="s">
        <v>349</v>
      </c>
      <c r="S2209" s="2" t="s">
        <v>58</v>
      </c>
      <c r="U2209" s="2" t="s">
        <v>60</v>
      </c>
      <c r="W2209" s="2" t="s">
        <v>58</v>
      </c>
    </row>
    <row r="2210" spans="1:25" x14ac:dyDescent="0.25">
      <c r="A2210" s="2" t="s">
        <v>320</v>
      </c>
      <c r="B2210" s="2" t="s">
        <v>402</v>
      </c>
      <c r="C2210" s="2" t="s">
        <v>409</v>
      </c>
      <c r="D2210" s="2" t="s">
        <v>411</v>
      </c>
      <c r="E2210" s="2" t="s">
        <v>414</v>
      </c>
      <c r="F2210" s="2" t="s">
        <v>39</v>
      </c>
      <c r="G2210" s="2" t="s">
        <v>416</v>
      </c>
      <c r="H2210" s="2" t="s">
        <v>565</v>
      </c>
      <c r="S2210" s="2" t="s">
        <v>59</v>
      </c>
      <c r="U2210" s="2" t="s">
        <v>60</v>
      </c>
      <c r="W2210" s="2" t="s">
        <v>60</v>
      </c>
    </row>
    <row r="2211" spans="1:25" x14ac:dyDescent="0.25">
      <c r="A2211" s="2" t="s">
        <v>320</v>
      </c>
      <c r="B2211" s="2" t="s">
        <v>402</v>
      </c>
      <c r="C2211" s="2" t="s">
        <v>409</v>
      </c>
      <c r="D2211" s="2" t="s">
        <v>411</v>
      </c>
      <c r="E2211" s="2" t="s">
        <v>414</v>
      </c>
      <c r="F2211" s="2" t="s">
        <v>39</v>
      </c>
      <c r="G2211" s="2" t="s">
        <v>417</v>
      </c>
      <c r="H2211" s="2" t="s">
        <v>361</v>
      </c>
      <c r="S2211" s="2" t="s">
        <v>60</v>
      </c>
      <c r="U2211" s="2" t="s">
        <v>60</v>
      </c>
      <c r="W2211" s="2" t="s">
        <v>60</v>
      </c>
    </row>
    <row r="2212" spans="1:25" x14ac:dyDescent="0.25">
      <c r="A2212" s="2" t="s">
        <v>320</v>
      </c>
      <c r="B2212" s="2" t="s">
        <v>402</v>
      </c>
      <c r="C2212" s="2" t="s">
        <v>409</v>
      </c>
      <c r="D2212" s="2" t="s">
        <v>411</v>
      </c>
      <c r="E2212" s="2" t="s">
        <v>414</v>
      </c>
      <c r="F2212" s="2" t="s">
        <v>39</v>
      </c>
      <c r="G2212" s="2" t="s">
        <v>418</v>
      </c>
      <c r="H2212" s="2" t="s">
        <v>353</v>
      </c>
      <c r="S2212" s="2" t="s">
        <v>58</v>
      </c>
      <c r="U2212" s="2" t="s">
        <v>59</v>
      </c>
      <c r="W2212" s="2" t="s">
        <v>58</v>
      </c>
    </row>
    <row r="2213" spans="1:25" x14ac:dyDescent="0.25">
      <c r="A2213" s="2" t="s">
        <v>320</v>
      </c>
      <c r="B2213" s="2" t="s">
        <v>402</v>
      </c>
      <c r="C2213" s="2" t="s">
        <v>409</v>
      </c>
      <c r="D2213" s="2" t="s">
        <v>411</v>
      </c>
      <c r="E2213" s="2" t="s">
        <v>414</v>
      </c>
      <c r="F2213" s="2" t="s">
        <v>39</v>
      </c>
      <c r="G2213" s="2" t="s">
        <v>419</v>
      </c>
      <c r="H2213" s="2" t="s">
        <v>371</v>
      </c>
      <c r="S2213" s="2" t="s">
        <v>60</v>
      </c>
      <c r="U2213" s="2" t="s">
        <v>59</v>
      </c>
      <c r="W2213" s="2" t="s">
        <v>57</v>
      </c>
    </row>
    <row r="2214" spans="1:25" x14ac:dyDescent="0.25">
      <c r="A2214" s="2" t="s">
        <v>320</v>
      </c>
      <c r="B2214" s="2" t="s">
        <v>531</v>
      </c>
      <c r="C2214" s="2" t="s">
        <v>409</v>
      </c>
      <c r="D2214" s="2" t="s">
        <v>411</v>
      </c>
      <c r="E2214" s="2" t="s">
        <v>414</v>
      </c>
      <c r="F2214" s="2" t="s">
        <v>39</v>
      </c>
      <c r="J2214" s="2" t="s">
        <v>532</v>
      </c>
      <c r="K2214" s="2" t="s">
        <v>533</v>
      </c>
      <c r="L2214" s="2">
        <v>1</v>
      </c>
      <c r="M2214" s="2" t="s">
        <v>534</v>
      </c>
      <c r="O2214" s="2" t="s">
        <v>524</v>
      </c>
      <c r="Y2214" s="2" t="s">
        <v>659</v>
      </c>
    </row>
    <row r="2215" spans="1:25" x14ac:dyDescent="0.25">
      <c r="A2215" s="2" t="s">
        <v>320</v>
      </c>
      <c r="B2215" s="2" t="s">
        <v>531</v>
      </c>
      <c r="C2215" s="2" t="s">
        <v>409</v>
      </c>
      <c r="D2215" s="2" t="s">
        <v>411</v>
      </c>
      <c r="E2215" s="2" t="s">
        <v>414</v>
      </c>
      <c r="F2215" s="2" t="s">
        <v>39</v>
      </c>
      <c r="J2215" s="2" t="s">
        <v>532</v>
      </c>
      <c r="K2215" s="2" t="s">
        <v>533</v>
      </c>
      <c r="L2215" s="2">
        <v>2</v>
      </c>
      <c r="M2215" s="2" t="s">
        <v>536</v>
      </c>
      <c r="O2215" s="2" t="s">
        <v>524</v>
      </c>
      <c r="Y2215" s="2" t="s">
        <v>659</v>
      </c>
    </row>
    <row r="2216" spans="1:25" x14ac:dyDescent="0.25">
      <c r="A2216" s="2" t="s">
        <v>320</v>
      </c>
      <c r="B2216" s="2" t="s">
        <v>531</v>
      </c>
      <c r="C2216" s="2" t="s">
        <v>409</v>
      </c>
      <c r="D2216" s="2" t="s">
        <v>411</v>
      </c>
      <c r="E2216" s="2" t="s">
        <v>414</v>
      </c>
      <c r="F2216" s="2" t="s">
        <v>39</v>
      </c>
      <c r="J2216" s="2" t="s">
        <v>532</v>
      </c>
      <c r="K2216" s="2" t="s">
        <v>533</v>
      </c>
      <c r="L2216" s="2">
        <v>3</v>
      </c>
      <c r="M2216" s="2" t="s">
        <v>537</v>
      </c>
      <c r="O2216" s="2" t="s">
        <v>524</v>
      </c>
      <c r="Y2216" s="2" t="s">
        <v>659</v>
      </c>
    </row>
    <row r="2217" spans="1:25" x14ac:dyDescent="0.25">
      <c r="A2217" s="2" t="s">
        <v>320</v>
      </c>
      <c r="B2217" s="2" t="s">
        <v>531</v>
      </c>
      <c r="C2217" s="2" t="s">
        <v>409</v>
      </c>
      <c r="D2217" s="2" t="s">
        <v>411</v>
      </c>
      <c r="E2217" s="2" t="s">
        <v>414</v>
      </c>
      <c r="F2217" s="2" t="s">
        <v>39</v>
      </c>
      <c r="J2217" s="2" t="s">
        <v>532</v>
      </c>
      <c r="K2217" s="2" t="s">
        <v>533</v>
      </c>
      <c r="L2217" s="2">
        <v>4</v>
      </c>
      <c r="M2217" s="2" t="s">
        <v>538</v>
      </c>
      <c r="O2217" s="2" t="s">
        <v>524</v>
      </c>
      <c r="Y2217" s="2" t="s">
        <v>659</v>
      </c>
    </row>
    <row r="2218" spans="1:25" x14ac:dyDescent="0.25">
      <c r="A2218" s="2" t="s">
        <v>320</v>
      </c>
      <c r="B2218" s="2" t="s">
        <v>531</v>
      </c>
      <c r="C2218" s="2" t="s">
        <v>409</v>
      </c>
      <c r="D2218" s="2" t="s">
        <v>411</v>
      </c>
      <c r="E2218" s="2" t="s">
        <v>414</v>
      </c>
      <c r="F2218" s="2" t="s">
        <v>39</v>
      </c>
      <c r="J2218" s="2" t="s">
        <v>532</v>
      </c>
      <c r="K2218" s="2" t="s">
        <v>533</v>
      </c>
      <c r="L2218" s="2">
        <v>5</v>
      </c>
      <c r="M2218" s="2" t="s">
        <v>539</v>
      </c>
      <c r="O2218" s="2" t="s">
        <v>524</v>
      </c>
      <c r="Y2218" s="2" t="s">
        <v>659</v>
      </c>
    </row>
    <row r="2219" spans="1:25" x14ac:dyDescent="0.25">
      <c r="A2219" s="2" t="s">
        <v>320</v>
      </c>
      <c r="B2219" s="2" t="s">
        <v>540</v>
      </c>
      <c r="C2219" s="2" t="s">
        <v>409</v>
      </c>
      <c r="D2219" s="2" t="s">
        <v>411</v>
      </c>
      <c r="E2219" s="2" t="s">
        <v>414</v>
      </c>
      <c r="F2219" s="2" t="s">
        <v>39</v>
      </c>
      <c r="J2219" s="2" t="s">
        <v>541</v>
      </c>
      <c r="K2219" s="2" t="s">
        <v>542</v>
      </c>
      <c r="L2219" s="2">
        <v>1</v>
      </c>
      <c r="M2219" s="2" t="s">
        <v>543</v>
      </c>
      <c r="O2219" s="2" t="s">
        <v>524</v>
      </c>
      <c r="Y2219" s="2" t="s">
        <v>659</v>
      </c>
    </row>
    <row r="2220" spans="1:25" x14ac:dyDescent="0.25">
      <c r="A2220" s="2" t="s">
        <v>320</v>
      </c>
      <c r="B2220" s="2" t="s">
        <v>540</v>
      </c>
      <c r="C2220" s="2" t="s">
        <v>409</v>
      </c>
      <c r="D2220" s="2" t="s">
        <v>411</v>
      </c>
      <c r="E2220" s="2" t="s">
        <v>414</v>
      </c>
      <c r="F2220" s="2" t="s">
        <v>39</v>
      </c>
      <c r="J2220" s="2" t="s">
        <v>541</v>
      </c>
      <c r="K2220" s="2" t="s">
        <v>542</v>
      </c>
      <c r="L2220" s="2">
        <v>2</v>
      </c>
      <c r="M2220" s="2" t="s">
        <v>544</v>
      </c>
      <c r="O2220" s="2" t="s">
        <v>524</v>
      </c>
      <c r="Y2220" s="2" t="s">
        <v>659</v>
      </c>
    </row>
    <row r="2221" spans="1:25" x14ac:dyDescent="0.25">
      <c r="A2221" s="2" t="s">
        <v>320</v>
      </c>
      <c r="B2221" s="2" t="s">
        <v>540</v>
      </c>
      <c r="C2221" s="2" t="s">
        <v>409</v>
      </c>
      <c r="D2221" s="2" t="s">
        <v>411</v>
      </c>
      <c r="E2221" s="2" t="s">
        <v>414</v>
      </c>
      <c r="F2221" s="2" t="s">
        <v>39</v>
      </c>
      <c r="J2221" s="2" t="s">
        <v>541</v>
      </c>
      <c r="K2221" s="2" t="s">
        <v>542</v>
      </c>
      <c r="L2221" s="2">
        <v>3</v>
      </c>
      <c r="M2221" s="2" t="s">
        <v>545</v>
      </c>
      <c r="O2221" s="2" t="s">
        <v>524</v>
      </c>
      <c r="Y2221" s="2" t="s">
        <v>659</v>
      </c>
    </row>
    <row r="2222" spans="1:25" x14ac:dyDescent="0.25">
      <c r="A2222" s="2" t="s">
        <v>320</v>
      </c>
      <c r="B2222" s="2" t="s">
        <v>540</v>
      </c>
      <c r="C2222" s="2" t="s">
        <v>409</v>
      </c>
      <c r="D2222" s="2" t="s">
        <v>411</v>
      </c>
      <c r="E2222" s="2" t="s">
        <v>414</v>
      </c>
      <c r="F2222" s="2" t="s">
        <v>39</v>
      </c>
      <c r="J2222" s="2" t="s">
        <v>541</v>
      </c>
      <c r="K2222" s="2" t="s">
        <v>542</v>
      </c>
      <c r="L2222" s="2">
        <v>4</v>
      </c>
      <c r="M2222" s="2" t="s">
        <v>546</v>
      </c>
      <c r="O2222" s="2" t="s">
        <v>524</v>
      </c>
      <c r="Y2222" s="2" t="s">
        <v>659</v>
      </c>
    </row>
    <row r="2223" spans="1:25" x14ac:dyDescent="0.25">
      <c r="A2223" s="2" t="s">
        <v>320</v>
      </c>
      <c r="B2223" s="2" t="s">
        <v>540</v>
      </c>
      <c r="C2223" s="2" t="s">
        <v>409</v>
      </c>
      <c r="D2223" s="2" t="s">
        <v>411</v>
      </c>
      <c r="E2223" s="2" t="s">
        <v>414</v>
      </c>
      <c r="F2223" s="2" t="s">
        <v>39</v>
      </c>
      <c r="J2223" s="2" t="s">
        <v>541</v>
      </c>
      <c r="K2223" s="2" t="s">
        <v>542</v>
      </c>
      <c r="L2223" s="2">
        <v>5</v>
      </c>
      <c r="M2223" s="2" t="s">
        <v>547</v>
      </c>
      <c r="O2223" s="2" t="s">
        <v>524</v>
      </c>
      <c r="Y2223" s="2" t="s">
        <v>659</v>
      </c>
    </row>
    <row r="2224" spans="1:25" x14ac:dyDescent="0.25">
      <c r="A2224" s="2" t="s">
        <v>320</v>
      </c>
      <c r="B2224" s="2" t="s">
        <v>540</v>
      </c>
      <c r="C2224" s="2" t="s">
        <v>409</v>
      </c>
      <c r="D2224" s="2" t="s">
        <v>411</v>
      </c>
      <c r="E2224" s="2" t="s">
        <v>414</v>
      </c>
      <c r="F2224" s="2" t="s">
        <v>39</v>
      </c>
      <c r="J2224" s="2" t="s">
        <v>541</v>
      </c>
      <c r="K2224" s="2" t="s">
        <v>542</v>
      </c>
      <c r="L2224" s="2">
        <v>6</v>
      </c>
      <c r="M2224" s="2" t="s">
        <v>548</v>
      </c>
      <c r="O2224" s="2" t="s">
        <v>524</v>
      </c>
      <c r="Y2224" s="2" t="s">
        <v>659</v>
      </c>
    </row>
    <row r="2225" spans="1:34" x14ac:dyDescent="0.25">
      <c r="A2225" s="2" t="s">
        <v>320</v>
      </c>
      <c r="B2225" s="2" t="s">
        <v>540</v>
      </c>
      <c r="C2225" s="2" t="s">
        <v>409</v>
      </c>
      <c r="D2225" s="2" t="s">
        <v>411</v>
      </c>
      <c r="E2225" s="2" t="s">
        <v>414</v>
      </c>
      <c r="F2225" s="2" t="s">
        <v>39</v>
      </c>
      <c r="J2225" s="2" t="s">
        <v>541</v>
      </c>
      <c r="K2225" s="2" t="s">
        <v>542</v>
      </c>
      <c r="L2225" s="2">
        <v>7</v>
      </c>
      <c r="M2225" s="2" t="s">
        <v>549</v>
      </c>
      <c r="O2225" s="2" t="s">
        <v>524</v>
      </c>
      <c r="Y2225" s="2" t="s">
        <v>659</v>
      </c>
    </row>
    <row r="2226" spans="1:34" x14ac:dyDescent="0.25">
      <c r="A2226" s="2" t="s">
        <v>320</v>
      </c>
      <c r="B2226" s="2" t="s">
        <v>540</v>
      </c>
      <c r="C2226" s="2" t="s">
        <v>409</v>
      </c>
      <c r="D2226" s="2" t="s">
        <v>411</v>
      </c>
      <c r="E2226" s="2" t="s">
        <v>414</v>
      </c>
      <c r="F2226" s="2" t="s">
        <v>39</v>
      </c>
      <c r="J2226" s="2" t="s">
        <v>541</v>
      </c>
      <c r="K2226" s="2" t="s">
        <v>542</v>
      </c>
      <c r="L2226" s="2">
        <v>8</v>
      </c>
      <c r="M2226" s="2" t="s">
        <v>550</v>
      </c>
      <c r="O2226" s="2" t="s">
        <v>524</v>
      </c>
      <c r="Y2226" s="2" t="s">
        <v>659</v>
      </c>
    </row>
    <row r="2227" spans="1:34" x14ac:dyDescent="0.25">
      <c r="A2227" s="2" t="s">
        <v>320</v>
      </c>
      <c r="B2227" s="2" t="s">
        <v>540</v>
      </c>
      <c r="C2227" s="2" t="s">
        <v>409</v>
      </c>
      <c r="D2227" s="2" t="s">
        <v>411</v>
      </c>
      <c r="E2227" s="2" t="s">
        <v>414</v>
      </c>
      <c r="F2227" s="2" t="s">
        <v>39</v>
      </c>
      <c r="J2227" s="2" t="s">
        <v>541</v>
      </c>
      <c r="K2227" s="2" t="s">
        <v>542</v>
      </c>
      <c r="L2227" s="2">
        <v>9</v>
      </c>
      <c r="M2227" s="2" t="s">
        <v>551</v>
      </c>
      <c r="O2227" s="2" t="s">
        <v>524</v>
      </c>
      <c r="Y2227" s="2" t="s">
        <v>659</v>
      </c>
    </row>
    <row r="2228" spans="1:34" x14ac:dyDescent="0.25">
      <c r="A2228" s="2" t="s">
        <v>320</v>
      </c>
      <c r="B2228" s="2" t="s">
        <v>540</v>
      </c>
      <c r="C2228" s="2" t="s">
        <v>409</v>
      </c>
      <c r="D2228" s="2" t="s">
        <v>411</v>
      </c>
      <c r="E2228" s="2" t="s">
        <v>414</v>
      </c>
      <c r="F2228" s="2" t="s">
        <v>39</v>
      </c>
      <c r="J2228" s="2" t="s">
        <v>541</v>
      </c>
      <c r="K2228" s="2" t="s">
        <v>542</v>
      </c>
      <c r="L2228" s="2">
        <v>10</v>
      </c>
      <c r="M2228" s="2" t="s">
        <v>552</v>
      </c>
      <c r="O2228" s="2" t="s">
        <v>524</v>
      </c>
      <c r="Y2228" s="2" t="s">
        <v>659</v>
      </c>
    </row>
    <row r="2229" spans="1:34" x14ac:dyDescent="0.25">
      <c r="A2229" s="2" t="s">
        <v>320</v>
      </c>
      <c r="B2229" s="2" t="s">
        <v>540</v>
      </c>
      <c r="C2229" s="2" t="s">
        <v>409</v>
      </c>
      <c r="D2229" s="2" t="s">
        <v>411</v>
      </c>
      <c r="E2229" s="2" t="s">
        <v>414</v>
      </c>
      <c r="F2229" s="2" t="s">
        <v>39</v>
      </c>
      <c r="J2229" s="2" t="s">
        <v>541</v>
      </c>
      <c r="K2229" s="2" t="s">
        <v>542</v>
      </c>
      <c r="L2229" s="2">
        <v>11</v>
      </c>
      <c r="M2229" s="2" t="s">
        <v>553</v>
      </c>
      <c r="O2229" s="2" t="s">
        <v>524</v>
      </c>
      <c r="Y2229" s="2" t="s">
        <v>659</v>
      </c>
    </row>
    <row r="2230" spans="1:34" x14ac:dyDescent="0.25">
      <c r="A2230" s="2" t="s">
        <v>320</v>
      </c>
      <c r="B2230" s="2" t="s">
        <v>540</v>
      </c>
      <c r="C2230" s="2" t="s">
        <v>409</v>
      </c>
      <c r="D2230" s="2" t="s">
        <v>411</v>
      </c>
      <c r="E2230" s="2" t="s">
        <v>414</v>
      </c>
      <c r="F2230" s="2" t="s">
        <v>39</v>
      </c>
      <c r="J2230" s="2" t="s">
        <v>541</v>
      </c>
      <c r="K2230" s="2" t="s">
        <v>542</v>
      </c>
      <c r="L2230" s="2">
        <v>12</v>
      </c>
      <c r="M2230" s="2" t="s">
        <v>554</v>
      </c>
      <c r="O2230" s="2" t="s">
        <v>524</v>
      </c>
      <c r="Y2230" s="2" t="s">
        <v>659</v>
      </c>
    </row>
    <row r="2231" spans="1:34" x14ac:dyDescent="0.25">
      <c r="A2231" s="2" t="s">
        <v>320</v>
      </c>
      <c r="B2231" s="2" t="s">
        <v>555</v>
      </c>
      <c r="C2231" s="2" t="s">
        <v>409</v>
      </c>
      <c r="D2231" s="2" t="s">
        <v>411</v>
      </c>
      <c r="E2231" s="2" t="s">
        <v>414</v>
      </c>
      <c r="F2231" s="2" t="s">
        <v>39</v>
      </c>
      <c r="J2231" s="2" t="s">
        <v>556</v>
      </c>
      <c r="O2231" s="2" t="s">
        <v>524</v>
      </c>
      <c r="Y2231" s="2" t="s">
        <v>659</v>
      </c>
      <c r="AB2231" s="2">
        <v>1</v>
      </c>
    </row>
    <row r="2232" spans="1:34" x14ac:dyDescent="0.25">
      <c r="A2232" s="2" t="s">
        <v>320</v>
      </c>
      <c r="B2232" s="2" t="s">
        <v>557</v>
      </c>
      <c r="C2232" s="2" t="s">
        <v>409</v>
      </c>
      <c r="D2232" s="2" t="s">
        <v>411</v>
      </c>
      <c r="E2232" s="2" t="s">
        <v>414</v>
      </c>
      <c r="F2232" s="2" t="s">
        <v>39</v>
      </c>
      <c r="J2232" s="2" t="s">
        <v>558</v>
      </c>
      <c r="O2232" s="2" t="s">
        <v>524</v>
      </c>
      <c r="Y2232" s="2" t="s">
        <v>659</v>
      </c>
      <c r="AC2232" s="2">
        <f>COUNTIFS($B:$B,"BLOCK_LOAD_Q",$A:$A,$A2232,$C:$C,$C2232,$E:$E,$E2232,$F:$F,$F2232,$N:$N, "&lt;&gt;")</f>
        <v>0</v>
      </c>
      <c r="AD2232" s="2">
        <f>COUNTIFS($B:$B,"BLOCK_TRUST_Q",$A:$A,$A2232,$C:$C,$C2232,$E:$E,$E2232,$F:$F,$F2232,$N:$N, "&lt;&gt;")</f>
        <v>0</v>
      </c>
      <c r="AE2232" s="2" t="str">
        <f>IFERROR(AVERAGEIFS($P:$P,$B:$B,"BLOCK_LOAD_Q",$A:$A,$A2232,$C:$C,$C2232,$E:$E,$E2232,$F:$F,$F2232,$P:$P,"&gt;0"),"")</f>
        <v/>
      </c>
      <c r="AF2232" s="2" t="str">
        <f>IFERROR(AVERAGEIFS($P:$P,$B:$B,"BLOCK_TRUST_Q",$A:$A,$A2232,$C:$C,$C2232,$E:$E,$E2232,$F:$F,$F2232,$P:$P,"&gt;0"),"")</f>
        <v/>
      </c>
      <c r="AG2232" s="2">
        <f>5-AC2232</f>
        <v>5</v>
      </c>
      <c r="AH2232" s="2">
        <f>12-AD2232</f>
        <v>12</v>
      </c>
    </row>
    <row r="2233" spans="1:34" x14ac:dyDescent="0.25">
      <c r="A2233" s="2" t="s">
        <v>320</v>
      </c>
      <c r="B2233" s="2" t="s">
        <v>403</v>
      </c>
      <c r="C2233" s="2" t="s">
        <v>409</v>
      </c>
      <c r="D2233" s="2" t="s">
        <v>411</v>
      </c>
      <c r="Z2233" s="2" t="s">
        <v>464</v>
      </c>
    </row>
    <row r="2234" spans="1:34" x14ac:dyDescent="0.25">
      <c r="A2234" s="2" t="s">
        <v>320</v>
      </c>
      <c r="B2234" s="2" t="s">
        <v>404</v>
      </c>
      <c r="J2234" s="2" t="s">
        <v>575</v>
      </c>
      <c r="AA2234" s="2" t="s">
        <v>336</v>
      </c>
    </row>
    <row r="2235" spans="1:34" x14ac:dyDescent="0.25">
      <c r="A2235" s="2" t="s">
        <v>320</v>
      </c>
      <c r="B2235" s="2" t="s">
        <v>405</v>
      </c>
    </row>
    <row r="2236" spans="1:34" x14ac:dyDescent="0.25">
      <c r="A2236" s="2" t="s">
        <v>320</v>
      </c>
      <c r="B2236" s="2" t="s">
        <v>406</v>
      </c>
    </row>
    <row r="2237" spans="1:34" x14ac:dyDescent="0.25">
      <c r="A2237" s="2" t="s">
        <v>321</v>
      </c>
      <c r="B2237" s="2" t="s">
        <v>523</v>
      </c>
      <c r="C2237" s="2" t="s">
        <v>524</v>
      </c>
      <c r="D2237" s="2" t="s">
        <v>524</v>
      </c>
      <c r="E2237" s="2" t="s">
        <v>524</v>
      </c>
      <c r="F2237" s="2" t="s">
        <v>524</v>
      </c>
      <c r="J2237" s="2" t="s">
        <v>525</v>
      </c>
      <c r="O2237" s="2" t="s">
        <v>524</v>
      </c>
    </row>
    <row r="2238" spans="1:34" x14ac:dyDescent="0.25">
      <c r="A2238" s="2" t="s">
        <v>321</v>
      </c>
      <c r="B2238" s="2" t="s">
        <v>526</v>
      </c>
      <c r="C2238" s="2" t="s">
        <v>524</v>
      </c>
      <c r="D2238" s="2" t="s">
        <v>524</v>
      </c>
      <c r="E2238" s="2" t="s">
        <v>524</v>
      </c>
      <c r="F2238" s="2" t="s">
        <v>524</v>
      </c>
      <c r="J2238" s="2" t="s">
        <v>527</v>
      </c>
      <c r="O2238" s="2" t="s">
        <v>524</v>
      </c>
    </row>
    <row r="2239" spans="1:34" x14ac:dyDescent="0.25">
      <c r="A2239" s="2" t="s">
        <v>321</v>
      </c>
      <c r="B2239" s="2" t="s">
        <v>402</v>
      </c>
      <c r="C2239" s="2" t="s">
        <v>407</v>
      </c>
      <c r="D2239" s="2" t="s">
        <v>410</v>
      </c>
      <c r="E2239" s="2" t="s">
        <v>413</v>
      </c>
      <c r="F2239" s="2" t="s">
        <v>39</v>
      </c>
      <c r="G2239" s="2" t="s">
        <v>415</v>
      </c>
      <c r="H2239" s="2" t="s">
        <v>373</v>
      </c>
      <c r="S2239" s="2" t="s">
        <v>60</v>
      </c>
      <c r="U2239" s="2" t="s">
        <v>60</v>
      </c>
      <c r="W2239" s="2" t="s">
        <v>60</v>
      </c>
    </row>
    <row r="2240" spans="1:34" x14ac:dyDescent="0.25">
      <c r="A2240" s="2" t="s">
        <v>321</v>
      </c>
      <c r="B2240" s="2" t="s">
        <v>402</v>
      </c>
      <c r="C2240" s="2" t="s">
        <v>407</v>
      </c>
      <c r="D2240" s="2" t="s">
        <v>410</v>
      </c>
      <c r="E2240" s="2" t="s">
        <v>413</v>
      </c>
      <c r="F2240" s="2" t="s">
        <v>39</v>
      </c>
      <c r="G2240" s="2" t="s">
        <v>416</v>
      </c>
      <c r="H2240" s="2" t="s">
        <v>528</v>
      </c>
      <c r="S2240" s="2" t="s">
        <v>60</v>
      </c>
      <c r="U2240" s="2" t="s">
        <v>59</v>
      </c>
      <c r="W2240" s="2" t="s">
        <v>59</v>
      </c>
    </row>
    <row r="2241" spans="1:25" x14ac:dyDescent="0.25">
      <c r="A2241" s="2" t="s">
        <v>321</v>
      </c>
      <c r="B2241" s="2" t="s">
        <v>402</v>
      </c>
      <c r="C2241" s="2" t="s">
        <v>407</v>
      </c>
      <c r="D2241" s="2" t="s">
        <v>410</v>
      </c>
      <c r="E2241" s="2" t="s">
        <v>413</v>
      </c>
      <c r="F2241" s="2" t="s">
        <v>39</v>
      </c>
      <c r="G2241" s="2" t="s">
        <v>417</v>
      </c>
      <c r="H2241" s="2" t="s">
        <v>529</v>
      </c>
      <c r="S2241" s="2" t="s">
        <v>57</v>
      </c>
      <c r="U2241" s="2" t="s">
        <v>59</v>
      </c>
      <c r="W2241" s="2" t="s">
        <v>60</v>
      </c>
    </row>
    <row r="2242" spans="1:25" x14ac:dyDescent="0.25">
      <c r="A2242" s="2" t="s">
        <v>321</v>
      </c>
      <c r="B2242" s="2" t="s">
        <v>402</v>
      </c>
      <c r="C2242" s="2" t="s">
        <v>407</v>
      </c>
      <c r="D2242" s="2" t="s">
        <v>410</v>
      </c>
      <c r="E2242" s="2" t="s">
        <v>413</v>
      </c>
      <c r="F2242" s="2" t="s">
        <v>39</v>
      </c>
      <c r="G2242" s="2" t="s">
        <v>418</v>
      </c>
      <c r="H2242" s="2" t="s">
        <v>347</v>
      </c>
      <c r="S2242" s="2" t="s">
        <v>60</v>
      </c>
      <c r="U2242" s="2" t="s">
        <v>57</v>
      </c>
      <c r="W2242" s="2" t="s">
        <v>59</v>
      </c>
    </row>
    <row r="2243" spans="1:25" x14ac:dyDescent="0.25">
      <c r="A2243" s="2" t="s">
        <v>321</v>
      </c>
      <c r="B2243" s="2" t="s">
        <v>402</v>
      </c>
      <c r="C2243" s="2" t="s">
        <v>407</v>
      </c>
      <c r="D2243" s="2" t="s">
        <v>410</v>
      </c>
      <c r="E2243" s="2" t="s">
        <v>413</v>
      </c>
      <c r="F2243" s="2" t="s">
        <v>39</v>
      </c>
      <c r="G2243" s="2" t="s">
        <v>419</v>
      </c>
      <c r="H2243" s="2" t="s">
        <v>530</v>
      </c>
      <c r="S2243" s="2" t="s">
        <v>57</v>
      </c>
      <c r="U2243" s="2" t="s">
        <v>60</v>
      </c>
      <c r="W2243" s="2" t="s">
        <v>58</v>
      </c>
    </row>
    <row r="2244" spans="1:25" x14ac:dyDescent="0.25">
      <c r="A2244" s="2" t="s">
        <v>321</v>
      </c>
      <c r="B2244" s="2" t="s">
        <v>531</v>
      </c>
      <c r="C2244" s="2" t="s">
        <v>407</v>
      </c>
      <c r="D2244" s="2" t="s">
        <v>410</v>
      </c>
      <c r="E2244" s="2" t="s">
        <v>413</v>
      </c>
      <c r="F2244" s="2" t="s">
        <v>39</v>
      </c>
      <c r="J2244" s="2" t="s">
        <v>532</v>
      </c>
      <c r="K2244" s="2" t="s">
        <v>533</v>
      </c>
      <c r="L2244" s="2">
        <v>1</v>
      </c>
      <c r="M2244" s="2" t="s">
        <v>534</v>
      </c>
      <c r="O2244" s="2" t="s">
        <v>524</v>
      </c>
      <c r="Y2244" s="2" t="s">
        <v>660</v>
      </c>
    </row>
    <row r="2245" spans="1:25" x14ac:dyDescent="0.25">
      <c r="A2245" s="2" t="s">
        <v>321</v>
      </c>
      <c r="B2245" s="2" t="s">
        <v>531</v>
      </c>
      <c r="C2245" s="2" t="s">
        <v>407</v>
      </c>
      <c r="D2245" s="2" t="s">
        <v>410</v>
      </c>
      <c r="E2245" s="2" t="s">
        <v>413</v>
      </c>
      <c r="F2245" s="2" t="s">
        <v>39</v>
      </c>
      <c r="J2245" s="2" t="s">
        <v>532</v>
      </c>
      <c r="K2245" s="2" t="s">
        <v>533</v>
      </c>
      <c r="L2245" s="2">
        <v>2</v>
      </c>
      <c r="M2245" s="2" t="s">
        <v>536</v>
      </c>
      <c r="O2245" s="2" t="s">
        <v>524</v>
      </c>
      <c r="Y2245" s="2" t="s">
        <v>660</v>
      </c>
    </row>
    <row r="2246" spans="1:25" x14ac:dyDescent="0.25">
      <c r="A2246" s="2" t="s">
        <v>321</v>
      </c>
      <c r="B2246" s="2" t="s">
        <v>531</v>
      </c>
      <c r="C2246" s="2" t="s">
        <v>407</v>
      </c>
      <c r="D2246" s="2" t="s">
        <v>410</v>
      </c>
      <c r="E2246" s="2" t="s">
        <v>413</v>
      </c>
      <c r="F2246" s="2" t="s">
        <v>39</v>
      </c>
      <c r="J2246" s="2" t="s">
        <v>532</v>
      </c>
      <c r="K2246" s="2" t="s">
        <v>533</v>
      </c>
      <c r="L2246" s="2">
        <v>3</v>
      </c>
      <c r="M2246" s="2" t="s">
        <v>537</v>
      </c>
      <c r="O2246" s="2" t="s">
        <v>524</v>
      </c>
      <c r="Y2246" s="2" t="s">
        <v>660</v>
      </c>
    </row>
    <row r="2247" spans="1:25" x14ac:dyDescent="0.25">
      <c r="A2247" s="2" t="s">
        <v>321</v>
      </c>
      <c r="B2247" s="2" t="s">
        <v>531</v>
      </c>
      <c r="C2247" s="2" t="s">
        <v>407</v>
      </c>
      <c r="D2247" s="2" t="s">
        <v>410</v>
      </c>
      <c r="E2247" s="2" t="s">
        <v>413</v>
      </c>
      <c r="F2247" s="2" t="s">
        <v>39</v>
      </c>
      <c r="J2247" s="2" t="s">
        <v>532</v>
      </c>
      <c r="K2247" s="2" t="s">
        <v>533</v>
      </c>
      <c r="L2247" s="2">
        <v>4</v>
      </c>
      <c r="M2247" s="2" t="s">
        <v>538</v>
      </c>
      <c r="O2247" s="2" t="s">
        <v>524</v>
      </c>
      <c r="Y2247" s="2" t="s">
        <v>660</v>
      </c>
    </row>
    <row r="2248" spans="1:25" x14ac:dyDescent="0.25">
      <c r="A2248" s="2" t="s">
        <v>321</v>
      </c>
      <c r="B2248" s="2" t="s">
        <v>531</v>
      </c>
      <c r="C2248" s="2" t="s">
        <v>407</v>
      </c>
      <c r="D2248" s="2" t="s">
        <v>410</v>
      </c>
      <c r="E2248" s="2" t="s">
        <v>413</v>
      </c>
      <c r="F2248" s="2" t="s">
        <v>39</v>
      </c>
      <c r="J2248" s="2" t="s">
        <v>532</v>
      </c>
      <c r="K2248" s="2" t="s">
        <v>533</v>
      </c>
      <c r="L2248" s="2">
        <v>5</v>
      </c>
      <c r="M2248" s="2" t="s">
        <v>539</v>
      </c>
      <c r="O2248" s="2" t="s">
        <v>524</v>
      </c>
      <c r="Y2248" s="2" t="s">
        <v>660</v>
      </c>
    </row>
    <row r="2249" spans="1:25" x14ac:dyDescent="0.25">
      <c r="A2249" s="2" t="s">
        <v>321</v>
      </c>
      <c r="B2249" s="2" t="s">
        <v>540</v>
      </c>
      <c r="C2249" s="2" t="s">
        <v>407</v>
      </c>
      <c r="D2249" s="2" t="s">
        <v>410</v>
      </c>
      <c r="E2249" s="2" t="s">
        <v>413</v>
      </c>
      <c r="F2249" s="2" t="s">
        <v>39</v>
      </c>
      <c r="J2249" s="2" t="s">
        <v>541</v>
      </c>
      <c r="K2249" s="2" t="s">
        <v>542</v>
      </c>
      <c r="L2249" s="2">
        <v>1</v>
      </c>
      <c r="M2249" s="2" t="s">
        <v>543</v>
      </c>
      <c r="O2249" s="2" t="s">
        <v>524</v>
      </c>
      <c r="Y2249" s="2" t="s">
        <v>660</v>
      </c>
    </row>
    <row r="2250" spans="1:25" x14ac:dyDescent="0.25">
      <c r="A2250" s="2" t="s">
        <v>321</v>
      </c>
      <c r="B2250" s="2" t="s">
        <v>540</v>
      </c>
      <c r="C2250" s="2" t="s">
        <v>407</v>
      </c>
      <c r="D2250" s="2" t="s">
        <v>410</v>
      </c>
      <c r="E2250" s="2" t="s">
        <v>413</v>
      </c>
      <c r="F2250" s="2" t="s">
        <v>39</v>
      </c>
      <c r="J2250" s="2" t="s">
        <v>541</v>
      </c>
      <c r="K2250" s="2" t="s">
        <v>542</v>
      </c>
      <c r="L2250" s="2">
        <v>2</v>
      </c>
      <c r="M2250" s="2" t="s">
        <v>544</v>
      </c>
      <c r="O2250" s="2" t="s">
        <v>524</v>
      </c>
      <c r="Y2250" s="2" t="s">
        <v>660</v>
      </c>
    </row>
    <row r="2251" spans="1:25" x14ac:dyDescent="0.25">
      <c r="A2251" s="2" t="s">
        <v>321</v>
      </c>
      <c r="B2251" s="2" t="s">
        <v>540</v>
      </c>
      <c r="C2251" s="2" t="s">
        <v>407</v>
      </c>
      <c r="D2251" s="2" t="s">
        <v>410</v>
      </c>
      <c r="E2251" s="2" t="s">
        <v>413</v>
      </c>
      <c r="F2251" s="2" t="s">
        <v>39</v>
      </c>
      <c r="J2251" s="2" t="s">
        <v>541</v>
      </c>
      <c r="K2251" s="2" t="s">
        <v>542</v>
      </c>
      <c r="L2251" s="2">
        <v>3</v>
      </c>
      <c r="M2251" s="2" t="s">
        <v>545</v>
      </c>
      <c r="O2251" s="2" t="s">
        <v>524</v>
      </c>
      <c r="Y2251" s="2" t="s">
        <v>660</v>
      </c>
    </row>
    <row r="2252" spans="1:25" x14ac:dyDescent="0.25">
      <c r="A2252" s="2" t="s">
        <v>321</v>
      </c>
      <c r="B2252" s="2" t="s">
        <v>540</v>
      </c>
      <c r="C2252" s="2" t="s">
        <v>407</v>
      </c>
      <c r="D2252" s="2" t="s">
        <v>410</v>
      </c>
      <c r="E2252" s="2" t="s">
        <v>413</v>
      </c>
      <c r="F2252" s="2" t="s">
        <v>39</v>
      </c>
      <c r="J2252" s="2" t="s">
        <v>541</v>
      </c>
      <c r="K2252" s="2" t="s">
        <v>542</v>
      </c>
      <c r="L2252" s="2">
        <v>4</v>
      </c>
      <c r="M2252" s="2" t="s">
        <v>546</v>
      </c>
      <c r="O2252" s="2" t="s">
        <v>524</v>
      </c>
      <c r="Y2252" s="2" t="s">
        <v>660</v>
      </c>
    </row>
    <row r="2253" spans="1:25" x14ac:dyDescent="0.25">
      <c r="A2253" s="2" t="s">
        <v>321</v>
      </c>
      <c r="B2253" s="2" t="s">
        <v>540</v>
      </c>
      <c r="C2253" s="2" t="s">
        <v>407</v>
      </c>
      <c r="D2253" s="2" t="s">
        <v>410</v>
      </c>
      <c r="E2253" s="2" t="s">
        <v>413</v>
      </c>
      <c r="F2253" s="2" t="s">
        <v>39</v>
      </c>
      <c r="J2253" s="2" t="s">
        <v>541</v>
      </c>
      <c r="K2253" s="2" t="s">
        <v>542</v>
      </c>
      <c r="L2253" s="2">
        <v>5</v>
      </c>
      <c r="M2253" s="2" t="s">
        <v>547</v>
      </c>
      <c r="O2253" s="2" t="s">
        <v>524</v>
      </c>
      <c r="Y2253" s="2" t="s">
        <v>660</v>
      </c>
    </row>
    <row r="2254" spans="1:25" x14ac:dyDescent="0.25">
      <c r="A2254" s="2" t="s">
        <v>321</v>
      </c>
      <c r="B2254" s="2" t="s">
        <v>540</v>
      </c>
      <c r="C2254" s="2" t="s">
        <v>407</v>
      </c>
      <c r="D2254" s="2" t="s">
        <v>410</v>
      </c>
      <c r="E2254" s="2" t="s">
        <v>413</v>
      </c>
      <c r="F2254" s="2" t="s">
        <v>39</v>
      </c>
      <c r="J2254" s="2" t="s">
        <v>541</v>
      </c>
      <c r="K2254" s="2" t="s">
        <v>542</v>
      </c>
      <c r="L2254" s="2">
        <v>6</v>
      </c>
      <c r="M2254" s="2" t="s">
        <v>548</v>
      </c>
      <c r="O2254" s="2" t="s">
        <v>524</v>
      </c>
      <c r="Y2254" s="2" t="s">
        <v>660</v>
      </c>
    </row>
    <row r="2255" spans="1:25" x14ac:dyDescent="0.25">
      <c r="A2255" s="2" t="s">
        <v>321</v>
      </c>
      <c r="B2255" s="2" t="s">
        <v>540</v>
      </c>
      <c r="C2255" s="2" t="s">
        <v>407</v>
      </c>
      <c r="D2255" s="2" t="s">
        <v>410</v>
      </c>
      <c r="E2255" s="2" t="s">
        <v>413</v>
      </c>
      <c r="F2255" s="2" t="s">
        <v>39</v>
      </c>
      <c r="J2255" s="2" t="s">
        <v>541</v>
      </c>
      <c r="K2255" s="2" t="s">
        <v>542</v>
      </c>
      <c r="L2255" s="2">
        <v>7</v>
      </c>
      <c r="M2255" s="2" t="s">
        <v>549</v>
      </c>
      <c r="O2255" s="2" t="s">
        <v>524</v>
      </c>
      <c r="Y2255" s="2" t="s">
        <v>660</v>
      </c>
    </row>
    <row r="2256" spans="1:25" x14ac:dyDescent="0.25">
      <c r="A2256" s="2" t="s">
        <v>321</v>
      </c>
      <c r="B2256" s="2" t="s">
        <v>540</v>
      </c>
      <c r="C2256" s="2" t="s">
        <v>407</v>
      </c>
      <c r="D2256" s="2" t="s">
        <v>410</v>
      </c>
      <c r="E2256" s="2" t="s">
        <v>413</v>
      </c>
      <c r="F2256" s="2" t="s">
        <v>39</v>
      </c>
      <c r="J2256" s="2" t="s">
        <v>541</v>
      </c>
      <c r="K2256" s="2" t="s">
        <v>542</v>
      </c>
      <c r="L2256" s="2">
        <v>8</v>
      </c>
      <c r="M2256" s="2" t="s">
        <v>550</v>
      </c>
      <c r="O2256" s="2" t="s">
        <v>524</v>
      </c>
      <c r="Y2256" s="2" t="s">
        <v>660</v>
      </c>
    </row>
    <row r="2257" spans="1:34" x14ac:dyDescent="0.25">
      <c r="A2257" s="2" t="s">
        <v>321</v>
      </c>
      <c r="B2257" s="2" t="s">
        <v>540</v>
      </c>
      <c r="C2257" s="2" t="s">
        <v>407</v>
      </c>
      <c r="D2257" s="2" t="s">
        <v>410</v>
      </c>
      <c r="E2257" s="2" t="s">
        <v>413</v>
      </c>
      <c r="F2257" s="2" t="s">
        <v>39</v>
      </c>
      <c r="J2257" s="2" t="s">
        <v>541</v>
      </c>
      <c r="K2257" s="2" t="s">
        <v>542</v>
      </c>
      <c r="L2257" s="2">
        <v>9</v>
      </c>
      <c r="M2257" s="2" t="s">
        <v>551</v>
      </c>
      <c r="O2257" s="2" t="s">
        <v>524</v>
      </c>
      <c r="Y2257" s="2" t="s">
        <v>660</v>
      </c>
    </row>
    <row r="2258" spans="1:34" x14ac:dyDescent="0.25">
      <c r="A2258" s="2" t="s">
        <v>321</v>
      </c>
      <c r="B2258" s="2" t="s">
        <v>540</v>
      </c>
      <c r="C2258" s="2" t="s">
        <v>407</v>
      </c>
      <c r="D2258" s="2" t="s">
        <v>410</v>
      </c>
      <c r="E2258" s="2" t="s">
        <v>413</v>
      </c>
      <c r="F2258" s="2" t="s">
        <v>39</v>
      </c>
      <c r="J2258" s="2" t="s">
        <v>541</v>
      </c>
      <c r="K2258" s="2" t="s">
        <v>542</v>
      </c>
      <c r="L2258" s="2">
        <v>10</v>
      </c>
      <c r="M2258" s="2" t="s">
        <v>552</v>
      </c>
      <c r="O2258" s="2" t="s">
        <v>524</v>
      </c>
      <c r="Y2258" s="2" t="s">
        <v>660</v>
      </c>
    </row>
    <row r="2259" spans="1:34" x14ac:dyDescent="0.25">
      <c r="A2259" s="2" t="s">
        <v>321</v>
      </c>
      <c r="B2259" s="2" t="s">
        <v>540</v>
      </c>
      <c r="C2259" s="2" t="s">
        <v>407</v>
      </c>
      <c r="D2259" s="2" t="s">
        <v>410</v>
      </c>
      <c r="E2259" s="2" t="s">
        <v>413</v>
      </c>
      <c r="F2259" s="2" t="s">
        <v>39</v>
      </c>
      <c r="J2259" s="2" t="s">
        <v>541</v>
      </c>
      <c r="K2259" s="2" t="s">
        <v>542</v>
      </c>
      <c r="L2259" s="2">
        <v>11</v>
      </c>
      <c r="M2259" s="2" t="s">
        <v>553</v>
      </c>
      <c r="O2259" s="2" t="s">
        <v>524</v>
      </c>
      <c r="Y2259" s="2" t="s">
        <v>660</v>
      </c>
    </row>
    <row r="2260" spans="1:34" x14ac:dyDescent="0.25">
      <c r="A2260" s="2" t="s">
        <v>321</v>
      </c>
      <c r="B2260" s="2" t="s">
        <v>540</v>
      </c>
      <c r="C2260" s="2" t="s">
        <v>407</v>
      </c>
      <c r="D2260" s="2" t="s">
        <v>410</v>
      </c>
      <c r="E2260" s="2" t="s">
        <v>413</v>
      </c>
      <c r="F2260" s="2" t="s">
        <v>39</v>
      </c>
      <c r="J2260" s="2" t="s">
        <v>541</v>
      </c>
      <c r="K2260" s="2" t="s">
        <v>542</v>
      </c>
      <c r="L2260" s="2">
        <v>12</v>
      </c>
      <c r="M2260" s="2" t="s">
        <v>554</v>
      </c>
      <c r="O2260" s="2" t="s">
        <v>524</v>
      </c>
      <c r="Y2260" s="2" t="s">
        <v>660</v>
      </c>
    </row>
    <row r="2261" spans="1:34" x14ac:dyDescent="0.25">
      <c r="A2261" s="2" t="s">
        <v>321</v>
      </c>
      <c r="B2261" s="2" t="s">
        <v>555</v>
      </c>
      <c r="C2261" s="2" t="s">
        <v>407</v>
      </c>
      <c r="D2261" s="2" t="s">
        <v>410</v>
      </c>
      <c r="E2261" s="2" t="s">
        <v>413</v>
      </c>
      <c r="F2261" s="2" t="s">
        <v>39</v>
      </c>
      <c r="J2261" s="2" t="s">
        <v>556</v>
      </c>
      <c r="O2261" s="2" t="s">
        <v>524</v>
      </c>
      <c r="Y2261" s="2" t="s">
        <v>660</v>
      </c>
      <c r="AB2261" s="2">
        <v>1</v>
      </c>
    </row>
    <row r="2262" spans="1:34" x14ac:dyDescent="0.25">
      <c r="A2262" s="2" t="s">
        <v>321</v>
      </c>
      <c r="B2262" s="2" t="s">
        <v>557</v>
      </c>
      <c r="C2262" s="2" t="s">
        <v>407</v>
      </c>
      <c r="D2262" s="2" t="s">
        <v>410</v>
      </c>
      <c r="E2262" s="2" t="s">
        <v>413</v>
      </c>
      <c r="F2262" s="2" t="s">
        <v>39</v>
      </c>
      <c r="J2262" s="2" t="s">
        <v>558</v>
      </c>
      <c r="O2262" s="2" t="s">
        <v>524</v>
      </c>
      <c r="Y2262" s="2" t="s">
        <v>660</v>
      </c>
      <c r="AC2262" s="2">
        <f>COUNTIFS($B:$B,"BLOCK_LOAD_Q",$A:$A,$A2262,$C:$C,$C2262,$E:$E,$E2262,$F:$F,$F2262,$N:$N, "&lt;&gt;")</f>
        <v>0</v>
      </c>
      <c r="AD2262" s="2">
        <f>COUNTIFS($B:$B,"BLOCK_TRUST_Q",$A:$A,$A2262,$C:$C,$C2262,$E:$E,$E2262,$F:$F,$F2262,$N:$N, "&lt;&gt;")</f>
        <v>0</v>
      </c>
      <c r="AE2262" s="2" t="str">
        <f>IFERROR(AVERAGEIFS($P:$P,$B:$B,"BLOCK_LOAD_Q",$A:$A,$A2262,$C:$C,$C2262,$E:$E,$E2262,$F:$F,$F2262,$P:$P,"&gt;0"),"")</f>
        <v/>
      </c>
      <c r="AF2262" s="2" t="str">
        <f>IFERROR(AVERAGEIFS($P:$P,$B:$B,"BLOCK_TRUST_Q",$A:$A,$A2262,$C:$C,$C2262,$E:$E,$E2262,$F:$F,$F2262,$P:$P,"&gt;0"),"")</f>
        <v/>
      </c>
      <c r="AG2262" s="2">
        <f>5-AC2262</f>
        <v>5</v>
      </c>
      <c r="AH2262" s="2">
        <f>12-AD2262</f>
        <v>12</v>
      </c>
    </row>
    <row r="2263" spans="1:34" x14ac:dyDescent="0.25">
      <c r="A2263" s="2" t="s">
        <v>321</v>
      </c>
      <c r="B2263" s="2" t="s">
        <v>402</v>
      </c>
      <c r="C2263" s="2" t="s">
        <v>407</v>
      </c>
      <c r="D2263" s="2" t="s">
        <v>410</v>
      </c>
      <c r="E2263" s="2" t="s">
        <v>414</v>
      </c>
      <c r="F2263" s="2" t="s">
        <v>40</v>
      </c>
      <c r="G2263" s="2" t="s">
        <v>415</v>
      </c>
      <c r="H2263" s="2" t="s">
        <v>354</v>
      </c>
      <c r="S2263" s="2" t="s">
        <v>59</v>
      </c>
      <c r="U2263" s="2" t="s">
        <v>59</v>
      </c>
      <c r="W2263" s="2" t="s">
        <v>58</v>
      </c>
    </row>
    <row r="2264" spans="1:34" x14ac:dyDescent="0.25">
      <c r="A2264" s="2" t="s">
        <v>321</v>
      </c>
      <c r="B2264" s="2" t="s">
        <v>402</v>
      </c>
      <c r="C2264" s="2" t="s">
        <v>407</v>
      </c>
      <c r="D2264" s="2" t="s">
        <v>410</v>
      </c>
      <c r="E2264" s="2" t="s">
        <v>414</v>
      </c>
      <c r="F2264" s="2" t="s">
        <v>40</v>
      </c>
      <c r="G2264" s="2" t="s">
        <v>416</v>
      </c>
      <c r="H2264" s="2" t="s">
        <v>559</v>
      </c>
      <c r="S2264" s="2" t="s">
        <v>57</v>
      </c>
      <c r="U2264" s="2" t="s">
        <v>57</v>
      </c>
      <c r="W2264" s="2" t="s">
        <v>58</v>
      </c>
    </row>
    <row r="2265" spans="1:34" x14ac:dyDescent="0.25">
      <c r="A2265" s="2" t="s">
        <v>321</v>
      </c>
      <c r="B2265" s="2" t="s">
        <v>402</v>
      </c>
      <c r="C2265" s="2" t="s">
        <v>407</v>
      </c>
      <c r="D2265" s="2" t="s">
        <v>410</v>
      </c>
      <c r="E2265" s="2" t="s">
        <v>414</v>
      </c>
      <c r="F2265" s="2" t="s">
        <v>40</v>
      </c>
      <c r="G2265" s="2" t="s">
        <v>417</v>
      </c>
      <c r="H2265" s="2" t="s">
        <v>370</v>
      </c>
      <c r="S2265" s="2" t="s">
        <v>60</v>
      </c>
      <c r="U2265" s="2" t="s">
        <v>58</v>
      </c>
      <c r="W2265" s="2" t="s">
        <v>59</v>
      </c>
    </row>
    <row r="2266" spans="1:34" x14ac:dyDescent="0.25">
      <c r="A2266" s="2" t="s">
        <v>321</v>
      </c>
      <c r="B2266" s="2" t="s">
        <v>402</v>
      </c>
      <c r="C2266" s="2" t="s">
        <v>407</v>
      </c>
      <c r="D2266" s="2" t="s">
        <v>410</v>
      </c>
      <c r="E2266" s="2" t="s">
        <v>414</v>
      </c>
      <c r="F2266" s="2" t="s">
        <v>40</v>
      </c>
      <c r="G2266" s="2" t="s">
        <v>418</v>
      </c>
      <c r="H2266" s="2" t="s">
        <v>560</v>
      </c>
      <c r="S2266" s="2" t="s">
        <v>57</v>
      </c>
      <c r="U2266" s="2" t="s">
        <v>58</v>
      </c>
      <c r="W2266" s="2" t="s">
        <v>60</v>
      </c>
    </row>
    <row r="2267" spans="1:34" x14ac:dyDescent="0.25">
      <c r="A2267" s="2" t="s">
        <v>321</v>
      </c>
      <c r="B2267" s="2" t="s">
        <v>531</v>
      </c>
      <c r="C2267" s="2" t="s">
        <v>407</v>
      </c>
      <c r="D2267" s="2" t="s">
        <v>410</v>
      </c>
      <c r="E2267" s="2" t="s">
        <v>414</v>
      </c>
      <c r="F2267" s="2" t="s">
        <v>40</v>
      </c>
      <c r="J2267" s="2" t="s">
        <v>532</v>
      </c>
      <c r="K2267" s="2" t="s">
        <v>533</v>
      </c>
      <c r="L2267" s="2">
        <v>1</v>
      </c>
      <c r="M2267" s="2" t="s">
        <v>534</v>
      </c>
      <c r="O2267" s="2" t="s">
        <v>524</v>
      </c>
      <c r="Y2267" s="2" t="s">
        <v>661</v>
      </c>
    </row>
    <row r="2268" spans="1:34" x14ac:dyDescent="0.25">
      <c r="A2268" s="2" t="s">
        <v>321</v>
      </c>
      <c r="B2268" s="2" t="s">
        <v>531</v>
      </c>
      <c r="C2268" s="2" t="s">
        <v>407</v>
      </c>
      <c r="D2268" s="2" t="s">
        <v>410</v>
      </c>
      <c r="E2268" s="2" t="s">
        <v>414</v>
      </c>
      <c r="F2268" s="2" t="s">
        <v>40</v>
      </c>
      <c r="J2268" s="2" t="s">
        <v>532</v>
      </c>
      <c r="K2268" s="2" t="s">
        <v>533</v>
      </c>
      <c r="L2268" s="2">
        <v>2</v>
      </c>
      <c r="M2268" s="2" t="s">
        <v>536</v>
      </c>
      <c r="O2268" s="2" t="s">
        <v>524</v>
      </c>
      <c r="Y2268" s="2" t="s">
        <v>661</v>
      </c>
    </row>
    <row r="2269" spans="1:34" x14ac:dyDescent="0.25">
      <c r="A2269" s="2" t="s">
        <v>321</v>
      </c>
      <c r="B2269" s="2" t="s">
        <v>531</v>
      </c>
      <c r="C2269" s="2" t="s">
        <v>407</v>
      </c>
      <c r="D2269" s="2" t="s">
        <v>410</v>
      </c>
      <c r="E2269" s="2" t="s">
        <v>414</v>
      </c>
      <c r="F2269" s="2" t="s">
        <v>40</v>
      </c>
      <c r="J2269" s="2" t="s">
        <v>532</v>
      </c>
      <c r="K2269" s="2" t="s">
        <v>533</v>
      </c>
      <c r="L2269" s="2">
        <v>3</v>
      </c>
      <c r="M2269" s="2" t="s">
        <v>537</v>
      </c>
      <c r="O2269" s="2" t="s">
        <v>524</v>
      </c>
      <c r="Y2269" s="2" t="s">
        <v>661</v>
      </c>
    </row>
    <row r="2270" spans="1:34" x14ac:dyDescent="0.25">
      <c r="A2270" s="2" t="s">
        <v>321</v>
      </c>
      <c r="B2270" s="2" t="s">
        <v>531</v>
      </c>
      <c r="C2270" s="2" t="s">
        <v>407</v>
      </c>
      <c r="D2270" s="2" t="s">
        <v>410</v>
      </c>
      <c r="E2270" s="2" t="s">
        <v>414</v>
      </c>
      <c r="F2270" s="2" t="s">
        <v>40</v>
      </c>
      <c r="J2270" s="2" t="s">
        <v>532</v>
      </c>
      <c r="K2270" s="2" t="s">
        <v>533</v>
      </c>
      <c r="L2270" s="2">
        <v>4</v>
      </c>
      <c r="M2270" s="2" t="s">
        <v>538</v>
      </c>
      <c r="O2270" s="2" t="s">
        <v>524</v>
      </c>
      <c r="Y2270" s="2" t="s">
        <v>661</v>
      </c>
    </row>
    <row r="2271" spans="1:34" x14ac:dyDescent="0.25">
      <c r="A2271" s="2" t="s">
        <v>321</v>
      </c>
      <c r="B2271" s="2" t="s">
        <v>531</v>
      </c>
      <c r="C2271" s="2" t="s">
        <v>407</v>
      </c>
      <c r="D2271" s="2" t="s">
        <v>410</v>
      </c>
      <c r="E2271" s="2" t="s">
        <v>414</v>
      </c>
      <c r="F2271" s="2" t="s">
        <v>40</v>
      </c>
      <c r="J2271" s="2" t="s">
        <v>532</v>
      </c>
      <c r="K2271" s="2" t="s">
        <v>533</v>
      </c>
      <c r="L2271" s="2">
        <v>5</v>
      </c>
      <c r="M2271" s="2" t="s">
        <v>539</v>
      </c>
      <c r="O2271" s="2" t="s">
        <v>524</v>
      </c>
      <c r="Y2271" s="2" t="s">
        <v>661</v>
      </c>
    </row>
    <row r="2272" spans="1:34" x14ac:dyDescent="0.25">
      <c r="A2272" s="2" t="s">
        <v>321</v>
      </c>
      <c r="B2272" s="2" t="s">
        <v>540</v>
      </c>
      <c r="C2272" s="2" t="s">
        <v>407</v>
      </c>
      <c r="D2272" s="2" t="s">
        <v>410</v>
      </c>
      <c r="E2272" s="2" t="s">
        <v>414</v>
      </c>
      <c r="F2272" s="2" t="s">
        <v>40</v>
      </c>
      <c r="J2272" s="2" t="s">
        <v>541</v>
      </c>
      <c r="K2272" s="2" t="s">
        <v>542</v>
      </c>
      <c r="L2272" s="2">
        <v>1</v>
      </c>
      <c r="M2272" s="2" t="s">
        <v>543</v>
      </c>
      <c r="O2272" s="2" t="s">
        <v>524</v>
      </c>
      <c r="Y2272" s="2" t="s">
        <v>661</v>
      </c>
    </row>
    <row r="2273" spans="1:34" x14ac:dyDescent="0.25">
      <c r="A2273" s="2" t="s">
        <v>321</v>
      </c>
      <c r="B2273" s="2" t="s">
        <v>540</v>
      </c>
      <c r="C2273" s="2" t="s">
        <v>407</v>
      </c>
      <c r="D2273" s="2" t="s">
        <v>410</v>
      </c>
      <c r="E2273" s="2" t="s">
        <v>414</v>
      </c>
      <c r="F2273" s="2" t="s">
        <v>40</v>
      </c>
      <c r="J2273" s="2" t="s">
        <v>541</v>
      </c>
      <c r="K2273" s="2" t="s">
        <v>542</v>
      </c>
      <c r="L2273" s="2">
        <v>2</v>
      </c>
      <c r="M2273" s="2" t="s">
        <v>544</v>
      </c>
      <c r="O2273" s="2" t="s">
        <v>524</v>
      </c>
      <c r="Y2273" s="2" t="s">
        <v>661</v>
      </c>
    </row>
    <row r="2274" spans="1:34" x14ac:dyDescent="0.25">
      <c r="A2274" s="2" t="s">
        <v>321</v>
      </c>
      <c r="B2274" s="2" t="s">
        <v>540</v>
      </c>
      <c r="C2274" s="2" t="s">
        <v>407</v>
      </c>
      <c r="D2274" s="2" t="s">
        <v>410</v>
      </c>
      <c r="E2274" s="2" t="s">
        <v>414</v>
      </c>
      <c r="F2274" s="2" t="s">
        <v>40</v>
      </c>
      <c r="J2274" s="2" t="s">
        <v>541</v>
      </c>
      <c r="K2274" s="2" t="s">
        <v>542</v>
      </c>
      <c r="L2274" s="2">
        <v>3</v>
      </c>
      <c r="M2274" s="2" t="s">
        <v>545</v>
      </c>
      <c r="O2274" s="2" t="s">
        <v>524</v>
      </c>
      <c r="Y2274" s="2" t="s">
        <v>661</v>
      </c>
    </row>
    <row r="2275" spans="1:34" x14ac:dyDescent="0.25">
      <c r="A2275" s="2" t="s">
        <v>321</v>
      </c>
      <c r="B2275" s="2" t="s">
        <v>540</v>
      </c>
      <c r="C2275" s="2" t="s">
        <v>407</v>
      </c>
      <c r="D2275" s="2" t="s">
        <v>410</v>
      </c>
      <c r="E2275" s="2" t="s">
        <v>414</v>
      </c>
      <c r="F2275" s="2" t="s">
        <v>40</v>
      </c>
      <c r="J2275" s="2" t="s">
        <v>541</v>
      </c>
      <c r="K2275" s="2" t="s">
        <v>542</v>
      </c>
      <c r="L2275" s="2">
        <v>4</v>
      </c>
      <c r="M2275" s="2" t="s">
        <v>546</v>
      </c>
      <c r="O2275" s="2" t="s">
        <v>524</v>
      </c>
      <c r="Y2275" s="2" t="s">
        <v>661</v>
      </c>
    </row>
    <row r="2276" spans="1:34" x14ac:dyDescent="0.25">
      <c r="A2276" s="2" t="s">
        <v>321</v>
      </c>
      <c r="B2276" s="2" t="s">
        <v>540</v>
      </c>
      <c r="C2276" s="2" t="s">
        <v>407</v>
      </c>
      <c r="D2276" s="2" t="s">
        <v>410</v>
      </c>
      <c r="E2276" s="2" t="s">
        <v>414</v>
      </c>
      <c r="F2276" s="2" t="s">
        <v>40</v>
      </c>
      <c r="J2276" s="2" t="s">
        <v>541</v>
      </c>
      <c r="K2276" s="2" t="s">
        <v>542</v>
      </c>
      <c r="L2276" s="2">
        <v>5</v>
      </c>
      <c r="M2276" s="2" t="s">
        <v>547</v>
      </c>
      <c r="O2276" s="2" t="s">
        <v>524</v>
      </c>
      <c r="Y2276" s="2" t="s">
        <v>661</v>
      </c>
    </row>
    <row r="2277" spans="1:34" x14ac:dyDescent="0.25">
      <c r="A2277" s="2" t="s">
        <v>321</v>
      </c>
      <c r="B2277" s="2" t="s">
        <v>540</v>
      </c>
      <c r="C2277" s="2" t="s">
        <v>407</v>
      </c>
      <c r="D2277" s="2" t="s">
        <v>410</v>
      </c>
      <c r="E2277" s="2" t="s">
        <v>414</v>
      </c>
      <c r="F2277" s="2" t="s">
        <v>40</v>
      </c>
      <c r="J2277" s="2" t="s">
        <v>541</v>
      </c>
      <c r="K2277" s="2" t="s">
        <v>542</v>
      </c>
      <c r="L2277" s="2">
        <v>6</v>
      </c>
      <c r="M2277" s="2" t="s">
        <v>548</v>
      </c>
      <c r="O2277" s="2" t="s">
        <v>524</v>
      </c>
      <c r="Y2277" s="2" t="s">
        <v>661</v>
      </c>
    </row>
    <row r="2278" spans="1:34" x14ac:dyDescent="0.25">
      <c r="A2278" s="2" t="s">
        <v>321</v>
      </c>
      <c r="B2278" s="2" t="s">
        <v>540</v>
      </c>
      <c r="C2278" s="2" t="s">
        <v>407</v>
      </c>
      <c r="D2278" s="2" t="s">
        <v>410</v>
      </c>
      <c r="E2278" s="2" t="s">
        <v>414</v>
      </c>
      <c r="F2278" s="2" t="s">
        <v>40</v>
      </c>
      <c r="J2278" s="2" t="s">
        <v>541</v>
      </c>
      <c r="K2278" s="2" t="s">
        <v>542</v>
      </c>
      <c r="L2278" s="2">
        <v>7</v>
      </c>
      <c r="M2278" s="2" t="s">
        <v>549</v>
      </c>
      <c r="O2278" s="2" t="s">
        <v>524</v>
      </c>
      <c r="Y2278" s="2" t="s">
        <v>661</v>
      </c>
    </row>
    <row r="2279" spans="1:34" x14ac:dyDescent="0.25">
      <c r="A2279" s="2" t="s">
        <v>321</v>
      </c>
      <c r="B2279" s="2" t="s">
        <v>540</v>
      </c>
      <c r="C2279" s="2" t="s">
        <v>407</v>
      </c>
      <c r="D2279" s="2" t="s">
        <v>410</v>
      </c>
      <c r="E2279" s="2" t="s">
        <v>414</v>
      </c>
      <c r="F2279" s="2" t="s">
        <v>40</v>
      </c>
      <c r="J2279" s="2" t="s">
        <v>541</v>
      </c>
      <c r="K2279" s="2" t="s">
        <v>542</v>
      </c>
      <c r="L2279" s="2">
        <v>8</v>
      </c>
      <c r="M2279" s="2" t="s">
        <v>550</v>
      </c>
      <c r="O2279" s="2" t="s">
        <v>524</v>
      </c>
      <c r="Y2279" s="2" t="s">
        <v>661</v>
      </c>
    </row>
    <row r="2280" spans="1:34" x14ac:dyDescent="0.25">
      <c r="A2280" s="2" t="s">
        <v>321</v>
      </c>
      <c r="B2280" s="2" t="s">
        <v>540</v>
      </c>
      <c r="C2280" s="2" t="s">
        <v>407</v>
      </c>
      <c r="D2280" s="2" t="s">
        <v>410</v>
      </c>
      <c r="E2280" s="2" t="s">
        <v>414</v>
      </c>
      <c r="F2280" s="2" t="s">
        <v>40</v>
      </c>
      <c r="J2280" s="2" t="s">
        <v>541</v>
      </c>
      <c r="K2280" s="2" t="s">
        <v>542</v>
      </c>
      <c r="L2280" s="2">
        <v>9</v>
      </c>
      <c r="M2280" s="2" t="s">
        <v>551</v>
      </c>
      <c r="O2280" s="2" t="s">
        <v>524</v>
      </c>
      <c r="Y2280" s="2" t="s">
        <v>661</v>
      </c>
    </row>
    <row r="2281" spans="1:34" x14ac:dyDescent="0.25">
      <c r="A2281" s="2" t="s">
        <v>321</v>
      </c>
      <c r="B2281" s="2" t="s">
        <v>540</v>
      </c>
      <c r="C2281" s="2" t="s">
        <v>407</v>
      </c>
      <c r="D2281" s="2" t="s">
        <v>410</v>
      </c>
      <c r="E2281" s="2" t="s">
        <v>414</v>
      </c>
      <c r="F2281" s="2" t="s">
        <v>40</v>
      </c>
      <c r="J2281" s="2" t="s">
        <v>541</v>
      </c>
      <c r="K2281" s="2" t="s">
        <v>542</v>
      </c>
      <c r="L2281" s="2">
        <v>10</v>
      </c>
      <c r="M2281" s="2" t="s">
        <v>552</v>
      </c>
      <c r="O2281" s="2" t="s">
        <v>524</v>
      </c>
      <c r="Y2281" s="2" t="s">
        <v>661</v>
      </c>
    </row>
    <row r="2282" spans="1:34" x14ac:dyDescent="0.25">
      <c r="A2282" s="2" t="s">
        <v>321</v>
      </c>
      <c r="B2282" s="2" t="s">
        <v>540</v>
      </c>
      <c r="C2282" s="2" t="s">
        <v>407</v>
      </c>
      <c r="D2282" s="2" t="s">
        <v>410</v>
      </c>
      <c r="E2282" s="2" t="s">
        <v>414</v>
      </c>
      <c r="F2282" s="2" t="s">
        <v>40</v>
      </c>
      <c r="J2282" s="2" t="s">
        <v>541</v>
      </c>
      <c r="K2282" s="2" t="s">
        <v>542</v>
      </c>
      <c r="L2282" s="2">
        <v>11</v>
      </c>
      <c r="M2282" s="2" t="s">
        <v>553</v>
      </c>
      <c r="O2282" s="2" t="s">
        <v>524</v>
      </c>
      <c r="Y2282" s="2" t="s">
        <v>661</v>
      </c>
    </row>
    <row r="2283" spans="1:34" x14ac:dyDescent="0.25">
      <c r="A2283" s="2" t="s">
        <v>321</v>
      </c>
      <c r="B2283" s="2" t="s">
        <v>540</v>
      </c>
      <c r="C2283" s="2" t="s">
        <v>407</v>
      </c>
      <c r="D2283" s="2" t="s">
        <v>410</v>
      </c>
      <c r="E2283" s="2" t="s">
        <v>414</v>
      </c>
      <c r="F2283" s="2" t="s">
        <v>40</v>
      </c>
      <c r="J2283" s="2" t="s">
        <v>541</v>
      </c>
      <c r="K2283" s="2" t="s">
        <v>542</v>
      </c>
      <c r="L2283" s="2">
        <v>12</v>
      </c>
      <c r="M2283" s="2" t="s">
        <v>554</v>
      </c>
      <c r="O2283" s="2" t="s">
        <v>524</v>
      </c>
      <c r="Y2283" s="2" t="s">
        <v>661</v>
      </c>
    </row>
    <row r="2284" spans="1:34" x14ac:dyDescent="0.25">
      <c r="A2284" s="2" t="s">
        <v>321</v>
      </c>
      <c r="B2284" s="2" t="s">
        <v>555</v>
      </c>
      <c r="C2284" s="2" t="s">
        <v>407</v>
      </c>
      <c r="D2284" s="2" t="s">
        <v>410</v>
      </c>
      <c r="E2284" s="2" t="s">
        <v>414</v>
      </c>
      <c r="F2284" s="2" t="s">
        <v>40</v>
      </c>
      <c r="J2284" s="2" t="s">
        <v>556</v>
      </c>
      <c r="O2284" s="2" t="s">
        <v>524</v>
      </c>
      <c r="Y2284" s="2" t="s">
        <v>661</v>
      </c>
      <c r="AB2284" s="2">
        <v>2</v>
      </c>
    </row>
    <row r="2285" spans="1:34" x14ac:dyDescent="0.25">
      <c r="A2285" s="2" t="s">
        <v>321</v>
      </c>
      <c r="B2285" s="2" t="s">
        <v>557</v>
      </c>
      <c r="C2285" s="2" t="s">
        <v>407</v>
      </c>
      <c r="D2285" s="2" t="s">
        <v>410</v>
      </c>
      <c r="E2285" s="2" t="s">
        <v>414</v>
      </c>
      <c r="F2285" s="2" t="s">
        <v>40</v>
      </c>
      <c r="J2285" s="2" t="s">
        <v>558</v>
      </c>
      <c r="O2285" s="2" t="s">
        <v>524</v>
      </c>
      <c r="Y2285" s="2" t="s">
        <v>661</v>
      </c>
      <c r="AC2285" s="2">
        <f>COUNTIFS($B:$B,"BLOCK_LOAD_Q",$A:$A,$A2285,$C:$C,$C2285,$E:$E,$E2285,$F:$F,$F2285,$N:$N, "&lt;&gt;")</f>
        <v>0</v>
      </c>
      <c r="AD2285" s="2">
        <f>COUNTIFS($B:$B,"BLOCK_TRUST_Q",$A:$A,$A2285,$C:$C,$C2285,$E:$E,$E2285,$F:$F,$F2285,$N:$N, "&lt;&gt;")</f>
        <v>0</v>
      </c>
      <c r="AE2285" s="2" t="str">
        <f>IFERROR(AVERAGEIFS($P:$P,$B:$B,"BLOCK_LOAD_Q",$A:$A,$A2285,$C:$C,$C2285,$E:$E,$E2285,$F:$F,$F2285,$P:$P,"&gt;0"),"")</f>
        <v/>
      </c>
      <c r="AF2285" s="2" t="str">
        <f>IFERROR(AVERAGEIFS($P:$P,$B:$B,"BLOCK_TRUST_Q",$A:$A,$A2285,$C:$C,$C2285,$E:$E,$E2285,$F:$F,$F2285,$P:$P,"&gt;0"),"")</f>
        <v/>
      </c>
      <c r="AG2285" s="2">
        <f>5-AC2285</f>
        <v>5</v>
      </c>
      <c r="AH2285" s="2">
        <f>12-AD2285</f>
        <v>12</v>
      </c>
    </row>
    <row r="2286" spans="1:34" x14ac:dyDescent="0.25">
      <c r="A2286" s="2" t="s">
        <v>321</v>
      </c>
      <c r="B2286" s="2" t="s">
        <v>403</v>
      </c>
      <c r="C2286" s="2" t="s">
        <v>407</v>
      </c>
      <c r="D2286" s="2" t="s">
        <v>410</v>
      </c>
      <c r="Z2286" s="2" t="s">
        <v>465</v>
      </c>
    </row>
    <row r="2287" spans="1:34" x14ac:dyDescent="0.25">
      <c r="A2287" s="2" t="s">
        <v>321</v>
      </c>
      <c r="B2287" s="2" t="s">
        <v>402</v>
      </c>
      <c r="C2287" s="2" t="s">
        <v>408</v>
      </c>
      <c r="D2287" s="2" t="s">
        <v>411</v>
      </c>
      <c r="E2287" s="2" t="s">
        <v>413</v>
      </c>
      <c r="F2287" s="2" t="s">
        <v>40</v>
      </c>
      <c r="G2287" s="2" t="s">
        <v>415</v>
      </c>
      <c r="H2287" s="2" t="s">
        <v>357</v>
      </c>
      <c r="S2287" s="2" t="s">
        <v>59</v>
      </c>
      <c r="U2287" s="2" t="s">
        <v>60</v>
      </c>
      <c r="W2287" s="2" t="s">
        <v>57</v>
      </c>
    </row>
    <row r="2288" spans="1:34" x14ac:dyDescent="0.25">
      <c r="A2288" s="2" t="s">
        <v>321</v>
      </c>
      <c r="B2288" s="2" t="s">
        <v>402</v>
      </c>
      <c r="C2288" s="2" t="s">
        <v>408</v>
      </c>
      <c r="D2288" s="2" t="s">
        <v>411</v>
      </c>
      <c r="E2288" s="2" t="s">
        <v>413</v>
      </c>
      <c r="F2288" s="2" t="s">
        <v>40</v>
      </c>
      <c r="G2288" s="2" t="s">
        <v>416</v>
      </c>
      <c r="H2288" s="2" t="s">
        <v>348</v>
      </c>
      <c r="S2288" s="2" t="s">
        <v>58</v>
      </c>
      <c r="U2288" s="2" t="s">
        <v>59</v>
      </c>
      <c r="W2288" s="2" t="s">
        <v>59</v>
      </c>
    </row>
    <row r="2289" spans="1:25" x14ac:dyDescent="0.25">
      <c r="A2289" s="2" t="s">
        <v>321</v>
      </c>
      <c r="B2289" s="2" t="s">
        <v>402</v>
      </c>
      <c r="C2289" s="2" t="s">
        <v>408</v>
      </c>
      <c r="D2289" s="2" t="s">
        <v>411</v>
      </c>
      <c r="E2289" s="2" t="s">
        <v>413</v>
      </c>
      <c r="F2289" s="2" t="s">
        <v>40</v>
      </c>
      <c r="G2289" s="2" t="s">
        <v>417</v>
      </c>
      <c r="H2289" s="2" t="s">
        <v>562</v>
      </c>
      <c r="S2289" s="2" t="s">
        <v>59</v>
      </c>
      <c r="U2289" s="2" t="s">
        <v>57</v>
      </c>
      <c r="W2289" s="2" t="s">
        <v>57</v>
      </c>
    </row>
    <row r="2290" spans="1:25" x14ac:dyDescent="0.25">
      <c r="A2290" s="2" t="s">
        <v>321</v>
      </c>
      <c r="B2290" s="2" t="s">
        <v>402</v>
      </c>
      <c r="C2290" s="2" t="s">
        <v>408</v>
      </c>
      <c r="D2290" s="2" t="s">
        <v>411</v>
      </c>
      <c r="E2290" s="2" t="s">
        <v>413</v>
      </c>
      <c r="F2290" s="2" t="s">
        <v>40</v>
      </c>
      <c r="G2290" s="2" t="s">
        <v>418</v>
      </c>
      <c r="H2290" s="2" t="s">
        <v>563</v>
      </c>
      <c r="S2290" s="2" t="s">
        <v>57</v>
      </c>
      <c r="U2290" s="2" t="s">
        <v>60</v>
      </c>
      <c r="W2290" s="2" t="s">
        <v>60</v>
      </c>
    </row>
    <row r="2291" spans="1:25" x14ac:dyDescent="0.25">
      <c r="A2291" s="2" t="s">
        <v>321</v>
      </c>
      <c r="B2291" s="2" t="s">
        <v>531</v>
      </c>
      <c r="C2291" s="2" t="s">
        <v>408</v>
      </c>
      <c r="D2291" s="2" t="s">
        <v>411</v>
      </c>
      <c r="E2291" s="2" t="s">
        <v>413</v>
      </c>
      <c r="F2291" s="2" t="s">
        <v>40</v>
      </c>
      <c r="J2291" s="2" t="s">
        <v>532</v>
      </c>
      <c r="K2291" s="2" t="s">
        <v>533</v>
      </c>
      <c r="L2291" s="2">
        <v>1</v>
      </c>
      <c r="M2291" s="2" t="s">
        <v>534</v>
      </c>
      <c r="O2291" s="2" t="s">
        <v>524</v>
      </c>
      <c r="Y2291" s="2" t="s">
        <v>662</v>
      </c>
    </row>
    <row r="2292" spans="1:25" x14ac:dyDescent="0.25">
      <c r="A2292" s="2" t="s">
        <v>321</v>
      </c>
      <c r="B2292" s="2" t="s">
        <v>531</v>
      </c>
      <c r="C2292" s="2" t="s">
        <v>408</v>
      </c>
      <c r="D2292" s="2" t="s">
        <v>411</v>
      </c>
      <c r="E2292" s="2" t="s">
        <v>413</v>
      </c>
      <c r="F2292" s="2" t="s">
        <v>40</v>
      </c>
      <c r="J2292" s="2" t="s">
        <v>532</v>
      </c>
      <c r="K2292" s="2" t="s">
        <v>533</v>
      </c>
      <c r="L2292" s="2">
        <v>2</v>
      </c>
      <c r="M2292" s="2" t="s">
        <v>536</v>
      </c>
      <c r="O2292" s="2" t="s">
        <v>524</v>
      </c>
      <c r="Y2292" s="2" t="s">
        <v>662</v>
      </c>
    </row>
    <row r="2293" spans="1:25" x14ac:dyDescent="0.25">
      <c r="A2293" s="2" t="s">
        <v>321</v>
      </c>
      <c r="B2293" s="2" t="s">
        <v>531</v>
      </c>
      <c r="C2293" s="2" t="s">
        <v>408</v>
      </c>
      <c r="D2293" s="2" t="s">
        <v>411</v>
      </c>
      <c r="E2293" s="2" t="s">
        <v>413</v>
      </c>
      <c r="F2293" s="2" t="s">
        <v>40</v>
      </c>
      <c r="J2293" s="2" t="s">
        <v>532</v>
      </c>
      <c r="K2293" s="2" t="s">
        <v>533</v>
      </c>
      <c r="L2293" s="2">
        <v>3</v>
      </c>
      <c r="M2293" s="2" t="s">
        <v>537</v>
      </c>
      <c r="O2293" s="2" t="s">
        <v>524</v>
      </c>
      <c r="Y2293" s="2" t="s">
        <v>662</v>
      </c>
    </row>
    <row r="2294" spans="1:25" x14ac:dyDescent="0.25">
      <c r="A2294" s="2" t="s">
        <v>321</v>
      </c>
      <c r="B2294" s="2" t="s">
        <v>531</v>
      </c>
      <c r="C2294" s="2" t="s">
        <v>408</v>
      </c>
      <c r="D2294" s="2" t="s">
        <v>411</v>
      </c>
      <c r="E2294" s="2" t="s">
        <v>413</v>
      </c>
      <c r="F2294" s="2" t="s">
        <v>40</v>
      </c>
      <c r="J2294" s="2" t="s">
        <v>532</v>
      </c>
      <c r="K2294" s="2" t="s">
        <v>533</v>
      </c>
      <c r="L2294" s="2">
        <v>4</v>
      </c>
      <c r="M2294" s="2" t="s">
        <v>538</v>
      </c>
      <c r="O2294" s="2" t="s">
        <v>524</v>
      </c>
      <c r="Y2294" s="2" t="s">
        <v>662</v>
      </c>
    </row>
    <row r="2295" spans="1:25" x14ac:dyDescent="0.25">
      <c r="A2295" s="2" t="s">
        <v>321</v>
      </c>
      <c r="B2295" s="2" t="s">
        <v>531</v>
      </c>
      <c r="C2295" s="2" t="s">
        <v>408</v>
      </c>
      <c r="D2295" s="2" t="s">
        <v>411</v>
      </c>
      <c r="E2295" s="2" t="s">
        <v>413</v>
      </c>
      <c r="F2295" s="2" t="s">
        <v>40</v>
      </c>
      <c r="J2295" s="2" t="s">
        <v>532</v>
      </c>
      <c r="K2295" s="2" t="s">
        <v>533</v>
      </c>
      <c r="L2295" s="2">
        <v>5</v>
      </c>
      <c r="M2295" s="2" t="s">
        <v>539</v>
      </c>
      <c r="O2295" s="2" t="s">
        <v>524</v>
      </c>
      <c r="Y2295" s="2" t="s">
        <v>662</v>
      </c>
    </row>
    <row r="2296" spans="1:25" x14ac:dyDescent="0.25">
      <c r="A2296" s="2" t="s">
        <v>321</v>
      </c>
      <c r="B2296" s="2" t="s">
        <v>540</v>
      </c>
      <c r="C2296" s="2" t="s">
        <v>408</v>
      </c>
      <c r="D2296" s="2" t="s">
        <v>411</v>
      </c>
      <c r="E2296" s="2" t="s">
        <v>413</v>
      </c>
      <c r="F2296" s="2" t="s">
        <v>40</v>
      </c>
      <c r="J2296" s="2" t="s">
        <v>541</v>
      </c>
      <c r="K2296" s="2" t="s">
        <v>542</v>
      </c>
      <c r="L2296" s="2">
        <v>1</v>
      </c>
      <c r="M2296" s="2" t="s">
        <v>543</v>
      </c>
      <c r="O2296" s="2" t="s">
        <v>524</v>
      </c>
      <c r="Y2296" s="2" t="s">
        <v>662</v>
      </c>
    </row>
    <row r="2297" spans="1:25" x14ac:dyDescent="0.25">
      <c r="A2297" s="2" t="s">
        <v>321</v>
      </c>
      <c r="B2297" s="2" t="s">
        <v>540</v>
      </c>
      <c r="C2297" s="2" t="s">
        <v>408</v>
      </c>
      <c r="D2297" s="2" t="s">
        <v>411</v>
      </c>
      <c r="E2297" s="2" t="s">
        <v>413</v>
      </c>
      <c r="F2297" s="2" t="s">
        <v>40</v>
      </c>
      <c r="J2297" s="2" t="s">
        <v>541</v>
      </c>
      <c r="K2297" s="2" t="s">
        <v>542</v>
      </c>
      <c r="L2297" s="2">
        <v>2</v>
      </c>
      <c r="M2297" s="2" t="s">
        <v>544</v>
      </c>
      <c r="O2297" s="2" t="s">
        <v>524</v>
      </c>
      <c r="Y2297" s="2" t="s">
        <v>662</v>
      </c>
    </row>
    <row r="2298" spans="1:25" x14ac:dyDescent="0.25">
      <c r="A2298" s="2" t="s">
        <v>321</v>
      </c>
      <c r="B2298" s="2" t="s">
        <v>540</v>
      </c>
      <c r="C2298" s="2" t="s">
        <v>408</v>
      </c>
      <c r="D2298" s="2" t="s">
        <v>411</v>
      </c>
      <c r="E2298" s="2" t="s">
        <v>413</v>
      </c>
      <c r="F2298" s="2" t="s">
        <v>40</v>
      </c>
      <c r="J2298" s="2" t="s">
        <v>541</v>
      </c>
      <c r="K2298" s="2" t="s">
        <v>542</v>
      </c>
      <c r="L2298" s="2">
        <v>3</v>
      </c>
      <c r="M2298" s="2" t="s">
        <v>545</v>
      </c>
      <c r="O2298" s="2" t="s">
        <v>524</v>
      </c>
      <c r="Y2298" s="2" t="s">
        <v>662</v>
      </c>
    </row>
    <row r="2299" spans="1:25" x14ac:dyDescent="0.25">
      <c r="A2299" s="2" t="s">
        <v>321</v>
      </c>
      <c r="B2299" s="2" t="s">
        <v>540</v>
      </c>
      <c r="C2299" s="2" t="s">
        <v>408</v>
      </c>
      <c r="D2299" s="2" t="s">
        <v>411</v>
      </c>
      <c r="E2299" s="2" t="s">
        <v>413</v>
      </c>
      <c r="F2299" s="2" t="s">
        <v>40</v>
      </c>
      <c r="J2299" s="2" t="s">
        <v>541</v>
      </c>
      <c r="K2299" s="2" t="s">
        <v>542</v>
      </c>
      <c r="L2299" s="2">
        <v>4</v>
      </c>
      <c r="M2299" s="2" t="s">
        <v>546</v>
      </c>
      <c r="O2299" s="2" t="s">
        <v>524</v>
      </c>
      <c r="Y2299" s="2" t="s">
        <v>662</v>
      </c>
    </row>
    <row r="2300" spans="1:25" x14ac:dyDescent="0.25">
      <c r="A2300" s="2" t="s">
        <v>321</v>
      </c>
      <c r="B2300" s="2" t="s">
        <v>540</v>
      </c>
      <c r="C2300" s="2" t="s">
        <v>408</v>
      </c>
      <c r="D2300" s="2" t="s">
        <v>411</v>
      </c>
      <c r="E2300" s="2" t="s">
        <v>413</v>
      </c>
      <c r="F2300" s="2" t="s">
        <v>40</v>
      </c>
      <c r="J2300" s="2" t="s">
        <v>541</v>
      </c>
      <c r="K2300" s="2" t="s">
        <v>542</v>
      </c>
      <c r="L2300" s="2">
        <v>5</v>
      </c>
      <c r="M2300" s="2" t="s">
        <v>547</v>
      </c>
      <c r="O2300" s="2" t="s">
        <v>524</v>
      </c>
      <c r="Y2300" s="2" t="s">
        <v>662</v>
      </c>
    </row>
    <row r="2301" spans="1:25" x14ac:dyDescent="0.25">
      <c r="A2301" s="2" t="s">
        <v>321</v>
      </c>
      <c r="B2301" s="2" t="s">
        <v>540</v>
      </c>
      <c r="C2301" s="2" t="s">
        <v>408</v>
      </c>
      <c r="D2301" s="2" t="s">
        <v>411</v>
      </c>
      <c r="E2301" s="2" t="s">
        <v>413</v>
      </c>
      <c r="F2301" s="2" t="s">
        <v>40</v>
      </c>
      <c r="J2301" s="2" t="s">
        <v>541</v>
      </c>
      <c r="K2301" s="2" t="s">
        <v>542</v>
      </c>
      <c r="L2301" s="2">
        <v>6</v>
      </c>
      <c r="M2301" s="2" t="s">
        <v>548</v>
      </c>
      <c r="O2301" s="2" t="s">
        <v>524</v>
      </c>
      <c r="Y2301" s="2" t="s">
        <v>662</v>
      </c>
    </row>
    <row r="2302" spans="1:25" x14ac:dyDescent="0.25">
      <c r="A2302" s="2" t="s">
        <v>321</v>
      </c>
      <c r="B2302" s="2" t="s">
        <v>540</v>
      </c>
      <c r="C2302" s="2" t="s">
        <v>408</v>
      </c>
      <c r="D2302" s="2" t="s">
        <v>411</v>
      </c>
      <c r="E2302" s="2" t="s">
        <v>413</v>
      </c>
      <c r="F2302" s="2" t="s">
        <v>40</v>
      </c>
      <c r="J2302" s="2" t="s">
        <v>541</v>
      </c>
      <c r="K2302" s="2" t="s">
        <v>542</v>
      </c>
      <c r="L2302" s="2">
        <v>7</v>
      </c>
      <c r="M2302" s="2" t="s">
        <v>549</v>
      </c>
      <c r="O2302" s="2" t="s">
        <v>524</v>
      </c>
      <c r="Y2302" s="2" t="s">
        <v>662</v>
      </c>
    </row>
    <row r="2303" spans="1:25" x14ac:dyDescent="0.25">
      <c r="A2303" s="2" t="s">
        <v>321</v>
      </c>
      <c r="B2303" s="2" t="s">
        <v>540</v>
      </c>
      <c r="C2303" s="2" t="s">
        <v>408</v>
      </c>
      <c r="D2303" s="2" t="s">
        <v>411</v>
      </c>
      <c r="E2303" s="2" t="s">
        <v>413</v>
      </c>
      <c r="F2303" s="2" t="s">
        <v>40</v>
      </c>
      <c r="J2303" s="2" t="s">
        <v>541</v>
      </c>
      <c r="K2303" s="2" t="s">
        <v>542</v>
      </c>
      <c r="L2303" s="2">
        <v>8</v>
      </c>
      <c r="M2303" s="2" t="s">
        <v>550</v>
      </c>
      <c r="O2303" s="2" t="s">
        <v>524</v>
      </c>
      <c r="Y2303" s="2" t="s">
        <v>662</v>
      </c>
    </row>
    <row r="2304" spans="1:25" x14ac:dyDescent="0.25">
      <c r="A2304" s="2" t="s">
        <v>321</v>
      </c>
      <c r="B2304" s="2" t="s">
        <v>540</v>
      </c>
      <c r="C2304" s="2" t="s">
        <v>408</v>
      </c>
      <c r="D2304" s="2" t="s">
        <v>411</v>
      </c>
      <c r="E2304" s="2" t="s">
        <v>413</v>
      </c>
      <c r="F2304" s="2" t="s">
        <v>40</v>
      </c>
      <c r="J2304" s="2" t="s">
        <v>541</v>
      </c>
      <c r="K2304" s="2" t="s">
        <v>542</v>
      </c>
      <c r="L2304" s="2">
        <v>9</v>
      </c>
      <c r="M2304" s="2" t="s">
        <v>551</v>
      </c>
      <c r="O2304" s="2" t="s">
        <v>524</v>
      </c>
      <c r="Y2304" s="2" t="s">
        <v>662</v>
      </c>
    </row>
    <row r="2305" spans="1:34" x14ac:dyDescent="0.25">
      <c r="A2305" s="2" t="s">
        <v>321</v>
      </c>
      <c r="B2305" s="2" t="s">
        <v>540</v>
      </c>
      <c r="C2305" s="2" t="s">
        <v>408</v>
      </c>
      <c r="D2305" s="2" t="s">
        <v>411</v>
      </c>
      <c r="E2305" s="2" t="s">
        <v>413</v>
      </c>
      <c r="F2305" s="2" t="s">
        <v>40</v>
      </c>
      <c r="J2305" s="2" t="s">
        <v>541</v>
      </c>
      <c r="K2305" s="2" t="s">
        <v>542</v>
      </c>
      <c r="L2305" s="2">
        <v>10</v>
      </c>
      <c r="M2305" s="2" t="s">
        <v>552</v>
      </c>
      <c r="O2305" s="2" t="s">
        <v>524</v>
      </c>
      <c r="Y2305" s="2" t="s">
        <v>662</v>
      </c>
    </row>
    <row r="2306" spans="1:34" x14ac:dyDescent="0.25">
      <c r="A2306" s="2" t="s">
        <v>321</v>
      </c>
      <c r="B2306" s="2" t="s">
        <v>540</v>
      </c>
      <c r="C2306" s="2" t="s">
        <v>408</v>
      </c>
      <c r="D2306" s="2" t="s">
        <v>411</v>
      </c>
      <c r="E2306" s="2" t="s">
        <v>413</v>
      </c>
      <c r="F2306" s="2" t="s">
        <v>40</v>
      </c>
      <c r="J2306" s="2" t="s">
        <v>541</v>
      </c>
      <c r="K2306" s="2" t="s">
        <v>542</v>
      </c>
      <c r="L2306" s="2">
        <v>11</v>
      </c>
      <c r="M2306" s="2" t="s">
        <v>553</v>
      </c>
      <c r="O2306" s="2" t="s">
        <v>524</v>
      </c>
      <c r="Y2306" s="2" t="s">
        <v>662</v>
      </c>
    </row>
    <row r="2307" spans="1:34" x14ac:dyDescent="0.25">
      <c r="A2307" s="2" t="s">
        <v>321</v>
      </c>
      <c r="B2307" s="2" t="s">
        <v>540</v>
      </c>
      <c r="C2307" s="2" t="s">
        <v>408</v>
      </c>
      <c r="D2307" s="2" t="s">
        <v>411</v>
      </c>
      <c r="E2307" s="2" t="s">
        <v>413</v>
      </c>
      <c r="F2307" s="2" t="s">
        <v>40</v>
      </c>
      <c r="J2307" s="2" t="s">
        <v>541</v>
      </c>
      <c r="K2307" s="2" t="s">
        <v>542</v>
      </c>
      <c r="L2307" s="2">
        <v>12</v>
      </c>
      <c r="M2307" s="2" t="s">
        <v>554</v>
      </c>
      <c r="O2307" s="2" t="s">
        <v>524</v>
      </c>
      <c r="Y2307" s="2" t="s">
        <v>662</v>
      </c>
    </row>
    <row r="2308" spans="1:34" x14ac:dyDescent="0.25">
      <c r="A2308" s="2" t="s">
        <v>321</v>
      </c>
      <c r="B2308" s="2" t="s">
        <v>555</v>
      </c>
      <c r="C2308" s="2" t="s">
        <v>408</v>
      </c>
      <c r="D2308" s="2" t="s">
        <v>411</v>
      </c>
      <c r="E2308" s="2" t="s">
        <v>413</v>
      </c>
      <c r="F2308" s="2" t="s">
        <v>40</v>
      </c>
      <c r="J2308" s="2" t="s">
        <v>556</v>
      </c>
      <c r="O2308" s="2" t="s">
        <v>524</v>
      </c>
      <c r="Y2308" s="2" t="s">
        <v>662</v>
      </c>
      <c r="AB2308" s="2">
        <v>2</v>
      </c>
    </row>
    <row r="2309" spans="1:34" x14ac:dyDescent="0.25">
      <c r="A2309" s="2" t="s">
        <v>321</v>
      </c>
      <c r="B2309" s="2" t="s">
        <v>557</v>
      </c>
      <c r="C2309" s="2" t="s">
        <v>408</v>
      </c>
      <c r="D2309" s="2" t="s">
        <v>411</v>
      </c>
      <c r="E2309" s="2" t="s">
        <v>413</v>
      </c>
      <c r="F2309" s="2" t="s">
        <v>40</v>
      </c>
      <c r="J2309" s="2" t="s">
        <v>558</v>
      </c>
      <c r="O2309" s="2" t="s">
        <v>524</v>
      </c>
      <c r="Y2309" s="2" t="s">
        <v>662</v>
      </c>
      <c r="AC2309" s="2">
        <f>COUNTIFS($B:$B,"BLOCK_LOAD_Q",$A:$A,$A2309,$C:$C,$C2309,$E:$E,$E2309,$F:$F,$F2309,$N:$N, "&lt;&gt;")</f>
        <v>0</v>
      </c>
      <c r="AD2309" s="2">
        <f>COUNTIFS($B:$B,"BLOCK_TRUST_Q",$A:$A,$A2309,$C:$C,$C2309,$E:$E,$E2309,$F:$F,$F2309,$N:$N, "&lt;&gt;")</f>
        <v>0</v>
      </c>
      <c r="AE2309" s="2" t="str">
        <f>IFERROR(AVERAGEIFS($P:$P,$B:$B,"BLOCK_LOAD_Q",$A:$A,$A2309,$C:$C,$C2309,$E:$E,$E2309,$F:$F,$F2309,$P:$P,"&gt;0"),"")</f>
        <v/>
      </c>
      <c r="AF2309" s="2" t="str">
        <f>IFERROR(AVERAGEIFS($P:$P,$B:$B,"BLOCK_TRUST_Q",$A:$A,$A2309,$C:$C,$C2309,$E:$E,$E2309,$F:$F,$F2309,$P:$P,"&gt;0"),"")</f>
        <v/>
      </c>
      <c r="AG2309" s="2">
        <f>5-AC2309</f>
        <v>5</v>
      </c>
      <c r="AH2309" s="2">
        <f>12-AD2309</f>
        <v>12</v>
      </c>
    </row>
    <row r="2310" spans="1:34" x14ac:dyDescent="0.25">
      <c r="A2310" s="2" t="s">
        <v>321</v>
      </c>
      <c r="B2310" s="2" t="s">
        <v>402</v>
      </c>
      <c r="C2310" s="2" t="s">
        <v>408</v>
      </c>
      <c r="D2310" s="2" t="s">
        <v>411</v>
      </c>
      <c r="E2310" s="2" t="s">
        <v>414</v>
      </c>
      <c r="F2310" s="2" t="s">
        <v>39</v>
      </c>
      <c r="G2310" s="2" t="s">
        <v>415</v>
      </c>
      <c r="H2310" s="2" t="s">
        <v>349</v>
      </c>
      <c r="S2310" s="2" t="s">
        <v>58</v>
      </c>
      <c r="U2310" s="2" t="s">
        <v>60</v>
      </c>
      <c r="W2310" s="2" t="s">
        <v>58</v>
      </c>
    </row>
    <row r="2311" spans="1:34" x14ac:dyDescent="0.25">
      <c r="A2311" s="2" t="s">
        <v>321</v>
      </c>
      <c r="B2311" s="2" t="s">
        <v>402</v>
      </c>
      <c r="C2311" s="2" t="s">
        <v>408</v>
      </c>
      <c r="D2311" s="2" t="s">
        <v>411</v>
      </c>
      <c r="E2311" s="2" t="s">
        <v>414</v>
      </c>
      <c r="F2311" s="2" t="s">
        <v>39</v>
      </c>
      <c r="G2311" s="2" t="s">
        <v>416</v>
      </c>
      <c r="H2311" s="2" t="s">
        <v>565</v>
      </c>
      <c r="S2311" s="2" t="s">
        <v>59</v>
      </c>
      <c r="U2311" s="2" t="s">
        <v>60</v>
      </c>
      <c r="W2311" s="2" t="s">
        <v>60</v>
      </c>
    </row>
    <row r="2312" spans="1:34" x14ac:dyDescent="0.25">
      <c r="A2312" s="2" t="s">
        <v>321</v>
      </c>
      <c r="B2312" s="2" t="s">
        <v>402</v>
      </c>
      <c r="C2312" s="2" t="s">
        <v>408</v>
      </c>
      <c r="D2312" s="2" t="s">
        <v>411</v>
      </c>
      <c r="E2312" s="2" t="s">
        <v>414</v>
      </c>
      <c r="F2312" s="2" t="s">
        <v>39</v>
      </c>
      <c r="G2312" s="2" t="s">
        <v>417</v>
      </c>
      <c r="H2312" s="2" t="s">
        <v>361</v>
      </c>
      <c r="S2312" s="2" t="s">
        <v>60</v>
      </c>
      <c r="U2312" s="2" t="s">
        <v>60</v>
      </c>
      <c r="W2312" s="2" t="s">
        <v>60</v>
      </c>
    </row>
    <row r="2313" spans="1:34" x14ac:dyDescent="0.25">
      <c r="A2313" s="2" t="s">
        <v>321</v>
      </c>
      <c r="B2313" s="2" t="s">
        <v>402</v>
      </c>
      <c r="C2313" s="2" t="s">
        <v>408</v>
      </c>
      <c r="D2313" s="2" t="s">
        <v>411</v>
      </c>
      <c r="E2313" s="2" t="s">
        <v>414</v>
      </c>
      <c r="F2313" s="2" t="s">
        <v>39</v>
      </c>
      <c r="G2313" s="2" t="s">
        <v>418</v>
      </c>
      <c r="H2313" s="2" t="s">
        <v>353</v>
      </c>
      <c r="S2313" s="2" t="s">
        <v>58</v>
      </c>
      <c r="U2313" s="2" t="s">
        <v>59</v>
      </c>
      <c r="W2313" s="2" t="s">
        <v>58</v>
      </c>
    </row>
    <row r="2314" spans="1:34" x14ac:dyDescent="0.25">
      <c r="A2314" s="2" t="s">
        <v>321</v>
      </c>
      <c r="B2314" s="2" t="s">
        <v>402</v>
      </c>
      <c r="C2314" s="2" t="s">
        <v>408</v>
      </c>
      <c r="D2314" s="2" t="s">
        <v>411</v>
      </c>
      <c r="E2314" s="2" t="s">
        <v>414</v>
      </c>
      <c r="F2314" s="2" t="s">
        <v>39</v>
      </c>
      <c r="G2314" s="2" t="s">
        <v>419</v>
      </c>
      <c r="H2314" s="2" t="s">
        <v>371</v>
      </c>
      <c r="S2314" s="2" t="s">
        <v>60</v>
      </c>
      <c r="U2314" s="2" t="s">
        <v>59</v>
      </c>
      <c r="W2314" s="2" t="s">
        <v>57</v>
      </c>
    </row>
    <row r="2315" spans="1:34" x14ac:dyDescent="0.25">
      <c r="A2315" s="2" t="s">
        <v>321</v>
      </c>
      <c r="B2315" s="2" t="s">
        <v>531</v>
      </c>
      <c r="C2315" s="2" t="s">
        <v>408</v>
      </c>
      <c r="D2315" s="2" t="s">
        <v>411</v>
      </c>
      <c r="E2315" s="2" t="s">
        <v>414</v>
      </c>
      <c r="F2315" s="2" t="s">
        <v>39</v>
      </c>
      <c r="J2315" s="2" t="s">
        <v>532</v>
      </c>
      <c r="K2315" s="2" t="s">
        <v>533</v>
      </c>
      <c r="L2315" s="2">
        <v>1</v>
      </c>
      <c r="M2315" s="2" t="s">
        <v>534</v>
      </c>
      <c r="O2315" s="2" t="s">
        <v>524</v>
      </c>
      <c r="Y2315" s="2" t="s">
        <v>663</v>
      </c>
    </row>
    <row r="2316" spans="1:34" x14ac:dyDescent="0.25">
      <c r="A2316" s="2" t="s">
        <v>321</v>
      </c>
      <c r="B2316" s="2" t="s">
        <v>531</v>
      </c>
      <c r="C2316" s="2" t="s">
        <v>408</v>
      </c>
      <c r="D2316" s="2" t="s">
        <v>411</v>
      </c>
      <c r="E2316" s="2" t="s">
        <v>414</v>
      </c>
      <c r="F2316" s="2" t="s">
        <v>39</v>
      </c>
      <c r="J2316" s="2" t="s">
        <v>532</v>
      </c>
      <c r="K2316" s="2" t="s">
        <v>533</v>
      </c>
      <c r="L2316" s="2">
        <v>2</v>
      </c>
      <c r="M2316" s="2" t="s">
        <v>536</v>
      </c>
      <c r="O2316" s="2" t="s">
        <v>524</v>
      </c>
      <c r="Y2316" s="2" t="s">
        <v>663</v>
      </c>
    </row>
    <row r="2317" spans="1:34" x14ac:dyDescent="0.25">
      <c r="A2317" s="2" t="s">
        <v>321</v>
      </c>
      <c r="B2317" s="2" t="s">
        <v>531</v>
      </c>
      <c r="C2317" s="2" t="s">
        <v>408</v>
      </c>
      <c r="D2317" s="2" t="s">
        <v>411</v>
      </c>
      <c r="E2317" s="2" t="s">
        <v>414</v>
      </c>
      <c r="F2317" s="2" t="s">
        <v>39</v>
      </c>
      <c r="J2317" s="2" t="s">
        <v>532</v>
      </c>
      <c r="K2317" s="2" t="s">
        <v>533</v>
      </c>
      <c r="L2317" s="2">
        <v>3</v>
      </c>
      <c r="M2317" s="2" t="s">
        <v>537</v>
      </c>
      <c r="O2317" s="2" t="s">
        <v>524</v>
      </c>
      <c r="Y2317" s="2" t="s">
        <v>663</v>
      </c>
    </row>
    <row r="2318" spans="1:34" x14ac:dyDescent="0.25">
      <c r="A2318" s="2" t="s">
        <v>321</v>
      </c>
      <c r="B2318" s="2" t="s">
        <v>531</v>
      </c>
      <c r="C2318" s="2" t="s">
        <v>408</v>
      </c>
      <c r="D2318" s="2" t="s">
        <v>411</v>
      </c>
      <c r="E2318" s="2" t="s">
        <v>414</v>
      </c>
      <c r="F2318" s="2" t="s">
        <v>39</v>
      </c>
      <c r="J2318" s="2" t="s">
        <v>532</v>
      </c>
      <c r="K2318" s="2" t="s">
        <v>533</v>
      </c>
      <c r="L2318" s="2">
        <v>4</v>
      </c>
      <c r="M2318" s="2" t="s">
        <v>538</v>
      </c>
      <c r="O2318" s="2" t="s">
        <v>524</v>
      </c>
      <c r="Y2318" s="2" t="s">
        <v>663</v>
      </c>
    </row>
    <row r="2319" spans="1:34" x14ac:dyDescent="0.25">
      <c r="A2319" s="2" t="s">
        <v>321</v>
      </c>
      <c r="B2319" s="2" t="s">
        <v>531</v>
      </c>
      <c r="C2319" s="2" t="s">
        <v>408</v>
      </c>
      <c r="D2319" s="2" t="s">
        <v>411</v>
      </c>
      <c r="E2319" s="2" t="s">
        <v>414</v>
      </c>
      <c r="F2319" s="2" t="s">
        <v>39</v>
      </c>
      <c r="J2319" s="2" t="s">
        <v>532</v>
      </c>
      <c r="K2319" s="2" t="s">
        <v>533</v>
      </c>
      <c r="L2319" s="2">
        <v>5</v>
      </c>
      <c r="M2319" s="2" t="s">
        <v>539</v>
      </c>
      <c r="O2319" s="2" t="s">
        <v>524</v>
      </c>
      <c r="Y2319" s="2" t="s">
        <v>663</v>
      </c>
    </row>
    <row r="2320" spans="1:34" x14ac:dyDescent="0.25">
      <c r="A2320" s="2" t="s">
        <v>321</v>
      </c>
      <c r="B2320" s="2" t="s">
        <v>540</v>
      </c>
      <c r="C2320" s="2" t="s">
        <v>408</v>
      </c>
      <c r="D2320" s="2" t="s">
        <v>411</v>
      </c>
      <c r="E2320" s="2" t="s">
        <v>414</v>
      </c>
      <c r="F2320" s="2" t="s">
        <v>39</v>
      </c>
      <c r="J2320" s="2" t="s">
        <v>541</v>
      </c>
      <c r="K2320" s="2" t="s">
        <v>542</v>
      </c>
      <c r="L2320" s="2">
        <v>1</v>
      </c>
      <c r="M2320" s="2" t="s">
        <v>543</v>
      </c>
      <c r="O2320" s="2" t="s">
        <v>524</v>
      </c>
      <c r="Y2320" s="2" t="s">
        <v>663</v>
      </c>
    </row>
    <row r="2321" spans="1:34" x14ac:dyDescent="0.25">
      <c r="A2321" s="2" t="s">
        <v>321</v>
      </c>
      <c r="B2321" s="2" t="s">
        <v>540</v>
      </c>
      <c r="C2321" s="2" t="s">
        <v>408</v>
      </c>
      <c r="D2321" s="2" t="s">
        <v>411</v>
      </c>
      <c r="E2321" s="2" t="s">
        <v>414</v>
      </c>
      <c r="F2321" s="2" t="s">
        <v>39</v>
      </c>
      <c r="J2321" s="2" t="s">
        <v>541</v>
      </c>
      <c r="K2321" s="2" t="s">
        <v>542</v>
      </c>
      <c r="L2321" s="2">
        <v>2</v>
      </c>
      <c r="M2321" s="2" t="s">
        <v>544</v>
      </c>
      <c r="O2321" s="2" t="s">
        <v>524</v>
      </c>
      <c r="Y2321" s="2" t="s">
        <v>663</v>
      </c>
    </row>
    <row r="2322" spans="1:34" x14ac:dyDescent="0.25">
      <c r="A2322" s="2" t="s">
        <v>321</v>
      </c>
      <c r="B2322" s="2" t="s">
        <v>540</v>
      </c>
      <c r="C2322" s="2" t="s">
        <v>408</v>
      </c>
      <c r="D2322" s="2" t="s">
        <v>411</v>
      </c>
      <c r="E2322" s="2" t="s">
        <v>414</v>
      </c>
      <c r="F2322" s="2" t="s">
        <v>39</v>
      </c>
      <c r="J2322" s="2" t="s">
        <v>541</v>
      </c>
      <c r="K2322" s="2" t="s">
        <v>542</v>
      </c>
      <c r="L2322" s="2">
        <v>3</v>
      </c>
      <c r="M2322" s="2" t="s">
        <v>545</v>
      </c>
      <c r="O2322" s="2" t="s">
        <v>524</v>
      </c>
      <c r="Y2322" s="2" t="s">
        <v>663</v>
      </c>
    </row>
    <row r="2323" spans="1:34" x14ac:dyDescent="0.25">
      <c r="A2323" s="2" t="s">
        <v>321</v>
      </c>
      <c r="B2323" s="2" t="s">
        <v>540</v>
      </c>
      <c r="C2323" s="2" t="s">
        <v>408</v>
      </c>
      <c r="D2323" s="2" t="s">
        <v>411</v>
      </c>
      <c r="E2323" s="2" t="s">
        <v>414</v>
      </c>
      <c r="F2323" s="2" t="s">
        <v>39</v>
      </c>
      <c r="J2323" s="2" t="s">
        <v>541</v>
      </c>
      <c r="K2323" s="2" t="s">
        <v>542</v>
      </c>
      <c r="L2323" s="2">
        <v>4</v>
      </c>
      <c r="M2323" s="2" t="s">
        <v>546</v>
      </c>
      <c r="O2323" s="2" t="s">
        <v>524</v>
      </c>
      <c r="Y2323" s="2" t="s">
        <v>663</v>
      </c>
    </row>
    <row r="2324" spans="1:34" x14ac:dyDescent="0.25">
      <c r="A2324" s="2" t="s">
        <v>321</v>
      </c>
      <c r="B2324" s="2" t="s">
        <v>540</v>
      </c>
      <c r="C2324" s="2" t="s">
        <v>408</v>
      </c>
      <c r="D2324" s="2" t="s">
        <v>411</v>
      </c>
      <c r="E2324" s="2" t="s">
        <v>414</v>
      </c>
      <c r="F2324" s="2" t="s">
        <v>39</v>
      </c>
      <c r="J2324" s="2" t="s">
        <v>541</v>
      </c>
      <c r="K2324" s="2" t="s">
        <v>542</v>
      </c>
      <c r="L2324" s="2">
        <v>5</v>
      </c>
      <c r="M2324" s="2" t="s">
        <v>547</v>
      </c>
      <c r="O2324" s="2" t="s">
        <v>524</v>
      </c>
      <c r="Y2324" s="2" t="s">
        <v>663</v>
      </c>
    </row>
    <row r="2325" spans="1:34" x14ac:dyDescent="0.25">
      <c r="A2325" s="2" t="s">
        <v>321</v>
      </c>
      <c r="B2325" s="2" t="s">
        <v>540</v>
      </c>
      <c r="C2325" s="2" t="s">
        <v>408</v>
      </c>
      <c r="D2325" s="2" t="s">
        <v>411</v>
      </c>
      <c r="E2325" s="2" t="s">
        <v>414</v>
      </c>
      <c r="F2325" s="2" t="s">
        <v>39</v>
      </c>
      <c r="J2325" s="2" t="s">
        <v>541</v>
      </c>
      <c r="K2325" s="2" t="s">
        <v>542</v>
      </c>
      <c r="L2325" s="2">
        <v>6</v>
      </c>
      <c r="M2325" s="2" t="s">
        <v>548</v>
      </c>
      <c r="O2325" s="2" t="s">
        <v>524</v>
      </c>
      <c r="Y2325" s="2" t="s">
        <v>663</v>
      </c>
    </row>
    <row r="2326" spans="1:34" x14ac:dyDescent="0.25">
      <c r="A2326" s="2" t="s">
        <v>321</v>
      </c>
      <c r="B2326" s="2" t="s">
        <v>540</v>
      </c>
      <c r="C2326" s="2" t="s">
        <v>408</v>
      </c>
      <c r="D2326" s="2" t="s">
        <v>411</v>
      </c>
      <c r="E2326" s="2" t="s">
        <v>414</v>
      </c>
      <c r="F2326" s="2" t="s">
        <v>39</v>
      </c>
      <c r="J2326" s="2" t="s">
        <v>541</v>
      </c>
      <c r="K2326" s="2" t="s">
        <v>542</v>
      </c>
      <c r="L2326" s="2">
        <v>7</v>
      </c>
      <c r="M2326" s="2" t="s">
        <v>549</v>
      </c>
      <c r="O2326" s="2" t="s">
        <v>524</v>
      </c>
      <c r="Y2326" s="2" t="s">
        <v>663</v>
      </c>
    </row>
    <row r="2327" spans="1:34" x14ac:dyDescent="0.25">
      <c r="A2327" s="2" t="s">
        <v>321</v>
      </c>
      <c r="B2327" s="2" t="s">
        <v>540</v>
      </c>
      <c r="C2327" s="2" t="s">
        <v>408</v>
      </c>
      <c r="D2327" s="2" t="s">
        <v>411</v>
      </c>
      <c r="E2327" s="2" t="s">
        <v>414</v>
      </c>
      <c r="F2327" s="2" t="s">
        <v>39</v>
      </c>
      <c r="J2327" s="2" t="s">
        <v>541</v>
      </c>
      <c r="K2327" s="2" t="s">
        <v>542</v>
      </c>
      <c r="L2327" s="2">
        <v>8</v>
      </c>
      <c r="M2327" s="2" t="s">
        <v>550</v>
      </c>
      <c r="O2327" s="2" t="s">
        <v>524</v>
      </c>
      <c r="Y2327" s="2" t="s">
        <v>663</v>
      </c>
    </row>
    <row r="2328" spans="1:34" x14ac:dyDescent="0.25">
      <c r="A2328" s="2" t="s">
        <v>321</v>
      </c>
      <c r="B2328" s="2" t="s">
        <v>540</v>
      </c>
      <c r="C2328" s="2" t="s">
        <v>408</v>
      </c>
      <c r="D2328" s="2" t="s">
        <v>411</v>
      </c>
      <c r="E2328" s="2" t="s">
        <v>414</v>
      </c>
      <c r="F2328" s="2" t="s">
        <v>39</v>
      </c>
      <c r="J2328" s="2" t="s">
        <v>541</v>
      </c>
      <c r="K2328" s="2" t="s">
        <v>542</v>
      </c>
      <c r="L2328" s="2">
        <v>9</v>
      </c>
      <c r="M2328" s="2" t="s">
        <v>551</v>
      </c>
      <c r="O2328" s="2" t="s">
        <v>524</v>
      </c>
      <c r="Y2328" s="2" t="s">
        <v>663</v>
      </c>
    </row>
    <row r="2329" spans="1:34" x14ac:dyDescent="0.25">
      <c r="A2329" s="2" t="s">
        <v>321</v>
      </c>
      <c r="B2329" s="2" t="s">
        <v>540</v>
      </c>
      <c r="C2329" s="2" t="s">
        <v>408</v>
      </c>
      <c r="D2329" s="2" t="s">
        <v>411</v>
      </c>
      <c r="E2329" s="2" t="s">
        <v>414</v>
      </c>
      <c r="F2329" s="2" t="s">
        <v>39</v>
      </c>
      <c r="J2329" s="2" t="s">
        <v>541</v>
      </c>
      <c r="K2329" s="2" t="s">
        <v>542</v>
      </c>
      <c r="L2329" s="2">
        <v>10</v>
      </c>
      <c r="M2329" s="2" t="s">
        <v>552</v>
      </c>
      <c r="O2329" s="2" t="s">
        <v>524</v>
      </c>
      <c r="Y2329" s="2" t="s">
        <v>663</v>
      </c>
    </row>
    <row r="2330" spans="1:34" x14ac:dyDescent="0.25">
      <c r="A2330" s="2" t="s">
        <v>321</v>
      </c>
      <c r="B2330" s="2" t="s">
        <v>540</v>
      </c>
      <c r="C2330" s="2" t="s">
        <v>408</v>
      </c>
      <c r="D2330" s="2" t="s">
        <v>411</v>
      </c>
      <c r="E2330" s="2" t="s">
        <v>414</v>
      </c>
      <c r="F2330" s="2" t="s">
        <v>39</v>
      </c>
      <c r="J2330" s="2" t="s">
        <v>541</v>
      </c>
      <c r="K2330" s="2" t="s">
        <v>542</v>
      </c>
      <c r="L2330" s="2">
        <v>11</v>
      </c>
      <c r="M2330" s="2" t="s">
        <v>553</v>
      </c>
      <c r="O2330" s="2" t="s">
        <v>524</v>
      </c>
      <c r="Y2330" s="2" t="s">
        <v>663</v>
      </c>
    </row>
    <row r="2331" spans="1:34" x14ac:dyDescent="0.25">
      <c r="A2331" s="2" t="s">
        <v>321</v>
      </c>
      <c r="B2331" s="2" t="s">
        <v>540</v>
      </c>
      <c r="C2331" s="2" t="s">
        <v>408</v>
      </c>
      <c r="D2331" s="2" t="s">
        <v>411</v>
      </c>
      <c r="E2331" s="2" t="s">
        <v>414</v>
      </c>
      <c r="F2331" s="2" t="s">
        <v>39</v>
      </c>
      <c r="J2331" s="2" t="s">
        <v>541</v>
      </c>
      <c r="K2331" s="2" t="s">
        <v>542</v>
      </c>
      <c r="L2331" s="2">
        <v>12</v>
      </c>
      <c r="M2331" s="2" t="s">
        <v>554</v>
      </c>
      <c r="O2331" s="2" t="s">
        <v>524</v>
      </c>
      <c r="Y2331" s="2" t="s">
        <v>663</v>
      </c>
    </row>
    <row r="2332" spans="1:34" x14ac:dyDescent="0.25">
      <c r="A2332" s="2" t="s">
        <v>321</v>
      </c>
      <c r="B2332" s="2" t="s">
        <v>555</v>
      </c>
      <c r="C2332" s="2" t="s">
        <v>408</v>
      </c>
      <c r="D2332" s="2" t="s">
        <v>411</v>
      </c>
      <c r="E2332" s="2" t="s">
        <v>414</v>
      </c>
      <c r="F2332" s="2" t="s">
        <v>39</v>
      </c>
      <c r="J2332" s="2" t="s">
        <v>556</v>
      </c>
      <c r="O2332" s="2" t="s">
        <v>524</v>
      </c>
      <c r="Y2332" s="2" t="s">
        <v>663</v>
      </c>
      <c r="AB2332" s="2">
        <v>1</v>
      </c>
    </row>
    <row r="2333" spans="1:34" x14ac:dyDescent="0.25">
      <c r="A2333" s="2" t="s">
        <v>321</v>
      </c>
      <c r="B2333" s="2" t="s">
        <v>557</v>
      </c>
      <c r="C2333" s="2" t="s">
        <v>408</v>
      </c>
      <c r="D2333" s="2" t="s">
        <v>411</v>
      </c>
      <c r="E2333" s="2" t="s">
        <v>414</v>
      </c>
      <c r="F2333" s="2" t="s">
        <v>39</v>
      </c>
      <c r="J2333" s="2" t="s">
        <v>558</v>
      </c>
      <c r="O2333" s="2" t="s">
        <v>524</v>
      </c>
      <c r="Y2333" s="2" t="s">
        <v>663</v>
      </c>
      <c r="AC2333" s="2">
        <f>COUNTIFS($B:$B,"BLOCK_LOAD_Q",$A:$A,$A2333,$C:$C,$C2333,$E:$E,$E2333,$F:$F,$F2333,$N:$N, "&lt;&gt;")</f>
        <v>0</v>
      </c>
      <c r="AD2333" s="2">
        <f>COUNTIFS($B:$B,"BLOCK_TRUST_Q",$A:$A,$A2333,$C:$C,$C2333,$E:$E,$E2333,$F:$F,$F2333,$N:$N, "&lt;&gt;")</f>
        <v>0</v>
      </c>
      <c r="AE2333" s="2" t="str">
        <f>IFERROR(AVERAGEIFS($P:$P,$B:$B,"BLOCK_LOAD_Q",$A:$A,$A2333,$C:$C,$C2333,$E:$E,$E2333,$F:$F,$F2333,$P:$P,"&gt;0"),"")</f>
        <v/>
      </c>
      <c r="AF2333" s="2" t="str">
        <f>IFERROR(AVERAGEIFS($P:$P,$B:$B,"BLOCK_TRUST_Q",$A:$A,$A2333,$C:$C,$C2333,$E:$E,$E2333,$F:$F,$F2333,$P:$P,"&gt;0"),"")</f>
        <v/>
      </c>
      <c r="AG2333" s="2">
        <f>5-AC2333</f>
        <v>5</v>
      </c>
      <c r="AH2333" s="2">
        <f>12-AD2333</f>
        <v>12</v>
      </c>
    </row>
    <row r="2334" spans="1:34" x14ac:dyDescent="0.25">
      <c r="A2334" s="2" t="s">
        <v>321</v>
      </c>
      <c r="B2334" s="2" t="s">
        <v>403</v>
      </c>
      <c r="C2334" s="2" t="s">
        <v>408</v>
      </c>
      <c r="D2334" s="2" t="s">
        <v>411</v>
      </c>
      <c r="Z2334" s="2" t="s">
        <v>466</v>
      </c>
    </row>
    <row r="2335" spans="1:34" x14ac:dyDescent="0.25">
      <c r="A2335" s="2" t="s">
        <v>321</v>
      </c>
      <c r="B2335" s="2" t="s">
        <v>402</v>
      </c>
      <c r="C2335" s="2" t="s">
        <v>409</v>
      </c>
      <c r="D2335" s="2" t="s">
        <v>412</v>
      </c>
      <c r="E2335" s="2" t="s">
        <v>413</v>
      </c>
      <c r="F2335" s="2" t="s">
        <v>39</v>
      </c>
      <c r="G2335" s="2" t="s">
        <v>415</v>
      </c>
      <c r="H2335" s="2" t="s">
        <v>350</v>
      </c>
      <c r="S2335" s="2" t="s">
        <v>57</v>
      </c>
      <c r="U2335" s="2" t="s">
        <v>58</v>
      </c>
      <c r="W2335" s="2" t="s">
        <v>59</v>
      </c>
    </row>
    <row r="2336" spans="1:34" x14ac:dyDescent="0.25">
      <c r="A2336" s="2" t="s">
        <v>321</v>
      </c>
      <c r="B2336" s="2" t="s">
        <v>402</v>
      </c>
      <c r="C2336" s="2" t="s">
        <v>409</v>
      </c>
      <c r="D2336" s="2" t="s">
        <v>412</v>
      </c>
      <c r="E2336" s="2" t="s">
        <v>413</v>
      </c>
      <c r="F2336" s="2" t="s">
        <v>39</v>
      </c>
      <c r="G2336" s="2" t="s">
        <v>416</v>
      </c>
      <c r="H2336" s="2" t="s">
        <v>571</v>
      </c>
      <c r="S2336" s="2" t="s">
        <v>59</v>
      </c>
      <c r="U2336" s="2" t="s">
        <v>57</v>
      </c>
      <c r="W2336" s="2" t="s">
        <v>60</v>
      </c>
    </row>
    <row r="2337" spans="1:25" x14ac:dyDescent="0.25">
      <c r="A2337" s="2" t="s">
        <v>321</v>
      </c>
      <c r="B2337" s="2" t="s">
        <v>402</v>
      </c>
      <c r="C2337" s="2" t="s">
        <v>409</v>
      </c>
      <c r="D2337" s="2" t="s">
        <v>412</v>
      </c>
      <c r="E2337" s="2" t="s">
        <v>413</v>
      </c>
      <c r="F2337" s="2" t="s">
        <v>39</v>
      </c>
      <c r="G2337" s="2" t="s">
        <v>417</v>
      </c>
      <c r="H2337" s="2" t="s">
        <v>572</v>
      </c>
      <c r="S2337" s="2" t="s">
        <v>57</v>
      </c>
      <c r="U2337" s="2" t="s">
        <v>59</v>
      </c>
      <c r="W2337" s="2" t="s">
        <v>58</v>
      </c>
    </row>
    <row r="2338" spans="1:25" x14ac:dyDescent="0.25">
      <c r="A2338" s="2" t="s">
        <v>321</v>
      </c>
      <c r="B2338" s="2" t="s">
        <v>402</v>
      </c>
      <c r="C2338" s="2" t="s">
        <v>409</v>
      </c>
      <c r="D2338" s="2" t="s">
        <v>412</v>
      </c>
      <c r="E2338" s="2" t="s">
        <v>413</v>
      </c>
      <c r="F2338" s="2" t="s">
        <v>39</v>
      </c>
      <c r="G2338" s="2" t="s">
        <v>418</v>
      </c>
      <c r="H2338" s="2" t="s">
        <v>573</v>
      </c>
      <c r="S2338" s="2" t="s">
        <v>58</v>
      </c>
      <c r="U2338" s="2" t="s">
        <v>58</v>
      </c>
      <c r="W2338" s="2" t="s">
        <v>58</v>
      </c>
    </row>
    <row r="2339" spans="1:25" x14ac:dyDescent="0.25">
      <c r="A2339" s="2" t="s">
        <v>321</v>
      </c>
      <c r="B2339" s="2" t="s">
        <v>402</v>
      </c>
      <c r="C2339" s="2" t="s">
        <v>409</v>
      </c>
      <c r="D2339" s="2" t="s">
        <v>412</v>
      </c>
      <c r="E2339" s="2" t="s">
        <v>413</v>
      </c>
      <c r="F2339" s="2" t="s">
        <v>39</v>
      </c>
      <c r="G2339" s="2" t="s">
        <v>419</v>
      </c>
      <c r="H2339" s="2" t="s">
        <v>365</v>
      </c>
      <c r="S2339" s="2" t="s">
        <v>59</v>
      </c>
      <c r="U2339" s="2" t="s">
        <v>59</v>
      </c>
      <c r="W2339" s="2" t="s">
        <v>60</v>
      </c>
    </row>
    <row r="2340" spans="1:25" x14ac:dyDescent="0.25">
      <c r="A2340" s="2" t="s">
        <v>321</v>
      </c>
      <c r="B2340" s="2" t="s">
        <v>531</v>
      </c>
      <c r="C2340" s="2" t="s">
        <v>409</v>
      </c>
      <c r="D2340" s="2" t="s">
        <v>412</v>
      </c>
      <c r="E2340" s="2" t="s">
        <v>413</v>
      </c>
      <c r="F2340" s="2" t="s">
        <v>39</v>
      </c>
      <c r="J2340" s="2" t="s">
        <v>532</v>
      </c>
      <c r="K2340" s="2" t="s">
        <v>533</v>
      </c>
      <c r="L2340" s="2">
        <v>1</v>
      </c>
      <c r="M2340" s="2" t="s">
        <v>534</v>
      </c>
      <c r="O2340" s="2" t="s">
        <v>524</v>
      </c>
      <c r="Y2340" s="2" t="s">
        <v>664</v>
      </c>
    </row>
    <row r="2341" spans="1:25" x14ac:dyDescent="0.25">
      <c r="A2341" s="2" t="s">
        <v>321</v>
      </c>
      <c r="B2341" s="2" t="s">
        <v>531</v>
      </c>
      <c r="C2341" s="2" t="s">
        <v>409</v>
      </c>
      <c r="D2341" s="2" t="s">
        <v>412</v>
      </c>
      <c r="E2341" s="2" t="s">
        <v>413</v>
      </c>
      <c r="F2341" s="2" t="s">
        <v>39</v>
      </c>
      <c r="J2341" s="2" t="s">
        <v>532</v>
      </c>
      <c r="K2341" s="2" t="s">
        <v>533</v>
      </c>
      <c r="L2341" s="2">
        <v>2</v>
      </c>
      <c r="M2341" s="2" t="s">
        <v>536</v>
      </c>
      <c r="O2341" s="2" t="s">
        <v>524</v>
      </c>
      <c r="Y2341" s="2" t="s">
        <v>664</v>
      </c>
    </row>
    <row r="2342" spans="1:25" x14ac:dyDescent="0.25">
      <c r="A2342" s="2" t="s">
        <v>321</v>
      </c>
      <c r="B2342" s="2" t="s">
        <v>531</v>
      </c>
      <c r="C2342" s="2" t="s">
        <v>409</v>
      </c>
      <c r="D2342" s="2" t="s">
        <v>412</v>
      </c>
      <c r="E2342" s="2" t="s">
        <v>413</v>
      </c>
      <c r="F2342" s="2" t="s">
        <v>39</v>
      </c>
      <c r="J2342" s="2" t="s">
        <v>532</v>
      </c>
      <c r="K2342" s="2" t="s">
        <v>533</v>
      </c>
      <c r="L2342" s="2">
        <v>3</v>
      </c>
      <c r="M2342" s="2" t="s">
        <v>537</v>
      </c>
      <c r="O2342" s="2" t="s">
        <v>524</v>
      </c>
      <c r="Y2342" s="2" t="s">
        <v>664</v>
      </c>
    </row>
    <row r="2343" spans="1:25" x14ac:dyDescent="0.25">
      <c r="A2343" s="2" t="s">
        <v>321</v>
      </c>
      <c r="B2343" s="2" t="s">
        <v>531</v>
      </c>
      <c r="C2343" s="2" t="s">
        <v>409</v>
      </c>
      <c r="D2343" s="2" t="s">
        <v>412</v>
      </c>
      <c r="E2343" s="2" t="s">
        <v>413</v>
      </c>
      <c r="F2343" s="2" t="s">
        <v>39</v>
      </c>
      <c r="J2343" s="2" t="s">
        <v>532</v>
      </c>
      <c r="K2343" s="2" t="s">
        <v>533</v>
      </c>
      <c r="L2343" s="2">
        <v>4</v>
      </c>
      <c r="M2343" s="2" t="s">
        <v>538</v>
      </c>
      <c r="O2343" s="2" t="s">
        <v>524</v>
      </c>
      <c r="Y2343" s="2" t="s">
        <v>664</v>
      </c>
    </row>
    <row r="2344" spans="1:25" x14ac:dyDescent="0.25">
      <c r="A2344" s="2" t="s">
        <v>321</v>
      </c>
      <c r="B2344" s="2" t="s">
        <v>531</v>
      </c>
      <c r="C2344" s="2" t="s">
        <v>409</v>
      </c>
      <c r="D2344" s="2" t="s">
        <v>412</v>
      </c>
      <c r="E2344" s="2" t="s">
        <v>413</v>
      </c>
      <c r="F2344" s="2" t="s">
        <v>39</v>
      </c>
      <c r="J2344" s="2" t="s">
        <v>532</v>
      </c>
      <c r="K2344" s="2" t="s">
        <v>533</v>
      </c>
      <c r="L2344" s="2">
        <v>5</v>
      </c>
      <c r="M2344" s="2" t="s">
        <v>539</v>
      </c>
      <c r="O2344" s="2" t="s">
        <v>524</v>
      </c>
      <c r="Y2344" s="2" t="s">
        <v>664</v>
      </c>
    </row>
    <row r="2345" spans="1:25" x14ac:dyDescent="0.25">
      <c r="A2345" s="2" t="s">
        <v>321</v>
      </c>
      <c r="B2345" s="2" t="s">
        <v>540</v>
      </c>
      <c r="C2345" s="2" t="s">
        <v>409</v>
      </c>
      <c r="D2345" s="2" t="s">
        <v>412</v>
      </c>
      <c r="E2345" s="2" t="s">
        <v>413</v>
      </c>
      <c r="F2345" s="2" t="s">
        <v>39</v>
      </c>
      <c r="J2345" s="2" t="s">
        <v>541</v>
      </c>
      <c r="K2345" s="2" t="s">
        <v>542</v>
      </c>
      <c r="L2345" s="2">
        <v>1</v>
      </c>
      <c r="M2345" s="2" t="s">
        <v>543</v>
      </c>
      <c r="O2345" s="2" t="s">
        <v>524</v>
      </c>
      <c r="Y2345" s="2" t="s">
        <v>664</v>
      </c>
    </row>
    <row r="2346" spans="1:25" x14ac:dyDescent="0.25">
      <c r="A2346" s="2" t="s">
        <v>321</v>
      </c>
      <c r="B2346" s="2" t="s">
        <v>540</v>
      </c>
      <c r="C2346" s="2" t="s">
        <v>409</v>
      </c>
      <c r="D2346" s="2" t="s">
        <v>412</v>
      </c>
      <c r="E2346" s="2" t="s">
        <v>413</v>
      </c>
      <c r="F2346" s="2" t="s">
        <v>39</v>
      </c>
      <c r="J2346" s="2" t="s">
        <v>541</v>
      </c>
      <c r="K2346" s="2" t="s">
        <v>542</v>
      </c>
      <c r="L2346" s="2">
        <v>2</v>
      </c>
      <c r="M2346" s="2" t="s">
        <v>544</v>
      </c>
      <c r="O2346" s="2" t="s">
        <v>524</v>
      </c>
      <c r="Y2346" s="2" t="s">
        <v>664</v>
      </c>
    </row>
    <row r="2347" spans="1:25" x14ac:dyDescent="0.25">
      <c r="A2347" s="2" t="s">
        <v>321</v>
      </c>
      <c r="B2347" s="2" t="s">
        <v>540</v>
      </c>
      <c r="C2347" s="2" t="s">
        <v>409</v>
      </c>
      <c r="D2347" s="2" t="s">
        <v>412</v>
      </c>
      <c r="E2347" s="2" t="s">
        <v>413</v>
      </c>
      <c r="F2347" s="2" t="s">
        <v>39</v>
      </c>
      <c r="J2347" s="2" t="s">
        <v>541</v>
      </c>
      <c r="K2347" s="2" t="s">
        <v>542</v>
      </c>
      <c r="L2347" s="2">
        <v>3</v>
      </c>
      <c r="M2347" s="2" t="s">
        <v>545</v>
      </c>
      <c r="O2347" s="2" t="s">
        <v>524</v>
      </c>
      <c r="Y2347" s="2" t="s">
        <v>664</v>
      </c>
    </row>
    <row r="2348" spans="1:25" x14ac:dyDescent="0.25">
      <c r="A2348" s="2" t="s">
        <v>321</v>
      </c>
      <c r="B2348" s="2" t="s">
        <v>540</v>
      </c>
      <c r="C2348" s="2" t="s">
        <v>409</v>
      </c>
      <c r="D2348" s="2" t="s">
        <v>412</v>
      </c>
      <c r="E2348" s="2" t="s">
        <v>413</v>
      </c>
      <c r="F2348" s="2" t="s">
        <v>39</v>
      </c>
      <c r="J2348" s="2" t="s">
        <v>541</v>
      </c>
      <c r="K2348" s="2" t="s">
        <v>542</v>
      </c>
      <c r="L2348" s="2">
        <v>4</v>
      </c>
      <c r="M2348" s="2" t="s">
        <v>546</v>
      </c>
      <c r="O2348" s="2" t="s">
        <v>524</v>
      </c>
      <c r="Y2348" s="2" t="s">
        <v>664</v>
      </c>
    </row>
    <row r="2349" spans="1:25" x14ac:dyDescent="0.25">
      <c r="A2349" s="2" t="s">
        <v>321</v>
      </c>
      <c r="B2349" s="2" t="s">
        <v>540</v>
      </c>
      <c r="C2349" s="2" t="s">
        <v>409</v>
      </c>
      <c r="D2349" s="2" t="s">
        <v>412</v>
      </c>
      <c r="E2349" s="2" t="s">
        <v>413</v>
      </c>
      <c r="F2349" s="2" t="s">
        <v>39</v>
      </c>
      <c r="J2349" s="2" t="s">
        <v>541</v>
      </c>
      <c r="K2349" s="2" t="s">
        <v>542</v>
      </c>
      <c r="L2349" s="2">
        <v>5</v>
      </c>
      <c r="M2349" s="2" t="s">
        <v>547</v>
      </c>
      <c r="O2349" s="2" t="s">
        <v>524</v>
      </c>
      <c r="Y2349" s="2" t="s">
        <v>664</v>
      </c>
    </row>
    <row r="2350" spans="1:25" x14ac:dyDescent="0.25">
      <c r="A2350" s="2" t="s">
        <v>321</v>
      </c>
      <c r="B2350" s="2" t="s">
        <v>540</v>
      </c>
      <c r="C2350" s="2" t="s">
        <v>409</v>
      </c>
      <c r="D2350" s="2" t="s">
        <v>412</v>
      </c>
      <c r="E2350" s="2" t="s">
        <v>413</v>
      </c>
      <c r="F2350" s="2" t="s">
        <v>39</v>
      </c>
      <c r="J2350" s="2" t="s">
        <v>541</v>
      </c>
      <c r="K2350" s="2" t="s">
        <v>542</v>
      </c>
      <c r="L2350" s="2">
        <v>6</v>
      </c>
      <c r="M2350" s="2" t="s">
        <v>548</v>
      </c>
      <c r="O2350" s="2" t="s">
        <v>524</v>
      </c>
      <c r="Y2350" s="2" t="s">
        <v>664</v>
      </c>
    </row>
    <row r="2351" spans="1:25" x14ac:dyDescent="0.25">
      <c r="A2351" s="2" t="s">
        <v>321</v>
      </c>
      <c r="B2351" s="2" t="s">
        <v>540</v>
      </c>
      <c r="C2351" s="2" t="s">
        <v>409</v>
      </c>
      <c r="D2351" s="2" t="s">
        <v>412</v>
      </c>
      <c r="E2351" s="2" t="s">
        <v>413</v>
      </c>
      <c r="F2351" s="2" t="s">
        <v>39</v>
      </c>
      <c r="J2351" s="2" t="s">
        <v>541</v>
      </c>
      <c r="K2351" s="2" t="s">
        <v>542</v>
      </c>
      <c r="L2351" s="2">
        <v>7</v>
      </c>
      <c r="M2351" s="2" t="s">
        <v>549</v>
      </c>
      <c r="O2351" s="2" t="s">
        <v>524</v>
      </c>
      <c r="Y2351" s="2" t="s">
        <v>664</v>
      </c>
    </row>
    <row r="2352" spans="1:25" x14ac:dyDescent="0.25">
      <c r="A2352" s="2" t="s">
        <v>321</v>
      </c>
      <c r="B2352" s="2" t="s">
        <v>540</v>
      </c>
      <c r="C2352" s="2" t="s">
        <v>409</v>
      </c>
      <c r="D2352" s="2" t="s">
        <v>412</v>
      </c>
      <c r="E2352" s="2" t="s">
        <v>413</v>
      </c>
      <c r="F2352" s="2" t="s">
        <v>39</v>
      </c>
      <c r="J2352" s="2" t="s">
        <v>541</v>
      </c>
      <c r="K2352" s="2" t="s">
        <v>542</v>
      </c>
      <c r="L2352" s="2">
        <v>8</v>
      </c>
      <c r="M2352" s="2" t="s">
        <v>550</v>
      </c>
      <c r="O2352" s="2" t="s">
        <v>524</v>
      </c>
      <c r="Y2352" s="2" t="s">
        <v>664</v>
      </c>
    </row>
    <row r="2353" spans="1:34" x14ac:dyDescent="0.25">
      <c r="A2353" s="2" t="s">
        <v>321</v>
      </c>
      <c r="B2353" s="2" t="s">
        <v>540</v>
      </c>
      <c r="C2353" s="2" t="s">
        <v>409</v>
      </c>
      <c r="D2353" s="2" t="s">
        <v>412</v>
      </c>
      <c r="E2353" s="2" t="s">
        <v>413</v>
      </c>
      <c r="F2353" s="2" t="s">
        <v>39</v>
      </c>
      <c r="J2353" s="2" t="s">
        <v>541</v>
      </c>
      <c r="K2353" s="2" t="s">
        <v>542</v>
      </c>
      <c r="L2353" s="2">
        <v>9</v>
      </c>
      <c r="M2353" s="2" t="s">
        <v>551</v>
      </c>
      <c r="O2353" s="2" t="s">
        <v>524</v>
      </c>
      <c r="Y2353" s="2" t="s">
        <v>664</v>
      </c>
    </row>
    <row r="2354" spans="1:34" x14ac:dyDescent="0.25">
      <c r="A2354" s="2" t="s">
        <v>321</v>
      </c>
      <c r="B2354" s="2" t="s">
        <v>540</v>
      </c>
      <c r="C2354" s="2" t="s">
        <v>409</v>
      </c>
      <c r="D2354" s="2" t="s">
        <v>412</v>
      </c>
      <c r="E2354" s="2" t="s">
        <v>413</v>
      </c>
      <c r="F2354" s="2" t="s">
        <v>39</v>
      </c>
      <c r="J2354" s="2" t="s">
        <v>541</v>
      </c>
      <c r="K2354" s="2" t="s">
        <v>542</v>
      </c>
      <c r="L2354" s="2">
        <v>10</v>
      </c>
      <c r="M2354" s="2" t="s">
        <v>552</v>
      </c>
      <c r="O2354" s="2" t="s">
        <v>524</v>
      </c>
      <c r="Y2354" s="2" t="s">
        <v>664</v>
      </c>
    </row>
    <row r="2355" spans="1:34" x14ac:dyDescent="0.25">
      <c r="A2355" s="2" t="s">
        <v>321</v>
      </c>
      <c r="B2355" s="2" t="s">
        <v>540</v>
      </c>
      <c r="C2355" s="2" t="s">
        <v>409</v>
      </c>
      <c r="D2355" s="2" t="s">
        <v>412</v>
      </c>
      <c r="E2355" s="2" t="s">
        <v>413</v>
      </c>
      <c r="F2355" s="2" t="s">
        <v>39</v>
      </c>
      <c r="J2355" s="2" t="s">
        <v>541</v>
      </c>
      <c r="K2355" s="2" t="s">
        <v>542</v>
      </c>
      <c r="L2355" s="2">
        <v>11</v>
      </c>
      <c r="M2355" s="2" t="s">
        <v>553</v>
      </c>
      <c r="O2355" s="2" t="s">
        <v>524</v>
      </c>
      <c r="Y2355" s="2" t="s">
        <v>664</v>
      </c>
    </row>
    <row r="2356" spans="1:34" x14ac:dyDescent="0.25">
      <c r="A2356" s="2" t="s">
        <v>321</v>
      </c>
      <c r="B2356" s="2" t="s">
        <v>540</v>
      </c>
      <c r="C2356" s="2" t="s">
        <v>409</v>
      </c>
      <c r="D2356" s="2" t="s">
        <v>412</v>
      </c>
      <c r="E2356" s="2" t="s">
        <v>413</v>
      </c>
      <c r="F2356" s="2" t="s">
        <v>39</v>
      </c>
      <c r="J2356" s="2" t="s">
        <v>541</v>
      </c>
      <c r="K2356" s="2" t="s">
        <v>542</v>
      </c>
      <c r="L2356" s="2">
        <v>12</v>
      </c>
      <c r="M2356" s="2" t="s">
        <v>554</v>
      </c>
      <c r="O2356" s="2" t="s">
        <v>524</v>
      </c>
      <c r="Y2356" s="2" t="s">
        <v>664</v>
      </c>
    </row>
    <row r="2357" spans="1:34" x14ac:dyDescent="0.25">
      <c r="A2357" s="2" t="s">
        <v>321</v>
      </c>
      <c r="B2357" s="2" t="s">
        <v>555</v>
      </c>
      <c r="C2357" s="2" t="s">
        <v>409</v>
      </c>
      <c r="D2357" s="2" t="s">
        <v>412</v>
      </c>
      <c r="E2357" s="2" t="s">
        <v>413</v>
      </c>
      <c r="F2357" s="2" t="s">
        <v>39</v>
      </c>
      <c r="J2357" s="2" t="s">
        <v>556</v>
      </c>
      <c r="O2357" s="2" t="s">
        <v>524</v>
      </c>
      <c r="Y2357" s="2" t="s">
        <v>664</v>
      </c>
      <c r="AB2357" s="2">
        <v>1</v>
      </c>
    </row>
    <row r="2358" spans="1:34" x14ac:dyDescent="0.25">
      <c r="A2358" s="2" t="s">
        <v>321</v>
      </c>
      <c r="B2358" s="2" t="s">
        <v>557</v>
      </c>
      <c r="C2358" s="2" t="s">
        <v>409</v>
      </c>
      <c r="D2358" s="2" t="s">
        <v>412</v>
      </c>
      <c r="E2358" s="2" t="s">
        <v>413</v>
      </c>
      <c r="F2358" s="2" t="s">
        <v>39</v>
      </c>
      <c r="J2358" s="2" t="s">
        <v>558</v>
      </c>
      <c r="O2358" s="2" t="s">
        <v>524</v>
      </c>
      <c r="Y2358" s="2" t="s">
        <v>664</v>
      </c>
      <c r="AC2358" s="2">
        <f>COUNTIFS($B:$B,"BLOCK_LOAD_Q",$A:$A,$A2358,$C:$C,$C2358,$E:$E,$E2358,$F:$F,$F2358,$N:$N, "&lt;&gt;")</f>
        <v>0</v>
      </c>
      <c r="AD2358" s="2">
        <f>COUNTIFS($B:$B,"BLOCK_TRUST_Q",$A:$A,$A2358,$C:$C,$C2358,$E:$E,$E2358,$F:$F,$F2358,$N:$N, "&lt;&gt;")</f>
        <v>0</v>
      </c>
      <c r="AE2358" s="2" t="str">
        <f>IFERROR(AVERAGEIFS($P:$P,$B:$B,"BLOCK_LOAD_Q",$A:$A,$A2358,$C:$C,$C2358,$E:$E,$E2358,$F:$F,$F2358,$P:$P,"&gt;0"),"")</f>
        <v/>
      </c>
      <c r="AF2358" s="2" t="str">
        <f>IFERROR(AVERAGEIFS($P:$P,$B:$B,"BLOCK_TRUST_Q",$A:$A,$A2358,$C:$C,$C2358,$E:$E,$E2358,$F:$F,$F2358,$P:$P,"&gt;0"),"")</f>
        <v/>
      </c>
      <c r="AG2358" s="2">
        <f>5-AC2358</f>
        <v>5</v>
      </c>
      <c r="AH2358" s="2">
        <f>12-AD2358</f>
        <v>12</v>
      </c>
    </row>
    <row r="2359" spans="1:34" x14ac:dyDescent="0.25">
      <c r="A2359" s="2" t="s">
        <v>321</v>
      </c>
      <c r="B2359" s="2" t="s">
        <v>402</v>
      </c>
      <c r="C2359" s="2" t="s">
        <v>409</v>
      </c>
      <c r="D2359" s="2" t="s">
        <v>412</v>
      </c>
      <c r="E2359" s="2" t="s">
        <v>414</v>
      </c>
      <c r="F2359" s="2" t="s">
        <v>40</v>
      </c>
      <c r="G2359" s="2" t="s">
        <v>415</v>
      </c>
      <c r="H2359" s="2" t="s">
        <v>567</v>
      </c>
      <c r="S2359" s="2" t="s">
        <v>58</v>
      </c>
      <c r="U2359" s="2" t="s">
        <v>57</v>
      </c>
      <c r="W2359" s="2" t="s">
        <v>60</v>
      </c>
    </row>
    <row r="2360" spans="1:34" x14ac:dyDescent="0.25">
      <c r="A2360" s="2" t="s">
        <v>321</v>
      </c>
      <c r="B2360" s="2" t="s">
        <v>402</v>
      </c>
      <c r="C2360" s="2" t="s">
        <v>409</v>
      </c>
      <c r="D2360" s="2" t="s">
        <v>412</v>
      </c>
      <c r="E2360" s="2" t="s">
        <v>414</v>
      </c>
      <c r="F2360" s="2" t="s">
        <v>40</v>
      </c>
      <c r="G2360" s="2" t="s">
        <v>416</v>
      </c>
      <c r="H2360" s="2" t="s">
        <v>568</v>
      </c>
      <c r="S2360" s="2" t="s">
        <v>59</v>
      </c>
      <c r="U2360" s="2" t="s">
        <v>60</v>
      </c>
      <c r="W2360" s="2" t="s">
        <v>59</v>
      </c>
    </row>
    <row r="2361" spans="1:34" x14ac:dyDescent="0.25">
      <c r="A2361" s="2" t="s">
        <v>321</v>
      </c>
      <c r="B2361" s="2" t="s">
        <v>402</v>
      </c>
      <c r="C2361" s="2" t="s">
        <v>409</v>
      </c>
      <c r="D2361" s="2" t="s">
        <v>412</v>
      </c>
      <c r="E2361" s="2" t="s">
        <v>414</v>
      </c>
      <c r="F2361" s="2" t="s">
        <v>40</v>
      </c>
      <c r="G2361" s="2" t="s">
        <v>417</v>
      </c>
      <c r="H2361" s="2" t="s">
        <v>569</v>
      </c>
      <c r="S2361" s="2" t="s">
        <v>57</v>
      </c>
      <c r="U2361" s="2" t="s">
        <v>60</v>
      </c>
      <c r="W2361" s="2" t="s">
        <v>57</v>
      </c>
    </row>
    <row r="2362" spans="1:34" x14ac:dyDescent="0.25">
      <c r="A2362" s="2" t="s">
        <v>321</v>
      </c>
      <c r="B2362" s="2" t="s">
        <v>402</v>
      </c>
      <c r="C2362" s="2" t="s">
        <v>409</v>
      </c>
      <c r="D2362" s="2" t="s">
        <v>412</v>
      </c>
      <c r="E2362" s="2" t="s">
        <v>414</v>
      </c>
      <c r="F2362" s="2" t="s">
        <v>40</v>
      </c>
      <c r="G2362" s="2" t="s">
        <v>418</v>
      </c>
      <c r="H2362" s="2" t="s">
        <v>351</v>
      </c>
      <c r="S2362" s="2" t="s">
        <v>60</v>
      </c>
      <c r="U2362" s="2" t="s">
        <v>57</v>
      </c>
      <c r="W2362" s="2" t="s">
        <v>57</v>
      </c>
    </row>
    <row r="2363" spans="1:34" x14ac:dyDescent="0.25">
      <c r="A2363" s="2" t="s">
        <v>321</v>
      </c>
      <c r="B2363" s="2" t="s">
        <v>531</v>
      </c>
      <c r="C2363" s="2" t="s">
        <v>409</v>
      </c>
      <c r="D2363" s="2" t="s">
        <v>412</v>
      </c>
      <c r="E2363" s="2" t="s">
        <v>414</v>
      </c>
      <c r="F2363" s="2" t="s">
        <v>40</v>
      </c>
      <c r="J2363" s="2" t="s">
        <v>532</v>
      </c>
      <c r="K2363" s="2" t="s">
        <v>533</v>
      </c>
      <c r="L2363" s="2">
        <v>1</v>
      </c>
      <c r="M2363" s="2" t="s">
        <v>534</v>
      </c>
      <c r="O2363" s="2" t="s">
        <v>524</v>
      </c>
      <c r="Y2363" s="2" t="s">
        <v>665</v>
      </c>
    </row>
    <row r="2364" spans="1:34" x14ac:dyDescent="0.25">
      <c r="A2364" s="2" t="s">
        <v>321</v>
      </c>
      <c r="B2364" s="2" t="s">
        <v>531</v>
      </c>
      <c r="C2364" s="2" t="s">
        <v>409</v>
      </c>
      <c r="D2364" s="2" t="s">
        <v>412</v>
      </c>
      <c r="E2364" s="2" t="s">
        <v>414</v>
      </c>
      <c r="F2364" s="2" t="s">
        <v>40</v>
      </c>
      <c r="J2364" s="2" t="s">
        <v>532</v>
      </c>
      <c r="K2364" s="2" t="s">
        <v>533</v>
      </c>
      <c r="L2364" s="2">
        <v>2</v>
      </c>
      <c r="M2364" s="2" t="s">
        <v>536</v>
      </c>
      <c r="O2364" s="2" t="s">
        <v>524</v>
      </c>
      <c r="Y2364" s="2" t="s">
        <v>665</v>
      </c>
    </row>
    <row r="2365" spans="1:34" x14ac:dyDescent="0.25">
      <c r="A2365" s="2" t="s">
        <v>321</v>
      </c>
      <c r="B2365" s="2" t="s">
        <v>531</v>
      </c>
      <c r="C2365" s="2" t="s">
        <v>409</v>
      </c>
      <c r="D2365" s="2" t="s">
        <v>412</v>
      </c>
      <c r="E2365" s="2" t="s">
        <v>414</v>
      </c>
      <c r="F2365" s="2" t="s">
        <v>40</v>
      </c>
      <c r="J2365" s="2" t="s">
        <v>532</v>
      </c>
      <c r="K2365" s="2" t="s">
        <v>533</v>
      </c>
      <c r="L2365" s="2">
        <v>3</v>
      </c>
      <c r="M2365" s="2" t="s">
        <v>537</v>
      </c>
      <c r="O2365" s="2" t="s">
        <v>524</v>
      </c>
      <c r="Y2365" s="2" t="s">
        <v>665</v>
      </c>
    </row>
    <row r="2366" spans="1:34" x14ac:dyDescent="0.25">
      <c r="A2366" s="2" t="s">
        <v>321</v>
      </c>
      <c r="B2366" s="2" t="s">
        <v>531</v>
      </c>
      <c r="C2366" s="2" t="s">
        <v>409</v>
      </c>
      <c r="D2366" s="2" t="s">
        <v>412</v>
      </c>
      <c r="E2366" s="2" t="s">
        <v>414</v>
      </c>
      <c r="F2366" s="2" t="s">
        <v>40</v>
      </c>
      <c r="J2366" s="2" t="s">
        <v>532</v>
      </c>
      <c r="K2366" s="2" t="s">
        <v>533</v>
      </c>
      <c r="L2366" s="2">
        <v>4</v>
      </c>
      <c r="M2366" s="2" t="s">
        <v>538</v>
      </c>
      <c r="O2366" s="2" t="s">
        <v>524</v>
      </c>
      <c r="Y2366" s="2" t="s">
        <v>665</v>
      </c>
    </row>
    <row r="2367" spans="1:34" x14ac:dyDescent="0.25">
      <c r="A2367" s="2" t="s">
        <v>321</v>
      </c>
      <c r="B2367" s="2" t="s">
        <v>531</v>
      </c>
      <c r="C2367" s="2" t="s">
        <v>409</v>
      </c>
      <c r="D2367" s="2" t="s">
        <v>412</v>
      </c>
      <c r="E2367" s="2" t="s">
        <v>414</v>
      </c>
      <c r="F2367" s="2" t="s">
        <v>40</v>
      </c>
      <c r="J2367" s="2" t="s">
        <v>532</v>
      </c>
      <c r="K2367" s="2" t="s">
        <v>533</v>
      </c>
      <c r="L2367" s="2">
        <v>5</v>
      </c>
      <c r="M2367" s="2" t="s">
        <v>539</v>
      </c>
      <c r="O2367" s="2" t="s">
        <v>524</v>
      </c>
      <c r="Y2367" s="2" t="s">
        <v>665</v>
      </c>
    </row>
    <row r="2368" spans="1:34" x14ac:dyDescent="0.25">
      <c r="A2368" s="2" t="s">
        <v>321</v>
      </c>
      <c r="B2368" s="2" t="s">
        <v>540</v>
      </c>
      <c r="C2368" s="2" t="s">
        <v>409</v>
      </c>
      <c r="D2368" s="2" t="s">
        <v>412</v>
      </c>
      <c r="E2368" s="2" t="s">
        <v>414</v>
      </c>
      <c r="F2368" s="2" t="s">
        <v>40</v>
      </c>
      <c r="J2368" s="2" t="s">
        <v>541</v>
      </c>
      <c r="K2368" s="2" t="s">
        <v>542</v>
      </c>
      <c r="L2368" s="2">
        <v>1</v>
      </c>
      <c r="M2368" s="2" t="s">
        <v>543</v>
      </c>
      <c r="O2368" s="2" t="s">
        <v>524</v>
      </c>
      <c r="Y2368" s="2" t="s">
        <v>665</v>
      </c>
    </row>
    <row r="2369" spans="1:34" x14ac:dyDescent="0.25">
      <c r="A2369" s="2" t="s">
        <v>321</v>
      </c>
      <c r="B2369" s="2" t="s">
        <v>540</v>
      </c>
      <c r="C2369" s="2" t="s">
        <v>409</v>
      </c>
      <c r="D2369" s="2" t="s">
        <v>412</v>
      </c>
      <c r="E2369" s="2" t="s">
        <v>414</v>
      </c>
      <c r="F2369" s="2" t="s">
        <v>40</v>
      </c>
      <c r="J2369" s="2" t="s">
        <v>541</v>
      </c>
      <c r="K2369" s="2" t="s">
        <v>542</v>
      </c>
      <c r="L2369" s="2">
        <v>2</v>
      </c>
      <c r="M2369" s="2" t="s">
        <v>544</v>
      </c>
      <c r="O2369" s="2" t="s">
        <v>524</v>
      </c>
      <c r="Y2369" s="2" t="s">
        <v>665</v>
      </c>
    </row>
    <row r="2370" spans="1:34" x14ac:dyDescent="0.25">
      <c r="A2370" s="2" t="s">
        <v>321</v>
      </c>
      <c r="B2370" s="2" t="s">
        <v>540</v>
      </c>
      <c r="C2370" s="2" t="s">
        <v>409</v>
      </c>
      <c r="D2370" s="2" t="s">
        <v>412</v>
      </c>
      <c r="E2370" s="2" t="s">
        <v>414</v>
      </c>
      <c r="F2370" s="2" t="s">
        <v>40</v>
      </c>
      <c r="J2370" s="2" t="s">
        <v>541</v>
      </c>
      <c r="K2370" s="2" t="s">
        <v>542</v>
      </c>
      <c r="L2370" s="2">
        <v>3</v>
      </c>
      <c r="M2370" s="2" t="s">
        <v>545</v>
      </c>
      <c r="O2370" s="2" t="s">
        <v>524</v>
      </c>
      <c r="Y2370" s="2" t="s">
        <v>665</v>
      </c>
    </row>
    <row r="2371" spans="1:34" x14ac:dyDescent="0.25">
      <c r="A2371" s="2" t="s">
        <v>321</v>
      </c>
      <c r="B2371" s="2" t="s">
        <v>540</v>
      </c>
      <c r="C2371" s="2" t="s">
        <v>409</v>
      </c>
      <c r="D2371" s="2" t="s">
        <v>412</v>
      </c>
      <c r="E2371" s="2" t="s">
        <v>414</v>
      </c>
      <c r="F2371" s="2" t="s">
        <v>40</v>
      </c>
      <c r="J2371" s="2" t="s">
        <v>541</v>
      </c>
      <c r="K2371" s="2" t="s">
        <v>542</v>
      </c>
      <c r="L2371" s="2">
        <v>4</v>
      </c>
      <c r="M2371" s="2" t="s">
        <v>546</v>
      </c>
      <c r="O2371" s="2" t="s">
        <v>524</v>
      </c>
      <c r="Y2371" s="2" t="s">
        <v>665</v>
      </c>
    </row>
    <row r="2372" spans="1:34" x14ac:dyDescent="0.25">
      <c r="A2372" s="2" t="s">
        <v>321</v>
      </c>
      <c r="B2372" s="2" t="s">
        <v>540</v>
      </c>
      <c r="C2372" s="2" t="s">
        <v>409</v>
      </c>
      <c r="D2372" s="2" t="s">
        <v>412</v>
      </c>
      <c r="E2372" s="2" t="s">
        <v>414</v>
      </c>
      <c r="F2372" s="2" t="s">
        <v>40</v>
      </c>
      <c r="J2372" s="2" t="s">
        <v>541</v>
      </c>
      <c r="K2372" s="2" t="s">
        <v>542</v>
      </c>
      <c r="L2372" s="2">
        <v>5</v>
      </c>
      <c r="M2372" s="2" t="s">
        <v>547</v>
      </c>
      <c r="O2372" s="2" t="s">
        <v>524</v>
      </c>
      <c r="Y2372" s="2" t="s">
        <v>665</v>
      </c>
    </row>
    <row r="2373" spans="1:34" x14ac:dyDescent="0.25">
      <c r="A2373" s="2" t="s">
        <v>321</v>
      </c>
      <c r="B2373" s="2" t="s">
        <v>540</v>
      </c>
      <c r="C2373" s="2" t="s">
        <v>409</v>
      </c>
      <c r="D2373" s="2" t="s">
        <v>412</v>
      </c>
      <c r="E2373" s="2" t="s">
        <v>414</v>
      </c>
      <c r="F2373" s="2" t="s">
        <v>40</v>
      </c>
      <c r="J2373" s="2" t="s">
        <v>541</v>
      </c>
      <c r="K2373" s="2" t="s">
        <v>542</v>
      </c>
      <c r="L2373" s="2">
        <v>6</v>
      </c>
      <c r="M2373" s="2" t="s">
        <v>548</v>
      </c>
      <c r="O2373" s="2" t="s">
        <v>524</v>
      </c>
      <c r="Y2373" s="2" t="s">
        <v>665</v>
      </c>
    </row>
    <row r="2374" spans="1:34" x14ac:dyDescent="0.25">
      <c r="A2374" s="2" t="s">
        <v>321</v>
      </c>
      <c r="B2374" s="2" t="s">
        <v>540</v>
      </c>
      <c r="C2374" s="2" t="s">
        <v>409</v>
      </c>
      <c r="D2374" s="2" t="s">
        <v>412</v>
      </c>
      <c r="E2374" s="2" t="s">
        <v>414</v>
      </c>
      <c r="F2374" s="2" t="s">
        <v>40</v>
      </c>
      <c r="J2374" s="2" t="s">
        <v>541</v>
      </c>
      <c r="K2374" s="2" t="s">
        <v>542</v>
      </c>
      <c r="L2374" s="2">
        <v>7</v>
      </c>
      <c r="M2374" s="2" t="s">
        <v>549</v>
      </c>
      <c r="O2374" s="2" t="s">
        <v>524</v>
      </c>
      <c r="Y2374" s="2" t="s">
        <v>665</v>
      </c>
    </row>
    <row r="2375" spans="1:34" x14ac:dyDescent="0.25">
      <c r="A2375" s="2" t="s">
        <v>321</v>
      </c>
      <c r="B2375" s="2" t="s">
        <v>540</v>
      </c>
      <c r="C2375" s="2" t="s">
        <v>409</v>
      </c>
      <c r="D2375" s="2" t="s">
        <v>412</v>
      </c>
      <c r="E2375" s="2" t="s">
        <v>414</v>
      </c>
      <c r="F2375" s="2" t="s">
        <v>40</v>
      </c>
      <c r="J2375" s="2" t="s">
        <v>541</v>
      </c>
      <c r="K2375" s="2" t="s">
        <v>542</v>
      </c>
      <c r="L2375" s="2">
        <v>8</v>
      </c>
      <c r="M2375" s="2" t="s">
        <v>550</v>
      </c>
      <c r="O2375" s="2" t="s">
        <v>524</v>
      </c>
      <c r="Y2375" s="2" t="s">
        <v>665</v>
      </c>
    </row>
    <row r="2376" spans="1:34" x14ac:dyDescent="0.25">
      <c r="A2376" s="2" t="s">
        <v>321</v>
      </c>
      <c r="B2376" s="2" t="s">
        <v>540</v>
      </c>
      <c r="C2376" s="2" t="s">
        <v>409</v>
      </c>
      <c r="D2376" s="2" t="s">
        <v>412</v>
      </c>
      <c r="E2376" s="2" t="s">
        <v>414</v>
      </c>
      <c r="F2376" s="2" t="s">
        <v>40</v>
      </c>
      <c r="J2376" s="2" t="s">
        <v>541</v>
      </c>
      <c r="K2376" s="2" t="s">
        <v>542</v>
      </c>
      <c r="L2376" s="2">
        <v>9</v>
      </c>
      <c r="M2376" s="2" t="s">
        <v>551</v>
      </c>
      <c r="O2376" s="2" t="s">
        <v>524</v>
      </c>
      <c r="Y2376" s="2" t="s">
        <v>665</v>
      </c>
    </row>
    <row r="2377" spans="1:34" x14ac:dyDescent="0.25">
      <c r="A2377" s="2" t="s">
        <v>321</v>
      </c>
      <c r="B2377" s="2" t="s">
        <v>540</v>
      </c>
      <c r="C2377" s="2" t="s">
        <v>409</v>
      </c>
      <c r="D2377" s="2" t="s">
        <v>412</v>
      </c>
      <c r="E2377" s="2" t="s">
        <v>414</v>
      </c>
      <c r="F2377" s="2" t="s">
        <v>40</v>
      </c>
      <c r="J2377" s="2" t="s">
        <v>541</v>
      </c>
      <c r="K2377" s="2" t="s">
        <v>542</v>
      </c>
      <c r="L2377" s="2">
        <v>10</v>
      </c>
      <c r="M2377" s="2" t="s">
        <v>552</v>
      </c>
      <c r="O2377" s="2" t="s">
        <v>524</v>
      </c>
      <c r="Y2377" s="2" t="s">
        <v>665</v>
      </c>
    </row>
    <row r="2378" spans="1:34" x14ac:dyDescent="0.25">
      <c r="A2378" s="2" t="s">
        <v>321</v>
      </c>
      <c r="B2378" s="2" t="s">
        <v>540</v>
      </c>
      <c r="C2378" s="2" t="s">
        <v>409</v>
      </c>
      <c r="D2378" s="2" t="s">
        <v>412</v>
      </c>
      <c r="E2378" s="2" t="s">
        <v>414</v>
      </c>
      <c r="F2378" s="2" t="s">
        <v>40</v>
      </c>
      <c r="J2378" s="2" t="s">
        <v>541</v>
      </c>
      <c r="K2378" s="2" t="s">
        <v>542</v>
      </c>
      <c r="L2378" s="2">
        <v>11</v>
      </c>
      <c r="M2378" s="2" t="s">
        <v>553</v>
      </c>
      <c r="O2378" s="2" t="s">
        <v>524</v>
      </c>
      <c r="Y2378" s="2" t="s">
        <v>665</v>
      </c>
    </row>
    <row r="2379" spans="1:34" x14ac:dyDescent="0.25">
      <c r="A2379" s="2" t="s">
        <v>321</v>
      </c>
      <c r="B2379" s="2" t="s">
        <v>540</v>
      </c>
      <c r="C2379" s="2" t="s">
        <v>409</v>
      </c>
      <c r="D2379" s="2" t="s">
        <v>412</v>
      </c>
      <c r="E2379" s="2" t="s">
        <v>414</v>
      </c>
      <c r="F2379" s="2" t="s">
        <v>40</v>
      </c>
      <c r="J2379" s="2" t="s">
        <v>541</v>
      </c>
      <c r="K2379" s="2" t="s">
        <v>542</v>
      </c>
      <c r="L2379" s="2">
        <v>12</v>
      </c>
      <c r="M2379" s="2" t="s">
        <v>554</v>
      </c>
      <c r="O2379" s="2" t="s">
        <v>524</v>
      </c>
      <c r="Y2379" s="2" t="s">
        <v>665</v>
      </c>
    </row>
    <row r="2380" spans="1:34" x14ac:dyDescent="0.25">
      <c r="A2380" s="2" t="s">
        <v>321</v>
      </c>
      <c r="B2380" s="2" t="s">
        <v>555</v>
      </c>
      <c r="C2380" s="2" t="s">
        <v>409</v>
      </c>
      <c r="D2380" s="2" t="s">
        <v>412</v>
      </c>
      <c r="E2380" s="2" t="s">
        <v>414</v>
      </c>
      <c r="F2380" s="2" t="s">
        <v>40</v>
      </c>
      <c r="J2380" s="2" t="s">
        <v>556</v>
      </c>
      <c r="O2380" s="2" t="s">
        <v>524</v>
      </c>
      <c r="Y2380" s="2" t="s">
        <v>665</v>
      </c>
      <c r="AB2380" s="2">
        <v>2</v>
      </c>
    </row>
    <row r="2381" spans="1:34" x14ac:dyDescent="0.25">
      <c r="A2381" s="2" t="s">
        <v>321</v>
      </c>
      <c r="B2381" s="2" t="s">
        <v>557</v>
      </c>
      <c r="C2381" s="2" t="s">
        <v>409</v>
      </c>
      <c r="D2381" s="2" t="s">
        <v>412</v>
      </c>
      <c r="E2381" s="2" t="s">
        <v>414</v>
      </c>
      <c r="F2381" s="2" t="s">
        <v>40</v>
      </c>
      <c r="J2381" s="2" t="s">
        <v>558</v>
      </c>
      <c r="O2381" s="2" t="s">
        <v>524</v>
      </c>
      <c r="Y2381" s="2" t="s">
        <v>665</v>
      </c>
      <c r="AC2381" s="2">
        <f>COUNTIFS($B:$B,"BLOCK_LOAD_Q",$A:$A,$A2381,$C:$C,$C2381,$E:$E,$E2381,$F:$F,$F2381,$N:$N, "&lt;&gt;")</f>
        <v>0</v>
      </c>
      <c r="AD2381" s="2">
        <f>COUNTIFS($B:$B,"BLOCK_TRUST_Q",$A:$A,$A2381,$C:$C,$C2381,$E:$E,$E2381,$F:$F,$F2381,$N:$N, "&lt;&gt;")</f>
        <v>0</v>
      </c>
      <c r="AE2381" s="2" t="str">
        <f>IFERROR(AVERAGEIFS($P:$P,$B:$B,"BLOCK_LOAD_Q",$A:$A,$A2381,$C:$C,$C2381,$E:$E,$E2381,$F:$F,$F2381,$P:$P,"&gt;0"),"")</f>
        <v/>
      </c>
      <c r="AF2381" s="2" t="str">
        <f>IFERROR(AVERAGEIFS($P:$P,$B:$B,"BLOCK_TRUST_Q",$A:$A,$A2381,$C:$C,$C2381,$E:$E,$E2381,$F:$F,$F2381,$P:$P,"&gt;0"),"")</f>
        <v/>
      </c>
      <c r="AG2381" s="2">
        <f>5-AC2381</f>
        <v>5</v>
      </c>
      <c r="AH2381" s="2">
        <f>12-AD2381</f>
        <v>12</v>
      </c>
    </row>
    <row r="2382" spans="1:34" x14ac:dyDescent="0.25">
      <c r="A2382" s="2" t="s">
        <v>321</v>
      </c>
      <c r="B2382" s="2" t="s">
        <v>403</v>
      </c>
      <c r="C2382" s="2" t="s">
        <v>409</v>
      </c>
      <c r="D2382" s="2" t="s">
        <v>412</v>
      </c>
      <c r="Z2382" s="2" t="s">
        <v>467</v>
      </c>
    </row>
    <row r="2383" spans="1:34" x14ac:dyDescent="0.25">
      <c r="A2383" s="2" t="s">
        <v>321</v>
      </c>
      <c r="B2383" s="2" t="s">
        <v>404</v>
      </c>
      <c r="J2383" s="2" t="s">
        <v>575</v>
      </c>
      <c r="AA2383" s="2" t="s">
        <v>337</v>
      </c>
    </row>
    <row r="2384" spans="1:34" x14ac:dyDescent="0.25">
      <c r="A2384" s="2" t="s">
        <v>321</v>
      </c>
      <c r="B2384" s="2" t="s">
        <v>405</v>
      </c>
    </row>
    <row r="2385" spans="1:25" x14ac:dyDescent="0.25">
      <c r="A2385" s="2" t="s">
        <v>321</v>
      </c>
      <c r="B2385" s="2" t="s">
        <v>406</v>
      </c>
    </row>
    <row r="2386" spans="1:25" x14ac:dyDescent="0.25">
      <c r="A2386" s="2" t="s">
        <v>322</v>
      </c>
      <c r="B2386" s="2" t="s">
        <v>523</v>
      </c>
      <c r="C2386" s="2" t="s">
        <v>524</v>
      </c>
      <c r="D2386" s="2" t="s">
        <v>524</v>
      </c>
      <c r="E2386" s="2" t="s">
        <v>524</v>
      </c>
      <c r="F2386" s="2" t="s">
        <v>524</v>
      </c>
      <c r="J2386" s="2" t="s">
        <v>525</v>
      </c>
      <c r="O2386" s="2" t="s">
        <v>524</v>
      </c>
    </row>
    <row r="2387" spans="1:25" x14ac:dyDescent="0.25">
      <c r="A2387" s="2" t="s">
        <v>322</v>
      </c>
      <c r="B2387" s="2" t="s">
        <v>526</v>
      </c>
      <c r="C2387" s="2" t="s">
        <v>524</v>
      </c>
      <c r="D2387" s="2" t="s">
        <v>524</v>
      </c>
      <c r="E2387" s="2" t="s">
        <v>524</v>
      </c>
      <c r="F2387" s="2" t="s">
        <v>524</v>
      </c>
      <c r="J2387" s="2" t="s">
        <v>527</v>
      </c>
      <c r="O2387" s="2" t="s">
        <v>524</v>
      </c>
    </row>
    <row r="2388" spans="1:25" x14ac:dyDescent="0.25">
      <c r="A2388" s="2" t="s">
        <v>322</v>
      </c>
      <c r="B2388" s="2" t="s">
        <v>402</v>
      </c>
      <c r="C2388" s="2" t="s">
        <v>407</v>
      </c>
      <c r="D2388" s="2" t="s">
        <v>411</v>
      </c>
      <c r="E2388" s="2" t="s">
        <v>413</v>
      </c>
      <c r="F2388" s="2" t="s">
        <v>40</v>
      </c>
      <c r="G2388" s="2" t="s">
        <v>415</v>
      </c>
      <c r="H2388" s="2" t="s">
        <v>357</v>
      </c>
      <c r="S2388" s="2" t="s">
        <v>59</v>
      </c>
      <c r="U2388" s="2" t="s">
        <v>60</v>
      </c>
      <c r="W2388" s="2" t="s">
        <v>57</v>
      </c>
    </row>
    <row r="2389" spans="1:25" x14ac:dyDescent="0.25">
      <c r="A2389" s="2" t="s">
        <v>322</v>
      </c>
      <c r="B2389" s="2" t="s">
        <v>402</v>
      </c>
      <c r="C2389" s="2" t="s">
        <v>407</v>
      </c>
      <c r="D2389" s="2" t="s">
        <v>411</v>
      </c>
      <c r="E2389" s="2" t="s">
        <v>413</v>
      </c>
      <c r="F2389" s="2" t="s">
        <v>40</v>
      </c>
      <c r="G2389" s="2" t="s">
        <v>416</v>
      </c>
      <c r="H2389" s="2" t="s">
        <v>348</v>
      </c>
      <c r="S2389" s="2" t="s">
        <v>58</v>
      </c>
      <c r="U2389" s="2" t="s">
        <v>59</v>
      </c>
      <c r="W2389" s="2" t="s">
        <v>59</v>
      </c>
    </row>
    <row r="2390" spans="1:25" x14ac:dyDescent="0.25">
      <c r="A2390" s="2" t="s">
        <v>322</v>
      </c>
      <c r="B2390" s="2" t="s">
        <v>402</v>
      </c>
      <c r="C2390" s="2" t="s">
        <v>407</v>
      </c>
      <c r="D2390" s="2" t="s">
        <v>411</v>
      </c>
      <c r="E2390" s="2" t="s">
        <v>413</v>
      </c>
      <c r="F2390" s="2" t="s">
        <v>40</v>
      </c>
      <c r="G2390" s="2" t="s">
        <v>417</v>
      </c>
      <c r="H2390" s="2" t="s">
        <v>562</v>
      </c>
      <c r="S2390" s="2" t="s">
        <v>59</v>
      </c>
      <c r="U2390" s="2" t="s">
        <v>57</v>
      </c>
      <c r="W2390" s="2" t="s">
        <v>57</v>
      </c>
    </row>
    <row r="2391" spans="1:25" x14ac:dyDescent="0.25">
      <c r="A2391" s="2" t="s">
        <v>322</v>
      </c>
      <c r="B2391" s="2" t="s">
        <v>402</v>
      </c>
      <c r="C2391" s="2" t="s">
        <v>407</v>
      </c>
      <c r="D2391" s="2" t="s">
        <v>411</v>
      </c>
      <c r="E2391" s="2" t="s">
        <v>413</v>
      </c>
      <c r="F2391" s="2" t="s">
        <v>40</v>
      </c>
      <c r="G2391" s="2" t="s">
        <v>418</v>
      </c>
      <c r="H2391" s="2" t="s">
        <v>563</v>
      </c>
      <c r="S2391" s="2" t="s">
        <v>57</v>
      </c>
      <c r="U2391" s="2" t="s">
        <v>60</v>
      </c>
      <c r="W2391" s="2" t="s">
        <v>60</v>
      </c>
    </row>
    <row r="2392" spans="1:25" x14ac:dyDescent="0.25">
      <c r="A2392" s="2" t="s">
        <v>322</v>
      </c>
      <c r="B2392" s="2" t="s">
        <v>531</v>
      </c>
      <c r="C2392" s="2" t="s">
        <v>407</v>
      </c>
      <c r="D2392" s="2" t="s">
        <v>411</v>
      </c>
      <c r="E2392" s="2" t="s">
        <v>413</v>
      </c>
      <c r="F2392" s="2" t="s">
        <v>40</v>
      </c>
      <c r="J2392" s="2" t="s">
        <v>532</v>
      </c>
      <c r="K2392" s="2" t="s">
        <v>533</v>
      </c>
      <c r="L2392" s="2">
        <v>1</v>
      </c>
      <c r="M2392" s="2" t="s">
        <v>534</v>
      </c>
      <c r="O2392" s="2" t="s">
        <v>524</v>
      </c>
      <c r="Y2392" s="2" t="s">
        <v>666</v>
      </c>
    </row>
    <row r="2393" spans="1:25" x14ac:dyDescent="0.25">
      <c r="A2393" s="2" t="s">
        <v>322</v>
      </c>
      <c r="B2393" s="2" t="s">
        <v>531</v>
      </c>
      <c r="C2393" s="2" t="s">
        <v>407</v>
      </c>
      <c r="D2393" s="2" t="s">
        <v>411</v>
      </c>
      <c r="E2393" s="2" t="s">
        <v>413</v>
      </c>
      <c r="F2393" s="2" t="s">
        <v>40</v>
      </c>
      <c r="J2393" s="2" t="s">
        <v>532</v>
      </c>
      <c r="K2393" s="2" t="s">
        <v>533</v>
      </c>
      <c r="L2393" s="2">
        <v>2</v>
      </c>
      <c r="M2393" s="2" t="s">
        <v>536</v>
      </c>
      <c r="O2393" s="2" t="s">
        <v>524</v>
      </c>
      <c r="Y2393" s="2" t="s">
        <v>666</v>
      </c>
    </row>
    <row r="2394" spans="1:25" x14ac:dyDescent="0.25">
      <c r="A2394" s="2" t="s">
        <v>322</v>
      </c>
      <c r="B2394" s="2" t="s">
        <v>531</v>
      </c>
      <c r="C2394" s="2" t="s">
        <v>407</v>
      </c>
      <c r="D2394" s="2" t="s">
        <v>411</v>
      </c>
      <c r="E2394" s="2" t="s">
        <v>413</v>
      </c>
      <c r="F2394" s="2" t="s">
        <v>40</v>
      </c>
      <c r="J2394" s="2" t="s">
        <v>532</v>
      </c>
      <c r="K2394" s="2" t="s">
        <v>533</v>
      </c>
      <c r="L2394" s="2">
        <v>3</v>
      </c>
      <c r="M2394" s="2" t="s">
        <v>537</v>
      </c>
      <c r="O2394" s="2" t="s">
        <v>524</v>
      </c>
      <c r="Y2394" s="2" t="s">
        <v>666</v>
      </c>
    </row>
    <row r="2395" spans="1:25" x14ac:dyDescent="0.25">
      <c r="A2395" s="2" t="s">
        <v>322</v>
      </c>
      <c r="B2395" s="2" t="s">
        <v>531</v>
      </c>
      <c r="C2395" s="2" t="s">
        <v>407</v>
      </c>
      <c r="D2395" s="2" t="s">
        <v>411</v>
      </c>
      <c r="E2395" s="2" t="s">
        <v>413</v>
      </c>
      <c r="F2395" s="2" t="s">
        <v>40</v>
      </c>
      <c r="J2395" s="2" t="s">
        <v>532</v>
      </c>
      <c r="K2395" s="2" t="s">
        <v>533</v>
      </c>
      <c r="L2395" s="2">
        <v>4</v>
      </c>
      <c r="M2395" s="2" t="s">
        <v>538</v>
      </c>
      <c r="O2395" s="2" t="s">
        <v>524</v>
      </c>
      <c r="Y2395" s="2" t="s">
        <v>666</v>
      </c>
    </row>
    <row r="2396" spans="1:25" x14ac:dyDescent="0.25">
      <c r="A2396" s="2" t="s">
        <v>322</v>
      </c>
      <c r="B2396" s="2" t="s">
        <v>531</v>
      </c>
      <c r="C2396" s="2" t="s">
        <v>407</v>
      </c>
      <c r="D2396" s="2" t="s">
        <v>411</v>
      </c>
      <c r="E2396" s="2" t="s">
        <v>413</v>
      </c>
      <c r="F2396" s="2" t="s">
        <v>40</v>
      </c>
      <c r="J2396" s="2" t="s">
        <v>532</v>
      </c>
      <c r="K2396" s="2" t="s">
        <v>533</v>
      </c>
      <c r="L2396" s="2">
        <v>5</v>
      </c>
      <c r="M2396" s="2" t="s">
        <v>539</v>
      </c>
      <c r="O2396" s="2" t="s">
        <v>524</v>
      </c>
      <c r="Y2396" s="2" t="s">
        <v>666</v>
      </c>
    </row>
    <row r="2397" spans="1:25" x14ac:dyDescent="0.25">
      <c r="A2397" s="2" t="s">
        <v>322</v>
      </c>
      <c r="B2397" s="2" t="s">
        <v>540</v>
      </c>
      <c r="C2397" s="2" t="s">
        <v>407</v>
      </c>
      <c r="D2397" s="2" t="s">
        <v>411</v>
      </c>
      <c r="E2397" s="2" t="s">
        <v>413</v>
      </c>
      <c r="F2397" s="2" t="s">
        <v>40</v>
      </c>
      <c r="J2397" s="2" t="s">
        <v>541</v>
      </c>
      <c r="K2397" s="2" t="s">
        <v>542</v>
      </c>
      <c r="L2397" s="2">
        <v>1</v>
      </c>
      <c r="M2397" s="2" t="s">
        <v>543</v>
      </c>
      <c r="O2397" s="2" t="s">
        <v>524</v>
      </c>
      <c r="Y2397" s="2" t="s">
        <v>666</v>
      </c>
    </row>
    <row r="2398" spans="1:25" x14ac:dyDescent="0.25">
      <c r="A2398" s="2" t="s">
        <v>322</v>
      </c>
      <c r="B2398" s="2" t="s">
        <v>540</v>
      </c>
      <c r="C2398" s="2" t="s">
        <v>407</v>
      </c>
      <c r="D2398" s="2" t="s">
        <v>411</v>
      </c>
      <c r="E2398" s="2" t="s">
        <v>413</v>
      </c>
      <c r="F2398" s="2" t="s">
        <v>40</v>
      </c>
      <c r="J2398" s="2" t="s">
        <v>541</v>
      </c>
      <c r="K2398" s="2" t="s">
        <v>542</v>
      </c>
      <c r="L2398" s="2">
        <v>2</v>
      </c>
      <c r="M2398" s="2" t="s">
        <v>544</v>
      </c>
      <c r="O2398" s="2" t="s">
        <v>524</v>
      </c>
      <c r="Y2398" s="2" t="s">
        <v>666</v>
      </c>
    </row>
    <row r="2399" spans="1:25" x14ac:dyDescent="0.25">
      <c r="A2399" s="2" t="s">
        <v>322</v>
      </c>
      <c r="B2399" s="2" t="s">
        <v>540</v>
      </c>
      <c r="C2399" s="2" t="s">
        <v>407</v>
      </c>
      <c r="D2399" s="2" t="s">
        <v>411</v>
      </c>
      <c r="E2399" s="2" t="s">
        <v>413</v>
      </c>
      <c r="F2399" s="2" t="s">
        <v>40</v>
      </c>
      <c r="J2399" s="2" t="s">
        <v>541</v>
      </c>
      <c r="K2399" s="2" t="s">
        <v>542</v>
      </c>
      <c r="L2399" s="2">
        <v>3</v>
      </c>
      <c r="M2399" s="2" t="s">
        <v>545</v>
      </c>
      <c r="O2399" s="2" t="s">
        <v>524</v>
      </c>
      <c r="Y2399" s="2" t="s">
        <v>666</v>
      </c>
    </row>
    <row r="2400" spans="1:25" x14ac:dyDescent="0.25">
      <c r="A2400" s="2" t="s">
        <v>322</v>
      </c>
      <c r="B2400" s="2" t="s">
        <v>540</v>
      </c>
      <c r="C2400" s="2" t="s">
        <v>407</v>
      </c>
      <c r="D2400" s="2" t="s">
        <v>411</v>
      </c>
      <c r="E2400" s="2" t="s">
        <v>413</v>
      </c>
      <c r="F2400" s="2" t="s">
        <v>40</v>
      </c>
      <c r="J2400" s="2" t="s">
        <v>541</v>
      </c>
      <c r="K2400" s="2" t="s">
        <v>542</v>
      </c>
      <c r="L2400" s="2">
        <v>4</v>
      </c>
      <c r="M2400" s="2" t="s">
        <v>546</v>
      </c>
      <c r="O2400" s="2" t="s">
        <v>524</v>
      </c>
      <c r="Y2400" s="2" t="s">
        <v>666</v>
      </c>
    </row>
    <row r="2401" spans="1:34" x14ac:dyDescent="0.25">
      <c r="A2401" s="2" t="s">
        <v>322</v>
      </c>
      <c r="B2401" s="2" t="s">
        <v>540</v>
      </c>
      <c r="C2401" s="2" t="s">
        <v>407</v>
      </c>
      <c r="D2401" s="2" t="s">
        <v>411</v>
      </c>
      <c r="E2401" s="2" t="s">
        <v>413</v>
      </c>
      <c r="F2401" s="2" t="s">
        <v>40</v>
      </c>
      <c r="J2401" s="2" t="s">
        <v>541</v>
      </c>
      <c r="K2401" s="2" t="s">
        <v>542</v>
      </c>
      <c r="L2401" s="2">
        <v>5</v>
      </c>
      <c r="M2401" s="2" t="s">
        <v>547</v>
      </c>
      <c r="O2401" s="2" t="s">
        <v>524</v>
      </c>
      <c r="Y2401" s="2" t="s">
        <v>666</v>
      </c>
    </row>
    <row r="2402" spans="1:34" x14ac:dyDescent="0.25">
      <c r="A2402" s="2" t="s">
        <v>322</v>
      </c>
      <c r="B2402" s="2" t="s">
        <v>540</v>
      </c>
      <c r="C2402" s="2" t="s">
        <v>407</v>
      </c>
      <c r="D2402" s="2" t="s">
        <v>411</v>
      </c>
      <c r="E2402" s="2" t="s">
        <v>413</v>
      </c>
      <c r="F2402" s="2" t="s">
        <v>40</v>
      </c>
      <c r="J2402" s="2" t="s">
        <v>541</v>
      </c>
      <c r="K2402" s="2" t="s">
        <v>542</v>
      </c>
      <c r="L2402" s="2">
        <v>6</v>
      </c>
      <c r="M2402" s="2" t="s">
        <v>548</v>
      </c>
      <c r="O2402" s="2" t="s">
        <v>524</v>
      </c>
      <c r="Y2402" s="2" t="s">
        <v>666</v>
      </c>
    </row>
    <row r="2403" spans="1:34" x14ac:dyDescent="0.25">
      <c r="A2403" s="2" t="s">
        <v>322</v>
      </c>
      <c r="B2403" s="2" t="s">
        <v>540</v>
      </c>
      <c r="C2403" s="2" t="s">
        <v>407</v>
      </c>
      <c r="D2403" s="2" t="s">
        <v>411</v>
      </c>
      <c r="E2403" s="2" t="s">
        <v>413</v>
      </c>
      <c r="F2403" s="2" t="s">
        <v>40</v>
      </c>
      <c r="J2403" s="2" t="s">
        <v>541</v>
      </c>
      <c r="K2403" s="2" t="s">
        <v>542</v>
      </c>
      <c r="L2403" s="2">
        <v>7</v>
      </c>
      <c r="M2403" s="2" t="s">
        <v>549</v>
      </c>
      <c r="O2403" s="2" t="s">
        <v>524</v>
      </c>
      <c r="Y2403" s="2" t="s">
        <v>666</v>
      </c>
    </row>
    <row r="2404" spans="1:34" x14ac:dyDescent="0.25">
      <c r="A2404" s="2" t="s">
        <v>322</v>
      </c>
      <c r="B2404" s="2" t="s">
        <v>540</v>
      </c>
      <c r="C2404" s="2" t="s">
        <v>407</v>
      </c>
      <c r="D2404" s="2" t="s">
        <v>411</v>
      </c>
      <c r="E2404" s="2" t="s">
        <v>413</v>
      </c>
      <c r="F2404" s="2" t="s">
        <v>40</v>
      </c>
      <c r="J2404" s="2" t="s">
        <v>541</v>
      </c>
      <c r="K2404" s="2" t="s">
        <v>542</v>
      </c>
      <c r="L2404" s="2">
        <v>8</v>
      </c>
      <c r="M2404" s="2" t="s">
        <v>550</v>
      </c>
      <c r="O2404" s="2" t="s">
        <v>524</v>
      </c>
      <c r="Y2404" s="2" t="s">
        <v>666</v>
      </c>
    </row>
    <row r="2405" spans="1:34" x14ac:dyDescent="0.25">
      <c r="A2405" s="2" t="s">
        <v>322</v>
      </c>
      <c r="B2405" s="2" t="s">
        <v>540</v>
      </c>
      <c r="C2405" s="2" t="s">
        <v>407</v>
      </c>
      <c r="D2405" s="2" t="s">
        <v>411</v>
      </c>
      <c r="E2405" s="2" t="s">
        <v>413</v>
      </c>
      <c r="F2405" s="2" t="s">
        <v>40</v>
      </c>
      <c r="J2405" s="2" t="s">
        <v>541</v>
      </c>
      <c r="K2405" s="2" t="s">
        <v>542</v>
      </c>
      <c r="L2405" s="2">
        <v>9</v>
      </c>
      <c r="M2405" s="2" t="s">
        <v>551</v>
      </c>
      <c r="O2405" s="2" t="s">
        <v>524</v>
      </c>
      <c r="Y2405" s="2" t="s">
        <v>666</v>
      </c>
    </row>
    <row r="2406" spans="1:34" x14ac:dyDescent="0.25">
      <c r="A2406" s="2" t="s">
        <v>322</v>
      </c>
      <c r="B2406" s="2" t="s">
        <v>540</v>
      </c>
      <c r="C2406" s="2" t="s">
        <v>407</v>
      </c>
      <c r="D2406" s="2" t="s">
        <v>411</v>
      </c>
      <c r="E2406" s="2" t="s">
        <v>413</v>
      </c>
      <c r="F2406" s="2" t="s">
        <v>40</v>
      </c>
      <c r="J2406" s="2" t="s">
        <v>541</v>
      </c>
      <c r="K2406" s="2" t="s">
        <v>542</v>
      </c>
      <c r="L2406" s="2">
        <v>10</v>
      </c>
      <c r="M2406" s="2" t="s">
        <v>552</v>
      </c>
      <c r="O2406" s="2" t="s">
        <v>524</v>
      </c>
      <c r="Y2406" s="2" t="s">
        <v>666</v>
      </c>
    </row>
    <row r="2407" spans="1:34" x14ac:dyDescent="0.25">
      <c r="A2407" s="2" t="s">
        <v>322</v>
      </c>
      <c r="B2407" s="2" t="s">
        <v>540</v>
      </c>
      <c r="C2407" s="2" t="s">
        <v>407</v>
      </c>
      <c r="D2407" s="2" t="s">
        <v>411</v>
      </c>
      <c r="E2407" s="2" t="s">
        <v>413</v>
      </c>
      <c r="F2407" s="2" t="s">
        <v>40</v>
      </c>
      <c r="J2407" s="2" t="s">
        <v>541</v>
      </c>
      <c r="K2407" s="2" t="s">
        <v>542</v>
      </c>
      <c r="L2407" s="2">
        <v>11</v>
      </c>
      <c r="M2407" s="2" t="s">
        <v>553</v>
      </c>
      <c r="O2407" s="2" t="s">
        <v>524</v>
      </c>
      <c r="Y2407" s="2" t="s">
        <v>666</v>
      </c>
    </row>
    <row r="2408" spans="1:34" x14ac:dyDescent="0.25">
      <c r="A2408" s="2" t="s">
        <v>322</v>
      </c>
      <c r="B2408" s="2" t="s">
        <v>540</v>
      </c>
      <c r="C2408" s="2" t="s">
        <v>407</v>
      </c>
      <c r="D2408" s="2" t="s">
        <v>411</v>
      </c>
      <c r="E2408" s="2" t="s">
        <v>413</v>
      </c>
      <c r="F2408" s="2" t="s">
        <v>40</v>
      </c>
      <c r="J2408" s="2" t="s">
        <v>541</v>
      </c>
      <c r="K2408" s="2" t="s">
        <v>542</v>
      </c>
      <c r="L2408" s="2">
        <v>12</v>
      </c>
      <c r="M2408" s="2" t="s">
        <v>554</v>
      </c>
      <c r="O2408" s="2" t="s">
        <v>524</v>
      </c>
      <c r="Y2408" s="2" t="s">
        <v>666</v>
      </c>
    </row>
    <row r="2409" spans="1:34" x14ac:dyDescent="0.25">
      <c r="A2409" s="2" t="s">
        <v>322</v>
      </c>
      <c r="B2409" s="2" t="s">
        <v>555</v>
      </c>
      <c r="C2409" s="2" t="s">
        <v>407</v>
      </c>
      <c r="D2409" s="2" t="s">
        <v>411</v>
      </c>
      <c r="E2409" s="2" t="s">
        <v>413</v>
      </c>
      <c r="F2409" s="2" t="s">
        <v>40</v>
      </c>
      <c r="J2409" s="2" t="s">
        <v>556</v>
      </c>
      <c r="O2409" s="2" t="s">
        <v>524</v>
      </c>
      <c r="Y2409" s="2" t="s">
        <v>666</v>
      </c>
      <c r="AB2409" s="2">
        <v>2</v>
      </c>
    </row>
    <row r="2410" spans="1:34" x14ac:dyDescent="0.25">
      <c r="A2410" s="2" t="s">
        <v>322</v>
      </c>
      <c r="B2410" s="2" t="s">
        <v>557</v>
      </c>
      <c r="C2410" s="2" t="s">
        <v>407</v>
      </c>
      <c r="D2410" s="2" t="s">
        <v>411</v>
      </c>
      <c r="E2410" s="2" t="s">
        <v>413</v>
      </c>
      <c r="F2410" s="2" t="s">
        <v>40</v>
      </c>
      <c r="J2410" s="2" t="s">
        <v>558</v>
      </c>
      <c r="O2410" s="2" t="s">
        <v>524</v>
      </c>
      <c r="Y2410" s="2" t="s">
        <v>666</v>
      </c>
      <c r="AC2410" s="2">
        <f>COUNTIFS($B:$B,"BLOCK_LOAD_Q",$A:$A,$A2410,$C:$C,$C2410,$E:$E,$E2410,$F:$F,$F2410,$N:$N, "&lt;&gt;")</f>
        <v>0</v>
      </c>
      <c r="AD2410" s="2">
        <f>COUNTIFS($B:$B,"BLOCK_TRUST_Q",$A:$A,$A2410,$C:$C,$C2410,$E:$E,$E2410,$F:$F,$F2410,$N:$N, "&lt;&gt;")</f>
        <v>0</v>
      </c>
      <c r="AE2410" s="2" t="str">
        <f>IFERROR(AVERAGEIFS($P:$P,$B:$B,"BLOCK_LOAD_Q",$A:$A,$A2410,$C:$C,$C2410,$E:$E,$E2410,$F:$F,$F2410,$P:$P,"&gt;0"),"")</f>
        <v/>
      </c>
      <c r="AF2410" s="2" t="str">
        <f>IFERROR(AVERAGEIFS($P:$P,$B:$B,"BLOCK_TRUST_Q",$A:$A,$A2410,$C:$C,$C2410,$E:$E,$E2410,$F:$F,$F2410,$P:$P,"&gt;0"),"")</f>
        <v/>
      </c>
      <c r="AG2410" s="2">
        <f>5-AC2410</f>
        <v>5</v>
      </c>
      <c r="AH2410" s="2">
        <f>12-AD2410</f>
        <v>12</v>
      </c>
    </row>
    <row r="2411" spans="1:34" x14ac:dyDescent="0.25">
      <c r="A2411" s="2" t="s">
        <v>322</v>
      </c>
      <c r="B2411" s="2" t="s">
        <v>402</v>
      </c>
      <c r="C2411" s="2" t="s">
        <v>407</v>
      </c>
      <c r="D2411" s="2" t="s">
        <v>411</v>
      </c>
      <c r="E2411" s="2" t="s">
        <v>414</v>
      </c>
      <c r="F2411" s="2" t="s">
        <v>39</v>
      </c>
      <c r="G2411" s="2" t="s">
        <v>415</v>
      </c>
      <c r="H2411" s="2" t="s">
        <v>349</v>
      </c>
      <c r="S2411" s="2" t="s">
        <v>58</v>
      </c>
      <c r="U2411" s="2" t="s">
        <v>60</v>
      </c>
      <c r="W2411" s="2" t="s">
        <v>58</v>
      </c>
    </row>
    <row r="2412" spans="1:34" x14ac:dyDescent="0.25">
      <c r="A2412" s="2" t="s">
        <v>322</v>
      </c>
      <c r="B2412" s="2" t="s">
        <v>402</v>
      </c>
      <c r="C2412" s="2" t="s">
        <v>407</v>
      </c>
      <c r="D2412" s="2" t="s">
        <v>411</v>
      </c>
      <c r="E2412" s="2" t="s">
        <v>414</v>
      </c>
      <c r="F2412" s="2" t="s">
        <v>39</v>
      </c>
      <c r="G2412" s="2" t="s">
        <v>416</v>
      </c>
      <c r="H2412" s="2" t="s">
        <v>565</v>
      </c>
      <c r="S2412" s="2" t="s">
        <v>59</v>
      </c>
      <c r="U2412" s="2" t="s">
        <v>60</v>
      </c>
      <c r="W2412" s="2" t="s">
        <v>60</v>
      </c>
    </row>
    <row r="2413" spans="1:34" x14ac:dyDescent="0.25">
      <c r="A2413" s="2" t="s">
        <v>322</v>
      </c>
      <c r="B2413" s="2" t="s">
        <v>402</v>
      </c>
      <c r="C2413" s="2" t="s">
        <v>407</v>
      </c>
      <c r="D2413" s="2" t="s">
        <v>411</v>
      </c>
      <c r="E2413" s="2" t="s">
        <v>414</v>
      </c>
      <c r="F2413" s="2" t="s">
        <v>39</v>
      </c>
      <c r="G2413" s="2" t="s">
        <v>417</v>
      </c>
      <c r="H2413" s="2" t="s">
        <v>361</v>
      </c>
      <c r="S2413" s="2" t="s">
        <v>60</v>
      </c>
      <c r="U2413" s="2" t="s">
        <v>60</v>
      </c>
      <c r="W2413" s="2" t="s">
        <v>60</v>
      </c>
    </row>
    <row r="2414" spans="1:34" x14ac:dyDescent="0.25">
      <c r="A2414" s="2" t="s">
        <v>322</v>
      </c>
      <c r="B2414" s="2" t="s">
        <v>402</v>
      </c>
      <c r="C2414" s="2" t="s">
        <v>407</v>
      </c>
      <c r="D2414" s="2" t="s">
        <v>411</v>
      </c>
      <c r="E2414" s="2" t="s">
        <v>414</v>
      </c>
      <c r="F2414" s="2" t="s">
        <v>39</v>
      </c>
      <c r="G2414" s="2" t="s">
        <v>418</v>
      </c>
      <c r="H2414" s="2" t="s">
        <v>353</v>
      </c>
      <c r="S2414" s="2" t="s">
        <v>58</v>
      </c>
      <c r="U2414" s="2" t="s">
        <v>59</v>
      </c>
      <c r="W2414" s="2" t="s">
        <v>58</v>
      </c>
    </row>
    <row r="2415" spans="1:34" x14ac:dyDescent="0.25">
      <c r="A2415" s="2" t="s">
        <v>322</v>
      </c>
      <c r="B2415" s="2" t="s">
        <v>402</v>
      </c>
      <c r="C2415" s="2" t="s">
        <v>407</v>
      </c>
      <c r="D2415" s="2" t="s">
        <v>411</v>
      </c>
      <c r="E2415" s="2" t="s">
        <v>414</v>
      </c>
      <c r="F2415" s="2" t="s">
        <v>39</v>
      </c>
      <c r="G2415" s="2" t="s">
        <v>419</v>
      </c>
      <c r="H2415" s="2" t="s">
        <v>371</v>
      </c>
      <c r="S2415" s="2" t="s">
        <v>60</v>
      </c>
      <c r="U2415" s="2" t="s">
        <v>59</v>
      </c>
      <c r="W2415" s="2" t="s">
        <v>57</v>
      </c>
    </row>
    <row r="2416" spans="1:34" x14ac:dyDescent="0.25">
      <c r="A2416" s="2" t="s">
        <v>322</v>
      </c>
      <c r="B2416" s="2" t="s">
        <v>531</v>
      </c>
      <c r="C2416" s="2" t="s">
        <v>407</v>
      </c>
      <c r="D2416" s="2" t="s">
        <v>411</v>
      </c>
      <c r="E2416" s="2" t="s">
        <v>414</v>
      </c>
      <c r="F2416" s="2" t="s">
        <v>39</v>
      </c>
      <c r="J2416" s="2" t="s">
        <v>532</v>
      </c>
      <c r="K2416" s="2" t="s">
        <v>533</v>
      </c>
      <c r="L2416" s="2">
        <v>1</v>
      </c>
      <c r="M2416" s="2" t="s">
        <v>534</v>
      </c>
      <c r="O2416" s="2" t="s">
        <v>524</v>
      </c>
      <c r="Y2416" s="2" t="s">
        <v>667</v>
      </c>
    </row>
    <row r="2417" spans="1:25" x14ac:dyDescent="0.25">
      <c r="A2417" s="2" t="s">
        <v>322</v>
      </c>
      <c r="B2417" s="2" t="s">
        <v>531</v>
      </c>
      <c r="C2417" s="2" t="s">
        <v>407</v>
      </c>
      <c r="D2417" s="2" t="s">
        <v>411</v>
      </c>
      <c r="E2417" s="2" t="s">
        <v>414</v>
      </c>
      <c r="F2417" s="2" t="s">
        <v>39</v>
      </c>
      <c r="J2417" s="2" t="s">
        <v>532</v>
      </c>
      <c r="K2417" s="2" t="s">
        <v>533</v>
      </c>
      <c r="L2417" s="2">
        <v>2</v>
      </c>
      <c r="M2417" s="2" t="s">
        <v>536</v>
      </c>
      <c r="O2417" s="2" t="s">
        <v>524</v>
      </c>
      <c r="Y2417" s="2" t="s">
        <v>667</v>
      </c>
    </row>
    <row r="2418" spans="1:25" x14ac:dyDescent="0.25">
      <c r="A2418" s="2" t="s">
        <v>322</v>
      </c>
      <c r="B2418" s="2" t="s">
        <v>531</v>
      </c>
      <c r="C2418" s="2" t="s">
        <v>407</v>
      </c>
      <c r="D2418" s="2" t="s">
        <v>411</v>
      </c>
      <c r="E2418" s="2" t="s">
        <v>414</v>
      </c>
      <c r="F2418" s="2" t="s">
        <v>39</v>
      </c>
      <c r="J2418" s="2" t="s">
        <v>532</v>
      </c>
      <c r="K2418" s="2" t="s">
        <v>533</v>
      </c>
      <c r="L2418" s="2">
        <v>3</v>
      </c>
      <c r="M2418" s="2" t="s">
        <v>537</v>
      </c>
      <c r="O2418" s="2" t="s">
        <v>524</v>
      </c>
      <c r="Y2418" s="2" t="s">
        <v>667</v>
      </c>
    </row>
    <row r="2419" spans="1:25" x14ac:dyDescent="0.25">
      <c r="A2419" s="2" t="s">
        <v>322</v>
      </c>
      <c r="B2419" s="2" t="s">
        <v>531</v>
      </c>
      <c r="C2419" s="2" t="s">
        <v>407</v>
      </c>
      <c r="D2419" s="2" t="s">
        <v>411</v>
      </c>
      <c r="E2419" s="2" t="s">
        <v>414</v>
      </c>
      <c r="F2419" s="2" t="s">
        <v>39</v>
      </c>
      <c r="J2419" s="2" t="s">
        <v>532</v>
      </c>
      <c r="K2419" s="2" t="s">
        <v>533</v>
      </c>
      <c r="L2419" s="2">
        <v>4</v>
      </c>
      <c r="M2419" s="2" t="s">
        <v>538</v>
      </c>
      <c r="O2419" s="2" t="s">
        <v>524</v>
      </c>
      <c r="Y2419" s="2" t="s">
        <v>667</v>
      </c>
    </row>
    <row r="2420" spans="1:25" x14ac:dyDescent="0.25">
      <c r="A2420" s="2" t="s">
        <v>322</v>
      </c>
      <c r="B2420" s="2" t="s">
        <v>531</v>
      </c>
      <c r="C2420" s="2" t="s">
        <v>407</v>
      </c>
      <c r="D2420" s="2" t="s">
        <v>411</v>
      </c>
      <c r="E2420" s="2" t="s">
        <v>414</v>
      </c>
      <c r="F2420" s="2" t="s">
        <v>39</v>
      </c>
      <c r="J2420" s="2" t="s">
        <v>532</v>
      </c>
      <c r="K2420" s="2" t="s">
        <v>533</v>
      </c>
      <c r="L2420" s="2">
        <v>5</v>
      </c>
      <c r="M2420" s="2" t="s">
        <v>539</v>
      </c>
      <c r="O2420" s="2" t="s">
        <v>524</v>
      </c>
      <c r="Y2420" s="2" t="s">
        <v>667</v>
      </c>
    </row>
    <row r="2421" spans="1:25" x14ac:dyDescent="0.25">
      <c r="A2421" s="2" t="s">
        <v>322</v>
      </c>
      <c r="B2421" s="2" t="s">
        <v>540</v>
      </c>
      <c r="C2421" s="2" t="s">
        <v>407</v>
      </c>
      <c r="D2421" s="2" t="s">
        <v>411</v>
      </c>
      <c r="E2421" s="2" t="s">
        <v>414</v>
      </c>
      <c r="F2421" s="2" t="s">
        <v>39</v>
      </c>
      <c r="J2421" s="2" t="s">
        <v>541</v>
      </c>
      <c r="K2421" s="2" t="s">
        <v>542</v>
      </c>
      <c r="L2421" s="2">
        <v>1</v>
      </c>
      <c r="M2421" s="2" t="s">
        <v>543</v>
      </c>
      <c r="O2421" s="2" t="s">
        <v>524</v>
      </c>
      <c r="Y2421" s="2" t="s">
        <v>667</v>
      </c>
    </row>
    <row r="2422" spans="1:25" x14ac:dyDescent="0.25">
      <c r="A2422" s="2" t="s">
        <v>322</v>
      </c>
      <c r="B2422" s="2" t="s">
        <v>540</v>
      </c>
      <c r="C2422" s="2" t="s">
        <v>407</v>
      </c>
      <c r="D2422" s="2" t="s">
        <v>411</v>
      </c>
      <c r="E2422" s="2" t="s">
        <v>414</v>
      </c>
      <c r="F2422" s="2" t="s">
        <v>39</v>
      </c>
      <c r="J2422" s="2" t="s">
        <v>541</v>
      </c>
      <c r="K2422" s="2" t="s">
        <v>542</v>
      </c>
      <c r="L2422" s="2">
        <v>2</v>
      </c>
      <c r="M2422" s="2" t="s">
        <v>544</v>
      </c>
      <c r="O2422" s="2" t="s">
        <v>524</v>
      </c>
      <c r="Y2422" s="2" t="s">
        <v>667</v>
      </c>
    </row>
    <row r="2423" spans="1:25" x14ac:dyDescent="0.25">
      <c r="A2423" s="2" t="s">
        <v>322</v>
      </c>
      <c r="B2423" s="2" t="s">
        <v>540</v>
      </c>
      <c r="C2423" s="2" t="s">
        <v>407</v>
      </c>
      <c r="D2423" s="2" t="s">
        <v>411</v>
      </c>
      <c r="E2423" s="2" t="s">
        <v>414</v>
      </c>
      <c r="F2423" s="2" t="s">
        <v>39</v>
      </c>
      <c r="J2423" s="2" t="s">
        <v>541</v>
      </c>
      <c r="K2423" s="2" t="s">
        <v>542</v>
      </c>
      <c r="L2423" s="2">
        <v>3</v>
      </c>
      <c r="M2423" s="2" t="s">
        <v>545</v>
      </c>
      <c r="O2423" s="2" t="s">
        <v>524</v>
      </c>
      <c r="Y2423" s="2" t="s">
        <v>667</v>
      </c>
    </row>
    <row r="2424" spans="1:25" x14ac:dyDescent="0.25">
      <c r="A2424" s="2" t="s">
        <v>322</v>
      </c>
      <c r="B2424" s="2" t="s">
        <v>540</v>
      </c>
      <c r="C2424" s="2" t="s">
        <v>407</v>
      </c>
      <c r="D2424" s="2" t="s">
        <v>411</v>
      </c>
      <c r="E2424" s="2" t="s">
        <v>414</v>
      </c>
      <c r="F2424" s="2" t="s">
        <v>39</v>
      </c>
      <c r="J2424" s="2" t="s">
        <v>541</v>
      </c>
      <c r="K2424" s="2" t="s">
        <v>542</v>
      </c>
      <c r="L2424" s="2">
        <v>4</v>
      </c>
      <c r="M2424" s="2" t="s">
        <v>546</v>
      </c>
      <c r="O2424" s="2" t="s">
        <v>524</v>
      </c>
      <c r="Y2424" s="2" t="s">
        <v>667</v>
      </c>
    </row>
    <row r="2425" spans="1:25" x14ac:dyDescent="0.25">
      <c r="A2425" s="2" t="s">
        <v>322</v>
      </c>
      <c r="B2425" s="2" t="s">
        <v>540</v>
      </c>
      <c r="C2425" s="2" t="s">
        <v>407</v>
      </c>
      <c r="D2425" s="2" t="s">
        <v>411</v>
      </c>
      <c r="E2425" s="2" t="s">
        <v>414</v>
      </c>
      <c r="F2425" s="2" t="s">
        <v>39</v>
      </c>
      <c r="J2425" s="2" t="s">
        <v>541</v>
      </c>
      <c r="K2425" s="2" t="s">
        <v>542</v>
      </c>
      <c r="L2425" s="2">
        <v>5</v>
      </c>
      <c r="M2425" s="2" t="s">
        <v>547</v>
      </c>
      <c r="O2425" s="2" t="s">
        <v>524</v>
      </c>
      <c r="Y2425" s="2" t="s">
        <v>667</v>
      </c>
    </row>
    <row r="2426" spans="1:25" x14ac:dyDescent="0.25">
      <c r="A2426" s="2" t="s">
        <v>322</v>
      </c>
      <c r="B2426" s="2" t="s">
        <v>540</v>
      </c>
      <c r="C2426" s="2" t="s">
        <v>407</v>
      </c>
      <c r="D2426" s="2" t="s">
        <v>411</v>
      </c>
      <c r="E2426" s="2" t="s">
        <v>414</v>
      </c>
      <c r="F2426" s="2" t="s">
        <v>39</v>
      </c>
      <c r="J2426" s="2" t="s">
        <v>541</v>
      </c>
      <c r="K2426" s="2" t="s">
        <v>542</v>
      </c>
      <c r="L2426" s="2">
        <v>6</v>
      </c>
      <c r="M2426" s="2" t="s">
        <v>548</v>
      </c>
      <c r="O2426" s="2" t="s">
        <v>524</v>
      </c>
      <c r="Y2426" s="2" t="s">
        <v>667</v>
      </c>
    </row>
    <row r="2427" spans="1:25" x14ac:dyDescent="0.25">
      <c r="A2427" s="2" t="s">
        <v>322</v>
      </c>
      <c r="B2427" s="2" t="s">
        <v>540</v>
      </c>
      <c r="C2427" s="2" t="s">
        <v>407</v>
      </c>
      <c r="D2427" s="2" t="s">
        <v>411</v>
      </c>
      <c r="E2427" s="2" t="s">
        <v>414</v>
      </c>
      <c r="F2427" s="2" t="s">
        <v>39</v>
      </c>
      <c r="J2427" s="2" t="s">
        <v>541</v>
      </c>
      <c r="K2427" s="2" t="s">
        <v>542</v>
      </c>
      <c r="L2427" s="2">
        <v>7</v>
      </c>
      <c r="M2427" s="2" t="s">
        <v>549</v>
      </c>
      <c r="O2427" s="2" t="s">
        <v>524</v>
      </c>
      <c r="Y2427" s="2" t="s">
        <v>667</v>
      </c>
    </row>
    <row r="2428" spans="1:25" x14ac:dyDescent="0.25">
      <c r="A2428" s="2" t="s">
        <v>322</v>
      </c>
      <c r="B2428" s="2" t="s">
        <v>540</v>
      </c>
      <c r="C2428" s="2" t="s">
        <v>407</v>
      </c>
      <c r="D2428" s="2" t="s">
        <v>411</v>
      </c>
      <c r="E2428" s="2" t="s">
        <v>414</v>
      </c>
      <c r="F2428" s="2" t="s">
        <v>39</v>
      </c>
      <c r="J2428" s="2" t="s">
        <v>541</v>
      </c>
      <c r="K2428" s="2" t="s">
        <v>542</v>
      </c>
      <c r="L2428" s="2">
        <v>8</v>
      </c>
      <c r="M2428" s="2" t="s">
        <v>550</v>
      </c>
      <c r="O2428" s="2" t="s">
        <v>524</v>
      </c>
      <c r="Y2428" s="2" t="s">
        <v>667</v>
      </c>
    </row>
    <row r="2429" spans="1:25" x14ac:dyDescent="0.25">
      <c r="A2429" s="2" t="s">
        <v>322</v>
      </c>
      <c r="B2429" s="2" t="s">
        <v>540</v>
      </c>
      <c r="C2429" s="2" t="s">
        <v>407</v>
      </c>
      <c r="D2429" s="2" t="s">
        <v>411</v>
      </c>
      <c r="E2429" s="2" t="s">
        <v>414</v>
      </c>
      <c r="F2429" s="2" t="s">
        <v>39</v>
      </c>
      <c r="J2429" s="2" t="s">
        <v>541</v>
      </c>
      <c r="K2429" s="2" t="s">
        <v>542</v>
      </c>
      <c r="L2429" s="2">
        <v>9</v>
      </c>
      <c r="M2429" s="2" t="s">
        <v>551</v>
      </c>
      <c r="O2429" s="2" t="s">
        <v>524</v>
      </c>
      <c r="Y2429" s="2" t="s">
        <v>667</v>
      </c>
    </row>
    <row r="2430" spans="1:25" x14ac:dyDescent="0.25">
      <c r="A2430" s="2" t="s">
        <v>322</v>
      </c>
      <c r="B2430" s="2" t="s">
        <v>540</v>
      </c>
      <c r="C2430" s="2" t="s">
        <v>407</v>
      </c>
      <c r="D2430" s="2" t="s">
        <v>411</v>
      </c>
      <c r="E2430" s="2" t="s">
        <v>414</v>
      </c>
      <c r="F2430" s="2" t="s">
        <v>39</v>
      </c>
      <c r="J2430" s="2" t="s">
        <v>541</v>
      </c>
      <c r="K2430" s="2" t="s">
        <v>542</v>
      </c>
      <c r="L2430" s="2">
        <v>10</v>
      </c>
      <c r="M2430" s="2" t="s">
        <v>552</v>
      </c>
      <c r="O2430" s="2" t="s">
        <v>524</v>
      </c>
      <c r="Y2430" s="2" t="s">
        <v>667</v>
      </c>
    </row>
    <row r="2431" spans="1:25" x14ac:dyDescent="0.25">
      <c r="A2431" s="2" t="s">
        <v>322</v>
      </c>
      <c r="B2431" s="2" t="s">
        <v>540</v>
      </c>
      <c r="C2431" s="2" t="s">
        <v>407</v>
      </c>
      <c r="D2431" s="2" t="s">
        <v>411</v>
      </c>
      <c r="E2431" s="2" t="s">
        <v>414</v>
      </c>
      <c r="F2431" s="2" t="s">
        <v>39</v>
      </c>
      <c r="J2431" s="2" t="s">
        <v>541</v>
      </c>
      <c r="K2431" s="2" t="s">
        <v>542</v>
      </c>
      <c r="L2431" s="2">
        <v>11</v>
      </c>
      <c r="M2431" s="2" t="s">
        <v>553</v>
      </c>
      <c r="O2431" s="2" t="s">
        <v>524</v>
      </c>
      <c r="Y2431" s="2" t="s">
        <v>667</v>
      </c>
    </row>
    <row r="2432" spans="1:25" x14ac:dyDescent="0.25">
      <c r="A2432" s="2" t="s">
        <v>322</v>
      </c>
      <c r="B2432" s="2" t="s">
        <v>540</v>
      </c>
      <c r="C2432" s="2" t="s">
        <v>407</v>
      </c>
      <c r="D2432" s="2" t="s">
        <v>411</v>
      </c>
      <c r="E2432" s="2" t="s">
        <v>414</v>
      </c>
      <c r="F2432" s="2" t="s">
        <v>39</v>
      </c>
      <c r="J2432" s="2" t="s">
        <v>541</v>
      </c>
      <c r="K2432" s="2" t="s">
        <v>542</v>
      </c>
      <c r="L2432" s="2">
        <v>12</v>
      </c>
      <c r="M2432" s="2" t="s">
        <v>554</v>
      </c>
      <c r="O2432" s="2" t="s">
        <v>524</v>
      </c>
      <c r="Y2432" s="2" t="s">
        <v>667</v>
      </c>
    </row>
    <row r="2433" spans="1:34" x14ac:dyDescent="0.25">
      <c r="A2433" s="2" t="s">
        <v>322</v>
      </c>
      <c r="B2433" s="2" t="s">
        <v>555</v>
      </c>
      <c r="C2433" s="2" t="s">
        <v>407</v>
      </c>
      <c r="D2433" s="2" t="s">
        <v>411</v>
      </c>
      <c r="E2433" s="2" t="s">
        <v>414</v>
      </c>
      <c r="F2433" s="2" t="s">
        <v>39</v>
      </c>
      <c r="J2433" s="2" t="s">
        <v>556</v>
      </c>
      <c r="O2433" s="2" t="s">
        <v>524</v>
      </c>
      <c r="Y2433" s="2" t="s">
        <v>667</v>
      </c>
      <c r="AB2433" s="2">
        <v>1</v>
      </c>
    </row>
    <row r="2434" spans="1:34" x14ac:dyDescent="0.25">
      <c r="A2434" s="2" t="s">
        <v>322</v>
      </c>
      <c r="B2434" s="2" t="s">
        <v>557</v>
      </c>
      <c r="C2434" s="2" t="s">
        <v>407</v>
      </c>
      <c r="D2434" s="2" t="s">
        <v>411</v>
      </c>
      <c r="E2434" s="2" t="s">
        <v>414</v>
      </c>
      <c r="F2434" s="2" t="s">
        <v>39</v>
      </c>
      <c r="J2434" s="2" t="s">
        <v>558</v>
      </c>
      <c r="O2434" s="2" t="s">
        <v>524</v>
      </c>
      <c r="Y2434" s="2" t="s">
        <v>667</v>
      </c>
      <c r="AC2434" s="2">
        <f>COUNTIFS($B:$B,"BLOCK_LOAD_Q",$A:$A,$A2434,$C:$C,$C2434,$E:$E,$E2434,$F:$F,$F2434,$N:$N, "&lt;&gt;")</f>
        <v>0</v>
      </c>
      <c r="AD2434" s="2">
        <f>COUNTIFS($B:$B,"BLOCK_TRUST_Q",$A:$A,$A2434,$C:$C,$C2434,$E:$E,$E2434,$F:$F,$F2434,$N:$N, "&lt;&gt;")</f>
        <v>0</v>
      </c>
      <c r="AE2434" s="2" t="str">
        <f>IFERROR(AVERAGEIFS($P:$P,$B:$B,"BLOCK_LOAD_Q",$A:$A,$A2434,$C:$C,$C2434,$E:$E,$E2434,$F:$F,$F2434,$P:$P,"&gt;0"),"")</f>
        <v/>
      </c>
      <c r="AF2434" s="2" t="str">
        <f>IFERROR(AVERAGEIFS($P:$P,$B:$B,"BLOCK_TRUST_Q",$A:$A,$A2434,$C:$C,$C2434,$E:$E,$E2434,$F:$F,$F2434,$P:$P,"&gt;0"),"")</f>
        <v/>
      </c>
      <c r="AG2434" s="2">
        <f>5-AC2434</f>
        <v>5</v>
      </c>
      <c r="AH2434" s="2">
        <f>12-AD2434</f>
        <v>12</v>
      </c>
    </row>
    <row r="2435" spans="1:34" x14ac:dyDescent="0.25">
      <c r="A2435" s="2" t="s">
        <v>322</v>
      </c>
      <c r="B2435" s="2" t="s">
        <v>403</v>
      </c>
      <c r="C2435" s="2" t="s">
        <v>407</v>
      </c>
      <c r="D2435" s="2" t="s">
        <v>411</v>
      </c>
      <c r="Z2435" s="2" t="s">
        <v>468</v>
      </c>
    </row>
    <row r="2436" spans="1:34" x14ac:dyDescent="0.25">
      <c r="A2436" s="2" t="s">
        <v>322</v>
      </c>
      <c r="B2436" s="2" t="s">
        <v>402</v>
      </c>
      <c r="C2436" s="2" t="s">
        <v>408</v>
      </c>
      <c r="D2436" s="2" t="s">
        <v>412</v>
      </c>
      <c r="E2436" s="2" t="s">
        <v>413</v>
      </c>
      <c r="F2436" s="2" t="s">
        <v>40</v>
      </c>
      <c r="G2436" s="2" t="s">
        <v>415</v>
      </c>
      <c r="H2436" s="2" t="s">
        <v>567</v>
      </c>
      <c r="S2436" s="2" t="s">
        <v>58</v>
      </c>
      <c r="U2436" s="2" t="s">
        <v>57</v>
      </c>
      <c r="W2436" s="2" t="s">
        <v>60</v>
      </c>
    </row>
    <row r="2437" spans="1:34" x14ac:dyDescent="0.25">
      <c r="A2437" s="2" t="s">
        <v>322</v>
      </c>
      <c r="B2437" s="2" t="s">
        <v>402</v>
      </c>
      <c r="C2437" s="2" t="s">
        <v>408</v>
      </c>
      <c r="D2437" s="2" t="s">
        <v>412</v>
      </c>
      <c r="E2437" s="2" t="s">
        <v>413</v>
      </c>
      <c r="F2437" s="2" t="s">
        <v>40</v>
      </c>
      <c r="G2437" s="2" t="s">
        <v>416</v>
      </c>
      <c r="H2437" s="2" t="s">
        <v>568</v>
      </c>
      <c r="S2437" s="2" t="s">
        <v>59</v>
      </c>
      <c r="U2437" s="2" t="s">
        <v>60</v>
      </c>
      <c r="W2437" s="2" t="s">
        <v>59</v>
      </c>
    </row>
    <row r="2438" spans="1:34" x14ac:dyDescent="0.25">
      <c r="A2438" s="2" t="s">
        <v>322</v>
      </c>
      <c r="B2438" s="2" t="s">
        <v>402</v>
      </c>
      <c r="C2438" s="2" t="s">
        <v>408</v>
      </c>
      <c r="D2438" s="2" t="s">
        <v>412</v>
      </c>
      <c r="E2438" s="2" t="s">
        <v>413</v>
      </c>
      <c r="F2438" s="2" t="s">
        <v>40</v>
      </c>
      <c r="G2438" s="2" t="s">
        <v>417</v>
      </c>
      <c r="H2438" s="2" t="s">
        <v>569</v>
      </c>
      <c r="S2438" s="2" t="s">
        <v>57</v>
      </c>
      <c r="U2438" s="2" t="s">
        <v>60</v>
      </c>
      <c r="W2438" s="2" t="s">
        <v>57</v>
      </c>
    </row>
    <row r="2439" spans="1:34" x14ac:dyDescent="0.25">
      <c r="A2439" s="2" t="s">
        <v>322</v>
      </c>
      <c r="B2439" s="2" t="s">
        <v>402</v>
      </c>
      <c r="C2439" s="2" t="s">
        <v>408</v>
      </c>
      <c r="D2439" s="2" t="s">
        <v>412</v>
      </c>
      <c r="E2439" s="2" t="s">
        <v>413</v>
      </c>
      <c r="F2439" s="2" t="s">
        <v>40</v>
      </c>
      <c r="G2439" s="2" t="s">
        <v>418</v>
      </c>
      <c r="H2439" s="2" t="s">
        <v>351</v>
      </c>
      <c r="S2439" s="2" t="s">
        <v>60</v>
      </c>
      <c r="U2439" s="2" t="s">
        <v>57</v>
      </c>
      <c r="W2439" s="2" t="s">
        <v>57</v>
      </c>
    </row>
    <row r="2440" spans="1:34" x14ac:dyDescent="0.25">
      <c r="A2440" s="2" t="s">
        <v>322</v>
      </c>
      <c r="B2440" s="2" t="s">
        <v>531</v>
      </c>
      <c r="C2440" s="2" t="s">
        <v>408</v>
      </c>
      <c r="D2440" s="2" t="s">
        <v>412</v>
      </c>
      <c r="E2440" s="2" t="s">
        <v>413</v>
      </c>
      <c r="F2440" s="2" t="s">
        <v>40</v>
      </c>
      <c r="J2440" s="2" t="s">
        <v>532</v>
      </c>
      <c r="K2440" s="2" t="s">
        <v>533</v>
      </c>
      <c r="L2440" s="2">
        <v>1</v>
      </c>
      <c r="M2440" s="2" t="s">
        <v>534</v>
      </c>
      <c r="O2440" s="2" t="s">
        <v>524</v>
      </c>
      <c r="Y2440" s="2" t="s">
        <v>668</v>
      </c>
    </row>
    <row r="2441" spans="1:34" x14ac:dyDescent="0.25">
      <c r="A2441" s="2" t="s">
        <v>322</v>
      </c>
      <c r="B2441" s="2" t="s">
        <v>531</v>
      </c>
      <c r="C2441" s="2" t="s">
        <v>408</v>
      </c>
      <c r="D2441" s="2" t="s">
        <v>412</v>
      </c>
      <c r="E2441" s="2" t="s">
        <v>413</v>
      </c>
      <c r="F2441" s="2" t="s">
        <v>40</v>
      </c>
      <c r="J2441" s="2" t="s">
        <v>532</v>
      </c>
      <c r="K2441" s="2" t="s">
        <v>533</v>
      </c>
      <c r="L2441" s="2">
        <v>2</v>
      </c>
      <c r="M2441" s="2" t="s">
        <v>536</v>
      </c>
      <c r="O2441" s="2" t="s">
        <v>524</v>
      </c>
      <c r="Y2441" s="2" t="s">
        <v>668</v>
      </c>
    </row>
    <row r="2442" spans="1:34" x14ac:dyDescent="0.25">
      <c r="A2442" s="2" t="s">
        <v>322</v>
      </c>
      <c r="B2442" s="2" t="s">
        <v>531</v>
      </c>
      <c r="C2442" s="2" t="s">
        <v>408</v>
      </c>
      <c r="D2442" s="2" t="s">
        <v>412</v>
      </c>
      <c r="E2442" s="2" t="s">
        <v>413</v>
      </c>
      <c r="F2442" s="2" t="s">
        <v>40</v>
      </c>
      <c r="J2442" s="2" t="s">
        <v>532</v>
      </c>
      <c r="K2442" s="2" t="s">
        <v>533</v>
      </c>
      <c r="L2442" s="2">
        <v>3</v>
      </c>
      <c r="M2442" s="2" t="s">
        <v>537</v>
      </c>
      <c r="O2442" s="2" t="s">
        <v>524</v>
      </c>
      <c r="Y2442" s="2" t="s">
        <v>668</v>
      </c>
    </row>
    <row r="2443" spans="1:34" x14ac:dyDescent="0.25">
      <c r="A2443" s="2" t="s">
        <v>322</v>
      </c>
      <c r="B2443" s="2" t="s">
        <v>531</v>
      </c>
      <c r="C2443" s="2" t="s">
        <v>408</v>
      </c>
      <c r="D2443" s="2" t="s">
        <v>412</v>
      </c>
      <c r="E2443" s="2" t="s">
        <v>413</v>
      </c>
      <c r="F2443" s="2" t="s">
        <v>40</v>
      </c>
      <c r="J2443" s="2" t="s">
        <v>532</v>
      </c>
      <c r="K2443" s="2" t="s">
        <v>533</v>
      </c>
      <c r="L2443" s="2">
        <v>4</v>
      </c>
      <c r="M2443" s="2" t="s">
        <v>538</v>
      </c>
      <c r="O2443" s="2" t="s">
        <v>524</v>
      </c>
      <c r="Y2443" s="2" t="s">
        <v>668</v>
      </c>
    </row>
    <row r="2444" spans="1:34" x14ac:dyDescent="0.25">
      <c r="A2444" s="2" t="s">
        <v>322</v>
      </c>
      <c r="B2444" s="2" t="s">
        <v>531</v>
      </c>
      <c r="C2444" s="2" t="s">
        <v>408</v>
      </c>
      <c r="D2444" s="2" t="s">
        <v>412</v>
      </c>
      <c r="E2444" s="2" t="s">
        <v>413</v>
      </c>
      <c r="F2444" s="2" t="s">
        <v>40</v>
      </c>
      <c r="J2444" s="2" t="s">
        <v>532</v>
      </c>
      <c r="K2444" s="2" t="s">
        <v>533</v>
      </c>
      <c r="L2444" s="2">
        <v>5</v>
      </c>
      <c r="M2444" s="2" t="s">
        <v>539</v>
      </c>
      <c r="O2444" s="2" t="s">
        <v>524</v>
      </c>
      <c r="Y2444" s="2" t="s">
        <v>668</v>
      </c>
    </row>
    <row r="2445" spans="1:34" x14ac:dyDescent="0.25">
      <c r="A2445" s="2" t="s">
        <v>322</v>
      </c>
      <c r="B2445" s="2" t="s">
        <v>540</v>
      </c>
      <c r="C2445" s="2" t="s">
        <v>408</v>
      </c>
      <c r="D2445" s="2" t="s">
        <v>412</v>
      </c>
      <c r="E2445" s="2" t="s">
        <v>413</v>
      </c>
      <c r="F2445" s="2" t="s">
        <v>40</v>
      </c>
      <c r="J2445" s="2" t="s">
        <v>541</v>
      </c>
      <c r="K2445" s="2" t="s">
        <v>542</v>
      </c>
      <c r="L2445" s="2">
        <v>1</v>
      </c>
      <c r="M2445" s="2" t="s">
        <v>543</v>
      </c>
      <c r="O2445" s="2" t="s">
        <v>524</v>
      </c>
      <c r="Y2445" s="2" t="s">
        <v>668</v>
      </c>
    </row>
    <row r="2446" spans="1:34" x14ac:dyDescent="0.25">
      <c r="A2446" s="2" t="s">
        <v>322</v>
      </c>
      <c r="B2446" s="2" t="s">
        <v>540</v>
      </c>
      <c r="C2446" s="2" t="s">
        <v>408</v>
      </c>
      <c r="D2446" s="2" t="s">
        <v>412</v>
      </c>
      <c r="E2446" s="2" t="s">
        <v>413</v>
      </c>
      <c r="F2446" s="2" t="s">
        <v>40</v>
      </c>
      <c r="J2446" s="2" t="s">
        <v>541</v>
      </c>
      <c r="K2446" s="2" t="s">
        <v>542</v>
      </c>
      <c r="L2446" s="2">
        <v>2</v>
      </c>
      <c r="M2446" s="2" t="s">
        <v>544</v>
      </c>
      <c r="O2446" s="2" t="s">
        <v>524</v>
      </c>
      <c r="Y2446" s="2" t="s">
        <v>668</v>
      </c>
    </row>
    <row r="2447" spans="1:34" x14ac:dyDescent="0.25">
      <c r="A2447" s="2" t="s">
        <v>322</v>
      </c>
      <c r="B2447" s="2" t="s">
        <v>540</v>
      </c>
      <c r="C2447" s="2" t="s">
        <v>408</v>
      </c>
      <c r="D2447" s="2" t="s">
        <v>412</v>
      </c>
      <c r="E2447" s="2" t="s">
        <v>413</v>
      </c>
      <c r="F2447" s="2" t="s">
        <v>40</v>
      </c>
      <c r="J2447" s="2" t="s">
        <v>541</v>
      </c>
      <c r="K2447" s="2" t="s">
        <v>542</v>
      </c>
      <c r="L2447" s="2">
        <v>3</v>
      </c>
      <c r="M2447" s="2" t="s">
        <v>545</v>
      </c>
      <c r="O2447" s="2" t="s">
        <v>524</v>
      </c>
      <c r="Y2447" s="2" t="s">
        <v>668</v>
      </c>
    </row>
    <row r="2448" spans="1:34" x14ac:dyDescent="0.25">
      <c r="A2448" s="2" t="s">
        <v>322</v>
      </c>
      <c r="B2448" s="2" t="s">
        <v>540</v>
      </c>
      <c r="C2448" s="2" t="s">
        <v>408</v>
      </c>
      <c r="D2448" s="2" t="s">
        <v>412</v>
      </c>
      <c r="E2448" s="2" t="s">
        <v>413</v>
      </c>
      <c r="F2448" s="2" t="s">
        <v>40</v>
      </c>
      <c r="J2448" s="2" t="s">
        <v>541</v>
      </c>
      <c r="K2448" s="2" t="s">
        <v>542</v>
      </c>
      <c r="L2448" s="2">
        <v>4</v>
      </c>
      <c r="M2448" s="2" t="s">
        <v>546</v>
      </c>
      <c r="O2448" s="2" t="s">
        <v>524</v>
      </c>
      <c r="Y2448" s="2" t="s">
        <v>668</v>
      </c>
    </row>
    <row r="2449" spans="1:34" x14ac:dyDescent="0.25">
      <c r="A2449" s="2" t="s">
        <v>322</v>
      </c>
      <c r="B2449" s="2" t="s">
        <v>540</v>
      </c>
      <c r="C2449" s="2" t="s">
        <v>408</v>
      </c>
      <c r="D2449" s="2" t="s">
        <v>412</v>
      </c>
      <c r="E2449" s="2" t="s">
        <v>413</v>
      </c>
      <c r="F2449" s="2" t="s">
        <v>40</v>
      </c>
      <c r="J2449" s="2" t="s">
        <v>541</v>
      </c>
      <c r="K2449" s="2" t="s">
        <v>542</v>
      </c>
      <c r="L2449" s="2">
        <v>5</v>
      </c>
      <c r="M2449" s="2" t="s">
        <v>547</v>
      </c>
      <c r="O2449" s="2" t="s">
        <v>524</v>
      </c>
      <c r="Y2449" s="2" t="s">
        <v>668</v>
      </c>
    </row>
    <row r="2450" spans="1:34" x14ac:dyDescent="0.25">
      <c r="A2450" s="2" t="s">
        <v>322</v>
      </c>
      <c r="B2450" s="2" t="s">
        <v>540</v>
      </c>
      <c r="C2450" s="2" t="s">
        <v>408</v>
      </c>
      <c r="D2450" s="2" t="s">
        <v>412</v>
      </c>
      <c r="E2450" s="2" t="s">
        <v>413</v>
      </c>
      <c r="F2450" s="2" t="s">
        <v>40</v>
      </c>
      <c r="J2450" s="2" t="s">
        <v>541</v>
      </c>
      <c r="K2450" s="2" t="s">
        <v>542</v>
      </c>
      <c r="L2450" s="2">
        <v>6</v>
      </c>
      <c r="M2450" s="2" t="s">
        <v>548</v>
      </c>
      <c r="O2450" s="2" t="s">
        <v>524</v>
      </c>
      <c r="Y2450" s="2" t="s">
        <v>668</v>
      </c>
    </row>
    <row r="2451" spans="1:34" x14ac:dyDescent="0.25">
      <c r="A2451" s="2" t="s">
        <v>322</v>
      </c>
      <c r="B2451" s="2" t="s">
        <v>540</v>
      </c>
      <c r="C2451" s="2" t="s">
        <v>408</v>
      </c>
      <c r="D2451" s="2" t="s">
        <v>412</v>
      </c>
      <c r="E2451" s="2" t="s">
        <v>413</v>
      </c>
      <c r="F2451" s="2" t="s">
        <v>40</v>
      </c>
      <c r="J2451" s="2" t="s">
        <v>541</v>
      </c>
      <c r="K2451" s="2" t="s">
        <v>542</v>
      </c>
      <c r="L2451" s="2">
        <v>7</v>
      </c>
      <c r="M2451" s="2" t="s">
        <v>549</v>
      </c>
      <c r="O2451" s="2" t="s">
        <v>524</v>
      </c>
      <c r="Y2451" s="2" t="s">
        <v>668</v>
      </c>
    </row>
    <row r="2452" spans="1:34" x14ac:dyDescent="0.25">
      <c r="A2452" s="2" t="s">
        <v>322</v>
      </c>
      <c r="B2452" s="2" t="s">
        <v>540</v>
      </c>
      <c r="C2452" s="2" t="s">
        <v>408</v>
      </c>
      <c r="D2452" s="2" t="s">
        <v>412</v>
      </c>
      <c r="E2452" s="2" t="s">
        <v>413</v>
      </c>
      <c r="F2452" s="2" t="s">
        <v>40</v>
      </c>
      <c r="J2452" s="2" t="s">
        <v>541</v>
      </c>
      <c r="K2452" s="2" t="s">
        <v>542</v>
      </c>
      <c r="L2452" s="2">
        <v>8</v>
      </c>
      <c r="M2452" s="2" t="s">
        <v>550</v>
      </c>
      <c r="O2452" s="2" t="s">
        <v>524</v>
      </c>
      <c r="Y2452" s="2" t="s">
        <v>668</v>
      </c>
    </row>
    <row r="2453" spans="1:34" x14ac:dyDescent="0.25">
      <c r="A2453" s="2" t="s">
        <v>322</v>
      </c>
      <c r="B2453" s="2" t="s">
        <v>540</v>
      </c>
      <c r="C2453" s="2" t="s">
        <v>408</v>
      </c>
      <c r="D2453" s="2" t="s">
        <v>412</v>
      </c>
      <c r="E2453" s="2" t="s">
        <v>413</v>
      </c>
      <c r="F2453" s="2" t="s">
        <v>40</v>
      </c>
      <c r="J2453" s="2" t="s">
        <v>541</v>
      </c>
      <c r="K2453" s="2" t="s">
        <v>542</v>
      </c>
      <c r="L2453" s="2">
        <v>9</v>
      </c>
      <c r="M2453" s="2" t="s">
        <v>551</v>
      </c>
      <c r="O2453" s="2" t="s">
        <v>524</v>
      </c>
      <c r="Y2453" s="2" t="s">
        <v>668</v>
      </c>
    </row>
    <row r="2454" spans="1:34" x14ac:dyDescent="0.25">
      <c r="A2454" s="2" t="s">
        <v>322</v>
      </c>
      <c r="B2454" s="2" t="s">
        <v>540</v>
      </c>
      <c r="C2454" s="2" t="s">
        <v>408</v>
      </c>
      <c r="D2454" s="2" t="s">
        <v>412</v>
      </c>
      <c r="E2454" s="2" t="s">
        <v>413</v>
      </c>
      <c r="F2454" s="2" t="s">
        <v>40</v>
      </c>
      <c r="J2454" s="2" t="s">
        <v>541</v>
      </c>
      <c r="K2454" s="2" t="s">
        <v>542</v>
      </c>
      <c r="L2454" s="2">
        <v>10</v>
      </c>
      <c r="M2454" s="2" t="s">
        <v>552</v>
      </c>
      <c r="O2454" s="2" t="s">
        <v>524</v>
      </c>
      <c r="Y2454" s="2" t="s">
        <v>668</v>
      </c>
    </row>
    <row r="2455" spans="1:34" x14ac:dyDescent="0.25">
      <c r="A2455" s="2" t="s">
        <v>322</v>
      </c>
      <c r="B2455" s="2" t="s">
        <v>540</v>
      </c>
      <c r="C2455" s="2" t="s">
        <v>408</v>
      </c>
      <c r="D2455" s="2" t="s">
        <v>412</v>
      </c>
      <c r="E2455" s="2" t="s">
        <v>413</v>
      </c>
      <c r="F2455" s="2" t="s">
        <v>40</v>
      </c>
      <c r="J2455" s="2" t="s">
        <v>541</v>
      </c>
      <c r="K2455" s="2" t="s">
        <v>542</v>
      </c>
      <c r="L2455" s="2">
        <v>11</v>
      </c>
      <c r="M2455" s="2" t="s">
        <v>553</v>
      </c>
      <c r="O2455" s="2" t="s">
        <v>524</v>
      </c>
      <c r="Y2455" s="2" t="s">
        <v>668</v>
      </c>
    </row>
    <row r="2456" spans="1:34" x14ac:dyDescent="0.25">
      <c r="A2456" s="2" t="s">
        <v>322</v>
      </c>
      <c r="B2456" s="2" t="s">
        <v>540</v>
      </c>
      <c r="C2456" s="2" t="s">
        <v>408</v>
      </c>
      <c r="D2456" s="2" t="s">
        <v>412</v>
      </c>
      <c r="E2456" s="2" t="s">
        <v>413</v>
      </c>
      <c r="F2456" s="2" t="s">
        <v>40</v>
      </c>
      <c r="J2456" s="2" t="s">
        <v>541</v>
      </c>
      <c r="K2456" s="2" t="s">
        <v>542</v>
      </c>
      <c r="L2456" s="2">
        <v>12</v>
      </c>
      <c r="M2456" s="2" t="s">
        <v>554</v>
      </c>
      <c r="O2456" s="2" t="s">
        <v>524</v>
      </c>
      <c r="Y2456" s="2" t="s">
        <v>668</v>
      </c>
    </row>
    <row r="2457" spans="1:34" x14ac:dyDescent="0.25">
      <c r="A2457" s="2" t="s">
        <v>322</v>
      </c>
      <c r="B2457" s="2" t="s">
        <v>555</v>
      </c>
      <c r="C2457" s="2" t="s">
        <v>408</v>
      </c>
      <c r="D2457" s="2" t="s">
        <v>412</v>
      </c>
      <c r="E2457" s="2" t="s">
        <v>413</v>
      </c>
      <c r="F2457" s="2" t="s">
        <v>40</v>
      </c>
      <c r="J2457" s="2" t="s">
        <v>556</v>
      </c>
      <c r="O2457" s="2" t="s">
        <v>524</v>
      </c>
      <c r="Y2457" s="2" t="s">
        <v>668</v>
      </c>
      <c r="AB2457" s="2">
        <v>2</v>
      </c>
    </row>
    <row r="2458" spans="1:34" x14ac:dyDescent="0.25">
      <c r="A2458" s="2" t="s">
        <v>322</v>
      </c>
      <c r="B2458" s="2" t="s">
        <v>557</v>
      </c>
      <c r="C2458" s="2" t="s">
        <v>408</v>
      </c>
      <c r="D2458" s="2" t="s">
        <v>412</v>
      </c>
      <c r="E2458" s="2" t="s">
        <v>413</v>
      </c>
      <c r="F2458" s="2" t="s">
        <v>40</v>
      </c>
      <c r="J2458" s="2" t="s">
        <v>558</v>
      </c>
      <c r="O2458" s="2" t="s">
        <v>524</v>
      </c>
      <c r="Y2458" s="2" t="s">
        <v>668</v>
      </c>
      <c r="AC2458" s="2">
        <f>COUNTIFS($B:$B,"BLOCK_LOAD_Q",$A:$A,$A2458,$C:$C,$C2458,$E:$E,$E2458,$F:$F,$F2458,$N:$N, "&lt;&gt;")</f>
        <v>0</v>
      </c>
      <c r="AD2458" s="2">
        <f>COUNTIFS($B:$B,"BLOCK_TRUST_Q",$A:$A,$A2458,$C:$C,$C2458,$E:$E,$E2458,$F:$F,$F2458,$N:$N, "&lt;&gt;")</f>
        <v>0</v>
      </c>
      <c r="AE2458" s="2" t="str">
        <f>IFERROR(AVERAGEIFS($P:$P,$B:$B,"BLOCK_LOAD_Q",$A:$A,$A2458,$C:$C,$C2458,$E:$E,$E2458,$F:$F,$F2458,$P:$P,"&gt;0"),"")</f>
        <v/>
      </c>
      <c r="AF2458" s="2" t="str">
        <f>IFERROR(AVERAGEIFS($P:$P,$B:$B,"BLOCK_TRUST_Q",$A:$A,$A2458,$C:$C,$C2458,$E:$E,$E2458,$F:$F,$F2458,$P:$P,"&gt;0"),"")</f>
        <v/>
      </c>
      <c r="AG2458" s="2">
        <f>5-AC2458</f>
        <v>5</v>
      </c>
      <c r="AH2458" s="2">
        <f>12-AD2458</f>
        <v>12</v>
      </c>
    </row>
    <row r="2459" spans="1:34" x14ac:dyDescent="0.25">
      <c r="A2459" s="2" t="s">
        <v>322</v>
      </c>
      <c r="B2459" s="2" t="s">
        <v>402</v>
      </c>
      <c r="C2459" s="2" t="s">
        <v>408</v>
      </c>
      <c r="D2459" s="2" t="s">
        <v>412</v>
      </c>
      <c r="E2459" s="2" t="s">
        <v>414</v>
      </c>
      <c r="F2459" s="2" t="s">
        <v>39</v>
      </c>
      <c r="G2459" s="2" t="s">
        <v>415</v>
      </c>
      <c r="H2459" s="2" t="s">
        <v>350</v>
      </c>
      <c r="S2459" s="2" t="s">
        <v>57</v>
      </c>
      <c r="U2459" s="2" t="s">
        <v>58</v>
      </c>
      <c r="W2459" s="2" t="s">
        <v>59</v>
      </c>
    </row>
    <row r="2460" spans="1:34" x14ac:dyDescent="0.25">
      <c r="A2460" s="2" t="s">
        <v>322</v>
      </c>
      <c r="B2460" s="2" t="s">
        <v>402</v>
      </c>
      <c r="C2460" s="2" t="s">
        <v>408</v>
      </c>
      <c r="D2460" s="2" t="s">
        <v>412</v>
      </c>
      <c r="E2460" s="2" t="s">
        <v>414</v>
      </c>
      <c r="F2460" s="2" t="s">
        <v>39</v>
      </c>
      <c r="G2460" s="2" t="s">
        <v>416</v>
      </c>
      <c r="H2460" s="2" t="s">
        <v>571</v>
      </c>
      <c r="S2460" s="2" t="s">
        <v>59</v>
      </c>
      <c r="U2460" s="2" t="s">
        <v>57</v>
      </c>
      <c r="W2460" s="2" t="s">
        <v>60</v>
      </c>
    </row>
    <row r="2461" spans="1:34" x14ac:dyDescent="0.25">
      <c r="A2461" s="2" t="s">
        <v>322</v>
      </c>
      <c r="B2461" s="2" t="s">
        <v>402</v>
      </c>
      <c r="C2461" s="2" t="s">
        <v>408</v>
      </c>
      <c r="D2461" s="2" t="s">
        <v>412</v>
      </c>
      <c r="E2461" s="2" t="s">
        <v>414</v>
      </c>
      <c r="F2461" s="2" t="s">
        <v>39</v>
      </c>
      <c r="G2461" s="2" t="s">
        <v>417</v>
      </c>
      <c r="H2461" s="2" t="s">
        <v>572</v>
      </c>
      <c r="S2461" s="2" t="s">
        <v>57</v>
      </c>
      <c r="U2461" s="2" t="s">
        <v>59</v>
      </c>
      <c r="W2461" s="2" t="s">
        <v>58</v>
      </c>
    </row>
    <row r="2462" spans="1:34" x14ac:dyDescent="0.25">
      <c r="A2462" s="2" t="s">
        <v>322</v>
      </c>
      <c r="B2462" s="2" t="s">
        <v>402</v>
      </c>
      <c r="C2462" s="2" t="s">
        <v>408</v>
      </c>
      <c r="D2462" s="2" t="s">
        <v>412</v>
      </c>
      <c r="E2462" s="2" t="s">
        <v>414</v>
      </c>
      <c r="F2462" s="2" t="s">
        <v>39</v>
      </c>
      <c r="G2462" s="2" t="s">
        <v>418</v>
      </c>
      <c r="H2462" s="2" t="s">
        <v>573</v>
      </c>
      <c r="S2462" s="2" t="s">
        <v>58</v>
      </c>
      <c r="U2462" s="2" t="s">
        <v>58</v>
      </c>
      <c r="W2462" s="2" t="s">
        <v>58</v>
      </c>
    </row>
    <row r="2463" spans="1:34" x14ac:dyDescent="0.25">
      <c r="A2463" s="2" t="s">
        <v>322</v>
      </c>
      <c r="B2463" s="2" t="s">
        <v>402</v>
      </c>
      <c r="C2463" s="2" t="s">
        <v>408</v>
      </c>
      <c r="D2463" s="2" t="s">
        <v>412</v>
      </c>
      <c r="E2463" s="2" t="s">
        <v>414</v>
      </c>
      <c r="F2463" s="2" t="s">
        <v>39</v>
      </c>
      <c r="G2463" s="2" t="s">
        <v>419</v>
      </c>
      <c r="H2463" s="2" t="s">
        <v>365</v>
      </c>
      <c r="S2463" s="2" t="s">
        <v>59</v>
      </c>
      <c r="U2463" s="2" t="s">
        <v>59</v>
      </c>
      <c r="W2463" s="2" t="s">
        <v>60</v>
      </c>
    </row>
    <row r="2464" spans="1:34" x14ac:dyDescent="0.25">
      <c r="A2464" s="2" t="s">
        <v>322</v>
      </c>
      <c r="B2464" s="2" t="s">
        <v>531</v>
      </c>
      <c r="C2464" s="2" t="s">
        <v>408</v>
      </c>
      <c r="D2464" s="2" t="s">
        <v>412</v>
      </c>
      <c r="E2464" s="2" t="s">
        <v>414</v>
      </c>
      <c r="F2464" s="2" t="s">
        <v>39</v>
      </c>
      <c r="J2464" s="2" t="s">
        <v>532</v>
      </c>
      <c r="K2464" s="2" t="s">
        <v>533</v>
      </c>
      <c r="L2464" s="2">
        <v>1</v>
      </c>
      <c r="M2464" s="2" t="s">
        <v>534</v>
      </c>
      <c r="O2464" s="2" t="s">
        <v>524</v>
      </c>
      <c r="Y2464" s="2" t="s">
        <v>669</v>
      </c>
    </row>
    <row r="2465" spans="1:25" x14ac:dyDescent="0.25">
      <c r="A2465" s="2" t="s">
        <v>322</v>
      </c>
      <c r="B2465" s="2" t="s">
        <v>531</v>
      </c>
      <c r="C2465" s="2" t="s">
        <v>408</v>
      </c>
      <c r="D2465" s="2" t="s">
        <v>412</v>
      </c>
      <c r="E2465" s="2" t="s">
        <v>414</v>
      </c>
      <c r="F2465" s="2" t="s">
        <v>39</v>
      </c>
      <c r="J2465" s="2" t="s">
        <v>532</v>
      </c>
      <c r="K2465" s="2" t="s">
        <v>533</v>
      </c>
      <c r="L2465" s="2">
        <v>2</v>
      </c>
      <c r="M2465" s="2" t="s">
        <v>536</v>
      </c>
      <c r="O2465" s="2" t="s">
        <v>524</v>
      </c>
      <c r="Y2465" s="2" t="s">
        <v>669</v>
      </c>
    </row>
    <row r="2466" spans="1:25" x14ac:dyDescent="0.25">
      <c r="A2466" s="2" t="s">
        <v>322</v>
      </c>
      <c r="B2466" s="2" t="s">
        <v>531</v>
      </c>
      <c r="C2466" s="2" t="s">
        <v>408</v>
      </c>
      <c r="D2466" s="2" t="s">
        <v>412</v>
      </c>
      <c r="E2466" s="2" t="s">
        <v>414</v>
      </c>
      <c r="F2466" s="2" t="s">
        <v>39</v>
      </c>
      <c r="J2466" s="2" t="s">
        <v>532</v>
      </c>
      <c r="K2466" s="2" t="s">
        <v>533</v>
      </c>
      <c r="L2466" s="2">
        <v>3</v>
      </c>
      <c r="M2466" s="2" t="s">
        <v>537</v>
      </c>
      <c r="O2466" s="2" t="s">
        <v>524</v>
      </c>
      <c r="Y2466" s="2" t="s">
        <v>669</v>
      </c>
    </row>
    <row r="2467" spans="1:25" x14ac:dyDescent="0.25">
      <c r="A2467" s="2" t="s">
        <v>322</v>
      </c>
      <c r="B2467" s="2" t="s">
        <v>531</v>
      </c>
      <c r="C2467" s="2" t="s">
        <v>408</v>
      </c>
      <c r="D2467" s="2" t="s">
        <v>412</v>
      </c>
      <c r="E2467" s="2" t="s">
        <v>414</v>
      </c>
      <c r="F2467" s="2" t="s">
        <v>39</v>
      </c>
      <c r="J2467" s="2" t="s">
        <v>532</v>
      </c>
      <c r="K2467" s="2" t="s">
        <v>533</v>
      </c>
      <c r="L2467" s="2">
        <v>4</v>
      </c>
      <c r="M2467" s="2" t="s">
        <v>538</v>
      </c>
      <c r="O2467" s="2" t="s">
        <v>524</v>
      </c>
      <c r="Y2467" s="2" t="s">
        <v>669</v>
      </c>
    </row>
    <row r="2468" spans="1:25" x14ac:dyDescent="0.25">
      <c r="A2468" s="2" t="s">
        <v>322</v>
      </c>
      <c r="B2468" s="2" t="s">
        <v>531</v>
      </c>
      <c r="C2468" s="2" t="s">
        <v>408</v>
      </c>
      <c r="D2468" s="2" t="s">
        <v>412</v>
      </c>
      <c r="E2468" s="2" t="s">
        <v>414</v>
      </c>
      <c r="F2468" s="2" t="s">
        <v>39</v>
      </c>
      <c r="J2468" s="2" t="s">
        <v>532</v>
      </c>
      <c r="K2468" s="2" t="s">
        <v>533</v>
      </c>
      <c r="L2468" s="2">
        <v>5</v>
      </c>
      <c r="M2468" s="2" t="s">
        <v>539</v>
      </c>
      <c r="O2468" s="2" t="s">
        <v>524</v>
      </c>
      <c r="Y2468" s="2" t="s">
        <v>669</v>
      </c>
    </row>
    <row r="2469" spans="1:25" x14ac:dyDescent="0.25">
      <c r="A2469" s="2" t="s">
        <v>322</v>
      </c>
      <c r="B2469" s="2" t="s">
        <v>540</v>
      </c>
      <c r="C2469" s="2" t="s">
        <v>408</v>
      </c>
      <c r="D2469" s="2" t="s">
        <v>412</v>
      </c>
      <c r="E2469" s="2" t="s">
        <v>414</v>
      </c>
      <c r="F2469" s="2" t="s">
        <v>39</v>
      </c>
      <c r="J2469" s="2" t="s">
        <v>541</v>
      </c>
      <c r="K2469" s="2" t="s">
        <v>542</v>
      </c>
      <c r="L2469" s="2">
        <v>1</v>
      </c>
      <c r="M2469" s="2" t="s">
        <v>543</v>
      </c>
      <c r="O2469" s="2" t="s">
        <v>524</v>
      </c>
      <c r="Y2469" s="2" t="s">
        <v>669</v>
      </c>
    </row>
    <row r="2470" spans="1:25" x14ac:dyDescent="0.25">
      <c r="A2470" s="2" t="s">
        <v>322</v>
      </c>
      <c r="B2470" s="2" t="s">
        <v>540</v>
      </c>
      <c r="C2470" s="2" t="s">
        <v>408</v>
      </c>
      <c r="D2470" s="2" t="s">
        <v>412</v>
      </c>
      <c r="E2470" s="2" t="s">
        <v>414</v>
      </c>
      <c r="F2470" s="2" t="s">
        <v>39</v>
      </c>
      <c r="J2470" s="2" t="s">
        <v>541</v>
      </c>
      <c r="K2470" s="2" t="s">
        <v>542</v>
      </c>
      <c r="L2470" s="2">
        <v>2</v>
      </c>
      <c r="M2470" s="2" t="s">
        <v>544</v>
      </c>
      <c r="O2470" s="2" t="s">
        <v>524</v>
      </c>
      <c r="Y2470" s="2" t="s">
        <v>669</v>
      </c>
    </row>
    <row r="2471" spans="1:25" x14ac:dyDescent="0.25">
      <c r="A2471" s="2" t="s">
        <v>322</v>
      </c>
      <c r="B2471" s="2" t="s">
        <v>540</v>
      </c>
      <c r="C2471" s="2" t="s">
        <v>408</v>
      </c>
      <c r="D2471" s="2" t="s">
        <v>412</v>
      </c>
      <c r="E2471" s="2" t="s">
        <v>414</v>
      </c>
      <c r="F2471" s="2" t="s">
        <v>39</v>
      </c>
      <c r="J2471" s="2" t="s">
        <v>541</v>
      </c>
      <c r="K2471" s="2" t="s">
        <v>542</v>
      </c>
      <c r="L2471" s="2">
        <v>3</v>
      </c>
      <c r="M2471" s="2" t="s">
        <v>545</v>
      </c>
      <c r="O2471" s="2" t="s">
        <v>524</v>
      </c>
      <c r="Y2471" s="2" t="s">
        <v>669</v>
      </c>
    </row>
    <row r="2472" spans="1:25" x14ac:dyDescent="0.25">
      <c r="A2472" s="2" t="s">
        <v>322</v>
      </c>
      <c r="B2472" s="2" t="s">
        <v>540</v>
      </c>
      <c r="C2472" s="2" t="s">
        <v>408</v>
      </c>
      <c r="D2472" s="2" t="s">
        <v>412</v>
      </c>
      <c r="E2472" s="2" t="s">
        <v>414</v>
      </c>
      <c r="F2472" s="2" t="s">
        <v>39</v>
      </c>
      <c r="J2472" s="2" t="s">
        <v>541</v>
      </c>
      <c r="K2472" s="2" t="s">
        <v>542</v>
      </c>
      <c r="L2472" s="2">
        <v>4</v>
      </c>
      <c r="M2472" s="2" t="s">
        <v>546</v>
      </c>
      <c r="O2472" s="2" t="s">
        <v>524</v>
      </c>
      <c r="Y2472" s="2" t="s">
        <v>669</v>
      </c>
    </row>
    <row r="2473" spans="1:25" x14ac:dyDescent="0.25">
      <c r="A2473" s="2" t="s">
        <v>322</v>
      </c>
      <c r="B2473" s="2" t="s">
        <v>540</v>
      </c>
      <c r="C2473" s="2" t="s">
        <v>408</v>
      </c>
      <c r="D2473" s="2" t="s">
        <v>412</v>
      </c>
      <c r="E2473" s="2" t="s">
        <v>414</v>
      </c>
      <c r="F2473" s="2" t="s">
        <v>39</v>
      </c>
      <c r="J2473" s="2" t="s">
        <v>541</v>
      </c>
      <c r="K2473" s="2" t="s">
        <v>542</v>
      </c>
      <c r="L2473" s="2">
        <v>5</v>
      </c>
      <c r="M2473" s="2" t="s">
        <v>547</v>
      </c>
      <c r="O2473" s="2" t="s">
        <v>524</v>
      </c>
      <c r="Y2473" s="2" t="s">
        <v>669</v>
      </c>
    </row>
    <row r="2474" spans="1:25" x14ac:dyDescent="0.25">
      <c r="A2474" s="2" t="s">
        <v>322</v>
      </c>
      <c r="B2474" s="2" t="s">
        <v>540</v>
      </c>
      <c r="C2474" s="2" t="s">
        <v>408</v>
      </c>
      <c r="D2474" s="2" t="s">
        <v>412</v>
      </c>
      <c r="E2474" s="2" t="s">
        <v>414</v>
      </c>
      <c r="F2474" s="2" t="s">
        <v>39</v>
      </c>
      <c r="J2474" s="2" t="s">
        <v>541</v>
      </c>
      <c r="K2474" s="2" t="s">
        <v>542</v>
      </c>
      <c r="L2474" s="2">
        <v>6</v>
      </c>
      <c r="M2474" s="2" t="s">
        <v>548</v>
      </c>
      <c r="O2474" s="2" t="s">
        <v>524</v>
      </c>
      <c r="Y2474" s="2" t="s">
        <v>669</v>
      </c>
    </row>
    <row r="2475" spans="1:25" x14ac:dyDescent="0.25">
      <c r="A2475" s="2" t="s">
        <v>322</v>
      </c>
      <c r="B2475" s="2" t="s">
        <v>540</v>
      </c>
      <c r="C2475" s="2" t="s">
        <v>408</v>
      </c>
      <c r="D2475" s="2" t="s">
        <v>412</v>
      </c>
      <c r="E2475" s="2" t="s">
        <v>414</v>
      </c>
      <c r="F2475" s="2" t="s">
        <v>39</v>
      </c>
      <c r="J2475" s="2" t="s">
        <v>541</v>
      </c>
      <c r="K2475" s="2" t="s">
        <v>542</v>
      </c>
      <c r="L2475" s="2">
        <v>7</v>
      </c>
      <c r="M2475" s="2" t="s">
        <v>549</v>
      </c>
      <c r="O2475" s="2" t="s">
        <v>524</v>
      </c>
      <c r="Y2475" s="2" t="s">
        <v>669</v>
      </c>
    </row>
    <row r="2476" spans="1:25" x14ac:dyDescent="0.25">
      <c r="A2476" s="2" t="s">
        <v>322</v>
      </c>
      <c r="B2476" s="2" t="s">
        <v>540</v>
      </c>
      <c r="C2476" s="2" t="s">
        <v>408</v>
      </c>
      <c r="D2476" s="2" t="s">
        <v>412</v>
      </c>
      <c r="E2476" s="2" t="s">
        <v>414</v>
      </c>
      <c r="F2476" s="2" t="s">
        <v>39</v>
      </c>
      <c r="J2476" s="2" t="s">
        <v>541</v>
      </c>
      <c r="K2476" s="2" t="s">
        <v>542</v>
      </c>
      <c r="L2476" s="2">
        <v>8</v>
      </c>
      <c r="M2476" s="2" t="s">
        <v>550</v>
      </c>
      <c r="O2476" s="2" t="s">
        <v>524</v>
      </c>
      <c r="Y2476" s="2" t="s">
        <v>669</v>
      </c>
    </row>
    <row r="2477" spans="1:25" x14ac:dyDescent="0.25">
      <c r="A2477" s="2" t="s">
        <v>322</v>
      </c>
      <c r="B2477" s="2" t="s">
        <v>540</v>
      </c>
      <c r="C2477" s="2" t="s">
        <v>408</v>
      </c>
      <c r="D2477" s="2" t="s">
        <v>412</v>
      </c>
      <c r="E2477" s="2" t="s">
        <v>414</v>
      </c>
      <c r="F2477" s="2" t="s">
        <v>39</v>
      </c>
      <c r="J2477" s="2" t="s">
        <v>541</v>
      </c>
      <c r="K2477" s="2" t="s">
        <v>542</v>
      </c>
      <c r="L2477" s="2">
        <v>9</v>
      </c>
      <c r="M2477" s="2" t="s">
        <v>551</v>
      </c>
      <c r="O2477" s="2" t="s">
        <v>524</v>
      </c>
      <c r="Y2477" s="2" t="s">
        <v>669</v>
      </c>
    </row>
    <row r="2478" spans="1:25" x14ac:dyDescent="0.25">
      <c r="A2478" s="2" t="s">
        <v>322</v>
      </c>
      <c r="B2478" s="2" t="s">
        <v>540</v>
      </c>
      <c r="C2478" s="2" t="s">
        <v>408</v>
      </c>
      <c r="D2478" s="2" t="s">
        <v>412</v>
      </c>
      <c r="E2478" s="2" t="s">
        <v>414</v>
      </c>
      <c r="F2478" s="2" t="s">
        <v>39</v>
      </c>
      <c r="J2478" s="2" t="s">
        <v>541</v>
      </c>
      <c r="K2478" s="2" t="s">
        <v>542</v>
      </c>
      <c r="L2478" s="2">
        <v>10</v>
      </c>
      <c r="M2478" s="2" t="s">
        <v>552</v>
      </c>
      <c r="O2478" s="2" t="s">
        <v>524</v>
      </c>
      <c r="Y2478" s="2" t="s">
        <v>669</v>
      </c>
    </row>
    <row r="2479" spans="1:25" x14ac:dyDescent="0.25">
      <c r="A2479" s="2" t="s">
        <v>322</v>
      </c>
      <c r="B2479" s="2" t="s">
        <v>540</v>
      </c>
      <c r="C2479" s="2" t="s">
        <v>408</v>
      </c>
      <c r="D2479" s="2" t="s">
        <v>412</v>
      </c>
      <c r="E2479" s="2" t="s">
        <v>414</v>
      </c>
      <c r="F2479" s="2" t="s">
        <v>39</v>
      </c>
      <c r="J2479" s="2" t="s">
        <v>541</v>
      </c>
      <c r="K2479" s="2" t="s">
        <v>542</v>
      </c>
      <c r="L2479" s="2">
        <v>11</v>
      </c>
      <c r="M2479" s="2" t="s">
        <v>553</v>
      </c>
      <c r="O2479" s="2" t="s">
        <v>524</v>
      </c>
      <c r="Y2479" s="2" t="s">
        <v>669</v>
      </c>
    </row>
    <row r="2480" spans="1:25" x14ac:dyDescent="0.25">
      <c r="A2480" s="2" t="s">
        <v>322</v>
      </c>
      <c r="B2480" s="2" t="s">
        <v>540</v>
      </c>
      <c r="C2480" s="2" t="s">
        <v>408</v>
      </c>
      <c r="D2480" s="2" t="s">
        <v>412</v>
      </c>
      <c r="E2480" s="2" t="s">
        <v>414</v>
      </c>
      <c r="F2480" s="2" t="s">
        <v>39</v>
      </c>
      <c r="J2480" s="2" t="s">
        <v>541</v>
      </c>
      <c r="K2480" s="2" t="s">
        <v>542</v>
      </c>
      <c r="L2480" s="2">
        <v>12</v>
      </c>
      <c r="M2480" s="2" t="s">
        <v>554</v>
      </c>
      <c r="O2480" s="2" t="s">
        <v>524</v>
      </c>
      <c r="Y2480" s="2" t="s">
        <v>669</v>
      </c>
    </row>
    <row r="2481" spans="1:34" x14ac:dyDescent="0.25">
      <c r="A2481" s="2" t="s">
        <v>322</v>
      </c>
      <c r="B2481" s="2" t="s">
        <v>555</v>
      </c>
      <c r="C2481" s="2" t="s">
        <v>408</v>
      </c>
      <c r="D2481" s="2" t="s">
        <v>412</v>
      </c>
      <c r="E2481" s="2" t="s">
        <v>414</v>
      </c>
      <c r="F2481" s="2" t="s">
        <v>39</v>
      </c>
      <c r="J2481" s="2" t="s">
        <v>556</v>
      </c>
      <c r="O2481" s="2" t="s">
        <v>524</v>
      </c>
      <c r="Y2481" s="2" t="s">
        <v>669</v>
      </c>
      <c r="AB2481" s="2">
        <v>1</v>
      </c>
    </row>
    <row r="2482" spans="1:34" x14ac:dyDescent="0.25">
      <c r="A2482" s="2" t="s">
        <v>322</v>
      </c>
      <c r="B2482" s="2" t="s">
        <v>557</v>
      </c>
      <c r="C2482" s="2" t="s">
        <v>408</v>
      </c>
      <c r="D2482" s="2" t="s">
        <v>412</v>
      </c>
      <c r="E2482" s="2" t="s">
        <v>414</v>
      </c>
      <c r="F2482" s="2" t="s">
        <v>39</v>
      </c>
      <c r="J2482" s="2" t="s">
        <v>558</v>
      </c>
      <c r="O2482" s="2" t="s">
        <v>524</v>
      </c>
      <c r="Y2482" s="2" t="s">
        <v>669</v>
      </c>
      <c r="AC2482" s="2">
        <f>COUNTIFS($B:$B,"BLOCK_LOAD_Q",$A:$A,$A2482,$C:$C,$C2482,$E:$E,$E2482,$F:$F,$F2482,$N:$N, "&lt;&gt;")</f>
        <v>0</v>
      </c>
      <c r="AD2482" s="2">
        <f>COUNTIFS($B:$B,"BLOCK_TRUST_Q",$A:$A,$A2482,$C:$C,$C2482,$E:$E,$E2482,$F:$F,$F2482,$N:$N, "&lt;&gt;")</f>
        <v>0</v>
      </c>
      <c r="AE2482" s="2" t="str">
        <f>IFERROR(AVERAGEIFS($P:$P,$B:$B,"BLOCK_LOAD_Q",$A:$A,$A2482,$C:$C,$C2482,$E:$E,$E2482,$F:$F,$F2482,$P:$P,"&gt;0"),"")</f>
        <v/>
      </c>
      <c r="AF2482" s="2" t="str">
        <f>IFERROR(AVERAGEIFS($P:$P,$B:$B,"BLOCK_TRUST_Q",$A:$A,$A2482,$C:$C,$C2482,$E:$E,$E2482,$F:$F,$F2482,$P:$P,"&gt;0"),"")</f>
        <v/>
      </c>
      <c r="AG2482" s="2">
        <f>5-AC2482</f>
        <v>5</v>
      </c>
      <c r="AH2482" s="2">
        <f>12-AD2482</f>
        <v>12</v>
      </c>
    </row>
    <row r="2483" spans="1:34" x14ac:dyDescent="0.25">
      <c r="A2483" s="2" t="s">
        <v>322</v>
      </c>
      <c r="B2483" s="2" t="s">
        <v>403</v>
      </c>
      <c r="C2483" s="2" t="s">
        <v>408</v>
      </c>
      <c r="D2483" s="2" t="s">
        <v>412</v>
      </c>
      <c r="Z2483" s="2" t="s">
        <v>469</v>
      </c>
    </row>
    <row r="2484" spans="1:34" x14ac:dyDescent="0.25">
      <c r="A2484" s="2" t="s">
        <v>322</v>
      </c>
      <c r="B2484" s="2" t="s">
        <v>402</v>
      </c>
      <c r="C2484" s="2" t="s">
        <v>409</v>
      </c>
      <c r="D2484" s="2" t="s">
        <v>410</v>
      </c>
      <c r="E2484" s="2" t="s">
        <v>413</v>
      </c>
      <c r="F2484" s="2" t="s">
        <v>39</v>
      </c>
      <c r="G2484" s="2" t="s">
        <v>415</v>
      </c>
      <c r="H2484" s="2" t="s">
        <v>373</v>
      </c>
      <c r="S2484" s="2" t="s">
        <v>60</v>
      </c>
      <c r="U2484" s="2" t="s">
        <v>60</v>
      </c>
      <c r="W2484" s="2" t="s">
        <v>60</v>
      </c>
    </row>
    <row r="2485" spans="1:34" x14ac:dyDescent="0.25">
      <c r="A2485" s="2" t="s">
        <v>322</v>
      </c>
      <c r="B2485" s="2" t="s">
        <v>402</v>
      </c>
      <c r="C2485" s="2" t="s">
        <v>409</v>
      </c>
      <c r="D2485" s="2" t="s">
        <v>410</v>
      </c>
      <c r="E2485" s="2" t="s">
        <v>413</v>
      </c>
      <c r="F2485" s="2" t="s">
        <v>39</v>
      </c>
      <c r="G2485" s="2" t="s">
        <v>416</v>
      </c>
      <c r="H2485" s="2" t="s">
        <v>528</v>
      </c>
      <c r="S2485" s="2" t="s">
        <v>60</v>
      </c>
      <c r="U2485" s="2" t="s">
        <v>59</v>
      </c>
      <c r="W2485" s="2" t="s">
        <v>59</v>
      </c>
    </row>
    <row r="2486" spans="1:34" x14ac:dyDescent="0.25">
      <c r="A2486" s="2" t="s">
        <v>322</v>
      </c>
      <c r="B2486" s="2" t="s">
        <v>402</v>
      </c>
      <c r="C2486" s="2" t="s">
        <v>409</v>
      </c>
      <c r="D2486" s="2" t="s">
        <v>410</v>
      </c>
      <c r="E2486" s="2" t="s">
        <v>413</v>
      </c>
      <c r="F2486" s="2" t="s">
        <v>39</v>
      </c>
      <c r="G2486" s="2" t="s">
        <v>417</v>
      </c>
      <c r="H2486" s="2" t="s">
        <v>529</v>
      </c>
      <c r="S2486" s="2" t="s">
        <v>57</v>
      </c>
      <c r="U2486" s="2" t="s">
        <v>59</v>
      </c>
      <c r="W2486" s="2" t="s">
        <v>60</v>
      </c>
    </row>
    <row r="2487" spans="1:34" x14ac:dyDescent="0.25">
      <c r="A2487" s="2" t="s">
        <v>322</v>
      </c>
      <c r="B2487" s="2" t="s">
        <v>402</v>
      </c>
      <c r="C2487" s="2" t="s">
        <v>409</v>
      </c>
      <c r="D2487" s="2" t="s">
        <v>410</v>
      </c>
      <c r="E2487" s="2" t="s">
        <v>413</v>
      </c>
      <c r="F2487" s="2" t="s">
        <v>39</v>
      </c>
      <c r="G2487" s="2" t="s">
        <v>418</v>
      </c>
      <c r="H2487" s="2" t="s">
        <v>347</v>
      </c>
      <c r="S2487" s="2" t="s">
        <v>60</v>
      </c>
      <c r="U2487" s="2" t="s">
        <v>57</v>
      </c>
      <c r="W2487" s="2" t="s">
        <v>59</v>
      </c>
    </row>
    <row r="2488" spans="1:34" x14ac:dyDescent="0.25">
      <c r="A2488" s="2" t="s">
        <v>322</v>
      </c>
      <c r="B2488" s="2" t="s">
        <v>402</v>
      </c>
      <c r="C2488" s="2" t="s">
        <v>409</v>
      </c>
      <c r="D2488" s="2" t="s">
        <v>410</v>
      </c>
      <c r="E2488" s="2" t="s">
        <v>413</v>
      </c>
      <c r="F2488" s="2" t="s">
        <v>39</v>
      </c>
      <c r="G2488" s="2" t="s">
        <v>419</v>
      </c>
      <c r="H2488" s="2" t="s">
        <v>530</v>
      </c>
      <c r="S2488" s="2" t="s">
        <v>57</v>
      </c>
      <c r="U2488" s="2" t="s">
        <v>60</v>
      </c>
      <c r="W2488" s="2" t="s">
        <v>58</v>
      </c>
    </row>
    <row r="2489" spans="1:34" x14ac:dyDescent="0.25">
      <c r="A2489" s="2" t="s">
        <v>322</v>
      </c>
      <c r="B2489" s="2" t="s">
        <v>531</v>
      </c>
      <c r="C2489" s="2" t="s">
        <v>409</v>
      </c>
      <c r="D2489" s="2" t="s">
        <v>410</v>
      </c>
      <c r="E2489" s="2" t="s">
        <v>413</v>
      </c>
      <c r="F2489" s="2" t="s">
        <v>39</v>
      </c>
      <c r="J2489" s="2" t="s">
        <v>532</v>
      </c>
      <c r="K2489" s="2" t="s">
        <v>533</v>
      </c>
      <c r="L2489" s="2">
        <v>1</v>
      </c>
      <c r="M2489" s="2" t="s">
        <v>534</v>
      </c>
      <c r="O2489" s="2" t="s">
        <v>524</v>
      </c>
      <c r="Y2489" s="2" t="s">
        <v>670</v>
      </c>
    </row>
    <row r="2490" spans="1:34" x14ac:dyDescent="0.25">
      <c r="A2490" s="2" t="s">
        <v>322</v>
      </c>
      <c r="B2490" s="2" t="s">
        <v>531</v>
      </c>
      <c r="C2490" s="2" t="s">
        <v>409</v>
      </c>
      <c r="D2490" s="2" t="s">
        <v>410</v>
      </c>
      <c r="E2490" s="2" t="s">
        <v>413</v>
      </c>
      <c r="F2490" s="2" t="s">
        <v>39</v>
      </c>
      <c r="J2490" s="2" t="s">
        <v>532</v>
      </c>
      <c r="K2490" s="2" t="s">
        <v>533</v>
      </c>
      <c r="L2490" s="2">
        <v>2</v>
      </c>
      <c r="M2490" s="2" t="s">
        <v>536</v>
      </c>
      <c r="O2490" s="2" t="s">
        <v>524</v>
      </c>
      <c r="Y2490" s="2" t="s">
        <v>670</v>
      </c>
    </row>
    <row r="2491" spans="1:34" x14ac:dyDescent="0.25">
      <c r="A2491" s="2" t="s">
        <v>322</v>
      </c>
      <c r="B2491" s="2" t="s">
        <v>531</v>
      </c>
      <c r="C2491" s="2" t="s">
        <v>409</v>
      </c>
      <c r="D2491" s="2" t="s">
        <v>410</v>
      </c>
      <c r="E2491" s="2" t="s">
        <v>413</v>
      </c>
      <c r="F2491" s="2" t="s">
        <v>39</v>
      </c>
      <c r="J2491" s="2" t="s">
        <v>532</v>
      </c>
      <c r="K2491" s="2" t="s">
        <v>533</v>
      </c>
      <c r="L2491" s="2">
        <v>3</v>
      </c>
      <c r="M2491" s="2" t="s">
        <v>537</v>
      </c>
      <c r="O2491" s="2" t="s">
        <v>524</v>
      </c>
      <c r="Y2491" s="2" t="s">
        <v>670</v>
      </c>
    </row>
    <row r="2492" spans="1:34" x14ac:dyDescent="0.25">
      <c r="A2492" s="2" t="s">
        <v>322</v>
      </c>
      <c r="B2492" s="2" t="s">
        <v>531</v>
      </c>
      <c r="C2492" s="2" t="s">
        <v>409</v>
      </c>
      <c r="D2492" s="2" t="s">
        <v>410</v>
      </c>
      <c r="E2492" s="2" t="s">
        <v>413</v>
      </c>
      <c r="F2492" s="2" t="s">
        <v>39</v>
      </c>
      <c r="J2492" s="2" t="s">
        <v>532</v>
      </c>
      <c r="K2492" s="2" t="s">
        <v>533</v>
      </c>
      <c r="L2492" s="2">
        <v>4</v>
      </c>
      <c r="M2492" s="2" t="s">
        <v>538</v>
      </c>
      <c r="O2492" s="2" t="s">
        <v>524</v>
      </c>
      <c r="Y2492" s="2" t="s">
        <v>670</v>
      </c>
    </row>
    <row r="2493" spans="1:34" x14ac:dyDescent="0.25">
      <c r="A2493" s="2" t="s">
        <v>322</v>
      </c>
      <c r="B2493" s="2" t="s">
        <v>531</v>
      </c>
      <c r="C2493" s="2" t="s">
        <v>409</v>
      </c>
      <c r="D2493" s="2" t="s">
        <v>410</v>
      </c>
      <c r="E2493" s="2" t="s">
        <v>413</v>
      </c>
      <c r="F2493" s="2" t="s">
        <v>39</v>
      </c>
      <c r="J2493" s="2" t="s">
        <v>532</v>
      </c>
      <c r="K2493" s="2" t="s">
        <v>533</v>
      </c>
      <c r="L2493" s="2">
        <v>5</v>
      </c>
      <c r="M2493" s="2" t="s">
        <v>539</v>
      </c>
      <c r="O2493" s="2" t="s">
        <v>524</v>
      </c>
      <c r="Y2493" s="2" t="s">
        <v>670</v>
      </c>
    </row>
    <row r="2494" spans="1:34" x14ac:dyDescent="0.25">
      <c r="A2494" s="2" t="s">
        <v>322</v>
      </c>
      <c r="B2494" s="2" t="s">
        <v>540</v>
      </c>
      <c r="C2494" s="2" t="s">
        <v>409</v>
      </c>
      <c r="D2494" s="2" t="s">
        <v>410</v>
      </c>
      <c r="E2494" s="2" t="s">
        <v>413</v>
      </c>
      <c r="F2494" s="2" t="s">
        <v>39</v>
      </c>
      <c r="J2494" s="2" t="s">
        <v>541</v>
      </c>
      <c r="K2494" s="2" t="s">
        <v>542</v>
      </c>
      <c r="L2494" s="2">
        <v>1</v>
      </c>
      <c r="M2494" s="2" t="s">
        <v>543</v>
      </c>
      <c r="O2494" s="2" t="s">
        <v>524</v>
      </c>
      <c r="Y2494" s="2" t="s">
        <v>670</v>
      </c>
    </row>
    <row r="2495" spans="1:34" x14ac:dyDescent="0.25">
      <c r="A2495" s="2" t="s">
        <v>322</v>
      </c>
      <c r="B2495" s="2" t="s">
        <v>540</v>
      </c>
      <c r="C2495" s="2" t="s">
        <v>409</v>
      </c>
      <c r="D2495" s="2" t="s">
        <v>410</v>
      </c>
      <c r="E2495" s="2" t="s">
        <v>413</v>
      </c>
      <c r="F2495" s="2" t="s">
        <v>39</v>
      </c>
      <c r="J2495" s="2" t="s">
        <v>541</v>
      </c>
      <c r="K2495" s="2" t="s">
        <v>542</v>
      </c>
      <c r="L2495" s="2">
        <v>2</v>
      </c>
      <c r="M2495" s="2" t="s">
        <v>544</v>
      </c>
      <c r="O2495" s="2" t="s">
        <v>524</v>
      </c>
      <c r="Y2495" s="2" t="s">
        <v>670</v>
      </c>
    </row>
    <row r="2496" spans="1:34" x14ac:dyDescent="0.25">
      <c r="A2496" s="2" t="s">
        <v>322</v>
      </c>
      <c r="B2496" s="2" t="s">
        <v>540</v>
      </c>
      <c r="C2496" s="2" t="s">
        <v>409</v>
      </c>
      <c r="D2496" s="2" t="s">
        <v>410</v>
      </c>
      <c r="E2496" s="2" t="s">
        <v>413</v>
      </c>
      <c r="F2496" s="2" t="s">
        <v>39</v>
      </c>
      <c r="J2496" s="2" t="s">
        <v>541</v>
      </c>
      <c r="K2496" s="2" t="s">
        <v>542</v>
      </c>
      <c r="L2496" s="2">
        <v>3</v>
      </c>
      <c r="M2496" s="2" t="s">
        <v>545</v>
      </c>
      <c r="O2496" s="2" t="s">
        <v>524</v>
      </c>
      <c r="Y2496" s="2" t="s">
        <v>670</v>
      </c>
    </row>
    <row r="2497" spans="1:34" x14ac:dyDescent="0.25">
      <c r="A2497" s="2" t="s">
        <v>322</v>
      </c>
      <c r="B2497" s="2" t="s">
        <v>540</v>
      </c>
      <c r="C2497" s="2" t="s">
        <v>409</v>
      </c>
      <c r="D2497" s="2" t="s">
        <v>410</v>
      </c>
      <c r="E2497" s="2" t="s">
        <v>413</v>
      </c>
      <c r="F2497" s="2" t="s">
        <v>39</v>
      </c>
      <c r="J2497" s="2" t="s">
        <v>541</v>
      </c>
      <c r="K2497" s="2" t="s">
        <v>542</v>
      </c>
      <c r="L2497" s="2">
        <v>4</v>
      </c>
      <c r="M2497" s="2" t="s">
        <v>546</v>
      </c>
      <c r="O2497" s="2" t="s">
        <v>524</v>
      </c>
      <c r="Y2497" s="2" t="s">
        <v>670</v>
      </c>
    </row>
    <row r="2498" spans="1:34" x14ac:dyDescent="0.25">
      <c r="A2498" s="2" t="s">
        <v>322</v>
      </c>
      <c r="B2498" s="2" t="s">
        <v>540</v>
      </c>
      <c r="C2498" s="2" t="s">
        <v>409</v>
      </c>
      <c r="D2498" s="2" t="s">
        <v>410</v>
      </c>
      <c r="E2498" s="2" t="s">
        <v>413</v>
      </c>
      <c r="F2498" s="2" t="s">
        <v>39</v>
      </c>
      <c r="J2498" s="2" t="s">
        <v>541</v>
      </c>
      <c r="K2498" s="2" t="s">
        <v>542</v>
      </c>
      <c r="L2498" s="2">
        <v>5</v>
      </c>
      <c r="M2498" s="2" t="s">
        <v>547</v>
      </c>
      <c r="O2498" s="2" t="s">
        <v>524</v>
      </c>
      <c r="Y2498" s="2" t="s">
        <v>670</v>
      </c>
    </row>
    <row r="2499" spans="1:34" x14ac:dyDescent="0.25">
      <c r="A2499" s="2" t="s">
        <v>322</v>
      </c>
      <c r="B2499" s="2" t="s">
        <v>540</v>
      </c>
      <c r="C2499" s="2" t="s">
        <v>409</v>
      </c>
      <c r="D2499" s="2" t="s">
        <v>410</v>
      </c>
      <c r="E2499" s="2" t="s">
        <v>413</v>
      </c>
      <c r="F2499" s="2" t="s">
        <v>39</v>
      </c>
      <c r="J2499" s="2" t="s">
        <v>541</v>
      </c>
      <c r="K2499" s="2" t="s">
        <v>542</v>
      </c>
      <c r="L2499" s="2">
        <v>6</v>
      </c>
      <c r="M2499" s="2" t="s">
        <v>548</v>
      </c>
      <c r="O2499" s="2" t="s">
        <v>524</v>
      </c>
      <c r="Y2499" s="2" t="s">
        <v>670</v>
      </c>
    </row>
    <row r="2500" spans="1:34" x14ac:dyDescent="0.25">
      <c r="A2500" s="2" t="s">
        <v>322</v>
      </c>
      <c r="B2500" s="2" t="s">
        <v>540</v>
      </c>
      <c r="C2500" s="2" t="s">
        <v>409</v>
      </c>
      <c r="D2500" s="2" t="s">
        <v>410</v>
      </c>
      <c r="E2500" s="2" t="s">
        <v>413</v>
      </c>
      <c r="F2500" s="2" t="s">
        <v>39</v>
      </c>
      <c r="J2500" s="2" t="s">
        <v>541</v>
      </c>
      <c r="K2500" s="2" t="s">
        <v>542</v>
      </c>
      <c r="L2500" s="2">
        <v>7</v>
      </c>
      <c r="M2500" s="2" t="s">
        <v>549</v>
      </c>
      <c r="O2500" s="2" t="s">
        <v>524</v>
      </c>
      <c r="Y2500" s="2" t="s">
        <v>670</v>
      </c>
    </row>
    <row r="2501" spans="1:34" x14ac:dyDescent="0.25">
      <c r="A2501" s="2" t="s">
        <v>322</v>
      </c>
      <c r="B2501" s="2" t="s">
        <v>540</v>
      </c>
      <c r="C2501" s="2" t="s">
        <v>409</v>
      </c>
      <c r="D2501" s="2" t="s">
        <v>410</v>
      </c>
      <c r="E2501" s="2" t="s">
        <v>413</v>
      </c>
      <c r="F2501" s="2" t="s">
        <v>39</v>
      </c>
      <c r="J2501" s="2" t="s">
        <v>541</v>
      </c>
      <c r="K2501" s="2" t="s">
        <v>542</v>
      </c>
      <c r="L2501" s="2">
        <v>8</v>
      </c>
      <c r="M2501" s="2" t="s">
        <v>550</v>
      </c>
      <c r="O2501" s="2" t="s">
        <v>524</v>
      </c>
      <c r="Y2501" s="2" t="s">
        <v>670</v>
      </c>
    </row>
    <row r="2502" spans="1:34" x14ac:dyDescent="0.25">
      <c r="A2502" s="2" t="s">
        <v>322</v>
      </c>
      <c r="B2502" s="2" t="s">
        <v>540</v>
      </c>
      <c r="C2502" s="2" t="s">
        <v>409</v>
      </c>
      <c r="D2502" s="2" t="s">
        <v>410</v>
      </c>
      <c r="E2502" s="2" t="s">
        <v>413</v>
      </c>
      <c r="F2502" s="2" t="s">
        <v>39</v>
      </c>
      <c r="J2502" s="2" t="s">
        <v>541</v>
      </c>
      <c r="K2502" s="2" t="s">
        <v>542</v>
      </c>
      <c r="L2502" s="2">
        <v>9</v>
      </c>
      <c r="M2502" s="2" t="s">
        <v>551</v>
      </c>
      <c r="O2502" s="2" t="s">
        <v>524</v>
      </c>
      <c r="Y2502" s="2" t="s">
        <v>670</v>
      </c>
    </row>
    <row r="2503" spans="1:34" x14ac:dyDescent="0.25">
      <c r="A2503" s="2" t="s">
        <v>322</v>
      </c>
      <c r="B2503" s="2" t="s">
        <v>540</v>
      </c>
      <c r="C2503" s="2" t="s">
        <v>409</v>
      </c>
      <c r="D2503" s="2" t="s">
        <v>410</v>
      </c>
      <c r="E2503" s="2" t="s">
        <v>413</v>
      </c>
      <c r="F2503" s="2" t="s">
        <v>39</v>
      </c>
      <c r="J2503" s="2" t="s">
        <v>541</v>
      </c>
      <c r="K2503" s="2" t="s">
        <v>542</v>
      </c>
      <c r="L2503" s="2">
        <v>10</v>
      </c>
      <c r="M2503" s="2" t="s">
        <v>552</v>
      </c>
      <c r="O2503" s="2" t="s">
        <v>524</v>
      </c>
      <c r="Y2503" s="2" t="s">
        <v>670</v>
      </c>
    </row>
    <row r="2504" spans="1:34" x14ac:dyDescent="0.25">
      <c r="A2504" s="2" t="s">
        <v>322</v>
      </c>
      <c r="B2504" s="2" t="s">
        <v>540</v>
      </c>
      <c r="C2504" s="2" t="s">
        <v>409</v>
      </c>
      <c r="D2504" s="2" t="s">
        <v>410</v>
      </c>
      <c r="E2504" s="2" t="s">
        <v>413</v>
      </c>
      <c r="F2504" s="2" t="s">
        <v>39</v>
      </c>
      <c r="J2504" s="2" t="s">
        <v>541</v>
      </c>
      <c r="K2504" s="2" t="s">
        <v>542</v>
      </c>
      <c r="L2504" s="2">
        <v>11</v>
      </c>
      <c r="M2504" s="2" t="s">
        <v>553</v>
      </c>
      <c r="O2504" s="2" t="s">
        <v>524</v>
      </c>
      <c r="Y2504" s="2" t="s">
        <v>670</v>
      </c>
    </row>
    <row r="2505" spans="1:34" x14ac:dyDescent="0.25">
      <c r="A2505" s="2" t="s">
        <v>322</v>
      </c>
      <c r="B2505" s="2" t="s">
        <v>540</v>
      </c>
      <c r="C2505" s="2" t="s">
        <v>409</v>
      </c>
      <c r="D2505" s="2" t="s">
        <v>410</v>
      </c>
      <c r="E2505" s="2" t="s">
        <v>413</v>
      </c>
      <c r="F2505" s="2" t="s">
        <v>39</v>
      </c>
      <c r="J2505" s="2" t="s">
        <v>541</v>
      </c>
      <c r="K2505" s="2" t="s">
        <v>542</v>
      </c>
      <c r="L2505" s="2">
        <v>12</v>
      </c>
      <c r="M2505" s="2" t="s">
        <v>554</v>
      </c>
      <c r="O2505" s="2" t="s">
        <v>524</v>
      </c>
      <c r="Y2505" s="2" t="s">
        <v>670</v>
      </c>
    </row>
    <row r="2506" spans="1:34" x14ac:dyDescent="0.25">
      <c r="A2506" s="2" t="s">
        <v>322</v>
      </c>
      <c r="B2506" s="2" t="s">
        <v>555</v>
      </c>
      <c r="C2506" s="2" t="s">
        <v>409</v>
      </c>
      <c r="D2506" s="2" t="s">
        <v>410</v>
      </c>
      <c r="E2506" s="2" t="s">
        <v>413</v>
      </c>
      <c r="F2506" s="2" t="s">
        <v>39</v>
      </c>
      <c r="J2506" s="2" t="s">
        <v>556</v>
      </c>
      <c r="O2506" s="2" t="s">
        <v>524</v>
      </c>
      <c r="Y2506" s="2" t="s">
        <v>670</v>
      </c>
      <c r="AB2506" s="2">
        <v>1</v>
      </c>
    </row>
    <row r="2507" spans="1:34" x14ac:dyDescent="0.25">
      <c r="A2507" s="2" t="s">
        <v>322</v>
      </c>
      <c r="B2507" s="2" t="s">
        <v>557</v>
      </c>
      <c r="C2507" s="2" t="s">
        <v>409</v>
      </c>
      <c r="D2507" s="2" t="s">
        <v>410</v>
      </c>
      <c r="E2507" s="2" t="s">
        <v>413</v>
      </c>
      <c r="F2507" s="2" t="s">
        <v>39</v>
      </c>
      <c r="J2507" s="2" t="s">
        <v>558</v>
      </c>
      <c r="O2507" s="2" t="s">
        <v>524</v>
      </c>
      <c r="Y2507" s="2" t="s">
        <v>670</v>
      </c>
      <c r="AC2507" s="2">
        <f>COUNTIFS($B:$B,"BLOCK_LOAD_Q",$A:$A,$A2507,$C:$C,$C2507,$E:$E,$E2507,$F:$F,$F2507,$N:$N, "&lt;&gt;")</f>
        <v>0</v>
      </c>
      <c r="AD2507" s="2">
        <f>COUNTIFS($B:$B,"BLOCK_TRUST_Q",$A:$A,$A2507,$C:$C,$C2507,$E:$E,$E2507,$F:$F,$F2507,$N:$N, "&lt;&gt;")</f>
        <v>0</v>
      </c>
      <c r="AE2507" s="2" t="str">
        <f>IFERROR(AVERAGEIFS($P:$P,$B:$B,"BLOCK_LOAD_Q",$A:$A,$A2507,$C:$C,$C2507,$E:$E,$E2507,$F:$F,$F2507,$P:$P,"&gt;0"),"")</f>
        <v/>
      </c>
      <c r="AF2507" s="2" t="str">
        <f>IFERROR(AVERAGEIFS($P:$P,$B:$B,"BLOCK_TRUST_Q",$A:$A,$A2507,$C:$C,$C2507,$E:$E,$E2507,$F:$F,$F2507,$P:$P,"&gt;0"),"")</f>
        <v/>
      </c>
      <c r="AG2507" s="2">
        <f>5-AC2507</f>
        <v>5</v>
      </c>
      <c r="AH2507" s="2">
        <f>12-AD2507</f>
        <v>12</v>
      </c>
    </row>
    <row r="2508" spans="1:34" x14ac:dyDescent="0.25">
      <c r="A2508" s="2" t="s">
        <v>322</v>
      </c>
      <c r="B2508" s="2" t="s">
        <v>402</v>
      </c>
      <c r="C2508" s="2" t="s">
        <v>409</v>
      </c>
      <c r="D2508" s="2" t="s">
        <v>410</v>
      </c>
      <c r="E2508" s="2" t="s">
        <v>414</v>
      </c>
      <c r="F2508" s="2" t="s">
        <v>40</v>
      </c>
      <c r="G2508" s="2" t="s">
        <v>415</v>
      </c>
      <c r="H2508" s="2" t="s">
        <v>354</v>
      </c>
      <c r="S2508" s="2" t="s">
        <v>59</v>
      </c>
      <c r="U2508" s="2" t="s">
        <v>59</v>
      </c>
      <c r="W2508" s="2" t="s">
        <v>58</v>
      </c>
    </row>
    <row r="2509" spans="1:34" x14ac:dyDescent="0.25">
      <c r="A2509" s="2" t="s">
        <v>322</v>
      </c>
      <c r="B2509" s="2" t="s">
        <v>402</v>
      </c>
      <c r="C2509" s="2" t="s">
        <v>409</v>
      </c>
      <c r="D2509" s="2" t="s">
        <v>410</v>
      </c>
      <c r="E2509" s="2" t="s">
        <v>414</v>
      </c>
      <c r="F2509" s="2" t="s">
        <v>40</v>
      </c>
      <c r="G2509" s="2" t="s">
        <v>416</v>
      </c>
      <c r="H2509" s="2" t="s">
        <v>559</v>
      </c>
      <c r="S2509" s="2" t="s">
        <v>57</v>
      </c>
      <c r="U2509" s="2" t="s">
        <v>57</v>
      </c>
      <c r="W2509" s="2" t="s">
        <v>58</v>
      </c>
    </row>
    <row r="2510" spans="1:34" x14ac:dyDescent="0.25">
      <c r="A2510" s="2" t="s">
        <v>322</v>
      </c>
      <c r="B2510" s="2" t="s">
        <v>402</v>
      </c>
      <c r="C2510" s="2" t="s">
        <v>409</v>
      </c>
      <c r="D2510" s="2" t="s">
        <v>410</v>
      </c>
      <c r="E2510" s="2" t="s">
        <v>414</v>
      </c>
      <c r="F2510" s="2" t="s">
        <v>40</v>
      </c>
      <c r="G2510" s="2" t="s">
        <v>417</v>
      </c>
      <c r="H2510" s="2" t="s">
        <v>370</v>
      </c>
      <c r="S2510" s="2" t="s">
        <v>60</v>
      </c>
      <c r="U2510" s="2" t="s">
        <v>58</v>
      </c>
      <c r="W2510" s="2" t="s">
        <v>59</v>
      </c>
    </row>
    <row r="2511" spans="1:34" x14ac:dyDescent="0.25">
      <c r="A2511" s="2" t="s">
        <v>322</v>
      </c>
      <c r="B2511" s="2" t="s">
        <v>402</v>
      </c>
      <c r="C2511" s="2" t="s">
        <v>409</v>
      </c>
      <c r="D2511" s="2" t="s">
        <v>410</v>
      </c>
      <c r="E2511" s="2" t="s">
        <v>414</v>
      </c>
      <c r="F2511" s="2" t="s">
        <v>40</v>
      </c>
      <c r="G2511" s="2" t="s">
        <v>418</v>
      </c>
      <c r="H2511" s="2" t="s">
        <v>560</v>
      </c>
      <c r="S2511" s="2" t="s">
        <v>57</v>
      </c>
      <c r="U2511" s="2" t="s">
        <v>58</v>
      </c>
      <c r="W2511" s="2" t="s">
        <v>60</v>
      </c>
    </row>
    <row r="2512" spans="1:34" x14ac:dyDescent="0.25">
      <c r="A2512" s="2" t="s">
        <v>322</v>
      </c>
      <c r="B2512" s="2" t="s">
        <v>531</v>
      </c>
      <c r="C2512" s="2" t="s">
        <v>409</v>
      </c>
      <c r="D2512" s="2" t="s">
        <v>410</v>
      </c>
      <c r="E2512" s="2" t="s">
        <v>414</v>
      </c>
      <c r="F2512" s="2" t="s">
        <v>40</v>
      </c>
      <c r="J2512" s="2" t="s">
        <v>532</v>
      </c>
      <c r="K2512" s="2" t="s">
        <v>533</v>
      </c>
      <c r="L2512" s="2">
        <v>1</v>
      </c>
      <c r="M2512" s="2" t="s">
        <v>534</v>
      </c>
      <c r="O2512" s="2" t="s">
        <v>524</v>
      </c>
      <c r="Y2512" s="2" t="s">
        <v>671</v>
      </c>
    </row>
    <row r="2513" spans="1:25" x14ac:dyDescent="0.25">
      <c r="A2513" s="2" t="s">
        <v>322</v>
      </c>
      <c r="B2513" s="2" t="s">
        <v>531</v>
      </c>
      <c r="C2513" s="2" t="s">
        <v>409</v>
      </c>
      <c r="D2513" s="2" t="s">
        <v>410</v>
      </c>
      <c r="E2513" s="2" t="s">
        <v>414</v>
      </c>
      <c r="F2513" s="2" t="s">
        <v>40</v>
      </c>
      <c r="J2513" s="2" t="s">
        <v>532</v>
      </c>
      <c r="K2513" s="2" t="s">
        <v>533</v>
      </c>
      <c r="L2513" s="2">
        <v>2</v>
      </c>
      <c r="M2513" s="2" t="s">
        <v>536</v>
      </c>
      <c r="O2513" s="2" t="s">
        <v>524</v>
      </c>
      <c r="Y2513" s="2" t="s">
        <v>671</v>
      </c>
    </row>
    <row r="2514" spans="1:25" x14ac:dyDescent="0.25">
      <c r="A2514" s="2" t="s">
        <v>322</v>
      </c>
      <c r="B2514" s="2" t="s">
        <v>531</v>
      </c>
      <c r="C2514" s="2" t="s">
        <v>409</v>
      </c>
      <c r="D2514" s="2" t="s">
        <v>410</v>
      </c>
      <c r="E2514" s="2" t="s">
        <v>414</v>
      </c>
      <c r="F2514" s="2" t="s">
        <v>40</v>
      </c>
      <c r="J2514" s="2" t="s">
        <v>532</v>
      </c>
      <c r="K2514" s="2" t="s">
        <v>533</v>
      </c>
      <c r="L2514" s="2">
        <v>3</v>
      </c>
      <c r="M2514" s="2" t="s">
        <v>537</v>
      </c>
      <c r="O2514" s="2" t="s">
        <v>524</v>
      </c>
      <c r="Y2514" s="2" t="s">
        <v>671</v>
      </c>
    </row>
    <row r="2515" spans="1:25" x14ac:dyDescent="0.25">
      <c r="A2515" s="2" t="s">
        <v>322</v>
      </c>
      <c r="B2515" s="2" t="s">
        <v>531</v>
      </c>
      <c r="C2515" s="2" t="s">
        <v>409</v>
      </c>
      <c r="D2515" s="2" t="s">
        <v>410</v>
      </c>
      <c r="E2515" s="2" t="s">
        <v>414</v>
      </c>
      <c r="F2515" s="2" t="s">
        <v>40</v>
      </c>
      <c r="J2515" s="2" t="s">
        <v>532</v>
      </c>
      <c r="K2515" s="2" t="s">
        <v>533</v>
      </c>
      <c r="L2515" s="2">
        <v>4</v>
      </c>
      <c r="M2515" s="2" t="s">
        <v>538</v>
      </c>
      <c r="O2515" s="2" t="s">
        <v>524</v>
      </c>
      <c r="Y2515" s="2" t="s">
        <v>671</v>
      </c>
    </row>
    <row r="2516" spans="1:25" x14ac:dyDescent="0.25">
      <c r="A2516" s="2" t="s">
        <v>322</v>
      </c>
      <c r="B2516" s="2" t="s">
        <v>531</v>
      </c>
      <c r="C2516" s="2" t="s">
        <v>409</v>
      </c>
      <c r="D2516" s="2" t="s">
        <v>410</v>
      </c>
      <c r="E2516" s="2" t="s">
        <v>414</v>
      </c>
      <c r="F2516" s="2" t="s">
        <v>40</v>
      </c>
      <c r="J2516" s="2" t="s">
        <v>532</v>
      </c>
      <c r="K2516" s="2" t="s">
        <v>533</v>
      </c>
      <c r="L2516" s="2">
        <v>5</v>
      </c>
      <c r="M2516" s="2" t="s">
        <v>539</v>
      </c>
      <c r="O2516" s="2" t="s">
        <v>524</v>
      </c>
      <c r="Y2516" s="2" t="s">
        <v>671</v>
      </c>
    </row>
    <row r="2517" spans="1:25" x14ac:dyDescent="0.25">
      <c r="A2517" s="2" t="s">
        <v>322</v>
      </c>
      <c r="B2517" s="2" t="s">
        <v>540</v>
      </c>
      <c r="C2517" s="2" t="s">
        <v>409</v>
      </c>
      <c r="D2517" s="2" t="s">
        <v>410</v>
      </c>
      <c r="E2517" s="2" t="s">
        <v>414</v>
      </c>
      <c r="F2517" s="2" t="s">
        <v>40</v>
      </c>
      <c r="J2517" s="2" t="s">
        <v>541</v>
      </c>
      <c r="K2517" s="2" t="s">
        <v>542</v>
      </c>
      <c r="L2517" s="2">
        <v>1</v>
      </c>
      <c r="M2517" s="2" t="s">
        <v>543</v>
      </c>
      <c r="O2517" s="2" t="s">
        <v>524</v>
      </c>
      <c r="Y2517" s="2" t="s">
        <v>671</v>
      </c>
    </row>
    <row r="2518" spans="1:25" x14ac:dyDescent="0.25">
      <c r="A2518" s="2" t="s">
        <v>322</v>
      </c>
      <c r="B2518" s="2" t="s">
        <v>540</v>
      </c>
      <c r="C2518" s="2" t="s">
        <v>409</v>
      </c>
      <c r="D2518" s="2" t="s">
        <v>410</v>
      </c>
      <c r="E2518" s="2" t="s">
        <v>414</v>
      </c>
      <c r="F2518" s="2" t="s">
        <v>40</v>
      </c>
      <c r="J2518" s="2" t="s">
        <v>541</v>
      </c>
      <c r="K2518" s="2" t="s">
        <v>542</v>
      </c>
      <c r="L2518" s="2">
        <v>2</v>
      </c>
      <c r="M2518" s="2" t="s">
        <v>544</v>
      </c>
      <c r="O2518" s="2" t="s">
        <v>524</v>
      </c>
      <c r="Y2518" s="2" t="s">
        <v>671</v>
      </c>
    </row>
    <row r="2519" spans="1:25" x14ac:dyDescent="0.25">
      <c r="A2519" s="2" t="s">
        <v>322</v>
      </c>
      <c r="B2519" s="2" t="s">
        <v>540</v>
      </c>
      <c r="C2519" s="2" t="s">
        <v>409</v>
      </c>
      <c r="D2519" s="2" t="s">
        <v>410</v>
      </c>
      <c r="E2519" s="2" t="s">
        <v>414</v>
      </c>
      <c r="F2519" s="2" t="s">
        <v>40</v>
      </c>
      <c r="J2519" s="2" t="s">
        <v>541</v>
      </c>
      <c r="K2519" s="2" t="s">
        <v>542</v>
      </c>
      <c r="L2519" s="2">
        <v>3</v>
      </c>
      <c r="M2519" s="2" t="s">
        <v>545</v>
      </c>
      <c r="O2519" s="2" t="s">
        <v>524</v>
      </c>
      <c r="Y2519" s="2" t="s">
        <v>671</v>
      </c>
    </row>
    <row r="2520" spans="1:25" x14ac:dyDescent="0.25">
      <c r="A2520" s="2" t="s">
        <v>322</v>
      </c>
      <c r="B2520" s="2" t="s">
        <v>540</v>
      </c>
      <c r="C2520" s="2" t="s">
        <v>409</v>
      </c>
      <c r="D2520" s="2" t="s">
        <v>410</v>
      </c>
      <c r="E2520" s="2" t="s">
        <v>414</v>
      </c>
      <c r="F2520" s="2" t="s">
        <v>40</v>
      </c>
      <c r="J2520" s="2" t="s">
        <v>541</v>
      </c>
      <c r="K2520" s="2" t="s">
        <v>542</v>
      </c>
      <c r="L2520" s="2">
        <v>4</v>
      </c>
      <c r="M2520" s="2" t="s">
        <v>546</v>
      </c>
      <c r="O2520" s="2" t="s">
        <v>524</v>
      </c>
      <c r="Y2520" s="2" t="s">
        <v>671</v>
      </c>
    </row>
    <row r="2521" spans="1:25" x14ac:dyDescent="0.25">
      <c r="A2521" s="2" t="s">
        <v>322</v>
      </c>
      <c r="B2521" s="2" t="s">
        <v>540</v>
      </c>
      <c r="C2521" s="2" t="s">
        <v>409</v>
      </c>
      <c r="D2521" s="2" t="s">
        <v>410</v>
      </c>
      <c r="E2521" s="2" t="s">
        <v>414</v>
      </c>
      <c r="F2521" s="2" t="s">
        <v>40</v>
      </c>
      <c r="J2521" s="2" t="s">
        <v>541</v>
      </c>
      <c r="K2521" s="2" t="s">
        <v>542</v>
      </c>
      <c r="L2521" s="2">
        <v>5</v>
      </c>
      <c r="M2521" s="2" t="s">
        <v>547</v>
      </c>
      <c r="O2521" s="2" t="s">
        <v>524</v>
      </c>
      <c r="Y2521" s="2" t="s">
        <v>671</v>
      </c>
    </row>
    <row r="2522" spans="1:25" x14ac:dyDescent="0.25">
      <c r="A2522" s="2" t="s">
        <v>322</v>
      </c>
      <c r="B2522" s="2" t="s">
        <v>540</v>
      </c>
      <c r="C2522" s="2" t="s">
        <v>409</v>
      </c>
      <c r="D2522" s="2" t="s">
        <v>410</v>
      </c>
      <c r="E2522" s="2" t="s">
        <v>414</v>
      </c>
      <c r="F2522" s="2" t="s">
        <v>40</v>
      </c>
      <c r="J2522" s="2" t="s">
        <v>541</v>
      </c>
      <c r="K2522" s="2" t="s">
        <v>542</v>
      </c>
      <c r="L2522" s="2">
        <v>6</v>
      </c>
      <c r="M2522" s="2" t="s">
        <v>548</v>
      </c>
      <c r="O2522" s="2" t="s">
        <v>524</v>
      </c>
      <c r="Y2522" s="2" t="s">
        <v>671</v>
      </c>
    </row>
    <row r="2523" spans="1:25" x14ac:dyDescent="0.25">
      <c r="A2523" s="2" t="s">
        <v>322</v>
      </c>
      <c r="B2523" s="2" t="s">
        <v>540</v>
      </c>
      <c r="C2523" s="2" t="s">
        <v>409</v>
      </c>
      <c r="D2523" s="2" t="s">
        <v>410</v>
      </c>
      <c r="E2523" s="2" t="s">
        <v>414</v>
      </c>
      <c r="F2523" s="2" t="s">
        <v>40</v>
      </c>
      <c r="J2523" s="2" t="s">
        <v>541</v>
      </c>
      <c r="K2523" s="2" t="s">
        <v>542</v>
      </c>
      <c r="L2523" s="2">
        <v>7</v>
      </c>
      <c r="M2523" s="2" t="s">
        <v>549</v>
      </c>
      <c r="O2523" s="2" t="s">
        <v>524</v>
      </c>
      <c r="Y2523" s="2" t="s">
        <v>671</v>
      </c>
    </row>
    <row r="2524" spans="1:25" x14ac:dyDescent="0.25">
      <c r="A2524" s="2" t="s">
        <v>322</v>
      </c>
      <c r="B2524" s="2" t="s">
        <v>540</v>
      </c>
      <c r="C2524" s="2" t="s">
        <v>409</v>
      </c>
      <c r="D2524" s="2" t="s">
        <v>410</v>
      </c>
      <c r="E2524" s="2" t="s">
        <v>414</v>
      </c>
      <c r="F2524" s="2" t="s">
        <v>40</v>
      </c>
      <c r="J2524" s="2" t="s">
        <v>541</v>
      </c>
      <c r="K2524" s="2" t="s">
        <v>542</v>
      </c>
      <c r="L2524" s="2">
        <v>8</v>
      </c>
      <c r="M2524" s="2" t="s">
        <v>550</v>
      </c>
      <c r="O2524" s="2" t="s">
        <v>524</v>
      </c>
      <c r="Y2524" s="2" t="s">
        <v>671</v>
      </c>
    </row>
    <row r="2525" spans="1:25" x14ac:dyDescent="0.25">
      <c r="A2525" s="2" t="s">
        <v>322</v>
      </c>
      <c r="B2525" s="2" t="s">
        <v>540</v>
      </c>
      <c r="C2525" s="2" t="s">
        <v>409</v>
      </c>
      <c r="D2525" s="2" t="s">
        <v>410</v>
      </c>
      <c r="E2525" s="2" t="s">
        <v>414</v>
      </c>
      <c r="F2525" s="2" t="s">
        <v>40</v>
      </c>
      <c r="J2525" s="2" t="s">
        <v>541</v>
      </c>
      <c r="K2525" s="2" t="s">
        <v>542</v>
      </c>
      <c r="L2525" s="2">
        <v>9</v>
      </c>
      <c r="M2525" s="2" t="s">
        <v>551</v>
      </c>
      <c r="O2525" s="2" t="s">
        <v>524</v>
      </c>
      <c r="Y2525" s="2" t="s">
        <v>671</v>
      </c>
    </row>
    <row r="2526" spans="1:25" x14ac:dyDescent="0.25">
      <c r="A2526" s="2" t="s">
        <v>322</v>
      </c>
      <c r="B2526" s="2" t="s">
        <v>540</v>
      </c>
      <c r="C2526" s="2" t="s">
        <v>409</v>
      </c>
      <c r="D2526" s="2" t="s">
        <v>410</v>
      </c>
      <c r="E2526" s="2" t="s">
        <v>414</v>
      </c>
      <c r="F2526" s="2" t="s">
        <v>40</v>
      </c>
      <c r="J2526" s="2" t="s">
        <v>541</v>
      </c>
      <c r="K2526" s="2" t="s">
        <v>542</v>
      </c>
      <c r="L2526" s="2">
        <v>10</v>
      </c>
      <c r="M2526" s="2" t="s">
        <v>552</v>
      </c>
      <c r="O2526" s="2" t="s">
        <v>524</v>
      </c>
      <c r="Y2526" s="2" t="s">
        <v>671</v>
      </c>
    </row>
    <row r="2527" spans="1:25" x14ac:dyDescent="0.25">
      <c r="A2527" s="2" t="s">
        <v>322</v>
      </c>
      <c r="B2527" s="2" t="s">
        <v>540</v>
      </c>
      <c r="C2527" s="2" t="s">
        <v>409</v>
      </c>
      <c r="D2527" s="2" t="s">
        <v>410</v>
      </c>
      <c r="E2527" s="2" t="s">
        <v>414</v>
      </c>
      <c r="F2527" s="2" t="s">
        <v>40</v>
      </c>
      <c r="J2527" s="2" t="s">
        <v>541</v>
      </c>
      <c r="K2527" s="2" t="s">
        <v>542</v>
      </c>
      <c r="L2527" s="2">
        <v>11</v>
      </c>
      <c r="M2527" s="2" t="s">
        <v>553</v>
      </c>
      <c r="O2527" s="2" t="s">
        <v>524</v>
      </c>
      <c r="Y2527" s="2" t="s">
        <v>671</v>
      </c>
    </row>
    <row r="2528" spans="1:25" x14ac:dyDescent="0.25">
      <c r="A2528" s="2" t="s">
        <v>322</v>
      </c>
      <c r="B2528" s="2" t="s">
        <v>540</v>
      </c>
      <c r="C2528" s="2" t="s">
        <v>409</v>
      </c>
      <c r="D2528" s="2" t="s">
        <v>410</v>
      </c>
      <c r="E2528" s="2" t="s">
        <v>414</v>
      </c>
      <c r="F2528" s="2" t="s">
        <v>40</v>
      </c>
      <c r="J2528" s="2" t="s">
        <v>541</v>
      </c>
      <c r="K2528" s="2" t="s">
        <v>542</v>
      </c>
      <c r="L2528" s="2">
        <v>12</v>
      </c>
      <c r="M2528" s="2" t="s">
        <v>554</v>
      </c>
      <c r="O2528" s="2" t="s">
        <v>524</v>
      </c>
      <c r="Y2528" s="2" t="s">
        <v>671</v>
      </c>
    </row>
    <row r="2529" spans="1:34" x14ac:dyDescent="0.25">
      <c r="A2529" s="2" t="s">
        <v>322</v>
      </c>
      <c r="B2529" s="2" t="s">
        <v>555</v>
      </c>
      <c r="C2529" s="2" t="s">
        <v>409</v>
      </c>
      <c r="D2529" s="2" t="s">
        <v>410</v>
      </c>
      <c r="E2529" s="2" t="s">
        <v>414</v>
      </c>
      <c r="F2529" s="2" t="s">
        <v>40</v>
      </c>
      <c r="J2529" s="2" t="s">
        <v>556</v>
      </c>
      <c r="O2529" s="2" t="s">
        <v>524</v>
      </c>
      <c r="Y2529" s="2" t="s">
        <v>671</v>
      </c>
      <c r="AB2529" s="2">
        <v>2</v>
      </c>
    </row>
    <row r="2530" spans="1:34" x14ac:dyDescent="0.25">
      <c r="A2530" s="2" t="s">
        <v>322</v>
      </c>
      <c r="B2530" s="2" t="s">
        <v>557</v>
      </c>
      <c r="C2530" s="2" t="s">
        <v>409</v>
      </c>
      <c r="D2530" s="2" t="s">
        <v>410</v>
      </c>
      <c r="E2530" s="2" t="s">
        <v>414</v>
      </c>
      <c r="F2530" s="2" t="s">
        <v>40</v>
      </c>
      <c r="J2530" s="2" t="s">
        <v>558</v>
      </c>
      <c r="O2530" s="2" t="s">
        <v>524</v>
      </c>
      <c r="Y2530" s="2" t="s">
        <v>671</v>
      </c>
      <c r="AC2530" s="2">
        <f>COUNTIFS($B:$B,"BLOCK_LOAD_Q",$A:$A,$A2530,$C:$C,$C2530,$E:$E,$E2530,$F:$F,$F2530,$N:$N, "&lt;&gt;")</f>
        <v>0</v>
      </c>
      <c r="AD2530" s="2">
        <f>COUNTIFS($B:$B,"BLOCK_TRUST_Q",$A:$A,$A2530,$C:$C,$C2530,$E:$E,$E2530,$F:$F,$F2530,$N:$N, "&lt;&gt;")</f>
        <v>0</v>
      </c>
      <c r="AE2530" s="2" t="str">
        <f>IFERROR(AVERAGEIFS($P:$P,$B:$B,"BLOCK_LOAD_Q",$A:$A,$A2530,$C:$C,$C2530,$E:$E,$E2530,$F:$F,$F2530,$P:$P,"&gt;0"),"")</f>
        <v/>
      </c>
      <c r="AF2530" s="2" t="str">
        <f>IFERROR(AVERAGEIFS($P:$P,$B:$B,"BLOCK_TRUST_Q",$A:$A,$A2530,$C:$C,$C2530,$E:$E,$E2530,$F:$F,$F2530,$P:$P,"&gt;0"),"")</f>
        <v/>
      </c>
      <c r="AG2530" s="2">
        <f>5-AC2530</f>
        <v>5</v>
      </c>
      <c r="AH2530" s="2">
        <f>12-AD2530</f>
        <v>12</v>
      </c>
    </row>
    <row r="2531" spans="1:34" x14ac:dyDescent="0.25">
      <c r="A2531" s="2" t="s">
        <v>322</v>
      </c>
      <c r="B2531" s="2" t="s">
        <v>403</v>
      </c>
      <c r="C2531" s="2" t="s">
        <v>409</v>
      </c>
      <c r="D2531" s="2" t="s">
        <v>410</v>
      </c>
      <c r="Z2531" s="2" t="s">
        <v>470</v>
      </c>
    </row>
    <row r="2532" spans="1:34" x14ac:dyDescent="0.25">
      <c r="A2532" s="2" t="s">
        <v>322</v>
      </c>
      <c r="B2532" s="2" t="s">
        <v>404</v>
      </c>
      <c r="J2532" s="2" t="s">
        <v>575</v>
      </c>
      <c r="AA2532" s="2" t="s">
        <v>338</v>
      </c>
    </row>
    <row r="2533" spans="1:34" x14ac:dyDescent="0.25">
      <c r="A2533" s="2" t="s">
        <v>322</v>
      </c>
      <c r="B2533" s="2" t="s">
        <v>405</v>
      </c>
    </row>
    <row r="2534" spans="1:34" x14ac:dyDescent="0.25">
      <c r="A2534" s="2" t="s">
        <v>322</v>
      </c>
      <c r="B2534" s="2" t="s">
        <v>406</v>
      </c>
    </row>
    <row r="2535" spans="1:34" x14ac:dyDescent="0.25">
      <c r="A2535" s="2" t="s">
        <v>323</v>
      </c>
      <c r="B2535" s="2" t="s">
        <v>523</v>
      </c>
      <c r="C2535" s="2" t="s">
        <v>524</v>
      </c>
      <c r="D2535" s="2" t="s">
        <v>524</v>
      </c>
      <c r="E2535" s="2" t="s">
        <v>524</v>
      </c>
      <c r="F2535" s="2" t="s">
        <v>524</v>
      </c>
      <c r="J2535" s="2" t="s">
        <v>525</v>
      </c>
      <c r="O2535" s="2" t="s">
        <v>524</v>
      </c>
    </row>
    <row r="2536" spans="1:34" x14ac:dyDescent="0.25">
      <c r="A2536" s="2" t="s">
        <v>323</v>
      </c>
      <c r="B2536" s="2" t="s">
        <v>526</v>
      </c>
      <c r="C2536" s="2" t="s">
        <v>524</v>
      </c>
      <c r="D2536" s="2" t="s">
        <v>524</v>
      </c>
      <c r="E2536" s="2" t="s">
        <v>524</v>
      </c>
      <c r="F2536" s="2" t="s">
        <v>524</v>
      </c>
      <c r="J2536" s="2" t="s">
        <v>527</v>
      </c>
      <c r="O2536" s="2" t="s">
        <v>524</v>
      </c>
    </row>
    <row r="2537" spans="1:34" x14ac:dyDescent="0.25">
      <c r="A2537" s="2" t="s">
        <v>323</v>
      </c>
      <c r="B2537" s="2" t="s">
        <v>402</v>
      </c>
      <c r="C2537" s="2" t="s">
        <v>407</v>
      </c>
      <c r="D2537" s="2" t="s">
        <v>412</v>
      </c>
      <c r="E2537" s="2" t="s">
        <v>413</v>
      </c>
      <c r="F2537" s="2" t="s">
        <v>39</v>
      </c>
      <c r="G2537" s="2" t="s">
        <v>415</v>
      </c>
      <c r="H2537" s="2" t="s">
        <v>350</v>
      </c>
      <c r="S2537" s="2" t="s">
        <v>57</v>
      </c>
      <c r="U2537" s="2" t="s">
        <v>58</v>
      </c>
      <c r="W2537" s="2" t="s">
        <v>59</v>
      </c>
    </row>
    <row r="2538" spans="1:34" x14ac:dyDescent="0.25">
      <c r="A2538" s="2" t="s">
        <v>323</v>
      </c>
      <c r="B2538" s="2" t="s">
        <v>402</v>
      </c>
      <c r="C2538" s="2" t="s">
        <v>407</v>
      </c>
      <c r="D2538" s="2" t="s">
        <v>412</v>
      </c>
      <c r="E2538" s="2" t="s">
        <v>413</v>
      </c>
      <c r="F2538" s="2" t="s">
        <v>39</v>
      </c>
      <c r="G2538" s="2" t="s">
        <v>416</v>
      </c>
      <c r="H2538" s="2" t="s">
        <v>571</v>
      </c>
      <c r="S2538" s="2" t="s">
        <v>59</v>
      </c>
      <c r="U2538" s="2" t="s">
        <v>57</v>
      </c>
      <c r="W2538" s="2" t="s">
        <v>60</v>
      </c>
    </row>
    <row r="2539" spans="1:34" x14ac:dyDescent="0.25">
      <c r="A2539" s="2" t="s">
        <v>323</v>
      </c>
      <c r="B2539" s="2" t="s">
        <v>402</v>
      </c>
      <c r="C2539" s="2" t="s">
        <v>407</v>
      </c>
      <c r="D2539" s="2" t="s">
        <v>412</v>
      </c>
      <c r="E2539" s="2" t="s">
        <v>413</v>
      </c>
      <c r="F2539" s="2" t="s">
        <v>39</v>
      </c>
      <c r="G2539" s="2" t="s">
        <v>417</v>
      </c>
      <c r="H2539" s="2" t="s">
        <v>572</v>
      </c>
      <c r="S2539" s="2" t="s">
        <v>57</v>
      </c>
      <c r="U2539" s="2" t="s">
        <v>59</v>
      </c>
      <c r="W2539" s="2" t="s">
        <v>58</v>
      </c>
    </row>
    <row r="2540" spans="1:34" x14ac:dyDescent="0.25">
      <c r="A2540" s="2" t="s">
        <v>323</v>
      </c>
      <c r="B2540" s="2" t="s">
        <v>402</v>
      </c>
      <c r="C2540" s="2" t="s">
        <v>407</v>
      </c>
      <c r="D2540" s="2" t="s">
        <v>412</v>
      </c>
      <c r="E2540" s="2" t="s">
        <v>413</v>
      </c>
      <c r="F2540" s="2" t="s">
        <v>39</v>
      </c>
      <c r="G2540" s="2" t="s">
        <v>418</v>
      </c>
      <c r="H2540" s="2" t="s">
        <v>573</v>
      </c>
      <c r="S2540" s="2" t="s">
        <v>58</v>
      </c>
      <c r="U2540" s="2" t="s">
        <v>58</v>
      </c>
      <c r="W2540" s="2" t="s">
        <v>58</v>
      </c>
    </row>
    <row r="2541" spans="1:34" x14ac:dyDescent="0.25">
      <c r="A2541" s="2" t="s">
        <v>323</v>
      </c>
      <c r="B2541" s="2" t="s">
        <v>402</v>
      </c>
      <c r="C2541" s="2" t="s">
        <v>407</v>
      </c>
      <c r="D2541" s="2" t="s">
        <v>412</v>
      </c>
      <c r="E2541" s="2" t="s">
        <v>413</v>
      </c>
      <c r="F2541" s="2" t="s">
        <v>39</v>
      </c>
      <c r="G2541" s="2" t="s">
        <v>419</v>
      </c>
      <c r="H2541" s="2" t="s">
        <v>365</v>
      </c>
      <c r="S2541" s="2" t="s">
        <v>59</v>
      </c>
      <c r="U2541" s="2" t="s">
        <v>59</v>
      </c>
      <c r="W2541" s="2" t="s">
        <v>60</v>
      </c>
    </row>
    <row r="2542" spans="1:34" x14ac:dyDescent="0.25">
      <c r="A2542" s="2" t="s">
        <v>323</v>
      </c>
      <c r="B2542" s="2" t="s">
        <v>531</v>
      </c>
      <c r="C2542" s="2" t="s">
        <v>407</v>
      </c>
      <c r="D2542" s="2" t="s">
        <v>412</v>
      </c>
      <c r="E2542" s="2" t="s">
        <v>413</v>
      </c>
      <c r="F2542" s="2" t="s">
        <v>39</v>
      </c>
      <c r="J2542" s="2" t="s">
        <v>532</v>
      </c>
      <c r="K2542" s="2" t="s">
        <v>533</v>
      </c>
      <c r="L2542" s="2">
        <v>1</v>
      </c>
      <c r="M2542" s="2" t="s">
        <v>534</v>
      </c>
      <c r="O2542" s="2" t="s">
        <v>524</v>
      </c>
      <c r="Y2542" s="2" t="s">
        <v>672</v>
      </c>
    </row>
    <row r="2543" spans="1:34" x14ac:dyDescent="0.25">
      <c r="A2543" s="2" t="s">
        <v>323</v>
      </c>
      <c r="B2543" s="2" t="s">
        <v>531</v>
      </c>
      <c r="C2543" s="2" t="s">
        <v>407</v>
      </c>
      <c r="D2543" s="2" t="s">
        <v>412</v>
      </c>
      <c r="E2543" s="2" t="s">
        <v>413</v>
      </c>
      <c r="F2543" s="2" t="s">
        <v>39</v>
      </c>
      <c r="J2543" s="2" t="s">
        <v>532</v>
      </c>
      <c r="K2543" s="2" t="s">
        <v>533</v>
      </c>
      <c r="L2543" s="2">
        <v>2</v>
      </c>
      <c r="M2543" s="2" t="s">
        <v>536</v>
      </c>
      <c r="O2543" s="2" t="s">
        <v>524</v>
      </c>
      <c r="Y2543" s="2" t="s">
        <v>672</v>
      </c>
    </row>
    <row r="2544" spans="1:34" x14ac:dyDescent="0.25">
      <c r="A2544" s="2" t="s">
        <v>323</v>
      </c>
      <c r="B2544" s="2" t="s">
        <v>531</v>
      </c>
      <c r="C2544" s="2" t="s">
        <v>407</v>
      </c>
      <c r="D2544" s="2" t="s">
        <v>412</v>
      </c>
      <c r="E2544" s="2" t="s">
        <v>413</v>
      </c>
      <c r="F2544" s="2" t="s">
        <v>39</v>
      </c>
      <c r="J2544" s="2" t="s">
        <v>532</v>
      </c>
      <c r="K2544" s="2" t="s">
        <v>533</v>
      </c>
      <c r="L2544" s="2">
        <v>3</v>
      </c>
      <c r="M2544" s="2" t="s">
        <v>537</v>
      </c>
      <c r="O2544" s="2" t="s">
        <v>524</v>
      </c>
      <c r="Y2544" s="2" t="s">
        <v>672</v>
      </c>
    </row>
    <row r="2545" spans="1:34" x14ac:dyDescent="0.25">
      <c r="A2545" s="2" t="s">
        <v>323</v>
      </c>
      <c r="B2545" s="2" t="s">
        <v>531</v>
      </c>
      <c r="C2545" s="2" t="s">
        <v>407</v>
      </c>
      <c r="D2545" s="2" t="s">
        <v>412</v>
      </c>
      <c r="E2545" s="2" t="s">
        <v>413</v>
      </c>
      <c r="F2545" s="2" t="s">
        <v>39</v>
      </c>
      <c r="J2545" s="2" t="s">
        <v>532</v>
      </c>
      <c r="K2545" s="2" t="s">
        <v>533</v>
      </c>
      <c r="L2545" s="2">
        <v>4</v>
      </c>
      <c r="M2545" s="2" t="s">
        <v>538</v>
      </c>
      <c r="O2545" s="2" t="s">
        <v>524</v>
      </c>
      <c r="Y2545" s="2" t="s">
        <v>672</v>
      </c>
    </row>
    <row r="2546" spans="1:34" x14ac:dyDescent="0.25">
      <c r="A2546" s="2" t="s">
        <v>323</v>
      </c>
      <c r="B2546" s="2" t="s">
        <v>531</v>
      </c>
      <c r="C2546" s="2" t="s">
        <v>407</v>
      </c>
      <c r="D2546" s="2" t="s">
        <v>412</v>
      </c>
      <c r="E2546" s="2" t="s">
        <v>413</v>
      </c>
      <c r="F2546" s="2" t="s">
        <v>39</v>
      </c>
      <c r="J2546" s="2" t="s">
        <v>532</v>
      </c>
      <c r="K2546" s="2" t="s">
        <v>533</v>
      </c>
      <c r="L2546" s="2">
        <v>5</v>
      </c>
      <c r="M2546" s="2" t="s">
        <v>539</v>
      </c>
      <c r="O2546" s="2" t="s">
        <v>524</v>
      </c>
      <c r="Y2546" s="2" t="s">
        <v>672</v>
      </c>
    </row>
    <row r="2547" spans="1:34" x14ac:dyDescent="0.25">
      <c r="A2547" s="2" t="s">
        <v>323</v>
      </c>
      <c r="B2547" s="2" t="s">
        <v>540</v>
      </c>
      <c r="C2547" s="2" t="s">
        <v>407</v>
      </c>
      <c r="D2547" s="2" t="s">
        <v>412</v>
      </c>
      <c r="E2547" s="2" t="s">
        <v>413</v>
      </c>
      <c r="F2547" s="2" t="s">
        <v>39</v>
      </c>
      <c r="J2547" s="2" t="s">
        <v>541</v>
      </c>
      <c r="K2547" s="2" t="s">
        <v>542</v>
      </c>
      <c r="L2547" s="2">
        <v>1</v>
      </c>
      <c r="M2547" s="2" t="s">
        <v>543</v>
      </c>
      <c r="O2547" s="2" t="s">
        <v>524</v>
      </c>
      <c r="Y2547" s="2" t="s">
        <v>672</v>
      </c>
    </row>
    <row r="2548" spans="1:34" x14ac:dyDescent="0.25">
      <c r="A2548" s="2" t="s">
        <v>323</v>
      </c>
      <c r="B2548" s="2" t="s">
        <v>540</v>
      </c>
      <c r="C2548" s="2" t="s">
        <v>407</v>
      </c>
      <c r="D2548" s="2" t="s">
        <v>412</v>
      </c>
      <c r="E2548" s="2" t="s">
        <v>413</v>
      </c>
      <c r="F2548" s="2" t="s">
        <v>39</v>
      </c>
      <c r="J2548" s="2" t="s">
        <v>541</v>
      </c>
      <c r="K2548" s="2" t="s">
        <v>542</v>
      </c>
      <c r="L2548" s="2">
        <v>2</v>
      </c>
      <c r="M2548" s="2" t="s">
        <v>544</v>
      </c>
      <c r="O2548" s="2" t="s">
        <v>524</v>
      </c>
      <c r="Y2548" s="2" t="s">
        <v>672</v>
      </c>
    </row>
    <row r="2549" spans="1:34" x14ac:dyDescent="0.25">
      <c r="A2549" s="2" t="s">
        <v>323</v>
      </c>
      <c r="B2549" s="2" t="s">
        <v>540</v>
      </c>
      <c r="C2549" s="2" t="s">
        <v>407</v>
      </c>
      <c r="D2549" s="2" t="s">
        <v>412</v>
      </c>
      <c r="E2549" s="2" t="s">
        <v>413</v>
      </c>
      <c r="F2549" s="2" t="s">
        <v>39</v>
      </c>
      <c r="J2549" s="2" t="s">
        <v>541</v>
      </c>
      <c r="K2549" s="2" t="s">
        <v>542</v>
      </c>
      <c r="L2549" s="2">
        <v>3</v>
      </c>
      <c r="M2549" s="2" t="s">
        <v>545</v>
      </c>
      <c r="O2549" s="2" t="s">
        <v>524</v>
      </c>
      <c r="Y2549" s="2" t="s">
        <v>672</v>
      </c>
    </row>
    <row r="2550" spans="1:34" x14ac:dyDescent="0.25">
      <c r="A2550" s="2" t="s">
        <v>323</v>
      </c>
      <c r="B2550" s="2" t="s">
        <v>540</v>
      </c>
      <c r="C2550" s="2" t="s">
        <v>407</v>
      </c>
      <c r="D2550" s="2" t="s">
        <v>412</v>
      </c>
      <c r="E2550" s="2" t="s">
        <v>413</v>
      </c>
      <c r="F2550" s="2" t="s">
        <v>39</v>
      </c>
      <c r="J2550" s="2" t="s">
        <v>541</v>
      </c>
      <c r="K2550" s="2" t="s">
        <v>542</v>
      </c>
      <c r="L2550" s="2">
        <v>4</v>
      </c>
      <c r="M2550" s="2" t="s">
        <v>546</v>
      </c>
      <c r="O2550" s="2" t="s">
        <v>524</v>
      </c>
      <c r="Y2550" s="2" t="s">
        <v>672</v>
      </c>
    </row>
    <row r="2551" spans="1:34" x14ac:dyDescent="0.25">
      <c r="A2551" s="2" t="s">
        <v>323</v>
      </c>
      <c r="B2551" s="2" t="s">
        <v>540</v>
      </c>
      <c r="C2551" s="2" t="s">
        <v>407</v>
      </c>
      <c r="D2551" s="2" t="s">
        <v>412</v>
      </c>
      <c r="E2551" s="2" t="s">
        <v>413</v>
      </c>
      <c r="F2551" s="2" t="s">
        <v>39</v>
      </c>
      <c r="J2551" s="2" t="s">
        <v>541</v>
      </c>
      <c r="K2551" s="2" t="s">
        <v>542</v>
      </c>
      <c r="L2551" s="2">
        <v>5</v>
      </c>
      <c r="M2551" s="2" t="s">
        <v>547</v>
      </c>
      <c r="O2551" s="2" t="s">
        <v>524</v>
      </c>
      <c r="Y2551" s="2" t="s">
        <v>672</v>
      </c>
    </row>
    <row r="2552" spans="1:34" x14ac:dyDescent="0.25">
      <c r="A2552" s="2" t="s">
        <v>323</v>
      </c>
      <c r="B2552" s="2" t="s">
        <v>540</v>
      </c>
      <c r="C2552" s="2" t="s">
        <v>407</v>
      </c>
      <c r="D2552" s="2" t="s">
        <v>412</v>
      </c>
      <c r="E2552" s="2" t="s">
        <v>413</v>
      </c>
      <c r="F2552" s="2" t="s">
        <v>39</v>
      </c>
      <c r="J2552" s="2" t="s">
        <v>541</v>
      </c>
      <c r="K2552" s="2" t="s">
        <v>542</v>
      </c>
      <c r="L2552" s="2">
        <v>6</v>
      </c>
      <c r="M2552" s="2" t="s">
        <v>548</v>
      </c>
      <c r="O2552" s="2" t="s">
        <v>524</v>
      </c>
      <c r="Y2552" s="2" t="s">
        <v>672</v>
      </c>
    </row>
    <row r="2553" spans="1:34" x14ac:dyDescent="0.25">
      <c r="A2553" s="2" t="s">
        <v>323</v>
      </c>
      <c r="B2553" s="2" t="s">
        <v>540</v>
      </c>
      <c r="C2553" s="2" t="s">
        <v>407</v>
      </c>
      <c r="D2553" s="2" t="s">
        <v>412</v>
      </c>
      <c r="E2553" s="2" t="s">
        <v>413</v>
      </c>
      <c r="F2553" s="2" t="s">
        <v>39</v>
      </c>
      <c r="J2553" s="2" t="s">
        <v>541</v>
      </c>
      <c r="K2553" s="2" t="s">
        <v>542</v>
      </c>
      <c r="L2553" s="2">
        <v>7</v>
      </c>
      <c r="M2553" s="2" t="s">
        <v>549</v>
      </c>
      <c r="O2553" s="2" t="s">
        <v>524</v>
      </c>
      <c r="Y2553" s="2" t="s">
        <v>672</v>
      </c>
    </row>
    <row r="2554" spans="1:34" x14ac:dyDescent="0.25">
      <c r="A2554" s="2" t="s">
        <v>323</v>
      </c>
      <c r="B2554" s="2" t="s">
        <v>540</v>
      </c>
      <c r="C2554" s="2" t="s">
        <v>407</v>
      </c>
      <c r="D2554" s="2" t="s">
        <v>412</v>
      </c>
      <c r="E2554" s="2" t="s">
        <v>413</v>
      </c>
      <c r="F2554" s="2" t="s">
        <v>39</v>
      </c>
      <c r="J2554" s="2" t="s">
        <v>541</v>
      </c>
      <c r="K2554" s="2" t="s">
        <v>542</v>
      </c>
      <c r="L2554" s="2">
        <v>8</v>
      </c>
      <c r="M2554" s="2" t="s">
        <v>550</v>
      </c>
      <c r="O2554" s="2" t="s">
        <v>524</v>
      </c>
      <c r="Y2554" s="2" t="s">
        <v>672</v>
      </c>
    </row>
    <row r="2555" spans="1:34" x14ac:dyDescent="0.25">
      <c r="A2555" s="2" t="s">
        <v>323</v>
      </c>
      <c r="B2555" s="2" t="s">
        <v>540</v>
      </c>
      <c r="C2555" s="2" t="s">
        <v>407</v>
      </c>
      <c r="D2555" s="2" t="s">
        <v>412</v>
      </c>
      <c r="E2555" s="2" t="s">
        <v>413</v>
      </c>
      <c r="F2555" s="2" t="s">
        <v>39</v>
      </c>
      <c r="J2555" s="2" t="s">
        <v>541</v>
      </c>
      <c r="K2555" s="2" t="s">
        <v>542</v>
      </c>
      <c r="L2555" s="2">
        <v>9</v>
      </c>
      <c r="M2555" s="2" t="s">
        <v>551</v>
      </c>
      <c r="O2555" s="2" t="s">
        <v>524</v>
      </c>
      <c r="Y2555" s="2" t="s">
        <v>672</v>
      </c>
    </row>
    <row r="2556" spans="1:34" x14ac:dyDescent="0.25">
      <c r="A2556" s="2" t="s">
        <v>323</v>
      </c>
      <c r="B2556" s="2" t="s">
        <v>540</v>
      </c>
      <c r="C2556" s="2" t="s">
        <v>407</v>
      </c>
      <c r="D2556" s="2" t="s">
        <v>412</v>
      </c>
      <c r="E2556" s="2" t="s">
        <v>413</v>
      </c>
      <c r="F2556" s="2" t="s">
        <v>39</v>
      </c>
      <c r="J2556" s="2" t="s">
        <v>541</v>
      </c>
      <c r="K2556" s="2" t="s">
        <v>542</v>
      </c>
      <c r="L2556" s="2">
        <v>10</v>
      </c>
      <c r="M2556" s="2" t="s">
        <v>552</v>
      </c>
      <c r="O2556" s="2" t="s">
        <v>524</v>
      </c>
      <c r="Y2556" s="2" t="s">
        <v>672</v>
      </c>
    </row>
    <row r="2557" spans="1:34" x14ac:dyDescent="0.25">
      <c r="A2557" s="2" t="s">
        <v>323</v>
      </c>
      <c r="B2557" s="2" t="s">
        <v>540</v>
      </c>
      <c r="C2557" s="2" t="s">
        <v>407</v>
      </c>
      <c r="D2557" s="2" t="s">
        <v>412</v>
      </c>
      <c r="E2557" s="2" t="s">
        <v>413</v>
      </c>
      <c r="F2557" s="2" t="s">
        <v>39</v>
      </c>
      <c r="J2557" s="2" t="s">
        <v>541</v>
      </c>
      <c r="K2557" s="2" t="s">
        <v>542</v>
      </c>
      <c r="L2557" s="2">
        <v>11</v>
      </c>
      <c r="M2557" s="2" t="s">
        <v>553</v>
      </c>
      <c r="O2557" s="2" t="s">
        <v>524</v>
      </c>
      <c r="Y2557" s="2" t="s">
        <v>672</v>
      </c>
    </row>
    <row r="2558" spans="1:34" x14ac:dyDescent="0.25">
      <c r="A2558" s="2" t="s">
        <v>323</v>
      </c>
      <c r="B2558" s="2" t="s">
        <v>540</v>
      </c>
      <c r="C2558" s="2" t="s">
        <v>407</v>
      </c>
      <c r="D2558" s="2" t="s">
        <v>412</v>
      </c>
      <c r="E2558" s="2" t="s">
        <v>413</v>
      </c>
      <c r="F2558" s="2" t="s">
        <v>39</v>
      </c>
      <c r="J2558" s="2" t="s">
        <v>541</v>
      </c>
      <c r="K2558" s="2" t="s">
        <v>542</v>
      </c>
      <c r="L2558" s="2">
        <v>12</v>
      </c>
      <c r="M2558" s="2" t="s">
        <v>554</v>
      </c>
      <c r="O2558" s="2" t="s">
        <v>524</v>
      </c>
      <c r="Y2558" s="2" t="s">
        <v>672</v>
      </c>
    </row>
    <row r="2559" spans="1:34" x14ac:dyDescent="0.25">
      <c r="A2559" s="2" t="s">
        <v>323</v>
      </c>
      <c r="B2559" s="2" t="s">
        <v>555</v>
      </c>
      <c r="C2559" s="2" t="s">
        <v>407</v>
      </c>
      <c r="D2559" s="2" t="s">
        <v>412</v>
      </c>
      <c r="E2559" s="2" t="s">
        <v>413</v>
      </c>
      <c r="F2559" s="2" t="s">
        <v>39</v>
      </c>
      <c r="J2559" s="2" t="s">
        <v>556</v>
      </c>
      <c r="O2559" s="2" t="s">
        <v>524</v>
      </c>
      <c r="Y2559" s="2" t="s">
        <v>672</v>
      </c>
      <c r="AB2559" s="2">
        <v>1</v>
      </c>
    </row>
    <row r="2560" spans="1:34" x14ac:dyDescent="0.25">
      <c r="A2560" s="2" t="s">
        <v>323</v>
      </c>
      <c r="B2560" s="2" t="s">
        <v>557</v>
      </c>
      <c r="C2560" s="2" t="s">
        <v>407</v>
      </c>
      <c r="D2560" s="2" t="s">
        <v>412</v>
      </c>
      <c r="E2560" s="2" t="s">
        <v>413</v>
      </c>
      <c r="F2560" s="2" t="s">
        <v>39</v>
      </c>
      <c r="J2560" s="2" t="s">
        <v>558</v>
      </c>
      <c r="O2560" s="2" t="s">
        <v>524</v>
      </c>
      <c r="Y2560" s="2" t="s">
        <v>672</v>
      </c>
      <c r="AC2560" s="2">
        <f>COUNTIFS($B:$B,"BLOCK_LOAD_Q",$A:$A,$A2560,$C:$C,$C2560,$E:$E,$E2560,$F:$F,$F2560,$N:$N, "&lt;&gt;")</f>
        <v>0</v>
      </c>
      <c r="AD2560" s="2">
        <f>COUNTIFS($B:$B,"BLOCK_TRUST_Q",$A:$A,$A2560,$C:$C,$C2560,$E:$E,$E2560,$F:$F,$F2560,$N:$N, "&lt;&gt;")</f>
        <v>0</v>
      </c>
      <c r="AE2560" s="2" t="str">
        <f>IFERROR(AVERAGEIFS($P:$P,$B:$B,"BLOCK_LOAD_Q",$A:$A,$A2560,$C:$C,$C2560,$E:$E,$E2560,$F:$F,$F2560,$P:$P,"&gt;0"),"")</f>
        <v/>
      </c>
      <c r="AF2560" s="2" t="str">
        <f>IFERROR(AVERAGEIFS($P:$P,$B:$B,"BLOCK_TRUST_Q",$A:$A,$A2560,$C:$C,$C2560,$E:$E,$E2560,$F:$F,$F2560,$P:$P,"&gt;0"),"")</f>
        <v/>
      </c>
      <c r="AG2560" s="2">
        <f>5-AC2560</f>
        <v>5</v>
      </c>
      <c r="AH2560" s="2">
        <f>12-AD2560</f>
        <v>12</v>
      </c>
    </row>
    <row r="2561" spans="1:25" x14ac:dyDescent="0.25">
      <c r="A2561" s="2" t="s">
        <v>323</v>
      </c>
      <c r="B2561" s="2" t="s">
        <v>402</v>
      </c>
      <c r="C2561" s="2" t="s">
        <v>407</v>
      </c>
      <c r="D2561" s="2" t="s">
        <v>412</v>
      </c>
      <c r="E2561" s="2" t="s">
        <v>414</v>
      </c>
      <c r="F2561" s="2" t="s">
        <v>40</v>
      </c>
      <c r="G2561" s="2" t="s">
        <v>415</v>
      </c>
      <c r="H2561" s="2" t="s">
        <v>567</v>
      </c>
      <c r="S2561" s="2" t="s">
        <v>58</v>
      </c>
      <c r="U2561" s="2" t="s">
        <v>57</v>
      </c>
      <c r="W2561" s="2" t="s">
        <v>60</v>
      </c>
    </row>
    <row r="2562" spans="1:25" x14ac:dyDescent="0.25">
      <c r="A2562" s="2" t="s">
        <v>323</v>
      </c>
      <c r="B2562" s="2" t="s">
        <v>402</v>
      </c>
      <c r="C2562" s="2" t="s">
        <v>407</v>
      </c>
      <c r="D2562" s="2" t="s">
        <v>412</v>
      </c>
      <c r="E2562" s="2" t="s">
        <v>414</v>
      </c>
      <c r="F2562" s="2" t="s">
        <v>40</v>
      </c>
      <c r="G2562" s="2" t="s">
        <v>416</v>
      </c>
      <c r="H2562" s="2" t="s">
        <v>568</v>
      </c>
      <c r="S2562" s="2" t="s">
        <v>59</v>
      </c>
      <c r="U2562" s="2" t="s">
        <v>60</v>
      </c>
      <c r="W2562" s="2" t="s">
        <v>59</v>
      </c>
    </row>
    <row r="2563" spans="1:25" x14ac:dyDescent="0.25">
      <c r="A2563" s="2" t="s">
        <v>323</v>
      </c>
      <c r="B2563" s="2" t="s">
        <v>402</v>
      </c>
      <c r="C2563" s="2" t="s">
        <v>407</v>
      </c>
      <c r="D2563" s="2" t="s">
        <v>412</v>
      </c>
      <c r="E2563" s="2" t="s">
        <v>414</v>
      </c>
      <c r="F2563" s="2" t="s">
        <v>40</v>
      </c>
      <c r="G2563" s="2" t="s">
        <v>417</v>
      </c>
      <c r="H2563" s="2" t="s">
        <v>569</v>
      </c>
      <c r="S2563" s="2" t="s">
        <v>57</v>
      </c>
      <c r="U2563" s="2" t="s">
        <v>60</v>
      </c>
      <c r="W2563" s="2" t="s">
        <v>57</v>
      </c>
    </row>
    <row r="2564" spans="1:25" x14ac:dyDescent="0.25">
      <c r="A2564" s="2" t="s">
        <v>323</v>
      </c>
      <c r="B2564" s="2" t="s">
        <v>402</v>
      </c>
      <c r="C2564" s="2" t="s">
        <v>407</v>
      </c>
      <c r="D2564" s="2" t="s">
        <v>412</v>
      </c>
      <c r="E2564" s="2" t="s">
        <v>414</v>
      </c>
      <c r="F2564" s="2" t="s">
        <v>40</v>
      </c>
      <c r="G2564" s="2" t="s">
        <v>418</v>
      </c>
      <c r="H2564" s="2" t="s">
        <v>351</v>
      </c>
      <c r="S2564" s="2" t="s">
        <v>60</v>
      </c>
      <c r="U2564" s="2" t="s">
        <v>57</v>
      </c>
      <c r="W2564" s="2" t="s">
        <v>57</v>
      </c>
    </row>
    <row r="2565" spans="1:25" x14ac:dyDescent="0.25">
      <c r="A2565" s="2" t="s">
        <v>323</v>
      </c>
      <c r="B2565" s="2" t="s">
        <v>531</v>
      </c>
      <c r="C2565" s="2" t="s">
        <v>407</v>
      </c>
      <c r="D2565" s="2" t="s">
        <v>412</v>
      </c>
      <c r="E2565" s="2" t="s">
        <v>414</v>
      </c>
      <c r="F2565" s="2" t="s">
        <v>40</v>
      </c>
      <c r="J2565" s="2" t="s">
        <v>532</v>
      </c>
      <c r="K2565" s="2" t="s">
        <v>533</v>
      </c>
      <c r="L2565" s="2">
        <v>1</v>
      </c>
      <c r="M2565" s="2" t="s">
        <v>534</v>
      </c>
      <c r="O2565" s="2" t="s">
        <v>524</v>
      </c>
      <c r="Y2565" s="2" t="s">
        <v>673</v>
      </c>
    </row>
    <row r="2566" spans="1:25" x14ac:dyDescent="0.25">
      <c r="A2566" s="2" t="s">
        <v>323</v>
      </c>
      <c r="B2566" s="2" t="s">
        <v>531</v>
      </c>
      <c r="C2566" s="2" t="s">
        <v>407</v>
      </c>
      <c r="D2566" s="2" t="s">
        <v>412</v>
      </c>
      <c r="E2566" s="2" t="s">
        <v>414</v>
      </c>
      <c r="F2566" s="2" t="s">
        <v>40</v>
      </c>
      <c r="J2566" s="2" t="s">
        <v>532</v>
      </c>
      <c r="K2566" s="2" t="s">
        <v>533</v>
      </c>
      <c r="L2566" s="2">
        <v>2</v>
      </c>
      <c r="M2566" s="2" t="s">
        <v>536</v>
      </c>
      <c r="O2566" s="2" t="s">
        <v>524</v>
      </c>
      <c r="Y2566" s="2" t="s">
        <v>673</v>
      </c>
    </row>
    <row r="2567" spans="1:25" x14ac:dyDescent="0.25">
      <c r="A2567" s="2" t="s">
        <v>323</v>
      </c>
      <c r="B2567" s="2" t="s">
        <v>531</v>
      </c>
      <c r="C2567" s="2" t="s">
        <v>407</v>
      </c>
      <c r="D2567" s="2" t="s">
        <v>412</v>
      </c>
      <c r="E2567" s="2" t="s">
        <v>414</v>
      </c>
      <c r="F2567" s="2" t="s">
        <v>40</v>
      </c>
      <c r="J2567" s="2" t="s">
        <v>532</v>
      </c>
      <c r="K2567" s="2" t="s">
        <v>533</v>
      </c>
      <c r="L2567" s="2">
        <v>3</v>
      </c>
      <c r="M2567" s="2" t="s">
        <v>537</v>
      </c>
      <c r="O2567" s="2" t="s">
        <v>524</v>
      </c>
      <c r="Y2567" s="2" t="s">
        <v>673</v>
      </c>
    </row>
    <row r="2568" spans="1:25" x14ac:dyDescent="0.25">
      <c r="A2568" s="2" t="s">
        <v>323</v>
      </c>
      <c r="B2568" s="2" t="s">
        <v>531</v>
      </c>
      <c r="C2568" s="2" t="s">
        <v>407</v>
      </c>
      <c r="D2568" s="2" t="s">
        <v>412</v>
      </c>
      <c r="E2568" s="2" t="s">
        <v>414</v>
      </c>
      <c r="F2568" s="2" t="s">
        <v>40</v>
      </c>
      <c r="J2568" s="2" t="s">
        <v>532</v>
      </c>
      <c r="K2568" s="2" t="s">
        <v>533</v>
      </c>
      <c r="L2568" s="2">
        <v>4</v>
      </c>
      <c r="M2568" s="2" t="s">
        <v>538</v>
      </c>
      <c r="O2568" s="2" t="s">
        <v>524</v>
      </c>
      <c r="Y2568" s="2" t="s">
        <v>673</v>
      </c>
    </row>
    <row r="2569" spans="1:25" x14ac:dyDescent="0.25">
      <c r="A2569" s="2" t="s">
        <v>323</v>
      </c>
      <c r="B2569" s="2" t="s">
        <v>531</v>
      </c>
      <c r="C2569" s="2" t="s">
        <v>407</v>
      </c>
      <c r="D2569" s="2" t="s">
        <v>412</v>
      </c>
      <c r="E2569" s="2" t="s">
        <v>414</v>
      </c>
      <c r="F2569" s="2" t="s">
        <v>40</v>
      </c>
      <c r="J2569" s="2" t="s">
        <v>532</v>
      </c>
      <c r="K2569" s="2" t="s">
        <v>533</v>
      </c>
      <c r="L2569" s="2">
        <v>5</v>
      </c>
      <c r="M2569" s="2" t="s">
        <v>539</v>
      </c>
      <c r="O2569" s="2" t="s">
        <v>524</v>
      </c>
      <c r="Y2569" s="2" t="s">
        <v>673</v>
      </c>
    </row>
    <row r="2570" spans="1:25" x14ac:dyDescent="0.25">
      <c r="A2570" s="2" t="s">
        <v>323</v>
      </c>
      <c r="B2570" s="2" t="s">
        <v>540</v>
      </c>
      <c r="C2570" s="2" t="s">
        <v>407</v>
      </c>
      <c r="D2570" s="2" t="s">
        <v>412</v>
      </c>
      <c r="E2570" s="2" t="s">
        <v>414</v>
      </c>
      <c r="F2570" s="2" t="s">
        <v>40</v>
      </c>
      <c r="J2570" s="2" t="s">
        <v>541</v>
      </c>
      <c r="K2570" s="2" t="s">
        <v>542</v>
      </c>
      <c r="L2570" s="2">
        <v>1</v>
      </c>
      <c r="M2570" s="2" t="s">
        <v>543</v>
      </c>
      <c r="O2570" s="2" t="s">
        <v>524</v>
      </c>
      <c r="Y2570" s="2" t="s">
        <v>673</v>
      </c>
    </row>
    <row r="2571" spans="1:25" x14ac:dyDescent="0.25">
      <c r="A2571" s="2" t="s">
        <v>323</v>
      </c>
      <c r="B2571" s="2" t="s">
        <v>540</v>
      </c>
      <c r="C2571" s="2" t="s">
        <v>407</v>
      </c>
      <c r="D2571" s="2" t="s">
        <v>412</v>
      </c>
      <c r="E2571" s="2" t="s">
        <v>414</v>
      </c>
      <c r="F2571" s="2" t="s">
        <v>40</v>
      </c>
      <c r="J2571" s="2" t="s">
        <v>541</v>
      </c>
      <c r="K2571" s="2" t="s">
        <v>542</v>
      </c>
      <c r="L2571" s="2">
        <v>2</v>
      </c>
      <c r="M2571" s="2" t="s">
        <v>544</v>
      </c>
      <c r="O2571" s="2" t="s">
        <v>524</v>
      </c>
      <c r="Y2571" s="2" t="s">
        <v>673</v>
      </c>
    </row>
    <row r="2572" spans="1:25" x14ac:dyDescent="0.25">
      <c r="A2572" s="2" t="s">
        <v>323</v>
      </c>
      <c r="B2572" s="2" t="s">
        <v>540</v>
      </c>
      <c r="C2572" s="2" t="s">
        <v>407</v>
      </c>
      <c r="D2572" s="2" t="s">
        <v>412</v>
      </c>
      <c r="E2572" s="2" t="s">
        <v>414</v>
      </c>
      <c r="F2572" s="2" t="s">
        <v>40</v>
      </c>
      <c r="J2572" s="2" t="s">
        <v>541</v>
      </c>
      <c r="K2572" s="2" t="s">
        <v>542</v>
      </c>
      <c r="L2572" s="2">
        <v>3</v>
      </c>
      <c r="M2572" s="2" t="s">
        <v>545</v>
      </c>
      <c r="O2572" s="2" t="s">
        <v>524</v>
      </c>
      <c r="Y2572" s="2" t="s">
        <v>673</v>
      </c>
    </row>
    <row r="2573" spans="1:25" x14ac:dyDescent="0.25">
      <c r="A2573" s="2" t="s">
        <v>323</v>
      </c>
      <c r="B2573" s="2" t="s">
        <v>540</v>
      </c>
      <c r="C2573" s="2" t="s">
        <v>407</v>
      </c>
      <c r="D2573" s="2" t="s">
        <v>412</v>
      </c>
      <c r="E2573" s="2" t="s">
        <v>414</v>
      </c>
      <c r="F2573" s="2" t="s">
        <v>40</v>
      </c>
      <c r="J2573" s="2" t="s">
        <v>541</v>
      </c>
      <c r="K2573" s="2" t="s">
        <v>542</v>
      </c>
      <c r="L2573" s="2">
        <v>4</v>
      </c>
      <c r="M2573" s="2" t="s">
        <v>546</v>
      </c>
      <c r="O2573" s="2" t="s">
        <v>524</v>
      </c>
      <c r="Y2573" s="2" t="s">
        <v>673</v>
      </c>
    </row>
    <row r="2574" spans="1:25" x14ac:dyDescent="0.25">
      <c r="A2574" s="2" t="s">
        <v>323</v>
      </c>
      <c r="B2574" s="2" t="s">
        <v>540</v>
      </c>
      <c r="C2574" s="2" t="s">
        <v>407</v>
      </c>
      <c r="D2574" s="2" t="s">
        <v>412</v>
      </c>
      <c r="E2574" s="2" t="s">
        <v>414</v>
      </c>
      <c r="F2574" s="2" t="s">
        <v>40</v>
      </c>
      <c r="J2574" s="2" t="s">
        <v>541</v>
      </c>
      <c r="K2574" s="2" t="s">
        <v>542</v>
      </c>
      <c r="L2574" s="2">
        <v>5</v>
      </c>
      <c r="M2574" s="2" t="s">
        <v>547</v>
      </c>
      <c r="O2574" s="2" t="s">
        <v>524</v>
      </c>
      <c r="Y2574" s="2" t="s">
        <v>673</v>
      </c>
    </row>
    <row r="2575" spans="1:25" x14ac:dyDescent="0.25">
      <c r="A2575" s="2" t="s">
        <v>323</v>
      </c>
      <c r="B2575" s="2" t="s">
        <v>540</v>
      </c>
      <c r="C2575" s="2" t="s">
        <v>407</v>
      </c>
      <c r="D2575" s="2" t="s">
        <v>412</v>
      </c>
      <c r="E2575" s="2" t="s">
        <v>414</v>
      </c>
      <c r="F2575" s="2" t="s">
        <v>40</v>
      </c>
      <c r="J2575" s="2" t="s">
        <v>541</v>
      </c>
      <c r="K2575" s="2" t="s">
        <v>542</v>
      </c>
      <c r="L2575" s="2">
        <v>6</v>
      </c>
      <c r="M2575" s="2" t="s">
        <v>548</v>
      </c>
      <c r="O2575" s="2" t="s">
        <v>524</v>
      </c>
      <c r="Y2575" s="2" t="s">
        <v>673</v>
      </c>
    </row>
    <row r="2576" spans="1:25" x14ac:dyDescent="0.25">
      <c r="A2576" s="2" t="s">
        <v>323</v>
      </c>
      <c r="B2576" s="2" t="s">
        <v>540</v>
      </c>
      <c r="C2576" s="2" t="s">
        <v>407</v>
      </c>
      <c r="D2576" s="2" t="s">
        <v>412</v>
      </c>
      <c r="E2576" s="2" t="s">
        <v>414</v>
      </c>
      <c r="F2576" s="2" t="s">
        <v>40</v>
      </c>
      <c r="J2576" s="2" t="s">
        <v>541</v>
      </c>
      <c r="K2576" s="2" t="s">
        <v>542</v>
      </c>
      <c r="L2576" s="2">
        <v>7</v>
      </c>
      <c r="M2576" s="2" t="s">
        <v>549</v>
      </c>
      <c r="O2576" s="2" t="s">
        <v>524</v>
      </c>
      <c r="Y2576" s="2" t="s">
        <v>673</v>
      </c>
    </row>
    <row r="2577" spans="1:34" x14ac:dyDescent="0.25">
      <c r="A2577" s="2" t="s">
        <v>323</v>
      </c>
      <c r="B2577" s="2" t="s">
        <v>540</v>
      </c>
      <c r="C2577" s="2" t="s">
        <v>407</v>
      </c>
      <c r="D2577" s="2" t="s">
        <v>412</v>
      </c>
      <c r="E2577" s="2" t="s">
        <v>414</v>
      </c>
      <c r="F2577" s="2" t="s">
        <v>40</v>
      </c>
      <c r="J2577" s="2" t="s">
        <v>541</v>
      </c>
      <c r="K2577" s="2" t="s">
        <v>542</v>
      </c>
      <c r="L2577" s="2">
        <v>8</v>
      </c>
      <c r="M2577" s="2" t="s">
        <v>550</v>
      </c>
      <c r="O2577" s="2" t="s">
        <v>524</v>
      </c>
      <c r="Y2577" s="2" t="s">
        <v>673</v>
      </c>
    </row>
    <row r="2578" spans="1:34" x14ac:dyDescent="0.25">
      <c r="A2578" s="2" t="s">
        <v>323</v>
      </c>
      <c r="B2578" s="2" t="s">
        <v>540</v>
      </c>
      <c r="C2578" s="2" t="s">
        <v>407</v>
      </c>
      <c r="D2578" s="2" t="s">
        <v>412</v>
      </c>
      <c r="E2578" s="2" t="s">
        <v>414</v>
      </c>
      <c r="F2578" s="2" t="s">
        <v>40</v>
      </c>
      <c r="J2578" s="2" t="s">
        <v>541</v>
      </c>
      <c r="K2578" s="2" t="s">
        <v>542</v>
      </c>
      <c r="L2578" s="2">
        <v>9</v>
      </c>
      <c r="M2578" s="2" t="s">
        <v>551</v>
      </c>
      <c r="O2578" s="2" t="s">
        <v>524</v>
      </c>
      <c r="Y2578" s="2" t="s">
        <v>673</v>
      </c>
    </row>
    <row r="2579" spans="1:34" x14ac:dyDescent="0.25">
      <c r="A2579" s="2" t="s">
        <v>323</v>
      </c>
      <c r="B2579" s="2" t="s">
        <v>540</v>
      </c>
      <c r="C2579" s="2" t="s">
        <v>407</v>
      </c>
      <c r="D2579" s="2" t="s">
        <v>412</v>
      </c>
      <c r="E2579" s="2" t="s">
        <v>414</v>
      </c>
      <c r="F2579" s="2" t="s">
        <v>40</v>
      </c>
      <c r="J2579" s="2" t="s">
        <v>541</v>
      </c>
      <c r="K2579" s="2" t="s">
        <v>542</v>
      </c>
      <c r="L2579" s="2">
        <v>10</v>
      </c>
      <c r="M2579" s="2" t="s">
        <v>552</v>
      </c>
      <c r="O2579" s="2" t="s">
        <v>524</v>
      </c>
      <c r="Y2579" s="2" t="s">
        <v>673</v>
      </c>
    </row>
    <row r="2580" spans="1:34" x14ac:dyDescent="0.25">
      <c r="A2580" s="2" t="s">
        <v>323</v>
      </c>
      <c r="B2580" s="2" t="s">
        <v>540</v>
      </c>
      <c r="C2580" s="2" t="s">
        <v>407</v>
      </c>
      <c r="D2580" s="2" t="s">
        <v>412</v>
      </c>
      <c r="E2580" s="2" t="s">
        <v>414</v>
      </c>
      <c r="F2580" s="2" t="s">
        <v>40</v>
      </c>
      <c r="J2580" s="2" t="s">
        <v>541</v>
      </c>
      <c r="K2580" s="2" t="s">
        <v>542</v>
      </c>
      <c r="L2580" s="2">
        <v>11</v>
      </c>
      <c r="M2580" s="2" t="s">
        <v>553</v>
      </c>
      <c r="O2580" s="2" t="s">
        <v>524</v>
      </c>
      <c r="Y2580" s="2" t="s">
        <v>673</v>
      </c>
    </row>
    <row r="2581" spans="1:34" x14ac:dyDescent="0.25">
      <c r="A2581" s="2" t="s">
        <v>323</v>
      </c>
      <c r="B2581" s="2" t="s">
        <v>540</v>
      </c>
      <c r="C2581" s="2" t="s">
        <v>407</v>
      </c>
      <c r="D2581" s="2" t="s">
        <v>412</v>
      </c>
      <c r="E2581" s="2" t="s">
        <v>414</v>
      </c>
      <c r="F2581" s="2" t="s">
        <v>40</v>
      </c>
      <c r="J2581" s="2" t="s">
        <v>541</v>
      </c>
      <c r="K2581" s="2" t="s">
        <v>542</v>
      </c>
      <c r="L2581" s="2">
        <v>12</v>
      </c>
      <c r="M2581" s="2" t="s">
        <v>554</v>
      </c>
      <c r="O2581" s="2" t="s">
        <v>524</v>
      </c>
      <c r="Y2581" s="2" t="s">
        <v>673</v>
      </c>
    </row>
    <row r="2582" spans="1:34" x14ac:dyDescent="0.25">
      <c r="A2582" s="2" t="s">
        <v>323</v>
      </c>
      <c r="B2582" s="2" t="s">
        <v>555</v>
      </c>
      <c r="C2582" s="2" t="s">
        <v>407</v>
      </c>
      <c r="D2582" s="2" t="s">
        <v>412</v>
      </c>
      <c r="E2582" s="2" t="s">
        <v>414</v>
      </c>
      <c r="F2582" s="2" t="s">
        <v>40</v>
      </c>
      <c r="J2582" s="2" t="s">
        <v>556</v>
      </c>
      <c r="O2582" s="2" t="s">
        <v>524</v>
      </c>
      <c r="Y2582" s="2" t="s">
        <v>673</v>
      </c>
      <c r="AB2582" s="2">
        <v>2</v>
      </c>
    </row>
    <row r="2583" spans="1:34" x14ac:dyDescent="0.25">
      <c r="A2583" s="2" t="s">
        <v>323</v>
      </c>
      <c r="B2583" s="2" t="s">
        <v>557</v>
      </c>
      <c r="C2583" s="2" t="s">
        <v>407</v>
      </c>
      <c r="D2583" s="2" t="s">
        <v>412</v>
      </c>
      <c r="E2583" s="2" t="s">
        <v>414</v>
      </c>
      <c r="F2583" s="2" t="s">
        <v>40</v>
      </c>
      <c r="J2583" s="2" t="s">
        <v>558</v>
      </c>
      <c r="O2583" s="2" t="s">
        <v>524</v>
      </c>
      <c r="Y2583" s="2" t="s">
        <v>673</v>
      </c>
      <c r="AC2583" s="2">
        <f>COUNTIFS($B:$B,"BLOCK_LOAD_Q",$A:$A,$A2583,$C:$C,$C2583,$E:$E,$E2583,$F:$F,$F2583,$N:$N, "&lt;&gt;")</f>
        <v>0</v>
      </c>
      <c r="AD2583" s="2">
        <f>COUNTIFS($B:$B,"BLOCK_TRUST_Q",$A:$A,$A2583,$C:$C,$C2583,$E:$E,$E2583,$F:$F,$F2583,$N:$N, "&lt;&gt;")</f>
        <v>0</v>
      </c>
      <c r="AE2583" s="2" t="str">
        <f>IFERROR(AVERAGEIFS($P:$P,$B:$B,"BLOCK_LOAD_Q",$A:$A,$A2583,$C:$C,$C2583,$E:$E,$E2583,$F:$F,$F2583,$P:$P,"&gt;0"),"")</f>
        <v/>
      </c>
      <c r="AF2583" s="2" t="str">
        <f>IFERROR(AVERAGEIFS($P:$P,$B:$B,"BLOCK_TRUST_Q",$A:$A,$A2583,$C:$C,$C2583,$E:$E,$E2583,$F:$F,$F2583,$P:$P,"&gt;0"),"")</f>
        <v/>
      </c>
      <c r="AG2583" s="2">
        <f>5-AC2583</f>
        <v>5</v>
      </c>
      <c r="AH2583" s="2">
        <f>12-AD2583</f>
        <v>12</v>
      </c>
    </row>
    <row r="2584" spans="1:34" x14ac:dyDescent="0.25">
      <c r="A2584" s="2" t="s">
        <v>323</v>
      </c>
      <c r="B2584" s="2" t="s">
        <v>403</v>
      </c>
      <c r="C2584" s="2" t="s">
        <v>407</v>
      </c>
      <c r="D2584" s="2" t="s">
        <v>412</v>
      </c>
      <c r="Z2584" s="2" t="s">
        <v>471</v>
      </c>
    </row>
    <row r="2585" spans="1:34" x14ac:dyDescent="0.25">
      <c r="A2585" s="2" t="s">
        <v>323</v>
      </c>
      <c r="B2585" s="2" t="s">
        <v>402</v>
      </c>
      <c r="C2585" s="2" t="s">
        <v>408</v>
      </c>
      <c r="D2585" s="2" t="s">
        <v>410</v>
      </c>
      <c r="E2585" s="2" t="s">
        <v>413</v>
      </c>
      <c r="F2585" s="2" t="s">
        <v>39</v>
      </c>
      <c r="G2585" s="2" t="s">
        <v>415</v>
      </c>
      <c r="H2585" s="2" t="s">
        <v>373</v>
      </c>
      <c r="S2585" s="2" t="s">
        <v>60</v>
      </c>
      <c r="U2585" s="2" t="s">
        <v>60</v>
      </c>
      <c r="W2585" s="2" t="s">
        <v>60</v>
      </c>
    </row>
    <row r="2586" spans="1:34" x14ac:dyDescent="0.25">
      <c r="A2586" s="2" t="s">
        <v>323</v>
      </c>
      <c r="B2586" s="2" t="s">
        <v>402</v>
      </c>
      <c r="C2586" s="2" t="s">
        <v>408</v>
      </c>
      <c r="D2586" s="2" t="s">
        <v>410</v>
      </c>
      <c r="E2586" s="2" t="s">
        <v>413</v>
      </c>
      <c r="F2586" s="2" t="s">
        <v>39</v>
      </c>
      <c r="G2586" s="2" t="s">
        <v>416</v>
      </c>
      <c r="H2586" s="2" t="s">
        <v>528</v>
      </c>
      <c r="S2586" s="2" t="s">
        <v>60</v>
      </c>
      <c r="U2586" s="2" t="s">
        <v>59</v>
      </c>
      <c r="W2586" s="2" t="s">
        <v>59</v>
      </c>
    </row>
    <row r="2587" spans="1:34" x14ac:dyDescent="0.25">
      <c r="A2587" s="2" t="s">
        <v>323</v>
      </c>
      <c r="B2587" s="2" t="s">
        <v>402</v>
      </c>
      <c r="C2587" s="2" t="s">
        <v>408</v>
      </c>
      <c r="D2587" s="2" t="s">
        <v>410</v>
      </c>
      <c r="E2587" s="2" t="s">
        <v>413</v>
      </c>
      <c r="F2587" s="2" t="s">
        <v>39</v>
      </c>
      <c r="G2587" s="2" t="s">
        <v>417</v>
      </c>
      <c r="H2587" s="2" t="s">
        <v>529</v>
      </c>
      <c r="S2587" s="2" t="s">
        <v>57</v>
      </c>
      <c r="U2587" s="2" t="s">
        <v>59</v>
      </c>
      <c r="W2587" s="2" t="s">
        <v>60</v>
      </c>
    </row>
    <row r="2588" spans="1:34" x14ac:dyDescent="0.25">
      <c r="A2588" s="2" t="s">
        <v>323</v>
      </c>
      <c r="B2588" s="2" t="s">
        <v>402</v>
      </c>
      <c r="C2588" s="2" t="s">
        <v>408</v>
      </c>
      <c r="D2588" s="2" t="s">
        <v>410</v>
      </c>
      <c r="E2588" s="2" t="s">
        <v>413</v>
      </c>
      <c r="F2588" s="2" t="s">
        <v>39</v>
      </c>
      <c r="G2588" s="2" t="s">
        <v>418</v>
      </c>
      <c r="H2588" s="2" t="s">
        <v>347</v>
      </c>
      <c r="S2588" s="2" t="s">
        <v>60</v>
      </c>
      <c r="U2588" s="2" t="s">
        <v>57</v>
      </c>
      <c r="W2588" s="2" t="s">
        <v>59</v>
      </c>
    </row>
    <row r="2589" spans="1:34" x14ac:dyDescent="0.25">
      <c r="A2589" s="2" t="s">
        <v>323</v>
      </c>
      <c r="B2589" s="2" t="s">
        <v>402</v>
      </c>
      <c r="C2589" s="2" t="s">
        <v>408</v>
      </c>
      <c r="D2589" s="2" t="s">
        <v>410</v>
      </c>
      <c r="E2589" s="2" t="s">
        <v>413</v>
      </c>
      <c r="F2589" s="2" t="s">
        <v>39</v>
      </c>
      <c r="G2589" s="2" t="s">
        <v>419</v>
      </c>
      <c r="H2589" s="2" t="s">
        <v>530</v>
      </c>
      <c r="S2589" s="2" t="s">
        <v>57</v>
      </c>
      <c r="U2589" s="2" t="s">
        <v>60</v>
      </c>
      <c r="W2589" s="2" t="s">
        <v>58</v>
      </c>
    </row>
    <row r="2590" spans="1:34" x14ac:dyDescent="0.25">
      <c r="A2590" s="2" t="s">
        <v>323</v>
      </c>
      <c r="B2590" s="2" t="s">
        <v>531</v>
      </c>
      <c r="C2590" s="2" t="s">
        <v>408</v>
      </c>
      <c r="D2590" s="2" t="s">
        <v>410</v>
      </c>
      <c r="E2590" s="2" t="s">
        <v>413</v>
      </c>
      <c r="F2590" s="2" t="s">
        <v>39</v>
      </c>
      <c r="J2590" s="2" t="s">
        <v>532</v>
      </c>
      <c r="K2590" s="2" t="s">
        <v>533</v>
      </c>
      <c r="L2590" s="2">
        <v>1</v>
      </c>
      <c r="M2590" s="2" t="s">
        <v>534</v>
      </c>
      <c r="O2590" s="2" t="s">
        <v>524</v>
      </c>
      <c r="Y2590" s="2" t="s">
        <v>674</v>
      </c>
    </row>
    <row r="2591" spans="1:34" x14ac:dyDescent="0.25">
      <c r="A2591" s="2" t="s">
        <v>323</v>
      </c>
      <c r="B2591" s="2" t="s">
        <v>531</v>
      </c>
      <c r="C2591" s="2" t="s">
        <v>408</v>
      </c>
      <c r="D2591" s="2" t="s">
        <v>410</v>
      </c>
      <c r="E2591" s="2" t="s">
        <v>413</v>
      </c>
      <c r="F2591" s="2" t="s">
        <v>39</v>
      </c>
      <c r="J2591" s="2" t="s">
        <v>532</v>
      </c>
      <c r="K2591" s="2" t="s">
        <v>533</v>
      </c>
      <c r="L2591" s="2">
        <v>2</v>
      </c>
      <c r="M2591" s="2" t="s">
        <v>536</v>
      </c>
      <c r="O2591" s="2" t="s">
        <v>524</v>
      </c>
      <c r="Y2591" s="2" t="s">
        <v>674</v>
      </c>
    </row>
    <row r="2592" spans="1:34" x14ac:dyDescent="0.25">
      <c r="A2592" s="2" t="s">
        <v>323</v>
      </c>
      <c r="B2592" s="2" t="s">
        <v>531</v>
      </c>
      <c r="C2592" s="2" t="s">
        <v>408</v>
      </c>
      <c r="D2592" s="2" t="s">
        <v>410</v>
      </c>
      <c r="E2592" s="2" t="s">
        <v>413</v>
      </c>
      <c r="F2592" s="2" t="s">
        <v>39</v>
      </c>
      <c r="J2592" s="2" t="s">
        <v>532</v>
      </c>
      <c r="K2592" s="2" t="s">
        <v>533</v>
      </c>
      <c r="L2592" s="2">
        <v>3</v>
      </c>
      <c r="M2592" s="2" t="s">
        <v>537</v>
      </c>
      <c r="O2592" s="2" t="s">
        <v>524</v>
      </c>
      <c r="Y2592" s="2" t="s">
        <v>674</v>
      </c>
    </row>
    <row r="2593" spans="1:34" x14ac:dyDescent="0.25">
      <c r="A2593" s="2" t="s">
        <v>323</v>
      </c>
      <c r="B2593" s="2" t="s">
        <v>531</v>
      </c>
      <c r="C2593" s="2" t="s">
        <v>408</v>
      </c>
      <c r="D2593" s="2" t="s">
        <v>410</v>
      </c>
      <c r="E2593" s="2" t="s">
        <v>413</v>
      </c>
      <c r="F2593" s="2" t="s">
        <v>39</v>
      </c>
      <c r="J2593" s="2" t="s">
        <v>532</v>
      </c>
      <c r="K2593" s="2" t="s">
        <v>533</v>
      </c>
      <c r="L2593" s="2">
        <v>4</v>
      </c>
      <c r="M2593" s="2" t="s">
        <v>538</v>
      </c>
      <c r="O2593" s="2" t="s">
        <v>524</v>
      </c>
      <c r="Y2593" s="2" t="s">
        <v>674</v>
      </c>
    </row>
    <row r="2594" spans="1:34" x14ac:dyDescent="0.25">
      <c r="A2594" s="2" t="s">
        <v>323</v>
      </c>
      <c r="B2594" s="2" t="s">
        <v>531</v>
      </c>
      <c r="C2594" s="2" t="s">
        <v>408</v>
      </c>
      <c r="D2594" s="2" t="s">
        <v>410</v>
      </c>
      <c r="E2594" s="2" t="s">
        <v>413</v>
      </c>
      <c r="F2594" s="2" t="s">
        <v>39</v>
      </c>
      <c r="J2594" s="2" t="s">
        <v>532</v>
      </c>
      <c r="K2594" s="2" t="s">
        <v>533</v>
      </c>
      <c r="L2594" s="2">
        <v>5</v>
      </c>
      <c r="M2594" s="2" t="s">
        <v>539</v>
      </c>
      <c r="O2594" s="2" t="s">
        <v>524</v>
      </c>
      <c r="Y2594" s="2" t="s">
        <v>674</v>
      </c>
    </row>
    <row r="2595" spans="1:34" x14ac:dyDescent="0.25">
      <c r="A2595" s="2" t="s">
        <v>323</v>
      </c>
      <c r="B2595" s="2" t="s">
        <v>540</v>
      </c>
      <c r="C2595" s="2" t="s">
        <v>408</v>
      </c>
      <c r="D2595" s="2" t="s">
        <v>410</v>
      </c>
      <c r="E2595" s="2" t="s">
        <v>413</v>
      </c>
      <c r="F2595" s="2" t="s">
        <v>39</v>
      </c>
      <c r="J2595" s="2" t="s">
        <v>541</v>
      </c>
      <c r="K2595" s="2" t="s">
        <v>542</v>
      </c>
      <c r="L2595" s="2">
        <v>1</v>
      </c>
      <c r="M2595" s="2" t="s">
        <v>543</v>
      </c>
      <c r="O2595" s="2" t="s">
        <v>524</v>
      </c>
      <c r="Y2595" s="2" t="s">
        <v>674</v>
      </c>
    </row>
    <row r="2596" spans="1:34" x14ac:dyDescent="0.25">
      <c r="A2596" s="2" t="s">
        <v>323</v>
      </c>
      <c r="B2596" s="2" t="s">
        <v>540</v>
      </c>
      <c r="C2596" s="2" t="s">
        <v>408</v>
      </c>
      <c r="D2596" s="2" t="s">
        <v>410</v>
      </c>
      <c r="E2596" s="2" t="s">
        <v>413</v>
      </c>
      <c r="F2596" s="2" t="s">
        <v>39</v>
      </c>
      <c r="J2596" s="2" t="s">
        <v>541</v>
      </c>
      <c r="K2596" s="2" t="s">
        <v>542</v>
      </c>
      <c r="L2596" s="2">
        <v>2</v>
      </c>
      <c r="M2596" s="2" t="s">
        <v>544</v>
      </c>
      <c r="O2596" s="2" t="s">
        <v>524</v>
      </c>
      <c r="Y2596" s="2" t="s">
        <v>674</v>
      </c>
    </row>
    <row r="2597" spans="1:34" x14ac:dyDescent="0.25">
      <c r="A2597" s="2" t="s">
        <v>323</v>
      </c>
      <c r="B2597" s="2" t="s">
        <v>540</v>
      </c>
      <c r="C2597" s="2" t="s">
        <v>408</v>
      </c>
      <c r="D2597" s="2" t="s">
        <v>410</v>
      </c>
      <c r="E2597" s="2" t="s">
        <v>413</v>
      </c>
      <c r="F2597" s="2" t="s">
        <v>39</v>
      </c>
      <c r="J2597" s="2" t="s">
        <v>541</v>
      </c>
      <c r="K2597" s="2" t="s">
        <v>542</v>
      </c>
      <c r="L2597" s="2">
        <v>3</v>
      </c>
      <c r="M2597" s="2" t="s">
        <v>545</v>
      </c>
      <c r="O2597" s="2" t="s">
        <v>524</v>
      </c>
      <c r="Y2597" s="2" t="s">
        <v>674</v>
      </c>
    </row>
    <row r="2598" spans="1:34" x14ac:dyDescent="0.25">
      <c r="A2598" s="2" t="s">
        <v>323</v>
      </c>
      <c r="B2598" s="2" t="s">
        <v>540</v>
      </c>
      <c r="C2598" s="2" t="s">
        <v>408</v>
      </c>
      <c r="D2598" s="2" t="s">
        <v>410</v>
      </c>
      <c r="E2598" s="2" t="s">
        <v>413</v>
      </c>
      <c r="F2598" s="2" t="s">
        <v>39</v>
      </c>
      <c r="J2598" s="2" t="s">
        <v>541</v>
      </c>
      <c r="K2598" s="2" t="s">
        <v>542</v>
      </c>
      <c r="L2598" s="2">
        <v>4</v>
      </c>
      <c r="M2598" s="2" t="s">
        <v>546</v>
      </c>
      <c r="O2598" s="2" t="s">
        <v>524</v>
      </c>
      <c r="Y2598" s="2" t="s">
        <v>674</v>
      </c>
    </row>
    <row r="2599" spans="1:34" x14ac:dyDescent="0.25">
      <c r="A2599" s="2" t="s">
        <v>323</v>
      </c>
      <c r="B2599" s="2" t="s">
        <v>540</v>
      </c>
      <c r="C2599" s="2" t="s">
        <v>408</v>
      </c>
      <c r="D2599" s="2" t="s">
        <v>410</v>
      </c>
      <c r="E2599" s="2" t="s">
        <v>413</v>
      </c>
      <c r="F2599" s="2" t="s">
        <v>39</v>
      </c>
      <c r="J2599" s="2" t="s">
        <v>541</v>
      </c>
      <c r="K2599" s="2" t="s">
        <v>542</v>
      </c>
      <c r="L2599" s="2">
        <v>5</v>
      </c>
      <c r="M2599" s="2" t="s">
        <v>547</v>
      </c>
      <c r="O2599" s="2" t="s">
        <v>524</v>
      </c>
      <c r="Y2599" s="2" t="s">
        <v>674</v>
      </c>
    </row>
    <row r="2600" spans="1:34" x14ac:dyDescent="0.25">
      <c r="A2600" s="2" t="s">
        <v>323</v>
      </c>
      <c r="B2600" s="2" t="s">
        <v>540</v>
      </c>
      <c r="C2600" s="2" t="s">
        <v>408</v>
      </c>
      <c r="D2600" s="2" t="s">
        <v>410</v>
      </c>
      <c r="E2600" s="2" t="s">
        <v>413</v>
      </c>
      <c r="F2600" s="2" t="s">
        <v>39</v>
      </c>
      <c r="J2600" s="2" t="s">
        <v>541</v>
      </c>
      <c r="K2600" s="2" t="s">
        <v>542</v>
      </c>
      <c r="L2600" s="2">
        <v>6</v>
      </c>
      <c r="M2600" s="2" t="s">
        <v>548</v>
      </c>
      <c r="O2600" s="2" t="s">
        <v>524</v>
      </c>
      <c r="Y2600" s="2" t="s">
        <v>674</v>
      </c>
    </row>
    <row r="2601" spans="1:34" x14ac:dyDescent="0.25">
      <c r="A2601" s="2" t="s">
        <v>323</v>
      </c>
      <c r="B2601" s="2" t="s">
        <v>540</v>
      </c>
      <c r="C2601" s="2" t="s">
        <v>408</v>
      </c>
      <c r="D2601" s="2" t="s">
        <v>410</v>
      </c>
      <c r="E2601" s="2" t="s">
        <v>413</v>
      </c>
      <c r="F2601" s="2" t="s">
        <v>39</v>
      </c>
      <c r="J2601" s="2" t="s">
        <v>541</v>
      </c>
      <c r="K2601" s="2" t="s">
        <v>542</v>
      </c>
      <c r="L2601" s="2">
        <v>7</v>
      </c>
      <c r="M2601" s="2" t="s">
        <v>549</v>
      </c>
      <c r="O2601" s="2" t="s">
        <v>524</v>
      </c>
      <c r="Y2601" s="2" t="s">
        <v>674</v>
      </c>
    </row>
    <row r="2602" spans="1:34" x14ac:dyDescent="0.25">
      <c r="A2602" s="2" t="s">
        <v>323</v>
      </c>
      <c r="B2602" s="2" t="s">
        <v>540</v>
      </c>
      <c r="C2602" s="2" t="s">
        <v>408</v>
      </c>
      <c r="D2602" s="2" t="s">
        <v>410</v>
      </c>
      <c r="E2602" s="2" t="s">
        <v>413</v>
      </c>
      <c r="F2602" s="2" t="s">
        <v>39</v>
      </c>
      <c r="J2602" s="2" t="s">
        <v>541</v>
      </c>
      <c r="K2602" s="2" t="s">
        <v>542</v>
      </c>
      <c r="L2602" s="2">
        <v>8</v>
      </c>
      <c r="M2602" s="2" t="s">
        <v>550</v>
      </c>
      <c r="O2602" s="2" t="s">
        <v>524</v>
      </c>
      <c r="Y2602" s="2" t="s">
        <v>674</v>
      </c>
    </row>
    <row r="2603" spans="1:34" x14ac:dyDescent="0.25">
      <c r="A2603" s="2" t="s">
        <v>323</v>
      </c>
      <c r="B2603" s="2" t="s">
        <v>540</v>
      </c>
      <c r="C2603" s="2" t="s">
        <v>408</v>
      </c>
      <c r="D2603" s="2" t="s">
        <v>410</v>
      </c>
      <c r="E2603" s="2" t="s">
        <v>413</v>
      </c>
      <c r="F2603" s="2" t="s">
        <v>39</v>
      </c>
      <c r="J2603" s="2" t="s">
        <v>541</v>
      </c>
      <c r="K2603" s="2" t="s">
        <v>542</v>
      </c>
      <c r="L2603" s="2">
        <v>9</v>
      </c>
      <c r="M2603" s="2" t="s">
        <v>551</v>
      </c>
      <c r="O2603" s="2" t="s">
        <v>524</v>
      </c>
      <c r="Y2603" s="2" t="s">
        <v>674</v>
      </c>
    </row>
    <row r="2604" spans="1:34" x14ac:dyDescent="0.25">
      <c r="A2604" s="2" t="s">
        <v>323</v>
      </c>
      <c r="B2604" s="2" t="s">
        <v>540</v>
      </c>
      <c r="C2604" s="2" t="s">
        <v>408</v>
      </c>
      <c r="D2604" s="2" t="s">
        <v>410</v>
      </c>
      <c r="E2604" s="2" t="s">
        <v>413</v>
      </c>
      <c r="F2604" s="2" t="s">
        <v>39</v>
      </c>
      <c r="J2604" s="2" t="s">
        <v>541</v>
      </c>
      <c r="K2604" s="2" t="s">
        <v>542</v>
      </c>
      <c r="L2604" s="2">
        <v>10</v>
      </c>
      <c r="M2604" s="2" t="s">
        <v>552</v>
      </c>
      <c r="O2604" s="2" t="s">
        <v>524</v>
      </c>
      <c r="Y2604" s="2" t="s">
        <v>674</v>
      </c>
    </row>
    <row r="2605" spans="1:34" x14ac:dyDescent="0.25">
      <c r="A2605" s="2" t="s">
        <v>323</v>
      </c>
      <c r="B2605" s="2" t="s">
        <v>540</v>
      </c>
      <c r="C2605" s="2" t="s">
        <v>408</v>
      </c>
      <c r="D2605" s="2" t="s">
        <v>410</v>
      </c>
      <c r="E2605" s="2" t="s">
        <v>413</v>
      </c>
      <c r="F2605" s="2" t="s">
        <v>39</v>
      </c>
      <c r="J2605" s="2" t="s">
        <v>541</v>
      </c>
      <c r="K2605" s="2" t="s">
        <v>542</v>
      </c>
      <c r="L2605" s="2">
        <v>11</v>
      </c>
      <c r="M2605" s="2" t="s">
        <v>553</v>
      </c>
      <c r="O2605" s="2" t="s">
        <v>524</v>
      </c>
      <c r="Y2605" s="2" t="s">
        <v>674</v>
      </c>
    </row>
    <row r="2606" spans="1:34" x14ac:dyDescent="0.25">
      <c r="A2606" s="2" t="s">
        <v>323</v>
      </c>
      <c r="B2606" s="2" t="s">
        <v>540</v>
      </c>
      <c r="C2606" s="2" t="s">
        <v>408</v>
      </c>
      <c r="D2606" s="2" t="s">
        <v>410</v>
      </c>
      <c r="E2606" s="2" t="s">
        <v>413</v>
      </c>
      <c r="F2606" s="2" t="s">
        <v>39</v>
      </c>
      <c r="J2606" s="2" t="s">
        <v>541</v>
      </c>
      <c r="K2606" s="2" t="s">
        <v>542</v>
      </c>
      <c r="L2606" s="2">
        <v>12</v>
      </c>
      <c r="M2606" s="2" t="s">
        <v>554</v>
      </c>
      <c r="O2606" s="2" t="s">
        <v>524</v>
      </c>
      <c r="Y2606" s="2" t="s">
        <v>674</v>
      </c>
    </row>
    <row r="2607" spans="1:34" x14ac:dyDescent="0.25">
      <c r="A2607" s="2" t="s">
        <v>323</v>
      </c>
      <c r="B2607" s="2" t="s">
        <v>555</v>
      </c>
      <c r="C2607" s="2" t="s">
        <v>408</v>
      </c>
      <c r="D2607" s="2" t="s">
        <v>410</v>
      </c>
      <c r="E2607" s="2" t="s">
        <v>413</v>
      </c>
      <c r="F2607" s="2" t="s">
        <v>39</v>
      </c>
      <c r="J2607" s="2" t="s">
        <v>556</v>
      </c>
      <c r="O2607" s="2" t="s">
        <v>524</v>
      </c>
      <c r="Y2607" s="2" t="s">
        <v>674</v>
      </c>
      <c r="AB2607" s="2">
        <v>1</v>
      </c>
    </row>
    <row r="2608" spans="1:34" x14ac:dyDescent="0.25">
      <c r="A2608" s="2" t="s">
        <v>323</v>
      </c>
      <c r="B2608" s="2" t="s">
        <v>557</v>
      </c>
      <c r="C2608" s="2" t="s">
        <v>408</v>
      </c>
      <c r="D2608" s="2" t="s">
        <v>410</v>
      </c>
      <c r="E2608" s="2" t="s">
        <v>413</v>
      </c>
      <c r="F2608" s="2" t="s">
        <v>39</v>
      </c>
      <c r="J2608" s="2" t="s">
        <v>558</v>
      </c>
      <c r="O2608" s="2" t="s">
        <v>524</v>
      </c>
      <c r="Y2608" s="2" t="s">
        <v>674</v>
      </c>
      <c r="AC2608" s="2">
        <f>COUNTIFS($B:$B,"BLOCK_LOAD_Q",$A:$A,$A2608,$C:$C,$C2608,$E:$E,$E2608,$F:$F,$F2608,$N:$N, "&lt;&gt;")</f>
        <v>0</v>
      </c>
      <c r="AD2608" s="2">
        <f>COUNTIFS($B:$B,"BLOCK_TRUST_Q",$A:$A,$A2608,$C:$C,$C2608,$E:$E,$E2608,$F:$F,$F2608,$N:$N, "&lt;&gt;")</f>
        <v>0</v>
      </c>
      <c r="AE2608" s="2" t="str">
        <f>IFERROR(AVERAGEIFS($P:$P,$B:$B,"BLOCK_LOAD_Q",$A:$A,$A2608,$C:$C,$C2608,$E:$E,$E2608,$F:$F,$F2608,$P:$P,"&gt;0"),"")</f>
        <v/>
      </c>
      <c r="AF2608" s="2" t="str">
        <f>IFERROR(AVERAGEIFS($P:$P,$B:$B,"BLOCK_TRUST_Q",$A:$A,$A2608,$C:$C,$C2608,$E:$E,$E2608,$F:$F,$F2608,$P:$P,"&gt;0"),"")</f>
        <v/>
      </c>
      <c r="AG2608" s="2">
        <f>5-AC2608</f>
        <v>5</v>
      </c>
      <c r="AH2608" s="2">
        <f>12-AD2608</f>
        <v>12</v>
      </c>
    </row>
    <row r="2609" spans="1:25" x14ac:dyDescent="0.25">
      <c r="A2609" s="2" t="s">
        <v>323</v>
      </c>
      <c r="B2609" s="2" t="s">
        <v>402</v>
      </c>
      <c r="C2609" s="2" t="s">
        <v>408</v>
      </c>
      <c r="D2609" s="2" t="s">
        <v>410</v>
      </c>
      <c r="E2609" s="2" t="s">
        <v>414</v>
      </c>
      <c r="F2609" s="2" t="s">
        <v>40</v>
      </c>
      <c r="G2609" s="2" t="s">
        <v>415</v>
      </c>
      <c r="H2609" s="2" t="s">
        <v>354</v>
      </c>
      <c r="S2609" s="2" t="s">
        <v>59</v>
      </c>
      <c r="U2609" s="2" t="s">
        <v>59</v>
      </c>
      <c r="W2609" s="2" t="s">
        <v>58</v>
      </c>
    </row>
    <row r="2610" spans="1:25" x14ac:dyDescent="0.25">
      <c r="A2610" s="2" t="s">
        <v>323</v>
      </c>
      <c r="B2610" s="2" t="s">
        <v>402</v>
      </c>
      <c r="C2610" s="2" t="s">
        <v>408</v>
      </c>
      <c r="D2610" s="2" t="s">
        <v>410</v>
      </c>
      <c r="E2610" s="2" t="s">
        <v>414</v>
      </c>
      <c r="F2610" s="2" t="s">
        <v>40</v>
      </c>
      <c r="G2610" s="2" t="s">
        <v>416</v>
      </c>
      <c r="H2610" s="2" t="s">
        <v>559</v>
      </c>
      <c r="S2610" s="2" t="s">
        <v>57</v>
      </c>
      <c r="U2610" s="2" t="s">
        <v>57</v>
      </c>
      <c r="W2610" s="2" t="s">
        <v>58</v>
      </c>
    </row>
    <row r="2611" spans="1:25" x14ac:dyDescent="0.25">
      <c r="A2611" s="2" t="s">
        <v>323</v>
      </c>
      <c r="B2611" s="2" t="s">
        <v>402</v>
      </c>
      <c r="C2611" s="2" t="s">
        <v>408</v>
      </c>
      <c r="D2611" s="2" t="s">
        <v>410</v>
      </c>
      <c r="E2611" s="2" t="s">
        <v>414</v>
      </c>
      <c r="F2611" s="2" t="s">
        <v>40</v>
      </c>
      <c r="G2611" s="2" t="s">
        <v>417</v>
      </c>
      <c r="H2611" s="2" t="s">
        <v>370</v>
      </c>
      <c r="S2611" s="2" t="s">
        <v>60</v>
      </c>
      <c r="U2611" s="2" t="s">
        <v>58</v>
      </c>
      <c r="W2611" s="2" t="s">
        <v>59</v>
      </c>
    </row>
    <row r="2612" spans="1:25" x14ac:dyDescent="0.25">
      <c r="A2612" s="2" t="s">
        <v>323</v>
      </c>
      <c r="B2612" s="2" t="s">
        <v>402</v>
      </c>
      <c r="C2612" s="2" t="s">
        <v>408</v>
      </c>
      <c r="D2612" s="2" t="s">
        <v>410</v>
      </c>
      <c r="E2612" s="2" t="s">
        <v>414</v>
      </c>
      <c r="F2612" s="2" t="s">
        <v>40</v>
      </c>
      <c r="G2612" s="2" t="s">
        <v>418</v>
      </c>
      <c r="H2612" s="2" t="s">
        <v>560</v>
      </c>
      <c r="S2612" s="2" t="s">
        <v>57</v>
      </c>
      <c r="U2612" s="2" t="s">
        <v>58</v>
      </c>
      <c r="W2612" s="2" t="s">
        <v>60</v>
      </c>
    </row>
    <row r="2613" spans="1:25" x14ac:dyDescent="0.25">
      <c r="A2613" s="2" t="s">
        <v>323</v>
      </c>
      <c r="B2613" s="2" t="s">
        <v>531</v>
      </c>
      <c r="C2613" s="2" t="s">
        <v>408</v>
      </c>
      <c r="D2613" s="2" t="s">
        <v>410</v>
      </c>
      <c r="E2613" s="2" t="s">
        <v>414</v>
      </c>
      <c r="F2613" s="2" t="s">
        <v>40</v>
      </c>
      <c r="J2613" s="2" t="s">
        <v>532</v>
      </c>
      <c r="K2613" s="2" t="s">
        <v>533</v>
      </c>
      <c r="L2613" s="2">
        <v>1</v>
      </c>
      <c r="M2613" s="2" t="s">
        <v>534</v>
      </c>
      <c r="O2613" s="2" t="s">
        <v>524</v>
      </c>
      <c r="Y2613" s="2" t="s">
        <v>675</v>
      </c>
    </row>
    <row r="2614" spans="1:25" x14ac:dyDescent="0.25">
      <c r="A2614" s="2" t="s">
        <v>323</v>
      </c>
      <c r="B2614" s="2" t="s">
        <v>531</v>
      </c>
      <c r="C2614" s="2" t="s">
        <v>408</v>
      </c>
      <c r="D2614" s="2" t="s">
        <v>410</v>
      </c>
      <c r="E2614" s="2" t="s">
        <v>414</v>
      </c>
      <c r="F2614" s="2" t="s">
        <v>40</v>
      </c>
      <c r="J2614" s="2" t="s">
        <v>532</v>
      </c>
      <c r="K2614" s="2" t="s">
        <v>533</v>
      </c>
      <c r="L2614" s="2">
        <v>2</v>
      </c>
      <c r="M2614" s="2" t="s">
        <v>536</v>
      </c>
      <c r="O2614" s="2" t="s">
        <v>524</v>
      </c>
      <c r="Y2614" s="2" t="s">
        <v>675</v>
      </c>
    </row>
    <row r="2615" spans="1:25" x14ac:dyDescent="0.25">
      <c r="A2615" s="2" t="s">
        <v>323</v>
      </c>
      <c r="B2615" s="2" t="s">
        <v>531</v>
      </c>
      <c r="C2615" s="2" t="s">
        <v>408</v>
      </c>
      <c r="D2615" s="2" t="s">
        <v>410</v>
      </c>
      <c r="E2615" s="2" t="s">
        <v>414</v>
      </c>
      <c r="F2615" s="2" t="s">
        <v>40</v>
      </c>
      <c r="J2615" s="2" t="s">
        <v>532</v>
      </c>
      <c r="K2615" s="2" t="s">
        <v>533</v>
      </c>
      <c r="L2615" s="2">
        <v>3</v>
      </c>
      <c r="M2615" s="2" t="s">
        <v>537</v>
      </c>
      <c r="O2615" s="2" t="s">
        <v>524</v>
      </c>
      <c r="Y2615" s="2" t="s">
        <v>675</v>
      </c>
    </row>
    <row r="2616" spans="1:25" x14ac:dyDescent="0.25">
      <c r="A2616" s="2" t="s">
        <v>323</v>
      </c>
      <c r="B2616" s="2" t="s">
        <v>531</v>
      </c>
      <c r="C2616" s="2" t="s">
        <v>408</v>
      </c>
      <c r="D2616" s="2" t="s">
        <v>410</v>
      </c>
      <c r="E2616" s="2" t="s">
        <v>414</v>
      </c>
      <c r="F2616" s="2" t="s">
        <v>40</v>
      </c>
      <c r="J2616" s="2" t="s">
        <v>532</v>
      </c>
      <c r="K2616" s="2" t="s">
        <v>533</v>
      </c>
      <c r="L2616" s="2">
        <v>4</v>
      </c>
      <c r="M2616" s="2" t="s">
        <v>538</v>
      </c>
      <c r="O2616" s="2" t="s">
        <v>524</v>
      </c>
      <c r="Y2616" s="2" t="s">
        <v>675</v>
      </c>
    </row>
    <row r="2617" spans="1:25" x14ac:dyDescent="0.25">
      <c r="A2617" s="2" t="s">
        <v>323</v>
      </c>
      <c r="B2617" s="2" t="s">
        <v>531</v>
      </c>
      <c r="C2617" s="2" t="s">
        <v>408</v>
      </c>
      <c r="D2617" s="2" t="s">
        <v>410</v>
      </c>
      <c r="E2617" s="2" t="s">
        <v>414</v>
      </c>
      <c r="F2617" s="2" t="s">
        <v>40</v>
      </c>
      <c r="J2617" s="2" t="s">
        <v>532</v>
      </c>
      <c r="K2617" s="2" t="s">
        <v>533</v>
      </c>
      <c r="L2617" s="2">
        <v>5</v>
      </c>
      <c r="M2617" s="2" t="s">
        <v>539</v>
      </c>
      <c r="O2617" s="2" t="s">
        <v>524</v>
      </c>
      <c r="Y2617" s="2" t="s">
        <v>675</v>
      </c>
    </row>
    <row r="2618" spans="1:25" x14ac:dyDescent="0.25">
      <c r="A2618" s="2" t="s">
        <v>323</v>
      </c>
      <c r="B2618" s="2" t="s">
        <v>540</v>
      </c>
      <c r="C2618" s="2" t="s">
        <v>408</v>
      </c>
      <c r="D2618" s="2" t="s">
        <v>410</v>
      </c>
      <c r="E2618" s="2" t="s">
        <v>414</v>
      </c>
      <c r="F2618" s="2" t="s">
        <v>40</v>
      </c>
      <c r="J2618" s="2" t="s">
        <v>541</v>
      </c>
      <c r="K2618" s="2" t="s">
        <v>542</v>
      </c>
      <c r="L2618" s="2">
        <v>1</v>
      </c>
      <c r="M2618" s="2" t="s">
        <v>543</v>
      </c>
      <c r="O2618" s="2" t="s">
        <v>524</v>
      </c>
      <c r="Y2618" s="2" t="s">
        <v>675</v>
      </c>
    </row>
    <row r="2619" spans="1:25" x14ac:dyDescent="0.25">
      <c r="A2619" s="2" t="s">
        <v>323</v>
      </c>
      <c r="B2619" s="2" t="s">
        <v>540</v>
      </c>
      <c r="C2619" s="2" t="s">
        <v>408</v>
      </c>
      <c r="D2619" s="2" t="s">
        <v>410</v>
      </c>
      <c r="E2619" s="2" t="s">
        <v>414</v>
      </c>
      <c r="F2619" s="2" t="s">
        <v>40</v>
      </c>
      <c r="J2619" s="2" t="s">
        <v>541</v>
      </c>
      <c r="K2619" s="2" t="s">
        <v>542</v>
      </c>
      <c r="L2619" s="2">
        <v>2</v>
      </c>
      <c r="M2619" s="2" t="s">
        <v>544</v>
      </c>
      <c r="O2619" s="2" t="s">
        <v>524</v>
      </c>
      <c r="Y2619" s="2" t="s">
        <v>675</v>
      </c>
    </row>
    <row r="2620" spans="1:25" x14ac:dyDescent="0.25">
      <c r="A2620" s="2" t="s">
        <v>323</v>
      </c>
      <c r="B2620" s="2" t="s">
        <v>540</v>
      </c>
      <c r="C2620" s="2" t="s">
        <v>408</v>
      </c>
      <c r="D2620" s="2" t="s">
        <v>410</v>
      </c>
      <c r="E2620" s="2" t="s">
        <v>414</v>
      </c>
      <c r="F2620" s="2" t="s">
        <v>40</v>
      </c>
      <c r="J2620" s="2" t="s">
        <v>541</v>
      </c>
      <c r="K2620" s="2" t="s">
        <v>542</v>
      </c>
      <c r="L2620" s="2">
        <v>3</v>
      </c>
      <c r="M2620" s="2" t="s">
        <v>545</v>
      </c>
      <c r="O2620" s="2" t="s">
        <v>524</v>
      </c>
      <c r="Y2620" s="2" t="s">
        <v>675</v>
      </c>
    </row>
    <row r="2621" spans="1:25" x14ac:dyDescent="0.25">
      <c r="A2621" s="2" t="s">
        <v>323</v>
      </c>
      <c r="B2621" s="2" t="s">
        <v>540</v>
      </c>
      <c r="C2621" s="2" t="s">
        <v>408</v>
      </c>
      <c r="D2621" s="2" t="s">
        <v>410</v>
      </c>
      <c r="E2621" s="2" t="s">
        <v>414</v>
      </c>
      <c r="F2621" s="2" t="s">
        <v>40</v>
      </c>
      <c r="J2621" s="2" t="s">
        <v>541</v>
      </c>
      <c r="K2621" s="2" t="s">
        <v>542</v>
      </c>
      <c r="L2621" s="2">
        <v>4</v>
      </c>
      <c r="M2621" s="2" t="s">
        <v>546</v>
      </c>
      <c r="O2621" s="2" t="s">
        <v>524</v>
      </c>
      <c r="Y2621" s="2" t="s">
        <v>675</v>
      </c>
    </row>
    <row r="2622" spans="1:25" x14ac:dyDescent="0.25">
      <c r="A2622" s="2" t="s">
        <v>323</v>
      </c>
      <c r="B2622" s="2" t="s">
        <v>540</v>
      </c>
      <c r="C2622" s="2" t="s">
        <v>408</v>
      </c>
      <c r="D2622" s="2" t="s">
        <v>410</v>
      </c>
      <c r="E2622" s="2" t="s">
        <v>414</v>
      </c>
      <c r="F2622" s="2" t="s">
        <v>40</v>
      </c>
      <c r="J2622" s="2" t="s">
        <v>541</v>
      </c>
      <c r="K2622" s="2" t="s">
        <v>542</v>
      </c>
      <c r="L2622" s="2">
        <v>5</v>
      </c>
      <c r="M2622" s="2" t="s">
        <v>547</v>
      </c>
      <c r="O2622" s="2" t="s">
        <v>524</v>
      </c>
      <c r="Y2622" s="2" t="s">
        <v>675</v>
      </c>
    </row>
    <row r="2623" spans="1:25" x14ac:dyDescent="0.25">
      <c r="A2623" s="2" t="s">
        <v>323</v>
      </c>
      <c r="B2623" s="2" t="s">
        <v>540</v>
      </c>
      <c r="C2623" s="2" t="s">
        <v>408</v>
      </c>
      <c r="D2623" s="2" t="s">
        <v>410</v>
      </c>
      <c r="E2623" s="2" t="s">
        <v>414</v>
      </c>
      <c r="F2623" s="2" t="s">
        <v>40</v>
      </c>
      <c r="J2623" s="2" t="s">
        <v>541</v>
      </c>
      <c r="K2623" s="2" t="s">
        <v>542</v>
      </c>
      <c r="L2623" s="2">
        <v>6</v>
      </c>
      <c r="M2623" s="2" t="s">
        <v>548</v>
      </c>
      <c r="O2623" s="2" t="s">
        <v>524</v>
      </c>
      <c r="Y2623" s="2" t="s">
        <v>675</v>
      </c>
    </row>
    <row r="2624" spans="1:25" x14ac:dyDescent="0.25">
      <c r="A2624" s="2" t="s">
        <v>323</v>
      </c>
      <c r="B2624" s="2" t="s">
        <v>540</v>
      </c>
      <c r="C2624" s="2" t="s">
        <v>408</v>
      </c>
      <c r="D2624" s="2" t="s">
        <v>410</v>
      </c>
      <c r="E2624" s="2" t="s">
        <v>414</v>
      </c>
      <c r="F2624" s="2" t="s">
        <v>40</v>
      </c>
      <c r="J2624" s="2" t="s">
        <v>541</v>
      </c>
      <c r="K2624" s="2" t="s">
        <v>542</v>
      </c>
      <c r="L2624" s="2">
        <v>7</v>
      </c>
      <c r="M2624" s="2" t="s">
        <v>549</v>
      </c>
      <c r="O2624" s="2" t="s">
        <v>524</v>
      </c>
      <c r="Y2624" s="2" t="s">
        <v>675</v>
      </c>
    </row>
    <row r="2625" spans="1:34" x14ac:dyDescent="0.25">
      <c r="A2625" s="2" t="s">
        <v>323</v>
      </c>
      <c r="B2625" s="2" t="s">
        <v>540</v>
      </c>
      <c r="C2625" s="2" t="s">
        <v>408</v>
      </c>
      <c r="D2625" s="2" t="s">
        <v>410</v>
      </c>
      <c r="E2625" s="2" t="s">
        <v>414</v>
      </c>
      <c r="F2625" s="2" t="s">
        <v>40</v>
      </c>
      <c r="J2625" s="2" t="s">
        <v>541</v>
      </c>
      <c r="K2625" s="2" t="s">
        <v>542</v>
      </c>
      <c r="L2625" s="2">
        <v>8</v>
      </c>
      <c r="M2625" s="2" t="s">
        <v>550</v>
      </c>
      <c r="O2625" s="2" t="s">
        <v>524</v>
      </c>
      <c r="Y2625" s="2" t="s">
        <v>675</v>
      </c>
    </row>
    <row r="2626" spans="1:34" x14ac:dyDescent="0.25">
      <c r="A2626" s="2" t="s">
        <v>323</v>
      </c>
      <c r="B2626" s="2" t="s">
        <v>540</v>
      </c>
      <c r="C2626" s="2" t="s">
        <v>408</v>
      </c>
      <c r="D2626" s="2" t="s">
        <v>410</v>
      </c>
      <c r="E2626" s="2" t="s">
        <v>414</v>
      </c>
      <c r="F2626" s="2" t="s">
        <v>40</v>
      </c>
      <c r="J2626" s="2" t="s">
        <v>541</v>
      </c>
      <c r="K2626" s="2" t="s">
        <v>542</v>
      </c>
      <c r="L2626" s="2">
        <v>9</v>
      </c>
      <c r="M2626" s="2" t="s">
        <v>551</v>
      </c>
      <c r="O2626" s="2" t="s">
        <v>524</v>
      </c>
      <c r="Y2626" s="2" t="s">
        <v>675</v>
      </c>
    </row>
    <row r="2627" spans="1:34" x14ac:dyDescent="0.25">
      <c r="A2627" s="2" t="s">
        <v>323</v>
      </c>
      <c r="B2627" s="2" t="s">
        <v>540</v>
      </c>
      <c r="C2627" s="2" t="s">
        <v>408</v>
      </c>
      <c r="D2627" s="2" t="s">
        <v>410</v>
      </c>
      <c r="E2627" s="2" t="s">
        <v>414</v>
      </c>
      <c r="F2627" s="2" t="s">
        <v>40</v>
      </c>
      <c r="J2627" s="2" t="s">
        <v>541</v>
      </c>
      <c r="K2627" s="2" t="s">
        <v>542</v>
      </c>
      <c r="L2627" s="2">
        <v>10</v>
      </c>
      <c r="M2627" s="2" t="s">
        <v>552</v>
      </c>
      <c r="O2627" s="2" t="s">
        <v>524</v>
      </c>
      <c r="Y2627" s="2" t="s">
        <v>675</v>
      </c>
    </row>
    <row r="2628" spans="1:34" x14ac:dyDescent="0.25">
      <c r="A2628" s="2" t="s">
        <v>323</v>
      </c>
      <c r="B2628" s="2" t="s">
        <v>540</v>
      </c>
      <c r="C2628" s="2" t="s">
        <v>408</v>
      </c>
      <c r="D2628" s="2" t="s">
        <v>410</v>
      </c>
      <c r="E2628" s="2" t="s">
        <v>414</v>
      </c>
      <c r="F2628" s="2" t="s">
        <v>40</v>
      </c>
      <c r="J2628" s="2" t="s">
        <v>541</v>
      </c>
      <c r="K2628" s="2" t="s">
        <v>542</v>
      </c>
      <c r="L2628" s="2">
        <v>11</v>
      </c>
      <c r="M2628" s="2" t="s">
        <v>553</v>
      </c>
      <c r="O2628" s="2" t="s">
        <v>524</v>
      </c>
      <c r="Y2628" s="2" t="s">
        <v>675</v>
      </c>
    </row>
    <row r="2629" spans="1:34" x14ac:dyDescent="0.25">
      <c r="A2629" s="2" t="s">
        <v>323</v>
      </c>
      <c r="B2629" s="2" t="s">
        <v>540</v>
      </c>
      <c r="C2629" s="2" t="s">
        <v>408</v>
      </c>
      <c r="D2629" s="2" t="s">
        <v>410</v>
      </c>
      <c r="E2629" s="2" t="s">
        <v>414</v>
      </c>
      <c r="F2629" s="2" t="s">
        <v>40</v>
      </c>
      <c r="J2629" s="2" t="s">
        <v>541</v>
      </c>
      <c r="K2629" s="2" t="s">
        <v>542</v>
      </c>
      <c r="L2629" s="2">
        <v>12</v>
      </c>
      <c r="M2629" s="2" t="s">
        <v>554</v>
      </c>
      <c r="O2629" s="2" t="s">
        <v>524</v>
      </c>
      <c r="Y2629" s="2" t="s">
        <v>675</v>
      </c>
    </row>
    <row r="2630" spans="1:34" x14ac:dyDescent="0.25">
      <c r="A2630" s="2" t="s">
        <v>323</v>
      </c>
      <c r="B2630" s="2" t="s">
        <v>555</v>
      </c>
      <c r="C2630" s="2" t="s">
        <v>408</v>
      </c>
      <c r="D2630" s="2" t="s">
        <v>410</v>
      </c>
      <c r="E2630" s="2" t="s">
        <v>414</v>
      </c>
      <c r="F2630" s="2" t="s">
        <v>40</v>
      </c>
      <c r="J2630" s="2" t="s">
        <v>556</v>
      </c>
      <c r="O2630" s="2" t="s">
        <v>524</v>
      </c>
      <c r="Y2630" s="2" t="s">
        <v>675</v>
      </c>
      <c r="AB2630" s="2">
        <v>2</v>
      </c>
    </row>
    <row r="2631" spans="1:34" x14ac:dyDescent="0.25">
      <c r="A2631" s="2" t="s">
        <v>323</v>
      </c>
      <c r="B2631" s="2" t="s">
        <v>557</v>
      </c>
      <c r="C2631" s="2" t="s">
        <v>408</v>
      </c>
      <c r="D2631" s="2" t="s">
        <v>410</v>
      </c>
      <c r="E2631" s="2" t="s">
        <v>414</v>
      </c>
      <c r="F2631" s="2" t="s">
        <v>40</v>
      </c>
      <c r="J2631" s="2" t="s">
        <v>558</v>
      </c>
      <c r="O2631" s="2" t="s">
        <v>524</v>
      </c>
      <c r="Y2631" s="2" t="s">
        <v>675</v>
      </c>
      <c r="AC2631" s="2">
        <f>COUNTIFS($B:$B,"BLOCK_LOAD_Q",$A:$A,$A2631,$C:$C,$C2631,$E:$E,$E2631,$F:$F,$F2631,$N:$N, "&lt;&gt;")</f>
        <v>0</v>
      </c>
      <c r="AD2631" s="2">
        <f>COUNTIFS($B:$B,"BLOCK_TRUST_Q",$A:$A,$A2631,$C:$C,$C2631,$E:$E,$E2631,$F:$F,$F2631,$N:$N, "&lt;&gt;")</f>
        <v>0</v>
      </c>
      <c r="AE2631" s="2" t="str">
        <f>IFERROR(AVERAGEIFS($P:$P,$B:$B,"BLOCK_LOAD_Q",$A:$A,$A2631,$C:$C,$C2631,$E:$E,$E2631,$F:$F,$F2631,$P:$P,"&gt;0"),"")</f>
        <v/>
      </c>
      <c r="AF2631" s="2" t="str">
        <f>IFERROR(AVERAGEIFS($P:$P,$B:$B,"BLOCK_TRUST_Q",$A:$A,$A2631,$C:$C,$C2631,$E:$E,$E2631,$F:$F,$F2631,$P:$P,"&gt;0"),"")</f>
        <v/>
      </c>
      <c r="AG2631" s="2">
        <f>5-AC2631</f>
        <v>5</v>
      </c>
      <c r="AH2631" s="2">
        <f>12-AD2631</f>
        <v>12</v>
      </c>
    </row>
    <row r="2632" spans="1:34" x14ac:dyDescent="0.25">
      <c r="A2632" s="2" t="s">
        <v>323</v>
      </c>
      <c r="B2632" s="2" t="s">
        <v>403</v>
      </c>
      <c r="C2632" s="2" t="s">
        <v>408</v>
      </c>
      <c r="D2632" s="2" t="s">
        <v>410</v>
      </c>
      <c r="Z2632" s="2" t="s">
        <v>472</v>
      </c>
    </row>
    <row r="2633" spans="1:34" x14ac:dyDescent="0.25">
      <c r="A2633" s="2" t="s">
        <v>323</v>
      </c>
      <c r="B2633" s="2" t="s">
        <v>402</v>
      </c>
      <c r="C2633" s="2" t="s">
        <v>409</v>
      </c>
      <c r="D2633" s="2" t="s">
        <v>411</v>
      </c>
      <c r="E2633" s="2" t="s">
        <v>413</v>
      </c>
      <c r="F2633" s="2" t="s">
        <v>40</v>
      </c>
      <c r="G2633" s="2" t="s">
        <v>415</v>
      </c>
      <c r="H2633" s="2" t="s">
        <v>357</v>
      </c>
      <c r="S2633" s="2" t="s">
        <v>59</v>
      </c>
      <c r="U2633" s="2" t="s">
        <v>60</v>
      </c>
      <c r="W2633" s="2" t="s">
        <v>57</v>
      </c>
    </row>
    <row r="2634" spans="1:34" x14ac:dyDescent="0.25">
      <c r="A2634" s="2" t="s">
        <v>323</v>
      </c>
      <c r="B2634" s="2" t="s">
        <v>402</v>
      </c>
      <c r="C2634" s="2" t="s">
        <v>409</v>
      </c>
      <c r="D2634" s="2" t="s">
        <v>411</v>
      </c>
      <c r="E2634" s="2" t="s">
        <v>413</v>
      </c>
      <c r="F2634" s="2" t="s">
        <v>40</v>
      </c>
      <c r="G2634" s="2" t="s">
        <v>416</v>
      </c>
      <c r="H2634" s="2" t="s">
        <v>348</v>
      </c>
      <c r="S2634" s="2" t="s">
        <v>58</v>
      </c>
      <c r="U2634" s="2" t="s">
        <v>59</v>
      </c>
      <c r="W2634" s="2" t="s">
        <v>59</v>
      </c>
    </row>
    <row r="2635" spans="1:34" x14ac:dyDescent="0.25">
      <c r="A2635" s="2" t="s">
        <v>323</v>
      </c>
      <c r="B2635" s="2" t="s">
        <v>402</v>
      </c>
      <c r="C2635" s="2" t="s">
        <v>409</v>
      </c>
      <c r="D2635" s="2" t="s">
        <v>411</v>
      </c>
      <c r="E2635" s="2" t="s">
        <v>413</v>
      </c>
      <c r="F2635" s="2" t="s">
        <v>40</v>
      </c>
      <c r="G2635" s="2" t="s">
        <v>417</v>
      </c>
      <c r="H2635" s="2" t="s">
        <v>562</v>
      </c>
      <c r="S2635" s="2" t="s">
        <v>59</v>
      </c>
      <c r="U2635" s="2" t="s">
        <v>57</v>
      </c>
      <c r="W2635" s="2" t="s">
        <v>57</v>
      </c>
    </row>
    <row r="2636" spans="1:34" x14ac:dyDescent="0.25">
      <c r="A2636" s="2" t="s">
        <v>323</v>
      </c>
      <c r="B2636" s="2" t="s">
        <v>402</v>
      </c>
      <c r="C2636" s="2" t="s">
        <v>409</v>
      </c>
      <c r="D2636" s="2" t="s">
        <v>411</v>
      </c>
      <c r="E2636" s="2" t="s">
        <v>413</v>
      </c>
      <c r="F2636" s="2" t="s">
        <v>40</v>
      </c>
      <c r="G2636" s="2" t="s">
        <v>418</v>
      </c>
      <c r="H2636" s="2" t="s">
        <v>563</v>
      </c>
      <c r="S2636" s="2" t="s">
        <v>57</v>
      </c>
      <c r="U2636" s="2" t="s">
        <v>60</v>
      </c>
      <c r="W2636" s="2" t="s">
        <v>60</v>
      </c>
    </row>
    <row r="2637" spans="1:34" x14ac:dyDescent="0.25">
      <c r="A2637" s="2" t="s">
        <v>323</v>
      </c>
      <c r="B2637" s="2" t="s">
        <v>531</v>
      </c>
      <c r="C2637" s="2" t="s">
        <v>409</v>
      </c>
      <c r="D2637" s="2" t="s">
        <v>411</v>
      </c>
      <c r="E2637" s="2" t="s">
        <v>413</v>
      </c>
      <c r="F2637" s="2" t="s">
        <v>40</v>
      </c>
      <c r="J2637" s="2" t="s">
        <v>532</v>
      </c>
      <c r="K2637" s="2" t="s">
        <v>533</v>
      </c>
      <c r="L2637" s="2">
        <v>1</v>
      </c>
      <c r="M2637" s="2" t="s">
        <v>534</v>
      </c>
      <c r="O2637" s="2" t="s">
        <v>524</v>
      </c>
      <c r="Y2637" s="2" t="s">
        <v>676</v>
      </c>
    </row>
    <row r="2638" spans="1:34" x14ac:dyDescent="0.25">
      <c r="A2638" s="2" t="s">
        <v>323</v>
      </c>
      <c r="B2638" s="2" t="s">
        <v>531</v>
      </c>
      <c r="C2638" s="2" t="s">
        <v>409</v>
      </c>
      <c r="D2638" s="2" t="s">
        <v>411</v>
      </c>
      <c r="E2638" s="2" t="s">
        <v>413</v>
      </c>
      <c r="F2638" s="2" t="s">
        <v>40</v>
      </c>
      <c r="J2638" s="2" t="s">
        <v>532</v>
      </c>
      <c r="K2638" s="2" t="s">
        <v>533</v>
      </c>
      <c r="L2638" s="2">
        <v>2</v>
      </c>
      <c r="M2638" s="2" t="s">
        <v>536</v>
      </c>
      <c r="O2638" s="2" t="s">
        <v>524</v>
      </c>
      <c r="Y2638" s="2" t="s">
        <v>676</v>
      </c>
    </row>
    <row r="2639" spans="1:34" x14ac:dyDescent="0.25">
      <c r="A2639" s="2" t="s">
        <v>323</v>
      </c>
      <c r="B2639" s="2" t="s">
        <v>531</v>
      </c>
      <c r="C2639" s="2" t="s">
        <v>409</v>
      </c>
      <c r="D2639" s="2" t="s">
        <v>411</v>
      </c>
      <c r="E2639" s="2" t="s">
        <v>413</v>
      </c>
      <c r="F2639" s="2" t="s">
        <v>40</v>
      </c>
      <c r="J2639" s="2" t="s">
        <v>532</v>
      </c>
      <c r="K2639" s="2" t="s">
        <v>533</v>
      </c>
      <c r="L2639" s="2">
        <v>3</v>
      </c>
      <c r="M2639" s="2" t="s">
        <v>537</v>
      </c>
      <c r="O2639" s="2" t="s">
        <v>524</v>
      </c>
      <c r="Y2639" s="2" t="s">
        <v>676</v>
      </c>
    </row>
    <row r="2640" spans="1:34" x14ac:dyDescent="0.25">
      <c r="A2640" s="2" t="s">
        <v>323</v>
      </c>
      <c r="B2640" s="2" t="s">
        <v>531</v>
      </c>
      <c r="C2640" s="2" t="s">
        <v>409</v>
      </c>
      <c r="D2640" s="2" t="s">
        <v>411</v>
      </c>
      <c r="E2640" s="2" t="s">
        <v>413</v>
      </c>
      <c r="F2640" s="2" t="s">
        <v>40</v>
      </c>
      <c r="J2640" s="2" t="s">
        <v>532</v>
      </c>
      <c r="K2640" s="2" t="s">
        <v>533</v>
      </c>
      <c r="L2640" s="2">
        <v>4</v>
      </c>
      <c r="M2640" s="2" t="s">
        <v>538</v>
      </c>
      <c r="O2640" s="2" t="s">
        <v>524</v>
      </c>
      <c r="Y2640" s="2" t="s">
        <v>676</v>
      </c>
    </row>
    <row r="2641" spans="1:34" x14ac:dyDescent="0.25">
      <c r="A2641" s="2" t="s">
        <v>323</v>
      </c>
      <c r="B2641" s="2" t="s">
        <v>531</v>
      </c>
      <c r="C2641" s="2" t="s">
        <v>409</v>
      </c>
      <c r="D2641" s="2" t="s">
        <v>411</v>
      </c>
      <c r="E2641" s="2" t="s">
        <v>413</v>
      </c>
      <c r="F2641" s="2" t="s">
        <v>40</v>
      </c>
      <c r="J2641" s="2" t="s">
        <v>532</v>
      </c>
      <c r="K2641" s="2" t="s">
        <v>533</v>
      </c>
      <c r="L2641" s="2">
        <v>5</v>
      </c>
      <c r="M2641" s="2" t="s">
        <v>539</v>
      </c>
      <c r="O2641" s="2" t="s">
        <v>524</v>
      </c>
      <c r="Y2641" s="2" t="s">
        <v>676</v>
      </c>
    </row>
    <row r="2642" spans="1:34" x14ac:dyDescent="0.25">
      <c r="A2642" s="2" t="s">
        <v>323</v>
      </c>
      <c r="B2642" s="2" t="s">
        <v>540</v>
      </c>
      <c r="C2642" s="2" t="s">
        <v>409</v>
      </c>
      <c r="D2642" s="2" t="s">
        <v>411</v>
      </c>
      <c r="E2642" s="2" t="s">
        <v>413</v>
      </c>
      <c r="F2642" s="2" t="s">
        <v>40</v>
      </c>
      <c r="J2642" s="2" t="s">
        <v>541</v>
      </c>
      <c r="K2642" s="2" t="s">
        <v>542</v>
      </c>
      <c r="L2642" s="2">
        <v>1</v>
      </c>
      <c r="M2642" s="2" t="s">
        <v>543</v>
      </c>
      <c r="O2642" s="2" t="s">
        <v>524</v>
      </c>
      <c r="Y2642" s="2" t="s">
        <v>676</v>
      </c>
    </row>
    <row r="2643" spans="1:34" x14ac:dyDescent="0.25">
      <c r="A2643" s="2" t="s">
        <v>323</v>
      </c>
      <c r="B2643" s="2" t="s">
        <v>540</v>
      </c>
      <c r="C2643" s="2" t="s">
        <v>409</v>
      </c>
      <c r="D2643" s="2" t="s">
        <v>411</v>
      </c>
      <c r="E2643" s="2" t="s">
        <v>413</v>
      </c>
      <c r="F2643" s="2" t="s">
        <v>40</v>
      </c>
      <c r="J2643" s="2" t="s">
        <v>541</v>
      </c>
      <c r="K2643" s="2" t="s">
        <v>542</v>
      </c>
      <c r="L2643" s="2">
        <v>2</v>
      </c>
      <c r="M2643" s="2" t="s">
        <v>544</v>
      </c>
      <c r="O2643" s="2" t="s">
        <v>524</v>
      </c>
      <c r="Y2643" s="2" t="s">
        <v>676</v>
      </c>
    </row>
    <row r="2644" spans="1:34" x14ac:dyDescent="0.25">
      <c r="A2644" s="2" t="s">
        <v>323</v>
      </c>
      <c r="B2644" s="2" t="s">
        <v>540</v>
      </c>
      <c r="C2644" s="2" t="s">
        <v>409</v>
      </c>
      <c r="D2644" s="2" t="s">
        <v>411</v>
      </c>
      <c r="E2644" s="2" t="s">
        <v>413</v>
      </c>
      <c r="F2644" s="2" t="s">
        <v>40</v>
      </c>
      <c r="J2644" s="2" t="s">
        <v>541</v>
      </c>
      <c r="K2644" s="2" t="s">
        <v>542</v>
      </c>
      <c r="L2644" s="2">
        <v>3</v>
      </c>
      <c r="M2644" s="2" t="s">
        <v>545</v>
      </c>
      <c r="O2644" s="2" t="s">
        <v>524</v>
      </c>
      <c r="Y2644" s="2" t="s">
        <v>676</v>
      </c>
    </row>
    <row r="2645" spans="1:34" x14ac:dyDescent="0.25">
      <c r="A2645" s="2" t="s">
        <v>323</v>
      </c>
      <c r="B2645" s="2" t="s">
        <v>540</v>
      </c>
      <c r="C2645" s="2" t="s">
        <v>409</v>
      </c>
      <c r="D2645" s="2" t="s">
        <v>411</v>
      </c>
      <c r="E2645" s="2" t="s">
        <v>413</v>
      </c>
      <c r="F2645" s="2" t="s">
        <v>40</v>
      </c>
      <c r="J2645" s="2" t="s">
        <v>541</v>
      </c>
      <c r="K2645" s="2" t="s">
        <v>542</v>
      </c>
      <c r="L2645" s="2">
        <v>4</v>
      </c>
      <c r="M2645" s="2" t="s">
        <v>546</v>
      </c>
      <c r="O2645" s="2" t="s">
        <v>524</v>
      </c>
      <c r="Y2645" s="2" t="s">
        <v>676</v>
      </c>
    </row>
    <row r="2646" spans="1:34" x14ac:dyDescent="0.25">
      <c r="A2646" s="2" t="s">
        <v>323</v>
      </c>
      <c r="B2646" s="2" t="s">
        <v>540</v>
      </c>
      <c r="C2646" s="2" t="s">
        <v>409</v>
      </c>
      <c r="D2646" s="2" t="s">
        <v>411</v>
      </c>
      <c r="E2646" s="2" t="s">
        <v>413</v>
      </c>
      <c r="F2646" s="2" t="s">
        <v>40</v>
      </c>
      <c r="J2646" s="2" t="s">
        <v>541</v>
      </c>
      <c r="K2646" s="2" t="s">
        <v>542</v>
      </c>
      <c r="L2646" s="2">
        <v>5</v>
      </c>
      <c r="M2646" s="2" t="s">
        <v>547</v>
      </c>
      <c r="O2646" s="2" t="s">
        <v>524</v>
      </c>
      <c r="Y2646" s="2" t="s">
        <v>676</v>
      </c>
    </row>
    <row r="2647" spans="1:34" x14ac:dyDescent="0.25">
      <c r="A2647" s="2" t="s">
        <v>323</v>
      </c>
      <c r="B2647" s="2" t="s">
        <v>540</v>
      </c>
      <c r="C2647" s="2" t="s">
        <v>409</v>
      </c>
      <c r="D2647" s="2" t="s">
        <v>411</v>
      </c>
      <c r="E2647" s="2" t="s">
        <v>413</v>
      </c>
      <c r="F2647" s="2" t="s">
        <v>40</v>
      </c>
      <c r="J2647" s="2" t="s">
        <v>541</v>
      </c>
      <c r="K2647" s="2" t="s">
        <v>542</v>
      </c>
      <c r="L2647" s="2">
        <v>6</v>
      </c>
      <c r="M2647" s="2" t="s">
        <v>548</v>
      </c>
      <c r="O2647" s="2" t="s">
        <v>524</v>
      </c>
      <c r="Y2647" s="2" t="s">
        <v>676</v>
      </c>
    </row>
    <row r="2648" spans="1:34" x14ac:dyDescent="0.25">
      <c r="A2648" s="2" t="s">
        <v>323</v>
      </c>
      <c r="B2648" s="2" t="s">
        <v>540</v>
      </c>
      <c r="C2648" s="2" t="s">
        <v>409</v>
      </c>
      <c r="D2648" s="2" t="s">
        <v>411</v>
      </c>
      <c r="E2648" s="2" t="s">
        <v>413</v>
      </c>
      <c r="F2648" s="2" t="s">
        <v>40</v>
      </c>
      <c r="J2648" s="2" t="s">
        <v>541</v>
      </c>
      <c r="K2648" s="2" t="s">
        <v>542</v>
      </c>
      <c r="L2648" s="2">
        <v>7</v>
      </c>
      <c r="M2648" s="2" t="s">
        <v>549</v>
      </c>
      <c r="O2648" s="2" t="s">
        <v>524</v>
      </c>
      <c r="Y2648" s="2" t="s">
        <v>676</v>
      </c>
    </row>
    <row r="2649" spans="1:34" x14ac:dyDescent="0.25">
      <c r="A2649" s="2" t="s">
        <v>323</v>
      </c>
      <c r="B2649" s="2" t="s">
        <v>540</v>
      </c>
      <c r="C2649" s="2" t="s">
        <v>409</v>
      </c>
      <c r="D2649" s="2" t="s">
        <v>411</v>
      </c>
      <c r="E2649" s="2" t="s">
        <v>413</v>
      </c>
      <c r="F2649" s="2" t="s">
        <v>40</v>
      </c>
      <c r="J2649" s="2" t="s">
        <v>541</v>
      </c>
      <c r="K2649" s="2" t="s">
        <v>542</v>
      </c>
      <c r="L2649" s="2">
        <v>8</v>
      </c>
      <c r="M2649" s="2" t="s">
        <v>550</v>
      </c>
      <c r="O2649" s="2" t="s">
        <v>524</v>
      </c>
      <c r="Y2649" s="2" t="s">
        <v>676</v>
      </c>
    </row>
    <row r="2650" spans="1:34" x14ac:dyDescent="0.25">
      <c r="A2650" s="2" t="s">
        <v>323</v>
      </c>
      <c r="B2650" s="2" t="s">
        <v>540</v>
      </c>
      <c r="C2650" s="2" t="s">
        <v>409</v>
      </c>
      <c r="D2650" s="2" t="s">
        <v>411</v>
      </c>
      <c r="E2650" s="2" t="s">
        <v>413</v>
      </c>
      <c r="F2650" s="2" t="s">
        <v>40</v>
      </c>
      <c r="J2650" s="2" t="s">
        <v>541</v>
      </c>
      <c r="K2650" s="2" t="s">
        <v>542</v>
      </c>
      <c r="L2650" s="2">
        <v>9</v>
      </c>
      <c r="M2650" s="2" t="s">
        <v>551</v>
      </c>
      <c r="O2650" s="2" t="s">
        <v>524</v>
      </c>
      <c r="Y2650" s="2" t="s">
        <v>676</v>
      </c>
    </row>
    <row r="2651" spans="1:34" x14ac:dyDescent="0.25">
      <c r="A2651" s="2" t="s">
        <v>323</v>
      </c>
      <c r="B2651" s="2" t="s">
        <v>540</v>
      </c>
      <c r="C2651" s="2" t="s">
        <v>409</v>
      </c>
      <c r="D2651" s="2" t="s">
        <v>411</v>
      </c>
      <c r="E2651" s="2" t="s">
        <v>413</v>
      </c>
      <c r="F2651" s="2" t="s">
        <v>40</v>
      </c>
      <c r="J2651" s="2" t="s">
        <v>541</v>
      </c>
      <c r="K2651" s="2" t="s">
        <v>542</v>
      </c>
      <c r="L2651" s="2">
        <v>10</v>
      </c>
      <c r="M2651" s="2" t="s">
        <v>552</v>
      </c>
      <c r="O2651" s="2" t="s">
        <v>524</v>
      </c>
      <c r="Y2651" s="2" t="s">
        <v>676</v>
      </c>
    </row>
    <row r="2652" spans="1:34" x14ac:dyDescent="0.25">
      <c r="A2652" s="2" t="s">
        <v>323</v>
      </c>
      <c r="B2652" s="2" t="s">
        <v>540</v>
      </c>
      <c r="C2652" s="2" t="s">
        <v>409</v>
      </c>
      <c r="D2652" s="2" t="s">
        <v>411</v>
      </c>
      <c r="E2652" s="2" t="s">
        <v>413</v>
      </c>
      <c r="F2652" s="2" t="s">
        <v>40</v>
      </c>
      <c r="J2652" s="2" t="s">
        <v>541</v>
      </c>
      <c r="K2652" s="2" t="s">
        <v>542</v>
      </c>
      <c r="L2652" s="2">
        <v>11</v>
      </c>
      <c r="M2652" s="2" t="s">
        <v>553</v>
      </c>
      <c r="O2652" s="2" t="s">
        <v>524</v>
      </c>
      <c r="Y2652" s="2" t="s">
        <v>676</v>
      </c>
    </row>
    <row r="2653" spans="1:34" x14ac:dyDescent="0.25">
      <c r="A2653" s="2" t="s">
        <v>323</v>
      </c>
      <c r="B2653" s="2" t="s">
        <v>540</v>
      </c>
      <c r="C2653" s="2" t="s">
        <v>409</v>
      </c>
      <c r="D2653" s="2" t="s">
        <v>411</v>
      </c>
      <c r="E2653" s="2" t="s">
        <v>413</v>
      </c>
      <c r="F2653" s="2" t="s">
        <v>40</v>
      </c>
      <c r="J2653" s="2" t="s">
        <v>541</v>
      </c>
      <c r="K2653" s="2" t="s">
        <v>542</v>
      </c>
      <c r="L2653" s="2">
        <v>12</v>
      </c>
      <c r="M2653" s="2" t="s">
        <v>554</v>
      </c>
      <c r="O2653" s="2" t="s">
        <v>524</v>
      </c>
      <c r="Y2653" s="2" t="s">
        <v>676</v>
      </c>
    </row>
    <row r="2654" spans="1:34" x14ac:dyDescent="0.25">
      <c r="A2654" s="2" t="s">
        <v>323</v>
      </c>
      <c r="B2654" s="2" t="s">
        <v>555</v>
      </c>
      <c r="C2654" s="2" t="s">
        <v>409</v>
      </c>
      <c r="D2654" s="2" t="s">
        <v>411</v>
      </c>
      <c r="E2654" s="2" t="s">
        <v>413</v>
      </c>
      <c r="F2654" s="2" t="s">
        <v>40</v>
      </c>
      <c r="J2654" s="2" t="s">
        <v>556</v>
      </c>
      <c r="O2654" s="2" t="s">
        <v>524</v>
      </c>
      <c r="Y2654" s="2" t="s">
        <v>676</v>
      </c>
      <c r="AB2654" s="2">
        <v>2</v>
      </c>
    </row>
    <row r="2655" spans="1:34" x14ac:dyDescent="0.25">
      <c r="A2655" s="2" t="s">
        <v>323</v>
      </c>
      <c r="B2655" s="2" t="s">
        <v>557</v>
      </c>
      <c r="C2655" s="2" t="s">
        <v>409</v>
      </c>
      <c r="D2655" s="2" t="s">
        <v>411</v>
      </c>
      <c r="E2655" s="2" t="s">
        <v>413</v>
      </c>
      <c r="F2655" s="2" t="s">
        <v>40</v>
      </c>
      <c r="J2655" s="2" t="s">
        <v>558</v>
      </c>
      <c r="O2655" s="2" t="s">
        <v>524</v>
      </c>
      <c r="Y2655" s="2" t="s">
        <v>676</v>
      </c>
      <c r="AC2655" s="2">
        <f>COUNTIFS($B:$B,"BLOCK_LOAD_Q",$A:$A,$A2655,$C:$C,$C2655,$E:$E,$E2655,$F:$F,$F2655,$N:$N, "&lt;&gt;")</f>
        <v>0</v>
      </c>
      <c r="AD2655" s="2">
        <f>COUNTIFS($B:$B,"BLOCK_TRUST_Q",$A:$A,$A2655,$C:$C,$C2655,$E:$E,$E2655,$F:$F,$F2655,$N:$N, "&lt;&gt;")</f>
        <v>0</v>
      </c>
      <c r="AE2655" s="2" t="str">
        <f>IFERROR(AVERAGEIFS($P:$P,$B:$B,"BLOCK_LOAD_Q",$A:$A,$A2655,$C:$C,$C2655,$E:$E,$E2655,$F:$F,$F2655,$P:$P,"&gt;0"),"")</f>
        <v/>
      </c>
      <c r="AF2655" s="2" t="str">
        <f>IFERROR(AVERAGEIFS($P:$P,$B:$B,"BLOCK_TRUST_Q",$A:$A,$A2655,$C:$C,$C2655,$E:$E,$E2655,$F:$F,$F2655,$P:$P,"&gt;0"),"")</f>
        <v/>
      </c>
      <c r="AG2655" s="2">
        <f>5-AC2655</f>
        <v>5</v>
      </c>
      <c r="AH2655" s="2">
        <f>12-AD2655</f>
        <v>12</v>
      </c>
    </row>
    <row r="2656" spans="1:34" x14ac:dyDescent="0.25">
      <c r="A2656" s="2" t="s">
        <v>323</v>
      </c>
      <c r="B2656" s="2" t="s">
        <v>402</v>
      </c>
      <c r="C2656" s="2" t="s">
        <v>409</v>
      </c>
      <c r="D2656" s="2" t="s">
        <v>411</v>
      </c>
      <c r="E2656" s="2" t="s">
        <v>414</v>
      </c>
      <c r="F2656" s="2" t="s">
        <v>39</v>
      </c>
      <c r="G2656" s="2" t="s">
        <v>415</v>
      </c>
      <c r="H2656" s="2" t="s">
        <v>349</v>
      </c>
      <c r="S2656" s="2" t="s">
        <v>58</v>
      </c>
      <c r="U2656" s="2" t="s">
        <v>60</v>
      </c>
      <c r="W2656" s="2" t="s">
        <v>58</v>
      </c>
    </row>
    <row r="2657" spans="1:25" x14ac:dyDescent="0.25">
      <c r="A2657" s="2" t="s">
        <v>323</v>
      </c>
      <c r="B2657" s="2" t="s">
        <v>402</v>
      </c>
      <c r="C2657" s="2" t="s">
        <v>409</v>
      </c>
      <c r="D2657" s="2" t="s">
        <v>411</v>
      </c>
      <c r="E2657" s="2" t="s">
        <v>414</v>
      </c>
      <c r="F2657" s="2" t="s">
        <v>39</v>
      </c>
      <c r="G2657" s="2" t="s">
        <v>416</v>
      </c>
      <c r="H2657" s="2" t="s">
        <v>565</v>
      </c>
      <c r="S2657" s="2" t="s">
        <v>59</v>
      </c>
      <c r="U2657" s="2" t="s">
        <v>60</v>
      </c>
      <c r="W2657" s="2" t="s">
        <v>60</v>
      </c>
    </row>
    <row r="2658" spans="1:25" x14ac:dyDescent="0.25">
      <c r="A2658" s="2" t="s">
        <v>323</v>
      </c>
      <c r="B2658" s="2" t="s">
        <v>402</v>
      </c>
      <c r="C2658" s="2" t="s">
        <v>409</v>
      </c>
      <c r="D2658" s="2" t="s">
        <v>411</v>
      </c>
      <c r="E2658" s="2" t="s">
        <v>414</v>
      </c>
      <c r="F2658" s="2" t="s">
        <v>39</v>
      </c>
      <c r="G2658" s="2" t="s">
        <v>417</v>
      </c>
      <c r="H2658" s="2" t="s">
        <v>361</v>
      </c>
      <c r="S2658" s="2" t="s">
        <v>60</v>
      </c>
      <c r="U2658" s="2" t="s">
        <v>60</v>
      </c>
      <c r="W2658" s="2" t="s">
        <v>60</v>
      </c>
    </row>
    <row r="2659" spans="1:25" x14ac:dyDescent="0.25">
      <c r="A2659" s="2" t="s">
        <v>323</v>
      </c>
      <c r="B2659" s="2" t="s">
        <v>402</v>
      </c>
      <c r="C2659" s="2" t="s">
        <v>409</v>
      </c>
      <c r="D2659" s="2" t="s">
        <v>411</v>
      </c>
      <c r="E2659" s="2" t="s">
        <v>414</v>
      </c>
      <c r="F2659" s="2" t="s">
        <v>39</v>
      </c>
      <c r="G2659" s="2" t="s">
        <v>418</v>
      </c>
      <c r="H2659" s="2" t="s">
        <v>353</v>
      </c>
      <c r="S2659" s="2" t="s">
        <v>58</v>
      </c>
      <c r="U2659" s="2" t="s">
        <v>59</v>
      </c>
      <c r="W2659" s="2" t="s">
        <v>58</v>
      </c>
    </row>
    <row r="2660" spans="1:25" x14ac:dyDescent="0.25">
      <c r="A2660" s="2" t="s">
        <v>323</v>
      </c>
      <c r="B2660" s="2" t="s">
        <v>402</v>
      </c>
      <c r="C2660" s="2" t="s">
        <v>409</v>
      </c>
      <c r="D2660" s="2" t="s">
        <v>411</v>
      </c>
      <c r="E2660" s="2" t="s">
        <v>414</v>
      </c>
      <c r="F2660" s="2" t="s">
        <v>39</v>
      </c>
      <c r="G2660" s="2" t="s">
        <v>419</v>
      </c>
      <c r="H2660" s="2" t="s">
        <v>371</v>
      </c>
      <c r="S2660" s="2" t="s">
        <v>60</v>
      </c>
      <c r="U2660" s="2" t="s">
        <v>59</v>
      </c>
      <c r="W2660" s="2" t="s">
        <v>57</v>
      </c>
    </row>
    <row r="2661" spans="1:25" x14ac:dyDescent="0.25">
      <c r="A2661" s="2" t="s">
        <v>323</v>
      </c>
      <c r="B2661" s="2" t="s">
        <v>531</v>
      </c>
      <c r="C2661" s="2" t="s">
        <v>409</v>
      </c>
      <c r="D2661" s="2" t="s">
        <v>411</v>
      </c>
      <c r="E2661" s="2" t="s">
        <v>414</v>
      </c>
      <c r="F2661" s="2" t="s">
        <v>39</v>
      </c>
      <c r="J2661" s="2" t="s">
        <v>532</v>
      </c>
      <c r="K2661" s="2" t="s">
        <v>533</v>
      </c>
      <c r="L2661" s="2">
        <v>1</v>
      </c>
      <c r="M2661" s="2" t="s">
        <v>534</v>
      </c>
      <c r="O2661" s="2" t="s">
        <v>524</v>
      </c>
      <c r="Y2661" s="2" t="s">
        <v>677</v>
      </c>
    </row>
    <row r="2662" spans="1:25" x14ac:dyDescent="0.25">
      <c r="A2662" s="2" t="s">
        <v>323</v>
      </c>
      <c r="B2662" s="2" t="s">
        <v>531</v>
      </c>
      <c r="C2662" s="2" t="s">
        <v>409</v>
      </c>
      <c r="D2662" s="2" t="s">
        <v>411</v>
      </c>
      <c r="E2662" s="2" t="s">
        <v>414</v>
      </c>
      <c r="F2662" s="2" t="s">
        <v>39</v>
      </c>
      <c r="J2662" s="2" t="s">
        <v>532</v>
      </c>
      <c r="K2662" s="2" t="s">
        <v>533</v>
      </c>
      <c r="L2662" s="2">
        <v>2</v>
      </c>
      <c r="M2662" s="2" t="s">
        <v>536</v>
      </c>
      <c r="O2662" s="2" t="s">
        <v>524</v>
      </c>
      <c r="Y2662" s="2" t="s">
        <v>677</v>
      </c>
    </row>
    <row r="2663" spans="1:25" x14ac:dyDescent="0.25">
      <c r="A2663" s="2" t="s">
        <v>323</v>
      </c>
      <c r="B2663" s="2" t="s">
        <v>531</v>
      </c>
      <c r="C2663" s="2" t="s">
        <v>409</v>
      </c>
      <c r="D2663" s="2" t="s">
        <v>411</v>
      </c>
      <c r="E2663" s="2" t="s">
        <v>414</v>
      </c>
      <c r="F2663" s="2" t="s">
        <v>39</v>
      </c>
      <c r="J2663" s="2" t="s">
        <v>532</v>
      </c>
      <c r="K2663" s="2" t="s">
        <v>533</v>
      </c>
      <c r="L2663" s="2">
        <v>3</v>
      </c>
      <c r="M2663" s="2" t="s">
        <v>537</v>
      </c>
      <c r="O2663" s="2" t="s">
        <v>524</v>
      </c>
      <c r="Y2663" s="2" t="s">
        <v>677</v>
      </c>
    </row>
    <row r="2664" spans="1:25" x14ac:dyDescent="0.25">
      <c r="A2664" s="2" t="s">
        <v>323</v>
      </c>
      <c r="B2664" s="2" t="s">
        <v>531</v>
      </c>
      <c r="C2664" s="2" t="s">
        <v>409</v>
      </c>
      <c r="D2664" s="2" t="s">
        <v>411</v>
      </c>
      <c r="E2664" s="2" t="s">
        <v>414</v>
      </c>
      <c r="F2664" s="2" t="s">
        <v>39</v>
      </c>
      <c r="J2664" s="2" t="s">
        <v>532</v>
      </c>
      <c r="K2664" s="2" t="s">
        <v>533</v>
      </c>
      <c r="L2664" s="2">
        <v>4</v>
      </c>
      <c r="M2664" s="2" t="s">
        <v>538</v>
      </c>
      <c r="O2664" s="2" t="s">
        <v>524</v>
      </c>
      <c r="Y2664" s="2" t="s">
        <v>677</v>
      </c>
    </row>
    <row r="2665" spans="1:25" x14ac:dyDescent="0.25">
      <c r="A2665" s="2" t="s">
        <v>323</v>
      </c>
      <c r="B2665" s="2" t="s">
        <v>531</v>
      </c>
      <c r="C2665" s="2" t="s">
        <v>409</v>
      </c>
      <c r="D2665" s="2" t="s">
        <v>411</v>
      </c>
      <c r="E2665" s="2" t="s">
        <v>414</v>
      </c>
      <c r="F2665" s="2" t="s">
        <v>39</v>
      </c>
      <c r="J2665" s="2" t="s">
        <v>532</v>
      </c>
      <c r="K2665" s="2" t="s">
        <v>533</v>
      </c>
      <c r="L2665" s="2">
        <v>5</v>
      </c>
      <c r="M2665" s="2" t="s">
        <v>539</v>
      </c>
      <c r="O2665" s="2" t="s">
        <v>524</v>
      </c>
      <c r="Y2665" s="2" t="s">
        <v>677</v>
      </c>
    </row>
    <row r="2666" spans="1:25" x14ac:dyDescent="0.25">
      <c r="A2666" s="2" t="s">
        <v>323</v>
      </c>
      <c r="B2666" s="2" t="s">
        <v>540</v>
      </c>
      <c r="C2666" s="2" t="s">
        <v>409</v>
      </c>
      <c r="D2666" s="2" t="s">
        <v>411</v>
      </c>
      <c r="E2666" s="2" t="s">
        <v>414</v>
      </c>
      <c r="F2666" s="2" t="s">
        <v>39</v>
      </c>
      <c r="J2666" s="2" t="s">
        <v>541</v>
      </c>
      <c r="K2666" s="2" t="s">
        <v>542</v>
      </c>
      <c r="L2666" s="2">
        <v>1</v>
      </c>
      <c r="M2666" s="2" t="s">
        <v>543</v>
      </c>
      <c r="O2666" s="2" t="s">
        <v>524</v>
      </c>
      <c r="Y2666" s="2" t="s">
        <v>677</v>
      </c>
    </row>
    <row r="2667" spans="1:25" x14ac:dyDescent="0.25">
      <c r="A2667" s="2" t="s">
        <v>323</v>
      </c>
      <c r="B2667" s="2" t="s">
        <v>540</v>
      </c>
      <c r="C2667" s="2" t="s">
        <v>409</v>
      </c>
      <c r="D2667" s="2" t="s">
        <v>411</v>
      </c>
      <c r="E2667" s="2" t="s">
        <v>414</v>
      </c>
      <c r="F2667" s="2" t="s">
        <v>39</v>
      </c>
      <c r="J2667" s="2" t="s">
        <v>541</v>
      </c>
      <c r="K2667" s="2" t="s">
        <v>542</v>
      </c>
      <c r="L2667" s="2">
        <v>2</v>
      </c>
      <c r="M2667" s="2" t="s">
        <v>544</v>
      </c>
      <c r="O2667" s="2" t="s">
        <v>524</v>
      </c>
      <c r="Y2667" s="2" t="s">
        <v>677</v>
      </c>
    </row>
    <row r="2668" spans="1:25" x14ac:dyDescent="0.25">
      <c r="A2668" s="2" t="s">
        <v>323</v>
      </c>
      <c r="B2668" s="2" t="s">
        <v>540</v>
      </c>
      <c r="C2668" s="2" t="s">
        <v>409</v>
      </c>
      <c r="D2668" s="2" t="s">
        <v>411</v>
      </c>
      <c r="E2668" s="2" t="s">
        <v>414</v>
      </c>
      <c r="F2668" s="2" t="s">
        <v>39</v>
      </c>
      <c r="J2668" s="2" t="s">
        <v>541</v>
      </c>
      <c r="K2668" s="2" t="s">
        <v>542</v>
      </c>
      <c r="L2668" s="2">
        <v>3</v>
      </c>
      <c r="M2668" s="2" t="s">
        <v>545</v>
      </c>
      <c r="O2668" s="2" t="s">
        <v>524</v>
      </c>
      <c r="Y2668" s="2" t="s">
        <v>677</v>
      </c>
    </row>
    <row r="2669" spans="1:25" x14ac:dyDescent="0.25">
      <c r="A2669" s="2" t="s">
        <v>323</v>
      </c>
      <c r="B2669" s="2" t="s">
        <v>540</v>
      </c>
      <c r="C2669" s="2" t="s">
        <v>409</v>
      </c>
      <c r="D2669" s="2" t="s">
        <v>411</v>
      </c>
      <c r="E2669" s="2" t="s">
        <v>414</v>
      </c>
      <c r="F2669" s="2" t="s">
        <v>39</v>
      </c>
      <c r="J2669" s="2" t="s">
        <v>541</v>
      </c>
      <c r="K2669" s="2" t="s">
        <v>542</v>
      </c>
      <c r="L2669" s="2">
        <v>4</v>
      </c>
      <c r="M2669" s="2" t="s">
        <v>546</v>
      </c>
      <c r="O2669" s="2" t="s">
        <v>524</v>
      </c>
      <c r="Y2669" s="2" t="s">
        <v>677</v>
      </c>
    </row>
    <row r="2670" spans="1:25" x14ac:dyDescent="0.25">
      <c r="A2670" s="2" t="s">
        <v>323</v>
      </c>
      <c r="B2670" s="2" t="s">
        <v>540</v>
      </c>
      <c r="C2670" s="2" t="s">
        <v>409</v>
      </c>
      <c r="D2670" s="2" t="s">
        <v>411</v>
      </c>
      <c r="E2670" s="2" t="s">
        <v>414</v>
      </c>
      <c r="F2670" s="2" t="s">
        <v>39</v>
      </c>
      <c r="J2670" s="2" t="s">
        <v>541</v>
      </c>
      <c r="K2670" s="2" t="s">
        <v>542</v>
      </c>
      <c r="L2670" s="2">
        <v>5</v>
      </c>
      <c r="M2670" s="2" t="s">
        <v>547</v>
      </c>
      <c r="O2670" s="2" t="s">
        <v>524</v>
      </c>
      <c r="Y2670" s="2" t="s">
        <v>677</v>
      </c>
    </row>
    <row r="2671" spans="1:25" x14ac:dyDescent="0.25">
      <c r="A2671" s="2" t="s">
        <v>323</v>
      </c>
      <c r="B2671" s="2" t="s">
        <v>540</v>
      </c>
      <c r="C2671" s="2" t="s">
        <v>409</v>
      </c>
      <c r="D2671" s="2" t="s">
        <v>411</v>
      </c>
      <c r="E2671" s="2" t="s">
        <v>414</v>
      </c>
      <c r="F2671" s="2" t="s">
        <v>39</v>
      </c>
      <c r="J2671" s="2" t="s">
        <v>541</v>
      </c>
      <c r="K2671" s="2" t="s">
        <v>542</v>
      </c>
      <c r="L2671" s="2">
        <v>6</v>
      </c>
      <c r="M2671" s="2" t="s">
        <v>548</v>
      </c>
      <c r="O2671" s="2" t="s">
        <v>524</v>
      </c>
      <c r="Y2671" s="2" t="s">
        <v>677</v>
      </c>
    </row>
    <row r="2672" spans="1:25" x14ac:dyDescent="0.25">
      <c r="A2672" s="2" t="s">
        <v>323</v>
      </c>
      <c r="B2672" s="2" t="s">
        <v>540</v>
      </c>
      <c r="C2672" s="2" t="s">
        <v>409</v>
      </c>
      <c r="D2672" s="2" t="s">
        <v>411</v>
      </c>
      <c r="E2672" s="2" t="s">
        <v>414</v>
      </c>
      <c r="F2672" s="2" t="s">
        <v>39</v>
      </c>
      <c r="J2672" s="2" t="s">
        <v>541</v>
      </c>
      <c r="K2672" s="2" t="s">
        <v>542</v>
      </c>
      <c r="L2672" s="2">
        <v>7</v>
      </c>
      <c r="M2672" s="2" t="s">
        <v>549</v>
      </c>
      <c r="O2672" s="2" t="s">
        <v>524</v>
      </c>
      <c r="Y2672" s="2" t="s">
        <v>677</v>
      </c>
    </row>
    <row r="2673" spans="1:34" x14ac:dyDescent="0.25">
      <c r="A2673" s="2" t="s">
        <v>323</v>
      </c>
      <c r="B2673" s="2" t="s">
        <v>540</v>
      </c>
      <c r="C2673" s="2" t="s">
        <v>409</v>
      </c>
      <c r="D2673" s="2" t="s">
        <v>411</v>
      </c>
      <c r="E2673" s="2" t="s">
        <v>414</v>
      </c>
      <c r="F2673" s="2" t="s">
        <v>39</v>
      </c>
      <c r="J2673" s="2" t="s">
        <v>541</v>
      </c>
      <c r="K2673" s="2" t="s">
        <v>542</v>
      </c>
      <c r="L2673" s="2">
        <v>8</v>
      </c>
      <c r="M2673" s="2" t="s">
        <v>550</v>
      </c>
      <c r="O2673" s="2" t="s">
        <v>524</v>
      </c>
      <c r="Y2673" s="2" t="s">
        <v>677</v>
      </c>
    </row>
    <row r="2674" spans="1:34" x14ac:dyDescent="0.25">
      <c r="A2674" s="2" t="s">
        <v>323</v>
      </c>
      <c r="B2674" s="2" t="s">
        <v>540</v>
      </c>
      <c r="C2674" s="2" t="s">
        <v>409</v>
      </c>
      <c r="D2674" s="2" t="s">
        <v>411</v>
      </c>
      <c r="E2674" s="2" t="s">
        <v>414</v>
      </c>
      <c r="F2674" s="2" t="s">
        <v>39</v>
      </c>
      <c r="J2674" s="2" t="s">
        <v>541</v>
      </c>
      <c r="K2674" s="2" t="s">
        <v>542</v>
      </c>
      <c r="L2674" s="2">
        <v>9</v>
      </c>
      <c r="M2674" s="2" t="s">
        <v>551</v>
      </c>
      <c r="O2674" s="2" t="s">
        <v>524</v>
      </c>
      <c r="Y2674" s="2" t="s">
        <v>677</v>
      </c>
    </row>
    <row r="2675" spans="1:34" x14ac:dyDescent="0.25">
      <c r="A2675" s="2" t="s">
        <v>323</v>
      </c>
      <c r="B2675" s="2" t="s">
        <v>540</v>
      </c>
      <c r="C2675" s="2" t="s">
        <v>409</v>
      </c>
      <c r="D2675" s="2" t="s">
        <v>411</v>
      </c>
      <c r="E2675" s="2" t="s">
        <v>414</v>
      </c>
      <c r="F2675" s="2" t="s">
        <v>39</v>
      </c>
      <c r="J2675" s="2" t="s">
        <v>541</v>
      </c>
      <c r="K2675" s="2" t="s">
        <v>542</v>
      </c>
      <c r="L2675" s="2">
        <v>10</v>
      </c>
      <c r="M2675" s="2" t="s">
        <v>552</v>
      </c>
      <c r="O2675" s="2" t="s">
        <v>524</v>
      </c>
      <c r="Y2675" s="2" t="s">
        <v>677</v>
      </c>
    </row>
    <row r="2676" spans="1:34" x14ac:dyDescent="0.25">
      <c r="A2676" s="2" t="s">
        <v>323</v>
      </c>
      <c r="B2676" s="2" t="s">
        <v>540</v>
      </c>
      <c r="C2676" s="2" t="s">
        <v>409</v>
      </c>
      <c r="D2676" s="2" t="s">
        <v>411</v>
      </c>
      <c r="E2676" s="2" t="s">
        <v>414</v>
      </c>
      <c r="F2676" s="2" t="s">
        <v>39</v>
      </c>
      <c r="J2676" s="2" t="s">
        <v>541</v>
      </c>
      <c r="K2676" s="2" t="s">
        <v>542</v>
      </c>
      <c r="L2676" s="2">
        <v>11</v>
      </c>
      <c r="M2676" s="2" t="s">
        <v>553</v>
      </c>
      <c r="O2676" s="2" t="s">
        <v>524</v>
      </c>
      <c r="Y2676" s="2" t="s">
        <v>677</v>
      </c>
    </row>
    <row r="2677" spans="1:34" x14ac:dyDescent="0.25">
      <c r="A2677" s="2" t="s">
        <v>323</v>
      </c>
      <c r="B2677" s="2" t="s">
        <v>540</v>
      </c>
      <c r="C2677" s="2" t="s">
        <v>409</v>
      </c>
      <c r="D2677" s="2" t="s">
        <v>411</v>
      </c>
      <c r="E2677" s="2" t="s">
        <v>414</v>
      </c>
      <c r="F2677" s="2" t="s">
        <v>39</v>
      </c>
      <c r="J2677" s="2" t="s">
        <v>541</v>
      </c>
      <c r="K2677" s="2" t="s">
        <v>542</v>
      </c>
      <c r="L2677" s="2">
        <v>12</v>
      </c>
      <c r="M2677" s="2" t="s">
        <v>554</v>
      </c>
      <c r="O2677" s="2" t="s">
        <v>524</v>
      </c>
      <c r="Y2677" s="2" t="s">
        <v>677</v>
      </c>
    </row>
    <row r="2678" spans="1:34" x14ac:dyDescent="0.25">
      <c r="A2678" s="2" t="s">
        <v>323</v>
      </c>
      <c r="B2678" s="2" t="s">
        <v>555</v>
      </c>
      <c r="C2678" s="2" t="s">
        <v>409</v>
      </c>
      <c r="D2678" s="2" t="s">
        <v>411</v>
      </c>
      <c r="E2678" s="2" t="s">
        <v>414</v>
      </c>
      <c r="F2678" s="2" t="s">
        <v>39</v>
      </c>
      <c r="J2678" s="2" t="s">
        <v>556</v>
      </c>
      <c r="O2678" s="2" t="s">
        <v>524</v>
      </c>
      <c r="Y2678" s="2" t="s">
        <v>677</v>
      </c>
      <c r="AB2678" s="2">
        <v>1</v>
      </c>
    </row>
    <row r="2679" spans="1:34" x14ac:dyDescent="0.25">
      <c r="A2679" s="2" t="s">
        <v>323</v>
      </c>
      <c r="B2679" s="2" t="s">
        <v>557</v>
      </c>
      <c r="C2679" s="2" t="s">
        <v>409</v>
      </c>
      <c r="D2679" s="2" t="s">
        <v>411</v>
      </c>
      <c r="E2679" s="2" t="s">
        <v>414</v>
      </c>
      <c r="F2679" s="2" t="s">
        <v>39</v>
      </c>
      <c r="J2679" s="2" t="s">
        <v>558</v>
      </c>
      <c r="O2679" s="2" t="s">
        <v>524</v>
      </c>
      <c r="Y2679" s="2" t="s">
        <v>677</v>
      </c>
      <c r="AC2679" s="2">
        <f>COUNTIFS($B:$B,"BLOCK_LOAD_Q",$A:$A,$A2679,$C:$C,$C2679,$E:$E,$E2679,$F:$F,$F2679,$N:$N, "&lt;&gt;")</f>
        <v>0</v>
      </c>
      <c r="AD2679" s="2">
        <f>COUNTIFS($B:$B,"BLOCK_TRUST_Q",$A:$A,$A2679,$C:$C,$C2679,$E:$E,$E2679,$F:$F,$F2679,$N:$N, "&lt;&gt;")</f>
        <v>0</v>
      </c>
      <c r="AE2679" s="2" t="str">
        <f>IFERROR(AVERAGEIFS($P:$P,$B:$B,"BLOCK_LOAD_Q",$A:$A,$A2679,$C:$C,$C2679,$E:$E,$E2679,$F:$F,$F2679,$P:$P,"&gt;0"),"")</f>
        <v/>
      </c>
      <c r="AF2679" s="2" t="str">
        <f>IFERROR(AVERAGEIFS($P:$P,$B:$B,"BLOCK_TRUST_Q",$A:$A,$A2679,$C:$C,$C2679,$E:$E,$E2679,$F:$F,$F2679,$P:$P,"&gt;0"),"")</f>
        <v/>
      </c>
      <c r="AG2679" s="2">
        <f>5-AC2679</f>
        <v>5</v>
      </c>
      <c r="AH2679" s="2">
        <f>12-AD2679</f>
        <v>12</v>
      </c>
    </row>
    <row r="2680" spans="1:34" x14ac:dyDescent="0.25">
      <c r="A2680" s="2" t="s">
        <v>323</v>
      </c>
      <c r="B2680" s="2" t="s">
        <v>403</v>
      </c>
      <c r="C2680" s="2" t="s">
        <v>409</v>
      </c>
      <c r="D2680" s="2" t="s">
        <v>411</v>
      </c>
      <c r="Z2680" s="2" t="s">
        <v>473</v>
      </c>
    </row>
    <row r="2681" spans="1:34" x14ac:dyDescent="0.25">
      <c r="A2681" s="2" t="s">
        <v>323</v>
      </c>
      <c r="B2681" s="2" t="s">
        <v>404</v>
      </c>
      <c r="J2681" s="2" t="s">
        <v>575</v>
      </c>
      <c r="AA2681" s="2" t="s">
        <v>336</v>
      </c>
    </row>
    <row r="2682" spans="1:34" x14ac:dyDescent="0.25">
      <c r="A2682" s="2" t="s">
        <v>323</v>
      </c>
      <c r="B2682" s="2" t="s">
        <v>405</v>
      </c>
    </row>
    <row r="2683" spans="1:34" x14ac:dyDescent="0.25">
      <c r="A2683" s="2" t="s">
        <v>323</v>
      </c>
      <c r="B2683" s="2" t="s">
        <v>406</v>
      </c>
    </row>
    <row r="2684" spans="1:34" x14ac:dyDescent="0.25">
      <c r="A2684" s="2" t="s">
        <v>324</v>
      </c>
      <c r="B2684" s="2" t="s">
        <v>523</v>
      </c>
      <c r="C2684" s="2" t="s">
        <v>524</v>
      </c>
      <c r="D2684" s="2" t="s">
        <v>524</v>
      </c>
      <c r="E2684" s="2" t="s">
        <v>524</v>
      </c>
      <c r="F2684" s="2" t="s">
        <v>524</v>
      </c>
      <c r="J2684" s="2" t="s">
        <v>525</v>
      </c>
      <c r="O2684" s="2" t="s">
        <v>524</v>
      </c>
    </row>
    <row r="2685" spans="1:34" x14ac:dyDescent="0.25">
      <c r="A2685" s="2" t="s">
        <v>324</v>
      </c>
      <c r="B2685" s="2" t="s">
        <v>526</v>
      </c>
      <c r="C2685" s="2" t="s">
        <v>524</v>
      </c>
      <c r="D2685" s="2" t="s">
        <v>524</v>
      </c>
      <c r="E2685" s="2" t="s">
        <v>524</v>
      </c>
      <c r="F2685" s="2" t="s">
        <v>524</v>
      </c>
      <c r="J2685" s="2" t="s">
        <v>527</v>
      </c>
      <c r="O2685" s="2" t="s">
        <v>524</v>
      </c>
    </row>
    <row r="2686" spans="1:34" x14ac:dyDescent="0.25">
      <c r="A2686" s="2" t="s">
        <v>324</v>
      </c>
      <c r="B2686" s="2" t="s">
        <v>402</v>
      </c>
      <c r="C2686" s="2" t="s">
        <v>407</v>
      </c>
      <c r="D2686" s="2" t="s">
        <v>410</v>
      </c>
      <c r="E2686" s="2" t="s">
        <v>413</v>
      </c>
      <c r="F2686" s="2" t="s">
        <v>39</v>
      </c>
      <c r="G2686" s="2" t="s">
        <v>415</v>
      </c>
      <c r="H2686" s="2" t="s">
        <v>373</v>
      </c>
      <c r="S2686" s="2" t="s">
        <v>60</v>
      </c>
      <c r="U2686" s="2" t="s">
        <v>60</v>
      </c>
      <c r="W2686" s="2" t="s">
        <v>60</v>
      </c>
    </row>
    <row r="2687" spans="1:34" x14ac:dyDescent="0.25">
      <c r="A2687" s="2" t="s">
        <v>324</v>
      </c>
      <c r="B2687" s="2" t="s">
        <v>402</v>
      </c>
      <c r="C2687" s="2" t="s">
        <v>407</v>
      </c>
      <c r="D2687" s="2" t="s">
        <v>410</v>
      </c>
      <c r="E2687" s="2" t="s">
        <v>413</v>
      </c>
      <c r="F2687" s="2" t="s">
        <v>39</v>
      </c>
      <c r="G2687" s="2" t="s">
        <v>416</v>
      </c>
      <c r="H2687" s="2" t="s">
        <v>528</v>
      </c>
      <c r="S2687" s="2" t="s">
        <v>60</v>
      </c>
      <c r="U2687" s="2" t="s">
        <v>59</v>
      </c>
      <c r="W2687" s="2" t="s">
        <v>59</v>
      </c>
    </row>
    <row r="2688" spans="1:34" x14ac:dyDescent="0.25">
      <c r="A2688" s="2" t="s">
        <v>324</v>
      </c>
      <c r="B2688" s="2" t="s">
        <v>402</v>
      </c>
      <c r="C2688" s="2" t="s">
        <v>407</v>
      </c>
      <c r="D2688" s="2" t="s">
        <v>410</v>
      </c>
      <c r="E2688" s="2" t="s">
        <v>413</v>
      </c>
      <c r="F2688" s="2" t="s">
        <v>39</v>
      </c>
      <c r="G2688" s="2" t="s">
        <v>417</v>
      </c>
      <c r="H2688" s="2" t="s">
        <v>529</v>
      </c>
      <c r="S2688" s="2" t="s">
        <v>57</v>
      </c>
      <c r="U2688" s="2" t="s">
        <v>59</v>
      </c>
      <c r="W2688" s="2" t="s">
        <v>60</v>
      </c>
    </row>
    <row r="2689" spans="1:25" x14ac:dyDescent="0.25">
      <c r="A2689" s="2" t="s">
        <v>324</v>
      </c>
      <c r="B2689" s="2" t="s">
        <v>402</v>
      </c>
      <c r="C2689" s="2" t="s">
        <v>407</v>
      </c>
      <c r="D2689" s="2" t="s">
        <v>410</v>
      </c>
      <c r="E2689" s="2" t="s">
        <v>413</v>
      </c>
      <c r="F2689" s="2" t="s">
        <v>39</v>
      </c>
      <c r="G2689" s="2" t="s">
        <v>418</v>
      </c>
      <c r="H2689" s="2" t="s">
        <v>347</v>
      </c>
      <c r="S2689" s="2" t="s">
        <v>60</v>
      </c>
      <c r="U2689" s="2" t="s">
        <v>57</v>
      </c>
      <c r="W2689" s="2" t="s">
        <v>59</v>
      </c>
    </row>
    <row r="2690" spans="1:25" x14ac:dyDescent="0.25">
      <c r="A2690" s="2" t="s">
        <v>324</v>
      </c>
      <c r="B2690" s="2" t="s">
        <v>402</v>
      </c>
      <c r="C2690" s="2" t="s">
        <v>407</v>
      </c>
      <c r="D2690" s="2" t="s">
        <v>410</v>
      </c>
      <c r="E2690" s="2" t="s">
        <v>413</v>
      </c>
      <c r="F2690" s="2" t="s">
        <v>39</v>
      </c>
      <c r="G2690" s="2" t="s">
        <v>419</v>
      </c>
      <c r="H2690" s="2" t="s">
        <v>530</v>
      </c>
      <c r="S2690" s="2" t="s">
        <v>57</v>
      </c>
      <c r="U2690" s="2" t="s">
        <v>60</v>
      </c>
      <c r="W2690" s="2" t="s">
        <v>58</v>
      </c>
    </row>
    <row r="2691" spans="1:25" x14ac:dyDescent="0.25">
      <c r="A2691" s="2" t="s">
        <v>324</v>
      </c>
      <c r="B2691" s="2" t="s">
        <v>531</v>
      </c>
      <c r="C2691" s="2" t="s">
        <v>407</v>
      </c>
      <c r="D2691" s="2" t="s">
        <v>410</v>
      </c>
      <c r="E2691" s="2" t="s">
        <v>413</v>
      </c>
      <c r="F2691" s="2" t="s">
        <v>39</v>
      </c>
      <c r="J2691" s="2" t="s">
        <v>532</v>
      </c>
      <c r="K2691" s="2" t="s">
        <v>533</v>
      </c>
      <c r="L2691" s="2">
        <v>1</v>
      </c>
      <c r="M2691" s="2" t="s">
        <v>534</v>
      </c>
      <c r="O2691" s="2" t="s">
        <v>524</v>
      </c>
      <c r="Y2691" s="2" t="s">
        <v>678</v>
      </c>
    </row>
    <row r="2692" spans="1:25" x14ac:dyDescent="0.25">
      <c r="A2692" s="2" t="s">
        <v>324</v>
      </c>
      <c r="B2692" s="2" t="s">
        <v>531</v>
      </c>
      <c r="C2692" s="2" t="s">
        <v>407</v>
      </c>
      <c r="D2692" s="2" t="s">
        <v>410</v>
      </c>
      <c r="E2692" s="2" t="s">
        <v>413</v>
      </c>
      <c r="F2692" s="2" t="s">
        <v>39</v>
      </c>
      <c r="J2692" s="2" t="s">
        <v>532</v>
      </c>
      <c r="K2692" s="2" t="s">
        <v>533</v>
      </c>
      <c r="L2692" s="2">
        <v>2</v>
      </c>
      <c r="M2692" s="2" t="s">
        <v>536</v>
      </c>
      <c r="O2692" s="2" t="s">
        <v>524</v>
      </c>
      <c r="Y2692" s="2" t="s">
        <v>678</v>
      </c>
    </row>
    <row r="2693" spans="1:25" x14ac:dyDescent="0.25">
      <c r="A2693" s="2" t="s">
        <v>324</v>
      </c>
      <c r="B2693" s="2" t="s">
        <v>531</v>
      </c>
      <c r="C2693" s="2" t="s">
        <v>407</v>
      </c>
      <c r="D2693" s="2" t="s">
        <v>410</v>
      </c>
      <c r="E2693" s="2" t="s">
        <v>413</v>
      </c>
      <c r="F2693" s="2" t="s">
        <v>39</v>
      </c>
      <c r="J2693" s="2" t="s">
        <v>532</v>
      </c>
      <c r="K2693" s="2" t="s">
        <v>533</v>
      </c>
      <c r="L2693" s="2">
        <v>3</v>
      </c>
      <c r="M2693" s="2" t="s">
        <v>537</v>
      </c>
      <c r="O2693" s="2" t="s">
        <v>524</v>
      </c>
      <c r="Y2693" s="2" t="s">
        <v>678</v>
      </c>
    </row>
    <row r="2694" spans="1:25" x14ac:dyDescent="0.25">
      <c r="A2694" s="2" t="s">
        <v>324</v>
      </c>
      <c r="B2694" s="2" t="s">
        <v>531</v>
      </c>
      <c r="C2694" s="2" t="s">
        <v>407</v>
      </c>
      <c r="D2694" s="2" t="s">
        <v>410</v>
      </c>
      <c r="E2694" s="2" t="s">
        <v>413</v>
      </c>
      <c r="F2694" s="2" t="s">
        <v>39</v>
      </c>
      <c r="J2694" s="2" t="s">
        <v>532</v>
      </c>
      <c r="K2694" s="2" t="s">
        <v>533</v>
      </c>
      <c r="L2694" s="2">
        <v>4</v>
      </c>
      <c r="M2694" s="2" t="s">
        <v>538</v>
      </c>
      <c r="O2694" s="2" t="s">
        <v>524</v>
      </c>
      <c r="Y2694" s="2" t="s">
        <v>678</v>
      </c>
    </row>
    <row r="2695" spans="1:25" x14ac:dyDescent="0.25">
      <c r="A2695" s="2" t="s">
        <v>324</v>
      </c>
      <c r="B2695" s="2" t="s">
        <v>531</v>
      </c>
      <c r="C2695" s="2" t="s">
        <v>407</v>
      </c>
      <c r="D2695" s="2" t="s">
        <v>410</v>
      </c>
      <c r="E2695" s="2" t="s">
        <v>413</v>
      </c>
      <c r="F2695" s="2" t="s">
        <v>39</v>
      </c>
      <c r="J2695" s="2" t="s">
        <v>532</v>
      </c>
      <c r="K2695" s="2" t="s">
        <v>533</v>
      </c>
      <c r="L2695" s="2">
        <v>5</v>
      </c>
      <c r="M2695" s="2" t="s">
        <v>539</v>
      </c>
      <c r="O2695" s="2" t="s">
        <v>524</v>
      </c>
      <c r="Y2695" s="2" t="s">
        <v>678</v>
      </c>
    </row>
    <row r="2696" spans="1:25" x14ac:dyDescent="0.25">
      <c r="A2696" s="2" t="s">
        <v>324</v>
      </c>
      <c r="B2696" s="2" t="s">
        <v>540</v>
      </c>
      <c r="C2696" s="2" t="s">
        <v>407</v>
      </c>
      <c r="D2696" s="2" t="s">
        <v>410</v>
      </c>
      <c r="E2696" s="2" t="s">
        <v>413</v>
      </c>
      <c r="F2696" s="2" t="s">
        <v>39</v>
      </c>
      <c r="J2696" s="2" t="s">
        <v>541</v>
      </c>
      <c r="K2696" s="2" t="s">
        <v>542</v>
      </c>
      <c r="L2696" s="2">
        <v>1</v>
      </c>
      <c r="M2696" s="2" t="s">
        <v>543</v>
      </c>
      <c r="O2696" s="2" t="s">
        <v>524</v>
      </c>
      <c r="Y2696" s="2" t="s">
        <v>678</v>
      </c>
    </row>
    <row r="2697" spans="1:25" x14ac:dyDescent="0.25">
      <c r="A2697" s="2" t="s">
        <v>324</v>
      </c>
      <c r="B2697" s="2" t="s">
        <v>540</v>
      </c>
      <c r="C2697" s="2" t="s">
        <v>407</v>
      </c>
      <c r="D2697" s="2" t="s">
        <v>410</v>
      </c>
      <c r="E2697" s="2" t="s">
        <v>413</v>
      </c>
      <c r="F2697" s="2" t="s">
        <v>39</v>
      </c>
      <c r="J2697" s="2" t="s">
        <v>541</v>
      </c>
      <c r="K2697" s="2" t="s">
        <v>542</v>
      </c>
      <c r="L2697" s="2">
        <v>2</v>
      </c>
      <c r="M2697" s="2" t="s">
        <v>544</v>
      </c>
      <c r="O2697" s="2" t="s">
        <v>524</v>
      </c>
      <c r="Y2697" s="2" t="s">
        <v>678</v>
      </c>
    </row>
    <row r="2698" spans="1:25" x14ac:dyDescent="0.25">
      <c r="A2698" s="2" t="s">
        <v>324</v>
      </c>
      <c r="B2698" s="2" t="s">
        <v>540</v>
      </c>
      <c r="C2698" s="2" t="s">
        <v>407</v>
      </c>
      <c r="D2698" s="2" t="s">
        <v>410</v>
      </c>
      <c r="E2698" s="2" t="s">
        <v>413</v>
      </c>
      <c r="F2698" s="2" t="s">
        <v>39</v>
      </c>
      <c r="J2698" s="2" t="s">
        <v>541</v>
      </c>
      <c r="K2698" s="2" t="s">
        <v>542</v>
      </c>
      <c r="L2698" s="2">
        <v>3</v>
      </c>
      <c r="M2698" s="2" t="s">
        <v>545</v>
      </c>
      <c r="O2698" s="2" t="s">
        <v>524</v>
      </c>
      <c r="Y2698" s="2" t="s">
        <v>678</v>
      </c>
    </row>
    <row r="2699" spans="1:25" x14ac:dyDescent="0.25">
      <c r="A2699" s="2" t="s">
        <v>324</v>
      </c>
      <c r="B2699" s="2" t="s">
        <v>540</v>
      </c>
      <c r="C2699" s="2" t="s">
        <v>407</v>
      </c>
      <c r="D2699" s="2" t="s">
        <v>410</v>
      </c>
      <c r="E2699" s="2" t="s">
        <v>413</v>
      </c>
      <c r="F2699" s="2" t="s">
        <v>39</v>
      </c>
      <c r="J2699" s="2" t="s">
        <v>541</v>
      </c>
      <c r="K2699" s="2" t="s">
        <v>542</v>
      </c>
      <c r="L2699" s="2">
        <v>4</v>
      </c>
      <c r="M2699" s="2" t="s">
        <v>546</v>
      </c>
      <c r="O2699" s="2" t="s">
        <v>524</v>
      </c>
      <c r="Y2699" s="2" t="s">
        <v>678</v>
      </c>
    </row>
    <row r="2700" spans="1:25" x14ac:dyDescent="0.25">
      <c r="A2700" s="2" t="s">
        <v>324</v>
      </c>
      <c r="B2700" s="2" t="s">
        <v>540</v>
      </c>
      <c r="C2700" s="2" t="s">
        <v>407</v>
      </c>
      <c r="D2700" s="2" t="s">
        <v>410</v>
      </c>
      <c r="E2700" s="2" t="s">
        <v>413</v>
      </c>
      <c r="F2700" s="2" t="s">
        <v>39</v>
      </c>
      <c r="J2700" s="2" t="s">
        <v>541</v>
      </c>
      <c r="K2700" s="2" t="s">
        <v>542</v>
      </c>
      <c r="L2700" s="2">
        <v>5</v>
      </c>
      <c r="M2700" s="2" t="s">
        <v>547</v>
      </c>
      <c r="O2700" s="2" t="s">
        <v>524</v>
      </c>
      <c r="Y2700" s="2" t="s">
        <v>678</v>
      </c>
    </row>
    <row r="2701" spans="1:25" x14ac:dyDescent="0.25">
      <c r="A2701" s="2" t="s">
        <v>324</v>
      </c>
      <c r="B2701" s="2" t="s">
        <v>540</v>
      </c>
      <c r="C2701" s="2" t="s">
        <v>407</v>
      </c>
      <c r="D2701" s="2" t="s">
        <v>410</v>
      </c>
      <c r="E2701" s="2" t="s">
        <v>413</v>
      </c>
      <c r="F2701" s="2" t="s">
        <v>39</v>
      </c>
      <c r="J2701" s="2" t="s">
        <v>541</v>
      </c>
      <c r="K2701" s="2" t="s">
        <v>542</v>
      </c>
      <c r="L2701" s="2">
        <v>6</v>
      </c>
      <c r="M2701" s="2" t="s">
        <v>548</v>
      </c>
      <c r="O2701" s="2" t="s">
        <v>524</v>
      </c>
      <c r="Y2701" s="2" t="s">
        <v>678</v>
      </c>
    </row>
    <row r="2702" spans="1:25" x14ac:dyDescent="0.25">
      <c r="A2702" s="2" t="s">
        <v>324</v>
      </c>
      <c r="B2702" s="2" t="s">
        <v>540</v>
      </c>
      <c r="C2702" s="2" t="s">
        <v>407</v>
      </c>
      <c r="D2702" s="2" t="s">
        <v>410</v>
      </c>
      <c r="E2702" s="2" t="s">
        <v>413</v>
      </c>
      <c r="F2702" s="2" t="s">
        <v>39</v>
      </c>
      <c r="J2702" s="2" t="s">
        <v>541</v>
      </c>
      <c r="K2702" s="2" t="s">
        <v>542</v>
      </c>
      <c r="L2702" s="2">
        <v>7</v>
      </c>
      <c r="M2702" s="2" t="s">
        <v>549</v>
      </c>
      <c r="O2702" s="2" t="s">
        <v>524</v>
      </c>
      <c r="Y2702" s="2" t="s">
        <v>678</v>
      </c>
    </row>
    <row r="2703" spans="1:25" x14ac:dyDescent="0.25">
      <c r="A2703" s="2" t="s">
        <v>324</v>
      </c>
      <c r="B2703" s="2" t="s">
        <v>540</v>
      </c>
      <c r="C2703" s="2" t="s">
        <v>407</v>
      </c>
      <c r="D2703" s="2" t="s">
        <v>410</v>
      </c>
      <c r="E2703" s="2" t="s">
        <v>413</v>
      </c>
      <c r="F2703" s="2" t="s">
        <v>39</v>
      </c>
      <c r="J2703" s="2" t="s">
        <v>541</v>
      </c>
      <c r="K2703" s="2" t="s">
        <v>542</v>
      </c>
      <c r="L2703" s="2">
        <v>8</v>
      </c>
      <c r="M2703" s="2" t="s">
        <v>550</v>
      </c>
      <c r="O2703" s="2" t="s">
        <v>524</v>
      </c>
      <c r="Y2703" s="2" t="s">
        <v>678</v>
      </c>
    </row>
    <row r="2704" spans="1:25" x14ac:dyDescent="0.25">
      <c r="A2704" s="2" t="s">
        <v>324</v>
      </c>
      <c r="B2704" s="2" t="s">
        <v>540</v>
      </c>
      <c r="C2704" s="2" t="s">
        <v>407</v>
      </c>
      <c r="D2704" s="2" t="s">
        <v>410</v>
      </c>
      <c r="E2704" s="2" t="s">
        <v>413</v>
      </c>
      <c r="F2704" s="2" t="s">
        <v>39</v>
      </c>
      <c r="J2704" s="2" t="s">
        <v>541</v>
      </c>
      <c r="K2704" s="2" t="s">
        <v>542</v>
      </c>
      <c r="L2704" s="2">
        <v>9</v>
      </c>
      <c r="M2704" s="2" t="s">
        <v>551</v>
      </c>
      <c r="O2704" s="2" t="s">
        <v>524</v>
      </c>
      <c r="Y2704" s="2" t="s">
        <v>678</v>
      </c>
    </row>
    <row r="2705" spans="1:34" x14ac:dyDescent="0.25">
      <c r="A2705" s="2" t="s">
        <v>324</v>
      </c>
      <c r="B2705" s="2" t="s">
        <v>540</v>
      </c>
      <c r="C2705" s="2" t="s">
        <v>407</v>
      </c>
      <c r="D2705" s="2" t="s">
        <v>410</v>
      </c>
      <c r="E2705" s="2" t="s">
        <v>413</v>
      </c>
      <c r="F2705" s="2" t="s">
        <v>39</v>
      </c>
      <c r="J2705" s="2" t="s">
        <v>541</v>
      </c>
      <c r="K2705" s="2" t="s">
        <v>542</v>
      </c>
      <c r="L2705" s="2">
        <v>10</v>
      </c>
      <c r="M2705" s="2" t="s">
        <v>552</v>
      </c>
      <c r="O2705" s="2" t="s">
        <v>524</v>
      </c>
      <c r="Y2705" s="2" t="s">
        <v>678</v>
      </c>
    </row>
    <row r="2706" spans="1:34" x14ac:dyDescent="0.25">
      <c r="A2706" s="2" t="s">
        <v>324</v>
      </c>
      <c r="B2706" s="2" t="s">
        <v>540</v>
      </c>
      <c r="C2706" s="2" t="s">
        <v>407</v>
      </c>
      <c r="D2706" s="2" t="s">
        <v>410</v>
      </c>
      <c r="E2706" s="2" t="s">
        <v>413</v>
      </c>
      <c r="F2706" s="2" t="s">
        <v>39</v>
      </c>
      <c r="J2706" s="2" t="s">
        <v>541</v>
      </c>
      <c r="K2706" s="2" t="s">
        <v>542</v>
      </c>
      <c r="L2706" s="2">
        <v>11</v>
      </c>
      <c r="M2706" s="2" t="s">
        <v>553</v>
      </c>
      <c r="O2706" s="2" t="s">
        <v>524</v>
      </c>
      <c r="Y2706" s="2" t="s">
        <v>678</v>
      </c>
    </row>
    <row r="2707" spans="1:34" x14ac:dyDescent="0.25">
      <c r="A2707" s="2" t="s">
        <v>324</v>
      </c>
      <c r="B2707" s="2" t="s">
        <v>540</v>
      </c>
      <c r="C2707" s="2" t="s">
        <v>407</v>
      </c>
      <c r="D2707" s="2" t="s">
        <v>410</v>
      </c>
      <c r="E2707" s="2" t="s">
        <v>413</v>
      </c>
      <c r="F2707" s="2" t="s">
        <v>39</v>
      </c>
      <c r="J2707" s="2" t="s">
        <v>541</v>
      </c>
      <c r="K2707" s="2" t="s">
        <v>542</v>
      </c>
      <c r="L2707" s="2">
        <v>12</v>
      </c>
      <c r="M2707" s="2" t="s">
        <v>554</v>
      </c>
      <c r="O2707" s="2" t="s">
        <v>524</v>
      </c>
      <c r="Y2707" s="2" t="s">
        <v>678</v>
      </c>
    </row>
    <row r="2708" spans="1:34" x14ac:dyDescent="0.25">
      <c r="A2708" s="2" t="s">
        <v>324</v>
      </c>
      <c r="B2708" s="2" t="s">
        <v>555</v>
      </c>
      <c r="C2708" s="2" t="s">
        <v>407</v>
      </c>
      <c r="D2708" s="2" t="s">
        <v>410</v>
      </c>
      <c r="E2708" s="2" t="s">
        <v>413</v>
      </c>
      <c r="F2708" s="2" t="s">
        <v>39</v>
      </c>
      <c r="J2708" s="2" t="s">
        <v>556</v>
      </c>
      <c r="O2708" s="2" t="s">
        <v>524</v>
      </c>
      <c r="Y2708" s="2" t="s">
        <v>678</v>
      </c>
      <c r="AB2708" s="2">
        <v>1</v>
      </c>
    </row>
    <row r="2709" spans="1:34" x14ac:dyDescent="0.25">
      <c r="A2709" s="2" t="s">
        <v>324</v>
      </c>
      <c r="B2709" s="2" t="s">
        <v>557</v>
      </c>
      <c r="C2709" s="2" t="s">
        <v>407</v>
      </c>
      <c r="D2709" s="2" t="s">
        <v>410</v>
      </c>
      <c r="E2709" s="2" t="s">
        <v>413</v>
      </c>
      <c r="F2709" s="2" t="s">
        <v>39</v>
      </c>
      <c r="J2709" s="2" t="s">
        <v>558</v>
      </c>
      <c r="O2709" s="2" t="s">
        <v>524</v>
      </c>
      <c r="Y2709" s="2" t="s">
        <v>678</v>
      </c>
      <c r="AC2709" s="2">
        <f>COUNTIFS($B:$B,"BLOCK_LOAD_Q",$A:$A,$A2709,$C:$C,$C2709,$E:$E,$E2709,$F:$F,$F2709,$N:$N, "&lt;&gt;")</f>
        <v>0</v>
      </c>
      <c r="AD2709" s="2">
        <f>COUNTIFS($B:$B,"BLOCK_TRUST_Q",$A:$A,$A2709,$C:$C,$C2709,$E:$E,$E2709,$F:$F,$F2709,$N:$N, "&lt;&gt;")</f>
        <v>0</v>
      </c>
      <c r="AE2709" s="2" t="str">
        <f>IFERROR(AVERAGEIFS($P:$P,$B:$B,"BLOCK_LOAD_Q",$A:$A,$A2709,$C:$C,$C2709,$E:$E,$E2709,$F:$F,$F2709,$P:$P,"&gt;0"),"")</f>
        <v/>
      </c>
      <c r="AF2709" s="2" t="str">
        <f>IFERROR(AVERAGEIFS($P:$P,$B:$B,"BLOCK_TRUST_Q",$A:$A,$A2709,$C:$C,$C2709,$E:$E,$E2709,$F:$F,$F2709,$P:$P,"&gt;0"),"")</f>
        <v/>
      </c>
      <c r="AG2709" s="2">
        <f>5-AC2709</f>
        <v>5</v>
      </c>
      <c r="AH2709" s="2">
        <f>12-AD2709</f>
        <v>12</v>
      </c>
    </row>
    <row r="2710" spans="1:34" x14ac:dyDescent="0.25">
      <c r="A2710" s="2" t="s">
        <v>324</v>
      </c>
      <c r="B2710" s="2" t="s">
        <v>402</v>
      </c>
      <c r="C2710" s="2" t="s">
        <v>407</v>
      </c>
      <c r="D2710" s="2" t="s">
        <v>410</v>
      </c>
      <c r="E2710" s="2" t="s">
        <v>414</v>
      </c>
      <c r="F2710" s="2" t="s">
        <v>40</v>
      </c>
      <c r="G2710" s="2" t="s">
        <v>415</v>
      </c>
      <c r="H2710" s="2" t="s">
        <v>354</v>
      </c>
      <c r="S2710" s="2" t="s">
        <v>59</v>
      </c>
      <c r="U2710" s="2" t="s">
        <v>59</v>
      </c>
      <c r="W2710" s="2" t="s">
        <v>58</v>
      </c>
    </row>
    <row r="2711" spans="1:34" x14ac:dyDescent="0.25">
      <c r="A2711" s="2" t="s">
        <v>324</v>
      </c>
      <c r="B2711" s="2" t="s">
        <v>402</v>
      </c>
      <c r="C2711" s="2" t="s">
        <v>407</v>
      </c>
      <c r="D2711" s="2" t="s">
        <v>410</v>
      </c>
      <c r="E2711" s="2" t="s">
        <v>414</v>
      </c>
      <c r="F2711" s="2" t="s">
        <v>40</v>
      </c>
      <c r="G2711" s="2" t="s">
        <v>416</v>
      </c>
      <c r="H2711" s="2" t="s">
        <v>559</v>
      </c>
      <c r="S2711" s="2" t="s">
        <v>57</v>
      </c>
      <c r="U2711" s="2" t="s">
        <v>57</v>
      </c>
      <c r="W2711" s="2" t="s">
        <v>58</v>
      </c>
    </row>
    <row r="2712" spans="1:34" x14ac:dyDescent="0.25">
      <c r="A2712" s="2" t="s">
        <v>324</v>
      </c>
      <c r="B2712" s="2" t="s">
        <v>402</v>
      </c>
      <c r="C2712" s="2" t="s">
        <v>407</v>
      </c>
      <c r="D2712" s="2" t="s">
        <v>410</v>
      </c>
      <c r="E2712" s="2" t="s">
        <v>414</v>
      </c>
      <c r="F2712" s="2" t="s">
        <v>40</v>
      </c>
      <c r="G2712" s="2" t="s">
        <v>417</v>
      </c>
      <c r="H2712" s="2" t="s">
        <v>370</v>
      </c>
      <c r="S2712" s="2" t="s">
        <v>60</v>
      </c>
      <c r="U2712" s="2" t="s">
        <v>58</v>
      </c>
      <c r="W2712" s="2" t="s">
        <v>59</v>
      </c>
    </row>
    <row r="2713" spans="1:34" x14ac:dyDescent="0.25">
      <c r="A2713" s="2" t="s">
        <v>324</v>
      </c>
      <c r="B2713" s="2" t="s">
        <v>402</v>
      </c>
      <c r="C2713" s="2" t="s">
        <v>407</v>
      </c>
      <c r="D2713" s="2" t="s">
        <v>410</v>
      </c>
      <c r="E2713" s="2" t="s">
        <v>414</v>
      </c>
      <c r="F2713" s="2" t="s">
        <v>40</v>
      </c>
      <c r="G2713" s="2" t="s">
        <v>418</v>
      </c>
      <c r="H2713" s="2" t="s">
        <v>560</v>
      </c>
      <c r="S2713" s="2" t="s">
        <v>57</v>
      </c>
      <c r="U2713" s="2" t="s">
        <v>58</v>
      </c>
      <c r="W2713" s="2" t="s">
        <v>60</v>
      </c>
    </row>
    <row r="2714" spans="1:34" x14ac:dyDescent="0.25">
      <c r="A2714" s="2" t="s">
        <v>324</v>
      </c>
      <c r="B2714" s="2" t="s">
        <v>531</v>
      </c>
      <c r="C2714" s="2" t="s">
        <v>407</v>
      </c>
      <c r="D2714" s="2" t="s">
        <v>410</v>
      </c>
      <c r="E2714" s="2" t="s">
        <v>414</v>
      </c>
      <c r="F2714" s="2" t="s">
        <v>40</v>
      </c>
      <c r="J2714" s="2" t="s">
        <v>532</v>
      </c>
      <c r="K2714" s="2" t="s">
        <v>533</v>
      </c>
      <c r="L2714" s="2">
        <v>1</v>
      </c>
      <c r="M2714" s="2" t="s">
        <v>534</v>
      </c>
      <c r="O2714" s="2" t="s">
        <v>524</v>
      </c>
      <c r="Y2714" s="2" t="s">
        <v>679</v>
      </c>
    </row>
    <row r="2715" spans="1:34" x14ac:dyDescent="0.25">
      <c r="A2715" s="2" t="s">
        <v>324</v>
      </c>
      <c r="B2715" s="2" t="s">
        <v>531</v>
      </c>
      <c r="C2715" s="2" t="s">
        <v>407</v>
      </c>
      <c r="D2715" s="2" t="s">
        <v>410</v>
      </c>
      <c r="E2715" s="2" t="s">
        <v>414</v>
      </c>
      <c r="F2715" s="2" t="s">
        <v>40</v>
      </c>
      <c r="J2715" s="2" t="s">
        <v>532</v>
      </c>
      <c r="K2715" s="2" t="s">
        <v>533</v>
      </c>
      <c r="L2715" s="2">
        <v>2</v>
      </c>
      <c r="M2715" s="2" t="s">
        <v>536</v>
      </c>
      <c r="O2715" s="2" t="s">
        <v>524</v>
      </c>
      <c r="Y2715" s="2" t="s">
        <v>679</v>
      </c>
    </row>
    <row r="2716" spans="1:34" x14ac:dyDescent="0.25">
      <c r="A2716" s="2" t="s">
        <v>324</v>
      </c>
      <c r="B2716" s="2" t="s">
        <v>531</v>
      </c>
      <c r="C2716" s="2" t="s">
        <v>407</v>
      </c>
      <c r="D2716" s="2" t="s">
        <v>410</v>
      </c>
      <c r="E2716" s="2" t="s">
        <v>414</v>
      </c>
      <c r="F2716" s="2" t="s">
        <v>40</v>
      </c>
      <c r="J2716" s="2" t="s">
        <v>532</v>
      </c>
      <c r="K2716" s="2" t="s">
        <v>533</v>
      </c>
      <c r="L2716" s="2">
        <v>3</v>
      </c>
      <c r="M2716" s="2" t="s">
        <v>537</v>
      </c>
      <c r="O2716" s="2" t="s">
        <v>524</v>
      </c>
      <c r="Y2716" s="2" t="s">
        <v>679</v>
      </c>
    </row>
    <row r="2717" spans="1:34" x14ac:dyDescent="0.25">
      <c r="A2717" s="2" t="s">
        <v>324</v>
      </c>
      <c r="B2717" s="2" t="s">
        <v>531</v>
      </c>
      <c r="C2717" s="2" t="s">
        <v>407</v>
      </c>
      <c r="D2717" s="2" t="s">
        <v>410</v>
      </c>
      <c r="E2717" s="2" t="s">
        <v>414</v>
      </c>
      <c r="F2717" s="2" t="s">
        <v>40</v>
      </c>
      <c r="J2717" s="2" t="s">
        <v>532</v>
      </c>
      <c r="K2717" s="2" t="s">
        <v>533</v>
      </c>
      <c r="L2717" s="2">
        <v>4</v>
      </c>
      <c r="M2717" s="2" t="s">
        <v>538</v>
      </c>
      <c r="O2717" s="2" t="s">
        <v>524</v>
      </c>
      <c r="Y2717" s="2" t="s">
        <v>679</v>
      </c>
    </row>
    <row r="2718" spans="1:34" x14ac:dyDescent="0.25">
      <c r="A2718" s="2" t="s">
        <v>324</v>
      </c>
      <c r="B2718" s="2" t="s">
        <v>531</v>
      </c>
      <c r="C2718" s="2" t="s">
        <v>407</v>
      </c>
      <c r="D2718" s="2" t="s">
        <v>410</v>
      </c>
      <c r="E2718" s="2" t="s">
        <v>414</v>
      </c>
      <c r="F2718" s="2" t="s">
        <v>40</v>
      </c>
      <c r="J2718" s="2" t="s">
        <v>532</v>
      </c>
      <c r="K2718" s="2" t="s">
        <v>533</v>
      </c>
      <c r="L2718" s="2">
        <v>5</v>
      </c>
      <c r="M2718" s="2" t="s">
        <v>539</v>
      </c>
      <c r="O2718" s="2" t="s">
        <v>524</v>
      </c>
      <c r="Y2718" s="2" t="s">
        <v>679</v>
      </c>
    </row>
    <row r="2719" spans="1:34" x14ac:dyDescent="0.25">
      <c r="A2719" s="2" t="s">
        <v>324</v>
      </c>
      <c r="B2719" s="2" t="s">
        <v>540</v>
      </c>
      <c r="C2719" s="2" t="s">
        <v>407</v>
      </c>
      <c r="D2719" s="2" t="s">
        <v>410</v>
      </c>
      <c r="E2719" s="2" t="s">
        <v>414</v>
      </c>
      <c r="F2719" s="2" t="s">
        <v>40</v>
      </c>
      <c r="J2719" s="2" t="s">
        <v>541</v>
      </c>
      <c r="K2719" s="2" t="s">
        <v>542</v>
      </c>
      <c r="L2719" s="2">
        <v>1</v>
      </c>
      <c r="M2719" s="2" t="s">
        <v>543</v>
      </c>
      <c r="O2719" s="2" t="s">
        <v>524</v>
      </c>
      <c r="Y2719" s="2" t="s">
        <v>679</v>
      </c>
    </row>
    <row r="2720" spans="1:34" x14ac:dyDescent="0.25">
      <c r="A2720" s="2" t="s">
        <v>324</v>
      </c>
      <c r="B2720" s="2" t="s">
        <v>540</v>
      </c>
      <c r="C2720" s="2" t="s">
        <v>407</v>
      </c>
      <c r="D2720" s="2" t="s">
        <v>410</v>
      </c>
      <c r="E2720" s="2" t="s">
        <v>414</v>
      </c>
      <c r="F2720" s="2" t="s">
        <v>40</v>
      </c>
      <c r="J2720" s="2" t="s">
        <v>541</v>
      </c>
      <c r="K2720" s="2" t="s">
        <v>542</v>
      </c>
      <c r="L2720" s="2">
        <v>2</v>
      </c>
      <c r="M2720" s="2" t="s">
        <v>544</v>
      </c>
      <c r="O2720" s="2" t="s">
        <v>524</v>
      </c>
      <c r="Y2720" s="2" t="s">
        <v>679</v>
      </c>
    </row>
    <row r="2721" spans="1:34" x14ac:dyDescent="0.25">
      <c r="A2721" s="2" t="s">
        <v>324</v>
      </c>
      <c r="B2721" s="2" t="s">
        <v>540</v>
      </c>
      <c r="C2721" s="2" t="s">
        <v>407</v>
      </c>
      <c r="D2721" s="2" t="s">
        <v>410</v>
      </c>
      <c r="E2721" s="2" t="s">
        <v>414</v>
      </c>
      <c r="F2721" s="2" t="s">
        <v>40</v>
      </c>
      <c r="J2721" s="2" t="s">
        <v>541</v>
      </c>
      <c r="K2721" s="2" t="s">
        <v>542</v>
      </c>
      <c r="L2721" s="2">
        <v>3</v>
      </c>
      <c r="M2721" s="2" t="s">
        <v>545</v>
      </c>
      <c r="O2721" s="2" t="s">
        <v>524</v>
      </c>
      <c r="Y2721" s="2" t="s">
        <v>679</v>
      </c>
    </row>
    <row r="2722" spans="1:34" x14ac:dyDescent="0.25">
      <c r="A2722" s="2" t="s">
        <v>324</v>
      </c>
      <c r="B2722" s="2" t="s">
        <v>540</v>
      </c>
      <c r="C2722" s="2" t="s">
        <v>407</v>
      </c>
      <c r="D2722" s="2" t="s">
        <v>410</v>
      </c>
      <c r="E2722" s="2" t="s">
        <v>414</v>
      </c>
      <c r="F2722" s="2" t="s">
        <v>40</v>
      </c>
      <c r="J2722" s="2" t="s">
        <v>541</v>
      </c>
      <c r="K2722" s="2" t="s">
        <v>542</v>
      </c>
      <c r="L2722" s="2">
        <v>4</v>
      </c>
      <c r="M2722" s="2" t="s">
        <v>546</v>
      </c>
      <c r="O2722" s="2" t="s">
        <v>524</v>
      </c>
      <c r="Y2722" s="2" t="s">
        <v>679</v>
      </c>
    </row>
    <row r="2723" spans="1:34" x14ac:dyDescent="0.25">
      <c r="A2723" s="2" t="s">
        <v>324</v>
      </c>
      <c r="B2723" s="2" t="s">
        <v>540</v>
      </c>
      <c r="C2723" s="2" t="s">
        <v>407</v>
      </c>
      <c r="D2723" s="2" t="s">
        <v>410</v>
      </c>
      <c r="E2723" s="2" t="s">
        <v>414</v>
      </c>
      <c r="F2723" s="2" t="s">
        <v>40</v>
      </c>
      <c r="J2723" s="2" t="s">
        <v>541</v>
      </c>
      <c r="K2723" s="2" t="s">
        <v>542</v>
      </c>
      <c r="L2723" s="2">
        <v>5</v>
      </c>
      <c r="M2723" s="2" t="s">
        <v>547</v>
      </c>
      <c r="O2723" s="2" t="s">
        <v>524</v>
      </c>
      <c r="Y2723" s="2" t="s">
        <v>679</v>
      </c>
    </row>
    <row r="2724" spans="1:34" x14ac:dyDescent="0.25">
      <c r="A2724" s="2" t="s">
        <v>324</v>
      </c>
      <c r="B2724" s="2" t="s">
        <v>540</v>
      </c>
      <c r="C2724" s="2" t="s">
        <v>407</v>
      </c>
      <c r="D2724" s="2" t="s">
        <v>410</v>
      </c>
      <c r="E2724" s="2" t="s">
        <v>414</v>
      </c>
      <c r="F2724" s="2" t="s">
        <v>40</v>
      </c>
      <c r="J2724" s="2" t="s">
        <v>541</v>
      </c>
      <c r="K2724" s="2" t="s">
        <v>542</v>
      </c>
      <c r="L2724" s="2">
        <v>6</v>
      </c>
      <c r="M2724" s="2" t="s">
        <v>548</v>
      </c>
      <c r="O2724" s="2" t="s">
        <v>524</v>
      </c>
      <c r="Y2724" s="2" t="s">
        <v>679</v>
      </c>
    </row>
    <row r="2725" spans="1:34" x14ac:dyDescent="0.25">
      <c r="A2725" s="2" t="s">
        <v>324</v>
      </c>
      <c r="B2725" s="2" t="s">
        <v>540</v>
      </c>
      <c r="C2725" s="2" t="s">
        <v>407</v>
      </c>
      <c r="D2725" s="2" t="s">
        <v>410</v>
      </c>
      <c r="E2725" s="2" t="s">
        <v>414</v>
      </c>
      <c r="F2725" s="2" t="s">
        <v>40</v>
      </c>
      <c r="J2725" s="2" t="s">
        <v>541</v>
      </c>
      <c r="K2725" s="2" t="s">
        <v>542</v>
      </c>
      <c r="L2725" s="2">
        <v>7</v>
      </c>
      <c r="M2725" s="2" t="s">
        <v>549</v>
      </c>
      <c r="O2725" s="2" t="s">
        <v>524</v>
      </c>
      <c r="Y2725" s="2" t="s">
        <v>679</v>
      </c>
    </row>
    <row r="2726" spans="1:34" x14ac:dyDescent="0.25">
      <c r="A2726" s="2" t="s">
        <v>324</v>
      </c>
      <c r="B2726" s="2" t="s">
        <v>540</v>
      </c>
      <c r="C2726" s="2" t="s">
        <v>407</v>
      </c>
      <c r="D2726" s="2" t="s">
        <v>410</v>
      </c>
      <c r="E2726" s="2" t="s">
        <v>414</v>
      </c>
      <c r="F2726" s="2" t="s">
        <v>40</v>
      </c>
      <c r="J2726" s="2" t="s">
        <v>541</v>
      </c>
      <c r="K2726" s="2" t="s">
        <v>542</v>
      </c>
      <c r="L2726" s="2">
        <v>8</v>
      </c>
      <c r="M2726" s="2" t="s">
        <v>550</v>
      </c>
      <c r="O2726" s="2" t="s">
        <v>524</v>
      </c>
      <c r="Y2726" s="2" t="s">
        <v>679</v>
      </c>
    </row>
    <row r="2727" spans="1:34" x14ac:dyDescent="0.25">
      <c r="A2727" s="2" t="s">
        <v>324</v>
      </c>
      <c r="B2727" s="2" t="s">
        <v>540</v>
      </c>
      <c r="C2727" s="2" t="s">
        <v>407</v>
      </c>
      <c r="D2727" s="2" t="s">
        <v>410</v>
      </c>
      <c r="E2727" s="2" t="s">
        <v>414</v>
      </c>
      <c r="F2727" s="2" t="s">
        <v>40</v>
      </c>
      <c r="J2727" s="2" t="s">
        <v>541</v>
      </c>
      <c r="K2727" s="2" t="s">
        <v>542</v>
      </c>
      <c r="L2727" s="2">
        <v>9</v>
      </c>
      <c r="M2727" s="2" t="s">
        <v>551</v>
      </c>
      <c r="O2727" s="2" t="s">
        <v>524</v>
      </c>
      <c r="Y2727" s="2" t="s">
        <v>679</v>
      </c>
    </row>
    <row r="2728" spans="1:34" x14ac:dyDescent="0.25">
      <c r="A2728" s="2" t="s">
        <v>324</v>
      </c>
      <c r="B2728" s="2" t="s">
        <v>540</v>
      </c>
      <c r="C2728" s="2" t="s">
        <v>407</v>
      </c>
      <c r="D2728" s="2" t="s">
        <v>410</v>
      </c>
      <c r="E2728" s="2" t="s">
        <v>414</v>
      </c>
      <c r="F2728" s="2" t="s">
        <v>40</v>
      </c>
      <c r="J2728" s="2" t="s">
        <v>541</v>
      </c>
      <c r="K2728" s="2" t="s">
        <v>542</v>
      </c>
      <c r="L2728" s="2">
        <v>10</v>
      </c>
      <c r="M2728" s="2" t="s">
        <v>552</v>
      </c>
      <c r="O2728" s="2" t="s">
        <v>524</v>
      </c>
      <c r="Y2728" s="2" t="s">
        <v>679</v>
      </c>
    </row>
    <row r="2729" spans="1:34" x14ac:dyDescent="0.25">
      <c r="A2729" s="2" t="s">
        <v>324</v>
      </c>
      <c r="B2729" s="2" t="s">
        <v>540</v>
      </c>
      <c r="C2729" s="2" t="s">
        <v>407</v>
      </c>
      <c r="D2729" s="2" t="s">
        <v>410</v>
      </c>
      <c r="E2729" s="2" t="s">
        <v>414</v>
      </c>
      <c r="F2729" s="2" t="s">
        <v>40</v>
      </c>
      <c r="J2729" s="2" t="s">
        <v>541</v>
      </c>
      <c r="K2729" s="2" t="s">
        <v>542</v>
      </c>
      <c r="L2729" s="2">
        <v>11</v>
      </c>
      <c r="M2729" s="2" t="s">
        <v>553</v>
      </c>
      <c r="O2729" s="2" t="s">
        <v>524</v>
      </c>
      <c r="Y2729" s="2" t="s">
        <v>679</v>
      </c>
    </row>
    <row r="2730" spans="1:34" x14ac:dyDescent="0.25">
      <c r="A2730" s="2" t="s">
        <v>324</v>
      </c>
      <c r="B2730" s="2" t="s">
        <v>540</v>
      </c>
      <c r="C2730" s="2" t="s">
        <v>407</v>
      </c>
      <c r="D2730" s="2" t="s">
        <v>410</v>
      </c>
      <c r="E2730" s="2" t="s">
        <v>414</v>
      </c>
      <c r="F2730" s="2" t="s">
        <v>40</v>
      </c>
      <c r="J2730" s="2" t="s">
        <v>541</v>
      </c>
      <c r="K2730" s="2" t="s">
        <v>542</v>
      </c>
      <c r="L2730" s="2">
        <v>12</v>
      </c>
      <c r="M2730" s="2" t="s">
        <v>554</v>
      </c>
      <c r="O2730" s="2" t="s">
        <v>524</v>
      </c>
      <c r="Y2730" s="2" t="s">
        <v>679</v>
      </c>
    </row>
    <row r="2731" spans="1:34" x14ac:dyDescent="0.25">
      <c r="A2731" s="2" t="s">
        <v>324</v>
      </c>
      <c r="B2731" s="2" t="s">
        <v>555</v>
      </c>
      <c r="C2731" s="2" t="s">
        <v>407</v>
      </c>
      <c r="D2731" s="2" t="s">
        <v>410</v>
      </c>
      <c r="E2731" s="2" t="s">
        <v>414</v>
      </c>
      <c r="F2731" s="2" t="s">
        <v>40</v>
      </c>
      <c r="J2731" s="2" t="s">
        <v>556</v>
      </c>
      <c r="O2731" s="2" t="s">
        <v>524</v>
      </c>
      <c r="Y2731" s="2" t="s">
        <v>679</v>
      </c>
      <c r="AB2731" s="2">
        <v>2</v>
      </c>
    </row>
    <row r="2732" spans="1:34" x14ac:dyDescent="0.25">
      <c r="A2732" s="2" t="s">
        <v>324</v>
      </c>
      <c r="B2732" s="2" t="s">
        <v>557</v>
      </c>
      <c r="C2732" s="2" t="s">
        <v>407</v>
      </c>
      <c r="D2732" s="2" t="s">
        <v>410</v>
      </c>
      <c r="E2732" s="2" t="s">
        <v>414</v>
      </c>
      <c r="F2732" s="2" t="s">
        <v>40</v>
      </c>
      <c r="J2732" s="2" t="s">
        <v>558</v>
      </c>
      <c r="O2732" s="2" t="s">
        <v>524</v>
      </c>
      <c r="Y2732" s="2" t="s">
        <v>679</v>
      </c>
      <c r="AC2732" s="2">
        <f>COUNTIFS($B:$B,"BLOCK_LOAD_Q",$A:$A,$A2732,$C:$C,$C2732,$E:$E,$E2732,$F:$F,$F2732,$N:$N, "&lt;&gt;")</f>
        <v>0</v>
      </c>
      <c r="AD2732" s="2">
        <f>COUNTIFS($B:$B,"BLOCK_TRUST_Q",$A:$A,$A2732,$C:$C,$C2732,$E:$E,$E2732,$F:$F,$F2732,$N:$N, "&lt;&gt;")</f>
        <v>0</v>
      </c>
      <c r="AE2732" s="2" t="str">
        <f>IFERROR(AVERAGEIFS($P:$P,$B:$B,"BLOCK_LOAD_Q",$A:$A,$A2732,$C:$C,$C2732,$E:$E,$E2732,$F:$F,$F2732,$P:$P,"&gt;0"),"")</f>
        <v/>
      </c>
      <c r="AF2732" s="2" t="str">
        <f>IFERROR(AVERAGEIFS($P:$P,$B:$B,"BLOCK_TRUST_Q",$A:$A,$A2732,$C:$C,$C2732,$E:$E,$E2732,$F:$F,$F2732,$P:$P,"&gt;0"),"")</f>
        <v/>
      </c>
      <c r="AG2732" s="2">
        <f>5-AC2732</f>
        <v>5</v>
      </c>
      <c r="AH2732" s="2">
        <f>12-AD2732</f>
        <v>12</v>
      </c>
    </row>
    <row r="2733" spans="1:34" x14ac:dyDescent="0.25">
      <c r="A2733" s="2" t="s">
        <v>324</v>
      </c>
      <c r="B2733" s="2" t="s">
        <v>403</v>
      </c>
      <c r="C2733" s="2" t="s">
        <v>407</v>
      </c>
      <c r="D2733" s="2" t="s">
        <v>410</v>
      </c>
      <c r="Z2733" s="2" t="s">
        <v>474</v>
      </c>
    </row>
    <row r="2734" spans="1:34" x14ac:dyDescent="0.25">
      <c r="A2734" s="2" t="s">
        <v>324</v>
      </c>
      <c r="B2734" s="2" t="s">
        <v>402</v>
      </c>
      <c r="C2734" s="2" t="s">
        <v>408</v>
      </c>
      <c r="D2734" s="2" t="s">
        <v>411</v>
      </c>
      <c r="E2734" s="2" t="s">
        <v>413</v>
      </c>
      <c r="F2734" s="2" t="s">
        <v>40</v>
      </c>
      <c r="G2734" s="2" t="s">
        <v>415</v>
      </c>
      <c r="H2734" s="2" t="s">
        <v>357</v>
      </c>
      <c r="S2734" s="2" t="s">
        <v>59</v>
      </c>
      <c r="U2734" s="2" t="s">
        <v>60</v>
      </c>
      <c r="W2734" s="2" t="s">
        <v>57</v>
      </c>
    </row>
    <row r="2735" spans="1:34" x14ac:dyDescent="0.25">
      <c r="A2735" s="2" t="s">
        <v>324</v>
      </c>
      <c r="B2735" s="2" t="s">
        <v>402</v>
      </c>
      <c r="C2735" s="2" t="s">
        <v>408</v>
      </c>
      <c r="D2735" s="2" t="s">
        <v>411</v>
      </c>
      <c r="E2735" s="2" t="s">
        <v>413</v>
      </c>
      <c r="F2735" s="2" t="s">
        <v>40</v>
      </c>
      <c r="G2735" s="2" t="s">
        <v>416</v>
      </c>
      <c r="H2735" s="2" t="s">
        <v>348</v>
      </c>
      <c r="S2735" s="2" t="s">
        <v>58</v>
      </c>
      <c r="U2735" s="2" t="s">
        <v>59</v>
      </c>
      <c r="W2735" s="2" t="s">
        <v>59</v>
      </c>
    </row>
    <row r="2736" spans="1:34" x14ac:dyDescent="0.25">
      <c r="A2736" s="2" t="s">
        <v>324</v>
      </c>
      <c r="B2736" s="2" t="s">
        <v>402</v>
      </c>
      <c r="C2736" s="2" t="s">
        <v>408</v>
      </c>
      <c r="D2736" s="2" t="s">
        <v>411</v>
      </c>
      <c r="E2736" s="2" t="s">
        <v>413</v>
      </c>
      <c r="F2736" s="2" t="s">
        <v>40</v>
      </c>
      <c r="G2736" s="2" t="s">
        <v>417</v>
      </c>
      <c r="H2736" s="2" t="s">
        <v>562</v>
      </c>
      <c r="S2736" s="2" t="s">
        <v>59</v>
      </c>
      <c r="U2736" s="2" t="s">
        <v>57</v>
      </c>
      <c r="W2736" s="2" t="s">
        <v>57</v>
      </c>
    </row>
    <row r="2737" spans="1:25" x14ac:dyDescent="0.25">
      <c r="A2737" s="2" t="s">
        <v>324</v>
      </c>
      <c r="B2737" s="2" t="s">
        <v>402</v>
      </c>
      <c r="C2737" s="2" t="s">
        <v>408</v>
      </c>
      <c r="D2737" s="2" t="s">
        <v>411</v>
      </c>
      <c r="E2737" s="2" t="s">
        <v>413</v>
      </c>
      <c r="F2737" s="2" t="s">
        <v>40</v>
      </c>
      <c r="G2737" s="2" t="s">
        <v>418</v>
      </c>
      <c r="H2737" s="2" t="s">
        <v>563</v>
      </c>
      <c r="S2737" s="2" t="s">
        <v>57</v>
      </c>
      <c r="U2737" s="2" t="s">
        <v>60</v>
      </c>
      <c r="W2737" s="2" t="s">
        <v>60</v>
      </c>
    </row>
    <row r="2738" spans="1:25" x14ac:dyDescent="0.25">
      <c r="A2738" s="2" t="s">
        <v>324</v>
      </c>
      <c r="B2738" s="2" t="s">
        <v>531</v>
      </c>
      <c r="C2738" s="2" t="s">
        <v>408</v>
      </c>
      <c r="D2738" s="2" t="s">
        <v>411</v>
      </c>
      <c r="E2738" s="2" t="s">
        <v>413</v>
      </c>
      <c r="F2738" s="2" t="s">
        <v>40</v>
      </c>
      <c r="J2738" s="2" t="s">
        <v>532</v>
      </c>
      <c r="K2738" s="2" t="s">
        <v>533</v>
      </c>
      <c r="L2738" s="2">
        <v>1</v>
      </c>
      <c r="M2738" s="2" t="s">
        <v>534</v>
      </c>
      <c r="O2738" s="2" t="s">
        <v>524</v>
      </c>
      <c r="Y2738" s="2" t="s">
        <v>680</v>
      </c>
    </row>
    <row r="2739" spans="1:25" x14ac:dyDescent="0.25">
      <c r="A2739" s="2" t="s">
        <v>324</v>
      </c>
      <c r="B2739" s="2" t="s">
        <v>531</v>
      </c>
      <c r="C2739" s="2" t="s">
        <v>408</v>
      </c>
      <c r="D2739" s="2" t="s">
        <v>411</v>
      </c>
      <c r="E2739" s="2" t="s">
        <v>413</v>
      </c>
      <c r="F2739" s="2" t="s">
        <v>40</v>
      </c>
      <c r="J2739" s="2" t="s">
        <v>532</v>
      </c>
      <c r="K2739" s="2" t="s">
        <v>533</v>
      </c>
      <c r="L2739" s="2">
        <v>2</v>
      </c>
      <c r="M2739" s="2" t="s">
        <v>536</v>
      </c>
      <c r="O2739" s="2" t="s">
        <v>524</v>
      </c>
      <c r="Y2739" s="2" t="s">
        <v>680</v>
      </c>
    </row>
    <row r="2740" spans="1:25" x14ac:dyDescent="0.25">
      <c r="A2740" s="2" t="s">
        <v>324</v>
      </c>
      <c r="B2740" s="2" t="s">
        <v>531</v>
      </c>
      <c r="C2740" s="2" t="s">
        <v>408</v>
      </c>
      <c r="D2740" s="2" t="s">
        <v>411</v>
      </c>
      <c r="E2740" s="2" t="s">
        <v>413</v>
      </c>
      <c r="F2740" s="2" t="s">
        <v>40</v>
      </c>
      <c r="J2740" s="2" t="s">
        <v>532</v>
      </c>
      <c r="K2740" s="2" t="s">
        <v>533</v>
      </c>
      <c r="L2740" s="2">
        <v>3</v>
      </c>
      <c r="M2740" s="2" t="s">
        <v>537</v>
      </c>
      <c r="O2740" s="2" t="s">
        <v>524</v>
      </c>
      <c r="Y2740" s="2" t="s">
        <v>680</v>
      </c>
    </row>
    <row r="2741" spans="1:25" x14ac:dyDescent="0.25">
      <c r="A2741" s="2" t="s">
        <v>324</v>
      </c>
      <c r="B2741" s="2" t="s">
        <v>531</v>
      </c>
      <c r="C2741" s="2" t="s">
        <v>408</v>
      </c>
      <c r="D2741" s="2" t="s">
        <v>411</v>
      </c>
      <c r="E2741" s="2" t="s">
        <v>413</v>
      </c>
      <c r="F2741" s="2" t="s">
        <v>40</v>
      </c>
      <c r="J2741" s="2" t="s">
        <v>532</v>
      </c>
      <c r="K2741" s="2" t="s">
        <v>533</v>
      </c>
      <c r="L2741" s="2">
        <v>4</v>
      </c>
      <c r="M2741" s="2" t="s">
        <v>538</v>
      </c>
      <c r="O2741" s="2" t="s">
        <v>524</v>
      </c>
      <c r="Y2741" s="2" t="s">
        <v>680</v>
      </c>
    </row>
    <row r="2742" spans="1:25" x14ac:dyDescent="0.25">
      <c r="A2742" s="2" t="s">
        <v>324</v>
      </c>
      <c r="B2742" s="2" t="s">
        <v>531</v>
      </c>
      <c r="C2742" s="2" t="s">
        <v>408</v>
      </c>
      <c r="D2742" s="2" t="s">
        <v>411</v>
      </c>
      <c r="E2742" s="2" t="s">
        <v>413</v>
      </c>
      <c r="F2742" s="2" t="s">
        <v>40</v>
      </c>
      <c r="J2742" s="2" t="s">
        <v>532</v>
      </c>
      <c r="K2742" s="2" t="s">
        <v>533</v>
      </c>
      <c r="L2742" s="2">
        <v>5</v>
      </c>
      <c r="M2742" s="2" t="s">
        <v>539</v>
      </c>
      <c r="O2742" s="2" t="s">
        <v>524</v>
      </c>
      <c r="Y2742" s="2" t="s">
        <v>680</v>
      </c>
    </row>
    <row r="2743" spans="1:25" x14ac:dyDescent="0.25">
      <c r="A2743" s="2" t="s">
        <v>324</v>
      </c>
      <c r="B2743" s="2" t="s">
        <v>540</v>
      </c>
      <c r="C2743" s="2" t="s">
        <v>408</v>
      </c>
      <c r="D2743" s="2" t="s">
        <v>411</v>
      </c>
      <c r="E2743" s="2" t="s">
        <v>413</v>
      </c>
      <c r="F2743" s="2" t="s">
        <v>40</v>
      </c>
      <c r="J2743" s="2" t="s">
        <v>541</v>
      </c>
      <c r="K2743" s="2" t="s">
        <v>542</v>
      </c>
      <c r="L2743" s="2">
        <v>1</v>
      </c>
      <c r="M2743" s="2" t="s">
        <v>543</v>
      </c>
      <c r="O2743" s="2" t="s">
        <v>524</v>
      </c>
      <c r="Y2743" s="2" t="s">
        <v>680</v>
      </c>
    </row>
    <row r="2744" spans="1:25" x14ac:dyDescent="0.25">
      <c r="A2744" s="2" t="s">
        <v>324</v>
      </c>
      <c r="B2744" s="2" t="s">
        <v>540</v>
      </c>
      <c r="C2744" s="2" t="s">
        <v>408</v>
      </c>
      <c r="D2744" s="2" t="s">
        <v>411</v>
      </c>
      <c r="E2744" s="2" t="s">
        <v>413</v>
      </c>
      <c r="F2744" s="2" t="s">
        <v>40</v>
      </c>
      <c r="J2744" s="2" t="s">
        <v>541</v>
      </c>
      <c r="K2744" s="2" t="s">
        <v>542</v>
      </c>
      <c r="L2744" s="2">
        <v>2</v>
      </c>
      <c r="M2744" s="2" t="s">
        <v>544</v>
      </c>
      <c r="O2744" s="2" t="s">
        <v>524</v>
      </c>
      <c r="Y2744" s="2" t="s">
        <v>680</v>
      </c>
    </row>
    <row r="2745" spans="1:25" x14ac:dyDescent="0.25">
      <c r="A2745" s="2" t="s">
        <v>324</v>
      </c>
      <c r="B2745" s="2" t="s">
        <v>540</v>
      </c>
      <c r="C2745" s="2" t="s">
        <v>408</v>
      </c>
      <c r="D2745" s="2" t="s">
        <v>411</v>
      </c>
      <c r="E2745" s="2" t="s">
        <v>413</v>
      </c>
      <c r="F2745" s="2" t="s">
        <v>40</v>
      </c>
      <c r="J2745" s="2" t="s">
        <v>541</v>
      </c>
      <c r="K2745" s="2" t="s">
        <v>542</v>
      </c>
      <c r="L2745" s="2">
        <v>3</v>
      </c>
      <c r="M2745" s="2" t="s">
        <v>545</v>
      </c>
      <c r="O2745" s="2" t="s">
        <v>524</v>
      </c>
      <c r="Y2745" s="2" t="s">
        <v>680</v>
      </c>
    </row>
    <row r="2746" spans="1:25" x14ac:dyDescent="0.25">
      <c r="A2746" s="2" t="s">
        <v>324</v>
      </c>
      <c r="B2746" s="2" t="s">
        <v>540</v>
      </c>
      <c r="C2746" s="2" t="s">
        <v>408</v>
      </c>
      <c r="D2746" s="2" t="s">
        <v>411</v>
      </c>
      <c r="E2746" s="2" t="s">
        <v>413</v>
      </c>
      <c r="F2746" s="2" t="s">
        <v>40</v>
      </c>
      <c r="J2746" s="2" t="s">
        <v>541</v>
      </c>
      <c r="K2746" s="2" t="s">
        <v>542</v>
      </c>
      <c r="L2746" s="2">
        <v>4</v>
      </c>
      <c r="M2746" s="2" t="s">
        <v>546</v>
      </c>
      <c r="O2746" s="2" t="s">
        <v>524</v>
      </c>
      <c r="Y2746" s="2" t="s">
        <v>680</v>
      </c>
    </row>
    <row r="2747" spans="1:25" x14ac:dyDescent="0.25">
      <c r="A2747" s="2" t="s">
        <v>324</v>
      </c>
      <c r="B2747" s="2" t="s">
        <v>540</v>
      </c>
      <c r="C2747" s="2" t="s">
        <v>408</v>
      </c>
      <c r="D2747" s="2" t="s">
        <v>411</v>
      </c>
      <c r="E2747" s="2" t="s">
        <v>413</v>
      </c>
      <c r="F2747" s="2" t="s">
        <v>40</v>
      </c>
      <c r="J2747" s="2" t="s">
        <v>541</v>
      </c>
      <c r="K2747" s="2" t="s">
        <v>542</v>
      </c>
      <c r="L2747" s="2">
        <v>5</v>
      </c>
      <c r="M2747" s="2" t="s">
        <v>547</v>
      </c>
      <c r="O2747" s="2" t="s">
        <v>524</v>
      </c>
      <c r="Y2747" s="2" t="s">
        <v>680</v>
      </c>
    </row>
    <row r="2748" spans="1:25" x14ac:dyDescent="0.25">
      <c r="A2748" s="2" t="s">
        <v>324</v>
      </c>
      <c r="B2748" s="2" t="s">
        <v>540</v>
      </c>
      <c r="C2748" s="2" t="s">
        <v>408</v>
      </c>
      <c r="D2748" s="2" t="s">
        <v>411</v>
      </c>
      <c r="E2748" s="2" t="s">
        <v>413</v>
      </c>
      <c r="F2748" s="2" t="s">
        <v>40</v>
      </c>
      <c r="J2748" s="2" t="s">
        <v>541</v>
      </c>
      <c r="K2748" s="2" t="s">
        <v>542</v>
      </c>
      <c r="L2748" s="2">
        <v>6</v>
      </c>
      <c r="M2748" s="2" t="s">
        <v>548</v>
      </c>
      <c r="O2748" s="2" t="s">
        <v>524</v>
      </c>
      <c r="Y2748" s="2" t="s">
        <v>680</v>
      </c>
    </row>
    <row r="2749" spans="1:25" x14ac:dyDescent="0.25">
      <c r="A2749" s="2" t="s">
        <v>324</v>
      </c>
      <c r="B2749" s="2" t="s">
        <v>540</v>
      </c>
      <c r="C2749" s="2" t="s">
        <v>408</v>
      </c>
      <c r="D2749" s="2" t="s">
        <v>411</v>
      </c>
      <c r="E2749" s="2" t="s">
        <v>413</v>
      </c>
      <c r="F2749" s="2" t="s">
        <v>40</v>
      </c>
      <c r="J2749" s="2" t="s">
        <v>541</v>
      </c>
      <c r="K2749" s="2" t="s">
        <v>542</v>
      </c>
      <c r="L2749" s="2">
        <v>7</v>
      </c>
      <c r="M2749" s="2" t="s">
        <v>549</v>
      </c>
      <c r="O2749" s="2" t="s">
        <v>524</v>
      </c>
      <c r="Y2749" s="2" t="s">
        <v>680</v>
      </c>
    </row>
    <row r="2750" spans="1:25" x14ac:dyDescent="0.25">
      <c r="A2750" s="2" t="s">
        <v>324</v>
      </c>
      <c r="B2750" s="2" t="s">
        <v>540</v>
      </c>
      <c r="C2750" s="2" t="s">
        <v>408</v>
      </c>
      <c r="D2750" s="2" t="s">
        <v>411</v>
      </c>
      <c r="E2750" s="2" t="s">
        <v>413</v>
      </c>
      <c r="F2750" s="2" t="s">
        <v>40</v>
      </c>
      <c r="J2750" s="2" t="s">
        <v>541</v>
      </c>
      <c r="K2750" s="2" t="s">
        <v>542</v>
      </c>
      <c r="L2750" s="2">
        <v>8</v>
      </c>
      <c r="M2750" s="2" t="s">
        <v>550</v>
      </c>
      <c r="O2750" s="2" t="s">
        <v>524</v>
      </c>
      <c r="Y2750" s="2" t="s">
        <v>680</v>
      </c>
    </row>
    <row r="2751" spans="1:25" x14ac:dyDescent="0.25">
      <c r="A2751" s="2" t="s">
        <v>324</v>
      </c>
      <c r="B2751" s="2" t="s">
        <v>540</v>
      </c>
      <c r="C2751" s="2" t="s">
        <v>408</v>
      </c>
      <c r="D2751" s="2" t="s">
        <v>411</v>
      </c>
      <c r="E2751" s="2" t="s">
        <v>413</v>
      </c>
      <c r="F2751" s="2" t="s">
        <v>40</v>
      </c>
      <c r="J2751" s="2" t="s">
        <v>541</v>
      </c>
      <c r="K2751" s="2" t="s">
        <v>542</v>
      </c>
      <c r="L2751" s="2">
        <v>9</v>
      </c>
      <c r="M2751" s="2" t="s">
        <v>551</v>
      </c>
      <c r="O2751" s="2" t="s">
        <v>524</v>
      </c>
      <c r="Y2751" s="2" t="s">
        <v>680</v>
      </c>
    </row>
    <row r="2752" spans="1:25" x14ac:dyDescent="0.25">
      <c r="A2752" s="2" t="s">
        <v>324</v>
      </c>
      <c r="B2752" s="2" t="s">
        <v>540</v>
      </c>
      <c r="C2752" s="2" t="s">
        <v>408</v>
      </c>
      <c r="D2752" s="2" t="s">
        <v>411</v>
      </c>
      <c r="E2752" s="2" t="s">
        <v>413</v>
      </c>
      <c r="F2752" s="2" t="s">
        <v>40</v>
      </c>
      <c r="J2752" s="2" t="s">
        <v>541</v>
      </c>
      <c r="K2752" s="2" t="s">
        <v>542</v>
      </c>
      <c r="L2752" s="2">
        <v>10</v>
      </c>
      <c r="M2752" s="2" t="s">
        <v>552</v>
      </c>
      <c r="O2752" s="2" t="s">
        <v>524</v>
      </c>
      <c r="Y2752" s="2" t="s">
        <v>680</v>
      </c>
    </row>
    <row r="2753" spans="1:34" x14ac:dyDescent="0.25">
      <c r="A2753" s="2" t="s">
        <v>324</v>
      </c>
      <c r="B2753" s="2" t="s">
        <v>540</v>
      </c>
      <c r="C2753" s="2" t="s">
        <v>408</v>
      </c>
      <c r="D2753" s="2" t="s">
        <v>411</v>
      </c>
      <c r="E2753" s="2" t="s">
        <v>413</v>
      </c>
      <c r="F2753" s="2" t="s">
        <v>40</v>
      </c>
      <c r="J2753" s="2" t="s">
        <v>541</v>
      </c>
      <c r="K2753" s="2" t="s">
        <v>542</v>
      </c>
      <c r="L2753" s="2">
        <v>11</v>
      </c>
      <c r="M2753" s="2" t="s">
        <v>553</v>
      </c>
      <c r="O2753" s="2" t="s">
        <v>524</v>
      </c>
      <c r="Y2753" s="2" t="s">
        <v>680</v>
      </c>
    </row>
    <row r="2754" spans="1:34" x14ac:dyDescent="0.25">
      <c r="A2754" s="2" t="s">
        <v>324</v>
      </c>
      <c r="B2754" s="2" t="s">
        <v>540</v>
      </c>
      <c r="C2754" s="2" t="s">
        <v>408</v>
      </c>
      <c r="D2754" s="2" t="s">
        <v>411</v>
      </c>
      <c r="E2754" s="2" t="s">
        <v>413</v>
      </c>
      <c r="F2754" s="2" t="s">
        <v>40</v>
      </c>
      <c r="J2754" s="2" t="s">
        <v>541</v>
      </c>
      <c r="K2754" s="2" t="s">
        <v>542</v>
      </c>
      <c r="L2754" s="2">
        <v>12</v>
      </c>
      <c r="M2754" s="2" t="s">
        <v>554</v>
      </c>
      <c r="O2754" s="2" t="s">
        <v>524</v>
      </c>
      <c r="Y2754" s="2" t="s">
        <v>680</v>
      </c>
    </row>
    <row r="2755" spans="1:34" x14ac:dyDescent="0.25">
      <c r="A2755" s="2" t="s">
        <v>324</v>
      </c>
      <c r="B2755" s="2" t="s">
        <v>555</v>
      </c>
      <c r="C2755" s="2" t="s">
        <v>408</v>
      </c>
      <c r="D2755" s="2" t="s">
        <v>411</v>
      </c>
      <c r="E2755" s="2" t="s">
        <v>413</v>
      </c>
      <c r="F2755" s="2" t="s">
        <v>40</v>
      </c>
      <c r="J2755" s="2" t="s">
        <v>556</v>
      </c>
      <c r="O2755" s="2" t="s">
        <v>524</v>
      </c>
      <c r="Y2755" s="2" t="s">
        <v>680</v>
      </c>
      <c r="AB2755" s="2">
        <v>2</v>
      </c>
    </row>
    <row r="2756" spans="1:34" x14ac:dyDescent="0.25">
      <c r="A2756" s="2" t="s">
        <v>324</v>
      </c>
      <c r="B2756" s="2" t="s">
        <v>557</v>
      </c>
      <c r="C2756" s="2" t="s">
        <v>408</v>
      </c>
      <c r="D2756" s="2" t="s">
        <v>411</v>
      </c>
      <c r="E2756" s="2" t="s">
        <v>413</v>
      </c>
      <c r="F2756" s="2" t="s">
        <v>40</v>
      </c>
      <c r="J2756" s="2" t="s">
        <v>558</v>
      </c>
      <c r="O2756" s="2" t="s">
        <v>524</v>
      </c>
      <c r="Y2756" s="2" t="s">
        <v>680</v>
      </c>
      <c r="AC2756" s="2">
        <f>COUNTIFS($B:$B,"BLOCK_LOAD_Q",$A:$A,$A2756,$C:$C,$C2756,$E:$E,$E2756,$F:$F,$F2756,$N:$N, "&lt;&gt;")</f>
        <v>0</v>
      </c>
      <c r="AD2756" s="2">
        <f>COUNTIFS($B:$B,"BLOCK_TRUST_Q",$A:$A,$A2756,$C:$C,$C2756,$E:$E,$E2756,$F:$F,$F2756,$N:$N, "&lt;&gt;")</f>
        <v>0</v>
      </c>
      <c r="AE2756" s="2" t="str">
        <f>IFERROR(AVERAGEIFS($P:$P,$B:$B,"BLOCK_LOAD_Q",$A:$A,$A2756,$C:$C,$C2756,$E:$E,$E2756,$F:$F,$F2756,$P:$P,"&gt;0"),"")</f>
        <v/>
      </c>
      <c r="AF2756" s="2" t="str">
        <f>IFERROR(AVERAGEIFS($P:$P,$B:$B,"BLOCK_TRUST_Q",$A:$A,$A2756,$C:$C,$C2756,$E:$E,$E2756,$F:$F,$F2756,$P:$P,"&gt;0"),"")</f>
        <v/>
      </c>
      <c r="AG2756" s="2">
        <f>5-AC2756</f>
        <v>5</v>
      </c>
      <c r="AH2756" s="2">
        <f>12-AD2756</f>
        <v>12</v>
      </c>
    </row>
    <row r="2757" spans="1:34" x14ac:dyDescent="0.25">
      <c r="A2757" s="2" t="s">
        <v>324</v>
      </c>
      <c r="B2757" s="2" t="s">
        <v>402</v>
      </c>
      <c r="C2757" s="2" t="s">
        <v>408</v>
      </c>
      <c r="D2757" s="2" t="s">
        <v>411</v>
      </c>
      <c r="E2757" s="2" t="s">
        <v>414</v>
      </c>
      <c r="F2757" s="2" t="s">
        <v>39</v>
      </c>
      <c r="G2757" s="2" t="s">
        <v>415</v>
      </c>
      <c r="H2757" s="2" t="s">
        <v>349</v>
      </c>
      <c r="S2757" s="2" t="s">
        <v>58</v>
      </c>
      <c r="U2757" s="2" t="s">
        <v>60</v>
      </c>
      <c r="W2757" s="2" t="s">
        <v>58</v>
      </c>
    </row>
    <row r="2758" spans="1:34" x14ac:dyDescent="0.25">
      <c r="A2758" s="2" t="s">
        <v>324</v>
      </c>
      <c r="B2758" s="2" t="s">
        <v>402</v>
      </c>
      <c r="C2758" s="2" t="s">
        <v>408</v>
      </c>
      <c r="D2758" s="2" t="s">
        <v>411</v>
      </c>
      <c r="E2758" s="2" t="s">
        <v>414</v>
      </c>
      <c r="F2758" s="2" t="s">
        <v>39</v>
      </c>
      <c r="G2758" s="2" t="s">
        <v>416</v>
      </c>
      <c r="H2758" s="2" t="s">
        <v>565</v>
      </c>
      <c r="S2758" s="2" t="s">
        <v>59</v>
      </c>
      <c r="U2758" s="2" t="s">
        <v>60</v>
      </c>
      <c r="W2758" s="2" t="s">
        <v>60</v>
      </c>
    </row>
    <row r="2759" spans="1:34" x14ac:dyDescent="0.25">
      <c r="A2759" s="2" t="s">
        <v>324</v>
      </c>
      <c r="B2759" s="2" t="s">
        <v>402</v>
      </c>
      <c r="C2759" s="2" t="s">
        <v>408</v>
      </c>
      <c r="D2759" s="2" t="s">
        <v>411</v>
      </c>
      <c r="E2759" s="2" t="s">
        <v>414</v>
      </c>
      <c r="F2759" s="2" t="s">
        <v>39</v>
      </c>
      <c r="G2759" s="2" t="s">
        <v>417</v>
      </c>
      <c r="H2759" s="2" t="s">
        <v>361</v>
      </c>
      <c r="S2759" s="2" t="s">
        <v>60</v>
      </c>
      <c r="U2759" s="2" t="s">
        <v>60</v>
      </c>
      <c r="W2759" s="2" t="s">
        <v>60</v>
      </c>
    </row>
    <row r="2760" spans="1:34" x14ac:dyDescent="0.25">
      <c r="A2760" s="2" t="s">
        <v>324</v>
      </c>
      <c r="B2760" s="2" t="s">
        <v>402</v>
      </c>
      <c r="C2760" s="2" t="s">
        <v>408</v>
      </c>
      <c r="D2760" s="2" t="s">
        <v>411</v>
      </c>
      <c r="E2760" s="2" t="s">
        <v>414</v>
      </c>
      <c r="F2760" s="2" t="s">
        <v>39</v>
      </c>
      <c r="G2760" s="2" t="s">
        <v>418</v>
      </c>
      <c r="H2760" s="2" t="s">
        <v>353</v>
      </c>
      <c r="S2760" s="2" t="s">
        <v>58</v>
      </c>
      <c r="U2760" s="2" t="s">
        <v>59</v>
      </c>
      <c r="W2760" s="2" t="s">
        <v>58</v>
      </c>
    </row>
    <row r="2761" spans="1:34" x14ac:dyDescent="0.25">
      <c r="A2761" s="2" t="s">
        <v>324</v>
      </c>
      <c r="B2761" s="2" t="s">
        <v>402</v>
      </c>
      <c r="C2761" s="2" t="s">
        <v>408</v>
      </c>
      <c r="D2761" s="2" t="s">
        <v>411</v>
      </c>
      <c r="E2761" s="2" t="s">
        <v>414</v>
      </c>
      <c r="F2761" s="2" t="s">
        <v>39</v>
      </c>
      <c r="G2761" s="2" t="s">
        <v>419</v>
      </c>
      <c r="H2761" s="2" t="s">
        <v>371</v>
      </c>
      <c r="S2761" s="2" t="s">
        <v>60</v>
      </c>
      <c r="U2761" s="2" t="s">
        <v>59</v>
      </c>
      <c r="W2761" s="2" t="s">
        <v>57</v>
      </c>
    </row>
    <row r="2762" spans="1:34" x14ac:dyDescent="0.25">
      <c r="A2762" s="2" t="s">
        <v>324</v>
      </c>
      <c r="B2762" s="2" t="s">
        <v>531</v>
      </c>
      <c r="C2762" s="2" t="s">
        <v>408</v>
      </c>
      <c r="D2762" s="2" t="s">
        <v>411</v>
      </c>
      <c r="E2762" s="2" t="s">
        <v>414</v>
      </c>
      <c r="F2762" s="2" t="s">
        <v>39</v>
      </c>
      <c r="J2762" s="2" t="s">
        <v>532</v>
      </c>
      <c r="K2762" s="2" t="s">
        <v>533</v>
      </c>
      <c r="L2762" s="2">
        <v>1</v>
      </c>
      <c r="M2762" s="2" t="s">
        <v>534</v>
      </c>
      <c r="O2762" s="2" t="s">
        <v>524</v>
      </c>
      <c r="Y2762" s="2" t="s">
        <v>681</v>
      </c>
    </row>
    <row r="2763" spans="1:34" x14ac:dyDescent="0.25">
      <c r="A2763" s="2" t="s">
        <v>324</v>
      </c>
      <c r="B2763" s="2" t="s">
        <v>531</v>
      </c>
      <c r="C2763" s="2" t="s">
        <v>408</v>
      </c>
      <c r="D2763" s="2" t="s">
        <v>411</v>
      </c>
      <c r="E2763" s="2" t="s">
        <v>414</v>
      </c>
      <c r="F2763" s="2" t="s">
        <v>39</v>
      </c>
      <c r="J2763" s="2" t="s">
        <v>532</v>
      </c>
      <c r="K2763" s="2" t="s">
        <v>533</v>
      </c>
      <c r="L2763" s="2">
        <v>2</v>
      </c>
      <c r="M2763" s="2" t="s">
        <v>536</v>
      </c>
      <c r="O2763" s="2" t="s">
        <v>524</v>
      </c>
      <c r="Y2763" s="2" t="s">
        <v>681</v>
      </c>
    </row>
    <row r="2764" spans="1:34" x14ac:dyDescent="0.25">
      <c r="A2764" s="2" t="s">
        <v>324</v>
      </c>
      <c r="B2764" s="2" t="s">
        <v>531</v>
      </c>
      <c r="C2764" s="2" t="s">
        <v>408</v>
      </c>
      <c r="D2764" s="2" t="s">
        <v>411</v>
      </c>
      <c r="E2764" s="2" t="s">
        <v>414</v>
      </c>
      <c r="F2764" s="2" t="s">
        <v>39</v>
      </c>
      <c r="J2764" s="2" t="s">
        <v>532</v>
      </c>
      <c r="K2764" s="2" t="s">
        <v>533</v>
      </c>
      <c r="L2764" s="2">
        <v>3</v>
      </c>
      <c r="M2764" s="2" t="s">
        <v>537</v>
      </c>
      <c r="O2764" s="2" t="s">
        <v>524</v>
      </c>
      <c r="Y2764" s="2" t="s">
        <v>681</v>
      </c>
    </row>
    <row r="2765" spans="1:34" x14ac:dyDescent="0.25">
      <c r="A2765" s="2" t="s">
        <v>324</v>
      </c>
      <c r="B2765" s="2" t="s">
        <v>531</v>
      </c>
      <c r="C2765" s="2" t="s">
        <v>408</v>
      </c>
      <c r="D2765" s="2" t="s">
        <v>411</v>
      </c>
      <c r="E2765" s="2" t="s">
        <v>414</v>
      </c>
      <c r="F2765" s="2" t="s">
        <v>39</v>
      </c>
      <c r="J2765" s="2" t="s">
        <v>532</v>
      </c>
      <c r="K2765" s="2" t="s">
        <v>533</v>
      </c>
      <c r="L2765" s="2">
        <v>4</v>
      </c>
      <c r="M2765" s="2" t="s">
        <v>538</v>
      </c>
      <c r="O2765" s="2" t="s">
        <v>524</v>
      </c>
      <c r="Y2765" s="2" t="s">
        <v>681</v>
      </c>
    </row>
    <row r="2766" spans="1:34" x14ac:dyDescent="0.25">
      <c r="A2766" s="2" t="s">
        <v>324</v>
      </c>
      <c r="B2766" s="2" t="s">
        <v>531</v>
      </c>
      <c r="C2766" s="2" t="s">
        <v>408</v>
      </c>
      <c r="D2766" s="2" t="s">
        <v>411</v>
      </c>
      <c r="E2766" s="2" t="s">
        <v>414</v>
      </c>
      <c r="F2766" s="2" t="s">
        <v>39</v>
      </c>
      <c r="J2766" s="2" t="s">
        <v>532</v>
      </c>
      <c r="K2766" s="2" t="s">
        <v>533</v>
      </c>
      <c r="L2766" s="2">
        <v>5</v>
      </c>
      <c r="M2766" s="2" t="s">
        <v>539</v>
      </c>
      <c r="O2766" s="2" t="s">
        <v>524</v>
      </c>
      <c r="Y2766" s="2" t="s">
        <v>681</v>
      </c>
    </row>
    <row r="2767" spans="1:34" x14ac:dyDescent="0.25">
      <c r="A2767" s="2" t="s">
        <v>324</v>
      </c>
      <c r="B2767" s="2" t="s">
        <v>540</v>
      </c>
      <c r="C2767" s="2" t="s">
        <v>408</v>
      </c>
      <c r="D2767" s="2" t="s">
        <v>411</v>
      </c>
      <c r="E2767" s="2" t="s">
        <v>414</v>
      </c>
      <c r="F2767" s="2" t="s">
        <v>39</v>
      </c>
      <c r="J2767" s="2" t="s">
        <v>541</v>
      </c>
      <c r="K2767" s="2" t="s">
        <v>542</v>
      </c>
      <c r="L2767" s="2">
        <v>1</v>
      </c>
      <c r="M2767" s="2" t="s">
        <v>543</v>
      </c>
      <c r="O2767" s="2" t="s">
        <v>524</v>
      </c>
      <c r="Y2767" s="2" t="s">
        <v>681</v>
      </c>
    </row>
    <row r="2768" spans="1:34" x14ac:dyDescent="0.25">
      <c r="A2768" s="2" t="s">
        <v>324</v>
      </c>
      <c r="B2768" s="2" t="s">
        <v>540</v>
      </c>
      <c r="C2768" s="2" t="s">
        <v>408</v>
      </c>
      <c r="D2768" s="2" t="s">
        <v>411</v>
      </c>
      <c r="E2768" s="2" t="s">
        <v>414</v>
      </c>
      <c r="F2768" s="2" t="s">
        <v>39</v>
      </c>
      <c r="J2768" s="2" t="s">
        <v>541</v>
      </c>
      <c r="K2768" s="2" t="s">
        <v>542</v>
      </c>
      <c r="L2768" s="2">
        <v>2</v>
      </c>
      <c r="M2768" s="2" t="s">
        <v>544</v>
      </c>
      <c r="O2768" s="2" t="s">
        <v>524</v>
      </c>
      <c r="Y2768" s="2" t="s">
        <v>681</v>
      </c>
    </row>
    <row r="2769" spans="1:34" x14ac:dyDescent="0.25">
      <c r="A2769" s="2" t="s">
        <v>324</v>
      </c>
      <c r="B2769" s="2" t="s">
        <v>540</v>
      </c>
      <c r="C2769" s="2" t="s">
        <v>408</v>
      </c>
      <c r="D2769" s="2" t="s">
        <v>411</v>
      </c>
      <c r="E2769" s="2" t="s">
        <v>414</v>
      </c>
      <c r="F2769" s="2" t="s">
        <v>39</v>
      </c>
      <c r="J2769" s="2" t="s">
        <v>541</v>
      </c>
      <c r="K2769" s="2" t="s">
        <v>542</v>
      </c>
      <c r="L2769" s="2">
        <v>3</v>
      </c>
      <c r="M2769" s="2" t="s">
        <v>545</v>
      </c>
      <c r="O2769" s="2" t="s">
        <v>524</v>
      </c>
      <c r="Y2769" s="2" t="s">
        <v>681</v>
      </c>
    </row>
    <row r="2770" spans="1:34" x14ac:dyDescent="0.25">
      <c r="A2770" s="2" t="s">
        <v>324</v>
      </c>
      <c r="B2770" s="2" t="s">
        <v>540</v>
      </c>
      <c r="C2770" s="2" t="s">
        <v>408</v>
      </c>
      <c r="D2770" s="2" t="s">
        <v>411</v>
      </c>
      <c r="E2770" s="2" t="s">
        <v>414</v>
      </c>
      <c r="F2770" s="2" t="s">
        <v>39</v>
      </c>
      <c r="J2770" s="2" t="s">
        <v>541</v>
      </c>
      <c r="K2770" s="2" t="s">
        <v>542</v>
      </c>
      <c r="L2770" s="2">
        <v>4</v>
      </c>
      <c r="M2770" s="2" t="s">
        <v>546</v>
      </c>
      <c r="O2770" s="2" t="s">
        <v>524</v>
      </c>
      <c r="Y2770" s="2" t="s">
        <v>681</v>
      </c>
    </row>
    <row r="2771" spans="1:34" x14ac:dyDescent="0.25">
      <c r="A2771" s="2" t="s">
        <v>324</v>
      </c>
      <c r="B2771" s="2" t="s">
        <v>540</v>
      </c>
      <c r="C2771" s="2" t="s">
        <v>408</v>
      </c>
      <c r="D2771" s="2" t="s">
        <v>411</v>
      </c>
      <c r="E2771" s="2" t="s">
        <v>414</v>
      </c>
      <c r="F2771" s="2" t="s">
        <v>39</v>
      </c>
      <c r="J2771" s="2" t="s">
        <v>541</v>
      </c>
      <c r="K2771" s="2" t="s">
        <v>542</v>
      </c>
      <c r="L2771" s="2">
        <v>5</v>
      </c>
      <c r="M2771" s="2" t="s">
        <v>547</v>
      </c>
      <c r="O2771" s="2" t="s">
        <v>524</v>
      </c>
      <c r="Y2771" s="2" t="s">
        <v>681</v>
      </c>
    </row>
    <row r="2772" spans="1:34" x14ac:dyDescent="0.25">
      <c r="A2772" s="2" t="s">
        <v>324</v>
      </c>
      <c r="B2772" s="2" t="s">
        <v>540</v>
      </c>
      <c r="C2772" s="2" t="s">
        <v>408</v>
      </c>
      <c r="D2772" s="2" t="s">
        <v>411</v>
      </c>
      <c r="E2772" s="2" t="s">
        <v>414</v>
      </c>
      <c r="F2772" s="2" t="s">
        <v>39</v>
      </c>
      <c r="J2772" s="2" t="s">
        <v>541</v>
      </c>
      <c r="K2772" s="2" t="s">
        <v>542</v>
      </c>
      <c r="L2772" s="2">
        <v>6</v>
      </c>
      <c r="M2772" s="2" t="s">
        <v>548</v>
      </c>
      <c r="O2772" s="2" t="s">
        <v>524</v>
      </c>
      <c r="Y2772" s="2" t="s">
        <v>681</v>
      </c>
    </row>
    <row r="2773" spans="1:34" x14ac:dyDescent="0.25">
      <c r="A2773" s="2" t="s">
        <v>324</v>
      </c>
      <c r="B2773" s="2" t="s">
        <v>540</v>
      </c>
      <c r="C2773" s="2" t="s">
        <v>408</v>
      </c>
      <c r="D2773" s="2" t="s">
        <v>411</v>
      </c>
      <c r="E2773" s="2" t="s">
        <v>414</v>
      </c>
      <c r="F2773" s="2" t="s">
        <v>39</v>
      </c>
      <c r="J2773" s="2" t="s">
        <v>541</v>
      </c>
      <c r="K2773" s="2" t="s">
        <v>542</v>
      </c>
      <c r="L2773" s="2">
        <v>7</v>
      </c>
      <c r="M2773" s="2" t="s">
        <v>549</v>
      </c>
      <c r="O2773" s="2" t="s">
        <v>524</v>
      </c>
      <c r="Y2773" s="2" t="s">
        <v>681</v>
      </c>
    </row>
    <row r="2774" spans="1:34" x14ac:dyDescent="0.25">
      <c r="A2774" s="2" t="s">
        <v>324</v>
      </c>
      <c r="B2774" s="2" t="s">
        <v>540</v>
      </c>
      <c r="C2774" s="2" t="s">
        <v>408</v>
      </c>
      <c r="D2774" s="2" t="s">
        <v>411</v>
      </c>
      <c r="E2774" s="2" t="s">
        <v>414</v>
      </c>
      <c r="F2774" s="2" t="s">
        <v>39</v>
      </c>
      <c r="J2774" s="2" t="s">
        <v>541</v>
      </c>
      <c r="K2774" s="2" t="s">
        <v>542</v>
      </c>
      <c r="L2774" s="2">
        <v>8</v>
      </c>
      <c r="M2774" s="2" t="s">
        <v>550</v>
      </c>
      <c r="O2774" s="2" t="s">
        <v>524</v>
      </c>
      <c r="Y2774" s="2" t="s">
        <v>681</v>
      </c>
    </row>
    <row r="2775" spans="1:34" x14ac:dyDescent="0.25">
      <c r="A2775" s="2" t="s">
        <v>324</v>
      </c>
      <c r="B2775" s="2" t="s">
        <v>540</v>
      </c>
      <c r="C2775" s="2" t="s">
        <v>408</v>
      </c>
      <c r="D2775" s="2" t="s">
        <v>411</v>
      </c>
      <c r="E2775" s="2" t="s">
        <v>414</v>
      </c>
      <c r="F2775" s="2" t="s">
        <v>39</v>
      </c>
      <c r="J2775" s="2" t="s">
        <v>541</v>
      </c>
      <c r="K2775" s="2" t="s">
        <v>542</v>
      </c>
      <c r="L2775" s="2">
        <v>9</v>
      </c>
      <c r="M2775" s="2" t="s">
        <v>551</v>
      </c>
      <c r="O2775" s="2" t="s">
        <v>524</v>
      </c>
      <c r="Y2775" s="2" t="s">
        <v>681</v>
      </c>
    </row>
    <row r="2776" spans="1:34" x14ac:dyDescent="0.25">
      <c r="A2776" s="2" t="s">
        <v>324</v>
      </c>
      <c r="B2776" s="2" t="s">
        <v>540</v>
      </c>
      <c r="C2776" s="2" t="s">
        <v>408</v>
      </c>
      <c r="D2776" s="2" t="s">
        <v>411</v>
      </c>
      <c r="E2776" s="2" t="s">
        <v>414</v>
      </c>
      <c r="F2776" s="2" t="s">
        <v>39</v>
      </c>
      <c r="J2776" s="2" t="s">
        <v>541</v>
      </c>
      <c r="K2776" s="2" t="s">
        <v>542</v>
      </c>
      <c r="L2776" s="2">
        <v>10</v>
      </c>
      <c r="M2776" s="2" t="s">
        <v>552</v>
      </c>
      <c r="O2776" s="2" t="s">
        <v>524</v>
      </c>
      <c r="Y2776" s="2" t="s">
        <v>681</v>
      </c>
    </row>
    <row r="2777" spans="1:34" x14ac:dyDescent="0.25">
      <c r="A2777" s="2" t="s">
        <v>324</v>
      </c>
      <c r="B2777" s="2" t="s">
        <v>540</v>
      </c>
      <c r="C2777" s="2" t="s">
        <v>408</v>
      </c>
      <c r="D2777" s="2" t="s">
        <v>411</v>
      </c>
      <c r="E2777" s="2" t="s">
        <v>414</v>
      </c>
      <c r="F2777" s="2" t="s">
        <v>39</v>
      </c>
      <c r="J2777" s="2" t="s">
        <v>541</v>
      </c>
      <c r="K2777" s="2" t="s">
        <v>542</v>
      </c>
      <c r="L2777" s="2">
        <v>11</v>
      </c>
      <c r="M2777" s="2" t="s">
        <v>553</v>
      </c>
      <c r="O2777" s="2" t="s">
        <v>524</v>
      </c>
      <c r="Y2777" s="2" t="s">
        <v>681</v>
      </c>
    </row>
    <row r="2778" spans="1:34" x14ac:dyDescent="0.25">
      <c r="A2778" s="2" t="s">
        <v>324</v>
      </c>
      <c r="B2778" s="2" t="s">
        <v>540</v>
      </c>
      <c r="C2778" s="2" t="s">
        <v>408</v>
      </c>
      <c r="D2778" s="2" t="s">
        <v>411</v>
      </c>
      <c r="E2778" s="2" t="s">
        <v>414</v>
      </c>
      <c r="F2778" s="2" t="s">
        <v>39</v>
      </c>
      <c r="J2778" s="2" t="s">
        <v>541</v>
      </c>
      <c r="K2778" s="2" t="s">
        <v>542</v>
      </c>
      <c r="L2778" s="2">
        <v>12</v>
      </c>
      <c r="M2778" s="2" t="s">
        <v>554</v>
      </c>
      <c r="O2778" s="2" t="s">
        <v>524</v>
      </c>
      <c r="Y2778" s="2" t="s">
        <v>681</v>
      </c>
    </row>
    <row r="2779" spans="1:34" x14ac:dyDescent="0.25">
      <c r="A2779" s="2" t="s">
        <v>324</v>
      </c>
      <c r="B2779" s="2" t="s">
        <v>555</v>
      </c>
      <c r="C2779" s="2" t="s">
        <v>408</v>
      </c>
      <c r="D2779" s="2" t="s">
        <v>411</v>
      </c>
      <c r="E2779" s="2" t="s">
        <v>414</v>
      </c>
      <c r="F2779" s="2" t="s">
        <v>39</v>
      </c>
      <c r="J2779" s="2" t="s">
        <v>556</v>
      </c>
      <c r="O2779" s="2" t="s">
        <v>524</v>
      </c>
      <c r="Y2779" s="2" t="s">
        <v>681</v>
      </c>
      <c r="AB2779" s="2">
        <v>1</v>
      </c>
    </row>
    <row r="2780" spans="1:34" x14ac:dyDescent="0.25">
      <c r="A2780" s="2" t="s">
        <v>324</v>
      </c>
      <c r="B2780" s="2" t="s">
        <v>557</v>
      </c>
      <c r="C2780" s="2" t="s">
        <v>408</v>
      </c>
      <c r="D2780" s="2" t="s">
        <v>411</v>
      </c>
      <c r="E2780" s="2" t="s">
        <v>414</v>
      </c>
      <c r="F2780" s="2" t="s">
        <v>39</v>
      </c>
      <c r="J2780" s="2" t="s">
        <v>558</v>
      </c>
      <c r="O2780" s="2" t="s">
        <v>524</v>
      </c>
      <c r="Y2780" s="2" t="s">
        <v>681</v>
      </c>
      <c r="AC2780" s="2">
        <f>COUNTIFS($B:$B,"BLOCK_LOAD_Q",$A:$A,$A2780,$C:$C,$C2780,$E:$E,$E2780,$F:$F,$F2780,$N:$N, "&lt;&gt;")</f>
        <v>0</v>
      </c>
      <c r="AD2780" s="2">
        <f>COUNTIFS($B:$B,"BLOCK_TRUST_Q",$A:$A,$A2780,$C:$C,$C2780,$E:$E,$E2780,$F:$F,$F2780,$N:$N, "&lt;&gt;")</f>
        <v>0</v>
      </c>
      <c r="AE2780" s="2" t="str">
        <f>IFERROR(AVERAGEIFS($P:$P,$B:$B,"BLOCK_LOAD_Q",$A:$A,$A2780,$C:$C,$C2780,$E:$E,$E2780,$F:$F,$F2780,$P:$P,"&gt;0"),"")</f>
        <v/>
      </c>
      <c r="AF2780" s="2" t="str">
        <f>IFERROR(AVERAGEIFS($P:$P,$B:$B,"BLOCK_TRUST_Q",$A:$A,$A2780,$C:$C,$C2780,$E:$E,$E2780,$F:$F,$F2780,$P:$P,"&gt;0"),"")</f>
        <v/>
      </c>
      <c r="AG2780" s="2">
        <f>5-AC2780</f>
        <v>5</v>
      </c>
      <c r="AH2780" s="2">
        <f>12-AD2780</f>
        <v>12</v>
      </c>
    </row>
    <row r="2781" spans="1:34" x14ac:dyDescent="0.25">
      <c r="A2781" s="2" t="s">
        <v>324</v>
      </c>
      <c r="B2781" s="2" t="s">
        <v>403</v>
      </c>
      <c r="C2781" s="2" t="s">
        <v>408</v>
      </c>
      <c r="D2781" s="2" t="s">
        <v>411</v>
      </c>
      <c r="Z2781" s="2" t="s">
        <v>475</v>
      </c>
    </row>
    <row r="2782" spans="1:34" x14ac:dyDescent="0.25">
      <c r="A2782" s="2" t="s">
        <v>324</v>
      </c>
      <c r="B2782" s="2" t="s">
        <v>402</v>
      </c>
      <c r="C2782" s="2" t="s">
        <v>409</v>
      </c>
      <c r="D2782" s="2" t="s">
        <v>412</v>
      </c>
      <c r="E2782" s="2" t="s">
        <v>413</v>
      </c>
      <c r="F2782" s="2" t="s">
        <v>39</v>
      </c>
      <c r="G2782" s="2" t="s">
        <v>415</v>
      </c>
      <c r="H2782" s="2" t="s">
        <v>350</v>
      </c>
      <c r="S2782" s="2" t="s">
        <v>57</v>
      </c>
      <c r="U2782" s="2" t="s">
        <v>58</v>
      </c>
      <c r="W2782" s="2" t="s">
        <v>59</v>
      </c>
    </row>
    <row r="2783" spans="1:34" x14ac:dyDescent="0.25">
      <c r="A2783" s="2" t="s">
        <v>324</v>
      </c>
      <c r="B2783" s="2" t="s">
        <v>402</v>
      </c>
      <c r="C2783" s="2" t="s">
        <v>409</v>
      </c>
      <c r="D2783" s="2" t="s">
        <v>412</v>
      </c>
      <c r="E2783" s="2" t="s">
        <v>413</v>
      </c>
      <c r="F2783" s="2" t="s">
        <v>39</v>
      </c>
      <c r="G2783" s="2" t="s">
        <v>416</v>
      </c>
      <c r="H2783" s="2" t="s">
        <v>571</v>
      </c>
      <c r="S2783" s="2" t="s">
        <v>59</v>
      </c>
      <c r="U2783" s="2" t="s">
        <v>57</v>
      </c>
      <c r="W2783" s="2" t="s">
        <v>60</v>
      </c>
    </row>
    <row r="2784" spans="1:34" x14ac:dyDescent="0.25">
      <c r="A2784" s="2" t="s">
        <v>324</v>
      </c>
      <c r="B2784" s="2" t="s">
        <v>402</v>
      </c>
      <c r="C2784" s="2" t="s">
        <v>409</v>
      </c>
      <c r="D2784" s="2" t="s">
        <v>412</v>
      </c>
      <c r="E2784" s="2" t="s">
        <v>413</v>
      </c>
      <c r="F2784" s="2" t="s">
        <v>39</v>
      </c>
      <c r="G2784" s="2" t="s">
        <v>417</v>
      </c>
      <c r="H2784" s="2" t="s">
        <v>572</v>
      </c>
      <c r="S2784" s="2" t="s">
        <v>57</v>
      </c>
      <c r="U2784" s="2" t="s">
        <v>59</v>
      </c>
      <c r="W2784" s="2" t="s">
        <v>58</v>
      </c>
    </row>
    <row r="2785" spans="1:25" x14ac:dyDescent="0.25">
      <c r="A2785" s="2" t="s">
        <v>324</v>
      </c>
      <c r="B2785" s="2" t="s">
        <v>402</v>
      </c>
      <c r="C2785" s="2" t="s">
        <v>409</v>
      </c>
      <c r="D2785" s="2" t="s">
        <v>412</v>
      </c>
      <c r="E2785" s="2" t="s">
        <v>413</v>
      </c>
      <c r="F2785" s="2" t="s">
        <v>39</v>
      </c>
      <c r="G2785" s="2" t="s">
        <v>418</v>
      </c>
      <c r="H2785" s="2" t="s">
        <v>573</v>
      </c>
      <c r="S2785" s="2" t="s">
        <v>58</v>
      </c>
      <c r="U2785" s="2" t="s">
        <v>58</v>
      </c>
      <c r="W2785" s="2" t="s">
        <v>58</v>
      </c>
    </row>
    <row r="2786" spans="1:25" x14ac:dyDescent="0.25">
      <c r="A2786" s="2" t="s">
        <v>324</v>
      </c>
      <c r="B2786" s="2" t="s">
        <v>402</v>
      </c>
      <c r="C2786" s="2" t="s">
        <v>409</v>
      </c>
      <c r="D2786" s="2" t="s">
        <v>412</v>
      </c>
      <c r="E2786" s="2" t="s">
        <v>413</v>
      </c>
      <c r="F2786" s="2" t="s">
        <v>39</v>
      </c>
      <c r="G2786" s="2" t="s">
        <v>419</v>
      </c>
      <c r="H2786" s="2" t="s">
        <v>365</v>
      </c>
      <c r="S2786" s="2" t="s">
        <v>59</v>
      </c>
      <c r="U2786" s="2" t="s">
        <v>59</v>
      </c>
      <c r="W2786" s="2" t="s">
        <v>60</v>
      </c>
    </row>
    <row r="2787" spans="1:25" x14ac:dyDescent="0.25">
      <c r="A2787" s="2" t="s">
        <v>324</v>
      </c>
      <c r="B2787" s="2" t="s">
        <v>531</v>
      </c>
      <c r="C2787" s="2" t="s">
        <v>409</v>
      </c>
      <c r="D2787" s="2" t="s">
        <v>412</v>
      </c>
      <c r="E2787" s="2" t="s">
        <v>413</v>
      </c>
      <c r="F2787" s="2" t="s">
        <v>39</v>
      </c>
      <c r="J2787" s="2" t="s">
        <v>532</v>
      </c>
      <c r="K2787" s="2" t="s">
        <v>533</v>
      </c>
      <c r="L2787" s="2">
        <v>1</v>
      </c>
      <c r="M2787" s="2" t="s">
        <v>534</v>
      </c>
      <c r="O2787" s="2" t="s">
        <v>524</v>
      </c>
      <c r="Y2787" s="2" t="s">
        <v>682</v>
      </c>
    </row>
    <row r="2788" spans="1:25" x14ac:dyDescent="0.25">
      <c r="A2788" s="2" t="s">
        <v>324</v>
      </c>
      <c r="B2788" s="2" t="s">
        <v>531</v>
      </c>
      <c r="C2788" s="2" t="s">
        <v>409</v>
      </c>
      <c r="D2788" s="2" t="s">
        <v>412</v>
      </c>
      <c r="E2788" s="2" t="s">
        <v>413</v>
      </c>
      <c r="F2788" s="2" t="s">
        <v>39</v>
      </c>
      <c r="J2788" s="2" t="s">
        <v>532</v>
      </c>
      <c r="K2788" s="2" t="s">
        <v>533</v>
      </c>
      <c r="L2788" s="2">
        <v>2</v>
      </c>
      <c r="M2788" s="2" t="s">
        <v>536</v>
      </c>
      <c r="O2788" s="2" t="s">
        <v>524</v>
      </c>
      <c r="Y2788" s="2" t="s">
        <v>682</v>
      </c>
    </row>
    <row r="2789" spans="1:25" x14ac:dyDescent="0.25">
      <c r="A2789" s="2" t="s">
        <v>324</v>
      </c>
      <c r="B2789" s="2" t="s">
        <v>531</v>
      </c>
      <c r="C2789" s="2" t="s">
        <v>409</v>
      </c>
      <c r="D2789" s="2" t="s">
        <v>412</v>
      </c>
      <c r="E2789" s="2" t="s">
        <v>413</v>
      </c>
      <c r="F2789" s="2" t="s">
        <v>39</v>
      </c>
      <c r="J2789" s="2" t="s">
        <v>532</v>
      </c>
      <c r="K2789" s="2" t="s">
        <v>533</v>
      </c>
      <c r="L2789" s="2">
        <v>3</v>
      </c>
      <c r="M2789" s="2" t="s">
        <v>537</v>
      </c>
      <c r="O2789" s="2" t="s">
        <v>524</v>
      </c>
      <c r="Y2789" s="2" t="s">
        <v>682</v>
      </c>
    </row>
    <row r="2790" spans="1:25" x14ac:dyDescent="0.25">
      <c r="A2790" s="2" t="s">
        <v>324</v>
      </c>
      <c r="B2790" s="2" t="s">
        <v>531</v>
      </c>
      <c r="C2790" s="2" t="s">
        <v>409</v>
      </c>
      <c r="D2790" s="2" t="s">
        <v>412</v>
      </c>
      <c r="E2790" s="2" t="s">
        <v>413</v>
      </c>
      <c r="F2790" s="2" t="s">
        <v>39</v>
      </c>
      <c r="J2790" s="2" t="s">
        <v>532</v>
      </c>
      <c r="K2790" s="2" t="s">
        <v>533</v>
      </c>
      <c r="L2790" s="2">
        <v>4</v>
      </c>
      <c r="M2790" s="2" t="s">
        <v>538</v>
      </c>
      <c r="O2790" s="2" t="s">
        <v>524</v>
      </c>
      <c r="Y2790" s="2" t="s">
        <v>682</v>
      </c>
    </row>
    <row r="2791" spans="1:25" x14ac:dyDescent="0.25">
      <c r="A2791" s="2" t="s">
        <v>324</v>
      </c>
      <c r="B2791" s="2" t="s">
        <v>531</v>
      </c>
      <c r="C2791" s="2" t="s">
        <v>409</v>
      </c>
      <c r="D2791" s="2" t="s">
        <v>412</v>
      </c>
      <c r="E2791" s="2" t="s">
        <v>413</v>
      </c>
      <c r="F2791" s="2" t="s">
        <v>39</v>
      </c>
      <c r="J2791" s="2" t="s">
        <v>532</v>
      </c>
      <c r="K2791" s="2" t="s">
        <v>533</v>
      </c>
      <c r="L2791" s="2">
        <v>5</v>
      </c>
      <c r="M2791" s="2" t="s">
        <v>539</v>
      </c>
      <c r="O2791" s="2" t="s">
        <v>524</v>
      </c>
      <c r="Y2791" s="2" t="s">
        <v>682</v>
      </c>
    </row>
    <row r="2792" spans="1:25" x14ac:dyDescent="0.25">
      <c r="A2792" s="2" t="s">
        <v>324</v>
      </c>
      <c r="B2792" s="2" t="s">
        <v>540</v>
      </c>
      <c r="C2792" s="2" t="s">
        <v>409</v>
      </c>
      <c r="D2792" s="2" t="s">
        <v>412</v>
      </c>
      <c r="E2792" s="2" t="s">
        <v>413</v>
      </c>
      <c r="F2792" s="2" t="s">
        <v>39</v>
      </c>
      <c r="J2792" s="2" t="s">
        <v>541</v>
      </c>
      <c r="K2792" s="2" t="s">
        <v>542</v>
      </c>
      <c r="L2792" s="2">
        <v>1</v>
      </c>
      <c r="M2792" s="2" t="s">
        <v>543</v>
      </c>
      <c r="O2792" s="2" t="s">
        <v>524</v>
      </c>
      <c r="Y2792" s="2" t="s">
        <v>682</v>
      </c>
    </row>
    <row r="2793" spans="1:25" x14ac:dyDescent="0.25">
      <c r="A2793" s="2" t="s">
        <v>324</v>
      </c>
      <c r="B2793" s="2" t="s">
        <v>540</v>
      </c>
      <c r="C2793" s="2" t="s">
        <v>409</v>
      </c>
      <c r="D2793" s="2" t="s">
        <v>412</v>
      </c>
      <c r="E2793" s="2" t="s">
        <v>413</v>
      </c>
      <c r="F2793" s="2" t="s">
        <v>39</v>
      </c>
      <c r="J2793" s="2" t="s">
        <v>541</v>
      </c>
      <c r="K2793" s="2" t="s">
        <v>542</v>
      </c>
      <c r="L2793" s="2">
        <v>2</v>
      </c>
      <c r="M2793" s="2" t="s">
        <v>544</v>
      </c>
      <c r="O2793" s="2" t="s">
        <v>524</v>
      </c>
      <c r="Y2793" s="2" t="s">
        <v>682</v>
      </c>
    </row>
    <row r="2794" spans="1:25" x14ac:dyDescent="0.25">
      <c r="A2794" s="2" t="s">
        <v>324</v>
      </c>
      <c r="B2794" s="2" t="s">
        <v>540</v>
      </c>
      <c r="C2794" s="2" t="s">
        <v>409</v>
      </c>
      <c r="D2794" s="2" t="s">
        <v>412</v>
      </c>
      <c r="E2794" s="2" t="s">
        <v>413</v>
      </c>
      <c r="F2794" s="2" t="s">
        <v>39</v>
      </c>
      <c r="J2794" s="2" t="s">
        <v>541</v>
      </c>
      <c r="K2794" s="2" t="s">
        <v>542</v>
      </c>
      <c r="L2794" s="2">
        <v>3</v>
      </c>
      <c r="M2794" s="2" t="s">
        <v>545</v>
      </c>
      <c r="O2794" s="2" t="s">
        <v>524</v>
      </c>
      <c r="Y2794" s="2" t="s">
        <v>682</v>
      </c>
    </row>
    <row r="2795" spans="1:25" x14ac:dyDescent="0.25">
      <c r="A2795" s="2" t="s">
        <v>324</v>
      </c>
      <c r="B2795" s="2" t="s">
        <v>540</v>
      </c>
      <c r="C2795" s="2" t="s">
        <v>409</v>
      </c>
      <c r="D2795" s="2" t="s">
        <v>412</v>
      </c>
      <c r="E2795" s="2" t="s">
        <v>413</v>
      </c>
      <c r="F2795" s="2" t="s">
        <v>39</v>
      </c>
      <c r="J2795" s="2" t="s">
        <v>541</v>
      </c>
      <c r="K2795" s="2" t="s">
        <v>542</v>
      </c>
      <c r="L2795" s="2">
        <v>4</v>
      </c>
      <c r="M2795" s="2" t="s">
        <v>546</v>
      </c>
      <c r="O2795" s="2" t="s">
        <v>524</v>
      </c>
      <c r="Y2795" s="2" t="s">
        <v>682</v>
      </c>
    </row>
    <row r="2796" spans="1:25" x14ac:dyDescent="0.25">
      <c r="A2796" s="2" t="s">
        <v>324</v>
      </c>
      <c r="B2796" s="2" t="s">
        <v>540</v>
      </c>
      <c r="C2796" s="2" t="s">
        <v>409</v>
      </c>
      <c r="D2796" s="2" t="s">
        <v>412</v>
      </c>
      <c r="E2796" s="2" t="s">
        <v>413</v>
      </c>
      <c r="F2796" s="2" t="s">
        <v>39</v>
      </c>
      <c r="J2796" s="2" t="s">
        <v>541</v>
      </c>
      <c r="K2796" s="2" t="s">
        <v>542</v>
      </c>
      <c r="L2796" s="2">
        <v>5</v>
      </c>
      <c r="M2796" s="2" t="s">
        <v>547</v>
      </c>
      <c r="O2796" s="2" t="s">
        <v>524</v>
      </c>
      <c r="Y2796" s="2" t="s">
        <v>682</v>
      </c>
    </row>
    <row r="2797" spans="1:25" x14ac:dyDescent="0.25">
      <c r="A2797" s="2" t="s">
        <v>324</v>
      </c>
      <c r="B2797" s="2" t="s">
        <v>540</v>
      </c>
      <c r="C2797" s="2" t="s">
        <v>409</v>
      </c>
      <c r="D2797" s="2" t="s">
        <v>412</v>
      </c>
      <c r="E2797" s="2" t="s">
        <v>413</v>
      </c>
      <c r="F2797" s="2" t="s">
        <v>39</v>
      </c>
      <c r="J2797" s="2" t="s">
        <v>541</v>
      </c>
      <c r="K2797" s="2" t="s">
        <v>542</v>
      </c>
      <c r="L2797" s="2">
        <v>6</v>
      </c>
      <c r="M2797" s="2" t="s">
        <v>548</v>
      </c>
      <c r="O2797" s="2" t="s">
        <v>524</v>
      </c>
      <c r="Y2797" s="2" t="s">
        <v>682</v>
      </c>
    </row>
    <row r="2798" spans="1:25" x14ac:dyDescent="0.25">
      <c r="A2798" s="2" t="s">
        <v>324</v>
      </c>
      <c r="B2798" s="2" t="s">
        <v>540</v>
      </c>
      <c r="C2798" s="2" t="s">
        <v>409</v>
      </c>
      <c r="D2798" s="2" t="s">
        <v>412</v>
      </c>
      <c r="E2798" s="2" t="s">
        <v>413</v>
      </c>
      <c r="F2798" s="2" t="s">
        <v>39</v>
      </c>
      <c r="J2798" s="2" t="s">
        <v>541</v>
      </c>
      <c r="K2798" s="2" t="s">
        <v>542</v>
      </c>
      <c r="L2798" s="2">
        <v>7</v>
      </c>
      <c r="M2798" s="2" t="s">
        <v>549</v>
      </c>
      <c r="O2798" s="2" t="s">
        <v>524</v>
      </c>
      <c r="Y2798" s="2" t="s">
        <v>682</v>
      </c>
    </row>
    <row r="2799" spans="1:25" x14ac:dyDescent="0.25">
      <c r="A2799" s="2" t="s">
        <v>324</v>
      </c>
      <c r="B2799" s="2" t="s">
        <v>540</v>
      </c>
      <c r="C2799" s="2" t="s">
        <v>409</v>
      </c>
      <c r="D2799" s="2" t="s">
        <v>412</v>
      </c>
      <c r="E2799" s="2" t="s">
        <v>413</v>
      </c>
      <c r="F2799" s="2" t="s">
        <v>39</v>
      </c>
      <c r="J2799" s="2" t="s">
        <v>541</v>
      </c>
      <c r="K2799" s="2" t="s">
        <v>542</v>
      </c>
      <c r="L2799" s="2">
        <v>8</v>
      </c>
      <c r="M2799" s="2" t="s">
        <v>550</v>
      </c>
      <c r="O2799" s="2" t="s">
        <v>524</v>
      </c>
      <c r="Y2799" s="2" t="s">
        <v>682</v>
      </c>
    </row>
    <row r="2800" spans="1:25" x14ac:dyDescent="0.25">
      <c r="A2800" s="2" t="s">
        <v>324</v>
      </c>
      <c r="B2800" s="2" t="s">
        <v>540</v>
      </c>
      <c r="C2800" s="2" t="s">
        <v>409</v>
      </c>
      <c r="D2800" s="2" t="s">
        <v>412</v>
      </c>
      <c r="E2800" s="2" t="s">
        <v>413</v>
      </c>
      <c r="F2800" s="2" t="s">
        <v>39</v>
      </c>
      <c r="J2800" s="2" t="s">
        <v>541</v>
      </c>
      <c r="K2800" s="2" t="s">
        <v>542</v>
      </c>
      <c r="L2800" s="2">
        <v>9</v>
      </c>
      <c r="M2800" s="2" t="s">
        <v>551</v>
      </c>
      <c r="O2800" s="2" t="s">
        <v>524</v>
      </c>
      <c r="Y2800" s="2" t="s">
        <v>682</v>
      </c>
    </row>
    <row r="2801" spans="1:34" x14ac:dyDescent="0.25">
      <c r="A2801" s="2" t="s">
        <v>324</v>
      </c>
      <c r="B2801" s="2" t="s">
        <v>540</v>
      </c>
      <c r="C2801" s="2" t="s">
        <v>409</v>
      </c>
      <c r="D2801" s="2" t="s">
        <v>412</v>
      </c>
      <c r="E2801" s="2" t="s">
        <v>413</v>
      </c>
      <c r="F2801" s="2" t="s">
        <v>39</v>
      </c>
      <c r="J2801" s="2" t="s">
        <v>541</v>
      </c>
      <c r="K2801" s="2" t="s">
        <v>542</v>
      </c>
      <c r="L2801" s="2">
        <v>10</v>
      </c>
      <c r="M2801" s="2" t="s">
        <v>552</v>
      </c>
      <c r="O2801" s="2" t="s">
        <v>524</v>
      </c>
      <c r="Y2801" s="2" t="s">
        <v>682</v>
      </c>
    </row>
    <row r="2802" spans="1:34" x14ac:dyDescent="0.25">
      <c r="A2802" s="2" t="s">
        <v>324</v>
      </c>
      <c r="B2802" s="2" t="s">
        <v>540</v>
      </c>
      <c r="C2802" s="2" t="s">
        <v>409</v>
      </c>
      <c r="D2802" s="2" t="s">
        <v>412</v>
      </c>
      <c r="E2802" s="2" t="s">
        <v>413</v>
      </c>
      <c r="F2802" s="2" t="s">
        <v>39</v>
      </c>
      <c r="J2802" s="2" t="s">
        <v>541</v>
      </c>
      <c r="K2802" s="2" t="s">
        <v>542</v>
      </c>
      <c r="L2802" s="2">
        <v>11</v>
      </c>
      <c r="M2802" s="2" t="s">
        <v>553</v>
      </c>
      <c r="O2802" s="2" t="s">
        <v>524</v>
      </c>
      <c r="Y2802" s="2" t="s">
        <v>682</v>
      </c>
    </row>
    <row r="2803" spans="1:34" x14ac:dyDescent="0.25">
      <c r="A2803" s="2" t="s">
        <v>324</v>
      </c>
      <c r="B2803" s="2" t="s">
        <v>540</v>
      </c>
      <c r="C2803" s="2" t="s">
        <v>409</v>
      </c>
      <c r="D2803" s="2" t="s">
        <v>412</v>
      </c>
      <c r="E2803" s="2" t="s">
        <v>413</v>
      </c>
      <c r="F2803" s="2" t="s">
        <v>39</v>
      </c>
      <c r="J2803" s="2" t="s">
        <v>541</v>
      </c>
      <c r="K2803" s="2" t="s">
        <v>542</v>
      </c>
      <c r="L2803" s="2">
        <v>12</v>
      </c>
      <c r="M2803" s="2" t="s">
        <v>554</v>
      </c>
      <c r="O2803" s="2" t="s">
        <v>524</v>
      </c>
      <c r="Y2803" s="2" t="s">
        <v>682</v>
      </c>
    </row>
    <row r="2804" spans="1:34" x14ac:dyDescent="0.25">
      <c r="A2804" s="2" t="s">
        <v>324</v>
      </c>
      <c r="B2804" s="2" t="s">
        <v>555</v>
      </c>
      <c r="C2804" s="2" t="s">
        <v>409</v>
      </c>
      <c r="D2804" s="2" t="s">
        <v>412</v>
      </c>
      <c r="E2804" s="2" t="s">
        <v>413</v>
      </c>
      <c r="F2804" s="2" t="s">
        <v>39</v>
      </c>
      <c r="J2804" s="2" t="s">
        <v>556</v>
      </c>
      <c r="O2804" s="2" t="s">
        <v>524</v>
      </c>
      <c r="Y2804" s="2" t="s">
        <v>682</v>
      </c>
      <c r="AB2804" s="2">
        <v>1</v>
      </c>
    </row>
    <row r="2805" spans="1:34" x14ac:dyDescent="0.25">
      <c r="A2805" s="2" t="s">
        <v>324</v>
      </c>
      <c r="B2805" s="2" t="s">
        <v>557</v>
      </c>
      <c r="C2805" s="2" t="s">
        <v>409</v>
      </c>
      <c r="D2805" s="2" t="s">
        <v>412</v>
      </c>
      <c r="E2805" s="2" t="s">
        <v>413</v>
      </c>
      <c r="F2805" s="2" t="s">
        <v>39</v>
      </c>
      <c r="J2805" s="2" t="s">
        <v>558</v>
      </c>
      <c r="O2805" s="2" t="s">
        <v>524</v>
      </c>
      <c r="Y2805" s="2" t="s">
        <v>682</v>
      </c>
      <c r="AC2805" s="2">
        <f>COUNTIFS($B:$B,"BLOCK_LOAD_Q",$A:$A,$A2805,$C:$C,$C2805,$E:$E,$E2805,$F:$F,$F2805,$N:$N, "&lt;&gt;")</f>
        <v>0</v>
      </c>
      <c r="AD2805" s="2">
        <f>COUNTIFS($B:$B,"BLOCK_TRUST_Q",$A:$A,$A2805,$C:$C,$C2805,$E:$E,$E2805,$F:$F,$F2805,$N:$N, "&lt;&gt;")</f>
        <v>0</v>
      </c>
      <c r="AE2805" s="2" t="str">
        <f>IFERROR(AVERAGEIFS($P:$P,$B:$B,"BLOCK_LOAD_Q",$A:$A,$A2805,$C:$C,$C2805,$E:$E,$E2805,$F:$F,$F2805,$P:$P,"&gt;0"),"")</f>
        <v/>
      </c>
      <c r="AF2805" s="2" t="str">
        <f>IFERROR(AVERAGEIFS($P:$P,$B:$B,"BLOCK_TRUST_Q",$A:$A,$A2805,$C:$C,$C2805,$E:$E,$E2805,$F:$F,$F2805,$P:$P,"&gt;0"),"")</f>
        <v/>
      </c>
      <c r="AG2805" s="2">
        <f>5-AC2805</f>
        <v>5</v>
      </c>
      <c r="AH2805" s="2">
        <f>12-AD2805</f>
        <v>12</v>
      </c>
    </row>
    <row r="2806" spans="1:34" x14ac:dyDescent="0.25">
      <c r="A2806" s="2" t="s">
        <v>324</v>
      </c>
      <c r="B2806" s="2" t="s">
        <v>402</v>
      </c>
      <c r="C2806" s="2" t="s">
        <v>409</v>
      </c>
      <c r="D2806" s="2" t="s">
        <v>412</v>
      </c>
      <c r="E2806" s="2" t="s">
        <v>414</v>
      </c>
      <c r="F2806" s="2" t="s">
        <v>40</v>
      </c>
      <c r="G2806" s="2" t="s">
        <v>415</v>
      </c>
      <c r="H2806" s="2" t="s">
        <v>567</v>
      </c>
      <c r="S2806" s="2" t="s">
        <v>58</v>
      </c>
      <c r="U2806" s="2" t="s">
        <v>57</v>
      </c>
      <c r="W2806" s="2" t="s">
        <v>60</v>
      </c>
    </row>
    <row r="2807" spans="1:34" x14ac:dyDescent="0.25">
      <c r="A2807" s="2" t="s">
        <v>324</v>
      </c>
      <c r="B2807" s="2" t="s">
        <v>402</v>
      </c>
      <c r="C2807" s="2" t="s">
        <v>409</v>
      </c>
      <c r="D2807" s="2" t="s">
        <v>412</v>
      </c>
      <c r="E2807" s="2" t="s">
        <v>414</v>
      </c>
      <c r="F2807" s="2" t="s">
        <v>40</v>
      </c>
      <c r="G2807" s="2" t="s">
        <v>416</v>
      </c>
      <c r="H2807" s="2" t="s">
        <v>568</v>
      </c>
      <c r="S2807" s="2" t="s">
        <v>59</v>
      </c>
      <c r="U2807" s="2" t="s">
        <v>60</v>
      </c>
      <c r="W2807" s="2" t="s">
        <v>59</v>
      </c>
    </row>
    <row r="2808" spans="1:34" x14ac:dyDescent="0.25">
      <c r="A2808" s="2" t="s">
        <v>324</v>
      </c>
      <c r="B2808" s="2" t="s">
        <v>402</v>
      </c>
      <c r="C2808" s="2" t="s">
        <v>409</v>
      </c>
      <c r="D2808" s="2" t="s">
        <v>412</v>
      </c>
      <c r="E2808" s="2" t="s">
        <v>414</v>
      </c>
      <c r="F2808" s="2" t="s">
        <v>40</v>
      </c>
      <c r="G2808" s="2" t="s">
        <v>417</v>
      </c>
      <c r="H2808" s="2" t="s">
        <v>569</v>
      </c>
      <c r="S2808" s="2" t="s">
        <v>57</v>
      </c>
      <c r="U2808" s="2" t="s">
        <v>60</v>
      </c>
      <c r="W2808" s="2" t="s">
        <v>57</v>
      </c>
    </row>
    <row r="2809" spans="1:34" x14ac:dyDescent="0.25">
      <c r="A2809" s="2" t="s">
        <v>324</v>
      </c>
      <c r="B2809" s="2" t="s">
        <v>402</v>
      </c>
      <c r="C2809" s="2" t="s">
        <v>409</v>
      </c>
      <c r="D2809" s="2" t="s">
        <v>412</v>
      </c>
      <c r="E2809" s="2" t="s">
        <v>414</v>
      </c>
      <c r="F2809" s="2" t="s">
        <v>40</v>
      </c>
      <c r="G2809" s="2" t="s">
        <v>418</v>
      </c>
      <c r="H2809" s="2" t="s">
        <v>351</v>
      </c>
      <c r="S2809" s="2" t="s">
        <v>60</v>
      </c>
      <c r="U2809" s="2" t="s">
        <v>57</v>
      </c>
      <c r="W2809" s="2" t="s">
        <v>57</v>
      </c>
    </row>
    <row r="2810" spans="1:34" x14ac:dyDescent="0.25">
      <c r="A2810" s="2" t="s">
        <v>324</v>
      </c>
      <c r="B2810" s="2" t="s">
        <v>531</v>
      </c>
      <c r="C2810" s="2" t="s">
        <v>409</v>
      </c>
      <c r="D2810" s="2" t="s">
        <v>412</v>
      </c>
      <c r="E2810" s="2" t="s">
        <v>414</v>
      </c>
      <c r="F2810" s="2" t="s">
        <v>40</v>
      </c>
      <c r="J2810" s="2" t="s">
        <v>532</v>
      </c>
      <c r="K2810" s="2" t="s">
        <v>533</v>
      </c>
      <c r="L2810" s="2">
        <v>1</v>
      </c>
      <c r="M2810" s="2" t="s">
        <v>534</v>
      </c>
      <c r="O2810" s="2" t="s">
        <v>524</v>
      </c>
      <c r="Y2810" s="2" t="s">
        <v>683</v>
      </c>
    </row>
    <row r="2811" spans="1:34" x14ac:dyDescent="0.25">
      <c r="A2811" s="2" t="s">
        <v>324</v>
      </c>
      <c r="B2811" s="2" t="s">
        <v>531</v>
      </c>
      <c r="C2811" s="2" t="s">
        <v>409</v>
      </c>
      <c r="D2811" s="2" t="s">
        <v>412</v>
      </c>
      <c r="E2811" s="2" t="s">
        <v>414</v>
      </c>
      <c r="F2811" s="2" t="s">
        <v>40</v>
      </c>
      <c r="J2811" s="2" t="s">
        <v>532</v>
      </c>
      <c r="K2811" s="2" t="s">
        <v>533</v>
      </c>
      <c r="L2811" s="2">
        <v>2</v>
      </c>
      <c r="M2811" s="2" t="s">
        <v>536</v>
      </c>
      <c r="O2811" s="2" t="s">
        <v>524</v>
      </c>
      <c r="Y2811" s="2" t="s">
        <v>683</v>
      </c>
    </row>
    <row r="2812" spans="1:34" x14ac:dyDescent="0.25">
      <c r="A2812" s="2" t="s">
        <v>324</v>
      </c>
      <c r="B2812" s="2" t="s">
        <v>531</v>
      </c>
      <c r="C2812" s="2" t="s">
        <v>409</v>
      </c>
      <c r="D2812" s="2" t="s">
        <v>412</v>
      </c>
      <c r="E2812" s="2" t="s">
        <v>414</v>
      </c>
      <c r="F2812" s="2" t="s">
        <v>40</v>
      </c>
      <c r="J2812" s="2" t="s">
        <v>532</v>
      </c>
      <c r="K2812" s="2" t="s">
        <v>533</v>
      </c>
      <c r="L2812" s="2">
        <v>3</v>
      </c>
      <c r="M2812" s="2" t="s">
        <v>537</v>
      </c>
      <c r="O2812" s="2" t="s">
        <v>524</v>
      </c>
      <c r="Y2812" s="2" t="s">
        <v>683</v>
      </c>
    </row>
    <row r="2813" spans="1:34" x14ac:dyDescent="0.25">
      <c r="A2813" s="2" t="s">
        <v>324</v>
      </c>
      <c r="B2813" s="2" t="s">
        <v>531</v>
      </c>
      <c r="C2813" s="2" t="s">
        <v>409</v>
      </c>
      <c r="D2813" s="2" t="s">
        <v>412</v>
      </c>
      <c r="E2813" s="2" t="s">
        <v>414</v>
      </c>
      <c r="F2813" s="2" t="s">
        <v>40</v>
      </c>
      <c r="J2813" s="2" t="s">
        <v>532</v>
      </c>
      <c r="K2813" s="2" t="s">
        <v>533</v>
      </c>
      <c r="L2813" s="2">
        <v>4</v>
      </c>
      <c r="M2813" s="2" t="s">
        <v>538</v>
      </c>
      <c r="O2813" s="2" t="s">
        <v>524</v>
      </c>
      <c r="Y2813" s="2" t="s">
        <v>683</v>
      </c>
    </row>
    <row r="2814" spans="1:34" x14ac:dyDescent="0.25">
      <c r="A2814" s="2" t="s">
        <v>324</v>
      </c>
      <c r="B2814" s="2" t="s">
        <v>531</v>
      </c>
      <c r="C2814" s="2" t="s">
        <v>409</v>
      </c>
      <c r="D2814" s="2" t="s">
        <v>412</v>
      </c>
      <c r="E2814" s="2" t="s">
        <v>414</v>
      </c>
      <c r="F2814" s="2" t="s">
        <v>40</v>
      </c>
      <c r="J2814" s="2" t="s">
        <v>532</v>
      </c>
      <c r="K2814" s="2" t="s">
        <v>533</v>
      </c>
      <c r="L2814" s="2">
        <v>5</v>
      </c>
      <c r="M2814" s="2" t="s">
        <v>539</v>
      </c>
      <c r="O2814" s="2" t="s">
        <v>524</v>
      </c>
      <c r="Y2814" s="2" t="s">
        <v>683</v>
      </c>
    </row>
    <row r="2815" spans="1:34" x14ac:dyDescent="0.25">
      <c r="A2815" s="2" t="s">
        <v>324</v>
      </c>
      <c r="B2815" s="2" t="s">
        <v>540</v>
      </c>
      <c r="C2815" s="2" t="s">
        <v>409</v>
      </c>
      <c r="D2815" s="2" t="s">
        <v>412</v>
      </c>
      <c r="E2815" s="2" t="s">
        <v>414</v>
      </c>
      <c r="F2815" s="2" t="s">
        <v>40</v>
      </c>
      <c r="J2815" s="2" t="s">
        <v>541</v>
      </c>
      <c r="K2815" s="2" t="s">
        <v>542</v>
      </c>
      <c r="L2815" s="2">
        <v>1</v>
      </c>
      <c r="M2815" s="2" t="s">
        <v>543</v>
      </c>
      <c r="O2815" s="2" t="s">
        <v>524</v>
      </c>
      <c r="Y2815" s="2" t="s">
        <v>683</v>
      </c>
    </row>
    <row r="2816" spans="1:34" x14ac:dyDescent="0.25">
      <c r="A2816" s="2" t="s">
        <v>324</v>
      </c>
      <c r="B2816" s="2" t="s">
        <v>540</v>
      </c>
      <c r="C2816" s="2" t="s">
        <v>409</v>
      </c>
      <c r="D2816" s="2" t="s">
        <v>412</v>
      </c>
      <c r="E2816" s="2" t="s">
        <v>414</v>
      </c>
      <c r="F2816" s="2" t="s">
        <v>40</v>
      </c>
      <c r="J2816" s="2" t="s">
        <v>541</v>
      </c>
      <c r="K2816" s="2" t="s">
        <v>542</v>
      </c>
      <c r="L2816" s="2">
        <v>2</v>
      </c>
      <c r="M2816" s="2" t="s">
        <v>544</v>
      </c>
      <c r="O2816" s="2" t="s">
        <v>524</v>
      </c>
      <c r="Y2816" s="2" t="s">
        <v>683</v>
      </c>
    </row>
    <row r="2817" spans="1:34" x14ac:dyDescent="0.25">
      <c r="A2817" s="2" t="s">
        <v>324</v>
      </c>
      <c r="B2817" s="2" t="s">
        <v>540</v>
      </c>
      <c r="C2817" s="2" t="s">
        <v>409</v>
      </c>
      <c r="D2817" s="2" t="s">
        <v>412</v>
      </c>
      <c r="E2817" s="2" t="s">
        <v>414</v>
      </c>
      <c r="F2817" s="2" t="s">
        <v>40</v>
      </c>
      <c r="J2817" s="2" t="s">
        <v>541</v>
      </c>
      <c r="K2817" s="2" t="s">
        <v>542</v>
      </c>
      <c r="L2817" s="2">
        <v>3</v>
      </c>
      <c r="M2817" s="2" t="s">
        <v>545</v>
      </c>
      <c r="O2817" s="2" t="s">
        <v>524</v>
      </c>
      <c r="Y2817" s="2" t="s">
        <v>683</v>
      </c>
    </row>
    <row r="2818" spans="1:34" x14ac:dyDescent="0.25">
      <c r="A2818" s="2" t="s">
        <v>324</v>
      </c>
      <c r="B2818" s="2" t="s">
        <v>540</v>
      </c>
      <c r="C2818" s="2" t="s">
        <v>409</v>
      </c>
      <c r="D2818" s="2" t="s">
        <v>412</v>
      </c>
      <c r="E2818" s="2" t="s">
        <v>414</v>
      </c>
      <c r="F2818" s="2" t="s">
        <v>40</v>
      </c>
      <c r="J2818" s="2" t="s">
        <v>541</v>
      </c>
      <c r="K2818" s="2" t="s">
        <v>542</v>
      </c>
      <c r="L2818" s="2">
        <v>4</v>
      </c>
      <c r="M2818" s="2" t="s">
        <v>546</v>
      </c>
      <c r="O2818" s="2" t="s">
        <v>524</v>
      </c>
      <c r="Y2818" s="2" t="s">
        <v>683</v>
      </c>
    </row>
    <row r="2819" spans="1:34" x14ac:dyDescent="0.25">
      <c r="A2819" s="2" t="s">
        <v>324</v>
      </c>
      <c r="B2819" s="2" t="s">
        <v>540</v>
      </c>
      <c r="C2819" s="2" t="s">
        <v>409</v>
      </c>
      <c r="D2819" s="2" t="s">
        <v>412</v>
      </c>
      <c r="E2819" s="2" t="s">
        <v>414</v>
      </c>
      <c r="F2819" s="2" t="s">
        <v>40</v>
      </c>
      <c r="J2819" s="2" t="s">
        <v>541</v>
      </c>
      <c r="K2819" s="2" t="s">
        <v>542</v>
      </c>
      <c r="L2819" s="2">
        <v>5</v>
      </c>
      <c r="M2819" s="2" t="s">
        <v>547</v>
      </c>
      <c r="O2819" s="2" t="s">
        <v>524</v>
      </c>
      <c r="Y2819" s="2" t="s">
        <v>683</v>
      </c>
    </row>
    <row r="2820" spans="1:34" x14ac:dyDescent="0.25">
      <c r="A2820" s="2" t="s">
        <v>324</v>
      </c>
      <c r="B2820" s="2" t="s">
        <v>540</v>
      </c>
      <c r="C2820" s="2" t="s">
        <v>409</v>
      </c>
      <c r="D2820" s="2" t="s">
        <v>412</v>
      </c>
      <c r="E2820" s="2" t="s">
        <v>414</v>
      </c>
      <c r="F2820" s="2" t="s">
        <v>40</v>
      </c>
      <c r="J2820" s="2" t="s">
        <v>541</v>
      </c>
      <c r="K2820" s="2" t="s">
        <v>542</v>
      </c>
      <c r="L2820" s="2">
        <v>6</v>
      </c>
      <c r="M2820" s="2" t="s">
        <v>548</v>
      </c>
      <c r="O2820" s="2" t="s">
        <v>524</v>
      </c>
      <c r="Y2820" s="2" t="s">
        <v>683</v>
      </c>
    </row>
    <row r="2821" spans="1:34" x14ac:dyDescent="0.25">
      <c r="A2821" s="2" t="s">
        <v>324</v>
      </c>
      <c r="B2821" s="2" t="s">
        <v>540</v>
      </c>
      <c r="C2821" s="2" t="s">
        <v>409</v>
      </c>
      <c r="D2821" s="2" t="s">
        <v>412</v>
      </c>
      <c r="E2821" s="2" t="s">
        <v>414</v>
      </c>
      <c r="F2821" s="2" t="s">
        <v>40</v>
      </c>
      <c r="J2821" s="2" t="s">
        <v>541</v>
      </c>
      <c r="K2821" s="2" t="s">
        <v>542</v>
      </c>
      <c r="L2821" s="2">
        <v>7</v>
      </c>
      <c r="M2821" s="2" t="s">
        <v>549</v>
      </c>
      <c r="O2821" s="2" t="s">
        <v>524</v>
      </c>
      <c r="Y2821" s="2" t="s">
        <v>683</v>
      </c>
    </row>
    <row r="2822" spans="1:34" x14ac:dyDescent="0.25">
      <c r="A2822" s="2" t="s">
        <v>324</v>
      </c>
      <c r="B2822" s="2" t="s">
        <v>540</v>
      </c>
      <c r="C2822" s="2" t="s">
        <v>409</v>
      </c>
      <c r="D2822" s="2" t="s">
        <v>412</v>
      </c>
      <c r="E2822" s="2" t="s">
        <v>414</v>
      </c>
      <c r="F2822" s="2" t="s">
        <v>40</v>
      </c>
      <c r="J2822" s="2" t="s">
        <v>541</v>
      </c>
      <c r="K2822" s="2" t="s">
        <v>542</v>
      </c>
      <c r="L2822" s="2">
        <v>8</v>
      </c>
      <c r="M2822" s="2" t="s">
        <v>550</v>
      </c>
      <c r="O2822" s="2" t="s">
        <v>524</v>
      </c>
      <c r="Y2822" s="2" t="s">
        <v>683</v>
      </c>
    </row>
    <row r="2823" spans="1:34" x14ac:dyDescent="0.25">
      <c r="A2823" s="2" t="s">
        <v>324</v>
      </c>
      <c r="B2823" s="2" t="s">
        <v>540</v>
      </c>
      <c r="C2823" s="2" t="s">
        <v>409</v>
      </c>
      <c r="D2823" s="2" t="s">
        <v>412</v>
      </c>
      <c r="E2823" s="2" t="s">
        <v>414</v>
      </c>
      <c r="F2823" s="2" t="s">
        <v>40</v>
      </c>
      <c r="J2823" s="2" t="s">
        <v>541</v>
      </c>
      <c r="K2823" s="2" t="s">
        <v>542</v>
      </c>
      <c r="L2823" s="2">
        <v>9</v>
      </c>
      <c r="M2823" s="2" t="s">
        <v>551</v>
      </c>
      <c r="O2823" s="2" t="s">
        <v>524</v>
      </c>
      <c r="Y2823" s="2" t="s">
        <v>683</v>
      </c>
    </row>
    <row r="2824" spans="1:34" x14ac:dyDescent="0.25">
      <c r="A2824" s="2" t="s">
        <v>324</v>
      </c>
      <c r="B2824" s="2" t="s">
        <v>540</v>
      </c>
      <c r="C2824" s="2" t="s">
        <v>409</v>
      </c>
      <c r="D2824" s="2" t="s">
        <v>412</v>
      </c>
      <c r="E2824" s="2" t="s">
        <v>414</v>
      </c>
      <c r="F2824" s="2" t="s">
        <v>40</v>
      </c>
      <c r="J2824" s="2" t="s">
        <v>541</v>
      </c>
      <c r="K2824" s="2" t="s">
        <v>542</v>
      </c>
      <c r="L2824" s="2">
        <v>10</v>
      </c>
      <c r="M2824" s="2" t="s">
        <v>552</v>
      </c>
      <c r="O2824" s="2" t="s">
        <v>524</v>
      </c>
      <c r="Y2824" s="2" t="s">
        <v>683</v>
      </c>
    </row>
    <row r="2825" spans="1:34" x14ac:dyDescent="0.25">
      <c r="A2825" s="2" t="s">
        <v>324</v>
      </c>
      <c r="B2825" s="2" t="s">
        <v>540</v>
      </c>
      <c r="C2825" s="2" t="s">
        <v>409</v>
      </c>
      <c r="D2825" s="2" t="s">
        <v>412</v>
      </c>
      <c r="E2825" s="2" t="s">
        <v>414</v>
      </c>
      <c r="F2825" s="2" t="s">
        <v>40</v>
      </c>
      <c r="J2825" s="2" t="s">
        <v>541</v>
      </c>
      <c r="K2825" s="2" t="s">
        <v>542</v>
      </c>
      <c r="L2825" s="2">
        <v>11</v>
      </c>
      <c r="M2825" s="2" t="s">
        <v>553</v>
      </c>
      <c r="O2825" s="2" t="s">
        <v>524</v>
      </c>
      <c r="Y2825" s="2" t="s">
        <v>683</v>
      </c>
    </row>
    <row r="2826" spans="1:34" x14ac:dyDescent="0.25">
      <c r="A2826" s="2" t="s">
        <v>324</v>
      </c>
      <c r="B2826" s="2" t="s">
        <v>540</v>
      </c>
      <c r="C2826" s="2" t="s">
        <v>409</v>
      </c>
      <c r="D2826" s="2" t="s">
        <v>412</v>
      </c>
      <c r="E2826" s="2" t="s">
        <v>414</v>
      </c>
      <c r="F2826" s="2" t="s">
        <v>40</v>
      </c>
      <c r="J2826" s="2" t="s">
        <v>541</v>
      </c>
      <c r="K2826" s="2" t="s">
        <v>542</v>
      </c>
      <c r="L2826" s="2">
        <v>12</v>
      </c>
      <c r="M2826" s="2" t="s">
        <v>554</v>
      </c>
      <c r="O2826" s="2" t="s">
        <v>524</v>
      </c>
      <c r="Y2826" s="2" t="s">
        <v>683</v>
      </c>
    </row>
    <row r="2827" spans="1:34" x14ac:dyDescent="0.25">
      <c r="A2827" s="2" t="s">
        <v>324</v>
      </c>
      <c r="B2827" s="2" t="s">
        <v>555</v>
      </c>
      <c r="C2827" s="2" t="s">
        <v>409</v>
      </c>
      <c r="D2827" s="2" t="s">
        <v>412</v>
      </c>
      <c r="E2827" s="2" t="s">
        <v>414</v>
      </c>
      <c r="F2827" s="2" t="s">
        <v>40</v>
      </c>
      <c r="J2827" s="2" t="s">
        <v>556</v>
      </c>
      <c r="O2827" s="2" t="s">
        <v>524</v>
      </c>
      <c r="Y2827" s="2" t="s">
        <v>683</v>
      </c>
      <c r="AB2827" s="2">
        <v>2</v>
      </c>
    </row>
    <row r="2828" spans="1:34" x14ac:dyDescent="0.25">
      <c r="A2828" s="2" t="s">
        <v>324</v>
      </c>
      <c r="B2828" s="2" t="s">
        <v>557</v>
      </c>
      <c r="C2828" s="2" t="s">
        <v>409</v>
      </c>
      <c r="D2828" s="2" t="s">
        <v>412</v>
      </c>
      <c r="E2828" s="2" t="s">
        <v>414</v>
      </c>
      <c r="F2828" s="2" t="s">
        <v>40</v>
      </c>
      <c r="J2828" s="2" t="s">
        <v>558</v>
      </c>
      <c r="O2828" s="2" t="s">
        <v>524</v>
      </c>
      <c r="Y2828" s="2" t="s">
        <v>683</v>
      </c>
      <c r="AC2828" s="2">
        <f>COUNTIFS($B:$B,"BLOCK_LOAD_Q",$A:$A,$A2828,$C:$C,$C2828,$E:$E,$E2828,$F:$F,$F2828,$N:$N, "&lt;&gt;")</f>
        <v>0</v>
      </c>
      <c r="AD2828" s="2">
        <f>COUNTIFS($B:$B,"BLOCK_TRUST_Q",$A:$A,$A2828,$C:$C,$C2828,$E:$E,$E2828,$F:$F,$F2828,$N:$N, "&lt;&gt;")</f>
        <v>0</v>
      </c>
      <c r="AE2828" s="2" t="str">
        <f>IFERROR(AVERAGEIFS($P:$P,$B:$B,"BLOCK_LOAD_Q",$A:$A,$A2828,$C:$C,$C2828,$E:$E,$E2828,$F:$F,$F2828,$P:$P,"&gt;0"),"")</f>
        <v/>
      </c>
      <c r="AF2828" s="2" t="str">
        <f>IFERROR(AVERAGEIFS($P:$P,$B:$B,"BLOCK_TRUST_Q",$A:$A,$A2828,$C:$C,$C2828,$E:$E,$E2828,$F:$F,$F2828,$P:$P,"&gt;0"),"")</f>
        <v/>
      </c>
      <c r="AG2828" s="2">
        <f>5-AC2828</f>
        <v>5</v>
      </c>
      <c r="AH2828" s="2">
        <f>12-AD2828</f>
        <v>12</v>
      </c>
    </row>
    <row r="2829" spans="1:34" x14ac:dyDescent="0.25">
      <c r="A2829" s="2" t="s">
        <v>324</v>
      </c>
      <c r="B2829" s="2" t="s">
        <v>403</v>
      </c>
      <c r="C2829" s="2" t="s">
        <v>409</v>
      </c>
      <c r="D2829" s="2" t="s">
        <v>412</v>
      </c>
      <c r="Z2829" s="2" t="s">
        <v>476</v>
      </c>
    </row>
    <row r="2830" spans="1:34" x14ac:dyDescent="0.25">
      <c r="A2830" s="2" t="s">
        <v>324</v>
      </c>
      <c r="B2830" s="2" t="s">
        <v>404</v>
      </c>
      <c r="J2830" s="2" t="s">
        <v>575</v>
      </c>
      <c r="AA2830" s="2" t="s">
        <v>337</v>
      </c>
    </row>
    <row r="2831" spans="1:34" x14ac:dyDescent="0.25">
      <c r="A2831" s="2" t="s">
        <v>324</v>
      </c>
      <c r="B2831" s="2" t="s">
        <v>405</v>
      </c>
    </row>
    <row r="2832" spans="1:34" x14ac:dyDescent="0.25">
      <c r="A2832" s="2" t="s">
        <v>324</v>
      </c>
      <c r="B2832" s="2" t="s">
        <v>406</v>
      </c>
    </row>
    <row r="2833" spans="1:25" x14ac:dyDescent="0.25">
      <c r="A2833" s="2" t="s">
        <v>325</v>
      </c>
      <c r="B2833" s="2" t="s">
        <v>523</v>
      </c>
      <c r="C2833" s="2" t="s">
        <v>524</v>
      </c>
      <c r="D2833" s="2" t="s">
        <v>524</v>
      </c>
      <c r="E2833" s="2" t="s">
        <v>524</v>
      </c>
      <c r="F2833" s="2" t="s">
        <v>524</v>
      </c>
      <c r="J2833" s="2" t="s">
        <v>525</v>
      </c>
      <c r="O2833" s="2" t="s">
        <v>524</v>
      </c>
    </row>
    <row r="2834" spans="1:25" x14ac:dyDescent="0.25">
      <c r="A2834" s="2" t="s">
        <v>325</v>
      </c>
      <c r="B2834" s="2" t="s">
        <v>526</v>
      </c>
      <c r="C2834" s="2" t="s">
        <v>524</v>
      </c>
      <c r="D2834" s="2" t="s">
        <v>524</v>
      </c>
      <c r="E2834" s="2" t="s">
        <v>524</v>
      </c>
      <c r="F2834" s="2" t="s">
        <v>524</v>
      </c>
      <c r="J2834" s="2" t="s">
        <v>527</v>
      </c>
      <c r="O2834" s="2" t="s">
        <v>524</v>
      </c>
    </row>
    <row r="2835" spans="1:25" x14ac:dyDescent="0.25">
      <c r="A2835" s="2" t="s">
        <v>325</v>
      </c>
      <c r="B2835" s="2" t="s">
        <v>402</v>
      </c>
      <c r="C2835" s="2" t="s">
        <v>407</v>
      </c>
      <c r="D2835" s="2" t="s">
        <v>411</v>
      </c>
      <c r="E2835" s="2" t="s">
        <v>413</v>
      </c>
      <c r="F2835" s="2" t="s">
        <v>40</v>
      </c>
      <c r="G2835" s="2" t="s">
        <v>415</v>
      </c>
      <c r="H2835" s="2" t="s">
        <v>357</v>
      </c>
      <c r="S2835" s="2" t="s">
        <v>59</v>
      </c>
      <c r="U2835" s="2" t="s">
        <v>60</v>
      </c>
      <c r="W2835" s="2" t="s">
        <v>57</v>
      </c>
    </row>
    <row r="2836" spans="1:25" x14ac:dyDescent="0.25">
      <c r="A2836" s="2" t="s">
        <v>325</v>
      </c>
      <c r="B2836" s="2" t="s">
        <v>402</v>
      </c>
      <c r="C2836" s="2" t="s">
        <v>407</v>
      </c>
      <c r="D2836" s="2" t="s">
        <v>411</v>
      </c>
      <c r="E2836" s="2" t="s">
        <v>413</v>
      </c>
      <c r="F2836" s="2" t="s">
        <v>40</v>
      </c>
      <c r="G2836" s="2" t="s">
        <v>416</v>
      </c>
      <c r="H2836" s="2" t="s">
        <v>348</v>
      </c>
      <c r="S2836" s="2" t="s">
        <v>58</v>
      </c>
      <c r="U2836" s="2" t="s">
        <v>59</v>
      </c>
      <c r="W2836" s="2" t="s">
        <v>59</v>
      </c>
    </row>
    <row r="2837" spans="1:25" x14ac:dyDescent="0.25">
      <c r="A2837" s="2" t="s">
        <v>325</v>
      </c>
      <c r="B2837" s="2" t="s">
        <v>402</v>
      </c>
      <c r="C2837" s="2" t="s">
        <v>407</v>
      </c>
      <c r="D2837" s="2" t="s">
        <v>411</v>
      </c>
      <c r="E2837" s="2" t="s">
        <v>413</v>
      </c>
      <c r="F2837" s="2" t="s">
        <v>40</v>
      </c>
      <c r="G2837" s="2" t="s">
        <v>417</v>
      </c>
      <c r="H2837" s="2" t="s">
        <v>562</v>
      </c>
      <c r="S2837" s="2" t="s">
        <v>59</v>
      </c>
      <c r="U2837" s="2" t="s">
        <v>57</v>
      </c>
      <c r="W2837" s="2" t="s">
        <v>57</v>
      </c>
    </row>
    <row r="2838" spans="1:25" x14ac:dyDescent="0.25">
      <c r="A2838" s="2" t="s">
        <v>325</v>
      </c>
      <c r="B2838" s="2" t="s">
        <v>402</v>
      </c>
      <c r="C2838" s="2" t="s">
        <v>407</v>
      </c>
      <c r="D2838" s="2" t="s">
        <v>411</v>
      </c>
      <c r="E2838" s="2" t="s">
        <v>413</v>
      </c>
      <c r="F2838" s="2" t="s">
        <v>40</v>
      </c>
      <c r="G2838" s="2" t="s">
        <v>418</v>
      </c>
      <c r="H2838" s="2" t="s">
        <v>563</v>
      </c>
      <c r="S2838" s="2" t="s">
        <v>57</v>
      </c>
      <c r="U2838" s="2" t="s">
        <v>60</v>
      </c>
      <c r="W2838" s="2" t="s">
        <v>60</v>
      </c>
    </row>
    <row r="2839" spans="1:25" x14ac:dyDescent="0.25">
      <c r="A2839" s="2" t="s">
        <v>325</v>
      </c>
      <c r="B2839" s="2" t="s">
        <v>531</v>
      </c>
      <c r="C2839" s="2" t="s">
        <v>407</v>
      </c>
      <c r="D2839" s="2" t="s">
        <v>411</v>
      </c>
      <c r="E2839" s="2" t="s">
        <v>413</v>
      </c>
      <c r="F2839" s="2" t="s">
        <v>40</v>
      </c>
      <c r="J2839" s="2" t="s">
        <v>532</v>
      </c>
      <c r="K2839" s="2" t="s">
        <v>533</v>
      </c>
      <c r="L2839" s="2">
        <v>1</v>
      </c>
      <c r="M2839" s="2" t="s">
        <v>534</v>
      </c>
      <c r="O2839" s="2" t="s">
        <v>524</v>
      </c>
      <c r="Y2839" s="2" t="s">
        <v>684</v>
      </c>
    </row>
    <row r="2840" spans="1:25" x14ac:dyDescent="0.25">
      <c r="A2840" s="2" t="s">
        <v>325</v>
      </c>
      <c r="B2840" s="2" t="s">
        <v>531</v>
      </c>
      <c r="C2840" s="2" t="s">
        <v>407</v>
      </c>
      <c r="D2840" s="2" t="s">
        <v>411</v>
      </c>
      <c r="E2840" s="2" t="s">
        <v>413</v>
      </c>
      <c r="F2840" s="2" t="s">
        <v>40</v>
      </c>
      <c r="J2840" s="2" t="s">
        <v>532</v>
      </c>
      <c r="K2840" s="2" t="s">
        <v>533</v>
      </c>
      <c r="L2840" s="2">
        <v>2</v>
      </c>
      <c r="M2840" s="2" t="s">
        <v>536</v>
      </c>
      <c r="O2840" s="2" t="s">
        <v>524</v>
      </c>
      <c r="Y2840" s="2" t="s">
        <v>684</v>
      </c>
    </row>
    <row r="2841" spans="1:25" x14ac:dyDescent="0.25">
      <c r="A2841" s="2" t="s">
        <v>325</v>
      </c>
      <c r="B2841" s="2" t="s">
        <v>531</v>
      </c>
      <c r="C2841" s="2" t="s">
        <v>407</v>
      </c>
      <c r="D2841" s="2" t="s">
        <v>411</v>
      </c>
      <c r="E2841" s="2" t="s">
        <v>413</v>
      </c>
      <c r="F2841" s="2" t="s">
        <v>40</v>
      </c>
      <c r="J2841" s="2" t="s">
        <v>532</v>
      </c>
      <c r="K2841" s="2" t="s">
        <v>533</v>
      </c>
      <c r="L2841" s="2">
        <v>3</v>
      </c>
      <c r="M2841" s="2" t="s">
        <v>537</v>
      </c>
      <c r="O2841" s="2" t="s">
        <v>524</v>
      </c>
      <c r="Y2841" s="2" t="s">
        <v>684</v>
      </c>
    </row>
    <row r="2842" spans="1:25" x14ac:dyDescent="0.25">
      <c r="A2842" s="2" t="s">
        <v>325</v>
      </c>
      <c r="B2842" s="2" t="s">
        <v>531</v>
      </c>
      <c r="C2842" s="2" t="s">
        <v>407</v>
      </c>
      <c r="D2842" s="2" t="s">
        <v>411</v>
      </c>
      <c r="E2842" s="2" t="s">
        <v>413</v>
      </c>
      <c r="F2842" s="2" t="s">
        <v>40</v>
      </c>
      <c r="J2842" s="2" t="s">
        <v>532</v>
      </c>
      <c r="K2842" s="2" t="s">
        <v>533</v>
      </c>
      <c r="L2842" s="2">
        <v>4</v>
      </c>
      <c r="M2842" s="2" t="s">
        <v>538</v>
      </c>
      <c r="O2842" s="2" t="s">
        <v>524</v>
      </c>
      <c r="Y2842" s="2" t="s">
        <v>684</v>
      </c>
    </row>
    <row r="2843" spans="1:25" x14ac:dyDescent="0.25">
      <c r="A2843" s="2" t="s">
        <v>325</v>
      </c>
      <c r="B2843" s="2" t="s">
        <v>531</v>
      </c>
      <c r="C2843" s="2" t="s">
        <v>407</v>
      </c>
      <c r="D2843" s="2" t="s">
        <v>411</v>
      </c>
      <c r="E2843" s="2" t="s">
        <v>413</v>
      </c>
      <c r="F2843" s="2" t="s">
        <v>40</v>
      </c>
      <c r="J2843" s="2" t="s">
        <v>532</v>
      </c>
      <c r="K2843" s="2" t="s">
        <v>533</v>
      </c>
      <c r="L2843" s="2">
        <v>5</v>
      </c>
      <c r="M2843" s="2" t="s">
        <v>539</v>
      </c>
      <c r="O2843" s="2" t="s">
        <v>524</v>
      </c>
      <c r="Y2843" s="2" t="s">
        <v>684</v>
      </c>
    </row>
    <row r="2844" spans="1:25" x14ac:dyDescent="0.25">
      <c r="A2844" s="2" t="s">
        <v>325</v>
      </c>
      <c r="B2844" s="2" t="s">
        <v>540</v>
      </c>
      <c r="C2844" s="2" t="s">
        <v>407</v>
      </c>
      <c r="D2844" s="2" t="s">
        <v>411</v>
      </c>
      <c r="E2844" s="2" t="s">
        <v>413</v>
      </c>
      <c r="F2844" s="2" t="s">
        <v>40</v>
      </c>
      <c r="J2844" s="2" t="s">
        <v>541</v>
      </c>
      <c r="K2844" s="2" t="s">
        <v>542</v>
      </c>
      <c r="L2844" s="2">
        <v>1</v>
      </c>
      <c r="M2844" s="2" t="s">
        <v>543</v>
      </c>
      <c r="O2844" s="2" t="s">
        <v>524</v>
      </c>
      <c r="Y2844" s="2" t="s">
        <v>684</v>
      </c>
    </row>
    <row r="2845" spans="1:25" x14ac:dyDescent="0.25">
      <c r="A2845" s="2" t="s">
        <v>325</v>
      </c>
      <c r="B2845" s="2" t="s">
        <v>540</v>
      </c>
      <c r="C2845" s="2" t="s">
        <v>407</v>
      </c>
      <c r="D2845" s="2" t="s">
        <v>411</v>
      </c>
      <c r="E2845" s="2" t="s">
        <v>413</v>
      </c>
      <c r="F2845" s="2" t="s">
        <v>40</v>
      </c>
      <c r="J2845" s="2" t="s">
        <v>541</v>
      </c>
      <c r="K2845" s="2" t="s">
        <v>542</v>
      </c>
      <c r="L2845" s="2">
        <v>2</v>
      </c>
      <c r="M2845" s="2" t="s">
        <v>544</v>
      </c>
      <c r="O2845" s="2" t="s">
        <v>524</v>
      </c>
      <c r="Y2845" s="2" t="s">
        <v>684</v>
      </c>
    </row>
    <row r="2846" spans="1:25" x14ac:dyDescent="0.25">
      <c r="A2846" s="2" t="s">
        <v>325</v>
      </c>
      <c r="B2846" s="2" t="s">
        <v>540</v>
      </c>
      <c r="C2846" s="2" t="s">
        <v>407</v>
      </c>
      <c r="D2846" s="2" t="s">
        <v>411</v>
      </c>
      <c r="E2846" s="2" t="s">
        <v>413</v>
      </c>
      <c r="F2846" s="2" t="s">
        <v>40</v>
      </c>
      <c r="J2846" s="2" t="s">
        <v>541</v>
      </c>
      <c r="K2846" s="2" t="s">
        <v>542</v>
      </c>
      <c r="L2846" s="2">
        <v>3</v>
      </c>
      <c r="M2846" s="2" t="s">
        <v>545</v>
      </c>
      <c r="O2846" s="2" t="s">
        <v>524</v>
      </c>
      <c r="Y2846" s="2" t="s">
        <v>684</v>
      </c>
    </row>
    <row r="2847" spans="1:25" x14ac:dyDescent="0.25">
      <c r="A2847" s="2" t="s">
        <v>325</v>
      </c>
      <c r="B2847" s="2" t="s">
        <v>540</v>
      </c>
      <c r="C2847" s="2" t="s">
        <v>407</v>
      </c>
      <c r="D2847" s="2" t="s">
        <v>411</v>
      </c>
      <c r="E2847" s="2" t="s">
        <v>413</v>
      </c>
      <c r="F2847" s="2" t="s">
        <v>40</v>
      </c>
      <c r="J2847" s="2" t="s">
        <v>541</v>
      </c>
      <c r="K2847" s="2" t="s">
        <v>542</v>
      </c>
      <c r="L2847" s="2">
        <v>4</v>
      </c>
      <c r="M2847" s="2" t="s">
        <v>546</v>
      </c>
      <c r="O2847" s="2" t="s">
        <v>524</v>
      </c>
      <c r="Y2847" s="2" t="s">
        <v>684</v>
      </c>
    </row>
    <row r="2848" spans="1:25" x14ac:dyDescent="0.25">
      <c r="A2848" s="2" t="s">
        <v>325</v>
      </c>
      <c r="B2848" s="2" t="s">
        <v>540</v>
      </c>
      <c r="C2848" s="2" t="s">
        <v>407</v>
      </c>
      <c r="D2848" s="2" t="s">
        <v>411</v>
      </c>
      <c r="E2848" s="2" t="s">
        <v>413</v>
      </c>
      <c r="F2848" s="2" t="s">
        <v>40</v>
      </c>
      <c r="J2848" s="2" t="s">
        <v>541</v>
      </c>
      <c r="K2848" s="2" t="s">
        <v>542</v>
      </c>
      <c r="L2848" s="2">
        <v>5</v>
      </c>
      <c r="M2848" s="2" t="s">
        <v>547</v>
      </c>
      <c r="O2848" s="2" t="s">
        <v>524</v>
      </c>
      <c r="Y2848" s="2" t="s">
        <v>684</v>
      </c>
    </row>
    <row r="2849" spans="1:34" x14ac:dyDescent="0.25">
      <c r="A2849" s="2" t="s">
        <v>325</v>
      </c>
      <c r="B2849" s="2" t="s">
        <v>540</v>
      </c>
      <c r="C2849" s="2" t="s">
        <v>407</v>
      </c>
      <c r="D2849" s="2" t="s">
        <v>411</v>
      </c>
      <c r="E2849" s="2" t="s">
        <v>413</v>
      </c>
      <c r="F2849" s="2" t="s">
        <v>40</v>
      </c>
      <c r="J2849" s="2" t="s">
        <v>541</v>
      </c>
      <c r="K2849" s="2" t="s">
        <v>542</v>
      </c>
      <c r="L2849" s="2">
        <v>6</v>
      </c>
      <c r="M2849" s="2" t="s">
        <v>548</v>
      </c>
      <c r="O2849" s="2" t="s">
        <v>524</v>
      </c>
      <c r="Y2849" s="2" t="s">
        <v>684</v>
      </c>
    </row>
    <row r="2850" spans="1:34" x14ac:dyDescent="0.25">
      <c r="A2850" s="2" t="s">
        <v>325</v>
      </c>
      <c r="B2850" s="2" t="s">
        <v>540</v>
      </c>
      <c r="C2850" s="2" t="s">
        <v>407</v>
      </c>
      <c r="D2850" s="2" t="s">
        <v>411</v>
      </c>
      <c r="E2850" s="2" t="s">
        <v>413</v>
      </c>
      <c r="F2850" s="2" t="s">
        <v>40</v>
      </c>
      <c r="J2850" s="2" t="s">
        <v>541</v>
      </c>
      <c r="K2850" s="2" t="s">
        <v>542</v>
      </c>
      <c r="L2850" s="2">
        <v>7</v>
      </c>
      <c r="M2850" s="2" t="s">
        <v>549</v>
      </c>
      <c r="O2850" s="2" t="s">
        <v>524</v>
      </c>
      <c r="Y2850" s="2" t="s">
        <v>684</v>
      </c>
    </row>
    <row r="2851" spans="1:34" x14ac:dyDescent="0.25">
      <c r="A2851" s="2" t="s">
        <v>325</v>
      </c>
      <c r="B2851" s="2" t="s">
        <v>540</v>
      </c>
      <c r="C2851" s="2" t="s">
        <v>407</v>
      </c>
      <c r="D2851" s="2" t="s">
        <v>411</v>
      </c>
      <c r="E2851" s="2" t="s">
        <v>413</v>
      </c>
      <c r="F2851" s="2" t="s">
        <v>40</v>
      </c>
      <c r="J2851" s="2" t="s">
        <v>541</v>
      </c>
      <c r="K2851" s="2" t="s">
        <v>542</v>
      </c>
      <c r="L2851" s="2">
        <v>8</v>
      </c>
      <c r="M2851" s="2" t="s">
        <v>550</v>
      </c>
      <c r="O2851" s="2" t="s">
        <v>524</v>
      </c>
      <c r="Y2851" s="2" t="s">
        <v>684</v>
      </c>
    </row>
    <row r="2852" spans="1:34" x14ac:dyDescent="0.25">
      <c r="A2852" s="2" t="s">
        <v>325</v>
      </c>
      <c r="B2852" s="2" t="s">
        <v>540</v>
      </c>
      <c r="C2852" s="2" t="s">
        <v>407</v>
      </c>
      <c r="D2852" s="2" t="s">
        <v>411</v>
      </c>
      <c r="E2852" s="2" t="s">
        <v>413</v>
      </c>
      <c r="F2852" s="2" t="s">
        <v>40</v>
      </c>
      <c r="J2852" s="2" t="s">
        <v>541</v>
      </c>
      <c r="K2852" s="2" t="s">
        <v>542</v>
      </c>
      <c r="L2852" s="2">
        <v>9</v>
      </c>
      <c r="M2852" s="2" t="s">
        <v>551</v>
      </c>
      <c r="O2852" s="2" t="s">
        <v>524</v>
      </c>
      <c r="Y2852" s="2" t="s">
        <v>684</v>
      </c>
    </row>
    <row r="2853" spans="1:34" x14ac:dyDescent="0.25">
      <c r="A2853" s="2" t="s">
        <v>325</v>
      </c>
      <c r="B2853" s="2" t="s">
        <v>540</v>
      </c>
      <c r="C2853" s="2" t="s">
        <v>407</v>
      </c>
      <c r="D2853" s="2" t="s">
        <v>411</v>
      </c>
      <c r="E2853" s="2" t="s">
        <v>413</v>
      </c>
      <c r="F2853" s="2" t="s">
        <v>40</v>
      </c>
      <c r="J2853" s="2" t="s">
        <v>541</v>
      </c>
      <c r="K2853" s="2" t="s">
        <v>542</v>
      </c>
      <c r="L2853" s="2">
        <v>10</v>
      </c>
      <c r="M2853" s="2" t="s">
        <v>552</v>
      </c>
      <c r="O2853" s="2" t="s">
        <v>524</v>
      </c>
      <c r="Y2853" s="2" t="s">
        <v>684</v>
      </c>
    </row>
    <row r="2854" spans="1:34" x14ac:dyDescent="0.25">
      <c r="A2854" s="2" t="s">
        <v>325</v>
      </c>
      <c r="B2854" s="2" t="s">
        <v>540</v>
      </c>
      <c r="C2854" s="2" t="s">
        <v>407</v>
      </c>
      <c r="D2854" s="2" t="s">
        <v>411</v>
      </c>
      <c r="E2854" s="2" t="s">
        <v>413</v>
      </c>
      <c r="F2854" s="2" t="s">
        <v>40</v>
      </c>
      <c r="J2854" s="2" t="s">
        <v>541</v>
      </c>
      <c r="K2854" s="2" t="s">
        <v>542</v>
      </c>
      <c r="L2854" s="2">
        <v>11</v>
      </c>
      <c r="M2854" s="2" t="s">
        <v>553</v>
      </c>
      <c r="O2854" s="2" t="s">
        <v>524</v>
      </c>
      <c r="Y2854" s="2" t="s">
        <v>684</v>
      </c>
    </row>
    <row r="2855" spans="1:34" x14ac:dyDescent="0.25">
      <c r="A2855" s="2" t="s">
        <v>325</v>
      </c>
      <c r="B2855" s="2" t="s">
        <v>540</v>
      </c>
      <c r="C2855" s="2" t="s">
        <v>407</v>
      </c>
      <c r="D2855" s="2" t="s">
        <v>411</v>
      </c>
      <c r="E2855" s="2" t="s">
        <v>413</v>
      </c>
      <c r="F2855" s="2" t="s">
        <v>40</v>
      </c>
      <c r="J2855" s="2" t="s">
        <v>541</v>
      </c>
      <c r="K2855" s="2" t="s">
        <v>542</v>
      </c>
      <c r="L2855" s="2">
        <v>12</v>
      </c>
      <c r="M2855" s="2" t="s">
        <v>554</v>
      </c>
      <c r="O2855" s="2" t="s">
        <v>524</v>
      </c>
      <c r="Y2855" s="2" t="s">
        <v>684</v>
      </c>
    </row>
    <row r="2856" spans="1:34" x14ac:dyDescent="0.25">
      <c r="A2856" s="2" t="s">
        <v>325</v>
      </c>
      <c r="B2856" s="2" t="s">
        <v>555</v>
      </c>
      <c r="C2856" s="2" t="s">
        <v>407</v>
      </c>
      <c r="D2856" s="2" t="s">
        <v>411</v>
      </c>
      <c r="E2856" s="2" t="s">
        <v>413</v>
      </c>
      <c r="F2856" s="2" t="s">
        <v>40</v>
      </c>
      <c r="J2856" s="2" t="s">
        <v>556</v>
      </c>
      <c r="O2856" s="2" t="s">
        <v>524</v>
      </c>
      <c r="Y2856" s="2" t="s">
        <v>684</v>
      </c>
      <c r="AB2856" s="2">
        <v>2</v>
      </c>
    </row>
    <row r="2857" spans="1:34" x14ac:dyDescent="0.25">
      <c r="A2857" s="2" t="s">
        <v>325</v>
      </c>
      <c r="B2857" s="2" t="s">
        <v>557</v>
      </c>
      <c r="C2857" s="2" t="s">
        <v>407</v>
      </c>
      <c r="D2857" s="2" t="s">
        <v>411</v>
      </c>
      <c r="E2857" s="2" t="s">
        <v>413</v>
      </c>
      <c r="F2857" s="2" t="s">
        <v>40</v>
      </c>
      <c r="J2857" s="2" t="s">
        <v>558</v>
      </c>
      <c r="O2857" s="2" t="s">
        <v>524</v>
      </c>
      <c r="Y2857" s="2" t="s">
        <v>684</v>
      </c>
      <c r="AC2857" s="2">
        <f>COUNTIFS($B:$B,"BLOCK_LOAD_Q",$A:$A,$A2857,$C:$C,$C2857,$E:$E,$E2857,$F:$F,$F2857,$N:$N, "&lt;&gt;")</f>
        <v>0</v>
      </c>
      <c r="AD2857" s="2">
        <f>COUNTIFS($B:$B,"BLOCK_TRUST_Q",$A:$A,$A2857,$C:$C,$C2857,$E:$E,$E2857,$F:$F,$F2857,$N:$N, "&lt;&gt;")</f>
        <v>0</v>
      </c>
      <c r="AE2857" s="2" t="str">
        <f>IFERROR(AVERAGEIFS($P:$P,$B:$B,"BLOCK_LOAD_Q",$A:$A,$A2857,$C:$C,$C2857,$E:$E,$E2857,$F:$F,$F2857,$P:$P,"&gt;0"),"")</f>
        <v/>
      </c>
      <c r="AF2857" s="2" t="str">
        <f>IFERROR(AVERAGEIFS($P:$P,$B:$B,"BLOCK_TRUST_Q",$A:$A,$A2857,$C:$C,$C2857,$E:$E,$E2857,$F:$F,$F2857,$P:$P,"&gt;0"),"")</f>
        <v/>
      </c>
      <c r="AG2857" s="2">
        <f>5-AC2857</f>
        <v>5</v>
      </c>
      <c r="AH2857" s="2">
        <f>12-AD2857</f>
        <v>12</v>
      </c>
    </row>
    <row r="2858" spans="1:34" x14ac:dyDescent="0.25">
      <c r="A2858" s="2" t="s">
        <v>325</v>
      </c>
      <c r="B2858" s="2" t="s">
        <v>402</v>
      </c>
      <c r="C2858" s="2" t="s">
        <v>407</v>
      </c>
      <c r="D2858" s="2" t="s">
        <v>411</v>
      </c>
      <c r="E2858" s="2" t="s">
        <v>414</v>
      </c>
      <c r="F2858" s="2" t="s">
        <v>39</v>
      </c>
      <c r="G2858" s="2" t="s">
        <v>415</v>
      </c>
      <c r="H2858" s="2" t="s">
        <v>349</v>
      </c>
      <c r="S2858" s="2" t="s">
        <v>58</v>
      </c>
      <c r="U2858" s="2" t="s">
        <v>60</v>
      </c>
      <c r="W2858" s="2" t="s">
        <v>58</v>
      </c>
    </row>
    <row r="2859" spans="1:34" x14ac:dyDescent="0.25">
      <c r="A2859" s="2" t="s">
        <v>325</v>
      </c>
      <c r="B2859" s="2" t="s">
        <v>402</v>
      </c>
      <c r="C2859" s="2" t="s">
        <v>407</v>
      </c>
      <c r="D2859" s="2" t="s">
        <v>411</v>
      </c>
      <c r="E2859" s="2" t="s">
        <v>414</v>
      </c>
      <c r="F2859" s="2" t="s">
        <v>39</v>
      </c>
      <c r="G2859" s="2" t="s">
        <v>416</v>
      </c>
      <c r="H2859" s="2" t="s">
        <v>565</v>
      </c>
      <c r="S2859" s="2" t="s">
        <v>59</v>
      </c>
      <c r="U2859" s="2" t="s">
        <v>60</v>
      </c>
      <c r="W2859" s="2" t="s">
        <v>60</v>
      </c>
    </row>
    <row r="2860" spans="1:34" x14ac:dyDescent="0.25">
      <c r="A2860" s="2" t="s">
        <v>325</v>
      </c>
      <c r="B2860" s="2" t="s">
        <v>402</v>
      </c>
      <c r="C2860" s="2" t="s">
        <v>407</v>
      </c>
      <c r="D2860" s="2" t="s">
        <v>411</v>
      </c>
      <c r="E2860" s="2" t="s">
        <v>414</v>
      </c>
      <c r="F2860" s="2" t="s">
        <v>39</v>
      </c>
      <c r="G2860" s="2" t="s">
        <v>417</v>
      </c>
      <c r="H2860" s="2" t="s">
        <v>361</v>
      </c>
      <c r="S2860" s="2" t="s">
        <v>60</v>
      </c>
      <c r="U2860" s="2" t="s">
        <v>60</v>
      </c>
      <c r="W2860" s="2" t="s">
        <v>60</v>
      </c>
    </row>
    <row r="2861" spans="1:34" x14ac:dyDescent="0.25">
      <c r="A2861" s="2" t="s">
        <v>325</v>
      </c>
      <c r="B2861" s="2" t="s">
        <v>402</v>
      </c>
      <c r="C2861" s="2" t="s">
        <v>407</v>
      </c>
      <c r="D2861" s="2" t="s">
        <v>411</v>
      </c>
      <c r="E2861" s="2" t="s">
        <v>414</v>
      </c>
      <c r="F2861" s="2" t="s">
        <v>39</v>
      </c>
      <c r="G2861" s="2" t="s">
        <v>418</v>
      </c>
      <c r="H2861" s="2" t="s">
        <v>353</v>
      </c>
      <c r="S2861" s="2" t="s">
        <v>58</v>
      </c>
      <c r="U2861" s="2" t="s">
        <v>59</v>
      </c>
      <c r="W2861" s="2" t="s">
        <v>58</v>
      </c>
    </row>
    <row r="2862" spans="1:34" x14ac:dyDescent="0.25">
      <c r="A2862" s="2" t="s">
        <v>325</v>
      </c>
      <c r="B2862" s="2" t="s">
        <v>402</v>
      </c>
      <c r="C2862" s="2" t="s">
        <v>407</v>
      </c>
      <c r="D2862" s="2" t="s">
        <v>411</v>
      </c>
      <c r="E2862" s="2" t="s">
        <v>414</v>
      </c>
      <c r="F2862" s="2" t="s">
        <v>39</v>
      </c>
      <c r="G2862" s="2" t="s">
        <v>419</v>
      </c>
      <c r="H2862" s="2" t="s">
        <v>371</v>
      </c>
      <c r="S2862" s="2" t="s">
        <v>60</v>
      </c>
      <c r="U2862" s="2" t="s">
        <v>59</v>
      </c>
      <c r="W2862" s="2" t="s">
        <v>57</v>
      </c>
    </row>
    <row r="2863" spans="1:34" x14ac:dyDescent="0.25">
      <c r="A2863" s="2" t="s">
        <v>325</v>
      </c>
      <c r="B2863" s="2" t="s">
        <v>531</v>
      </c>
      <c r="C2863" s="2" t="s">
        <v>407</v>
      </c>
      <c r="D2863" s="2" t="s">
        <v>411</v>
      </c>
      <c r="E2863" s="2" t="s">
        <v>414</v>
      </c>
      <c r="F2863" s="2" t="s">
        <v>39</v>
      </c>
      <c r="J2863" s="2" t="s">
        <v>532</v>
      </c>
      <c r="K2863" s="2" t="s">
        <v>533</v>
      </c>
      <c r="L2863" s="2">
        <v>1</v>
      </c>
      <c r="M2863" s="2" t="s">
        <v>534</v>
      </c>
      <c r="O2863" s="2" t="s">
        <v>524</v>
      </c>
      <c r="Y2863" s="2" t="s">
        <v>685</v>
      </c>
    </row>
    <row r="2864" spans="1:34" x14ac:dyDescent="0.25">
      <c r="A2864" s="2" t="s">
        <v>325</v>
      </c>
      <c r="B2864" s="2" t="s">
        <v>531</v>
      </c>
      <c r="C2864" s="2" t="s">
        <v>407</v>
      </c>
      <c r="D2864" s="2" t="s">
        <v>411</v>
      </c>
      <c r="E2864" s="2" t="s">
        <v>414</v>
      </c>
      <c r="F2864" s="2" t="s">
        <v>39</v>
      </c>
      <c r="J2864" s="2" t="s">
        <v>532</v>
      </c>
      <c r="K2864" s="2" t="s">
        <v>533</v>
      </c>
      <c r="L2864" s="2">
        <v>2</v>
      </c>
      <c r="M2864" s="2" t="s">
        <v>536</v>
      </c>
      <c r="O2864" s="2" t="s">
        <v>524</v>
      </c>
      <c r="Y2864" s="2" t="s">
        <v>685</v>
      </c>
    </row>
    <row r="2865" spans="1:28" x14ac:dyDescent="0.25">
      <c r="A2865" s="2" t="s">
        <v>325</v>
      </c>
      <c r="B2865" s="2" t="s">
        <v>531</v>
      </c>
      <c r="C2865" s="2" t="s">
        <v>407</v>
      </c>
      <c r="D2865" s="2" t="s">
        <v>411</v>
      </c>
      <c r="E2865" s="2" t="s">
        <v>414</v>
      </c>
      <c r="F2865" s="2" t="s">
        <v>39</v>
      </c>
      <c r="J2865" s="2" t="s">
        <v>532</v>
      </c>
      <c r="K2865" s="2" t="s">
        <v>533</v>
      </c>
      <c r="L2865" s="2">
        <v>3</v>
      </c>
      <c r="M2865" s="2" t="s">
        <v>537</v>
      </c>
      <c r="O2865" s="2" t="s">
        <v>524</v>
      </c>
      <c r="Y2865" s="2" t="s">
        <v>685</v>
      </c>
    </row>
    <row r="2866" spans="1:28" x14ac:dyDescent="0.25">
      <c r="A2866" s="2" t="s">
        <v>325</v>
      </c>
      <c r="B2866" s="2" t="s">
        <v>531</v>
      </c>
      <c r="C2866" s="2" t="s">
        <v>407</v>
      </c>
      <c r="D2866" s="2" t="s">
        <v>411</v>
      </c>
      <c r="E2866" s="2" t="s">
        <v>414</v>
      </c>
      <c r="F2866" s="2" t="s">
        <v>39</v>
      </c>
      <c r="J2866" s="2" t="s">
        <v>532</v>
      </c>
      <c r="K2866" s="2" t="s">
        <v>533</v>
      </c>
      <c r="L2866" s="2">
        <v>4</v>
      </c>
      <c r="M2866" s="2" t="s">
        <v>538</v>
      </c>
      <c r="O2866" s="2" t="s">
        <v>524</v>
      </c>
      <c r="Y2866" s="2" t="s">
        <v>685</v>
      </c>
    </row>
    <row r="2867" spans="1:28" x14ac:dyDescent="0.25">
      <c r="A2867" s="2" t="s">
        <v>325</v>
      </c>
      <c r="B2867" s="2" t="s">
        <v>531</v>
      </c>
      <c r="C2867" s="2" t="s">
        <v>407</v>
      </c>
      <c r="D2867" s="2" t="s">
        <v>411</v>
      </c>
      <c r="E2867" s="2" t="s">
        <v>414</v>
      </c>
      <c r="F2867" s="2" t="s">
        <v>39</v>
      </c>
      <c r="J2867" s="2" t="s">
        <v>532</v>
      </c>
      <c r="K2867" s="2" t="s">
        <v>533</v>
      </c>
      <c r="L2867" s="2">
        <v>5</v>
      </c>
      <c r="M2867" s="2" t="s">
        <v>539</v>
      </c>
      <c r="O2867" s="2" t="s">
        <v>524</v>
      </c>
      <c r="Y2867" s="2" t="s">
        <v>685</v>
      </c>
    </row>
    <row r="2868" spans="1:28" x14ac:dyDescent="0.25">
      <c r="A2868" s="2" t="s">
        <v>325</v>
      </c>
      <c r="B2868" s="2" t="s">
        <v>540</v>
      </c>
      <c r="C2868" s="2" t="s">
        <v>407</v>
      </c>
      <c r="D2868" s="2" t="s">
        <v>411</v>
      </c>
      <c r="E2868" s="2" t="s">
        <v>414</v>
      </c>
      <c r="F2868" s="2" t="s">
        <v>39</v>
      </c>
      <c r="J2868" s="2" t="s">
        <v>541</v>
      </c>
      <c r="K2868" s="2" t="s">
        <v>542</v>
      </c>
      <c r="L2868" s="2">
        <v>1</v>
      </c>
      <c r="M2868" s="2" t="s">
        <v>543</v>
      </c>
      <c r="O2868" s="2" t="s">
        <v>524</v>
      </c>
      <c r="Y2868" s="2" t="s">
        <v>685</v>
      </c>
    </row>
    <row r="2869" spans="1:28" x14ac:dyDescent="0.25">
      <c r="A2869" s="2" t="s">
        <v>325</v>
      </c>
      <c r="B2869" s="2" t="s">
        <v>540</v>
      </c>
      <c r="C2869" s="2" t="s">
        <v>407</v>
      </c>
      <c r="D2869" s="2" t="s">
        <v>411</v>
      </c>
      <c r="E2869" s="2" t="s">
        <v>414</v>
      </c>
      <c r="F2869" s="2" t="s">
        <v>39</v>
      </c>
      <c r="J2869" s="2" t="s">
        <v>541</v>
      </c>
      <c r="K2869" s="2" t="s">
        <v>542</v>
      </c>
      <c r="L2869" s="2">
        <v>2</v>
      </c>
      <c r="M2869" s="2" t="s">
        <v>544</v>
      </c>
      <c r="O2869" s="2" t="s">
        <v>524</v>
      </c>
      <c r="Y2869" s="2" t="s">
        <v>685</v>
      </c>
    </row>
    <row r="2870" spans="1:28" x14ac:dyDescent="0.25">
      <c r="A2870" s="2" t="s">
        <v>325</v>
      </c>
      <c r="B2870" s="2" t="s">
        <v>540</v>
      </c>
      <c r="C2870" s="2" t="s">
        <v>407</v>
      </c>
      <c r="D2870" s="2" t="s">
        <v>411</v>
      </c>
      <c r="E2870" s="2" t="s">
        <v>414</v>
      </c>
      <c r="F2870" s="2" t="s">
        <v>39</v>
      </c>
      <c r="J2870" s="2" t="s">
        <v>541</v>
      </c>
      <c r="K2870" s="2" t="s">
        <v>542</v>
      </c>
      <c r="L2870" s="2">
        <v>3</v>
      </c>
      <c r="M2870" s="2" t="s">
        <v>545</v>
      </c>
      <c r="O2870" s="2" t="s">
        <v>524</v>
      </c>
      <c r="Y2870" s="2" t="s">
        <v>685</v>
      </c>
    </row>
    <row r="2871" spans="1:28" x14ac:dyDescent="0.25">
      <c r="A2871" s="2" t="s">
        <v>325</v>
      </c>
      <c r="B2871" s="2" t="s">
        <v>540</v>
      </c>
      <c r="C2871" s="2" t="s">
        <v>407</v>
      </c>
      <c r="D2871" s="2" t="s">
        <v>411</v>
      </c>
      <c r="E2871" s="2" t="s">
        <v>414</v>
      </c>
      <c r="F2871" s="2" t="s">
        <v>39</v>
      </c>
      <c r="J2871" s="2" t="s">
        <v>541</v>
      </c>
      <c r="K2871" s="2" t="s">
        <v>542</v>
      </c>
      <c r="L2871" s="2">
        <v>4</v>
      </c>
      <c r="M2871" s="2" t="s">
        <v>546</v>
      </c>
      <c r="O2871" s="2" t="s">
        <v>524</v>
      </c>
      <c r="Y2871" s="2" t="s">
        <v>685</v>
      </c>
    </row>
    <row r="2872" spans="1:28" x14ac:dyDescent="0.25">
      <c r="A2872" s="2" t="s">
        <v>325</v>
      </c>
      <c r="B2872" s="2" t="s">
        <v>540</v>
      </c>
      <c r="C2872" s="2" t="s">
        <v>407</v>
      </c>
      <c r="D2872" s="2" t="s">
        <v>411</v>
      </c>
      <c r="E2872" s="2" t="s">
        <v>414</v>
      </c>
      <c r="F2872" s="2" t="s">
        <v>39</v>
      </c>
      <c r="J2872" s="2" t="s">
        <v>541</v>
      </c>
      <c r="K2872" s="2" t="s">
        <v>542</v>
      </c>
      <c r="L2872" s="2">
        <v>5</v>
      </c>
      <c r="M2872" s="2" t="s">
        <v>547</v>
      </c>
      <c r="O2872" s="2" t="s">
        <v>524</v>
      </c>
      <c r="Y2872" s="2" t="s">
        <v>685</v>
      </c>
    </row>
    <row r="2873" spans="1:28" x14ac:dyDescent="0.25">
      <c r="A2873" s="2" t="s">
        <v>325</v>
      </c>
      <c r="B2873" s="2" t="s">
        <v>540</v>
      </c>
      <c r="C2873" s="2" t="s">
        <v>407</v>
      </c>
      <c r="D2873" s="2" t="s">
        <v>411</v>
      </c>
      <c r="E2873" s="2" t="s">
        <v>414</v>
      </c>
      <c r="F2873" s="2" t="s">
        <v>39</v>
      </c>
      <c r="J2873" s="2" t="s">
        <v>541</v>
      </c>
      <c r="K2873" s="2" t="s">
        <v>542</v>
      </c>
      <c r="L2873" s="2">
        <v>6</v>
      </c>
      <c r="M2873" s="2" t="s">
        <v>548</v>
      </c>
      <c r="O2873" s="2" t="s">
        <v>524</v>
      </c>
      <c r="Y2873" s="2" t="s">
        <v>685</v>
      </c>
    </row>
    <row r="2874" spans="1:28" x14ac:dyDescent="0.25">
      <c r="A2874" s="2" t="s">
        <v>325</v>
      </c>
      <c r="B2874" s="2" t="s">
        <v>540</v>
      </c>
      <c r="C2874" s="2" t="s">
        <v>407</v>
      </c>
      <c r="D2874" s="2" t="s">
        <v>411</v>
      </c>
      <c r="E2874" s="2" t="s">
        <v>414</v>
      </c>
      <c r="F2874" s="2" t="s">
        <v>39</v>
      </c>
      <c r="J2874" s="2" t="s">
        <v>541</v>
      </c>
      <c r="K2874" s="2" t="s">
        <v>542</v>
      </c>
      <c r="L2874" s="2">
        <v>7</v>
      </c>
      <c r="M2874" s="2" t="s">
        <v>549</v>
      </c>
      <c r="O2874" s="2" t="s">
        <v>524</v>
      </c>
      <c r="Y2874" s="2" t="s">
        <v>685</v>
      </c>
    </row>
    <row r="2875" spans="1:28" x14ac:dyDescent="0.25">
      <c r="A2875" s="2" t="s">
        <v>325</v>
      </c>
      <c r="B2875" s="2" t="s">
        <v>540</v>
      </c>
      <c r="C2875" s="2" t="s">
        <v>407</v>
      </c>
      <c r="D2875" s="2" t="s">
        <v>411</v>
      </c>
      <c r="E2875" s="2" t="s">
        <v>414</v>
      </c>
      <c r="F2875" s="2" t="s">
        <v>39</v>
      </c>
      <c r="J2875" s="2" t="s">
        <v>541</v>
      </c>
      <c r="K2875" s="2" t="s">
        <v>542</v>
      </c>
      <c r="L2875" s="2">
        <v>8</v>
      </c>
      <c r="M2875" s="2" t="s">
        <v>550</v>
      </c>
      <c r="O2875" s="2" t="s">
        <v>524</v>
      </c>
      <c r="Y2875" s="2" t="s">
        <v>685</v>
      </c>
    </row>
    <row r="2876" spans="1:28" x14ac:dyDescent="0.25">
      <c r="A2876" s="2" t="s">
        <v>325</v>
      </c>
      <c r="B2876" s="2" t="s">
        <v>540</v>
      </c>
      <c r="C2876" s="2" t="s">
        <v>407</v>
      </c>
      <c r="D2876" s="2" t="s">
        <v>411</v>
      </c>
      <c r="E2876" s="2" t="s">
        <v>414</v>
      </c>
      <c r="F2876" s="2" t="s">
        <v>39</v>
      </c>
      <c r="J2876" s="2" t="s">
        <v>541</v>
      </c>
      <c r="K2876" s="2" t="s">
        <v>542</v>
      </c>
      <c r="L2876" s="2">
        <v>9</v>
      </c>
      <c r="M2876" s="2" t="s">
        <v>551</v>
      </c>
      <c r="O2876" s="2" t="s">
        <v>524</v>
      </c>
      <c r="Y2876" s="2" t="s">
        <v>685</v>
      </c>
    </row>
    <row r="2877" spans="1:28" x14ac:dyDescent="0.25">
      <c r="A2877" s="2" t="s">
        <v>325</v>
      </c>
      <c r="B2877" s="2" t="s">
        <v>540</v>
      </c>
      <c r="C2877" s="2" t="s">
        <v>407</v>
      </c>
      <c r="D2877" s="2" t="s">
        <v>411</v>
      </c>
      <c r="E2877" s="2" t="s">
        <v>414</v>
      </c>
      <c r="F2877" s="2" t="s">
        <v>39</v>
      </c>
      <c r="J2877" s="2" t="s">
        <v>541</v>
      </c>
      <c r="K2877" s="2" t="s">
        <v>542</v>
      </c>
      <c r="L2877" s="2">
        <v>10</v>
      </c>
      <c r="M2877" s="2" t="s">
        <v>552</v>
      </c>
      <c r="O2877" s="2" t="s">
        <v>524</v>
      </c>
      <c r="Y2877" s="2" t="s">
        <v>685</v>
      </c>
    </row>
    <row r="2878" spans="1:28" x14ac:dyDescent="0.25">
      <c r="A2878" s="2" t="s">
        <v>325</v>
      </c>
      <c r="B2878" s="2" t="s">
        <v>540</v>
      </c>
      <c r="C2878" s="2" t="s">
        <v>407</v>
      </c>
      <c r="D2878" s="2" t="s">
        <v>411</v>
      </c>
      <c r="E2878" s="2" t="s">
        <v>414</v>
      </c>
      <c r="F2878" s="2" t="s">
        <v>39</v>
      </c>
      <c r="J2878" s="2" t="s">
        <v>541</v>
      </c>
      <c r="K2878" s="2" t="s">
        <v>542</v>
      </c>
      <c r="L2878" s="2">
        <v>11</v>
      </c>
      <c r="M2878" s="2" t="s">
        <v>553</v>
      </c>
      <c r="O2878" s="2" t="s">
        <v>524</v>
      </c>
      <c r="Y2878" s="2" t="s">
        <v>685</v>
      </c>
    </row>
    <row r="2879" spans="1:28" x14ac:dyDescent="0.25">
      <c r="A2879" s="2" t="s">
        <v>325</v>
      </c>
      <c r="B2879" s="2" t="s">
        <v>540</v>
      </c>
      <c r="C2879" s="2" t="s">
        <v>407</v>
      </c>
      <c r="D2879" s="2" t="s">
        <v>411</v>
      </c>
      <c r="E2879" s="2" t="s">
        <v>414</v>
      </c>
      <c r="F2879" s="2" t="s">
        <v>39</v>
      </c>
      <c r="J2879" s="2" t="s">
        <v>541</v>
      </c>
      <c r="K2879" s="2" t="s">
        <v>542</v>
      </c>
      <c r="L2879" s="2">
        <v>12</v>
      </c>
      <c r="M2879" s="2" t="s">
        <v>554</v>
      </c>
      <c r="O2879" s="2" t="s">
        <v>524</v>
      </c>
      <c r="Y2879" s="2" t="s">
        <v>685</v>
      </c>
    </row>
    <row r="2880" spans="1:28" x14ac:dyDescent="0.25">
      <c r="A2880" s="2" t="s">
        <v>325</v>
      </c>
      <c r="B2880" s="2" t="s">
        <v>555</v>
      </c>
      <c r="C2880" s="2" t="s">
        <v>407</v>
      </c>
      <c r="D2880" s="2" t="s">
        <v>411</v>
      </c>
      <c r="E2880" s="2" t="s">
        <v>414</v>
      </c>
      <c r="F2880" s="2" t="s">
        <v>39</v>
      </c>
      <c r="J2880" s="2" t="s">
        <v>556</v>
      </c>
      <c r="O2880" s="2" t="s">
        <v>524</v>
      </c>
      <c r="Y2880" s="2" t="s">
        <v>685</v>
      </c>
      <c r="AB2880" s="2">
        <v>1</v>
      </c>
    </row>
    <row r="2881" spans="1:34" x14ac:dyDescent="0.25">
      <c r="A2881" s="2" t="s">
        <v>325</v>
      </c>
      <c r="B2881" s="2" t="s">
        <v>557</v>
      </c>
      <c r="C2881" s="2" t="s">
        <v>407</v>
      </c>
      <c r="D2881" s="2" t="s">
        <v>411</v>
      </c>
      <c r="E2881" s="2" t="s">
        <v>414</v>
      </c>
      <c r="F2881" s="2" t="s">
        <v>39</v>
      </c>
      <c r="J2881" s="2" t="s">
        <v>558</v>
      </c>
      <c r="O2881" s="2" t="s">
        <v>524</v>
      </c>
      <c r="Y2881" s="2" t="s">
        <v>685</v>
      </c>
      <c r="AC2881" s="2">
        <f>COUNTIFS($B:$B,"BLOCK_LOAD_Q",$A:$A,$A2881,$C:$C,$C2881,$E:$E,$E2881,$F:$F,$F2881,$N:$N, "&lt;&gt;")</f>
        <v>0</v>
      </c>
      <c r="AD2881" s="2">
        <f>COUNTIFS($B:$B,"BLOCK_TRUST_Q",$A:$A,$A2881,$C:$C,$C2881,$E:$E,$E2881,$F:$F,$F2881,$N:$N, "&lt;&gt;")</f>
        <v>0</v>
      </c>
      <c r="AE2881" s="2" t="str">
        <f>IFERROR(AVERAGEIFS($P:$P,$B:$B,"BLOCK_LOAD_Q",$A:$A,$A2881,$C:$C,$C2881,$E:$E,$E2881,$F:$F,$F2881,$P:$P,"&gt;0"),"")</f>
        <v/>
      </c>
      <c r="AF2881" s="2" t="str">
        <f>IFERROR(AVERAGEIFS($P:$P,$B:$B,"BLOCK_TRUST_Q",$A:$A,$A2881,$C:$C,$C2881,$E:$E,$E2881,$F:$F,$F2881,$P:$P,"&gt;0"),"")</f>
        <v/>
      </c>
      <c r="AG2881" s="2">
        <f>5-AC2881</f>
        <v>5</v>
      </c>
      <c r="AH2881" s="2">
        <f>12-AD2881</f>
        <v>12</v>
      </c>
    </row>
    <row r="2882" spans="1:34" x14ac:dyDescent="0.25">
      <c r="A2882" s="2" t="s">
        <v>325</v>
      </c>
      <c r="B2882" s="2" t="s">
        <v>403</v>
      </c>
      <c r="C2882" s="2" t="s">
        <v>407</v>
      </c>
      <c r="D2882" s="2" t="s">
        <v>411</v>
      </c>
      <c r="Z2882" s="2" t="s">
        <v>477</v>
      </c>
    </row>
    <row r="2883" spans="1:34" x14ac:dyDescent="0.25">
      <c r="A2883" s="2" t="s">
        <v>325</v>
      </c>
      <c r="B2883" s="2" t="s">
        <v>402</v>
      </c>
      <c r="C2883" s="2" t="s">
        <v>408</v>
      </c>
      <c r="D2883" s="2" t="s">
        <v>412</v>
      </c>
      <c r="E2883" s="2" t="s">
        <v>413</v>
      </c>
      <c r="F2883" s="2" t="s">
        <v>40</v>
      </c>
      <c r="G2883" s="2" t="s">
        <v>415</v>
      </c>
      <c r="H2883" s="2" t="s">
        <v>567</v>
      </c>
      <c r="S2883" s="2" t="s">
        <v>58</v>
      </c>
      <c r="U2883" s="2" t="s">
        <v>57</v>
      </c>
      <c r="W2883" s="2" t="s">
        <v>60</v>
      </c>
    </row>
    <row r="2884" spans="1:34" x14ac:dyDescent="0.25">
      <c r="A2884" s="2" t="s">
        <v>325</v>
      </c>
      <c r="B2884" s="2" t="s">
        <v>402</v>
      </c>
      <c r="C2884" s="2" t="s">
        <v>408</v>
      </c>
      <c r="D2884" s="2" t="s">
        <v>412</v>
      </c>
      <c r="E2884" s="2" t="s">
        <v>413</v>
      </c>
      <c r="F2884" s="2" t="s">
        <v>40</v>
      </c>
      <c r="G2884" s="2" t="s">
        <v>416</v>
      </c>
      <c r="H2884" s="2" t="s">
        <v>568</v>
      </c>
      <c r="S2884" s="2" t="s">
        <v>59</v>
      </c>
      <c r="U2884" s="2" t="s">
        <v>60</v>
      </c>
      <c r="W2884" s="2" t="s">
        <v>59</v>
      </c>
    </row>
    <row r="2885" spans="1:34" x14ac:dyDescent="0.25">
      <c r="A2885" s="2" t="s">
        <v>325</v>
      </c>
      <c r="B2885" s="2" t="s">
        <v>402</v>
      </c>
      <c r="C2885" s="2" t="s">
        <v>408</v>
      </c>
      <c r="D2885" s="2" t="s">
        <v>412</v>
      </c>
      <c r="E2885" s="2" t="s">
        <v>413</v>
      </c>
      <c r="F2885" s="2" t="s">
        <v>40</v>
      </c>
      <c r="G2885" s="2" t="s">
        <v>417</v>
      </c>
      <c r="H2885" s="2" t="s">
        <v>569</v>
      </c>
      <c r="S2885" s="2" t="s">
        <v>57</v>
      </c>
      <c r="U2885" s="2" t="s">
        <v>60</v>
      </c>
      <c r="W2885" s="2" t="s">
        <v>57</v>
      </c>
    </row>
    <row r="2886" spans="1:34" x14ac:dyDescent="0.25">
      <c r="A2886" s="2" t="s">
        <v>325</v>
      </c>
      <c r="B2886" s="2" t="s">
        <v>402</v>
      </c>
      <c r="C2886" s="2" t="s">
        <v>408</v>
      </c>
      <c r="D2886" s="2" t="s">
        <v>412</v>
      </c>
      <c r="E2886" s="2" t="s">
        <v>413</v>
      </c>
      <c r="F2886" s="2" t="s">
        <v>40</v>
      </c>
      <c r="G2886" s="2" t="s">
        <v>418</v>
      </c>
      <c r="H2886" s="2" t="s">
        <v>351</v>
      </c>
      <c r="S2886" s="2" t="s">
        <v>60</v>
      </c>
      <c r="U2886" s="2" t="s">
        <v>57</v>
      </c>
      <c r="W2886" s="2" t="s">
        <v>57</v>
      </c>
    </row>
    <row r="2887" spans="1:34" x14ac:dyDescent="0.25">
      <c r="A2887" s="2" t="s">
        <v>325</v>
      </c>
      <c r="B2887" s="2" t="s">
        <v>531</v>
      </c>
      <c r="C2887" s="2" t="s">
        <v>408</v>
      </c>
      <c r="D2887" s="2" t="s">
        <v>412</v>
      </c>
      <c r="E2887" s="2" t="s">
        <v>413</v>
      </c>
      <c r="F2887" s="2" t="s">
        <v>40</v>
      </c>
      <c r="J2887" s="2" t="s">
        <v>532</v>
      </c>
      <c r="K2887" s="2" t="s">
        <v>533</v>
      </c>
      <c r="L2887" s="2">
        <v>1</v>
      </c>
      <c r="M2887" s="2" t="s">
        <v>534</v>
      </c>
      <c r="O2887" s="2" t="s">
        <v>524</v>
      </c>
      <c r="Y2887" s="2" t="s">
        <v>686</v>
      </c>
    </row>
    <row r="2888" spans="1:34" x14ac:dyDescent="0.25">
      <c r="A2888" s="2" t="s">
        <v>325</v>
      </c>
      <c r="B2888" s="2" t="s">
        <v>531</v>
      </c>
      <c r="C2888" s="2" t="s">
        <v>408</v>
      </c>
      <c r="D2888" s="2" t="s">
        <v>412</v>
      </c>
      <c r="E2888" s="2" t="s">
        <v>413</v>
      </c>
      <c r="F2888" s="2" t="s">
        <v>40</v>
      </c>
      <c r="J2888" s="2" t="s">
        <v>532</v>
      </c>
      <c r="K2888" s="2" t="s">
        <v>533</v>
      </c>
      <c r="L2888" s="2">
        <v>2</v>
      </c>
      <c r="M2888" s="2" t="s">
        <v>536</v>
      </c>
      <c r="O2888" s="2" t="s">
        <v>524</v>
      </c>
      <c r="Y2888" s="2" t="s">
        <v>686</v>
      </c>
    </row>
    <row r="2889" spans="1:34" x14ac:dyDescent="0.25">
      <c r="A2889" s="2" t="s">
        <v>325</v>
      </c>
      <c r="B2889" s="2" t="s">
        <v>531</v>
      </c>
      <c r="C2889" s="2" t="s">
        <v>408</v>
      </c>
      <c r="D2889" s="2" t="s">
        <v>412</v>
      </c>
      <c r="E2889" s="2" t="s">
        <v>413</v>
      </c>
      <c r="F2889" s="2" t="s">
        <v>40</v>
      </c>
      <c r="J2889" s="2" t="s">
        <v>532</v>
      </c>
      <c r="K2889" s="2" t="s">
        <v>533</v>
      </c>
      <c r="L2889" s="2">
        <v>3</v>
      </c>
      <c r="M2889" s="2" t="s">
        <v>537</v>
      </c>
      <c r="O2889" s="2" t="s">
        <v>524</v>
      </c>
      <c r="Y2889" s="2" t="s">
        <v>686</v>
      </c>
    </row>
    <row r="2890" spans="1:34" x14ac:dyDescent="0.25">
      <c r="A2890" s="2" t="s">
        <v>325</v>
      </c>
      <c r="B2890" s="2" t="s">
        <v>531</v>
      </c>
      <c r="C2890" s="2" t="s">
        <v>408</v>
      </c>
      <c r="D2890" s="2" t="s">
        <v>412</v>
      </c>
      <c r="E2890" s="2" t="s">
        <v>413</v>
      </c>
      <c r="F2890" s="2" t="s">
        <v>40</v>
      </c>
      <c r="J2890" s="2" t="s">
        <v>532</v>
      </c>
      <c r="K2890" s="2" t="s">
        <v>533</v>
      </c>
      <c r="L2890" s="2">
        <v>4</v>
      </c>
      <c r="M2890" s="2" t="s">
        <v>538</v>
      </c>
      <c r="O2890" s="2" t="s">
        <v>524</v>
      </c>
      <c r="Y2890" s="2" t="s">
        <v>686</v>
      </c>
    </row>
    <row r="2891" spans="1:34" x14ac:dyDescent="0.25">
      <c r="A2891" s="2" t="s">
        <v>325</v>
      </c>
      <c r="B2891" s="2" t="s">
        <v>531</v>
      </c>
      <c r="C2891" s="2" t="s">
        <v>408</v>
      </c>
      <c r="D2891" s="2" t="s">
        <v>412</v>
      </c>
      <c r="E2891" s="2" t="s">
        <v>413</v>
      </c>
      <c r="F2891" s="2" t="s">
        <v>40</v>
      </c>
      <c r="J2891" s="2" t="s">
        <v>532</v>
      </c>
      <c r="K2891" s="2" t="s">
        <v>533</v>
      </c>
      <c r="L2891" s="2">
        <v>5</v>
      </c>
      <c r="M2891" s="2" t="s">
        <v>539</v>
      </c>
      <c r="O2891" s="2" t="s">
        <v>524</v>
      </c>
      <c r="Y2891" s="2" t="s">
        <v>686</v>
      </c>
    </row>
    <row r="2892" spans="1:34" x14ac:dyDescent="0.25">
      <c r="A2892" s="2" t="s">
        <v>325</v>
      </c>
      <c r="B2892" s="2" t="s">
        <v>540</v>
      </c>
      <c r="C2892" s="2" t="s">
        <v>408</v>
      </c>
      <c r="D2892" s="2" t="s">
        <v>412</v>
      </c>
      <c r="E2892" s="2" t="s">
        <v>413</v>
      </c>
      <c r="F2892" s="2" t="s">
        <v>40</v>
      </c>
      <c r="J2892" s="2" t="s">
        <v>541</v>
      </c>
      <c r="K2892" s="2" t="s">
        <v>542</v>
      </c>
      <c r="L2892" s="2">
        <v>1</v>
      </c>
      <c r="M2892" s="2" t="s">
        <v>543</v>
      </c>
      <c r="O2892" s="2" t="s">
        <v>524</v>
      </c>
      <c r="Y2892" s="2" t="s">
        <v>686</v>
      </c>
    </row>
    <row r="2893" spans="1:34" x14ac:dyDescent="0.25">
      <c r="A2893" s="2" t="s">
        <v>325</v>
      </c>
      <c r="B2893" s="2" t="s">
        <v>540</v>
      </c>
      <c r="C2893" s="2" t="s">
        <v>408</v>
      </c>
      <c r="D2893" s="2" t="s">
        <v>412</v>
      </c>
      <c r="E2893" s="2" t="s">
        <v>413</v>
      </c>
      <c r="F2893" s="2" t="s">
        <v>40</v>
      </c>
      <c r="J2893" s="2" t="s">
        <v>541</v>
      </c>
      <c r="K2893" s="2" t="s">
        <v>542</v>
      </c>
      <c r="L2893" s="2">
        <v>2</v>
      </c>
      <c r="M2893" s="2" t="s">
        <v>544</v>
      </c>
      <c r="O2893" s="2" t="s">
        <v>524</v>
      </c>
      <c r="Y2893" s="2" t="s">
        <v>686</v>
      </c>
    </row>
    <row r="2894" spans="1:34" x14ac:dyDescent="0.25">
      <c r="A2894" s="2" t="s">
        <v>325</v>
      </c>
      <c r="B2894" s="2" t="s">
        <v>540</v>
      </c>
      <c r="C2894" s="2" t="s">
        <v>408</v>
      </c>
      <c r="D2894" s="2" t="s">
        <v>412</v>
      </c>
      <c r="E2894" s="2" t="s">
        <v>413</v>
      </c>
      <c r="F2894" s="2" t="s">
        <v>40</v>
      </c>
      <c r="J2894" s="2" t="s">
        <v>541</v>
      </c>
      <c r="K2894" s="2" t="s">
        <v>542</v>
      </c>
      <c r="L2894" s="2">
        <v>3</v>
      </c>
      <c r="M2894" s="2" t="s">
        <v>545</v>
      </c>
      <c r="O2894" s="2" t="s">
        <v>524</v>
      </c>
      <c r="Y2894" s="2" t="s">
        <v>686</v>
      </c>
    </row>
    <row r="2895" spans="1:34" x14ac:dyDescent="0.25">
      <c r="A2895" s="2" t="s">
        <v>325</v>
      </c>
      <c r="B2895" s="2" t="s">
        <v>540</v>
      </c>
      <c r="C2895" s="2" t="s">
        <v>408</v>
      </c>
      <c r="D2895" s="2" t="s">
        <v>412</v>
      </c>
      <c r="E2895" s="2" t="s">
        <v>413</v>
      </c>
      <c r="F2895" s="2" t="s">
        <v>40</v>
      </c>
      <c r="J2895" s="2" t="s">
        <v>541</v>
      </c>
      <c r="K2895" s="2" t="s">
        <v>542</v>
      </c>
      <c r="L2895" s="2">
        <v>4</v>
      </c>
      <c r="M2895" s="2" t="s">
        <v>546</v>
      </c>
      <c r="O2895" s="2" t="s">
        <v>524</v>
      </c>
      <c r="Y2895" s="2" t="s">
        <v>686</v>
      </c>
    </row>
    <row r="2896" spans="1:34" x14ac:dyDescent="0.25">
      <c r="A2896" s="2" t="s">
        <v>325</v>
      </c>
      <c r="B2896" s="2" t="s">
        <v>540</v>
      </c>
      <c r="C2896" s="2" t="s">
        <v>408</v>
      </c>
      <c r="D2896" s="2" t="s">
        <v>412</v>
      </c>
      <c r="E2896" s="2" t="s">
        <v>413</v>
      </c>
      <c r="F2896" s="2" t="s">
        <v>40</v>
      </c>
      <c r="J2896" s="2" t="s">
        <v>541</v>
      </c>
      <c r="K2896" s="2" t="s">
        <v>542</v>
      </c>
      <c r="L2896" s="2">
        <v>5</v>
      </c>
      <c r="M2896" s="2" t="s">
        <v>547</v>
      </c>
      <c r="O2896" s="2" t="s">
        <v>524</v>
      </c>
      <c r="Y2896" s="2" t="s">
        <v>686</v>
      </c>
    </row>
    <row r="2897" spans="1:34" x14ac:dyDescent="0.25">
      <c r="A2897" s="2" t="s">
        <v>325</v>
      </c>
      <c r="B2897" s="2" t="s">
        <v>540</v>
      </c>
      <c r="C2897" s="2" t="s">
        <v>408</v>
      </c>
      <c r="D2897" s="2" t="s">
        <v>412</v>
      </c>
      <c r="E2897" s="2" t="s">
        <v>413</v>
      </c>
      <c r="F2897" s="2" t="s">
        <v>40</v>
      </c>
      <c r="J2897" s="2" t="s">
        <v>541</v>
      </c>
      <c r="K2897" s="2" t="s">
        <v>542</v>
      </c>
      <c r="L2897" s="2">
        <v>6</v>
      </c>
      <c r="M2897" s="2" t="s">
        <v>548</v>
      </c>
      <c r="O2897" s="2" t="s">
        <v>524</v>
      </c>
      <c r="Y2897" s="2" t="s">
        <v>686</v>
      </c>
    </row>
    <row r="2898" spans="1:34" x14ac:dyDescent="0.25">
      <c r="A2898" s="2" t="s">
        <v>325</v>
      </c>
      <c r="B2898" s="2" t="s">
        <v>540</v>
      </c>
      <c r="C2898" s="2" t="s">
        <v>408</v>
      </c>
      <c r="D2898" s="2" t="s">
        <v>412</v>
      </c>
      <c r="E2898" s="2" t="s">
        <v>413</v>
      </c>
      <c r="F2898" s="2" t="s">
        <v>40</v>
      </c>
      <c r="J2898" s="2" t="s">
        <v>541</v>
      </c>
      <c r="K2898" s="2" t="s">
        <v>542</v>
      </c>
      <c r="L2898" s="2">
        <v>7</v>
      </c>
      <c r="M2898" s="2" t="s">
        <v>549</v>
      </c>
      <c r="O2898" s="2" t="s">
        <v>524</v>
      </c>
      <c r="Y2898" s="2" t="s">
        <v>686</v>
      </c>
    </row>
    <row r="2899" spans="1:34" x14ac:dyDescent="0.25">
      <c r="A2899" s="2" t="s">
        <v>325</v>
      </c>
      <c r="B2899" s="2" t="s">
        <v>540</v>
      </c>
      <c r="C2899" s="2" t="s">
        <v>408</v>
      </c>
      <c r="D2899" s="2" t="s">
        <v>412</v>
      </c>
      <c r="E2899" s="2" t="s">
        <v>413</v>
      </c>
      <c r="F2899" s="2" t="s">
        <v>40</v>
      </c>
      <c r="J2899" s="2" t="s">
        <v>541</v>
      </c>
      <c r="K2899" s="2" t="s">
        <v>542</v>
      </c>
      <c r="L2899" s="2">
        <v>8</v>
      </c>
      <c r="M2899" s="2" t="s">
        <v>550</v>
      </c>
      <c r="O2899" s="2" t="s">
        <v>524</v>
      </c>
      <c r="Y2899" s="2" t="s">
        <v>686</v>
      </c>
    </row>
    <row r="2900" spans="1:34" x14ac:dyDescent="0.25">
      <c r="A2900" s="2" t="s">
        <v>325</v>
      </c>
      <c r="B2900" s="2" t="s">
        <v>540</v>
      </c>
      <c r="C2900" s="2" t="s">
        <v>408</v>
      </c>
      <c r="D2900" s="2" t="s">
        <v>412</v>
      </c>
      <c r="E2900" s="2" t="s">
        <v>413</v>
      </c>
      <c r="F2900" s="2" t="s">
        <v>40</v>
      </c>
      <c r="J2900" s="2" t="s">
        <v>541</v>
      </c>
      <c r="K2900" s="2" t="s">
        <v>542</v>
      </c>
      <c r="L2900" s="2">
        <v>9</v>
      </c>
      <c r="M2900" s="2" t="s">
        <v>551</v>
      </c>
      <c r="O2900" s="2" t="s">
        <v>524</v>
      </c>
      <c r="Y2900" s="2" t="s">
        <v>686</v>
      </c>
    </row>
    <row r="2901" spans="1:34" x14ac:dyDescent="0.25">
      <c r="A2901" s="2" t="s">
        <v>325</v>
      </c>
      <c r="B2901" s="2" t="s">
        <v>540</v>
      </c>
      <c r="C2901" s="2" t="s">
        <v>408</v>
      </c>
      <c r="D2901" s="2" t="s">
        <v>412</v>
      </c>
      <c r="E2901" s="2" t="s">
        <v>413</v>
      </c>
      <c r="F2901" s="2" t="s">
        <v>40</v>
      </c>
      <c r="J2901" s="2" t="s">
        <v>541</v>
      </c>
      <c r="K2901" s="2" t="s">
        <v>542</v>
      </c>
      <c r="L2901" s="2">
        <v>10</v>
      </c>
      <c r="M2901" s="2" t="s">
        <v>552</v>
      </c>
      <c r="O2901" s="2" t="s">
        <v>524</v>
      </c>
      <c r="Y2901" s="2" t="s">
        <v>686</v>
      </c>
    </row>
    <row r="2902" spans="1:34" x14ac:dyDescent="0.25">
      <c r="A2902" s="2" t="s">
        <v>325</v>
      </c>
      <c r="B2902" s="2" t="s">
        <v>540</v>
      </c>
      <c r="C2902" s="2" t="s">
        <v>408</v>
      </c>
      <c r="D2902" s="2" t="s">
        <v>412</v>
      </c>
      <c r="E2902" s="2" t="s">
        <v>413</v>
      </c>
      <c r="F2902" s="2" t="s">
        <v>40</v>
      </c>
      <c r="J2902" s="2" t="s">
        <v>541</v>
      </c>
      <c r="K2902" s="2" t="s">
        <v>542</v>
      </c>
      <c r="L2902" s="2">
        <v>11</v>
      </c>
      <c r="M2902" s="2" t="s">
        <v>553</v>
      </c>
      <c r="O2902" s="2" t="s">
        <v>524</v>
      </c>
      <c r="Y2902" s="2" t="s">
        <v>686</v>
      </c>
    </row>
    <row r="2903" spans="1:34" x14ac:dyDescent="0.25">
      <c r="A2903" s="2" t="s">
        <v>325</v>
      </c>
      <c r="B2903" s="2" t="s">
        <v>540</v>
      </c>
      <c r="C2903" s="2" t="s">
        <v>408</v>
      </c>
      <c r="D2903" s="2" t="s">
        <v>412</v>
      </c>
      <c r="E2903" s="2" t="s">
        <v>413</v>
      </c>
      <c r="F2903" s="2" t="s">
        <v>40</v>
      </c>
      <c r="J2903" s="2" t="s">
        <v>541</v>
      </c>
      <c r="K2903" s="2" t="s">
        <v>542</v>
      </c>
      <c r="L2903" s="2">
        <v>12</v>
      </c>
      <c r="M2903" s="2" t="s">
        <v>554</v>
      </c>
      <c r="O2903" s="2" t="s">
        <v>524</v>
      </c>
      <c r="Y2903" s="2" t="s">
        <v>686</v>
      </c>
    </row>
    <row r="2904" spans="1:34" x14ac:dyDescent="0.25">
      <c r="A2904" s="2" t="s">
        <v>325</v>
      </c>
      <c r="B2904" s="2" t="s">
        <v>555</v>
      </c>
      <c r="C2904" s="2" t="s">
        <v>408</v>
      </c>
      <c r="D2904" s="2" t="s">
        <v>412</v>
      </c>
      <c r="E2904" s="2" t="s">
        <v>413</v>
      </c>
      <c r="F2904" s="2" t="s">
        <v>40</v>
      </c>
      <c r="J2904" s="2" t="s">
        <v>556</v>
      </c>
      <c r="O2904" s="2" t="s">
        <v>524</v>
      </c>
      <c r="Y2904" s="2" t="s">
        <v>686</v>
      </c>
      <c r="AB2904" s="2">
        <v>2</v>
      </c>
    </row>
    <row r="2905" spans="1:34" x14ac:dyDescent="0.25">
      <c r="A2905" s="2" t="s">
        <v>325</v>
      </c>
      <c r="B2905" s="2" t="s">
        <v>557</v>
      </c>
      <c r="C2905" s="2" t="s">
        <v>408</v>
      </c>
      <c r="D2905" s="2" t="s">
        <v>412</v>
      </c>
      <c r="E2905" s="2" t="s">
        <v>413</v>
      </c>
      <c r="F2905" s="2" t="s">
        <v>40</v>
      </c>
      <c r="J2905" s="2" t="s">
        <v>558</v>
      </c>
      <c r="O2905" s="2" t="s">
        <v>524</v>
      </c>
      <c r="Y2905" s="2" t="s">
        <v>686</v>
      </c>
      <c r="AC2905" s="2">
        <f>COUNTIFS($B:$B,"BLOCK_LOAD_Q",$A:$A,$A2905,$C:$C,$C2905,$E:$E,$E2905,$F:$F,$F2905,$N:$N, "&lt;&gt;")</f>
        <v>0</v>
      </c>
      <c r="AD2905" s="2">
        <f>COUNTIFS($B:$B,"BLOCK_TRUST_Q",$A:$A,$A2905,$C:$C,$C2905,$E:$E,$E2905,$F:$F,$F2905,$N:$N, "&lt;&gt;")</f>
        <v>0</v>
      </c>
      <c r="AE2905" s="2" t="str">
        <f>IFERROR(AVERAGEIFS($P:$P,$B:$B,"BLOCK_LOAD_Q",$A:$A,$A2905,$C:$C,$C2905,$E:$E,$E2905,$F:$F,$F2905,$P:$P,"&gt;0"),"")</f>
        <v/>
      </c>
      <c r="AF2905" s="2" t="str">
        <f>IFERROR(AVERAGEIFS($P:$P,$B:$B,"BLOCK_TRUST_Q",$A:$A,$A2905,$C:$C,$C2905,$E:$E,$E2905,$F:$F,$F2905,$P:$P,"&gt;0"),"")</f>
        <v/>
      </c>
      <c r="AG2905" s="2">
        <f>5-AC2905</f>
        <v>5</v>
      </c>
      <c r="AH2905" s="2">
        <f>12-AD2905</f>
        <v>12</v>
      </c>
    </row>
    <row r="2906" spans="1:34" x14ac:dyDescent="0.25">
      <c r="A2906" s="2" t="s">
        <v>325</v>
      </c>
      <c r="B2906" s="2" t="s">
        <v>402</v>
      </c>
      <c r="C2906" s="2" t="s">
        <v>408</v>
      </c>
      <c r="D2906" s="2" t="s">
        <v>412</v>
      </c>
      <c r="E2906" s="2" t="s">
        <v>414</v>
      </c>
      <c r="F2906" s="2" t="s">
        <v>39</v>
      </c>
      <c r="G2906" s="2" t="s">
        <v>415</v>
      </c>
      <c r="H2906" s="2" t="s">
        <v>350</v>
      </c>
      <c r="S2906" s="2" t="s">
        <v>57</v>
      </c>
      <c r="U2906" s="2" t="s">
        <v>58</v>
      </c>
      <c r="W2906" s="2" t="s">
        <v>59</v>
      </c>
    </row>
    <row r="2907" spans="1:34" x14ac:dyDescent="0.25">
      <c r="A2907" s="2" t="s">
        <v>325</v>
      </c>
      <c r="B2907" s="2" t="s">
        <v>402</v>
      </c>
      <c r="C2907" s="2" t="s">
        <v>408</v>
      </c>
      <c r="D2907" s="2" t="s">
        <v>412</v>
      </c>
      <c r="E2907" s="2" t="s">
        <v>414</v>
      </c>
      <c r="F2907" s="2" t="s">
        <v>39</v>
      </c>
      <c r="G2907" s="2" t="s">
        <v>416</v>
      </c>
      <c r="H2907" s="2" t="s">
        <v>571</v>
      </c>
      <c r="S2907" s="2" t="s">
        <v>59</v>
      </c>
      <c r="U2907" s="2" t="s">
        <v>57</v>
      </c>
      <c r="W2907" s="2" t="s">
        <v>60</v>
      </c>
    </row>
    <row r="2908" spans="1:34" x14ac:dyDescent="0.25">
      <c r="A2908" s="2" t="s">
        <v>325</v>
      </c>
      <c r="B2908" s="2" t="s">
        <v>402</v>
      </c>
      <c r="C2908" s="2" t="s">
        <v>408</v>
      </c>
      <c r="D2908" s="2" t="s">
        <v>412</v>
      </c>
      <c r="E2908" s="2" t="s">
        <v>414</v>
      </c>
      <c r="F2908" s="2" t="s">
        <v>39</v>
      </c>
      <c r="G2908" s="2" t="s">
        <v>417</v>
      </c>
      <c r="H2908" s="2" t="s">
        <v>572</v>
      </c>
      <c r="S2908" s="2" t="s">
        <v>57</v>
      </c>
      <c r="U2908" s="2" t="s">
        <v>59</v>
      </c>
      <c r="W2908" s="2" t="s">
        <v>58</v>
      </c>
    </row>
    <row r="2909" spans="1:34" x14ac:dyDescent="0.25">
      <c r="A2909" s="2" t="s">
        <v>325</v>
      </c>
      <c r="B2909" s="2" t="s">
        <v>402</v>
      </c>
      <c r="C2909" s="2" t="s">
        <v>408</v>
      </c>
      <c r="D2909" s="2" t="s">
        <v>412</v>
      </c>
      <c r="E2909" s="2" t="s">
        <v>414</v>
      </c>
      <c r="F2909" s="2" t="s">
        <v>39</v>
      </c>
      <c r="G2909" s="2" t="s">
        <v>418</v>
      </c>
      <c r="H2909" s="2" t="s">
        <v>573</v>
      </c>
      <c r="S2909" s="2" t="s">
        <v>58</v>
      </c>
      <c r="U2909" s="2" t="s">
        <v>58</v>
      </c>
      <c r="W2909" s="2" t="s">
        <v>58</v>
      </c>
    </row>
    <row r="2910" spans="1:34" x14ac:dyDescent="0.25">
      <c r="A2910" s="2" t="s">
        <v>325</v>
      </c>
      <c r="B2910" s="2" t="s">
        <v>402</v>
      </c>
      <c r="C2910" s="2" t="s">
        <v>408</v>
      </c>
      <c r="D2910" s="2" t="s">
        <v>412</v>
      </c>
      <c r="E2910" s="2" t="s">
        <v>414</v>
      </c>
      <c r="F2910" s="2" t="s">
        <v>39</v>
      </c>
      <c r="G2910" s="2" t="s">
        <v>419</v>
      </c>
      <c r="H2910" s="2" t="s">
        <v>365</v>
      </c>
      <c r="S2910" s="2" t="s">
        <v>59</v>
      </c>
      <c r="U2910" s="2" t="s">
        <v>59</v>
      </c>
      <c r="W2910" s="2" t="s">
        <v>60</v>
      </c>
    </row>
    <row r="2911" spans="1:34" x14ac:dyDescent="0.25">
      <c r="A2911" s="2" t="s">
        <v>325</v>
      </c>
      <c r="B2911" s="2" t="s">
        <v>531</v>
      </c>
      <c r="C2911" s="2" t="s">
        <v>408</v>
      </c>
      <c r="D2911" s="2" t="s">
        <v>412</v>
      </c>
      <c r="E2911" s="2" t="s">
        <v>414</v>
      </c>
      <c r="F2911" s="2" t="s">
        <v>39</v>
      </c>
      <c r="J2911" s="2" t="s">
        <v>532</v>
      </c>
      <c r="K2911" s="2" t="s">
        <v>533</v>
      </c>
      <c r="L2911" s="2">
        <v>1</v>
      </c>
      <c r="M2911" s="2" t="s">
        <v>534</v>
      </c>
      <c r="O2911" s="2" t="s">
        <v>524</v>
      </c>
      <c r="Y2911" s="2" t="s">
        <v>687</v>
      </c>
    </row>
    <row r="2912" spans="1:34" x14ac:dyDescent="0.25">
      <c r="A2912" s="2" t="s">
        <v>325</v>
      </c>
      <c r="B2912" s="2" t="s">
        <v>531</v>
      </c>
      <c r="C2912" s="2" t="s">
        <v>408</v>
      </c>
      <c r="D2912" s="2" t="s">
        <v>412</v>
      </c>
      <c r="E2912" s="2" t="s">
        <v>414</v>
      </c>
      <c r="F2912" s="2" t="s">
        <v>39</v>
      </c>
      <c r="J2912" s="2" t="s">
        <v>532</v>
      </c>
      <c r="K2912" s="2" t="s">
        <v>533</v>
      </c>
      <c r="L2912" s="2">
        <v>2</v>
      </c>
      <c r="M2912" s="2" t="s">
        <v>536</v>
      </c>
      <c r="O2912" s="2" t="s">
        <v>524</v>
      </c>
      <c r="Y2912" s="2" t="s">
        <v>687</v>
      </c>
    </row>
    <row r="2913" spans="1:28" x14ac:dyDescent="0.25">
      <c r="A2913" s="2" t="s">
        <v>325</v>
      </c>
      <c r="B2913" s="2" t="s">
        <v>531</v>
      </c>
      <c r="C2913" s="2" t="s">
        <v>408</v>
      </c>
      <c r="D2913" s="2" t="s">
        <v>412</v>
      </c>
      <c r="E2913" s="2" t="s">
        <v>414</v>
      </c>
      <c r="F2913" s="2" t="s">
        <v>39</v>
      </c>
      <c r="J2913" s="2" t="s">
        <v>532</v>
      </c>
      <c r="K2913" s="2" t="s">
        <v>533</v>
      </c>
      <c r="L2913" s="2">
        <v>3</v>
      </c>
      <c r="M2913" s="2" t="s">
        <v>537</v>
      </c>
      <c r="O2913" s="2" t="s">
        <v>524</v>
      </c>
      <c r="Y2913" s="2" t="s">
        <v>687</v>
      </c>
    </row>
    <row r="2914" spans="1:28" x14ac:dyDescent="0.25">
      <c r="A2914" s="2" t="s">
        <v>325</v>
      </c>
      <c r="B2914" s="2" t="s">
        <v>531</v>
      </c>
      <c r="C2914" s="2" t="s">
        <v>408</v>
      </c>
      <c r="D2914" s="2" t="s">
        <v>412</v>
      </c>
      <c r="E2914" s="2" t="s">
        <v>414</v>
      </c>
      <c r="F2914" s="2" t="s">
        <v>39</v>
      </c>
      <c r="J2914" s="2" t="s">
        <v>532</v>
      </c>
      <c r="K2914" s="2" t="s">
        <v>533</v>
      </c>
      <c r="L2914" s="2">
        <v>4</v>
      </c>
      <c r="M2914" s="2" t="s">
        <v>538</v>
      </c>
      <c r="O2914" s="2" t="s">
        <v>524</v>
      </c>
      <c r="Y2914" s="2" t="s">
        <v>687</v>
      </c>
    </row>
    <row r="2915" spans="1:28" x14ac:dyDescent="0.25">
      <c r="A2915" s="2" t="s">
        <v>325</v>
      </c>
      <c r="B2915" s="2" t="s">
        <v>531</v>
      </c>
      <c r="C2915" s="2" t="s">
        <v>408</v>
      </c>
      <c r="D2915" s="2" t="s">
        <v>412</v>
      </c>
      <c r="E2915" s="2" t="s">
        <v>414</v>
      </c>
      <c r="F2915" s="2" t="s">
        <v>39</v>
      </c>
      <c r="J2915" s="2" t="s">
        <v>532</v>
      </c>
      <c r="K2915" s="2" t="s">
        <v>533</v>
      </c>
      <c r="L2915" s="2">
        <v>5</v>
      </c>
      <c r="M2915" s="2" t="s">
        <v>539</v>
      </c>
      <c r="O2915" s="2" t="s">
        <v>524</v>
      </c>
      <c r="Y2915" s="2" t="s">
        <v>687</v>
      </c>
    </row>
    <row r="2916" spans="1:28" x14ac:dyDescent="0.25">
      <c r="A2916" s="2" t="s">
        <v>325</v>
      </c>
      <c r="B2916" s="2" t="s">
        <v>540</v>
      </c>
      <c r="C2916" s="2" t="s">
        <v>408</v>
      </c>
      <c r="D2916" s="2" t="s">
        <v>412</v>
      </c>
      <c r="E2916" s="2" t="s">
        <v>414</v>
      </c>
      <c r="F2916" s="2" t="s">
        <v>39</v>
      </c>
      <c r="J2916" s="2" t="s">
        <v>541</v>
      </c>
      <c r="K2916" s="2" t="s">
        <v>542</v>
      </c>
      <c r="L2916" s="2">
        <v>1</v>
      </c>
      <c r="M2916" s="2" t="s">
        <v>543</v>
      </c>
      <c r="O2916" s="2" t="s">
        <v>524</v>
      </c>
      <c r="Y2916" s="2" t="s">
        <v>687</v>
      </c>
    </row>
    <row r="2917" spans="1:28" x14ac:dyDescent="0.25">
      <c r="A2917" s="2" t="s">
        <v>325</v>
      </c>
      <c r="B2917" s="2" t="s">
        <v>540</v>
      </c>
      <c r="C2917" s="2" t="s">
        <v>408</v>
      </c>
      <c r="D2917" s="2" t="s">
        <v>412</v>
      </c>
      <c r="E2917" s="2" t="s">
        <v>414</v>
      </c>
      <c r="F2917" s="2" t="s">
        <v>39</v>
      </c>
      <c r="J2917" s="2" t="s">
        <v>541</v>
      </c>
      <c r="K2917" s="2" t="s">
        <v>542</v>
      </c>
      <c r="L2917" s="2">
        <v>2</v>
      </c>
      <c r="M2917" s="2" t="s">
        <v>544</v>
      </c>
      <c r="O2917" s="2" t="s">
        <v>524</v>
      </c>
      <c r="Y2917" s="2" t="s">
        <v>687</v>
      </c>
    </row>
    <row r="2918" spans="1:28" x14ac:dyDescent="0.25">
      <c r="A2918" s="2" t="s">
        <v>325</v>
      </c>
      <c r="B2918" s="2" t="s">
        <v>540</v>
      </c>
      <c r="C2918" s="2" t="s">
        <v>408</v>
      </c>
      <c r="D2918" s="2" t="s">
        <v>412</v>
      </c>
      <c r="E2918" s="2" t="s">
        <v>414</v>
      </c>
      <c r="F2918" s="2" t="s">
        <v>39</v>
      </c>
      <c r="J2918" s="2" t="s">
        <v>541</v>
      </c>
      <c r="K2918" s="2" t="s">
        <v>542</v>
      </c>
      <c r="L2918" s="2">
        <v>3</v>
      </c>
      <c r="M2918" s="2" t="s">
        <v>545</v>
      </c>
      <c r="O2918" s="2" t="s">
        <v>524</v>
      </c>
      <c r="Y2918" s="2" t="s">
        <v>687</v>
      </c>
    </row>
    <row r="2919" spans="1:28" x14ac:dyDescent="0.25">
      <c r="A2919" s="2" t="s">
        <v>325</v>
      </c>
      <c r="B2919" s="2" t="s">
        <v>540</v>
      </c>
      <c r="C2919" s="2" t="s">
        <v>408</v>
      </c>
      <c r="D2919" s="2" t="s">
        <v>412</v>
      </c>
      <c r="E2919" s="2" t="s">
        <v>414</v>
      </c>
      <c r="F2919" s="2" t="s">
        <v>39</v>
      </c>
      <c r="J2919" s="2" t="s">
        <v>541</v>
      </c>
      <c r="K2919" s="2" t="s">
        <v>542</v>
      </c>
      <c r="L2919" s="2">
        <v>4</v>
      </c>
      <c r="M2919" s="2" t="s">
        <v>546</v>
      </c>
      <c r="O2919" s="2" t="s">
        <v>524</v>
      </c>
      <c r="Y2919" s="2" t="s">
        <v>687</v>
      </c>
    </row>
    <row r="2920" spans="1:28" x14ac:dyDescent="0.25">
      <c r="A2920" s="2" t="s">
        <v>325</v>
      </c>
      <c r="B2920" s="2" t="s">
        <v>540</v>
      </c>
      <c r="C2920" s="2" t="s">
        <v>408</v>
      </c>
      <c r="D2920" s="2" t="s">
        <v>412</v>
      </c>
      <c r="E2920" s="2" t="s">
        <v>414</v>
      </c>
      <c r="F2920" s="2" t="s">
        <v>39</v>
      </c>
      <c r="J2920" s="2" t="s">
        <v>541</v>
      </c>
      <c r="K2920" s="2" t="s">
        <v>542</v>
      </c>
      <c r="L2920" s="2">
        <v>5</v>
      </c>
      <c r="M2920" s="2" t="s">
        <v>547</v>
      </c>
      <c r="O2920" s="2" t="s">
        <v>524</v>
      </c>
      <c r="Y2920" s="2" t="s">
        <v>687</v>
      </c>
    </row>
    <row r="2921" spans="1:28" x14ac:dyDescent="0.25">
      <c r="A2921" s="2" t="s">
        <v>325</v>
      </c>
      <c r="B2921" s="2" t="s">
        <v>540</v>
      </c>
      <c r="C2921" s="2" t="s">
        <v>408</v>
      </c>
      <c r="D2921" s="2" t="s">
        <v>412</v>
      </c>
      <c r="E2921" s="2" t="s">
        <v>414</v>
      </c>
      <c r="F2921" s="2" t="s">
        <v>39</v>
      </c>
      <c r="J2921" s="2" t="s">
        <v>541</v>
      </c>
      <c r="K2921" s="2" t="s">
        <v>542</v>
      </c>
      <c r="L2921" s="2">
        <v>6</v>
      </c>
      <c r="M2921" s="2" t="s">
        <v>548</v>
      </c>
      <c r="O2921" s="2" t="s">
        <v>524</v>
      </c>
      <c r="Y2921" s="2" t="s">
        <v>687</v>
      </c>
    </row>
    <row r="2922" spans="1:28" x14ac:dyDescent="0.25">
      <c r="A2922" s="2" t="s">
        <v>325</v>
      </c>
      <c r="B2922" s="2" t="s">
        <v>540</v>
      </c>
      <c r="C2922" s="2" t="s">
        <v>408</v>
      </c>
      <c r="D2922" s="2" t="s">
        <v>412</v>
      </c>
      <c r="E2922" s="2" t="s">
        <v>414</v>
      </c>
      <c r="F2922" s="2" t="s">
        <v>39</v>
      </c>
      <c r="J2922" s="2" t="s">
        <v>541</v>
      </c>
      <c r="K2922" s="2" t="s">
        <v>542</v>
      </c>
      <c r="L2922" s="2">
        <v>7</v>
      </c>
      <c r="M2922" s="2" t="s">
        <v>549</v>
      </c>
      <c r="O2922" s="2" t="s">
        <v>524</v>
      </c>
      <c r="Y2922" s="2" t="s">
        <v>687</v>
      </c>
    </row>
    <row r="2923" spans="1:28" x14ac:dyDescent="0.25">
      <c r="A2923" s="2" t="s">
        <v>325</v>
      </c>
      <c r="B2923" s="2" t="s">
        <v>540</v>
      </c>
      <c r="C2923" s="2" t="s">
        <v>408</v>
      </c>
      <c r="D2923" s="2" t="s">
        <v>412</v>
      </c>
      <c r="E2923" s="2" t="s">
        <v>414</v>
      </c>
      <c r="F2923" s="2" t="s">
        <v>39</v>
      </c>
      <c r="J2923" s="2" t="s">
        <v>541</v>
      </c>
      <c r="K2923" s="2" t="s">
        <v>542</v>
      </c>
      <c r="L2923" s="2">
        <v>8</v>
      </c>
      <c r="M2923" s="2" t="s">
        <v>550</v>
      </c>
      <c r="O2923" s="2" t="s">
        <v>524</v>
      </c>
      <c r="Y2923" s="2" t="s">
        <v>687</v>
      </c>
    </row>
    <row r="2924" spans="1:28" x14ac:dyDescent="0.25">
      <c r="A2924" s="2" t="s">
        <v>325</v>
      </c>
      <c r="B2924" s="2" t="s">
        <v>540</v>
      </c>
      <c r="C2924" s="2" t="s">
        <v>408</v>
      </c>
      <c r="D2924" s="2" t="s">
        <v>412</v>
      </c>
      <c r="E2924" s="2" t="s">
        <v>414</v>
      </c>
      <c r="F2924" s="2" t="s">
        <v>39</v>
      </c>
      <c r="J2924" s="2" t="s">
        <v>541</v>
      </c>
      <c r="K2924" s="2" t="s">
        <v>542</v>
      </c>
      <c r="L2924" s="2">
        <v>9</v>
      </c>
      <c r="M2924" s="2" t="s">
        <v>551</v>
      </c>
      <c r="O2924" s="2" t="s">
        <v>524</v>
      </c>
      <c r="Y2924" s="2" t="s">
        <v>687</v>
      </c>
    </row>
    <row r="2925" spans="1:28" x14ac:dyDescent="0.25">
      <c r="A2925" s="2" t="s">
        <v>325</v>
      </c>
      <c r="B2925" s="2" t="s">
        <v>540</v>
      </c>
      <c r="C2925" s="2" t="s">
        <v>408</v>
      </c>
      <c r="D2925" s="2" t="s">
        <v>412</v>
      </c>
      <c r="E2925" s="2" t="s">
        <v>414</v>
      </c>
      <c r="F2925" s="2" t="s">
        <v>39</v>
      </c>
      <c r="J2925" s="2" t="s">
        <v>541</v>
      </c>
      <c r="K2925" s="2" t="s">
        <v>542</v>
      </c>
      <c r="L2925" s="2">
        <v>10</v>
      </c>
      <c r="M2925" s="2" t="s">
        <v>552</v>
      </c>
      <c r="O2925" s="2" t="s">
        <v>524</v>
      </c>
      <c r="Y2925" s="2" t="s">
        <v>687</v>
      </c>
    </row>
    <row r="2926" spans="1:28" x14ac:dyDescent="0.25">
      <c r="A2926" s="2" t="s">
        <v>325</v>
      </c>
      <c r="B2926" s="2" t="s">
        <v>540</v>
      </c>
      <c r="C2926" s="2" t="s">
        <v>408</v>
      </c>
      <c r="D2926" s="2" t="s">
        <v>412</v>
      </c>
      <c r="E2926" s="2" t="s">
        <v>414</v>
      </c>
      <c r="F2926" s="2" t="s">
        <v>39</v>
      </c>
      <c r="J2926" s="2" t="s">
        <v>541</v>
      </c>
      <c r="K2926" s="2" t="s">
        <v>542</v>
      </c>
      <c r="L2926" s="2">
        <v>11</v>
      </c>
      <c r="M2926" s="2" t="s">
        <v>553</v>
      </c>
      <c r="O2926" s="2" t="s">
        <v>524</v>
      </c>
      <c r="Y2926" s="2" t="s">
        <v>687</v>
      </c>
    </row>
    <row r="2927" spans="1:28" x14ac:dyDescent="0.25">
      <c r="A2927" s="2" t="s">
        <v>325</v>
      </c>
      <c r="B2927" s="2" t="s">
        <v>540</v>
      </c>
      <c r="C2927" s="2" t="s">
        <v>408</v>
      </c>
      <c r="D2927" s="2" t="s">
        <v>412</v>
      </c>
      <c r="E2927" s="2" t="s">
        <v>414</v>
      </c>
      <c r="F2927" s="2" t="s">
        <v>39</v>
      </c>
      <c r="J2927" s="2" t="s">
        <v>541</v>
      </c>
      <c r="K2927" s="2" t="s">
        <v>542</v>
      </c>
      <c r="L2927" s="2">
        <v>12</v>
      </c>
      <c r="M2927" s="2" t="s">
        <v>554</v>
      </c>
      <c r="O2927" s="2" t="s">
        <v>524</v>
      </c>
      <c r="Y2927" s="2" t="s">
        <v>687</v>
      </c>
    </row>
    <row r="2928" spans="1:28" x14ac:dyDescent="0.25">
      <c r="A2928" s="2" t="s">
        <v>325</v>
      </c>
      <c r="B2928" s="2" t="s">
        <v>555</v>
      </c>
      <c r="C2928" s="2" t="s">
        <v>408</v>
      </c>
      <c r="D2928" s="2" t="s">
        <v>412</v>
      </c>
      <c r="E2928" s="2" t="s">
        <v>414</v>
      </c>
      <c r="F2928" s="2" t="s">
        <v>39</v>
      </c>
      <c r="J2928" s="2" t="s">
        <v>556</v>
      </c>
      <c r="O2928" s="2" t="s">
        <v>524</v>
      </c>
      <c r="Y2928" s="2" t="s">
        <v>687</v>
      </c>
      <c r="AB2928" s="2">
        <v>1</v>
      </c>
    </row>
    <row r="2929" spans="1:34" x14ac:dyDescent="0.25">
      <c r="A2929" s="2" t="s">
        <v>325</v>
      </c>
      <c r="B2929" s="2" t="s">
        <v>557</v>
      </c>
      <c r="C2929" s="2" t="s">
        <v>408</v>
      </c>
      <c r="D2929" s="2" t="s">
        <v>412</v>
      </c>
      <c r="E2929" s="2" t="s">
        <v>414</v>
      </c>
      <c r="F2929" s="2" t="s">
        <v>39</v>
      </c>
      <c r="J2929" s="2" t="s">
        <v>558</v>
      </c>
      <c r="O2929" s="2" t="s">
        <v>524</v>
      </c>
      <c r="Y2929" s="2" t="s">
        <v>687</v>
      </c>
      <c r="AC2929" s="2">
        <f>COUNTIFS($B:$B,"BLOCK_LOAD_Q",$A:$A,$A2929,$C:$C,$C2929,$E:$E,$E2929,$F:$F,$F2929,$N:$N, "&lt;&gt;")</f>
        <v>0</v>
      </c>
      <c r="AD2929" s="2">
        <f>COUNTIFS($B:$B,"BLOCK_TRUST_Q",$A:$A,$A2929,$C:$C,$C2929,$E:$E,$E2929,$F:$F,$F2929,$N:$N, "&lt;&gt;")</f>
        <v>0</v>
      </c>
      <c r="AE2929" s="2" t="str">
        <f>IFERROR(AVERAGEIFS($P:$P,$B:$B,"BLOCK_LOAD_Q",$A:$A,$A2929,$C:$C,$C2929,$E:$E,$E2929,$F:$F,$F2929,$P:$P,"&gt;0"),"")</f>
        <v/>
      </c>
      <c r="AF2929" s="2" t="str">
        <f>IFERROR(AVERAGEIFS($P:$P,$B:$B,"BLOCK_TRUST_Q",$A:$A,$A2929,$C:$C,$C2929,$E:$E,$E2929,$F:$F,$F2929,$P:$P,"&gt;0"),"")</f>
        <v/>
      </c>
      <c r="AG2929" s="2">
        <f>5-AC2929</f>
        <v>5</v>
      </c>
      <c r="AH2929" s="2">
        <f>12-AD2929</f>
        <v>12</v>
      </c>
    </row>
    <row r="2930" spans="1:34" x14ac:dyDescent="0.25">
      <c r="A2930" s="2" t="s">
        <v>325</v>
      </c>
      <c r="B2930" s="2" t="s">
        <v>403</v>
      </c>
      <c r="C2930" s="2" t="s">
        <v>408</v>
      </c>
      <c r="D2930" s="2" t="s">
        <v>412</v>
      </c>
      <c r="Z2930" s="2" t="s">
        <v>478</v>
      </c>
    </row>
    <row r="2931" spans="1:34" x14ac:dyDescent="0.25">
      <c r="A2931" s="2" t="s">
        <v>325</v>
      </c>
      <c r="B2931" s="2" t="s">
        <v>402</v>
      </c>
      <c r="C2931" s="2" t="s">
        <v>409</v>
      </c>
      <c r="D2931" s="2" t="s">
        <v>410</v>
      </c>
      <c r="E2931" s="2" t="s">
        <v>413</v>
      </c>
      <c r="F2931" s="2" t="s">
        <v>39</v>
      </c>
      <c r="G2931" s="2" t="s">
        <v>415</v>
      </c>
      <c r="H2931" s="2" t="s">
        <v>373</v>
      </c>
      <c r="S2931" s="2" t="s">
        <v>60</v>
      </c>
      <c r="U2931" s="2" t="s">
        <v>60</v>
      </c>
      <c r="W2931" s="2" t="s">
        <v>60</v>
      </c>
    </row>
    <row r="2932" spans="1:34" x14ac:dyDescent="0.25">
      <c r="A2932" s="2" t="s">
        <v>325</v>
      </c>
      <c r="B2932" s="2" t="s">
        <v>402</v>
      </c>
      <c r="C2932" s="2" t="s">
        <v>409</v>
      </c>
      <c r="D2932" s="2" t="s">
        <v>410</v>
      </c>
      <c r="E2932" s="2" t="s">
        <v>413</v>
      </c>
      <c r="F2932" s="2" t="s">
        <v>39</v>
      </c>
      <c r="G2932" s="2" t="s">
        <v>416</v>
      </c>
      <c r="H2932" s="2" t="s">
        <v>528</v>
      </c>
      <c r="S2932" s="2" t="s">
        <v>60</v>
      </c>
      <c r="U2932" s="2" t="s">
        <v>59</v>
      </c>
      <c r="W2932" s="2" t="s">
        <v>59</v>
      </c>
    </row>
    <row r="2933" spans="1:34" x14ac:dyDescent="0.25">
      <c r="A2933" s="2" t="s">
        <v>325</v>
      </c>
      <c r="B2933" s="2" t="s">
        <v>402</v>
      </c>
      <c r="C2933" s="2" t="s">
        <v>409</v>
      </c>
      <c r="D2933" s="2" t="s">
        <v>410</v>
      </c>
      <c r="E2933" s="2" t="s">
        <v>413</v>
      </c>
      <c r="F2933" s="2" t="s">
        <v>39</v>
      </c>
      <c r="G2933" s="2" t="s">
        <v>417</v>
      </c>
      <c r="H2933" s="2" t="s">
        <v>529</v>
      </c>
      <c r="S2933" s="2" t="s">
        <v>57</v>
      </c>
      <c r="U2933" s="2" t="s">
        <v>59</v>
      </c>
      <c r="W2933" s="2" t="s">
        <v>60</v>
      </c>
    </row>
    <row r="2934" spans="1:34" x14ac:dyDescent="0.25">
      <c r="A2934" s="2" t="s">
        <v>325</v>
      </c>
      <c r="B2934" s="2" t="s">
        <v>402</v>
      </c>
      <c r="C2934" s="2" t="s">
        <v>409</v>
      </c>
      <c r="D2934" s="2" t="s">
        <v>410</v>
      </c>
      <c r="E2934" s="2" t="s">
        <v>413</v>
      </c>
      <c r="F2934" s="2" t="s">
        <v>39</v>
      </c>
      <c r="G2934" s="2" t="s">
        <v>418</v>
      </c>
      <c r="H2934" s="2" t="s">
        <v>347</v>
      </c>
      <c r="S2934" s="2" t="s">
        <v>60</v>
      </c>
      <c r="U2934" s="2" t="s">
        <v>57</v>
      </c>
      <c r="W2934" s="2" t="s">
        <v>59</v>
      </c>
    </row>
    <row r="2935" spans="1:34" x14ac:dyDescent="0.25">
      <c r="A2935" s="2" t="s">
        <v>325</v>
      </c>
      <c r="B2935" s="2" t="s">
        <v>402</v>
      </c>
      <c r="C2935" s="2" t="s">
        <v>409</v>
      </c>
      <c r="D2935" s="2" t="s">
        <v>410</v>
      </c>
      <c r="E2935" s="2" t="s">
        <v>413</v>
      </c>
      <c r="F2935" s="2" t="s">
        <v>39</v>
      </c>
      <c r="G2935" s="2" t="s">
        <v>419</v>
      </c>
      <c r="H2935" s="2" t="s">
        <v>530</v>
      </c>
      <c r="S2935" s="2" t="s">
        <v>57</v>
      </c>
      <c r="U2935" s="2" t="s">
        <v>60</v>
      </c>
      <c r="W2935" s="2" t="s">
        <v>58</v>
      </c>
    </row>
    <row r="2936" spans="1:34" x14ac:dyDescent="0.25">
      <c r="A2936" s="2" t="s">
        <v>325</v>
      </c>
      <c r="B2936" s="2" t="s">
        <v>531</v>
      </c>
      <c r="C2936" s="2" t="s">
        <v>409</v>
      </c>
      <c r="D2936" s="2" t="s">
        <v>410</v>
      </c>
      <c r="E2936" s="2" t="s">
        <v>413</v>
      </c>
      <c r="F2936" s="2" t="s">
        <v>39</v>
      </c>
      <c r="J2936" s="2" t="s">
        <v>532</v>
      </c>
      <c r="K2936" s="2" t="s">
        <v>533</v>
      </c>
      <c r="L2936" s="2">
        <v>1</v>
      </c>
      <c r="M2936" s="2" t="s">
        <v>534</v>
      </c>
      <c r="O2936" s="2" t="s">
        <v>524</v>
      </c>
      <c r="Y2936" s="2" t="s">
        <v>688</v>
      </c>
    </row>
    <row r="2937" spans="1:34" x14ac:dyDescent="0.25">
      <c r="A2937" s="2" t="s">
        <v>325</v>
      </c>
      <c r="B2937" s="2" t="s">
        <v>531</v>
      </c>
      <c r="C2937" s="2" t="s">
        <v>409</v>
      </c>
      <c r="D2937" s="2" t="s">
        <v>410</v>
      </c>
      <c r="E2937" s="2" t="s">
        <v>413</v>
      </c>
      <c r="F2937" s="2" t="s">
        <v>39</v>
      </c>
      <c r="J2937" s="2" t="s">
        <v>532</v>
      </c>
      <c r="K2937" s="2" t="s">
        <v>533</v>
      </c>
      <c r="L2937" s="2">
        <v>2</v>
      </c>
      <c r="M2937" s="2" t="s">
        <v>536</v>
      </c>
      <c r="O2937" s="2" t="s">
        <v>524</v>
      </c>
      <c r="Y2937" s="2" t="s">
        <v>688</v>
      </c>
    </row>
    <row r="2938" spans="1:34" x14ac:dyDescent="0.25">
      <c r="A2938" s="2" t="s">
        <v>325</v>
      </c>
      <c r="B2938" s="2" t="s">
        <v>531</v>
      </c>
      <c r="C2938" s="2" t="s">
        <v>409</v>
      </c>
      <c r="D2938" s="2" t="s">
        <v>410</v>
      </c>
      <c r="E2938" s="2" t="s">
        <v>413</v>
      </c>
      <c r="F2938" s="2" t="s">
        <v>39</v>
      </c>
      <c r="J2938" s="2" t="s">
        <v>532</v>
      </c>
      <c r="K2938" s="2" t="s">
        <v>533</v>
      </c>
      <c r="L2938" s="2">
        <v>3</v>
      </c>
      <c r="M2938" s="2" t="s">
        <v>537</v>
      </c>
      <c r="O2938" s="2" t="s">
        <v>524</v>
      </c>
      <c r="Y2938" s="2" t="s">
        <v>688</v>
      </c>
    </row>
    <row r="2939" spans="1:34" x14ac:dyDescent="0.25">
      <c r="A2939" s="2" t="s">
        <v>325</v>
      </c>
      <c r="B2939" s="2" t="s">
        <v>531</v>
      </c>
      <c r="C2939" s="2" t="s">
        <v>409</v>
      </c>
      <c r="D2939" s="2" t="s">
        <v>410</v>
      </c>
      <c r="E2939" s="2" t="s">
        <v>413</v>
      </c>
      <c r="F2939" s="2" t="s">
        <v>39</v>
      </c>
      <c r="J2939" s="2" t="s">
        <v>532</v>
      </c>
      <c r="K2939" s="2" t="s">
        <v>533</v>
      </c>
      <c r="L2939" s="2">
        <v>4</v>
      </c>
      <c r="M2939" s="2" t="s">
        <v>538</v>
      </c>
      <c r="O2939" s="2" t="s">
        <v>524</v>
      </c>
      <c r="Y2939" s="2" t="s">
        <v>688</v>
      </c>
    </row>
    <row r="2940" spans="1:34" x14ac:dyDescent="0.25">
      <c r="A2940" s="2" t="s">
        <v>325</v>
      </c>
      <c r="B2940" s="2" t="s">
        <v>531</v>
      </c>
      <c r="C2940" s="2" t="s">
        <v>409</v>
      </c>
      <c r="D2940" s="2" t="s">
        <v>410</v>
      </c>
      <c r="E2940" s="2" t="s">
        <v>413</v>
      </c>
      <c r="F2940" s="2" t="s">
        <v>39</v>
      </c>
      <c r="J2940" s="2" t="s">
        <v>532</v>
      </c>
      <c r="K2940" s="2" t="s">
        <v>533</v>
      </c>
      <c r="L2940" s="2">
        <v>5</v>
      </c>
      <c r="M2940" s="2" t="s">
        <v>539</v>
      </c>
      <c r="O2940" s="2" t="s">
        <v>524</v>
      </c>
      <c r="Y2940" s="2" t="s">
        <v>688</v>
      </c>
    </row>
    <row r="2941" spans="1:34" x14ac:dyDescent="0.25">
      <c r="A2941" s="2" t="s">
        <v>325</v>
      </c>
      <c r="B2941" s="2" t="s">
        <v>540</v>
      </c>
      <c r="C2941" s="2" t="s">
        <v>409</v>
      </c>
      <c r="D2941" s="2" t="s">
        <v>410</v>
      </c>
      <c r="E2941" s="2" t="s">
        <v>413</v>
      </c>
      <c r="F2941" s="2" t="s">
        <v>39</v>
      </c>
      <c r="J2941" s="2" t="s">
        <v>541</v>
      </c>
      <c r="K2941" s="2" t="s">
        <v>542</v>
      </c>
      <c r="L2941" s="2">
        <v>1</v>
      </c>
      <c r="M2941" s="2" t="s">
        <v>543</v>
      </c>
      <c r="O2941" s="2" t="s">
        <v>524</v>
      </c>
      <c r="Y2941" s="2" t="s">
        <v>688</v>
      </c>
    </row>
    <row r="2942" spans="1:34" x14ac:dyDescent="0.25">
      <c r="A2942" s="2" t="s">
        <v>325</v>
      </c>
      <c r="B2942" s="2" t="s">
        <v>540</v>
      </c>
      <c r="C2942" s="2" t="s">
        <v>409</v>
      </c>
      <c r="D2942" s="2" t="s">
        <v>410</v>
      </c>
      <c r="E2942" s="2" t="s">
        <v>413</v>
      </c>
      <c r="F2942" s="2" t="s">
        <v>39</v>
      </c>
      <c r="J2942" s="2" t="s">
        <v>541</v>
      </c>
      <c r="K2942" s="2" t="s">
        <v>542</v>
      </c>
      <c r="L2942" s="2">
        <v>2</v>
      </c>
      <c r="M2942" s="2" t="s">
        <v>544</v>
      </c>
      <c r="O2942" s="2" t="s">
        <v>524</v>
      </c>
      <c r="Y2942" s="2" t="s">
        <v>688</v>
      </c>
    </row>
    <row r="2943" spans="1:34" x14ac:dyDescent="0.25">
      <c r="A2943" s="2" t="s">
        <v>325</v>
      </c>
      <c r="B2943" s="2" t="s">
        <v>540</v>
      </c>
      <c r="C2943" s="2" t="s">
        <v>409</v>
      </c>
      <c r="D2943" s="2" t="s">
        <v>410</v>
      </c>
      <c r="E2943" s="2" t="s">
        <v>413</v>
      </c>
      <c r="F2943" s="2" t="s">
        <v>39</v>
      </c>
      <c r="J2943" s="2" t="s">
        <v>541</v>
      </c>
      <c r="K2943" s="2" t="s">
        <v>542</v>
      </c>
      <c r="L2943" s="2">
        <v>3</v>
      </c>
      <c r="M2943" s="2" t="s">
        <v>545</v>
      </c>
      <c r="O2943" s="2" t="s">
        <v>524</v>
      </c>
      <c r="Y2943" s="2" t="s">
        <v>688</v>
      </c>
    </row>
    <row r="2944" spans="1:34" x14ac:dyDescent="0.25">
      <c r="A2944" s="2" t="s">
        <v>325</v>
      </c>
      <c r="B2944" s="2" t="s">
        <v>540</v>
      </c>
      <c r="C2944" s="2" t="s">
        <v>409</v>
      </c>
      <c r="D2944" s="2" t="s">
        <v>410</v>
      </c>
      <c r="E2944" s="2" t="s">
        <v>413</v>
      </c>
      <c r="F2944" s="2" t="s">
        <v>39</v>
      </c>
      <c r="J2944" s="2" t="s">
        <v>541</v>
      </c>
      <c r="K2944" s="2" t="s">
        <v>542</v>
      </c>
      <c r="L2944" s="2">
        <v>4</v>
      </c>
      <c r="M2944" s="2" t="s">
        <v>546</v>
      </c>
      <c r="O2944" s="2" t="s">
        <v>524</v>
      </c>
      <c r="Y2944" s="2" t="s">
        <v>688</v>
      </c>
    </row>
    <row r="2945" spans="1:34" x14ac:dyDescent="0.25">
      <c r="A2945" s="2" t="s">
        <v>325</v>
      </c>
      <c r="B2945" s="2" t="s">
        <v>540</v>
      </c>
      <c r="C2945" s="2" t="s">
        <v>409</v>
      </c>
      <c r="D2945" s="2" t="s">
        <v>410</v>
      </c>
      <c r="E2945" s="2" t="s">
        <v>413</v>
      </c>
      <c r="F2945" s="2" t="s">
        <v>39</v>
      </c>
      <c r="J2945" s="2" t="s">
        <v>541</v>
      </c>
      <c r="K2945" s="2" t="s">
        <v>542</v>
      </c>
      <c r="L2945" s="2">
        <v>5</v>
      </c>
      <c r="M2945" s="2" t="s">
        <v>547</v>
      </c>
      <c r="O2945" s="2" t="s">
        <v>524</v>
      </c>
      <c r="Y2945" s="2" t="s">
        <v>688</v>
      </c>
    </row>
    <row r="2946" spans="1:34" x14ac:dyDescent="0.25">
      <c r="A2946" s="2" t="s">
        <v>325</v>
      </c>
      <c r="B2946" s="2" t="s">
        <v>540</v>
      </c>
      <c r="C2946" s="2" t="s">
        <v>409</v>
      </c>
      <c r="D2946" s="2" t="s">
        <v>410</v>
      </c>
      <c r="E2946" s="2" t="s">
        <v>413</v>
      </c>
      <c r="F2946" s="2" t="s">
        <v>39</v>
      </c>
      <c r="J2946" s="2" t="s">
        <v>541</v>
      </c>
      <c r="K2946" s="2" t="s">
        <v>542</v>
      </c>
      <c r="L2946" s="2">
        <v>6</v>
      </c>
      <c r="M2946" s="2" t="s">
        <v>548</v>
      </c>
      <c r="O2946" s="2" t="s">
        <v>524</v>
      </c>
      <c r="Y2946" s="2" t="s">
        <v>688</v>
      </c>
    </row>
    <row r="2947" spans="1:34" x14ac:dyDescent="0.25">
      <c r="A2947" s="2" t="s">
        <v>325</v>
      </c>
      <c r="B2947" s="2" t="s">
        <v>540</v>
      </c>
      <c r="C2947" s="2" t="s">
        <v>409</v>
      </c>
      <c r="D2947" s="2" t="s">
        <v>410</v>
      </c>
      <c r="E2947" s="2" t="s">
        <v>413</v>
      </c>
      <c r="F2947" s="2" t="s">
        <v>39</v>
      </c>
      <c r="J2947" s="2" t="s">
        <v>541</v>
      </c>
      <c r="K2947" s="2" t="s">
        <v>542</v>
      </c>
      <c r="L2947" s="2">
        <v>7</v>
      </c>
      <c r="M2947" s="2" t="s">
        <v>549</v>
      </c>
      <c r="O2947" s="2" t="s">
        <v>524</v>
      </c>
      <c r="Y2947" s="2" t="s">
        <v>688</v>
      </c>
    </row>
    <row r="2948" spans="1:34" x14ac:dyDescent="0.25">
      <c r="A2948" s="2" t="s">
        <v>325</v>
      </c>
      <c r="B2948" s="2" t="s">
        <v>540</v>
      </c>
      <c r="C2948" s="2" t="s">
        <v>409</v>
      </c>
      <c r="D2948" s="2" t="s">
        <v>410</v>
      </c>
      <c r="E2948" s="2" t="s">
        <v>413</v>
      </c>
      <c r="F2948" s="2" t="s">
        <v>39</v>
      </c>
      <c r="J2948" s="2" t="s">
        <v>541</v>
      </c>
      <c r="K2948" s="2" t="s">
        <v>542</v>
      </c>
      <c r="L2948" s="2">
        <v>8</v>
      </c>
      <c r="M2948" s="2" t="s">
        <v>550</v>
      </c>
      <c r="O2948" s="2" t="s">
        <v>524</v>
      </c>
      <c r="Y2948" s="2" t="s">
        <v>688</v>
      </c>
    </row>
    <row r="2949" spans="1:34" x14ac:dyDescent="0.25">
      <c r="A2949" s="2" t="s">
        <v>325</v>
      </c>
      <c r="B2949" s="2" t="s">
        <v>540</v>
      </c>
      <c r="C2949" s="2" t="s">
        <v>409</v>
      </c>
      <c r="D2949" s="2" t="s">
        <v>410</v>
      </c>
      <c r="E2949" s="2" t="s">
        <v>413</v>
      </c>
      <c r="F2949" s="2" t="s">
        <v>39</v>
      </c>
      <c r="J2949" s="2" t="s">
        <v>541</v>
      </c>
      <c r="K2949" s="2" t="s">
        <v>542</v>
      </c>
      <c r="L2949" s="2">
        <v>9</v>
      </c>
      <c r="M2949" s="2" t="s">
        <v>551</v>
      </c>
      <c r="O2949" s="2" t="s">
        <v>524</v>
      </c>
      <c r="Y2949" s="2" t="s">
        <v>688</v>
      </c>
    </row>
    <row r="2950" spans="1:34" x14ac:dyDescent="0.25">
      <c r="A2950" s="2" t="s">
        <v>325</v>
      </c>
      <c r="B2950" s="2" t="s">
        <v>540</v>
      </c>
      <c r="C2950" s="2" t="s">
        <v>409</v>
      </c>
      <c r="D2950" s="2" t="s">
        <v>410</v>
      </c>
      <c r="E2950" s="2" t="s">
        <v>413</v>
      </c>
      <c r="F2950" s="2" t="s">
        <v>39</v>
      </c>
      <c r="J2950" s="2" t="s">
        <v>541</v>
      </c>
      <c r="K2950" s="2" t="s">
        <v>542</v>
      </c>
      <c r="L2950" s="2">
        <v>10</v>
      </c>
      <c r="M2950" s="2" t="s">
        <v>552</v>
      </c>
      <c r="O2950" s="2" t="s">
        <v>524</v>
      </c>
      <c r="Y2950" s="2" t="s">
        <v>688</v>
      </c>
    </row>
    <row r="2951" spans="1:34" x14ac:dyDescent="0.25">
      <c r="A2951" s="2" t="s">
        <v>325</v>
      </c>
      <c r="B2951" s="2" t="s">
        <v>540</v>
      </c>
      <c r="C2951" s="2" t="s">
        <v>409</v>
      </c>
      <c r="D2951" s="2" t="s">
        <v>410</v>
      </c>
      <c r="E2951" s="2" t="s">
        <v>413</v>
      </c>
      <c r="F2951" s="2" t="s">
        <v>39</v>
      </c>
      <c r="J2951" s="2" t="s">
        <v>541</v>
      </c>
      <c r="K2951" s="2" t="s">
        <v>542</v>
      </c>
      <c r="L2951" s="2">
        <v>11</v>
      </c>
      <c r="M2951" s="2" t="s">
        <v>553</v>
      </c>
      <c r="O2951" s="2" t="s">
        <v>524</v>
      </c>
      <c r="Y2951" s="2" t="s">
        <v>688</v>
      </c>
    </row>
    <row r="2952" spans="1:34" x14ac:dyDescent="0.25">
      <c r="A2952" s="2" t="s">
        <v>325</v>
      </c>
      <c r="B2952" s="2" t="s">
        <v>540</v>
      </c>
      <c r="C2952" s="2" t="s">
        <v>409</v>
      </c>
      <c r="D2952" s="2" t="s">
        <v>410</v>
      </c>
      <c r="E2952" s="2" t="s">
        <v>413</v>
      </c>
      <c r="F2952" s="2" t="s">
        <v>39</v>
      </c>
      <c r="J2952" s="2" t="s">
        <v>541</v>
      </c>
      <c r="K2952" s="2" t="s">
        <v>542</v>
      </c>
      <c r="L2952" s="2">
        <v>12</v>
      </c>
      <c r="M2952" s="2" t="s">
        <v>554</v>
      </c>
      <c r="O2952" s="2" t="s">
        <v>524</v>
      </c>
      <c r="Y2952" s="2" t="s">
        <v>688</v>
      </c>
    </row>
    <row r="2953" spans="1:34" x14ac:dyDescent="0.25">
      <c r="A2953" s="2" t="s">
        <v>325</v>
      </c>
      <c r="B2953" s="2" t="s">
        <v>555</v>
      </c>
      <c r="C2953" s="2" t="s">
        <v>409</v>
      </c>
      <c r="D2953" s="2" t="s">
        <v>410</v>
      </c>
      <c r="E2953" s="2" t="s">
        <v>413</v>
      </c>
      <c r="F2953" s="2" t="s">
        <v>39</v>
      </c>
      <c r="J2953" s="2" t="s">
        <v>556</v>
      </c>
      <c r="O2953" s="2" t="s">
        <v>524</v>
      </c>
      <c r="Y2953" s="2" t="s">
        <v>688</v>
      </c>
      <c r="AB2953" s="2">
        <v>1</v>
      </c>
    </row>
    <row r="2954" spans="1:34" x14ac:dyDescent="0.25">
      <c r="A2954" s="2" t="s">
        <v>325</v>
      </c>
      <c r="B2954" s="2" t="s">
        <v>557</v>
      </c>
      <c r="C2954" s="2" t="s">
        <v>409</v>
      </c>
      <c r="D2954" s="2" t="s">
        <v>410</v>
      </c>
      <c r="E2954" s="2" t="s">
        <v>413</v>
      </c>
      <c r="F2954" s="2" t="s">
        <v>39</v>
      </c>
      <c r="J2954" s="2" t="s">
        <v>558</v>
      </c>
      <c r="O2954" s="2" t="s">
        <v>524</v>
      </c>
      <c r="Y2954" s="2" t="s">
        <v>688</v>
      </c>
      <c r="AC2954" s="2">
        <f>COUNTIFS($B:$B,"BLOCK_LOAD_Q",$A:$A,$A2954,$C:$C,$C2954,$E:$E,$E2954,$F:$F,$F2954,$N:$N, "&lt;&gt;")</f>
        <v>0</v>
      </c>
      <c r="AD2954" s="2">
        <f>COUNTIFS($B:$B,"BLOCK_TRUST_Q",$A:$A,$A2954,$C:$C,$C2954,$E:$E,$E2954,$F:$F,$F2954,$N:$N, "&lt;&gt;")</f>
        <v>0</v>
      </c>
      <c r="AE2954" s="2" t="str">
        <f>IFERROR(AVERAGEIFS($P:$P,$B:$B,"BLOCK_LOAD_Q",$A:$A,$A2954,$C:$C,$C2954,$E:$E,$E2954,$F:$F,$F2954,$P:$P,"&gt;0"),"")</f>
        <v/>
      </c>
      <c r="AF2954" s="2" t="str">
        <f>IFERROR(AVERAGEIFS($P:$P,$B:$B,"BLOCK_TRUST_Q",$A:$A,$A2954,$C:$C,$C2954,$E:$E,$E2954,$F:$F,$F2954,$P:$P,"&gt;0"),"")</f>
        <v/>
      </c>
      <c r="AG2954" s="2">
        <f>5-AC2954</f>
        <v>5</v>
      </c>
      <c r="AH2954" s="2">
        <f>12-AD2954</f>
        <v>12</v>
      </c>
    </row>
    <row r="2955" spans="1:34" x14ac:dyDescent="0.25">
      <c r="A2955" s="2" t="s">
        <v>325</v>
      </c>
      <c r="B2955" s="2" t="s">
        <v>402</v>
      </c>
      <c r="C2955" s="2" t="s">
        <v>409</v>
      </c>
      <c r="D2955" s="2" t="s">
        <v>410</v>
      </c>
      <c r="E2955" s="2" t="s">
        <v>414</v>
      </c>
      <c r="F2955" s="2" t="s">
        <v>40</v>
      </c>
      <c r="G2955" s="2" t="s">
        <v>415</v>
      </c>
      <c r="H2955" s="2" t="s">
        <v>354</v>
      </c>
      <c r="S2955" s="2" t="s">
        <v>59</v>
      </c>
      <c r="U2955" s="2" t="s">
        <v>59</v>
      </c>
      <c r="W2955" s="2" t="s">
        <v>58</v>
      </c>
    </row>
    <row r="2956" spans="1:34" x14ac:dyDescent="0.25">
      <c r="A2956" s="2" t="s">
        <v>325</v>
      </c>
      <c r="B2956" s="2" t="s">
        <v>402</v>
      </c>
      <c r="C2956" s="2" t="s">
        <v>409</v>
      </c>
      <c r="D2956" s="2" t="s">
        <v>410</v>
      </c>
      <c r="E2956" s="2" t="s">
        <v>414</v>
      </c>
      <c r="F2956" s="2" t="s">
        <v>40</v>
      </c>
      <c r="G2956" s="2" t="s">
        <v>416</v>
      </c>
      <c r="H2956" s="2" t="s">
        <v>559</v>
      </c>
      <c r="S2956" s="2" t="s">
        <v>57</v>
      </c>
      <c r="U2956" s="2" t="s">
        <v>57</v>
      </c>
      <c r="W2956" s="2" t="s">
        <v>58</v>
      </c>
    </row>
    <row r="2957" spans="1:34" x14ac:dyDescent="0.25">
      <c r="A2957" s="2" t="s">
        <v>325</v>
      </c>
      <c r="B2957" s="2" t="s">
        <v>402</v>
      </c>
      <c r="C2957" s="2" t="s">
        <v>409</v>
      </c>
      <c r="D2957" s="2" t="s">
        <v>410</v>
      </c>
      <c r="E2957" s="2" t="s">
        <v>414</v>
      </c>
      <c r="F2957" s="2" t="s">
        <v>40</v>
      </c>
      <c r="G2957" s="2" t="s">
        <v>417</v>
      </c>
      <c r="H2957" s="2" t="s">
        <v>370</v>
      </c>
      <c r="S2957" s="2" t="s">
        <v>60</v>
      </c>
      <c r="U2957" s="2" t="s">
        <v>58</v>
      </c>
      <c r="W2957" s="2" t="s">
        <v>59</v>
      </c>
    </row>
    <row r="2958" spans="1:34" x14ac:dyDescent="0.25">
      <c r="A2958" s="2" t="s">
        <v>325</v>
      </c>
      <c r="B2958" s="2" t="s">
        <v>402</v>
      </c>
      <c r="C2958" s="2" t="s">
        <v>409</v>
      </c>
      <c r="D2958" s="2" t="s">
        <v>410</v>
      </c>
      <c r="E2958" s="2" t="s">
        <v>414</v>
      </c>
      <c r="F2958" s="2" t="s">
        <v>40</v>
      </c>
      <c r="G2958" s="2" t="s">
        <v>418</v>
      </c>
      <c r="H2958" s="2" t="s">
        <v>560</v>
      </c>
      <c r="S2958" s="2" t="s">
        <v>57</v>
      </c>
      <c r="U2958" s="2" t="s">
        <v>58</v>
      </c>
      <c r="W2958" s="2" t="s">
        <v>60</v>
      </c>
    </row>
    <row r="2959" spans="1:34" x14ac:dyDescent="0.25">
      <c r="A2959" s="2" t="s">
        <v>325</v>
      </c>
      <c r="B2959" s="2" t="s">
        <v>531</v>
      </c>
      <c r="C2959" s="2" t="s">
        <v>409</v>
      </c>
      <c r="D2959" s="2" t="s">
        <v>410</v>
      </c>
      <c r="E2959" s="2" t="s">
        <v>414</v>
      </c>
      <c r="F2959" s="2" t="s">
        <v>40</v>
      </c>
      <c r="J2959" s="2" t="s">
        <v>532</v>
      </c>
      <c r="K2959" s="2" t="s">
        <v>533</v>
      </c>
      <c r="L2959" s="2">
        <v>1</v>
      </c>
      <c r="M2959" s="2" t="s">
        <v>534</v>
      </c>
      <c r="O2959" s="2" t="s">
        <v>524</v>
      </c>
      <c r="Y2959" s="2" t="s">
        <v>689</v>
      </c>
    </row>
    <row r="2960" spans="1:34" x14ac:dyDescent="0.25">
      <c r="A2960" s="2" t="s">
        <v>325</v>
      </c>
      <c r="B2960" s="2" t="s">
        <v>531</v>
      </c>
      <c r="C2960" s="2" t="s">
        <v>409</v>
      </c>
      <c r="D2960" s="2" t="s">
        <v>410</v>
      </c>
      <c r="E2960" s="2" t="s">
        <v>414</v>
      </c>
      <c r="F2960" s="2" t="s">
        <v>40</v>
      </c>
      <c r="J2960" s="2" t="s">
        <v>532</v>
      </c>
      <c r="K2960" s="2" t="s">
        <v>533</v>
      </c>
      <c r="L2960" s="2">
        <v>2</v>
      </c>
      <c r="M2960" s="2" t="s">
        <v>536</v>
      </c>
      <c r="O2960" s="2" t="s">
        <v>524</v>
      </c>
      <c r="Y2960" s="2" t="s">
        <v>689</v>
      </c>
    </row>
    <row r="2961" spans="1:28" x14ac:dyDescent="0.25">
      <c r="A2961" s="2" t="s">
        <v>325</v>
      </c>
      <c r="B2961" s="2" t="s">
        <v>531</v>
      </c>
      <c r="C2961" s="2" t="s">
        <v>409</v>
      </c>
      <c r="D2961" s="2" t="s">
        <v>410</v>
      </c>
      <c r="E2961" s="2" t="s">
        <v>414</v>
      </c>
      <c r="F2961" s="2" t="s">
        <v>40</v>
      </c>
      <c r="J2961" s="2" t="s">
        <v>532</v>
      </c>
      <c r="K2961" s="2" t="s">
        <v>533</v>
      </c>
      <c r="L2961" s="2">
        <v>3</v>
      </c>
      <c r="M2961" s="2" t="s">
        <v>537</v>
      </c>
      <c r="O2961" s="2" t="s">
        <v>524</v>
      </c>
      <c r="Y2961" s="2" t="s">
        <v>689</v>
      </c>
    </row>
    <row r="2962" spans="1:28" x14ac:dyDescent="0.25">
      <c r="A2962" s="2" t="s">
        <v>325</v>
      </c>
      <c r="B2962" s="2" t="s">
        <v>531</v>
      </c>
      <c r="C2962" s="2" t="s">
        <v>409</v>
      </c>
      <c r="D2962" s="2" t="s">
        <v>410</v>
      </c>
      <c r="E2962" s="2" t="s">
        <v>414</v>
      </c>
      <c r="F2962" s="2" t="s">
        <v>40</v>
      </c>
      <c r="J2962" s="2" t="s">
        <v>532</v>
      </c>
      <c r="K2962" s="2" t="s">
        <v>533</v>
      </c>
      <c r="L2962" s="2">
        <v>4</v>
      </c>
      <c r="M2962" s="2" t="s">
        <v>538</v>
      </c>
      <c r="O2962" s="2" t="s">
        <v>524</v>
      </c>
      <c r="Y2962" s="2" t="s">
        <v>689</v>
      </c>
    </row>
    <row r="2963" spans="1:28" x14ac:dyDescent="0.25">
      <c r="A2963" s="2" t="s">
        <v>325</v>
      </c>
      <c r="B2963" s="2" t="s">
        <v>531</v>
      </c>
      <c r="C2963" s="2" t="s">
        <v>409</v>
      </c>
      <c r="D2963" s="2" t="s">
        <v>410</v>
      </c>
      <c r="E2963" s="2" t="s">
        <v>414</v>
      </c>
      <c r="F2963" s="2" t="s">
        <v>40</v>
      </c>
      <c r="J2963" s="2" t="s">
        <v>532</v>
      </c>
      <c r="K2963" s="2" t="s">
        <v>533</v>
      </c>
      <c r="L2963" s="2">
        <v>5</v>
      </c>
      <c r="M2963" s="2" t="s">
        <v>539</v>
      </c>
      <c r="O2963" s="2" t="s">
        <v>524</v>
      </c>
      <c r="Y2963" s="2" t="s">
        <v>689</v>
      </c>
    </row>
    <row r="2964" spans="1:28" x14ac:dyDescent="0.25">
      <c r="A2964" s="2" t="s">
        <v>325</v>
      </c>
      <c r="B2964" s="2" t="s">
        <v>540</v>
      </c>
      <c r="C2964" s="2" t="s">
        <v>409</v>
      </c>
      <c r="D2964" s="2" t="s">
        <v>410</v>
      </c>
      <c r="E2964" s="2" t="s">
        <v>414</v>
      </c>
      <c r="F2964" s="2" t="s">
        <v>40</v>
      </c>
      <c r="J2964" s="2" t="s">
        <v>541</v>
      </c>
      <c r="K2964" s="2" t="s">
        <v>542</v>
      </c>
      <c r="L2964" s="2">
        <v>1</v>
      </c>
      <c r="M2964" s="2" t="s">
        <v>543</v>
      </c>
      <c r="O2964" s="2" t="s">
        <v>524</v>
      </c>
      <c r="Y2964" s="2" t="s">
        <v>689</v>
      </c>
    </row>
    <row r="2965" spans="1:28" x14ac:dyDescent="0.25">
      <c r="A2965" s="2" t="s">
        <v>325</v>
      </c>
      <c r="B2965" s="2" t="s">
        <v>540</v>
      </c>
      <c r="C2965" s="2" t="s">
        <v>409</v>
      </c>
      <c r="D2965" s="2" t="s">
        <v>410</v>
      </c>
      <c r="E2965" s="2" t="s">
        <v>414</v>
      </c>
      <c r="F2965" s="2" t="s">
        <v>40</v>
      </c>
      <c r="J2965" s="2" t="s">
        <v>541</v>
      </c>
      <c r="K2965" s="2" t="s">
        <v>542</v>
      </c>
      <c r="L2965" s="2">
        <v>2</v>
      </c>
      <c r="M2965" s="2" t="s">
        <v>544</v>
      </c>
      <c r="O2965" s="2" t="s">
        <v>524</v>
      </c>
      <c r="Y2965" s="2" t="s">
        <v>689</v>
      </c>
    </row>
    <row r="2966" spans="1:28" x14ac:dyDescent="0.25">
      <c r="A2966" s="2" t="s">
        <v>325</v>
      </c>
      <c r="B2966" s="2" t="s">
        <v>540</v>
      </c>
      <c r="C2966" s="2" t="s">
        <v>409</v>
      </c>
      <c r="D2966" s="2" t="s">
        <v>410</v>
      </c>
      <c r="E2966" s="2" t="s">
        <v>414</v>
      </c>
      <c r="F2966" s="2" t="s">
        <v>40</v>
      </c>
      <c r="J2966" s="2" t="s">
        <v>541</v>
      </c>
      <c r="K2966" s="2" t="s">
        <v>542</v>
      </c>
      <c r="L2966" s="2">
        <v>3</v>
      </c>
      <c r="M2966" s="2" t="s">
        <v>545</v>
      </c>
      <c r="O2966" s="2" t="s">
        <v>524</v>
      </c>
      <c r="Y2966" s="2" t="s">
        <v>689</v>
      </c>
    </row>
    <row r="2967" spans="1:28" x14ac:dyDescent="0.25">
      <c r="A2967" s="2" t="s">
        <v>325</v>
      </c>
      <c r="B2967" s="2" t="s">
        <v>540</v>
      </c>
      <c r="C2967" s="2" t="s">
        <v>409</v>
      </c>
      <c r="D2967" s="2" t="s">
        <v>410</v>
      </c>
      <c r="E2967" s="2" t="s">
        <v>414</v>
      </c>
      <c r="F2967" s="2" t="s">
        <v>40</v>
      </c>
      <c r="J2967" s="2" t="s">
        <v>541</v>
      </c>
      <c r="K2967" s="2" t="s">
        <v>542</v>
      </c>
      <c r="L2967" s="2">
        <v>4</v>
      </c>
      <c r="M2967" s="2" t="s">
        <v>546</v>
      </c>
      <c r="O2967" s="2" t="s">
        <v>524</v>
      </c>
      <c r="Y2967" s="2" t="s">
        <v>689</v>
      </c>
    </row>
    <row r="2968" spans="1:28" x14ac:dyDescent="0.25">
      <c r="A2968" s="2" t="s">
        <v>325</v>
      </c>
      <c r="B2968" s="2" t="s">
        <v>540</v>
      </c>
      <c r="C2968" s="2" t="s">
        <v>409</v>
      </c>
      <c r="D2968" s="2" t="s">
        <v>410</v>
      </c>
      <c r="E2968" s="2" t="s">
        <v>414</v>
      </c>
      <c r="F2968" s="2" t="s">
        <v>40</v>
      </c>
      <c r="J2968" s="2" t="s">
        <v>541</v>
      </c>
      <c r="K2968" s="2" t="s">
        <v>542</v>
      </c>
      <c r="L2968" s="2">
        <v>5</v>
      </c>
      <c r="M2968" s="2" t="s">
        <v>547</v>
      </c>
      <c r="O2968" s="2" t="s">
        <v>524</v>
      </c>
      <c r="Y2968" s="2" t="s">
        <v>689</v>
      </c>
    </row>
    <row r="2969" spans="1:28" x14ac:dyDescent="0.25">
      <c r="A2969" s="2" t="s">
        <v>325</v>
      </c>
      <c r="B2969" s="2" t="s">
        <v>540</v>
      </c>
      <c r="C2969" s="2" t="s">
        <v>409</v>
      </c>
      <c r="D2969" s="2" t="s">
        <v>410</v>
      </c>
      <c r="E2969" s="2" t="s">
        <v>414</v>
      </c>
      <c r="F2969" s="2" t="s">
        <v>40</v>
      </c>
      <c r="J2969" s="2" t="s">
        <v>541</v>
      </c>
      <c r="K2969" s="2" t="s">
        <v>542</v>
      </c>
      <c r="L2969" s="2">
        <v>6</v>
      </c>
      <c r="M2969" s="2" t="s">
        <v>548</v>
      </c>
      <c r="O2969" s="2" t="s">
        <v>524</v>
      </c>
      <c r="Y2969" s="2" t="s">
        <v>689</v>
      </c>
    </row>
    <row r="2970" spans="1:28" x14ac:dyDescent="0.25">
      <c r="A2970" s="2" t="s">
        <v>325</v>
      </c>
      <c r="B2970" s="2" t="s">
        <v>540</v>
      </c>
      <c r="C2970" s="2" t="s">
        <v>409</v>
      </c>
      <c r="D2970" s="2" t="s">
        <v>410</v>
      </c>
      <c r="E2970" s="2" t="s">
        <v>414</v>
      </c>
      <c r="F2970" s="2" t="s">
        <v>40</v>
      </c>
      <c r="J2970" s="2" t="s">
        <v>541</v>
      </c>
      <c r="K2970" s="2" t="s">
        <v>542</v>
      </c>
      <c r="L2970" s="2">
        <v>7</v>
      </c>
      <c r="M2970" s="2" t="s">
        <v>549</v>
      </c>
      <c r="O2970" s="2" t="s">
        <v>524</v>
      </c>
      <c r="Y2970" s="2" t="s">
        <v>689</v>
      </c>
    </row>
    <row r="2971" spans="1:28" x14ac:dyDescent="0.25">
      <c r="A2971" s="2" t="s">
        <v>325</v>
      </c>
      <c r="B2971" s="2" t="s">
        <v>540</v>
      </c>
      <c r="C2971" s="2" t="s">
        <v>409</v>
      </c>
      <c r="D2971" s="2" t="s">
        <v>410</v>
      </c>
      <c r="E2971" s="2" t="s">
        <v>414</v>
      </c>
      <c r="F2971" s="2" t="s">
        <v>40</v>
      </c>
      <c r="J2971" s="2" t="s">
        <v>541</v>
      </c>
      <c r="K2971" s="2" t="s">
        <v>542</v>
      </c>
      <c r="L2971" s="2">
        <v>8</v>
      </c>
      <c r="M2971" s="2" t="s">
        <v>550</v>
      </c>
      <c r="O2971" s="2" t="s">
        <v>524</v>
      </c>
      <c r="Y2971" s="2" t="s">
        <v>689</v>
      </c>
    </row>
    <row r="2972" spans="1:28" x14ac:dyDescent="0.25">
      <c r="A2972" s="2" t="s">
        <v>325</v>
      </c>
      <c r="B2972" s="2" t="s">
        <v>540</v>
      </c>
      <c r="C2972" s="2" t="s">
        <v>409</v>
      </c>
      <c r="D2972" s="2" t="s">
        <v>410</v>
      </c>
      <c r="E2972" s="2" t="s">
        <v>414</v>
      </c>
      <c r="F2972" s="2" t="s">
        <v>40</v>
      </c>
      <c r="J2972" s="2" t="s">
        <v>541</v>
      </c>
      <c r="K2972" s="2" t="s">
        <v>542</v>
      </c>
      <c r="L2972" s="2">
        <v>9</v>
      </c>
      <c r="M2972" s="2" t="s">
        <v>551</v>
      </c>
      <c r="O2972" s="2" t="s">
        <v>524</v>
      </c>
      <c r="Y2972" s="2" t="s">
        <v>689</v>
      </c>
    </row>
    <row r="2973" spans="1:28" x14ac:dyDescent="0.25">
      <c r="A2973" s="2" t="s">
        <v>325</v>
      </c>
      <c r="B2973" s="2" t="s">
        <v>540</v>
      </c>
      <c r="C2973" s="2" t="s">
        <v>409</v>
      </c>
      <c r="D2973" s="2" t="s">
        <v>410</v>
      </c>
      <c r="E2973" s="2" t="s">
        <v>414</v>
      </c>
      <c r="F2973" s="2" t="s">
        <v>40</v>
      </c>
      <c r="J2973" s="2" t="s">
        <v>541</v>
      </c>
      <c r="K2973" s="2" t="s">
        <v>542</v>
      </c>
      <c r="L2973" s="2">
        <v>10</v>
      </c>
      <c r="M2973" s="2" t="s">
        <v>552</v>
      </c>
      <c r="O2973" s="2" t="s">
        <v>524</v>
      </c>
      <c r="Y2973" s="2" t="s">
        <v>689</v>
      </c>
    </row>
    <row r="2974" spans="1:28" x14ac:dyDescent="0.25">
      <c r="A2974" s="2" t="s">
        <v>325</v>
      </c>
      <c r="B2974" s="2" t="s">
        <v>540</v>
      </c>
      <c r="C2974" s="2" t="s">
        <v>409</v>
      </c>
      <c r="D2974" s="2" t="s">
        <v>410</v>
      </c>
      <c r="E2974" s="2" t="s">
        <v>414</v>
      </c>
      <c r="F2974" s="2" t="s">
        <v>40</v>
      </c>
      <c r="J2974" s="2" t="s">
        <v>541</v>
      </c>
      <c r="K2974" s="2" t="s">
        <v>542</v>
      </c>
      <c r="L2974" s="2">
        <v>11</v>
      </c>
      <c r="M2974" s="2" t="s">
        <v>553</v>
      </c>
      <c r="O2974" s="2" t="s">
        <v>524</v>
      </c>
      <c r="Y2974" s="2" t="s">
        <v>689</v>
      </c>
    </row>
    <row r="2975" spans="1:28" x14ac:dyDescent="0.25">
      <c r="A2975" s="2" t="s">
        <v>325</v>
      </c>
      <c r="B2975" s="2" t="s">
        <v>540</v>
      </c>
      <c r="C2975" s="2" t="s">
        <v>409</v>
      </c>
      <c r="D2975" s="2" t="s">
        <v>410</v>
      </c>
      <c r="E2975" s="2" t="s">
        <v>414</v>
      </c>
      <c r="F2975" s="2" t="s">
        <v>40</v>
      </c>
      <c r="J2975" s="2" t="s">
        <v>541</v>
      </c>
      <c r="K2975" s="2" t="s">
        <v>542</v>
      </c>
      <c r="L2975" s="2">
        <v>12</v>
      </c>
      <c r="M2975" s="2" t="s">
        <v>554</v>
      </c>
      <c r="O2975" s="2" t="s">
        <v>524</v>
      </c>
      <c r="Y2975" s="2" t="s">
        <v>689</v>
      </c>
    </row>
    <row r="2976" spans="1:28" x14ac:dyDescent="0.25">
      <c r="A2976" s="2" t="s">
        <v>325</v>
      </c>
      <c r="B2976" s="2" t="s">
        <v>555</v>
      </c>
      <c r="C2976" s="2" t="s">
        <v>409</v>
      </c>
      <c r="D2976" s="2" t="s">
        <v>410</v>
      </c>
      <c r="E2976" s="2" t="s">
        <v>414</v>
      </c>
      <c r="F2976" s="2" t="s">
        <v>40</v>
      </c>
      <c r="J2976" s="2" t="s">
        <v>556</v>
      </c>
      <c r="O2976" s="2" t="s">
        <v>524</v>
      </c>
      <c r="Y2976" s="2" t="s">
        <v>689</v>
      </c>
      <c r="AB2976" s="2">
        <v>2</v>
      </c>
    </row>
    <row r="2977" spans="1:34" x14ac:dyDescent="0.25">
      <c r="A2977" s="2" t="s">
        <v>325</v>
      </c>
      <c r="B2977" s="2" t="s">
        <v>557</v>
      </c>
      <c r="C2977" s="2" t="s">
        <v>409</v>
      </c>
      <c r="D2977" s="2" t="s">
        <v>410</v>
      </c>
      <c r="E2977" s="2" t="s">
        <v>414</v>
      </c>
      <c r="F2977" s="2" t="s">
        <v>40</v>
      </c>
      <c r="J2977" s="2" t="s">
        <v>558</v>
      </c>
      <c r="O2977" s="2" t="s">
        <v>524</v>
      </c>
      <c r="Y2977" s="2" t="s">
        <v>689</v>
      </c>
      <c r="AC2977" s="2">
        <f>COUNTIFS($B:$B,"BLOCK_LOAD_Q",$A:$A,$A2977,$C:$C,$C2977,$E:$E,$E2977,$F:$F,$F2977,$N:$N, "&lt;&gt;")</f>
        <v>0</v>
      </c>
      <c r="AD2977" s="2">
        <f>COUNTIFS($B:$B,"BLOCK_TRUST_Q",$A:$A,$A2977,$C:$C,$C2977,$E:$E,$E2977,$F:$F,$F2977,$N:$N, "&lt;&gt;")</f>
        <v>0</v>
      </c>
      <c r="AE2977" s="2" t="str">
        <f>IFERROR(AVERAGEIFS($P:$P,$B:$B,"BLOCK_LOAD_Q",$A:$A,$A2977,$C:$C,$C2977,$E:$E,$E2977,$F:$F,$F2977,$P:$P,"&gt;0"),"")</f>
        <v/>
      </c>
      <c r="AF2977" s="2" t="str">
        <f>IFERROR(AVERAGEIFS($P:$P,$B:$B,"BLOCK_TRUST_Q",$A:$A,$A2977,$C:$C,$C2977,$E:$E,$E2977,$F:$F,$F2977,$P:$P,"&gt;0"),"")</f>
        <v/>
      </c>
      <c r="AG2977" s="2">
        <f>5-AC2977</f>
        <v>5</v>
      </c>
      <c r="AH2977" s="2">
        <f>12-AD2977</f>
        <v>12</v>
      </c>
    </row>
    <row r="2978" spans="1:34" x14ac:dyDescent="0.25">
      <c r="A2978" s="2" t="s">
        <v>325</v>
      </c>
      <c r="B2978" s="2" t="s">
        <v>403</v>
      </c>
      <c r="C2978" s="2" t="s">
        <v>409</v>
      </c>
      <c r="D2978" s="2" t="s">
        <v>410</v>
      </c>
      <c r="Z2978" s="2" t="s">
        <v>479</v>
      </c>
    </row>
    <row r="2979" spans="1:34" x14ac:dyDescent="0.25">
      <c r="A2979" s="2" t="s">
        <v>325</v>
      </c>
      <c r="B2979" s="2" t="s">
        <v>404</v>
      </c>
      <c r="J2979" s="2" t="s">
        <v>575</v>
      </c>
      <c r="AA2979" s="2" t="s">
        <v>338</v>
      </c>
    </row>
    <row r="2980" spans="1:34" x14ac:dyDescent="0.25">
      <c r="A2980" s="2" t="s">
        <v>325</v>
      </c>
      <c r="B2980" s="2" t="s">
        <v>405</v>
      </c>
    </row>
    <row r="2981" spans="1:34" x14ac:dyDescent="0.25">
      <c r="A2981" s="2" t="s">
        <v>325</v>
      </c>
      <c r="B2981" s="2" t="s">
        <v>406</v>
      </c>
    </row>
    <row r="2982" spans="1:34" x14ac:dyDescent="0.25">
      <c r="A2982" s="2" t="s">
        <v>326</v>
      </c>
      <c r="B2982" s="2" t="s">
        <v>523</v>
      </c>
      <c r="C2982" s="2" t="s">
        <v>524</v>
      </c>
      <c r="D2982" s="2" t="s">
        <v>524</v>
      </c>
      <c r="E2982" s="2" t="s">
        <v>524</v>
      </c>
      <c r="F2982" s="2" t="s">
        <v>524</v>
      </c>
      <c r="J2982" s="2" t="s">
        <v>525</v>
      </c>
      <c r="O2982" s="2" t="s">
        <v>524</v>
      </c>
    </row>
    <row r="2983" spans="1:34" x14ac:dyDescent="0.25">
      <c r="A2983" s="2" t="s">
        <v>326</v>
      </c>
      <c r="B2983" s="2" t="s">
        <v>526</v>
      </c>
      <c r="C2983" s="2" t="s">
        <v>524</v>
      </c>
      <c r="D2983" s="2" t="s">
        <v>524</v>
      </c>
      <c r="E2983" s="2" t="s">
        <v>524</v>
      </c>
      <c r="F2983" s="2" t="s">
        <v>524</v>
      </c>
      <c r="J2983" s="2" t="s">
        <v>527</v>
      </c>
      <c r="O2983" s="2" t="s">
        <v>524</v>
      </c>
    </row>
    <row r="2984" spans="1:34" x14ac:dyDescent="0.25">
      <c r="A2984" s="2" t="s">
        <v>326</v>
      </c>
      <c r="B2984" s="2" t="s">
        <v>402</v>
      </c>
      <c r="C2984" s="2" t="s">
        <v>407</v>
      </c>
      <c r="D2984" s="2" t="s">
        <v>412</v>
      </c>
      <c r="E2984" s="2" t="s">
        <v>413</v>
      </c>
      <c r="F2984" s="2" t="s">
        <v>39</v>
      </c>
      <c r="G2984" s="2" t="s">
        <v>415</v>
      </c>
      <c r="H2984" s="2" t="s">
        <v>350</v>
      </c>
      <c r="S2984" s="2" t="s">
        <v>57</v>
      </c>
      <c r="U2984" s="2" t="s">
        <v>58</v>
      </c>
      <c r="W2984" s="2" t="s">
        <v>59</v>
      </c>
    </row>
    <row r="2985" spans="1:34" x14ac:dyDescent="0.25">
      <c r="A2985" s="2" t="s">
        <v>326</v>
      </c>
      <c r="B2985" s="2" t="s">
        <v>402</v>
      </c>
      <c r="C2985" s="2" t="s">
        <v>407</v>
      </c>
      <c r="D2985" s="2" t="s">
        <v>412</v>
      </c>
      <c r="E2985" s="2" t="s">
        <v>413</v>
      </c>
      <c r="F2985" s="2" t="s">
        <v>39</v>
      </c>
      <c r="G2985" s="2" t="s">
        <v>416</v>
      </c>
      <c r="H2985" s="2" t="s">
        <v>571</v>
      </c>
      <c r="S2985" s="2" t="s">
        <v>59</v>
      </c>
      <c r="U2985" s="2" t="s">
        <v>57</v>
      </c>
      <c r="W2985" s="2" t="s">
        <v>60</v>
      </c>
    </row>
    <row r="2986" spans="1:34" x14ac:dyDescent="0.25">
      <c r="A2986" s="2" t="s">
        <v>326</v>
      </c>
      <c r="B2986" s="2" t="s">
        <v>402</v>
      </c>
      <c r="C2986" s="2" t="s">
        <v>407</v>
      </c>
      <c r="D2986" s="2" t="s">
        <v>412</v>
      </c>
      <c r="E2986" s="2" t="s">
        <v>413</v>
      </c>
      <c r="F2986" s="2" t="s">
        <v>39</v>
      </c>
      <c r="G2986" s="2" t="s">
        <v>417</v>
      </c>
      <c r="H2986" s="2" t="s">
        <v>572</v>
      </c>
      <c r="S2986" s="2" t="s">
        <v>57</v>
      </c>
      <c r="U2986" s="2" t="s">
        <v>59</v>
      </c>
      <c r="W2986" s="2" t="s">
        <v>58</v>
      </c>
    </row>
    <row r="2987" spans="1:34" x14ac:dyDescent="0.25">
      <c r="A2987" s="2" t="s">
        <v>326</v>
      </c>
      <c r="B2987" s="2" t="s">
        <v>402</v>
      </c>
      <c r="C2987" s="2" t="s">
        <v>407</v>
      </c>
      <c r="D2987" s="2" t="s">
        <v>412</v>
      </c>
      <c r="E2987" s="2" t="s">
        <v>413</v>
      </c>
      <c r="F2987" s="2" t="s">
        <v>39</v>
      </c>
      <c r="G2987" s="2" t="s">
        <v>418</v>
      </c>
      <c r="H2987" s="2" t="s">
        <v>573</v>
      </c>
      <c r="S2987" s="2" t="s">
        <v>58</v>
      </c>
      <c r="U2987" s="2" t="s">
        <v>58</v>
      </c>
      <c r="W2987" s="2" t="s">
        <v>58</v>
      </c>
    </row>
    <row r="2988" spans="1:34" x14ac:dyDescent="0.25">
      <c r="A2988" s="2" t="s">
        <v>326</v>
      </c>
      <c r="B2988" s="2" t="s">
        <v>402</v>
      </c>
      <c r="C2988" s="2" t="s">
        <v>407</v>
      </c>
      <c r="D2988" s="2" t="s">
        <v>412</v>
      </c>
      <c r="E2988" s="2" t="s">
        <v>413</v>
      </c>
      <c r="F2988" s="2" t="s">
        <v>39</v>
      </c>
      <c r="G2988" s="2" t="s">
        <v>419</v>
      </c>
      <c r="H2988" s="2" t="s">
        <v>365</v>
      </c>
      <c r="S2988" s="2" t="s">
        <v>59</v>
      </c>
      <c r="U2988" s="2" t="s">
        <v>59</v>
      </c>
      <c r="W2988" s="2" t="s">
        <v>60</v>
      </c>
    </row>
    <row r="2989" spans="1:34" x14ac:dyDescent="0.25">
      <c r="A2989" s="2" t="s">
        <v>326</v>
      </c>
      <c r="B2989" s="2" t="s">
        <v>531</v>
      </c>
      <c r="C2989" s="2" t="s">
        <v>407</v>
      </c>
      <c r="D2989" s="2" t="s">
        <v>412</v>
      </c>
      <c r="E2989" s="2" t="s">
        <v>413</v>
      </c>
      <c r="F2989" s="2" t="s">
        <v>39</v>
      </c>
      <c r="J2989" s="2" t="s">
        <v>532</v>
      </c>
      <c r="K2989" s="2" t="s">
        <v>533</v>
      </c>
      <c r="L2989" s="2">
        <v>1</v>
      </c>
      <c r="M2989" s="2" t="s">
        <v>534</v>
      </c>
      <c r="O2989" s="2" t="s">
        <v>524</v>
      </c>
      <c r="Y2989" s="2" t="s">
        <v>690</v>
      </c>
    </row>
    <row r="2990" spans="1:34" x14ac:dyDescent="0.25">
      <c r="A2990" s="2" t="s">
        <v>326</v>
      </c>
      <c r="B2990" s="2" t="s">
        <v>531</v>
      </c>
      <c r="C2990" s="2" t="s">
        <v>407</v>
      </c>
      <c r="D2990" s="2" t="s">
        <v>412</v>
      </c>
      <c r="E2990" s="2" t="s">
        <v>413</v>
      </c>
      <c r="F2990" s="2" t="s">
        <v>39</v>
      </c>
      <c r="J2990" s="2" t="s">
        <v>532</v>
      </c>
      <c r="K2990" s="2" t="s">
        <v>533</v>
      </c>
      <c r="L2990" s="2">
        <v>2</v>
      </c>
      <c r="M2990" s="2" t="s">
        <v>536</v>
      </c>
      <c r="O2990" s="2" t="s">
        <v>524</v>
      </c>
      <c r="Y2990" s="2" t="s">
        <v>690</v>
      </c>
    </row>
    <row r="2991" spans="1:34" x14ac:dyDescent="0.25">
      <c r="A2991" s="2" t="s">
        <v>326</v>
      </c>
      <c r="B2991" s="2" t="s">
        <v>531</v>
      </c>
      <c r="C2991" s="2" t="s">
        <v>407</v>
      </c>
      <c r="D2991" s="2" t="s">
        <v>412</v>
      </c>
      <c r="E2991" s="2" t="s">
        <v>413</v>
      </c>
      <c r="F2991" s="2" t="s">
        <v>39</v>
      </c>
      <c r="J2991" s="2" t="s">
        <v>532</v>
      </c>
      <c r="K2991" s="2" t="s">
        <v>533</v>
      </c>
      <c r="L2991" s="2">
        <v>3</v>
      </c>
      <c r="M2991" s="2" t="s">
        <v>537</v>
      </c>
      <c r="O2991" s="2" t="s">
        <v>524</v>
      </c>
      <c r="Y2991" s="2" t="s">
        <v>690</v>
      </c>
    </row>
    <row r="2992" spans="1:34" x14ac:dyDescent="0.25">
      <c r="A2992" s="2" t="s">
        <v>326</v>
      </c>
      <c r="B2992" s="2" t="s">
        <v>531</v>
      </c>
      <c r="C2992" s="2" t="s">
        <v>407</v>
      </c>
      <c r="D2992" s="2" t="s">
        <v>412</v>
      </c>
      <c r="E2992" s="2" t="s">
        <v>413</v>
      </c>
      <c r="F2992" s="2" t="s">
        <v>39</v>
      </c>
      <c r="J2992" s="2" t="s">
        <v>532</v>
      </c>
      <c r="K2992" s="2" t="s">
        <v>533</v>
      </c>
      <c r="L2992" s="2">
        <v>4</v>
      </c>
      <c r="M2992" s="2" t="s">
        <v>538</v>
      </c>
      <c r="O2992" s="2" t="s">
        <v>524</v>
      </c>
      <c r="Y2992" s="2" t="s">
        <v>690</v>
      </c>
    </row>
    <row r="2993" spans="1:34" x14ac:dyDescent="0.25">
      <c r="A2993" s="2" t="s">
        <v>326</v>
      </c>
      <c r="B2993" s="2" t="s">
        <v>531</v>
      </c>
      <c r="C2993" s="2" t="s">
        <v>407</v>
      </c>
      <c r="D2993" s="2" t="s">
        <v>412</v>
      </c>
      <c r="E2993" s="2" t="s">
        <v>413</v>
      </c>
      <c r="F2993" s="2" t="s">
        <v>39</v>
      </c>
      <c r="J2993" s="2" t="s">
        <v>532</v>
      </c>
      <c r="K2993" s="2" t="s">
        <v>533</v>
      </c>
      <c r="L2993" s="2">
        <v>5</v>
      </c>
      <c r="M2993" s="2" t="s">
        <v>539</v>
      </c>
      <c r="O2993" s="2" t="s">
        <v>524</v>
      </c>
      <c r="Y2993" s="2" t="s">
        <v>690</v>
      </c>
    </row>
    <row r="2994" spans="1:34" x14ac:dyDescent="0.25">
      <c r="A2994" s="2" t="s">
        <v>326</v>
      </c>
      <c r="B2994" s="2" t="s">
        <v>540</v>
      </c>
      <c r="C2994" s="2" t="s">
        <v>407</v>
      </c>
      <c r="D2994" s="2" t="s">
        <v>412</v>
      </c>
      <c r="E2994" s="2" t="s">
        <v>413</v>
      </c>
      <c r="F2994" s="2" t="s">
        <v>39</v>
      </c>
      <c r="J2994" s="2" t="s">
        <v>541</v>
      </c>
      <c r="K2994" s="2" t="s">
        <v>542</v>
      </c>
      <c r="L2994" s="2">
        <v>1</v>
      </c>
      <c r="M2994" s="2" t="s">
        <v>543</v>
      </c>
      <c r="O2994" s="2" t="s">
        <v>524</v>
      </c>
      <c r="Y2994" s="2" t="s">
        <v>690</v>
      </c>
    </row>
    <row r="2995" spans="1:34" x14ac:dyDescent="0.25">
      <c r="A2995" s="2" t="s">
        <v>326</v>
      </c>
      <c r="B2995" s="2" t="s">
        <v>540</v>
      </c>
      <c r="C2995" s="2" t="s">
        <v>407</v>
      </c>
      <c r="D2995" s="2" t="s">
        <v>412</v>
      </c>
      <c r="E2995" s="2" t="s">
        <v>413</v>
      </c>
      <c r="F2995" s="2" t="s">
        <v>39</v>
      </c>
      <c r="J2995" s="2" t="s">
        <v>541</v>
      </c>
      <c r="K2995" s="2" t="s">
        <v>542</v>
      </c>
      <c r="L2995" s="2">
        <v>2</v>
      </c>
      <c r="M2995" s="2" t="s">
        <v>544</v>
      </c>
      <c r="O2995" s="2" t="s">
        <v>524</v>
      </c>
      <c r="Y2995" s="2" t="s">
        <v>690</v>
      </c>
    </row>
    <row r="2996" spans="1:34" x14ac:dyDescent="0.25">
      <c r="A2996" s="2" t="s">
        <v>326</v>
      </c>
      <c r="B2996" s="2" t="s">
        <v>540</v>
      </c>
      <c r="C2996" s="2" t="s">
        <v>407</v>
      </c>
      <c r="D2996" s="2" t="s">
        <v>412</v>
      </c>
      <c r="E2996" s="2" t="s">
        <v>413</v>
      </c>
      <c r="F2996" s="2" t="s">
        <v>39</v>
      </c>
      <c r="J2996" s="2" t="s">
        <v>541</v>
      </c>
      <c r="K2996" s="2" t="s">
        <v>542</v>
      </c>
      <c r="L2996" s="2">
        <v>3</v>
      </c>
      <c r="M2996" s="2" t="s">
        <v>545</v>
      </c>
      <c r="O2996" s="2" t="s">
        <v>524</v>
      </c>
      <c r="Y2996" s="2" t="s">
        <v>690</v>
      </c>
    </row>
    <row r="2997" spans="1:34" x14ac:dyDescent="0.25">
      <c r="A2997" s="2" t="s">
        <v>326</v>
      </c>
      <c r="B2997" s="2" t="s">
        <v>540</v>
      </c>
      <c r="C2997" s="2" t="s">
        <v>407</v>
      </c>
      <c r="D2997" s="2" t="s">
        <v>412</v>
      </c>
      <c r="E2997" s="2" t="s">
        <v>413</v>
      </c>
      <c r="F2997" s="2" t="s">
        <v>39</v>
      </c>
      <c r="J2997" s="2" t="s">
        <v>541</v>
      </c>
      <c r="K2997" s="2" t="s">
        <v>542</v>
      </c>
      <c r="L2997" s="2">
        <v>4</v>
      </c>
      <c r="M2997" s="2" t="s">
        <v>546</v>
      </c>
      <c r="O2997" s="2" t="s">
        <v>524</v>
      </c>
      <c r="Y2997" s="2" t="s">
        <v>690</v>
      </c>
    </row>
    <row r="2998" spans="1:34" x14ac:dyDescent="0.25">
      <c r="A2998" s="2" t="s">
        <v>326</v>
      </c>
      <c r="B2998" s="2" t="s">
        <v>540</v>
      </c>
      <c r="C2998" s="2" t="s">
        <v>407</v>
      </c>
      <c r="D2998" s="2" t="s">
        <v>412</v>
      </c>
      <c r="E2998" s="2" t="s">
        <v>413</v>
      </c>
      <c r="F2998" s="2" t="s">
        <v>39</v>
      </c>
      <c r="J2998" s="2" t="s">
        <v>541</v>
      </c>
      <c r="K2998" s="2" t="s">
        <v>542</v>
      </c>
      <c r="L2998" s="2">
        <v>5</v>
      </c>
      <c r="M2998" s="2" t="s">
        <v>547</v>
      </c>
      <c r="O2998" s="2" t="s">
        <v>524</v>
      </c>
      <c r="Y2998" s="2" t="s">
        <v>690</v>
      </c>
    </row>
    <row r="2999" spans="1:34" x14ac:dyDescent="0.25">
      <c r="A2999" s="2" t="s">
        <v>326</v>
      </c>
      <c r="B2999" s="2" t="s">
        <v>540</v>
      </c>
      <c r="C2999" s="2" t="s">
        <v>407</v>
      </c>
      <c r="D2999" s="2" t="s">
        <v>412</v>
      </c>
      <c r="E2999" s="2" t="s">
        <v>413</v>
      </c>
      <c r="F2999" s="2" t="s">
        <v>39</v>
      </c>
      <c r="J2999" s="2" t="s">
        <v>541</v>
      </c>
      <c r="K2999" s="2" t="s">
        <v>542</v>
      </c>
      <c r="L2999" s="2">
        <v>6</v>
      </c>
      <c r="M2999" s="2" t="s">
        <v>548</v>
      </c>
      <c r="O2999" s="2" t="s">
        <v>524</v>
      </c>
      <c r="Y2999" s="2" t="s">
        <v>690</v>
      </c>
    </row>
    <row r="3000" spans="1:34" x14ac:dyDescent="0.25">
      <c r="A3000" s="2" t="s">
        <v>326</v>
      </c>
      <c r="B3000" s="2" t="s">
        <v>540</v>
      </c>
      <c r="C3000" s="2" t="s">
        <v>407</v>
      </c>
      <c r="D3000" s="2" t="s">
        <v>412</v>
      </c>
      <c r="E3000" s="2" t="s">
        <v>413</v>
      </c>
      <c r="F3000" s="2" t="s">
        <v>39</v>
      </c>
      <c r="J3000" s="2" t="s">
        <v>541</v>
      </c>
      <c r="K3000" s="2" t="s">
        <v>542</v>
      </c>
      <c r="L3000" s="2">
        <v>7</v>
      </c>
      <c r="M3000" s="2" t="s">
        <v>549</v>
      </c>
      <c r="O3000" s="2" t="s">
        <v>524</v>
      </c>
      <c r="Y3000" s="2" t="s">
        <v>690</v>
      </c>
    </row>
    <row r="3001" spans="1:34" x14ac:dyDescent="0.25">
      <c r="A3001" s="2" t="s">
        <v>326</v>
      </c>
      <c r="B3001" s="2" t="s">
        <v>540</v>
      </c>
      <c r="C3001" s="2" t="s">
        <v>407</v>
      </c>
      <c r="D3001" s="2" t="s">
        <v>412</v>
      </c>
      <c r="E3001" s="2" t="s">
        <v>413</v>
      </c>
      <c r="F3001" s="2" t="s">
        <v>39</v>
      </c>
      <c r="J3001" s="2" t="s">
        <v>541</v>
      </c>
      <c r="K3001" s="2" t="s">
        <v>542</v>
      </c>
      <c r="L3001" s="2">
        <v>8</v>
      </c>
      <c r="M3001" s="2" t="s">
        <v>550</v>
      </c>
      <c r="O3001" s="2" t="s">
        <v>524</v>
      </c>
      <c r="Y3001" s="2" t="s">
        <v>690</v>
      </c>
    </row>
    <row r="3002" spans="1:34" x14ac:dyDescent="0.25">
      <c r="A3002" s="2" t="s">
        <v>326</v>
      </c>
      <c r="B3002" s="2" t="s">
        <v>540</v>
      </c>
      <c r="C3002" s="2" t="s">
        <v>407</v>
      </c>
      <c r="D3002" s="2" t="s">
        <v>412</v>
      </c>
      <c r="E3002" s="2" t="s">
        <v>413</v>
      </c>
      <c r="F3002" s="2" t="s">
        <v>39</v>
      </c>
      <c r="J3002" s="2" t="s">
        <v>541</v>
      </c>
      <c r="K3002" s="2" t="s">
        <v>542</v>
      </c>
      <c r="L3002" s="2">
        <v>9</v>
      </c>
      <c r="M3002" s="2" t="s">
        <v>551</v>
      </c>
      <c r="O3002" s="2" t="s">
        <v>524</v>
      </c>
      <c r="Y3002" s="2" t="s">
        <v>690</v>
      </c>
    </row>
    <row r="3003" spans="1:34" x14ac:dyDescent="0.25">
      <c r="A3003" s="2" t="s">
        <v>326</v>
      </c>
      <c r="B3003" s="2" t="s">
        <v>540</v>
      </c>
      <c r="C3003" s="2" t="s">
        <v>407</v>
      </c>
      <c r="D3003" s="2" t="s">
        <v>412</v>
      </c>
      <c r="E3003" s="2" t="s">
        <v>413</v>
      </c>
      <c r="F3003" s="2" t="s">
        <v>39</v>
      </c>
      <c r="J3003" s="2" t="s">
        <v>541</v>
      </c>
      <c r="K3003" s="2" t="s">
        <v>542</v>
      </c>
      <c r="L3003" s="2">
        <v>10</v>
      </c>
      <c r="M3003" s="2" t="s">
        <v>552</v>
      </c>
      <c r="O3003" s="2" t="s">
        <v>524</v>
      </c>
      <c r="Y3003" s="2" t="s">
        <v>690</v>
      </c>
    </row>
    <row r="3004" spans="1:34" x14ac:dyDescent="0.25">
      <c r="A3004" s="2" t="s">
        <v>326</v>
      </c>
      <c r="B3004" s="2" t="s">
        <v>540</v>
      </c>
      <c r="C3004" s="2" t="s">
        <v>407</v>
      </c>
      <c r="D3004" s="2" t="s">
        <v>412</v>
      </c>
      <c r="E3004" s="2" t="s">
        <v>413</v>
      </c>
      <c r="F3004" s="2" t="s">
        <v>39</v>
      </c>
      <c r="J3004" s="2" t="s">
        <v>541</v>
      </c>
      <c r="K3004" s="2" t="s">
        <v>542</v>
      </c>
      <c r="L3004" s="2">
        <v>11</v>
      </c>
      <c r="M3004" s="2" t="s">
        <v>553</v>
      </c>
      <c r="O3004" s="2" t="s">
        <v>524</v>
      </c>
      <c r="Y3004" s="2" t="s">
        <v>690</v>
      </c>
    </row>
    <row r="3005" spans="1:34" x14ac:dyDescent="0.25">
      <c r="A3005" s="2" t="s">
        <v>326</v>
      </c>
      <c r="B3005" s="2" t="s">
        <v>540</v>
      </c>
      <c r="C3005" s="2" t="s">
        <v>407</v>
      </c>
      <c r="D3005" s="2" t="s">
        <v>412</v>
      </c>
      <c r="E3005" s="2" t="s">
        <v>413</v>
      </c>
      <c r="F3005" s="2" t="s">
        <v>39</v>
      </c>
      <c r="J3005" s="2" t="s">
        <v>541</v>
      </c>
      <c r="K3005" s="2" t="s">
        <v>542</v>
      </c>
      <c r="L3005" s="2">
        <v>12</v>
      </c>
      <c r="M3005" s="2" t="s">
        <v>554</v>
      </c>
      <c r="O3005" s="2" t="s">
        <v>524</v>
      </c>
      <c r="Y3005" s="2" t="s">
        <v>690</v>
      </c>
    </row>
    <row r="3006" spans="1:34" x14ac:dyDescent="0.25">
      <c r="A3006" s="2" t="s">
        <v>326</v>
      </c>
      <c r="B3006" s="2" t="s">
        <v>555</v>
      </c>
      <c r="C3006" s="2" t="s">
        <v>407</v>
      </c>
      <c r="D3006" s="2" t="s">
        <v>412</v>
      </c>
      <c r="E3006" s="2" t="s">
        <v>413</v>
      </c>
      <c r="F3006" s="2" t="s">
        <v>39</v>
      </c>
      <c r="J3006" s="2" t="s">
        <v>556</v>
      </c>
      <c r="O3006" s="2" t="s">
        <v>524</v>
      </c>
      <c r="Y3006" s="2" t="s">
        <v>690</v>
      </c>
      <c r="AB3006" s="2">
        <v>1</v>
      </c>
    </row>
    <row r="3007" spans="1:34" x14ac:dyDescent="0.25">
      <c r="A3007" s="2" t="s">
        <v>326</v>
      </c>
      <c r="B3007" s="2" t="s">
        <v>557</v>
      </c>
      <c r="C3007" s="2" t="s">
        <v>407</v>
      </c>
      <c r="D3007" s="2" t="s">
        <v>412</v>
      </c>
      <c r="E3007" s="2" t="s">
        <v>413</v>
      </c>
      <c r="F3007" s="2" t="s">
        <v>39</v>
      </c>
      <c r="J3007" s="2" t="s">
        <v>558</v>
      </c>
      <c r="O3007" s="2" t="s">
        <v>524</v>
      </c>
      <c r="Y3007" s="2" t="s">
        <v>690</v>
      </c>
      <c r="AC3007" s="2">
        <f>COUNTIFS($B:$B,"BLOCK_LOAD_Q",$A:$A,$A3007,$C:$C,$C3007,$E:$E,$E3007,$F:$F,$F3007,$N:$N, "&lt;&gt;")</f>
        <v>0</v>
      </c>
      <c r="AD3007" s="2">
        <f>COUNTIFS($B:$B,"BLOCK_TRUST_Q",$A:$A,$A3007,$C:$C,$C3007,$E:$E,$E3007,$F:$F,$F3007,$N:$N, "&lt;&gt;")</f>
        <v>0</v>
      </c>
      <c r="AE3007" s="2" t="str">
        <f>IFERROR(AVERAGEIFS($P:$P,$B:$B,"BLOCK_LOAD_Q",$A:$A,$A3007,$C:$C,$C3007,$E:$E,$E3007,$F:$F,$F3007,$P:$P,"&gt;0"),"")</f>
        <v/>
      </c>
      <c r="AF3007" s="2" t="str">
        <f>IFERROR(AVERAGEIFS($P:$P,$B:$B,"BLOCK_TRUST_Q",$A:$A,$A3007,$C:$C,$C3007,$E:$E,$E3007,$F:$F,$F3007,$P:$P,"&gt;0"),"")</f>
        <v/>
      </c>
      <c r="AG3007" s="2">
        <f>5-AC3007</f>
        <v>5</v>
      </c>
      <c r="AH3007" s="2">
        <f>12-AD3007</f>
        <v>12</v>
      </c>
    </row>
    <row r="3008" spans="1:34" x14ac:dyDescent="0.25">
      <c r="A3008" s="2" t="s">
        <v>326</v>
      </c>
      <c r="B3008" s="2" t="s">
        <v>402</v>
      </c>
      <c r="C3008" s="2" t="s">
        <v>407</v>
      </c>
      <c r="D3008" s="2" t="s">
        <v>412</v>
      </c>
      <c r="E3008" s="2" t="s">
        <v>414</v>
      </c>
      <c r="F3008" s="2" t="s">
        <v>40</v>
      </c>
      <c r="G3008" s="2" t="s">
        <v>415</v>
      </c>
      <c r="H3008" s="2" t="s">
        <v>567</v>
      </c>
      <c r="S3008" s="2" t="s">
        <v>58</v>
      </c>
      <c r="U3008" s="2" t="s">
        <v>57</v>
      </c>
      <c r="W3008" s="2" t="s">
        <v>60</v>
      </c>
    </row>
    <row r="3009" spans="1:25" x14ac:dyDescent="0.25">
      <c r="A3009" s="2" t="s">
        <v>326</v>
      </c>
      <c r="B3009" s="2" t="s">
        <v>402</v>
      </c>
      <c r="C3009" s="2" t="s">
        <v>407</v>
      </c>
      <c r="D3009" s="2" t="s">
        <v>412</v>
      </c>
      <c r="E3009" s="2" t="s">
        <v>414</v>
      </c>
      <c r="F3009" s="2" t="s">
        <v>40</v>
      </c>
      <c r="G3009" s="2" t="s">
        <v>416</v>
      </c>
      <c r="H3009" s="2" t="s">
        <v>568</v>
      </c>
      <c r="S3009" s="2" t="s">
        <v>59</v>
      </c>
      <c r="U3009" s="2" t="s">
        <v>60</v>
      </c>
      <c r="W3009" s="2" t="s">
        <v>59</v>
      </c>
    </row>
    <row r="3010" spans="1:25" x14ac:dyDescent="0.25">
      <c r="A3010" s="2" t="s">
        <v>326</v>
      </c>
      <c r="B3010" s="2" t="s">
        <v>402</v>
      </c>
      <c r="C3010" s="2" t="s">
        <v>407</v>
      </c>
      <c r="D3010" s="2" t="s">
        <v>412</v>
      </c>
      <c r="E3010" s="2" t="s">
        <v>414</v>
      </c>
      <c r="F3010" s="2" t="s">
        <v>40</v>
      </c>
      <c r="G3010" s="2" t="s">
        <v>417</v>
      </c>
      <c r="H3010" s="2" t="s">
        <v>569</v>
      </c>
      <c r="S3010" s="2" t="s">
        <v>57</v>
      </c>
      <c r="U3010" s="2" t="s">
        <v>60</v>
      </c>
      <c r="W3010" s="2" t="s">
        <v>57</v>
      </c>
    </row>
    <row r="3011" spans="1:25" x14ac:dyDescent="0.25">
      <c r="A3011" s="2" t="s">
        <v>326</v>
      </c>
      <c r="B3011" s="2" t="s">
        <v>402</v>
      </c>
      <c r="C3011" s="2" t="s">
        <v>407</v>
      </c>
      <c r="D3011" s="2" t="s">
        <v>412</v>
      </c>
      <c r="E3011" s="2" t="s">
        <v>414</v>
      </c>
      <c r="F3011" s="2" t="s">
        <v>40</v>
      </c>
      <c r="G3011" s="2" t="s">
        <v>418</v>
      </c>
      <c r="H3011" s="2" t="s">
        <v>351</v>
      </c>
      <c r="S3011" s="2" t="s">
        <v>60</v>
      </c>
      <c r="U3011" s="2" t="s">
        <v>57</v>
      </c>
      <c r="W3011" s="2" t="s">
        <v>57</v>
      </c>
    </row>
    <row r="3012" spans="1:25" x14ac:dyDescent="0.25">
      <c r="A3012" s="2" t="s">
        <v>326</v>
      </c>
      <c r="B3012" s="2" t="s">
        <v>531</v>
      </c>
      <c r="C3012" s="2" t="s">
        <v>407</v>
      </c>
      <c r="D3012" s="2" t="s">
        <v>412</v>
      </c>
      <c r="E3012" s="2" t="s">
        <v>414</v>
      </c>
      <c r="F3012" s="2" t="s">
        <v>40</v>
      </c>
      <c r="J3012" s="2" t="s">
        <v>532</v>
      </c>
      <c r="K3012" s="2" t="s">
        <v>533</v>
      </c>
      <c r="L3012" s="2">
        <v>1</v>
      </c>
      <c r="M3012" s="2" t="s">
        <v>534</v>
      </c>
      <c r="O3012" s="2" t="s">
        <v>524</v>
      </c>
      <c r="Y3012" s="2" t="s">
        <v>691</v>
      </c>
    </row>
    <row r="3013" spans="1:25" x14ac:dyDescent="0.25">
      <c r="A3013" s="2" t="s">
        <v>326</v>
      </c>
      <c r="B3013" s="2" t="s">
        <v>531</v>
      </c>
      <c r="C3013" s="2" t="s">
        <v>407</v>
      </c>
      <c r="D3013" s="2" t="s">
        <v>412</v>
      </c>
      <c r="E3013" s="2" t="s">
        <v>414</v>
      </c>
      <c r="F3013" s="2" t="s">
        <v>40</v>
      </c>
      <c r="J3013" s="2" t="s">
        <v>532</v>
      </c>
      <c r="K3013" s="2" t="s">
        <v>533</v>
      </c>
      <c r="L3013" s="2">
        <v>2</v>
      </c>
      <c r="M3013" s="2" t="s">
        <v>536</v>
      </c>
      <c r="O3013" s="2" t="s">
        <v>524</v>
      </c>
      <c r="Y3013" s="2" t="s">
        <v>691</v>
      </c>
    </row>
    <row r="3014" spans="1:25" x14ac:dyDescent="0.25">
      <c r="A3014" s="2" t="s">
        <v>326</v>
      </c>
      <c r="B3014" s="2" t="s">
        <v>531</v>
      </c>
      <c r="C3014" s="2" t="s">
        <v>407</v>
      </c>
      <c r="D3014" s="2" t="s">
        <v>412</v>
      </c>
      <c r="E3014" s="2" t="s">
        <v>414</v>
      </c>
      <c r="F3014" s="2" t="s">
        <v>40</v>
      </c>
      <c r="J3014" s="2" t="s">
        <v>532</v>
      </c>
      <c r="K3014" s="2" t="s">
        <v>533</v>
      </c>
      <c r="L3014" s="2">
        <v>3</v>
      </c>
      <c r="M3014" s="2" t="s">
        <v>537</v>
      </c>
      <c r="O3014" s="2" t="s">
        <v>524</v>
      </c>
      <c r="Y3014" s="2" t="s">
        <v>691</v>
      </c>
    </row>
    <row r="3015" spans="1:25" x14ac:dyDescent="0.25">
      <c r="A3015" s="2" t="s">
        <v>326</v>
      </c>
      <c r="B3015" s="2" t="s">
        <v>531</v>
      </c>
      <c r="C3015" s="2" t="s">
        <v>407</v>
      </c>
      <c r="D3015" s="2" t="s">
        <v>412</v>
      </c>
      <c r="E3015" s="2" t="s">
        <v>414</v>
      </c>
      <c r="F3015" s="2" t="s">
        <v>40</v>
      </c>
      <c r="J3015" s="2" t="s">
        <v>532</v>
      </c>
      <c r="K3015" s="2" t="s">
        <v>533</v>
      </c>
      <c r="L3015" s="2">
        <v>4</v>
      </c>
      <c r="M3015" s="2" t="s">
        <v>538</v>
      </c>
      <c r="O3015" s="2" t="s">
        <v>524</v>
      </c>
      <c r="Y3015" s="2" t="s">
        <v>691</v>
      </c>
    </row>
    <row r="3016" spans="1:25" x14ac:dyDescent="0.25">
      <c r="A3016" s="2" t="s">
        <v>326</v>
      </c>
      <c r="B3016" s="2" t="s">
        <v>531</v>
      </c>
      <c r="C3016" s="2" t="s">
        <v>407</v>
      </c>
      <c r="D3016" s="2" t="s">
        <v>412</v>
      </c>
      <c r="E3016" s="2" t="s">
        <v>414</v>
      </c>
      <c r="F3016" s="2" t="s">
        <v>40</v>
      </c>
      <c r="J3016" s="2" t="s">
        <v>532</v>
      </c>
      <c r="K3016" s="2" t="s">
        <v>533</v>
      </c>
      <c r="L3016" s="2">
        <v>5</v>
      </c>
      <c r="M3016" s="2" t="s">
        <v>539</v>
      </c>
      <c r="O3016" s="2" t="s">
        <v>524</v>
      </c>
      <c r="Y3016" s="2" t="s">
        <v>691</v>
      </c>
    </row>
    <row r="3017" spans="1:25" x14ac:dyDescent="0.25">
      <c r="A3017" s="2" t="s">
        <v>326</v>
      </c>
      <c r="B3017" s="2" t="s">
        <v>540</v>
      </c>
      <c r="C3017" s="2" t="s">
        <v>407</v>
      </c>
      <c r="D3017" s="2" t="s">
        <v>412</v>
      </c>
      <c r="E3017" s="2" t="s">
        <v>414</v>
      </c>
      <c r="F3017" s="2" t="s">
        <v>40</v>
      </c>
      <c r="J3017" s="2" t="s">
        <v>541</v>
      </c>
      <c r="K3017" s="2" t="s">
        <v>542</v>
      </c>
      <c r="L3017" s="2">
        <v>1</v>
      </c>
      <c r="M3017" s="2" t="s">
        <v>543</v>
      </c>
      <c r="O3017" s="2" t="s">
        <v>524</v>
      </c>
      <c r="Y3017" s="2" t="s">
        <v>691</v>
      </c>
    </row>
    <row r="3018" spans="1:25" x14ac:dyDescent="0.25">
      <c r="A3018" s="2" t="s">
        <v>326</v>
      </c>
      <c r="B3018" s="2" t="s">
        <v>540</v>
      </c>
      <c r="C3018" s="2" t="s">
        <v>407</v>
      </c>
      <c r="D3018" s="2" t="s">
        <v>412</v>
      </c>
      <c r="E3018" s="2" t="s">
        <v>414</v>
      </c>
      <c r="F3018" s="2" t="s">
        <v>40</v>
      </c>
      <c r="J3018" s="2" t="s">
        <v>541</v>
      </c>
      <c r="K3018" s="2" t="s">
        <v>542</v>
      </c>
      <c r="L3018" s="2">
        <v>2</v>
      </c>
      <c r="M3018" s="2" t="s">
        <v>544</v>
      </c>
      <c r="O3018" s="2" t="s">
        <v>524</v>
      </c>
      <c r="Y3018" s="2" t="s">
        <v>691</v>
      </c>
    </row>
    <row r="3019" spans="1:25" x14ac:dyDescent="0.25">
      <c r="A3019" s="2" t="s">
        <v>326</v>
      </c>
      <c r="B3019" s="2" t="s">
        <v>540</v>
      </c>
      <c r="C3019" s="2" t="s">
        <v>407</v>
      </c>
      <c r="D3019" s="2" t="s">
        <v>412</v>
      </c>
      <c r="E3019" s="2" t="s">
        <v>414</v>
      </c>
      <c r="F3019" s="2" t="s">
        <v>40</v>
      </c>
      <c r="J3019" s="2" t="s">
        <v>541</v>
      </c>
      <c r="K3019" s="2" t="s">
        <v>542</v>
      </c>
      <c r="L3019" s="2">
        <v>3</v>
      </c>
      <c r="M3019" s="2" t="s">
        <v>545</v>
      </c>
      <c r="O3019" s="2" t="s">
        <v>524</v>
      </c>
      <c r="Y3019" s="2" t="s">
        <v>691</v>
      </c>
    </row>
    <row r="3020" spans="1:25" x14ac:dyDescent="0.25">
      <c r="A3020" s="2" t="s">
        <v>326</v>
      </c>
      <c r="B3020" s="2" t="s">
        <v>540</v>
      </c>
      <c r="C3020" s="2" t="s">
        <v>407</v>
      </c>
      <c r="D3020" s="2" t="s">
        <v>412</v>
      </c>
      <c r="E3020" s="2" t="s">
        <v>414</v>
      </c>
      <c r="F3020" s="2" t="s">
        <v>40</v>
      </c>
      <c r="J3020" s="2" t="s">
        <v>541</v>
      </c>
      <c r="K3020" s="2" t="s">
        <v>542</v>
      </c>
      <c r="L3020" s="2">
        <v>4</v>
      </c>
      <c r="M3020" s="2" t="s">
        <v>546</v>
      </c>
      <c r="O3020" s="2" t="s">
        <v>524</v>
      </c>
      <c r="Y3020" s="2" t="s">
        <v>691</v>
      </c>
    </row>
    <row r="3021" spans="1:25" x14ac:dyDescent="0.25">
      <c r="A3021" s="2" t="s">
        <v>326</v>
      </c>
      <c r="B3021" s="2" t="s">
        <v>540</v>
      </c>
      <c r="C3021" s="2" t="s">
        <v>407</v>
      </c>
      <c r="D3021" s="2" t="s">
        <v>412</v>
      </c>
      <c r="E3021" s="2" t="s">
        <v>414</v>
      </c>
      <c r="F3021" s="2" t="s">
        <v>40</v>
      </c>
      <c r="J3021" s="2" t="s">
        <v>541</v>
      </c>
      <c r="K3021" s="2" t="s">
        <v>542</v>
      </c>
      <c r="L3021" s="2">
        <v>5</v>
      </c>
      <c r="M3021" s="2" t="s">
        <v>547</v>
      </c>
      <c r="O3021" s="2" t="s">
        <v>524</v>
      </c>
      <c r="Y3021" s="2" t="s">
        <v>691</v>
      </c>
    </row>
    <row r="3022" spans="1:25" x14ac:dyDescent="0.25">
      <c r="A3022" s="2" t="s">
        <v>326</v>
      </c>
      <c r="B3022" s="2" t="s">
        <v>540</v>
      </c>
      <c r="C3022" s="2" t="s">
        <v>407</v>
      </c>
      <c r="D3022" s="2" t="s">
        <v>412</v>
      </c>
      <c r="E3022" s="2" t="s">
        <v>414</v>
      </c>
      <c r="F3022" s="2" t="s">
        <v>40</v>
      </c>
      <c r="J3022" s="2" t="s">
        <v>541</v>
      </c>
      <c r="K3022" s="2" t="s">
        <v>542</v>
      </c>
      <c r="L3022" s="2">
        <v>6</v>
      </c>
      <c r="M3022" s="2" t="s">
        <v>548</v>
      </c>
      <c r="O3022" s="2" t="s">
        <v>524</v>
      </c>
      <c r="Y3022" s="2" t="s">
        <v>691</v>
      </c>
    </row>
    <row r="3023" spans="1:25" x14ac:dyDescent="0.25">
      <c r="A3023" s="2" t="s">
        <v>326</v>
      </c>
      <c r="B3023" s="2" t="s">
        <v>540</v>
      </c>
      <c r="C3023" s="2" t="s">
        <v>407</v>
      </c>
      <c r="D3023" s="2" t="s">
        <v>412</v>
      </c>
      <c r="E3023" s="2" t="s">
        <v>414</v>
      </c>
      <c r="F3023" s="2" t="s">
        <v>40</v>
      </c>
      <c r="J3023" s="2" t="s">
        <v>541</v>
      </c>
      <c r="K3023" s="2" t="s">
        <v>542</v>
      </c>
      <c r="L3023" s="2">
        <v>7</v>
      </c>
      <c r="M3023" s="2" t="s">
        <v>549</v>
      </c>
      <c r="O3023" s="2" t="s">
        <v>524</v>
      </c>
      <c r="Y3023" s="2" t="s">
        <v>691</v>
      </c>
    </row>
    <row r="3024" spans="1:25" x14ac:dyDescent="0.25">
      <c r="A3024" s="2" t="s">
        <v>326</v>
      </c>
      <c r="B3024" s="2" t="s">
        <v>540</v>
      </c>
      <c r="C3024" s="2" t="s">
        <v>407</v>
      </c>
      <c r="D3024" s="2" t="s">
        <v>412</v>
      </c>
      <c r="E3024" s="2" t="s">
        <v>414</v>
      </c>
      <c r="F3024" s="2" t="s">
        <v>40</v>
      </c>
      <c r="J3024" s="2" t="s">
        <v>541</v>
      </c>
      <c r="K3024" s="2" t="s">
        <v>542</v>
      </c>
      <c r="L3024" s="2">
        <v>8</v>
      </c>
      <c r="M3024" s="2" t="s">
        <v>550</v>
      </c>
      <c r="O3024" s="2" t="s">
        <v>524</v>
      </c>
      <c r="Y3024" s="2" t="s">
        <v>691</v>
      </c>
    </row>
    <row r="3025" spans="1:34" x14ac:dyDescent="0.25">
      <c r="A3025" s="2" t="s">
        <v>326</v>
      </c>
      <c r="B3025" s="2" t="s">
        <v>540</v>
      </c>
      <c r="C3025" s="2" t="s">
        <v>407</v>
      </c>
      <c r="D3025" s="2" t="s">
        <v>412</v>
      </c>
      <c r="E3025" s="2" t="s">
        <v>414</v>
      </c>
      <c r="F3025" s="2" t="s">
        <v>40</v>
      </c>
      <c r="J3025" s="2" t="s">
        <v>541</v>
      </c>
      <c r="K3025" s="2" t="s">
        <v>542</v>
      </c>
      <c r="L3025" s="2">
        <v>9</v>
      </c>
      <c r="M3025" s="2" t="s">
        <v>551</v>
      </c>
      <c r="O3025" s="2" t="s">
        <v>524</v>
      </c>
      <c r="Y3025" s="2" t="s">
        <v>691</v>
      </c>
    </row>
    <row r="3026" spans="1:34" x14ac:dyDescent="0.25">
      <c r="A3026" s="2" t="s">
        <v>326</v>
      </c>
      <c r="B3026" s="2" t="s">
        <v>540</v>
      </c>
      <c r="C3026" s="2" t="s">
        <v>407</v>
      </c>
      <c r="D3026" s="2" t="s">
        <v>412</v>
      </c>
      <c r="E3026" s="2" t="s">
        <v>414</v>
      </c>
      <c r="F3026" s="2" t="s">
        <v>40</v>
      </c>
      <c r="J3026" s="2" t="s">
        <v>541</v>
      </c>
      <c r="K3026" s="2" t="s">
        <v>542</v>
      </c>
      <c r="L3026" s="2">
        <v>10</v>
      </c>
      <c r="M3026" s="2" t="s">
        <v>552</v>
      </c>
      <c r="O3026" s="2" t="s">
        <v>524</v>
      </c>
      <c r="Y3026" s="2" t="s">
        <v>691</v>
      </c>
    </row>
    <row r="3027" spans="1:34" x14ac:dyDescent="0.25">
      <c r="A3027" s="2" t="s">
        <v>326</v>
      </c>
      <c r="B3027" s="2" t="s">
        <v>540</v>
      </c>
      <c r="C3027" s="2" t="s">
        <v>407</v>
      </c>
      <c r="D3027" s="2" t="s">
        <v>412</v>
      </c>
      <c r="E3027" s="2" t="s">
        <v>414</v>
      </c>
      <c r="F3027" s="2" t="s">
        <v>40</v>
      </c>
      <c r="J3027" s="2" t="s">
        <v>541</v>
      </c>
      <c r="K3027" s="2" t="s">
        <v>542</v>
      </c>
      <c r="L3027" s="2">
        <v>11</v>
      </c>
      <c r="M3027" s="2" t="s">
        <v>553</v>
      </c>
      <c r="O3027" s="2" t="s">
        <v>524</v>
      </c>
      <c r="Y3027" s="2" t="s">
        <v>691</v>
      </c>
    </row>
    <row r="3028" spans="1:34" x14ac:dyDescent="0.25">
      <c r="A3028" s="2" t="s">
        <v>326</v>
      </c>
      <c r="B3028" s="2" t="s">
        <v>540</v>
      </c>
      <c r="C3028" s="2" t="s">
        <v>407</v>
      </c>
      <c r="D3028" s="2" t="s">
        <v>412</v>
      </c>
      <c r="E3028" s="2" t="s">
        <v>414</v>
      </c>
      <c r="F3028" s="2" t="s">
        <v>40</v>
      </c>
      <c r="J3028" s="2" t="s">
        <v>541</v>
      </c>
      <c r="K3028" s="2" t="s">
        <v>542</v>
      </c>
      <c r="L3028" s="2">
        <v>12</v>
      </c>
      <c r="M3028" s="2" t="s">
        <v>554</v>
      </c>
      <c r="O3028" s="2" t="s">
        <v>524</v>
      </c>
      <c r="Y3028" s="2" t="s">
        <v>691</v>
      </c>
    </row>
    <row r="3029" spans="1:34" x14ac:dyDescent="0.25">
      <c r="A3029" s="2" t="s">
        <v>326</v>
      </c>
      <c r="B3029" s="2" t="s">
        <v>555</v>
      </c>
      <c r="C3029" s="2" t="s">
        <v>407</v>
      </c>
      <c r="D3029" s="2" t="s">
        <v>412</v>
      </c>
      <c r="E3029" s="2" t="s">
        <v>414</v>
      </c>
      <c r="F3029" s="2" t="s">
        <v>40</v>
      </c>
      <c r="J3029" s="2" t="s">
        <v>556</v>
      </c>
      <c r="O3029" s="2" t="s">
        <v>524</v>
      </c>
      <c r="Y3029" s="2" t="s">
        <v>691</v>
      </c>
      <c r="AB3029" s="2">
        <v>2</v>
      </c>
    </row>
    <row r="3030" spans="1:34" x14ac:dyDescent="0.25">
      <c r="A3030" s="2" t="s">
        <v>326</v>
      </c>
      <c r="B3030" s="2" t="s">
        <v>557</v>
      </c>
      <c r="C3030" s="2" t="s">
        <v>407</v>
      </c>
      <c r="D3030" s="2" t="s">
        <v>412</v>
      </c>
      <c r="E3030" s="2" t="s">
        <v>414</v>
      </c>
      <c r="F3030" s="2" t="s">
        <v>40</v>
      </c>
      <c r="J3030" s="2" t="s">
        <v>558</v>
      </c>
      <c r="O3030" s="2" t="s">
        <v>524</v>
      </c>
      <c r="Y3030" s="2" t="s">
        <v>691</v>
      </c>
      <c r="AC3030" s="2">
        <f>COUNTIFS($B:$B,"BLOCK_LOAD_Q",$A:$A,$A3030,$C:$C,$C3030,$E:$E,$E3030,$F:$F,$F3030,$N:$N, "&lt;&gt;")</f>
        <v>0</v>
      </c>
      <c r="AD3030" s="2">
        <f>COUNTIFS($B:$B,"BLOCK_TRUST_Q",$A:$A,$A3030,$C:$C,$C3030,$E:$E,$E3030,$F:$F,$F3030,$N:$N, "&lt;&gt;")</f>
        <v>0</v>
      </c>
      <c r="AE3030" s="2" t="str">
        <f>IFERROR(AVERAGEIFS($P:$P,$B:$B,"BLOCK_LOAD_Q",$A:$A,$A3030,$C:$C,$C3030,$E:$E,$E3030,$F:$F,$F3030,$P:$P,"&gt;0"),"")</f>
        <v/>
      </c>
      <c r="AF3030" s="2" t="str">
        <f>IFERROR(AVERAGEIFS($P:$P,$B:$B,"BLOCK_TRUST_Q",$A:$A,$A3030,$C:$C,$C3030,$E:$E,$E3030,$F:$F,$F3030,$P:$P,"&gt;0"),"")</f>
        <v/>
      </c>
      <c r="AG3030" s="2">
        <f>5-AC3030</f>
        <v>5</v>
      </c>
      <c r="AH3030" s="2">
        <f>12-AD3030</f>
        <v>12</v>
      </c>
    </row>
    <row r="3031" spans="1:34" x14ac:dyDescent="0.25">
      <c r="A3031" s="2" t="s">
        <v>326</v>
      </c>
      <c r="B3031" s="2" t="s">
        <v>403</v>
      </c>
      <c r="C3031" s="2" t="s">
        <v>407</v>
      </c>
      <c r="D3031" s="2" t="s">
        <v>412</v>
      </c>
      <c r="Z3031" s="2" t="s">
        <v>480</v>
      </c>
    </row>
    <row r="3032" spans="1:34" x14ac:dyDescent="0.25">
      <c r="A3032" s="2" t="s">
        <v>326</v>
      </c>
      <c r="B3032" s="2" t="s">
        <v>402</v>
      </c>
      <c r="C3032" s="2" t="s">
        <v>408</v>
      </c>
      <c r="D3032" s="2" t="s">
        <v>410</v>
      </c>
      <c r="E3032" s="2" t="s">
        <v>413</v>
      </c>
      <c r="F3032" s="2" t="s">
        <v>40</v>
      </c>
      <c r="G3032" s="2" t="s">
        <v>415</v>
      </c>
      <c r="H3032" s="2" t="s">
        <v>354</v>
      </c>
      <c r="S3032" s="2" t="s">
        <v>59</v>
      </c>
      <c r="U3032" s="2" t="s">
        <v>59</v>
      </c>
      <c r="W3032" s="2" t="s">
        <v>58</v>
      </c>
    </row>
    <row r="3033" spans="1:34" x14ac:dyDescent="0.25">
      <c r="A3033" s="2" t="s">
        <v>326</v>
      </c>
      <c r="B3033" s="2" t="s">
        <v>402</v>
      </c>
      <c r="C3033" s="2" t="s">
        <v>408</v>
      </c>
      <c r="D3033" s="2" t="s">
        <v>410</v>
      </c>
      <c r="E3033" s="2" t="s">
        <v>413</v>
      </c>
      <c r="F3033" s="2" t="s">
        <v>40</v>
      </c>
      <c r="G3033" s="2" t="s">
        <v>416</v>
      </c>
      <c r="H3033" s="2" t="s">
        <v>559</v>
      </c>
      <c r="S3033" s="2" t="s">
        <v>57</v>
      </c>
      <c r="U3033" s="2" t="s">
        <v>57</v>
      </c>
      <c r="W3033" s="2" t="s">
        <v>58</v>
      </c>
    </row>
    <row r="3034" spans="1:34" x14ac:dyDescent="0.25">
      <c r="A3034" s="2" t="s">
        <v>326</v>
      </c>
      <c r="B3034" s="2" t="s">
        <v>402</v>
      </c>
      <c r="C3034" s="2" t="s">
        <v>408</v>
      </c>
      <c r="D3034" s="2" t="s">
        <v>410</v>
      </c>
      <c r="E3034" s="2" t="s">
        <v>413</v>
      </c>
      <c r="F3034" s="2" t="s">
        <v>40</v>
      </c>
      <c r="G3034" s="2" t="s">
        <v>417</v>
      </c>
      <c r="H3034" s="2" t="s">
        <v>370</v>
      </c>
      <c r="S3034" s="2" t="s">
        <v>60</v>
      </c>
      <c r="U3034" s="2" t="s">
        <v>58</v>
      </c>
      <c r="W3034" s="2" t="s">
        <v>59</v>
      </c>
    </row>
    <row r="3035" spans="1:34" x14ac:dyDescent="0.25">
      <c r="A3035" s="2" t="s">
        <v>326</v>
      </c>
      <c r="B3035" s="2" t="s">
        <v>402</v>
      </c>
      <c r="C3035" s="2" t="s">
        <v>408</v>
      </c>
      <c r="D3035" s="2" t="s">
        <v>410</v>
      </c>
      <c r="E3035" s="2" t="s">
        <v>413</v>
      </c>
      <c r="F3035" s="2" t="s">
        <v>40</v>
      </c>
      <c r="G3035" s="2" t="s">
        <v>418</v>
      </c>
      <c r="H3035" s="2" t="s">
        <v>560</v>
      </c>
      <c r="S3035" s="2" t="s">
        <v>57</v>
      </c>
      <c r="U3035" s="2" t="s">
        <v>58</v>
      </c>
      <c r="W3035" s="2" t="s">
        <v>60</v>
      </c>
    </row>
    <row r="3036" spans="1:34" x14ac:dyDescent="0.25">
      <c r="A3036" s="2" t="s">
        <v>326</v>
      </c>
      <c r="B3036" s="2" t="s">
        <v>531</v>
      </c>
      <c r="C3036" s="2" t="s">
        <v>408</v>
      </c>
      <c r="D3036" s="2" t="s">
        <v>410</v>
      </c>
      <c r="E3036" s="2" t="s">
        <v>413</v>
      </c>
      <c r="F3036" s="2" t="s">
        <v>40</v>
      </c>
      <c r="J3036" s="2" t="s">
        <v>532</v>
      </c>
      <c r="K3036" s="2" t="s">
        <v>533</v>
      </c>
      <c r="L3036" s="2">
        <v>1</v>
      </c>
      <c r="M3036" s="2" t="s">
        <v>534</v>
      </c>
      <c r="O3036" s="2" t="s">
        <v>524</v>
      </c>
      <c r="Y3036" s="2" t="s">
        <v>692</v>
      </c>
    </row>
    <row r="3037" spans="1:34" x14ac:dyDescent="0.25">
      <c r="A3037" s="2" t="s">
        <v>326</v>
      </c>
      <c r="B3037" s="2" t="s">
        <v>531</v>
      </c>
      <c r="C3037" s="2" t="s">
        <v>408</v>
      </c>
      <c r="D3037" s="2" t="s">
        <v>410</v>
      </c>
      <c r="E3037" s="2" t="s">
        <v>413</v>
      </c>
      <c r="F3037" s="2" t="s">
        <v>40</v>
      </c>
      <c r="J3037" s="2" t="s">
        <v>532</v>
      </c>
      <c r="K3037" s="2" t="s">
        <v>533</v>
      </c>
      <c r="L3037" s="2">
        <v>2</v>
      </c>
      <c r="M3037" s="2" t="s">
        <v>536</v>
      </c>
      <c r="O3037" s="2" t="s">
        <v>524</v>
      </c>
      <c r="Y3037" s="2" t="s">
        <v>692</v>
      </c>
    </row>
    <row r="3038" spans="1:34" x14ac:dyDescent="0.25">
      <c r="A3038" s="2" t="s">
        <v>326</v>
      </c>
      <c r="B3038" s="2" t="s">
        <v>531</v>
      </c>
      <c r="C3038" s="2" t="s">
        <v>408</v>
      </c>
      <c r="D3038" s="2" t="s">
        <v>410</v>
      </c>
      <c r="E3038" s="2" t="s">
        <v>413</v>
      </c>
      <c r="F3038" s="2" t="s">
        <v>40</v>
      </c>
      <c r="J3038" s="2" t="s">
        <v>532</v>
      </c>
      <c r="K3038" s="2" t="s">
        <v>533</v>
      </c>
      <c r="L3038" s="2">
        <v>3</v>
      </c>
      <c r="M3038" s="2" t="s">
        <v>537</v>
      </c>
      <c r="O3038" s="2" t="s">
        <v>524</v>
      </c>
      <c r="Y3038" s="2" t="s">
        <v>692</v>
      </c>
    </row>
    <row r="3039" spans="1:34" x14ac:dyDescent="0.25">
      <c r="A3039" s="2" t="s">
        <v>326</v>
      </c>
      <c r="B3039" s="2" t="s">
        <v>531</v>
      </c>
      <c r="C3039" s="2" t="s">
        <v>408</v>
      </c>
      <c r="D3039" s="2" t="s">
        <v>410</v>
      </c>
      <c r="E3039" s="2" t="s">
        <v>413</v>
      </c>
      <c r="F3039" s="2" t="s">
        <v>40</v>
      </c>
      <c r="J3039" s="2" t="s">
        <v>532</v>
      </c>
      <c r="K3039" s="2" t="s">
        <v>533</v>
      </c>
      <c r="L3039" s="2">
        <v>4</v>
      </c>
      <c r="M3039" s="2" t="s">
        <v>538</v>
      </c>
      <c r="O3039" s="2" t="s">
        <v>524</v>
      </c>
      <c r="Y3039" s="2" t="s">
        <v>692</v>
      </c>
    </row>
    <row r="3040" spans="1:34" x14ac:dyDescent="0.25">
      <c r="A3040" s="2" t="s">
        <v>326</v>
      </c>
      <c r="B3040" s="2" t="s">
        <v>531</v>
      </c>
      <c r="C3040" s="2" t="s">
        <v>408</v>
      </c>
      <c r="D3040" s="2" t="s">
        <v>410</v>
      </c>
      <c r="E3040" s="2" t="s">
        <v>413</v>
      </c>
      <c r="F3040" s="2" t="s">
        <v>40</v>
      </c>
      <c r="J3040" s="2" t="s">
        <v>532</v>
      </c>
      <c r="K3040" s="2" t="s">
        <v>533</v>
      </c>
      <c r="L3040" s="2">
        <v>5</v>
      </c>
      <c r="M3040" s="2" t="s">
        <v>539</v>
      </c>
      <c r="O3040" s="2" t="s">
        <v>524</v>
      </c>
      <c r="Y3040" s="2" t="s">
        <v>692</v>
      </c>
    </row>
    <row r="3041" spans="1:34" x14ac:dyDescent="0.25">
      <c r="A3041" s="2" t="s">
        <v>326</v>
      </c>
      <c r="B3041" s="2" t="s">
        <v>540</v>
      </c>
      <c r="C3041" s="2" t="s">
        <v>408</v>
      </c>
      <c r="D3041" s="2" t="s">
        <v>410</v>
      </c>
      <c r="E3041" s="2" t="s">
        <v>413</v>
      </c>
      <c r="F3041" s="2" t="s">
        <v>40</v>
      </c>
      <c r="J3041" s="2" t="s">
        <v>541</v>
      </c>
      <c r="K3041" s="2" t="s">
        <v>542</v>
      </c>
      <c r="L3041" s="2">
        <v>1</v>
      </c>
      <c r="M3041" s="2" t="s">
        <v>543</v>
      </c>
      <c r="O3041" s="2" t="s">
        <v>524</v>
      </c>
      <c r="Y3041" s="2" t="s">
        <v>692</v>
      </c>
    </row>
    <row r="3042" spans="1:34" x14ac:dyDescent="0.25">
      <c r="A3042" s="2" t="s">
        <v>326</v>
      </c>
      <c r="B3042" s="2" t="s">
        <v>540</v>
      </c>
      <c r="C3042" s="2" t="s">
        <v>408</v>
      </c>
      <c r="D3042" s="2" t="s">
        <v>410</v>
      </c>
      <c r="E3042" s="2" t="s">
        <v>413</v>
      </c>
      <c r="F3042" s="2" t="s">
        <v>40</v>
      </c>
      <c r="J3042" s="2" t="s">
        <v>541</v>
      </c>
      <c r="K3042" s="2" t="s">
        <v>542</v>
      </c>
      <c r="L3042" s="2">
        <v>2</v>
      </c>
      <c r="M3042" s="2" t="s">
        <v>544</v>
      </c>
      <c r="O3042" s="2" t="s">
        <v>524</v>
      </c>
      <c r="Y3042" s="2" t="s">
        <v>692</v>
      </c>
    </row>
    <row r="3043" spans="1:34" x14ac:dyDescent="0.25">
      <c r="A3043" s="2" t="s">
        <v>326</v>
      </c>
      <c r="B3043" s="2" t="s">
        <v>540</v>
      </c>
      <c r="C3043" s="2" t="s">
        <v>408</v>
      </c>
      <c r="D3043" s="2" t="s">
        <v>410</v>
      </c>
      <c r="E3043" s="2" t="s">
        <v>413</v>
      </c>
      <c r="F3043" s="2" t="s">
        <v>40</v>
      </c>
      <c r="J3043" s="2" t="s">
        <v>541</v>
      </c>
      <c r="K3043" s="2" t="s">
        <v>542</v>
      </c>
      <c r="L3043" s="2">
        <v>3</v>
      </c>
      <c r="M3043" s="2" t="s">
        <v>545</v>
      </c>
      <c r="O3043" s="2" t="s">
        <v>524</v>
      </c>
      <c r="Y3043" s="2" t="s">
        <v>692</v>
      </c>
    </row>
    <row r="3044" spans="1:34" x14ac:dyDescent="0.25">
      <c r="A3044" s="2" t="s">
        <v>326</v>
      </c>
      <c r="B3044" s="2" t="s">
        <v>540</v>
      </c>
      <c r="C3044" s="2" t="s">
        <v>408</v>
      </c>
      <c r="D3044" s="2" t="s">
        <v>410</v>
      </c>
      <c r="E3044" s="2" t="s">
        <v>413</v>
      </c>
      <c r="F3044" s="2" t="s">
        <v>40</v>
      </c>
      <c r="J3044" s="2" t="s">
        <v>541</v>
      </c>
      <c r="K3044" s="2" t="s">
        <v>542</v>
      </c>
      <c r="L3044" s="2">
        <v>4</v>
      </c>
      <c r="M3044" s="2" t="s">
        <v>546</v>
      </c>
      <c r="O3044" s="2" t="s">
        <v>524</v>
      </c>
      <c r="Y3044" s="2" t="s">
        <v>692</v>
      </c>
    </row>
    <row r="3045" spans="1:34" x14ac:dyDescent="0.25">
      <c r="A3045" s="2" t="s">
        <v>326</v>
      </c>
      <c r="B3045" s="2" t="s">
        <v>540</v>
      </c>
      <c r="C3045" s="2" t="s">
        <v>408</v>
      </c>
      <c r="D3045" s="2" t="s">
        <v>410</v>
      </c>
      <c r="E3045" s="2" t="s">
        <v>413</v>
      </c>
      <c r="F3045" s="2" t="s">
        <v>40</v>
      </c>
      <c r="J3045" s="2" t="s">
        <v>541</v>
      </c>
      <c r="K3045" s="2" t="s">
        <v>542</v>
      </c>
      <c r="L3045" s="2">
        <v>5</v>
      </c>
      <c r="M3045" s="2" t="s">
        <v>547</v>
      </c>
      <c r="O3045" s="2" t="s">
        <v>524</v>
      </c>
      <c r="Y3045" s="2" t="s">
        <v>692</v>
      </c>
    </row>
    <row r="3046" spans="1:34" x14ac:dyDescent="0.25">
      <c r="A3046" s="2" t="s">
        <v>326</v>
      </c>
      <c r="B3046" s="2" t="s">
        <v>540</v>
      </c>
      <c r="C3046" s="2" t="s">
        <v>408</v>
      </c>
      <c r="D3046" s="2" t="s">
        <v>410</v>
      </c>
      <c r="E3046" s="2" t="s">
        <v>413</v>
      </c>
      <c r="F3046" s="2" t="s">
        <v>40</v>
      </c>
      <c r="J3046" s="2" t="s">
        <v>541</v>
      </c>
      <c r="K3046" s="2" t="s">
        <v>542</v>
      </c>
      <c r="L3046" s="2">
        <v>6</v>
      </c>
      <c r="M3046" s="2" t="s">
        <v>548</v>
      </c>
      <c r="O3046" s="2" t="s">
        <v>524</v>
      </c>
      <c r="Y3046" s="2" t="s">
        <v>692</v>
      </c>
    </row>
    <row r="3047" spans="1:34" x14ac:dyDescent="0.25">
      <c r="A3047" s="2" t="s">
        <v>326</v>
      </c>
      <c r="B3047" s="2" t="s">
        <v>540</v>
      </c>
      <c r="C3047" s="2" t="s">
        <v>408</v>
      </c>
      <c r="D3047" s="2" t="s">
        <v>410</v>
      </c>
      <c r="E3047" s="2" t="s">
        <v>413</v>
      </c>
      <c r="F3047" s="2" t="s">
        <v>40</v>
      </c>
      <c r="J3047" s="2" t="s">
        <v>541</v>
      </c>
      <c r="K3047" s="2" t="s">
        <v>542</v>
      </c>
      <c r="L3047" s="2">
        <v>7</v>
      </c>
      <c r="M3047" s="2" t="s">
        <v>549</v>
      </c>
      <c r="O3047" s="2" t="s">
        <v>524</v>
      </c>
      <c r="Y3047" s="2" t="s">
        <v>692</v>
      </c>
    </row>
    <row r="3048" spans="1:34" x14ac:dyDescent="0.25">
      <c r="A3048" s="2" t="s">
        <v>326</v>
      </c>
      <c r="B3048" s="2" t="s">
        <v>540</v>
      </c>
      <c r="C3048" s="2" t="s">
        <v>408</v>
      </c>
      <c r="D3048" s="2" t="s">
        <v>410</v>
      </c>
      <c r="E3048" s="2" t="s">
        <v>413</v>
      </c>
      <c r="F3048" s="2" t="s">
        <v>40</v>
      </c>
      <c r="J3048" s="2" t="s">
        <v>541</v>
      </c>
      <c r="K3048" s="2" t="s">
        <v>542</v>
      </c>
      <c r="L3048" s="2">
        <v>8</v>
      </c>
      <c r="M3048" s="2" t="s">
        <v>550</v>
      </c>
      <c r="O3048" s="2" t="s">
        <v>524</v>
      </c>
      <c r="Y3048" s="2" t="s">
        <v>692</v>
      </c>
    </row>
    <row r="3049" spans="1:34" x14ac:dyDescent="0.25">
      <c r="A3049" s="2" t="s">
        <v>326</v>
      </c>
      <c r="B3049" s="2" t="s">
        <v>540</v>
      </c>
      <c r="C3049" s="2" t="s">
        <v>408</v>
      </c>
      <c r="D3049" s="2" t="s">
        <v>410</v>
      </c>
      <c r="E3049" s="2" t="s">
        <v>413</v>
      </c>
      <c r="F3049" s="2" t="s">
        <v>40</v>
      </c>
      <c r="J3049" s="2" t="s">
        <v>541</v>
      </c>
      <c r="K3049" s="2" t="s">
        <v>542</v>
      </c>
      <c r="L3049" s="2">
        <v>9</v>
      </c>
      <c r="M3049" s="2" t="s">
        <v>551</v>
      </c>
      <c r="O3049" s="2" t="s">
        <v>524</v>
      </c>
      <c r="Y3049" s="2" t="s">
        <v>692</v>
      </c>
    </row>
    <row r="3050" spans="1:34" x14ac:dyDescent="0.25">
      <c r="A3050" s="2" t="s">
        <v>326</v>
      </c>
      <c r="B3050" s="2" t="s">
        <v>540</v>
      </c>
      <c r="C3050" s="2" t="s">
        <v>408</v>
      </c>
      <c r="D3050" s="2" t="s">
        <v>410</v>
      </c>
      <c r="E3050" s="2" t="s">
        <v>413</v>
      </c>
      <c r="F3050" s="2" t="s">
        <v>40</v>
      </c>
      <c r="J3050" s="2" t="s">
        <v>541</v>
      </c>
      <c r="K3050" s="2" t="s">
        <v>542</v>
      </c>
      <c r="L3050" s="2">
        <v>10</v>
      </c>
      <c r="M3050" s="2" t="s">
        <v>552</v>
      </c>
      <c r="O3050" s="2" t="s">
        <v>524</v>
      </c>
      <c r="Y3050" s="2" t="s">
        <v>692</v>
      </c>
    </row>
    <row r="3051" spans="1:34" x14ac:dyDescent="0.25">
      <c r="A3051" s="2" t="s">
        <v>326</v>
      </c>
      <c r="B3051" s="2" t="s">
        <v>540</v>
      </c>
      <c r="C3051" s="2" t="s">
        <v>408</v>
      </c>
      <c r="D3051" s="2" t="s">
        <v>410</v>
      </c>
      <c r="E3051" s="2" t="s">
        <v>413</v>
      </c>
      <c r="F3051" s="2" t="s">
        <v>40</v>
      </c>
      <c r="J3051" s="2" t="s">
        <v>541</v>
      </c>
      <c r="K3051" s="2" t="s">
        <v>542</v>
      </c>
      <c r="L3051" s="2">
        <v>11</v>
      </c>
      <c r="M3051" s="2" t="s">
        <v>553</v>
      </c>
      <c r="O3051" s="2" t="s">
        <v>524</v>
      </c>
      <c r="Y3051" s="2" t="s">
        <v>692</v>
      </c>
    </row>
    <row r="3052" spans="1:34" x14ac:dyDescent="0.25">
      <c r="A3052" s="2" t="s">
        <v>326</v>
      </c>
      <c r="B3052" s="2" t="s">
        <v>540</v>
      </c>
      <c r="C3052" s="2" t="s">
        <v>408</v>
      </c>
      <c r="D3052" s="2" t="s">
        <v>410</v>
      </c>
      <c r="E3052" s="2" t="s">
        <v>413</v>
      </c>
      <c r="F3052" s="2" t="s">
        <v>40</v>
      </c>
      <c r="J3052" s="2" t="s">
        <v>541</v>
      </c>
      <c r="K3052" s="2" t="s">
        <v>542</v>
      </c>
      <c r="L3052" s="2">
        <v>12</v>
      </c>
      <c r="M3052" s="2" t="s">
        <v>554</v>
      </c>
      <c r="O3052" s="2" t="s">
        <v>524</v>
      </c>
      <c r="Y3052" s="2" t="s">
        <v>692</v>
      </c>
    </row>
    <row r="3053" spans="1:34" x14ac:dyDescent="0.25">
      <c r="A3053" s="2" t="s">
        <v>326</v>
      </c>
      <c r="B3053" s="2" t="s">
        <v>555</v>
      </c>
      <c r="C3053" s="2" t="s">
        <v>408</v>
      </c>
      <c r="D3053" s="2" t="s">
        <v>410</v>
      </c>
      <c r="E3053" s="2" t="s">
        <v>413</v>
      </c>
      <c r="F3053" s="2" t="s">
        <v>40</v>
      </c>
      <c r="J3053" s="2" t="s">
        <v>556</v>
      </c>
      <c r="O3053" s="2" t="s">
        <v>524</v>
      </c>
      <c r="Y3053" s="2" t="s">
        <v>692</v>
      </c>
      <c r="AB3053" s="2">
        <v>2</v>
      </c>
    </row>
    <row r="3054" spans="1:34" x14ac:dyDescent="0.25">
      <c r="A3054" s="2" t="s">
        <v>326</v>
      </c>
      <c r="B3054" s="2" t="s">
        <v>557</v>
      </c>
      <c r="C3054" s="2" t="s">
        <v>408</v>
      </c>
      <c r="D3054" s="2" t="s">
        <v>410</v>
      </c>
      <c r="E3054" s="2" t="s">
        <v>413</v>
      </c>
      <c r="F3054" s="2" t="s">
        <v>40</v>
      </c>
      <c r="J3054" s="2" t="s">
        <v>558</v>
      </c>
      <c r="O3054" s="2" t="s">
        <v>524</v>
      </c>
      <c r="Y3054" s="2" t="s">
        <v>692</v>
      </c>
      <c r="AC3054" s="2">
        <f>COUNTIFS($B:$B,"BLOCK_LOAD_Q",$A:$A,$A3054,$C:$C,$C3054,$E:$E,$E3054,$F:$F,$F3054,$N:$N, "&lt;&gt;")</f>
        <v>0</v>
      </c>
      <c r="AD3054" s="2">
        <f>COUNTIFS($B:$B,"BLOCK_TRUST_Q",$A:$A,$A3054,$C:$C,$C3054,$E:$E,$E3054,$F:$F,$F3054,$N:$N, "&lt;&gt;")</f>
        <v>0</v>
      </c>
      <c r="AE3054" s="2" t="str">
        <f>IFERROR(AVERAGEIFS($P:$P,$B:$B,"BLOCK_LOAD_Q",$A:$A,$A3054,$C:$C,$C3054,$E:$E,$E3054,$F:$F,$F3054,$P:$P,"&gt;0"),"")</f>
        <v/>
      </c>
      <c r="AF3054" s="2" t="str">
        <f>IFERROR(AVERAGEIFS($P:$P,$B:$B,"BLOCK_TRUST_Q",$A:$A,$A3054,$C:$C,$C3054,$E:$E,$E3054,$F:$F,$F3054,$P:$P,"&gt;0"),"")</f>
        <v/>
      </c>
      <c r="AG3054" s="2">
        <f>5-AC3054</f>
        <v>5</v>
      </c>
      <c r="AH3054" s="2">
        <f>12-AD3054</f>
        <v>12</v>
      </c>
    </row>
    <row r="3055" spans="1:34" x14ac:dyDescent="0.25">
      <c r="A3055" s="2" t="s">
        <v>326</v>
      </c>
      <c r="B3055" s="2" t="s">
        <v>402</v>
      </c>
      <c r="C3055" s="2" t="s">
        <v>408</v>
      </c>
      <c r="D3055" s="2" t="s">
        <v>410</v>
      </c>
      <c r="E3055" s="2" t="s">
        <v>414</v>
      </c>
      <c r="F3055" s="2" t="s">
        <v>39</v>
      </c>
      <c r="G3055" s="2" t="s">
        <v>415</v>
      </c>
      <c r="H3055" s="2" t="s">
        <v>373</v>
      </c>
      <c r="S3055" s="2" t="s">
        <v>60</v>
      </c>
      <c r="U3055" s="2" t="s">
        <v>60</v>
      </c>
      <c r="W3055" s="2" t="s">
        <v>60</v>
      </c>
    </row>
    <row r="3056" spans="1:34" x14ac:dyDescent="0.25">
      <c r="A3056" s="2" t="s">
        <v>326</v>
      </c>
      <c r="B3056" s="2" t="s">
        <v>402</v>
      </c>
      <c r="C3056" s="2" t="s">
        <v>408</v>
      </c>
      <c r="D3056" s="2" t="s">
        <v>410</v>
      </c>
      <c r="E3056" s="2" t="s">
        <v>414</v>
      </c>
      <c r="F3056" s="2" t="s">
        <v>39</v>
      </c>
      <c r="G3056" s="2" t="s">
        <v>416</v>
      </c>
      <c r="H3056" s="2" t="s">
        <v>528</v>
      </c>
      <c r="S3056" s="2" t="s">
        <v>60</v>
      </c>
      <c r="U3056" s="2" t="s">
        <v>59</v>
      </c>
      <c r="W3056" s="2" t="s">
        <v>59</v>
      </c>
    </row>
    <row r="3057" spans="1:25" x14ac:dyDescent="0.25">
      <c r="A3057" s="2" t="s">
        <v>326</v>
      </c>
      <c r="B3057" s="2" t="s">
        <v>402</v>
      </c>
      <c r="C3057" s="2" t="s">
        <v>408</v>
      </c>
      <c r="D3057" s="2" t="s">
        <v>410</v>
      </c>
      <c r="E3057" s="2" t="s">
        <v>414</v>
      </c>
      <c r="F3057" s="2" t="s">
        <v>39</v>
      </c>
      <c r="G3057" s="2" t="s">
        <v>417</v>
      </c>
      <c r="H3057" s="2" t="s">
        <v>529</v>
      </c>
      <c r="S3057" s="2" t="s">
        <v>57</v>
      </c>
      <c r="U3057" s="2" t="s">
        <v>59</v>
      </c>
      <c r="W3057" s="2" t="s">
        <v>60</v>
      </c>
    </row>
    <row r="3058" spans="1:25" x14ac:dyDescent="0.25">
      <c r="A3058" s="2" t="s">
        <v>326</v>
      </c>
      <c r="B3058" s="2" t="s">
        <v>402</v>
      </c>
      <c r="C3058" s="2" t="s">
        <v>408</v>
      </c>
      <c r="D3058" s="2" t="s">
        <v>410</v>
      </c>
      <c r="E3058" s="2" t="s">
        <v>414</v>
      </c>
      <c r="F3058" s="2" t="s">
        <v>39</v>
      </c>
      <c r="G3058" s="2" t="s">
        <v>418</v>
      </c>
      <c r="H3058" s="2" t="s">
        <v>347</v>
      </c>
      <c r="S3058" s="2" t="s">
        <v>60</v>
      </c>
      <c r="U3058" s="2" t="s">
        <v>57</v>
      </c>
      <c r="W3058" s="2" t="s">
        <v>59</v>
      </c>
    </row>
    <row r="3059" spans="1:25" x14ac:dyDescent="0.25">
      <c r="A3059" s="2" t="s">
        <v>326</v>
      </c>
      <c r="B3059" s="2" t="s">
        <v>402</v>
      </c>
      <c r="C3059" s="2" t="s">
        <v>408</v>
      </c>
      <c r="D3059" s="2" t="s">
        <v>410</v>
      </c>
      <c r="E3059" s="2" t="s">
        <v>414</v>
      </c>
      <c r="F3059" s="2" t="s">
        <v>39</v>
      </c>
      <c r="G3059" s="2" t="s">
        <v>419</v>
      </c>
      <c r="H3059" s="2" t="s">
        <v>530</v>
      </c>
      <c r="S3059" s="2" t="s">
        <v>57</v>
      </c>
      <c r="U3059" s="2" t="s">
        <v>60</v>
      </c>
      <c r="W3059" s="2" t="s">
        <v>58</v>
      </c>
    </row>
    <row r="3060" spans="1:25" x14ac:dyDescent="0.25">
      <c r="A3060" s="2" t="s">
        <v>326</v>
      </c>
      <c r="B3060" s="2" t="s">
        <v>531</v>
      </c>
      <c r="C3060" s="2" t="s">
        <v>408</v>
      </c>
      <c r="D3060" s="2" t="s">
        <v>410</v>
      </c>
      <c r="E3060" s="2" t="s">
        <v>414</v>
      </c>
      <c r="F3060" s="2" t="s">
        <v>39</v>
      </c>
      <c r="J3060" s="2" t="s">
        <v>532</v>
      </c>
      <c r="K3060" s="2" t="s">
        <v>533</v>
      </c>
      <c r="L3060" s="2">
        <v>1</v>
      </c>
      <c r="M3060" s="2" t="s">
        <v>534</v>
      </c>
      <c r="O3060" s="2" t="s">
        <v>524</v>
      </c>
      <c r="Y3060" s="2" t="s">
        <v>693</v>
      </c>
    </row>
    <row r="3061" spans="1:25" x14ac:dyDescent="0.25">
      <c r="A3061" s="2" t="s">
        <v>326</v>
      </c>
      <c r="B3061" s="2" t="s">
        <v>531</v>
      </c>
      <c r="C3061" s="2" t="s">
        <v>408</v>
      </c>
      <c r="D3061" s="2" t="s">
        <v>410</v>
      </c>
      <c r="E3061" s="2" t="s">
        <v>414</v>
      </c>
      <c r="F3061" s="2" t="s">
        <v>39</v>
      </c>
      <c r="J3061" s="2" t="s">
        <v>532</v>
      </c>
      <c r="K3061" s="2" t="s">
        <v>533</v>
      </c>
      <c r="L3061" s="2">
        <v>2</v>
      </c>
      <c r="M3061" s="2" t="s">
        <v>536</v>
      </c>
      <c r="O3061" s="2" t="s">
        <v>524</v>
      </c>
      <c r="Y3061" s="2" t="s">
        <v>693</v>
      </c>
    </row>
    <row r="3062" spans="1:25" x14ac:dyDescent="0.25">
      <c r="A3062" s="2" t="s">
        <v>326</v>
      </c>
      <c r="B3062" s="2" t="s">
        <v>531</v>
      </c>
      <c r="C3062" s="2" t="s">
        <v>408</v>
      </c>
      <c r="D3062" s="2" t="s">
        <v>410</v>
      </c>
      <c r="E3062" s="2" t="s">
        <v>414</v>
      </c>
      <c r="F3062" s="2" t="s">
        <v>39</v>
      </c>
      <c r="J3062" s="2" t="s">
        <v>532</v>
      </c>
      <c r="K3062" s="2" t="s">
        <v>533</v>
      </c>
      <c r="L3062" s="2">
        <v>3</v>
      </c>
      <c r="M3062" s="2" t="s">
        <v>537</v>
      </c>
      <c r="O3062" s="2" t="s">
        <v>524</v>
      </c>
      <c r="Y3062" s="2" t="s">
        <v>693</v>
      </c>
    </row>
    <row r="3063" spans="1:25" x14ac:dyDescent="0.25">
      <c r="A3063" s="2" t="s">
        <v>326</v>
      </c>
      <c r="B3063" s="2" t="s">
        <v>531</v>
      </c>
      <c r="C3063" s="2" t="s">
        <v>408</v>
      </c>
      <c r="D3063" s="2" t="s">
        <v>410</v>
      </c>
      <c r="E3063" s="2" t="s">
        <v>414</v>
      </c>
      <c r="F3063" s="2" t="s">
        <v>39</v>
      </c>
      <c r="J3063" s="2" t="s">
        <v>532</v>
      </c>
      <c r="K3063" s="2" t="s">
        <v>533</v>
      </c>
      <c r="L3063" s="2">
        <v>4</v>
      </c>
      <c r="M3063" s="2" t="s">
        <v>538</v>
      </c>
      <c r="O3063" s="2" t="s">
        <v>524</v>
      </c>
      <c r="Y3063" s="2" t="s">
        <v>693</v>
      </c>
    </row>
    <row r="3064" spans="1:25" x14ac:dyDescent="0.25">
      <c r="A3064" s="2" t="s">
        <v>326</v>
      </c>
      <c r="B3064" s="2" t="s">
        <v>531</v>
      </c>
      <c r="C3064" s="2" t="s">
        <v>408</v>
      </c>
      <c r="D3064" s="2" t="s">
        <v>410</v>
      </c>
      <c r="E3064" s="2" t="s">
        <v>414</v>
      </c>
      <c r="F3064" s="2" t="s">
        <v>39</v>
      </c>
      <c r="J3064" s="2" t="s">
        <v>532</v>
      </c>
      <c r="K3064" s="2" t="s">
        <v>533</v>
      </c>
      <c r="L3064" s="2">
        <v>5</v>
      </c>
      <c r="M3064" s="2" t="s">
        <v>539</v>
      </c>
      <c r="O3064" s="2" t="s">
        <v>524</v>
      </c>
      <c r="Y3064" s="2" t="s">
        <v>693</v>
      </c>
    </row>
    <row r="3065" spans="1:25" x14ac:dyDescent="0.25">
      <c r="A3065" s="2" t="s">
        <v>326</v>
      </c>
      <c r="B3065" s="2" t="s">
        <v>540</v>
      </c>
      <c r="C3065" s="2" t="s">
        <v>408</v>
      </c>
      <c r="D3065" s="2" t="s">
        <v>410</v>
      </c>
      <c r="E3065" s="2" t="s">
        <v>414</v>
      </c>
      <c r="F3065" s="2" t="s">
        <v>39</v>
      </c>
      <c r="J3065" s="2" t="s">
        <v>541</v>
      </c>
      <c r="K3065" s="2" t="s">
        <v>542</v>
      </c>
      <c r="L3065" s="2">
        <v>1</v>
      </c>
      <c r="M3065" s="2" t="s">
        <v>543</v>
      </c>
      <c r="O3065" s="2" t="s">
        <v>524</v>
      </c>
      <c r="Y3065" s="2" t="s">
        <v>693</v>
      </c>
    </row>
    <row r="3066" spans="1:25" x14ac:dyDescent="0.25">
      <c r="A3066" s="2" t="s">
        <v>326</v>
      </c>
      <c r="B3066" s="2" t="s">
        <v>540</v>
      </c>
      <c r="C3066" s="2" t="s">
        <v>408</v>
      </c>
      <c r="D3066" s="2" t="s">
        <v>410</v>
      </c>
      <c r="E3066" s="2" t="s">
        <v>414</v>
      </c>
      <c r="F3066" s="2" t="s">
        <v>39</v>
      </c>
      <c r="J3066" s="2" t="s">
        <v>541</v>
      </c>
      <c r="K3066" s="2" t="s">
        <v>542</v>
      </c>
      <c r="L3066" s="2">
        <v>2</v>
      </c>
      <c r="M3066" s="2" t="s">
        <v>544</v>
      </c>
      <c r="O3066" s="2" t="s">
        <v>524</v>
      </c>
      <c r="Y3066" s="2" t="s">
        <v>693</v>
      </c>
    </row>
    <row r="3067" spans="1:25" x14ac:dyDescent="0.25">
      <c r="A3067" s="2" t="s">
        <v>326</v>
      </c>
      <c r="B3067" s="2" t="s">
        <v>540</v>
      </c>
      <c r="C3067" s="2" t="s">
        <v>408</v>
      </c>
      <c r="D3067" s="2" t="s">
        <v>410</v>
      </c>
      <c r="E3067" s="2" t="s">
        <v>414</v>
      </c>
      <c r="F3067" s="2" t="s">
        <v>39</v>
      </c>
      <c r="J3067" s="2" t="s">
        <v>541</v>
      </c>
      <c r="K3067" s="2" t="s">
        <v>542</v>
      </c>
      <c r="L3067" s="2">
        <v>3</v>
      </c>
      <c r="M3067" s="2" t="s">
        <v>545</v>
      </c>
      <c r="O3067" s="2" t="s">
        <v>524</v>
      </c>
      <c r="Y3067" s="2" t="s">
        <v>693</v>
      </c>
    </row>
    <row r="3068" spans="1:25" x14ac:dyDescent="0.25">
      <c r="A3068" s="2" t="s">
        <v>326</v>
      </c>
      <c r="B3068" s="2" t="s">
        <v>540</v>
      </c>
      <c r="C3068" s="2" t="s">
        <v>408</v>
      </c>
      <c r="D3068" s="2" t="s">
        <v>410</v>
      </c>
      <c r="E3068" s="2" t="s">
        <v>414</v>
      </c>
      <c r="F3068" s="2" t="s">
        <v>39</v>
      </c>
      <c r="J3068" s="2" t="s">
        <v>541</v>
      </c>
      <c r="K3068" s="2" t="s">
        <v>542</v>
      </c>
      <c r="L3068" s="2">
        <v>4</v>
      </c>
      <c r="M3068" s="2" t="s">
        <v>546</v>
      </c>
      <c r="O3068" s="2" t="s">
        <v>524</v>
      </c>
      <c r="Y3068" s="2" t="s">
        <v>693</v>
      </c>
    </row>
    <row r="3069" spans="1:25" x14ac:dyDescent="0.25">
      <c r="A3069" s="2" t="s">
        <v>326</v>
      </c>
      <c r="B3069" s="2" t="s">
        <v>540</v>
      </c>
      <c r="C3069" s="2" t="s">
        <v>408</v>
      </c>
      <c r="D3069" s="2" t="s">
        <v>410</v>
      </c>
      <c r="E3069" s="2" t="s">
        <v>414</v>
      </c>
      <c r="F3069" s="2" t="s">
        <v>39</v>
      </c>
      <c r="J3069" s="2" t="s">
        <v>541</v>
      </c>
      <c r="K3069" s="2" t="s">
        <v>542</v>
      </c>
      <c r="L3069" s="2">
        <v>5</v>
      </c>
      <c r="M3069" s="2" t="s">
        <v>547</v>
      </c>
      <c r="O3069" s="2" t="s">
        <v>524</v>
      </c>
      <c r="Y3069" s="2" t="s">
        <v>693</v>
      </c>
    </row>
    <row r="3070" spans="1:25" x14ac:dyDescent="0.25">
      <c r="A3070" s="2" t="s">
        <v>326</v>
      </c>
      <c r="B3070" s="2" t="s">
        <v>540</v>
      </c>
      <c r="C3070" s="2" t="s">
        <v>408</v>
      </c>
      <c r="D3070" s="2" t="s">
        <v>410</v>
      </c>
      <c r="E3070" s="2" t="s">
        <v>414</v>
      </c>
      <c r="F3070" s="2" t="s">
        <v>39</v>
      </c>
      <c r="J3070" s="2" t="s">
        <v>541</v>
      </c>
      <c r="K3070" s="2" t="s">
        <v>542</v>
      </c>
      <c r="L3070" s="2">
        <v>6</v>
      </c>
      <c r="M3070" s="2" t="s">
        <v>548</v>
      </c>
      <c r="O3070" s="2" t="s">
        <v>524</v>
      </c>
      <c r="Y3070" s="2" t="s">
        <v>693</v>
      </c>
    </row>
    <row r="3071" spans="1:25" x14ac:dyDescent="0.25">
      <c r="A3071" s="2" t="s">
        <v>326</v>
      </c>
      <c r="B3071" s="2" t="s">
        <v>540</v>
      </c>
      <c r="C3071" s="2" t="s">
        <v>408</v>
      </c>
      <c r="D3071" s="2" t="s">
        <v>410</v>
      </c>
      <c r="E3071" s="2" t="s">
        <v>414</v>
      </c>
      <c r="F3071" s="2" t="s">
        <v>39</v>
      </c>
      <c r="J3071" s="2" t="s">
        <v>541</v>
      </c>
      <c r="K3071" s="2" t="s">
        <v>542</v>
      </c>
      <c r="L3071" s="2">
        <v>7</v>
      </c>
      <c r="M3071" s="2" t="s">
        <v>549</v>
      </c>
      <c r="O3071" s="2" t="s">
        <v>524</v>
      </c>
      <c r="Y3071" s="2" t="s">
        <v>693</v>
      </c>
    </row>
    <row r="3072" spans="1:25" x14ac:dyDescent="0.25">
      <c r="A3072" s="2" t="s">
        <v>326</v>
      </c>
      <c r="B3072" s="2" t="s">
        <v>540</v>
      </c>
      <c r="C3072" s="2" t="s">
        <v>408</v>
      </c>
      <c r="D3072" s="2" t="s">
        <v>410</v>
      </c>
      <c r="E3072" s="2" t="s">
        <v>414</v>
      </c>
      <c r="F3072" s="2" t="s">
        <v>39</v>
      </c>
      <c r="J3072" s="2" t="s">
        <v>541</v>
      </c>
      <c r="K3072" s="2" t="s">
        <v>542</v>
      </c>
      <c r="L3072" s="2">
        <v>8</v>
      </c>
      <c r="M3072" s="2" t="s">
        <v>550</v>
      </c>
      <c r="O3072" s="2" t="s">
        <v>524</v>
      </c>
      <c r="Y3072" s="2" t="s">
        <v>693</v>
      </c>
    </row>
    <row r="3073" spans="1:34" x14ac:dyDescent="0.25">
      <c r="A3073" s="2" t="s">
        <v>326</v>
      </c>
      <c r="B3073" s="2" t="s">
        <v>540</v>
      </c>
      <c r="C3073" s="2" t="s">
        <v>408</v>
      </c>
      <c r="D3073" s="2" t="s">
        <v>410</v>
      </c>
      <c r="E3073" s="2" t="s">
        <v>414</v>
      </c>
      <c r="F3073" s="2" t="s">
        <v>39</v>
      </c>
      <c r="J3073" s="2" t="s">
        <v>541</v>
      </c>
      <c r="K3073" s="2" t="s">
        <v>542</v>
      </c>
      <c r="L3073" s="2">
        <v>9</v>
      </c>
      <c r="M3073" s="2" t="s">
        <v>551</v>
      </c>
      <c r="O3073" s="2" t="s">
        <v>524</v>
      </c>
      <c r="Y3073" s="2" t="s">
        <v>693</v>
      </c>
    </row>
    <row r="3074" spans="1:34" x14ac:dyDescent="0.25">
      <c r="A3074" s="2" t="s">
        <v>326</v>
      </c>
      <c r="B3074" s="2" t="s">
        <v>540</v>
      </c>
      <c r="C3074" s="2" t="s">
        <v>408</v>
      </c>
      <c r="D3074" s="2" t="s">
        <v>410</v>
      </c>
      <c r="E3074" s="2" t="s">
        <v>414</v>
      </c>
      <c r="F3074" s="2" t="s">
        <v>39</v>
      </c>
      <c r="J3074" s="2" t="s">
        <v>541</v>
      </c>
      <c r="K3074" s="2" t="s">
        <v>542</v>
      </c>
      <c r="L3074" s="2">
        <v>10</v>
      </c>
      <c r="M3074" s="2" t="s">
        <v>552</v>
      </c>
      <c r="O3074" s="2" t="s">
        <v>524</v>
      </c>
      <c r="Y3074" s="2" t="s">
        <v>693</v>
      </c>
    </row>
    <row r="3075" spans="1:34" x14ac:dyDescent="0.25">
      <c r="A3075" s="2" t="s">
        <v>326</v>
      </c>
      <c r="B3075" s="2" t="s">
        <v>540</v>
      </c>
      <c r="C3075" s="2" t="s">
        <v>408</v>
      </c>
      <c r="D3075" s="2" t="s">
        <v>410</v>
      </c>
      <c r="E3075" s="2" t="s">
        <v>414</v>
      </c>
      <c r="F3075" s="2" t="s">
        <v>39</v>
      </c>
      <c r="J3075" s="2" t="s">
        <v>541</v>
      </c>
      <c r="K3075" s="2" t="s">
        <v>542</v>
      </c>
      <c r="L3075" s="2">
        <v>11</v>
      </c>
      <c r="M3075" s="2" t="s">
        <v>553</v>
      </c>
      <c r="O3075" s="2" t="s">
        <v>524</v>
      </c>
      <c r="Y3075" s="2" t="s">
        <v>693</v>
      </c>
    </row>
    <row r="3076" spans="1:34" x14ac:dyDescent="0.25">
      <c r="A3076" s="2" t="s">
        <v>326</v>
      </c>
      <c r="B3076" s="2" t="s">
        <v>540</v>
      </c>
      <c r="C3076" s="2" t="s">
        <v>408</v>
      </c>
      <c r="D3076" s="2" t="s">
        <v>410</v>
      </c>
      <c r="E3076" s="2" t="s">
        <v>414</v>
      </c>
      <c r="F3076" s="2" t="s">
        <v>39</v>
      </c>
      <c r="J3076" s="2" t="s">
        <v>541</v>
      </c>
      <c r="K3076" s="2" t="s">
        <v>542</v>
      </c>
      <c r="L3076" s="2">
        <v>12</v>
      </c>
      <c r="M3076" s="2" t="s">
        <v>554</v>
      </c>
      <c r="O3076" s="2" t="s">
        <v>524</v>
      </c>
      <c r="Y3076" s="2" t="s">
        <v>693</v>
      </c>
    </row>
    <row r="3077" spans="1:34" x14ac:dyDescent="0.25">
      <c r="A3077" s="2" t="s">
        <v>326</v>
      </c>
      <c r="B3077" s="2" t="s">
        <v>555</v>
      </c>
      <c r="C3077" s="2" t="s">
        <v>408</v>
      </c>
      <c r="D3077" s="2" t="s">
        <v>410</v>
      </c>
      <c r="E3077" s="2" t="s">
        <v>414</v>
      </c>
      <c r="F3077" s="2" t="s">
        <v>39</v>
      </c>
      <c r="J3077" s="2" t="s">
        <v>556</v>
      </c>
      <c r="O3077" s="2" t="s">
        <v>524</v>
      </c>
      <c r="Y3077" s="2" t="s">
        <v>693</v>
      </c>
      <c r="AB3077" s="2">
        <v>1</v>
      </c>
    </row>
    <row r="3078" spans="1:34" x14ac:dyDescent="0.25">
      <c r="A3078" s="2" t="s">
        <v>326</v>
      </c>
      <c r="B3078" s="2" t="s">
        <v>557</v>
      </c>
      <c r="C3078" s="2" t="s">
        <v>408</v>
      </c>
      <c r="D3078" s="2" t="s">
        <v>410</v>
      </c>
      <c r="E3078" s="2" t="s">
        <v>414</v>
      </c>
      <c r="F3078" s="2" t="s">
        <v>39</v>
      </c>
      <c r="J3078" s="2" t="s">
        <v>558</v>
      </c>
      <c r="O3078" s="2" t="s">
        <v>524</v>
      </c>
      <c r="Y3078" s="2" t="s">
        <v>693</v>
      </c>
      <c r="AC3078" s="2">
        <f>COUNTIFS($B:$B,"BLOCK_LOAD_Q",$A:$A,$A3078,$C:$C,$C3078,$E:$E,$E3078,$F:$F,$F3078,$N:$N, "&lt;&gt;")</f>
        <v>0</v>
      </c>
      <c r="AD3078" s="2">
        <f>COUNTIFS($B:$B,"BLOCK_TRUST_Q",$A:$A,$A3078,$C:$C,$C3078,$E:$E,$E3078,$F:$F,$F3078,$N:$N, "&lt;&gt;")</f>
        <v>0</v>
      </c>
      <c r="AE3078" s="2" t="str">
        <f>IFERROR(AVERAGEIFS($P:$P,$B:$B,"BLOCK_LOAD_Q",$A:$A,$A3078,$C:$C,$C3078,$E:$E,$E3078,$F:$F,$F3078,$P:$P,"&gt;0"),"")</f>
        <v/>
      </c>
      <c r="AF3078" s="2" t="str">
        <f>IFERROR(AVERAGEIFS($P:$P,$B:$B,"BLOCK_TRUST_Q",$A:$A,$A3078,$C:$C,$C3078,$E:$E,$E3078,$F:$F,$F3078,$P:$P,"&gt;0"),"")</f>
        <v/>
      </c>
      <c r="AG3078" s="2">
        <f>5-AC3078</f>
        <v>5</v>
      </c>
      <c r="AH3078" s="2">
        <f>12-AD3078</f>
        <v>12</v>
      </c>
    </row>
    <row r="3079" spans="1:34" x14ac:dyDescent="0.25">
      <c r="A3079" s="2" t="s">
        <v>326</v>
      </c>
      <c r="B3079" s="2" t="s">
        <v>403</v>
      </c>
      <c r="C3079" s="2" t="s">
        <v>408</v>
      </c>
      <c r="D3079" s="2" t="s">
        <v>410</v>
      </c>
      <c r="Z3079" s="2" t="s">
        <v>481</v>
      </c>
    </row>
    <row r="3080" spans="1:34" x14ac:dyDescent="0.25">
      <c r="A3080" s="2" t="s">
        <v>326</v>
      </c>
      <c r="B3080" s="2" t="s">
        <v>402</v>
      </c>
      <c r="C3080" s="2" t="s">
        <v>409</v>
      </c>
      <c r="D3080" s="2" t="s">
        <v>411</v>
      </c>
      <c r="E3080" s="2" t="s">
        <v>413</v>
      </c>
      <c r="F3080" s="2" t="s">
        <v>40</v>
      </c>
      <c r="G3080" s="2" t="s">
        <v>415</v>
      </c>
      <c r="H3080" s="2" t="s">
        <v>357</v>
      </c>
      <c r="S3080" s="2" t="s">
        <v>59</v>
      </c>
      <c r="U3080" s="2" t="s">
        <v>60</v>
      </c>
      <c r="W3080" s="2" t="s">
        <v>57</v>
      </c>
    </row>
    <row r="3081" spans="1:34" x14ac:dyDescent="0.25">
      <c r="A3081" s="2" t="s">
        <v>326</v>
      </c>
      <c r="B3081" s="2" t="s">
        <v>402</v>
      </c>
      <c r="C3081" s="2" t="s">
        <v>409</v>
      </c>
      <c r="D3081" s="2" t="s">
        <v>411</v>
      </c>
      <c r="E3081" s="2" t="s">
        <v>413</v>
      </c>
      <c r="F3081" s="2" t="s">
        <v>40</v>
      </c>
      <c r="G3081" s="2" t="s">
        <v>416</v>
      </c>
      <c r="H3081" s="2" t="s">
        <v>348</v>
      </c>
      <c r="S3081" s="2" t="s">
        <v>58</v>
      </c>
      <c r="U3081" s="2" t="s">
        <v>59</v>
      </c>
      <c r="W3081" s="2" t="s">
        <v>59</v>
      </c>
    </row>
    <row r="3082" spans="1:34" x14ac:dyDescent="0.25">
      <c r="A3082" s="2" t="s">
        <v>326</v>
      </c>
      <c r="B3082" s="2" t="s">
        <v>402</v>
      </c>
      <c r="C3082" s="2" t="s">
        <v>409</v>
      </c>
      <c r="D3082" s="2" t="s">
        <v>411</v>
      </c>
      <c r="E3082" s="2" t="s">
        <v>413</v>
      </c>
      <c r="F3082" s="2" t="s">
        <v>40</v>
      </c>
      <c r="G3082" s="2" t="s">
        <v>417</v>
      </c>
      <c r="H3082" s="2" t="s">
        <v>562</v>
      </c>
      <c r="S3082" s="2" t="s">
        <v>59</v>
      </c>
      <c r="U3082" s="2" t="s">
        <v>57</v>
      </c>
      <c r="W3082" s="2" t="s">
        <v>57</v>
      </c>
    </row>
    <row r="3083" spans="1:34" x14ac:dyDescent="0.25">
      <c r="A3083" s="2" t="s">
        <v>326</v>
      </c>
      <c r="B3083" s="2" t="s">
        <v>402</v>
      </c>
      <c r="C3083" s="2" t="s">
        <v>409</v>
      </c>
      <c r="D3083" s="2" t="s">
        <v>411</v>
      </c>
      <c r="E3083" s="2" t="s">
        <v>413</v>
      </c>
      <c r="F3083" s="2" t="s">
        <v>40</v>
      </c>
      <c r="G3083" s="2" t="s">
        <v>418</v>
      </c>
      <c r="H3083" s="2" t="s">
        <v>563</v>
      </c>
      <c r="S3083" s="2" t="s">
        <v>57</v>
      </c>
      <c r="U3083" s="2" t="s">
        <v>60</v>
      </c>
      <c r="W3083" s="2" t="s">
        <v>60</v>
      </c>
    </row>
    <row r="3084" spans="1:34" x14ac:dyDescent="0.25">
      <c r="A3084" s="2" t="s">
        <v>326</v>
      </c>
      <c r="B3084" s="2" t="s">
        <v>531</v>
      </c>
      <c r="C3084" s="2" t="s">
        <v>409</v>
      </c>
      <c r="D3084" s="2" t="s">
        <v>411</v>
      </c>
      <c r="E3084" s="2" t="s">
        <v>413</v>
      </c>
      <c r="F3084" s="2" t="s">
        <v>40</v>
      </c>
      <c r="J3084" s="2" t="s">
        <v>532</v>
      </c>
      <c r="K3084" s="2" t="s">
        <v>533</v>
      </c>
      <c r="L3084" s="2">
        <v>1</v>
      </c>
      <c r="M3084" s="2" t="s">
        <v>534</v>
      </c>
      <c r="O3084" s="2" t="s">
        <v>524</v>
      </c>
      <c r="Y3084" s="2" t="s">
        <v>694</v>
      </c>
    </row>
    <row r="3085" spans="1:34" x14ac:dyDescent="0.25">
      <c r="A3085" s="2" t="s">
        <v>326</v>
      </c>
      <c r="B3085" s="2" t="s">
        <v>531</v>
      </c>
      <c r="C3085" s="2" t="s">
        <v>409</v>
      </c>
      <c r="D3085" s="2" t="s">
        <v>411</v>
      </c>
      <c r="E3085" s="2" t="s">
        <v>413</v>
      </c>
      <c r="F3085" s="2" t="s">
        <v>40</v>
      </c>
      <c r="J3085" s="2" t="s">
        <v>532</v>
      </c>
      <c r="K3085" s="2" t="s">
        <v>533</v>
      </c>
      <c r="L3085" s="2">
        <v>2</v>
      </c>
      <c r="M3085" s="2" t="s">
        <v>536</v>
      </c>
      <c r="O3085" s="2" t="s">
        <v>524</v>
      </c>
      <c r="Y3085" s="2" t="s">
        <v>694</v>
      </c>
    </row>
    <row r="3086" spans="1:34" x14ac:dyDescent="0.25">
      <c r="A3086" s="2" t="s">
        <v>326</v>
      </c>
      <c r="B3086" s="2" t="s">
        <v>531</v>
      </c>
      <c r="C3086" s="2" t="s">
        <v>409</v>
      </c>
      <c r="D3086" s="2" t="s">
        <v>411</v>
      </c>
      <c r="E3086" s="2" t="s">
        <v>413</v>
      </c>
      <c r="F3086" s="2" t="s">
        <v>40</v>
      </c>
      <c r="J3086" s="2" t="s">
        <v>532</v>
      </c>
      <c r="K3086" s="2" t="s">
        <v>533</v>
      </c>
      <c r="L3086" s="2">
        <v>3</v>
      </c>
      <c r="M3086" s="2" t="s">
        <v>537</v>
      </c>
      <c r="O3086" s="2" t="s">
        <v>524</v>
      </c>
      <c r="Y3086" s="2" t="s">
        <v>694</v>
      </c>
    </row>
    <row r="3087" spans="1:34" x14ac:dyDescent="0.25">
      <c r="A3087" s="2" t="s">
        <v>326</v>
      </c>
      <c r="B3087" s="2" t="s">
        <v>531</v>
      </c>
      <c r="C3087" s="2" t="s">
        <v>409</v>
      </c>
      <c r="D3087" s="2" t="s">
        <v>411</v>
      </c>
      <c r="E3087" s="2" t="s">
        <v>413</v>
      </c>
      <c r="F3087" s="2" t="s">
        <v>40</v>
      </c>
      <c r="J3087" s="2" t="s">
        <v>532</v>
      </c>
      <c r="K3087" s="2" t="s">
        <v>533</v>
      </c>
      <c r="L3087" s="2">
        <v>4</v>
      </c>
      <c r="M3087" s="2" t="s">
        <v>538</v>
      </c>
      <c r="O3087" s="2" t="s">
        <v>524</v>
      </c>
      <c r="Y3087" s="2" t="s">
        <v>694</v>
      </c>
    </row>
    <row r="3088" spans="1:34" x14ac:dyDescent="0.25">
      <c r="A3088" s="2" t="s">
        <v>326</v>
      </c>
      <c r="B3088" s="2" t="s">
        <v>531</v>
      </c>
      <c r="C3088" s="2" t="s">
        <v>409</v>
      </c>
      <c r="D3088" s="2" t="s">
        <v>411</v>
      </c>
      <c r="E3088" s="2" t="s">
        <v>413</v>
      </c>
      <c r="F3088" s="2" t="s">
        <v>40</v>
      </c>
      <c r="J3088" s="2" t="s">
        <v>532</v>
      </c>
      <c r="K3088" s="2" t="s">
        <v>533</v>
      </c>
      <c r="L3088" s="2">
        <v>5</v>
      </c>
      <c r="M3088" s="2" t="s">
        <v>539</v>
      </c>
      <c r="O3088" s="2" t="s">
        <v>524</v>
      </c>
      <c r="Y3088" s="2" t="s">
        <v>694</v>
      </c>
    </row>
    <row r="3089" spans="1:34" x14ac:dyDescent="0.25">
      <c r="A3089" s="2" t="s">
        <v>326</v>
      </c>
      <c r="B3089" s="2" t="s">
        <v>540</v>
      </c>
      <c r="C3089" s="2" t="s">
        <v>409</v>
      </c>
      <c r="D3089" s="2" t="s">
        <v>411</v>
      </c>
      <c r="E3089" s="2" t="s">
        <v>413</v>
      </c>
      <c r="F3089" s="2" t="s">
        <v>40</v>
      </c>
      <c r="J3089" s="2" t="s">
        <v>541</v>
      </c>
      <c r="K3089" s="2" t="s">
        <v>542</v>
      </c>
      <c r="L3089" s="2">
        <v>1</v>
      </c>
      <c r="M3089" s="2" t="s">
        <v>543</v>
      </c>
      <c r="O3089" s="2" t="s">
        <v>524</v>
      </c>
      <c r="Y3089" s="2" t="s">
        <v>694</v>
      </c>
    </row>
    <row r="3090" spans="1:34" x14ac:dyDescent="0.25">
      <c r="A3090" s="2" t="s">
        <v>326</v>
      </c>
      <c r="B3090" s="2" t="s">
        <v>540</v>
      </c>
      <c r="C3090" s="2" t="s">
        <v>409</v>
      </c>
      <c r="D3090" s="2" t="s">
        <v>411</v>
      </c>
      <c r="E3090" s="2" t="s">
        <v>413</v>
      </c>
      <c r="F3090" s="2" t="s">
        <v>40</v>
      </c>
      <c r="J3090" s="2" t="s">
        <v>541</v>
      </c>
      <c r="K3090" s="2" t="s">
        <v>542</v>
      </c>
      <c r="L3090" s="2">
        <v>2</v>
      </c>
      <c r="M3090" s="2" t="s">
        <v>544</v>
      </c>
      <c r="O3090" s="2" t="s">
        <v>524</v>
      </c>
      <c r="Y3090" s="2" t="s">
        <v>694</v>
      </c>
    </row>
    <row r="3091" spans="1:34" x14ac:dyDescent="0.25">
      <c r="A3091" s="2" t="s">
        <v>326</v>
      </c>
      <c r="B3091" s="2" t="s">
        <v>540</v>
      </c>
      <c r="C3091" s="2" t="s">
        <v>409</v>
      </c>
      <c r="D3091" s="2" t="s">
        <v>411</v>
      </c>
      <c r="E3091" s="2" t="s">
        <v>413</v>
      </c>
      <c r="F3091" s="2" t="s">
        <v>40</v>
      </c>
      <c r="J3091" s="2" t="s">
        <v>541</v>
      </c>
      <c r="K3091" s="2" t="s">
        <v>542</v>
      </c>
      <c r="L3091" s="2">
        <v>3</v>
      </c>
      <c r="M3091" s="2" t="s">
        <v>545</v>
      </c>
      <c r="O3091" s="2" t="s">
        <v>524</v>
      </c>
      <c r="Y3091" s="2" t="s">
        <v>694</v>
      </c>
    </row>
    <row r="3092" spans="1:34" x14ac:dyDescent="0.25">
      <c r="A3092" s="2" t="s">
        <v>326</v>
      </c>
      <c r="B3092" s="2" t="s">
        <v>540</v>
      </c>
      <c r="C3092" s="2" t="s">
        <v>409</v>
      </c>
      <c r="D3092" s="2" t="s">
        <v>411</v>
      </c>
      <c r="E3092" s="2" t="s">
        <v>413</v>
      </c>
      <c r="F3092" s="2" t="s">
        <v>40</v>
      </c>
      <c r="J3092" s="2" t="s">
        <v>541</v>
      </c>
      <c r="K3092" s="2" t="s">
        <v>542</v>
      </c>
      <c r="L3092" s="2">
        <v>4</v>
      </c>
      <c r="M3092" s="2" t="s">
        <v>546</v>
      </c>
      <c r="O3092" s="2" t="s">
        <v>524</v>
      </c>
      <c r="Y3092" s="2" t="s">
        <v>694</v>
      </c>
    </row>
    <row r="3093" spans="1:34" x14ac:dyDescent="0.25">
      <c r="A3093" s="2" t="s">
        <v>326</v>
      </c>
      <c r="B3093" s="2" t="s">
        <v>540</v>
      </c>
      <c r="C3093" s="2" t="s">
        <v>409</v>
      </c>
      <c r="D3093" s="2" t="s">
        <v>411</v>
      </c>
      <c r="E3093" s="2" t="s">
        <v>413</v>
      </c>
      <c r="F3093" s="2" t="s">
        <v>40</v>
      </c>
      <c r="J3093" s="2" t="s">
        <v>541</v>
      </c>
      <c r="K3093" s="2" t="s">
        <v>542</v>
      </c>
      <c r="L3093" s="2">
        <v>5</v>
      </c>
      <c r="M3093" s="2" t="s">
        <v>547</v>
      </c>
      <c r="O3093" s="2" t="s">
        <v>524</v>
      </c>
      <c r="Y3093" s="2" t="s">
        <v>694</v>
      </c>
    </row>
    <row r="3094" spans="1:34" x14ac:dyDescent="0.25">
      <c r="A3094" s="2" t="s">
        <v>326</v>
      </c>
      <c r="B3094" s="2" t="s">
        <v>540</v>
      </c>
      <c r="C3094" s="2" t="s">
        <v>409</v>
      </c>
      <c r="D3094" s="2" t="s">
        <v>411</v>
      </c>
      <c r="E3094" s="2" t="s">
        <v>413</v>
      </c>
      <c r="F3094" s="2" t="s">
        <v>40</v>
      </c>
      <c r="J3094" s="2" t="s">
        <v>541</v>
      </c>
      <c r="K3094" s="2" t="s">
        <v>542</v>
      </c>
      <c r="L3094" s="2">
        <v>6</v>
      </c>
      <c r="M3094" s="2" t="s">
        <v>548</v>
      </c>
      <c r="O3094" s="2" t="s">
        <v>524</v>
      </c>
      <c r="Y3094" s="2" t="s">
        <v>694</v>
      </c>
    </row>
    <row r="3095" spans="1:34" x14ac:dyDescent="0.25">
      <c r="A3095" s="2" t="s">
        <v>326</v>
      </c>
      <c r="B3095" s="2" t="s">
        <v>540</v>
      </c>
      <c r="C3095" s="2" t="s">
        <v>409</v>
      </c>
      <c r="D3095" s="2" t="s">
        <v>411</v>
      </c>
      <c r="E3095" s="2" t="s">
        <v>413</v>
      </c>
      <c r="F3095" s="2" t="s">
        <v>40</v>
      </c>
      <c r="J3095" s="2" t="s">
        <v>541</v>
      </c>
      <c r="K3095" s="2" t="s">
        <v>542</v>
      </c>
      <c r="L3095" s="2">
        <v>7</v>
      </c>
      <c r="M3095" s="2" t="s">
        <v>549</v>
      </c>
      <c r="O3095" s="2" t="s">
        <v>524</v>
      </c>
      <c r="Y3095" s="2" t="s">
        <v>694</v>
      </c>
    </row>
    <row r="3096" spans="1:34" x14ac:dyDescent="0.25">
      <c r="A3096" s="2" t="s">
        <v>326</v>
      </c>
      <c r="B3096" s="2" t="s">
        <v>540</v>
      </c>
      <c r="C3096" s="2" t="s">
        <v>409</v>
      </c>
      <c r="D3096" s="2" t="s">
        <v>411</v>
      </c>
      <c r="E3096" s="2" t="s">
        <v>413</v>
      </c>
      <c r="F3096" s="2" t="s">
        <v>40</v>
      </c>
      <c r="J3096" s="2" t="s">
        <v>541</v>
      </c>
      <c r="K3096" s="2" t="s">
        <v>542</v>
      </c>
      <c r="L3096" s="2">
        <v>8</v>
      </c>
      <c r="M3096" s="2" t="s">
        <v>550</v>
      </c>
      <c r="O3096" s="2" t="s">
        <v>524</v>
      </c>
      <c r="Y3096" s="2" t="s">
        <v>694</v>
      </c>
    </row>
    <row r="3097" spans="1:34" x14ac:dyDescent="0.25">
      <c r="A3097" s="2" t="s">
        <v>326</v>
      </c>
      <c r="B3097" s="2" t="s">
        <v>540</v>
      </c>
      <c r="C3097" s="2" t="s">
        <v>409</v>
      </c>
      <c r="D3097" s="2" t="s">
        <v>411</v>
      </c>
      <c r="E3097" s="2" t="s">
        <v>413</v>
      </c>
      <c r="F3097" s="2" t="s">
        <v>40</v>
      </c>
      <c r="J3097" s="2" t="s">
        <v>541</v>
      </c>
      <c r="K3097" s="2" t="s">
        <v>542</v>
      </c>
      <c r="L3097" s="2">
        <v>9</v>
      </c>
      <c r="M3097" s="2" t="s">
        <v>551</v>
      </c>
      <c r="O3097" s="2" t="s">
        <v>524</v>
      </c>
      <c r="Y3097" s="2" t="s">
        <v>694</v>
      </c>
    </row>
    <row r="3098" spans="1:34" x14ac:dyDescent="0.25">
      <c r="A3098" s="2" t="s">
        <v>326</v>
      </c>
      <c r="B3098" s="2" t="s">
        <v>540</v>
      </c>
      <c r="C3098" s="2" t="s">
        <v>409</v>
      </c>
      <c r="D3098" s="2" t="s">
        <v>411</v>
      </c>
      <c r="E3098" s="2" t="s">
        <v>413</v>
      </c>
      <c r="F3098" s="2" t="s">
        <v>40</v>
      </c>
      <c r="J3098" s="2" t="s">
        <v>541</v>
      </c>
      <c r="K3098" s="2" t="s">
        <v>542</v>
      </c>
      <c r="L3098" s="2">
        <v>10</v>
      </c>
      <c r="M3098" s="2" t="s">
        <v>552</v>
      </c>
      <c r="O3098" s="2" t="s">
        <v>524</v>
      </c>
      <c r="Y3098" s="2" t="s">
        <v>694</v>
      </c>
    </row>
    <row r="3099" spans="1:34" x14ac:dyDescent="0.25">
      <c r="A3099" s="2" t="s">
        <v>326</v>
      </c>
      <c r="B3099" s="2" t="s">
        <v>540</v>
      </c>
      <c r="C3099" s="2" t="s">
        <v>409</v>
      </c>
      <c r="D3099" s="2" t="s">
        <v>411</v>
      </c>
      <c r="E3099" s="2" t="s">
        <v>413</v>
      </c>
      <c r="F3099" s="2" t="s">
        <v>40</v>
      </c>
      <c r="J3099" s="2" t="s">
        <v>541</v>
      </c>
      <c r="K3099" s="2" t="s">
        <v>542</v>
      </c>
      <c r="L3099" s="2">
        <v>11</v>
      </c>
      <c r="M3099" s="2" t="s">
        <v>553</v>
      </c>
      <c r="O3099" s="2" t="s">
        <v>524</v>
      </c>
      <c r="Y3099" s="2" t="s">
        <v>694</v>
      </c>
    </row>
    <row r="3100" spans="1:34" x14ac:dyDescent="0.25">
      <c r="A3100" s="2" t="s">
        <v>326</v>
      </c>
      <c r="B3100" s="2" t="s">
        <v>540</v>
      </c>
      <c r="C3100" s="2" t="s">
        <v>409</v>
      </c>
      <c r="D3100" s="2" t="s">
        <v>411</v>
      </c>
      <c r="E3100" s="2" t="s">
        <v>413</v>
      </c>
      <c r="F3100" s="2" t="s">
        <v>40</v>
      </c>
      <c r="J3100" s="2" t="s">
        <v>541</v>
      </c>
      <c r="K3100" s="2" t="s">
        <v>542</v>
      </c>
      <c r="L3100" s="2">
        <v>12</v>
      </c>
      <c r="M3100" s="2" t="s">
        <v>554</v>
      </c>
      <c r="O3100" s="2" t="s">
        <v>524</v>
      </c>
      <c r="Y3100" s="2" t="s">
        <v>694</v>
      </c>
    </row>
    <row r="3101" spans="1:34" x14ac:dyDescent="0.25">
      <c r="A3101" s="2" t="s">
        <v>326</v>
      </c>
      <c r="B3101" s="2" t="s">
        <v>555</v>
      </c>
      <c r="C3101" s="2" t="s">
        <v>409</v>
      </c>
      <c r="D3101" s="2" t="s">
        <v>411</v>
      </c>
      <c r="E3101" s="2" t="s">
        <v>413</v>
      </c>
      <c r="F3101" s="2" t="s">
        <v>40</v>
      </c>
      <c r="J3101" s="2" t="s">
        <v>556</v>
      </c>
      <c r="O3101" s="2" t="s">
        <v>524</v>
      </c>
      <c r="Y3101" s="2" t="s">
        <v>694</v>
      </c>
      <c r="AB3101" s="2">
        <v>2</v>
      </c>
    </row>
    <row r="3102" spans="1:34" x14ac:dyDescent="0.25">
      <c r="A3102" s="2" t="s">
        <v>326</v>
      </c>
      <c r="B3102" s="2" t="s">
        <v>557</v>
      </c>
      <c r="C3102" s="2" t="s">
        <v>409</v>
      </c>
      <c r="D3102" s="2" t="s">
        <v>411</v>
      </c>
      <c r="E3102" s="2" t="s">
        <v>413</v>
      </c>
      <c r="F3102" s="2" t="s">
        <v>40</v>
      </c>
      <c r="J3102" s="2" t="s">
        <v>558</v>
      </c>
      <c r="O3102" s="2" t="s">
        <v>524</v>
      </c>
      <c r="Y3102" s="2" t="s">
        <v>694</v>
      </c>
      <c r="AC3102" s="2">
        <f>COUNTIFS($B:$B,"BLOCK_LOAD_Q",$A:$A,$A3102,$C:$C,$C3102,$E:$E,$E3102,$F:$F,$F3102,$N:$N, "&lt;&gt;")</f>
        <v>0</v>
      </c>
      <c r="AD3102" s="2">
        <f>COUNTIFS($B:$B,"BLOCK_TRUST_Q",$A:$A,$A3102,$C:$C,$C3102,$E:$E,$E3102,$F:$F,$F3102,$N:$N, "&lt;&gt;")</f>
        <v>0</v>
      </c>
      <c r="AE3102" s="2" t="str">
        <f>IFERROR(AVERAGEIFS($P:$P,$B:$B,"BLOCK_LOAD_Q",$A:$A,$A3102,$C:$C,$C3102,$E:$E,$E3102,$F:$F,$F3102,$P:$P,"&gt;0"),"")</f>
        <v/>
      </c>
      <c r="AF3102" s="2" t="str">
        <f>IFERROR(AVERAGEIFS($P:$P,$B:$B,"BLOCK_TRUST_Q",$A:$A,$A3102,$C:$C,$C3102,$E:$E,$E3102,$F:$F,$F3102,$P:$P,"&gt;0"),"")</f>
        <v/>
      </c>
      <c r="AG3102" s="2">
        <f>5-AC3102</f>
        <v>5</v>
      </c>
      <c r="AH3102" s="2">
        <f>12-AD3102</f>
        <v>12</v>
      </c>
    </row>
    <row r="3103" spans="1:34" x14ac:dyDescent="0.25">
      <c r="A3103" s="2" t="s">
        <v>326</v>
      </c>
      <c r="B3103" s="2" t="s">
        <v>402</v>
      </c>
      <c r="C3103" s="2" t="s">
        <v>409</v>
      </c>
      <c r="D3103" s="2" t="s">
        <v>411</v>
      </c>
      <c r="E3103" s="2" t="s">
        <v>414</v>
      </c>
      <c r="F3103" s="2" t="s">
        <v>39</v>
      </c>
      <c r="G3103" s="2" t="s">
        <v>415</v>
      </c>
      <c r="H3103" s="2" t="s">
        <v>349</v>
      </c>
      <c r="S3103" s="2" t="s">
        <v>58</v>
      </c>
      <c r="U3103" s="2" t="s">
        <v>60</v>
      </c>
      <c r="W3103" s="2" t="s">
        <v>58</v>
      </c>
    </row>
    <row r="3104" spans="1:34" x14ac:dyDescent="0.25">
      <c r="A3104" s="2" t="s">
        <v>326</v>
      </c>
      <c r="B3104" s="2" t="s">
        <v>402</v>
      </c>
      <c r="C3104" s="2" t="s">
        <v>409</v>
      </c>
      <c r="D3104" s="2" t="s">
        <v>411</v>
      </c>
      <c r="E3104" s="2" t="s">
        <v>414</v>
      </c>
      <c r="F3104" s="2" t="s">
        <v>39</v>
      </c>
      <c r="G3104" s="2" t="s">
        <v>416</v>
      </c>
      <c r="H3104" s="2" t="s">
        <v>565</v>
      </c>
      <c r="S3104" s="2" t="s">
        <v>59</v>
      </c>
      <c r="U3104" s="2" t="s">
        <v>60</v>
      </c>
      <c r="W3104" s="2" t="s">
        <v>60</v>
      </c>
    </row>
    <row r="3105" spans="1:25" x14ac:dyDescent="0.25">
      <c r="A3105" s="2" t="s">
        <v>326</v>
      </c>
      <c r="B3105" s="2" t="s">
        <v>402</v>
      </c>
      <c r="C3105" s="2" t="s">
        <v>409</v>
      </c>
      <c r="D3105" s="2" t="s">
        <v>411</v>
      </c>
      <c r="E3105" s="2" t="s">
        <v>414</v>
      </c>
      <c r="F3105" s="2" t="s">
        <v>39</v>
      </c>
      <c r="G3105" s="2" t="s">
        <v>417</v>
      </c>
      <c r="H3105" s="2" t="s">
        <v>361</v>
      </c>
      <c r="S3105" s="2" t="s">
        <v>60</v>
      </c>
      <c r="U3105" s="2" t="s">
        <v>60</v>
      </c>
      <c r="W3105" s="2" t="s">
        <v>60</v>
      </c>
    </row>
    <row r="3106" spans="1:25" x14ac:dyDescent="0.25">
      <c r="A3106" s="2" t="s">
        <v>326</v>
      </c>
      <c r="B3106" s="2" t="s">
        <v>402</v>
      </c>
      <c r="C3106" s="2" t="s">
        <v>409</v>
      </c>
      <c r="D3106" s="2" t="s">
        <v>411</v>
      </c>
      <c r="E3106" s="2" t="s">
        <v>414</v>
      </c>
      <c r="F3106" s="2" t="s">
        <v>39</v>
      </c>
      <c r="G3106" s="2" t="s">
        <v>418</v>
      </c>
      <c r="H3106" s="2" t="s">
        <v>353</v>
      </c>
      <c r="S3106" s="2" t="s">
        <v>58</v>
      </c>
      <c r="U3106" s="2" t="s">
        <v>59</v>
      </c>
      <c r="W3106" s="2" t="s">
        <v>58</v>
      </c>
    </row>
    <row r="3107" spans="1:25" x14ac:dyDescent="0.25">
      <c r="A3107" s="2" t="s">
        <v>326</v>
      </c>
      <c r="B3107" s="2" t="s">
        <v>402</v>
      </c>
      <c r="C3107" s="2" t="s">
        <v>409</v>
      </c>
      <c r="D3107" s="2" t="s">
        <v>411</v>
      </c>
      <c r="E3107" s="2" t="s">
        <v>414</v>
      </c>
      <c r="F3107" s="2" t="s">
        <v>39</v>
      </c>
      <c r="G3107" s="2" t="s">
        <v>419</v>
      </c>
      <c r="H3107" s="2" t="s">
        <v>371</v>
      </c>
      <c r="S3107" s="2" t="s">
        <v>60</v>
      </c>
      <c r="U3107" s="2" t="s">
        <v>59</v>
      </c>
      <c r="W3107" s="2" t="s">
        <v>57</v>
      </c>
    </row>
    <row r="3108" spans="1:25" x14ac:dyDescent="0.25">
      <c r="A3108" s="2" t="s">
        <v>326</v>
      </c>
      <c r="B3108" s="2" t="s">
        <v>531</v>
      </c>
      <c r="C3108" s="2" t="s">
        <v>409</v>
      </c>
      <c r="D3108" s="2" t="s">
        <v>411</v>
      </c>
      <c r="E3108" s="2" t="s">
        <v>414</v>
      </c>
      <c r="F3108" s="2" t="s">
        <v>39</v>
      </c>
      <c r="J3108" s="2" t="s">
        <v>532</v>
      </c>
      <c r="K3108" s="2" t="s">
        <v>533</v>
      </c>
      <c r="L3108" s="2">
        <v>1</v>
      </c>
      <c r="M3108" s="2" t="s">
        <v>534</v>
      </c>
      <c r="O3108" s="2" t="s">
        <v>524</v>
      </c>
      <c r="Y3108" s="2" t="s">
        <v>695</v>
      </c>
    </row>
    <row r="3109" spans="1:25" x14ac:dyDescent="0.25">
      <c r="A3109" s="2" t="s">
        <v>326</v>
      </c>
      <c r="B3109" s="2" t="s">
        <v>531</v>
      </c>
      <c r="C3109" s="2" t="s">
        <v>409</v>
      </c>
      <c r="D3109" s="2" t="s">
        <v>411</v>
      </c>
      <c r="E3109" s="2" t="s">
        <v>414</v>
      </c>
      <c r="F3109" s="2" t="s">
        <v>39</v>
      </c>
      <c r="J3109" s="2" t="s">
        <v>532</v>
      </c>
      <c r="K3109" s="2" t="s">
        <v>533</v>
      </c>
      <c r="L3109" s="2">
        <v>2</v>
      </c>
      <c r="M3109" s="2" t="s">
        <v>536</v>
      </c>
      <c r="O3109" s="2" t="s">
        <v>524</v>
      </c>
      <c r="Y3109" s="2" t="s">
        <v>695</v>
      </c>
    </row>
    <row r="3110" spans="1:25" x14ac:dyDescent="0.25">
      <c r="A3110" s="2" t="s">
        <v>326</v>
      </c>
      <c r="B3110" s="2" t="s">
        <v>531</v>
      </c>
      <c r="C3110" s="2" t="s">
        <v>409</v>
      </c>
      <c r="D3110" s="2" t="s">
        <v>411</v>
      </c>
      <c r="E3110" s="2" t="s">
        <v>414</v>
      </c>
      <c r="F3110" s="2" t="s">
        <v>39</v>
      </c>
      <c r="J3110" s="2" t="s">
        <v>532</v>
      </c>
      <c r="K3110" s="2" t="s">
        <v>533</v>
      </c>
      <c r="L3110" s="2">
        <v>3</v>
      </c>
      <c r="M3110" s="2" t="s">
        <v>537</v>
      </c>
      <c r="O3110" s="2" t="s">
        <v>524</v>
      </c>
      <c r="Y3110" s="2" t="s">
        <v>695</v>
      </c>
    </row>
    <row r="3111" spans="1:25" x14ac:dyDescent="0.25">
      <c r="A3111" s="2" t="s">
        <v>326</v>
      </c>
      <c r="B3111" s="2" t="s">
        <v>531</v>
      </c>
      <c r="C3111" s="2" t="s">
        <v>409</v>
      </c>
      <c r="D3111" s="2" t="s">
        <v>411</v>
      </c>
      <c r="E3111" s="2" t="s">
        <v>414</v>
      </c>
      <c r="F3111" s="2" t="s">
        <v>39</v>
      </c>
      <c r="J3111" s="2" t="s">
        <v>532</v>
      </c>
      <c r="K3111" s="2" t="s">
        <v>533</v>
      </c>
      <c r="L3111" s="2">
        <v>4</v>
      </c>
      <c r="M3111" s="2" t="s">
        <v>538</v>
      </c>
      <c r="O3111" s="2" t="s">
        <v>524</v>
      </c>
      <c r="Y3111" s="2" t="s">
        <v>695</v>
      </c>
    </row>
    <row r="3112" spans="1:25" x14ac:dyDescent="0.25">
      <c r="A3112" s="2" t="s">
        <v>326</v>
      </c>
      <c r="B3112" s="2" t="s">
        <v>531</v>
      </c>
      <c r="C3112" s="2" t="s">
        <v>409</v>
      </c>
      <c r="D3112" s="2" t="s">
        <v>411</v>
      </c>
      <c r="E3112" s="2" t="s">
        <v>414</v>
      </c>
      <c r="F3112" s="2" t="s">
        <v>39</v>
      </c>
      <c r="J3112" s="2" t="s">
        <v>532</v>
      </c>
      <c r="K3112" s="2" t="s">
        <v>533</v>
      </c>
      <c r="L3112" s="2">
        <v>5</v>
      </c>
      <c r="M3112" s="2" t="s">
        <v>539</v>
      </c>
      <c r="O3112" s="2" t="s">
        <v>524</v>
      </c>
      <c r="Y3112" s="2" t="s">
        <v>695</v>
      </c>
    </row>
    <row r="3113" spans="1:25" x14ac:dyDescent="0.25">
      <c r="A3113" s="2" t="s">
        <v>326</v>
      </c>
      <c r="B3113" s="2" t="s">
        <v>540</v>
      </c>
      <c r="C3113" s="2" t="s">
        <v>409</v>
      </c>
      <c r="D3113" s="2" t="s">
        <v>411</v>
      </c>
      <c r="E3113" s="2" t="s">
        <v>414</v>
      </c>
      <c r="F3113" s="2" t="s">
        <v>39</v>
      </c>
      <c r="J3113" s="2" t="s">
        <v>541</v>
      </c>
      <c r="K3113" s="2" t="s">
        <v>542</v>
      </c>
      <c r="L3113" s="2">
        <v>1</v>
      </c>
      <c r="M3113" s="2" t="s">
        <v>543</v>
      </c>
      <c r="O3113" s="2" t="s">
        <v>524</v>
      </c>
      <c r="Y3113" s="2" t="s">
        <v>695</v>
      </c>
    </row>
    <row r="3114" spans="1:25" x14ac:dyDescent="0.25">
      <c r="A3114" s="2" t="s">
        <v>326</v>
      </c>
      <c r="B3114" s="2" t="s">
        <v>540</v>
      </c>
      <c r="C3114" s="2" t="s">
        <v>409</v>
      </c>
      <c r="D3114" s="2" t="s">
        <v>411</v>
      </c>
      <c r="E3114" s="2" t="s">
        <v>414</v>
      </c>
      <c r="F3114" s="2" t="s">
        <v>39</v>
      </c>
      <c r="J3114" s="2" t="s">
        <v>541</v>
      </c>
      <c r="K3114" s="2" t="s">
        <v>542</v>
      </c>
      <c r="L3114" s="2">
        <v>2</v>
      </c>
      <c r="M3114" s="2" t="s">
        <v>544</v>
      </c>
      <c r="O3114" s="2" t="s">
        <v>524</v>
      </c>
      <c r="Y3114" s="2" t="s">
        <v>695</v>
      </c>
    </row>
    <row r="3115" spans="1:25" x14ac:dyDescent="0.25">
      <c r="A3115" s="2" t="s">
        <v>326</v>
      </c>
      <c r="B3115" s="2" t="s">
        <v>540</v>
      </c>
      <c r="C3115" s="2" t="s">
        <v>409</v>
      </c>
      <c r="D3115" s="2" t="s">
        <v>411</v>
      </c>
      <c r="E3115" s="2" t="s">
        <v>414</v>
      </c>
      <c r="F3115" s="2" t="s">
        <v>39</v>
      </c>
      <c r="J3115" s="2" t="s">
        <v>541</v>
      </c>
      <c r="K3115" s="2" t="s">
        <v>542</v>
      </c>
      <c r="L3115" s="2">
        <v>3</v>
      </c>
      <c r="M3115" s="2" t="s">
        <v>545</v>
      </c>
      <c r="O3115" s="2" t="s">
        <v>524</v>
      </c>
      <c r="Y3115" s="2" t="s">
        <v>695</v>
      </c>
    </row>
    <row r="3116" spans="1:25" x14ac:dyDescent="0.25">
      <c r="A3116" s="2" t="s">
        <v>326</v>
      </c>
      <c r="B3116" s="2" t="s">
        <v>540</v>
      </c>
      <c r="C3116" s="2" t="s">
        <v>409</v>
      </c>
      <c r="D3116" s="2" t="s">
        <v>411</v>
      </c>
      <c r="E3116" s="2" t="s">
        <v>414</v>
      </c>
      <c r="F3116" s="2" t="s">
        <v>39</v>
      </c>
      <c r="J3116" s="2" t="s">
        <v>541</v>
      </c>
      <c r="K3116" s="2" t="s">
        <v>542</v>
      </c>
      <c r="L3116" s="2">
        <v>4</v>
      </c>
      <c r="M3116" s="2" t="s">
        <v>546</v>
      </c>
      <c r="O3116" s="2" t="s">
        <v>524</v>
      </c>
      <c r="Y3116" s="2" t="s">
        <v>695</v>
      </c>
    </row>
    <row r="3117" spans="1:25" x14ac:dyDescent="0.25">
      <c r="A3117" s="2" t="s">
        <v>326</v>
      </c>
      <c r="B3117" s="2" t="s">
        <v>540</v>
      </c>
      <c r="C3117" s="2" t="s">
        <v>409</v>
      </c>
      <c r="D3117" s="2" t="s">
        <v>411</v>
      </c>
      <c r="E3117" s="2" t="s">
        <v>414</v>
      </c>
      <c r="F3117" s="2" t="s">
        <v>39</v>
      </c>
      <c r="J3117" s="2" t="s">
        <v>541</v>
      </c>
      <c r="K3117" s="2" t="s">
        <v>542</v>
      </c>
      <c r="L3117" s="2">
        <v>5</v>
      </c>
      <c r="M3117" s="2" t="s">
        <v>547</v>
      </c>
      <c r="O3117" s="2" t="s">
        <v>524</v>
      </c>
      <c r="Y3117" s="2" t="s">
        <v>695</v>
      </c>
    </row>
    <row r="3118" spans="1:25" x14ac:dyDescent="0.25">
      <c r="A3118" s="2" t="s">
        <v>326</v>
      </c>
      <c r="B3118" s="2" t="s">
        <v>540</v>
      </c>
      <c r="C3118" s="2" t="s">
        <v>409</v>
      </c>
      <c r="D3118" s="2" t="s">
        <v>411</v>
      </c>
      <c r="E3118" s="2" t="s">
        <v>414</v>
      </c>
      <c r="F3118" s="2" t="s">
        <v>39</v>
      </c>
      <c r="J3118" s="2" t="s">
        <v>541</v>
      </c>
      <c r="K3118" s="2" t="s">
        <v>542</v>
      </c>
      <c r="L3118" s="2">
        <v>6</v>
      </c>
      <c r="M3118" s="2" t="s">
        <v>548</v>
      </c>
      <c r="O3118" s="2" t="s">
        <v>524</v>
      </c>
      <c r="Y3118" s="2" t="s">
        <v>695</v>
      </c>
    </row>
    <row r="3119" spans="1:25" x14ac:dyDescent="0.25">
      <c r="A3119" s="2" t="s">
        <v>326</v>
      </c>
      <c r="B3119" s="2" t="s">
        <v>540</v>
      </c>
      <c r="C3119" s="2" t="s">
        <v>409</v>
      </c>
      <c r="D3119" s="2" t="s">
        <v>411</v>
      </c>
      <c r="E3119" s="2" t="s">
        <v>414</v>
      </c>
      <c r="F3119" s="2" t="s">
        <v>39</v>
      </c>
      <c r="J3119" s="2" t="s">
        <v>541</v>
      </c>
      <c r="K3119" s="2" t="s">
        <v>542</v>
      </c>
      <c r="L3119" s="2">
        <v>7</v>
      </c>
      <c r="M3119" s="2" t="s">
        <v>549</v>
      </c>
      <c r="O3119" s="2" t="s">
        <v>524</v>
      </c>
      <c r="Y3119" s="2" t="s">
        <v>695</v>
      </c>
    </row>
    <row r="3120" spans="1:25" x14ac:dyDescent="0.25">
      <c r="A3120" s="2" t="s">
        <v>326</v>
      </c>
      <c r="B3120" s="2" t="s">
        <v>540</v>
      </c>
      <c r="C3120" s="2" t="s">
        <v>409</v>
      </c>
      <c r="D3120" s="2" t="s">
        <v>411</v>
      </c>
      <c r="E3120" s="2" t="s">
        <v>414</v>
      </c>
      <c r="F3120" s="2" t="s">
        <v>39</v>
      </c>
      <c r="J3120" s="2" t="s">
        <v>541</v>
      </c>
      <c r="K3120" s="2" t="s">
        <v>542</v>
      </c>
      <c r="L3120" s="2">
        <v>8</v>
      </c>
      <c r="M3120" s="2" t="s">
        <v>550</v>
      </c>
      <c r="O3120" s="2" t="s">
        <v>524</v>
      </c>
      <c r="Y3120" s="2" t="s">
        <v>695</v>
      </c>
    </row>
    <row r="3121" spans="1:34" x14ac:dyDescent="0.25">
      <c r="A3121" s="2" t="s">
        <v>326</v>
      </c>
      <c r="B3121" s="2" t="s">
        <v>540</v>
      </c>
      <c r="C3121" s="2" t="s">
        <v>409</v>
      </c>
      <c r="D3121" s="2" t="s">
        <v>411</v>
      </c>
      <c r="E3121" s="2" t="s">
        <v>414</v>
      </c>
      <c r="F3121" s="2" t="s">
        <v>39</v>
      </c>
      <c r="J3121" s="2" t="s">
        <v>541</v>
      </c>
      <c r="K3121" s="2" t="s">
        <v>542</v>
      </c>
      <c r="L3121" s="2">
        <v>9</v>
      </c>
      <c r="M3121" s="2" t="s">
        <v>551</v>
      </c>
      <c r="O3121" s="2" t="s">
        <v>524</v>
      </c>
      <c r="Y3121" s="2" t="s">
        <v>695</v>
      </c>
    </row>
    <row r="3122" spans="1:34" x14ac:dyDescent="0.25">
      <c r="A3122" s="2" t="s">
        <v>326</v>
      </c>
      <c r="B3122" s="2" t="s">
        <v>540</v>
      </c>
      <c r="C3122" s="2" t="s">
        <v>409</v>
      </c>
      <c r="D3122" s="2" t="s">
        <v>411</v>
      </c>
      <c r="E3122" s="2" t="s">
        <v>414</v>
      </c>
      <c r="F3122" s="2" t="s">
        <v>39</v>
      </c>
      <c r="J3122" s="2" t="s">
        <v>541</v>
      </c>
      <c r="K3122" s="2" t="s">
        <v>542</v>
      </c>
      <c r="L3122" s="2">
        <v>10</v>
      </c>
      <c r="M3122" s="2" t="s">
        <v>552</v>
      </c>
      <c r="O3122" s="2" t="s">
        <v>524</v>
      </c>
      <c r="Y3122" s="2" t="s">
        <v>695</v>
      </c>
    </row>
    <row r="3123" spans="1:34" x14ac:dyDescent="0.25">
      <c r="A3123" s="2" t="s">
        <v>326</v>
      </c>
      <c r="B3123" s="2" t="s">
        <v>540</v>
      </c>
      <c r="C3123" s="2" t="s">
        <v>409</v>
      </c>
      <c r="D3123" s="2" t="s">
        <v>411</v>
      </c>
      <c r="E3123" s="2" t="s">
        <v>414</v>
      </c>
      <c r="F3123" s="2" t="s">
        <v>39</v>
      </c>
      <c r="J3123" s="2" t="s">
        <v>541</v>
      </c>
      <c r="K3123" s="2" t="s">
        <v>542</v>
      </c>
      <c r="L3123" s="2">
        <v>11</v>
      </c>
      <c r="M3123" s="2" t="s">
        <v>553</v>
      </c>
      <c r="O3123" s="2" t="s">
        <v>524</v>
      </c>
      <c r="Y3123" s="2" t="s">
        <v>695</v>
      </c>
    </row>
    <row r="3124" spans="1:34" x14ac:dyDescent="0.25">
      <c r="A3124" s="2" t="s">
        <v>326</v>
      </c>
      <c r="B3124" s="2" t="s">
        <v>540</v>
      </c>
      <c r="C3124" s="2" t="s">
        <v>409</v>
      </c>
      <c r="D3124" s="2" t="s">
        <v>411</v>
      </c>
      <c r="E3124" s="2" t="s">
        <v>414</v>
      </c>
      <c r="F3124" s="2" t="s">
        <v>39</v>
      </c>
      <c r="J3124" s="2" t="s">
        <v>541</v>
      </c>
      <c r="K3124" s="2" t="s">
        <v>542</v>
      </c>
      <c r="L3124" s="2">
        <v>12</v>
      </c>
      <c r="M3124" s="2" t="s">
        <v>554</v>
      </c>
      <c r="O3124" s="2" t="s">
        <v>524</v>
      </c>
      <c r="Y3124" s="2" t="s">
        <v>695</v>
      </c>
    </row>
    <row r="3125" spans="1:34" x14ac:dyDescent="0.25">
      <c r="A3125" s="2" t="s">
        <v>326</v>
      </c>
      <c r="B3125" s="2" t="s">
        <v>555</v>
      </c>
      <c r="C3125" s="2" t="s">
        <v>409</v>
      </c>
      <c r="D3125" s="2" t="s">
        <v>411</v>
      </c>
      <c r="E3125" s="2" t="s">
        <v>414</v>
      </c>
      <c r="F3125" s="2" t="s">
        <v>39</v>
      </c>
      <c r="J3125" s="2" t="s">
        <v>556</v>
      </c>
      <c r="O3125" s="2" t="s">
        <v>524</v>
      </c>
      <c r="Y3125" s="2" t="s">
        <v>695</v>
      </c>
      <c r="AB3125" s="2">
        <v>1</v>
      </c>
    </row>
    <row r="3126" spans="1:34" x14ac:dyDescent="0.25">
      <c r="A3126" s="2" t="s">
        <v>326</v>
      </c>
      <c r="B3126" s="2" t="s">
        <v>557</v>
      </c>
      <c r="C3126" s="2" t="s">
        <v>409</v>
      </c>
      <c r="D3126" s="2" t="s">
        <v>411</v>
      </c>
      <c r="E3126" s="2" t="s">
        <v>414</v>
      </c>
      <c r="F3126" s="2" t="s">
        <v>39</v>
      </c>
      <c r="J3126" s="2" t="s">
        <v>558</v>
      </c>
      <c r="O3126" s="2" t="s">
        <v>524</v>
      </c>
      <c r="Y3126" s="2" t="s">
        <v>695</v>
      </c>
      <c r="AC3126" s="2">
        <f>COUNTIFS($B:$B,"BLOCK_LOAD_Q",$A:$A,$A3126,$C:$C,$C3126,$E:$E,$E3126,$F:$F,$F3126,$N:$N, "&lt;&gt;")</f>
        <v>0</v>
      </c>
      <c r="AD3126" s="2">
        <f>COUNTIFS($B:$B,"BLOCK_TRUST_Q",$A:$A,$A3126,$C:$C,$C3126,$E:$E,$E3126,$F:$F,$F3126,$N:$N, "&lt;&gt;")</f>
        <v>0</v>
      </c>
      <c r="AE3126" s="2" t="str">
        <f>IFERROR(AVERAGEIFS($P:$P,$B:$B,"BLOCK_LOAD_Q",$A:$A,$A3126,$C:$C,$C3126,$E:$E,$E3126,$F:$F,$F3126,$P:$P,"&gt;0"),"")</f>
        <v/>
      </c>
      <c r="AF3126" s="2" t="str">
        <f>IFERROR(AVERAGEIFS($P:$P,$B:$B,"BLOCK_TRUST_Q",$A:$A,$A3126,$C:$C,$C3126,$E:$E,$E3126,$F:$F,$F3126,$P:$P,"&gt;0"),"")</f>
        <v/>
      </c>
      <c r="AG3126" s="2">
        <f>5-AC3126</f>
        <v>5</v>
      </c>
      <c r="AH3126" s="2">
        <f>12-AD3126</f>
        <v>12</v>
      </c>
    </row>
    <row r="3127" spans="1:34" x14ac:dyDescent="0.25">
      <c r="A3127" s="2" t="s">
        <v>326</v>
      </c>
      <c r="B3127" s="2" t="s">
        <v>403</v>
      </c>
      <c r="C3127" s="2" t="s">
        <v>409</v>
      </c>
      <c r="D3127" s="2" t="s">
        <v>411</v>
      </c>
      <c r="Z3127" s="2" t="s">
        <v>482</v>
      </c>
    </row>
    <row r="3128" spans="1:34" x14ac:dyDescent="0.25">
      <c r="A3128" s="2" t="s">
        <v>326</v>
      </c>
      <c r="B3128" s="2" t="s">
        <v>404</v>
      </c>
      <c r="J3128" s="2" t="s">
        <v>575</v>
      </c>
      <c r="AA3128" s="2" t="s">
        <v>336</v>
      </c>
    </row>
    <row r="3129" spans="1:34" x14ac:dyDescent="0.25">
      <c r="A3129" s="2" t="s">
        <v>326</v>
      </c>
      <c r="B3129" s="2" t="s">
        <v>405</v>
      </c>
    </row>
    <row r="3130" spans="1:34" x14ac:dyDescent="0.25">
      <c r="A3130" s="2" t="s">
        <v>326</v>
      </c>
      <c r="B3130" s="2" t="s">
        <v>406</v>
      </c>
    </row>
    <row r="3131" spans="1:34" x14ac:dyDescent="0.25">
      <c r="A3131" s="2" t="s">
        <v>327</v>
      </c>
      <c r="B3131" s="2" t="s">
        <v>523</v>
      </c>
      <c r="C3131" s="2" t="s">
        <v>524</v>
      </c>
      <c r="D3131" s="2" t="s">
        <v>524</v>
      </c>
      <c r="E3131" s="2" t="s">
        <v>524</v>
      </c>
      <c r="F3131" s="2" t="s">
        <v>524</v>
      </c>
      <c r="J3131" s="2" t="s">
        <v>525</v>
      </c>
      <c r="O3131" s="2" t="s">
        <v>524</v>
      </c>
    </row>
    <row r="3132" spans="1:34" x14ac:dyDescent="0.25">
      <c r="A3132" s="2" t="s">
        <v>327</v>
      </c>
      <c r="B3132" s="2" t="s">
        <v>526</v>
      </c>
      <c r="C3132" s="2" t="s">
        <v>524</v>
      </c>
      <c r="D3132" s="2" t="s">
        <v>524</v>
      </c>
      <c r="E3132" s="2" t="s">
        <v>524</v>
      </c>
      <c r="F3132" s="2" t="s">
        <v>524</v>
      </c>
      <c r="J3132" s="2" t="s">
        <v>527</v>
      </c>
      <c r="O3132" s="2" t="s">
        <v>524</v>
      </c>
    </row>
    <row r="3133" spans="1:34" x14ac:dyDescent="0.25">
      <c r="A3133" s="2" t="s">
        <v>327</v>
      </c>
      <c r="B3133" s="2" t="s">
        <v>402</v>
      </c>
      <c r="C3133" s="2" t="s">
        <v>407</v>
      </c>
      <c r="D3133" s="2" t="s">
        <v>410</v>
      </c>
      <c r="E3133" s="2" t="s">
        <v>413</v>
      </c>
      <c r="F3133" s="2" t="s">
        <v>40</v>
      </c>
      <c r="G3133" s="2" t="s">
        <v>415</v>
      </c>
      <c r="H3133" s="2" t="s">
        <v>354</v>
      </c>
      <c r="S3133" s="2" t="s">
        <v>59</v>
      </c>
      <c r="U3133" s="2" t="s">
        <v>59</v>
      </c>
      <c r="W3133" s="2" t="s">
        <v>58</v>
      </c>
    </row>
    <row r="3134" spans="1:34" x14ac:dyDescent="0.25">
      <c r="A3134" s="2" t="s">
        <v>327</v>
      </c>
      <c r="B3134" s="2" t="s">
        <v>402</v>
      </c>
      <c r="C3134" s="2" t="s">
        <v>407</v>
      </c>
      <c r="D3134" s="2" t="s">
        <v>410</v>
      </c>
      <c r="E3134" s="2" t="s">
        <v>413</v>
      </c>
      <c r="F3134" s="2" t="s">
        <v>40</v>
      </c>
      <c r="G3134" s="2" t="s">
        <v>416</v>
      </c>
      <c r="H3134" s="2" t="s">
        <v>559</v>
      </c>
      <c r="S3134" s="2" t="s">
        <v>57</v>
      </c>
      <c r="U3134" s="2" t="s">
        <v>57</v>
      </c>
      <c r="W3134" s="2" t="s">
        <v>58</v>
      </c>
    </row>
    <row r="3135" spans="1:34" x14ac:dyDescent="0.25">
      <c r="A3135" s="2" t="s">
        <v>327</v>
      </c>
      <c r="B3135" s="2" t="s">
        <v>402</v>
      </c>
      <c r="C3135" s="2" t="s">
        <v>407</v>
      </c>
      <c r="D3135" s="2" t="s">
        <v>410</v>
      </c>
      <c r="E3135" s="2" t="s">
        <v>413</v>
      </c>
      <c r="F3135" s="2" t="s">
        <v>40</v>
      </c>
      <c r="G3135" s="2" t="s">
        <v>417</v>
      </c>
      <c r="H3135" s="2" t="s">
        <v>370</v>
      </c>
      <c r="S3135" s="2" t="s">
        <v>60</v>
      </c>
      <c r="U3135" s="2" t="s">
        <v>58</v>
      </c>
      <c r="W3135" s="2" t="s">
        <v>59</v>
      </c>
    </row>
    <row r="3136" spans="1:34" x14ac:dyDescent="0.25">
      <c r="A3136" s="2" t="s">
        <v>327</v>
      </c>
      <c r="B3136" s="2" t="s">
        <v>402</v>
      </c>
      <c r="C3136" s="2" t="s">
        <v>407</v>
      </c>
      <c r="D3136" s="2" t="s">
        <v>410</v>
      </c>
      <c r="E3136" s="2" t="s">
        <v>413</v>
      </c>
      <c r="F3136" s="2" t="s">
        <v>40</v>
      </c>
      <c r="G3136" s="2" t="s">
        <v>418</v>
      </c>
      <c r="H3136" s="2" t="s">
        <v>560</v>
      </c>
      <c r="S3136" s="2" t="s">
        <v>57</v>
      </c>
      <c r="U3136" s="2" t="s">
        <v>58</v>
      </c>
      <c r="W3136" s="2" t="s">
        <v>60</v>
      </c>
    </row>
    <row r="3137" spans="1:25" x14ac:dyDescent="0.25">
      <c r="A3137" s="2" t="s">
        <v>327</v>
      </c>
      <c r="B3137" s="2" t="s">
        <v>531</v>
      </c>
      <c r="C3137" s="2" t="s">
        <v>407</v>
      </c>
      <c r="D3137" s="2" t="s">
        <v>410</v>
      </c>
      <c r="E3137" s="2" t="s">
        <v>413</v>
      </c>
      <c r="F3137" s="2" t="s">
        <v>40</v>
      </c>
      <c r="J3137" s="2" t="s">
        <v>532</v>
      </c>
      <c r="K3137" s="2" t="s">
        <v>533</v>
      </c>
      <c r="L3137" s="2">
        <v>1</v>
      </c>
      <c r="M3137" s="2" t="s">
        <v>534</v>
      </c>
      <c r="O3137" s="2" t="s">
        <v>524</v>
      </c>
      <c r="Y3137" s="2" t="s">
        <v>696</v>
      </c>
    </row>
    <row r="3138" spans="1:25" x14ac:dyDescent="0.25">
      <c r="A3138" s="2" t="s">
        <v>327</v>
      </c>
      <c r="B3138" s="2" t="s">
        <v>531</v>
      </c>
      <c r="C3138" s="2" t="s">
        <v>407</v>
      </c>
      <c r="D3138" s="2" t="s">
        <v>410</v>
      </c>
      <c r="E3138" s="2" t="s">
        <v>413</v>
      </c>
      <c r="F3138" s="2" t="s">
        <v>40</v>
      </c>
      <c r="J3138" s="2" t="s">
        <v>532</v>
      </c>
      <c r="K3138" s="2" t="s">
        <v>533</v>
      </c>
      <c r="L3138" s="2">
        <v>2</v>
      </c>
      <c r="M3138" s="2" t="s">
        <v>536</v>
      </c>
      <c r="O3138" s="2" t="s">
        <v>524</v>
      </c>
      <c r="Y3138" s="2" t="s">
        <v>696</v>
      </c>
    </row>
    <row r="3139" spans="1:25" x14ac:dyDescent="0.25">
      <c r="A3139" s="2" t="s">
        <v>327</v>
      </c>
      <c r="B3139" s="2" t="s">
        <v>531</v>
      </c>
      <c r="C3139" s="2" t="s">
        <v>407</v>
      </c>
      <c r="D3139" s="2" t="s">
        <v>410</v>
      </c>
      <c r="E3139" s="2" t="s">
        <v>413</v>
      </c>
      <c r="F3139" s="2" t="s">
        <v>40</v>
      </c>
      <c r="J3139" s="2" t="s">
        <v>532</v>
      </c>
      <c r="K3139" s="2" t="s">
        <v>533</v>
      </c>
      <c r="L3139" s="2">
        <v>3</v>
      </c>
      <c r="M3139" s="2" t="s">
        <v>537</v>
      </c>
      <c r="O3139" s="2" t="s">
        <v>524</v>
      </c>
      <c r="Y3139" s="2" t="s">
        <v>696</v>
      </c>
    </row>
    <row r="3140" spans="1:25" x14ac:dyDescent="0.25">
      <c r="A3140" s="2" t="s">
        <v>327</v>
      </c>
      <c r="B3140" s="2" t="s">
        <v>531</v>
      </c>
      <c r="C3140" s="2" t="s">
        <v>407</v>
      </c>
      <c r="D3140" s="2" t="s">
        <v>410</v>
      </c>
      <c r="E3140" s="2" t="s">
        <v>413</v>
      </c>
      <c r="F3140" s="2" t="s">
        <v>40</v>
      </c>
      <c r="J3140" s="2" t="s">
        <v>532</v>
      </c>
      <c r="K3140" s="2" t="s">
        <v>533</v>
      </c>
      <c r="L3140" s="2">
        <v>4</v>
      </c>
      <c r="M3140" s="2" t="s">
        <v>538</v>
      </c>
      <c r="O3140" s="2" t="s">
        <v>524</v>
      </c>
      <c r="Y3140" s="2" t="s">
        <v>696</v>
      </c>
    </row>
    <row r="3141" spans="1:25" x14ac:dyDescent="0.25">
      <c r="A3141" s="2" t="s">
        <v>327</v>
      </c>
      <c r="B3141" s="2" t="s">
        <v>531</v>
      </c>
      <c r="C3141" s="2" t="s">
        <v>407</v>
      </c>
      <c r="D3141" s="2" t="s">
        <v>410</v>
      </c>
      <c r="E3141" s="2" t="s">
        <v>413</v>
      </c>
      <c r="F3141" s="2" t="s">
        <v>40</v>
      </c>
      <c r="J3141" s="2" t="s">
        <v>532</v>
      </c>
      <c r="K3141" s="2" t="s">
        <v>533</v>
      </c>
      <c r="L3141" s="2">
        <v>5</v>
      </c>
      <c r="M3141" s="2" t="s">
        <v>539</v>
      </c>
      <c r="O3141" s="2" t="s">
        <v>524</v>
      </c>
      <c r="Y3141" s="2" t="s">
        <v>696</v>
      </c>
    </row>
    <row r="3142" spans="1:25" x14ac:dyDescent="0.25">
      <c r="A3142" s="2" t="s">
        <v>327</v>
      </c>
      <c r="B3142" s="2" t="s">
        <v>540</v>
      </c>
      <c r="C3142" s="2" t="s">
        <v>407</v>
      </c>
      <c r="D3142" s="2" t="s">
        <v>410</v>
      </c>
      <c r="E3142" s="2" t="s">
        <v>413</v>
      </c>
      <c r="F3142" s="2" t="s">
        <v>40</v>
      </c>
      <c r="J3142" s="2" t="s">
        <v>541</v>
      </c>
      <c r="K3142" s="2" t="s">
        <v>542</v>
      </c>
      <c r="L3142" s="2">
        <v>1</v>
      </c>
      <c r="M3142" s="2" t="s">
        <v>543</v>
      </c>
      <c r="O3142" s="2" t="s">
        <v>524</v>
      </c>
      <c r="Y3142" s="2" t="s">
        <v>696</v>
      </c>
    </row>
    <row r="3143" spans="1:25" x14ac:dyDescent="0.25">
      <c r="A3143" s="2" t="s">
        <v>327</v>
      </c>
      <c r="B3143" s="2" t="s">
        <v>540</v>
      </c>
      <c r="C3143" s="2" t="s">
        <v>407</v>
      </c>
      <c r="D3143" s="2" t="s">
        <v>410</v>
      </c>
      <c r="E3143" s="2" t="s">
        <v>413</v>
      </c>
      <c r="F3143" s="2" t="s">
        <v>40</v>
      </c>
      <c r="J3143" s="2" t="s">
        <v>541</v>
      </c>
      <c r="K3143" s="2" t="s">
        <v>542</v>
      </c>
      <c r="L3143" s="2">
        <v>2</v>
      </c>
      <c r="M3143" s="2" t="s">
        <v>544</v>
      </c>
      <c r="O3143" s="2" t="s">
        <v>524</v>
      </c>
      <c r="Y3143" s="2" t="s">
        <v>696</v>
      </c>
    </row>
    <row r="3144" spans="1:25" x14ac:dyDescent="0.25">
      <c r="A3144" s="2" t="s">
        <v>327</v>
      </c>
      <c r="B3144" s="2" t="s">
        <v>540</v>
      </c>
      <c r="C3144" s="2" t="s">
        <v>407</v>
      </c>
      <c r="D3144" s="2" t="s">
        <v>410</v>
      </c>
      <c r="E3144" s="2" t="s">
        <v>413</v>
      </c>
      <c r="F3144" s="2" t="s">
        <v>40</v>
      </c>
      <c r="J3144" s="2" t="s">
        <v>541</v>
      </c>
      <c r="K3144" s="2" t="s">
        <v>542</v>
      </c>
      <c r="L3144" s="2">
        <v>3</v>
      </c>
      <c r="M3144" s="2" t="s">
        <v>545</v>
      </c>
      <c r="O3144" s="2" t="s">
        <v>524</v>
      </c>
      <c r="Y3144" s="2" t="s">
        <v>696</v>
      </c>
    </row>
    <row r="3145" spans="1:25" x14ac:dyDescent="0.25">
      <c r="A3145" s="2" t="s">
        <v>327</v>
      </c>
      <c r="B3145" s="2" t="s">
        <v>540</v>
      </c>
      <c r="C3145" s="2" t="s">
        <v>407</v>
      </c>
      <c r="D3145" s="2" t="s">
        <v>410</v>
      </c>
      <c r="E3145" s="2" t="s">
        <v>413</v>
      </c>
      <c r="F3145" s="2" t="s">
        <v>40</v>
      </c>
      <c r="J3145" s="2" t="s">
        <v>541</v>
      </c>
      <c r="K3145" s="2" t="s">
        <v>542</v>
      </c>
      <c r="L3145" s="2">
        <v>4</v>
      </c>
      <c r="M3145" s="2" t="s">
        <v>546</v>
      </c>
      <c r="O3145" s="2" t="s">
        <v>524</v>
      </c>
      <c r="Y3145" s="2" t="s">
        <v>696</v>
      </c>
    </row>
    <row r="3146" spans="1:25" x14ac:dyDescent="0.25">
      <c r="A3146" s="2" t="s">
        <v>327</v>
      </c>
      <c r="B3146" s="2" t="s">
        <v>540</v>
      </c>
      <c r="C3146" s="2" t="s">
        <v>407</v>
      </c>
      <c r="D3146" s="2" t="s">
        <v>410</v>
      </c>
      <c r="E3146" s="2" t="s">
        <v>413</v>
      </c>
      <c r="F3146" s="2" t="s">
        <v>40</v>
      </c>
      <c r="J3146" s="2" t="s">
        <v>541</v>
      </c>
      <c r="K3146" s="2" t="s">
        <v>542</v>
      </c>
      <c r="L3146" s="2">
        <v>5</v>
      </c>
      <c r="M3146" s="2" t="s">
        <v>547</v>
      </c>
      <c r="O3146" s="2" t="s">
        <v>524</v>
      </c>
      <c r="Y3146" s="2" t="s">
        <v>696</v>
      </c>
    </row>
    <row r="3147" spans="1:25" x14ac:dyDescent="0.25">
      <c r="A3147" s="2" t="s">
        <v>327</v>
      </c>
      <c r="B3147" s="2" t="s">
        <v>540</v>
      </c>
      <c r="C3147" s="2" t="s">
        <v>407</v>
      </c>
      <c r="D3147" s="2" t="s">
        <v>410</v>
      </c>
      <c r="E3147" s="2" t="s">
        <v>413</v>
      </c>
      <c r="F3147" s="2" t="s">
        <v>40</v>
      </c>
      <c r="J3147" s="2" t="s">
        <v>541</v>
      </c>
      <c r="K3147" s="2" t="s">
        <v>542</v>
      </c>
      <c r="L3147" s="2">
        <v>6</v>
      </c>
      <c r="M3147" s="2" t="s">
        <v>548</v>
      </c>
      <c r="O3147" s="2" t="s">
        <v>524</v>
      </c>
      <c r="Y3147" s="2" t="s">
        <v>696</v>
      </c>
    </row>
    <row r="3148" spans="1:25" x14ac:dyDescent="0.25">
      <c r="A3148" s="2" t="s">
        <v>327</v>
      </c>
      <c r="B3148" s="2" t="s">
        <v>540</v>
      </c>
      <c r="C3148" s="2" t="s">
        <v>407</v>
      </c>
      <c r="D3148" s="2" t="s">
        <v>410</v>
      </c>
      <c r="E3148" s="2" t="s">
        <v>413</v>
      </c>
      <c r="F3148" s="2" t="s">
        <v>40</v>
      </c>
      <c r="J3148" s="2" t="s">
        <v>541</v>
      </c>
      <c r="K3148" s="2" t="s">
        <v>542</v>
      </c>
      <c r="L3148" s="2">
        <v>7</v>
      </c>
      <c r="M3148" s="2" t="s">
        <v>549</v>
      </c>
      <c r="O3148" s="2" t="s">
        <v>524</v>
      </c>
      <c r="Y3148" s="2" t="s">
        <v>696</v>
      </c>
    </row>
    <row r="3149" spans="1:25" x14ac:dyDescent="0.25">
      <c r="A3149" s="2" t="s">
        <v>327</v>
      </c>
      <c r="B3149" s="2" t="s">
        <v>540</v>
      </c>
      <c r="C3149" s="2" t="s">
        <v>407</v>
      </c>
      <c r="D3149" s="2" t="s">
        <v>410</v>
      </c>
      <c r="E3149" s="2" t="s">
        <v>413</v>
      </c>
      <c r="F3149" s="2" t="s">
        <v>40</v>
      </c>
      <c r="J3149" s="2" t="s">
        <v>541</v>
      </c>
      <c r="K3149" s="2" t="s">
        <v>542</v>
      </c>
      <c r="L3149" s="2">
        <v>8</v>
      </c>
      <c r="M3149" s="2" t="s">
        <v>550</v>
      </c>
      <c r="O3149" s="2" t="s">
        <v>524</v>
      </c>
      <c r="Y3149" s="2" t="s">
        <v>696</v>
      </c>
    </row>
    <row r="3150" spans="1:25" x14ac:dyDescent="0.25">
      <c r="A3150" s="2" t="s">
        <v>327</v>
      </c>
      <c r="B3150" s="2" t="s">
        <v>540</v>
      </c>
      <c r="C3150" s="2" t="s">
        <v>407</v>
      </c>
      <c r="D3150" s="2" t="s">
        <v>410</v>
      </c>
      <c r="E3150" s="2" t="s">
        <v>413</v>
      </c>
      <c r="F3150" s="2" t="s">
        <v>40</v>
      </c>
      <c r="J3150" s="2" t="s">
        <v>541</v>
      </c>
      <c r="K3150" s="2" t="s">
        <v>542</v>
      </c>
      <c r="L3150" s="2">
        <v>9</v>
      </c>
      <c r="M3150" s="2" t="s">
        <v>551</v>
      </c>
      <c r="O3150" s="2" t="s">
        <v>524</v>
      </c>
      <c r="Y3150" s="2" t="s">
        <v>696</v>
      </c>
    </row>
    <row r="3151" spans="1:25" x14ac:dyDescent="0.25">
      <c r="A3151" s="2" t="s">
        <v>327</v>
      </c>
      <c r="B3151" s="2" t="s">
        <v>540</v>
      </c>
      <c r="C3151" s="2" t="s">
        <v>407</v>
      </c>
      <c r="D3151" s="2" t="s">
        <v>410</v>
      </c>
      <c r="E3151" s="2" t="s">
        <v>413</v>
      </c>
      <c r="F3151" s="2" t="s">
        <v>40</v>
      </c>
      <c r="J3151" s="2" t="s">
        <v>541</v>
      </c>
      <c r="K3151" s="2" t="s">
        <v>542</v>
      </c>
      <c r="L3151" s="2">
        <v>10</v>
      </c>
      <c r="M3151" s="2" t="s">
        <v>552</v>
      </c>
      <c r="O3151" s="2" t="s">
        <v>524</v>
      </c>
      <c r="Y3151" s="2" t="s">
        <v>696</v>
      </c>
    </row>
    <row r="3152" spans="1:25" x14ac:dyDescent="0.25">
      <c r="A3152" s="2" t="s">
        <v>327</v>
      </c>
      <c r="B3152" s="2" t="s">
        <v>540</v>
      </c>
      <c r="C3152" s="2" t="s">
        <v>407</v>
      </c>
      <c r="D3152" s="2" t="s">
        <v>410</v>
      </c>
      <c r="E3152" s="2" t="s">
        <v>413</v>
      </c>
      <c r="F3152" s="2" t="s">
        <v>40</v>
      </c>
      <c r="J3152" s="2" t="s">
        <v>541</v>
      </c>
      <c r="K3152" s="2" t="s">
        <v>542</v>
      </c>
      <c r="L3152" s="2">
        <v>11</v>
      </c>
      <c r="M3152" s="2" t="s">
        <v>553</v>
      </c>
      <c r="O3152" s="2" t="s">
        <v>524</v>
      </c>
      <c r="Y3152" s="2" t="s">
        <v>696</v>
      </c>
    </row>
    <row r="3153" spans="1:34" x14ac:dyDescent="0.25">
      <c r="A3153" s="2" t="s">
        <v>327</v>
      </c>
      <c r="B3153" s="2" t="s">
        <v>540</v>
      </c>
      <c r="C3153" s="2" t="s">
        <v>407</v>
      </c>
      <c r="D3153" s="2" t="s">
        <v>410</v>
      </c>
      <c r="E3153" s="2" t="s">
        <v>413</v>
      </c>
      <c r="F3153" s="2" t="s">
        <v>40</v>
      </c>
      <c r="J3153" s="2" t="s">
        <v>541</v>
      </c>
      <c r="K3153" s="2" t="s">
        <v>542</v>
      </c>
      <c r="L3153" s="2">
        <v>12</v>
      </c>
      <c r="M3153" s="2" t="s">
        <v>554</v>
      </c>
      <c r="O3153" s="2" t="s">
        <v>524</v>
      </c>
      <c r="Y3153" s="2" t="s">
        <v>696</v>
      </c>
    </row>
    <row r="3154" spans="1:34" x14ac:dyDescent="0.25">
      <c r="A3154" s="2" t="s">
        <v>327</v>
      </c>
      <c r="B3154" s="2" t="s">
        <v>555</v>
      </c>
      <c r="C3154" s="2" t="s">
        <v>407</v>
      </c>
      <c r="D3154" s="2" t="s">
        <v>410</v>
      </c>
      <c r="E3154" s="2" t="s">
        <v>413</v>
      </c>
      <c r="F3154" s="2" t="s">
        <v>40</v>
      </c>
      <c r="J3154" s="2" t="s">
        <v>556</v>
      </c>
      <c r="O3154" s="2" t="s">
        <v>524</v>
      </c>
      <c r="Y3154" s="2" t="s">
        <v>696</v>
      </c>
      <c r="AB3154" s="2">
        <v>2</v>
      </c>
    </row>
    <row r="3155" spans="1:34" x14ac:dyDescent="0.25">
      <c r="A3155" s="2" t="s">
        <v>327</v>
      </c>
      <c r="B3155" s="2" t="s">
        <v>557</v>
      </c>
      <c r="C3155" s="2" t="s">
        <v>407</v>
      </c>
      <c r="D3155" s="2" t="s">
        <v>410</v>
      </c>
      <c r="E3155" s="2" t="s">
        <v>413</v>
      </c>
      <c r="F3155" s="2" t="s">
        <v>40</v>
      </c>
      <c r="J3155" s="2" t="s">
        <v>558</v>
      </c>
      <c r="O3155" s="2" t="s">
        <v>524</v>
      </c>
      <c r="Y3155" s="2" t="s">
        <v>696</v>
      </c>
      <c r="AC3155" s="2">
        <f>COUNTIFS($B:$B,"BLOCK_LOAD_Q",$A:$A,$A3155,$C:$C,$C3155,$E:$E,$E3155,$F:$F,$F3155,$N:$N, "&lt;&gt;")</f>
        <v>0</v>
      </c>
      <c r="AD3155" s="2">
        <f>COUNTIFS($B:$B,"BLOCK_TRUST_Q",$A:$A,$A3155,$C:$C,$C3155,$E:$E,$E3155,$F:$F,$F3155,$N:$N, "&lt;&gt;")</f>
        <v>0</v>
      </c>
      <c r="AE3155" s="2" t="str">
        <f>IFERROR(AVERAGEIFS($P:$P,$B:$B,"BLOCK_LOAD_Q",$A:$A,$A3155,$C:$C,$C3155,$E:$E,$E3155,$F:$F,$F3155,$P:$P,"&gt;0"),"")</f>
        <v/>
      </c>
      <c r="AF3155" s="2" t="str">
        <f>IFERROR(AVERAGEIFS($P:$P,$B:$B,"BLOCK_TRUST_Q",$A:$A,$A3155,$C:$C,$C3155,$E:$E,$E3155,$F:$F,$F3155,$P:$P,"&gt;0"),"")</f>
        <v/>
      </c>
      <c r="AG3155" s="2">
        <f>5-AC3155</f>
        <v>5</v>
      </c>
      <c r="AH3155" s="2">
        <f>12-AD3155</f>
        <v>12</v>
      </c>
    </row>
    <row r="3156" spans="1:34" x14ac:dyDescent="0.25">
      <c r="A3156" s="2" t="s">
        <v>327</v>
      </c>
      <c r="B3156" s="2" t="s">
        <v>402</v>
      </c>
      <c r="C3156" s="2" t="s">
        <v>407</v>
      </c>
      <c r="D3156" s="2" t="s">
        <v>410</v>
      </c>
      <c r="E3156" s="2" t="s">
        <v>414</v>
      </c>
      <c r="F3156" s="2" t="s">
        <v>39</v>
      </c>
      <c r="G3156" s="2" t="s">
        <v>415</v>
      </c>
      <c r="H3156" s="2" t="s">
        <v>373</v>
      </c>
      <c r="S3156" s="2" t="s">
        <v>60</v>
      </c>
      <c r="U3156" s="2" t="s">
        <v>60</v>
      </c>
      <c r="W3156" s="2" t="s">
        <v>60</v>
      </c>
    </row>
    <row r="3157" spans="1:34" x14ac:dyDescent="0.25">
      <c r="A3157" s="2" t="s">
        <v>327</v>
      </c>
      <c r="B3157" s="2" t="s">
        <v>402</v>
      </c>
      <c r="C3157" s="2" t="s">
        <v>407</v>
      </c>
      <c r="D3157" s="2" t="s">
        <v>410</v>
      </c>
      <c r="E3157" s="2" t="s">
        <v>414</v>
      </c>
      <c r="F3157" s="2" t="s">
        <v>39</v>
      </c>
      <c r="G3157" s="2" t="s">
        <v>416</v>
      </c>
      <c r="H3157" s="2" t="s">
        <v>528</v>
      </c>
      <c r="S3157" s="2" t="s">
        <v>60</v>
      </c>
      <c r="U3157" s="2" t="s">
        <v>59</v>
      </c>
      <c r="W3157" s="2" t="s">
        <v>59</v>
      </c>
    </row>
    <row r="3158" spans="1:34" x14ac:dyDescent="0.25">
      <c r="A3158" s="2" t="s">
        <v>327</v>
      </c>
      <c r="B3158" s="2" t="s">
        <v>402</v>
      </c>
      <c r="C3158" s="2" t="s">
        <v>407</v>
      </c>
      <c r="D3158" s="2" t="s">
        <v>410</v>
      </c>
      <c r="E3158" s="2" t="s">
        <v>414</v>
      </c>
      <c r="F3158" s="2" t="s">
        <v>39</v>
      </c>
      <c r="G3158" s="2" t="s">
        <v>417</v>
      </c>
      <c r="H3158" s="2" t="s">
        <v>529</v>
      </c>
      <c r="S3158" s="2" t="s">
        <v>57</v>
      </c>
      <c r="U3158" s="2" t="s">
        <v>59</v>
      </c>
      <c r="W3158" s="2" t="s">
        <v>60</v>
      </c>
    </row>
    <row r="3159" spans="1:34" x14ac:dyDescent="0.25">
      <c r="A3159" s="2" t="s">
        <v>327</v>
      </c>
      <c r="B3159" s="2" t="s">
        <v>402</v>
      </c>
      <c r="C3159" s="2" t="s">
        <v>407</v>
      </c>
      <c r="D3159" s="2" t="s">
        <v>410</v>
      </c>
      <c r="E3159" s="2" t="s">
        <v>414</v>
      </c>
      <c r="F3159" s="2" t="s">
        <v>39</v>
      </c>
      <c r="G3159" s="2" t="s">
        <v>418</v>
      </c>
      <c r="H3159" s="2" t="s">
        <v>347</v>
      </c>
      <c r="S3159" s="2" t="s">
        <v>60</v>
      </c>
      <c r="U3159" s="2" t="s">
        <v>57</v>
      </c>
      <c r="W3159" s="2" t="s">
        <v>59</v>
      </c>
    </row>
    <row r="3160" spans="1:34" x14ac:dyDescent="0.25">
      <c r="A3160" s="2" t="s">
        <v>327</v>
      </c>
      <c r="B3160" s="2" t="s">
        <v>402</v>
      </c>
      <c r="C3160" s="2" t="s">
        <v>407</v>
      </c>
      <c r="D3160" s="2" t="s">
        <v>410</v>
      </c>
      <c r="E3160" s="2" t="s">
        <v>414</v>
      </c>
      <c r="F3160" s="2" t="s">
        <v>39</v>
      </c>
      <c r="G3160" s="2" t="s">
        <v>419</v>
      </c>
      <c r="H3160" s="2" t="s">
        <v>530</v>
      </c>
      <c r="S3160" s="2" t="s">
        <v>57</v>
      </c>
      <c r="U3160" s="2" t="s">
        <v>60</v>
      </c>
      <c r="W3160" s="2" t="s">
        <v>58</v>
      </c>
    </row>
    <row r="3161" spans="1:34" x14ac:dyDescent="0.25">
      <c r="A3161" s="2" t="s">
        <v>327</v>
      </c>
      <c r="B3161" s="2" t="s">
        <v>531</v>
      </c>
      <c r="C3161" s="2" t="s">
        <v>407</v>
      </c>
      <c r="D3161" s="2" t="s">
        <v>410</v>
      </c>
      <c r="E3161" s="2" t="s">
        <v>414</v>
      </c>
      <c r="F3161" s="2" t="s">
        <v>39</v>
      </c>
      <c r="J3161" s="2" t="s">
        <v>532</v>
      </c>
      <c r="K3161" s="2" t="s">
        <v>533</v>
      </c>
      <c r="L3161" s="2">
        <v>1</v>
      </c>
      <c r="M3161" s="2" t="s">
        <v>534</v>
      </c>
      <c r="O3161" s="2" t="s">
        <v>524</v>
      </c>
      <c r="Y3161" s="2" t="s">
        <v>697</v>
      </c>
    </row>
    <row r="3162" spans="1:34" x14ac:dyDescent="0.25">
      <c r="A3162" s="2" t="s">
        <v>327</v>
      </c>
      <c r="B3162" s="2" t="s">
        <v>531</v>
      </c>
      <c r="C3162" s="2" t="s">
        <v>407</v>
      </c>
      <c r="D3162" s="2" t="s">
        <v>410</v>
      </c>
      <c r="E3162" s="2" t="s">
        <v>414</v>
      </c>
      <c r="F3162" s="2" t="s">
        <v>39</v>
      </c>
      <c r="J3162" s="2" t="s">
        <v>532</v>
      </c>
      <c r="K3162" s="2" t="s">
        <v>533</v>
      </c>
      <c r="L3162" s="2">
        <v>2</v>
      </c>
      <c r="M3162" s="2" t="s">
        <v>536</v>
      </c>
      <c r="O3162" s="2" t="s">
        <v>524</v>
      </c>
      <c r="Y3162" s="2" t="s">
        <v>697</v>
      </c>
    </row>
    <row r="3163" spans="1:34" x14ac:dyDescent="0.25">
      <c r="A3163" s="2" t="s">
        <v>327</v>
      </c>
      <c r="B3163" s="2" t="s">
        <v>531</v>
      </c>
      <c r="C3163" s="2" t="s">
        <v>407</v>
      </c>
      <c r="D3163" s="2" t="s">
        <v>410</v>
      </c>
      <c r="E3163" s="2" t="s">
        <v>414</v>
      </c>
      <c r="F3163" s="2" t="s">
        <v>39</v>
      </c>
      <c r="J3163" s="2" t="s">
        <v>532</v>
      </c>
      <c r="K3163" s="2" t="s">
        <v>533</v>
      </c>
      <c r="L3163" s="2">
        <v>3</v>
      </c>
      <c r="M3163" s="2" t="s">
        <v>537</v>
      </c>
      <c r="O3163" s="2" t="s">
        <v>524</v>
      </c>
      <c r="Y3163" s="2" t="s">
        <v>697</v>
      </c>
    </row>
    <row r="3164" spans="1:34" x14ac:dyDescent="0.25">
      <c r="A3164" s="2" t="s">
        <v>327</v>
      </c>
      <c r="B3164" s="2" t="s">
        <v>531</v>
      </c>
      <c r="C3164" s="2" t="s">
        <v>407</v>
      </c>
      <c r="D3164" s="2" t="s">
        <v>410</v>
      </c>
      <c r="E3164" s="2" t="s">
        <v>414</v>
      </c>
      <c r="F3164" s="2" t="s">
        <v>39</v>
      </c>
      <c r="J3164" s="2" t="s">
        <v>532</v>
      </c>
      <c r="K3164" s="2" t="s">
        <v>533</v>
      </c>
      <c r="L3164" s="2">
        <v>4</v>
      </c>
      <c r="M3164" s="2" t="s">
        <v>538</v>
      </c>
      <c r="O3164" s="2" t="s">
        <v>524</v>
      </c>
      <c r="Y3164" s="2" t="s">
        <v>697</v>
      </c>
    </row>
    <row r="3165" spans="1:34" x14ac:dyDescent="0.25">
      <c r="A3165" s="2" t="s">
        <v>327</v>
      </c>
      <c r="B3165" s="2" t="s">
        <v>531</v>
      </c>
      <c r="C3165" s="2" t="s">
        <v>407</v>
      </c>
      <c r="D3165" s="2" t="s">
        <v>410</v>
      </c>
      <c r="E3165" s="2" t="s">
        <v>414</v>
      </c>
      <c r="F3165" s="2" t="s">
        <v>39</v>
      </c>
      <c r="J3165" s="2" t="s">
        <v>532</v>
      </c>
      <c r="K3165" s="2" t="s">
        <v>533</v>
      </c>
      <c r="L3165" s="2">
        <v>5</v>
      </c>
      <c r="M3165" s="2" t="s">
        <v>539</v>
      </c>
      <c r="O3165" s="2" t="s">
        <v>524</v>
      </c>
      <c r="Y3165" s="2" t="s">
        <v>697</v>
      </c>
    </row>
    <row r="3166" spans="1:34" x14ac:dyDescent="0.25">
      <c r="A3166" s="2" t="s">
        <v>327</v>
      </c>
      <c r="B3166" s="2" t="s">
        <v>540</v>
      </c>
      <c r="C3166" s="2" t="s">
        <v>407</v>
      </c>
      <c r="D3166" s="2" t="s">
        <v>410</v>
      </c>
      <c r="E3166" s="2" t="s">
        <v>414</v>
      </c>
      <c r="F3166" s="2" t="s">
        <v>39</v>
      </c>
      <c r="J3166" s="2" t="s">
        <v>541</v>
      </c>
      <c r="K3166" s="2" t="s">
        <v>542</v>
      </c>
      <c r="L3166" s="2">
        <v>1</v>
      </c>
      <c r="M3166" s="2" t="s">
        <v>543</v>
      </c>
      <c r="O3166" s="2" t="s">
        <v>524</v>
      </c>
      <c r="Y3166" s="2" t="s">
        <v>697</v>
      </c>
    </row>
    <row r="3167" spans="1:34" x14ac:dyDescent="0.25">
      <c r="A3167" s="2" t="s">
        <v>327</v>
      </c>
      <c r="B3167" s="2" t="s">
        <v>540</v>
      </c>
      <c r="C3167" s="2" t="s">
        <v>407</v>
      </c>
      <c r="D3167" s="2" t="s">
        <v>410</v>
      </c>
      <c r="E3167" s="2" t="s">
        <v>414</v>
      </c>
      <c r="F3167" s="2" t="s">
        <v>39</v>
      </c>
      <c r="J3167" s="2" t="s">
        <v>541</v>
      </c>
      <c r="K3167" s="2" t="s">
        <v>542</v>
      </c>
      <c r="L3167" s="2">
        <v>2</v>
      </c>
      <c r="M3167" s="2" t="s">
        <v>544</v>
      </c>
      <c r="O3167" s="2" t="s">
        <v>524</v>
      </c>
      <c r="Y3167" s="2" t="s">
        <v>697</v>
      </c>
    </row>
    <row r="3168" spans="1:34" x14ac:dyDescent="0.25">
      <c r="A3168" s="2" t="s">
        <v>327</v>
      </c>
      <c r="B3168" s="2" t="s">
        <v>540</v>
      </c>
      <c r="C3168" s="2" t="s">
        <v>407</v>
      </c>
      <c r="D3168" s="2" t="s">
        <v>410</v>
      </c>
      <c r="E3168" s="2" t="s">
        <v>414</v>
      </c>
      <c r="F3168" s="2" t="s">
        <v>39</v>
      </c>
      <c r="J3168" s="2" t="s">
        <v>541</v>
      </c>
      <c r="K3168" s="2" t="s">
        <v>542</v>
      </c>
      <c r="L3168" s="2">
        <v>3</v>
      </c>
      <c r="M3168" s="2" t="s">
        <v>545</v>
      </c>
      <c r="O3168" s="2" t="s">
        <v>524</v>
      </c>
      <c r="Y3168" s="2" t="s">
        <v>697</v>
      </c>
    </row>
    <row r="3169" spans="1:34" x14ac:dyDescent="0.25">
      <c r="A3169" s="2" t="s">
        <v>327</v>
      </c>
      <c r="B3169" s="2" t="s">
        <v>540</v>
      </c>
      <c r="C3169" s="2" t="s">
        <v>407</v>
      </c>
      <c r="D3169" s="2" t="s">
        <v>410</v>
      </c>
      <c r="E3169" s="2" t="s">
        <v>414</v>
      </c>
      <c r="F3169" s="2" t="s">
        <v>39</v>
      </c>
      <c r="J3169" s="2" t="s">
        <v>541</v>
      </c>
      <c r="K3169" s="2" t="s">
        <v>542</v>
      </c>
      <c r="L3169" s="2">
        <v>4</v>
      </c>
      <c r="M3169" s="2" t="s">
        <v>546</v>
      </c>
      <c r="O3169" s="2" t="s">
        <v>524</v>
      </c>
      <c r="Y3169" s="2" t="s">
        <v>697</v>
      </c>
    </row>
    <row r="3170" spans="1:34" x14ac:dyDescent="0.25">
      <c r="A3170" s="2" t="s">
        <v>327</v>
      </c>
      <c r="B3170" s="2" t="s">
        <v>540</v>
      </c>
      <c r="C3170" s="2" t="s">
        <v>407</v>
      </c>
      <c r="D3170" s="2" t="s">
        <v>410</v>
      </c>
      <c r="E3170" s="2" t="s">
        <v>414</v>
      </c>
      <c r="F3170" s="2" t="s">
        <v>39</v>
      </c>
      <c r="J3170" s="2" t="s">
        <v>541</v>
      </c>
      <c r="K3170" s="2" t="s">
        <v>542</v>
      </c>
      <c r="L3170" s="2">
        <v>5</v>
      </c>
      <c r="M3170" s="2" t="s">
        <v>547</v>
      </c>
      <c r="O3170" s="2" t="s">
        <v>524</v>
      </c>
      <c r="Y3170" s="2" t="s">
        <v>697</v>
      </c>
    </row>
    <row r="3171" spans="1:34" x14ac:dyDescent="0.25">
      <c r="A3171" s="2" t="s">
        <v>327</v>
      </c>
      <c r="B3171" s="2" t="s">
        <v>540</v>
      </c>
      <c r="C3171" s="2" t="s">
        <v>407</v>
      </c>
      <c r="D3171" s="2" t="s">
        <v>410</v>
      </c>
      <c r="E3171" s="2" t="s">
        <v>414</v>
      </c>
      <c r="F3171" s="2" t="s">
        <v>39</v>
      </c>
      <c r="J3171" s="2" t="s">
        <v>541</v>
      </c>
      <c r="K3171" s="2" t="s">
        <v>542</v>
      </c>
      <c r="L3171" s="2">
        <v>6</v>
      </c>
      <c r="M3171" s="2" t="s">
        <v>548</v>
      </c>
      <c r="O3171" s="2" t="s">
        <v>524</v>
      </c>
      <c r="Y3171" s="2" t="s">
        <v>697</v>
      </c>
    </row>
    <row r="3172" spans="1:34" x14ac:dyDescent="0.25">
      <c r="A3172" s="2" t="s">
        <v>327</v>
      </c>
      <c r="B3172" s="2" t="s">
        <v>540</v>
      </c>
      <c r="C3172" s="2" t="s">
        <v>407</v>
      </c>
      <c r="D3172" s="2" t="s">
        <v>410</v>
      </c>
      <c r="E3172" s="2" t="s">
        <v>414</v>
      </c>
      <c r="F3172" s="2" t="s">
        <v>39</v>
      </c>
      <c r="J3172" s="2" t="s">
        <v>541</v>
      </c>
      <c r="K3172" s="2" t="s">
        <v>542</v>
      </c>
      <c r="L3172" s="2">
        <v>7</v>
      </c>
      <c r="M3172" s="2" t="s">
        <v>549</v>
      </c>
      <c r="O3172" s="2" t="s">
        <v>524</v>
      </c>
      <c r="Y3172" s="2" t="s">
        <v>697</v>
      </c>
    </row>
    <row r="3173" spans="1:34" x14ac:dyDescent="0.25">
      <c r="A3173" s="2" t="s">
        <v>327</v>
      </c>
      <c r="B3173" s="2" t="s">
        <v>540</v>
      </c>
      <c r="C3173" s="2" t="s">
        <v>407</v>
      </c>
      <c r="D3173" s="2" t="s">
        <v>410</v>
      </c>
      <c r="E3173" s="2" t="s">
        <v>414</v>
      </c>
      <c r="F3173" s="2" t="s">
        <v>39</v>
      </c>
      <c r="J3173" s="2" t="s">
        <v>541</v>
      </c>
      <c r="K3173" s="2" t="s">
        <v>542</v>
      </c>
      <c r="L3173" s="2">
        <v>8</v>
      </c>
      <c r="M3173" s="2" t="s">
        <v>550</v>
      </c>
      <c r="O3173" s="2" t="s">
        <v>524</v>
      </c>
      <c r="Y3173" s="2" t="s">
        <v>697</v>
      </c>
    </row>
    <row r="3174" spans="1:34" x14ac:dyDescent="0.25">
      <c r="A3174" s="2" t="s">
        <v>327</v>
      </c>
      <c r="B3174" s="2" t="s">
        <v>540</v>
      </c>
      <c r="C3174" s="2" t="s">
        <v>407</v>
      </c>
      <c r="D3174" s="2" t="s">
        <v>410</v>
      </c>
      <c r="E3174" s="2" t="s">
        <v>414</v>
      </c>
      <c r="F3174" s="2" t="s">
        <v>39</v>
      </c>
      <c r="J3174" s="2" t="s">
        <v>541</v>
      </c>
      <c r="K3174" s="2" t="s">
        <v>542</v>
      </c>
      <c r="L3174" s="2">
        <v>9</v>
      </c>
      <c r="M3174" s="2" t="s">
        <v>551</v>
      </c>
      <c r="O3174" s="2" t="s">
        <v>524</v>
      </c>
      <c r="Y3174" s="2" t="s">
        <v>697</v>
      </c>
    </row>
    <row r="3175" spans="1:34" x14ac:dyDescent="0.25">
      <c r="A3175" s="2" t="s">
        <v>327</v>
      </c>
      <c r="B3175" s="2" t="s">
        <v>540</v>
      </c>
      <c r="C3175" s="2" t="s">
        <v>407</v>
      </c>
      <c r="D3175" s="2" t="s">
        <v>410</v>
      </c>
      <c r="E3175" s="2" t="s">
        <v>414</v>
      </c>
      <c r="F3175" s="2" t="s">
        <v>39</v>
      </c>
      <c r="J3175" s="2" t="s">
        <v>541</v>
      </c>
      <c r="K3175" s="2" t="s">
        <v>542</v>
      </c>
      <c r="L3175" s="2">
        <v>10</v>
      </c>
      <c r="M3175" s="2" t="s">
        <v>552</v>
      </c>
      <c r="O3175" s="2" t="s">
        <v>524</v>
      </c>
      <c r="Y3175" s="2" t="s">
        <v>697</v>
      </c>
    </row>
    <row r="3176" spans="1:34" x14ac:dyDescent="0.25">
      <c r="A3176" s="2" t="s">
        <v>327</v>
      </c>
      <c r="B3176" s="2" t="s">
        <v>540</v>
      </c>
      <c r="C3176" s="2" t="s">
        <v>407</v>
      </c>
      <c r="D3176" s="2" t="s">
        <v>410</v>
      </c>
      <c r="E3176" s="2" t="s">
        <v>414</v>
      </c>
      <c r="F3176" s="2" t="s">
        <v>39</v>
      </c>
      <c r="J3176" s="2" t="s">
        <v>541</v>
      </c>
      <c r="K3176" s="2" t="s">
        <v>542</v>
      </c>
      <c r="L3176" s="2">
        <v>11</v>
      </c>
      <c r="M3176" s="2" t="s">
        <v>553</v>
      </c>
      <c r="O3176" s="2" t="s">
        <v>524</v>
      </c>
      <c r="Y3176" s="2" t="s">
        <v>697</v>
      </c>
    </row>
    <row r="3177" spans="1:34" x14ac:dyDescent="0.25">
      <c r="A3177" s="2" t="s">
        <v>327</v>
      </c>
      <c r="B3177" s="2" t="s">
        <v>540</v>
      </c>
      <c r="C3177" s="2" t="s">
        <v>407</v>
      </c>
      <c r="D3177" s="2" t="s">
        <v>410</v>
      </c>
      <c r="E3177" s="2" t="s">
        <v>414</v>
      </c>
      <c r="F3177" s="2" t="s">
        <v>39</v>
      </c>
      <c r="J3177" s="2" t="s">
        <v>541</v>
      </c>
      <c r="K3177" s="2" t="s">
        <v>542</v>
      </c>
      <c r="L3177" s="2">
        <v>12</v>
      </c>
      <c r="M3177" s="2" t="s">
        <v>554</v>
      </c>
      <c r="O3177" s="2" t="s">
        <v>524</v>
      </c>
      <c r="Y3177" s="2" t="s">
        <v>697</v>
      </c>
    </row>
    <row r="3178" spans="1:34" x14ac:dyDescent="0.25">
      <c r="A3178" s="2" t="s">
        <v>327</v>
      </c>
      <c r="B3178" s="2" t="s">
        <v>555</v>
      </c>
      <c r="C3178" s="2" t="s">
        <v>407</v>
      </c>
      <c r="D3178" s="2" t="s">
        <v>410</v>
      </c>
      <c r="E3178" s="2" t="s">
        <v>414</v>
      </c>
      <c r="F3178" s="2" t="s">
        <v>39</v>
      </c>
      <c r="J3178" s="2" t="s">
        <v>556</v>
      </c>
      <c r="O3178" s="2" t="s">
        <v>524</v>
      </c>
      <c r="Y3178" s="2" t="s">
        <v>697</v>
      </c>
      <c r="AB3178" s="2">
        <v>1</v>
      </c>
    </row>
    <row r="3179" spans="1:34" x14ac:dyDescent="0.25">
      <c r="A3179" s="2" t="s">
        <v>327</v>
      </c>
      <c r="B3179" s="2" t="s">
        <v>557</v>
      </c>
      <c r="C3179" s="2" t="s">
        <v>407</v>
      </c>
      <c r="D3179" s="2" t="s">
        <v>410</v>
      </c>
      <c r="E3179" s="2" t="s">
        <v>414</v>
      </c>
      <c r="F3179" s="2" t="s">
        <v>39</v>
      </c>
      <c r="J3179" s="2" t="s">
        <v>558</v>
      </c>
      <c r="O3179" s="2" t="s">
        <v>524</v>
      </c>
      <c r="Y3179" s="2" t="s">
        <v>697</v>
      </c>
      <c r="AC3179" s="2">
        <f>COUNTIFS($B:$B,"BLOCK_LOAD_Q",$A:$A,$A3179,$C:$C,$C3179,$E:$E,$E3179,$F:$F,$F3179,$N:$N, "&lt;&gt;")</f>
        <v>0</v>
      </c>
      <c r="AD3179" s="2">
        <f>COUNTIFS($B:$B,"BLOCK_TRUST_Q",$A:$A,$A3179,$C:$C,$C3179,$E:$E,$E3179,$F:$F,$F3179,$N:$N, "&lt;&gt;")</f>
        <v>0</v>
      </c>
      <c r="AE3179" s="2" t="str">
        <f>IFERROR(AVERAGEIFS($P:$P,$B:$B,"BLOCK_LOAD_Q",$A:$A,$A3179,$C:$C,$C3179,$E:$E,$E3179,$F:$F,$F3179,$P:$P,"&gt;0"),"")</f>
        <v/>
      </c>
      <c r="AF3179" s="2" t="str">
        <f>IFERROR(AVERAGEIFS($P:$P,$B:$B,"BLOCK_TRUST_Q",$A:$A,$A3179,$C:$C,$C3179,$E:$E,$E3179,$F:$F,$F3179,$P:$P,"&gt;0"),"")</f>
        <v/>
      </c>
      <c r="AG3179" s="2">
        <f>5-AC3179</f>
        <v>5</v>
      </c>
      <c r="AH3179" s="2">
        <f>12-AD3179</f>
        <v>12</v>
      </c>
    </row>
    <row r="3180" spans="1:34" x14ac:dyDescent="0.25">
      <c r="A3180" s="2" t="s">
        <v>327</v>
      </c>
      <c r="B3180" s="2" t="s">
        <v>403</v>
      </c>
      <c r="C3180" s="2" t="s">
        <v>407</v>
      </c>
      <c r="D3180" s="2" t="s">
        <v>410</v>
      </c>
      <c r="Z3180" s="2" t="s">
        <v>483</v>
      </c>
    </row>
    <row r="3181" spans="1:34" x14ac:dyDescent="0.25">
      <c r="A3181" s="2" t="s">
        <v>327</v>
      </c>
      <c r="B3181" s="2" t="s">
        <v>402</v>
      </c>
      <c r="C3181" s="2" t="s">
        <v>408</v>
      </c>
      <c r="D3181" s="2" t="s">
        <v>411</v>
      </c>
      <c r="E3181" s="2" t="s">
        <v>413</v>
      </c>
      <c r="F3181" s="2" t="s">
        <v>40</v>
      </c>
      <c r="G3181" s="2" t="s">
        <v>415</v>
      </c>
      <c r="H3181" s="2" t="s">
        <v>357</v>
      </c>
      <c r="S3181" s="2" t="s">
        <v>59</v>
      </c>
      <c r="U3181" s="2" t="s">
        <v>60</v>
      </c>
      <c r="W3181" s="2" t="s">
        <v>57</v>
      </c>
    </row>
    <row r="3182" spans="1:34" x14ac:dyDescent="0.25">
      <c r="A3182" s="2" t="s">
        <v>327</v>
      </c>
      <c r="B3182" s="2" t="s">
        <v>402</v>
      </c>
      <c r="C3182" s="2" t="s">
        <v>408</v>
      </c>
      <c r="D3182" s="2" t="s">
        <v>411</v>
      </c>
      <c r="E3182" s="2" t="s">
        <v>413</v>
      </c>
      <c r="F3182" s="2" t="s">
        <v>40</v>
      </c>
      <c r="G3182" s="2" t="s">
        <v>416</v>
      </c>
      <c r="H3182" s="2" t="s">
        <v>348</v>
      </c>
      <c r="S3182" s="2" t="s">
        <v>58</v>
      </c>
      <c r="U3182" s="2" t="s">
        <v>59</v>
      </c>
      <c r="W3182" s="2" t="s">
        <v>59</v>
      </c>
    </row>
    <row r="3183" spans="1:34" x14ac:dyDescent="0.25">
      <c r="A3183" s="2" t="s">
        <v>327</v>
      </c>
      <c r="B3183" s="2" t="s">
        <v>402</v>
      </c>
      <c r="C3183" s="2" t="s">
        <v>408</v>
      </c>
      <c r="D3183" s="2" t="s">
        <v>411</v>
      </c>
      <c r="E3183" s="2" t="s">
        <v>413</v>
      </c>
      <c r="F3183" s="2" t="s">
        <v>40</v>
      </c>
      <c r="G3183" s="2" t="s">
        <v>417</v>
      </c>
      <c r="H3183" s="2" t="s">
        <v>562</v>
      </c>
      <c r="S3183" s="2" t="s">
        <v>59</v>
      </c>
      <c r="U3183" s="2" t="s">
        <v>57</v>
      </c>
      <c r="W3183" s="2" t="s">
        <v>57</v>
      </c>
    </row>
    <row r="3184" spans="1:34" x14ac:dyDescent="0.25">
      <c r="A3184" s="2" t="s">
        <v>327</v>
      </c>
      <c r="B3184" s="2" t="s">
        <v>402</v>
      </c>
      <c r="C3184" s="2" t="s">
        <v>408</v>
      </c>
      <c r="D3184" s="2" t="s">
        <v>411</v>
      </c>
      <c r="E3184" s="2" t="s">
        <v>413</v>
      </c>
      <c r="F3184" s="2" t="s">
        <v>40</v>
      </c>
      <c r="G3184" s="2" t="s">
        <v>418</v>
      </c>
      <c r="H3184" s="2" t="s">
        <v>563</v>
      </c>
      <c r="S3184" s="2" t="s">
        <v>57</v>
      </c>
      <c r="U3184" s="2" t="s">
        <v>60</v>
      </c>
      <c r="W3184" s="2" t="s">
        <v>60</v>
      </c>
    </row>
    <row r="3185" spans="1:25" x14ac:dyDescent="0.25">
      <c r="A3185" s="2" t="s">
        <v>327</v>
      </c>
      <c r="B3185" s="2" t="s">
        <v>531</v>
      </c>
      <c r="C3185" s="2" t="s">
        <v>408</v>
      </c>
      <c r="D3185" s="2" t="s">
        <v>411</v>
      </c>
      <c r="E3185" s="2" t="s">
        <v>413</v>
      </c>
      <c r="F3185" s="2" t="s">
        <v>40</v>
      </c>
      <c r="J3185" s="2" t="s">
        <v>532</v>
      </c>
      <c r="K3185" s="2" t="s">
        <v>533</v>
      </c>
      <c r="L3185" s="2">
        <v>1</v>
      </c>
      <c r="M3185" s="2" t="s">
        <v>534</v>
      </c>
      <c r="O3185" s="2" t="s">
        <v>524</v>
      </c>
      <c r="Y3185" s="2" t="s">
        <v>698</v>
      </c>
    </row>
    <row r="3186" spans="1:25" x14ac:dyDescent="0.25">
      <c r="A3186" s="2" t="s">
        <v>327</v>
      </c>
      <c r="B3186" s="2" t="s">
        <v>531</v>
      </c>
      <c r="C3186" s="2" t="s">
        <v>408</v>
      </c>
      <c r="D3186" s="2" t="s">
        <v>411</v>
      </c>
      <c r="E3186" s="2" t="s">
        <v>413</v>
      </c>
      <c r="F3186" s="2" t="s">
        <v>40</v>
      </c>
      <c r="J3186" s="2" t="s">
        <v>532</v>
      </c>
      <c r="K3186" s="2" t="s">
        <v>533</v>
      </c>
      <c r="L3186" s="2">
        <v>2</v>
      </c>
      <c r="M3186" s="2" t="s">
        <v>536</v>
      </c>
      <c r="O3186" s="2" t="s">
        <v>524</v>
      </c>
      <c r="Y3186" s="2" t="s">
        <v>698</v>
      </c>
    </row>
    <row r="3187" spans="1:25" x14ac:dyDescent="0.25">
      <c r="A3187" s="2" t="s">
        <v>327</v>
      </c>
      <c r="B3187" s="2" t="s">
        <v>531</v>
      </c>
      <c r="C3187" s="2" t="s">
        <v>408</v>
      </c>
      <c r="D3187" s="2" t="s">
        <v>411</v>
      </c>
      <c r="E3187" s="2" t="s">
        <v>413</v>
      </c>
      <c r="F3187" s="2" t="s">
        <v>40</v>
      </c>
      <c r="J3187" s="2" t="s">
        <v>532</v>
      </c>
      <c r="K3187" s="2" t="s">
        <v>533</v>
      </c>
      <c r="L3187" s="2">
        <v>3</v>
      </c>
      <c r="M3187" s="2" t="s">
        <v>537</v>
      </c>
      <c r="O3187" s="2" t="s">
        <v>524</v>
      </c>
      <c r="Y3187" s="2" t="s">
        <v>698</v>
      </c>
    </row>
    <row r="3188" spans="1:25" x14ac:dyDescent="0.25">
      <c r="A3188" s="2" t="s">
        <v>327</v>
      </c>
      <c r="B3188" s="2" t="s">
        <v>531</v>
      </c>
      <c r="C3188" s="2" t="s">
        <v>408</v>
      </c>
      <c r="D3188" s="2" t="s">
        <v>411</v>
      </c>
      <c r="E3188" s="2" t="s">
        <v>413</v>
      </c>
      <c r="F3188" s="2" t="s">
        <v>40</v>
      </c>
      <c r="J3188" s="2" t="s">
        <v>532</v>
      </c>
      <c r="K3188" s="2" t="s">
        <v>533</v>
      </c>
      <c r="L3188" s="2">
        <v>4</v>
      </c>
      <c r="M3188" s="2" t="s">
        <v>538</v>
      </c>
      <c r="O3188" s="2" t="s">
        <v>524</v>
      </c>
      <c r="Y3188" s="2" t="s">
        <v>698</v>
      </c>
    </row>
    <row r="3189" spans="1:25" x14ac:dyDescent="0.25">
      <c r="A3189" s="2" t="s">
        <v>327</v>
      </c>
      <c r="B3189" s="2" t="s">
        <v>531</v>
      </c>
      <c r="C3189" s="2" t="s">
        <v>408</v>
      </c>
      <c r="D3189" s="2" t="s">
        <v>411</v>
      </c>
      <c r="E3189" s="2" t="s">
        <v>413</v>
      </c>
      <c r="F3189" s="2" t="s">
        <v>40</v>
      </c>
      <c r="J3189" s="2" t="s">
        <v>532</v>
      </c>
      <c r="K3189" s="2" t="s">
        <v>533</v>
      </c>
      <c r="L3189" s="2">
        <v>5</v>
      </c>
      <c r="M3189" s="2" t="s">
        <v>539</v>
      </c>
      <c r="O3189" s="2" t="s">
        <v>524</v>
      </c>
      <c r="Y3189" s="2" t="s">
        <v>698</v>
      </c>
    </row>
    <row r="3190" spans="1:25" x14ac:dyDescent="0.25">
      <c r="A3190" s="2" t="s">
        <v>327</v>
      </c>
      <c r="B3190" s="2" t="s">
        <v>540</v>
      </c>
      <c r="C3190" s="2" t="s">
        <v>408</v>
      </c>
      <c r="D3190" s="2" t="s">
        <v>411</v>
      </c>
      <c r="E3190" s="2" t="s">
        <v>413</v>
      </c>
      <c r="F3190" s="2" t="s">
        <v>40</v>
      </c>
      <c r="J3190" s="2" t="s">
        <v>541</v>
      </c>
      <c r="K3190" s="2" t="s">
        <v>542</v>
      </c>
      <c r="L3190" s="2">
        <v>1</v>
      </c>
      <c r="M3190" s="2" t="s">
        <v>543</v>
      </c>
      <c r="O3190" s="2" t="s">
        <v>524</v>
      </c>
      <c r="Y3190" s="2" t="s">
        <v>698</v>
      </c>
    </row>
    <row r="3191" spans="1:25" x14ac:dyDescent="0.25">
      <c r="A3191" s="2" t="s">
        <v>327</v>
      </c>
      <c r="B3191" s="2" t="s">
        <v>540</v>
      </c>
      <c r="C3191" s="2" t="s">
        <v>408</v>
      </c>
      <c r="D3191" s="2" t="s">
        <v>411</v>
      </c>
      <c r="E3191" s="2" t="s">
        <v>413</v>
      </c>
      <c r="F3191" s="2" t="s">
        <v>40</v>
      </c>
      <c r="J3191" s="2" t="s">
        <v>541</v>
      </c>
      <c r="K3191" s="2" t="s">
        <v>542</v>
      </c>
      <c r="L3191" s="2">
        <v>2</v>
      </c>
      <c r="M3191" s="2" t="s">
        <v>544</v>
      </c>
      <c r="O3191" s="2" t="s">
        <v>524</v>
      </c>
      <c r="Y3191" s="2" t="s">
        <v>698</v>
      </c>
    </row>
    <row r="3192" spans="1:25" x14ac:dyDescent="0.25">
      <c r="A3192" s="2" t="s">
        <v>327</v>
      </c>
      <c r="B3192" s="2" t="s">
        <v>540</v>
      </c>
      <c r="C3192" s="2" t="s">
        <v>408</v>
      </c>
      <c r="D3192" s="2" t="s">
        <v>411</v>
      </c>
      <c r="E3192" s="2" t="s">
        <v>413</v>
      </c>
      <c r="F3192" s="2" t="s">
        <v>40</v>
      </c>
      <c r="J3192" s="2" t="s">
        <v>541</v>
      </c>
      <c r="K3192" s="2" t="s">
        <v>542</v>
      </c>
      <c r="L3192" s="2">
        <v>3</v>
      </c>
      <c r="M3192" s="2" t="s">
        <v>545</v>
      </c>
      <c r="O3192" s="2" t="s">
        <v>524</v>
      </c>
      <c r="Y3192" s="2" t="s">
        <v>698</v>
      </c>
    </row>
    <row r="3193" spans="1:25" x14ac:dyDescent="0.25">
      <c r="A3193" s="2" t="s">
        <v>327</v>
      </c>
      <c r="B3193" s="2" t="s">
        <v>540</v>
      </c>
      <c r="C3193" s="2" t="s">
        <v>408</v>
      </c>
      <c r="D3193" s="2" t="s">
        <v>411</v>
      </c>
      <c r="E3193" s="2" t="s">
        <v>413</v>
      </c>
      <c r="F3193" s="2" t="s">
        <v>40</v>
      </c>
      <c r="J3193" s="2" t="s">
        <v>541</v>
      </c>
      <c r="K3193" s="2" t="s">
        <v>542</v>
      </c>
      <c r="L3193" s="2">
        <v>4</v>
      </c>
      <c r="M3193" s="2" t="s">
        <v>546</v>
      </c>
      <c r="O3193" s="2" t="s">
        <v>524</v>
      </c>
      <c r="Y3193" s="2" t="s">
        <v>698</v>
      </c>
    </row>
    <row r="3194" spans="1:25" x14ac:dyDescent="0.25">
      <c r="A3194" s="2" t="s">
        <v>327</v>
      </c>
      <c r="B3194" s="2" t="s">
        <v>540</v>
      </c>
      <c r="C3194" s="2" t="s">
        <v>408</v>
      </c>
      <c r="D3194" s="2" t="s">
        <v>411</v>
      </c>
      <c r="E3194" s="2" t="s">
        <v>413</v>
      </c>
      <c r="F3194" s="2" t="s">
        <v>40</v>
      </c>
      <c r="J3194" s="2" t="s">
        <v>541</v>
      </c>
      <c r="K3194" s="2" t="s">
        <v>542</v>
      </c>
      <c r="L3194" s="2">
        <v>5</v>
      </c>
      <c r="M3194" s="2" t="s">
        <v>547</v>
      </c>
      <c r="O3194" s="2" t="s">
        <v>524</v>
      </c>
      <c r="Y3194" s="2" t="s">
        <v>698</v>
      </c>
    </row>
    <row r="3195" spans="1:25" x14ac:dyDescent="0.25">
      <c r="A3195" s="2" t="s">
        <v>327</v>
      </c>
      <c r="B3195" s="2" t="s">
        <v>540</v>
      </c>
      <c r="C3195" s="2" t="s">
        <v>408</v>
      </c>
      <c r="D3195" s="2" t="s">
        <v>411</v>
      </c>
      <c r="E3195" s="2" t="s">
        <v>413</v>
      </c>
      <c r="F3195" s="2" t="s">
        <v>40</v>
      </c>
      <c r="J3195" s="2" t="s">
        <v>541</v>
      </c>
      <c r="K3195" s="2" t="s">
        <v>542</v>
      </c>
      <c r="L3195" s="2">
        <v>6</v>
      </c>
      <c r="M3195" s="2" t="s">
        <v>548</v>
      </c>
      <c r="O3195" s="2" t="s">
        <v>524</v>
      </c>
      <c r="Y3195" s="2" t="s">
        <v>698</v>
      </c>
    </row>
    <row r="3196" spans="1:25" x14ac:dyDescent="0.25">
      <c r="A3196" s="2" t="s">
        <v>327</v>
      </c>
      <c r="B3196" s="2" t="s">
        <v>540</v>
      </c>
      <c r="C3196" s="2" t="s">
        <v>408</v>
      </c>
      <c r="D3196" s="2" t="s">
        <v>411</v>
      </c>
      <c r="E3196" s="2" t="s">
        <v>413</v>
      </c>
      <c r="F3196" s="2" t="s">
        <v>40</v>
      </c>
      <c r="J3196" s="2" t="s">
        <v>541</v>
      </c>
      <c r="K3196" s="2" t="s">
        <v>542</v>
      </c>
      <c r="L3196" s="2">
        <v>7</v>
      </c>
      <c r="M3196" s="2" t="s">
        <v>549</v>
      </c>
      <c r="O3196" s="2" t="s">
        <v>524</v>
      </c>
      <c r="Y3196" s="2" t="s">
        <v>698</v>
      </c>
    </row>
    <row r="3197" spans="1:25" x14ac:dyDescent="0.25">
      <c r="A3197" s="2" t="s">
        <v>327</v>
      </c>
      <c r="B3197" s="2" t="s">
        <v>540</v>
      </c>
      <c r="C3197" s="2" t="s">
        <v>408</v>
      </c>
      <c r="D3197" s="2" t="s">
        <v>411</v>
      </c>
      <c r="E3197" s="2" t="s">
        <v>413</v>
      </c>
      <c r="F3197" s="2" t="s">
        <v>40</v>
      </c>
      <c r="J3197" s="2" t="s">
        <v>541</v>
      </c>
      <c r="K3197" s="2" t="s">
        <v>542</v>
      </c>
      <c r="L3197" s="2">
        <v>8</v>
      </c>
      <c r="M3197" s="2" t="s">
        <v>550</v>
      </c>
      <c r="O3197" s="2" t="s">
        <v>524</v>
      </c>
      <c r="Y3197" s="2" t="s">
        <v>698</v>
      </c>
    </row>
    <row r="3198" spans="1:25" x14ac:dyDescent="0.25">
      <c r="A3198" s="2" t="s">
        <v>327</v>
      </c>
      <c r="B3198" s="2" t="s">
        <v>540</v>
      </c>
      <c r="C3198" s="2" t="s">
        <v>408</v>
      </c>
      <c r="D3198" s="2" t="s">
        <v>411</v>
      </c>
      <c r="E3198" s="2" t="s">
        <v>413</v>
      </c>
      <c r="F3198" s="2" t="s">
        <v>40</v>
      </c>
      <c r="J3198" s="2" t="s">
        <v>541</v>
      </c>
      <c r="K3198" s="2" t="s">
        <v>542</v>
      </c>
      <c r="L3198" s="2">
        <v>9</v>
      </c>
      <c r="M3198" s="2" t="s">
        <v>551</v>
      </c>
      <c r="O3198" s="2" t="s">
        <v>524</v>
      </c>
      <c r="Y3198" s="2" t="s">
        <v>698</v>
      </c>
    </row>
    <row r="3199" spans="1:25" x14ac:dyDescent="0.25">
      <c r="A3199" s="2" t="s">
        <v>327</v>
      </c>
      <c r="B3199" s="2" t="s">
        <v>540</v>
      </c>
      <c r="C3199" s="2" t="s">
        <v>408</v>
      </c>
      <c r="D3199" s="2" t="s">
        <v>411</v>
      </c>
      <c r="E3199" s="2" t="s">
        <v>413</v>
      </c>
      <c r="F3199" s="2" t="s">
        <v>40</v>
      </c>
      <c r="J3199" s="2" t="s">
        <v>541</v>
      </c>
      <c r="K3199" s="2" t="s">
        <v>542</v>
      </c>
      <c r="L3199" s="2">
        <v>10</v>
      </c>
      <c r="M3199" s="2" t="s">
        <v>552</v>
      </c>
      <c r="O3199" s="2" t="s">
        <v>524</v>
      </c>
      <c r="Y3199" s="2" t="s">
        <v>698</v>
      </c>
    </row>
    <row r="3200" spans="1:25" x14ac:dyDescent="0.25">
      <c r="A3200" s="2" t="s">
        <v>327</v>
      </c>
      <c r="B3200" s="2" t="s">
        <v>540</v>
      </c>
      <c r="C3200" s="2" t="s">
        <v>408</v>
      </c>
      <c r="D3200" s="2" t="s">
        <v>411</v>
      </c>
      <c r="E3200" s="2" t="s">
        <v>413</v>
      </c>
      <c r="F3200" s="2" t="s">
        <v>40</v>
      </c>
      <c r="J3200" s="2" t="s">
        <v>541</v>
      </c>
      <c r="K3200" s="2" t="s">
        <v>542</v>
      </c>
      <c r="L3200" s="2">
        <v>11</v>
      </c>
      <c r="M3200" s="2" t="s">
        <v>553</v>
      </c>
      <c r="O3200" s="2" t="s">
        <v>524</v>
      </c>
      <c r="Y3200" s="2" t="s">
        <v>698</v>
      </c>
    </row>
    <row r="3201" spans="1:34" x14ac:dyDescent="0.25">
      <c r="A3201" s="2" t="s">
        <v>327</v>
      </c>
      <c r="B3201" s="2" t="s">
        <v>540</v>
      </c>
      <c r="C3201" s="2" t="s">
        <v>408</v>
      </c>
      <c r="D3201" s="2" t="s">
        <v>411</v>
      </c>
      <c r="E3201" s="2" t="s">
        <v>413</v>
      </c>
      <c r="F3201" s="2" t="s">
        <v>40</v>
      </c>
      <c r="J3201" s="2" t="s">
        <v>541</v>
      </c>
      <c r="K3201" s="2" t="s">
        <v>542</v>
      </c>
      <c r="L3201" s="2">
        <v>12</v>
      </c>
      <c r="M3201" s="2" t="s">
        <v>554</v>
      </c>
      <c r="O3201" s="2" t="s">
        <v>524</v>
      </c>
      <c r="Y3201" s="2" t="s">
        <v>698</v>
      </c>
    </row>
    <row r="3202" spans="1:34" x14ac:dyDescent="0.25">
      <c r="A3202" s="2" t="s">
        <v>327</v>
      </c>
      <c r="B3202" s="2" t="s">
        <v>555</v>
      </c>
      <c r="C3202" s="2" t="s">
        <v>408</v>
      </c>
      <c r="D3202" s="2" t="s">
        <v>411</v>
      </c>
      <c r="E3202" s="2" t="s">
        <v>413</v>
      </c>
      <c r="F3202" s="2" t="s">
        <v>40</v>
      </c>
      <c r="J3202" s="2" t="s">
        <v>556</v>
      </c>
      <c r="O3202" s="2" t="s">
        <v>524</v>
      </c>
      <c r="Y3202" s="2" t="s">
        <v>698</v>
      </c>
      <c r="AB3202" s="2">
        <v>2</v>
      </c>
    </row>
    <row r="3203" spans="1:34" x14ac:dyDescent="0.25">
      <c r="A3203" s="2" t="s">
        <v>327</v>
      </c>
      <c r="B3203" s="2" t="s">
        <v>557</v>
      </c>
      <c r="C3203" s="2" t="s">
        <v>408</v>
      </c>
      <c r="D3203" s="2" t="s">
        <v>411</v>
      </c>
      <c r="E3203" s="2" t="s">
        <v>413</v>
      </c>
      <c r="F3203" s="2" t="s">
        <v>40</v>
      </c>
      <c r="J3203" s="2" t="s">
        <v>558</v>
      </c>
      <c r="O3203" s="2" t="s">
        <v>524</v>
      </c>
      <c r="Y3203" s="2" t="s">
        <v>698</v>
      </c>
      <c r="AC3203" s="2">
        <f>COUNTIFS($B:$B,"BLOCK_LOAD_Q",$A:$A,$A3203,$C:$C,$C3203,$E:$E,$E3203,$F:$F,$F3203,$N:$N, "&lt;&gt;")</f>
        <v>0</v>
      </c>
      <c r="AD3203" s="2">
        <f>COUNTIFS($B:$B,"BLOCK_TRUST_Q",$A:$A,$A3203,$C:$C,$C3203,$E:$E,$E3203,$F:$F,$F3203,$N:$N, "&lt;&gt;")</f>
        <v>0</v>
      </c>
      <c r="AE3203" s="2" t="str">
        <f>IFERROR(AVERAGEIFS($P:$P,$B:$B,"BLOCK_LOAD_Q",$A:$A,$A3203,$C:$C,$C3203,$E:$E,$E3203,$F:$F,$F3203,$P:$P,"&gt;0"),"")</f>
        <v/>
      </c>
      <c r="AF3203" s="2" t="str">
        <f>IFERROR(AVERAGEIFS($P:$P,$B:$B,"BLOCK_TRUST_Q",$A:$A,$A3203,$C:$C,$C3203,$E:$E,$E3203,$F:$F,$F3203,$P:$P,"&gt;0"),"")</f>
        <v/>
      </c>
      <c r="AG3203" s="2">
        <f>5-AC3203</f>
        <v>5</v>
      </c>
      <c r="AH3203" s="2">
        <f>12-AD3203</f>
        <v>12</v>
      </c>
    </row>
    <row r="3204" spans="1:34" x14ac:dyDescent="0.25">
      <c r="A3204" s="2" t="s">
        <v>327</v>
      </c>
      <c r="B3204" s="2" t="s">
        <v>402</v>
      </c>
      <c r="C3204" s="2" t="s">
        <v>408</v>
      </c>
      <c r="D3204" s="2" t="s">
        <v>411</v>
      </c>
      <c r="E3204" s="2" t="s">
        <v>414</v>
      </c>
      <c r="F3204" s="2" t="s">
        <v>39</v>
      </c>
      <c r="G3204" s="2" t="s">
        <v>415</v>
      </c>
      <c r="H3204" s="2" t="s">
        <v>349</v>
      </c>
      <c r="S3204" s="2" t="s">
        <v>58</v>
      </c>
      <c r="U3204" s="2" t="s">
        <v>60</v>
      </c>
      <c r="W3204" s="2" t="s">
        <v>58</v>
      </c>
    </row>
    <row r="3205" spans="1:34" x14ac:dyDescent="0.25">
      <c r="A3205" s="2" t="s">
        <v>327</v>
      </c>
      <c r="B3205" s="2" t="s">
        <v>402</v>
      </c>
      <c r="C3205" s="2" t="s">
        <v>408</v>
      </c>
      <c r="D3205" s="2" t="s">
        <v>411</v>
      </c>
      <c r="E3205" s="2" t="s">
        <v>414</v>
      </c>
      <c r="F3205" s="2" t="s">
        <v>39</v>
      </c>
      <c r="G3205" s="2" t="s">
        <v>416</v>
      </c>
      <c r="H3205" s="2" t="s">
        <v>565</v>
      </c>
      <c r="S3205" s="2" t="s">
        <v>59</v>
      </c>
      <c r="U3205" s="2" t="s">
        <v>60</v>
      </c>
      <c r="W3205" s="2" t="s">
        <v>60</v>
      </c>
    </row>
    <row r="3206" spans="1:34" x14ac:dyDescent="0.25">
      <c r="A3206" s="2" t="s">
        <v>327</v>
      </c>
      <c r="B3206" s="2" t="s">
        <v>402</v>
      </c>
      <c r="C3206" s="2" t="s">
        <v>408</v>
      </c>
      <c r="D3206" s="2" t="s">
        <v>411</v>
      </c>
      <c r="E3206" s="2" t="s">
        <v>414</v>
      </c>
      <c r="F3206" s="2" t="s">
        <v>39</v>
      </c>
      <c r="G3206" s="2" t="s">
        <v>417</v>
      </c>
      <c r="H3206" s="2" t="s">
        <v>361</v>
      </c>
      <c r="S3206" s="2" t="s">
        <v>60</v>
      </c>
      <c r="U3206" s="2" t="s">
        <v>60</v>
      </c>
      <c r="W3206" s="2" t="s">
        <v>60</v>
      </c>
    </row>
    <row r="3207" spans="1:34" x14ac:dyDescent="0.25">
      <c r="A3207" s="2" t="s">
        <v>327</v>
      </c>
      <c r="B3207" s="2" t="s">
        <v>402</v>
      </c>
      <c r="C3207" s="2" t="s">
        <v>408</v>
      </c>
      <c r="D3207" s="2" t="s">
        <v>411</v>
      </c>
      <c r="E3207" s="2" t="s">
        <v>414</v>
      </c>
      <c r="F3207" s="2" t="s">
        <v>39</v>
      </c>
      <c r="G3207" s="2" t="s">
        <v>418</v>
      </c>
      <c r="H3207" s="2" t="s">
        <v>353</v>
      </c>
      <c r="S3207" s="2" t="s">
        <v>58</v>
      </c>
      <c r="U3207" s="2" t="s">
        <v>59</v>
      </c>
      <c r="W3207" s="2" t="s">
        <v>58</v>
      </c>
    </row>
    <row r="3208" spans="1:34" x14ac:dyDescent="0.25">
      <c r="A3208" s="2" t="s">
        <v>327</v>
      </c>
      <c r="B3208" s="2" t="s">
        <v>402</v>
      </c>
      <c r="C3208" s="2" t="s">
        <v>408</v>
      </c>
      <c r="D3208" s="2" t="s">
        <v>411</v>
      </c>
      <c r="E3208" s="2" t="s">
        <v>414</v>
      </c>
      <c r="F3208" s="2" t="s">
        <v>39</v>
      </c>
      <c r="G3208" s="2" t="s">
        <v>419</v>
      </c>
      <c r="H3208" s="2" t="s">
        <v>371</v>
      </c>
      <c r="S3208" s="2" t="s">
        <v>60</v>
      </c>
      <c r="U3208" s="2" t="s">
        <v>59</v>
      </c>
      <c r="W3208" s="2" t="s">
        <v>57</v>
      </c>
    </row>
    <row r="3209" spans="1:34" x14ac:dyDescent="0.25">
      <c r="A3209" s="2" t="s">
        <v>327</v>
      </c>
      <c r="B3209" s="2" t="s">
        <v>531</v>
      </c>
      <c r="C3209" s="2" t="s">
        <v>408</v>
      </c>
      <c r="D3209" s="2" t="s">
        <v>411</v>
      </c>
      <c r="E3209" s="2" t="s">
        <v>414</v>
      </c>
      <c r="F3209" s="2" t="s">
        <v>39</v>
      </c>
      <c r="J3209" s="2" t="s">
        <v>532</v>
      </c>
      <c r="K3209" s="2" t="s">
        <v>533</v>
      </c>
      <c r="L3209" s="2">
        <v>1</v>
      </c>
      <c r="M3209" s="2" t="s">
        <v>534</v>
      </c>
      <c r="O3209" s="2" t="s">
        <v>524</v>
      </c>
      <c r="Y3209" s="2" t="s">
        <v>699</v>
      </c>
    </row>
    <row r="3210" spans="1:34" x14ac:dyDescent="0.25">
      <c r="A3210" s="2" t="s">
        <v>327</v>
      </c>
      <c r="B3210" s="2" t="s">
        <v>531</v>
      </c>
      <c r="C3210" s="2" t="s">
        <v>408</v>
      </c>
      <c r="D3210" s="2" t="s">
        <v>411</v>
      </c>
      <c r="E3210" s="2" t="s">
        <v>414</v>
      </c>
      <c r="F3210" s="2" t="s">
        <v>39</v>
      </c>
      <c r="J3210" s="2" t="s">
        <v>532</v>
      </c>
      <c r="K3210" s="2" t="s">
        <v>533</v>
      </c>
      <c r="L3210" s="2">
        <v>2</v>
      </c>
      <c r="M3210" s="2" t="s">
        <v>536</v>
      </c>
      <c r="O3210" s="2" t="s">
        <v>524</v>
      </c>
      <c r="Y3210" s="2" t="s">
        <v>699</v>
      </c>
    </row>
    <row r="3211" spans="1:34" x14ac:dyDescent="0.25">
      <c r="A3211" s="2" t="s">
        <v>327</v>
      </c>
      <c r="B3211" s="2" t="s">
        <v>531</v>
      </c>
      <c r="C3211" s="2" t="s">
        <v>408</v>
      </c>
      <c r="D3211" s="2" t="s">
        <v>411</v>
      </c>
      <c r="E3211" s="2" t="s">
        <v>414</v>
      </c>
      <c r="F3211" s="2" t="s">
        <v>39</v>
      </c>
      <c r="J3211" s="2" t="s">
        <v>532</v>
      </c>
      <c r="K3211" s="2" t="s">
        <v>533</v>
      </c>
      <c r="L3211" s="2">
        <v>3</v>
      </c>
      <c r="M3211" s="2" t="s">
        <v>537</v>
      </c>
      <c r="O3211" s="2" t="s">
        <v>524</v>
      </c>
      <c r="Y3211" s="2" t="s">
        <v>699</v>
      </c>
    </row>
    <row r="3212" spans="1:34" x14ac:dyDescent="0.25">
      <c r="A3212" s="2" t="s">
        <v>327</v>
      </c>
      <c r="B3212" s="2" t="s">
        <v>531</v>
      </c>
      <c r="C3212" s="2" t="s">
        <v>408</v>
      </c>
      <c r="D3212" s="2" t="s">
        <v>411</v>
      </c>
      <c r="E3212" s="2" t="s">
        <v>414</v>
      </c>
      <c r="F3212" s="2" t="s">
        <v>39</v>
      </c>
      <c r="J3212" s="2" t="s">
        <v>532</v>
      </c>
      <c r="K3212" s="2" t="s">
        <v>533</v>
      </c>
      <c r="L3212" s="2">
        <v>4</v>
      </c>
      <c r="M3212" s="2" t="s">
        <v>538</v>
      </c>
      <c r="O3212" s="2" t="s">
        <v>524</v>
      </c>
      <c r="Y3212" s="2" t="s">
        <v>699</v>
      </c>
    </row>
    <row r="3213" spans="1:34" x14ac:dyDescent="0.25">
      <c r="A3213" s="2" t="s">
        <v>327</v>
      </c>
      <c r="B3213" s="2" t="s">
        <v>531</v>
      </c>
      <c r="C3213" s="2" t="s">
        <v>408</v>
      </c>
      <c r="D3213" s="2" t="s">
        <v>411</v>
      </c>
      <c r="E3213" s="2" t="s">
        <v>414</v>
      </c>
      <c r="F3213" s="2" t="s">
        <v>39</v>
      </c>
      <c r="J3213" s="2" t="s">
        <v>532</v>
      </c>
      <c r="K3213" s="2" t="s">
        <v>533</v>
      </c>
      <c r="L3213" s="2">
        <v>5</v>
      </c>
      <c r="M3213" s="2" t="s">
        <v>539</v>
      </c>
      <c r="O3213" s="2" t="s">
        <v>524</v>
      </c>
      <c r="Y3213" s="2" t="s">
        <v>699</v>
      </c>
    </row>
    <row r="3214" spans="1:34" x14ac:dyDescent="0.25">
      <c r="A3214" s="2" t="s">
        <v>327</v>
      </c>
      <c r="B3214" s="2" t="s">
        <v>540</v>
      </c>
      <c r="C3214" s="2" t="s">
        <v>408</v>
      </c>
      <c r="D3214" s="2" t="s">
        <v>411</v>
      </c>
      <c r="E3214" s="2" t="s">
        <v>414</v>
      </c>
      <c r="F3214" s="2" t="s">
        <v>39</v>
      </c>
      <c r="J3214" s="2" t="s">
        <v>541</v>
      </c>
      <c r="K3214" s="2" t="s">
        <v>542</v>
      </c>
      <c r="L3214" s="2">
        <v>1</v>
      </c>
      <c r="M3214" s="2" t="s">
        <v>543</v>
      </c>
      <c r="O3214" s="2" t="s">
        <v>524</v>
      </c>
      <c r="Y3214" s="2" t="s">
        <v>699</v>
      </c>
    </row>
    <row r="3215" spans="1:34" x14ac:dyDescent="0.25">
      <c r="A3215" s="2" t="s">
        <v>327</v>
      </c>
      <c r="B3215" s="2" t="s">
        <v>540</v>
      </c>
      <c r="C3215" s="2" t="s">
        <v>408</v>
      </c>
      <c r="D3215" s="2" t="s">
        <v>411</v>
      </c>
      <c r="E3215" s="2" t="s">
        <v>414</v>
      </c>
      <c r="F3215" s="2" t="s">
        <v>39</v>
      </c>
      <c r="J3215" s="2" t="s">
        <v>541</v>
      </c>
      <c r="K3215" s="2" t="s">
        <v>542</v>
      </c>
      <c r="L3215" s="2">
        <v>2</v>
      </c>
      <c r="M3215" s="2" t="s">
        <v>544</v>
      </c>
      <c r="O3215" s="2" t="s">
        <v>524</v>
      </c>
      <c r="Y3215" s="2" t="s">
        <v>699</v>
      </c>
    </row>
    <row r="3216" spans="1:34" x14ac:dyDescent="0.25">
      <c r="A3216" s="2" t="s">
        <v>327</v>
      </c>
      <c r="B3216" s="2" t="s">
        <v>540</v>
      </c>
      <c r="C3216" s="2" t="s">
        <v>408</v>
      </c>
      <c r="D3216" s="2" t="s">
        <v>411</v>
      </c>
      <c r="E3216" s="2" t="s">
        <v>414</v>
      </c>
      <c r="F3216" s="2" t="s">
        <v>39</v>
      </c>
      <c r="J3216" s="2" t="s">
        <v>541</v>
      </c>
      <c r="K3216" s="2" t="s">
        <v>542</v>
      </c>
      <c r="L3216" s="2">
        <v>3</v>
      </c>
      <c r="M3216" s="2" t="s">
        <v>545</v>
      </c>
      <c r="O3216" s="2" t="s">
        <v>524</v>
      </c>
      <c r="Y3216" s="2" t="s">
        <v>699</v>
      </c>
    </row>
    <row r="3217" spans="1:34" x14ac:dyDescent="0.25">
      <c r="A3217" s="2" t="s">
        <v>327</v>
      </c>
      <c r="B3217" s="2" t="s">
        <v>540</v>
      </c>
      <c r="C3217" s="2" t="s">
        <v>408</v>
      </c>
      <c r="D3217" s="2" t="s">
        <v>411</v>
      </c>
      <c r="E3217" s="2" t="s">
        <v>414</v>
      </c>
      <c r="F3217" s="2" t="s">
        <v>39</v>
      </c>
      <c r="J3217" s="2" t="s">
        <v>541</v>
      </c>
      <c r="K3217" s="2" t="s">
        <v>542</v>
      </c>
      <c r="L3217" s="2">
        <v>4</v>
      </c>
      <c r="M3217" s="2" t="s">
        <v>546</v>
      </c>
      <c r="O3217" s="2" t="s">
        <v>524</v>
      </c>
      <c r="Y3217" s="2" t="s">
        <v>699</v>
      </c>
    </row>
    <row r="3218" spans="1:34" x14ac:dyDescent="0.25">
      <c r="A3218" s="2" t="s">
        <v>327</v>
      </c>
      <c r="B3218" s="2" t="s">
        <v>540</v>
      </c>
      <c r="C3218" s="2" t="s">
        <v>408</v>
      </c>
      <c r="D3218" s="2" t="s">
        <v>411</v>
      </c>
      <c r="E3218" s="2" t="s">
        <v>414</v>
      </c>
      <c r="F3218" s="2" t="s">
        <v>39</v>
      </c>
      <c r="J3218" s="2" t="s">
        <v>541</v>
      </c>
      <c r="K3218" s="2" t="s">
        <v>542</v>
      </c>
      <c r="L3218" s="2">
        <v>5</v>
      </c>
      <c r="M3218" s="2" t="s">
        <v>547</v>
      </c>
      <c r="O3218" s="2" t="s">
        <v>524</v>
      </c>
      <c r="Y3218" s="2" t="s">
        <v>699</v>
      </c>
    </row>
    <row r="3219" spans="1:34" x14ac:dyDescent="0.25">
      <c r="A3219" s="2" t="s">
        <v>327</v>
      </c>
      <c r="B3219" s="2" t="s">
        <v>540</v>
      </c>
      <c r="C3219" s="2" t="s">
        <v>408</v>
      </c>
      <c r="D3219" s="2" t="s">
        <v>411</v>
      </c>
      <c r="E3219" s="2" t="s">
        <v>414</v>
      </c>
      <c r="F3219" s="2" t="s">
        <v>39</v>
      </c>
      <c r="J3219" s="2" t="s">
        <v>541</v>
      </c>
      <c r="K3219" s="2" t="s">
        <v>542</v>
      </c>
      <c r="L3219" s="2">
        <v>6</v>
      </c>
      <c r="M3219" s="2" t="s">
        <v>548</v>
      </c>
      <c r="O3219" s="2" t="s">
        <v>524</v>
      </c>
      <c r="Y3219" s="2" t="s">
        <v>699</v>
      </c>
    </row>
    <row r="3220" spans="1:34" x14ac:dyDescent="0.25">
      <c r="A3220" s="2" t="s">
        <v>327</v>
      </c>
      <c r="B3220" s="2" t="s">
        <v>540</v>
      </c>
      <c r="C3220" s="2" t="s">
        <v>408</v>
      </c>
      <c r="D3220" s="2" t="s">
        <v>411</v>
      </c>
      <c r="E3220" s="2" t="s">
        <v>414</v>
      </c>
      <c r="F3220" s="2" t="s">
        <v>39</v>
      </c>
      <c r="J3220" s="2" t="s">
        <v>541</v>
      </c>
      <c r="K3220" s="2" t="s">
        <v>542</v>
      </c>
      <c r="L3220" s="2">
        <v>7</v>
      </c>
      <c r="M3220" s="2" t="s">
        <v>549</v>
      </c>
      <c r="O3220" s="2" t="s">
        <v>524</v>
      </c>
      <c r="Y3220" s="2" t="s">
        <v>699</v>
      </c>
    </row>
    <row r="3221" spans="1:34" x14ac:dyDescent="0.25">
      <c r="A3221" s="2" t="s">
        <v>327</v>
      </c>
      <c r="B3221" s="2" t="s">
        <v>540</v>
      </c>
      <c r="C3221" s="2" t="s">
        <v>408</v>
      </c>
      <c r="D3221" s="2" t="s">
        <v>411</v>
      </c>
      <c r="E3221" s="2" t="s">
        <v>414</v>
      </c>
      <c r="F3221" s="2" t="s">
        <v>39</v>
      </c>
      <c r="J3221" s="2" t="s">
        <v>541</v>
      </c>
      <c r="K3221" s="2" t="s">
        <v>542</v>
      </c>
      <c r="L3221" s="2">
        <v>8</v>
      </c>
      <c r="M3221" s="2" t="s">
        <v>550</v>
      </c>
      <c r="O3221" s="2" t="s">
        <v>524</v>
      </c>
      <c r="Y3221" s="2" t="s">
        <v>699</v>
      </c>
    </row>
    <row r="3222" spans="1:34" x14ac:dyDescent="0.25">
      <c r="A3222" s="2" t="s">
        <v>327</v>
      </c>
      <c r="B3222" s="2" t="s">
        <v>540</v>
      </c>
      <c r="C3222" s="2" t="s">
        <v>408</v>
      </c>
      <c r="D3222" s="2" t="s">
        <v>411</v>
      </c>
      <c r="E3222" s="2" t="s">
        <v>414</v>
      </c>
      <c r="F3222" s="2" t="s">
        <v>39</v>
      </c>
      <c r="J3222" s="2" t="s">
        <v>541</v>
      </c>
      <c r="K3222" s="2" t="s">
        <v>542</v>
      </c>
      <c r="L3222" s="2">
        <v>9</v>
      </c>
      <c r="M3222" s="2" t="s">
        <v>551</v>
      </c>
      <c r="O3222" s="2" t="s">
        <v>524</v>
      </c>
      <c r="Y3222" s="2" t="s">
        <v>699</v>
      </c>
    </row>
    <row r="3223" spans="1:34" x14ac:dyDescent="0.25">
      <c r="A3223" s="2" t="s">
        <v>327</v>
      </c>
      <c r="B3223" s="2" t="s">
        <v>540</v>
      </c>
      <c r="C3223" s="2" t="s">
        <v>408</v>
      </c>
      <c r="D3223" s="2" t="s">
        <v>411</v>
      </c>
      <c r="E3223" s="2" t="s">
        <v>414</v>
      </c>
      <c r="F3223" s="2" t="s">
        <v>39</v>
      </c>
      <c r="J3223" s="2" t="s">
        <v>541</v>
      </c>
      <c r="K3223" s="2" t="s">
        <v>542</v>
      </c>
      <c r="L3223" s="2">
        <v>10</v>
      </c>
      <c r="M3223" s="2" t="s">
        <v>552</v>
      </c>
      <c r="O3223" s="2" t="s">
        <v>524</v>
      </c>
      <c r="Y3223" s="2" t="s">
        <v>699</v>
      </c>
    </row>
    <row r="3224" spans="1:34" x14ac:dyDescent="0.25">
      <c r="A3224" s="2" t="s">
        <v>327</v>
      </c>
      <c r="B3224" s="2" t="s">
        <v>540</v>
      </c>
      <c r="C3224" s="2" t="s">
        <v>408</v>
      </c>
      <c r="D3224" s="2" t="s">
        <v>411</v>
      </c>
      <c r="E3224" s="2" t="s">
        <v>414</v>
      </c>
      <c r="F3224" s="2" t="s">
        <v>39</v>
      </c>
      <c r="J3224" s="2" t="s">
        <v>541</v>
      </c>
      <c r="K3224" s="2" t="s">
        <v>542</v>
      </c>
      <c r="L3224" s="2">
        <v>11</v>
      </c>
      <c r="M3224" s="2" t="s">
        <v>553</v>
      </c>
      <c r="O3224" s="2" t="s">
        <v>524</v>
      </c>
      <c r="Y3224" s="2" t="s">
        <v>699</v>
      </c>
    </row>
    <row r="3225" spans="1:34" x14ac:dyDescent="0.25">
      <c r="A3225" s="2" t="s">
        <v>327</v>
      </c>
      <c r="B3225" s="2" t="s">
        <v>540</v>
      </c>
      <c r="C3225" s="2" t="s">
        <v>408</v>
      </c>
      <c r="D3225" s="2" t="s">
        <v>411</v>
      </c>
      <c r="E3225" s="2" t="s">
        <v>414</v>
      </c>
      <c r="F3225" s="2" t="s">
        <v>39</v>
      </c>
      <c r="J3225" s="2" t="s">
        <v>541</v>
      </c>
      <c r="K3225" s="2" t="s">
        <v>542</v>
      </c>
      <c r="L3225" s="2">
        <v>12</v>
      </c>
      <c r="M3225" s="2" t="s">
        <v>554</v>
      </c>
      <c r="O3225" s="2" t="s">
        <v>524</v>
      </c>
      <c r="Y3225" s="2" t="s">
        <v>699</v>
      </c>
    </row>
    <row r="3226" spans="1:34" x14ac:dyDescent="0.25">
      <c r="A3226" s="2" t="s">
        <v>327</v>
      </c>
      <c r="B3226" s="2" t="s">
        <v>555</v>
      </c>
      <c r="C3226" s="2" t="s">
        <v>408</v>
      </c>
      <c r="D3226" s="2" t="s">
        <v>411</v>
      </c>
      <c r="E3226" s="2" t="s">
        <v>414</v>
      </c>
      <c r="F3226" s="2" t="s">
        <v>39</v>
      </c>
      <c r="J3226" s="2" t="s">
        <v>556</v>
      </c>
      <c r="O3226" s="2" t="s">
        <v>524</v>
      </c>
      <c r="Y3226" s="2" t="s">
        <v>699</v>
      </c>
      <c r="AB3226" s="2">
        <v>1</v>
      </c>
    </row>
    <row r="3227" spans="1:34" x14ac:dyDescent="0.25">
      <c r="A3227" s="2" t="s">
        <v>327</v>
      </c>
      <c r="B3227" s="2" t="s">
        <v>557</v>
      </c>
      <c r="C3227" s="2" t="s">
        <v>408</v>
      </c>
      <c r="D3227" s="2" t="s">
        <v>411</v>
      </c>
      <c r="E3227" s="2" t="s">
        <v>414</v>
      </c>
      <c r="F3227" s="2" t="s">
        <v>39</v>
      </c>
      <c r="J3227" s="2" t="s">
        <v>558</v>
      </c>
      <c r="O3227" s="2" t="s">
        <v>524</v>
      </c>
      <c r="Y3227" s="2" t="s">
        <v>699</v>
      </c>
      <c r="AC3227" s="2">
        <f>COUNTIFS($B:$B,"BLOCK_LOAD_Q",$A:$A,$A3227,$C:$C,$C3227,$E:$E,$E3227,$F:$F,$F3227,$N:$N, "&lt;&gt;")</f>
        <v>0</v>
      </c>
      <c r="AD3227" s="2">
        <f>COUNTIFS($B:$B,"BLOCK_TRUST_Q",$A:$A,$A3227,$C:$C,$C3227,$E:$E,$E3227,$F:$F,$F3227,$N:$N, "&lt;&gt;")</f>
        <v>0</v>
      </c>
      <c r="AE3227" s="2" t="str">
        <f>IFERROR(AVERAGEIFS($P:$P,$B:$B,"BLOCK_LOAD_Q",$A:$A,$A3227,$C:$C,$C3227,$E:$E,$E3227,$F:$F,$F3227,$P:$P,"&gt;0"),"")</f>
        <v/>
      </c>
      <c r="AF3227" s="2" t="str">
        <f>IFERROR(AVERAGEIFS($P:$P,$B:$B,"BLOCK_TRUST_Q",$A:$A,$A3227,$C:$C,$C3227,$E:$E,$E3227,$F:$F,$F3227,$P:$P,"&gt;0"),"")</f>
        <v/>
      </c>
      <c r="AG3227" s="2">
        <f>5-AC3227</f>
        <v>5</v>
      </c>
      <c r="AH3227" s="2">
        <f>12-AD3227</f>
        <v>12</v>
      </c>
    </row>
    <row r="3228" spans="1:34" x14ac:dyDescent="0.25">
      <c r="A3228" s="2" t="s">
        <v>327</v>
      </c>
      <c r="B3228" s="2" t="s">
        <v>403</v>
      </c>
      <c r="C3228" s="2" t="s">
        <v>408</v>
      </c>
      <c r="D3228" s="2" t="s">
        <v>411</v>
      </c>
      <c r="Z3228" s="2" t="s">
        <v>484</v>
      </c>
    </row>
    <row r="3229" spans="1:34" x14ac:dyDescent="0.25">
      <c r="A3229" s="2" t="s">
        <v>327</v>
      </c>
      <c r="B3229" s="2" t="s">
        <v>402</v>
      </c>
      <c r="C3229" s="2" t="s">
        <v>409</v>
      </c>
      <c r="D3229" s="2" t="s">
        <v>412</v>
      </c>
      <c r="E3229" s="2" t="s">
        <v>413</v>
      </c>
      <c r="F3229" s="2" t="s">
        <v>39</v>
      </c>
      <c r="G3229" s="2" t="s">
        <v>415</v>
      </c>
      <c r="H3229" s="2" t="s">
        <v>350</v>
      </c>
      <c r="S3229" s="2" t="s">
        <v>57</v>
      </c>
      <c r="U3229" s="2" t="s">
        <v>58</v>
      </c>
      <c r="W3229" s="2" t="s">
        <v>59</v>
      </c>
    </row>
    <row r="3230" spans="1:34" x14ac:dyDescent="0.25">
      <c r="A3230" s="2" t="s">
        <v>327</v>
      </c>
      <c r="B3230" s="2" t="s">
        <v>402</v>
      </c>
      <c r="C3230" s="2" t="s">
        <v>409</v>
      </c>
      <c r="D3230" s="2" t="s">
        <v>412</v>
      </c>
      <c r="E3230" s="2" t="s">
        <v>413</v>
      </c>
      <c r="F3230" s="2" t="s">
        <v>39</v>
      </c>
      <c r="G3230" s="2" t="s">
        <v>416</v>
      </c>
      <c r="H3230" s="2" t="s">
        <v>571</v>
      </c>
      <c r="S3230" s="2" t="s">
        <v>59</v>
      </c>
      <c r="U3230" s="2" t="s">
        <v>57</v>
      </c>
      <c r="W3230" s="2" t="s">
        <v>60</v>
      </c>
    </row>
    <row r="3231" spans="1:34" x14ac:dyDescent="0.25">
      <c r="A3231" s="2" t="s">
        <v>327</v>
      </c>
      <c r="B3231" s="2" t="s">
        <v>402</v>
      </c>
      <c r="C3231" s="2" t="s">
        <v>409</v>
      </c>
      <c r="D3231" s="2" t="s">
        <v>412</v>
      </c>
      <c r="E3231" s="2" t="s">
        <v>413</v>
      </c>
      <c r="F3231" s="2" t="s">
        <v>39</v>
      </c>
      <c r="G3231" s="2" t="s">
        <v>417</v>
      </c>
      <c r="H3231" s="2" t="s">
        <v>572</v>
      </c>
      <c r="S3231" s="2" t="s">
        <v>57</v>
      </c>
      <c r="U3231" s="2" t="s">
        <v>59</v>
      </c>
      <c r="W3231" s="2" t="s">
        <v>58</v>
      </c>
    </row>
    <row r="3232" spans="1:34" x14ac:dyDescent="0.25">
      <c r="A3232" s="2" t="s">
        <v>327</v>
      </c>
      <c r="B3232" s="2" t="s">
        <v>402</v>
      </c>
      <c r="C3232" s="2" t="s">
        <v>409</v>
      </c>
      <c r="D3232" s="2" t="s">
        <v>412</v>
      </c>
      <c r="E3232" s="2" t="s">
        <v>413</v>
      </c>
      <c r="F3232" s="2" t="s">
        <v>39</v>
      </c>
      <c r="G3232" s="2" t="s">
        <v>418</v>
      </c>
      <c r="H3232" s="2" t="s">
        <v>573</v>
      </c>
      <c r="S3232" s="2" t="s">
        <v>58</v>
      </c>
      <c r="U3232" s="2" t="s">
        <v>58</v>
      </c>
      <c r="W3232" s="2" t="s">
        <v>58</v>
      </c>
    </row>
    <row r="3233" spans="1:25" x14ac:dyDescent="0.25">
      <c r="A3233" s="2" t="s">
        <v>327</v>
      </c>
      <c r="B3233" s="2" t="s">
        <v>402</v>
      </c>
      <c r="C3233" s="2" t="s">
        <v>409</v>
      </c>
      <c r="D3233" s="2" t="s">
        <v>412</v>
      </c>
      <c r="E3233" s="2" t="s">
        <v>413</v>
      </c>
      <c r="F3233" s="2" t="s">
        <v>39</v>
      </c>
      <c r="G3233" s="2" t="s">
        <v>419</v>
      </c>
      <c r="H3233" s="2" t="s">
        <v>365</v>
      </c>
      <c r="S3233" s="2" t="s">
        <v>59</v>
      </c>
      <c r="U3233" s="2" t="s">
        <v>59</v>
      </c>
      <c r="W3233" s="2" t="s">
        <v>60</v>
      </c>
    </row>
    <row r="3234" spans="1:25" x14ac:dyDescent="0.25">
      <c r="A3234" s="2" t="s">
        <v>327</v>
      </c>
      <c r="B3234" s="2" t="s">
        <v>531</v>
      </c>
      <c r="C3234" s="2" t="s">
        <v>409</v>
      </c>
      <c r="D3234" s="2" t="s">
        <v>412</v>
      </c>
      <c r="E3234" s="2" t="s">
        <v>413</v>
      </c>
      <c r="F3234" s="2" t="s">
        <v>39</v>
      </c>
      <c r="J3234" s="2" t="s">
        <v>532</v>
      </c>
      <c r="K3234" s="2" t="s">
        <v>533</v>
      </c>
      <c r="L3234" s="2">
        <v>1</v>
      </c>
      <c r="M3234" s="2" t="s">
        <v>534</v>
      </c>
      <c r="O3234" s="2" t="s">
        <v>524</v>
      </c>
      <c r="Y3234" s="2" t="s">
        <v>700</v>
      </c>
    </row>
    <row r="3235" spans="1:25" x14ac:dyDescent="0.25">
      <c r="A3235" s="2" t="s">
        <v>327</v>
      </c>
      <c r="B3235" s="2" t="s">
        <v>531</v>
      </c>
      <c r="C3235" s="2" t="s">
        <v>409</v>
      </c>
      <c r="D3235" s="2" t="s">
        <v>412</v>
      </c>
      <c r="E3235" s="2" t="s">
        <v>413</v>
      </c>
      <c r="F3235" s="2" t="s">
        <v>39</v>
      </c>
      <c r="J3235" s="2" t="s">
        <v>532</v>
      </c>
      <c r="K3235" s="2" t="s">
        <v>533</v>
      </c>
      <c r="L3235" s="2">
        <v>2</v>
      </c>
      <c r="M3235" s="2" t="s">
        <v>536</v>
      </c>
      <c r="O3235" s="2" t="s">
        <v>524</v>
      </c>
      <c r="Y3235" s="2" t="s">
        <v>700</v>
      </c>
    </row>
    <row r="3236" spans="1:25" x14ac:dyDescent="0.25">
      <c r="A3236" s="2" t="s">
        <v>327</v>
      </c>
      <c r="B3236" s="2" t="s">
        <v>531</v>
      </c>
      <c r="C3236" s="2" t="s">
        <v>409</v>
      </c>
      <c r="D3236" s="2" t="s">
        <v>412</v>
      </c>
      <c r="E3236" s="2" t="s">
        <v>413</v>
      </c>
      <c r="F3236" s="2" t="s">
        <v>39</v>
      </c>
      <c r="J3236" s="2" t="s">
        <v>532</v>
      </c>
      <c r="K3236" s="2" t="s">
        <v>533</v>
      </c>
      <c r="L3236" s="2">
        <v>3</v>
      </c>
      <c r="M3236" s="2" t="s">
        <v>537</v>
      </c>
      <c r="O3236" s="2" t="s">
        <v>524</v>
      </c>
      <c r="Y3236" s="2" t="s">
        <v>700</v>
      </c>
    </row>
    <row r="3237" spans="1:25" x14ac:dyDescent="0.25">
      <c r="A3237" s="2" t="s">
        <v>327</v>
      </c>
      <c r="B3237" s="2" t="s">
        <v>531</v>
      </c>
      <c r="C3237" s="2" t="s">
        <v>409</v>
      </c>
      <c r="D3237" s="2" t="s">
        <v>412</v>
      </c>
      <c r="E3237" s="2" t="s">
        <v>413</v>
      </c>
      <c r="F3237" s="2" t="s">
        <v>39</v>
      </c>
      <c r="J3237" s="2" t="s">
        <v>532</v>
      </c>
      <c r="K3237" s="2" t="s">
        <v>533</v>
      </c>
      <c r="L3237" s="2">
        <v>4</v>
      </c>
      <c r="M3237" s="2" t="s">
        <v>538</v>
      </c>
      <c r="O3237" s="2" t="s">
        <v>524</v>
      </c>
      <c r="Y3237" s="2" t="s">
        <v>700</v>
      </c>
    </row>
    <row r="3238" spans="1:25" x14ac:dyDescent="0.25">
      <c r="A3238" s="2" t="s">
        <v>327</v>
      </c>
      <c r="B3238" s="2" t="s">
        <v>531</v>
      </c>
      <c r="C3238" s="2" t="s">
        <v>409</v>
      </c>
      <c r="D3238" s="2" t="s">
        <v>412</v>
      </c>
      <c r="E3238" s="2" t="s">
        <v>413</v>
      </c>
      <c r="F3238" s="2" t="s">
        <v>39</v>
      </c>
      <c r="J3238" s="2" t="s">
        <v>532</v>
      </c>
      <c r="K3238" s="2" t="s">
        <v>533</v>
      </c>
      <c r="L3238" s="2">
        <v>5</v>
      </c>
      <c r="M3238" s="2" t="s">
        <v>539</v>
      </c>
      <c r="O3238" s="2" t="s">
        <v>524</v>
      </c>
      <c r="Y3238" s="2" t="s">
        <v>700</v>
      </c>
    </row>
    <row r="3239" spans="1:25" x14ac:dyDescent="0.25">
      <c r="A3239" s="2" t="s">
        <v>327</v>
      </c>
      <c r="B3239" s="2" t="s">
        <v>540</v>
      </c>
      <c r="C3239" s="2" t="s">
        <v>409</v>
      </c>
      <c r="D3239" s="2" t="s">
        <v>412</v>
      </c>
      <c r="E3239" s="2" t="s">
        <v>413</v>
      </c>
      <c r="F3239" s="2" t="s">
        <v>39</v>
      </c>
      <c r="J3239" s="2" t="s">
        <v>541</v>
      </c>
      <c r="K3239" s="2" t="s">
        <v>542</v>
      </c>
      <c r="L3239" s="2">
        <v>1</v>
      </c>
      <c r="M3239" s="2" t="s">
        <v>543</v>
      </c>
      <c r="O3239" s="2" t="s">
        <v>524</v>
      </c>
      <c r="Y3239" s="2" t="s">
        <v>700</v>
      </c>
    </row>
    <row r="3240" spans="1:25" x14ac:dyDescent="0.25">
      <c r="A3240" s="2" t="s">
        <v>327</v>
      </c>
      <c r="B3240" s="2" t="s">
        <v>540</v>
      </c>
      <c r="C3240" s="2" t="s">
        <v>409</v>
      </c>
      <c r="D3240" s="2" t="s">
        <v>412</v>
      </c>
      <c r="E3240" s="2" t="s">
        <v>413</v>
      </c>
      <c r="F3240" s="2" t="s">
        <v>39</v>
      </c>
      <c r="J3240" s="2" t="s">
        <v>541</v>
      </c>
      <c r="K3240" s="2" t="s">
        <v>542</v>
      </c>
      <c r="L3240" s="2">
        <v>2</v>
      </c>
      <c r="M3240" s="2" t="s">
        <v>544</v>
      </c>
      <c r="O3240" s="2" t="s">
        <v>524</v>
      </c>
      <c r="Y3240" s="2" t="s">
        <v>700</v>
      </c>
    </row>
    <row r="3241" spans="1:25" x14ac:dyDescent="0.25">
      <c r="A3241" s="2" t="s">
        <v>327</v>
      </c>
      <c r="B3241" s="2" t="s">
        <v>540</v>
      </c>
      <c r="C3241" s="2" t="s">
        <v>409</v>
      </c>
      <c r="D3241" s="2" t="s">
        <v>412</v>
      </c>
      <c r="E3241" s="2" t="s">
        <v>413</v>
      </c>
      <c r="F3241" s="2" t="s">
        <v>39</v>
      </c>
      <c r="J3241" s="2" t="s">
        <v>541</v>
      </c>
      <c r="K3241" s="2" t="s">
        <v>542</v>
      </c>
      <c r="L3241" s="2">
        <v>3</v>
      </c>
      <c r="M3241" s="2" t="s">
        <v>545</v>
      </c>
      <c r="O3241" s="2" t="s">
        <v>524</v>
      </c>
      <c r="Y3241" s="2" t="s">
        <v>700</v>
      </c>
    </row>
    <row r="3242" spans="1:25" x14ac:dyDescent="0.25">
      <c r="A3242" s="2" t="s">
        <v>327</v>
      </c>
      <c r="B3242" s="2" t="s">
        <v>540</v>
      </c>
      <c r="C3242" s="2" t="s">
        <v>409</v>
      </c>
      <c r="D3242" s="2" t="s">
        <v>412</v>
      </c>
      <c r="E3242" s="2" t="s">
        <v>413</v>
      </c>
      <c r="F3242" s="2" t="s">
        <v>39</v>
      </c>
      <c r="J3242" s="2" t="s">
        <v>541</v>
      </c>
      <c r="K3242" s="2" t="s">
        <v>542</v>
      </c>
      <c r="L3242" s="2">
        <v>4</v>
      </c>
      <c r="M3242" s="2" t="s">
        <v>546</v>
      </c>
      <c r="O3242" s="2" t="s">
        <v>524</v>
      </c>
      <c r="Y3242" s="2" t="s">
        <v>700</v>
      </c>
    </row>
    <row r="3243" spans="1:25" x14ac:dyDescent="0.25">
      <c r="A3243" s="2" t="s">
        <v>327</v>
      </c>
      <c r="B3243" s="2" t="s">
        <v>540</v>
      </c>
      <c r="C3243" s="2" t="s">
        <v>409</v>
      </c>
      <c r="D3243" s="2" t="s">
        <v>412</v>
      </c>
      <c r="E3243" s="2" t="s">
        <v>413</v>
      </c>
      <c r="F3243" s="2" t="s">
        <v>39</v>
      </c>
      <c r="J3243" s="2" t="s">
        <v>541</v>
      </c>
      <c r="K3243" s="2" t="s">
        <v>542</v>
      </c>
      <c r="L3243" s="2">
        <v>5</v>
      </c>
      <c r="M3243" s="2" t="s">
        <v>547</v>
      </c>
      <c r="O3243" s="2" t="s">
        <v>524</v>
      </c>
      <c r="Y3243" s="2" t="s">
        <v>700</v>
      </c>
    </row>
    <row r="3244" spans="1:25" x14ac:dyDescent="0.25">
      <c r="A3244" s="2" t="s">
        <v>327</v>
      </c>
      <c r="B3244" s="2" t="s">
        <v>540</v>
      </c>
      <c r="C3244" s="2" t="s">
        <v>409</v>
      </c>
      <c r="D3244" s="2" t="s">
        <v>412</v>
      </c>
      <c r="E3244" s="2" t="s">
        <v>413</v>
      </c>
      <c r="F3244" s="2" t="s">
        <v>39</v>
      </c>
      <c r="J3244" s="2" t="s">
        <v>541</v>
      </c>
      <c r="K3244" s="2" t="s">
        <v>542</v>
      </c>
      <c r="L3244" s="2">
        <v>6</v>
      </c>
      <c r="M3244" s="2" t="s">
        <v>548</v>
      </c>
      <c r="O3244" s="2" t="s">
        <v>524</v>
      </c>
      <c r="Y3244" s="2" t="s">
        <v>700</v>
      </c>
    </row>
    <row r="3245" spans="1:25" x14ac:dyDescent="0.25">
      <c r="A3245" s="2" t="s">
        <v>327</v>
      </c>
      <c r="B3245" s="2" t="s">
        <v>540</v>
      </c>
      <c r="C3245" s="2" t="s">
        <v>409</v>
      </c>
      <c r="D3245" s="2" t="s">
        <v>412</v>
      </c>
      <c r="E3245" s="2" t="s">
        <v>413</v>
      </c>
      <c r="F3245" s="2" t="s">
        <v>39</v>
      </c>
      <c r="J3245" s="2" t="s">
        <v>541</v>
      </c>
      <c r="K3245" s="2" t="s">
        <v>542</v>
      </c>
      <c r="L3245" s="2">
        <v>7</v>
      </c>
      <c r="M3245" s="2" t="s">
        <v>549</v>
      </c>
      <c r="O3245" s="2" t="s">
        <v>524</v>
      </c>
      <c r="Y3245" s="2" t="s">
        <v>700</v>
      </c>
    </row>
    <row r="3246" spans="1:25" x14ac:dyDescent="0.25">
      <c r="A3246" s="2" t="s">
        <v>327</v>
      </c>
      <c r="B3246" s="2" t="s">
        <v>540</v>
      </c>
      <c r="C3246" s="2" t="s">
        <v>409</v>
      </c>
      <c r="D3246" s="2" t="s">
        <v>412</v>
      </c>
      <c r="E3246" s="2" t="s">
        <v>413</v>
      </c>
      <c r="F3246" s="2" t="s">
        <v>39</v>
      </c>
      <c r="J3246" s="2" t="s">
        <v>541</v>
      </c>
      <c r="K3246" s="2" t="s">
        <v>542</v>
      </c>
      <c r="L3246" s="2">
        <v>8</v>
      </c>
      <c r="M3246" s="2" t="s">
        <v>550</v>
      </c>
      <c r="O3246" s="2" t="s">
        <v>524</v>
      </c>
      <c r="Y3246" s="2" t="s">
        <v>700</v>
      </c>
    </row>
    <row r="3247" spans="1:25" x14ac:dyDescent="0.25">
      <c r="A3247" s="2" t="s">
        <v>327</v>
      </c>
      <c r="B3247" s="2" t="s">
        <v>540</v>
      </c>
      <c r="C3247" s="2" t="s">
        <v>409</v>
      </c>
      <c r="D3247" s="2" t="s">
        <v>412</v>
      </c>
      <c r="E3247" s="2" t="s">
        <v>413</v>
      </c>
      <c r="F3247" s="2" t="s">
        <v>39</v>
      </c>
      <c r="J3247" s="2" t="s">
        <v>541</v>
      </c>
      <c r="K3247" s="2" t="s">
        <v>542</v>
      </c>
      <c r="L3247" s="2">
        <v>9</v>
      </c>
      <c r="M3247" s="2" t="s">
        <v>551</v>
      </c>
      <c r="O3247" s="2" t="s">
        <v>524</v>
      </c>
      <c r="Y3247" s="2" t="s">
        <v>700</v>
      </c>
    </row>
    <row r="3248" spans="1:25" x14ac:dyDescent="0.25">
      <c r="A3248" s="2" t="s">
        <v>327</v>
      </c>
      <c r="B3248" s="2" t="s">
        <v>540</v>
      </c>
      <c r="C3248" s="2" t="s">
        <v>409</v>
      </c>
      <c r="D3248" s="2" t="s">
        <v>412</v>
      </c>
      <c r="E3248" s="2" t="s">
        <v>413</v>
      </c>
      <c r="F3248" s="2" t="s">
        <v>39</v>
      </c>
      <c r="J3248" s="2" t="s">
        <v>541</v>
      </c>
      <c r="K3248" s="2" t="s">
        <v>542</v>
      </c>
      <c r="L3248" s="2">
        <v>10</v>
      </c>
      <c r="M3248" s="2" t="s">
        <v>552</v>
      </c>
      <c r="O3248" s="2" t="s">
        <v>524</v>
      </c>
      <c r="Y3248" s="2" t="s">
        <v>700</v>
      </c>
    </row>
    <row r="3249" spans="1:34" x14ac:dyDescent="0.25">
      <c r="A3249" s="2" t="s">
        <v>327</v>
      </c>
      <c r="B3249" s="2" t="s">
        <v>540</v>
      </c>
      <c r="C3249" s="2" t="s">
        <v>409</v>
      </c>
      <c r="D3249" s="2" t="s">
        <v>412</v>
      </c>
      <c r="E3249" s="2" t="s">
        <v>413</v>
      </c>
      <c r="F3249" s="2" t="s">
        <v>39</v>
      </c>
      <c r="J3249" s="2" t="s">
        <v>541</v>
      </c>
      <c r="K3249" s="2" t="s">
        <v>542</v>
      </c>
      <c r="L3249" s="2">
        <v>11</v>
      </c>
      <c r="M3249" s="2" t="s">
        <v>553</v>
      </c>
      <c r="O3249" s="2" t="s">
        <v>524</v>
      </c>
      <c r="Y3249" s="2" t="s">
        <v>700</v>
      </c>
    </row>
    <row r="3250" spans="1:34" x14ac:dyDescent="0.25">
      <c r="A3250" s="2" t="s">
        <v>327</v>
      </c>
      <c r="B3250" s="2" t="s">
        <v>540</v>
      </c>
      <c r="C3250" s="2" t="s">
        <v>409</v>
      </c>
      <c r="D3250" s="2" t="s">
        <v>412</v>
      </c>
      <c r="E3250" s="2" t="s">
        <v>413</v>
      </c>
      <c r="F3250" s="2" t="s">
        <v>39</v>
      </c>
      <c r="J3250" s="2" t="s">
        <v>541</v>
      </c>
      <c r="K3250" s="2" t="s">
        <v>542</v>
      </c>
      <c r="L3250" s="2">
        <v>12</v>
      </c>
      <c r="M3250" s="2" t="s">
        <v>554</v>
      </c>
      <c r="O3250" s="2" t="s">
        <v>524</v>
      </c>
      <c r="Y3250" s="2" t="s">
        <v>700</v>
      </c>
    </row>
    <row r="3251" spans="1:34" x14ac:dyDescent="0.25">
      <c r="A3251" s="2" t="s">
        <v>327</v>
      </c>
      <c r="B3251" s="2" t="s">
        <v>555</v>
      </c>
      <c r="C3251" s="2" t="s">
        <v>409</v>
      </c>
      <c r="D3251" s="2" t="s">
        <v>412</v>
      </c>
      <c r="E3251" s="2" t="s">
        <v>413</v>
      </c>
      <c r="F3251" s="2" t="s">
        <v>39</v>
      </c>
      <c r="J3251" s="2" t="s">
        <v>556</v>
      </c>
      <c r="O3251" s="2" t="s">
        <v>524</v>
      </c>
      <c r="Y3251" s="2" t="s">
        <v>700</v>
      </c>
      <c r="AB3251" s="2">
        <v>1</v>
      </c>
    </row>
    <row r="3252" spans="1:34" x14ac:dyDescent="0.25">
      <c r="A3252" s="2" t="s">
        <v>327</v>
      </c>
      <c r="B3252" s="2" t="s">
        <v>557</v>
      </c>
      <c r="C3252" s="2" t="s">
        <v>409</v>
      </c>
      <c r="D3252" s="2" t="s">
        <v>412</v>
      </c>
      <c r="E3252" s="2" t="s">
        <v>413</v>
      </c>
      <c r="F3252" s="2" t="s">
        <v>39</v>
      </c>
      <c r="J3252" s="2" t="s">
        <v>558</v>
      </c>
      <c r="O3252" s="2" t="s">
        <v>524</v>
      </c>
      <c r="Y3252" s="2" t="s">
        <v>700</v>
      </c>
      <c r="AC3252" s="2">
        <f>COUNTIFS($B:$B,"BLOCK_LOAD_Q",$A:$A,$A3252,$C:$C,$C3252,$E:$E,$E3252,$F:$F,$F3252,$N:$N, "&lt;&gt;")</f>
        <v>0</v>
      </c>
      <c r="AD3252" s="2">
        <f>COUNTIFS($B:$B,"BLOCK_TRUST_Q",$A:$A,$A3252,$C:$C,$C3252,$E:$E,$E3252,$F:$F,$F3252,$N:$N, "&lt;&gt;")</f>
        <v>0</v>
      </c>
      <c r="AE3252" s="2" t="str">
        <f>IFERROR(AVERAGEIFS($P:$P,$B:$B,"BLOCK_LOAD_Q",$A:$A,$A3252,$C:$C,$C3252,$E:$E,$E3252,$F:$F,$F3252,$P:$P,"&gt;0"),"")</f>
        <v/>
      </c>
      <c r="AF3252" s="2" t="str">
        <f>IFERROR(AVERAGEIFS($P:$P,$B:$B,"BLOCK_TRUST_Q",$A:$A,$A3252,$C:$C,$C3252,$E:$E,$E3252,$F:$F,$F3252,$P:$P,"&gt;0"),"")</f>
        <v/>
      </c>
      <c r="AG3252" s="2">
        <f>5-AC3252</f>
        <v>5</v>
      </c>
      <c r="AH3252" s="2">
        <f>12-AD3252</f>
        <v>12</v>
      </c>
    </row>
    <row r="3253" spans="1:34" x14ac:dyDescent="0.25">
      <c r="A3253" s="2" t="s">
        <v>327</v>
      </c>
      <c r="B3253" s="2" t="s">
        <v>402</v>
      </c>
      <c r="C3253" s="2" t="s">
        <v>409</v>
      </c>
      <c r="D3253" s="2" t="s">
        <v>412</v>
      </c>
      <c r="E3253" s="2" t="s">
        <v>414</v>
      </c>
      <c r="F3253" s="2" t="s">
        <v>40</v>
      </c>
      <c r="G3253" s="2" t="s">
        <v>415</v>
      </c>
      <c r="H3253" s="2" t="s">
        <v>567</v>
      </c>
      <c r="S3253" s="2" t="s">
        <v>58</v>
      </c>
      <c r="U3253" s="2" t="s">
        <v>57</v>
      </c>
      <c r="W3253" s="2" t="s">
        <v>60</v>
      </c>
    </row>
    <row r="3254" spans="1:34" x14ac:dyDescent="0.25">
      <c r="A3254" s="2" t="s">
        <v>327</v>
      </c>
      <c r="B3254" s="2" t="s">
        <v>402</v>
      </c>
      <c r="C3254" s="2" t="s">
        <v>409</v>
      </c>
      <c r="D3254" s="2" t="s">
        <v>412</v>
      </c>
      <c r="E3254" s="2" t="s">
        <v>414</v>
      </c>
      <c r="F3254" s="2" t="s">
        <v>40</v>
      </c>
      <c r="G3254" s="2" t="s">
        <v>416</v>
      </c>
      <c r="H3254" s="2" t="s">
        <v>568</v>
      </c>
      <c r="S3254" s="2" t="s">
        <v>59</v>
      </c>
      <c r="U3254" s="2" t="s">
        <v>60</v>
      </c>
      <c r="W3254" s="2" t="s">
        <v>59</v>
      </c>
    </row>
    <row r="3255" spans="1:34" x14ac:dyDescent="0.25">
      <c r="A3255" s="2" t="s">
        <v>327</v>
      </c>
      <c r="B3255" s="2" t="s">
        <v>402</v>
      </c>
      <c r="C3255" s="2" t="s">
        <v>409</v>
      </c>
      <c r="D3255" s="2" t="s">
        <v>412</v>
      </c>
      <c r="E3255" s="2" t="s">
        <v>414</v>
      </c>
      <c r="F3255" s="2" t="s">
        <v>40</v>
      </c>
      <c r="G3255" s="2" t="s">
        <v>417</v>
      </c>
      <c r="H3255" s="2" t="s">
        <v>569</v>
      </c>
      <c r="S3255" s="2" t="s">
        <v>57</v>
      </c>
      <c r="U3255" s="2" t="s">
        <v>60</v>
      </c>
      <c r="W3255" s="2" t="s">
        <v>57</v>
      </c>
    </row>
    <row r="3256" spans="1:34" x14ac:dyDescent="0.25">
      <c r="A3256" s="2" t="s">
        <v>327</v>
      </c>
      <c r="B3256" s="2" t="s">
        <v>402</v>
      </c>
      <c r="C3256" s="2" t="s">
        <v>409</v>
      </c>
      <c r="D3256" s="2" t="s">
        <v>412</v>
      </c>
      <c r="E3256" s="2" t="s">
        <v>414</v>
      </c>
      <c r="F3256" s="2" t="s">
        <v>40</v>
      </c>
      <c r="G3256" s="2" t="s">
        <v>418</v>
      </c>
      <c r="H3256" s="2" t="s">
        <v>351</v>
      </c>
      <c r="S3256" s="2" t="s">
        <v>60</v>
      </c>
      <c r="U3256" s="2" t="s">
        <v>57</v>
      </c>
      <c r="W3256" s="2" t="s">
        <v>57</v>
      </c>
    </row>
    <row r="3257" spans="1:34" x14ac:dyDescent="0.25">
      <c r="A3257" s="2" t="s">
        <v>327</v>
      </c>
      <c r="B3257" s="2" t="s">
        <v>531</v>
      </c>
      <c r="C3257" s="2" t="s">
        <v>409</v>
      </c>
      <c r="D3257" s="2" t="s">
        <v>412</v>
      </c>
      <c r="E3257" s="2" t="s">
        <v>414</v>
      </c>
      <c r="F3257" s="2" t="s">
        <v>40</v>
      </c>
      <c r="J3257" s="2" t="s">
        <v>532</v>
      </c>
      <c r="K3257" s="2" t="s">
        <v>533</v>
      </c>
      <c r="L3257" s="2">
        <v>1</v>
      </c>
      <c r="M3257" s="2" t="s">
        <v>534</v>
      </c>
      <c r="O3257" s="2" t="s">
        <v>524</v>
      </c>
      <c r="Y3257" s="2" t="s">
        <v>701</v>
      </c>
    </row>
    <row r="3258" spans="1:34" x14ac:dyDescent="0.25">
      <c r="A3258" s="2" t="s">
        <v>327</v>
      </c>
      <c r="B3258" s="2" t="s">
        <v>531</v>
      </c>
      <c r="C3258" s="2" t="s">
        <v>409</v>
      </c>
      <c r="D3258" s="2" t="s">
        <v>412</v>
      </c>
      <c r="E3258" s="2" t="s">
        <v>414</v>
      </c>
      <c r="F3258" s="2" t="s">
        <v>40</v>
      </c>
      <c r="J3258" s="2" t="s">
        <v>532</v>
      </c>
      <c r="K3258" s="2" t="s">
        <v>533</v>
      </c>
      <c r="L3258" s="2">
        <v>2</v>
      </c>
      <c r="M3258" s="2" t="s">
        <v>536</v>
      </c>
      <c r="O3258" s="2" t="s">
        <v>524</v>
      </c>
      <c r="Y3258" s="2" t="s">
        <v>701</v>
      </c>
    </row>
    <row r="3259" spans="1:34" x14ac:dyDescent="0.25">
      <c r="A3259" s="2" t="s">
        <v>327</v>
      </c>
      <c r="B3259" s="2" t="s">
        <v>531</v>
      </c>
      <c r="C3259" s="2" t="s">
        <v>409</v>
      </c>
      <c r="D3259" s="2" t="s">
        <v>412</v>
      </c>
      <c r="E3259" s="2" t="s">
        <v>414</v>
      </c>
      <c r="F3259" s="2" t="s">
        <v>40</v>
      </c>
      <c r="J3259" s="2" t="s">
        <v>532</v>
      </c>
      <c r="K3259" s="2" t="s">
        <v>533</v>
      </c>
      <c r="L3259" s="2">
        <v>3</v>
      </c>
      <c r="M3259" s="2" t="s">
        <v>537</v>
      </c>
      <c r="O3259" s="2" t="s">
        <v>524</v>
      </c>
      <c r="Y3259" s="2" t="s">
        <v>701</v>
      </c>
    </row>
    <row r="3260" spans="1:34" x14ac:dyDescent="0.25">
      <c r="A3260" s="2" t="s">
        <v>327</v>
      </c>
      <c r="B3260" s="2" t="s">
        <v>531</v>
      </c>
      <c r="C3260" s="2" t="s">
        <v>409</v>
      </c>
      <c r="D3260" s="2" t="s">
        <v>412</v>
      </c>
      <c r="E3260" s="2" t="s">
        <v>414</v>
      </c>
      <c r="F3260" s="2" t="s">
        <v>40</v>
      </c>
      <c r="J3260" s="2" t="s">
        <v>532</v>
      </c>
      <c r="K3260" s="2" t="s">
        <v>533</v>
      </c>
      <c r="L3260" s="2">
        <v>4</v>
      </c>
      <c r="M3260" s="2" t="s">
        <v>538</v>
      </c>
      <c r="O3260" s="2" t="s">
        <v>524</v>
      </c>
      <c r="Y3260" s="2" t="s">
        <v>701</v>
      </c>
    </row>
    <row r="3261" spans="1:34" x14ac:dyDescent="0.25">
      <c r="A3261" s="2" t="s">
        <v>327</v>
      </c>
      <c r="B3261" s="2" t="s">
        <v>531</v>
      </c>
      <c r="C3261" s="2" t="s">
        <v>409</v>
      </c>
      <c r="D3261" s="2" t="s">
        <v>412</v>
      </c>
      <c r="E3261" s="2" t="s">
        <v>414</v>
      </c>
      <c r="F3261" s="2" t="s">
        <v>40</v>
      </c>
      <c r="J3261" s="2" t="s">
        <v>532</v>
      </c>
      <c r="K3261" s="2" t="s">
        <v>533</v>
      </c>
      <c r="L3261" s="2">
        <v>5</v>
      </c>
      <c r="M3261" s="2" t="s">
        <v>539</v>
      </c>
      <c r="O3261" s="2" t="s">
        <v>524</v>
      </c>
      <c r="Y3261" s="2" t="s">
        <v>701</v>
      </c>
    </row>
    <row r="3262" spans="1:34" x14ac:dyDescent="0.25">
      <c r="A3262" s="2" t="s">
        <v>327</v>
      </c>
      <c r="B3262" s="2" t="s">
        <v>540</v>
      </c>
      <c r="C3262" s="2" t="s">
        <v>409</v>
      </c>
      <c r="D3262" s="2" t="s">
        <v>412</v>
      </c>
      <c r="E3262" s="2" t="s">
        <v>414</v>
      </c>
      <c r="F3262" s="2" t="s">
        <v>40</v>
      </c>
      <c r="J3262" s="2" t="s">
        <v>541</v>
      </c>
      <c r="K3262" s="2" t="s">
        <v>542</v>
      </c>
      <c r="L3262" s="2">
        <v>1</v>
      </c>
      <c r="M3262" s="2" t="s">
        <v>543</v>
      </c>
      <c r="O3262" s="2" t="s">
        <v>524</v>
      </c>
      <c r="Y3262" s="2" t="s">
        <v>701</v>
      </c>
    </row>
    <row r="3263" spans="1:34" x14ac:dyDescent="0.25">
      <c r="A3263" s="2" t="s">
        <v>327</v>
      </c>
      <c r="B3263" s="2" t="s">
        <v>540</v>
      </c>
      <c r="C3263" s="2" t="s">
        <v>409</v>
      </c>
      <c r="D3263" s="2" t="s">
        <v>412</v>
      </c>
      <c r="E3263" s="2" t="s">
        <v>414</v>
      </c>
      <c r="F3263" s="2" t="s">
        <v>40</v>
      </c>
      <c r="J3263" s="2" t="s">
        <v>541</v>
      </c>
      <c r="K3263" s="2" t="s">
        <v>542</v>
      </c>
      <c r="L3263" s="2">
        <v>2</v>
      </c>
      <c r="M3263" s="2" t="s">
        <v>544</v>
      </c>
      <c r="O3263" s="2" t="s">
        <v>524</v>
      </c>
      <c r="Y3263" s="2" t="s">
        <v>701</v>
      </c>
    </row>
    <row r="3264" spans="1:34" x14ac:dyDescent="0.25">
      <c r="A3264" s="2" t="s">
        <v>327</v>
      </c>
      <c r="B3264" s="2" t="s">
        <v>540</v>
      </c>
      <c r="C3264" s="2" t="s">
        <v>409</v>
      </c>
      <c r="D3264" s="2" t="s">
        <v>412</v>
      </c>
      <c r="E3264" s="2" t="s">
        <v>414</v>
      </c>
      <c r="F3264" s="2" t="s">
        <v>40</v>
      </c>
      <c r="J3264" s="2" t="s">
        <v>541</v>
      </c>
      <c r="K3264" s="2" t="s">
        <v>542</v>
      </c>
      <c r="L3264" s="2">
        <v>3</v>
      </c>
      <c r="M3264" s="2" t="s">
        <v>545</v>
      </c>
      <c r="O3264" s="2" t="s">
        <v>524</v>
      </c>
      <c r="Y3264" s="2" t="s">
        <v>701</v>
      </c>
    </row>
    <row r="3265" spans="1:34" x14ac:dyDescent="0.25">
      <c r="A3265" s="2" t="s">
        <v>327</v>
      </c>
      <c r="B3265" s="2" t="s">
        <v>540</v>
      </c>
      <c r="C3265" s="2" t="s">
        <v>409</v>
      </c>
      <c r="D3265" s="2" t="s">
        <v>412</v>
      </c>
      <c r="E3265" s="2" t="s">
        <v>414</v>
      </c>
      <c r="F3265" s="2" t="s">
        <v>40</v>
      </c>
      <c r="J3265" s="2" t="s">
        <v>541</v>
      </c>
      <c r="K3265" s="2" t="s">
        <v>542</v>
      </c>
      <c r="L3265" s="2">
        <v>4</v>
      </c>
      <c r="M3265" s="2" t="s">
        <v>546</v>
      </c>
      <c r="O3265" s="2" t="s">
        <v>524</v>
      </c>
      <c r="Y3265" s="2" t="s">
        <v>701</v>
      </c>
    </row>
    <row r="3266" spans="1:34" x14ac:dyDescent="0.25">
      <c r="A3266" s="2" t="s">
        <v>327</v>
      </c>
      <c r="B3266" s="2" t="s">
        <v>540</v>
      </c>
      <c r="C3266" s="2" t="s">
        <v>409</v>
      </c>
      <c r="D3266" s="2" t="s">
        <v>412</v>
      </c>
      <c r="E3266" s="2" t="s">
        <v>414</v>
      </c>
      <c r="F3266" s="2" t="s">
        <v>40</v>
      </c>
      <c r="J3266" s="2" t="s">
        <v>541</v>
      </c>
      <c r="K3266" s="2" t="s">
        <v>542</v>
      </c>
      <c r="L3266" s="2">
        <v>5</v>
      </c>
      <c r="M3266" s="2" t="s">
        <v>547</v>
      </c>
      <c r="O3266" s="2" t="s">
        <v>524</v>
      </c>
      <c r="Y3266" s="2" t="s">
        <v>701</v>
      </c>
    </row>
    <row r="3267" spans="1:34" x14ac:dyDescent="0.25">
      <c r="A3267" s="2" t="s">
        <v>327</v>
      </c>
      <c r="B3267" s="2" t="s">
        <v>540</v>
      </c>
      <c r="C3267" s="2" t="s">
        <v>409</v>
      </c>
      <c r="D3267" s="2" t="s">
        <v>412</v>
      </c>
      <c r="E3267" s="2" t="s">
        <v>414</v>
      </c>
      <c r="F3267" s="2" t="s">
        <v>40</v>
      </c>
      <c r="J3267" s="2" t="s">
        <v>541</v>
      </c>
      <c r="K3267" s="2" t="s">
        <v>542</v>
      </c>
      <c r="L3267" s="2">
        <v>6</v>
      </c>
      <c r="M3267" s="2" t="s">
        <v>548</v>
      </c>
      <c r="O3267" s="2" t="s">
        <v>524</v>
      </c>
      <c r="Y3267" s="2" t="s">
        <v>701</v>
      </c>
    </row>
    <row r="3268" spans="1:34" x14ac:dyDescent="0.25">
      <c r="A3268" s="2" t="s">
        <v>327</v>
      </c>
      <c r="B3268" s="2" t="s">
        <v>540</v>
      </c>
      <c r="C3268" s="2" t="s">
        <v>409</v>
      </c>
      <c r="D3268" s="2" t="s">
        <v>412</v>
      </c>
      <c r="E3268" s="2" t="s">
        <v>414</v>
      </c>
      <c r="F3268" s="2" t="s">
        <v>40</v>
      </c>
      <c r="J3268" s="2" t="s">
        <v>541</v>
      </c>
      <c r="K3268" s="2" t="s">
        <v>542</v>
      </c>
      <c r="L3268" s="2">
        <v>7</v>
      </c>
      <c r="M3268" s="2" t="s">
        <v>549</v>
      </c>
      <c r="O3268" s="2" t="s">
        <v>524</v>
      </c>
      <c r="Y3268" s="2" t="s">
        <v>701</v>
      </c>
    </row>
    <row r="3269" spans="1:34" x14ac:dyDescent="0.25">
      <c r="A3269" s="2" t="s">
        <v>327</v>
      </c>
      <c r="B3269" s="2" t="s">
        <v>540</v>
      </c>
      <c r="C3269" s="2" t="s">
        <v>409</v>
      </c>
      <c r="D3269" s="2" t="s">
        <v>412</v>
      </c>
      <c r="E3269" s="2" t="s">
        <v>414</v>
      </c>
      <c r="F3269" s="2" t="s">
        <v>40</v>
      </c>
      <c r="J3269" s="2" t="s">
        <v>541</v>
      </c>
      <c r="K3269" s="2" t="s">
        <v>542</v>
      </c>
      <c r="L3269" s="2">
        <v>8</v>
      </c>
      <c r="M3269" s="2" t="s">
        <v>550</v>
      </c>
      <c r="O3269" s="2" t="s">
        <v>524</v>
      </c>
      <c r="Y3269" s="2" t="s">
        <v>701</v>
      </c>
    </row>
    <row r="3270" spans="1:34" x14ac:dyDescent="0.25">
      <c r="A3270" s="2" t="s">
        <v>327</v>
      </c>
      <c r="B3270" s="2" t="s">
        <v>540</v>
      </c>
      <c r="C3270" s="2" t="s">
        <v>409</v>
      </c>
      <c r="D3270" s="2" t="s">
        <v>412</v>
      </c>
      <c r="E3270" s="2" t="s">
        <v>414</v>
      </c>
      <c r="F3270" s="2" t="s">
        <v>40</v>
      </c>
      <c r="J3270" s="2" t="s">
        <v>541</v>
      </c>
      <c r="K3270" s="2" t="s">
        <v>542</v>
      </c>
      <c r="L3270" s="2">
        <v>9</v>
      </c>
      <c r="M3270" s="2" t="s">
        <v>551</v>
      </c>
      <c r="O3270" s="2" t="s">
        <v>524</v>
      </c>
      <c r="Y3270" s="2" t="s">
        <v>701</v>
      </c>
    </row>
    <row r="3271" spans="1:34" x14ac:dyDescent="0.25">
      <c r="A3271" s="2" t="s">
        <v>327</v>
      </c>
      <c r="B3271" s="2" t="s">
        <v>540</v>
      </c>
      <c r="C3271" s="2" t="s">
        <v>409</v>
      </c>
      <c r="D3271" s="2" t="s">
        <v>412</v>
      </c>
      <c r="E3271" s="2" t="s">
        <v>414</v>
      </c>
      <c r="F3271" s="2" t="s">
        <v>40</v>
      </c>
      <c r="J3271" s="2" t="s">
        <v>541</v>
      </c>
      <c r="K3271" s="2" t="s">
        <v>542</v>
      </c>
      <c r="L3271" s="2">
        <v>10</v>
      </c>
      <c r="M3271" s="2" t="s">
        <v>552</v>
      </c>
      <c r="O3271" s="2" t="s">
        <v>524</v>
      </c>
      <c r="Y3271" s="2" t="s">
        <v>701</v>
      </c>
    </row>
    <row r="3272" spans="1:34" x14ac:dyDescent="0.25">
      <c r="A3272" s="2" t="s">
        <v>327</v>
      </c>
      <c r="B3272" s="2" t="s">
        <v>540</v>
      </c>
      <c r="C3272" s="2" t="s">
        <v>409</v>
      </c>
      <c r="D3272" s="2" t="s">
        <v>412</v>
      </c>
      <c r="E3272" s="2" t="s">
        <v>414</v>
      </c>
      <c r="F3272" s="2" t="s">
        <v>40</v>
      </c>
      <c r="J3272" s="2" t="s">
        <v>541</v>
      </c>
      <c r="K3272" s="2" t="s">
        <v>542</v>
      </c>
      <c r="L3272" s="2">
        <v>11</v>
      </c>
      <c r="M3272" s="2" t="s">
        <v>553</v>
      </c>
      <c r="O3272" s="2" t="s">
        <v>524</v>
      </c>
      <c r="Y3272" s="2" t="s">
        <v>701</v>
      </c>
    </row>
    <row r="3273" spans="1:34" x14ac:dyDescent="0.25">
      <c r="A3273" s="2" t="s">
        <v>327</v>
      </c>
      <c r="B3273" s="2" t="s">
        <v>540</v>
      </c>
      <c r="C3273" s="2" t="s">
        <v>409</v>
      </c>
      <c r="D3273" s="2" t="s">
        <v>412</v>
      </c>
      <c r="E3273" s="2" t="s">
        <v>414</v>
      </c>
      <c r="F3273" s="2" t="s">
        <v>40</v>
      </c>
      <c r="J3273" s="2" t="s">
        <v>541</v>
      </c>
      <c r="K3273" s="2" t="s">
        <v>542</v>
      </c>
      <c r="L3273" s="2">
        <v>12</v>
      </c>
      <c r="M3273" s="2" t="s">
        <v>554</v>
      </c>
      <c r="O3273" s="2" t="s">
        <v>524</v>
      </c>
      <c r="Y3273" s="2" t="s">
        <v>701</v>
      </c>
    </row>
    <row r="3274" spans="1:34" x14ac:dyDescent="0.25">
      <c r="A3274" s="2" t="s">
        <v>327</v>
      </c>
      <c r="B3274" s="2" t="s">
        <v>555</v>
      </c>
      <c r="C3274" s="2" t="s">
        <v>409</v>
      </c>
      <c r="D3274" s="2" t="s">
        <v>412</v>
      </c>
      <c r="E3274" s="2" t="s">
        <v>414</v>
      </c>
      <c r="F3274" s="2" t="s">
        <v>40</v>
      </c>
      <c r="J3274" s="2" t="s">
        <v>556</v>
      </c>
      <c r="O3274" s="2" t="s">
        <v>524</v>
      </c>
      <c r="Y3274" s="2" t="s">
        <v>701</v>
      </c>
      <c r="AB3274" s="2">
        <v>2</v>
      </c>
    </row>
    <row r="3275" spans="1:34" x14ac:dyDescent="0.25">
      <c r="A3275" s="2" t="s">
        <v>327</v>
      </c>
      <c r="B3275" s="2" t="s">
        <v>557</v>
      </c>
      <c r="C3275" s="2" t="s">
        <v>409</v>
      </c>
      <c r="D3275" s="2" t="s">
        <v>412</v>
      </c>
      <c r="E3275" s="2" t="s">
        <v>414</v>
      </c>
      <c r="F3275" s="2" t="s">
        <v>40</v>
      </c>
      <c r="J3275" s="2" t="s">
        <v>558</v>
      </c>
      <c r="O3275" s="2" t="s">
        <v>524</v>
      </c>
      <c r="Y3275" s="2" t="s">
        <v>701</v>
      </c>
      <c r="AC3275" s="2">
        <f>COUNTIFS($B:$B,"BLOCK_LOAD_Q",$A:$A,$A3275,$C:$C,$C3275,$E:$E,$E3275,$F:$F,$F3275,$N:$N, "&lt;&gt;")</f>
        <v>0</v>
      </c>
      <c r="AD3275" s="2">
        <f>COUNTIFS($B:$B,"BLOCK_TRUST_Q",$A:$A,$A3275,$C:$C,$C3275,$E:$E,$E3275,$F:$F,$F3275,$N:$N, "&lt;&gt;")</f>
        <v>0</v>
      </c>
      <c r="AE3275" s="2" t="str">
        <f>IFERROR(AVERAGEIFS($P:$P,$B:$B,"BLOCK_LOAD_Q",$A:$A,$A3275,$C:$C,$C3275,$E:$E,$E3275,$F:$F,$F3275,$P:$P,"&gt;0"),"")</f>
        <v/>
      </c>
      <c r="AF3275" s="2" t="str">
        <f>IFERROR(AVERAGEIFS($P:$P,$B:$B,"BLOCK_TRUST_Q",$A:$A,$A3275,$C:$C,$C3275,$E:$E,$E3275,$F:$F,$F3275,$P:$P,"&gt;0"),"")</f>
        <v/>
      </c>
      <c r="AG3275" s="2">
        <f>5-AC3275</f>
        <v>5</v>
      </c>
      <c r="AH3275" s="2">
        <f>12-AD3275</f>
        <v>12</v>
      </c>
    </row>
    <row r="3276" spans="1:34" x14ac:dyDescent="0.25">
      <c r="A3276" s="2" t="s">
        <v>327</v>
      </c>
      <c r="B3276" s="2" t="s">
        <v>403</v>
      </c>
      <c r="C3276" s="2" t="s">
        <v>409</v>
      </c>
      <c r="D3276" s="2" t="s">
        <v>412</v>
      </c>
      <c r="Z3276" s="2" t="s">
        <v>485</v>
      </c>
    </row>
    <row r="3277" spans="1:34" x14ac:dyDescent="0.25">
      <c r="A3277" s="2" t="s">
        <v>327</v>
      </c>
      <c r="B3277" s="2" t="s">
        <v>404</v>
      </c>
      <c r="J3277" s="2" t="s">
        <v>575</v>
      </c>
      <c r="AA3277" s="2" t="s">
        <v>337</v>
      </c>
    </row>
    <row r="3278" spans="1:34" x14ac:dyDescent="0.25">
      <c r="A3278" s="2" t="s">
        <v>327</v>
      </c>
      <c r="B3278" s="2" t="s">
        <v>405</v>
      </c>
    </row>
    <row r="3279" spans="1:34" x14ac:dyDescent="0.25">
      <c r="A3279" s="2" t="s">
        <v>327</v>
      </c>
      <c r="B3279" s="2" t="s">
        <v>406</v>
      </c>
    </row>
    <row r="3280" spans="1:34" x14ac:dyDescent="0.25">
      <c r="A3280" s="2" t="s">
        <v>328</v>
      </c>
      <c r="B3280" s="2" t="s">
        <v>523</v>
      </c>
      <c r="C3280" s="2" t="s">
        <v>524</v>
      </c>
      <c r="D3280" s="2" t="s">
        <v>524</v>
      </c>
      <c r="E3280" s="2" t="s">
        <v>524</v>
      </c>
      <c r="F3280" s="2" t="s">
        <v>524</v>
      </c>
      <c r="J3280" s="2" t="s">
        <v>525</v>
      </c>
      <c r="O3280" s="2" t="s">
        <v>524</v>
      </c>
    </row>
    <row r="3281" spans="1:25" x14ac:dyDescent="0.25">
      <c r="A3281" s="2" t="s">
        <v>328</v>
      </c>
      <c r="B3281" s="2" t="s">
        <v>526</v>
      </c>
      <c r="C3281" s="2" t="s">
        <v>524</v>
      </c>
      <c r="D3281" s="2" t="s">
        <v>524</v>
      </c>
      <c r="E3281" s="2" t="s">
        <v>524</v>
      </c>
      <c r="F3281" s="2" t="s">
        <v>524</v>
      </c>
      <c r="J3281" s="2" t="s">
        <v>527</v>
      </c>
      <c r="O3281" s="2" t="s">
        <v>524</v>
      </c>
    </row>
    <row r="3282" spans="1:25" x14ac:dyDescent="0.25">
      <c r="A3282" s="2" t="s">
        <v>328</v>
      </c>
      <c r="B3282" s="2" t="s">
        <v>402</v>
      </c>
      <c r="C3282" s="2" t="s">
        <v>407</v>
      </c>
      <c r="D3282" s="2" t="s">
        <v>411</v>
      </c>
      <c r="E3282" s="2" t="s">
        <v>413</v>
      </c>
      <c r="F3282" s="2" t="s">
        <v>39</v>
      </c>
      <c r="G3282" s="2" t="s">
        <v>415</v>
      </c>
      <c r="H3282" s="2" t="s">
        <v>349</v>
      </c>
      <c r="S3282" s="2" t="s">
        <v>58</v>
      </c>
      <c r="U3282" s="2" t="s">
        <v>60</v>
      </c>
      <c r="W3282" s="2" t="s">
        <v>58</v>
      </c>
    </row>
    <row r="3283" spans="1:25" x14ac:dyDescent="0.25">
      <c r="A3283" s="2" t="s">
        <v>328</v>
      </c>
      <c r="B3283" s="2" t="s">
        <v>402</v>
      </c>
      <c r="C3283" s="2" t="s">
        <v>407</v>
      </c>
      <c r="D3283" s="2" t="s">
        <v>411</v>
      </c>
      <c r="E3283" s="2" t="s">
        <v>413</v>
      </c>
      <c r="F3283" s="2" t="s">
        <v>39</v>
      </c>
      <c r="G3283" s="2" t="s">
        <v>416</v>
      </c>
      <c r="H3283" s="2" t="s">
        <v>565</v>
      </c>
      <c r="S3283" s="2" t="s">
        <v>59</v>
      </c>
      <c r="U3283" s="2" t="s">
        <v>60</v>
      </c>
      <c r="W3283" s="2" t="s">
        <v>60</v>
      </c>
    </row>
    <row r="3284" spans="1:25" x14ac:dyDescent="0.25">
      <c r="A3284" s="2" t="s">
        <v>328</v>
      </c>
      <c r="B3284" s="2" t="s">
        <v>402</v>
      </c>
      <c r="C3284" s="2" t="s">
        <v>407</v>
      </c>
      <c r="D3284" s="2" t="s">
        <v>411</v>
      </c>
      <c r="E3284" s="2" t="s">
        <v>413</v>
      </c>
      <c r="F3284" s="2" t="s">
        <v>39</v>
      </c>
      <c r="G3284" s="2" t="s">
        <v>417</v>
      </c>
      <c r="H3284" s="2" t="s">
        <v>361</v>
      </c>
      <c r="S3284" s="2" t="s">
        <v>60</v>
      </c>
      <c r="U3284" s="2" t="s">
        <v>60</v>
      </c>
      <c r="W3284" s="2" t="s">
        <v>60</v>
      </c>
    </row>
    <row r="3285" spans="1:25" x14ac:dyDescent="0.25">
      <c r="A3285" s="2" t="s">
        <v>328</v>
      </c>
      <c r="B3285" s="2" t="s">
        <v>402</v>
      </c>
      <c r="C3285" s="2" t="s">
        <v>407</v>
      </c>
      <c r="D3285" s="2" t="s">
        <v>411</v>
      </c>
      <c r="E3285" s="2" t="s">
        <v>413</v>
      </c>
      <c r="F3285" s="2" t="s">
        <v>39</v>
      </c>
      <c r="G3285" s="2" t="s">
        <v>418</v>
      </c>
      <c r="H3285" s="2" t="s">
        <v>353</v>
      </c>
      <c r="S3285" s="2" t="s">
        <v>58</v>
      </c>
      <c r="U3285" s="2" t="s">
        <v>59</v>
      </c>
      <c r="W3285" s="2" t="s">
        <v>58</v>
      </c>
    </row>
    <row r="3286" spans="1:25" x14ac:dyDescent="0.25">
      <c r="A3286" s="2" t="s">
        <v>328</v>
      </c>
      <c r="B3286" s="2" t="s">
        <v>402</v>
      </c>
      <c r="C3286" s="2" t="s">
        <v>407</v>
      </c>
      <c r="D3286" s="2" t="s">
        <v>411</v>
      </c>
      <c r="E3286" s="2" t="s">
        <v>413</v>
      </c>
      <c r="F3286" s="2" t="s">
        <v>39</v>
      </c>
      <c r="G3286" s="2" t="s">
        <v>419</v>
      </c>
      <c r="H3286" s="2" t="s">
        <v>371</v>
      </c>
      <c r="S3286" s="2" t="s">
        <v>60</v>
      </c>
      <c r="U3286" s="2" t="s">
        <v>59</v>
      </c>
      <c r="W3286" s="2" t="s">
        <v>57</v>
      </c>
    </row>
    <row r="3287" spans="1:25" x14ac:dyDescent="0.25">
      <c r="A3287" s="2" t="s">
        <v>328</v>
      </c>
      <c r="B3287" s="2" t="s">
        <v>531</v>
      </c>
      <c r="C3287" s="2" t="s">
        <v>407</v>
      </c>
      <c r="D3287" s="2" t="s">
        <v>411</v>
      </c>
      <c r="E3287" s="2" t="s">
        <v>413</v>
      </c>
      <c r="F3287" s="2" t="s">
        <v>39</v>
      </c>
      <c r="J3287" s="2" t="s">
        <v>532</v>
      </c>
      <c r="K3287" s="2" t="s">
        <v>533</v>
      </c>
      <c r="L3287" s="2">
        <v>1</v>
      </c>
      <c r="M3287" s="2" t="s">
        <v>534</v>
      </c>
      <c r="O3287" s="2" t="s">
        <v>524</v>
      </c>
      <c r="Y3287" s="2" t="s">
        <v>702</v>
      </c>
    </row>
    <row r="3288" spans="1:25" x14ac:dyDescent="0.25">
      <c r="A3288" s="2" t="s">
        <v>328</v>
      </c>
      <c r="B3288" s="2" t="s">
        <v>531</v>
      </c>
      <c r="C3288" s="2" t="s">
        <v>407</v>
      </c>
      <c r="D3288" s="2" t="s">
        <v>411</v>
      </c>
      <c r="E3288" s="2" t="s">
        <v>413</v>
      </c>
      <c r="F3288" s="2" t="s">
        <v>39</v>
      </c>
      <c r="J3288" s="2" t="s">
        <v>532</v>
      </c>
      <c r="K3288" s="2" t="s">
        <v>533</v>
      </c>
      <c r="L3288" s="2">
        <v>2</v>
      </c>
      <c r="M3288" s="2" t="s">
        <v>536</v>
      </c>
      <c r="O3288" s="2" t="s">
        <v>524</v>
      </c>
      <c r="Y3288" s="2" t="s">
        <v>702</v>
      </c>
    </row>
    <row r="3289" spans="1:25" x14ac:dyDescent="0.25">
      <c r="A3289" s="2" t="s">
        <v>328</v>
      </c>
      <c r="B3289" s="2" t="s">
        <v>531</v>
      </c>
      <c r="C3289" s="2" t="s">
        <v>407</v>
      </c>
      <c r="D3289" s="2" t="s">
        <v>411</v>
      </c>
      <c r="E3289" s="2" t="s">
        <v>413</v>
      </c>
      <c r="F3289" s="2" t="s">
        <v>39</v>
      </c>
      <c r="J3289" s="2" t="s">
        <v>532</v>
      </c>
      <c r="K3289" s="2" t="s">
        <v>533</v>
      </c>
      <c r="L3289" s="2">
        <v>3</v>
      </c>
      <c r="M3289" s="2" t="s">
        <v>537</v>
      </c>
      <c r="O3289" s="2" t="s">
        <v>524</v>
      </c>
      <c r="Y3289" s="2" t="s">
        <v>702</v>
      </c>
    </row>
    <row r="3290" spans="1:25" x14ac:dyDescent="0.25">
      <c r="A3290" s="2" t="s">
        <v>328</v>
      </c>
      <c r="B3290" s="2" t="s">
        <v>531</v>
      </c>
      <c r="C3290" s="2" t="s">
        <v>407</v>
      </c>
      <c r="D3290" s="2" t="s">
        <v>411</v>
      </c>
      <c r="E3290" s="2" t="s">
        <v>413</v>
      </c>
      <c r="F3290" s="2" t="s">
        <v>39</v>
      </c>
      <c r="J3290" s="2" t="s">
        <v>532</v>
      </c>
      <c r="K3290" s="2" t="s">
        <v>533</v>
      </c>
      <c r="L3290" s="2">
        <v>4</v>
      </c>
      <c r="M3290" s="2" t="s">
        <v>538</v>
      </c>
      <c r="O3290" s="2" t="s">
        <v>524</v>
      </c>
      <c r="Y3290" s="2" t="s">
        <v>702</v>
      </c>
    </row>
    <row r="3291" spans="1:25" x14ac:dyDescent="0.25">
      <c r="A3291" s="2" t="s">
        <v>328</v>
      </c>
      <c r="B3291" s="2" t="s">
        <v>531</v>
      </c>
      <c r="C3291" s="2" t="s">
        <v>407</v>
      </c>
      <c r="D3291" s="2" t="s">
        <v>411</v>
      </c>
      <c r="E3291" s="2" t="s">
        <v>413</v>
      </c>
      <c r="F3291" s="2" t="s">
        <v>39</v>
      </c>
      <c r="J3291" s="2" t="s">
        <v>532</v>
      </c>
      <c r="K3291" s="2" t="s">
        <v>533</v>
      </c>
      <c r="L3291" s="2">
        <v>5</v>
      </c>
      <c r="M3291" s="2" t="s">
        <v>539</v>
      </c>
      <c r="O3291" s="2" t="s">
        <v>524</v>
      </c>
      <c r="Y3291" s="2" t="s">
        <v>702</v>
      </c>
    </row>
    <row r="3292" spans="1:25" x14ac:dyDescent="0.25">
      <c r="A3292" s="2" t="s">
        <v>328</v>
      </c>
      <c r="B3292" s="2" t="s">
        <v>540</v>
      </c>
      <c r="C3292" s="2" t="s">
        <v>407</v>
      </c>
      <c r="D3292" s="2" t="s">
        <v>411</v>
      </c>
      <c r="E3292" s="2" t="s">
        <v>413</v>
      </c>
      <c r="F3292" s="2" t="s">
        <v>39</v>
      </c>
      <c r="J3292" s="2" t="s">
        <v>541</v>
      </c>
      <c r="K3292" s="2" t="s">
        <v>542</v>
      </c>
      <c r="L3292" s="2">
        <v>1</v>
      </c>
      <c r="M3292" s="2" t="s">
        <v>543</v>
      </c>
      <c r="O3292" s="2" t="s">
        <v>524</v>
      </c>
      <c r="Y3292" s="2" t="s">
        <v>702</v>
      </c>
    </row>
    <row r="3293" spans="1:25" x14ac:dyDescent="0.25">
      <c r="A3293" s="2" t="s">
        <v>328</v>
      </c>
      <c r="B3293" s="2" t="s">
        <v>540</v>
      </c>
      <c r="C3293" s="2" t="s">
        <v>407</v>
      </c>
      <c r="D3293" s="2" t="s">
        <v>411</v>
      </c>
      <c r="E3293" s="2" t="s">
        <v>413</v>
      </c>
      <c r="F3293" s="2" t="s">
        <v>39</v>
      </c>
      <c r="J3293" s="2" t="s">
        <v>541</v>
      </c>
      <c r="K3293" s="2" t="s">
        <v>542</v>
      </c>
      <c r="L3293" s="2">
        <v>2</v>
      </c>
      <c r="M3293" s="2" t="s">
        <v>544</v>
      </c>
      <c r="O3293" s="2" t="s">
        <v>524</v>
      </c>
      <c r="Y3293" s="2" t="s">
        <v>702</v>
      </c>
    </row>
    <row r="3294" spans="1:25" x14ac:dyDescent="0.25">
      <c r="A3294" s="2" t="s">
        <v>328</v>
      </c>
      <c r="B3294" s="2" t="s">
        <v>540</v>
      </c>
      <c r="C3294" s="2" t="s">
        <v>407</v>
      </c>
      <c r="D3294" s="2" t="s">
        <v>411</v>
      </c>
      <c r="E3294" s="2" t="s">
        <v>413</v>
      </c>
      <c r="F3294" s="2" t="s">
        <v>39</v>
      </c>
      <c r="J3294" s="2" t="s">
        <v>541</v>
      </c>
      <c r="K3294" s="2" t="s">
        <v>542</v>
      </c>
      <c r="L3294" s="2">
        <v>3</v>
      </c>
      <c r="M3294" s="2" t="s">
        <v>545</v>
      </c>
      <c r="O3294" s="2" t="s">
        <v>524</v>
      </c>
      <c r="Y3294" s="2" t="s">
        <v>702</v>
      </c>
    </row>
    <row r="3295" spans="1:25" x14ac:dyDescent="0.25">
      <c r="A3295" s="2" t="s">
        <v>328</v>
      </c>
      <c r="B3295" s="2" t="s">
        <v>540</v>
      </c>
      <c r="C3295" s="2" t="s">
        <v>407</v>
      </c>
      <c r="D3295" s="2" t="s">
        <v>411</v>
      </c>
      <c r="E3295" s="2" t="s">
        <v>413</v>
      </c>
      <c r="F3295" s="2" t="s">
        <v>39</v>
      </c>
      <c r="J3295" s="2" t="s">
        <v>541</v>
      </c>
      <c r="K3295" s="2" t="s">
        <v>542</v>
      </c>
      <c r="L3295" s="2">
        <v>4</v>
      </c>
      <c r="M3295" s="2" t="s">
        <v>546</v>
      </c>
      <c r="O3295" s="2" t="s">
        <v>524</v>
      </c>
      <c r="Y3295" s="2" t="s">
        <v>702</v>
      </c>
    </row>
    <row r="3296" spans="1:25" x14ac:dyDescent="0.25">
      <c r="A3296" s="2" t="s">
        <v>328</v>
      </c>
      <c r="B3296" s="2" t="s">
        <v>540</v>
      </c>
      <c r="C3296" s="2" t="s">
        <v>407</v>
      </c>
      <c r="D3296" s="2" t="s">
        <v>411</v>
      </c>
      <c r="E3296" s="2" t="s">
        <v>413</v>
      </c>
      <c r="F3296" s="2" t="s">
        <v>39</v>
      </c>
      <c r="J3296" s="2" t="s">
        <v>541</v>
      </c>
      <c r="K3296" s="2" t="s">
        <v>542</v>
      </c>
      <c r="L3296" s="2">
        <v>5</v>
      </c>
      <c r="M3296" s="2" t="s">
        <v>547</v>
      </c>
      <c r="O3296" s="2" t="s">
        <v>524</v>
      </c>
      <c r="Y3296" s="2" t="s">
        <v>702</v>
      </c>
    </row>
    <row r="3297" spans="1:34" x14ac:dyDescent="0.25">
      <c r="A3297" s="2" t="s">
        <v>328</v>
      </c>
      <c r="B3297" s="2" t="s">
        <v>540</v>
      </c>
      <c r="C3297" s="2" t="s">
        <v>407</v>
      </c>
      <c r="D3297" s="2" t="s">
        <v>411</v>
      </c>
      <c r="E3297" s="2" t="s">
        <v>413</v>
      </c>
      <c r="F3297" s="2" t="s">
        <v>39</v>
      </c>
      <c r="J3297" s="2" t="s">
        <v>541</v>
      </c>
      <c r="K3297" s="2" t="s">
        <v>542</v>
      </c>
      <c r="L3297" s="2">
        <v>6</v>
      </c>
      <c r="M3297" s="2" t="s">
        <v>548</v>
      </c>
      <c r="O3297" s="2" t="s">
        <v>524</v>
      </c>
      <c r="Y3297" s="2" t="s">
        <v>702</v>
      </c>
    </row>
    <row r="3298" spans="1:34" x14ac:dyDescent="0.25">
      <c r="A3298" s="2" t="s">
        <v>328</v>
      </c>
      <c r="B3298" s="2" t="s">
        <v>540</v>
      </c>
      <c r="C3298" s="2" t="s">
        <v>407</v>
      </c>
      <c r="D3298" s="2" t="s">
        <v>411</v>
      </c>
      <c r="E3298" s="2" t="s">
        <v>413</v>
      </c>
      <c r="F3298" s="2" t="s">
        <v>39</v>
      </c>
      <c r="J3298" s="2" t="s">
        <v>541</v>
      </c>
      <c r="K3298" s="2" t="s">
        <v>542</v>
      </c>
      <c r="L3298" s="2">
        <v>7</v>
      </c>
      <c r="M3298" s="2" t="s">
        <v>549</v>
      </c>
      <c r="O3298" s="2" t="s">
        <v>524</v>
      </c>
      <c r="Y3298" s="2" t="s">
        <v>702</v>
      </c>
    </row>
    <row r="3299" spans="1:34" x14ac:dyDescent="0.25">
      <c r="A3299" s="2" t="s">
        <v>328</v>
      </c>
      <c r="B3299" s="2" t="s">
        <v>540</v>
      </c>
      <c r="C3299" s="2" t="s">
        <v>407</v>
      </c>
      <c r="D3299" s="2" t="s">
        <v>411</v>
      </c>
      <c r="E3299" s="2" t="s">
        <v>413</v>
      </c>
      <c r="F3299" s="2" t="s">
        <v>39</v>
      </c>
      <c r="J3299" s="2" t="s">
        <v>541</v>
      </c>
      <c r="K3299" s="2" t="s">
        <v>542</v>
      </c>
      <c r="L3299" s="2">
        <v>8</v>
      </c>
      <c r="M3299" s="2" t="s">
        <v>550</v>
      </c>
      <c r="O3299" s="2" t="s">
        <v>524</v>
      </c>
      <c r="Y3299" s="2" t="s">
        <v>702</v>
      </c>
    </row>
    <row r="3300" spans="1:34" x14ac:dyDescent="0.25">
      <c r="A3300" s="2" t="s">
        <v>328</v>
      </c>
      <c r="B3300" s="2" t="s">
        <v>540</v>
      </c>
      <c r="C3300" s="2" t="s">
        <v>407</v>
      </c>
      <c r="D3300" s="2" t="s">
        <v>411</v>
      </c>
      <c r="E3300" s="2" t="s">
        <v>413</v>
      </c>
      <c r="F3300" s="2" t="s">
        <v>39</v>
      </c>
      <c r="J3300" s="2" t="s">
        <v>541</v>
      </c>
      <c r="K3300" s="2" t="s">
        <v>542</v>
      </c>
      <c r="L3300" s="2">
        <v>9</v>
      </c>
      <c r="M3300" s="2" t="s">
        <v>551</v>
      </c>
      <c r="O3300" s="2" t="s">
        <v>524</v>
      </c>
      <c r="Y3300" s="2" t="s">
        <v>702</v>
      </c>
    </row>
    <row r="3301" spans="1:34" x14ac:dyDescent="0.25">
      <c r="A3301" s="2" t="s">
        <v>328</v>
      </c>
      <c r="B3301" s="2" t="s">
        <v>540</v>
      </c>
      <c r="C3301" s="2" t="s">
        <v>407</v>
      </c>
      <c r="D3301" s="2" t="s">
        <v>411</v>
      </c>
      <c r="E3301" s="2" t="s">
        <v>413</v>
      </c>
      <c r="F3301" s="2" t="s">
        <v>39</v>
      </c>
      <c r="J3301" s="2" t="s">
        <v>541</v>
      </c>
      <c r="K3301" s="2" t="s">
        <v>542</v>
      </c>
      <c r="L3301" s="2">
        <v>10</v>
      </c>
      <c r="M3301" s="2" t="s">
        <v>552</v>
      </c>
      <c r="O3301" s="2" t="s">
        <v>524</v>
      </c>
      <c r="Y3301" s="2" t="s">
        <v>702</v>
      </c>
    </row>
    <row r="3302" spans="1:34" x14ac:dyDescent="0.25">
      <c r="A3302" s="2" t="s">
        <v>328</v>
      </c>
      <c r="B3302" s="2" t="s">
        <v>540</v>
      </c>
      <c r="C3302" s="2" t="s">
        <v>407</v>
      </c>
      <c r="D3302" s="2" t="s">
        <v>411</v>
      </c>
      <c r="E3302" s="2" t="s">
        <v>413</v>
      </c>
      <c r="F3302" s="2" t="s">
        <v>39</v>
      </c>
      <c r="J3302" s="2" t="s">
        <v>541</v>
      </c>
      <c r="K3302" s="2" t="s">
        <v>542</v>
      </c>
      <c r="L3302" s="2">
        <v>11</v>
      </c>
      <c r="M3302" s="2" t="s">
        <v>553</v>
      </c>
      <c r="O3302" s="2" t="s">
        <v>524</v>
      </c>
      <c r="Y3302" s="2" t="s">
        <v>702</v>
      </c>
    </row>
    <row r="3303" spans="1:34" x14ac:dyDescent="0.25">
      <c r="A3303" s="2" t="s">
        <v>328</v>
      </c>
      <c r="B3303" s="2" t="s">
        <v>540</v>
      </c>
      <c r="C3303" s="2" t="s">
        <v>407</v>
      </c>
      <c r="D3303" s="2" t="s">
        <v>411</v>
      </c>
      <c r="E3303" s="2" t="s">
        <v>413</v>
      </c>
      <c r="F3303" s="2" t="s">
        <v>39</v>
      </c>
      <c r="J3303" s="2" t="s">
        <v>541</v>
      </c>
      <c r="K3303" s="2" t="s">
        <v>542</v>
      </c>
      <c r="L3303" s="2">
        <v>12</v>
      </c>
      <c r="M3303" s="2" t="s">
        <v>554</v>
      </c>
      <c r="O3303" s="2" t="s">
        <v>524</v>
      </c>
      <c r="Y3303" s="2" t="s">
        <v>702</v>
      </c>
    </row>
    <row r="3304" spans="1:34" x14ac:dyDescent="0.25">
      <c r="A3304" s="2" t="s">
        <v>328</v>
      </c>
      <c r="B3304" s="2" t="s">
        <v>555</v>
      </c>
      <c r="C3304" s="2" t="s">
        <v>407</v>
      </c>
      <c r="D3304" s="2" t="s">
        <v>411</v>
      </c>
      <c r="E3304" s="2" t="s">
        <v>413</v>
      </c>
      <c r="F3304" s="2" t="s">
        <v>39</v>
      </c>
      <c r="J3304" s="2" t="s">
        <v>556</v>
      </c>
      <c r="O3304" s="2" t="s">
        <v>524</v>
      </c>
      <c r="Y3304" s="2" t="s">
        <v>702</v>
      </c>
      <c r="AB3304" s="2">
        <v>1</v>
      </c>
    </row>
    <row r="3305" spans="1:34" x14ac:dyDescent="0.25">
      <c r="A3305" s="2" t="s">
        <v>328</v>
      </c>
      <c r="B3305" s="2" t="s">
        <v>557</v>
      </c>
      <c r="C3305" s="2" t="s">
        <v>407</v>
      </c>
      <c r="D3305" s="2" t="s">
        <v>411</v>
      </c>
      <c r="E3305" s="2" t="s">
        <v>413</v>
      </c>
      <c r="F3305" s="2" t="s">
        <v>39</v>
      </c>
      <c r="J3305" s="2" t="s">
        <v>558</v>
      </c>
      <c r="O3305" s="2" t="s">
        <v>524</v>
      </c>
      <c r="Y3305" s="2" t="s">
        <v>702</v>
      </c>
      <c r="AC3305" s="2">
        <f>COUNTIFS($B:$B,"BLOCK_LOAD_Q",$A:$A,$A3305,$C:$C,$C3305,$E:$E,$E3305,$F:$F,$F3305,$N:$N, "&lt;&gt;")</f>
        <v>0</v>
      </c>
      <c r="AD3305" s="2">
        <f>COUNTIFS($B:$B,"BLOCK_TRUST_Q",$A:$A,$A3305,$C:$C,$C3305,$E:$E,$E3305,$F:$F,$F3305,$N:$N, "&lt;&gt;")</f>
        <v>0</v>
      </c>
      <c r="AE3305" s="2" t="str">
        <f>IFERROR(AVERAGEIFS($P:$P,$B:$B,"BLOCK_LOAD_Q",$A:$A,$A3305,$C:$C,$C3305,$E:$E,$E3305,$F:$F,$F3305,$P:$P,"&gt;0"),"")</f>
        <v/>
      </c>
      <c r="AF3305" s="2" t="str">
        <f>IFERROR(AVERAGEIFS($P:$P,$B:$B,"BLOCK_TRUST_Q",$A:$A,$A3305,$C:$C,$C3305,$E:$E,$E3305,$F:$F,$F3305,$P:$P,"&gt;0"),"")</f>
        <v/>
      </c>
      <c r="AG3305" s="2">
        <f>5-AC3305</f>
        <v>5</v>
      </c>
      <c r="AH3305" s="2">
        <f>12-AD3305</f>
        <v>12</v>
      </c>
    </row>
    <row r="3306" spans="1:34" x14ac:dyDescent="0.25">
      <c r="A3306" s="2" t="s">
        <v>328</v>
      </c>
      <c r="B3306" s="2" t="s">
        <v>402</v>
      </c>
      <c r="C3306" s="2" t="s">
        <v>407</v>
      </c>
      <c r="D3306" s="2" t="s">
        <v>411</v>
      </c>
      <c r="E3306" s="2" t="s">
        <v>414</v>
      </c>
      <c r="F3306" s="2" t="s">
        <v>40</v>
      </c>
      <c r="G3306" s="2" t="s">
        <v>415</v>
      </c>
      <c r="H3306" s="2" t="s">
        <v>357</v>
      </c>
      <c r="S3306" s="2" t="s">
        <v>59</v>
      </c>
      <c r="U3306" s="2" t="s">
        <v>60</v>
      </c>
      <c r="W3306" s="2" t="s">
        <v>57</v>
      </c>
    </row>
    <row r="3307" spans="1:34" x14ac:dyDescent="0.25">
      <c r="A3307" s="2" t="s">
        <v>328</v>
      </c>
      <c r="B3307" s="2" t="s">
        <v>402</v>
      </c>
      <c r="C3307" s="2" t="s">
        <v>407</v>
      </c>
      <c r="D3307" s="2" t="s">
        <v>411</v>
      </c>
      <c r="E3307" s="2" t="s">
        <v>414</v>
      </c>
      <c r="F3307" s="2" t="s">
        <v>40</v>
      </c>
      <c r="G3307" s="2" t="s">
        <v>416</v>
      </c>
      <c r="H3307" s="2" t="s">
        <v>348</v>
      </c>
      <c r="S3307" s="2" t="s">
        <v>58</v>
      </c>
      <c r="U3307" s="2" t="s">
        <v>59</v>
      </c>
      <c r="W3307" s="2" t="s">
        <v>59</v>
      </c>
    </row>
    <row r="3308" spans="1:34" x14ac:dyDescent="0.25">
      <c r="A3308" s="2" t="s">
        <v>328</v>
      </c>
      <c r="B3308" s="2" t="s">
        <v>402</v>
      </c>
      <c r="C3308" s="2" t="s">
        <v>407</v>
      </c>
      <c r="D3308" s="2" t="s">
        <v>411</v>
      </c>
      <c r="E3308" s="2" t="s">
        <v>414</v>
      </c>
      <c r="F3308" s="2" t="s">
        <v>40</v>
      </c>
      <c r="G3308" s="2" t="s">
        <v>417</v>
      </c>
      <c r="H3308" s="2" t="s">
        <v>562</v>
      </c>
      <c r="S3308" s="2" t="s">
        <v>59</v>
      </c>
      <c r="U3308" s="2" t="s">
        <v>57</v>
      </c>
      <c r="W3308" s="2" t="s">
        <v>57</v>
      </c>
    </row>
    <row r="3309" spans="1:34" x14ac:dyDescent="0.25">
      <c r="A3309" s="2" t="s">
        <v>328</v>
      </c>
      <c r="B3309" s="2" t="s">
        <v>402</v>
      </c>
      <c r="C3309" s="2" t="s">
        <v>407</v>
      </c>
      <c r="D3309" s="2" t="s">
        <v>411</v>
      </c>
      <c r="E3309" s="2" t="s">
        <v>414</v>
      </c>
      <c r="F3309" s="2" t="s">
        <v>40</v>
      </c>
      <c r="G3309" s="2" t="s">
        <v>418</v>
      </c>
      <c r="H3309" s="2" t="s">
        <v>563</v>
      </c>
      <c r="S3309" s="2" t="s">
        <v>57</v>
      </c>
      <c r="U3309" s="2" t="s">
        <v>60</v>
      </c>
      <c r="W3309" s="2" t="s">
        <v>60</v>
      </c>
    </row>
    <row r="3310" spans="1:34" x14ac:dyDescent="0.25">
      <c r="A3310" s="2" t="s">
        <v>328</v>
      </c>
      <c r="B3310" s="2" t="s">
        <v>531</v>
      </c>
      <c r="C3310" s="2" t="s">
        <v>407</v>
      </c>
      <c r="D3310" s="2" t="s">
        <v>411</v>
      </c>
      <c r="E3310" s="2" t="s">
        <v>414</v>
      </c>
      <c r="F3310" s="2" t="s">
        <v>40</v>
      </c>
      <c r="J3310" s="2" t="s">
        <v>532</v>
      </c>
      <c r="K3310" s="2" t="s">
        <v>533</v>
      </c>
      <c r="L3310" s="2">
        <v>1</v>
      </c>
      <c r="M3310" s="2" t="s">
        <v>534</v>
      </c>
      <c r="O3310" s="2" t="s">
        <v>524</v>
      </c>
      <c r="Y3310" s="2" t="s">
        <v>703</v>
      </c>
    </row>
    <row r="3311" spans="1:34" x14ac:dyDescent="0.25">
      <c r="A3311" s="2" t="s">
        <v>328</v>
      </c>
      <c r="B3311" s="2" t="s">
        <v>531</v>
      </c>
      <c r="C3311" s="2" t="s">
        <v>407</v>
      </c>
      <c r="D3311" s="2" t="s">
        <v>411</v>
      </c>
      <c r="E3311" s="2" t="s">
        <v>414</v>
      </c>
      <c r="F3311" s="2" t="s">
        <v>40</v>
      </c>
      <c r="J3311" s="2" t="s">
        <v>532</v>
      </c>
      <c r="K3311" s="2" t="s">
        <v>533</v>
      </c>
      <c r="L3311" s="2">
        <v>2</v>
      </c>
      <c r="M3311" s="2" t="s">
        <v>536</v>
      </c>
      <c r="O3311" s="2" t="s">
        <v>524</v>
      </c>
      <c r="Y3311" s="2" t="s">
        <v>703</v>
      </c>
    </row>
    <row r="3312" spans="1:34" x14ac:dyDescent="0.25">
      <c r="A3312" s="2" t="s">
        <v>328</v>
      </c>
      <c r="B3312" s="2" t="s">
        <v>531</v>
      </c>
      <c r="C3312" s="2" t="s">
        <v>407</v>
      </c>
      <c r="D3312" s="2" t="s">
        <v>411</v>
      </c>
      <c r="E3312" s="2" t="s">
        <v>414</v>
      </c>
      <c r="F3312" s="2" t="s">
        <v>40</v>
      </c>
      <c r="J3312" s="2" t="s">
        <v>532</v>
      </c>
      <c r="K3312" s="2" t="s">
        <v>533</v>
      </c>
      <c r="L3312" s="2">
        <v>3</v>
      </c>
      <c r="M3312" s="2" t="s">
        <v>537</v>
      </c>
      <c r="O3312" s="2" t="s">
        <v>524</v>
      </c>
      <c r="Y3312" s="2" t="s">
        <v>703</v>
      </c>
    </row>
    <row r="3313" spans="1:34" x14ac:dyDescent="0.25">
      <c r="A3313" s="2" t="s">
        <v>328</v>
      </c>
      <c r="B3313" s="2" t="s">
        <v>531</v>
      </c>
      <c r="C3313" s="2" t="s">
        <v>407</v>
      </c>
      <c r="D3313" s="2" t="s">
        <v>411</v>
      </c>
      <c r="E3313" s="2" t="s">
        <v>414</v>
      </c>
      <c r="F3313" s="2" t="s">
        <v>40</v>
      </c>
      <c r="J3313" s="2" t="s">
        <v>532</v>
      </c>
      <c r="K3313" s="2" t="s">
        <v>533</v>
      </c>
      <c r="L3313" s="2">
        <v>4</v>
      </c>
      <c r="M3313" s="2" t="s">
        <v>538</v>
      </c>
      <c r="O3313" s="2" t="s">
        <v>524</v>
      </c>
      <c r="Y3313" s="2" t="s">
        <v>703</v>
      </c>
    </row>
    <row r="3314" spans="1:34" x14ac:dyDescent="0.25">
      <c r="A3314" s="2" t="s">
        <v>328</v>
      </c>
      <c r="B3314" s="2" t="s">
        <v>531</v>
      </c>
      <c r="C3314" s="2" t="s">
        <v>407</v>
      </c>
      <c r="D3314" s="2" t="s">
        <v>411</v>
      </c>
      <c r="E3314" s="2" t="s">
        <v>414</v>
      </c>
      <c r="F3314" s="2" t="s">
        <v>40</v>
      </c>
      <c r="J3314" s="2" t="s">
        <v>532</v>
      </c>
      <c r="K3314" s="2" t="s">
        <v>533</v>
      </c>
      <c r="L3314" s="2">
        <v>5</v>
      </c>
      <c r="M3314" s="2" t="s">
        <v>539</v>
      </c>
      <c r="O3314" s="2" t="s">
        <v>524</v>
      </c>
      <c r="Y3314" s="2" t="s">
        <v>703</v>
      </c>
    </row>
    <row r="3315" spans="1:34" x14ac:dyDescent="0.25">
      <c r="A3315" s="2" t="s">
        <v>328</v>
      </c>
      <c r="B3315" s="2" t="s">
        <v>540</v>
      </c>
      <c r="C3315" s="2" t="s">
        <v>407</v>
      </c>
      <c r="D3315" s="2" t="s">
        <v>411</v>
      </c>
      <c r="E3315" s="2" t="s">
        <v>414</v>
      </c>
      <c r="F3315" s="2" t="s">
        <v>40</v>
      </c>
      <c r="J3315" s="2" t="s">
        <v>541</v>
      </c>
      <c r="K3315" s="2" t="s">
        <v>542</v>
      </c>
      <c r="L3315" s="2">
        <v>1</v>
      </c>
      <c r="M3315" s="2" t="s">
        <v>543</v>
      </c>
      <c r="O3315" s="2" t="s">
        <v>524</v>
      </c>
      <c r="Y3315" s="2" t="s">
        <v>703</v>
      </c>
    </row>
    <row r="3316" spans="1:34" x14ac:dyDescent="0.25">
      <c r="A3316" s="2" t="s">
        <v>328</v>
      </c>
      <c r="B3316" s="2" t="s">
        <v>540</v>
      </c>
      <c r="C3316" s="2" t="s">
        <v>407</v>
      </c>
      <c r="D3316" s="2" t="s">
        <v>411</v>
      </c>
      <c r="E3316" s="2" t="s">
        <v>414</v>
      </c>
      <c r="F3316" s="2" t="s">
        <v>40</v>
      </c>
      <c r="J3316" s="2" t="s">
        <v>541</v>
      </c>
      <c r="K3316" s="2" t="s">
        <v>542</v>
      </c>
      <c r="L3316" s="2">
        <v>2</v>
      </c>
      <c r="M3316" s="2" t="s">
        <v>544</v>
      </c>
      <c r="O3316" s="2" t="s">
        <v>524</v>
      </c>
      <c r="Y3316" s="2" t="s">
        <v>703</v>
      </c>
    </row>
    <row r="3317" spans="1:34" x14ac:dyDescent="0.25">
      <c r="A3317" s="2" t="s">
        <v>328</v>
      </c>
      <c r="B3317" s="2" t="s">
        <v>540</v>
      </c>
      <c r="C3317" s="2" t="s">
        <v>407</v>
      </c>
      <c r="D3317" s="2" t="s">
        <v>411</v>
      </c>
      <c r="E3317" s="2" t="s">
        <v>414</v>
      </c>
      <c r="F3317" s="2" t="s">
        <v>40</v>
      </c>
      <c r="J3317" s="2" t="s">
        <v>541</v>
      </c>
      <c r="K3317" s="2" t="s">
        <v>542</v>
      </c>
      <c r="L3317" s="2">
        <v>3</v>
      </c>
      <c r="M3317" s="2" t="s">
        <v>545</v>
      </c>
      <c r="O3317" s="2" t="s">
        <v>524</v>
      </c>
      <c r="Y3317" s="2" t="s">
        <v>703</v>
      </c>
    </row>
    <row r="3318" spans="1:34" x14ac:dyDescent="0.25">
      <c r="A3318" s="2" t="s">
        <v>328</v>
      </c>
      <c r="B3318" s="2" t="s">
        <v>540</v>
      </c>
      <c r="C3318" s="2" t="s">
        <v>407</v>
      </c>
      <c r="D3318" s="2" t="s">
        <v>411</v>
      </c>
      <c r="E3318" s="2" t="s">
        <v>414</v>
      </c>
      <c r="F3318" s="2" t="s">
        <v>40</v>
      </c>
      <c r="J3318" s="2" t="s">
        <v>541</v>
      </c>
      <c r="K3318" s="2" t="s">
        <v>542</v>
      </c>
      <c r="L3318" s="2">
        <v>4</v>
      </c>
      <c r="M3318" s="2" t="s">
        <v>546</v>
      </c>
      <c r="O3318" s="2" t="s">
        <v>524</v>
      </c>
      <c r="Y3318" s="2" t="s">
        <v>703</v>
      </c>
    </row>
    <row r="3319" spans="1:34" x14ac:dyDescent="0.25">
      <c r="A3319" s="2" t="s">
        <v>328</v>
      </c>
      <c r="B3319" s="2" t="s">
        <v>540</v>
      </c>
      <c r="C3319" s="2" t="s">
        <v>407</v>
      </c>
      <c r="D3319" s="2" t="s">
        <v>411</v>
      </c>
      <c r="E3319" s="2" t="s">
        <v>414</v>
      </c>
      <c r="F3319" s="2" t="s">
        <v>40</v>
      </c>
      <c r="J3319" s="2" t="s">
        <v>541</v>
      </c>
      <c r="K3319" s="2" t="s">
        <v>542</v>
      </c>
      <c r="L3319" s="2">
        <v>5</v>
      </c>
      <c r="M3319" s="2" t="s">
        <v>547</v>
      </c>
      <c r="O3319" s="2" t="s">
        <v>524</v>
      </c>
      <c r="Y3319" s="2" t="s">
        <v>703</v>
      </c>
    </row>
    <row r="3320" spans="1:34" x14ac:dyDescent="0.25">
      <c r="A3320" s="2" t="s">
        <v>328</v>
      </c>
      <c r="B3320" s="2" t="s">
        <v>540</v>
      </c>
      <c r="C3320" s="2" t="s">
        <v>407</v>
      </c>
      <c r="D3320" s="2" t="s">
        <v>411</v>
      </c>
      <c r="E3320" s="2" t="s">
        <v>414</v>
      </c>
      <c r="F3320" s="2" t="s">
        <v>40</v>
      </c>
      <c r="J3320" s="2" t="s">
        <v>541</v>
      </c>
      <c r="K3320" s="2" t="s">
        <v>542</v>
      </c>
      <c r="L3320" s="2">
        <v>6</v>
      </c>
      <c r="M3320" s="2" t="s">
        <v>548</v>
      </c>
      <c r="O3320" s="2" t="s">
        <v>524</v>
      </c>
      <c r="Y3320" s="2" t="s">
        <v>703</v>
      </c>
    </row>
    <row r="3321" spans="1:34" x14ac:dyDescent="0.25">
      <c r="A3321" s="2" t="s">
        <v>328</v>
      </c>
      <c r="B3321" s="2" t="s">
        <v>540</v>
      </c>
      <c r="C3321" s="2" t="s">
        <v>407</v>
      </c>
      <c r="D3321" s="2" t="s">
        <v>411</v>
      </c>
      <c r="E3321" s="2" t="s">
        <v>414</v>
      </c>
      <c r="F3321" s="2" t="s">
        <v>40</v>
      </c>
      <c r="J3321" s="2" t="s">
        <v>541</v>
      </c>
      <c r="K3321" s="2" t="s">
        <v>542</v>
      </c>
      <c r="L3321" s="2">
        <v>7</v>
      </c>
      <c r="M3321" s="2" t="s">
        <v>549</v>
      </c>
      <c r="O3321" s="2" t="s">
        <v>524</v>
      </c>
      <c r="Y3321" s="2" t="s">
        <v>703</v>
      </c>
    </row>
    <row r="3322" spans="1:34" x14ac:dyDescent="0.25">
      <c r="A3322" s="2" t="s">
        <v>328</v>
      </c>
      <c r="B3322" s="2" t="s">
        <v>540</v>
      </c>
      <c r="C3322" s="2" t="s">
        <v>407</v>
      </c>
      <c r="D3322" s="2" t="s">
        <v>411</v>
      </c>
      <c r="E3322" s="2" t="s">
        <v>414</v>
      </c>
      <c r="F3322" s="2" t="s">
        <v>40</v>
      </c>
      <c r="J3322" s="2" t="s">
        <v>541</v>
      </c>
      <c r="K3322" s="2" t="s">
        <v>542</v>
      </c>
      <c r="L3322" s="2">
        <v>8</v>
      </c>
      <c r="M3322" s="2" t="s">
        <v>550</v>
      </c>
      <c r="O3322" s="2" t="s">
        <v>524</v>
      </c>
      <c r="Y3322" s="2" t="s">
        <v>703</v>
      </c>
    </row>
    <row r="3323" spans="1:34" x14ac:dyDescent="0.25">
      <c r="A3323" s="2" t="s">
        <v>328</v>
      </c>
      <c r="B3323" s="2" t="s">
        <v>540</v>
      </c>
      <c r="C3323" s="2" t="s">
        <v>407</v>
      </c>
      <c r="D3323" s="2" t="s">
        <v>411</v>
      </c>
      <c r="E3323" s="2" t="s">
        <v>414</v>
      </c>
      <c r="F3323" s="2" t="s">
        <v>40</v>
      </c>
      <c r="J3323" s="2" t="s">
        <v>541</v>
      </c>
      <c r="K3323" s="2" t="s">
        <v>542</v>
      </c>
      <c r="L3323" s="2">
        <v>9</v>
      </c>
      <c r="M3323" s="2" t="s">
        <v>551</v>
      </c>
      <c r="O3323" s="2" t="s">
        <v>524</v>
      </c>
      <c r="Y3323" s="2" t="s">
        <v>703</v>
      </c>
    </row>
    <row r="3324" spans="1:34" x14ac:dyDescent="0.25">
      <c r="A3324" s="2" t="s">
        <v>328</v>
      </c>
      <c r="B3324" s="2" t="s">
        <v>540</v>
      </c>
      <c r="C3324" s="2" t="s">
        <v>407</v>
      </c>
      <c r="D3324" s="2" t="s">
        <v>411</v>
      </c>
      <c r="E3324" s="2" t="s">
        <v>414</v>
      </c>
      <c r="F3324" s="2" t="s">
        <v>40</v>
      </c>
      <c r="J3324" s="2" t="s">
        <v>541</v>
      </c>
      <c r="K3324" s="2" t="s">
        <v>542</v>
      </c>
      <c r="L3324" s="2">
        <v>10</v>
      </c>
      <c r="M3324" s="2" t="s">
        <v>552</v>
      </c>
      <c r="O3324" s="2" t="s">
        <v>524</v>
      </c>
      <c r="Y3324" s="2" t="s">
        <v>703</v>
      </c>
    </row>
    <row r="3325" spans="1:34" x14ac:dyDescent="0.25">
      <c r="A3325" s="2" t="s">
        <v>328</v>
      </c>
      <c r="B3325" s="2" t="s">
        <v>540</v>
      </c>
      <c r="C3325" s="2" t="s">
        <v>407</v>
      </c>
      <c r="D3325" s="2" t="s">
        <v>411</v>
      </c>
      <c r="E3325" s="2" t="s">
        <v>414</v>
      </c>
      <c r="F3325" s="2" t="s">
        <v>40</v>
      </c>
      <c r="J3325" s="2" t="s">
        <v>541</v>
      </c>
      <c r="K3325" s="2" t="s">
        <v>542</v>
      </c>
      <c r="L3325" s="2">
        <v>11</v>
      </c>
      <c r="M3325" s="2" t="s">
        <v>553</v>
      </c>
      <c r="O3325" s="2" t="s">
        <v>524</v>
      </c>
      <c r="Y3325" s="2" t="s">
        <v>703</v>
      </c>
    </row>
    <row r="3326" spans="1:34" x14ac:dyDescent="0.25">
      <c r="A3326" s="2" t="s">
        <v>328</v>
      </c>
      <c r="B3326" s="2" t="s">
        <v>540</v>
      </c>
      <c r="C3326" s="2" t="s">
        <v>407</v>
      </c>
      <c r="D3326" s="2" t="s">
        <v>411</v>
      </c>
      <c r="E3326" s="2" t="s">
        <v>414</v>
      </c>
      <c r="F3326" s="2" t="s">
        <v>40</v>
      </c>
      <c r="J3326" s="2" t="s">
        <v>541</v>
      </c>
      <c r="K3326" s="2" t="s">
        <v>542</v>
      </c>
      <c r="L3326" s="2">
        <v>12</v>
      </c>
      <c r="M3326" s="2" t="s">
        <v>554</v>
      </c>
      <c r="O3326" s="2" t="s">
        <v>524</v>
      </c>
      <c r="Y3326" s="2" t="s">
        <v>703</v>
      </c>
    </row>
    <row r="3327" spans="1:34" x14ac:dyDescent="0.25">
      <c r="A3327" s="2" t="s">
        <v>328</v>
      </c>
      <c r="B3327" s="2" t="s">
        <v>555</v>
      </c>
      <c r="C3327" s="2" t="s">
        <v>407</v>
      </c>
      <c r="D3327" s="2" t="s">
        <v>411</v>
      </c>
      <c r="E3327" s="2" t="s">
        <v>414</v>
      </c>
      <c r="F3327" s="2" t="s">
        <v>40</v>
      </c>
      <c r="J3327" s="2" t="s">
        <v>556</v>
      </c>
      <c r="O3327" s="2" t="s">
        <v>524</v>
      </c>
      <c r="Y3327" s="2" t="s">
        <v>703</v>
      </c>
      <c r="AB3327" s="2">
        <v>2</v>
      </c>
    </row>
    <row r="3328" spans="1:34" x14ac:dyDescent="0.25">
      <c r="A3328" s="2" t="s">
        <v>328</v>
      </c>
      <c r="B3328" s="2" t="s">
        <v>557</v>
      </c>
      <c r="C3328" s="2" t="s">
        <v>407</v>
      </c>
      <c r="D3328" s="2" t="s">
        <v>411</v>
      </c>
      <c r="E3328" s="2" t="s">
        <v>414</v>
      </c>
      <c r="F3328" s="2" t="s">
        <v>40</v>
      </c>
      <c r="J3328" s="2" t="s">
        <v>558</v>
      </c>
      <c r="O3328" s="2" t="s">
        <v>524</v>
      </c>
      <c r="Y3328" s="2" t="s">
        <v>703</v>
      </c>
      <c r="AC3328" s="2">
        <f>COUNTIFS($B:$B,"BLOCK_LOAD_Q",$A:$A,$A3328,$C:$C,$C3328,$E:$E,$E3328,$F:$F,$F3328,$N:$N, "&lt;&gt;")</f>
        <v>0</v>
      </c>
      <c r="AD3328" s="2">
        <f>COUNTIFS($B:$B,"BLOCK_TRUST_Q",$A:$A,$A3328,$C:$C,$C3328,$E:$E,$E3328,$F:$F,$F3328,$N:$N, "&lt;&gt;")</f>
        <v>0</v>
      </c>
      <c r="AE3328" s="2" t="str">
        <f>IFERROR(AVERAGEIFS($P:$P,$B:$B,"BLOCK_LOAD_Q",$A:$A,$A3328,$C:$C,$C3328,$E:$E,$E3328,$F:$F,$F3328,$P:$P,"&gt;0"),"")</f>
        <v/>
      </c>
      <c r="AF3328" s="2" t="str">
        <f>IFERROR(AVERAGEIFS($P:$P,$B:$B,"BLOCK_TRUST_Q",$A:$A,$A3328,$C:$C,$C3328,$E:$E,$E3328,$F:$F,$F3328,$P:$P,"&gt;0"),"")</f>
        <v/>
      </c>
      <c r="AG3328" s="2">
        <f>5-AC3328</f>
        <v>5</v>
      </c>
      <c r="AH3328" s="2">
        <f>12-AD3328</f>
        <v>12</v>
      </c>
    </row>
    <row r="3329" spans="1:26" x14ac:dyDescent="0.25">
      <c r="A3329" s="2" t="s">
        <v>328</v>
      </c>
      <c r="B3329" s="2" t="s">
        <v>403</v>
      </c>
      <c r="C3329" s="2" t="s">
        <v>407</v>
      </c>
      <c r="D3329" s="2" t="s">
        <v>411</v>
      </c>
      <c r="Z3329" s="2" t="s">
        <v>486</v>
      </c>
    </row>
    <row r="3330" spans="1:26" x14ac:dyDescent="0.25">
      <c r="A3330" s="2" t="s">
        <v>328</v>
      </c>
      <c r="B3330" s="2" t="s">
        <v>402</v>
      </c>
      <c r="C3330" s="2" t="s">
        <v>408</v>
      </c>
      <c r="D3330" s="2" t="s">
        <v>412</v>
      </c>
      <c r="E3330" s="2" t="s">
        <v>413</v>
      </c>
      <c r="F3330" s="2" t="s">
        <v>39</v>
      </c>
      <c r="G3330" s="2" t="s">
        <v>415</v>
      </c>
      <c r="H3330" s="2" t="s">
        <v>350</v>
      </c>
      <c r="S3330" s="2" t="s">
        <v>57</v>
      </c>
      <c r="U3330" s="2" t="s">
        <v>58</v>
      </c>
      <c r="W3330" s="2" t="s">
        <v>59</v>
      </c>
    </row>
    <row r="3331" spans="1:26" x14ac:dyDescent="0.25">
      <c r="A3331" s="2" t="s">
        <v>328</v>
      </c>
      <c r="B3331" s="2" t="s">
        <v>402</v>
      </c>
      <c r="C3331" s="2" t="s">
        <v>408</v>
      </c>
      <c r="D3331" s="2" t="s">
        <v>412</v>
      </c>
      <c r="E3331" s="2" t="s">
        <v>413</v>
      </c>
      <c r="F3331" s="2" t="s">
        <v>39</v>
      </c>
      <c r="G3331" s="2" t="s">
        <v>416</v>
      </c>
      <c r="H3331" s="2" t="s">
        <v>571</v>
      </c>
      <c r="S3331" s="2" t="s">
        <v>59</v>
      </c>
      <c r="U3331" s="2" t="s">
        <v>57</v>
      </c>
      <c r="W3331" s="2" t="s">
        <v>60</v>
      </c>
    </row>
    <row r="3332" spans="1:26" x14ac:dyDescent="0.25">
      <c r="A3332" s="2" t="s">
        <v>328</v>
      </c>
      <c r="B3332" s="2" t="s">
        <v>402</v>
      </c>
      <c r="C3332" s="2" t="s">
        <v>408</v>
      </c>
      <c r="D3332" s="2" t="s">
        <v>412</v>
      </c>
      <c r="E3332" s="2" t="s">
        <v>413</v>
      </c>
      <c r="F3332" s="2" t="s">
        <v>39</v>
      </c>
      <c r="G3332" s="2" t="s">
        <v>417</v>
      </c>
      <c r="H3332" s="2" t="s">
        <v>572</v>
      </c>
      <c r="S3332" s="2" t="s">
        <v>57</v>
      </c>
      <c r="U3332" s="2" t="s">
        <v>59</v>
      </c>
      <c r="W3332" s="2" t="s">
        <v>58</v>
      </c>
    </row>
    <row r="3333" spans="1:26" x14ac:dyDescent="0.25">
      <c r="A3333" s="2" t="s">
        <v>328</v>
      </c>
      <c r="B3333" s="2" t="s">
        <v>402</v>
      </c>
      <c r="C3333" s="2" t="s">
        <v>408</v>
      </c>
      <c r="D3333" s="2" t="s">
        <v>412</v>
      </c>
      <c r="E3333" s="2" t="s">
        <v>413</v>
      </c>
      <c r="F3333" s="2" t="s">
        <v>39</v>
      </c>
      <c r="G3333" s="2" t="s">
        <v>418</v>
      </c>
      <c r="H3333" s="2" t="s">
        <v>573</v>
      </c>
      <c r="S3333" s="2" t="s">
        <v>58</v>
      </c>
      <c r="U3333" s="2" t="s">
        <v>58</v>
      </c>
      <c r="W3333" s="2" t="s">
        <v>58</v>
      </c>
    </row>
    <row r="3334" spans="1:26" x14ac:dyDescent="0.25">
      <c r="A3334" s="2" t="s">
        <v>328</v>
      </c>
      <c r="B3334" s="2" t="s">
        <v>402</v>
      </c>
      <c r="C3334" s="2" t="s">
        <v>408</v>
      </c>
      <c r="D3334" s="2" t="s">
        <v>412</v>
      </c>
      <c r="E3334" s="2" t="s">
        <v>413</v>
      </c>
      <c r="F3334" s="2" t="s">
        <v>39</v>
      </c>
      <c r="G3334" s="2" t="s">
        <v>419</v>
      </c>
      <c r="H3334" s="2" t="s">
        <v>365</v>
      </c>
      <c r="S3334" s="2" t="s">
        <v>59</v>
      </c>
      <c r="U3334" s="2" t="s">
        <v>59</v>
      </c>
      <c r="W3334" s="2" t="s">
        <v>60</v>
      </c>
    </row>
    <row r="3335" spans="1:26" x14ac:dyDescent="0.25">
      <c r="A3335" s="2" t="s">
        <v>328</v>
      </c>
      <c r="B3335" s="2" t="s">
        <v>531</v>
      </c>
      <c r="C3335" s="2" t="s">
        <v>408</v>
      </c>
      <c r="D3335" s="2" t="s">
        <v>412</v>
      </c>
      <c r="E3335" s="2" t="s">
        <v>413</v>
      </c>
      <c r="F3335" s="2" t="s">
        <v>39</v>
      </c>
      <c r="J3335" s="2" t="s">
        <v>532</v>
      </c>
      <c r="K3335" s="2" t="s">
        <v>533</v>
      </c>
      <c r="L3335" s="2">
        <v>1</v>
      </c>
      <c r="M3335" s="2" t="s">
        <v>534</v>
      </c>
      <c r="O3335" s="2" t="s">
        <v>524</v>
      </c>
      <c r="Y3335" s="2" t="s">
        <v>704</v>
      </c>
    </row>
    <row r="3336" spans="1:26" x14ac:dyDescent="0.25">
      <c r="A3336" s="2" t="s">
        <v>328</v>
      </c>
      <c r="B3336" s="2" t="s">
        <v>531</v>
      </c>
      <c r="C3336" s="2" t="s">
        <v>408</v>
      </c>
      <c r="D3336" s="2" t="s">
        <v>412</v>
      </c>
      <c r="E3336" s="2" t="s">
        <v>413</v>
      </c>
      <c r="F3336" s="2" t="s">
        <v>39</v>
      </c>
      <c r="J3336" s="2" t="s">
        <v>532</v>
      </c>
      <c r="K3336" s="2" t="s">
        <v>533</v>
      </c>
      <c r="L3336" s="2">
        <v>2</v>
      </c>
      <c r="M3336" s="2" t="s">
        <v>536</v>
      </c>
      <c r="O3336" s="2" t="s">
        <v>524</v>
      </c>
      <c r="Y3336" s="2" t="s">
        <v>704</v>
      </c>
    </row>
    <row r="3337" spans="1:26" x14ac:dyDescent="0.25">
      <c r="A3337" s="2" t="s">
        <v>328</v>
      </c>
      <c r="B3337" s="2" t="s">
        <v>531</v>
      </c>
      <c r="C3337" s="2" t="s">
        <v>408</v>
      </c>
      <c r="D3337" s="2" t="s">
        <v>412</v>
      </c>
      <c r="E3337" s="2" t="s">
        <v>413</v>
      </c>
      <c r="F3337" s="2" t="s">
        <v>39</v>
      </c>
      <c r="J3337" s="2" t="s">
        <v>532</v>
      </c>
      <c r="K3337" s="2" t="s">
        <v>533</v>
      </c>
      <c r="L3337" s="2">
        <v>3</v>
      </c>
      <c r="M3337" s="2" t="s">
        <v>537</v>
      </c>
      <c r="O3337" s="2" t="s">
        <v>524</v>
      </c>
      <c r="Y3337" s="2" t="s">
        <v>704</v>
      </c>
    </row>
    <row r="3338" spans="1:26" x14ac:dyDescent="0.25">
      <c r="A3338" s="2" t="s">
        <v>328</v>
      </c>
      <c r="B3338" s="2" t="s">
        <v>531</v>
      </c>
      <c r="C3338" s="2" t="s">
        <v>408</v>
      </c>
      <c r="D3338" s="2" t="s">
        <v>412</v>
      </c>
      <c r="E3338" s="2" t="s">
        <v>413</v>
      </c>
      <c r="F3338" s="2" t="s">
        <v>39</v>
      </c>
      <c r="J3338" s="2" t="s">
        <v>532</v>
      </c>
      <c r="K3338" s="2" t="s">
        <v>533</v>
      </c>
      <c r="L3338" s="2">
        <v>4</v>
      </c>
      <c r="M3338" s="2" t="s">
        <v>538</v>
      </c>
      <c r="O3338" s="2" t="s">
        <v>524</v>
      </c>
      <c r="Y3338" s="2" t="s">
        <v>704</v>
      </c>
    </row>
    <row r="3339" spans="1:26" x14ac:dyDescent="0.25">
      <c r="A3339" s="2" t="s">
        <v>328</v>
      </c>
      <c r="B3339" s="2" t="s">
        <v>531</v>
      </c>
      <c r="C3339" s="2" t="s">
        <v>408</v>
      </c>
      <c r="D3339" s="2" t="s">
        <v>412</v>
      </c>
      <c r="E3339" s="2" t="s">
        <v>413</v>
      </c>
      <c r="F3339" s="2" t="s">
        <v>39</v>
      </c>
      <c r="J3339" s="2" t="s">
        <v>532</v>
      </c>
      <c r="K3339" s="2" t="s">
        <v>533</v>
      </c>
      <c r="L3339" s="2">
        <v>5</v>
      </c>
      <c r="M3339" s="2" t="s">
        <v>539</v>
      </c>
      <c r="O3339" s="2" t="s">
        <v>524</v>
      </c>
      <c r="Y3339" s="2" t="s">
        <v>704</v>
      </c>
    </row>
    <row r="3340" spans="1:26" x14ac:dyDescent="0.25">
      <c r="A3340" s="2" t="s">
        <v>328</v>
      </c>
      <c r="B3340" s="2" t="s">
        <v>540</v>
      </c>
      <c r="C3340" s="2" t="s">
        <v>408</v>
      </c>
      <c r="D3340" s="2" t="s">
        <v>412</v>
      </c>
      <c r="E3340" s="2" t="s">
        <v>413</v>
      </c>
      <c r="F3340" s="2" t="s">
        <v>39</v>
      </c>
      <c r="J3340" s="2" t="s">
        <v>541</v>
      </c>
      <c r="K3340" s="2" t="s">
        <v>542</v>
      </c>
      <c r="L3340" s="2">
        <v>1</v>
      </c>
      <c r="M3340" s="2" t="s">
        <v>543</v>
      </c>
      <c r="O3340" s="2" t="s">
        <v>524</v>
      </c>
      <c r="Y3340" s="2" t="s">
        <v>704</v>
      </c>
    </row>
    <row r="3341" spans="1:26" x14ac:dyDescent="0.25">
      <c r="A3341" s="2" t="s">
        <v>328</v>
      </c>
      <c r="B3341" s="2" t="s">
        <v>540</v>
      </c>
      <c r="C3341" s="2" t="s">
        <v>408</v>
      </c>
      <c r="D3341" s="2" t="s">
        <v>412</v>
      </c>
      <c r="E3341" s="2" t="s">
        <v>413</v>
      </c>
      <c r="F3341" s="2" t="s">
        <v>39</v>
      </c>
      <c r="J3341" s="2" t="s">
        <v>541</v>
      </c>
      <c r="K3341" s="2" t="s">
        <v>542</v>
      </c>
      <c r="L3341" s="2">
        <v>2</v>
      </c>
      <c r="M3341" s="2" t="s">
        <v>544</v>
      </c>
      <c r="O3341" s="2" t="s">
        <v>524</v>
      </c>
      <c r="Y3341" s="2" t="s">
        <v>704</v>
      </c>
    </row>
    <row r="3342" spans="1:26" x14ac:dyDescent="0.25">
      <c r="A3342" s="2" t="s">
        <v>328</v>
      </c>
      <c r="B3342" s="2" t="s">
        <v>540</v>
      </c>
      <c r="C3342" s="2" t="s">
        <v>408</v>
      </c>
      <c r="D3342" s="2" t="s">
        <v>412</v>
      </c>
      <c r="E3342" s="2" t="s">
        <v>413</v>
      </c>
      <c r="F3342" s="2" t="s">
        <v>39</v>
      </c>
      <c r="J3342" s="2" t="s">
        <v>541</v>
      </c>
      <c r="K3342" s="2" t="s">
        <v>542</v>
      </c>
      <c r="L3342" s="2">
        <v>3</v>
      </c>
      <c r="M3342" s="2" t="s">
        <v>545</v>
      </c>
      <c r="O3342" s="2" t="s">
        <v>524</v>
      </c>
      <c r="Y3342" s="2" t="s">
        <v>704</v>
      </c>
    </row>
    <row r="3343" spans="1:26" x14ac:dyDescent="0.25">
      <c r="A3343" s="2" t="s">
        <v>328</v>
      </c>
      <c r="B3343" s="2" t="s">
        <v>540</v>
      </c>
      <c r="C3343" s="2" t="s">
        <v>408</v>
      </c>
      <c r="D3343" s="2" t="s">
        <v>412</v>
      </c>
      <c r="E3343" s="2" t="s">
        <v>413</v>
      </c>
      <c r="F3343" s="2" t="s">
        <v>39</v>
      </c>
      <c r="J3343" s="2" t="s">
        <v>541</v>
      </c>
      <c r="K3343" s="2" t="s">
        <v>542</v>
      </c>
      <c r="L3343" s="2">
        <v>4</v>
      </c>
      <c r="M3343" s="2" t="s">
        <v>546</v>
      </c>
      <c r="O3343" s="2" t="s">
        <v>524</v>
      </c>
      <c r="Y3343" s="2" t="s">
        <v>704</v>
      </c>
    </row>
    <row r="3344" spans="1:26" x14ac:dyDescent="0.25">
      <c r="A3344" s="2" t="s">
        <v>328</v>
      </c>
      <c r="B3344" s="2" t="s">
        <v>540</v>
      </c>
      <c r="C3344" s="2" t="s">
        <v>408</v>
      </c>
      <c r="D3344" s="2" t="s">
        <v>412</v>
      </c>
      <c r="E3344" s="2" t="s">
        <v>413</v>
      </c>
      <c r="F3344" s="2" t="s">
        <v>39</v>
      </c>
      <c r="J3344" s="2" t="s">
        <v>541</v>
      </c>
      <c r="K3344" s="2" t="s">
        <v>542</v>
      </c>
      <c r="L3344" s="2">
        <v>5</v>
      </c>
      <c r="M3344" s="2" t="s">
        <v>547</v>
      </c>
      <c r="O3344" s="2" t="s">
        <v>524</v>
      </c>
      <c r="Y3344" s="2" t="s">
        <v>704</v>
      </c>
    </row>
    <row r="3345" spans="1:34" x14ac:dyDescent="0.25">
      <c r="A3345" s="2" t="s">
        <v>328</v>
      </c>
      <c r="B3345" s="2" t="s">
        <v>540</v>
      </c>
      <c r="C3345" s="2" t="s">
        <v>408</v>
      </c>
      <c r="D3345" s="2" t="s">
        <v>412</v>
      </c>
      <c r="E3345" s="2" t="s">
        <v>413</v>
      </c>
      <c r="F3345" s="2" t="s">
        <v>39</v>
      </c>
      <c r="J3345" s="2" t="s">
        <v>541</v>
      </c>
      <c r="K3345" s="2" t="s">
        <v>542</v>
      </c>
      <c r="L3345" s="2">
        <v>6</v>
      </c>
      <c r="M3345" s="2" t="s">
        <v>548</v>
      </c>
      <c r="O3345" s="2" t="s">
        <v>524</v>
      </c>
      <c r="Y3345" s="2" t="s">
        <v>704</v>
      </c>
    </row>
    <row r="3346" spans="1:34" x14ac:dyDescent="0.25">
      <c r="A3346" s="2" t="s">
        <v>328</v>
      </c>
      <c r="B3346" s="2" t="s">
        <v>540</v>
      </c>
      <c r="C3346" s="2" t="s">
        <v>408</v>
      </c>
      <c r="D3346" s="2" t="s">
        <v>412</v>
      </c>
      <c r="E3346" s="2" t="s">
        <v>413</v>
      </c>
      <c r="F3346" s="2" t="s">
        <v>39</v>
      </c>
      <c r="J3346" s="2" t="s">
        <v>541</v>
      </c>
      <c r="K3346" s="2" t="s">
        <v>542</v>
      </c>
      <c r="L3346" s="2">
        <v>7</v>
      </c>
      <c r="M3346" s="2" t="s">
        <v>549</v>
      </c>
      <c r="O3346" s="2" t="s">
        <v>524</v>
      </c>
      <c r="Y3346" s="2" t="s">
        <v>704</v>
      </c>
    </row>
    <row r="3347" spans="1:34" x14ac:dyDescent="0.25">
      <c r="A3347" s="2" t="s">
        <v>328</v>
      </c>
      <c r="B3347" s="2" t="s">
        <v>540</v>
      </c>
      <c r="C3347" s="2" t="s">
        <v>408</v>
      </c>
      <c r="D3347" s="2" t="s">
        <v>412</v>
      </c>
      <c r="E3347" s="2" t="s">
        <v>413</v>
      </c>
      <c r="F3347" s="2" t="s">
        <v>39</v>
      </c>
      <c r="J3347" s="2" t="s">
        <v>541</v>
      </c>
      <c r="K3347" s="2" t="s">
        <v>542</v>
      </c>
      <c r="L3347" s="2">
        <v>8</v>
      </c>
      <c r="M3347" s="2" t="s">
        <v>550</v>
      </c>
      <c r="O3347" s="2" t="s">
        <v>524</v>
      </c>
      <c r="Y3347" s="2" t="s">
        <v>704</v>
      </c>
    </row>
    <row r="3348" spans="1:34" x14ac:dyDescent="0.25">
      <c r="A3348" s="2" t="s">
        <v>328</v>
      </c>
      <c r="B3348" s="2" t="s">
        <v>540</v>
      </c>
      <c r="C3348" s="2" t="s">
        <v>408</v>
      </c>
      <c r="D3348" s="2" t="s">
        <v>412</v>
      </c>
      <c r="E3348" s="2" t="s">
        <v>413</v>
      </c>
      <c r="F3348" s="2" t="s">
        <v>39</v>
      </c>
      <c r="J3348" s="2" t="s">
        <v>541</v>
      </c>
      <c r="K3348" s="2" t="s">
        <v>542</v>
      </c>
      <c r="L3348" s="2">
        <v>9</v>
      </c>
      <c r="M3348" s="2" t="s">
        <v>551</v>
      </c>
      <c r="O3348" s="2" t="s">
        <v>524</v>
      </c>
      <c r="Y3348" s="2" t="s">
        <v>704</v>
      </c>
    </row>
    <row r="3349" spans="1:34" x14ac:dyDescent="0.25">
      <c r="A3349" s="2" t="s">
        <v>328</v>
      </c>
      <c r="B3349" s="2" t="s">
        <v>540</v>
      </c>
      <c r="C3349" s="2" t="s">
        <v>408</v>
      </c>
      <c r="D3349" s="2" t="s">
        <v>412</v>
      </c>
      <c r="E3349" s="2" t="s">
        <v>413</v>
      </c>
      <c r="F3349" s="2" t="s">
        <v>39</v>
      </c>
      <c r="J3349" s="2" t="s">
        <v>541</v>
      </c>
      <c r="K3349" s="2" t="s">
        <v>542</v>
      </c>
      <c r="L3349" s="2">
        <v>10</v>
      </c>
      <c r="M3349" s="2" t="s">
        <v>552</v>
      </c>
      <c r="O3349" s="2" t="s">
        <v>524</v>
      </c>
      <c r="Y3349" s="2" t="s">
        <v>704</v>
      </c>
    </row>
    <row r="3350" spans="1:34" x14ac:dyDescent="0.25">
      <c r="A3350" s="2" t="s">
        <v>328</v>
      </c>
      <c r="B3350" s="2" t="s">
        <v>540</v>
      </c>
      <c r="C3350" s="2" t="s">
        <v>408</v>
      </c>
      <c r="D3350" s="2" t="s">
        <v>412</v>
      </c>
      <c r="E3350" s="2" t="s">
        <v>413</v>
      </c>
      <c r="F3350" s="2" t="s">
        <v>39</v>
      </c>
      <c r="J3350" s="2" t="s">
        <v>541</v>
      </c>
      <c r="K3350" s="2" t="s">
        <v>542</v>
      </c>
      <c r="L3350" s="2">
        <v>11</v>
      </c>
      <c r="M3350" s="2" t="s">
        <v>553</v>
      </c>
      <c r="O3350" s="2" t="s">
        <v>524</v>
      </c>
      <c r="Y3350" s="2" t="s">
        <v>704</v>
      </c>
    </row>
    <row r="3351" spans="1:34" x14ac:dyDescent="0.25">
      <c r="A3351" s="2" t="s">
        <v>328</v>
      </c>
      <c r="B3351" s="2" t="s">
        <v>540</v>
      </c>
      <c r="C3351" s="2" t="s">
        <v>408</v>
      </c>
      <c r="D3351" s="2" t="s">
        <v>412</v>
      </c>
      <c r="E3351" s="2" t="s">
        <v>413</v>
      </c>
      <c r="F3351" s="2" t="s">
        <v>39</v>
      </c>
      <c r="J3351" s="2" t="s">
        <v>541</v>
      </c>
      <c r="K3351" s="2" t="s">
        <v>542</v>
      </c>
      <c r="L3351" s="2">
        <v>12</v>
      </c>
      <c r="M3351" s="2" t="s">
        <v>554</v>
      </c>
      <c r="O3351" s="2" t="s">
        <v>524</v>
      </c>
      <c r="Y3351" s="2" t="s">
        <v>704</v>
      </c>
    </row>
    <row r="3352" spans="1:34" x14ac:dyDescent="0.25">
      <c r="A3352" s="2" t="s">
        <v>328</v>
      </c>
      <c r="B3352" s="2" t="s">
        <v>555</v>
      </c>
      <c r="C3352" s="2" t="s">
        <v>408</v>
      </c>
      <c r="D3352" s="2" t="s">
        <v>412</v>
      </c>
      <c r="E3352" s="2" t="s">
        <v>413</v>
      </c>
      <c r="F3352" s="2" t="s">
        <v>39</v>
      </c>
      <c r="J3352" s="2" t="s">
        <v>556</v>
      </c>
      <c r="O3352" s="2" t="s">
        <v>524</v>
      </c>
      <c r="Y3352" s="2" t="s">
        <v>704</v>
      </c>
      <c r="AB3352" s="2">
        <v>1</v>
      </c>
    </row>
    <row r="3353" spans="1:34" x14ac:dyDescent="0.25">
      <c r="A3353" s="2" t="s">
        <v>328</v>
      </c>
      <c r="B3353" s="2" t="s">
        <v>557</v>
      </c>
      <c r="C3353" s="2" t="s">
        <v>408</v>
      </c>
      <c r="D3353" s="2" t="s">
        <v>412</v>
      </c>
      <c r="E3353" s="2" t="s">
        <v>413</v>
      </c>
      <c r="F3353" s="2" t="s">
        <v>39</v>
      </c>
      <c r="J3353" s="2" t="s">
        <v>558</v>
      </c>
      <c r="O3353" s="2" t="s">
        <v>524</v>
      </c>
      <c r="Y3353" s="2" t="s">
        <v>704</v>
      </c>
      <c r="AC3353" s="2">
        <f>COUNTIFS($B:$B,"BLOCK_LOAD_Q",$A:$A,$A3353,$C:$C,$C3353,$E:$E,$E3353,$F:$F,$F3353,$N:$N, "&lt;&gt;")</f>
        <v>0</v>
      </c>
      <c r="AD3353" s="2">
        <f>COUNTIFS($B:$B,"BLOCK_TRUST_Q",$A:$A,$A3353,$C:$C,$C3353,$E:$E,$E3353,$F:$F,$F3353,$N:$N, "&lt;&gt;")</f>
        <v>0</v>
      </c>
      <c r="AE3353" s="2" t="str">
        <f>IFERROR(AVERAGEIFS($P:$P,$B:$B,"BLOCK_LOAD_Q",$A:$A,$A3353,$C:$C,$C3353,$E:$E,$E3353,$F:$F,$F3353,$P:$P,"&gt;0"),"")</f>
        <v/>
      </c>
      <c r="AF3353" s="2" t="str">
        <f>IFERROR(AVERAGEIFS($P:$P,$B:$B,"BLOCK_TRUST_Q",$A:$A,$A3353,$C:$C,$C3353,$E:$E,$E3353,$F:$F,$F3353,$P:$P,"&gt;0"),"")</f>
        <v/>
      </c>
      <c r="AG3353" s="2">
        <f>5-AC3353</f>
        <v>5</v>
      </c>
      <c r="AH3353" s="2">
        <f>12-AD3353</f>
        <v>12</v>
      </c>
    </row>
    <row r="3354" spans="1:34" x14ac:dyDescent="0.25">
      <c r="A3354" s="2" t="s">
        <v>328</v>
      </c>
      <c r="B3354" s="2" t="s">
        <v>402</v>
      </c>
      <c r="C3354" s="2" t="s">
        <v>408</v>
      </c>
      <c r="D3354" s="2" t="s">
        <v>412</v>
      </c>
      <c r="E3354" s="2" t="s">
        <v>414</v>
      </c>
      <c r="F3354" s="2" t="s">
        <v>40</v>
      </c>
      <c r="G3354" s="2" t="s">
        <v>415</v>
      </c>
      <c r="H3354" s="2" t="s">
        <v>567</v>
      </c>
      <c r="S3354" s="2" t="s">
        <v>58</v>
      </c>
      <c r="U3354" s="2" t="s">
        <v>57</v>
      </c>
      <c r="W3354" s="2" t="s">
        <v>60</v>
      </c>
    </row>
    <row r="3355" spans="1:34" x14ac:dyDescent="0.25">
      <c r="A3355" s="2" t="s">
        <v>328</v>
      </c>
      <c r="B3355" s="2" t="s">
        <v>402</v>
      </c>
      <c r="C3355" s="2" t="s">
        <v>408</v>
      </c>
      <c r="D3355" s="2" t="s">
        <v>412</v>
      </c>
      <c r="E3355" s="2" t="s">
        <v>414</v>
      </c>
      <c r="F3355" s="2" t="s">
        <v>40</v>
      </c>
      <c r="G3355" s="2" t="s">
        <v>416</v>
      </c>
      <c r="H3355" s="2" t="s">
        <v>568</v>
      </c>
      <c r="S3355" s="2" t="s">
        <v>59</v>
      </c>
      <c r="U3355" s="2" t="s">
        <v>60</v>
      </c>
      <c r="W3355" s="2" t="s">
        <v>59</v>
      </c>
    </row>
    <row r="3356" spans="1:34" x14ac:dyDescent="0.25">
      <c r="A3356" s="2" t="s">
        <v>328</v>
      </c>
      <c r="B3356" s="2" t="s">
        <v>402</v>
      </c>
      <c r="C3356" s="2" t="s">
        <v>408</v>
      </c>
      <c r="D3356" s="2" t="s">
        <v>412</v>
      </c>
      <c r="E3356" s="2" t="s">
        <v>414</v>
      </c>
      <c r="F3356" s="2" t="s">
        <v>40</v>
      </c>
      <c r="G3356" s="2" t="s">
        <v>417</v>
      </c>
      <c r="H3356" s="2" t="s">
        <v>569</v>
      </c>
      <c r="S3356" s="2" t="s">
        <v>57</v>
      </c>
      <c r="U3356" s="2" t="s">
        <v>60</v>
      </c>
      <c r="W3356" s="2" t="s">
        <v>57</v>
      </c>
    </row>
    <row r="3357" spans="1:34" x14ac:dyDescent="0.25">
      <c r="A3357" s="2" t="s">
        <v>328</v>
      </c>
      <c r="B3357" s="2" t="s">
        <v>402</v>
      </c>
      <c r="C3357" s="2" t="s">
        <v>408</v>
      </c>
      <c r="D3357" s="2" t="s">
        <v>412</v>
      </c>
      <c r="E3357" s="2" t="s">
        <v>414</v>
      </c>
      <c r="F3357" s="2" t="s">
        <v>40</v>
      </c>
      <c r="G3357" s="2" t="s">
        <v>418</v>
      </c>
      <c r="H3357" s="2" t="s">
        <v>351</v>
      </c>
      <c r="S3357" s="2" t="s">
        <v>60</v>
      </c>
      <c r="U3357" s="2" t="s">
        <v>57</v>
      </c>
      <c r="W3357" s="2" t="s">
        <v>57</v>
      </c>
    </row>
    <row r="3358" spans="1:34" x14ac:dyDescent="0.25">
      <c r="A3358" s="2" t="s">
        <v>328</v>
      </c>
      <c r="B3358" s="2" t="s">
        <v>531</v>
      </c>
      <c r="C3358" s="2" t="s">
        <v>408</v>
      </c>
      <c r="D3358" s="2" t="s">
        <v>412</v>
      </c>
      <c r="E3358" s="2" t="s">
        <v>414</v>
      </c>
      <c r="F3358" s="2" t="s">
        <v>40</v>
      </c>
      <c r="J3358" s="2" t="s">
        <v>532</v>
      </c>
      <c r="K3358" s="2" t="s">
        <v>533</v>
      </c>
      <c r="L3358" s="2">
        <v>1</v>
      </c>
      <c r="M3358" s="2" t="s">
        <v>534</v>
      </c>
      <c r="O3358" s="2" t="s">
        <v>524</v>
      </c>
      <c r="Y3358" s="2" t="s">
        <v>705</v>
      </c>
    </row>
    <row r="3359" spans="1:34" x14ac:dyDescent="0.25">
      <c r="A3359" s="2" t="s">
        <v>328</v>
      </c>
      <c r="B3359" s="2" t="s">
        <v>531</v>
      </c>
      <c r="C3359" s="2" t="s">
        <v>408</v>
      </c>
      <c r="D3359" s="2" t="s">
        <v>412</v>
      </c>
      <c r="E3359" s="2" t="s">
        <v>414</v>
      </c>
      <c r="F3359" s="2" t="s">
        <v>40</v>
      </c>
      <c r="J3359" s="2" t="s">
        <v>532</v>
      </c>
      <c r="K3359" s="2" t="s">
        <v>533</v>
      </c>
      <c r="L3359" s="2">
        <v>2</v>
      </c>
      <c r="M3359" s="2" t="s">
        <v>536</v>
      </c>
      <c r="O3359" s="2" t="s">
        <v>524</v>
      </c>
      <c r="Y3359" s="2" t="s">
        <v>705</v>
      </c>
    </row>
    <row r="3360" spans="1:34" x14ac:dyDescent="0.25">
      <c r="A3360" s="2" t="s">
        <v>328</v>
      </c>
      <c r="B3360" s="2" t="s">
        <v>531</v>
      </c>
      <c r="C3360" s="2" t="s">
        <v>408</v>
      </c>
      <c r="D3360" s="2" t="s">
        <v>412</v>
      </c>
      <c r="E3360" s="2" t="s">
        <v>414</v>
      </c>
      <c r="F3360" s="2" t="s">
        <v>40</v>
      </c>
      <c r="J3360" s="2" t="s">
        <v>532</v>
      </c>
      <c r="K3360" s="2" t="s">
        <v>533</v>
      </c>
      <c r="L3360" s="2">
        <v>3</v>
      </c>
      <c r="M3360" s="2" t="s">
        <v>537</v>
      </c>
      <c r="O3360" s="2" t="s">
        <v>524</v>
      </c>
      <c r="Y3360" s="2" t="s">
        <v>705</v>
      </c>
    </row>
    <row r="3361" spans="1:34" x14ac:dyDescent="0.25">
      <c r="A3361" s="2" t="s">
        <v>328</v>
      </c>
      <c r="B3361" s="2" t="s">
        <v>531</v>
      </c>
      <c r="C3361" s="2" t="s">
        <v>408</v>
      </c>
      <c r="D3361" s="2" t="s">
        <v>412</v>
      </c>
      <c r="E3361" s="2" t="s">
        <v>414</v>
      </c>
      <c r="F3361" s="2" t="s">
        <v>40</v>
      </c>
      <c r="J3361" s="2" t="s">
        <v>532</v>
      </c>
      <c r="K3361" s="2" t="s">
        <v>533</v>
      </c>
      <c r="L3361" s="2">
        <v>4</v>
      </c>
      <c r="M3361" s="2" t="s">
        <v>538</v>
      </c>
      <c r="O3361" s="2" t="s">
        <v>524</v>
      </c>
      <c r="Y3361" s="2" t="s">
        <v>705</v>
      </c>
    </row>
    <row r="3362" spans="1:34" x14ac:dyDescent="0.25">
      <c r="A3362" s="2" t="s">
        <v>328</v>
      </c>
      <c r="B3362" s="2" t="s">
        <v>531</v>
      </c>
      <c r="C3362" s="2" t="s">
        <v>408</v>
      </c>
      <c r="D3362" s="2" t="s">
        <v>412</v>
      </c>
      <c r="E3362" s="2" t="s">
        <v>414</v>
      </c>
      <c r="F3362" s="2" t="s">
        <v>40</v>
      </c>
      <c r="J3362" s="2" t="s">
        <v>532</v>
      </c>
      <c r="K3362" s="2" t="s">
        <v>533</v>
      </c>
      <c r="L3362" s="2">
        <v>5</v>
      </c>
      <c r="M3362" s="2" t="s">
        <v>539</v>
      </c>
      <c r="O3362" s="2" t="s">
        <v>524</v>
      </c>
      <c r="Y3362" s="2" t="s">
        <v>705</v>
      </c>
    </row>
    <row r="3363" spans="1:34" x14ac:dyDescent="0.25">
      <c r="A3363" s="2" t="s">
        <v>328</v>
      </c>
      <c r="B3363" s="2" t="s">
        <v>540</v>
      </c>
      <c r="C3363" s="2" t="s">
        <v>408</v>
      </c>
      <c r="D3363" s="2" t="s">
        <v>412</v>
      </c>
      <c r="E3363" s="2" t="s">
        <v>414</v>
      </c>
      <c r="F3363" s="2" t="s">
        <v>40</v>
      </c>
      <c r="J3363" s="2" t="s">
        <v>541</v>
      </c>
      <c r="K3363" s="2" t="s">
        <v>542</v>
      </c>
      <c r="L3363" s="2">
        <v>1</v>
      </c>
      <c r="M3363" s="2" t="s">
        <v>543</v>
      </c>
      <c r="O3363" s="2" t="s">
        <v>524</v>
      </c>
      <c r="Y3363" s="2" t="s">
        <v>705</v>
      </c>
    </row>
    <row r="3364" spans="1:34" x14ac:dyDescent="0.25">
      <c r="A3364" s="2" t="s">
        <v>328</v>
      </c>
      <c r="B3364" s="2" t="s">
        <v>540</v>
      </c>
      <c r="C3364" s="2" t="s">
        <v>408</v>
      </c>
      <c r="D3364" s="2" t="s">
        <v>412</v>
      </c>
      <c r="E3364" s="2" t="s">
        <v>414</v>
      </c>
      <c r="F3364" s="2" t="s">
        <v>40</v>
      </c>
      <c r="J3364" s="2" t="s">
        <v>541</v>
      </c>
      <c r="K3364" s="2" t="s">
        <v>542</v>
      </c>
      <c r="L3364" s="2">
        <v>2</v>
      </c>
      <c r="M3364" s="2" t="s">
        <v>544</v>
      </c>
      <c r="O3364" s="2" t="s">
        <v>524</v>
      </c>
      <c r="Y3364" s="2" t="s">
        <v>705</v>
      </c>
    </row>
    <row r="3365" spans="1:34" x14ac:dyDescent="0.25">
      <c r="A3365" s="2" t="s">
        <v>328</v>
      </c>
      <c r="B3365" s="2" t="s">
        <v>540</v>
      </c>
      <c r="C3365" s="2" t="s">
        <v>408</v>
      </c>
      <c r="D3365" s="2" t="s">
        <v>412</v>
      </c>
      <c r="E3365" s="2" t="s">
        <v>414</v>
      </c>
      <c r="F3365" s="2" t="s">
        <v>40</v>
      </c>
      <c r="J3365" s="2" t="s">
        <v>541</v>
      </c>
      <c r="K3365" s="2" t="s">
        <v>542</v>
      </c>
      <c r="L3365" s="2">
        <v>3</v>
      </c>
      <c r="M3365" s="2" t="s">
        <v>545</v>
      </c>
      <c r="O3365" s="2" t="s">
        <v>524</v>
      </c>
      <c r="Y3365" s="2" t="s">
        <v>705</v>
      </c>
    </row>
    <row r="3366" spans="1:34" x14ac:dyDescent="0.25">
      <c r="A3366" s="2" t="s">
        <v>328</v>
      </c>
      <c r="B3366" s="2" t="s">
        <v>540</v>
      </c>
      <c r="C3366" s="2" t="s">
        <v>408</v>
      </c>
      <c r="D3366" s="2" t="s">
        <v>412</v>
      </c>
      <c r="E3366" s="2" t="s">
        <v>414</v>
      </c>
      <c r="F3366" s="2" t="s">
        <v>40</v>
      </c>
      <c r="J3366" s="2" t="s">
        <v>541</v>
      </c>
      <c r="K3366" s="2" t="s">
        <v>542</v>
      </c>
      <c r="L3366" s="2">
        <v>4</v>
      </c>
      <c r="M3366" s="2" t="s">
        <v>546</v>
      </c>
      <c r="O3366" s="2" t="s">
        <v>524</v>
      </c>
      <c r="Y3366" s="2" t="s">
        <v>705</v>
      </c>
    </row>
    <row r="3367" spans="1:34" x14ac:dyDescent="0.25">
      <c r="A3367" s="2" t="s">
        <v>328</v>
      </c>
      <c r="B3367" s="2" t="s">
        <v>540</v>
      </c>
      <c r="C3367" s="2" t="s">
        <v>408</v>
      </c>
      <c r="D3367" s="2" t="s">
        <v>412</v>
      </c>
      <c r="E3367" s="2" t="s">
        <v>414</v>
      </c>
      <c r="F3367" s="2" t="s">
        <v>40</v>
      </c>
      <c r="J3367" s="2" t="s">
        <v>541</v>
      </c>
      <c r="K3367" s="2" t="s">
        <v>542</v>
      </c>
      <c r="L3367" s="2">
        <v>5</v>
      </c>
      <c r="M3367" s="2" t="s">
        <v>547</v>
      </c>
      <c r="O3367" s="2" t="s">
        <v>524</v>
      </c>
      <c r="Y3367" s="2" t="s">
        <v>705</v>
      </c>
    </row>
    <row r="3368" spans="1:34" x14ac:dyDescent="0.25">
      <c r="A3368" s="2" t="s">
        <v>328</v>
      </c>
      <c r="B3368" s="2" t="s">
        <v>540</v>
      </c>
      <c r="C3368" s="2" t="s">
        <v>408</v>
      </c>
      <c r="D3368" s="2" t="s">
        <v>412</v>
      </c>
      <c r="E3368" s="2" t="s">
        <v>414</v>
      </c>
      <c r="F3368" s="2" t="s">
        <v>40</v>
      </c>
      <c r="J3368" s="2" t="s">
        <v>541</v>
      </c>
      <c r="K3368" s="2" t="s">
        <v>542</v>
      </c>
      <c r="L3368" s="2">
        <v>6</v>
      </c>
      <c r="M3368" s="2" t="s">
        <v>548</v>
      </c>
      <c r="O3368" s="2" t="s">
        <v>524</v>
      </c>
      <c r="Y3368" s="2" t="s">
        <v>705</v>
      </c>
    </row>
    <row r="3369" spans="1:34" x14ac:dyDescent="0.25">
      <c r="A3369" s="2" t="s">
        <v>328</v>
      </c>
      <c r="B3369" s="2" t="s">
        <v>540</v>
      </c>
      <c r="C3369" s="2" t="s">
        <v>408</v>
      </c>
      <c r="D3369" s="2" t="s">
        <v>412</v>
      </c>
      <c r="E3369" s="2" t="s">
        <v>414</v>
      </c>
      <c r="F3369" s="2" t="s">
        <v>40</v>
      </c>
      <c r="J3369" s="2" t="s">
        <v>541</v>
      </c>
      <c r="K3369" s="2" t="s">
        <v>542</v>
      </c>
      <c r="L3369" s="2">
        <v>7</v>
      </c>
      <c r="M3369" s="2" t="s">
        <v>549</v>
      </c>
      <c r="O3369" s="2" t="s">
        <v>524</v>
      </c>
      <c r="Y3369" s="2" t="s">
        <v>705</v>
      </c>
    </row>
    <row r="3370" spans="1:34" x14ac:dyDescent="0.25">
      <c r="A3370" s="2" t="s">
        <v>328</v>
      </c>
      <c r="B3370" s="2" t="s">
        <v>540</v>
      </c>
      <c r="C3370" s="2" t="s">
        <v>408</v>
      </c>
      <c r="D3370" s="2" t="s">
        <v>412</v>
      </c>
      <c r="E3370" s="2" t="s">
        <v>414</v>
      </c>
      <c r="F3370" s="2" t="s">
        <v>40</v>
      </c>
      <c r="J3370" s="2" t="s">
        <v>541</v>
      </c>
      <c r="K3370" s="2" t="s">
        <v>542</v>
      </c>
      <c r="L3370" s="2">
        <v>8</v>
      </c>
      <c r="M3370" s="2" t="s">
        <v>550</v>
      </c>
      <c r="O3370" s="2" t="s">
        <v>524</v>
      </c>
      <c r="Y3370" s="2" t="s">
        <v>705</v>
      </c>
    </row>
    <row r="3371" spans="1:34" x14ac:dyDescent="0.25">
      <c r="A3371" s="2" t="s">
        <v>328</v>
      </c>
      <c r="B3371" s="2" t="s">
        <v>540</v>
      </c>
      <c r="C3371" s="2" t="s">
        <v>408</v>
      </c>
      <c r="D3371" s="2" t="s">
        <v>412</v>
      </c>
      <c r="E3371" s="2" t="s">
        <v>414</v>
      </c>
      <c r="F3371" s="2" t="s">
        <v>40</v>
      </c>
      <c r="J3371" s="2" t="s">
        <v>541</v>
      </c>
      <c r="K3371" s="2" t="s">
        <v>542</v>
      </c>
      <c r="L3371" s="2">
        <v>9</v>
      </c>
      <c r="M3371" s="2" t="s">
        <v>551</v>
      </c>
      <c r="O3371" s="2" t="s">
        <v>524</v>
      </c>
      <c r="Y3371" s="2" t="s">
        <v>705</v>
      </c>
    </row>
    <row r="3372" spans="1:34" x14ac:dyDescent="0.25">
      <c r="A3372" s="2" t="s">
        <v>328</v>
      </c>
      <c r="B3372" s="2" t="s">
        <v>540</v>
      </c>
      <c r="C3372" s="2" t="s">
        <v>408</v>
      </c>
      <c r="D3372" s="2" t="s">
        <v>412</v>
      </c>
      <c r="E3372" s="2" t="s">
        <v>414</v>
      </c>
      <c r="F3372" s="2" t="s">
        <v>40</v>
      </c>
      <c r="J3372" s="2" t="s">
        <v>541</v>
      </c>
      <c r="K3372" s="2" t="s">
        <v>542</v>
      </c>
      <c r="L3372" s="2">
        <v>10</v>
      </c>
      <c r="M3372" s="2" t="s">
        <v>552</v>
      </c>
      <c r="O3372" s="2" t="s">
        <v>524</v>
      </c>
      <c r="Y3372" s="2" t="s">
        <v>705</v>
      </c>
    </row>
    <row r="3373" spans="1:34" x14ac:dyDescent="0.25">
      <c r="A3373" s="2" t="s">
        <v>328</v>
      </c>
      <c r="B3373" s="2" t="s">
        <v>540</v>
      </c>
      <c r="C3373" s="2" t="s">
        <v>408</v>
      </c>
      <c r="D3373" s="2" t="s">
        <v>412</v>
      </c>
      <c r="E3373" s="2" t="s">
        <v>414</v>
      </c>
      <c r="F3373" s="2" t="s">
        <v>40</v>
      </c>
      <c r="J3373" s="2" t="s">
        <v>541</v>
      </c>
      <c r="K3373" s="2" t="s">
        <v>542</v>
      </c>
      <c r="L3373" s="2">
        <v>11</v>
      </c>
      <c r="M3373" s="2" t="s">
        <v>553</v>
      </c>
      <c r="O3373" s="2" t="s">
        <v>524</v>
      </c>
      <c r="Y3373" s="2" t="s">
        <v>705</v>
      </c>
    </row>
    <row r="3374" spans="1:34" x14ac:dyDescent="0.25">
      <c r="A3374" s="2" t="s">
        <v>328</v>
      </c>
      <c r="B3374" s="2" t="s">
        <v>540</v>
      </c>
      <c r="C3374" s="2" t="s">
        <v>408</v>
      </c>
      <c r="D3374" s="2" t="s">
        <v>412</v>
      </c>
      <c r="E3374" s="2" t="s">
        <v>414</v>
      </c>
      <c r="F3374" s="2" t="s">
        <v>40</v>
      </c>
      <c r="J3374" s="2" t="s">
        <v>541</v>
      </c>
      <c r="K3374" s="2" t="s">
        <v>542</v>
      </c>
      <c r="L3374" s="2">
        <v>12</v>
      </c>
      <c r="M3374" s="2" t="s">
        <v>554</v>
      </c>
      <c r="O3374" s="2" t="s">
        <v>524</v>
      </c>
      <c r="Y3374" s="2" t="s">
        <v>705</v>
      </c>
    </row>
    <row r="3375" spans="1:34" x14ac:dyDescent="0.25">
      <c r="A3375" s="2" t="s">
        <v>328</v>
      </c>
      <c r="B3375" s="2" t="s">
        <v>555</v>
      </c>
      <c r="C3375" s="2" t="s">
        <v>408</v>
      </c>
      <c r="D3375" s="2" t="s">
        <v>412</v>
      </c>
      <c r="E3375" s="2" t="s">
        <v>414</v>
      </c>
      <c r="F3375" s="2" t="s">
        <v>40</v>
      </c>
      <c r="J3375" s="2" t="s">
        <v>556</v>
      </c>
      <c r="O3375" s="2" t="s">
        <v>524</v>
      </c>
      <c r="Y3375" s="2" t="s">
        <v>705</v>
      </c>
      <c r="AB3375" s="2">
        <v>2</v>
      </c>
    </row>
    <row r="3376" spans="1:34" x14ac:dyDescent="0.25">
      <c r="A3376" s="2" t="s">
        <v>328</v>
      </c>
      <c r="B3376" s="2" t="s">
        <v>557</v>
      </c>
      <c r="C3376" s="2" t="s">
        <v>408</v>
      </c>
      <c r="D3376" s="2" t="s">
        <v>412</v>
      </c>
      <c r="E3376" s="2" t="s">
        <v>414</v>
      </c>
      <c r="F3376" s="2" t="s">
        <v>40</v>
      </c>
      <c r="J3376" s="2" t="s">
        <v>558</v>
      </c>
      <c r="O3376" s="2" t="s">
        <v>524</v>
      </c>
      <c r="Y3376" s="2" t="s">
        <v>705</v>
      </c>
      <c r="AC3376" s="2">
        <f>COUNTIFS($B:$B,"BLOCK_LOAD_Q",$A:$A,$A3376,$C:$C,$C3376,$E:$E,$E3376,$F:$F,$F3376,$N:$N, "&lt;&gt;")</f>
        <v>0</v>
      </c>
      <c r="AD3376" s="2">
        <f>COUNTIFS($B:$B,"BLOCK_TRUST_Q",$A:$A,$A3376,$C:$C,$C3376,$E:$E,$E3376,$F:$F,$F3376,$N:$N, "&lt;&gt;")</f>
        <v>0</v>
      </c>
      <c r="AE3376" s="2" t="str">
        <f>IFERROR(AVERAGEIFS($P:$P,$B:$B,"BLOCK_LOAD_Q",$A:$A,$A3376,$C:$C,$C3376,$E:$E,$E3376,$F:$F,$F3376,$P:$P,"&gt;0"),"")</f>
        <v/>
      </c>
      <c r="AF3376" s="2" t="str">
        <f>IFERROR(AVERAGEIFS($P:$P,$B:$B,"BLOCK_TRUST_Q",$A:$A,$A3376,$C:$C,$C3376,$E:$E,$E3376,$F:$F,$F3376,$P:$P,"&gt;0"),"")</f>
        <v/>
      </c>
      <c r="AG3376" s="2">
        <f>5-AC3376</f>
        <v>5</v>
      </c>
      <c r="AH3376" s="2">
        <f>12-AD3376</f>
        <v>12</v>
      </c>
    </row>
    <row r="3377" spans="1:26" x14ac:dyDescent="0.25">
      <c r="A3377" s="2" t="s">
        <v>328</v>
      </c>
      <c r="B3377" s="2" t="s">
        <v>403</v>
      </c>
      <c r="C3377" s="2" t="s">
        <v>408</v>
      </c>
      <c r="D3377" s="2" t="s">
        <v>412</v>
      </c>
      <c r="Z3377" s="2" t="s">
        <v>487</v>
      </c>
    </row>
    <row r="3378" spans="1:26" x14ac:dyDescent="0.25">
      <c r="A3378" s="2" t="s">
        <v>328</v>
      </c>
      <c r="B3378" s="2" t="s">
        <v>402</v>
      </c>
      <c r="C3378" s="2" t="s">
        <v>409</v>
      </c>
      <c r="D3378" s="2" t="s">
        <v>410</v>
      </c>
      <c r="E3378" s="2" t="s">
        <v>413</v>
      </c>
      <c r="F3378" s="2" t="s">
        <v>40</v>
      </c>
      <c r="G3378" s="2" t="s">
        <v>415</v>
      </c>
      <c r="H3378" s="2" t="s">
        <v>354</v>
      </c>
      <c r="S3378" s="2" t="s">
        <v>59</v>
      </c>
      <c r="U3378" s="2" t="s">
        <v>59</v>
      </c>
      <c r="W3378" s="2" t="s">
        <v>58</v>
      </c>
    </row>
    <row r="3379" spans="1:26" x14ac:dyDescent="0.25">
      <c r="A3379" s="2" t="s">
        <v>328</v>
      </c>
      <c r="B3379" s="2" t="s">
        <v>402</v>
      </c>
      <c r="C3379" s="2" t="s">
        <v>409</v>
      </c>
      <c r="D3379" s="2" t="s">
        <v>410</v>
      </c>
      <c r="E3379" s="2" t="s">
        <v>413</v>
      </c>
      <c r="F3379" s="2" t="s">
        <v>40</v>
      </c>
      <c r="G3379" s="2" t="s">
        <v>416</v>
      </c>
      <c r="H3379" s="2" t="s">
        <v>559</v>
      </c>
      <c r="S3379" s="2" t="s">
        <v>57</v>
      </c>
      <c r="U3379" s="2" t="s">
        <v>57</v>
      </c>
      <c r="W3379" s="2" t="s">
        <v>58</v>
      </c>
    </row>
    <row r="3380" spans="1:26" x14ac:dyDescent="0.25">
      <c r="A3380" s="2" t="s">
        <v>328</v>
      </c>
      <c r="B3380" s="2" t="s">
        <v>402</v>
      </c>
      <c r="C3380" s="2" t="s">
        <v>409</v>
      </c>
      <c r="D3380" s="2" t="s">
        <v>410</v>
      </c>
      <c r="E3380" s="2" t="s">
        <v>413</v>
      </c>
      <c r="F3380" s="2" t="s">
        <v>40</v>
      </c>
      <c r="G3380" s="2" t="s">
        <v>417</v>
      </c>
      <c r="H3380" s="2" t="s">
        <v>370</v>
      </c>
      <c r="S3380" s="2" t="s">
        <v>60</v>
      </c>
      <c r="U3380" s="2" t="s">
        <v>58</v>
      </c>
      <c r="W3380" s="2" t="s">
        <v>59</v>
      </c>
    </row>
    <row r="3381" spans="1:26" x14ac:dyDescent="0.25">
      <c r="A3381" s="2" t="s">
        <v>328</v>
      </c>
      <c r="B3381" s="2" t="s">
        <v>402</v>
      </c>
      <c r="C3381" s="2" t="s">
        <v>409</v>
      </c>
      <c r="D3381" s="2" t="s">
        <v>410</v>
      </c>
      <c r="E3381" s="2" t="s">
        <v>413</v>
      </c>
      <c r="F3381" s="2" t="s">
        <v>40</v>
      </c>
      <c r="G3381" s="2" t="s">
        <v>418</v>
      </c>
      <c r="H3381" s="2" t="s">
        <v>560</v>
      </c>
      <c r="S3381" s="2" t="s">
        <v>57</v>
      </c>
      <c r="U3381" s="2" t="s">
        <v>58</v>
      </c>
      <c r="W3381" s="2" t="s">
        <v>60</v>
      </c>
    </row>
    <row r="3382" spans="1:26" x14ac:dyDescent="0.25">
      <c r="A3382" s="2" t="s">
        <v>328</v>
      </c>
      <c r="B3382" s="2" t="s">
        <v>531</v>
      </c>
      <c r="C3382" s="2" t="s">
        <v>409</v>
      </c>
      <c r="D3382" s="2" t="s">
        <v>410</v>
      </c>
      <c r="E3382" s="2" t="s">
        <v>413</v>
      </c>
      <c r="F3382" s="2" t="s">
        <v>40</v>
      </c>
      <c r="J3382" s="2" t="s">
        <v>532</v>
      </c>
      <c r="K3382" s="2" t="s">
        <v>533</v>
      </c>
      <c r="L3382" s="2">
        <v>1</v>
      </c>
      <c r="M3382" s="2" t="s">
        <v>534</v>
      </c>
      <c r="O3382" s="2" t="s">
        <v>524</v>
      </c>
      <c r="Y3382" s="2" t="s">
        <v>706</v>
      </c>
    </row>
    <row r="3383" spans="1:26" x14ac:dyDescent="0.25">
      <c r="A3383" s="2" t="s">
        <v>328</v>
      </c>
      <c r="B3383" s="2" t="s">
        <v>531</v>
      </c>
      <c r="C3383" s="2" t="s">
        <v>409</v>
      </c>
      <c r="D3383" s="2" t="s">
        <v>410</v>
      </c>
      <c r="E3383" s="2" t="s">
        <v>413</v>
      </c>
      <c r="F3383" s="2" t="s">
        <v>40</v>
      </c>
      <c r="J3383" s="2" t="s">
        <v>532</v>
      </c>
      <c r="K3383" s="2" t="s">
        <v>533</v>
      </c>
      <c r="L3383" s="2">
        <v>2</v>
      </c>
      <c r="M3383" s="2" t="s">
        <v>536</v>
      </c>
      <c r="O3383" s="2" t="s">
        <v>524</v>
      </c>
      <c r="Y3383" s="2" t="s">
        <v>706</v>
      </c>
    </row>
    <row r="3384" spans="1:26" x14ac:dyDescent="0.25">
      <c r="A3384" s="2" t="s">
        <v>328</v>
      </c>
      <c r="B3384" s="2" t="s">
        <v>531</v>
      </c>
      <c r="C3384" s="2" t="s">
        <v>409</v>
      </c>
      <c r="D3384" s="2" t="s">
        <v>410</v>
      </c>
      <c r="E3384" s="2" t="s">
        <v>413</v>
      </c>
      <c r="F3384" s="2" t="s">
        <v>40</v>
      </c>
      <c r="J3384" s="2" t="s">
        <v>532</v>
      </c>
      <c r="K3384" s="2" t="s">
        <v>533</v>
      </c>
      <c r="L3384" s="2">
        <v>3</v>
      </c>
      <c r="M3384" s="2" t="s">
        <v>537</v>
      </c>
      <c r="O3384" s="2" t="s">
        <v>524</v>
      </c>
      <c r="Y3384" s="2" t="s">
        <v>706</v>
      </c>
    </row>
    <row r="3385" spans="1:26" x14ac:dyDescent="0.25">
      <c r="A3385" s="2" t="s">
        <v>328</v>
      </c>
      <c r="B3385" s="2" t="s">
        <v>531</v>
      </c>
      <c r="C3385" s="2" t="s">
        <v>409</v>
      </c>
      <c r="D3385" s="2" t="s">
        <v>410</v>
      </c>
      <c r="E3385" s="2" t="s">
        <v>413</v>
      </c>
      <c r="F3385" s="2" t="s">
        <v>40</v>
      </c>
      <c r="J3385" s="2" t="s">
        <v>532</v>
      </c>
      <c r="K3385" s="2" t="s">
        <v>533</v>
      </c>
      <c r="L3385" s="2">
        <v>4</v>
      </c>
      <c r="M3385" s="2" t="s">
        <v>538</v>
      </c>
      <c r="O3385" s="2" t="s">
        <v>524</v>
      </c>
      <c r="Y3385" s="2" t="s">
        <v>706</v>
      </c>
    </row>
    <row r="3386" spans="1:26" x14ac:dyDescent="0.25">
      <c r="A3386" s="2" t="s">
        <v>328</v>
      </c>
      <c r="B3386" s="2" t="s">
        <v>531</v>
      </c>
      <c r="C3386" s="2" t="s">
        <v>409</v>
      </c>
      <c r="D3386" s="2" t="s">
        <v>410</v>
      </c>
      <c r="E3386" s="2" t="s">
        <v>413</v>
      </c>
      <c r="F3386" s="2" t="s">
        <v>40</v>
      </c>
      <c r="J3386" s="2" t="s">
        <v>532</v>
      </c>
      <c r="K3386" s="2" t="s">
        <v>533</v>
      </c>
      <c r="L3386" s="2">
        <v>5</v>
      </c>
      <c r="M3386" s="2" t="s">
        <v>539</v>
      </c>
      <c r="O3386" s="2" t="s">
        <v>524</v>
      </c>
      <c r="Y3386" s="2" t="s">
        <v>706</v>
      </c>
    </row>
    <row r="3387" spans="1:26" x14ac:dyDescent="0.25">
      <c r="A3387" s="2" t="s">
        <v>328</v>
      </c>
      <c r="B3387" s="2" t="s">
        <v>540</v>
      </c>
      <c r="C3387" s="2" t="s">
        <v>409</v>
      </c>
      <c r="D3387" s="2" t="s">
        <v>410</v>
      </c>
      <c r="E3387" s="2" t="s">
        <v>413</v>
      </c>
      <c r="F3387" s="2" t="s">
        <v>40</v>
      </c>
      <c r="J3387" s="2" t="s">
        <v>541</v>
      </c>
      <c r="K3387" s="2" t="s">
        <v>542</v>
      </c>
      <c r="L3387" s="2">
        <v>1</v>
      </c>
      <c r="M3387" s="2" t="s">
        <v>543</v>
      </c>
      <c r="O3387" s="2" t="s">
        <v>524</v>
      </c>
      <c r="Y3387" s="2" t="s">
        <v>706</v>
      </c>
    </row>
    <row r="3388" spans="1:26" x14ac:dyDescent="0.25">
      <c r="A3388" s="2" t="s">
        <v>328</v>
      </c>
      <c r="B3388" s="2" t="s">
        <v>540</v>
      </c>
      <c r="C3388" s="2" t="s">
        <v>409</v>
      </c>
      <c r="D3388" s="2" t="s">
        <v>410</v>
      </c>
      <c r="E3388" s="2" t="s">
        <v>413</v>
      </c>
      <c r="F3388" s="2" t="s">
        <v>40</v>
      </c>
      <c r="J3388" s="2" t="s">
        <v>541</v>
      </c>
      <c r="K3388" s="2" t="s">
        <v>542</v>
      </c>
      <c r="L3388" s="2">
        <v>2</v>
      </c>
      <c r="M3388" s="2" t="s">
        <v>544</v>
      </c>
      <c r="O3388" s="2" t="s">
        <v>524</v>
      </c>
      <c r="Y3388" s="2" t="s">
        <v>706</v>
      </c>
    </row>
    <row r="3389" spans="1:26" x14ac:dyDescent="0.25">
      <c r="A3389" s="2" t="s">
        <v>328</v>
      </c>
      <c r="B3389" s="2" t="s">
        <v>540</v>
      </c>
      <c r="C3389" s="2" t="s">
        <v>409</v>
      </c>
      <c r="D3389" s="2" t="s">
        <v>410</v>
      </c>
      <c r="E3389" s="2" t="s">
        <v>413</v>
      </c>
      <c r="F3389" s="2" t="s">
        <v>40</v>
      </c>
      <c r="J3389" s="2" t="s">
        <v>541</v>
      </c>
      <c r="K3389" s="2" t="s">
        <v>542</v>
      </c>
      <c r="L3389" s="2">
        <v>3</v>
      </c>
      <c r="M3389" s="2" t="s">
        <v>545</v>
      </c>
      <c r="O3389" s="2" t="s">
        <v>524</v>
      </c>
      <c r="Y3389" s="2" t="s">
        <v>706</v>
      </c>
    </row>
    <row r="3390" spans="1:26" x14ac:dyDescent="0.25">
      <c r="A3390" s="2" t="s">
        <v>328</v>
      </c>
      <c r="B3390" s="2" t="s">
        <v>540</v>
      </c>
      <c r="C3390" s="2" t="s">
        <v>409</v>
      </c>
      <c r="D3390" s="2" t="s">
        <v>410</v>
      </c>
      <c r="E3390" s="2" t="s">
        <v>413</v>
      </c>
      <c r="F3390" s="2" t="s">
        <v>40</v>
      </c>
      <c r="J3390" s="2" t="s">
        <v>541</v>
      </c>
      <c r="K3390" s="2" t="s">
        <v>542</v>
      </c>
      <c r="L3390" s="2">
        <v>4</v>
      </c>
      <c r="M3390" s="2" t="s">
        <v>546</v>
      </c>
      <c r="O3390" s="2" t="s">
        <v>524</v>
      </c>
      <c r="Y3390" s="2" t="s">
        <v>706</v>
      </c>
    </row>
    <row r="3391" spans="1:26" x14ac:dyDescent="0.25">
      <c r="A3391" s="2" t="s">
        <v>328</v>
      </c>
      <c r="B3391" s="2" t="s">
        <v>540</v>
      </c>
      <c r="C3391" s="2" t="s">
        <v>409</v>
      </c>
      <c r="D3391" s="2" t="s">
        <v>410</v>
      </c>
      <c r="E3391" s="2" t="s">
        <v>413</v>
      </c>
      <c r="F3391" s="2" t="s">
        <v>40</v>
      </c>
      <c r="J3391" s="2" t="s">
        <v>541</v>
      </c>
      <c r="K3391" s="2" t="s">
        <v>542</v>
      </c>
      <c r="L3391" s="2">
        <v>5</v>
      </c>
      <c r="M3391" s="2" t="s">
        <v>547</v>
      </c>
      <c r="O3391" s="2" t="s">
        <v>524</v>
      </c>
      <c r="Y3391" s="2" t="s">
        <v>706</v>
      </c>
    </row>
    <row r="3392" spans="1:26" x14ac:dyDescent="0.25">
      <c r="A3392" s="2" t="s">
        <v>328</v>
      </c>
      <c r="B3392" s="2" t="s">
        <v>540</v>
      </c>
      <c r="C3392" s="2" t="s">
        <v>409</v>
      </c>
      <c r="D3392" s="2" t="s">
        <v>410</v>
      </c>
      <c r="E3392" s="2" t="s">
        <v>413</v>
      </c>
      <c r="F3392" s="2" t="s">
        <v>40</v>
      </c>
      <c r="J3392" s="2" t="s">
        <v>541</v>
      </c>
      <c r="K3392" s="2" t="s">
        <v>542</v>
      </c>
      <c r="L3392" s="2">
        <v>6</v>
      </c>
      <c r="M3392" s="2" t="s">
        <v>548</v>
      </c>
      <c r="O3392" s="2" t="s">
        <v>524</v>
      </c>
      <c r="Y3392" s="2" t="s">
        <v>706</v>
      </c>
    </row>
    <row r="3393" spans="1:34" x14ac:dyDescent="0.25">
      <c r="A3393" s="2" t="s">
        <v>328</v>
      </c>
      <c r="B3393" s="2" t="s">
        <v>540</v>
      </c>
      <c r="C3393" s="2" t="s">
        <v>409</v>
      </c>
      <c r="D3393" s="2" t="s">
        <v>410</v>
      </c>
      <c r="E3393" s="2" t="s">
        <v>413</v>
      </c>
      <c r="F3393" s="2" t="s">
        <v>40</v>
      </c>
      <c r="J3393" s="2" t="s">
        <v>541</v>
      </c>
      <c r="K3393" s="2" t="s">
        <v>542</v>
      </c>
      <c r="L3393" s="2">
        <v>7</v>
      </c>
      <c r="M3393" s="2" t="s">
        <v>549</v>
      </c>
      <c r="O3393" s="2" t="s">
        <v>524</v>
      </c>
      <c r="Y3393" s="2" t="s">
        <v>706</v>
      </c>
    </row>
    <row r="3394" spans="1:34" x14ac:dyDescent="0.25">
      <c r="A3394" s="2" t="s">
        <v>328</v>
      </c>
      <c r="B3394" s="2" t="s">
        <v>540</v>
      </c>
      <c r="C3394" s="2" t="s">
        <v>409</v>
      </c>
      <c r="D3394" s="2" t="s">
        <v>410</v>
      </c>
      <c r="E3394" s="2" t="s">
        <v>413</v>
      </c>
      <c r="F3394" s="2" t="s">
        <v>40</v>
      </c>
      <c r="J3394" s="2" t="s">
        <v>541</v>
      </c>
      <c r="K3394" s="2" t="s">
        <v>542</v>
      </c>
      <c r="L3394" s="2">
        <v>8</v>
      </c>
      <c r="M3394" s="2" t="s">
        <v>550</v>
      </c>
      <c r="O3394" s="2" t="s">
        <v>524</v>
      </c>
      <c r="Y3394" s="2" t="s">
        <v>706</v>
      </c>
    </row>
    <row r="3395" spans="1:34" x14ac:dyDescent="0.25">
      <c r="A3395" s="2" t="s">
        <v>328</v>
      </c>
      <c r="B3395" s="2" t="s">
        <v>540</v>
      </c>
      <c r="C3395" s="2" t="s">
        <v>409</v>
      </c>
      <c r="D3395" s="2" t="s">
        <v>410</v>
      </c>
      <c r="E3395" s="2" t="s">
        <v>413</v>
      </c>
      <c r="F3395" s="2" t="s">
        <v>40</v>
      </c>
      <c r="J3395" s="2" t="s">
        <v>541</v>
      </c>
      <c r="K3395" s="2" t="s">
        <v>542</v>
      </c>
      <c r="L3395" s="2">
        <v>9</v>
      </c>
      <c r="M3395" s="2" t="s">
        <v>551</v>
      </c>
      <c r="O3395" s="2" t="s">
        <v>524</v>
      </c>
      <c r="Y3395" s="2" t="s">
        <v>706</v>
      </c>
    </row>
    <row r="3396" spans="1:34" x14ac:dyDescent="0.25">
      <c r="A3396" s="2" t="s">
        <v>328</v>
      </c>
      <c r="B3396" s="2" t="s">
        <v>540</v>
      </c>
      <c r="C3396" s="2" t="s">
        <v>409</v>
      </c>
      <c r="D3396" s="2" t="s">
        <v>410</v>
      </c>
      <c r="E3396" s="2" t="s">
        <v>413</v>
      </c>
      <c r="F3396" s="2" t="s">
        <v>40</v>
      </c>
      <c r="J3396" s="2" t="s">
        <v>541</v>
      </c>
      <c r="K3396" s="2" t="s">
        <v>542</v>
      </c>
      <c r="L3396" s="2">
        <v>10</v>
      </c>
      <c r="M3396" s="2" t="s">
        <v>552</v>
      </c>
      <c r="O3396" s="2" t="s">
        <v>524</v>
      </c>
      <c r="Y3396" s="2" t="s">
        <v>706</v>
      </c>
    </row>
    <row r="3397" spans="1:34" x14ac:dyDescent="0.25">
      <c r="A3397" s="2" t="s">
        <v>328</v>
      </c>
      <c r="B3397" s="2" t="s">
        <v>540</v>
      </c>
      <c r="C3397" s="2" t="s">
        <v>409</v>
      </c>
      <c r="D3397" s="2" t="s">
        <v>410</v>
      </c>
      <c r="E3397" s="2" t="s">
        <v>413</v>
      </c>
      <c r="F3397" s="2" t="s">
        <v>40</v>
      </c>
      <c r="J3397" s="2" t="s">
        <v>541</v>
      </c>
      <c r="K3397" s="2" t="s">
        <v>542</v>
      </c>
      <c r="L3397" s="2">
        <v>11</v>
      </c>
      <c r="M3397" s="2" t="s">
        <v>553</v>
      </c>
      <c r="O3397" s="2" t="s">
        <v>524</v>
      </c>
      <c r="Y3397" s="2" t="s">
        <v>706</v>
      </c>
    </row>
    <row r="3398" spans="1:34" x14ac:dyDescent="0.25">
      <c r="A3398" s="2" t="s">
        <v>328</v>
      </c>
      <c r="B3398" s="2" t="s">
        <v>540</v>
      </c>
      <c r="C3398" s="2" t="s">
        <v>409</v>
      </c>
      <c r="D3398" s="2" t="s">
        <v>410</v>
      </c>
      <c r="E3398" s="2" t="s">
        <v>413</v>
      </c>
      <c r="F3398" s="2" t="s">
        <v>40</v>
      </c>
      <c r="J3398" s="2" t="s">
        <v>541</v>
      </c>
      <c r="K3398" s="2" t="s">
        <v>542</v>
      </c>
      <c r="L3398" s="2">
        <v>12</v>
      </c>
      <c r="M3398" s="2" t="s">
        <v>554</v>
      </c>
      <c r="O3398" s="2" t="s">
        <v>524</v>
      </c>
      <c r="Y3398" s="2" t="s">
        <v>706</v>
      </c>
    </row>
    <row r="3399" spans="1:34" x14ac:dyDescent="0.25">
      <c r="A3399" s="2" t="s">
        <v>328</v>
      </c>
      <c r="B3399" s="2" t="s">
        <v>555</v>
      </c>
      <c r="C3399" s="2" t="s">
        <v>409</v>
      </c>
      <c r="D3399" s="2" t="s">
        <v>410</v>
      </c>
      <c r="E3399" s="2" t="s">
        <v>413</v>
      </c>
      <c r="F3399" s="2" t="s">
        <v>40</v>
      </c>
      <c r="J3399" s="2" t="s">
        <v>556</v>
      </c>
      <c r="O3399" s="2" t="s">
        <v>524</v>
      </c>
      <c r="Y3399" s="2" t="s">
        <v>706</v>
      </c>
      <c r="AB3399" s="2">
        <v>2</v>
      </c>
    </row>
    <row r="3400" spans="1:34" x14ac:dyDescent="0.25">
      <c r="A3400" s="2" t="s">
        <v>328</v>
      </c>
      <c r="B3400" s="2" t="s">
        <v>557</v>
      </c>
      <c r="C3400" s="2" t="s">
        <v>409</v>
      </c>
      <c r="D3400" s="2" t="s">
        <v>410</v>
      </c>
      <c r="E3400" s="2" t="s">
        <v>413</v>
      </c>
      <c r="F3400" s="2" t="s">
        <v>40</v>
      </c>
      <c r="J3400" s="2" t="s">
        <v>558</v>
      </c>
      <c r="O3400" s="2" t="s">
        <v>524</v>
      </c>
      <c r="Y3400" s="2" t="s">
        <v>706</v>
      </c>
      <c r="AC3400" s="2">
        <f>COUNTIFS($B:$B,"BLOCK_LOAD_Q",$A:$A,$A3400,$C:$C,$C3400,$E:$E,$E3400,$F:$F,$F3400,$N:$N, "&lt;&gt;")</f>
        <v>0</v>
      </c>
      <c r="AD3400" s="2">
        <f>COUNTIFS($B:$B,"BLOCK_TRUST_Q",$A:$A,$A3400,$C:$C,$C3400,$E:$E,$E3400,$F:$F,$F3400,$N:$N, "&lt;&gt;")</f>
        <v>0</v>
      </c>
      <c r="AE3400" s="2" t="str">
        <f>IFERROR(AVERAGEIFS($P:$P,$B:$B,"BLOCK_LOAD_Q",$A:$A,$A3400,$C:$C,$C3400,$E:$E,$E3400,$F:$F,$F3400,$P:$P,"&gt;0"),"")</f>
        <v/>
      </c>
      <c r="AF3400" s="2" t="str">
        <f>IFERROR(AVERAGEIFS($P:$P,$B:$B,"BLOCK_TRUST_Q",$A:$A,$A3400,$C:$C,$C3400,$E:$E,$E3400,$F:$F,$F3400,$P:$P,"&gt;0"),"")</f>
        <v/>
      </c>
      <c r="AG3400" s="2">
        <f>5-AC3400</f>
        <v>5</v>
      </c>
      <c r="AH3400" s="2">
        <f>12-AD3400</f>
        <v>12</v>
      </c>
    </row>
    <row r="3401" spans="1:34" x14ac:dyDescent="0.25">
      <c r="A3401" s="2" t="s">
        <v>328</v>
      </c>
      <c r="B3401" s="2" t="s">
        <v>402</v>
      </c>
      <c r="C3401" s="2" t="s">
        <v>409</v>
      </c>
      <c r="D3401" s="2" t="s">
        <v>410</v>
      </c>
      <c r="E3401" s="2" t="s">
        <v>414</v>
      </c>
      <c r="F3401" s="2" t="s">
        <v>39</v>
      </c>
      <c r="G3401" s="2" t="s">
        <v>415</v>
      </c>
      <c r="H3401" s="2" t="s">
        <v>373</v>
      </c>
      <c r="S3401" s="2" t="s">
        <v>60</v>
      </c>
      <c r="U3401" s="2" t="s">
        <v>60</v>
      </c>
      <c r="W3401" s="2" t="s">
        <v>60</v>
      </c>
    </row>
    <row r="3402" spans="1:34" x14ac:dyDescent="0.25">
      <c r="A3402" s="2" t="s">
        <v>328</v>
      </c>
      <c r="B3402" s="2" t="s">
        <v>402</v>
      </c>
      <c r="C3402" s="2" t="s">
        <v>409</v>
      </c>
      <c r="D3402" s="2" t="s">
        <v>410</v>
      </c>
      <c r="E3402" s="2" t="s">
        <v>414</v>
      </c>
      <c r="F3402" s="2" t="s">
        <v>39</v>
      </c>
      <c r="G3402" s="2" t="s">
        <v>416</v>
      </c>
      <c r="H3402" s="2" t="s">
        <v>528</v>
      </c>
      <c r="S3402" s="2" t="s">
        <v>60</v>
      </c>
      <c r="U3402" s="2" t="s">
        <v>59</v>
      </c>
      <c r="W3402" s="2" t="s">
        <v>59</v>
      </c>
    </row>
    <row r="3403" spans="1:34" x14ac:dyDescent="0.25">
      <c r="A3403" s="2" t="s">
        <v>328</v>
      </c>
      <c r="B3403" s="2" t="s">
        <v>402</v>
      </c>
      <c r="C3403" s="2" t="s">
        <v>409</v>
      </c>
      <c r="D3403" s="2" t="s">
        <v>410</v>
      </c>
      <c r="E3403" s="2" t="s">
        <v>414</v>
      </c>
      <c r="F3403" s="2" t="s">
        <v>39</v>
      </c>
      <c r="G3403" s="2" t="s">
        <v>417</v>
      </c>
      <c r="H3403" s="2" t="s">
        <v>529</v>
      </c>
      <c r="S3403" s="2" t="s">
        <v>57</v>
      </c>
      <c r="U3403" s="2" t="s">
        <v>59</v>
      </c>
      <c r="W3403" s="2" t="s">
        <v>60</v>
      </c>
    </row>
    <row r="3404" spans="1:34" x14ac:dyDescent="0.25">
      <c r="A3404" s="2" t="s">
        <v>328</v>
      </c>
      <c r="B3404" s="2" t="s">
        <v>402</v>
      </c>
      <c r="C3404" s="2" t="s">
        <v>409</v>
      </c>
      <c r="D3404" s="2" t="s">
        <v>410</v>
      </c>
      <c r="E3404" s="2" t="s">
        <v>414</v>
      </c>
      <c r="F3404" s="2" t="s">
        <v>39</v>
      </c>
      <c r="G3404" s="2" t="s">
        <v>418</v>
      </c>
      <c r="H3404" s="2" t="s">
        <v>347</v>
      </c>
      <c r="S3404" s="2" t="s">
        <v>60</v>
      </c>
      <c r="U3404" s="2" t="s">
        <v>57</v>
      </c>
      <c r="W3404" s="2" t="s">
        <v>59</v>
      </c>
    </row>
    <row r="3405" spans="1:34" x14ac:dyDescent="0.25">
      <c r="A3405" s="2" t="s">
        <v>328</v>
      </c>
      <c r="B3405" s="2" t="s">
        <v>402</v>
      </c>
      <c r="C3405" s="2" t="s">
        <v>409</v>
      </c>
      <c r="D3405" s="2" t="s">
        <v>410</v>
      </c>
      <c r="E3405" s="2" t="s">
        <v>414</v>
      </c>
      <c r="F3405" s="2" t="s">
        <v>39</v>
      </c>
      <c r="G3405" s="2" t="s">
        <v>419</v>
      </c>
      <c r="H3405" s="2" t="s">
        <v>530</v>
      </c>
      <c r="S3405" s="2" t="s">
        <v>57</v>
      </c>
      <c r="U3405" s="2" t="s">
        <v>60</v>
      </c>
      <c r="W3405" s="2" t="s">
        <v>58</v>
      </c>
    </row>
    <row r="3406" spans="1:34" x14ac:dyDescent="0.25">
      <c r="A3406" s="2" t="s">
        <v>328</v>
      </c>
      <c r="B3406" s="2" t="s">
        <v>531</v>
      </c>
      <c r="C3406" s="2" t="s">
        <v>409</v>
      </c>
      <c r="D3406" s="2" t="s">
        <v>410</v>
      </c>
      <c r="E3406" s="2" t="s">
        <v>414</v>
      </c>
      <c r="F3406" s="2" t="s">
        <v>39</v>
      </c>
      <c r="J3406" s="2" t="s">
        <v>532</v>
      </c>
      <c r="K3406" s="2" t="s">
        <v>533</v>
      </c>
      <c r="L3406" s="2">
        <v>1</v>
      </c>
      <c r="M3406" s="2" t="s">
        <v>534</v>
      </c>
      <c r="O3406" s="2" t="s">
        <v>524</v>
      </c>
      <c r="Y3406" s="2" t="s">
        <v>707</v>
      </c>
    </row>
    <row r="3407" spans="1:34" x14ac:dyDescent="0.25">
      <c r="A3407" s="2" t="s">
        <v>328</v>
      </c>
      <c r="B3407" s="2" t="s">
        <v>531</v>
      </c>
      <c r="C3407" s="2" t="s">
        <v>409</v>
      </c>
      <c r="D3407" s="2" t="s">
        <v>410</v>
      </c>
      <c r="E3407" s="2" t="s">
        <v>414</v>
      </c>
      <c r="F3407" s="2" t="s">
        <v>39</v>
      </c>
      <c r="J3407" s="2" t="s">
        <v>532</v>
      </c>
      <c r="K3407" s="2" t="s">
        <v>533</v>
      </c>
      <c r="L3407" s="2">
        <v>2</v>
      </c>
      <c r="M3407" s="2" t="s">
        <v>536</v>
      </c>
      <c r="O3407" s="2" t="s">
        <v>524</v>
      </c>
      <c r="Y3407" s="2" t="s">
        <v>707</v>
      </c>
    </row>
    <row r="3408" spans="1:34" x14ac:dyDescent="0.25">
      <c r="A3408" s="2" t="s">
        <v>328</v>
      </c>
      <c r="B3408" s="2" t="s">
        <v>531</v>
      </c>
      <c r="C3408" s="2" t="s">
        <v>409</v>
      </c>
      <c r="D3408" s="2" t="s">
        <v>410</v>
      </c>
      <c r="E3408" s="2" t="s">
        <v>414</v>
      </c>
      <c r="F3408" s="2" t="s">
        <v>39</v>
      </c>
      <c r="J3408" s="2" t="s">
        <v>532</v>
      </c>
      <c r="K3408" s="2" t="s">
        <v>533</v>
      </c>
      <c r="L3408" s="2">
        <v>3</v>
      </c>
      <c r="M3408" s="2" t="s">
        <v>537</v>
      </c>
      <c r="O3408" s="2" t="s">
        <v>524</v>
      </c>
      <c r="Y3408" s="2" t="s">
        <v>707</v>
      </c>
    </row>
    <row r="3409" spans="1:34" x14ac:dyDescent="0.25">
      <c r="A3409" s="2" t="s">
        <v>328</v>
      </c>
      <c r="B3409" s="2" t="s">
        <v>531</v>
      </c>
      <c r="C3409" s="2" t="s">
        <v>409</v>
      </c>
      <c r="D3409" s="2" t="s">
        <v>410</v>
      </c>
      <c r="E3409" s="2" t="s">
        <v>414</v>
      </c>
      <c r="F3409" s="2" t="s">
        <v>39</v>
      </c>
      <c r="J3409" s="2" t="s">
        <v>532</v>
      </c>
      <c r="K3409" s="2" t="s">
        <v>533</v>
      </c>
      <c r="L3409" s="2">
        <v>4</v>
      </c>
      <c r="M3409" s="2" t="s">
        <v>538</v>
      </c>
      <c r="O3409" s="2" t="s">
        <v>524</v>
      </c>
      <c r="Y3409" s="2" t="s">
        <v>707</v>
      </c>
    </row>
    <row r="3410" spans="1:34" x14ac:dyDescent="0.25">
      <c r="A3410" s="2" t="s">
        <v>328</v>
      </c>
      <c r="B3410" s="2" t="s">
        <v>531</v>
      </c>
      <c r="C3410" s="2" t="s">
        <v>409</v>
      </c>
      <c r="D3410" s="2" t="s">
        <v>410</v>
      </c>
      <c r="E3410" s="2" t="s">
        <v>414</v>
      </c>
      <c r="F3410" s="2" t="s">
        <v>39</v>
      </c>
      <c r="J3410" s="2" t="s">
        <v>532</v>
      </c>
      <c r="K3410" s="2" t="s">
        <v>533</v>
      </c>
      <c r="L3410" s="2">
        <v>5</v>
      </c>
      <c r="M3410" s="2" t="s">
        <v>539</v>
      </c>
      <c r="O3410" s="2" t="s">
        <v>524</v>
      </c>
      <c r="Y3410" s="2" t="s">
        <v>707</v>
      </c>
    </row>
    <row r="3411" spans="1:34" x14ac:dyDescent="0.25">
      <c r="A3411" s="2" t="s">
        <v>328</v>
      </c>
      <c r="B3411" s="2" t="s">
        <v>540</v>
      </c>
      <c r="C3411" s="2" t="s">
        <v>409</v>
      </c>
      <c r="D3411" s="2" t="s">
        <v>410</v>
      </c>
      <c r="E3411" s="2" t="s">
        <v>414</v>
      </c>
      <c r="F3411" s="2" t="s">
        <v>39</v>
      </c>
      <c r="J3411" s="2" t="s">
        <v>541</v>
      </c>
      <c r="K3411" s="2" t="s">
        <v>542</v>
      </c>
      <c r="L3411" s="2">
        <v>1</v>
      </c>
      <c r="M3411" s="2" t="s">
        <v>543</v>
      </c>
      <c r="O3411" s="2" t="s">
        <v>524</v>
      </c>
      <c r="Y3411" s="2" t="s">
        <v>707</v>
      </c>
    </row>
    <row r="3412" spans="1:34" x14ac:dyDescent="0.25">
      <c r="A3412" s="2" t="s">
        <v>328</v>
      </c>
      <c r="B3412" s="2" t="s">
        <v>540</v>
      </c>
      <c r="C3412" s="2" t="s">
        <v>409</v>
      </c>
      <c r="D3412" s="2" t="s">
        <v>410</v>
      </c>
      <c r="E3412" s="2" t="s">
        <v>414</v>
      </c>
      <c r="F3412" s="2" t="s">
        <v>39</v>
      </c>
      <c r="J3412" s="2" t="s">
        <v>541</v>
      </c>
      <c r="K3412" s="2" t="s">
        <v>542</v>
      </c>
      <c r="L3412" s="2">
        <v>2</v>
      </c>
      <c r="M3412" s="2" t="s">
        <v>544</v>
      </c>
      <c r="O3412" s="2" t="s">
        <v>524</v>
      </c>
      <c r="Y3412" s="2" t="s">
        <v>707</v>
      </c>
    </row>
    <row r="3413" spans="1:34" x14ac:dyDescent="0.25">
      <c r="A3413" s="2" t="s">
        <v>328</v>
      </c>
      <c r="B3413" s="2" t="s">
        <v>540</v>
      </c>
      <c r="C3413" s="2" t="s">
        <v>409</v>
      </c>
      <c r="D3413" s="2" t="s">
        <v>410</v>
      </c>
      <c r="E3413" s="2" t="s">
        <v>414</v>
      </c>
      <c r="F3413" s="2" t="s">
        <v>39</v>
      </c>
      <c r="J3413" s="2" t="s">
        <v>541</v>
      </c>
      <c r="K3413" s="2" t="s">
        <v>542</v>
      </c>
      <c r="L3413" s="2">
        <v>3</v>
      </c>
      <c r="M3413" s="2" t="s">
        <v>545</v>
      </c>
      <c r="O3413" s="2" t="s">
        <v>524</v>
      </c>
      <c r="Y3413" s="2" t="s">
        <v>707</v>
      </c>
    </row>
    <row r="3414" spans="1:34" x14ac:dyDescent="0.25">
      <c r="A3414" s="2" t="s">
        <v>328</v>
      </c>
      <c r="B3414" s="2" t="s">
        <v>540</v>
      </c>
      <c r="C3414" s="2" t="s">
        <v>409</v>
      </c>
      <c r="D3414" s="2" t="s">
        <v>410</v>
      </c>
      <c r="E3414" s="2" t="s">
        <v>414</v>
      </c>
      <c r="F3414" s="2" t="s">
        <v>39</v>
      </c>
      <c r="J3414" s="2" t="s">
        <v>541</v>
      </c>
      <c r="K3414" s="2" t="s">
        <v>542</v>
      </c>
      <c r="L3414" s="2">
        <v>4</v>
      </c>
      <c r="M3414" s="2" t="s">
        <v>546</v>
      </c>
      <c r="O3414" s="2" t="s">
        <v>524</v>
      </c>
      <c r="Y3414" s="2" t="s">
        <v>707</v>
      </c>
    </row>
    <row r="3415" spans="1:34" x14ac:dyDescent="0.25">
      <c r="A3415" s="2" t="s">
        <v>328</v>
      </c>
      <c r="B3415" s="2" t="s">
        <v>540</v>
      </c>
      <c r="C3415" s="2" t="s">
        <v>409</v>
      </c>
      <c r="D3415" s="2" t="s">
        <v>410</v>
      </c>
      <c r="E3415" s="2" t="s">
        <v>414</v>
      </c>
      <c r="F3415" s="2" t="s">
        <v>39</v>
      </c>
      <c r="J3415" s="2" t="s">
        <v>541</v>
      </c>
      <c r="K3415" s="2" t="s">
        <v>542</v>
      </c>
      <c r="L3415" s="2">
        <v>5</v>
      </c>
      <c r="M3415" s="2" t="s">
        <v>547</v>
      </c>
      <c r="O3415" s="2" t="s">
        <v>524</v>
      </c>
      <c r="Y3415" s="2" t="s">
        <v>707</v>
      </c>
    </row>
    <row r="3416" spans="1:34" x14ac:dyDescent="0.25">
      <c r="A3416" s="2" t="s">
        <v>328</v>
      </c>
      <c r="B3416" s="2" t="s">
        <v>540</v>
      </c>
      <c r="C3416" s="2" t="s">
        <v>409</v>
      </c>
      <c r="D3416" s="2" t="s">
        <v>410</v>
      </c>
      <c r="E3416" s="2" t="s">
        <v>414</v>
      </c>
      <c r="F3416" s="2" t="s">
        <v>39</v>
      </c>
      <c r="J3416" s="2" t="s">
        <v>541</v>
      </c>
      <c r="K3416" s="2" t="s">
        <v>542</v>
      </c>
      <c r="L3416" s="2">
        <v>6</v>
      </c>
      <c r="M3416" s="2" t="s">
        <v>548</v>
      </c>
      <c r="O3416" s="2" t="s">
        <v>524</v>
      </c>
      <c r="Y3416" s="2" t="s">
        <v>707</v>
      </c>
    </row>
    <row r="3417" spans="1:34" x14ac:dyDescent="0.25">
      <c r="A3417" s="2" t="s">
        <v>328</v>
      </c>
      <c r="B3417" s="2" t="s">
        <v>540</v>
      </c>
      <c r="C3417" s="2" t="s">
        <v>409</v>
      </c>
      <c r="D3417" s="2" t="s">
        <v>410</v>
      </c>
      <c r="E3417" s="2" t="s">
        <v>414</v>
      </c>
      <c r="F3417" s="2" t="s">
        <v>39</v>
      </c>
      <c r="J3417" s="2" t="s">
        <v>541</v>
      </c>
      <c r="K3417" s="2" t="s">
        <v>542</v>
      </c>
      <c r="L3417" s="2">
        <v>7</v>
      </c>
      <c r="M3417" s="2" t="s">
        <v>549</v>
      </c>
      <c r="O3417" s="2" t="s">
        <v>524</v>
      </c>
      <c r="Y3417" s="2" t="s">
        <v>707</v>
      </c>
    </row>
    <row r="3418" spans="1:34" x14ac:dyDescent="0.25">
      <c r="A3418" s="2" t="s">
        <v>328</v>
      </c>
      <c r="B3418" s="2" t="s">
        <v>540</v>
      </c>
      <c r="C3418" s="2" t="s">
        <v>409</v>
      </c>
      <c r="D3418" s="2" t="s">
        <v>410</v>
      </c>
      <c r="E3418" s="2" t="s">
        <v>414</v>
      </c>
      <c r="F3418" s="2" t="s">
        <v>39</v>
      </c>
      <c r="J3418" s="2" t="s">
        <v>541</v>
      </c>
      <c r="K3418" s="2" t="s">
        <v>542</v>
      </c>
      <c r="L3418" s="2">
        <v>8</v>
      </c>
      <c r="M3418" s="2" t="s">
        <v>550</v>
      </c>
      <c r="O3418" s="2" t="s">
        <v>524</v>
      </c>
      <c r="Y3418" s="2" t="s">
        <v>707</v>
      </c>
    </row>
    <row r="3419" spans="1:34" x14ac:dyDescent="0.25">
      <c r="A3419" s="2" t="s">
        <v>328</v>
      </c>
      <c r="B3419" s="2" t="s">
        <v>540</v>
      </c>
      <c r="C3419" s="2" t="s">
        <v>409</v>
      </c>
      <c r="D3419" s="2" t="s">
        <v>410</v>
      </c>
      <c r="E3419" s="2" t="s">
        <v>414</v>
      </c>
      <c r="F3419" s="2" t="s">
        <v>39</v>
      </c>
      <c r="J3419" s="2" t="s">
        <v>541</v>
      </c>
      <c r="K3419" s="2" t="s">
        <v>542</v>
      </c>
      <c r="L3419" s="2">
        <v>9</v>
      </c>
      <c r="M3419" s="2" t="s">
        <v>551</v>
      </c>
      <c r="O3419" s="2" t="s">
        <v>524</v>
      </c>
      <c r="Y3419" s="2" t="s">
        <v>707</v>
      </c>
    </row>
    <row r="3420" spans="1:34" x14ac:dyDescent="0.25">
      <c r="A3420" s="2" t="s">
        <v>328</v>
      </c>
      <c r="B3420" s="2" t="s">
        <v>540</v>
      </c>
      <c r="C3420" s="2" t="s">
        <v>409</v>
      </c>
      <c r="D3420" s="2" t="s">
        <v>410</v>
      </c>
      <c r="E3420" s="2" t="s">
        <v>414</v>
      </c>
      <c r="F3420" s="2" t="s">
        <v>39</v>
      </c>
      <c r="J3420" s="2" t="s">
        <v>541</v>
      </c>
      <c r="K3420" s="2" t="s">
        <v>542</v>
      </c>
      <c r="L3420" s="2">
        <v>10</v>
      </c>
      <c r="M3420" s="2" t="s">
        <v>552</v>
      </c>
      <c r="O3420" s="2" t="s">
        <v>524</v>
      </c>
      <c r="Y3420" s="2" t="s">
        <v>707</v>
      </c>
    </row>
    <row r="3421" spans="1:34" x14ac:dyDescent="0.25">
      <c r="A3421" s="2" t="s">
        <v>328</v>
      </c>
      <c r="B3421" s="2" t="s">
        <v>540</v>
      </c>
      <c r="C3421" s="2" t="s">
        <v>409</v>
      </c>
      <c r="D3421" s="2" t="s">
        <v>410</v>
      </c>
      <c r="E3421" s="2" t="s">
        <v>414</v>
      </c>
      <c r="F3421" s="2" t="s">
        <v>39</v>
      </c>
      <c r="J3421" s="2" t="s">
        <v>541</v>
      </c>
      <c r="K3421" s="2" t="s">
        <v>542</v>
      </c>
      <c r="L3421" s="2">
        <v>11</v>
      </c>
      <c r="M3421" s="2" t="s">
        <v>553</v>
      </c>
      <c r="O3421" s="2" t="s">
        <v>524</v>
      </c>
      <c r="Y3421" s="2" t="s">
        <v>707</v>
      </c>
    </row>
    <row r="3422" spans="1:34" x14ac:dyDescent="0.25">
      <c r="A3422" s="2" t="s">
        <v>328</v>
      </c>
      <c r="B3422" s="2" t="s">
        <v>540</v>
      </c>
      <c r="C3422" s="2" t="s">
        <v>409</v>
      </c>
      <c r="D3422" s="2" t="s">
        <v>410</v>
      </c>
      <c r="E3422" s="2" t="s">
        <v>414</v>
      </c>
      <c r="F3422" s="2" t="s">
        <v>39</v>
      </c>
      <c r="J3422" s="2" t="s">
        <v>541</v>
      </c>
      <c r="K3422" s="2" t="s">
        <v>542</v>
      </c>
      <c r="L3422" s="2">
        <v>12</v>
      </c>
      <c r="M3422" s="2" t="s">
        <v>554</v>
      </c>
      <c r="O3422" s="2" t="s">
        <v>524</v>
      </c>
      <c r="Y3422" s="2" t="s">
        <v>707</v>
      </c>
    </row>
    <row r="3423" spans="1:34" x14ac:dyDescent="0.25">
      <c r="A3423" s="2" t="s">
        <v>328</v>
      </c>
      <c r="B3423" s="2" t="s">
        <v>555</v>
      </c>
      <c r="C3423" s="2" t="s">
        <v>409</v>
      </c>
      <c r="D3423" s="2" t="s">
        <v>410</v>
      </c>
      <c r="E3423" s="2" t="s">
        <v>414</v>
      </c>
      <c r="F3423" s="2" t="s">
        <v>39</v>
      </c>
      <c r="J3423" s="2" t="s">
        <v>556</v>
      </c>
      <c r="O3423" s="2" t="s">
        <v>524</v>
      </c>
      <c r="Y3423" s="2" t="s">
        <v>707</v>
      </c>
      <c r="AB3423" s="2">
        <v>1</v>
      </c>
    </row>
    <row r="3424" spans="1:34" x14ac:dyDescent="0.25">
      <c r="A3424" s="2" t="s">
        <v>328</v>
      </c>
      <c r="B3424" s="2" t="s">
        <v>557</v>
      </c>
      <c r="C3424" s="2" t="s">
        <v>409</v>
      </c>
      <c r="D3424" s="2" t="s">
        <v>410</v>
      </c>
      <c r="E3424" s="2" t="s">
        <v>414</v>
      </c>
      <c r="F3424" s="2" t="s">
        <v>39</v>
      </c>
      <c r="J3424" s="2" t="s">
        <v>558</v>
      </c>
      <c r="O3424" s="2" t="s">
        <v>524</v>
      </c>
      <c r="Y3424" s="2" t="s">
        <v>707</v>
      </c>
      <c r="AC3424" s="2">
        <f>COUNTIFS($B:$B,"BLOCK_LOAD_Q",$A:$A,$A3424,$C:$C,$C3424,$E:$E,$E3424,$F:$F,$F3424,$N:$N, "&lt;&gt;")</f>
        <v>0</v>
      </c>
      <c r="AD3424" s="2">
        <f>COUNTIFS($B:$B,"BLOCK_TRUST_Q",$A:$A,$A3424,$C:$C,$C3424,$E:$E,$E3424,$F:$F,$F3424,$N:$N, "&lt;&gt;")</f>
        <v>0</v>
      </c>
      <c r="AE3424" s="2" t="str">
        <f>IFERROR(AVERAGEIFS($P:$P,$B:$B,"BLOCK_LOAD_Q",$A:$A,$A3424,$C:$C,$C3424,$E:$E,$E3424,$F:$F,$F3424,$P:$P,"&gt;0"),"")</f>
        <v/>
      </c>
      <c r="AF3424" s="2" t="str">
        <f>IFERROR(AVERAGEIFS($P:$P,$B:$B,"BLOCK_TRUST_Q",$A:$A,$A3424,$C:$C,$C3424,$E:$E,$E3424,$F:$F,$F3424,$P:$P,"&gt;0"),"")</f>
        <v/>
      </c>
      <c r="AG3424" s="2">
        <f>5-AC3424</f>
        <v>5</v>
      </c>
      <c r="AH3424" s="2">
        <f>12-AD3424</f>
        <v>12</v>
      </c>
    </row>
    <row r="3425" spans="1:27" x14ac:dyDescent="0.25">
      <c r="A3425" s="2" t="s">
        <v>328</v>
      </c>
      <c r="B3425" s="2" t="s">
        <v>403</v>
      </c>
      <c r="C3425" s="2" t="s">
        <v>409</v>
      </c>
      <c r="D3425" s="2" t="s">
        <v>410</v>
      </c>
      <c r="Z3425" s="2" t="s">
        <v>488</v>
      </c>
    </row>
    <row r="3426" spans="1:27" x14ac:dyDescent="0.25">
      <c r="A3426" s="2" t="s">
        <v>328</v>
      </c>
      <c r="B3426" s="2" t="s">
        <v>404</v>
      </c>
      <c r="J3426" s="2" t="s">
        <v>575</v>
      </c>
      <c r="AA3426" s="2" t="s">
        <v>338</v>
      </c>
    </row>
    <row r="3427" spans="1:27" x14ac:dyDescent="0.25">
      <c r="A3427" s="2" t="s">
        <v>328</v>
      </c>
      <c r="B3427" s="2" t="s">
        <v>405</v>
      </c>
    </row>
    <row r="3428" spans="1:27" x14ac:dyDescent="0.25">
      <c r="A3428" s="2" t="s">
        <v>328</v>
      </c>
      <c r="B3428" s="2" t="s">
        <v>406</v>
      </c>
    </row>
    <row r="3429" spans="1:27" x14ac:dyDescent="0.25">
      <c r="A3429" s="2" t="s">
        <v>329</v>
      </c>
      <c r="B3429" s="2" t="s">
        <v>523</v>
      </c>
      <c r="C3429" s="2" t="s">
        <v>524</v>
      </c>
      <c r="D3429" s="2" t="s">
        <v>524</v>
      </c>
      <c r="E3429" s="2" t="s">
        <v>524</v>
      </c>
      <c r="F3429" s="2" t="s">
        <v>524</v>
      </c>
      <c r="J3429" s="2" t="s">
        <v>525</v>
      </c>
      <c r="O3429" s="2" t="s">
        <v>524</v>
      </c>
    </row>
    <row r="3430" spans="1:27" x14ac:dyDescent="0.25">
      <c r="A3430" s="2" t="s">
        <v>329</v>
      </c>
      <c r="B3430" s="2" t="s">
        <v>526</v>
      </c>
      <c r="C3430" s="2" t="s">
        <v>524</v>
      </c>
      <c r="D3430" s="2" t="s">
        <v>524</v>
      </c>
      <c r="E3430" s="2" t="s">
        <v>524</v>
      </c>
      <c r="F3430" s="2" t="s">
        <v>524</v>
      </c>
      <c r="J3430" s="2" t="s">
        <v>527</v>
      </c>
      <c r="O3430" s="2" t="s">
        <v>524</v>
      </c>
    </row>
    <row r="3431" spans="1:27" x14ac:dyDescent="0.25">
      <c r="A3431" s="2" t="s">
        <v>329</v>
      </c>
      <c r="B3431" s="2" t="s">
        <v>402</v>
      </c>
      <c r="C3431" s="2" t="s">
        <v>407</v>
      </c>
      <c r="D3431" s="2" t="s">
        <v>412</v>
      </c>
      <c r="E3431" s="2" t="s">
        <v>413</v>
      </c>
      <c r="F3431" s="2" t="s">
        <v>39</v>
      </c>
      <c r="G3431" s="2" t="s">
        <v>415</v>
      </c>
      <c r="H3431" s="2" t="s">
        <v>350</v>
      </c>
      <c r="S3431" s="2" t="s">
        <v>57</v>
      </c>
      <c r="U3431" s="2" t="s">
        <v>58</v>
      </c>
      <c r="W3431" s="2" t="s">
        <v>59</v>
      </c>
    </row>
    <row r="3432" spans="1:27" x14ac:dyDescent="0.25">
      <c r="A3432" s="2" t="s">
        <v>329</v>
      </c>
      <c r="B3432" s="2" t="s">
        <v>402</v>
      </c>
      <c r="C3432" s="2" t="s">
        <v>407</v>
      </c>
      <c r="D3432" s="2" t="s">
        <v>412</v>
      </c>
      <c r="E3432" s="2" t="s">
        <v>413</v>
      </c>
      <c r="F3432" s="2" t="s">
        <v>39</v>
      </c>
      <c r="G3432" s="2" t="s">
        <v>416</v>
      </c>
      <c r="H3432" s="2" t="s">
        <v>571</v>
      </c>
      <c r="S3432" s="2" t="s">
        <v>59</v>
      </c>
      <c r="U3432" s="2" t="s">
        <v>57</v>
      </c>
      <c r="W3432" s="2" t="s">
        <v>60</v>
      </c>
    </row>
    <row r="3433" spans="1:27" x14ac:dyDescent="0.25">
      <c r="A3433" s="2" t="s">
        <v>329</v>
      </c>
      <c r="B3433" s="2" t="s">
        <v>402</v>
      </c>
      <c r="C3433" s="2" t="s">
        <v>407</v>
      </c>
      <c r="D3433" s="2" t="s">
        <v>412</v>
      </c>
      <c r="E3433" s="2" t="s">
        <v>413</v>
      </c>
      <c r="F3433" s="2" t="s">
        <v>39</v>
      </c>
      <c r="G3433" s="2" t="s">
        <v>417</v>
      </c>
      <c r="H3433" s="2" t="s">
        <v>572</v>
      </c>
      <c r="S3433" s="2" t="s">
        <v>57</v>
      </c>
      <c r="U3433" s="2" t="s">
        <v>59</v>
      </c>
      <c r="W3433" s="2" t="s">
        <v>58</v>
      </c>
    </row>
    <row r="3434" spans="1:27" x14ac:dyDescent="0.25">
      <c r="A3434" s="2" t="s">
        <v>329</v>
      </c>
      <c r="B3434" s="2" t="s">
        <v>402</v>
      </c>
      <c r="C3434" s="2" t="s">
        <v>407</v>
      </c>
      <c r="D3434" s="2" t="s">
        <v>412</v>
      </c>
      <c r="E3434" s="2" t="s">
        <v>413</v>
      </c>
      <c r="F3434" s="2" t="s">
        <v>39</v>
      </c>
      <c r="G3434" s="2" t="s">
        <v>418</v>
      </c>
      <c r="H3434" s="2" t="s">
        <v>573</v>
      </c>
      <c r="S3434" s="2" t="s">
        <v>58</v>
      </c>
      <c r="U3434" s="2" t="s">
        <v>58</v>
      </c>
      <c r="W3434" s="2" t="s">
        <v>58</v>
      </c>
    </row>
    <row r="3435" spans="1:27" x14ac:dyDescent="0.25">
      <c r="A3435" s="2" t="s">
        <v>329</v>
      </c>
      <c r="B3435" s="2" t="s">
        <v>402</v>
      </c>
      <c r="C3435" s="2" t="s">
        <v>407</v>
      </c>
      <c r="D3435" s="2" t="s">
        <v>412</v>
      </c>
      <c r="E3435" s="2" t="s">
        <v>413</v>
      </c>
      <c r="F3435" s="2" t="s">
        <v>39</v>
      </c>
      <c r="G3435" s="2" t="s">
        <v>419</v>
      </c>
      <c r="H3435" s="2" t="s">
        <v>365</v>
      </c>
      <c r="S3435" s="2" t="s">
        <v>59</v>
      </c>
      <c r="U3435" s="2" t="s">
        <v>59</v>
      </c>
      <c r="W3435" s="2" t="s">
        <v>60</v>
      </c>
    </row>
    <row r="3436" spans="1:27" x14ac:dyDescent="0.25">
      <c r="A3436" s="2" t="s">
        <v>329</v>
      </c>
      <c r="B3436" s="2" t="s">
        <v>531</v>
      </c>
      <c r="C3436" s="2" t="s">
        <v>407</v>
      </c>
      <c r="D3436" s="2" t="s">
        <v>412</v>
      </c>
      <c r="E3436" s="2" t="s">
        <v>413</v>
      </c>
      <c r="F3436" s="2" t="s">
        <v>39</v>
      </c>
      <c r="J3436" s="2" t="s">
        <v>532</v>
      </c>
      <c r="K3436" s="2" t="s">
        <v>533</v>
      </c>
      <c r="L3436" s="2">
        <v>1</v>
      </c>
      <c r="M3436" s="2" t="s">
        <v>534</v>
      </c>
      <c r="O3436" s="2" t="s">
        <v>524</v>
      </c>
      <c r="Y3436" s="2" t="s">
        <v>708</v>
      </c>
    </row>
    <row r="3437" spans="1:27" x14ac:dyDescent="0.25">
      <c r="A3437" s="2" t="s">
        <v>329</v>
      </c>
      <c r="B3437" s="2" t="s">
        <v>531</v>
      </c>
      <c r="C3437" s="2" t="s">
        <v>407</v>
      </c>
      <c r="D3437" s="2" t="s">
        <v>412</v>
      </c>
      <c r="E3437" s="2" t="s">
        <v>413</v>
      </c>
      <c r="F3437" s="2" t="s">
        <v>39</v>
      </c>
      <c r="J3437" s="2" t="s">
        <v>532</v>
      </c>
      <c r="K3437" s="2" t="s">
        <v>533</v>
      </c>
      <c r="L3437" s="2">
        <v>2</v>
      </c>
      <c r="M3437" s="2" t="s">
        <v>536</v>
      </c>
      <c r="O3437" s="2" t="s">
        <v>524</v>
      </c>
      <c r="Y3437" s="2" t="s">
        <v>708</v>
      </c>
    </row>
    <row r="3438" spans="1:27" x14ac:dyDescent="0.25">
      <c r="A3438" s="2" t="s">
        <v>329</v>
      </c>
      <c r="B3438" s="2" t="s">
        <v>531</v>
      </c>
      <c r="C3438" s="2" t="s">
        <v>407</v>
      </c>
      <c r="D3438" s="2" t="s">
        <v>412</v>
      </c>
      <c r="E3438" s="2" t="s">
        <v>413</v>
      </c>
      <c r="F3438" s="2" t="s">
        <v>39</v>
      </c>
      <c r="J3438" s="2" t="s">
        <v>532</v>
      </c>
      <c r="K3438" s="2" t="s">
        <v>533</v>
      </c>
      <c r="L3438" s="2">
        <v>3</v>
      </c>
      <c r="M3438" s="2" t="s">
        <v>537</v>
      </c>
      <c r="O3438" s="2" t="s">
        <v>524</v>
      </c>
      <c r="Y3438" s="2" t="s">
        <v>708</v>
      </c>
    </row>
    <row r="3439" spans="1:27" x14ac:dyDescent="0.25">
      <c r="A3439" s="2" t="s">
        <v>329</v>
      </c>
      <c r="B3439" s="2" t="s">
        <v>531</v>
      </c>
      <c r="C3439" s="2" t="s">
        <v>407</v>
      </c>
      <c r="D3439" s="2" t="s">
        <v>412</v>
      </c>
      <c r="E3439" s="2" t="s">
        <v>413</v>
      </c>
      <c r="F3439" s="2" t="s">
        <v>39</v>
      </c>
      <c r="J3439" s="2" t="s">
        <v>532</v>
      </c>
      <c r="K3439" s="2" t="s">
        <v>533</v>
      </c>
      <c r="L3439" s="2">
        <v>4</v>
      </c>
      <c r="M3439" s="2" t="s">
        <v>538</v>
      </c>
      <c r="O3439" s="2" t="s">
        <v>524</v>
      </c>
      <c r="Y3439" s="2" t="s">
        <v>708</v>
      </c>
    </row>
    <row r="3440" spans="1:27" x14ac:dyDescent="0.25">
      <c r="A3440" s="2" t="s">
        <v>329</v>
      </c>
      <c r="B3440" s="2" t="s">
        <v>531</v>
      </c>
      <c r="C3440" s="2" t="s">
        <v>407</v>
      </c>
      <c r="D3440" s="2" t="s">
        <v>412</v>
      </c>
      <c r="E3440" s="2" t="s">
        <v>413</v>
      </c>
      <c r="F3440" s="2" t="s">
        <v>39</v>
      </c>
      <c r="J3440" s="2" t="s">
        <v>532</v>
      </c>
      <c r="K3440" s="2" t="s">
        <v>533</v>
      </c>
      <c r="L3440" s="2">
        <v>5</v>
      </c>
      <c r="M3440" s="2" t="s">
        <v>539</v>
      </c>
      <c r="O3440" s="2" t="s">
        <v>524</v>
      </c>
      <c r="Y3440" s="2" t="s">
        <v>708</v>
      </c>
    </row>
    <row r="3441" spans="1:34" x14ac:dyDescent="0.25">
      <c r="A3441" s="2" t="s">
        <v>329</v>
      </c>
      <c r="B3441" s="2" t="s">
        <v>540</v>
      </c>
      <c r="C3441" s="2" t="s">
        <v>407</v>
      </c>
      <c r="D3441" s="2" t="s">
        <v>412</v>
      </c>
      <c r="E3441" s="2" t="s">
        <v>413</v>
      </c>
      <c r="F3441" s="2" t="s">
        <v>39</v>
      </c>
      <c r="J3441" s="2" t="s">
        <v>541</v>
      </c>
      <c r="K3441" s="2" t="s">
        <v>542</v>
      </c>
      <c r="L3441" s="2">
        <v>1</v>
      </c>
      <c r="M3441" s="2" t="s">
        <v>543</v>
      </c>
      <c r="O3441" s="2" t="s">
        <v>524</v>
      </c>
      <c r="Y3441" s="2" t="s">
        <v>708</v>
      </c>
    </row>
    <row r="3442" spans="1:34" x14ac:dyDescent="0.25">
      <c r="A3442" s="2" t="s">
        <v>329</v>
      </c>
      <c r="B3442" s="2" t="s">
        <v>540</v>
      </c>
      <c r="C3442" s="2" t="s">
        <v>407</v>
      </c>
      <c r="D3442" s="2" t="s">
        <v>412</v>
      </c>
      <c r="E3442" s="2" t="s">
        <v>413</v>
      </c>
      <c r="F3442" s="2" t="s">
        <v>39</v>
      </c>
      <c r="J3442" s="2" t="s">
        <v>541</v>
      </c>
      <c r="K3442" s="2" t="s">
        <v>542</v>
      </c>
      <c r="L3442" s="2">
        <v>2</v>
      </c>
      <c r="M3442" s="2" t="s">
        <v>544</v>
      </c>
      <c r="O3442" s="2" t="s">
        <v>524</v>
      </c>
      <c r="Y3442" s="2" t="s">
        <v>708</v>
      </c>
    </row>
    <row r="3443" spans="1:34" x14ac:dyDescent="0.25">
      <c r="A3443" s="2" t="s">
        <v>329</v>
      </c>
      <c r="B3443" s="2" t="s">
        <v>540</v>
      </c>
      <c r="C3443" s="2" t="s">
        <v>407</v>
      </c>
      <c r="D3443" s="2" t="s">
        <v>412</v>
      </c>
      <c r="E3443" s="2" t="s">
        <v>413</v>
      </c>
      <c r="F3443" s="2" t="s">
        <v>39</v>
      </c>
      <c r="J3443" s="2" t="s">
        <v>541</v>
      </c>
      <c r="K3443" s="2" t="s">
        <v>542</v>
      </c>
      <c r="L3443" s="2">
        <v>3</v>
      </c>
      <c r="M3443" s="2" t="s">
        <v>545</v>
      </c>
      <c r="O3443" s="2" t="s">
        <v>524</v>
      </c>
      <c r="Y3443" s="2" t="s">
        <v>708</v>
      </c>
    </row>
    <row r="3444" spans="1:34" x14ac:dyDescent="0.25">
      <c r="A3444" s="2" t="s">
        <v>329</v>
      </c>
      <c r="B3444" s="2" t="s">
        <v>540</v>
      </c>
      <c r="C3444" s="2" t="s">
        <v>407</v>
      </c>
      <c r="D3444" s="2" t="s">
        <v>412</v>
      </c>
      <c r="E3444" s="2" t="s">
        <v>413</v>
      </c>
      <c r="F3444" s="2" t="s">
        <v>39</v>
      </c>
      <c r="J3444" s="2" t="s">
        <v>541</v>
      </c>
      <c r="K3444" s="2" t="s">
        <v>542</v>
      </c>
      <c r="L3444" s="2">
        <v>4</v>
      </c>
      <c r="M3444" s="2" t="s">
        <v>546</v>
      </c>
      <c r="O3444" s="2" t="s">
        <v>524</v>
      </c>
      <c r="Y3444" s="2" t="s">
        <v>708</v>
      </c>
    </row>
    <row r="3445" spans="1:34" x14ac:dyDescent="0.25">
      <c r="A3445" s="2" t="s">
        <v>329</v>
      </c>
      <c r="B3445" s="2" t="s">
        <v>540</v>
      </c>
      <c r="C3445" s="2" t="s">
        <v>407</v>
      </c>
      <c r="D3445" s="2" t="s">
        <v>412</v>
      </c>
      <c r="E3445" s="2" t="s">
        <v>413</v>
      </c>
      <c r="F3445" s="2" t="s">
        <v>39</v>
      </c>
      <c r="J3445" s="2" t="s">
        <v>541</v>
      </c>
      <c r="K3445" s="2" t="s">
        <v>542</v>
      </c>
      <c r="L3445" s="2">
        <v>5</v>
      </c>
      <c r="M3445" s="2" t="s">
        <v>547</v>
      </c>
      <c r="O3445" s="2" t="s">
        <v>524</v>
      </c>
      <c r="Y3445" s="2" t="s">
        <v>708</v>
      </c>
    </row>
    <row r="3446" spans="1:34" x14ac:dyDescent="0.25">
      <c r="A3446" s="2" t="s">
        <v>329</v>
      </c>
      <c r="B3446" s="2" t="s">
        <v>540</v>
      </c>
      <c r="C3446" s="2" t="s">
        <v>407</v>
      </c>
      <c r="D3446" s="2" t="s">
        <v>412</v>
      </c>
      <c r="E3446" s="2" t="s">
        <v>413</v>
      </c>
      <c r="F3446" s="2" t="s">
        <v>39</v>
      </c>
      <c r="J3446" s="2" t="s">
        <v>541</v>
      </c>
      <c r="K3446" s="2" t="s">
        <v>542</v>
      </c>
      <c r="L3446" s="2">
        <v>6</v>
      </c>
      <c r="M3446" s="2" t="s">
        <v>548</v>
      </c>
      <c r="O3446" s="2" t="s">
        <v>524</v>
      </c>
      <c r="Y3446" s="2" t="s">
        <v>708</v>
      </c>
    </row>
    <row r="3447" spans="1:34" x14ac:dyDescent="0.25">
      <c r="A3447" s="2" t="s">
        <v>329</v>
      </c>
      <c r="B3447" s="2" t="s">
        <v>540</v>
      </c>
      <c r="C3447" s="2" t="s">
        <v>407</v>
      </c>
      <c r="D3447" s="2" t="s">
        <v>412</v>
      </c>
      <c r="E3447" s="2" t="s">
        <v>413</v>
      </c>
      <c r="F3447" s="2" t="s">
        <v>39</v>
      </c>
      <c r="J3447" s="2" t="s">
        <v>541</v>
      </c>
      <c r="K3447" s="2" t="s">
        <v>542</v>
      </c>
      <c r="L3447" s="2">
        <v>7</v>
      </c>
      <c r="M3447" s="2" t="s">
        <v>549</v>
      </c>
      <c r="O3447" s="2" t="s">
        <v>524</v>
      </c>
      <c r="Y3447" s="2" t="s">
        <v>708</v>
      </c>
    </row>
    <row r="3448" spans="1:34" x14ac:dyDescent="0.25">
      <c r="A3448" s="2" t="s">
        <v>329</v>
      </c>
      <c r="B3448" s="2" t="s">
        <v>540</v>
      </c>
      <c r="C3448" s="2" t="s">
        <v>407</v>
      </c>
      <c r="D3448" s="2" t="s">
        <v>412</v>
      </c>
      <c r="E3448" s="2" t="s">
        <v>413</v>
      </c>
      <c r="F3448" s="2" t="s">
        <v>39</v>
      </c>
      <c r="J3448" s="2" t="s">
        <v>541</v>
      </c>
      <c r="K3448" s="2" t="s">
        <v>542</v>
      </c>
      <c r="L3448" s="2">
        <v>8</v>
      </c>
      <c r="M3448" s="2" t="s">
        <v>550</v>
      </c>
      <c r="O3448" s="2" t="s">
        <v>524</v>
      </c>
      <c r="Y3448" s="2" t="s">
        <v>708</v>
      </c>
    </row>
    <row r="3449" spans="1:34" x14ac:dyDescent="0.25">
      <c r="A3449" s="2" t="s">
        <v>329</v>
      </c>
      <c r="B3449" s="2" t="s">
        <v>540</v>
      </c>
      <c r="C3449" s="2" t="s">
        <v>407</v>
      </c>
      <c r="D3449" s="2" t="s">
        <v>412</v>
      </c>
      <c r="E3449" s="2" t="s">
        <v>413</v>
      </c>
      <c r="F3449" s="2" t="s">
        <v>39</v>
      </c>
      <c r="J3449" s="2" t="s">
        <v>541</v>
      </c>
      <c r="K3449" s="2" t="s">
        <v>542</v>
      </c>
      <c r="L3449" s="2">
        <v>9</v>
      </c>
      <c r="M3449" s="2" t="s">
        <v>551</v>
      </c>
      <c r="O3449" s="2" t="s">
        <v>524</v>
      </c>
      <c r="Y3449" s="2" t="s">
        <v>708</v>
      </c>
    </row>
    <row r="3450" spans="1:34" x14ac:dyDescent="0.25">
      <c r="A3450" s="2" t="s">
        <v>329</v>
      </c>
      <c r="B3450" s="2" t="s">
        <v>540</v>
      </c>
      <c r="C3450" s="2" t="s">
        <v>407</v>
      </c>
      <c r="D3450" s="2" t="s">
        <v>412</v>
      </c>
      <c r="E3450" s="2" t="s">
        <v>413</v>
      </c>
      <c r="F3450" s="2" t="s">
        <v>39</v>
      </c>
      <c r="J3450" s="2" t="s">
        <v>541</v>
      </c>
      <c r="K3450" s="2" t="s">
        <v>542</v>
      </c>
      <c r="L3450" s="2">
        <v>10</v>
      </c>
      <c r="M3450" s="2" t="s">
        <v>552</v>
      </c>
      <c r="O3450" s="2" t="s">
        <v>524</v>
      </c>
      <c r="Y3450" s="2" t="s">
        <v>708</v>
      </c>
    </row>
    <row r="3451" spans="1:34" x14ac:dyDescent="0.25">
      <c r="A3451" s="2" t="s">
        <v>329</v>
      </c>
      <c r="B3451" s="2" t="s">
        <v>540</v>
      </c>
      <c r="C3451" s="2" t="s">
        <v>407</v>
      </c>
      <c r="D3451" s="2" t="s">
        <v>412</v>
      </c>
      <c r="E3451" s="2" t="s">
        <v>413</v>
      </c>
      <c r="F3451" s="2" t="s">
        <v>39</v>
      </c>
      <c r="J3451" s="2" t="s">
        <v>541</v>
      </c>
      <c r="K3451" s="2" t="s">
        <v>542</v>
      </c>
      <c r="L3451" s="2">
        <v>11</v>
      </c>
      <c r="M3451" s="2" t="s">
        <v>553</v>
      </c>
      <c r="O3451" s="2" t="s">
        <v>524</v>
      </c>
      <c r="Y3451" s="2" t="s">
        <v>708</v>
      </c>
    </row>
    <row r="3452" spans="1:34" x14ac:dyDescent="0.25">
      <c r="A3452" s="2" t="s">
        <v>329</v>
      </c>
      <c r="B3452" s="2" t="s">
        <v>540</v>
      </c>
      <c r="C3452" s="2" t="s">
        <v>407</v>
      </c>
      <c r="D3452" s="2" t="s">
        <v>412</v>
      </c>
      <c r="E3452" s="2" t="s">
        <v>413</v>
      </c>
      <c r="F3452" s="2" t="s">
        <v>39</v>
      </c>
      <c r="J3452" s="2" t="s">
        <v>541</v>
      </c>
      <c r="K3452" s="2" t="s">
        <v>542</v>
      </c>
      <c r="L3452" s="2">
        <v>12</v>
      </c>
      <c r="M3452" s="2" t="s">
        <v>554</v>
      </c>
      <c r="O3452" s="2" t="s">
        <v>524</v>
      </c>
      <c r="Y3452" s="2" t="s">
        <v>708</v>
      </c>
    </row>
    <row r="3453" spans="1:34" x14ac:dyDescent="0.25">
      <c r="A3453" s="2" t="s">
        <v>329</v>
      </c>
      <c r="B3453" s="2" t="s">
        <v>555</v>
      </c>
      <c r="C3453" s="2" t="s">
        <v>407</v>
      </c>
      <c r="D3453" s="2" t="s">
        <v>412</v>
      </c>
      <c r="E3453" s="2" t="s">
        <v>413</v>
      </c>
      <c r="F3453" s="2" t="s">
        <v>39</v>
      </c>
      <c r="J3453" s="2" t="s">
        <v>556</v>
      </c>
      <c r="O3453" s="2" t="s">
        <v>524</v>
      </c>
      <c r="Y3453" s="2" t="s">
        <v>708</v>
      </c>
      <c r="AB3453" s="2">
        <v>1</v>
      </c>
    </row>
    <row r="3454" spans="1:34" x14ac:dyDescent="0.25">
      <c r="A3454" s="2" t="s">
        <v>329</v>
      </c>
      <c r="B3454" s="2" t="s">
        <v>557</v>
      </c>
      <c r="C3454" s="2" t="s">
        <v>407</v>
      </c>
      <c r="D3454" s="2" t="s">
        <v>412</v>
      </c>
      <c r="E3454" s="2" t="s">
        <v>413</v>
      </c>
      <c r="F3454" s="2" t="s">
        <v>39</v>
      </c>
      <c r="J3454" s="2" t="s">
        <v>558</v>
      </c>
      <c r="O3454" s="2" t="s">
        <v>524</v>
      </c>
      <c r="Y3454" s="2" t="s">
        <v>708</v>
      </c>
      <c r="AC3454" s="2">
        <f>COUNTIFS($B:$B,"BLOCK_LOAD_Q",$A:$A,$A3454,$C:$C,$C3454,$E:$E,$E3454,$F:$F,$F3454,$N:$N, "&lt;&gt;")</f>
        <v>0</v>
      </c>
      <c r="AD3454" s="2">
        <f>COUNTIFS($B:$B,"BLOCK_TRUST_Q",$A:$A,$A3454,$C:$C,$C3454,$E:$E,$E3454,$F:$F,$F3454,$N:$N, "&lt;&gt;")</f>
        <v>0</v>
      </c>
      <c r="AE3454" s="2" t="str">
        <f>IFERROR(AVERAGEIFS($P:$P,$B:$B,"BLOCK_LOAD_Q",$A:$A,$A3454,$C:$C,$C3454,$E:$E,$E3454,$F:$F,$F3454,$P:$P,"&gt;0"),"")</f>
        <v/>
      </c>
      <c r="AF3454" s="2" t="str">
        <f>IFERROR(AVERAGEIFS($P:$P,$B:$B,"BLOCK_TRUST_Q",$A:$A,$A3454,$C:$C,$C3454,$E:$E,$E3454,$F:$F,$F3454,$P:$P,"&gt;0"),"")</f>
        <v/>
      </c>
      <c r="AG3454" s="2">
        <f>5-AC3454</f>
        <v>5</v>
      </c>
      <c r="AH3454" s="2">
        <f>12-AD3454</f>
        <v>12</v>
      </c>
    </row>
    <row r="3455" spans="1:34" x14ac:dyDescent="0.25">
      <c r="A3455" s="2" t="s">
        <v>329</v>
      </c>
      <c r="B3455" s="2" t="s">
        <v>402</v>
      </c>
      <c r="C3455" s="2" t="s">
        <v>407</v>
      </c>
      <c r="D3455" s="2" t="s">
        <v>412</v>
      </c>
      <c r="E3455" s="2" t="s">
        <v>414</v>
      </c>
      <c r="F3455" s="2" t="s">
        <v>40</v>
      </c>
      <c r="G3455" s="2" t="s">
        <v>415</v>
      </c>
      <c r="H3455" s="2" t="s">
        <v>567</v>
      </c>
      <c r="S3455" s="2" t="s">
        <v>58</v>
      </c>
      <c r="U3455" s="2" t="s">
        <v>57</v>
      </c>
      <c r="W3455" s="2" t="s">
        <v>60</v>
      </c>
    </row>
    <row r="3456" spans="1:34" x14ac:dyDescent="0.25">
      <c r="A3456" s="2" t="s">
        <v>329</v>
      </c>
      <c r="B3456" s="2" t="s">
        <v>402</v>
      </c>
      <c r="C3456" s="2" t="s">
        <v>407</v>
      </c>
      <c r="D3456" s="2" t="s">
        <v>412</v>
      </c>
      <c r="E3456" s="2" t="s">
        <v>414</v>
      </c>
      <c r="F3456" s="2" t="s">
        <v>40</v>
      </c>
      <c r="G3456" s="2" t="s">
        <v>416</v>
      </c>
      <c r="H3456" s="2" t="s">
        <v>568</v>
      </c>
      <c r="S3456" s="2" t="s">
        <v>59</v>
      </c>
      <c r="U3456" s="2" t="s">
        <v>60</v>
      </c>
      <c r="W3456" s="2" t="s">
        <v>59</v>
      </c>
    </row>
    <row r="3457" spans="1:25" x14ac:dyDescent="0.25">
      <c r="A3457" s="2" t="s">
        <v>329</v>
      </c>
      <c r="B3457" s="2" t="s">
        <v>402</v>
      </c>
      <c r="C3457" s="2" t="s">
        <v>407</v>
      </c>
      <c r="D3457" s="2" t="s">
        <v>412</v>
      </c>
      <c r="E3457" s="2" t="s">
        <v>414</v>
      </c>
      <c r="F3457" s="2" t="s">
        <v>40</v>
      </c>
      <c r="G3457" s="2" t="s">
        <v>417</v>
      </c>
      <c r="H3457" s="2" t="s">
        <v>569</v>
      </c>
      <c r="S3457" s="2" t="s">
        <v>57</v>
      </c>
      <c r="U3457" s="2" t="s">
        <v>60</v>
      </c>
      <c r="W3457" s="2" t="s">
        <v>57</v>
      </c>
    </row>
    <row r="3458" spans="1:25" x14ac:dyDescent="0.25">
      <c r="A3458" s="2" t="s">
        <v>329</v>
      </c>
      <c r="B3458" s="2" t="s">
        <v>402</v>
      </c>
      <c r="C3458" s="2" t="s">
        <v>407</v>
      </c>
      <c r="D3458" s="2" t="s">
        <v>412</v>
      </c>
      <c r="E3458" s="2" t="s">
        <v>414</v>
      </c>
      <c r="F3458" s="2" t="s">
        <v>40</v>
      </c>
      <c r="G3458" s="2" t="s">
        <v>418</v>
      </c>
      <c r="H3458" s="2" t="s">
        <v>351</v>
      </c>
      <c r="S3458" s="2" t="s">
        <v>60</v>
      </c>
      <c r="U3458" s="2" t="s">
        <v>57</v>
      </c>
      <c r="W3458" s="2" t="s">
        <v>57</v>
      </c>
    </row>
    <row r="3459" spans="1:25" x14ac:dyDescent="0.25">
      <c r="A3459" s="2" t="s">
        <v>329</v>
      </c>
      <c r="B3459" s="2" t="s">
        <v>531</v>
      </c>
      <c r="C3459" s="2" t="s">
        <v>407</v>
      </c>
      <c r="D3459" s="2" t="s">
        <v>412</v>
      </c>
      <c r="E3459" s="2" t="s">
        <v>414</v>
      </c>
      <c r="F3459" s="2" t="s">
        <v>40</v>
      </c>
      <c r="J3459" s="2" t="s">
        <v>532</v>
      </c>
      <c r="K3459" s="2" t="s">
        <v>533</v>
      </c>
      <c r="L3459" s="2">
        <v>1</v>
      </c>
      <c r="M3459" s="2" t="s">
        <v>534</v>
      </c>
      <c r="O3459" s="2" t="s">
        <v>524</v>
      </c>
      <c r="Y3459" s="2" t="s">
        <v>709</v>
      </c>
    </row>
    <row r="3460" spans="1:25" x14ac:dyDescent="0.25">
      <c r="A3460" s="2" t="s">
        <v>329</v>
      </c>
      <c r="B3460" s="2" t="s">
        <v>531</v>
      </c>
      <c r="C3460" s="2" t="s">
        <v>407</v>
      </c>
      <c r="D3460" s="2" t="s">
        <v>412</v>
      </c>
      <c r="E3460" s="2" t="s">
        <v>414</v>
      </c>
      <c r="F3460" s="2" t="s">
        <v>40</v>
      </c>
      <c r="J3460" s="2" t="s">
        <v>532</v>
      </c>
      <c r="K3460" s="2" t="s">
        <v>533</v>
      </c>
      <c r="L3460" s="2">
        <v>2</v>
      </c>
      <c r="M3460" s="2" t="s">
        <v>536</v>
      </c>
      <c r="O3460" s="2" t="s">
        <v>524</v>
      </c>
      <c r="Y3460" s="2" t="s">
        <v>709</v>
      </c>
    </row>
    <row r="3461" spans="1:25" x14ac:dyDescent="0.25">
      <c r="A3461" s="2" t="s">
        <v>329</v>
      </c>
      <c r="B3461" s="2" t="s">
        <v>531</v>
      </c>
      <c r="C3461" s="2" t="s">
        <v>407</v>
      </c>
      <c r="D3461" s="2" t="s">
        <v>412</v>
      </c>
      <c r="E3461" s="2" t="s">
        <v>414</v>
      </c>
      <c r="F3461" s="2" t="s">
        <v>40</v>
      </c>
      <c r="J3461" s="2" t="s">
        <v>532</v>
      </c>
      <c r="K3461" s="2" t="s">
        <v>533</v>
      </c>
      <c r="L3461" s="2">
        <v>3</v>
      </c>
      <c r="M3461" s="2" t="s">
        <v>537</v>
      </c>
      <c r="O3461" s="2" t="s">
        <v>524</v>
      </c>
      <c r="Y3461" s="2" t="s">
        <v>709</v>
      </c>
    </row>
    <row r="3462" spans="1:25" x14ac:dyDescent="0.25">
      <c r="A3462" s="2" t="s">
        <v>329</v>
      </c>
      <c r="B3462" s="2" t="s">
        <v>531</v>
      </c>
      <c r="C3462" s="2" t="s">
        <v>407</v>
      </c>
      <c r="D3462" s="2" t="s">
        <v>412</v>
      </c>
      <c r="E3462" s="2" t="s">
        <v>414</v>
      </c>
      <c r="F3462" s="2" t="s">
        <v>40</v>
      </c>
      <c r="J3462" s="2" t="s">
        <v>532</v>
      </c>
      <c r="K3462" s="2" t="s">
        <v>533</v>
      </c>
      <c r="L3462" s="2">
        <v>4</v>
      </c>
      <c r="M3462" s="2" t="s">
        <v>538</v>
      </c>
      <c r="O3462" s="2" t="s">
        <v>524</v>
      </c>
      <c r="Y3462" s="2" t="s">
        <v>709</v>
      </c>
    </row>
    <row r="3463" spans="1:25" x14ac:dyDescent="0.25">
      <c r="A3463" s="2" t="s">
        <v>329</v>
      </c>
      <c r="B3463" s="2" t="s">
        <v>531</v>
      </c>
      <c r="C3463" s="2" t="s">
        <v>407</v>
      </c>
      <c r="D3463" s="2" t="s">
        <v>412</v>
      </c>
      <c r="E3463" s="2" t="s">
        <v>414</v>
      </c>
      <c r="F3463" s="2" t="s">
        <v>40</v>
      </c>
      <c r="J3463" s="2" t="s">
        <v>532</v>
      </c>
      <c r="K3463" s="2" t="s">
        <v>533</v>
      </c>
      <c r="L3463" s="2">
        <v>5</v>
      </c>
      <c r="M3463" s="2" t="s">
        <v>539</v>
      </c>
      <c r="O3463" s="2" t="s">
        <v>524</v>
      </c>
      <c r="Y3463" s="2" t="s">
        <v>709</v>
      </c>
    </row>
    <row r="3464" spans="1:25" x14ac:dyDescent="0.25">
      <c r="A3464" s="2" t="s">
        <v>329</v>
      </c>
      <c r="B3464" s="2" t="s">
        <v>540</v>
      </c>
      <c r="C3464" s="2" t="s">
        <v>407</v>
      </c>
      <c r="D3464" s="2" t="s">
        <v>412</v>
      </c>
      <c r="E3464" s="2" t="s">
        <v>414</v>
      </c>
      <c r="F3464" s="2" t="s">
        <v>40</v>
      </c>
      <c r="J3464" s="2" t="s">
        <v>541</v>
      </c>
      <c r="K3464" s="2" t="s">
        <v>542</v>
      </c>
      <c r="L3464" s="2">
        <v>1</v>
      </c>
      <c r="M3464" s="2" t="s">
        <v>543</v>
      </c>
      <c r="O3464" s="2" t="s">
        <v>524</v>
      </c>
      <c r="Y3464" s="2" t="s">
        <v>709</v>
      </c>
    </row>
    <row r="3465" spans="1:25" x14ac:dyDescent="0.25">
      <c r="A3465" s="2" t="s">
        <v>329</v>
      </c>
      <c r="B3465" s="2" t="s">
        <v>540</v>
      </c>
      <c r="C3465" s="2" t="s">
        <v>407</v>
      </c>
      <c r="D3465" s="2" t="s">
        <v>412</v>
      </c>
      <c r="E3465" s="2" t="s">
        <v>414</v>
      </c>
      <c r="F3465" s="2" t="s">
        <v>40</v>
      </c>
      <c r="J3465" s="2" t="s">
        <v>541</v>
      </c>
      <c r="K3465" s="2" t="s">
        <v>542</v>
      </c>
      <c r="L3465" s="2">
        <v>2</v>
      </c>
      <c r="M3465" s="2" t="s">
        <v>544</v>
      </c>
      <c r="O3465" s="2" t="s">
        <v>524</v>
      </c>
      <c r="Y3465" s="2" t="s">
        <v>709</v>
      </c>
    </row>
    <row r="3466" spans="1:25" x14ac:dyDescent="0.25">
      <c r="A3466" s="2" t="s">
        <v>329</v>
      </c>
      <c r="B3466" s="2" t="s">
        <v>540</v>
      </c>
      <c r="C3466" s="2" t="s">
        <v>407</v>
      </c>
      <c r="D3466" s="2" t="s">
        <v>412</v>
      </c>
      <c r="E3466" s="2" t="s">
        <v>414</v>
      </c>
      <c r="F3466" s="2" t="s">
        <v>40</v>
      </c>
      <c r="J3466" s="2" t="s">
        <v>541</v>
      </c>
      <c r="K3466" s="2" t="s">
        <v>542</v>
      </c>
      <c r="L3466" s="2">
        <v>3</v>
      </c>
      <c r="M3466" s="2" t="s">
        <v>545</v>
      </c>
      <c r="O3466" s="2" t="s">
        <v>524</v>
      </c>
      <c r="Y3466" s="2" t="s">
        <v>709</v>
      </c>
    </row>
    <row r="3467" spans="1:25" x14ac:dyDescent="0.25">
      <c r="A3467" s="2" t="s">
        <v>329</v>
      </c>
      <c r="B3467" s="2" t="s">
        <v>540</v>
      </c>
      <c r="C3467" s="2" t="s">
        <v>407</v>
      </c>
      <c r="D3467" s="2" t="s">
        <v>412</v>
      </c>
      <c r="E3467" s="2" t="s">
        <v>414</v>
      </c>
      <c r="F3467" s="2" t="s">
        <v>40</v>
      </c>
      <c r="J3467" s="2" t="s">
        <v>541</v>
      </c>
      <c r="K3467" s="2" t="s">
        <v>542</v>
      </c>
      <c r="L3467" s="2">
        <v>4</v>
      </c>
      <c r="M3467" s="2" t="s">
        <v>546</v>
      </c>
      <c r="O3467" s="2" t="s">
        <v>524</v>
      </c>
      <c r="Y3467" s="2" t="s">
        <v>709</v>
      </c>
    </row>
    <row r="3468" spans="1:25" x14ac:dyDescent="0.25">
      <c r="A3468" s="2" t="s">
        <v>329</v>
      </c>
      <c r="B3468" s="2" t="s">
        <v>540</v>
      </c>
      <c r="C3468" s="2" t="s">
        <v>407</v>
      </c>
      <c r="D3468" s="2" t="s">
        <v>412</v>
      </c>
      <c r="E3468" s="2" t="s">
        <v>414</v>
      </c>
      <c r="F3468" s="2" t="s">
        <v>40</v>
      </c>
      <c r="J3468" s="2" t="s">
        <v>541</v>
      </c>
      <c r="K3468" s="2" t="s">
        <v>542</v>
      </c>
      <c r="L3468" s="2">
        <v>5</v>
      </c>
      <c r="M3468" s="2" t="s">
        <v>547</v>
      </c>
      <c r="O3468" s="2" t="s">
        <v>524</v>
      </c>
      <c r="Y3468" s="2" t="s">
        <v>709</v>
      </c>
    </row>
    <row r="3469" spans="1:25" x14ac:dyDescent="0.25">
      <c r="A3469" s="2" t="s">
        <v>329</v>
      </c>
      <c r="B3469" s="2" t="s">
        <v>540</v>
      </c>
      <c r="C3469" s="2" t="s">
        <v>407</v>
      </c>
      <c r="D3469" s="2" t="s">
        <v>412</v>
      </c>
      <c r="E3469" s="2" t="s">
        <v>414</v>
      </c>
      <c r="F3469" s="2" t="s">
        <v>40</v>
      </c>
      <c r="J3469" s="2" t="s">
        <v>541</v>
      </c>
      <c r="K3469" s="2" t="s">
        <v>542</v>
      </c>
      <c r="L3469" s="2">
        <v>6</v>
      </c>
      <c r="M3469" s="2" t="s">
        <v>548</v>
      </c>
      <c r="O3469" s="2" t="s">
        <v>524</v>
      </c>
      <c r="Y3469" s="2" t="s">
        <v>709</v>
      </c>
    </row>
    <row r="3470" spans="1:25" x14ac:dyDescent="0.25">
      <c r="A3470" s="2" t="s">
        <v>329</v>
      </c>
      <c r="B3470" s="2" t="s">
        <v>540</v>
      </c>
      <c r="C3470" s="2" t="s">
        <v>407</v>
      </c>
      <c r="D3470" s="2" t="s">
        <v>412</v>
      </c>
      <c r="E3470" s="2" t="s">
        <v>414</v>
      </c>
      <c r="F3470" s="2" t="s">
        <v>40</v>
      </c>
      <c r="J3470" s="2" t="s">
        <v>541</v>
      </c>
      <c r="K3470" s="2" t="s">
        <v>542</v>
      </c>
      <c r="L3470" s="2">
        <v>7</v>
      </c>
      <c r="M3470" s="2" t="s">
        <v>549</v>
      </c>
      <c r="O3470" s="2" t="s">
        <v>524</v>
      </c>
      <c r="Y3470" s="2" t="s">
        <v>709</v>
      </c>
    </row>
    <row r="3471" spans="1:25" x14ac:dyDescent="0.25">
      <c r="A3471" s="2" t="s">
        <v>329</v>
      </c>
      <c r="B3471" s="2" t="s">
        <v>540</v>
      </c>
      <c r="C3471" s="2" t="s">
        <v>407</v>
      </c>
      <c r="D3471" s="2" t="s">
        <v>412</v>
      </c>
      <c r="E3471" s="2" t="s">
        <v>414</v>
      </c>
      <c r="F3471" s="2" t="s">
        <v>40</v>
      </c>
      <c r="J3471" s="2" t="s">
        <v>541</v>
      </c>
      <c r="K3471" s="2" t="s">
        <v>542</v>
      </c>
      <c r="L3471" s="2">
        <v>8</v>
      </c>
      <c r="M3471" s="2" t="s">
        <v>550</v>
      </c>
      <c r="O3471" s="2" t="s">
        <v>524</v>
      </c>
      <c r="Y3471" s="2" t="s">
        <v>709</v>
      </c>
    </row>
    <row r="3472" spans="1:25" x14ac:dyDescent="0.25">
      <c r="A3472" s="2" t="s">
        <v>329</v>
      </c>
      <c r="B3472" s="2" t="s">
        <v>540</v>
      </c>
      <c r="C3472" s="2" t="s">
        <v>407</v>
      </c>
      <c r="D3472" s="2" t="s">
        <v>412</v>
      </c>
      <c r="E3472" s="2" t="s">
        <v>414</v>
      </c>
      <c r="F3472" s="2" t="s">
        <v>40</v>
      </c>
      <c r="J3472" s="2" t="s">
        <v>541</v>
      </c>
      <c r="K3472" s="2" t="s">
        <v>542</v>
      </c>
      <c r="L3472" s="2">
        <v>9</v>
      </c>
      <c r="M3472" s="2" t="s">
        <v>551</v>
      </c>
      <c r="O3472" s="2" t="s">
        <v>524</v>
      </c>
      <c r="Y3472" s="2" t="s">
        <v>709</v>
      </c>
    </row>
    <row r="3473" spans="1:34" x14ac:dyDescent="0.25">
      <c r="A3473" s="2" t="s">
        <v>329</v>
      </c>
      <c r="B3473" s="2" t="s">
        <v>540</v>
      </c>
      <c r="C3473" s="2" t="s">
        <v>407</v>
      </c>
      <c r="D3473" s="2" t="s">
        <v>412</v>
      </c>
      <c r="E3473" s="2" t="s">
        <v>414</v>
      </c>
      <c r="F3473" s="2" t="s">
        <v>40</v>
      </c>
      <c r="J3473" s="2" t="s">
        <v>541</v>
      </c>
      <c r="K3473" s="2" t="s">
        <v>542</v>
      </c>
      <c r="L3473" s="2">
        <v>10</v>
      </c>
      <c r="M3473" s="2" t="s">
        <v>552</v>
      </c>
      <c r="O3473" s="2" t="s">
        <v>524</v>
      </c>
      <c r="Y3473" s="2" t="s">
        <v>709</v>
      </c>
    </row>
    <row r="3474" spans="1:34" x14ac:dyDescent="0.25">
      <c r="A3474" s="2" t="s">
        <v>329</v>
      </c>
      <c r="B3474" s="2" t="s">
        <v>540</v>
      </c>
      <c r="C3474" s="2" t="s">
        <v>407</v>
      </c>
      <c r="D3474" s="2" t="s">
        <v>412</v>
      </c>
      <c r="E3474" s="2" t="s">
        <v>414</v>
      </c>
      <c r="F3474" s="2" t="s">
        <v>40</v>
      </c>
      <c r="J3474" s="2" t="s">
        <v>541</v>
      </c>
      <c r="K3474" s="2" t="s">
        <v>542</v>
      </c>
      <c r="L3474" s="2">
        <v>11</v>
      </c>
      <c r="M3474" s="2" t="s">
        <v>553</v>
      </c>
      <c r="O3474" s="2" t="s">
        <v>524</v>
      </c>
      <c r="Y3474" s="2" t="s">
        <v>709</v>
      </c>
    </row>
    <row r="3475" spans="1:34" x14ac:dyDescent="0.25">
      <c r="A3475" s="2" t="s">
        <v>329</v>
      </c>
      <c r="B3475" s="2" t="s">
        <v>540</v>
      </c>
      <c r="C3475" s="2" t="s">
        <v>407</v>
      </c>
      <c r="D3475" s="2" t="s">
        <v>412</v>
      </c>
      <c r="E3475" s="2" t="s">
        <v>414</v>
      </c>
      <c r="F3475" s="2" t="s">
        <v>40</v>
      </c>
      <c r="J3475" s="2" t="s">
        <v>541</v>
      </c>
      <c r="K3475" s="2" t="s">
        <v>542</v>
      </c>
      <c r="L3475" s="2">
        <v>12</v>
      </c>
      <c r="M3475" s="2" t="s">
        <v>554</v>
      </c>
      <c r="O3475" s="2" t="s">
        <v>524</v>
      </c>
      <c r="Y3475" s="2" t="s">
        <v>709</v>
      </c>
    </row>
    <row r="3476" spans="1:34" x14ac:dyDescent="0.25">
      <c r="A3476" s="2" t="s">
        <v>329</v>
      </c>
      <c r="B3476" s="2" t="s">
        <v>555</v>
      </c>
      <c r="C3476" s="2" t="s">
        <v>407</v>
      </c>
      <c r="D3476" s="2" t="s">
        <v>412</v>
      </c>
      <c r="E3476" s="2" t="s">
        <v>414</v>
      </c>
      <c r="F3476" s="2" t="s">
        <v>40</v>
      </c>
      <c r="J3476" s="2" t="s">
        <v>556</v>
      </c>
      <c r="O3476" s="2" t="s">
        <v>524</v>
      </c>
      <c r="Y3476" s="2" t="s">
        <v>709</v>
      </c>
      <c r="AB3476" s="2">
        <v>2</v>
      </c>
    </row>
    <row r="3477" spans="1:34" x14ac:dyDescent="0.25">
      <c r="A3477" s="2" t="s">
        <v>329</v>
      </c>
      <c r="B3477" s="2" t="s">
        <v>557</v>
      </c>
      <c r="C3477" s="2" t="s">
        <v>407</v>
      </c>
      <c r="D3477" s="2" t="s">
        <v>412</v>
      </c>
      <c r="E3477" s="2" t="s">
        <v>414</v>
      </c>
      <c r="F3477" s="2" t="s">
        <v>40</v>
      </c>
      <c r="J3477" s="2" t="s">
        <v>558</v>
      </c>
      <c r="O3477" s="2" t="s">
        <v>524</v>
      </c>
      <c r="Y3477" s="2" t="s">
        <v>709</v>
      </c>
      <c r="AC3477" s="2">
        <f>COUNTIFS($B:$B,"BLOCK_LOAD_Q",$A:$A,$A3477,$C:$C,$C3477,$E:$E,$E3477,$F:$F,$F3477,$N:$N, "&lt;&gt;")</f>
        <v>0</v>
      </c>
      <c r="AD3477" s="2">
        <f>COUNTIFS($B:$B,"BLOCK_TRUST_Q",$A:$A,$A3477,$C:$C,$C3477,$E:$E,$E3477,$F:$F,$F3477,$N:$N, "&lt;&gt;")</f>
        <v>0</v>
      </c>
      <c r="AE3477" s="2" t="str">
        <f>IFERROR(AVERAGEIFS($P:$P,$B:$B,"BLOCK_LOAD_Q",$A:$A,$A3477,$C:$C,$C3477,$E:$E,$E3477,$F:$F,$F3477,$P:$P,"&gt;0"),"")</f>
        <v/>
      </c>
      <c r="AF3477" s="2" t="str">
        <f>IFERROR(AVERAGEIFS($P:$P,$B:$B,"BLOCK_TRUST_Q",$A:$A,$A3477,$C:$C,$C3477,$E:$E,$E3477,$F:$F,$F3477,$P:$P,"&gt;0"),"")</f>
        <v/>
      </c>
      <c r="AG3477" s="2">
        <f>5-AC3477</f>
        <v>5</v>
      </c>
      <c r="AH3477" s="2">
        <f>12-AD3477</f>
        <v>12</v>
      </c>
    </row>
    <row r="3478" spans="1:34" x14ac:dyDescent="0.25">
      <c r="A3478" s="2" t="s">
        <v>329</v>
      </c>
      <c r="B3478" s="2" t="s">
        <v>403</v>
      </c>
      <c r="C3478" s="2" t="s">
        <v>407</v>
      </c>
      <c r="D3478" s="2" t="s">
        <v>412</v>
      </c>
      <c r="Z3478" s="2" t="s">
        <v>489</v>
      </c>
    </row>
    <row r="3479" spans="1:34" x14ac:dyDescent="0.25">
      <c r="A3479" s="2" t="s">
        <v>329</v>
      </c>
      <c r="B3479" s="2" t="s">
        <v>402</v>
      </c>
      <c r="C3479" s="2" t="s">
        <v>408</v>
      </c>
      <c r="D3479" s="2" t="s">
        <v>410</v>
      </c>
      <c r="E3479" s="2" t="s">
        <v>413</v>
      </c>
      <c r="F3479" s="2" t="s">
        <v>40</v>
      </c>
      <c r="G3479" s="2" t="s">
        <v>415</v>
      </c>
      <c r="H3479" s="2" t="s">
        <v>354</v>
      </c>
      <c r="S3479" s="2" t="s">
        <v>59</v>
      </c>
      <c r="U3479" s="2" t="s">
        <v>59</v>
      </c>
      <c r="W3479" s="2" t="s">
        <v>58</v>
      </c>
    </row>
    <row r="3480" spans="1:34" x14ac:dyDescent="0.25">
      <c r="A3480" s="2" t="s">
        <v>329</v>
      </c>
      <c r="B3480" s="2" t="s">
        <v>402</v>
      </c>
      <c r="C3480" s="2" t="s">
        <v>408</v>
      </c>
      <c r="D3480" s="2" t="s">
        <v>410</v>
      </c>
      <c r="E3480" s="2" t="s">
        <v>413</v>
      </c>
      <c r="F3480" s="2" t="s">
        <v>40</v>
      </c>
      <c r="G3480" s="2" t="s">
        <v>416</v>
      </c>
      <c r="H3480" s="2" t="s">
        <v>559</v>
      </c>
      <c r="S3480" s="2" t="s">
        <v>57</v>
      </c>
      <c r="U3480" s="2" t="s">
        <v>57</v>
      </c>
      <c r="W3480" s="2" t="s">
        <v>58</v>
      </c>
    </row>
    <row r="3481" spans="1:34" x14ac:dyDescent="0.25">
      <c r="A3481" s="2" t="s">
        <v>329</v>
      </c>
      <c r="B3481" s="2" t="s">
        <v>402</v>
      </c>
      <c r="C3481" s="2" t="s">
        <v>408</v>
      </c>
      <c r="D3481" s="2" t="s">
        <v>410</v>
      </c>
      <c r="E3481" s="2" t="s">
        <v>413</v>
      </c>
      <c r="F3481" s="2" t="s">
        <v>40</v>
      </c>
      <c r="G3481" s="2" t="s">
        <v>417</v>
      </c>
      <c r="H3481" s="2" t="s">
        <v>370</v>
      </c>
      <c r="S3481" s="2" t="s">
        <v>60</v>
      </c>
      <c r="U3481" s="2" t="s">
        <v>58</v>
      </c>
      <c r="W3481" s="2" t="s">
        <v>59</v>
      </c>
    </row>
    <row r="3482" spans="1:34" x14ac:dyDescent="0.25">
      <c r="A3482" s="2" t="s">
        <v>329</v>
      </c>
      <c r="B3482" s="2" t="s">
        <v>402</v>
      </c>
      <c r="C3482" s="2" t="s">
        <v>408</v>
      </c>
      <c r="D3482" s="2" t="s">
        <v>410</v>
      </c>
      <c r="E3482" s="2" t="s">
        <v>413</v>
      </c>
      <c r="F3482" s="2" t="s">
        <v>40</v>
      </c>
      <c r="G3482" s="2" t="s">
        <v>418</v>
      </c>
      <c r="H3482" s="2" t="s">
        <v>560</v>
      </c>
      <c r="S3482" s="2" t="s">
        <v>57</v>
      </c>
      <c r="U3482" s="2" t="s">
        <v>58</v>
      </c>
      <c r="W3482" s="2" t="s">
        <v>60</v>
      </c>
    </row>
    <row r="3483" spans="1:34" x14ac:dyDescent="0.25">
      <c r="A3483" s="2" t="s">
        <v>329</v>
      </c>
      <c r="B3483" s="2" t="s">
        <v>531</v>
      </c>
      <c r="C3483" s="2" t="s">
        <v>408</v>
      </c>
      <c r="D3483" s="2" t="s">
        <v>410</v>
      </c>
      <c r="E3483" s="2" t="s">
        <v>413</v>
      </c>
      <c r="F3483" s="2" t="s">
        <v>40</v>
      </c>
      <c r="J3483" s="2" t="s">
        <v>532</v>
      </c>
      <c r="K3483" s="2" t="s">
        <v>533</v>
      </c>
      <c r="L3483" s="2">
        <v>1</v>
      </c>
      <c r="M3483" s="2" t="s">
        <v>534</v>
      </c>
      <c r="O3483" s="2" t="s">
        <v>524</v>
      </c>
      <c r="Y3483" s="2" t="s">
        <v>710</v>
      </c>
    </row>
    <row r="3484" spans="1:34" x14ac:dyDescent="0.25">
      <c r="A3484" s="2" t="s">
        <v>329</v>
      </c>
      <c r="B3484" s="2" t="s">
        <v>531</v>
      </c>
      <c r="C3484" s="2" t="s">
        <v>408</v>
      </c>
      <c r="D3484" s="2" t="s">
        <v>410</v>
      </c>
      <c r="E3484" s="2" t="s">
        <v>413</v>
      </c>
      <c r="F3484" s="2" t="s">
        <v>40</v>
      </c>
      <c r="J3484" s="2" t="s">
        <v>532</v>
      </c>
      <c r="K3484" s="2" t="s">
        <v>533</v>
      </c>
      <c r="L3484" s="2">
        <v>2</v>
      </c>
      <c r="M3484" s="2" t="s">
        <v>536</v>
      </c>
      <c r="O3484" s="2" t="s">
        <v>524</v>
      </c>
      <c r="Y3484" s="2" t="s">
        <v>710</v>
      </c>
    </row>
    <row r="3485" spans="1:34" x14ac:dyDescent="0.25">
      <c r="A3485" s="2" t="s">
        <v>329</v>
      </c>
      <c r="B3485" s="2" t="s">
        <v>531</v>
      </c>
      <c r="C3485" s="2" t="s">
        <v>408</v>
      </c>
      <c r="D3485" s="2" t="s">
        <v>410</v>
      </c>
      <c r="E3485" s="2" t="s">
        <v>413</v>
      </c>
      <c r="F3485" s="2" t="s">
        <v>40</v>
      </c>
      <c r="J3485" s="2" t="s">
        <v>532</v>
      </c>
      <c r="K3485" s="2" t="s">
        <v>533</v>
      </c>
      <c r="L3485" s="2">
        <v>3</v>
      </c>
      <c r="M3485" s="2" t="s">
        <v>537</v>
      </c>
      <c r="O3485" s="2" t="s">
        <v>524</v>
      </c>
      <c r="Y3485" s="2" t="s">
        <v>710</v>
      </c>
    </row>
    <row r="3486" spans="1:34" x14ac:dyDescent="0.25">
      <c r="A3486" s="2" t="s">
        <v>329</v>
      </c>
      <c r="B3486" s="2" t="s">
        <v>531</v>
      </c>
      <c r="C3486" s="2" t="s">
        <v>408</v>
      </c>
      <c r="D3486" s="2" t="s">
        <v>410</v>
      </c>
      <c r="E3486" s="2" t="s">
        <v>413</v>
      </c>
      <c r="F3486" s="2" t="s">
        <v>40</v>
      </c>
      <c r="J3486" s="2" t="s">
        <v>532</v>
      </c>
      <c r="K3486" s="2" t="s">
        <v>533</v>
      </c>
      <c r="L3486" s="2">
        <v>4</v>
      </c>
      <c r="M3486" s="2" t="s">
        <v>538</v>
      </c>
      <c r="O3486" s="2" t="s">
        <v>524</v>
      </c>
      <c r="Y3486" s="2" t="s">
        <v>710</v>
      </c>
    </row>
    <row r="3487" spans="1:34" x14ac:dyDescent="0.25">
      <c r="A3487" s="2" t="s">
        <v>329</v>
      </c>
      <c r="B3487" s="2" t="s">
        <v>531</v>
      </c>
      <c r="C3487" s="2" t="s">
        <v>408</v>
      </c>
      <c r="D3487" s="2" t="s">
        <v>410</v>
      </c>
      <c r="E3487" s="2" t="s">
        <v>413</v>
      </c>
      <c r="F3487" s="2" t="s">
        <v>40</v>
      </c>
      <c r="J3487" s="2" t="s">
        <v>532</v>
      </c>
      <c r="K3487" s="2" t="s">
        <v>533</v>
      </c>
      <c r="L3487" s="2">
        <v>5</v>
      </c>
      <c r="M3487" s="2" t="s">
        <v>539</v>
      </c>
      <c r="O3487" s="2" t="s">
        <v>524</v>
      </c>
      <c r="Y3487" s="2" t="s">
        <v>710</v>
      </c>
    </row>
    <row r="3488" spans="1:34" x14ac:dyDescent="0.25">
      <c r="A3488" s="2" t="s">
        <v>329</v>
      </c>
      <c r="B3488" s="2" t="s">
        <v>540</v>
      </c>
      <c r="C3488" s="2" t="s">
        <v>408</v>
      </c>
      <c r="D3488" s="2" t="s">
        <v>410</v>
      </c>
      <c r="E3488" s="2" t="s">
        <v>413</v>
      </c>
      <c r="F3488" s="2" t="s">
        <v>40</v>
      </c>
      <c r="J3488" s="2" t="s">
        <v>541</v>
      </c>
      <c r="K3488" s="2" t="s">
        <v>542</v>
      </c>
      <c r="L3488" s="2">
        <v>1</v>
      </c>
      <c r="M3488" s="2" t="s">
        <v>543</v>
      </c>
      <c r="O3488" s="2" t="s">
        <v>524</v>
      </c>
      <c r="Y3488" s="2" t="s">
        <v>710</v>
      </c>
    </row>
    <row r="3489" spans="1:34" x14ac:dyDescent="0.25">
      <c r="A3489" s="2" t="s">
        <v>329</v>
      </c>
      <c r="B3489" s="2" t="s">
        <v>540</v>
      </c>
      <c r="C3489" s="2" t="s">
        <v>408</v>
      </c>
      <c r="D3489" s="2" t="s">
        <v>410</v>
      </c>
      <c r="E3489" s="2" t="s">
        <v>413</v>
      </c>
      <c r="F3489" s="2" t="s">
        <v>40</v>
      </c>
      <c r="J3489" s="2" t="s">
        <v>541</v>
      </c>
      <c r="K3489" s="2" t="s">
        <v>542</v>
      </c>
      <c r="L3489" s="2">
        <v>2</v>
      </c>
      <c r="M3489" s="2" t="s">
        <v>544</v>
      </c>
      <c r="O3489" s="2" t="s">
        <v>524</v>
      </c>
      <c r="Y3489" s="2" t="s">
        <v>710</v>
      </c>
    </row>
    <row r="3490" spans="1:34" x14ac:dyDescent="0.25">
      <c r="A3490" s="2" t="s">
        <v>329</v>
      </c>
      <c r="B3490" s="2" t="s">
        <v>540</v>
      </c>
      <c r="C3490" s="2" t="s">
        <v>408</v>
      </c>
      <c r="D3490" s="2" t="s">
        <v>410</v>
      </c>
      <c r="E3490" s="2" t="s">
        <v>413</v>
      </c>
      <c r="F3490" s="2" t="s">
        <v>40</v>
      </c>
      <c r="J3490" s="2" t="s">
        <v>541</v>
      </c>
      <c r="K3490" s="2" t="s">
        <v>542</v>
      </c>
      <c r="L3490" s="2">
        <v>3</v>
      </c>
      <c r="M3490" s="2" t="s">
        <v>545</v>
      </c>
      <c r="O3490" s="2" t="s">
        <v>524</v>
      </c>
      <c r="Y3490" s="2" t="s">
        <v>710</v>
      </c>
    </row>
    <row r="3491" spans="1:34" x14ac:dyDescent="0.25">
      <c r="A3491" s="2" t="s">
        <v>329</v>
      </c>
      <c r="B3491" s="2" t="s">
        <v>540</v>
      </c>
      <c r="C3491" s="2" t="s">
        <v>408</v>
      </c>
      <c r="D3491" s="2" t="s">
        <v>410</v>
      </c>
      <c r="E3491" s="2" t="s">
        <v>413</v>
      </c>
      <c r="F3491" s="2" t="s">
        <v>40</v>
      </c>
      <c r="J3491" s="2" t="s">
        <v>541</v>
      </c>
      <c r="K3491" s="2" t="s">
        <v>542</v>
      </c>
      <c r="L3491" s="2">
        <v>4</v>
      </c>
      <c r="M3491" s="2" t="s">
        <v>546</v>
      </c>
      <c r="O3491" s="2" t="s">
        <v>524</v>
      </c>
      <c r="Y3491" s="2" t="s">
        <v>710</v>
      </c>
    </row>
    <row r="3492" spans="1:34" x14ac:dyDescent="0.25">
      <c r="A3492" s="2" t="s">
        <v>329</v>
      </c>
      <c r="B3492" s="2" t="s">
        <v>540</v>
      </c>
      <c r="C3492" s="2" t="s">
        <v>408</v>
      </c>
      <c r="D3492" s="2" t="s">
        <v>410</v>
      </c>
      <c r="E3492" s="2" t="s">
        <v>413</v>
      </c>
      <c r="F3492" s="2" t="s">
        <v>40</v>
      </c>
      <c r="J3492" s="2" t="s">
        <v>541</v>
      </c>
      <c r="K3492" s="2" t="s">
        <v>542</v>
      </c>
      <c r="L3492" s="2">
        <v>5</v>
      </c>
      <c r="M3492" s="2" t="s">
        <v>547</v>
      </c>
      <c r="O3492" s="2" t="s">
        <v>524</v>
      </c>
      <c r="Y3492" s="2" t="s">
        <v>710</v>
      </c>
    </row>
    <row r="3493" spans="1:34" x14ac:dyDescent="0.25">
      <c r="A3493" s="2" t="s">
        <v>329</v>
      </c>
      <c r="B3493" s="2" t="s">
        <v>540</v>
      </c>
      <c r="C3493" s="2" t="s">
        <v>408</v>
      </c>
      <c r="D3493" s="2" t="s">
        <v>410</v>
      </c>
      <c r="E3493" s="2" t="s">
        <v>413</v>
      </c>
      <c r="F3493" s="2" t="s">
        <v>40</v>
      </c>
      <c r="J3493" s="2" t="s">
        <v>541</v>
      </c>
      <c r="K3493" s="2" t="s">
        <v>542</v>
      </c>
      <c r="L3493" s="2">
        <v>6</v>
      </c>
      <c r="M3493" s="2" t="s">
        <v>548</v>
      </c>
      <c r="O3493" s="2" t="s">
        <v>524</v>
      </c>
      <c r="Y3493" s="2" t="s">
        <v>710</v>
      </c>
    </row>
    <row r="3494" spans="1:34" x14ac:dyDescent="0.25">
      <c r="A3494" s="2" t="s">
        <v>329</v>
      </c>
      <c r="B3494" s="2" t="s">
        <v>540</v>
      </c>
      <c r="C3494" s="2" t="s">
        <v>408</v>
      </c>
      <c r="D3494" s="2" t="s">
        <v>410</v>
      </c>
      <c r="E3494" s="2" t="s">
        <v>413</v>
      </c>
      <c r="F3494" s="2" t="s">
        <v>40</v>
      </c>
      <c r="J3494" s="2" t="s">
        <v>541</v>
      </c>
      <c r="K3494" s="2" t="s">
        <v>542</v>
      </c>
      <c r="L3494" s="2">
        <v>7</v>
      </c>
      <c r="M3494" s="2" t="s">
        <v>549</v>
      </c>
      <c r="O3494" s="2" t="s">
        <v>524</v>
      </c>
      <c r="Y3494" s="2" t="s">
        <v>710</v>
      </c>
    </row>
    <row r="3495" spans="1:34" x14ac:dyDescent="0.25">
      <c r="A3495" s="2" t="s">
        <v>329</v>
      </c>
      <c r="B3495" s="2" t="s">
        <v>540</v>
      </c>
      <c r="C3495" s="2" t="s">
        <v>408</v>
      </c>
      <c r="D3495" s="2" t="s">
        <v>410</v>
      </c>
      <c r="E3495" s="2" t="s">
        <v>413</v>
      </c>
      <c r="F3495" s="2" t="s">
        <v>40</v>
      </c>
      <c r="J3495" s="2" t="s">
        <v>541</v>
      </c>
      <c r="K3495" s="2" t="s">
        <v>542</v>
      </c>
      <c r="L3495" s="2">
        <v>8</v>
      </c>
      <c r="M3495" s="2" t="s">
        <v>550</v>
      </c>
      <c r="O3495" s="2" t="s">
        <v>524</v>
      </c>
      <c r="Y3495" s="2" t="s">
        <v>710</v>
      </c>
    </row>
    <row r="3496" spans="1:34" x14ac:dyDescent="0.25">
      <c r="A3496" s="2" t="s">
        <v>329</v>
      </c>
      <c r="B3496" s="2" t="s">
        <v>540</v>
      </c>
      <c r="C3496" s="2" t="s">
        <v>408</v>
      </c>
      <c r="D3496" s="2" t="s">
        <v>410</v>
      </c>
      <c r="E3496" s="2" t="s">
        <v>413</v>
      </c>
      <c r="F3496" s="2" t="s">
        <v>40</v>
      </c>
      <c r="J3496" s="2" t="s">
        <v>541</v>
      </c>
      <c r="K3496" s="2" t="s">
        <v>542</v>
      </c>
      <c r="L3496" s="2">
        <v>9</v>
      </c>
      <c r="M3496" s="2" t="s">
        <v>551</v>
      </c>
      <c r="O3496" s="2" t="s">
        <v>524</v>
      </c>
      <c r="Y3496" s="2" t="s">
        <v>710</v>
      </c>
    </row>
    <row r="3497" spans="1:34" x14ac:dyDescent="0.25">
      <c r="A3497" s="2" t="s">
        <v>329</v>
      </c>
      <c r="B3497" s="2" t="s">
        <v>540</v>
      </c>
      <c r="C3497" s="2" t="s">
        <v>408</v>
      </c>
      <c r="D3497" s="2" t="s">
        <v>410</v>
      </c>
      <c r="E3497" s="2" t="s">
        <v>413</v>
      </c>
      <c r="F3497" s="2" t="s">
        <v>40</v>
      </c>
      <c r="J3497" s="2" t="s">
        <v>541</v>
      </c>
      <c r="K3497" s="2" t="s">
        <v>542</v>
      </c>
      <c r="L3497" s="2">
        <v>10</v>
      </c>
      <c r="M3497" s="2" t="s">
        <v>552</v>
      </c>
      <c r="O3497" s="2" t="s">
        <v>524</v>
      </c>
      <c r="Y3497" s="2" t="s">
        <v>710</v>
      </c>
    </row>
    <row r="3498" spans="1:34" x14ac:dyDescent="0.25">
      <c r="A3498" s="2" t="s">
        <v>329</v>
      </c>
      <c r="B3498" s="2" t="s">
        <v>540</v>
      </c>
      <c r="C3498" s="2" t="s">
        <v>408</v>
      </c>
      <c r="D3498" s="2" t="s">
        <v>410</v>
      </c>
      <c r="E3498" s="2" t="s">
        <v>413</v>
      </c>
      <c r="F3498" s="2" t="s">
        <v>40</v>
      </c>
      <c r="J3498" s="2" t="s">
        <v>541</v>
      </c>
      <c r="K3498" s="2" t="s">
        <v>542</v>
      </c>
      <c r="L3498" s="2">
        <v>11</v>
      </c>
      <c r="M3498" s="2" t="s">
        <v>553</v>
      </c>
      <c r="O3498" s="2" t="s">
        <v>524</v>
      </c>
      <c r="Y3498" s="2" t="s">
        <v>710</v>
      </c>
    </row>
    <row r="3499" spans="1:34" x14ac:dyDescent="0.25">
      <c r="A3499" s="2" t="s">
        <v>329</v>
      </c>
      <c r="B3499" s="2" t="s">
        <v>540</v>
      </c>
      <c r="C3499" s="2" t="s">
        <v>408</v>
      </c>
      <c r="D3499" s="2" t="s">
        <v>410</v>
      </c>
      <c r="E3499" s="2" t="s">
        <v>413</v>
      </c>
      <c r="F3499" s="2" t="s">
        <v>40</v>
      </c>
      <c r="J3499" s="2" t="s">
        <v>541</v>
      </c>
      <c r="K3499" s="2" t="s">
        <v>542</v>
      </c>
      <c r="L3499" s="2">
        <v>12</v>
      </c>
      <c r="M3499" s="2" t="s">
        <v>554</v>
      </c>
      <c r="O3499" s="2" t="s">
        <v>524</v>
      </c>
      <c r="Y3499" s="2" t="s">
        <v>710</v>
      </c>
    </row>
    <row r="3500" spans="1:34" x14ac:dyDescent="0.25">
      <c r="A3500" s="2" t="s">
        <v>329</v>
      </c>
      <c r="B3500" s="2" t="s">
        <v>555</v>
      </c>
      <c r="C3500" s="2" t="s">
        <v>408</v>
      </c>
      <c r="D3500" s="2" t="s">
        <v>410</v>
      </c>
      <c r="E3500" s="2" t="s">
        <v>413</v>
      </c>
      <c r="F3500" s="2" t="s">
        <v>40</v>
      </c>
      <c r="J3500" s="2" t="s">
        <v>556</v>
      </c>
      <c r="O3500" s="2" t="s">
        <v>524</v>
      </c>
      <c r="Y3500" s="2" t="s">
        <v>710</v>
      </c>
      <c r="AB3500" s="2">
        <v>2</v>
      </c>
    </row>
    <row r="3501" spans="1:34" x14ac:dyDescent="0.25">
      <c r="A3501" s="2" t="s">
        <v>329</v>
      </c>
      <c r="B3501" s="2" t="s">
        <v>557</v>
      </c>
      <c r="C3501" s="2" t="s">
        <v>408</v>
      </c>
      <c r="D3501" s="2" t="s">
        <v>410</v>
      </c>
      <c r="E3501" s="2" t="s">
        <v>413</v>
      </c>
      <c r="F3501" s="2" t="s">
        <v>40</v>
      </c>
      <c r="J3501" s="2" t="s">
        <v>558</v>
      </c>
      <c r="O3501" s="2" t="s">
        <v>524</v>
      </c>
      <c r="Y3501" s="2" t="s">
        <v>710</v>
      </c>
      <c r="AC3501" s="2">
        <f>COUNTIFS($B:$B,"BLOCK_LOAD_Q",$A:$A,$A3501,$C:$C,$C3501,$E:$E,$E3501,$F:$F,$F3501,$N:$N, "&lt;&gt;")</f>
        <v>0</v>
      </c>
      <c r="AD3501" s="2">
        <f>COUNTIFS($B:$B,"BLOCK_TRUST_Q",$A:$A,$A3501,$C:$C,$C3501,$E:$E,$E3501,$F:$F,$F3501,$N:$N, "&lt;&gt;")</f>
        <v>0</v>
      </c>
      <c r="AE3501" s="2" t="str">
        <f>IFERROR(AVERAGEIFS($P:$P,$B:$B,"BLOCK_LOAD_Q",$A:$A,$A3501,$C:$C,$C3501,$E:$E,$E3501,$F:$F,$F3501,$P:$P,"&gt;0"),"")</f>
        <v/>
      </c>
      <c r="AF3501" s="2" t="str">
        <f>IFERROR(AVERAGEIFS($P:$P,$B:$B,"BLOCK_TRUST_Q",$A:$A,$A3501,$C:$C,$C3501,$E:$E,$E3501,$F:$F,$F3501,$P:$P,"&gt;0"),"")</f>
        <v/>
      </c>
      <c r="AG3501" s="2">
        <f>5-AC3501</f>
        <v>5</v>
      </c>
      <c r="AH3501" s="2">
        <f>12-AD3501</f>
        <v>12</v>
      </c>
    </row>
    <row r="3502" spans="1:34" x14ac:dyDescent="0.25">
      <c r="A3502" s="2" t="s">
        <v>329</v>
      </c>
      <c r="B3502" s="2" t="s">
        <v>402</v>
      </c>
      <c r="C3502" s="2" t="s">
        <v>408</v>
      </c>
      <c r="D3502" s="2" t="s">
        <v>410</v>
      </c>
      <c r="E3502" s="2" t="s">
        <v>414</v>
      </c>
      <c r="F3502" s="2" t="s">
        <v>39</v>
      </c>
      <c r="G3502" s="2" t="s">
        <v>415</v>
      </c>
      <c r="H3502" s="2" t="s">
        <v>373</v>
      </c>
      <c r="S3502" s="2" t="s">
        <v>60</v>
      </c>
      <c r="U3502" s="2" t="s">
        <v>60</v>
      </c>
      <c r="W3502" s="2" t="s">
        <v>60</v>
      </c>
    </row>
    <row r="3503" spans="1:34" x14ac:dyDescent="0.25">
      <c r="A3503" s="2" t="s">
        <v>329</v>
      </c>
      <c r="B3503" s="2" t="s">
        <v>402</v>
      </c>
      <c r="C3503" s="2" t="s">
        <v>408</v>
      </c>
      <c r="D3503" s="2" t="s">
        <v>410</v>
      </c>
      <c r="E3503" s="2" t="s">
        <v>414</v>
      </c>
      <c r="F3503" s="2" t="s">
        <v>39</v>
      </c>
      <c r="G3503" s="2" t="s">
        <v>416</v>
      </c>
      <c r="H3503" s="2" t="s">
        <v>528</v>
      </c>
      <c r="S3503" s="2" t="s">
        <v>60</v>
      </c>
      <c r="U3503" s="2" t="s">
        <v>59</v>
      </c>
      <c r="W3503" s="2" t="s">
        <v>59</v>
      </c>
    </row>
    <row r="3504" spans="1:34" x14ac:dyDescent="0.25">
      <c r="A3504" s="2" t="s">
        <v>329</v>
      </c>
      <c r="B3504" s="2" t="s">
        <v>402</v>
      </c>
      <c r="C3504" s="2" t="s">
        <v>408</v>
      </c>
      <c r="D3504" s="2" t="s">
        <v>410</v>
      </c>
      <c r="E3504" s="2" t="s">
        <v>414</v>
      </c>
      <c r="F3504" s="2" t="s">
        <v>39</v>
      </c>
      <c r="G3504" s="2" t="s">
        <v>417</v>
      </c>
      <c r="H3504" s="2" t="s">
        <v>529</v>
      </c>
      <c r="S3504" s="2" t="s">
        <v>57</v>
      </c>
      <c r="U3504" s="2" t="s">
        <v>59</v>
      </c>
      <c r="W3504" s="2" t="s">
        <v>60</v>
      </c>
    </row>
    <row r="3505" spans="1:25" x14ac:dyDescent="0.25">
      <c r="A3505" s="2" t="s">
        <v>329</v>
      </c>
      <c r="B3505" s="2" t="s">
        <v>402</v>
      </c>
      <c r="C3505" s="2" t="s">
        <v>408</v>
      </c>
      <c r="D3505" s="2" t="s">
        <v>410</v>
      </c>
      <c r="E3505" s="2" t="s">
        <v>414</v>
      </c>
      <c r="F3505" s="2" t="s">
        <v>39</v>
      </c>
      <c r="G3505" s="2" t="s">
        <v>418</v>
      </c>
      <c r="H3505" s="2" t="s">
        <v>347</v>
      </c>
      <c r="S3505" s="2" t="s">
        <v>60</v>
      </c>
      <c r="U3505" s="2" t="s">
        <v>57</v>
      </c>
      <c r="W3505" s="2" t="s">
        <v>59</v>
      </c>
    </row>
    <row r="3506" spans="1:25" x14ac:dyDescent="0.25">
      <c r="A3506" s="2" t="s">
        <v>329</v>
      </c>
      <c r="B3506" s="2" t="s">
        <v>402</v>
      </c>
      <c r="C3506" s="2" t="s">
        <v>408</v>
      </c>
      <c r="D3506" s="2" t="s">
        <v>410</v>
      </c>
      <c r="E3506" s="2" t="s">
        <v>414</v>
      </c>
      <c r="F3506" s="2" t="s">
        <v>39</v>
      </c>
      <c r="G3506" s="2" t="s">
        <v>419</v>
      </c>
      <c r="H3506" s="2" t="s">
        <v>530</v>
      </c>
      <c r="S3506" s="2" t="s">
        <v>57</v>
      </c>
      <c r="U3506" s="2" t="s">
        <v>60</v>
      </c>
      <c r="W3506" s="2" t="s">
        <v>58</v>
      </c>
    </row>
    <row r="3507" spans="1:25" x14ac:dyDescent="0.25">
      <c r="A3507" s="2" t="s">
        <v>329</v>
      </c>
      <c r="B3507" s="2" t="s">
        <v>531</v>
      </c>
      <c r="C3507" s="2" t="s">
        <v>408</v>
      </c>
      <c r="D3507" s="2" t="s">
        <v>410</v>
      </c>
      <c r="E3507" s="2" t="s">
        <v>414</v>
      </c>
      <c r="F3507" s="2" t="s">
        <v>39</v>
      </c>
      <c r="J3507" s="2" t="s">
        <v>532</v>
      </c>
      <c r="K3507" s="2" t="s">
        <v>533</v>
      </c>
      <c r="L3507" s="2">
        <v>1</v>
      </c>
      <c r="M3507" s="2" t="s">
        <v>534</v>
      </c>
      <c r="O3507" s="2" t="s">
        <v>524</v>
      </c>
      <c r="Y3507" s="2" t="s">
        <v>711</v>
      </c>
    </row>
    <row r="3508" spans="1:25" x14ac:dyDescent="0.25">
      <c r="A3508" s="2" t="s">
        <v>329</v>
      </c>
      <c r="B3508" s="2" t="s">
        <v>531</v>
      </c>
      <c r="C3508" s="2" t="s">
        <v>408</v>
      </c>
      <c r="D3508" s="2" t="s">
        <v>410</v>
      </c>
      <c r="E3508" s="2" t="s">
        <v>414</v>
      </c>
      <c r="F3508" s="2" t="s">
        <v>39</v>
      </c>
      <c r="J3508" s="2" t="s">
        <v>532</v>
      </c>
      <c r="K3508" s="2" t="s">
        <v>533</v>
      </c>
      <c r="L3508" s="2">
        <v>2</v>
      </c>
      <c r="M3508" s="2" t="s">
        <v>536</v>
      </c>
      <c r="O3508" s="2" t="s">
        <v>524</v>
      </c>
      <c r="Y3508" s="2" t="s">
        <v>711</v>
      </c>
    </row>
    <row r="3509" spans="1:25" x14ac:dyDescent="0.25">
      <c r="A3509" s="2" t="s">
        <v>329</v>
      </c>
      <c r="B3509" s="2" t="s">
        <v>531</v>
      </c>
      <c r="C3509" s="2" t="s">
        <v>408</v>
      </c>
      <c r="D3509" s="2" t="s">
        <v>410</v>
      </c>
      <c r="E3509" s="2" t="s">
        <v>414</v>
      </c>
      <c r="F3509" s="2" t="s">
        <v>39</v>
      </c>
      <c r="J3509" s="2" t="s">
        <v>532</v>
      </c>
      <c r="K3509" s="2" t="s">
        <v>533</v>
      </c>
      <c r="L3509" s="2">
        <v>3</v>
      </c>
      <c r="M3509" s="2" t="s">
        <v>537</v>
      </c>
      <c r="O3509" s="2" t="s">
        <v>524</v>
      </c>
      <c r="Y3509" s="2" t="s">
        <v>711</v>
      </c>
    </row>
    <row r="3510" spans="1:25" x14ac:dyDescent="0.25">
      <c r="A3510" s="2" t="s">
        <v>329</v>
      </c>
      <c r="B3510" s="2" t="s">
        <v>531</v>
      </c>
      <c r="C3510" s="2" t="s">
        <v>408</v>
      </c>
      <c r="D3510" s="2" t="s">
        <v>410</v>
      </c>
      <c r="E3510" s="2" t="s">
        <v>414</v>
      </c>
      <c r="F3510" s="2" t="s">
        <v>39</v>
      </c>
      <c r="J3510" s="2" t="s">
        <v>532</v>
      </c>
      <c r="K3510" s="2" t="s">
        <v>533</v>
      </c>
      <c r="L3510" s="2">
        <v>4</v>
      </c>
      <c r="M3510" s="2" t="s">
        <v>538</v>
      </c>
      <c r="O3510" s="2" t="s">
        <v>524</v>
      </c>
      <c r="Y3510" s="2" t="s">
        <v>711</v>
      </c>
    </row>
    <row r="3511" spans="1:25" x14ac:dyDescent="0.25">
      <c r="A3511" s="2" t="s">
        <v>329</v>
      </c>
      <c r="B3511" s="2" t="s">
        <v>531</v>
      </c>
      <c r="C3511" s="2" t="s">
        <v>408</v>
      </c>
      <c r="D3511" s="2" t="s">
        <v>410</v>
      </c>
      <c r="E3511" s="2" t="s">
        <v>414</v>
      </c>
      <c r="F3511" s="2" t="s">
        <v>39</v>
      </c>
      <c r="J3511" s="2" t="s">
        <v>532</v>
      </c>
      <c r="K3511" s="2" t="s">
        <v>533</v>
      </c>
      <c r="L3511" s="2">
        <v>5</v>
      </c>
      <c r="M3511" s="2" t="s">
        <v>539</v>
      </c>
      <c r="O3511" s="2" t="s">
        <v>524</v>
      </c>
      <c r="Y3511" s="2" t="s">
        <v>711</v>
      </c>
    </row>
    <row r="3512" spans="1:25" x14ac:dyDescent="0.25">
      <c r="A3512" s="2" t="s">
        <v>329</v>
      </c>
      <c r="B3512" s="2" t="s">
        <v>540</v>
      </c>
      <c r="C3512" s="2" t="s">
        <v>408</v>
      </c>
      <c r="D3512" s="2" t="s">
        <v>410</v>
      </c>
      <c r="E3512" s="2" t="s">
        <v>414</v>
      </c>
      <c r="F3512" s="2" t="s">
        <v>39</v>
      </c>
      <c r="J3512" s="2" t="s">
        <v>541</v>
      </c>
      <c r="K3512" s="2" t="s">
        <v>542</v>
      </c>
      <c r="L3512" s="2">
        <v>1</v>
      </c>
      <c r="M3512" s="2" t="s">
        <v>543</v>
      </c>
      <c r="O3512" s="2" t="s">
        <v>524</v>
      </c>
      <c r="Y3512" s="2" t="s">
        <v>711</v>
      </c>
    </row>
    <row r="3513" spans="1:25" x14ac:dyDescent="0.25">
      <c r="A3513" s="2" t="s">
        <v>329</v>
      </c>
      <c r="B3513" s="2" t="s">
        <v>540</v>
      </c>
      <c r="C3513" s="2" t="s">
        <v>408</v>
      </c>
      <c r="D3513" s="2" t="s">
        <v>410</v>
      </c>
      <c r="E3513" s="2" t="s">
        <v>414</v>
      </c>
      <c r="F3513" s="2" t="s">
        <v>39</v>
      </c>
      <c r="J3513" s="2" t="s">
        <v>541</v>
      </c>
      <c r="K3513" s="2" t="s">
        <v>542</v>
      </c>
      <c r="L3513" s="2">
        <v>2</v>
      </c>
      <c r="M3513" s="2" t="s">
        <v>544</v>
      </c>
      <c r="O3513" s="2" t="s">
        <v>524</v>
      </c>
      <c r="Y3513" s="2" t="s">
        <v>711</v>
      </c>
    </row>
    <row r="3514" spans="1:25" x14ac:dyDescent="0.25">
      <c r="A3514" s="2" t="s">
        <v>329</v>
      </c>
      <c r="B3514" s="2" t="s">
        <v>540</v>
      </c>
      <c r="C3514" s="2" t="s">
        <v>408</v>
      </c>
      <c r="D3514" s="2" t="s">
        <v>410</v>
      </c>
      <c r="E3514" s="2" t="s">
        <v>414</v>
      </c>
      <c r="F3514" s="2" t="s">
        <v>39</v>
      </c>
      <c r="J3514" s="2" t="s">
        <v>541</v>
      </c>
      <c r="K3514" s="2" t="s">
        <v>542</v>
      </c>
      <c r="L3514" s="2">
        <v>3</v>
      </c>
      <c r="M3514" s="2" t="s">
        <v>545</v>
      </c>
      <c r="O3514" s="2" t="s">
        <v>524</v>
      </c>
      <c r="Y3514" s="2" t="s">
        <v>711</v>
      </c>
    </row>
    <row r="3515" spans="1:25" x14ac:dyDescent="0.25">
      <c r="A3515" s="2" t="s">
        <v>329</v>
      </c>
      <c r="B3515" s="2" t="s">
        <v>540</v>
      </c>
      <c r="C3515" s="2" t="s">
        <v>408</v>
      </c>
      <c r="D3515" s="2" t="s">
        <v>410</v>
      </c>
      <c r="E3515" s="2" t="s">
        <v>414</v>
      </c>
      <c r="F3515" s="2" t="s">
        <v>39</v>
      </c>
      <c r="J3515" s="2" t="s">
        <v>541</v>
      </c>
      <c r="K3515" s="2" t="s">
        <v>542</v>
      </c>
      <c r="L3515" s="2">
        <v>4</v>
      </c>
      <c r="M3515" s="2" t="s">
        <v>546</v>
      </c>
      <c r="O3515" s="2" t="s">
        <v>524</v>
      </c>
      <c r="Y3515" s="2" t="s">
        <v>711</v>
      </c>
    </row>
    <row r="3516" spans="1:25" x14ac:dyDescent="0.25">
      <c r="A3516" s="2" t="s">
        <v>329</v>
      </c>
      <c r="B3516" s="2" t="s">
        <v>540</v>
      </c>
      <c r="C3516" s="2" t="s">
        <v>408</v>
      </c>
      <c r="D3516" s="2" t="s">
        <v>410</v>
      </c>
      <c r="E3516" s="2" t="s">
        <v>414</v>
      </c>
      <c r="F3516" s="2" t="s">
        <v>39</v>
      </c>
      <c r="J3516" s="2" t="s">
        <v>541</v>
      </c>
      <c r="K3516" s="2" t="s">
        <v>542</v>
      </c>
      <c r="L3516" s="2">
        <v>5</v>
      </c>
      <c r="M3516" s="2" t="s">
        <v>547</v>
      </c>
      <c r="O3516" s="2" t="s">
        <v>524</v>
      </c>
      <c r="Y3516" s="2" t="s">
        <v>711</v>
      </c>
    </row>
    <row r="3517" spans="1:25" x14ac:dyDescent="0.25">
      <c r="A3517" s="2" t="s">
        <v>329</v>
      </c>
      <c r="B3517" s="2" t="s">
        <v>540</v>
      </c>
      <c r="C3517" s="2" t="s">
        <v>408</v>
      </c>
      <c r="D3517" s="2" t="s">
        <v>410</v>
      </c>
      <c r="E3517" s="2" t="s">
        <v>414</v>
      </c>
      <c r="F3517" s="2" t="s">
        <v>39</v>
      </c>
      <c r="J3517" s="2" t="s">
        <v>541</v>
      </c>
      <c r="K3517" s="2" t="s">
        <v>542</v>
      </c>
      <c r="L3517" s="2">
        <v>6</v>
      </c>
      <c r="M3517" s="2" t="s">
        <v>548</v>
      </c>
      <c r="O3517" s="2" t="s">
        <v>524</v>
      </c>
      <c r="Y3517" s="2" t="s">
        <v>711</v>
      </c>
    </row>
    <row r="3518" spans="1:25" x14ac:dyDescent="0.25">
      <c r="A3518" s="2" t="s">
        <v>329</v>
      </c>
      <c r="B3518" s="2" t="s">
        <v>540</v>
      </c>
      <c r="C3518" s="2" t="s">
        <v>408</v>
      </c>
      <c r="D3518" s="2" t="s">
        <v>410</v>
      </c>
      <c r="E3518" s="2" t="s">
        <v>414</v>
      </c>
      <c r="F3518" s="2" t="s">
        <v>39</v>
      </c>
      <c r="J3518" s="2" t="s">
        <v>541</v>
      </c>
      <c r="K3518" s="2" t="s">
        <v>542</v>
      </c>
      <c r="L3518" s="2">
        <v>7</v>
      </c>
      <c r="M3518" s="2" t="s">
        <v>549</v>
      </c>
      <c r="O3518" s="2" t="s">
        <v>524</v>
      </c>
      <c r="Y3518" s="2" t="s">
        <v>711</v>
      </c>
    </row>
    <row r="3519" spans="1:25" x14ac:dyDescent="0.25">
      <c r="A3519" s="2" t="s">
        <v>329</v>
      </c>
      <c r="B3519" s="2" t="s">
        <v>540</v>
      </c>
      <c r="C3519" s="2" t="s">
        <v>408</v>
      </c>
      <c r="D3519" s="2" t="s">
        <v>410</v>
      </c>
      <c r="E3519" s="2" t="s">
        <v>414</v>
      </c>
      <c r="F3519" s="2" t="s">
        <v>39</v>
      </c>
      <c r="J3519" s="2" t="s">
        <v>541</v>
      </c>
      <c r="K3519" s="2" t="s">
        <v>542</v>
      </c>
      <c r="L3519" s="2">
        <v>8</v>
      </c>
      <c r="M3519" s="2" t="s">
        <v>550</v>
      </c>
      <c r="O3519" s="2" t="s">
        <v>524</v>
      </c>
      <c r="Y3519" s="2" t="s">
        <v>711</v>
      </c>
    </row>
    <row r="3520" spans="1:25" x14ac:dyDescent="0.25">
      <c r="A3520" s="2" t="s">
        <v>329</v>
      </c>
      <c r="B3520" s="2" t="s">
        <v>540</v>
      </c>
      <c r="C3520" s="2" t="s">
        <v>408</v>
      </c>
      <c r="D3520" s="2" t="s">
        <v>410</v>
      </c>
      <c r="E3520" s="2" t="s">
        <v>414</v>
      </c>
      <c r="F3520" s="2" t="s">
        <v>39</v>
      </c>
      <c r="J3520" s="2" t="s">
        <v>541</v>
      </c>
      <c r="K3520" s="2" t="s">
        <v>542</v>
      </c>
      <c r="L3520" s="2">
        <v>9</v>
      </c>
      <c r="M3520" s="2" t="s">
        <v>551</v>
      </c>
      <c r="O3520" s="2" t="s">
        <v>524</v>
      </c>
      <c r="Y3520" s="2" t="s">
        <v>711</v>
      </c>
    </row>
    <row r="3521" spans="1:34" x14ac:dyDescent="0.25">
      <c r="A3521" s="2" t="s">
        <v>329</v>
      </c>
      <c r="B3521" s="2" t="s">
        <v>540</v>
      </c>
      <c r="C3521" s="2" t="s">
        <v>408</v>
      </c>
      <c r="D3521" s="2" t="s">
        <v>410</v>
      </c>
      <c r="E3521" s="2" t="s">
        <v>414</v>
      </c>
      <c r="F3521" s="2" t="s">
        <v>39</v>
      </c>
      <c r="J3521" s="2" t="s">
        <v>541</v>
      </c>
      <c r="K3521" s="2" t="s">
        <v>542</v>
      </c>
      <c r="L3521" s="2">
        <v>10</v>
      </c>
      <c r="M3521" s="2" t="s">
        <v>552</v>
      </c>
      <c r="O3521" s="2" t="s">
        <v>524</v>
      </c>
      <c r="Y3521" s="2" t="s">
        <v>711</v>
      </c>
    </row>
    <row r="3522" spans="1:34" x14ac:dyDescent="0.25">
      <c r="A3522" s="2" t="s">
        <v>329</v>
      </c>
      <c r="B3522" s="2" t="s">
        <v>540</v>
      </c>
      <c r="C3522" s="2" t="s">
        <v>408</v>
      </c>
      <c r="D3522" s="2" t="s">
        <v>410</v>
      </c>
      <c r="E3522" s="2" t="s">
        <v>414</v>
      </c>
      <c r="F3522" s="2" t="s">
        <v>39</v>
      </c>
      <c r="J3522" s="2" t="s">
        <v>541</v>
      </c>
      <c r="K3522" s="2" t="s">
        <v>542</v>
      </c>
      <c r="L3522" s="2">
        <v>11</v>
      </c>
      <c r="M3522" s="2" t="s">
        <v>553</v>
      </c>
      <c r="O3522" s="2" t="s">
        <v>524</v>
      </c>
      <c r="Y3522" s="2" t="s">
        <v>711</v>
      </c>
    </row>
    <row r="3523" spans="1:34" x14ac:dyDescent="0.25">
      <c r="A3523" s="2" t="s">
        <v>329</v>
      </c>
      <c r="B3523" s="2" t="s">
        <v>540</v>
      </c>
      <c r="C3523" s="2" t="s">
        <v>408</v>
      </c>
      <c r="D3523" s="2" t="s">
        <v>410</v>
      </c>
      <c r="E3523" s="2" t="s">
        <v>414</v>
      </c>
      <c r="F3523" s="2" t="s">
        <v>39</v>
      </c>
      <c r="J3523" s="2" t="s">
        <v>541</v>
      </c>
      <c r="K3523" s="2" t="s">
        <v>542</v>
      </c>
      <c r="L3523" s="2">
        <v>12</v>
      </c>
      <c r="M3523" s="2" t="s">
        <v>554</v>
      </c>
      <c r="O3523" s="2" t="s">
        <v>524</v>
      </c>
      <c r="Y3523" s="2" t="s">
        <v>711</v>
      </c>
    </row>
    <row r="3524" spans="1:34" x14ac:dyDescent="0.25">
      <c r="A3524" s="2" t="s">
        <v>329</v>
      </c>
      <c r="B3524" s="2" t="s">
        <v>555</v>
      </c>
      <c r="C3524" s="2" t="s">
        <v>408</v>
      </c>
      <c r="D3524" s="2" t="s">
        <v>410</v>
      </c>
      <c r="E3524" s="2" t="s">
        <v>414</v>
      </c>
      <c r="F3524" s="2" t="s">
        <v>39</v>
      </c>
      <c r="J3524" s="2" t="s">
        <v>556</v>
      </c>
      <c r="O3524" s="2" t="s">
        <v>524</v>
      </c>
      <c r="Y3524" s="2" t="s">
        <v>711</v>
      </c>
      <c r="AB3524" s="2">
        <v>1</v>
      </c>
    </row>
    <row r="3525" spans="1:34" x14ac:dyDescent="0.25">
      <c r="A3525" s="2" t="s">
        <v>329</v>
      </c>
      <c r="B3525" s="2" t="s">
        <v>557</v>
      </c>
      <c r="C3525" s="2" t="s">
        <v>408</v>
      </c>
      <c r="D3525" s="2" t="s">
        <v>410</v>
      </c>
      <c r="E3525" s="2" t="s">
        <v>414</v>
      </c>
      <c r="F3525" s="2" t="s">
        <v>39</v>
      </c>
      <c r="J3525" s="2" t="s">
        <v>558</v>
      </c>
      <c r="O3525" s="2" t="s">
        <v>524</v>
      </c>
      <c r="Y3525" s="2" t="s">
        <v>711</v>
      </c>
      <c r="AC3525" s="2">
        <f>COUNTIFS($B:$B,"BLOCK_LOAD_Q",$A:$A,$A3525,$C:$C,$C3525,$E:$E,$E3525,$F:$F,$F3525,$N:$N, "&lt;&gt;")</f>
        <v>0</v>
      </c>
      <c r="AD3525" s="2">
        <f>COUNTIFS($B:$B,"BLOCK_TRUST_Q",$A:$A,$A3525,$C:$C,$C3525,$E:$E,$E3525,$F:$F,$F3525,$N:$N, "&lt;&gt;")</f>
        <v>0</v>
      </c>
      <c r="AE3525" s="2" t="str">
        <f>IFERROR(AVERAGEIFS($P:$P,$B:$B,"BLOCK_LOAD_Q",$A:$A,$A3525,$C:$C,$C3525,$E:$E,$E3525,$F:$F,$F3525,$P:$P,"&gt;0"),"")</f>
        <v/>
      </c>
      <c r="AF3525" s="2" t="str">
        <f>IFERROR(AVERAGEIFS($P:$P,$B:$B,"BLOCK_TRUST_Q",$A:$A,$A3525,$C:$C,$C3525,$E:$E,$E3525,$F:$F,$F3525,$P:$P,"&gt;0"),"")</f>
        <v/>
      </c>
      <c r="AG3525" s="2">
        <f>5-AC3525</f>
        <v>5</v>
      </c>
      <c r="AH3525" s="2">
        <f>12-AD3525</f>
        <v>12</v>
      </c>
    </row>
    <row r="3526" spans="1:34" x14ac:dyDescent="0.25">
      <c r="A3526" s="2" t="s">
        <v>329</v>
      </c>
      <c r="B3526" s="2" t="s">
        <v>403</v>
      </c>
      <c r="C3526" s="2" t="s">
        <v>408</v>
      </c>
      <c r="D3526" s="2" t="s">
        <v>410</v>
      </c>
      <c r="Z3526" s="2" t="s">
        <v>490</v>
      </c>
    </row>
    <row r="3527" spans="1:34" x14ac:dyDescent="0.25">
      <c r="A3527" s="2" t="s">
        <v>329</v>
      </c>
      <c r="B3527" s="2" t="s">
        <v>402</v>
      </c>
      <c r="C3527" s="2" t="s">
        <v>409</v>
      </c>
      <c r="D3527" s="2" t="s">
        <v>411</v>
      </c>
      <c r="E3527" s="2" t="s">
        <v>413</v>
      </c>
      <c r="F3527" s="2" t="s">
        <v>40</v>
      </c>
      <c r="G3527" s="2" t="s">
        <v>415</v>
      </c>
      <c r="H3527" s="2" t="s">
        <v>357</v>
      </c>
      <c r="S3527" s="2" t="s">
        <v>59</v>
      </c>
      <c r="U3527" s="2" t="s">
        <v>60</v>
      </c>
      <c r="W3527" s="2" t="s">
        <v>57</v>
      </c>
    </row>
    <row r="3528" spans="1:34" x14ac:dyDescent="0.25">
      <c r="A3528" s="2" t="s">
        <v>329</v>
      </c>
      <c r="B3528" s="2" t="s">
        <v>402</v>
      </c>
      <c r="C3528" s="2" t="s">
        <v>409</v>
      </c>
      <c r="D3528" s="2" t="s">
        <v>411</v>
      </c>
      <c r="E3528" s="2" t="s">
        <v>413</v>
      </c>
      <c r="F3528" s="2" t="s">
        <v>40</v>
      </c>
      <c r="G3528" s="2" t="s">
        <v>416</v>
      </c>
      <c r="H3528" s="2" t="s">
        <v>348</v>
      </c>
      <c r="S3528" s="2" t="s">
        <v>58</v>
      </c>
      <c r="U3528" s="2" t="s">
        <v>59</v>
      </c>
      <c r="W3528" s="2" t="s">
        <v>59</v>
      </c>
    </row>
    <row r="3529" spans="1:34" x14ac:dyDescent="0.25">
      <c r="A3529" s="2" t="s">
        <v>329</v>
      </c>
      <c r="B3529" s="2" t="s">
        <v>402</v>
      </c>
      <c r="C3529" s="2" t="s">
        <v>409</v>
      </c>
      <c r="D3529" s="2" t="s">
        <v>411</v>
      </c>
      <c r="E3529" s="2" t="s">
        <v>413</v>
      </c>
      <c r="F3529" s="2" t="s">
        <v>40</v>
      </c>
      <c r="G3529" s="2" t="s">
        <v>417</v>
      </c>
      <c r="H3529" s="2" t="s">
        <v>562</v>
      </c>
      <c r="S3529" s="2" t="s">
        <v>59</v>
      </c>
      <c r="U3529" s="2" t="s">
        <v>57</v>
      </c>
      <c r="W3529" s="2" t="s">
        <v>57</v>
      </c>
    </row>
    <row r="3530" spans="1:34" x14ac:dyDescent="0.25">
      <c r="A3530" s="2" t="s">
        <v>329</v>
      </c>
      <c r="B3530" s="2" t="s">
        <v>402</v>
      </c>
      <c r="C3530" s="2" t="s">
        <v>409</v>
      </c>
      <c r="D3530" s="2" t="s">
        <v>411</v>
      </c>
      <c r="E3530" s="2" t="s">
        <v>413</v>
      </c>
      <c r="F3530" s="2" t="s">
        <v>40</v>
      </c>
      <c r="G3530" s="2" t="s">
        <v>418</v>
      </c>
      <c r="H3530" s="2" t="s">
        <v>563</v>
      </c>
      <c r="S3530" s="2" t="s">
        <v>57</v>
      </c>
      <c r="U3530" s="2" t="s">
        <v>60</v>
      </c>
      <c r="W3530" s="2" t="s">
        <v>60</v>
      </c>
    </row>
    <row r="3531" spans="1:34" x14ac:dyDescent="0.25">
      <c r="A3531" s="2" t="s">
        <v>329</v>
      </c>
      <c r="B3531" s="2" t="s">
        <v>531</v>
      </c>
      <c r="C3531" s="2" t="s">
        <v>409</v>
      </c>
      <c r="D3531" s="2" t="s">
        <v>411</v>
      </c>
      <c r="E3531" s="2" t="s">
        <v>413</v>
      </c>
      <c r="F3531" s="2" t="s">
        <v>40</v>
      </c>
      <c r="J3531" s="2" t="s">
        <v>532</v>
      </c>
      <c r="K3531" s="2" t="s">
        <v>533</v>
      </c>
      <c r="L3531" s="2">
        <v>1</v>
      </c>
      <c r="M3531" s="2" t="s">
        <v>534</v>
      </c>
      <c r="O3531" s="2" t="s">
        <v>524</v>
      </c>
      <c r="Y3531" s="2" t="s">
        <v>712</v>
      </c>
    </row>
    <row r="3532" spans="1:34" x14ac:dyDescent="0.25">
      <c r="A3532" s="2" t="s">
        <v>329</v>
      </c>
      <c r="B3532" s="2" t="s">
        <v>531</v>
      </c>
      <c r="C3532" s="2" t="s">
        <v>409</v>
      </c>
      <c r="D3532" s="2" t="s">
        <v>411</v>
      </c>
      <c r="E3532" s="2" t="s">
        <v>413</v>
      </c>
      <c r="F3532" s="2" t="s">
        <v>40</v>
      </c>
      <c r="J3532" s="2" t="s">
        <v>532</v>
      </c>
      <c r="K3532" s="2" t="s">
        <v>533</v>
      </c>
      <c r="L3532" s="2">
        <v>2</v>
      </c>
      <c r="M3532" s="2" t="s">
        <v>536</v>
      </c>
      <c r="O3532" s="2" t="s">
        <v>524</v>
      </c>
      <c r="Y3532" s="2" t="s">
        <v>712</v>
      </c>
    </row>
    <row r="3533" spans="1:34" x14ac:dyDescent="0.25">
      <c r="A3533" s="2" t="s">
        <v>329</v>
      </c>
      <c r="B3533" s="2" t="s">
        <v>531</v>
      </c>
      <c r="C3533" s="2" t="s">
        <v>409</v>
      </c>
      <c r="D3533" s="2" t="s">
        <v>411</v>
      </c>
      <c r="E3533" s="2" t="s">
        <v>413</v>
      </c>
      <c r="F3533" s="2" t="s">
        <v>40</v>
      </c>
      <c r="J3533" s="2" t="s">
        <v>532</v>
      </c>
      <c r="K3533" s="2" t="s">
        <v>533</v>
      </c>
      <c r="L3533" s="2">
        <v>3</v>
      </c>
      <c r="M3533" s="2" t="s">
        <v>537</v>
      </c>
      <c r="O3533" s="2" t="s">
        <v>524</v>
      </c>
      <c r="Y3533" s="2" t="s">
        <v>712</v>
      </c>
    </row>
    <row r="3534" spans="1:34" x14ac:dyDescent="0.25">
      <c r="A3534" s="2" t="s">
        <v>329</v>
      </c>
      <c r="B3534" s="2" t="s">
        <v>531</v>
      </c>
      <c r="C3534" s="2" t="s">
        <v>409</v>
      </c>
      <c r="D3534" s="2" t="s">
        <v>411</v>
      </c>
      <c r="E3534" s="2" t="s">
        <v>413</v>
      </c>
      <c r="F3534" s="2" t="s">
        <v>40</v>
      </c>
      <c r="J3534" s="2" t="s">
        <v>532</v>
      </c>
      <c r="K3534" s="2" t="s">
        <v>533</v>
      </c>
      <c r="L3534" s="2">
        <v>4</v>
      </c>
      <c r="M3534" s="2" t="s">
        <v>538</v>
      </c>
      <c r="O3534" s="2" t="s">
        <v>524</v>
      </c>
      <c r="Y3534" s="2" t="s">
        <v>712</v>
      </c>
    </row>
    <row r="3535" spans="1:34" x14ac:dyDescent="0.25">
      <c r="A3535" s="2" t="s">
        <v>329</v>
      </c>
      <c r="B3535" s="2" t="s">
        <v>531</v>
      </c>
      <c r="C3535" s="2" t="s">
        <v>409</v>
      </c>
      <c r="D3535" s="2" t="s">
        <v>411</v>
      </c>
      <c r="E3535" s="2" t="s">
        <v>413</v>
      </c>
      <c r="F3535" s="2" t="s">
        <v>40</v>
      </c>
      <c r="J3535" s="2" t="s">
        <v>532</v>
      </c>
      <c r="K3535" s="2" t="s">
        <v>533</v>
      </c>
      <c r="L3535" s="2">
        <v>5</v>
      </c>
      <c r="M3535" s="2" t="s">
        <v>539</v>
      </c>
      <c r="O3535" s="2" t="s">
        <v>524</v>
      </c>
      <c r="Y3535" s="2" t="s">
        <v>712</v>
      </c>
    </row>
    <row r="3536" spans="1:34" x14ac:dyDescent="0.25">
      <c r="A3536" s="2" t="s">
        <v>329</v>
      </c>
      <c r="B3536" s="2" t="s">
        <v>540</v>
      </c>
      <c r="C3536" s="2" t="s">
        <v>409</v>
      </c>
      <c r="D3536" s="2" t="s">
        <v>411</v>
      </c>
      <c r="E3536" s="2" t="s">
        <v>413</v>
      </c>
      <c r="F3536" s="2" t="s">
        <v>40</v>
      </c>
      <c r="J3536" s="2" t="s">
        <v>541</v>
      </c>
      <c r="K3536" s="2" t="s">
        <v>542</v>
      </c>
      <c r="L3536" s="2">
        <v>1</v>
      </c>
      <c r="M3536" s="2" t="s">
        <v>543</v>
      </c>
      <c r="O3536" s="2" t="s">
        <v>524</v>
      </c>
      <c r="Y3536" s="2" t="s">
        <v>712</v>
      </c>
    </row>
    <row r="3537" spans="1:34" x14ac:dyDescent="0.25">
      <c r="A3537" s="2" t="s">
        <v>329</v>
      </c>
      <c r="B3537" s="2" t="s">
        <v>540</v>
      </c>
      <c r="C3537" s="2" t="s">
        <v>409</v>
      </c>
      <c r="D3537" s="2" t="s">
        <v>411</v>
      </c>
      <c r="E3537" s="2" t="s">
        <v>413</v>
      </c>
      <c r="F3537" s="2" t="s">
        <v>40</v>
      </c>
      <c r="J3537" s="2" t="s">
        <v>541</v>
      </c>
      <c r="K3537" s="2" t="s">
        <v>542</v>
      </c>
      <c r="L3537" s="2">
        <v>2</v>
      </c>
      <c r="M3537" s="2" t="s">
        <v>544</v>
      </c>
      <c r="O3537" s="2" t="s">
        <v>524</v>
      </c>
      <c r="Y3537" s="2" t="s">
        <v>712</v>
      </c>
    </row>
    <row r="3538" spans="1:34" x14ac:dyDescent="0.25">
      <c r="A3538" s="2" t="s">
        <v>329</v>
      </c>
      <c r="B3538" s="2" t="s">
        <v>540</v>
      </c>
      <c r="C3538" s="2" t="s">
        <v>409</v>
      </c>
      <c r="D3538" s="2" t="s">
        <v>411</v>
      </c>
      <c r="E3538" s="2" t="s">
        <v>413</v>
      </c>
      <c r="F3538" s="2" t="s">
        <v>40</v>
      </c>
      <c r="J3538" s="2" t="s">
        <v>541</v>
      </c>
      <c r="K3538" s="2" t="s">
        <v>542</v>
      </c>
      <c r="L3538" s="2">
        <v>3</v>
      </c>
      <c r="M3538" s="2" t="s">
        <v>545</v>
      </c>
      <c r="O3538" s="2" t="s">
        <v>524</v>
      </c>
      <c r="Y3538" s="2" t="s">
        <v>712</v>
      </c>
    </row>
    <row r="3539" spans="1:34" x14ac:dyDescent="0.25">
      <c r="A3539" s="2" t="s">
        <v>329</v>
      </c>
      <c r="B3539" s="2" t="s">
        <v>540</v>
      </c>
      <c r="C3539" s="2" t="s">
        <v>409</v>
      </c>
      <c r="D3539" s="2" t="s">
        <v>411</v>
      </c>
      <c r="E3539" s="2" t="s">
        <v>413</v>
      </c>
      <c r="F3539" s="2" t="s">
        <v>40</v>
      </c>
      <c r="J3539" s="2" t="s">
        <v>541</v>
      </c>
      <c r="K3539" s="2" t="s">
        <v>542</v>
      </c>
      <c r="L3539" s="2">
        <v>4</v>
      </c>
      <c r="M3539" s="2" t="s">
        <v>546</v>
      </c>
      <c r="O3539" s="2" t="s">
        <v>524</v>
      </c>
      <c r="Y3539" s="2" t="s">
        <v>712</v>
      </c>
    </row>
    <row r="3540" spans="1:34" x14ac:dyDescent="0.25">
      <c r="A3540" s="2" t="s">
        <v>329</v>
      </c>
      <c r="B3540" s="2" t="s">
        <v>540</v>
      </c>
      <c r="C3540" s="2" t="s">
        <v>409</v>
      </c>
      <c r="D3540" s="2" t="s">
        <v>411</v>
      </c>
      <c r="E3540" s="2" t="s">
        <v>413</v>
      </c>
      <c r="F3540" s="2" t="s">
        <v>40</v>
      </c>
      <c r="J3540" s="2" t="s">
        <v>541</v>
      </c>
      <c r="K3540" s="2" t="s">
        <v>542</v>
      </c>
      <c r="L3540" s="2">
        <v>5</v>
      </c>
      <c r="M3540" s="2" t="s">
        <v>547</v>
      </c>
      <c r="O3540" s="2" t="s">
        <v>524</v>
      </c>
      <c r="Y3540" s="2" t="s">
        <v>712</v>
      </c>
    </row>
    <row r="3541" spans="1:34" x14ac:dyDescent="0.25">
      <c r="A3541" s="2" t="s">
        <v>329</v>
      </c>
      <c r="B3541" s="2" t="s">
        <v>540</v>
      </c>
      <c r="C3541" s="2" t="s">
        <v>409</v>
      </c>
      <c r="D3541" s="2" t="s">
        <v>411</v>
      </c>
      <c r="E3541" s="2" t="s">
        <v>413</v>
      </c>
      <c r="F3541" s="2" t="s">
        <v>40</v>
      </c>
      <c r="J3541" s="2" t="s">
        <v>541</v>
      </c>
      <c r="K3541" s="2" t="s">
        <v>542</v>
      </c>
      <c r="L3541" s="2">
        <v>6</v>
      </c>
      <c r="M3541" s="2" t="s">
        <v>548</v>
      </c>
      <c r="O3541" s="2" t="s">
        <v>524</v>
      </c>
      <c r="Y3541" s="2" t="s">
        <v>712</v>
      </c>
    </row>
    <row r="3542" spans="1:34" x14ac:dyDescent="0.25">
      <c r="A3542" s="2" t="s">
        <v>329</v>
      </c>
      <c r="B3542" s="2" t="s">
        <v>540</v>
      </c>
      <c r="C3542" s="2" t="s">
        <v>409</v>
      </c>
      <c r="D3542" s="2" t="s">
        <v>411</v>
      </c>
      <c r="E3542" s="2" t="s">
        <v>413</v>
      </c>
      <c r="F3542" s="2" t="s">
        <v>40</v>
      </c>
      <c r="J3542" s="2" t="s">
        <v>541</v>
      </c>
      <c r="K3542" s="2" t="s">
        <v>542</v>
      </c>
      <c r="L3542" s="2">
        <v>7</v>
      </c>
      <c r="M3542" s="2" t="s">
        <v>549</v>
      </c>
      <c r="O3542" s="2" t="s">
        <v>524</v>
      </c>
      <c r="Y3542" s="2" t="s">
        <v>712</v>
      </c>
    </row>
    <row r="3543" spans="1:34" x14ac:dyDescent="0.25">
      <c r="A3543" s="2" t="s">
        <v>329</v>
      </c>
      <c r="B3543" s="2" t="s">
        <v>540</v>
      </c>
      <c r="C3543" s="2" t="s">
        <v>409</v>
      </c>
      <c r="D3543" s="2" t="s">
        <v>411</v>
      </c>
      <c r="E3543" s="2" t="s">
        <v>413</v>
      </c>
      <c r="F3543" s="2" t="s">
        <v>40</v>
      </c>
      <c r="J3543" s="2" t="s">
        <v>541</v>
      </c>
      <c r="K3543" s="2" t="s">
        <v>542</v>
      </c>
      <c r="L3543" s="2">
        <v>8</v>
      </c>
      <c r="M3543" s="2" t="s">
        <v>550</v>
      </c>
      <c r="O3543" s="2" t="s">
        <v>524</v>
      </c>
      <c r="Y3543" s="2" t="s">
        <v>712</v>
      </c>
    </row>
    <row r="3544" spans="1:34" x14ac:dyDescent="0.25">
      <c r="A3544" s="2" t="s">
        <v>329</v>
      </c>
      <c r="B3544" s="2" t="s">
        <v>540</v>
      </c>
      <c r="C3544" s="2" t="s">
        <v>409</v>
      </c>
      <c r="D3544" s="2" t="s">
        <v>411</v>
      </c>
      <c r="E3544" s="2" t="s">
        <v>413</v>
      </c>
      <c r="F3544" s="2" t="s">
        <v>40</v>
      </c>
      <c r="J3544" s="2" t="s">
        <v>541</v>
      </c>
      <c r="K3544" s="2" t="s">
        <v>542</v>
      </c>
      <c r="L3544" s="2">
        <v>9</v>
      </c>
      <c r="M3544" s="2" t="s">
        <v>551</v>
      </c>
      <c r="O3544" s="2" t="s">
        <v>524</v>
      </c>
      <c r="Y3544" s="2" t="s">
        <v>712</v>
      </c>
    </row>
    <row r="3545" spans="1:34" x14ac:dyDescent="0.25">
      <c r="A3545" s="2" t="s">
        <v>329</v>
      </c>
      <c r="B3545" s="2" t="s">
        <v>540</v>
      </c>
      <c r="C3545" s="2" t="s">
        <v>409</v>
      </c>
      <c r="D3545" s="2" t="s">
        <v>411</v>
      </c>
      <c r="E3545" s="2" t="s">
        <v>413</v>
      </c>
      <c r="F3545" s="2" t="s">
        <v>40</v>
      </c>
      <c r="J3545" s="2" t="s">
        <v>541</v>
      </c>
      <c r="K3545" s="2" t="s">
        <v>542</v>
      </c>
      <c r="L3545" s="2">
        <v>10</v>
      </c>
      <c r="M3545" s="2" t="s">
        <v>552</v>
      </c>
      <c r="O3545" s="2" t="s">
        <v>524</v>
      </c>
      <c r="Y3545" s="2" t="s">
        <v>712</v>
      </c>
    </row>
    <row r="3546" spans="1:34" x14ac:dyDescent="0.25">
      <c r="A3546" s="2" t="s">
        <v>329</v>
      </c>
      <c r="B3546" s="2" t="s">
        <v>540</v>
      </c>
      <c r="C3546" s="2" t="s">
        <v>409</v>
      </c>
      <c r="D3546" s="2" t="s">
        <v>411</v>
      </c>
      <c r="E3546" s="2" t="s">
        <v>413</v>
      </c>
      <c r="F3546" s="2" t="s">
        <v>40</v>
      </c>
      <c r="J3546" s="2" t="s">
        <v>541</v>
      </c>
      <c r="K3546" s="2" t="s">
        <v>542</v>
      </c>
      <c r="L3546" s="2">
        <v>11</v>
      </c>
      <c r="M3546" s="2" t="s">
        <v>553</v>
      </c>
      <c r="O3546" s="2" t="s">
        <v>524</v>
      </c>
      <c r="Y3546" s="2" t="s">
        <v>712</v>
      </c>
    </row>
    <row r="3547" spans="1:34" x14ac:dyDescent="0.25">
      <c r="A3547" s="2" t="s">
        <v>329</v>
      </c>
      <c r="B3547" s="2" t="s">
        <v>540</v>
      </c>
      <c r="C3547" s="2" t="s">
        <v>409</v>
      </c>
      <c r="D3547" s="2" t="s">
        <v>411</v>
      </c>
      <c r="E3547" s="2" t="s">
        <v>413</v>
      </c>
      <c r="F3547" s="2" t="s">
        <v>40</v>
      </c>
      <c r="J3547" s="2" t="s">
        <v>541</v>
      </c>
      <c r="K3547" s="2" t="s">
        <v>542</v>
      </c>
      <c r="L3547" s="2">
        <v>12</v>
      </c>
      <c r="M3547" s="2" t="s">
        <v>554</v>
      </c>
      <c r="O3547" s="2" t="s">
        <v>524</v>
      </c>
      <c r="Y3547" s="2" t="s">
        <v>712</v>
      </c>
    </row>
    <row r="3548" spans="1:34" x14ac:dyDescent="0.25">
      <c r="A3548" s="2" t="s">
        <v>329</v>
      </c>
      <c r="B3548" s="2" t="s">
        <v>555</v>
      </c>
      <c r="C3548" s="2" t="s">
        <v>409</v>
      </c>
      <c r="D3548" s="2" t="s">
        <v>411</v>
      </c>
      <c r="E3548" s="2" t="s">
        <v>413</v>
      </c>
      <c r="F3548" s="2" t="s">
        <v>40</v>
      </c>
      <c r="J3548" s="2" t="s">
        <v>556</v>
      </c>
      <c r="O3548" s="2" t="s">
        <v>524</v>
      </c>
      <c r="Y3548" s="2" t="s">
        <v>712</v>
      </c>
      <c r="AB3548" s="2">
        <v>2</v>
      </c>
    </row>
    <row r="3549" spans="1:34" x14ac:dyDescent="0.25">
      <c r="A3549" s="2" t="s">
        <v>329</v>
      </c>
      <c r="B3549" s="2" t="s">
        <v>557</v>
      </c>
      <c r="C3549" s="2" t="s">
        <v>409</v>
      </c>
      <c r="D3549" s="2" t="s">
        <v>411</v>
      </c>
      <c r="E3549" s="2" t="s">
        <v>413</v>
      </c>
      <c r="F3549" s="2" t="s">
        <v>40</v>
      </c>
      <c r="J3549" s="2" t="s">
        <v>558</v>
      </c>
      <c r="O3549" s="2" t="s">
        <v>524</v>
      </c>
      <c r="Y3549" s="2" t="s">
        <v>712</v>
      </c>
      <c r="AC3549" s="2">
        <f>COUNTIFS($B:$B,"BLOCK_LOAD_Q",$A:$A,$A3549,$C:$C,$C3549,$E:$E,$E3549,$F:$F,$F3549,$N:$N, "&lt;&gt;")</f>
        <v>0</v>
      </c>
      <c r="AD3549" s="2">
        <f>COUNTIFS($B:$B,"BLOCK_TRUST_Q",$A:$A,$A3549,$C:$C,$C3549,$E:$E,$E3549,$F:$F,$F3549,$N:$N, "&lt;&gt;")</f>
        <v>0</v>
      </c>
      <c r="AE3549" s="2" t="str">
        <f>IFERROR(AVERAGEIFS($P:$P,$B:$B,"BLOCK_LOAD_Q",$A:$A,$A3549,$C:$C,$C3549,$E:$E,$E3549,$F:$F,$F3549,$P:$P,"&gt;0"),"")</f>
        <v/>
      </c>
      <c r="AF3549" s="2" t="str">
        <f>IFERROR(AVERAGEIFS($P:$P,$B:$B,"BLOCK_TRUST_Q",$A:$A,$A3549,$C:$C,$C3549,$E:$E,$E3549,$F:$F,$F3549,$P:$P,"&gt;0"),"")</f>
        <v/>
      </c>
      <c r="AG3549" s="2">
        <f>5-AC3549</f>
        <v>5</v>
      </c>
      <c r="AH3549" s="2">
        <f>12-AD3549</f>
        <v>12</v>
      </c>
    </row>
    <row r="3550" spans="1:34" x14ac:dyDescent="0.25">
      <c r="A3550" s="2" t="s">
        <v>329</v>
      </c>
      <c r="B3550" s="2" t="s">
        <v>402</v>
      </c>
      <c r="C3550" s="2" t="s">
        <v>409</v>
      </c>
      <c r="D3550" s="2" t="s">
        <v>411</v>
      </c>
      <c r="E3550" s="2" t="s">
        <v>414</v>
      </c>
      <c r="F3550" s="2" t="s">
        <v>39</v>
      </c>
      <c r="G3550" s="2" t="s">
        <v>415</v>
      </c>
      <c r="H3550" s="2" t="s">
        <v>349</v>
      </c>
      <c r="S3550" s="2" t="s">
        <v>58</v>
      </c>
      <c r="U3550" s="2" t="s">
        <v>60</v>
      </c>
      <c r="W3550" s="2" t="s">
        <v>58</v>
      </c>
    </row>
    <row r="3551" spans="1:34" x14ac:dyDescent="0.25">
      <c r="A3551" s="2" t="s">
        <v>329</v>
      </c>
      <c r="B3551" s="2" t="s">
        <v>402</v>
      </c>
      <c r="C3551" s="2" t="s">
        <v>409</v>
      </c>
      <c r="D3551" s="2" t="s">
        <v>411</v>
      </c>
      <c r="E3551" s="2" t="s">
        <v>414</v>
      </c>
      <c r="F3551" s="2" t="s">
        <v>39</v>
      </c>
      <c r="G3551" s="2" t="s">
        <v>416</v>
      </c>
      <c r="H3551" s="2" t="s">
        <v>565</v>
      </c>
      <c r="S3551" s="2" t="s">
        <v>59</v>
      </c>
      <c r="U3551" s="2" t="s">
        <v>60</v>
      </c>
      <c r="W3551" s="2" t="s">
        <v>60</v>
      </c>
    </row>
    <row r="3552" spans="1:34" x14ac:dyDescent="0.25">
      <c r="A3552" s="2" t="s">
        <v>329</v>
      </c>
      <c r="B3552" s="2" t="s">
        <v>402</v>
      </c>
      <c r="C3552" s="2" t="s">
        <v>409</v>
      </c>
      <c r="D3552" s="2" t="s">
        <v>411</v>
      </c>
      <c r="E3552" s="2" t="s">
        <v>414</v>
      </c>
      <c r="F3552" s="2" t="s">
        <v>39</v>
      </c>
      <c r="G3552" s="2" t="s">
        <v>417</v>
      </c>
      <c r="H3552" s="2" t="s">
        <v>361</v>
      </c>
      <c r="S3552" s="2" t="s">
        <v>60</v>
      </c>
      <c r="U3552" s="2" t="s">
        <v>60</v>
      </c>
      <c r="W3552" s="2" t="s">
        <v>60</v>
      </c>
    </row>
    <row r="3553" spans="1:25" x14ac:dyDescent="0.25">
      <c r="A3553" s="2" t="s">
        <v>329</v>
      </c>
      <c r="B3553" s="2" t="s">
        <v>402</v>
      </c>
      <c r="C3553" s="2" t="s">
        <v>409</v>
      </c>
      <c r="D3553" s="2" t="s">
        <v>411</v>
      </c>
      <c r="E3553" s="2" t="s">
        <v>414</v>
      </c>
      <c r="F3553" s="2" t="s">
        <v>39</v>
      </c>
      <c r="G3553" s="2" t="s">
        <v>418</v>
      </c>
      <c r="H3553" s="2" t="s">
        <v>353</v>
      </c>
      <c r="S3553" s="2" t="s">
        <v>58</v>
      </c>
      <c r="U3553" s="2" t="s">
        <v>59</v>
      </c>
      <c r="W3553" s="2" t="s">
        <v>58</v>
      </c>
    </row>
    <row r="3554" spans="1:25" x14ac:dyDescent="0.25">
      <c r="A3554" s="2" t="s">
        <v>329</v>
      </c>
      <c r="B3554" s="2" t="s">
        <v>402</v>
      </c>
      <c r="C3554" s="2" t="s">
        <v>409</v>
      </c>
      <c r="D3554" s="2" t="s">
        <v>411</v>
      </c>
      <c r="E3554" s="2" t="s">
        <v>414</v>
      </c>
      <c r="F3554" s="2" t="s">
        <v>39</v>
      </c>
      <c r="G3554" s="2" t="s">
        <v>419</v>
      </c>
      <c r="H3554" s="2" t="s">
        <v>371</v>
      </c>
      <c r="S3554" s="2" t="s">
        <v>60</v>
      </c>
      <c r="U3554" s="2" t="s">
        <v>59</v>
      </c>
      <c r="W3554" s="2" t="s">
        <v>57</v>
      </c>
    </row>
    <row r="3555" spans="1:25" x14ac:dyDescent="0.25">
      <c r="A3555" s="2" t="s">
        <v>329</v>
      </c>
      <c r="B3555" s="2" t="s">
        <v>531</v>
      </c>
      <c r="C3555" s="2" t="s">
        <v>409</v>
      </c>
      <c r="D3555" s="2" t="s">
        <v>411</v>
      </c>
      <c r="E3555" s="2" t="s">
        <v>414</v>
      </c>
      <c r="F3555" s="2" t="s">
        <v>39</v>
      </c>
      <c r="J3555" s="2" t="s">
        <v>532</v>
      </c>
      <c r="K3555" s="2" t="s">
        <v>533</v>
      </c>
      <c r="L3555" s="2">
        <v>1</v>
      </c>
      <c r="M3555" s="2" t="s">
        <v>534</v>
      </c>
      <c r="O3555" s="2" t="s">
        <v>524</v>
      </c>
      <c r="Y3555" s="2" t="s">
        <v>713</v>
      </c>
    </row>
    <row r="3556" spans="1:25" x14ac:dyDescent="0.25">
      <c r="A3556" s="2" t="s">
        <v>329</v>
      </c>
      <c r="B3556" s="2" t="s">
        <v>531</v>
      </c>
      <c r="C3556" s="2" t="s">
        <v>409</v>
      </c>
      <c r="D3556" s="2" t="s">
        <v>411</v>
      </c>
      <c r="E3556" s="2" t="s">
        <v>414</v>
      </c>
      <c r="F3556" s="2" t="s">
        <v>39</v>
      </c>
      <c r="J3556" s="2" t="s">
        <v>532</v>
      </c>
      <c r="K3556" s="2" t="s">
        <v>533</v>
      </c>
      <c r="L3556" s="2">
        <v>2</v>
      </c>
      <c r="M3556" s="2" t="s">
        <v>536</v>
      </c>
      <c r="O3556" s="2" t="s">
        <v>524</v>
      </c>
      <c r="Y3556" s="2" t="s">
        <v>713</v>
      </c>
    </row>
    <row r="3557" spans="1:25" x14ac:dyDescent="0.25">
      <c r="A3557" s="2" t="s">
        <v>329</v>
      </c>
      <c r="B3557" s="2" t="s">
        <v>531</v>
      </c>
      <c r="C3557" s="2" t="s">
        <v>409</v>
      </c>
      <c r="D3557" s="2" t="s">
        <v>411</v>
      </c>
      <c r="E3557" s="2" t="s">
        <v>414</v>
      </c>
      <c r="F3557" s="2" t="s">
        <v>39</v>
      </c>
      <c r="J3557" s="2" t="s">
        <v>532</v>
      </c>
      <c r="K3557" s="2" t="s">
        <v>533</v>
      </c>
      <c r="L3557" s="2">
        <v>3</v>
      </c>
      <c r="M3557" s="2" t="s">
        <v>537</v>
      </c>
      <c r="O3557" s="2" t="s">
        <v>524</v>
      </c>
      <c r="Y3557" s="2" t="s">
        <v>713</v>
      </c>
    </row>
    <row r="3558" spans="1:25" x14ac:dyDescent="0.25">
      <c r="A3558" s="2" t="s">
        <v>329</v>
      </c>
      <c r="B3558" s="2" t="s">
        <v>531</v>
      </c>
      <c r="C3558" s="2" t="s">
        <v>409</v>
      </c>
      <c r="D3558" s="2" t="s">
        <v>411</v>
      </c>
      <c r="E3558" s="2" t="s">
        <v>414</v>
      </c>
      <c r="F3558" s="2" t="s">
        <v>39</v>
      </c>
      <c r="J3558" s="2" t="s">
        <v>532</v>
      </c>
      <c r="K3558" s="2" t="s">
        <v>533</v>
      </c>
      <c r="L3558" s="2">
        <v>4</v>
      </c>
      <c r="M3558" s="2" t="s">
        <v>538</v>
      </c>
      <c r="O3558" s="2" t="s">
        <v>524</v>
      </c>
      <c r="Y3558" s="2" t="s">
        <v>713</v>
      </c>
    </row>
    <row r="3559" spans="1:25" x14ac:dyDescent="0.25">
      <c r="A3559" s="2" t="s">
        <v>329</v>
      </c>
      <c r="B3559" s="2" t="s">
        <v>531</v>
      </c>
      <c r="C3559" s="2" t="s">
        <v>409</v>
      </c>
      <c r="D3559" s="2" t="s">
        <v>411</v>
      </c>
      <c r="E3559" s="2" t="s">
        <v>414</v>
      </c>
      <c r="F3559" s="2" t="s">
        <v>39</v>
      </c>
      <c r="J3559" s="2" t="s">
        <v>532</v>
      </c>
      <c r="K3559" s="2" t="s">
        <v>533</v>
      </c>
      <c r="L3559" s="2">
        <v>5</v>
      </c>
      <c r="M3559" s="2" t="s">
        <v>539</v>
      </c>
      <c r="O3559" s="2" t="s">
        <v>524</v>
      </c>
      <c r="Y3559" s="2" t="s">
        <v>713</v>
      </c>
    </row>
    <row r="3560" spans="1:25" x14ac:dyDescent="0.25">
      <c r="A3560" s="2" t="s">
        <v>329</v>
      </c>
      <c r="B3560" s="2" t="s">
        <v>540</v>
      </c>
      <c r="C3560" s="2" t="s">
        <v>409</v>
      </c>
      <c r="D3560" s="2" t="s">
        <v>411</v>
      </c>
      <c r="E3560" s="2" t="s">
        <v>414</v>
      </c>
      <c r="F3560" s="2" t="s">
        <v>39</v>
      </c>
      <c r="J3560" s="2" t="s">
        <v>541</v>
      </c>
      <c r="K3560" s="2" t="s">
        <v>542</v>
      </c>
      <c r="L3560" s="2">
        <v>1</v>
      </c>
      <c r="M3560" s="2" t="s">
        <v>543</v>
      </c>
      <c r="O3560" s="2" t="s">
        <v>524</v>
      </c>
      <c r="Y3560" s="2" t="s">
        <v>713</v>
      </c>
    </row>
    <row r="3561" spans="1:25" x14ac:dyDescent="0.25">
      <c r="A3561" s="2" t="s">
        <v>329</v>
      </c>
      <c r="B3561" s="2" t="s">
        <v>540</v>
      </c>
      <c r="C3561" s="2" t="s">
        <v>409</v>
      </c>
      <c r="D3561" s="2" t="s">
        <v>411</v>
      </c>
      <c r="E3561" s="2" t="s">
        <v>414</v>
      </c>
      <c r="F3561" s="2" t="s">
        <v>39</v>
      </c>
      <c r="J3561" s="2" t="s">
        <v>541</v>
      </c>
      <c r="K3561" s="2" t="s">
        <v>542</v>
      </c>
      <c r="L3561" s="2">
        <v>2</v>
      </c>
      <c r="M3561" s="2" t="s">
        <v>544</v>
      </c>
      <c r="O3561" s="2" t="s">
        <v>524</v>
      </c>
      <c r="Y3561" s="2" t="s">
        <v>713</v>
      </c>
    </row>
    <row r="3562" spans="1:25" x14ac:dyDescent="0.25">
      <c r="A3562" s="2" t="s">
        <v>329</v>
      </c>
      <c r="B3562" s="2" t="s">
        <v>540</v>
      </c>
      <c r="C3562" s="2" t="s">
        <v>409</v>
      </c>
      <c r="D3562" s="2" t="s">
        <v>411</v>
      </c>
      <c r="E3562" s="2" t="s">
        <v>414</v>
      </c>
      <c r="F3562" s="2" t="s">
        <v>39</v>
      </c>
      <c r="J3562" s="2" t="s">
        <v>541</v>
      </c>
      <c r="K3562" s="2" t="s">
        <v>542</v>
      </c>
      <c r="L3562" s="2">
        <v>3</v>
      </c>
      <c r="M3562" s="2" t="s">
        <v>545</v>
      </c>
      <c r="O3562" s="2" t="s">
        <v>524</v>
      </c>
      <c r="Y3562" s="2" t="s">
        <v>713</v>
      </c>
    </row>
    <row r="3563" spans="1:25" x14ac:dyDescent="0.25">
      <c r="A3563" s="2" t="s">
        <v>329</v>
      </c>
      <c r="B3563" s="2" t="s">
        <v>540</v>
      </c>
      <c r="C3563" s="2" t="s">
        <v>409</v>
      </c>
      <c r="D3563" s="2" t="s">
        <v>411</v>
      </c>
      <c r="E3563" s="2" t="s">
        <v>414</v>
      </c>
      <c r="F3563" s="2" t="s">
        <v>39</v>
      </c>
      <c r="J3563" s="2" t="s">
        <v>541</v>
      </c>
      <c r="K3563" s="2" t="s">
        <v>542</v>
      </c>
      <c r="L3563" s="2">
        <v>4</v>
      </c>
      <c r="M3563" s="2" t="s">
        <v>546</v>
      </c>
      <c r="O3563" s="2" t="s">
        <v>524</v>
      </c>
      <c r="Y3563" s="2" t="s">
        <v>713</v>
      </c>
    </row>
    <row r="3564" spans="1:25" x14ac:dyDescent="0.25">
      <c r="A3564" s="2" t="s">
        <v>329</v>
      </c>
      <c r="B3564" s="2" t="s">
        <v>540</v>
      </c>
      <c r="C3564" s="2" t="s">
        <v>409</v>
      </c>
      <c r="D3564" s="2" t="s">
        <v>411</v>
      </c>
      <c r="E3564" s="2" t="s">
        <v>414</v>
      </c>
      <c r="F3564" s="2" t="s">
        <v>39</v>
      </c>
      <c r="J3564" s="2" t="s">
        <v>541</v>
      </c>
      <c r="K3564" s="2" t="s">
        <v>542</v>
      </c>
      <c r="L3564" s="2">
        <v>5</v>
      </c>
      <c r="M3564" s="2" t="s">
        <v>547</v>
      </c>
      <c r="O3564" s="2" t="s">
        <v>524</v>
      </c>
      <c r="Y3564" s="2" t="s">
        <v>713</v>
      </c>
    </row>
    <row r="3565" spans="1:25" x14ac:dyDescent="0.25">
      <c r="A3565" s="2" t="s">
        <v>329</v>
      </c>
      <c r="B3565" s="2" t="s">
        <v>540</v>
      </c>
      <c r="C3565" s="2" t="s">
        <v>409</v>
      </c>
      <c r="D3565" s="2" t="s">
        <v>411</v>
      </c>
      <c r="E3565" s="2" t="s">
        <v>414</v>
      </c>
      <c r="F3565" s="2" t="s">
        <v>39</v>
      </c>
      <c r="J3565" s="2" t="s">
        <v>541</v>
      </c>
      <c r="K3565" s="2" t="s">
        <v>542</v>
      </c>
      <c r="L3565" s="2">
        <v>6</v>
      </c>
      <c r="M3565" s="2" t="s">
        <v>548</v>
      </c>
      <c r="O3565" s="2" t="s">
        <v>524</v>
      </c>
      <c r="Y3565" s="2" t="s">
        <v>713</v>
      </c>
    </row>
    <row r="3566" spans="1:25" x14ac:dyDescent="0.25">
      <c r="A3566" s="2" t="s">
        <v>329</v>
      </c>
      <c r="B3566" s="2" t="s">
        <v>540</v>
      </c>
      <c r="C3566" s="2" t="s">
        <v>409</v>
      </c>
      <c r="D3566" s="2" t="s">
        <v>411</v>
      </c>
      <c r="E3566" s="2" t="s">
        <v>414</v>
      </c>
      <c r="F3566" s="2" t="s">
        <v>39</v>
      </c>
      <c r="J3566" s="2" t="s">
        <v>541</v>
      </c>
      <c r="K3566" s="2" t="s">
        <v>542</v>
      </c>
      <c r="L3566" s="2">
        <v>7</v>
      </c>
      <c r="M3566" s="2" t="s">
        <v>549</v>
      </c>
      <c r="O3566" s="2" t="s">
        <v>524</v>
      </c>
      <c r="Y3566" s="2" t="s">
        <v>713</v>
      </c>
    </row>
    <row r="3567" spans="1:25" x14ac:dyDescent="0.25">
      <c r="A3567" s="2" t="s">
        <v>329</v>
      </c>
      <c r="B3567" s="2" t="s">
        <v>540</v>
      </c>
      <c r="C3567" s="2" t="s">
        <v>409</v>
      </c>
      <c r="D3567" s="2" t="s">
        <v>411</v>
      </c>
      <c r="E3567" s="2" t="s">
        <v>414</v>
      </c>
      <c r="F3567" s="2" t="s">
        <v>39</v>
      </c>
      <c r="J3567" s="2" t="s">
        <v>541</v>
      </c>
      <c r="K3567" s="2" t="s">
        <v>542</v>
      </c>
      <c r="L3567" s="2">
        <v>8</v>
      </c>
      <c r="M3567" s="2" t="s">
        <v>550</v>
      </c>
      <c r="O3567" s="2" t="s">
        <v>524</v>
      </c>
      <c r="Y3567" s="2" t="s">
        <v>713</v>
      </c>
    </row>
    <row r="3568" spans="1:25" x14ac:dyDescent="0.25">
      <c r="A3568" s="2" t="s">
        <v>329</v>
      </c>
      <c r="B3568" s="2" t="s">
        <v>540</v>
      </c>
      <c r="C3568" s="2" t="s">
        <v>409</v>
      </c>
      <c r="D3568" s="2" t="s">
        <v>411</v>
      </c>
      <c r="E3568" s="2" t="s">
        <v>414</v>
      </c>
      <c r="F3568" s="2" t="s">
        <v>39</v>
      </c>
      <c r="J3568" s="2" t="s">
        <v>541</v>
      </c>
      <c r="K3568" s="2" t="s">
        <v>542</v>
      </c>
      <c r="L3568" s="2">
        <v>9</v>
      </c>
      <c r="M3568" s="2" t="s">
        <v>551</v>
      </c>
      <c r="O3568" s="2" t="s">
        <v>524</v>
      </c>
      <c r="Y3568" s="2" t="s">
        <v>713</v>
      </c>
    </row>
    <row r="3569" spans="1:34" x14ac:dyDescent="0.25">
      <c r="A3569" s="2" t="s">
        <v>329</v>
      </c>
      <c r="B3569" s="2" t="s">
        <v>540</v>
      </c>
      <c r="C3569" s="2" t="s">
        <v>409</v>
      </c>
      <c r="D3569" s="2" t="s">
        <v>411</v>
      </c>
      <c r="E3569" s="2" t="s">
        <v>414</v>
      </c>
      <c r="F3569" s="2" t="s">
        <v>39</v>
      </c>
      <c r="J3569" s="2" t="s">
        <v>541</v>
      </c>
      <c r="K3569" s="2" t="s">
        <v>542</v>
      </c>
      <c r="L3569" s="2">
        <v>10</v>
      </c>
      <c r="M3569" s="2" t="s">
        <v>552</v>
      </c>
      <c r="O3569" s="2" t="s">
        <v>524</v>
      </c>
      <c r="Y3569" s="2" t="s">
        <v>713</v>
      </c>
    </row>
    <row r="3570" spans="1:34" x14ac:dyDescent="0.25">
      <c r="A3570" s="2" t="s">
        <v>329</v>
      </c>
      <c r="B3570" s="2" t="s">
        <v>540</v>
      </c>
      <c r="C3570" s="2" t="s">
        <v>409</v>
      </c>
      <c r="D3570" s="2" t="s">
        <v>411</v>
      </c>
      <c r="E3570" s="2" t="s">
        <v>414</v>
      </c>
      <c r="F3570" s="2" t="s">
        <v>39</v>
      </c>
      <c r="J3570" s="2" t="s">
        <v>541</v>
      </c>
      <c r="K3570" s="2" t="s">
        <v>542</v>
      </c>
      <c r="L3570" s="2">
        <v>11</v>
      </c>
      <c r="M3570" s="2" t="s">
        <v>553</v>
      </c>
      <c r="O3570" s="2" t="s">
        <v>524</v>
      </c>
      <c r="Y3570" s="2" t="s">
        <v>713</v>
      </c>
    </row>
    <row r="3571" spans="1:34" x14ac:dyDescent="0.25">
      <c r="A3571" s="2" t="s">
        <v>329</v>
      </c>
      <c r="B3571" s="2" t="s">
        <v>540</v>
      </c>
      <c r="C3571" s="2" t="s">
        <v>409</v>
      </c>
      <c r="D3571" s="2" t="s">
        <v>411</v>
      </c>
      <c r="E3571" s="2" t="s">
        <v>414</v>
      </c>
      <c r="F3571" s="2" t="s">
        <v>39</v>
      </c>
      <c r="J3571" s="2" t="s">
        <v>541</v>
      </c>
      <c r="K3571" s="2" t="s">
        <v>542</v>
      </c>
      <c r="L3571" s="2">
        <v>12</v>
      </c>
      <c r="M3571" s="2" t="s">
        <v>554</v>
      </c>
      <c r="O3571" s="2" t="s">
        <v>524</v>
      </c>
      <c r="Y3571" s="2" t="s">
        <v>713</v>
      </c>
    </row>
    <row r="3572" spans="1:34" x14ac:dyDescent="0.25">
      <c r="A3572" s="2" t="s">
        <v>329</v>
      </c>
      <c r="B3572" s="2" t="s">
        <v>555</v>
      </c>
      <c r="C3572" s="2" t="s">
        <v>409</v>
      </c>
      <c r="D3572" s="2" t="s">
        <v>411</v>
      </c>
      <c r="E3572" s="2" t="s">
        <v>414</v>
      </c>
      <c r="F3572" s="2" t="s">
        <v>39</v>
      </c>
      <c r="J3572" s="2" t="s">
        <v>556</v>
      </c>
      <c r="O3572" s="2" t="s">
        <v>524</v>
      </c>
      <c r="Y3572" s="2" t="s">
        <v>713</v>
      </c>
      <c r="AB3572" s="2">
        <v>1</v>
      </c>
    </row>
    <row r="3573" spans="1:34" x14ac:dyDescent="0.25">
      <c r="A3573" s="2" t="s">
        <v>329</v>
      </c>
      <c r="B3573" s="2" t="s">
        <v>557</v>
      </c>
      <c r="C3573" s="2" t="s">
        <v>409</v>
      </c>
      <c r="D3573" s="2" t="s">
        <v>411</v>
      </c>
      <c r="E3573" s="2" t="s">
        <v>414</v>
      </c>
      <c r="F3573" s="2" t="s">
        <v>39</v>
      </c>
      <c r="J3573" s="2" t="s">
        <v>558</v>
      </c>
      <c r="O3573" s="2" t="s">
        <v>524</v>
      </c>
      <c r="Y3573" s="2" t="s">
        <v>713</v>
      </c>
      <c r="AC3573" s="2">
        <f>COUNTIFS($B:$B,"BLOCK_LOAD_Q",$A:$A,$A3573,$C:$C,$C3573,$E:$E,$E3573,$F:$F,$F3573,$N:$N, "&lt;&gt;")</f>
        <v>0</v>
      </c>
      <c r="AD3573" s="2">
        <f>COUNTIFS($B:$B,"BLOCK_TRUST_Q",$A:$A,$A3573,$C:$C,$C3573,$E:$E,$E3573,$F:$F,$F3573,$N:$N, "&lt;&gt;")</f>
        <v>0</v>
      </c>
      <c r="AE3573" s="2" t="str">
        <f>IFERROR(AVERAGEIFS($P:$P,$B:$B,"BLOCK_LOAD_Q",$A:$A,$A3573,$C:$C,$C3573,$E:$E,$E3573,$F:$F,$F3573,$P:$P,"&gt;0"),"")</f>
        <v/>
      </c>
      <c r="AF3573" s="2" t="str">
        <f>IFERROR(AVERAGEIFS($P:$P,$B:$B,"BLOCK_TRUST_Q",$A:$A,$A3573,$C:$C,$C3573,$E:$E,$E3573,$F:$F,$F3573,$P:$P,"&gt;0"),"")</f>
        <v/>
      </c>
      <c r="AG3573" s="2">
        <f>5-AC3573</f>
        <v>5</v>
      </c>
      <c r="AH3573" s="2">
        <f>12-AD3573</f>
        <v>12</v>
      </c>
    </row>
    <row r="3574" spans="1:34" x14ac:dyDescent="0.25">
      <c r="A3574" s="2" t="s">
        <v>329</v>
      </c>
      <c r="B3574" s="2" t="s">
        <v>403</v>
      </c>
      <c r="C3574" s="2" t="s">
        <v>409</v>
      </c>
      <c r="D3574" s="2" t="s">
        <v>411</v>
      </c>
      <c r="Z3574" s="2" t="s">
        <v>491</v>
      </c>
    </row>
    <row r="3575" spans="1:34" x14ac:dyDescent="0.25">
      <c r="A3575" s="2" t="s">
        <v>329</v>
      </c>
      <c r="B3575" s="2" t="s">
        <v>404</v>
      </c>
      <c r="J3575" s="2" t="s">
        <v>575</v>
      </c>
      <c r="AA3575" s="2" t="s">
        <v>336</v>
      </c>
    </row>
    <row r="3576" spans="1:34" x14ac:dyDescent="0.25">
      <c r="A3576" s="2" t="s">
        <v>329</v>
      </c>
      <c r="B3576" s="2" t="s">
        <v>405</v>
      </c>
    </row>
    <row r="3577" spans="1:34" x14ac:dyDescent="0.25">
      <c r="A3577" s="2" t="s">
        <v>329</v>
      </c>
      <c r="B3577" s="2" t="s">
        <v>406</v>
      </c>
    </row>
    <row r="3578" spans="1:34" x14ac:dyDescent="0.25">
      <c r="A3578" s="2" t="s">
        <v>330</v>
      </c>
      <c r="B3578" s="2" t="s">
        <v>523</v>
      </c>
      <c r="C3578" s="2" t="s">
        <v>524</v>
      </c>
      <c r="D3578" s="2" t="s">
        <v>524</v>
      </c>
      <c r="E3578" s="2" t="s">
        <v>524</v>
      </c>
      <c r="F3578" s="2" t="s">
        <v>524</v>
      </c>
      <c r="J3578" s="2" t="s">
        <v>525</v>
      </c>
      <c r="O3578" s="2" t="s">
        <v>524</v>
      </c>
    </row>
    <row r="3579" spans="1:34" x14ac:dyDescent="0.25">
      <c r="A3579" s="2" t="s">
        <v>330</v>
      </c>
      <c r="B3579" s="2" t="s">
        <v>526</v>
      </c>
      <c r="C3579" s="2" t="s">
        <v>524</v>
      </c>
      <c r="D3579" s="2" t="s">
        <v>524</v>
      </c>
      <c r="E3579" s="2" t="s">
        <v>524</v>
      </c>
      <c r="F3579" s="2" t="s">
        <v>524</v>
      </c>
      <c r="J3579" s="2" t="s">
        <v>527</v>
      </c>
      <c r="O3579" s="2" t="s">
        <v>524</v>
      </c>
    </row>
    <row r="3580" spans="1:34" x14ac:dyDescent="0.25">
      <c r="A3580" s="2" t="s">
        <v>330</v>
      </c>
      <c r="B3580" s="2" t="s">
        <v>402</v>
      </c>
      <c r="C3580" s="2" t="s">
        <v>407</v>
      </c>
      <c r="D3580" s="2" t="s">
        <v>410</v>
      </c>
      <c r="E3580" s="2" t="s">
        <v>413</v>
      </c>
      <c r="F3580" s="2" t="s">
        <v>40</v>
      </c>
      <c r="G3580" s="2" t="s">
        <v>415</v>
      </c>
      <c r="H3580" s="2" t="s">
        <v>354</v>
      </c>
      <c r="S3580" s="2" t="s">
        <v>59</v>
      </c>
      <c r="U3580" s="2" t="s">
        <v>59</v>
      </c>
      <c r="W3580" s="2" t="s">
        <v>58</v>
      </c>
    </row>
    <row r="3581" spans="1:34" x14ac:dyDescent="0.25">
      <c r="A3581" s="2" t="s">
        <v>330</v>
      </c>
      <c r="B3581" s="2" t="s">
        <v>402</v>
      </c>
      <c r="C3581" s="2" t="s">
        <v>407</v>
      </c>
      <c r="D3581" s="2" t="s">
        <v>410</v>
      </c>
      <c r="E3581" s="2" t="s">
        <v>413</v>
      </c>
      <c r="F3581" s="2" t="s">
        <v>40</v>
      </c>
      <c r="G3581" s="2" t="s">
        <v>416</v>
      </c>
      <c r="H3581" s="2" t="s">
        <v>559</v>
      </c>
      <c r="S3581" s="2" t="s">
        <v>57</v>
      </c>
      <c r="U3581" s="2" t="s">
        <v>57</v>
      </c>
      <c r="W3581" s="2" t="s">
        <v>58</v>
      </c>
    </row>
    <row r="3582" spans="1:34" x14ac:dyDescent="0.25">
      <c r="A3582" s="2" t="s">
        <v>330</v>
      </c>
      <c r="B3582" s="2" t="s">
        <v>402</v>
      </c>
      <c r="C3582" s="2" t="s">
        <v>407</v>
      </c>
      <c r="D3582" s="2" t="s">
        <v>410</v>
      </c>
      <c r="E3582" s="2" t="s">
        <v>413</v>
      </c>
      <c r="F3582" s="2" t="s">
        <v>40</v>
      </c>
      <c r="G3582" s="2" t="s">
        <v>417</v>
      </c>
      <c r="H3582" s="2" t="s">
        <v>370</v>
      </c>
      <c r="S3582" s="2" t="s">
        <v>60</v>
      </c>
      <c r="U3582" s="2" t="s">
        <v>58</v>
      </c>
      <c r="W3582" s="2" t="s">
        <v>59</v>
      </c>
    </row>
    <row r="3583" spans="1:34" x14ac:dyDescent="0.25">
      <c r="A3583" s="2" t="s">
        <v>330</v>
      </c>
      <c r="B3583" s="2" t="s">
        <v>402</v>
      </c>
      <c r="C3583" s="2" t="s">
        <v>407</v>
      </c>
      <c r="D3583" s="2" t="s">
        <v>410</v>
      </c>
      <c r="E3583" s="2" t="s">
        <v>413</v>
      </c>
      <c r="F3583" s="2" t="s">
        <v>40</v>
      </c>
      <c r="G3583" s="2" t="s">
        <v>418</v>
      </c>
      <c r="H3583" s="2" t="s">
        <v>560</v>
      </c>
      <c r="S3583" s="2" t="s">
        <v>57</v>
      </c>
      <c r="U3583" s="2" t="s">
        <v>58</v>
      </c>
      <c r="W3583" s="2" t="s">
        <v>60</v>
      </c>
    </row>
    <row r="3584" spans="1:34" x14ac:dyDescent="0.25">
      <c r="A3584" s="2" t="s">
        <v>330</v>
      </c>
      <c r="B3584" s="2" t="s">
        <v>531</v>
      </c>
      <c r="C3584" s="2" t="s">
        <v>407</v>
      </c>
      <c r="D3584" s="2" t="s">
        <v>410</v>
      </c>
      <c r="E3584" s="2" t="s">
        <v>413</v>
      </c>
      <c r="F3584" s="2" t="s">
        <v>40</v>
      </c>
      <c r="J3584" s="2" t="s">
        <v>532</v>
      </c>
      <c r="K3584" s="2" t="s">
        <v>533</v>
      </c>
      <c r="L3584" s="2">
        <v>1</v>
      </c>
      <c r="M3584" s="2" t="s">
        <v>534</v>
      </c>
      <c r="O3584" s="2" t="s">
        <v>524</v>
      </c>
      <c r="Y3584" s="2" t="s">
        <v>714</v>
      </c>
    </row>
    <row r="3585" spans="1:25" x14ac:dyDescent="0.25">
      <c r="A3585" s="2" t="s">
        <v>330</v>
      </c>
      <c r="B3585" s="2" t="s">
        <v>531</v>
      </c>
      <c r="C3585" s="2" t="s">
        <v>407</v>
      </c>
      <c r="D3585" s="2" t="s">
        <v>410</v>
      </c>
      <c r="E3585" s="2" t="s">
        <v>413</v>
      </c>
      <c r="F3585" s="2" t="s">
        <v>40</v>
      </c>
      <c r="J3585" s="2" t="s">
        <v>532</v>
      </c>
      <c r="K3585" s="2" t="s">
        <v>533</v>
      </c>
      <c r="L3585" s="2">
        <v>2</v>
      </c>
      <c r="M3585" s="2" t="s">
        <v>536</v>
      </c>
      <c r="O3585" s="2" t="s">
        <v>524</v>
      </c>
      <c r="Y3585" s="2" t="s">
        <v>714</v>
      </c>
    </row>
    <row r="3586" spans="1:25" x14ac:dyDescent="0.25">
      <c r="A3586" s="2" t="s">
        <v>330</v>
      </c>
      <c r="B3586" s="2" t="s">
        <v>531</v>
      </c>
      <c r="C3586" s="2" t="s">
        <v>407</v>
      </c>
      <c r="D3586" s="2" t="s">
        <v>410</v>
      </c>
      <c r="E3586" s="2" t="s">
        <v>413</v>
      </c>
      <c r="F3586" s="2" t="s">
        <v>40</v>
      </c>
      <c r="J3586" s="2" t="s">
        <v>532</v>
      </c>
      <c r="K3586" s="2" t="s">
        <v>533</v>
      </c>
      <c r="L3586" s="2">
        <v>3</v>
      </c>
      <c r="M3586" s="2" t="s">
        <v>537</v>
      </c>
      <c r="O3586" s="2" t="s">
        <v>524</v>
      </c>
      <c r="Y3586" s="2" t="s">
        <v>714</v>
      </c>
    </row>
    <row r="3587" spans="1:25" x14ac:dyDescent="0.25">
      <c r="A3587" s="2" t="s">
        <v>330</v>
      </c>
      <c r="B3587" s="2" t="s">
        <v>531</v>
      </c>
      <c r="C3587" s="2" t="s">
        <v>407</v>
      </c>
      <c r="D3587" s="2" t="s">
        <v>410</v>
      </c>
      <c r="E3587" s="2" t="s">
        <v>413</v>
      </c>
      <c r="F3587" s="2" t="s">
        <v>40</v>
      </c>
      <c r="J3587" s="2" t="s">
        <v>532</v>
      </c>
      <c r="K3587" s="2" t="s">
        <v>533</v>
      </c>
      <c r="L3587" s="2">
        <v>4</v>
      </c>
      <c r="M3587" s="2" t="s">
        <v>538</v>
      </c>
      <c r="O3587" s="2" t="s">
        <v>524</v>
      </c>
      <c r="Y3587" s="2" t="s">
        <v>714</v>
      </c>
    </row>
    <row r="3588" spans="1:25" x14ac:dyDescent="0.25">
      <c r="A3588" s="2" t="s">
        <v>330</v>
      </c>
      <c r="B3588" s="2" t="s">
        <v>531</v>
      </c>
      <c r="C3588" s="2" t="s">
        <v>407</v>
      </c>
      <c r="D3588" s="2" t="s">
        <v>410</v>
      </c>
      <c r="E3588" s="2" t="s">
        <v>413</v>
      </c>
      <c r="F3588" s="2" t="s">
        <v>40</v>
      </c>
      <c r="J3588" s="2" t="s">
        <v>532</v>
      </c>
      <c r="K3588" s="2" t="s">
        <v>533</v>
      </c>
      <c r="L3588" s="2">
        <v>5</v>
      </c>
      <c r="M3588" s="2" t="s">
        <v>539</v>
      </c>
      <c r="O3588" s="2" t="s">
        <v>524</v>
      </c>
      <c r="Y3588" s="2" t="s">
        <v>714</v>
      </c>
    </row>
    <row r="3589" spans="1:25" x14ac:dyDescent="0.25">
      <c r="A3589" s="2" t="s">
        <v>330</v>
      </c>
      <c r="B3589" s="2" t="s">
        <v>540</v>
      </c>
      <c r="C3589" s="2" t="s">
        <v>407</v>
      </c>
      <c r="D3589" s="2" t="s">
        <v>410</v>
      </c>
      <c r="E3589" s="2" t="s">
        <v>413</v>
      </c>
      <c r="F3589" s="2" t="s">
        <v>40</v>
      </c>
      <c r="J3589" s="2" t="s">
        <v>541</v>
      </c>
      <c r="K3589" s="2" t="s">
        <v>542</v>
      </c>
      <c r="L3589" s="2">
        <v>1</v>
      </c>
      <c r="M3589" s="2" t="s">
        <v>543</v>
      </c>
      <c r="O3589" s="2" t="s">
        <v>524</v>
      </c>
      <c r="Y3589" s="2" t="s">
        <v>714</v>
      </c>
    </row>
    <row r="3590" spans="1:25" x14ac:dyDescent="0.25">
      <c r="A3590" s="2" t="s">
        <v>330</v>
      </c>
      <c r="B3590" s="2" t="s">
        <v>540</v>
      </c>
      <c r="C3590" s="2" t="s">
        <v>407</v>
      </c>
      <c r="D3590" s="2" t="s">
        <v>410</v>
      </c>
      <c r="E3590" s="2" t="s">
        <v>413</v>
      </c>
      <c r="F3590" s="2" t="s">
        <v>40</v>
      </c>
      <c r="J3590" s="2" t="s">
        <v>541</v>
      </c>
      <c r="K3590" s="2" t="s">
        <v>542</v>
      </c>
      <c r="L3590" s="2">
        <v>2</v>
      </c>
      <c r="M3590" s="2" t="s">
        <v>544</v>
      </c>
      <c r="O3590" s="2" t="s">
        <v>524</v>
      </c>
      <c r="Y3590" s="2" t="s">
        <v>714</v>
      </c>
    </row>
    <row r="3591" spans="1:25" x14ac:dyDescent="0.25">
      <c r="A3591" s="2" t="s">
        <v>330</v>
      </c>
      <c r="B3591" s="2" t="s">
        <v>540</v>
      </c>
      <c r="C3591" s="2" t="s">
        <v>407</v>
      </c>
      <c r="D3591" s="2" t="s">
        <v>410</v>
      </c>
      <c r="E3591" s="2" t="s">
        <v>413</v>
      </c>
      <c r="F3591" s="2" t="s">
        <v>40</v>
      </c>
      <c r="J3591" s="2" t="s">
        <v>541</v>
      </c>
      <c r="K3591" s="2" t="s">
        <v>542</v>
      </c>
      <c r="L3591" s="2">
        <v>3</v>
      </c>
      <c r="M3591" s="2" t="s">
        <v>545</v>
      </c>
      <c r="O3591" s="2" t="s">
        <v>524</v>
      </c>
      <c r="Y3591" s="2" t="s">
        <v>714</v>
      </c>
    </row>
    <row r="3592" spans="1:25" x14ac:dyDescent="0.25">
      <c r="A3592" s="2" t="s">
        <v>330</v>
      </c>
      <c r="B3592" s="2" t="s">
        <v>540</v>
      </c>
      <c r="C3592" s="2" t="s">
        <v>407</v>
      </c>
      <c r="D3592" s="2" t="s">
        <v>410</v>
      </c>
      <c r="E3592" s="2" t="s">
        <v>413</v>
      </c>
      <c r="F3592" s="2" t="s">
        <v>40</v>
      </c>
      <c r="J3592" s="2" t="s">
        <v>541</v>
      </c>
      <c r="K3592" s="2" t="s">
        <v>542</v>
      </c>
      <c r="L3592" s="2">
        <v>4</v>
      </c>
      <c r="M3592" s="2" t="s">
        <v>546</v>
      </c>
      <c r="O3592" s="2" t="s">
        <v>524</v>
      </c>
      <c r="Y3592" s="2" t="s">
        <v>714</v>
      </c>
    </row>
    <row r="3593" spans="1:25" x14ac:dyDescent="0.25">
      <c r="A3593" s="2" t="s">
        <v>330</v>
      </c>
      <c r="B3593" s="2" t="s">
        <v>540</v>
      </c>
      <c r="C3593" s="2" t="s">
        <v>407</v>
      </c>
      <c r="D3593" s="2" t="s">
        <v>410</v>
      </c>
      <c r="E3593" s="2" t="s">
        <v>413</v>
      </c>
      <c r="F3593" s="2" t="s">
        <v>40</v>
      </c>
      <c r="J3593" s="2" t="s">
        <v>541</v>
      </c>
      <c r="K3593" s="2" t="s">
        <v>542</v>
      </c>
      <c r="L3593" s="2">
        <v>5</v>
      </c>
      <c r="M3593" s="2" t="s">
        <v>547</v>
      </c>
      <c r="O3593" s="2" t="s">
        <v>524</v>
      </c>
      <c r="Y3593" s="2" t="s">
        <v>714</v>
      </c>
    </row>
    <row r="3594" spans="1:25" x14ac:dyDescent="0.25">
      <c r="A3594" s="2" t="s">
        <v>330</v>
      </c>
      <c r="B3594" s="2" t="s">
        <v>540</v>
      </c>
      <c r="C3594" s="2" t="s">
        <v>407</v>
      </c>
      <c r="D3594" s="2" t="s">
        <v>410</v>
      </c>
      <c r="E3594" s="2" t="s">
        <v>413</v>
      </c>
      <c r="F3594" s="2" t="s">
        <v>40</v>
      </c>
      <c r="J3594" s="2" t="s">
        <v>541</v>
      </c>
      <c r="K3594" s="2" t="s">
        <v>542</v>
      </c>
      <c r="L3594" s="2">
        <v>6</v>
      </c>
      <c r="M3594" s="2" t="s">
        <v>548</v>
      </c>
      <c r="O3594" s="2" t="s">
        <v>524</v>
      </c>
      <c r="Y3594" s="2" t="s">
        <v>714</v>
      </c>
    </row>
    <row r="3595" spans="1:25" x14ac:dyDescent="0.25">
      <c r="A3595" s="2" t="s">
        <v>330</v>
      </c>
      <c r="B3595" s="2" t="s">
        <v>540</v>
      </c>
      <c r="C3595" s="2" t="s">
        <v>407</v>
      </c>
      <c r="D3595" s="2" t="s">
        <v>410</v>
      </c>
      <c r="E3595" s="2" t="s">
        <v>413</v>
      </c>
      <c r="F3595" s="2" t="s">
        <v>40</v>
      </c>
      <c r="J3595" s="2" t="s">
        <v>541</v>
      </c>
      <c r="K3595" s="2" t="s">
        <v>542</v>
      </c>
      <c r="L3595" s="2">
        <v>7</v>
      </c>
      <c r="M3595" s="2" t="s">
        <v>549</v>
      </c>
      <c r="O3595" s="2" t="s">
        <v>524</v>
      </c>
      <c r="Y3595" s="2" t="s">
        <v>714</v>
      </c>
    </row>
    <row r="3596" spans="1:25" x14ac:dyDescent="0.25">
      <c r="A3596" s="2" t="s">
        <v>330</v>
      </c>
      <c r="B3596" s="2" t="s">
        <v>540</v>
      </c>
      <c r="C3596" s="2" t="s">
        <v>407</v>
      </c>
      <c r="D3596" s="2" t="s">
        <v>410</v>
      </c>
      <c r="E3596" s="2" t="s">
        <v>413</v>
      </c>
      <c r="F3596" s="2" t="s">
        <v>40</v>
      </c>
      <c r="J3596" s="2" t="s">
        <v>541</v>
      </c>
      <c r="K3596" s="2" t="s">
        <v>542</v>
      </c>
      <c r="L3596" s="2">
        <v>8</v>
      </c>
      <c r="M3596" s="2" t="s">
        <v>550</v>
      </c>
      <c r="O3596" s="2" t="s">
        <v>524</v>
      </c>
      <c r="Y3596" s="2" t="s">
        <v>714</v>
      </c>
    </row>
    <row r="3597" spans="1:25" x14ac:dyDescent="0.25">
      <c r="A3597" s="2" t="s">
        <v>330</v>
      </c>
      <c r="B3597" s="2" t="s">
        <v>540</v>
      </c>
      <c r="C3597" s="2" t="s">
        <v>407</v>
      </c>
      <c r="D3597" s="2" t="s">
        <v>410</v>
      </c>
      <c r="E3597" s="2" t="s">
        <v>413</v>
      </c>
      <c r="F3597" s="2" t="s">
        <v>40</v>
      </c>
      <c r="J3597" s="2" t="s">
        <v>541</v>
      </c>
      <c r="K3597" s="2" t="s">
        <v>542</v>
      </c>
      <c r="L3597" s="2">
        <v>9</v>
      </c>
      <c r="M3597" s="2" t="s">
        <v>551</v>
      </c>
      <c r="O3597" s="2" t="s">
        <v>524</v>
      </c>
      <c r="Y3597" s="2" t="s">
        <v>714</v>
      </c>
    </row>
    <row r="3598" spans="1:25" x14ac:dyDescent="0.25">
      <c r="A3598" s="2" t="s">
        <v>330</v>
      </c>
      <c r="B3598" s="2" t="s">
        <v>540</v>
      </c>
      <c r="C3598" s="2" t="s">
        <v>407</v>
      </c>
      <c r="D3598" s="2" t="s">
        <v>410</v>
      </c>
      <c r="E3598" s="2" t="s">
        <v>413</v>
      </c>
      <c r="F3598" s="2" t="s">
        <v>40</v>
      </c>
      <c r="J3598" s="2" t="s">
        <v>541</v>
      </c>
      <c r="K3598" s="2" t="s">
        <v>542</v>
      </c>
      <c r="L3598" s="2">
        <v>10</v>
      </c>
      <c r="M3598" s="2" t="s">
        <v>552</v>
      </c>
      <c r="O3598" s="2" t="s">
        <v>524</v>
      </c>
      <c r="Y3598" s="2" t="s">
        <v>714</v>
      </c>
    </row>
    <row r="3599" spans="1:25" x14ac:dyDescent="0.25">
      <c r="A3599" s="2" t="s">
        <v>330</v>
      </c>
      <c r="B3599" s="2" t="s">
        <v>540</v>
      </c>
      <c r="C3599" s="2" t="s">
        <v>407</v>
      </c>
      <c r="D3599" s="2" t="s">
        <v>410</v>
      </c>
      <c r="E3599" s="2" t="s">
        <v>413</v>
      </c>
      <c r="F3599" s="2" t="s">
        <v>40</v>
      </c>
      <c r="J3599" s="2" t="s">
        <v>541</v>
      </c>
      <c r="K3599" s="2" t="s">
        <v>542</v>
      </c>
      <c r="L3599" s="2">
        <v>11</v>
      </c>
      <c r="M3599" s="2" t="s">
        <v>553</v>
      </c>
      <c r="O3599" s="2" t="s">
        <v>524</v>
      </c>
      <c r="Y3599" s="2" t="s">
        <v>714</v>
      </c>
    </row>
    <row r="3600" spans="1:25" x14ac:dyDescent="0.25">
      <c r="A3600" s="2" t="s">
        <v>330</v>
      </c>
      <c r="B3600" s="2" t="s">
        <v>540</v>
      </c>
      <c r="C3600" s="2" t="s">
        <v>407</v>
      </c>
      <c r="D3600" s="2" t="s">
        <v>410</v>
      </c>
      <c r="E3600" s="2" t="s">
        <v>413</v>
      </c>
      <c r="F3600" s="2" t="s">
        <v>40</v>
      </c>
      <c r="J3600" s="2" t="s">
        <v>541</v>
      </c>
      <c r="K3600" s="2" t="s">
        <v>542</v>
      </c>
      <c r="L3600" s="2">
        <v>12</v>
      </c>
      <c r="M3600" s="2" t="s">
        <v>554</v>
      </c>
      <c r="O3600" s="2" t="s">
        <v>524</v>
      </c>
      <c r="Y3600" s="2" t="s">
        <v>714</v>
      </c>
    </row>
    <row r="3601" spans="1:34" x14ac:dyDescent="0.25">
      <c r="A3601" s="2" t="s">
        <v>330</v>
      </c>
      <c r="B3601" s="2" t="s">
        <v>555</v>
      </c>
      <c r="C3601" s="2" t="s">
        <v>407</v>
      </c>
      <c r="D3601" s="2" t="s">
        <v>410</v>
      </c>
      <c r="E3601" s="2" t="s">
        <v>413</v>
      </c>
      <c r="F3601" s="2" t="s">
        <v>40</v>
      </c>
      <c r="J3601" s="2" t="s">
        <v>556</v>
      </c>
      <c r="O3601" s="2" t="s">
        <v>524</v>
      </c>
      <c r="Y3601" s="2" t="s">
        <v>714</v>
      </c>
      <c r="AB3601" s="2">
        <v>2</v>
      </c>
    </row>
    <row r="3602" spans="1:34" x14ac:dyDescent="0.25">
      <c r="A3602" s="2" t="s">
        <v>330</v>
      </c>
      <c r="B3602" s="2" t="s">
        <v>557</v>
      </c>
      <c r="C3602" s="2" t="s">
        <v>407</v>
      </c>
      <c r="D3602" s="2" t="s">
        <v>410</v>
      </c>
      <c r="E3602" s="2" t="s">
        <v>413</v>
      </c>
      <c r="F3602" s="2" t="s">
        <v>40</v>
      </c>
      <c r="J3602" s="2" t="s">
        <v>558</v>
      </c>
      <c r="O3602" s="2" t="s">
        <v>524</v>
      </c>
      <c r="Y3602" s="2" t="s">
        <v>714</v>
      </c>
      <c r="AC3602" s="2">
        <f>COUNTIFS($B:$B,"BLOCK_LOAD_Q",$A:$A,$A3602,$C:$C,$C3602,$E:$E,$E3602,$F:$F,$F3602,$N:$N, "&lt;&gt;")</f>
        <v>0</v>
      </c>
      <c r="AD3602" s="2">
        <f>COUNTIFS($B:$B,"BLOCK_TRUST_Q",$A:$A,$A3602,$C:$C,$C3602,$E:$E,$E3602,$F:$F,$F3602,$N:$N, "&lt;&gt;")</f>
        <v>0</v>
      </c>
      <c r="AE3602" s="2" t="str">
        <f>IFERROR(AVERAGEIFS($P:$P,$B:$B,"BLOCK_LOAD_Q",$A:$A,$A3602,$C:$C,$C3602,$E:$E,$E3602,$F:$F,$F3602,$P:$P,"&gt;0"),"")</f>
        <v/>
      </c>
      <c r="AF3602" s="2" t="str">
        <f>IFERROR(AVERAGEIFS($P:$P,$B:$B,"BLOCK_TRUST_Q",$A:$A,$A3602,$C:$C,$C3602,$E:$E,$E3602,$F:$F,$F3602,$P:$P,"&gt;0"),"")</f>
        <v/>
      </c>
      <c r="AG3602" s="2">
        <f>5-AC3602</f>
        <v>5</v>
      </c>
      <c r="AH3602" s="2">
        <f>12-AD3602</f>
        <v>12</v>
      </c>
    </row>
    <row r="3603" spans="1:34" x14ac:dyDescent="0.25">
      <c r="A3603" s="2" t="s">
        <v>330</v>
      </c>
      <c r="B3603" s="2" t="s">
        <v>402</v>
      </c>
      <c r="C3603" s="2" t="s">
        <v>407</v>
      </c>
      <c r="D3603" s="2" t="s">
        <v>410</v>
      </c>
      <c r="E3603" s="2" t="s">
        <v>414</v>
      </c>
      <c r="F3603" s="2" t="s">
        <v>39</v>
      </c>
      <c r="G3603" s="2" t="s">
        <v>415</v>
      </c>
      <c r="H3603" s="2" t="s">
        <v>373</v>
      </c>
      <c r="S3603" s="2" t="s">
        <v>60</v>
      </c>
      <c r="U3603" s="2" t="s">
        <v>60</v>
      </c>
      <c r="W3603" s="2" t="s">
        <v>60</v>
      </c>
    </row>
    <row r="3604" spans="1:34" x14ac:dyDescent="0.25">
      <c r="A3604" s="2" t="s">
        <v>330</v>
      </c>
      <c r="B3604" s="2" t="s">
        <v>402</v>
      </c>
      <c r="C3604" s="2" t="s">
        <v>407</v>
      </c>
      <c r="D3604" s="2" t="s">
        <v>410</v>
      </c>
      <c r="E3604" s="2" t="s">
        <v>414</v>
      </c>
      <c r="F3604" s="2" t="s">
        <v>39</v>
      </c>
      <c r="G3604" s="2" t="s">
        <v>416</v>
      </c>
      <c r="H3604" s="2" t="s">
        <v>528</v>
      </c>
      <c r="S3604" s="2" t="s">
        <v>60</v>
      </c>
      <c r="U3604" s="2" t="s">
        <v>59</v>
      </c>
      <c r="W3604" s="2" t="s">
        <v>59</v>
      </c>
    </row>
    <row r="3605" spans="1:34" x14ac:dyDescent="0.25">
      <c r="A3605" s="2" t="s">
        <v>330</v>
      </c>
      <c r="B3605" s="2" t="s">
        <v>402</v>
      </c>
      <c r="C3605" s="2" t="s">
        <v>407</v>
      </c>
      <c r="D3605" s="2" t="s">
        <v>410</v>
      </c>
      <c r="E3605" s="2" t="s">
        <v>414</v>
      </c>
      <c r="F3605" s="2" t="s">
        <v>39</v>
      </c>
      <c r="G3605" s="2" t="s">
        <v>417</v>
      </c>
      <c r="H3605" s="2" t="s">
        <v>529</v>
      </c>
      <c r="S3605" s="2" t="s">
        <v>57</v>
      </c>
      <c r="U3605" s="2" t="s">
        <v>59</v>
      </c>
      <c r="W3605" s="2" t="s">
        <v>60</v>
      </c>
    </row>
    <row r="3606" spans="1:34" x14ac:dyDescent="0.25">
      <c r="A3606" s="2" t="s">
        <v>330</v>
      </c>
      <c r="B3606" s="2" t="s">
        <v>402</v>
      </c>
      <c r="C3606" s="2" t="s">
        <v>407</v>
      </c>
      <c r="D3606" s="2" t="s">
        <v>410</v>
      </c>
      <c r="E3606" s="2" t="s">
        <v>414</v>
      </c>
      <c r="F3606" s="2" t="s">
        <v>39</v>
      </c>
      <c r="G3606" s="2" t="s">
        <v>418</v>
      </c>
      <c r="H3606" s="2" t="s">
        <v>347</v>
      </c>
      <c r="S3606" s="2" t="s">
        <v>60</v>
      </c>
      <c r="U3606" s="2" t="s">
        <v>57</v>
      </c>
      <c r="W3606" s="2" t="s">
        <v>59</v>
      </c>
    </row>
    <row r="3607" spans="1:34" x14ac:dyDescent="0.25">
      <c r="A3607" s="2" t="s">
        <v>330</v>
      </c>
      <c r="B3607" s="2" t="s">
        <v>402</v>
      </c>
      <c r="C3607" s="2" t="s">
        <v>407</v>
      </c>
      <c r="D3607" s="2" t="s">
        <v>410</v>
      </c>
      <c r="E3607" s="2" t="s">
        <v>414</v>
      </c>
      <c r="F3607" s="2" t="s">
        <v>39</v>
      </c>
      <c r="G3607" s="2" t="s">
        <v>419</v>
      </c>
      <c r="H3607" s="2" t="s">
        <v>530</v>
      </c>
      <c r="S3607" s="2" t="s">
        <v>57</v>
      </c>
      <c r="U3607" s="2" t="s">
        <v>60</v>
      </c>
      <c r="W3607" s="2" t="s">
        <v>58</v>
      </c>
    </row>
    <row r="3608" spans="1:34" x14ac:dyDescent="0.25">
      <c r="A3608" s="2" t="s">
        <v>330</v>
      </c>
      <c r="B3608" s="2" t="s">
        <v>531</v>
      </c>
      <c r="C3608" s="2" t="s">
        <v>407</v>
      </c>
      <c r="D3608" s="2" t="s">
        <v>410</v>
      </c>
      <c r="E3608" s="2" t="s">
        <v>414</v>
      </c>
      <c r="F3608" s="2" t="s">
        <v>39</v>
      </c>
      <c r="J3608" s="2" t="s">
        <v>532</v>
      </c>
      <c r="K3608" s="2" t="s">
        <v>533</v>
      </c>
      <c r="L3608" s="2">
        <v>1</v>
      </c>
      <c r="M3608" s="2" t="s">
        <v>534</v>
      </c>
      <c r="O3608" s="2" t="s">
        <v>524</v>
      </c>
      <c r="Y3608" s="2" t="s">
        <v>715</v>
      </c>
    </row>
    <row r="3609" spans="1:34" x14ac:dyDescent="0.25">
      <c r="A3609" s="2" t="s">
        <v>330</v>
      </c>
      <c r="B3609" s="2" t="s">
        <v>531</v>
      </c>
      <c r="C3609" s="2" t="s">
        <v>407</v>
      </c>
      <c r="D3609" s="2" t="s">
        <v>410</v>
      </c>
      <c r="E3609" s="2" t="s">
        <v>414</v>
      </c>
      <c r="F3609" s="2" t="s">
        <v>39</v>
      </c>
      <c r="J3609" s="2" t="s">
        <v>532</v>
      </c>
      <c r="K3609" s="2" t="s">
        <v>533</v>
      </c>
      <c r="L3609" s="2">
        <v>2</v>
      </c>
      <c r="M3609" s="2" t="s">
        <v>536</v>
      </c>
      <c r="O3609" s="2" t="s">
        <v>524</v>
      </c>
      <c r="Y3609" s="2" t="s">
        <v>715</v>
      </c>
    </row>
    <row r="3610" spans="1:34" x14ac:dyDescent="0.25">
      <c r="A3610" s="2" t="s">
        <v>330</v>
      </c>
      <c r="B3610" s="2" t="s">
        <v>531</v>
      </c>
      <c r="C3610" s="2" t="s">
        <v>407</v>
      </c>
      <c r="D3610" s="2" t="s">
        <v>410</v>
      </c>
      <c r="E3610" s="2" t="s">
        <v>414</v>
      </c>
      <c r="F3610" s="2" t="s">
        <v>39</v>
      </c>
      <c r="J3610" s="2" t="s">
        <v>532</v>
      </c>
      <c r="K3610" s="2" t="s">
        <v>533</v>
      </c>
      <c r="L3610" s="2">
        <v>3</v>
      </c>
      <c r="M3610" s="2" t="s">
        <v>537</v>
      </c>
      <c r="O3610" s="2" t="s">
        <v>524</v>
      </c>
      <c r="Y3610" s="2" t="s">
        <v>715</v>
      </c>
    </row>
    <row r="3611" spans="1:34" x14ac:dyDescent="0.25">
      <c r="A3611" s="2" t="s">
        <v>330</v>
      </c>
      <c r="B3611" s="2" t="s">
        <v>531</v>
      </c>
      <c r="C3611" s="2" t="s">
        <v>407</v>
      </c>
      <c r="D3611" s="2" t="s">
        <v>410</v>
      </c>
      <c r="E3611" s="2" t="s">
        <v>414</v>
      </c>
      <c r="F3611" s="2" t="s">
        <v>39</v>
      </c>
      <c r="J3611" s="2" t="s">
        <v>532</v>
      </c>
      <c r="K3611" s="2" t="s">
        <v>533</v>
      </c>
      <c r="L3611" s="2">
        <v>4</v>
      </c>
      <c r="M3611" s="2" t="s">
        <v>538</v>
      </c>
      <c r="O3611" s="2" t="s">
        <v>524</v>
      </c>
      <c r="Y3611" s="2" t="s">
        <v>715</v>
      </c>
    </row>
    <row r="3612" spans="1:34" x14ac:dyDescent="0.25">
      <c r="A3612" s="2" t="s">
        <v>330</v>
      </c>
      <c r="B3612" s="2" t="s">
        <v>531</v>
      </c>
      <c r="C3612" s="2" t="s">
        <v>407</v>
      </c>
      <c r="D3612" s="2" t="s">
        <v>410</v>
      </c>
      <c r="E3612" s="2" t="s">
        <v>414</v>
      </c>
      <c r="F3612" s="2" t="s">
        <v>39</v>
      </c>
      <c r="J3612" s="2" t="s">
        <v>532</v>
      </c>
      <c r="K3612" s="2" t="s">
        <v>533</v>
      </c>
      <c r="L3612" s="2">
        <v>5</v>
      </c>
      <c r="M3612" s="2" t="s">
        <v>539</v>
      </c>
      <c r="O3612" s="2" t="s">
        <v>524</v>
      </c>
      <c r="Y3612" s="2" t="s">
        <v>715</v>
      </c>
    </row>
    <row r="3613" spans="1:34" x14ac:dyDescent="0.25">
      <c r="A3613" s="2" t="s">
        <v>330</v>
      </c>
      <c r="B3613" s="2" t="s">
        <v>540</v>
      </c>
      <c r="C3613" s="2" t="s">
        <v>407</v>
      </c>
      <c r="D3613" s="2" t="s">
        <v>410</v>
      </c>
      <c r="E3613" s="2" t="s">
        <v>414</v>
      </c>
      <c r="F3613" s="2" t="s">
        <v>39</v>
      </c>
      <c r="J3613" s="2" t="s">
        <v>541</v>
      </c>
      <c r="K3613" s="2" t="s">
        <v>542</v>
      </c>
      <c r="L3613" s="2">
        <v>1</v>
      </c>
      <c r="M3613" s="2" t="s">
        <v>543</v>
      </c>
      <c r="O3613" s="2" t="s">
        <v>524</v>
      </c>
      <c r="Y3613" s="2" t="s">
        <v>715</v>
      </c>
    </row>
    <row r="3614" spans="1:34" x14ac:dyDescent="0.25">
      <c r="A3614" s="2" t="s">
        <v>330</v>
      </c>
      <c r="B3614" s="2" t="s">
        <v>540</v>
      </c>
      <c r="C3614" s="2" t="s">
        <v>407</v>
      </c>
      <c r="D3614" s="2" t="s">
        <v>410</v>
      </c>
      <c r="E3614" s="2" t="s">
        <v>414</v>
      </c>
      <c r="F3614" s="2" t="s">
        <v>39</v>
      </c>
      <c r="J3614" s="2" t="s">
        <v>541</v>
      </c>
      <c r="K3614" s="2" t="s">
        <v>542</v>
      </c>
      <c r="L3614" s="2">
        <v>2</v>
      </c>
      <c r="M3614" s="2" t="s">
        <v>544</v>
      </c>
      <c r="O3614" s="2" t="s">
        <v>524</v>
      </c>
      <c r="Y3614" s="2" t="s">
        <v>715</v>
      </c>
    </row>
    <row r="3615" spans="1:34" x14ac:dyDescent="0.25">
      <c r="A3615" s="2" t="s">
        <v>330</v>
      </c>
      <c r="B3615" s="2" t="s">
        <v>540</v>
      </c>
      <c r="C3615" s="2" t="s">
        <v>407</v>
      </c>
      <c r="D3615" s="2" t="s">
        <v>410</v>
      </c>
      <c r="E3615" s="2" t="s">
        <v>414</v>
      </c>
      <c r="F3615" s="2" t="s">
        <v>39</v>
      </c>
      <c r="J3615" s="2" t="s">
        <v>541</v>
      </c>
      <c r="K3615" s="2" t="s">
        <v>542</v>
      </c>
      <c r="L3615" s="2">
        <v>3</v>
      </c>
      <c r="M3615" s="2" t="s">
        <v>545</v>
      </c>
      <c r="O3615" s="2" t="s">
        <v>524</v>
      </c>
      <c r="Y3615" s="2" t="s">
        <v>715</v>
      </c>
    </row>
    <row r="3616" spans="1:34" x14ac:dyDescent="0.25">
      <c r="A3616" s="2" t="s">
        <v>330</v>
      </c>
      <c r="B3616" s="2" t="s">
        <v>540</v>
      </c>
      <c r="C3616" s="2" t="s">
        <v>407</v>
      </c>
      <c r="D3616" s="2" t="s">
        <v>410</v>
      </c>
      <c r="E3616" s="2" t="s">
        <v>414</v>
      </c>
      <c r="F3616" s="2" t="s">
        <v>39</v>
      </c>
      <c r="J3616" s="2" t="s">
        <v>541</v>
      </c>
      <c r="K3616" s="2" t="s">
        <v>542</v>
      </c>
      <c r="L3616" s="2">
        <v>4</v>
      </c>
      <c r="M3616" s="2" t="s">
        <v>546</v>
      </c>
      <c r="O3616" s="2" t="s">
        <v>524</v>
      </c>
      <c r="Y3616" s="2" t="s">
        <v>715</v>
      </c>
    </row>
    <row r="3617" spans="1:34" x14ac:dyDescent="0.25">
      <c r="A3617" s="2" t="s">
        <v>330</v>
      </c>
      <c r="B3617" s="2" t="s">
        <v>540</v>
      </c>
      <c r="C3617" s="2" t="s">
        <v>407</v>
      </c>
      <c r="D3617" s="2" t="s">
        <v>410</v>
      </c>
      <c r="E3617" s="2" t="s">
        <v>414</v>
      </c>
      <c r="F3617" s="2" t="s">
        <v>39</v>
      </c>
      <c r="J3617" s="2" t="s">
        <v>541</v>
      </c>
      <c r="K3617" s="2" t="s">
        <v>542</v>
      </c>
      <c r="L3617" s="2">
        <v>5</v>
      </c>
      <c r="M3617" s="2" t="s">
        <v>547</v>
      </c>
      <c r="O3617" s="2" t="s">
        <v>524</v>
      </c>
      <c r="Y3617" s="2" t="s">
        <v>715</v>
      </c>
    </row>
    <row r="3618" spans="1:34" x14ac:dyDescent="0.25">
      <c r="A3618" s="2" t="s">
        <v>330</v>
      </c>
      <c r="B3618" s="2" t="s">
        <v>540</v>
      </c>
      <c r="C3618" s="2" t="s">
        <v>407</v>
      </c>
      <c r="D3618" s="2" t="s">
        <v>410</v>
      </c>
      <c r="E3618" s="2" t="s">
        <v>414</v>
      </c>
      <c r="F3618" s="2" t="s">
        <v>39</v>
      </c>
      <c r="J3618" s="2" t="s">
        <v>541</v>
      </c>
      <c r="K3618" s="2" t="s">
        <v>542</v>
      </c>
      <c r="L3618" s="2">
        <v>6</v>
      </c>
      <c r="M3618" s="2" t="s">
        <v>548</v>
      </c>
      <c r="O3618" s="2" t="s">
        <v>524</v>
      </c>
      <c r="Y3618" s="2" t="s">
        <v>715</v>
      </c>
    </row>
    <row r="3619" spans="1:34" x14ac:dyDescent="0.25">
      <c r="A3619" s="2" t="s">
        <v>330</v>
      </c>
      <c r="B3619" s="2" t="s">
        <v>540</v>
      </c>
      <c r="C3619" s="2" t="s">
        <v>407</v>
      </c>
      <c r="D3619" s="2" t="s">
        <v>410</v>
      </c>
      <c r="E3619" s="2" t="s">
        <v>414</v>
      </c>
      <c r="F3619" s="2" t="s">
        <v>39</v>
      </c>
      <c r="J3619" s="2" t="s">
        <v>541</v>
      </c>
      <c r="K3619" s="2" t="s">
        <v>542</v>
      </c>
      <c r="L3619" s="2">
        <v>7</v>
      </c>
      <c r="M3619" s="2" t="s">
        <v>549</v>
      </c>
      <c r="O3619" s="2" t="s">
        <v>524</v>
      </c>
      <c r="Y3619" s="2" t="s">
        <v>715</v>
      </c>
    </row>
    <row r="3620" spans="1:34" x14ac:dyDescent="0.25">
      <c r="A3620" s="2" t="s">
        <v>330</v>
      </c>
      <c r="B3620" s="2" t="s">
        <v>540</v>
      </c>
      <c r="C3620" s="2" t="s">
        <v>407</v>
      </c>
      <c r="D3620" s="2" t="s">
        <v>410</v>
      </c>
      <c r="E3620" s="2" t="s">
        <v>414</v>
      </c>
      <c r="F3620" s="2" t="s">
        <v>39</v>
      </c>
      <c r="J3620" s="2" t="s">
        <v>541</v>
      </c>
      <c r="K3620" s="2" t="s">
        <v>542</v>
      </c>
      <c r="L3620" s="2">
        <v>8</v>
      </c>
      <c r="M3620" s="2" t="s">
        <v>550</v>
      </c>
      <c r="O3620" s="2" t="s">
        <v>524</v>
      </c>
      <c r="Y3620" s="2" t="s">
        <v>715</v>
      </c>
    </row>
    <row r="3621" spans="1:34" x14ac:dyDescent="0.25">
      <c r="A3621" s="2" t="s">
        <v>330</v>
      </c>
      <c r="B3621" s="2" t="s">
        <v>540</v>
      </c>
      <c r="C3621" s="2" t="s">
        <v>407</v>
      </c>
      <c r="D3621" s="2" t="s">
        <v>410</v>
      </c>
      <c r="E3621" s="2" t="s">
        <v>414</v>
      </c>
      <c r="F3621" s="2" t="s">
        <v>39</v>
      </c>
      <c r="J3621" s="2" t="s">
        <v>541</v>
      </c>
      <c r="K3621" s="2" t="s">
        <v>542</v>
      </c>
      <c r="L3621" s="2">
        <v>9</v>
      </c>
      <c r="M3621" s="2" t="s">
        <v>551</v>
      </c>
      <c r="O3621" s="2" t="s">
        <v>524</v>
      </c>
      <c r="Y3621" s="2" t="s">
        <v>715</v>
      </c>
    </row>
    <row r="3622" spans="1:34" x14ac:dyDescent="0.25">
      <c r="A3622" s="2" t="s">
        <v>330</v>
      </c>
      <c r="B3622" s="2" t="s">
        <v>540</v>
      </c>
      <c r="C3622" s="2" t="s">
        <v>407</v>
      </c>
      <c r="D3622" s="2" t="s">
        <v>410</v>
      </c>
      <c r="E3622" s="2" t="s">
        <v>414</v>
      </c>
      <c r="F3622" s="2" t="s">
        <v>39</v>
      </c>
      <c r="J3622" s="2" t="s">
        <v>541</v>
      </c>
      <c r="K3622" s="2" t="s">
        <v>542</v>
      </c>
      <c r="L3622" s="2">
        <v>10</v>
      </c>
      <c r="M3622" s="2" t="s">
        <v>552</v>
      </c>
      <c r="O3622" s="2" t="s">
        <v>524</v>
      </c>
      <c r="Y3622" s="2" t="s">
        <v>715</v>
      </c>
    </row>
    <row r="3623" spans="1:34" x14ac:dyDescent="0.25">
      <c r="A3623" s="2" t="s">
        <v>330</v>
      </c>
      <c r="B3623" s="2" t="s">
        <v>540</v>
      </c>
      <c r="C3623" s="2" t="s">
        <v>407</v>
      </c>
      <c r="D3623" s="2" t="s">
        <v>410</v>
      </c>
      <c r="E3623" s="2" t="s">
        <v>414</v>
      </c>
      <c r="F3623" s="2" t="s">
        <v>39</v>
      </c>
      <c r="J3623" s="2" t="s">
        <v>541</v>
      </c>
      <c r="K3623" s="2" t="s">
        <v>542</v>
      </c>
      <c r="L3623" s="2">
        <v>11</v>
      </c>
      <c r="M3623" s="2" t="s">
        <v>553</v>
      </c>
      <c r="O3623" s="2" t="s">
        <v>524</v>
      </c>
      <c r="Y3623" s="2" t="s">
        <v>715</v>
      </c>
    </row>
    <row r="3624" spans="1:34" x14ac:dyDescent="0.25">
      <c r="A3624" s="2" t="s">
        <v>330</v>
      </c>
      <c r="B3624" s="2" t="s">
        <v>540</v>
      </c>
      <c r="C3624" s="2" t="s">
        <v>407</v>
      </c>
      <c r="D3624" s="2" t="s">
        <v>410</v>
      </c>
      <c r="E3624" s="2" t="s">
        <v>414</v>
      </c>
      <c r="F3624" s="2" t="s">
        <v>39</v>
      </c>
      <c r="J3624" s="2" t="s">
        <v>541</v>
      </c>
      <c r="K3624" s="2" t="s">
        <v>542</v>
      </c>
      <c r="L3624" s="2">
        <v>12</v>
      </c>
      <c r="M3624" s="2" t="s">
        <v>554</v>
      </c>
      <c r="O3624" s="2" t="s">
        <v>524</v>
      </c>
      <c r="Y3624" s="2" t="s">
        <v>715</v>
      </c>
    </row>
    <row r="3625" spans="1:34" x14ac:dyDescent="0.25">
      <c r="A3625" s="2" t="s">
        <v>330</v>
      </c>
      <c r="B3625" s="2" t="s">
        <v>555</v>
      </c>
      <c r="C3625" s="2" t="s">
        <v>407</v>
      </c>
      <c r="D3625" s="2" t="s">
        <v>410</v>
      </c>
      <c r="E3625" s="2" t="s">
        <v>414</v>
      </c>
      <c r="F3625" s="2" t="s">
        <v>39</v>
      </c>
      <c r="J3625" s="2" t="s">
        <v>556</v>
      </c>
      <c r="O3625" s="2" t="s">
        <v>524</v>
      </c>
      <c r="Y3625" s="2" t="s">
        <v>715</v>
      </c>
      <c r="AB3625" s="2">
        <v>1</v>
      </c>
    </row>
    <row r="3626" spans="1:34" x14ac:dyDescent="0.25">
      <c r="A3626" s="2" t="s">
        <v>330</v>
      </c>
      <c r="B3626" s="2" t="s">
        <v>557</v>
      </c>
      <c r="C3626" s="2" t="s">
        <v>407</v>
      </c>
      <c r="D3626" s="2" t="s">
        <v>410</v>
      </c>
      <c r="E3626" s="2" t="s">
        <v>414</v>
      </c>
      <c r="F3626" s="2" t="s">
        <v>39</v>
      </c>
      <c r="J3626" s="2" t="s">
        <v>558</v>
      </c>
      <c r="O3626" s="2" t="s">
        <v>524</v>
      </c>
      <c r="Y3626" s="2" t="s">
        <v>715</v>
      </c>
      <c r="AC3626" s="2">
        <f>COUNTIFS($B:$B,"BLOCK_LOAD_Q",$A:$A,$A3626,$C:$C,$C3626,$E:$E,$E3626,$F:$F,$F3626,$N:$N, "&lt;&gt;")</f>
        <v>0</v>
      </c>
      <c r="AD3626" s="2">
        <f>COUNTIFS($B:$B,"BLOCK_TRUST_Q",$A:$A,$A3626,$C:$C,$C3626,$E:$E,$E3626,$F:$F,$F3626,$N:$N, "&lt;&gt;")</f>
        <v>0</v>
      </c>
      <c r="AE3626" s="2" t="str">
        <f>IFERROR(AVERAGEIFS($P:$P,$B:$B,"BLOCK_LOAD_Q",$A:$A,$A3626,$C:$C,$C3626,$E:$E,$E3626,$F:$F,$F3626,$P:$P,"&gt;0"),"")</f>
        <v/>
      </c>
      <c r="AF3626" s="2" t="str">
        <f>IFERROR(AVERAGEIFS($P:$P,$B:$B,"BLOCK_TRUST_Q",$A:$A,$A3626,$C:$C,$C3626,$E:$E,$E3626,$F:$F,$F3626,$P:$P,"&gt;0"),"")</f>
        <v/>
      </c>
      <c r="AG3626" s="2">
        <f>5-AC3626</f>
        <v>5</v>
      </c>
      <c r="AH3626" s="2">
        <f>12-AD3626</f>
        <v>12</v>
      </c>
    </row>
    <row r="3627" spans="1:34" x14ac:dyDescent="0.25">
      <c r="A3627" s="2" t="s">
        <v>330</v>
      </c>
      <c r="B3627" s="2" t="s">
        <v>403</v>
      </c>
      <c r="C3627" s="2" t="s">
        <v>407</v>
      </c>
      <c r="D3627" s="2" t="s">
        <v>410</v>
      </c>
      <c r="Z3627" s="2" t="s">
        <v>492</v>
      </c>
    </row>
    <row r="3628" spans="1:34" x14ac:dyDescent="0.25">
      <c r="A3628" s="2" t="s">
        <v>330</v>
      </c>
      <c r="B3628" s="2" t="s">
        <v>402</v>
      </c>
      <c r="C3628" s="2" t="s">
        <v>408</v>
      </c>
      <c r="D3628" s="2" t="s">
        <v>411</v>
      </c>
      <c r="E3628" s="2" t="s">
        <v>413</v>
      </c>
      <c r="F3628" s="2" t="s">
        <v>40</v>
      </c>
      <c r="G3628" s="2" t="s">
        <v>415</v>
      </c>
      <c r="H3628" s="2" t="s">
        <v>357</v>
      </c>
      <c r="S3628" s="2" t="s">
        <v>59</v>
      </c>
      <c r="U3628" s="2" t="s">
        <v>60</v>
      </c>
      <c r="W3628" s="2" t="s">
        <v>57</v>
      </c>
    </row>
    <row r="3629" spans="1:34" x14ac:dyDescent="0.25">
      <c r="A3629" s="2" t="s">
        <v>330</v>
      </c>
      <c r="B3629" s="2" t="s">
        <v>402</v>
      </c>
      <c r="C3629" s="2" t="s">
        <v>408</v>
      </c>
      <c r="D3629" s="2" t="s">
        <v>411</v>
      </c>
      <c r="E3629" s="2" t="s">
        <v>413</v>
      </c>
      <c r="F3629" s="2" t="s">
        <v>40</v>
      </c>
      <c r="G3629" s="2" t="s">
        <v>416</v>
      </c>
      <c r="H3629" s="2" t="s">
        <v>348</v>
      </c>
      <c r="S3629" s="2" t="s">
        <v>58</v>
      </c>
      <c r="U3629" s="2" t="s">
        <v>59</v>
      </c>
      <c r="W3629" s="2" t="s">
        <v>59</v>
      </c>
    </row>
    <row r="3630" spans="1:34" x14ac:dyDescent="0.25">
      <c r="A3630" s="2" t="s">
        <v>330</v>
      </c>
      <c r="B3630" s="2" t="s">
        <v>402</v>
      </c>
      <c r="C3630" s="2" t="s">
        <v>408</v>
      </c>
      <c r="D3630" s="2" t="s">
        <v>411</v>
      </c>
      <c r="E3630" s="2" t="s">
        <v>413</v>
      </c>
      <c r="F3630" s="2" t="s">
        <v>40</v>
      </c>
      <c r="G3630" s="2" t="s">
        <v>417</v>
      </c>
      <c r="H3630" s="2" t="s">
        <v>562</v>
      </c>
      <c r="S3630" s="2" t="s">
        <v>59</v>
      </c>
      <c r="U3630" s="2" t="s">
        <v>57</v>
      </c>
      <c r="W3630" s="2" t="s">
        <v>57</v>
      </c>
    </row>
    <row r="3631" spans="1:34" x14ac:dyDescent="0.25">
      <c r="A3631" s="2" t="s">
        <v>330</v>
      </c>
      <c r="B3631" s="2" t="s">
        <v>402</v>
      </c>
      <c r="C3631" s="2" t="s">
        <v>408</v>
      </c>
      <c r="D3631" s="2" t="s">
        <v>411</v>
      </c>
      <c r="E3631" s="2" t="s">
        <v>413</v>
      </c>
      <c r="F3631" s="2" t="s">
        <v>40</v>
      </c>
      <c r="G3631" s="2" t="s">
        <v>418</v>
      </c>
      <c r="H3631" s="2" t="s">
        <v>563</v>
      </c>
      <c r="S3631" s="2" t="s">
        <v>57</v>
      </c>
      <c r="U3631" s="2" t="s">
        <v>60</v>
      </c>
      <c r="W3631" s="2" t="s">
        <v>60</v>
      </c>
    </row>
    <row r="3632" spans="1:34" x14ac:dyDescent="0.25">
      <c r="A3632" s="2" t="s">
        <v>330</v>
      </c>
      <c r="B3632" s="2" t="s">
        <v>531</v>
      </c>
      <c r="C3632" s="2" t="s">
        <v>408</v>
      </c>
      <c r="D3632" s="2" t="s">
        <v>411</v>
      </c>
      <c r="E3632" s="2" t="s">
        <v>413</v>
      </c>
      <c r="F3632" s="2" t="s">
        <v>40</v>
      </c>
      <c r="J3632" s="2" t="s">
        <v>532</v>
      </c>
      <c r="K3632" s="2" t="s">
        <v>533</v>
      </c>
      <c r="L3632" s="2">
        <v>1</v>
      </c>
      <c r="M3632" s="2" t="s">
        <v>534</v>
      </c>
      <c r="O3632" s="2" t="s">
        <v>524</v>
      </c>
      <c r="Y3632" s="2" t="s">
        <v>716</v>
      </c>
    </row>
    <row r="3633" spans="1:25" x14ac:dyDescent="0.25">
      <c r="A3633" s="2" t="s">
        <v>330</v>
      </c>
      <c r="B3633" s="2" t="s">
        <v>531</v>
      </c>
      <c r="C3633" s="2" t="s">
        <v>408</v>
      </c>
      <c r="D3633" s="2" t="s">
        <v>411</v>
      </c>
      <c r="E3633" s="2" t="s">
        <v>413</v>
      </c>
      <c r="F3633" s="2" t="s">
        <v>40</v>
      </c>
      <c r="J3633" s="2" t="s">
        <v>532</v>
      </c>
      <c r="K3633" s="2" t="s">
        <v>533</v>
      </c>
      <c r="L3633" s="2">
        <v>2</v>
      </c>
      <c r="M3633" s="2" t="s">
        <v>536</v>
      </c>
      <c r="O3633" s="2" t="s">
        <v>524</v>
      </c>
      <c r="Y3633" s="2" t="s">
        <v>716</v>
      </c>
    </row>
    <row r="3634" spans="1:25" x14ac:dyDescent="0.25">
      <c r="A3634" s="2" t="s">
        <v>330</v>
      </c>
      <c r="B3634" s="2" t="s">
        <v>531</v>
      </c>
      <c r="C3634" s="2" t="s">
        <v>408</v>
      </c>
      <c r="D3634" s="2" t="s">
        <v>411</v>
      </c>
      <c r="E3634" s="2" t="s">
        <v>413</v>
      </c>
      <c r="F3634" s="2" t="s">
        <v>40</v>
      </c>
      <c r="J3634" s="2" t="s">
        <v>532</v>
      </c>
      <c r="K3634" s="2" t="s">
        <v>533</v>
      </c>
      <c r="L3634" s="2">
        <v>3</v>
      </c>
      <c r="M3634" s="2" t="s">
        <v>537</v>
      </c>
      <c r="O3634" s="2" t="s">
        <v>524</v>
      </c>
      <c r="Y3634" s="2" t="s">
        <v>716</v>
      </c>
    </row>
    <row r="3635" spans="1:25" x14ac:dyDescent="0.25">
      <c r="A3635" s="2" t="s">
        <v>330</v>
      </c>
      <c r="B3635" s="2" t="s">
        <v>531</v>
      </c>
      <c r="C3635" s="2" t="s">
        <v>408</v>
      </c>
      <c r="D3635" s="2" t="s">
        <v>411</v>
      </c>
      <c r="E3635" s="2" t="s">
        <v>413</v>
      </c>
      <c r="F3635" s="2" t="s">
        <v>40</v>
      </c>
      <c r="J3635" s="2" t="s">
        <v>532</v>
      </c>
      <c r="K3635" s="2" t="s">
        <v>533</v>
      </c>
      <c r="L3635" s="2">
        <v>4</v>
      </c>
      <c r="M3635" s="2" t="s">
        <v>538</v>
      </c>
      <c r="O3635" s="2" t="s">
        <v>524</v>
      </c>
      <c r="Y3635" s="2" t="s">
        <v>716</v>
      </c>
    </row>
    <row r="3636" spans="1:25" x14ac:dyDescent="0.25">
      <c r="A3636" s="2" t="s">
        <v>330</v>
      </c>
      <c r="B3636" s="2" t="s">
        <v>531</v>
      </c>
      <c r="C3636" s="2" t="s">
        <v>408</v>
      </c>
      <c r="D3636" s="2" t="s">
        <v>411</v>
      </c>
      <c r="E3636" s="2" t="s">
        <v>413</v>
      </c>
      <c r="F3636" s="2" t="s">
        <v>40</v>
      </c>
      <c r="J3636" s="2" t="s">
        <v>532</v>
      </c>
      <c r="K3636" s="2" t="s">
        <v>533</v>
      </c>
      <c r="L3636" s="2">
        <v>5</v>
      </c>
      <c r="M3636" s="2" t="s">
        <v>539</v>
      </c>
      <c r="O3636" s="2" t="s">
        <v>524</v>
      </c>
      <c r="Y3636" s="2" t="s">
        <v>716</v>
      </c>
    </row>
    <row r="3637" spans="1:25" x14ac:dyDescent="0.25">
      <c r="A3637" s="2" t="s">
        <v>330</v>
      </c>
      <c r="B3637" s="2" t="s">
        <v>540</v>
      </c>
      <c r="C3637" s="2" t="s">
        <v>408</v>
      </c>
      <c r="D3637" s="2" t="s">
        <v>411</v>
      </c>
      <c r="E3637" s="2" t="s">
        <v>413</v>
      </c>
      <c r="F3637" s="2" t="s">
        <v>40</v>
      </c>
      <c r="J3637" s="2" t="s">
        <v>541</v>
      </c>
      <c r="K3637" s="2" t="s">
        <v>542</v>
      </c>
      <c r="L3637" s="2">
        <v>1</v>
      </c>
      <c r="M3637" s="2" t="s">
        <v>543</v>
      </c>
      <c r="O3637" s="2" t="s">
        <v>524</v>
      </c>
      <c r="Y3637" s="2" t="s">
        <v>716</v>
      </c>
    </row>
    <row r="3638" spans="1:25" x14ac:dyDescent="0.25">
      <c r="A3638" s="2" t="s">
        <v>330</v>
      </c>
      <c r="B3638" s="2" t="s">
        <v>540</v>
      </c>
      <c r="C3638" s="2" t="s">
        <v>408</v>
      </c>
      <c r="D3638" s="2" t="s">
        <v>411</v>
      </c>
      <c r="E3638" s="2" t="s">
        <v>413</v>
      </c>
      <c r="F3638" s="2" t="s">
        <v>40</v>
      </c>
      <c r="J3638" s="2" t="s">
        <v>541</v>
      </c>
      <c r="K3638" s="2" t="s">
        <v>542</v>
      </c>
      <c r="L3638" s="2">
        <v>2</v>
      </c>
      <c r="M3638" s="2" t="s">
        <v>544</v>
      </c>
      <c r="O3638" s="2" t="s">
        <v>524</v>
      </c>
      <c r="Y3638" s="2" t="s">
        <v>716</v>
      </c>
    </row>
    <row r="3639" spans="1:25" x14ac:dyDescent="0.25">
      <c r="A3639" s="2" t="s">
        <v>330</v>
      </c>
      <c r="B3639" s="2" t="s">
        <v>540</v>
      </c>
      <c r="C3639" s="2" t="s">
        <v>408</v>
      </c>
      <c r="D3639" s="2" t="s">
        <v>411</v>
      </c>
      <c r="E3639" s="2" t="s">
        <v>413</v>
      </c>
      <c r="F3639" s="2" t="s">
        <v>40</v>
      </c>
      <c r="J3639" s="2" t="s">
        <v>541</v>
      </c>
      <c r="K3639" s="2" t="s">
        <v>542</v>
      </c>
      <c r="L3639" s="2">
        <v>3</v>
      </c>
      <c r="M3639" s="2" t="s">
        <v>545</v>
      </c>
      <c r="O3639" s="2" t="s">
        <v>524</v>
      </c>
      <c r="Y3639" s="2" t="s">
        <v>716</v>
      </c>
    </row>
    <row r="3640" spans="1:25" x14ac:dyDescent="0.25">
      <c r="A3640" s="2" t="s">
        <v>330</v>
      </c>
      <c r="B3640" s="2" t="s">
        <v>540</v>
      </c>
      <c r="C3640" s="2" t="s">
        <v>408</v>
      </c>
      <c r="D3640" s="2" t="s">
        <v>411</v>
      </c>
      <c r="E3640" s="2" t="s">
        <v>413</v>
      </c>
      <c r="F3640" s="2" t="s">
        <v>40</v>
      </c>
      <c r="J3640" s="2" t="s">
        <v>541</v>
      </c>
      <c r="K3640" s="2" t="s">
        <v>542</v>
      </c>
      <c r="L3640" s="2">
        <v>4</v>
      </c>
      <c r="M3640" s="2" t="s">
        <v>546</v>
      </c>
      <c r="O3640" s="2" t="s">
        <v>524</v>
      </c>
      <c r="Y3640" s="2" t="s">
        <v>716</v>
      </c>
    </row>
    <row r="3641" spans="1:25" x14ac:dyDescent="0.25">
      <c r="A3641" s="2" t="s">
        <v>330</v>
      </c>
      <c r="B3641" s="2" t="s">
        <v>540</v>
      </c>
      <c r="C3641" s="2" t="s">
        <v>408</v>
      </c>
      <c r="D3641" s="2" t="s">
        <v>411</v>
      </c>
      <c r="E3641" s="2" t="s">
        <v>413</v>
      </c>
      <c r="F3641" s="2" t="s">
        <v>40</v>
      </c>
      <c r="J3641" s="2" t="s">
        <v>541</v>
      </c>
      <c r="K3641" s="2" t="s">
        <v>542</v>
      </c>
      <c r="L3641" s="2">
        <v>5</v>
      </c>
      <c r="M3641" s="2" t="s">
        <v>547</v>
      </c>
      <c r="O3641" s="2" t="s">
        <v>524</v>
      </c>
      <c r="Y3641" s="2" t="s">
        <v>716</v>
      </c>
    </row>
    <row r="3642" spans="1:25" x14ac:dyDescent="0.25">
      <c r="A3642" s="2" t="s">
        <v>330</v>
      </c>
      <c r="B3642" s="2" t="s">
        <v>540</v>
      </c>
      <c r="C3642" s="2" t="s">
        <v>408</v>
      </c>
      <c r="D3642" s="2" t="s">
        <v>411</v>
      </c>
      <c r="E3642" s="2" t="s">
        <v>413</v>
      </c>
      <c r="F3642" s="2" t="s">
        <v>40</v>
      </c>
      <c r="J3642" s="2" t="s">
        <v>541</v>
      </c>
      <c r="K3642" s="2" t="s">
        <v>542</v>
      </c>
      <c r="L3642" s="2">
        <v>6</v>
      </c>
      <c r="M3642" s="2" t="s">
        <v>548</v>
      </c>
      <c r="O3642" s="2" t="s">
        <v>524</v>
      </c>
      <c r="Y3642" s="2" t="s">
        <v>716</v>
      </c>
    </row>
    <row r="3643" spans="1:25" x14ac:dyDescent="0.25">
      <c r="A3643" s="2" t="s">
        <v>330</v>
      </c>
      <c r="B3643" s="2" t="s">
        <v>540</v>
      </c>
      <c r="C3643" s="2" t="s">
        <v>408</v>
      </c>
      <c r="D3643" s="2" t="s">
        <v>411</v>
      </c>
      <c r="E3643" s="2" t="s">
        <v>413</v>
      </c>
      <c r="F3643" s="2" t="s">
        <v>40</v>
      </c>
      <c r="J3643" s="2" t="s">
        <v>541</v>
      </c>
      <c r="K3643" s="2" t="s">
        <v>542</v>
      </c>
      <c r="L3643" s="2">
        <v>7</v>
      </c>
      <c r="M3643" s="2" t="s">
        <v>549</v>
      </c>
      <c r="O3643" s="2" t="s">
        <v>524</v>
      </c>
      <c r="Y3643" s="2" t="s">
        <v>716</v>
      </c>
    </row>
    <row r="3644" spans="1:25" x14ac:dyDescent="0.25">
      <c r="A3644" s="2" t="s">
        <v>330</v>
      </c>
      <c r="B3644" s="2" t="s">
        <v>540</v>
      </c>
      <c r="C3644" s="2" t="s">
        <v>408</v>
      </c>
      <c r="D3644" s="2" t="s">
        <v>411</v>
      </c>
      <c r="E3644" s="2" t="s">
        <v>413</v>
      </c>
      <c r="F3644" s="2" t="s">
        <v>40</v>
      </c>
      <c r="J3644" s="2" t="s">
        <v>541</v>
      </c>
      <c r="K3644" s="2" t="s">
        <v>542</v>
      </c>
      <c r="L3644" s="2">
        <v>8</v>
      </c>
      <c r="M3644" s="2" t="s">
        <v>550</v>
      </c>
      <c r="O3644" s="2" t="s">
        <v>524</v>
      </c>
      <c r="Y3644" s="2" t="s">
        <v>716</v>
      </c>
    </row>
    <row r="3645" spans="1:25" x14ac:dyDescent="0.25">
      <c r="A3645" s="2" t="s">
        <v>330</v>
      </c>
      <c r="B3645" s="2" t="s">
        <v>540</v>
      </c>
      <c r="C3645" s="2" t="s">
        <v>408</v>
      </c>
      <c r="D3645" s="2" t="s">
        <v>411</v>
      </c>
      <c r="E3645" s="2" t="s">
        <v>413</v>
      </c>
      <c r="F3645" s="2" t="s">
        <v>40</v>
      </c>
      <c r="J3645" s="2" t="s">
        <v>541</v>
      </c>
      <c r="K3645" s="2" t="s">
        <v>542</v>
      </c>
      <c r="L3645" s="2">
        <v>9</v>
      </c>
      <c r="M3645" s="2" t="s">
        <v>551</v>
      </c>
      <c r="O3645" s="2" t="s">
        <v>524</v>
      </c>
      <c r="Y3645" s="2" t="s">
        <v>716</v>
      </c>
    </row>
    <row r="3646" spans="1:25" x14ac:dyDescent="0.25">
      <c r="A3646" s="2" t="s">
        <v>330</v>
      </c>
      <c r="B3646" s="2" t="s">
        <v>540</v>
      </c>
      <c r="C3646" s="2" t="s">
        <v>408</v>
      </c>
      <c r="D3646" s="2" t="s">
        <v>411</v>
      </c>
      <c r="E3646" s="2" t="s">
        <v>413</v>
      </c>
      <c r="F3646" s="2" t="s">
        <v>40</v>
      </c>
      <c r="J3646" s="2" t="s">
        <v>541</v>
      </c>
      <c r="K3646" s="2" t="s">
        <v>542</v>
      </c>
      <c r="L3646" s="2">
        <v>10</v>
      </c>
      <c r="M3646" s="2" t="s">
        <v>552</v>
      </c>
      <c r="O3646" s="2" t="s">
        <v>524</v>
      </c>
      <c r="Y3646" s="2" t="s">
        <v>716</v>
      </c>
    </row>
    <row r="3647" spans="1:25" x14ac:dyDescent="0.25">
      <c r="A3647" s="2" t="s">
        <v>330</v>
      </c>
      <c r="B3647" s="2" t="s">
        <v>540</v>
      </c>
      <c r="C3647" s="2" t="s">
        <v>408</v>
      </c>
      <c r="D3647" s="2" t="s">
        <v>411</v>
      </c>
      <c r="E3647" s="2" t="s">
        <v>413</v>
      </c>
      <c r="F3647" s="2" t="s">
        <v>40</v>
      </c>
      <c r="J3647" s="2" t="s">
        <v>541</v>
      </c>
      <c r="K3647" s="2" t="s">
        <v>542</v>
      </c>
      <c r="L3647" s="2">
        <v>11</v>
      </c>
      <c r="M3647" s="2" t="s">
        <v>553</v>
      </c>
      <c r="O3647" s="2" t="s">
        <v>524</v>
      </c>
      <c r="Y3647" s="2" t="s">
        <v>716</v>
      </c>
    </row>
    <row r="3648" spans="1:25" x14ac:dyDescent="0.25">
      <c r="A3648" s="2" t="s">
        <v>330</v>
      </c>
      <c r="B3648" s="2" t="s">
        <v>540</v>
      </c>
      <c r="C3648" s="2" t="s">
        <v>408</v>
      </c>
      <c r="D3648" s="2" t="s">
        <v>411</v>
      </c>
      <c r="E3648" s="2" t="s">
        <v>413</v>
      </c>
      <c r="F3648" s="2" t="s">
        <v>40</v>
      </c>
      <c r="J3648" s="2" t="s">
        <v>541</v>
      </c>
      <c r="K3648" s="2" t="s">
        <v>542</v>
      </c>
      <c r="L3648" s="2">
        <v>12</v>
      </c>
      <c r="M3648" s="2" t="s">
        <v>554</v>
      </c>
      <c r="O3648" s="2" t="s">
        <v>524</v>
      </c>
      <c r="Y3648" s="2" t="s">
        <v>716</v>
      </c>
    </row>
    <row r="3649" spans="1:34" x14ac:dyDescent="0.25">
      <c r="A3649" s="2" t="s">
        <v>330</v>
      </c>
      <c r="B3649" s="2" t="s">
        <v>555</v>
      </c>
      <c r="C3649" s="2" t="s">
        <v>408</v>
      </c>
      <c r="D3649" s="2" t="s">
        <v>411</v>
      </c>
      <c r="E3649" s="2" t="s">
        <v>413</v>
      </c>
      <c r="F3649" s="2" t="s">
        <v>40</v>
      </c>
      <c r="J3649" s="2" t="s">
        <v>556</v>
      </c>
      <c r="O3649" s="2" t="s">
        <v>524</v>
      </c>
      <c r="Y3649" s="2" t="s">
        <v>716</v>
      </c>
      <c r="AB3649" s="2">
        <v>2</v>
      </c>
    </row>
    <row r="3650" spans="1:34" x14ac:dyDescent="0.25">
      <c r="A3650" s="2" t="s">
        <v>330</v>
      </c>
      <c r="B3650" s="2" t="s">
        <v>557</v>
      </c>
      <c r="C3650" s="2" t="s">
        <v>408</v>
      </c>
      <c r="D3650" s="2" t="s">
        <v>411</v>
      </c>
      <c r="E3650" s="2" t="s">
        <v>413</v>
      </c>
      <c r="F3650" s="2" t="s">
        <v>40</v>
      </c>
      <c r="J3650" s="2" t="s">
        <v>558</v>
      </c>
      <c r="O3650" s="2" t="s">
        <v>524</v>
      </c>
      <c r="Y3650" s="2" t="s">
        <v>716</v>
      </c>
      <c r="AC3650" s="2">
        <f>COUNTIFS($B:$B,"BLOCK_LOAD_Q",$A:$A,$A3650,$C:$C,$C3650,$E:$E,$E3650,$F:$F,$F3650,$N:$N, "&lt;&gt;")</f>
        <v>0</v>
      </c>
      <c r="AD3650" s="2">
        <f>COUNTIFS($B:$B,"BLOCK_TRUST_Q",$A:$A,$A3650,$C:$C,$C3650,$E:$E,$E3650,$F:$F,$F3650,$N:$N, "&lt;&gt;")</f>
        <v>0</v>
      </c>
      <c r="AE3650" s="2" t="str">
        <f>IFERROR(AVERAGEIFS($P:$P,$B:$B,"BLOCK_LOAD_Q",$A:$A,$A3650,$C:$C,$C3650,$E:$E,$E3650,$F:$F,$F3650,$P:$P,"&gt;0"),"")</f>
        <v/>
      </c>
      <c r="AF3650" s="2" t="str">
        <f>IFERROR(AVERAGEIFS($P:$P,$B:$B,"BLOCK_TRUST_Q",$A:$A,$A3650,$C:$C,$C3650,$E:$E,$E3650,$F:$F,$F3650,$P:$P,"&gt;0"),"")</f>
        <v/>
      </c>
      <c r="AG3650" s="2">
        <f>5-AC3650</f>
        <v>5</v>
      </c>
      <c r="AH3650" s="2">
        <f>12-AD3650</f>
        <v>12</v>
      </c>
    </row>
    <row r="3651" spans="1:34" x14ac:dyDescent="0.25">
      <c r="A3651" s="2" t="s">
        <v>330</v>
      </c>
      <c r="B3651" s="2" t="s">
        <v>402</v>
      </c>
      <c r="C3651" s="2" t="s">
        <v>408</v>
      </c>
      <c r="D3651" s="2" t="s">
        <v>411</v>
      </c>
      <c r="E3651" s="2" t="s">
        <v>414</v>
      </c>
      <c r="F3651" s="2" t="s">
        <v>39</v>
      </c>
      <c r="G3651" s="2" t="s">
        <v>415</v>
      </c>
      <c r="H3651" s="2" t="s">
        <v>349</v>
      </c>
      <c r="S3651" s="2" t="s">
        <v>58</v>
      </c>
      <c r="U3651" s="2" t="s">
        <v>60</v>
      </c>
      <c r="W3651" s="2" t="s">
        <v>58</v>
      </c>
    </row>
    <row r="3652" spans="1:34" x14ac:dyDescent="0.25">
      <c r="A3652" s="2" t="s">
        <v>330</v>
      </c>
      <c r="B3652" s="2" t="s">
        <v>402</v>
      </c>
      <c r="C3652" s="2" t="s">
        <v>408</v>
      </c>
      <c r="D3652" s="2" t="s">
        <v>411</v>
      </c>
      <c r="E3652" s="2" t="s">
        <v>414</v>
      </c>
      <c r="F3652" s="2" t="s">
        <v>39</v>
      </c>
      <c r="G3652" s="2" t="s">
        <v>416</v>
      </c>
      <c r="H3652" s="2" t="s">
        <v>565</v>
      </c>
      <c r="S3652" s="2" t="s">
        <v>59</v>
      </c>
      <c r="U3652" s="2" t="s">
        <v>60</v>
      </c>
      <c r="W3652" s="2" t="s">
        <v>60</v>
      </c>
    </row>
    <row r="3653" spans="1:34" x14ac:dyDescent="0.25">
      <c r="A3653" s="2" t="s">
        <v>330</v>
      </c>
      <c r="B3653" s="2" t="s">
        <v>402</v>
      </c>
      <c r="C3653" s="2" t="s">
        <v>408</v>
      </c>
      <c r="D3653" s="2" t="s">
        <v>411</v>
      </c>
      <c r="E3653" s="2" t="s">
        <v>414</v>
      </c>
      <c r="F3653" s="2" t="s">
        <v>39</v>
      </c>
      <c r="G3653" s="2" t="s">
        <v>417</v>
      </c>
      <c r="H3653" s="2" t="s">
        <v>361</v>
      </c>
      <c r="S3653" s="2" t="s">
        <v>60</v>
      </c>
      <c r="U3653" s="2" t="s">
        <v>60</v>
      </c>
      <c r="W3653" s="2" t="s">
        <v>60</v>
      </c>
    </row>
    <row r="3654" spans="1:34" x14ac:dyDescent="0.25">
      <c r="A3654" s="2" t="s">
        <v>330</v>
      </c>
      <c r="B3654" s="2" t="s">
        <v>402</v>
      </c>
      <c r="C3654" s="2" t="s">
        <v>408</v>
      </c>
      <c r="D3654" s="2" t="s">
        <v>411</v>
      </c>
      <c r="E3654" s="2" t="s">
        <v>414</v>
      </c>
      <c r="F3654" s="2" t="s">
        <v>39</v>
      </c>
      <c r="G3654" s="2" t="s">
        <v>418</v>
      </c>
      <c r="H3654" s="2" t="s">
        <v>353</v>
      </c>
      <c r="S3654" s="2" t="s">
        <v>58</v>
      </c>
      <c r="U3654" s="2" t="s">
        <v>59</v>
      </c>
      <c r="W3654" s="2" t="s">
        <v>58</v>
      </c>
    </row>
    <row r="3655" spans="1:34" x14ac:dyDescent="0.25">
      <c r="A3655" s="2" t="s">
        <v>330</v>
      </c>
      <c r="B3655" s="2" t="s">
        <v>402</v>
      </c>
      <c r="C3655" s="2" t="s">
        <v>408</v>
      </c>
      <c r="D3655" s="2" t="s">
        <v>411</v>
      </c>
      <c r="E3655" s="2" t="s">
        <v>414</v>
      </c>
      <c r="F3655" s="2" t="s">
        <v>39</v>
      </c>
      <c r="G3655" s="2" t="s">
        <v>419</v>
      </c>
      <c r="H3655" s="2" t="s">
        <v>371</v>
      </c>
      <c r="S3655" s="2" t="s">
        <v>60</v>
      </c>
      <c r="U3655" s="2" t="s">
        <v>59</v>
      </c>
      <c r="W3655" s="2" t="s">
        <v>57</v>
      </c>
    </row>
    <row r="3656" spans="1:34" x14ac:dyDescent="0.25">
      <c r="A3656" s="2" t="s">
        <v>330</v>
      </c>
      <c r="B3656" s="2" t="s">
        <v>531</v>
      </c>
      <c r="C3656" s="2" t="s">
        <v>408</v>
      </c>
      <c r="D3656" s="2" t="s">
        <v>411</v>
      </c>
      <c r="E3656" s="2" t="s">
        <v>414</v>
      </c>
      <c r="F3656" s="2" t="s">
        <v>39</v>
      </c>
      <c r="J3656" s="2" t="s">
        <v>532</v>
      </c>
      <c r="K3656" s="2" t="s">
        <v>533</v>
      </c>
      <c r="L3656" s="2">
        <v>1</v>
      </c>
      <c r="M3656" s="2" t="s">
        <v>534</v>
      </c>
      <c r="O3656" s="2" t="s">
        <v>524</v>
      </c>
      <c r="Y3656" s="2" t="s">
        <v>717</v>
      </c>
    </row>
    <row r="3657" spans="1:34" x14ac:dyDescent="0.25">
      <c r="A3657" s="2" t="s">
        <v>330</v>
      </c>
      <c r="B3657" s="2" t="s">
        <v>531</v>
      </c>
      <c r="C3657" s="2" t="s">
        <v>408</v>
      </c>
      <c r="D3657" s="2" t="s">
        <v>411</v>
      </c>
      <c r="E3657" s="2" t="s">
        <v>414</v>
      </c>
      <c r="F3657" s="2" t="s">
        <v>39</v>
      </c>
      <c r="J3657" s="2" t="s">
        <v>532</v>
      </c>
      <c r="K3657" s="2" t="s">
        <v>533</v>
      </c>
      <c r="L3657" s="2">
        <v>2</v>
      </c>
      <c r="M3657" s="2" t="s">
        <v>536</v>
      </c>
      <c r="O3657" s="2" t="s">
        <v>524</v>
      </c>
      <c r="Y3657" s="2" t="s">
        <v>717</v>
      </c>
    </row>
    <row r="3658" spans="1:34" x14ac:dyDescent="0.25">
      <c r="A3658" s="2" t="s">
        <v>330</v>
      </c>
      <c r="B3658" s="2" t="s">
        <v>531</v>
      </c>
      <c r="C3658" s="2" t="s">
        <v>408</v>
      </c>
      <c r="D3658" s="2" t="s">
        <v>411</v>
      </c>
      <c r="E3658" s="2" t="s">
        <v>414</v>
      </c>
      <c r="F3658" s="2" t="s">
        <v>39</v>
      </c>
      <c r="J3658" s="2" t="s">
        <v>532</v>
      </c>
      <c r="K3658" s="2" t="s">
        <v>533</v>
      </c>
      <c r="L3658" s="2">
        <v>3</v>
      </c>
      <c r="M3658" s="2" t="s">
        <v>537</v>
      </c>
      <c r="O3658" s="2" t="s">
        <v>524</v>
      </c>
      <c r="Y3658" s="2" t="s">
        <v>717</v>
      </c>
    </row>
    <row r="3659" spans="1:34" x14ac:dyDescent="0.25">
      <c r="A3659" s="2" t="s">
        <v>330</v>
      </c>
      <c r="B3659" s="2" t="s">
        <v>531</v>
      </c>
      <c r="C3659" s="2" t="s">
        <v>408</v>
      </c>
      <c r="D3659" s="2" t="s">
        <v>411</v>
      </c>
      <c r="E3659" s="2" t="s">
        <v>414</v>
      </c>
      <c r="F3659" s="2" t="s">
        <v>39</v>
      </c>
      <c r="J3659" s="2" t="s">
        <v>532</v>
      </c>
      <c r="K3659" s="2" t="s">
        <v>533</v>
      </c>
      <c r="L3659" s="2">
        <v>4</v>
      </c>
      <c r="M3659" s="2" t="s">
        <v>538</v>
      </c>
      <c r="O3659" s="2" t="s">
        <v>524</v>
      </c>
      <c r="Y3659" s="2" t="s">
        <v>717</v>
      </c>
    </row>
    <row r="3660" spans="1:34" x14ac:dyDescent="0.25">
      <c r="A3660" s="2" t="s">
        <v>330</v>
      </c>
      <c r="B3660" s="2" t="s">
        <v>531</v>
      </c>
      <c r="C3660" s="2" t="s">
        <v>408</v>
      </c>
      <c r="D3660" s="2" t="s">
        <v>411</v>
      </c>
      <c r="E3660" s="2" t="s">
        <v>414</v>
      </c>
      <c r="F3660" s="2" t="s">
        <v>39</v>
      </c>
      <c r="J3660" s="2" t="s">
        <v>532</v>
      </c>
      <c r="K3660" s="2" t="s">
        <v>533</v>
      </c>
      <c r="L3660" s="2">
        <v>5</v>
      </c>
      <c r="M3660" s="2" t="s">
        <v>539</v>
      </c>
      <c r="O3660" s="2" t="s">
        <v>524</v>
      </c>
      <c r="Y3660" s="2" t="s">
        <v>717</v>
      </c>
    </row>
    <row r="3661" spans="1:34" x14ac:dyDescent="0.25">
      <c r="A3661" s="2" t="s">
        <v>330</v>
      </c>
      <c r="B3661" s="2" t="s">
        <v>540</v>
      </c>
      <c r="C3661" s="2" t="s">
        <v>408</v>
      </c>
      <c r="D3661" s="2" t="s">
        <v>411</v>
      </c>
      <c r="E3661" s="2" t="s">
        <v>414</v>
      </c>
      <c r="F3661" s="2" t="s">
        <v>39</v>
      </c>
      <c r="J3661" s="2" t="s">
        <v>541</v>
      </c>
      <c r="K3661" s="2" t="s">
        <v>542</v>
      </c>
      <c r="L3661" s="2">
        <v>1</v>
      </c>
      <c r="M3661" s="2" t="s">
        <v>543</v>
      </c>
      <c r="O3661" s="2" t="s">
        <v>524</v>
      </c>
      <c r="Y3661" s="2" t="s">
        <v>717</v>
      </c>
    </row>
    <row r="3662" spans="1:34" x14ac:dyDescent="0.25">
      <c r="A3662" s="2" t="s">
        <v>330</v>
      </c>
      <c r="B3662" s="2" t="s">
        <v>540</v>
      </c>
      <c r="C3662" s="2" t="s">
        <v>408</v>
      </c>
      <c r="D3662" s="2" t="s">
        <v>411</v>
      </c>
      <c r="E3662" s="2" t="s">
        <v>414</v>
      </c>
      <c r="F3662" s="2" t="s">
        <v>39</v>
      </c>
      <c r="J3662" s="2" t="s">
        <v>541</v>
      </c>
      <c r="K3662" s="2" t="s">
        <v>542</v>
      </c>
      <c r="L3662" s="2">
        <v>2</v>
      </c>
      <c r="M3662" s="2" t="s">
        <v>544</v>
      </c>
      <c r="O3662" s="2" t="s">
        <v>524</v>
      </c>
      <c r="Y3662" s="2" t="s">
        <v>717</v>
      </c>
    </row>
    <row r="3663" spans="1:34" x14ac:dyDescent="0.25">
      <c r="A3663" s="2" t="s">
        <v>330</v>
      </c>
      <c r="B3663" s="2" t="s">
        <v>540</v>
      </c>
      <c r="C3663" s="2" t="s">
        <v>408</v>
      </c>
      <c r="D3663" s="2" t="s">
        <v>411</v>
      </c>
      <c r="E3663" s="2" t="s">
        <v>414</v>
      </c>
      <c r="F3663" s="2" t="s">
        <v>39</v>
      </c>
      <c r="J3663" s="2" t="s">
        <v>541</v>
      </c>
      <c r="K3663" s="2" t="s">
        <v>542</v>
      </c>
      <c r="L3663" s="2">
        <v>3</v>
      </c>
      <c r="M3663" s="2" t="s">
        <v>545</v>
      </c>
      <c r="O3663" s="2" t="s">
        <v>524</v>
      </c>
      <c r="Y3663" s="2" t="s">
        <v>717</v>
      </c>
    </row>
    <row r="3664" spans="1:34" x14ac:dyDescent="0.25">
      <c r="A3664" s="2" t="s">
        <v>330</v>
      </c>
      <c r="B3664" s="2" t="s">
        <v>540</v>
      </c>
      <c r="C3664" s="2" t="s">
        <v>408</v>
      </c>
      <c r="D3664" s="2" t="s">
        <v>411</v>
      </c>
      <c r="E3664" s="2" t="s">
        <v>414</v>
      </c>
      <c r="F3664" s="2" t="s">
        <v>39</v>
      </c>
      <c r="J3664" s="2" t="s">
        <v>541</v>
      </c>
      <c r="K3664" s="2" t="s">
        <v>542</v>
      </c>
      <c r="L3664" s="2">
        <v>4</v>
      </c>
      <c r="M3664" s="2" t="s">
        <v>546</v>
      </c>
      <c r="O3664" s="2" t="s">
        <v>524</v>
      </c>
      <c r="Y3664" s="2" t="s">
        <v>717</v>
      </c>
    </row>
    <row r="3665" spans="1:34" x14ac:dyDescent="0.25">
      <c r="A3665" s="2" t="s">
        <v>330</v>
      </c>
      <c r="B3665" s="2" t="s">
        <v>540</v>
      </c>
      <c r="C3665" s="2" t="s">
        <v>408</v>
      </c>
      <c r="D3665" s="2" t="s">
        <v>411</v>
      </c>
      <c r="E3665" s="2" t="s">
        <v>414</v>
      </c>
      <c r="F3665" s="2" t="s">
        <v>39</v>
      </c>
      <c r="J3665" s="2" t="s">
        <v>541</v>
      </c>
      <c r="K3665" s="2" t="s">
        <v>542</v>
      </c>
      <c r="L3665" s="2">
        <v>5</v>
      </c>
      <c r="M3665" s="2" t="s">
        <v>547</v>
      </c>
      <c r="O3665" s="2" t="s">
        <v>524</v>
      </c>
      <c r="Y3665" s="2" t="s">
        <v>717</v>
      </c>
    </row>
    <row r="3666" spans="1:34" x14ac:dyDescent="0.25">
      <c r="A3666" s="2" t="s">
        <v>330</v>
      </c>
      <c r="B3666" s="2" t="s">
        <v>540</v>
      </c>
      <c r="C3666" s="2" t="s">
        <v>408</v>
      </c>
      <c r="D3666" s="2" t="s">
        <v>411</v>
      </c>
      <c r="E3666" s="2" t="s">
        <v>414</v>
      </c>
      <c r="F3666" s="2" t="s">
        <v>39</v>
      </c>
      <c r="J3666" s="2" t="s">
        <v>541</v>
      </c>
      <c r="K3666" s="2" t="s">
        <v>542</v>
      </c>
      <c r="L3666" s="2">
        <v>6</v>
      </c>
      <c r="M3666" s="2" t="s">
        <v>548</v>
      </c>
      <c r="O3666" s="2" t="s">
        <v>524</v>
      </c>
      <c r="Y3666" s="2" t="s">
        <v>717</v>
      </c>
    </row>
    <row r="3667" spans="1:34" x14ac:dyDescent="0.25">
      <c r="A3667" s="2" t="s">
        <v>330</v>
      </c>
      <c r="B3667" s="2" t="s">
        <v>540</v>
      </c>
      <c r="C3667" s="2" t="s">
        <v>408</v>
      </c>
      <c r="D3667" s="2" t="s">
        <v>411</v>
      </c>
      <c r="E3667" s="2" t="s">
        <v>414</v>
      </c>
      <c r="F3667" s="2" t="s">
        <v>39</v>
      </c>
      <c r="J3667" s="2" t="s">
        <v>541</v>
      </c>
      <c r="K3667" s="2" t="s">
        <v>542</v>
      </c>
      <c r="L3667" s="2">
        <v>7</v>
      </c>
      <c r="M3667" s="2" t="s">
        <v>549</v>
      </c>
      <c r="O3667" s="2" t="s">
        <v>524</v>
      </c>
      <c r="Y3667" s="2" t="s">
        <v>717</v>
      </c>
    </row>
    <row r="3668" spans="1:34" x14ac:dyDescent="0.25">
      <c r="A3668" s="2" t="s">
        <v>330</v>
      </c>
      <c r="B3668" s="2" t="s">
        <v>540</v>
      </c>
      <c r="C3668" s="2" t="s">
        <v>408</v>
      </c>
      <c r="D3668" s="2" t="s">
        <v>411</v>
      </c>
      <c r="E3668" s="2" t="s">
        <v>414</v>
      </c>
      <c r="F3668" s="2" t="s">
        <v>39</v>
      </c>
      <c r="J3668" s="2" t="s">
        <v>541</v>
      </c>
      <c r="K3668" s="2" t="s">
        <v>542</v>
      </c>
      <c r="L3668" s="2">
        <v>8</v>
      </c>
      <c r="M3668" s="2" t="s">
        <v>550</v>
      </c>
      <c r="O3668" s="2" t="s">
        <v>524</v>
      </c>
      <c r="Y3668" s="2" t="s">
        <v>717</v>
      </c>
    </row>
    <row r="3669" spans="1:34" x14ac:dyDescent="0.25">
      <c r="A3669" s="2" t="s">
        <v>330</v>
      </c>
      <c r="B3669" s="2" t="s">
        <v>540</v>
      </c>
      <c r="C3669" s="2" t="s">
        <v>408</v>
      </c>
      <c r="D3669" s="2" t="s">
        <v>411</v>
      </c>
      <c r="E3669" s="2" t="s">
        <v>414</v>
      </c>
      <c r="F3669" s="2" t="s">
        <v>39</v>
      </c>
      <c r="J3669" s="2" t="s">
        <v>541</v>
      </c>
      <c r="K3669" s="2" t="s">
        <v>542</v>
      </c>
      <c r="L3669" s="2">
        <v>9</v>
      </c>
      <c r="M3669" s="2" t="s">
        <v>551</v>
      </c>
      <c r="O3669" s="2" t="s">
        <v>524</v>
      </c>
      <c r="Y3669" s="2" t="s">
        <v>717</v>
      </c>
    </row>
    <row r="3670" spans="1:34" x14ac:dyDescent="0.25">
      <c r="A3670" s="2" t="s">
        <v>330</v>
      </c>
      <c r="B3670" s="2" t="s">
        <v>540</v>
      </c>
      <c r="C3670" s="2" t="s">
        <v>408</v>
      </c>
      <c r="D3670" s="2" t="s">
        <v>411</v>
      </c>
      <c r="E3670" s="2" t="s">
        <v>414</v>
      </c>
      <c r="F3670" s="2" t="s">
        <v>39</v>
      </c>
      <c r="J3670" s="2" t="s">
        <v>541</v>
      </c>
      <c r="K3670" s="2" t="s">
        <v>542</v>
      </c>
      <c r="L3670" s="2">
        <v>10</v>
      </c>
      <c r="M3670" s="2" t="s">
        <v>552</v>
      </c>
      <c r="O3670" s="2" t="s">
        <v>524</v>
      </c>
      <c r="Y3670" s="2" t="s">
        <v>717</v>
      </c>
    </row>
    <row r="3671" spans="1:34" x14ac:dyDescent="0.25">
      <c r="A3671" s="2" t="s">
        <v>330</v>
      </c>
      <c r="B3671" s="2" t="s">
        <v>540</v>
      </c>
      <c r="C3671" s="2" t="s">
        <v>408</v>
      </c>
      <c r="D3671" s="2" t="s">
        <v>411</v>
      </c>
      <c r="E3671" s="2" t="s">
        <v>414</v>
      </c>
      <c r="F3671" s="2" t="s">
        <v>39</v>
      </c>
      <c r="J3671" s="2" t="s">
        <v>541</v>
      </c>
      <c r="K3671" s="2" t="s">
        <v>542</v>
      </c>
      <c r="L3671" s="2">
        <v>11</v>
      </c>
      <c r="M3671" s="2" t="s">
        <v>553</v>
      </c>
      <c r="O3671" s="2" t="s">
        <v>524</v>
      </c>
      <c r="Y3671" s="2" t="s">
        <v>717</v>
      </c>
    </row>
    <row r="3672" spans="1:34" x14ac:dyDescent="0.25">
      <c r="A3672" s="2" t="s">
        <v>330</v>
      </c>
      <c r="B3672" s="2" t="s">
        <v>540</v>
      </c>
      <c r="C3672" s="2" t="s">
        <v>408</v>
      </c>
      <c r="D3672" s="2" t="s">
        <v>411</v>
      </c>
      <c r="E3672" s="2" t="s">
        <v>414</v>
      </c>
      <c r="F3672" s="2" t="s">
        <v>39</v>
      </c>
      <c r="J3672" s="2" t="s">
        <v>541</v>
      </c>
      <c r="K3672" s="2" t="s">
        <v>542</v>
      </c>
      <c r="L3672" s="2">
        <v>12</v>
      </c>
      <c r="M3672" s="2" t="s">
        <v>554</v>
      </c>
      <c r="O3672" s="2" t="s">
        <v>524</v>
      </c>
      <c r="Y3672" s="2" t="s">
        <v>717</v>
      </c>
    </row>
    <row r="3673" spans="1:34" x14ac:dyDescent="0.25">
      <c r="A3673" s="2" t="s">
        <v>330</v>
      </c>
      <c r="B3673" s="2" t="s">
        <v>555</v>
      </c>
      <c r="C3673" s="2" t="s">
        <v>408</v>
      </c>
      <c r="D3673" s="2" t="s">
        <v>411</v>
      </c>
      <c r="E3673" s="2" t="s">
        <v>414</v>
      </c>
      <c r="F3673" s="2" t="s">
        <v>39</v>
      </c>
      <c r="J3673" s="2" t="s">
        <v>556</v>
      </c>
      <c r="O3673" s="2" t="s">
        <v>524</v>
      </c>
      <c r="Y3673" s="2" t="s">
        <v>717</v>
      </c>
      <c r="AB3673" s="2">
        <v>1</v>
      </c>
    </row>
    <row r="3674" spans="1:34" x14ac:dyDescent="0.25">
      <c r="A3674" s="2" t="s">
        <v>330</v>
      </c>
      <c r="B3674" s="2" t="s">
        <v>557</v>
      </c>
      <c r="C3674" s="2" t="s">
        <v>408</v>
      </c>
      <c r="D3674" s="2" t="s">
        <v>411</v>
      </c>
      <c r="E3674" s="2" t="s">
        <v>414</v>
      </c>
      <c r="F3674" s="2" t="s">
        <v>39</v>
      </c>
      <c r="J3674" s="2" t="s">
        <v>558</v>
      </c>
      <c r="O3674" s="2" t="s">
        <v>524</v>
      </c>
      <c r="Y3674" s="2" t="s">
        <v>717</v>
      </c>
      <c r="AC3674" s="2">
        <f>COUNTIFS($B:$B,"BLOCK_LOAD_Q",$A:$A,$A3674,$C:$C,$C3674,$E:$E,$E3674,$F:$F,$F3674,$N:$N, "&lt;&gt;")</f>
        <v>0</v>
      </c>
      <c r="AD3674" s="2">
        <f>COUNTIFS($B:$B,"BLOCK_TRUST_Q",$A:$A,$A3674,$C:$C,$C3674,$E:$E,$E3674,$F:$F,$F3674,$N:$N, "&lt;&gt;")</f>
        <v>0</v>
      </c>
      <c r="AE3674" s="2" t="str">
        <f>IFERROR(AVERAGEIFS($P:$P,$B:$B,"BLOCK_LOAD_Q",$A:$A,$A3674,$C:$C,$C3674,$E:$E,$E3674,$F:$F,$F3674,$P:$P,"&gt;0"),"")</f>
        <v/>
      </c>
      <c r="AF3674" s="2" t="str">
        <f>IFERROR(AVERAGEIFS($P:$P,$B:$B,"BLOCK_TRUST_Q",$A:$A,$A3674,$C:$C,$C3674,$E:$E,$E3674,$F:$F,$F3674,$P:$P,"&gt;0"),"")</f>
        <v/>
      </c>
      <c r="AG3674" s="2">
        <f>5-AC3674</f>
        <v>5</v>
      </c>
      <c r="AH3674" s="2">
        <f>12-AD3674</f>
        <v>12</v>
      </c>
    </row>
    <row r="3675" spans="1:34" x14ac:dyDescent="0.25">
      <c r="A3675" s="2" t="s">
        <v>330</v>
      </c>
      <c r="B3675" s="2" t="s">
        <v>403</v>
      </c>
      <c r="C3675" s="2" t="s">
        <v>408</v>
      </c>
      <c r="D3675" s="2" t="s">
        <v>411</v>
      </c>
      <c r="Z3675" s="2" t="s">
        <v>493</v>
      </c>
    </row>
    <row r="3676" spans="1:34" x14ac:dyDescent="0.25">
      <c r="A3676" s="2" t="s">
        <v>330</v>
      </c>
      <c r="B3676" s="2" t="s">
        <v>402</v>
      </c>
      <c r="C3676" s="2" t="s">
        <v>409</v>
      </c>
      <c r="D3676" s="2" t="s">
        <v>412</v>
      </c>
      <c r="E3676" s="2" t="s">
        <v>413</v>
      </c>
      <c r="F3676" s="2" t="s">
        <v>40</v>
      </c>
      <c r="G3676" s="2" t="s">
        <v>415</v>
      </c>
      <c r="H3676" s="2" t="s">
        <v>567</v>
      </c>
      <c r="S3676" s="2" t="s">
        <v>58</v>
      </c>
      <c r="U3676" s="2" t="s">
        <v>57</v>
      </c>
      <c r="W3676" s="2" t="s">
        <v>60</v>
      </c>
    </row>
    <row r="3677" spans="1:34" x14ac:dyDescent="0.25">
      <c r="A3677" s="2" t="s">
        <v>330</v>
      </c>
      <c r="B3677" s="2" t="s">
        <v>402</v>
      </c>
      <c r="C3677" s="2" t="s">
        <v>409</v>
      </c>
      <c r="D3677" s="2" t="s">
        <v>412</v>
      </c>
      <c r="E3677" s="2" t="s">
        <v>413</v>
      </c>
      <c r="F3677" s="2" t="s">
        <v>40</v>
      </c>
      <c r="G3677" s="2" t="s">
        <v>416</v>
      </c>
      <c r="H3677" s="2" t="s">
        <v>568</v>
      </c>
      <c r="S3677" s="2" t="s">
        <v>59</v>
      </c>
      <c r="U3677" s="2" t="s">
        <v>60</v>
      </c>
      <c r="W3677" s="2" t="s">
        <v>59</v>
      </c>
    </row>
    <row r="3678" spans="1:34" x14ac:dyDescent="0.25">
      <c r="A3678" s="2" t="s">
        <v>330</v>
      </c>
      <c r="B3678" s="2" t="s">
        <v>402</v>
      </c>
      <c r="C3678" s="2" t="s">
        <v>409</v>
      </c>
      <c r="D3678" s="2" t="s">
        <v>412</v>
      </c>
      <c r="E3678" s="2" t="s">
        <v>413</v>
      </c>
      <c r="F3678" s="2" t="s">
        <v>40</v>
      </c>
      <c r="G3678" s="2" t="s">
        <v>417</v>
      </c>
      <c r="H3678" s="2" t="s">
        <v>569</v>
      </c>
      <c r="S3678" s="2" t="s">
        <v>57</v>
      </c>
      <c r="U3678" s="2" t="s">
        <v>60</v>
      </c>
      <c r="W3678" s="2" t="s">
        <v>57</v>
      </c>
    </row>
    <row r="3679" spans="1:34" x14ac:dyDescent="0.25">
      <c r="A3679" s="2" t="s">
        <v>330</v>
      </c>
      <c r="B3679" s="2" t="s">
        <v>402</v>
      </c>
      <c r="C3679" s="2" t="s">
        <v>409</v>
      </c>
      <c r="D3679" s="2" t="s">
        <v>412</v>
      </c>
      <c r="E3679" s="2" t="s">
        <v>413</v>
      </c>
      <c r="F3679" s="2" t="s">
        <v>40</v>
      </c>
      <c r="G3679" s="2" t="s">
        <v>418</v>
      </c>
      <c r="H3679" s="2" t="s">
        <v>351</v>
      </c>
      <c r="S3679" s="2" t="s">
        <v>60</v>
      </c>
      <c r="U3679" s="2" t="s">
        <v>57</v>
      </c>
      <c r="W3679" s="2" t="s">
        <v>57</v>
      </c>
    </row>
    <row r="3680" spans="1:34" x14ac:dyDescent="0.25">
      <c r="A3680" s="2" t="s">
        <v>330</v>
      </c>
      <c r="B3680" s="2" t="s">
        <v>531</v>
      </c>
      <c r="C3680" s="2" t="s">
        <v>409</v>
      </c>
      <c r="D3680" s="2" t="s">
        <v>412</v>
      </c>
      <c r="E3680" s="2" t="s">
        <v>413</v>
      </c>
      <c r="F3680" s="2" t="s">
        <v>40</v>
      </c>
      <c r="J3680" s="2" t="s">
        <v>532</v>
      </c>
      <c r="K3680" s="2" t="s">
        <v>533</v>
      </c>
      <c r="L3680" s="2">
        <v>1</v>
      </c>
      <c r="M3680" s="2" t="s">
        <v>534</v>
      </c>
      <c r="O3680" s="2" t="s">
        <v>524</v>
      </c>
      <c r="Y3680" s="2" t="s">
        <v>718</v>
      </c>
    </row>
    <row r="3681" spans="1:25" x14ac:dyDescent="0.25">
      <c r="A3681" s="2" t="s">
        <v>330</v>
      </c>
      <c r="B3681" s="2" t="s">
        <v>531</v>
      </c>
      <c r="C3681" s="2" t="s">
        <v>409</v>
      </c>
      <c r="D3681" s="2" t="s">
        <v>412</v>
      </c>
      <c r="E3681" s="2" t="s">
        <v>413</v>
      </c>
      <c r="F3681" s="2" t="s">
        <v>40</v>
      </c>
      <c r="J3681" s="2" t="s">
        <v>532</v>
      </c>
      <c r="K3681" s="2" t="s">
        <v>533</v>
      </c>
      <c r="L3681" s="2">
        <v>2</v>
      </c>
      <c r="M3681" s="2" t="s">
        <v>536</v>
      </c>
      <c r="O3681" s="2" t="s">
        <v>524</v>
      </c>
      <c r="Y3681" s="2" t="s">
        <v>718</v>
      </c>
    </row>
    <row r="3682" spans="1:25" x14ac:dyDescent="0.25">
      <c r="A3682" s="2" t="s">
        <v>330</v>
      </c>
      <c r="B3682" s="2" t="s">
        <v>531</v>
      </c>
      <c r="C3682" s="2" t="s">
        <v>409</v>
      </c>
      <c r="D3682" s="2" t="s">
        <v>412</v>
      </c>
      <c r="E3682" s="2" t="s">
        <v>413</v>
      </c>
      <c r="F3682" s="2" t="s">
        <v>40</v>
      </c>
      <c r="J3682" s="2" t="s">
        <v>532</v>
      </c>
      <c r="K3682" s="2" t="s">
        <v>533</v>
      </c>
      <c r="L3682" s="2">
        <v>3</v>
      </c>
      <c r="M3682" s="2" t="s">
        <v>537</v>
      </c>
      <c r="O3682" s="2" t="s">
        <v>524</v>
      </c>
      <c r="Y3682" s="2" t="s">
        <v>718</v>
      </c>
    </row>
    <row r="3683" spans="1:25" x14ac:dyDescent="0.25">
      <c r="A3683" s="2" t="s">
        <v>330</v>
      </c>
      <c r="B3683" s="2" t="s">
        <v>531</v>
      </c>
      <c r="C3683" s="2" t="s">
        <v>409</v>
      </c>
      <c r="D3683" s="2" t="s">
        <v>412</v>
      </c>
      <c r="E3683" s="2" t="s">
        <v>413</v>
      </c>
      <c r="F3683" s="2" t="s">
        <v>40</v>
      </c>
      <c r="J3683" s="2" t="s">
        <v>532</v>
      </c>
      <c r="K3683" s="2" t="s">
        <v>533</v>
      </c>
      <c r="L3683" s="2">
        <v>4</v>
      </c>
      <c r="M3683" s="2" t="s">
        <v>538</v>
      </c>
      <c r="O3683" s="2" t="s">
        <v>524</v>
      </c>
      <c r="Y3683" s="2" t="s">
        <v>718</v>
      </c>
    </row>
    <row r="3684" spans="1:25" x14ac:dyDescent="0.25">
      <c r="A3684" s="2" t="s">
        <v>330</v>
      </c>
      <c r="B3684" s="2" t="s">
        <v>531</v>
      </c>
      <c r="C3684" s="2" t="s">
        <v>409</v>
      </c>
      <c r="D3684" s="2" t="s">
        <v>412</v>
      </c>
      <c r="E3684" s="2" t="s">
        <v>413</v>
      </c>
      <c r="F3684" s="2" t="s">
        <v>40</v>
      </c>
      <c r="J3684" s="2" t="s">
        <v>532</v>
      </c>
      <c r="K3684" s="2" t="s">
        <v>533</v>
      </c>
      <c r="L3684" s="2">
        <v>5</v>
      </c>
      <c r="M3684" s="2" t="s">
        <v>539</v>
      </c>
      <c r="O3684" s="2" t="s">
        <v>524</v>
      </c>
      <c r="Y3684" s="2" t="s">
        <v>718</v>
      </c>
    </row>
    <row r="3685" spans="1:25" x14ac:dyDescent="0.25">
      <c r="A3685" s="2" t="s">
        <v>330</v>
      </c>
      <c r="B3685" s="2" t="s">
        <v>540</v>
      </c>
      <c r="C3685" s="2" t="s">
        <v>409</v>
      </c>
      <c r="D3685" s="2" t="s">
        <v>412</v>
      </c>
      <c r="E3685" s="2" t="s">
        <v>413</v>
      </c>
      <c r="F3685" s="2" t="s">
        <v>40</v>
      </c>
      <c r="J3685" s="2" t="s">
        <v>541</v>
      </c>
      <c r="K3685" s="2" t="s">
        <v>542</v>
      </c>
      <c r="L3685" s="2">
        <v>1</v>
      </c>
      <c r="M3685" s="2" t="s">
        <v>543</v>
      </c>
      <c r="O3685" s="2" t="s">
        <v>524</v>
      </c>
      <c r="Y3685" s="2" t="s">
        <v>718</v>
      </c>
    </row>
    <row r="3686" spans="1:25" x14ac:dyDescent="0.25">
      <c r="A3686" s="2" t="s">
        <v>330</v>
      </c>
      <c r="B3686" s="2" t="s">
        <v>540</v>
      </c>
      <c r="C3686" s="2" t="s">
        <v>409</v>
      </c>
      <c r="D3686" s="2" t="s">
        <v>412</v>
      </c>
      <c r="E3686" s="2" t="s">
        <v>413</v>
      </c>
      <c r="F3686" s="2" t="s">
        <v>40</v>
      </c>
      <c r="J3686" s="2" t="s">
        <v>541</v>
      </c>
      <c r="K3686" s="2" t="s">
        <v>542</v>
      </c>
      <c r="L3686" s="2">
        <v>2</v>
      </c>
      <c r="M3686" s="2" t="s">
        <v>544</v>
      </c>
      <c r="O3686" s="2" t="s">
        <v>524</v>
      </c>
      <c r="Y3686" s="2" t="s">
        <v>718</v>
      </c>
    </row>
    <row r="3687" spans="1:25" x14ac:dyDescent="0.25">
      <c r="A3687" s="2" t="s">
        <v>330</v>
      </c>
      <c r="B3687" s="2" t="s">
        <v>540</v>
      </c>
      <c r="C3687" s="2" t="s">
        <v>409</v>
      </c>
      <c r="D3687" s="2" t="s">
        <v>412</v>
      </c>
      <c r="E3687" s="2" t="s">
        <v>413</v>
      </c>
      <c r="F3687" s="2" t="s">
        <v>40</v>
      </c>
      <c r="J3687" s="2" t="s">
        <v>541</v>
      </c>
      <c r="K3687" s="2" t="s">
        <v>542</v>
      </c>
      <c r="L3687" s="2">
        <v>3</v>
      </c>
      <c r="M3687" s="2" t="s">
        <v>545</v>
      </c>
      <c r="O3687" s="2" t="s">
        <v>524</v>
      </c>
      <c r="Y3687" s="2" t="s">
        <v>718</v>
      </c>
    </row>
    <row r="3688" spans="1:25" x14ac:dyDescent="0.25">
      <c r="A3688" s="2" t="s">
        <v>330</v>
      </c>
      <c r="B3688" s="2" t="s">
        <v>540</v>
      </c>
      <c r="C3688" s="2" t="s">
        <v>409</v>
      </c>
      <c r="D3688" s="2" t="s">
        <v>412</v>
      </c>
      <c r="E3688" s="2" t="s">
        <v>413</v>
      </c>
      <c r="F3688" s="2" t="s">
        <v>40</v>
      </c>
      <c r="J3688" s="2" t="s">
        <v>541</v>
      </c>
      <c r="K3688" s="2" t="s">
        <v>542</v>
      </c>
      <c r="L3688" s="2">
        <v>4</v>
      </c>
      <c r="M3688" s="2" t="s">
        <v>546</v>
      </c>
      <c r="O3688" s="2" t="s">
        <v>524</v>
      </c>
      <c r="Y3688" s="2" t="s">
        <v>718</v>
      </c>
    </row>
    <row r="3689" spans="1:25" x14ac:dyDescent="0.25">
      <c r="A3689" s="2" t="s">
        <v>330</v>
      </c>
      <c r="B3689" s="2" t="s">
        <v>540</v>
      </c>
      <c r="C3689" s="2" t="s">
        <v>409</v>
      </c>
      <c r="D3689" s="2" t="s">
        <v>412</v>
      </c>
      <c r="E3689" s="2" t="s">
        <v>413</v>
      </c>
      <c r="F3689" s="2" t="s">
        <v>40</v>
      </c>
      <c r="J3689" s="2" t="s">
        <v>541</v>
      </c>
      <c r="K3689" s="2" t="s">
        <v>542</v>
      </c>
      <c r="L3689" s="2">
        <v>5</v>
      </c>
      <c r="M3689" s="2" t="s">
        <v>547</v>
      </c>
      <c r="O3689" s="2" t="s">
        <v>524</v>
      </c>
      <c r="Y3689" s="2" t="s">
        <v>718</v>
      </c>
    </row>
    <row r="3690" spans="1:25" x14ac:dyDescent="0.25">
      <c r="A3690" s="2" t="s">
        <v>330</v>
      </c>
      <c r="B3690" s="2" t="s">
        <v>540</v>
      </c>
      <c r="C3690" s="2" t="s">
        <v>409</v>
      </c>
      <c r="D3690" s="2" t="s">
        <v>412</v>
      </c>
      <c r="E3690" s="2" t="s">
        <v>413</v>
      </c>
      <c r="F3690" s="2" t="s">
        <v>40</v>
      </c>
      <c r="J3690" s="2" t="s">
        <v>541</v>
      </c>
      <c r="K3690" s="2" t="s">
        <v>542</v>
      </c>
      <c r="L3690" s="2">
        <v>6</v>
      </c>
      <c r="M3690" s="2" t="s">
        <v>548</v>
      </c>
      <c r="O3690" s="2" t="s">
        <v>524</v>
      </c>
      <c r="Y3690" s="2" t="s">
        <v>718</v>
      </c>
    </row>
    <row r="3691" spans="1:25" x14ac:dyDescent="0.25">
      <c r="A3691" s="2" t="s">
        <v>330</v>
      </c>
      <c r="B3691" s="2" t="s">
        <v>540</v>
      </c>
      <c r="C3691" s="2" t="s">
        <v>409</v>
      </c>
      <c r="D3691" s="2" t="s">
        <v>412</v>
      </c>
      <c r="E3691" s="2" t="s">
        <v>413</v>
      </c>
      <c r="F3691" s="2" t="s">
        <v>40</v>
      </c>
      <c r="J3691" s="2" t="s">
        <v>541</v>
      </c>
      <c r="K3691" s="2" t="s">
        <v>542</v>
      </c>
      <c r="L3691" s="2">
        <v>7</v>
      </c>
      <c r="M3691" s="2" t="s">
        <v>549</v>
      </c>
      <c r="O3691" s="2" t="s">
        <v>524</v>
      </c>
      <c r="Y3691" s="2" t="s">
        <v>718</v>
      </c>
    </row>
    <row r="3692" spans="1:25" x14ac:dyDescent="0.25">
      <c r="A3692" s="2" t="s">
        <v>330</v>
      </c>
      <c r="B3692" s="2" t="s">
        <v>540</v>
      </c>
      <c r="C3692" s="2" t="s">
        <v>409</v>
      </c>
      <c r="D3692" s="2" t="s">
        <v>412</v>
      </c>
      <c r="E3692" s="2" t="s">
        <v>413</v>
      </c>
      <c r="F3692" s="2" t="s">
        <v>40</v>
      </c>
      <c r="J3692" s="2" t="s">
        <v>541</v>
      </c>
      <c r="K3692" s="2" t="s">
        <v>542</v>
      </c>
      <c r="L3692" s="2">
        <v>8</v>
      </c>
      <c r="M3692" s="2" t="s">
        <v>550</v>
      </c>
      <c r="O3692" s="2" t="s">
        <v>524</v>
      </c>
      <c r="Y3692" s="2" t="s">
        <v>718</v>
      </c>
    </row>
    <row r="3693" spans="1:25" x14ac:dyDescent="0.25">
      <c r="A3693" s="2" t="s">
        <v>330</v>
      </c>
      <c r="B3693" s="2" t="s">
        <v>540</v>
      </c>
      <c r="C3693" s="2" t="s">
        <v>409</v>
      </c>
      <c r="D3693" s="2" t="s">
        <v>412</v>
      </c>
      <c r="E3693" s="2" t="s">
        <v>413</v>
      </c>
      <c r="F3693" s="2" t="s">
        <v>40</v>
      </c>
      <c r="J3693" s="2" t="s">
        <v>541</v>
      </c>
      <c r="K3693" s="2" t="s">
        <v>542</v>
      </c>
      <c r="L3693" s="2">
        <v>9</v>
      </c>
      <c r="M3693" s="2" t="s">
        <v>551</v>
      </c>
      <c r="O3693" s="2" t="s">
        <v>524</v>
      </c>
      <c r="Y3693" s="2" t="s">
        <v>718</v>
      </c>
    </row>
    <row r="3694" spans="1:25" x14ac:dyDescent="0.25">
      <c r="A3694" s="2" t="s">
        <v>330</v>
      </c>
      <c r="B3694" s="2" t="s">
        <v>540</v>
      </c>
      <c r="C3694" s="2" t="s">
        <v>409</v>
      </c>
      <c r="D3694" s="2" t="s">
        <v>412</v>
      </c>
      <c r="E3694" s="2" t="s">
        <v>413</v>
      </c>
      <c r="F3694" s="2" t="s">
        <v>40</v>
      </c>
      <c r="J3694" s="2" t="s">
        <v>541</v>
      </c>
      <c r="K3694" s="2" t="s">
        <v>542</v>
      </c>
      <c r="L3694" s="2">
        <v>10</v>
      </c>
      <c r="M3694" s="2" t="s">
        <v>552</v>
      </c>
      <c r="O3694" s="2" t="s">
        <v>524</v>
      </c>
      <c r="Y3694" s="2" t="s">
        <v>718</v>
      </c>
    </row>
    <row r="3695" spans="1:25" x14ac:dyDescent="0.25">
      <c r="A3695" s="2" t="s">
        <v>330</v>
      </c>
      <c r="B3695" s="2" t="s">
        <v>540</v>
      </c>
      <c r="C3695" s="2" t="s">
        <v>409</v>
      </c>
      <c r="D3695" s="2" t="s">
        <v>412</v>
      </c>
      <c r="E3695" s="2" t="s">
        <v>413</v>
      </c>
      <c r="F3695" s="2" t="s">
        <v>40</v>
      </c>
      <c r="J3695" s="2" t="s">
        <v>541</v>
      </c>
      <c r="K3695" s="2" t="s">
        <v>542</v>
      </c>
      <c r="L3695" s="2">
        <v>11</v>
      </c>
      <c r="M3695" s="2" t="s">
        <v>553</v>
      </c>
      <c r="O3695" s="2" t="s">
        <v>524</v>
      </c>
      <c r="Y3695" s="2" t="s">
        <v>718</v>
      </c>
    </row>
    <row r="3696" spans="1:25" x14ac:dyDescent="0.25">
      <c r="A3696" s="2" t="s">
        <v>330</v>
      </c>
      <c r="B3696" s="2" t="s">
        <v>540</v>
      </c>
      <c r="C3696" s="2" t="s">
        <v>409</v>
      </c>
      <c r="D3696" s="2" t="s">
        <v>412</v>
      </c>
      <c r="E3696" s="2" t="s">
        <v>413</v>
      </c>
      <c r="F3696" s="2" t="s">
        <v>40</v>
      </c>
      <c r="J3696" s="2" t="s">
        <v>541</v>
      </c>
      <c r="K3696" s="2" t="s">
        <v>542</v>
      </c>
      <c r="L3696" s="2">
        <v>12</v>
      </c>
      <c r="M3696" s="2" t="s">
        <v>554</v>
      </c>
      <c r="O3696" s="2" t="s">
        <v>524</v>
      </c>
      <c r="Y3696" s="2" t="s">
        <v>718</v>
      </c>
    </row>
    <row r="3697" spans="1:34" x14ac:dyDescent="0.25">
      <c r="A3697" s="2" t="s">
        <v>330</v>
      </c>
      <c r="B3697" s="2" t="s">
        <v>555</v>
      </c>
      <c r="C3697" s="2" t="s">
        <v>409</v>
      </c>
      <c r="D3697" s="2" t="s">
        <v>412</v>
      </c>
      <c r="E3697" s="2" t="s">
        <v>413</v>
      </c>
      <c r="F3697" s="2" t="s">
        <v>40</v>
      </c>
      <c r="J3697" s="2" t="s">
        <v>556</v>
      </c>
      <c r="O3697" s="2" t="s">
        <v>524</v>
      </c>
      <c r="Y3697" s="2" t="s">
        <v>718</v>
      </c>
      <c r="AB3697" s="2">
        <v>2</v>
      </c>
    </row>
    <row r="3698" spans="1:34" x14ac:dyDescent="0.25">
      <c r="A3698" s="2" t="s">
        <v>330</v>
      </c>
      <c r="B3698" s="2" t="s">
        <v>557</v>
      </c>
      <c r="C3698" s="2" t="s">
        <v>409</v>
      </c>
      <c r="D3698" s="2" t="s">
        <v>412</v>
      </c>
      <c r="E3698" s="2" t="s">
        <v>413</v>
      </c>
      <c r="F3698" s="2" t="s">
        <v>40</v>
      </c>
      <c r="J3698" s="2" t="s">
        <v>558</v>
      </c>
      <c r="O3698" s="2" t="s">
        <v>524</v>
      </c>
      <c r="Y3698" s="2" t="s">
        <v>718</v>
      </c>
      <c r="AC3698" s="2">
        <f>COUNTIFS($B:$B,"BLOCK_LOAD_Q",$A:$A,$A3698,$C:$C,$C3698,$E:$E,$E3698,$F:$F,$F3698,$N:$N, "&lt;&gt;")</f>
        <v>0</v>
      </c>
      <c r="AD3698" s="2">
        <f>COUNTIFS($B:$B,"BLOCK_TRUST_Q",$A:$A,$A3698,$C:$C,$C3698,$E:$E,$E3698,$F:$F,$F3698,$N:$N, "&lt;&gt;")</f>
        <v>0</v>
      </c>
      <c r="AE3698" s="2" t="str">
        <f>IFERROR(AVERAGEIFS($P:$P,$B:$B,"BLOCK_LOAD_Q",$A:$A,$A3698,$C:$C,$C3698,$E:$E,$E3698,$F:$F,$F3698,$P:$P,"&gt;0"),"")</f>
        <v/>
      </c>
      <c r="AF3698" s="2" t="str">
        <f>IFERROR(AVERAGEIFS($P:$P,$B:$B,"BLOCK_TRUST_Q",$A:$A,$A3698,$C:$C,$C3698,$E:$E,$E3698,$F:$F,$F3698,$P:$P,"&gt;0"),"")</f>
        <v/>
      </c>
      <c r="AG3698" s="2">
        <f>5-AC3698</f>
        <v>5</v>
      </c>
      <c r="AH3698" s="2">
        <f>12-AD3698</f>
        <v>12</v>
      </c>
    </row>
    <row r="3699" spans="1:34" x14ac:dyDescent="0.25">
      <c r="A3699" s="2" t="s">
        <v>330</v>
      </c>
      <c r="B3699" s="2" t="s">
        <v>402</v>
      </c>
      <c r="C3699" s="2" t="s">
        <v>409</v>
      </c>
      <c r="D3699" s="2" t="s">
        <v>412</v>
      </c>
      <c r="E3699" s="2" t="s">
        <v>414</v>
      </c>
      <c r="F3699" s="2" t="s">
        <v>39</v>
      </c>
      <c r="G3699" s="2" t="s">
        <v>415</v>
      </c>
      <c r="H3699" s="2" t="s">
        <v>350</v>
      </c>
      <c r="S3699" s="2" t="s">
        <v>57</v>
      </c>
      <c r="U3699" s="2" t="s">
        <v>58</v>
      </c>
      <c r="W3699" s="2" t="s">
        <v>59</v>
      </c>
    </row>
    <row r="3700" spans="1:34" x14ac:dyDescent="0.25">
      <c r="A3700" s="2" t="s">
        <v>330</v>
      </c>
      <c r="B3700" s="2" t="s">
        <v>402</v>
      </c>
      <c r="C3700" s="2" t="s">
        <v>409</v>
      </c>
      <c r="D3700" s="2" t="s">
        <v>412</v>
      </c>
      <c r="E3700" s="2" t="s">
        <v>414</v>
      </c>
      <c r="F3700" s="2" t="s">
        <v>39</v>
      </c>
      <c r="G3700" s="2" t="s">
        <v>416</v>
      </c>
      <c r="H3700" s="2" t="s">
        <v>571</v>
      </c>
      <c r="S3700" s="2" t="s">
        <v>59</v>
      </c>
      <c r="U3700" s="2" t="s">
        <v>57</v>
      </c>
      <c r="W3700" s="2" t="s">
        <v>60</v>
      </c>
    </row>
    <row r="3701" spans="1:34" x14ac:dyDescent="0.25">
      <c r="A3701" s="2" t="s">
        <v>330</v>
      </c>
      <c r="B3701" s="2" t="s">
        <v>402</v>
      </c>
      <c r="C3701" s="2" t="s">
        <v>409</v>
      </c>
      <c r="D3701" s="2" t="s">
        <v>412</v>
      </c>
      <c r="E3701" s="2" t="s">
        <v>414</v>
      </c>
      <c r="F3701" s="2" t="s">
        <v>39</v>
      </c>
      <c r="G3701" s="2" t="s">
        <v>417</v>
      </c>
      <c r="H3701" s="2" t="s">
        <v>572</v>
      </c>
      <c r="S3701" s="2" t="s">
        <v>57</v>
      </c>
      <c r="U3701" s="2" t="s">
        <v>59</v>
      </c>
      <c r="W3701" s="2" t="s">
        <v>58</v>
      </c>
    </row>
    <row r="3702" spans="1:34" x14ac:dyDescent="0.25">
      <c r="A3702" s="2" t="s">
        <v>330</v>
      </c>
      <c r="B3702" s="2" t="s">
        <v>402</v>
      </c>
      <c r="C3702" s="2" t="s">
        <v>409</v>
      </c>
      <c r="D3702" s="2" t="s">
        <v>412</v>
      </c>
      <c r="E3702" s="2" t="s">
        <v>414</v>
      </c>
      <c r="F3702" s="2" t="s">
        <v>39</v>
      </c>
      <c r="G3702" s="2" t="s">
        <v>418</v>
      </c>
      <c r="H3702" s="2" t="s">
        <v>573</v>
      </c>
      <c r="S3702" s="2" t="s">
        <v>58</v>
      </c>
      <c r="U3702" s="2" t="s">
        <v>58</v>
      </c>
      <c r="W3702" s="2" t="s">
        <v>58</v>
      </c>
    </row>
    <row r="3703" spans="1:34" x14ac:dyDescent="0.25">
      <c r="A3703" s="2" t="s">
        <v>330</v>
      </c>
      <c r="B3703" s="2" t="s">
        <v>402</v>
      </c>
      <c r="C3703" s="2" t="s">
        <v>409</v>
      </c>
      <c r="D3703" s="2" t="s">
        <v>412</v>
      </c>
      <c r="E3703" s="2" t="s">
        <v>414</v>
      </c>
      <c r="F3703" s="2" t="s">
        <v>39</v>
      </c>
      <c r="G3703" s="2" t="s">
        <v>419</v>
      </c>
      <c r="H3703" s="2" t="s">
        <v>365</v>
      </c>
      <c r="S3703" s="2" t="s">
        <v>59</v>
      </c>
      <c r="U3703" s="2" t="s">
        <v>59</v>
      </c>
      <c r="W3703" s="2" t="s">
        <v>60</v>
      </c>
    </row>
    <row r="3704" spans="1:34" x14ac:dyDescent="0.25">
      <c r="A3704" s="2" t="s">
        <v>330</v>
      </c>
      <c r="B3704" s="2" t="s">
        <v>531</v>
      </c>
      <c r="C3704" s="2" t="s">
        <v>409</v>
      </c>
      <c r="D3704" s="2" t="s">
        <v>412</v>
      </c>
      <c r="E3704" s="2" t="s">
        <v>414</v>
      </c>
      <c r="F3704" s="2" t="s">
        <v>39</v>
      </c>
      <c r="J3704" s="2" t="s">
        <v>532</v>
      </c>
      <c r="K3704" s="2" t="s">
        <v>533</v>
      </c>
      <c r="L3704" s="2">
        <v>1</v>
      </c>
      <c r="M3704" s="2" t="s">
        <v>534</v>
      </c>
      <c r="O3704" s="2" t="s">
        <v>524</v>
      </c>
      <c r="Y3704" s="2" t="s">
        <v>719</v>
      </c>
    </row>
    <row r="3705" spans="1:34" x14ac:dyDescent="0.25">
      <c r="A3705" s="2" t="s">
        <v>330</v>
      </c>
      <c r="B3705" s="2" t="s">
        <v>531</v>
      </c>
      <c r="C3705" s="2" t="s">
        <v>409</v>
      </c>
      <c r="D3705" s="2" t="s">
        <v>412</v>
      </c>
      <c r="E3705" s="2" t="s">
        <v>414</v>
      </c>
      <c r="F3705" s="2" t="s">
        <v>39</v>
      </c>
      <c r="J3705" s="2" t="s">
        <v>532</v>
      </c>
      <c r="K3705" s="2" t="s">
        <v>533</v>
      </c>
      <c r="L3705" s="2">
        <v>2</v>
      </c>
      <c r="M3705" s="2" t="s">
        <v>536</v>
      </c>
      <c r="O3705" s="2" t="s">
        <v>524</v>
      </c>
      <c r="Y3705" s="2" t="s">
        <v>719</v>
      </c>
    </row>
    <row r="3706" spans="1:34" x14ac:dyDescent="0.25">
      <c r="A3706" s="2" t="s">
        <v>330</v>
      </c>
      <c r="B3706" s="2" t="s">
        <v>531</v>
      </c>
      <c r="C3706" s="2" t="s">
        <v>409</v>
      </c>
      <c r="D3706" s="2" t="s">
        <v>412</v>
      </c>
      <c r="E3706" s="2" t="s">
        <v>414</v>
      </c>
      <c r="F3706" s="2" t="s">
        <v>39</v>
      </c>
      <c r="J3706" s="2" t="s">
        <v>532</v>
      </c>
      <c r="K3706" s="2" t="s">
        <v>533</v>
      </c>
      <c r="L3706" s="2">
        <v>3</v>
      </c>
      <c r="M3706" s="2" t="s">
        <v>537</v>
      </c>
      <c r="O3706" s="2" t="s">
        <v>524</v>
      </c>
      <c r="Y3706" s="2" t="s">
        <v>719</v>
      </c>
    </row>
    <row r="3707" spans="1:34" x14ac:dyDescent="0.25">
      <c r="A3707" s="2" t="s">
        <v>330</v>
      </c>
      <c r="B3707" s="2" t="s">
        <v>531</v>
      </c>
      <c r="C3707" s="2" t="s">
        <v>409</v>
      </c>
      <c r="D3707" s="2" t="s">
        <v>412</v>
      </c>
      <c r="E3707" s="2" t="s">
        <v>414</v>
      </c>
      <c r="F3707" s="2" t="s">
        <v>39</v>
      </c>
      <c r="J3707" s="2" t="s">
        <v>532</v>
      </c>
      <c r="K3707" s="2" t="s">
        <v>533</v>
      </c>
      <c r="L3707" s="2">
        <v>4</v>
      </c>
      <c r="M3707" s="2" t="s">
        <v>538</v>
      </c>
      <c r="O3707" s="2" t="s">
        <v>524</v>
      </c>
      <c r="Y3707" s="2" t="s">
        <v>719</v>
      </c>
    </row>
    <row r="3708" spans="1:34" x14ac:dyDescent="0.25">
      <c r="A3708" s="2" t="s">
        <v>330</v>
      </c>
      <c r="B3708" s="2" t="s">
        <v>531</v>
      </c>
      <c r="C3708" s="2" t="s">
        <v>409</v>
      </c>
      <c r="D3708" s="2" t="s">
        <v>412</v>
      </c>
      <c r="E3708" s="2" t="s">
        <v>414</v>
      </c>
      <c r="F3708" s="2" t="s">
        <v>39</v>
      </c>
      <c r="J3708" s="2" t="s">
        <v>532</v>
      </c>
      <c r="K3708" s="2" t="s">
        <v>533</v>
      </c>
      <c r="L3708" s="2">
        <v>5</v>
      </c>
      <c r="M3708" s="2" t="s">
        <v>539</v>
      </c>
      <c r="O3708" s="2" t="s">
        <v>524</v>
      </c>
      <c r="Y3708" s="2" t="s">
        <v>719</v>
      </c>
    </row>
    <row r="3709" spans="1:34" x14ac:dyDescent="0.25">
      <c r="A3709" s="2" t="s">
        <v>330</v>
      </c>
      <c r="B3709" s="2" t="s">
        <v>540</v>
      </c>
      <c r="C3709" s="2" t="s">
        <v>409</v>
      </c>
      <c r="D3709" s="2" t="s">
        <v>412</v>
      </c>
      <c r="E3709" s="2" t="s">
        <v>414</v>
      </c>
      <c r="F3709" s="2" t="s">
        <v>39</v>
      </c>
      <c r="J3709" s="2" t="s">
        <v>541</v>
      </c>
      <c r="K3709" s="2" t="s">
        <v>542</v>
      </c>
      <c r="L3709" s="2">
        <v>1</v>
      </c>
      <c r="M3709" s="2" t="s">
        <v>543</v>
      </c>
      <c r="O3709" s="2" t="s">
        <v>524</v>
      </c>
      <c r="Y3709" s="2" t="s">
        <v>719</v>
      </c>
    </row>
    <row r="3710" spans="1:34" x14ac:dyDescent="0.25">
      <c r="A3710" s="2" t="s">
        <v>330</v>
      </c>
      <c r="B3710" s="2" t="s">
        <v>540</v>
      </c>
      <c r="C3710" s="2" t="s">
        <v>409</v>
      </c>
      <c r="D3710" s="2" t="s">
        <v>412</v>
      </c>
      <c r="E3710" s="2" t="s">
        <v>414</v>
      </c>
      <c r="F3710" s="2" t="s">
        <v>39</v>
      </c>
      <c r="J3710" s="2" t="s">
        <v>541</v>
      </c>
      <c r="K3710" s="2" t="s">
        <v>542</v>
      </c>
      <c r="L3710" s="2">
        <v>2</v>
      </c>
      <c r="M3710" s="2" t="s">
        <v>544</v>
      </c>
      <c r="O3710" s="2" t="s">
        <v>524</v>
      </c>
      <c r="Y3710" s="2" t="s">
        <v>719</v>
      </c>
    </row>
    <row r="3711" spans="1:34" x14ac:dyDescent="0.25">
      <c r="A3711" s="2" t="s">
        <v>330</v>
      </c>
      <c r="B3711" s="2" t="s">
        <v>540</v>
      </c>
      <c r="C3711" s="2" t="s">
        <v>409</v>
      </c>
      <c r="D3711" s="2" t="s">
        <v>412</v>
      </c>
      <c r="E3711" s="2" t="s">
        <v>414</v>
      </c>
      <c r="F3711" s="2" t="s">
        <v>39</v>
      </c>
      <c r="J3711" s="2" t="s">
        <v>541</v>
      </c>
      <c r="K3711" s="2" t="s">
        <v>542</v>
      </c>
      <c r="L3711" s="2">
        <v>3</v>
      </c>
      <c r="M3711" s="2" t="s">
        <v>545</v>
      </c>
      <c r="O3711" s="2" t="s">
        <v>524</v>
      </c>
      <c r="Y3711" s="2" t="s">
        <v>719</v>
      </c>
    </row>
    <row r="3712" spans="1:34" x14ac:dyDescent="0.25">
      <c r="A3712" s="2" t="s">
        <v>330</v>
      </c>
      <c r="B3712" s="2" t="s">
        <v>540</v>
      </c>
      <c r="C3712" s="2" t="s">
        <v>409</v>
      </c>
      <c r="D3712" s="2" t="s">
        <v>412</v>
      </c>
      <c r="E3712" s="2" t="s">
        <v>414</v>
      </c>
      <c r="F3712" s="2" t="s">
        <v>39</v>
      </c>
      <c r="J3712" s="2" t="s">
        <v>541</v>
      </c>
      <c r="K3712" s="2" t="s">
        <v>542</v>
      </c>
      <c r="L3712" s="2">
        <v>4</v>
      </c>
      <c r="M3712" s="2" t="s">
        <v>546</v>
      </c>
      <c r="O3712" s="2" t="s">
        <v>524</v>
      </c>
      <c r="Y3712" s="2" t="s">
        <v>719</v>
      </c>
    </row>
    <row r="3713" spans="1:34" x14ac:dyDescent="0.25">
      <c r="A3713" s="2" t="s">
        <v>330</v>
      </c>
      <c r="B3713" s="2" t="s">
        <v>540</v>
      </c>
      <c r="C3713" s="2" t="s">
        <v>409</v>
      </c>
      <c r="D3713" s="2" t="s">
        <v>412</v>
      </c>
      <c r="E3713" s="2" t="s">
        <v>414</v>
      </c>
      <c r="F3713" s="2" t="s">
        <v>39</v>
      </c>
      <c r="J3713" s="2" t="s">
        <v>541</v>
      </c>
      <c r="K3713" s="2" t="s">
        <v>542</v>
      </c>
      <c r="L3713" s="2">
        <v>5</v>
      </c>
      <c r="M3713" s="2" t="s">
        <v>547</v>
      </c>
      <c r="O3713" s="2" t="s">
        <v>524</v>
      </c>
      <c r="Y3713" s="2" t="s">
        <v>719</v>
      </c>
    </row>
    <row r="3714" spans="1:34" x14ac:dyDescent="0.25">
      <c r="A3714" s="2" t="s">
        <v>330</v>
      </c>
      <c r="B3714" s="2" t="s">
        <v>540</v>
      </c>
      <c r="C3714" s="2" t="s">
        <v>409</v>
      </c>
      <c r="D3714" s="2" t="s">
        <v>412</v>
      </c>
      <c r="E3714" s="2" t="s">
        <v>414</v>
      </c>
      <c r="F3714" s="2" t="s">
        <v>39</v>
      </c>
      <c r="J3714" s="2" t="s">
        <v>541</v>
      </c>
      <c r="K3714" s="2" t="s">
        <v>542</v>
      </c>
      <c r="L3714" s="2">
        <v>6</v>
      </c>
      <c r="M3714" s="2" t="s">
        <v>548</v>
      </c>
      <c r="O3714" s="2" t="s">
        <v>524</v>
      </c>
      <c r="Y3714" s="2" t="s">
        <v>719</v>
      </c>
    </row>
    <row r="3715" spans="1:34" x14ac:dyDescent="0.25">
      <c r="A3715" s="2" t="s">
        <v>330</v>
      </c>
      <c r="B3715" s="2" t="s">
        <v>540</v>
      </c>
      <c r="C3715" s="2" t="s">
        <v>409</v>
      </c>
      <c r="D3715" s="2" t="s">
        <v>412</v>
      </c>
      <c r="E3715" s="2" t="s">
        <v>414</v>
      </c>
      <c r="F3715" s="2" t="s">
        <v>39</v>
      </c>
      <c r="J3715" s="2" t="s">
        <v>541</v>
      </c>
      <c r="K3715" s="2" t="s">
        <v>542</v>
      </c>
      <c r="L3715" s="2">
        <v>7</v>
      </c>
      <c r="M3715" s="2" t="s">
        <v>549</v>
      </c>
      <c r="O3715" s="2" t="s">
        <v>524</v>
      </c>
      <c r="Y3715" s="2" t="s">
        <v>719</v>
      </c>
    </row>
    <row r="3716" spans="1:34" x14ac:dyDescent="0.25">
      <c r="A3716" s="2" t="s">
        <v>330</v>
      </c>
      <c r="B3716" s="2" t="s">
        <v>540</v>
      </c>
      <c r="C3716" s="2" t="s">
        <v>409</v>
      </c>
      <c r="D3716" s="2" t="s">
        <v>412</v>
      </c>
      <c r="E3716" s="2" t="s">
        <v>414</v>
      </c>
      <c r="F3716" s="2" t="s">
        <v>39</v>
      </c>
      <c r="J3716" s="2" t="s">
        <v>541</v>
      </c>
      <c r="K3716" s="2" t="s">
        <v>542</v>
      </c>
      <c r="L3716" s="2">
        <v>8</v>
      </c>
      <c r="M3716" s="2" t="s">
        <v>550</v>
      </c>
      <c r="O3716" s="2" t="s">
        <v>524</v>
      </c>
      <c r="Y3716" s="2" t="s">
        <v>719</v>
      </c>
    </row>
    <row r="3717" spans="1:34" x14ac:dyDescent="0.25">
      <c r="A3717" s="2" t="s">
        <v>330</v>
      </c>
      <c r="B3717" s="2" t="s">
        <v>540</v>
      </c>
      <c r="C3717" s="2" t="s">
        <v>409</v>
      </c>
      <c r="D3717" s="2" t="s">
        <v>412</v>
      </c>
      <c r="E3717" s="2" t="s">
        <v>414</v>
      </c>
      <c r="F3717" s="2" t="s">
        <v>39</v>
      </c>
      <c r="J3717" s="2" t="s">
        <v>541</v>
      </c>
      <c r="K3717" s="2" t="s">
        <v>542</v>
      </c>
      <c r="L3717" s="2">
        <v>9</v>
      </c>
      <c r="M3717" s="2" t="s">
        <v>551</v>
      </c>
      <c r="O3717" s="2" t="s">
        <v>524</v>
      </c>
      <c r="Y3717" s="2" t="s">
        <v>719</v>
      </c>
    </row>
    <row r="3718" spans="1:34" x14ac:dyDescent="0.25">
      <c r="A3718" s="2" t="s">
        <v>330</v>
      </c>
      <c r="B3718" s="2" t="s">
        <v>540</v>
      </c>
      <c r="C3718" s="2" t="s">
        <v>409</v>
      </c>
      <c r="D3718" s="2" t="s">
        <v>412</v>
      </c>
      <c r="E3718" s="2" t="s">
        <v>414</v>
      </c>
      <c r="F3718" s="2" t="s">
        <v>39</v>
      </c>
      <c r="J3718" s="2" t="s">
        <v>541</v>
      </c>
      <c r="K3718" s="2" t="s">
        <v>542</v>
      </c>
      <c r="L3718" s="2">
        <v>10</v>
      </c>
      <c r="M3718" s="2" t="s">
        <v>552</v>
      </c>
      <c r="O3718" s="2" t="s">
        <v>524</v>
      </c>
      <c r="Y3718" s="2" t="s">
        <v>719</v>
      </c>
    </row>
    <row r="3719" spans="1:34" x14ac:dyDescent="0.25">
      <c r="A3719" s="2" t="s">
        <v>330</v>
      </c>
      <c r="B3719" s="2" t="s">
        <v>540</v>
      </c>
      <c r="C3719" s="2" t="s">
        <v>409</v>
      </c>
      <c r="D3719" s="2" t="s">
        <v>412</v>
      </c>
      <c r="E3719" s="2" t="s">
        <v>414</v>
      </c>
      <c r="F3719" s="2" t="s">
        <v>39</v>
      </c>
      <c r="J3719" s="2" t="s">
        <v>541</v>
      </c>
      <c r="K3719" s="2" t="s">
        <v>542</v>
      </c>
      <c r="L3719" s="2">
        <v>11</v>
      </c>
      <c r="M3719" s="2" t="s">
        <v>553</v>
      </c>
      <c r="O3719" s="2" t="s">
        <v>524</v>
      </c>
      <c r="Y3719" s="2" t="s">
        <v>719</v>
      </c>
    </row>
    <row r="3720" spans="1:34" x14ac:dyDescent="0.25">
      <c r="A3720" s="2" t="s">
        <v>330</v>
      </c>
      <c r="B3720" s="2" t="s">
        <v>540</v>
      </c>
      <c r="C3720" s="2" t="s">
        <v>409</v>
      </c>
      <c r="D3720" s="2" t="s">
        <v>412</v>
      </c>
      <c r="E3720" s="2" t="s">
        <v>414</v>
      </c>
      <c r="F3720" s="2" t="s">
        <v>39</v>
      </c>
      <c r="J3720" s="2" t="s">
        <v>541</v>
      </c>
      <c r="K3720" s="2" t="s">
        <v>542</v>
      </c>
      <c r="L3720" s="2">
        <v>12</v>
      </c>
      <c r="M3720" s="2" t="s">
        <v>554</v>
      </c>
      <c r="O3720" s="2" t="s">
        <v>524</v>
      </c>
      <c r="Y3720" s="2" t="s">
        <v>719</v>
      </c>
    </row>
    <row r="3721" spans="1:34" x14ac:dyDescent="0.25">
      <c r="A3721" s="2" t="s">
        <v>330</v>
      </c>
      <c r="B3721" s="2" t="s">
        <v>555</v>
      </c>
      <c r="C3721" s="2" t="s">
        <v>409</v>
      </c>
      <c r="D3721" s="2" t="s">
        <v>412</v>
      </c>
      <c r="E3721" s="2" t="s">
        <v>414</v>
      </c>
      <c r="F3721" s="2" t="s">
        <v>39</v>
      </c>
      <c r="J3721" s="2" t="s">
        <v>556</v>
      </c>
      <c r="O3721" s="2" t="s">
        <v>524</v>
      </c>
      <c r="Y3721" s="2" t="s">
        <v>719</v>
      </c>
      <c r="AB3721" s="2">
        <v>1</v>
      </c>
    </row>
    <row r="3722" spans="1:34" x14ac:dyDescent="0.25">
      <c r="A3722" s="2" t="s">
        <v>330</v>
      </c>
      <c r="B3722" s="2" t="s">
        <v>557</v>
      </c>
      <c r="C3722" s="2" t="s">
        <v>409</v>
      </c>
      <c r="D3722" s="2" t="s">
        <v>412</v>
      </c>
      <c r="E3722" s="2" t="s">
        <v>414</v>
      </c>
      <c r="F3722" s="2" t="s">
        <v>39</v>
      </c>
      <c r="J3722" s="2" t="s">
        <v>558</v>
      </c>
      <c r="O3722" s="2" t="s">
        <v>524</v>
      </c>
      <c r="Y3722" s="2" t="s">
        <v>719</v>
      </c>
      <c r="AC3722" s="2">
        <f>COUNTIFS($B:$B,"BLOCK_LOAD_Q",$A:$A,$A3722,$C:$C,$C3722,$E:$E,$E3722,$F:$F,$F3722,$N:$N, "&lt;&gt;")</f>
        <v>0</v>
      </c>
      <c r="AD3722" s="2">
        <f>COUNTIFS($B:$B,"BLOCK_TRUST_Q",$A:$A,$A3722,$C:$C,$C3722,$E:$E,$E3722,$F:$F,$F3722,$N:$N, "&lt;&gt;")</f>
        <v>0</v>
      </c>
      <c r="AE3722" s="2" t="str">
        <f>IFERROR(AVERAGEIFS($P:$P,$B:$B,"BLOCK_LOAD_Q",$A:$A,$A3722,$C:$C,$C3722,$E:$E,$E3722,$F:$F,$F3722,$P:$P,"&gt;0"),"")</f>
        <v/>
      </c>
      <c r="AF3722" s="2" t="str">
        <f>IFERROR(AVERAGEIFS($P:$P,$B:$B,"BLOCK_TRUST_Q",$A:$A,$A3722,$C:$C,$C3722,$E:$E,$E3722,$F:$F,$F3722,$P:$P,"&gt;0"),"")</f>
        <v/>
      </c>
      <c r="AG3722" s="2">
        <f>5-AC3722</f>
        <v>5</v>
      </c>
      <c r="AH3722" s="2">
        <f>12-AD3722</f>
        <v>12</v>
      </c>
    </row>
    <row r="3723" spans="1:34" x14ac:dyDescent="0.25">
      <c r="A3723" s="2" t="s">
        <v>330</v>
      </c>
      <c r="B3723" s="2" t="s">
        <v>403</v>
      </c>
      <c r="C3723" s="2" t="s">
        <v>409</v>
      </c>
      <c r="D3723" s="2" t="s">
        <v>412</v>
      </c>
      <c r="Z3723" s="2" t="s">
        <v>494</v>
      </c>
    </row>
    <row r="3724" spans="1:34" x14ac:dyDescent="0.25">
      <c r="A3724" s="2" t="s">
        <v>330</v>
      </c>
      <c r="B3724" s="2" t="s">
        <v>404</v>
      </c>
      <c r="J3724" s="2" t="s">
        <v>575</v>
      </c>
      <c r="AA3724" s="2" t="s">
        <v>337</v>
      </c>
    </row>
    <row r="3725" spans="1:34" x14ac:dyDescent="0.25">
      <c r="A3725" s="2" t="s">
        <v>330</v>
      </c>
      <c r="B3725" s="2" t="s">
        <v>405</v>
      </c>
    </row>
    <row r="3726" spans="1:34" x14ac:dyDescent="0.25">
      <c r="A3726" s="2" t="s">
        <v>330</v>
      </c>
      <c r="B3726" s="2" t="s">
        <v>406</v>
      </c>
    </row>
    <row r="3727" spans="1:34" x14ac:dyDescent="0.25">
      <c r="A3727" s="2" t="s">
        <v>331</v>
      </c>
      <c r="B3727" s="2" t="s">
        <v>523</v>
      </c>
      <c r="C3727" s="2" t="s">
        <v>524</v>
      </c>
      <c r="D3727" s="2" t="s">
        <v>524</v>
      </c>
      <c r="E3727" s="2" t="s">
        <v>524</v>
      </c>
      <c r="F3727" s="2" t="s">
        <v>524</v>
      </c>
      <c r="J3727" s="2" t="s">
        <v>525</v>
      </c>
      <c r="O3727" s="2" t="s">
        <v>524</v>
      </c>
    </row>
    <row r="3728" spans="1:34" x14ac:dyDescent="0.25">
      <c r="A3728" s="2" t="s">
        <v>331</v>
      </c>
      <c r="B3728" s="2" t="s">
        <v>526</v>
      </c>
      <c r="C3728" s="2" t="s">
        <v>524</v>
      </c>
      <c r="D3728" s="2" t="s">
        <v>524</v>
      </c>
      <c r="E3728" s="2" t="s">
        <v>524</v>
      </c>
      <c r="F3728" s="2" t="s">
        <v>524</v>
      </c>
      <c r="J3728" s="2" t="s">
        <v>527</v>
      </c>
      <c r="O3728" s="2" t="s">
        <v>524</v>
      </c>
    </row>
    <row r="3729" spans="1:25" x14ac:dyDescent="0.25">
      <c r="A3729" s="2" t="s">
        <v>331</v>
      </c>
      <c r="B3729" s="2" t="s">
        <v>402</v>
      </c>
      <c r="C3729" s="2" t="s">
        <v>407</v>
      </c>
      <c r="D3729" s="2" t="s">
        <v>411</v>
      </c>
      <c r="E3729" s="2" t="s">
        <v>413</v>
      </c>
      <c r="F3729" s="2" t="s">
        <v>40</v>
      </c>
      <c r="G3729" s="2" t="s">
        <v>415</v>
      </c>
      <c r="H3729" s="2" t="s">
        <v>357</v>
      </c>
      <c r="S3729" s="2" t="s">
        <v>59</v>
      </c>
      <c r="U3729" s="2" t="s">
        <v>60</v>
      </c>
      <c r="W3729" s="2" t="s">
        <v>57</v>
      </c>
    </row>
    <row r="3730" spans="1:25" x14ac:dyDescent="0.25">
      <c r="A3730" s="2" t="s">
        <v>331</v>
      </c>
      <c r="B3730" s="2" t="s">
        <v>402</v>
      </c>
      <c r="C3730" s="2" t="s">
        <v>407</v>
      </c>
      <c r="D3730" s="2" t="s">
        <v>411</v>
      </c>
      <c r="E3730" s="2" t="s">
        <v>413</v>
      </c>
      <c r="F3730" s="2" t="s">
        <v>40</v>
      </c>
      <c r="G3730" s="2" t="s">
        <v>416</v>
      </c>
      <c r="H3730" s="2" t="s">
        <v>348</v>
      </c>
      <c r="S3730" s="2" t="s">
        <v>58</v>
      </c>
      <c r="U3730" s="2" t="s">
        <v>59</v>
      </c>
      <c r="W3730" s="2" t="s">
        <v>59</v>
      </c>
    </row>
    <row r="3731" spans="1:25" x14ac:dyDescent="0.25">
      <c r="A3731" s="2" t="s">
        <v>331</v>
      </c>
      <c r="B3731" s="2" t="s">
        <v>402</v>
      </c>
      <c r="C3731" s="2" t="s">
        <v>407</v>
      </c>
      <c r="D3731" s="2" t="s">
        <v>411</v>
      </c>
      <c r="E3731" s="2" t="s">
        <v>413</v>
      </c>
      <c r="F3731" s="2" t="s">
        <v>40</v>
      </c>
      <c r="G3731" s="2" t="s">
        <v>417</v>
      </c>
      <c r="H3731" s="2" t="s">
        <v>562</v>
      </c>
      <c r="S3731" s="2" t="s">
        <v>59</v>
      </c>
      <c r="U3731" s="2" t="s">
        <v>57</v>
      </c>
      <c r="W3731" s="2" t="s">
        <v>57</v>
      </c>
    </row>
    <row r="3732" spans="1:25" x14ac:dyDescent="0.25">
      <c r="A3732" s="2" t="s">
        <v>331</v>
      </c>
      <c r="B3732" s="2" t="s">
        <v>402</v>
      </c>
      <c r="C3732" s="2" t="s">
        <v>407</v>
      </c>
      <c r="D3732" s="2" t="s">
        <v>411</v>
      </c>
      <c r="E3732" s="2" t="s">
        <v>413</v>
      </c>
      <c r="F3732" s="2" t="s">
        <v>40</v>
      </c>
      <c r="G3732" s="2" t="s">
        <v>418</v>
      </c>
      <c r="H3732" s="2" t="s">
        <v>563</v>
      </c>
      <c r="S3732" s="2" t="s">
        <v>57</v>
      </c>
      <c r="U3732" s="2" t="s">
        <v>60</v>
      </c>
      <c r="W3732" s="2" t="s">
        <v>60</v>
      </c>
    </row>
    <row r="3733" spans="1:25" x14ac:dyDescent="0.25">
      <c r="A3733" s="2" t="s">
        <v>331</v>
      </c>
      <c r="B3733" s="2" t="s">
        <v>531</v>
      </c>
      <c r="C3733" s="2" t="s">
        <v>407</v>
      </c>
      <c r="D3733" s="2" t="s">
        <v>411</v>
      </c>
      <c r="E3733" s="2" t="s">
        <v>413</v>
      </c>
      <c r="F3733" s="2" t="s">
        <v>40</v>
      </c>
      <c r="J3733" s="2" t="s">
        <v>532</v>
      </c>
      <c r="K3733" s="2" t="s">
        <v>533</v>
      </c>
      <c r="L3733" s="2">
        <v>1</v>
      </c>
      <c r="M3733" s="2" t="s">
        <v>534</v>
      </c>
      <c r="O3733" s="2" t="s">
        <v>524</v>
      </c>
      <c r="Y3733" s="2" t="s">
        <v>720</v>
      </c>
    </row>
    <row r="3734" spans="1:25" x14ac:dyDescent="0.25">
      <c r="A3734" s="2" t="s">
        <v>331</v>
      </c>
      <c r="B3734" s="2" t="s">
        <v>531</v>
      </c>
      <c r="C3734" s="2" t="s">
        <v>407</v>
      </c>
      <c r="D3734" s="2" t="s">
        <v>411</v>
      </c>
      <c r="E3734" s="2" t="s">
        <v>413</v>
      </c>
      <c r="F3734" s="2" t="s">
        <v>40</v>
      </c>
      <c r="J3734" s="2" t="s">
        <v>532</v>
      </c>
      <c r="K3734" s="2" t="s">
        <v>533</v>
      </c>
      <c r="L3734" s="2">
        <v>2</v>
      </c>
      <c r="M3734" s="2" t="s">
        <v>536</v>
      </c>
      <c r="O3734" s="2" t="s">
        <v>524</v>
      </c>
      <c r="Y3734" s="2" t="s">
        <v>720</v>
      </c>
    </row>
    <row r="3735" spans="1:25" x14ac:dyDescent="0.25">
      <c r="A3735" s="2" t="s">
        <v>331</v>
      </c>
      <c r="B3735" s="2" t="s">
        <v>531</v>
      </c>
      <c r="C3735" s="2" t="s">
        <v>407</v>
      </c>
      <c r="D3735" s="2" t="s">
        <v>411</v>
      </c>
      <c r="E3735" s="2" t="s">
        <v>413</v>
      </c>
      <c r="F3735" s="2" t="s">
        <v>40</v>
      </c>
      <c r="J3735" s="2" t="s">
        <v>532</v>
      </c>
      <c r="K3735" s="2" t="s">
        <v>533</v>
      </c>
      <c r="L3735" s="2">
        <v>3</v>
      </c>
      <c r="M3735" s="2" t="s">
        <v>537</v>
      </c>
      <c r="O3735" s="2" t="s">
        <v>524</v>
      </c>
      <c r="Y3735" s="2" t="s">
        <v>720</v>
      </c>
    </row>
    <row r="3736" spans="1:25" x14ac:dyDescent="0.25">
      <c r="A3736" s="2" t="s">
        <v>331</v>
      </c>
      <c r="B3736" s="2" t="s">
        <v>531</v>
      </c>
      <c r="C3736" s="2" t="s">
        <v>407</v>
      </c>
      <c r="D3736" s="2" t="s">
        <v>411</v>
      </c>
      <c r="E3736" s="2" t="s">
        <v>413</v>
      </c>
      <c r="F3736" s="2" t="s">
        <v>40</v>
      </c>
      <c r="J3736" s="2" t="s">
        <v>532</v>
      </c>
      <c r="K3736" s="2" t="s">
        <v>533</v>
      </c>
      <c r="L3736" s="2">
        <v>4</v>
      </c>
      <c r="M3736" s="2" t="s">
        <v>538</v>
      </c>
      <c r="O3736" s="2" t="s">
        <v>524</v>
      </c>
      <c r="Y3736" s="2" t="s">
        <v>720</v>
      </c>
    </row>
    <row r="3737" spans="1:25" x14ac:dyDescent="0.25">
      <c r="A3737" s="2" t="s">
        <v>331</v>
      </c>
      <c r="B3737" s="2" t="s">
        <v>531</v>
      </c>
      <c r="C3737" s="2" t="s">
        <v>407</v>
      </c>
      <c r="D3737" s="2" t="s">
        <v>411</v>
      </c>
      <c r="E3737" s="2" t="s">
        <v>413</v>
      </c>
      <c r="F3737" s="2" t="s">
        <v>40</v>
      </c>
      <c r="J3737" s="2" t="s">
        <v>532</v>
      </c>
      <c r="K3737" s="2" t="s">
        <v>533</v>
      </c>
      <c r="L3737" s="2">
        <v>5</v>
      </c>
      <c r="M3737" s="2" t="s">
        <v>539</v>
      </c>
      <c r="O3737" s="2" t="s">
        <v>524</v>
      </c>
      <c r="Y3737" s="2" t="s">
        <v>720</v>
      </c>
    </row>
    <row r="3738" spans="1:25" x14ac:dyDescent="0.25">
      <c r="A3738" s="2" t="s">
        <v>331</v>
      </c>
      <c r="B3738" s="2" t="s">
        <v>540</v>
      </c>
      <c r="C3738" s="2" t="s">
        <v>407</v>
      </c>
      <c r="D3738" s="2" t="s">
        <v>411</v>
      </c>
      <c r="E3738" s="2" t="s">
        <v>413</v>
      </c>
      <c r="F3738" s="2" t="s">
        <v>40</v>
      </c>
      <c r="J3738" s="2" t="s">
        <v>541</v>
      </c>
      <c r="K3738" s="2" t="s">
        <v>542</v>
      </c>
      <c r="L3738" s="2">
        <v>1</v>
      </c>
      <c r="M3738" s="2" t="s">
        <v>543</v>
      </c>
      <c r="O3738" s="2" t="s">
        <v>524</v>
      </c>
      <c r="Y3738" s="2" t="s">
        <v>720</v>
      </c>
    </row>
    <row r="3739" spans="1:25" x14ac:dyDescent="0.25">
      <c r="A3739" s="2" t="s">
        <v>331</v>
      </c>
      <c r="B3739" s="2" t="s">
        <v>540</v>
      </c>
      <c r="C3739" s="2" t="s">
        <v>407</v>
      </c>
      <c r="D3739" s="2" t="s">
        <v>411</v>
      </c>
      <c r="E3739" s="2" t="s">
        <v>413</v>
      </c>
      <c r="F3739" s="2" t="s">
        <v>40</v>
      </c>
      <c r="J3739" s="2" t="s">
        <v>541</v>
      </c>
      <c r="K3739" s="2" t="s">
        <v>542</v>
      </c>
      <c r="L3739" s="2">
        <v>2</v>
      </c>
      <c r="M3739" s="2" t="s">
        <v>544</v>
      </c>
      <c r="O3739" s="2" t="s">
        <v>524</v>
      </c>
      <c r="Y3739" s="2" t="s">
        <v>720</v>
      </c>
    </row>
    <row r="3740" spans="1:25" x14ac:dyDescent="0.25">
      <c r="A3740" s="2" t="s">
        <v>331</v>
      </c>
      <c r="B3740" s="2" t="s">
        <v>540</v>
      </c>
      <c r="C3740" s="2" t="s">
        <v>407</v>
      </c>
      <c r="D3740" s="2" t="s">
        <v>411</v>
      </c>
      <c r="E3740" s="2" t="s">
        <v>413</v>
      </c>
      <c r="F3740" s="2" t="s">
        <v>40</v>
      </c>
      <c r="J3740" s="2" t="s">
        <v>541</v>
      </c>
      <c r="K3740" s="2" t="s">
        <v>542</v>
      </c>
      <c r="L3740" s="2">
        <v>3</v>
      </c>
      <c r="M3740" s="2" t="s">
        <v>545</v>
      </c>
      <c r="O3740" s="2" t="s">
        <v>524</v>
      </c>
      <c r="Y3740" s="2" t="s">
        <v>720</v>
      </c>
    </row>
    <row r="3741" spans="1:25" x14ac:dyDescent="0.25">
      <c r="A3741" s="2" t="s">
        <v>331</v>
      </c>
      <c r="B3741" s="2" t="s">
        <v>540</v>
      </c>
      <c r="C3741" s="2" t="s">
        <v>407</v>
      </c>
      <c r="D3741" s="2" t="s">
        <v>411</v>
      </c>
      <c r="E3741" s="2" t="s">
        <v>413</v>
      </c>
      <c r="F3741" s="2" t="s">
        <v>40</v>
      </c>
      <c r="J3741" s="2" t="s">
        <v>541</v>
      </c>
      <c r="K3741" s="2" t="s">
        <v>542</v>
      </c>
      <c r="L3741" s="2">
        <v>4</v>
      </c>
      <c r="M3741" s="2" t="s">
        <v>546</v>
      </c>
      <c r="O3741" s="2" t="s">
        <v>524</v>
      </c>
      <c r="Y3741" s="2" t="s">
        <v>720</v>
      </c>
    </row>
    <row r="3742" spans="1:25" x14ac:dyDescent="0.25">
      <c r="A3742" s="2" t="s">
        <v>331</v>
      </c>
      <c r="B3742" s="2" t="s">
        <v>540</v>
      </c>
      <c r="C3742" s="2" t="s">
        <v>407</v>
      </c>
      <c r="D3742" s="2" t="s">
        <v>411</v>
      </c>
      <c r="E3742" s="2" t="s">
        <v>413</v>
      </c>
      <c r="F3742" s="2" t="s">
        <v>40</v>
      </c>
      <c r="J3742" s="2" t="s">
        <v>541</v>
      </c>
      <c r="K3742" s="2" t="s">
        <v>542</v>
      </c>
      <c r="L3742" s="2">
        <v>5</v>
      </c>
      <c r="M3742" s="2" t="s">
        <v>547</v>
      </c>
      <c r="O3742" s="2" t="s">
        <v>524</v>
      </c>
      <c r="Y3742" s="2" t="s">
        <v>720</v>
      </c>
    </row>
    <row r="3743" spans="1:25" x14ac:dyDescent="0.25">
      <c r="A3743" s="2" t="s">
        <v>331</v>
      </c>
      <c r="B3743" s="2" t="s">
        <v>540</v>
      </c>
      <c r="C3743" s="2" t="s">
        <v>407</v>
      </c>
      <c r="D3743" s="2" t="s">
        <v>411</v>
      </c>
      <c r="E3743" s="2" t="s">
        <v>413</v>
      </c>
      <c r="F3743" s="2" t="s">
        <v>40</v>
      </c>
      <c r="J3743" s="2" t="s">
        <v>541</v>
      </c>
      <c r="K3743" s="2" t="s">
        <v>542</v>
      </c>
      <c r="L3743" s="2">
        <v>6</v>
      </c>
      <c r="M3743" s="2" t="s">
        <v>548</v>
      </c>
      <c r="O3743" s="2" t="s">
        <v>524</v>
      </c>
      <c r="Y3743" s="2" t="s">
        <v>720</v>
      </c>
    </row>
    <row r="3744" spans="1:25" x14ac:dyDescent="0.25">
      <c r="A3744" s="2" t="s">
        <v>331</v>
      </c>
      <c r="B3744" s="2" t="s">
        <v>540</v>
      </c>
      <c r="C3744" s="2" t="s">
        <v>407</v>
      </c>
      <c r="D3744" s="2" t="s">
        <v>411</v>
      </c>
      <c r="E3744" s="2" t="s">
        <v>413</v>
      </c>
      <c r="F3744" s="2" t="s">
        <v>40</v>
      </c>
      <c r="J3744" s="2" t="s">
        <v>541</v>
      </c>
      <c r="K3744" s="2" t="s">
        <v>542</v>
      </c>
      <c r="L3744" s="2">
        <v>7</v>
      </c>
      <c r="M3744" s="2" t="s">
        <v>549</v>
      </c>
      <c r="O3744" s="2" t="s">
        <v>524</v>
      </c>
      <c r="Y3744" s="2" t="s">
        <v>720</v>
      </c>
    </row>
    <row r="3745" spans="1:34" x14ac:dyDescent="0.25">
      <c r="A3745" s="2" t="s">
        <v>331</v>
      </c>
      <c r="B3745" s="2" t="s">
        <v>540</v>
      </c>
      <c r="C3745" s="2" t="s">
        <v>407</v>
      </c>
      <c r="D3745" s="2" t="s">
        <v>411</v>
      </c>
      <c r="E3745" s="2" t="s">
        <v>413</v>
      </c>
      <c r="F3745" s="2" t="s">
        <v>40</v>
      </c>
      <c r="J3745" s="2" t="s">
        <v>541</v>
      </c>
      <c r="K3745" s="2" t="s">
        <v>542</v>
      </c>
      <c r="L3745" s="2">
        <v>8</v>
      </c>
      <c r="M3745" s="2" t="s">
        <v>550</v>
      </c>
      <c r="O3745" s="2" t="s">
        <v>524</v>
      </c>
      <c r="Y3745" s="2" t="s">
        <v>720</v>
      </c>
    </row>
    <row r="3746" spans="1:34" x14ac:dyDescent="0.25">
      <c r="A3746" s="2" t="s">
        <v>331</v>
      </c>
      <c r="B3746" s="2" t="s">
        <v>540</v>
      </c>
      <c r="C3746" s="2" t="s">
        <v>407</v>
      </c>
      <c r="D3746" s="2" t="s">
        <v>411</v>
      </c>
      <c r="E3746" s="2" t="s">
        <v>413</v>
      </c>
      <c r="F3746" s="2" t="s">
        <v>40</v>
      </c>
      <c r="J3746" s="2" t="s">
        <v>541</v>
      </c>
      <c r="K3746" s="2" t="s">
        <v>542</v>
      </c>
      <c r="L3746" s="2">
        <v>9</v>
      </c>
      <c r="M3746" s="2" t="s">
        <v>551</v>
      </c>
      <c r="O3746" s="2" t="s">
        <v>524</v>
      </c>
      <c r="Y3746" s="2" t="s">
        <v>720</v>
      </c>
    </row>
    <row r="3747" spans="1:34" x14ac:dyDescent="0.25">
      <c r="A3747" s="2" t="s">
        <v>331</v>
      </c>
      <c r="B3747" s="2" t="s">
        <v>540</v>
      </c>
      <c r="C3747" s="2" t="s">
        <v>407</v>
      </c>
      <c r="D3747" s="2" t="s">
        <v>411</v>
      </c>
      <c r="E3747" s="2" t="s">
        <v>413</v>
      </c>
      <c r="F3747" s="2" t="s">
        <v>40</v>
      </c>
      <c r="J3747" s="2" t="s">
        <v>541</v>
      </c>
      <c r="K3747" s="2" t="s">
        <v>542</v>
      </c>
      <c r="L3747" s="2">
        <v>10</v>
      </c>
      <c r="M3747" s="2" t="s">
        <v>552</v>
      </c>
      <c r="O3747" s="2" t="s">
        <v>524</v>
      </c>
      <c r="Y3747" s="2" t="s">
        <v>720</v>
      </c>
    </row>
    <row r="3748" spans="1:34" x14ac:dyDescent="0.25">
      <c r="A3748" s="2" t="s">
        <v>331</v>
      </c>
      <c r="B3748" s="2" t="s">
        <v>540</v>
      </c>
      <c r="C3748" s="2" t="s">
        <v>407</v>
      </c>
      <c r="D3748" s="2" t="s">
        <v>411</v>
      </c>
      <c r="E3748" s="2" t="s">
        <v>413</v>
      </c>
      <c r="F3748" s="2" t="s">
        <v>40</v>
      </c>
      <c r="J3748" s="2" t="s">
        <v>541</v>
      </c>
      <c r="K3748" s="2" t="s">
        <v>542</v>
      </c>
      <c r="L3748" s="2">
        <v>11</v>
      </c>
      <c r="M3748" s="2" t="s">
        <v>553</v>
      </c>
      <c r="O3748" s="2" t="s">
        <v>524</v>
      </c>
      <c r="Y3748" s="2" t="s">
        <v>720</v>
      </c>
    </row>
    <row r="3749" spans="1:34" x14ac:dyDescent="0.25">
      <c r="A3749" s="2" t="s">
        <v>331</v>
      </c>
      <c r="B3749" s="2" t="s">
        <v>540</v>
      </c>
      <c r="C3749" s="2" t="s">
        <v>407</v>
      </c>
      <c r="D3749" s="2" t="s">
        <v>411</v>
      </c>
      <c r="E3749" s="2" t="s">
        <v>413</v>
      </c>
      <c r="F3749" s="2" t="s">
        <v>40</v>
      </c>
      <c r="J3749" s="2" t="s">
        <v>541</v>
      </c>
      <c r="K3749" s="2" t="s">
        <v>542</v>
      </c>
      <c r="L3749" s="2">
        <v>12</v>
      </c>
      <c r="M3749" s="2" t="s">
        <v>554</v>
      </c>
      <c r="O3749" s="2" t="s">
        <v>524</v>
      </c>
      <c r="Y3749" s="2" t="s">
        <v>720</v>
      </c>
    </row>
    <row r="3750" spans="1:34" x14ac:dyDescent="0.25">
      <c r="A3750" s="2" t="s">
        <v>331</v>
      </c>
      <c r="B3750" s="2" t="s">
        <v>555</v>
      </c>
      <c r="C3750" s="2" t="s">
        <v>407</v>
      </c>
      <c r="D3750" s="2" t="s">
        <v>411</v>
      </c>
      <c r="E3750" s="2" t="s">
        <v>413</v>
      </c>
      <c r="F3750" s="2" t="s">
        <v>40</v>
      </c>
      <c r="J3750" s="2" t="s">
        <v>556</v>
      </c>
      <c r="O3750" s="2" t="s">
        <v>524</v>
      </c>
      <c r="Y3750" s="2" t="s">
        <v>720</v>
      </c>
      <c r="AB3750" s="2">
        <v>2</v>
      </c>
    </row>
    <row r="3751" spans="1:34" x14ac:dyDescent="0.25">
      <c r="A3751" s="2" t="s">
        <v>331</v>
      </c>
      <c r="B3751" s="2" t="s">
        <v>557</v>
      </c>
      <c r="C3751" s="2" t="s">
        <v>407</v>
      </c>
      <c r="D3751" s="2" t="s">
        <v>411</v>
      </c>
      <c r="E3751" s="2" t="s">
        <v>413</v>
      </c>
      <c r="F3751" s="2" t="s">
        <v>40</v>
      </c>
      <c r="J3751" s="2" t="s">
        <v>558</v>
      </c>
      <c r="O3751" s="2" t="s">
        <v>524</v>
      </c>
      <c r="Y3751" s="2" t="s">
        <v>720</v>
      </c>
      <c r="AC3751" s="2">
        <f>COUNTIFS($B:$B,"BLOCK_LOAD_Q",$A:$A,$A3751,$C:$C,$C3751,$E:$E,$E3751,$F:$F,$F3751,$N:$N, "&lt;&gt;")</f>
        <v>0</v>
      </c>
      <c r="AD3751" s="2">
        <f>COUNTIFS($B:$B,"BLOCK_TRUST_Q",$A:$A,$A3751,$C:$C,$C3751,$E:$E,$E3751,$F:$F,$F3751,$N:$N, "&lt;&gt;")</f>
        <v>0</v>
      </c>
      <c r="AE3751" s="2" t="str">
        <f>IFERROR(AVERAGEIFS($P:$P,$B:$B,"BLOCK_LOAD_Q",$A:$A,$A3751,$C:$C,$C3751,$E:$E,$E3751,$F:$F,$F3751,$P:$P,"&gt;0"),"")</f>
        <v/>
      </c>
      <c r="AF3751" s="2" t="str">
        <f>IFERROR(AVERAGEIFS($P:$P,$B:$B,"BLOCK_TRUST_Q",$A:$A,$A3751,$C:$C,$C3751,$E:$E,$E3751,$F:$F,$F3751,$P:$P,"&gt;0"),"")</f>
        <v/>
      </c>
      <c r="AG3751" s="2">
        <f>5-AC3751</f>
        <v>5</v>
      </c>
      <c r="AH3751" s="2">
        <f>12-AD3751</f>
        <v>12</v>
      </c>
    </row>
    <row r="3752" spans="1:34" x14ac:dyDescent="0.25">
      <c r="A3752" s="2" t="s">
        <v>331</v>
      </c>
      <c r="B3752" s="2" t="s">
        <v>402</v>
      </c>
      <c r="C3752" s="2" t="s">
        <v>407</v>
      </c>
      <c r="D3752" s="2" t="s">
        <v>411</v>
      </c>
      <c r="E3752" s="2" t="s">
        <v>414</v>
      </c>
      <c r="F3752" s="2" t="s">
        <v>39</v>
      </c>
      <c r="G3752" s="2" t="s">
        <v>415</v>
      </c>
      <c r="H3752" s="2" t="s">
        <v>349</v>
      </c>
      <c r="S3752" s="2" t="s">
        <v>58</v>
      </c>
      <c r="U3752" s="2" t="s">
        <v>60</v>
      </c>
      <c r="W3752" s="2" t="s">
        <v>58</v>
      </c>
    </row>
    <row r="3753" spans="1:34" x14ac:dyDescent="0.25">
      <c r="A3753" s="2" t="s">
        <v>331</v>
      </c>
      <c r="B3753" s="2" t="s">
        <v>402</v>
      </c>
      <c r="C3753" s="2" t="s">
        <v>407</v>
      </c>
      <c r="D3753" s="2" t="s">
        <v>411</v>
      </c>
      <c r="E3753" s="2" t="s">
        <v>414</v>
      </c>
      <c r="F3753" s="2" t="s">
        <v>39</v>
      </c>
      <c r="G3753" s="2" t="s">
        <v>416</v>
      </c>
      <c r="H3753" s="2" t="s">
        <v>565</v>
      </c>
      <c r="S3753" s="2" t="s">
        <v>59</v>
      </c>
      <c r="U3753" s="2" t="s">
        <v>60</v>
      </c>
      <c r="W3753" s="2" t="s">
        <v>60</v>
      </c>
    </row>
    <row r="3754" spans="1:34" x14ac:dyDescent="0.25">
      <c r="A3754" s="2" t="s">
        <v>331</v>
      </c>
      <c r="B3754" s="2" t="s">
        <v>402</v>
      </c>
      <c r="C3754" s="2" t="s">
        <v>407</v>
      </c>
      <c r="D3754" s="2" t="s">
        <v>411</v>
      </c>
      <c r="E3754" s="2" t="s">
        <v>414</v>
      </c>
      <c r="F3754" s="2" t="s">
        <v>39</v>
      </c>
      <c r="G3754" s="2" t="s">
        <v>417</v>
      </c>
      <c r="H3754" s="2" t="s">
        <v>361</v>
      </c>
      <c r="S3754" s="2" t="s">
        <v>60</v>
      </c>
      <c r="U3754" s="2" t="s">
        <v>60</v>
      </c>
      <c r="W3754" s="2" t="s">
        <v>60</v>
      </c>
    </row>
    <row r="3755" spans="1:34" x14ac:dyDescent="0.25">
      <c r="A3755" s="2" t="s">
        <v>331</v>
      </c>
      <c r="B3755" s="2" t="s">
        <v>402</v>
      </c>
      <c r="C3755" s="2" t="s">
        <v>407</v>
      </c>
      <c r="D3755" s="2" t="s">
        <v>411</v>
      </c>
      <c r="E3755" s="2" t="s">
        <v>414</v>
      </c>
      <c r="F3755" s="2" t="s">
        <v>39</v>
      </c>
      <c r="G3755" s="2" t="s">
        <v>418</v>
      </c>
      <c r="H3755" s="2" t="s">
        <v>353</v>
      </c>
      <c r="S3755" s="2" t="s">
        <v>58</v>
      </c>
      <c r="U3755" s="2" t="s">
        <v>59</v>
      </c>
      <c r="W3755" s="2" t="s">
        <v>58</v>
      </c>
    </row>
    <row r="3756" spans="1:34" x14ac:dyDescent="0.25">
      <c r="A3756" s="2" t="s">
        <v>331</v>
      </c>
      <c r="B3756" s="2" t="s">
        <v>402</v>
      </c>
      <c r="C3756" s="2" t="s">
        <v>407</v>
      </c>
      <c r="D3756" s="2" t="s">
        <v>411</v>
      </c>
      <c r="E3756" s="2" t="s">
        <v>414</v>
      </c>
      <c r="F3756" s="2" t="s">
        <v>39</v>
      </c>
      <c r="G3756" s="2" t="s">
        <v>419</v>
      </c>
      <c r="H3756" s="2" t="s">
        <v>371</v>
      </c>
      <c r="S3756" s="2" t="s">
        <v>60</v>
      </c>
      <c r="U3756" s="2" t="s">
        <v>59</v>
      </c>
      <c r="W3756" s="2" t="s">
        <v>57</v>
      </c>
    </row>
    <row r="3757" spans="1:34" x14ac:dyDescent="0.25">
      <c r="A3757" s="2" t="s">
        <v>331</v>
      </c>
      <c r="B3757" s="2" t="s">
        <v>531</v>
      </c>
      <c r="C3757" s="2" t="s">
        <v>407</v>
      </c>
      <c r="D3757" s="2" t="s">
        <v>411</v>
      </c>
      <c r="E3757" s="2" t="s">
        <v>414</v>
      </c>
      <c r="F3757" s="2" t="s">
        <v>39</v>
      </c>
      <c r="J3757" s="2" t="s">
        <v>532</v>
      </c>
      <c r="K3757" s="2" t="s">
        <v>533</v>
      </c>
      <c r="L3757" s="2">
        <v>1</v>
      </c>
      <c r="M3757" s="2" t="s">
        <v>534</v>
      </c>
      <c r="O3757" s="2" t="s">
        <v>524</v>
      </c>
      <c r="Y3757" s="2" t="s">
        <v>721</v>
      </c>
    </row>
    <row r="3758" spans="1:34" x14ac:dyDescent="0.25">
      <c r="A3758" s="2" t="s">
        <v>331</v>
      </c>
      <c r="B3758" s="2" t="s">
        <v>531</v>
      </c>
      <c r="C3758" s="2" t="s">
        <v>407</v>
      </c>
      <c r="D3758" s="2" t="s">
        <v>411</v>
      </c>
      <c r="E3758" s="2" t="s">
        <v>414</v>
      </c>
      <c r="F3758" s="2" t="s">
        <v>39</v>
      </c>
      <c r="J3758" s="2" t="s">
        <v>532</v>
      </c>
      <c r="K3758" s="2" t="s">
        <v>533</v>
      </c>
      <c r="L3758" s="2">
        <v>2</v>
      </c>
      <c r="M3758" s="2" t="s">
        <v>536</v>
      </c>
      <c r="O3758" s="2" t="s">
        <v>524</v>
      </c>
      <c r="Y3758" s="2" t="s">
        <v>721</v>
      </c>
    </row>
    <row r="3759" spans="1:34" x14ac:dyDescent="0.25">
      <c r="A3759" s="2" t="s">
        <v>331</v>
      </c>
      <c r="B3759" s="2" t="s">
        <v>531</v>
      </c>
      <c r="C3759" s="2" t="s">
        <v>407</v>
      </c>
      <c r="D3759" s="2" t="s">
        <v>411</v>
      </c>
      <c r="E3759" s="2" t="s">
        <v>414</v>
      </c>
      <c r="F3759" s="2" t="s">
        <v>39</v>
      </c>
      <c r="J3759" s="2" t="s">
        <v>532</v>
      </c>
      <c r="K3759" s="2" t="s">
        <v>533</v>
      </c>
      <c r="L3759" s="2">
        <v>3</v>
      </c>
      <c r="M3759" s="2" t="s">
        <v>537</v>
      </c>
      <c r="O3759" s="2" t="s">
        <v>524</v>
      </c>
      <c r="Y3759" s="2" t="s">
        <v>721</v>
      </c>
    </row>
    <row r="3760" spans="1:34" x14ac:dyDescent="0.25">
      <c r="A3760" s="2" t="s">
        <v>331</v>
      </c>
      <c r="B3760" s="2" t="s">
        <v>531</v>
      </c>
      <c r="C3760" s="2" t="s">
        <v>407</v>
      </c>
      <c r="D3760" s="2" t="s">
        <v>411</v>
      </c>
      <c r="E3760" s="2" t="s">
        <v>414</v>
      </c>
      <c r="F3760" s="2" t="s">
        <v>39</v>
      </c>
      <c r="J3760" s="2" t="s">
        <v>532</v>
      </c>
      <c r="K3760" s="2" t="s">
        <v>533</v>
      </c>
      <c r="L3760" s="2">
        <v>4</v>
      </c>
      <c r="M3760" s="2" t="s">
        <v>538</v>
      </c>
      <c r="O3760" s="2" t="s">
        <v>524</v>
      </c>
      <c r="Y3760" s="2" t="s">
        <v>721</v>
      </c>
    </row>
    <row r="3761" spans="1:34" x14ac:dyDescent="0.25">
      <c r="A3761" s="2" t="s">
        <v>331</v>
      </c>
      <c r="B3761" s="2" t="s">
        <v>531</v>
      </c>
      <c r="C3761" s="2" t="s">
        <v>407</v>
      </c>
      <c r="D3761" s="2" t="s">
        <v>411</v>
      </c>
      <c r="E3761" s="2" t="s">
        <v>414</v>
      </c>
      <c r="F3761" s="2" t="s">
        <v>39</v>
      </c>
      <c r="J3761" s="2" t="s">
        <v>532</v>
      </c>
      <c r="K3761" s="2" t="s">
        <v>533</v>
      </c>
      <c r="L3761" s="2">
        <v>5</v>
      </c>
      <c r="M3761" s="2" t="s">
        <v>539</v>
      </c>
      <c r="O3761" s="2" t="s">
        <v>524</v>
      </c>
      <c r="Y3761" s="2" t="s">
        <v>721</v>
      </c>
    </row>
    <row r="3762" spans="1:34" x14ac:dyDescent="0.25">
      <c r="A3762" s="2" t="s">
        <v>331</v>
      </c>
      <c r="B3762" s="2" t="s">
        <v>540</v>
      </c>
      <c r="C3762" s="2" t="s">
        <v>407</v>
      </c>
      <c r="D3762" s="2" t="s">
        <v>411</v>
      </c>
      <c r="E3762" s="2" t="s">
        <v>414</v>
      </c>
      <c r="F3762" s="2" t="s">
        <v>39</v>
      </c>
      <c r="J3762" s="2" t="s">
        <v>541</v>
      </c>
      <c r="K3762" s="2" t="s">
        <v>542</v>
      </c>
      <c r="L3762" s="2">
        <v>1</v>
      </c>
      <c r="M3762" s="2" t="s">
        <v>543</v>
      </c>
      <c r="O3762" s="2" t="s">
        <v>524</v>
      </c>
      <c r="Y3762" s="2" t="s">
        <v>721</v>
      </c>
    </row>
    <row r="3763" spans="1:34" x14ac:dyDescent="0.25">
      <c r="A3763" s="2" t="s">
        <v>331</v>
      </c>
      <c r="B3763" s="2" t="s">
        <v>540</v>
      </c>
      <c r="C3763" s="2" t="s">
        <v>407</v>
      </c>
      <c r="D3763" s="2" t="s">
        <v>411</v>
      </c>
      <c r="E3763" s="2" t="s">
        <v>414</v>
      </c>
      <c r="F3763" s="2" t="s">
        <v>39</v>
      </c>
      <c r="J3763" s="2" t="s">
        <v>541</v>
      </c>
      <c r="K3763" s="2" t="s">
        <v>542</v>
      </c>
      <c r="L3763" s="2">
        <v>2</v>
      </c>
      <c r="M3763" s="2" t="s">
        <v>544</v>
      </c>
      <c r="O3763" s="2" t="s">
        <v>524</v>
      </c>
      <c r="Y3763" s="2" t="s">
        <v>721</v>
      </c>
    </row>
    <row r="3764" spans="1:34" x14ac:dyDescent="0.25">
      <c r="A3764" s="2" t="s">
        <v>331</v>
      </c>
      <c r="B3764" s="2" t="s">
        <v>540</v>
      </c>
      <c r="C3764" s="2" t="s">
        <v>407</v>
      </c>
      <c r="D3764" s="2" t="s">
        <v>411</v>
      </c>
      <c r="E3764" s="2" t="s">
        <v>414</v>
      </c>
      <c r="F3764" s="2" t="s">
        <v>39</v>
      </c>
      <c r="J3764" s="2" t="s">
        <v>541</v>
      </c>
      <c r="K3764" s="2" t="s">
        <v>542</v>
      </c>
      <c r="L3764" s="2">
        <v>3</v>
      </c>
      <c r="M3764" s="2" t="s">
        <v>545</v>
      </c>
      <c r="O3764" s="2" t="s">
        <v>524</v>
      </c>
      <c r="Y3764" s="2" t="s">
        <v>721</v>
      </c>
    </row>
    <row r="3765" spans="1:34" x14ac:dyDescent="0.25">
      <c r="A3765" s="2" t="s">
        <v>331</v>
      </c>
      <c r="B3765" s="2" t="s">
        <v>540</v>
      </c>
      <c r="C3765" s="2" t="s">
        <v>407</v>
      </c>
      <c r="D3765" s="2" t="s">
        <v>411</v>
      </c>
      <c r="E3765" s="2" t="s">
        <v>414</v>
      </c>
      <c r="F3765" s="2" t="s">
        <v>39</v>
      </c>
      <c r="J3765" s="2" t="s">
        <v>541</v>
      </c>
      <c r="K3765" s="2" t="s">
        <v>542</v>
      </c>
      <c r="L3765" s="2">
        <v>4</v>
      </c>
      <c r="M3765" s="2" t="s">
        <v>546</v>
      </c>
      <c r="O3765" s="2" t="s">
        <v>524</v>
      </c>
      <c r="Y3765" s="2" t="s">
        <v>721</v>
      </c>
    </row>
    <row r="3766" spans="1:34" x14ac:dyDescent="0.25">
      <c r="A3766" s="2" t="s">
        <v>331</v>
      </c>
      <c r="B3766" s="2" t="s">
        <v>540</v>
      </c>
      <c r="C3766" s="2" t="s">
        <v>407</v>
      </c>
      <c r="D3766" s="2" t="s">
        <v>411</v>
      </c>
      <c r="E3766" s="2" t="s">
        <v>414</v>
      </c>
      <c r="F3766" s="2" t="s">
        <v>39</v>
      </c>
      <c r="J3766" s="2" t="s">
        <v>541</v>
      </c>
      <c r="K3766" s="2" t="s">
        <v>542</v>
      </c>
      <c r="L3766" s="2">
        <v>5</v>
      </c>
      <c r="M3766" s="2" t="s">
        <v>547</v>
      </c>
      <c r="O3766" s="2" t="s">
        <v>524</v>
      </c>
      <c r="Y3766" s="2" t="s">
        <v>721</v>
      </c>
    </row>
    <row r="3767" spans="1:34" x14ac:dyDescent="0.25">
      <c r="A3767" s="2" t="s">
        <v>331</v>
      </c>
      <c r="B3767" s="2" t="s">
        <v>540</v>
      </c>
      <c r="C3767" s="2" t="s">
        <v>407</v>
      </c>
      <c r="D3767" s="2" t="s">
        <v>411</v>
      </c>
      <c r="E3767" s="2" t="s">
        <v>414</v>
      </c>
      <c r="F3767" s="2" t="s">
        <v>39</v>
      </c>
      <c r="J3767" s="2" t="s">
        <v>541</v>
      </c>
      <c r="K3767" s="2" t="s">
        <v>542</v>
      </c>
      <c r="L3767" s="2">
        <v>6</v>
      </c>
      <c r="M3767" s="2" t="s">
        <v>548</v>
      </c>
      <c r="O3767" s="2" t="s">
        <v>524</v>
      </c>
      <c r="Y3767" s="2" t="s">
        <v>721</v>
      </c>
    </row>
    <row r="3768" spans="1:34" x14ac:dyDescent="0.25">
      <c r="A3768" s="2" t="s">
        <v>331</v>
      </c>
      <c r="B3768" s="2" t="s">
        <v>540</v>
      </c>
      <c r="C3768" s="2" t="s">
        <v>407</v>
      </c>
      <c r="D3768" s="2" t="s">
        <v>411</v>
      </c>
      <c r="E3768" s="2" t="s">
        <v>414</v>
      </c>
      <c r="F3768" s="2" t="s">
        <v>39</v>
      </c>
      <c r="J3768" s="2" t="s">
        <v>541</v>
      </c>
      <c r="K3768" s="2" t="s">
        <v>542</v>
      </c>
      <c r="L3768" s="2">
        <v>7</v>
      </c>
      <c r="M3768" s="2" t="s">
        <v>549</v>
      </c>
      <c r="O3768" s="2" t="s">
        <v>524</v>
      </c>
      <c r="Y3768" s="2" t="s">
        <v>721</v>
      </c>
    </row>
    <row r="3769" spans="1:34" x14ac:dyDescent="0.25">
      <c r="A3769" s="2" t="s">
        <v>331</v>
      </c>
      <c r="B3769" s="2" t="s">
        <v>540</v>
      </c>
      <c r="C3769" s="2" t="s">
        <v>407</v>
      </c>
      <c r="D3769" s="2" t="s">
        <v>411</v>
      </c>
      <c r="E3769" s="2" t="s">
        <v>414</v>
      </c>
      <c r="F3769" s="2" t="s">
        <v>39</v>
      </c>
      <c r="J3769" s="2" t="s">
        <v>541</v>
      </c>
      <c r="K3769" s="2" t="s">
        <v>542</v>
      </c>
      <c r="L3769" s="2">
        <v>8</v>
      </c>
      <c r="M3769" s="2" t="s">
        <v>550</v>
      </c>
      <c r="O3769" s="2" t="s">
        <v>524</v>
      </c>
      <c r="Y3769" s="2" t="s">
        <v>721</v>
      </c>
    </row>
    <row r="3770" spans="1:34" x14ac:dyDescent="0.25">
      <c r="A3770" s="2" t="s">
        <v>331</v>
      </c>
      <c r="B3770" s="2" t="s">
        <v>540</v>
      </c>
      <c r="C3770" s="2" t="s">
        <v>407</v>
      </c>
      <c r="D3770" s="2" t="s">
        <v>411</v>
      </c>
      <c r="E3770" s="2" t="s">
        <v>414</v>
      </c>
      <c r="F3770" s="2" t="s">
        <v>39</v>
      </c>
      <c r="J3770" s="2" t="s">
        <v>541</v>
      </c>
      <c r="K3770" s="2" t="s">
        <v>542</v>
      </c>
      <c r="L3770" s="2">
        <v>9</v>
      </c>
      <c r="M3770" s="2" t="s">
        <v>551</v>
      </c>
      <c r="O3770" s="2" t="s">
        <v>524</v>
      </c>
      <c r="Y3770" s="2" t="s">
        <v>721</v>
      </c>
    </row>
    <row r="3771" spans="1:34" x14ac:dyDescent="0.25">
      <c r="A3771" s="2" t="s">
        <v>331</v>
      </c>
      <c r="B3771" s="2" t="s">
        <v>540</v>
      </c>
      <c r="C3771" s="2" t="s">
        <v>407</v>
      </c>
      <c r="D3771" s="2" t="s">
        <v>411</v>
      </c>
      <c r="E3771" s="2" t="s">
        <v>414</v>
      </c>
      <c r="F3771" s="2" t="s">
        <v>39</v>
      </c>
      <c r="J3771" s="2" t="s">
        <v>541</v>
      </c>
      <c r="K3771" s="2" t="s">
        <v>542</v>
      </c>
      <c r="L3771" s="2">
        <v>10</v>
      </c>
      <c r="M3771" s="2" t="s">
        <v>552</v>
      </c>
      <c r="O3771" s="2" t="s">
        <v>524</v>
      </c>
      <c r="Y3771" s="2" t="s">
        <v>721</v>
      </c>
    </row>
    <row r="3772" spans="1:34" x14ac:dyDescent="0.25">
      <c r="A3772" s="2" t="s">
        <v>331</v>
      </c>
      <c r="B3772" s="2" t="s">
        <v>540</v>
      </c>
      <c r="C3772" s="2" t="s">
        <v>407</v>
      </c>
      <c r="D3772" s="2" t="s">
        <v>411</v>
      </c>
      <c r="E3772" s="2" t="s">
        <v>414</v>
      </c>
      <c r="F3772" s="2" t="s">
        <v>39</v>
      </c>
      <c r="J3772" s="2" t="s">
        <v>541</v>
      </c>
      <c r="K3772" s="2" t="s">
        <v>542</v>
      </c>
      <c r="L3772" s="2">
        <v>11</v>
      </c>
      <c r="M3772" s="2" t="s">
        <v>553</v>
      </c>
      <c r="O3772" s="2" t="s">
        <v>524</v>
      </c>
      <c r="Y3772" s="2" t="s">
        <v>721</v>
      </c>
    </row>
    <row r="3773" spans="1:34" x14ac:dyDescent="0.25">
      <c r="A3773" s="2" t="s">
        <v>331</v>
      </c>
      <c r="B3773" s="2" t="s">
        <v>540</v>
      </c>
      <c r="C3773" s="2" t="s">
        <v>407</v>
      </c>
      <c r="D3773" s="2" t="s">
        <v>411</v>
      </c>
      <c r="E3773" s="2" t="s">
        <v>414</v>
      </c>
      <c r="F3773" s="2" t="s">
        <v>39</v>
      </c>
      <c r="J3773" s="2" t="s">
        <v>541</v>
      </c>
      <c r="K3773" s="2" t="s">
        <v>542</v>
      </c>
      <c r="L3773" s="2">
        <v>12</v>
      </c>
      <c r="M3773" s="2" t="s">
        <v>554</v>
      </c>
      <c r="O3773" s="2" t="s">
        <v>524</v>
      </c>
      <c r="Y3773" s="2" t="s">
        <v>721</v>
      </c>
    </row>
    <row r="3774" spans="1:34" x14ac:dyDescent="0.25">
      <c r="A3774" s="2" t="s">
        <v>331</v>
      </c>
      <c r="B3774" s="2" t="s">
        <v>555</v>
      </c>
      <c r="C3774" s="2" t="s">
        <v>407</v>
      </c>
      <c r="D3774" s="2" t="s">
        <v>411</v>
      </c>
      <c r="E3774" s="2" t="s">
        <v>414</v>
      </c>
      <c r="F3774" s="2" t="s">
        <v>39</v>
      </c>
      <c r="J3774" s="2" t="s">
        <v>556</v>
      </c>
      <c r="O3774" s="2" t="s">
        <v>524</v>
      </c>
      <c r="Y3774" s="2" t="s">
        <v>721</v>
      </c>
      <c r="AB3774" s="2">
        <v>1</v>
      </c>
    </row>
    <row r="3775" spans="1:34" x14ac:dyDescent="0.25">
      <c r="A3775" s="2" t="s">
        <v>331</v>
      </c>
      <c r="B3775" s="2" t="s">
        <v>557</v>
      </c>
      <c r="C3775" s="2" t="s">
        <v>407</v>
      </c>
      <c r="D3775" s="2" t="s">
        <v>411</v>
      </c>
      <c r="E3775" s="2" t="s">
        <v>414</v>
      </c>
      <c r="F3775" s="2" t="s">
        <v>39</v>
      </c>
      <c r="J3775" s="2" t="s">
        <v>558</v>
      </c>
      <c r="O3775" s="2" t="s">
        <v>524</v>
      </c>
      <c r="Y3775" s="2" t="s">
        <v>721</v>
      </c>
      <c r="AC3775" s="2">
        <f>COUNTIFS($B:$B,"BLOCK_LOAD_Q",$A:$A,$A3775,$C:$C,$C3775,$E:$E,$E3775,$F:$F,$F3775,$N:$N, "&lt;&gt;")</f>
        <v>0</v>
      </c>
      <c r="AD3775" s="2">
        <f>COUNTIFS($B:$B,"BLOCK_TRUST_Q",$A:$A,$A3775,$C:$C,$C3775,$E:$E,$E3775,$F:$F,$F3775,$N:$N, "&lt;&gt;")</f>
        <v>0</v>
      </c>
      <c r="AE3775" s="2" t="str">
        <f>IFERROR(AVERAGEIFS($P:$P,$B:$B,"BLOCK_LOAD_Q",$A:$A,$A3775,$C:$C,$C3775,$E:$E,$E3775,$F:$F,$F3775,$P:$P,"&gt;0"),"")</f>
        <v/>
      </c>
      <c r="AF3775" s="2" t="str">
        <f>IFERROR(AVERAGEIFS($P:$P,$B:$B,"BLOCK_TRUST_Q",$A:$A,$A3775,$C:$C,$C3775,$E:$E,$E3775,$F:$F,$F3775,$P:$P,"&gt;0"),"")</f>
        <v/>
      </c>
      <c r="AG3775" s="2">
        <f>5-AC3775</f>
        <v>5</v>
      </c>
      <c r="AH3775" s="2">
        <f>12-AD3775</f>
        <v>12</v>
      </c>
    </row>
    <row r="3776" spans="1:34" x14ac:dyDescent="0.25">
      <c r="A3776" s="2" t="s">
        <v>331</v>
      </c>
      <c r="B3776" s="2" t="s">
        <v>403</v>
      </c>
      <c r="C3776" s="2" t="s">
        <v>407</v>
      </c>
      <c r="D3776" s="2" t="s">
        <v>411</v>
      </c>
      <c r="Z3776" s="2" t="s">
        <v>495</v>
      </c>
    </row>
    <row r="3777" spans="1:25" x14ac:dyDescent="0.25">
      <c r="A3777" s="2" t="s">
        <v>331</v>
      </c>
      <c r="B3777" s="2" t="s">
        <v>402</v>
      </c>
      <c r="C3777" s="2" t="s">
        <v>408</v>
      </c>
      <c r="D3777" s="2" t="s">
        <v>412</v>
      </c>
      <c r="E3777" s="2" t="s">
        <v>413</v>
      </c>
      <c r="F3777" s="2" t="s">
        <v>40</v>
      </c>
      <c r="G3777" s="2" t="s">
        <v>415</v>
      </c>
      <c r="H3777" s="2" t="s">
        <v>567</v>
      </c>
      <c r="S3777" s="2" t="s">
        <v>58</v>
      </c>
      <c r="U3777" s="2" t="s">
        <v>57</v>
      </c>
      <c r="W3777" s="2" t="s">
        <v>60</v>
      </c>
    </row>
    <row r="3778" spans="1:25" x14ac:dyDescent="0.25">
      <c r="A3778" s="2" t="s">
        <v>331</v>
      </c>
      <c r="B3778" s="2" t="s">
        <v>402</v>
      </c>
      <c r="C3778" s="2" t="s">
        <v>408</v>
      </c>
      <c r="D3778" s="2" t="s">
        <v>412</v>
      </c>
      <c r="E3778" s="2" t="s">
        <v>413</v>
      </c>
      <c r="F3778" s="2" t="s">
        <v>40</v>
      </c>
      <c r="G3778" s="2" t="s">
        <v>416</v>
      </c>
      <c r="H3778" s="2" t="s">
        <v>568</v>
      </c>
      <c r="S3778" s="2" t="s">
        <v>59</v>
      </c>
      <c r="U3778" s="2" t="s">
        <v>60</v>
      </c>
      <c r="W3778" s="2" t="s">
        <v>59</v>
      </c>
    </row>
    <row r="3779" spans="1:25" x14ac:dyDescent="0.25">
      <c r="A3779" s="2" t="s">
        <v>331</v>
      </c>
      <c r="B3779" s="2" t="s">
        <v>402</v>
      </c>
      <c r="C3779" s="2" t="s">
        <v>408</v>
      </c>
      <c r="D3779" s="2" t="s">
        <v>412</v>
      </c>
      <c r="E3779" s="2" t="s">
        <v>413</v>
      </c>
      <c r="F3779" s="2" t="s">
        <v>40</v>
      </c>
      <c r="G3779" s="2" t="s">
        <v>417</v>
      </c>
      <c r="H3779" s="2" t="s">
        <v>569</v>
      </c>
      <c r="S3779" s="2" t="s">
        <v>57</v>
      </c>
      <c r="U3779" s="2" t="s">
        <v>60</v>
      </c>
      <c r="W3779" s="2" t="s">
        <v>57</v>
      </c>
    </row>
    <row r="3780" spans="1:25" x14ac:dyDescent="0.25">
      <c r="A3780" s="2" t="s">
        <v>331</v>
      </c>
      <c r="B3780" s="2" t="s">
        <v>402</v>
      </c>
      <c r="C3780" s="2" t="s">
        <v>408</v>
      </c>
      <c r="D3780" s="2" t="s">
        <v>412</v>
      </c>
      <c r="E3780" s="2" t="s">
        <v>413</v>
      </c>
      <c r="F3780" s="2" t="s">
        <v>40</v>
      </c>
      <c r="G3780" s="2" t="s">
        <v>418</v>
      </c>
      <c r="H3780" s="2" t="s">
        <v>351</v>
      </c>
      <c r="S3780" s="2" t="s">
        <v>60</v>
      </c>
      <c r="U3780" s="2" t="s">
        <v>57</v>
      </c>
      <c r="W3780" s="2" t="s">
        <v>57</v>
      </c>
    </row>
    <row r="3781" spans="1:25" x14ac:dyDescent="0.25">
      <c r="A3781" s="2" t="s">
        <v>331</v>
      </c>
      <c r="B3781" s="2" t="s">
        <v>531</v>
      </c>
      <c r="C3781" s="2" t="s">
        <v>408</v>
      </c>
      <c r="D3781" s="2" t="s">
        <v>412</v>
      </c>
      <c r="E3781" s="2" t="s">
        <v>413</v>
      </c>
      <c r="F3781" s="2" t="s">
        <v>40</v>
      </c>
      <c r="J3781" s="2" t="s">
        <v>532</v>
      </c>
      <c r="K3781" s="2" t="s">
        <v>533</v>
      </c>
      <c r="L3781" s="2">
        <v>1</v>
      </c>
      <c r="M3781" s="2" t="s">
        <v>534</v>
      </c>
      <c r="O3781" s="2" t="s">
        <v>524</v>
      </c>
      <c r="Y3781" s="2" t="s">
        <v>722</v>
      </c>
    </row>
    <row r="3782" spans="1:25" x14ac:dyDescent="0.25">
      <c r="A3782" s="2" t="s">
        <v>331</v>
      </c>
      <c r="B3782" s="2" t="s">
        <v>531</v>
      </c>
      <c r="C3782" s="2" t="s">
        <v>408</v>
      </c>
      <c r="D3782" s="2" t="s">
        <v>412</v>
      </c>
      <c r="E3782" s="2" t="s">
        <v>413</v>
      </c>
      <c r="F3782" s="2" t="s">
        <v>40</v>
      </c>
      <c r="J3782" s="2" t="s">
        <v>532</v>
      </c>
      <c r="K3782" s="2" t="s">
        <v>533</v>
      </c>
      <c r="L3782" s="2">
        <v>2</v>
      </c>
      <c r="M3782" s="2" t="s">
        <v>536</v>
      </c>
      <c r="O3782" s="2" t="s">
        <v>524</v>
      </c>
      <c r="Y3782" s="2" t="s">
        <v>722</v>
      </c>
    </row>
    <row r="3783" spans="1:25" x14ac:dyDescent="0.25">
      <c r="A3783" s="2" t="s">
        <v>331</v>
      </c>
      <c r="B3783" s="2" t="s">
        <v>531</v>
      </c>
      <c r="C3783" s="2" t="s">
        <v>408</v>
      </c>
      <c r="D3783" s="2" t="s">
        <v>412</v>
      </c>
      <c r="E3783" s="2" t="s">
        <v>413</v>
      </c>
      <c r="F3783" s="2" t="s">
        <v>40</v>
      </c>
      <c r="J3783" s="2" t="s">
        <v>532</v>
      </c>
      <c r="K3783" s="2" t="s">
        <v>533</v>
      </c>
      <c r="L3783" s="2">
        <v>3</v>
      </c>
      <c r="M3783" s="2" t="s">
        <v>537</v>
      </c>
      <c r="O3783" s="2" t="s">
        <v>524</v>
      </c>
      <c r="Y3783" s="2" t="s">
        <v>722</v>
      </c>
    </row>
    <row r="3784" spans="1:25" x14ac:dyDescent="0.25">
      <c r="A3784" s="2" t="s">
        <v>331</v>
      </c>
      <c r="B3784" s="2" t="s">
        <v>531</v>
      </c>
      <c r="C3784" s="2" t="s">
        <v>408</v>
      </c>
      <c r="D3784" s="2" t="s">
        <v>412</v>
      </c>
      <c r="E3784" s="2" t="s">
        <v>413</v>
      </c>
      <c r="F3784" s="2" t="s">
        <v>40</v>
      </c>
      <c r="J3784" s="2" t="s">
        <v>532</v>
      </c>
      <c r="K3784" s="2" t="s">
        <v>533</v>
      </c>
      <c r="L3784" s="2">
        <v>4</v>
      </c>
      <c r="M3784" s="2" t="s">
        <v>538</v>
      </c>
      <c r="O3784" s="2" t="s">
        <v>524</v>
      </c>
      <c r="Y3784" s="2" t="s">
        <v>722</v>
      </c>
    </row>
    <row r="3785" spans="1:25" x14ac:dyDescent="0.25">
      <c r="A3785" s="2" t="s">
        <v>331</v>
      </c>
      <c r="B3785" s="2" t="s">
        <v>531</v>
      </c>
      <c r="C3785" s="2" t="s">
        <v>408</v>
      </c>
      <c r="D3785" s="2" t="s">
        <v>412</v>
      </c>
      <c r="E3785" s="2" t="s">
        <v>413</v>
      </c>
      <c r="F3785" s="2" t="s">
        <v>40</v>
      </c>
      <c r="J3785" s="2" t="s">
        <v>532</v>
      </c>
      <c r="K3785" s="2" t="s">
        <v>533</v>
      </c>
      <c r="L3785" s="2">
        <v>5</v>
      </c>
      <c r="M3785" s="2" t="s">
        <v>539</v>
      </c>
      <c r="O3785" s="2" t="s">
        <v>524</v>
      </c>
      <c r="Y3785" s="2" t="s">
        <v>722</v>
      </c>
    </row>
    <row r="3786" spans="1:25" x14ac:dyDescent="0.25">
      <c r="A3786" s="2" t="s">
        <v>331</v>
      </c>
      <c r="B3786" s="2" t="s">
        <v>540</v>
      </c>
      <c r="C3786" s="2" t="s">
        <v>408</v>
      </c>
      <c r="D3786" s="2" t="s">
        <v>412</v>
      </c>
      <c r="E3786" s="2" t="s">
        <v>413</v>
      </c>
      <c r="F3786" s="2" t="s">
        <v>40</v>
      </c>
      <c r="J3786" s="2" t="s">
        <v>541</v>
      </c>
      <c r="K3786" s="2" t="s">
        <v>542</v>
      </c>
      <c r="L3786" s="2">
        <v>1</v>
      </c>
      <c r="M3786" s="2" t="s">
        <v>543</v>
      </c>
      <c r="O3786" s="2" t="s">
        <v>524</v>
      </c>
      <c r="Y3786" s="2" t="s">
        <v>722</v>
      </c>
    </row>
    <row r="3787" spans="1:25" x14ac:dyDescent="0.25">
      <c r="A3787" s="2" t="s">
        <v>331</v>
      </c>
      <c r="B3787" s="2" t="s">
        <v>540</v>
      </c>
      <c r="C3787" s="2" t="s">
        <v>408</v>
      </c>
      <c r="D3787" s="2" t="s">
        <v>412</v>
      </c>
      <c r="E3787" s="2" t="s">
        <v>413</v>
      </c>
      <c r="F3787" s="2" t="s">
        <v>40</v>
      </c>
      <c r="J3787" s="2" t="s">
        <v>541</v>
      </c>
      <c r="K3787" s="2" t="s">
        <v>542</v>
      </c>
      <c r="L3787" s="2">
        <v>2</v>
      </c>
      <c r="M3787" s="2" t="s">
        <v>544</v>
      </c>
      <c r="O3787" s="2" t="s">
        <v>524</v>
      </c>
      <c r="Y3787" s="2" t="s">
        <v>722</v>
      </c>
    </row>
    <row r="3788" spans="1:25" x14ac:dyDescent="0.25">
      <c r="A3788" s="2" t="s">
        <v>331</v>
      </c>
      <c r="B3788" s="2" t="s">
        <v>540</v>
      </c>
      <c r="C3788" s="2" t="s">
        <v>408</v>
      </c>
      <c r="D3788" s="2" t="s">
        <v>412</v>
      </c>
      <c r="E3788" s="2" t="s">
        <v>413</v>
      </c>
      <c r="F3788" s="2" t="s">
        <v>40</v>
      </c>
      <c r="J3788" s="2" t="s">
        <v>541</v>
      </c>
      <c r="K3788" s="2" t="s">
        <v>542</v>
      </c>
      <c r="L3788" s="2">
        <v>3</v>
      </c>
      <c r="M3788" s="2" t="s">
        <v>545</v>
      </c>
      <c r="O3788" s="2" t="s">
        <v>524</v>
      </c>
      <c r="Y3788" s="2" t="s">
        <v>722</v>
      </c>
    </row>
    <row r="3789" spans="1:25" x14ac:dyDescent="0.25">
      <c r="A3789" s="2" t="s">
        <v>331</v>
      </c>
      <c r="B3789" s="2" t="s">
        <v>540</v>
      </c>
      <c r="C3789" s="2" t="s">
        <v>408</v>
      </c>
      <c r="D3789" s="2" t="s">
        <v>412</v>
      </c>
      <c r="E3789" s="2" t="s">
        <v>413</v>
      </c>
      <c r="F3789" s="2" t="s">
        <v>40</v>
      </c>
      <c r="J3789" s="2" t="s">
        <v>541</v>
      </c>
      <c r="K3789" s="2" t="s">
        <v>542</v>
      </c>
      <c r="L3789" s="2">
        <v>4</v>
      </c>
      <c r="M3789" s="2" t="s">
        <v>546</v>
      </c>
      <c r="O3789" s="2" t="s">
        <v>524</v>
      </c>
      <c r="Y3789" s="2" t="s">
        <v>722</v>
      </c>
    </row>
    <row r="3790" spans="1:25" x14ac:dyDescent="0.25">
      <c r="A3790" s="2" t="s">
        <v>331</v>
      </c>
      <c r="B3790" s="2" t="s">
        <v>540</v>
      </c>
      <c r="C3790" s="2" t="s">
        <v>408</v>
      </c>
      <c r="D3790" s="2" t="s">
        <v>412</v>
      </c>
      <c r="E3790" s="2" t="s">
        <v>413</v>
      </c>
      <c r="F3790" s="2" t="s">
        <v>40</v>
      </c>
      <c r="J3790" s="2" t="s">
        <v>541</v>
      </c>
      <c r="K3790" s="2" t="s">
        <v>542</v>
      </c>
      <c r="L3790" s="2">
        <v>5</v>
      </c>
      <c r="M3790" s="2" t="s">
        <v>547</v>
      </c>
      <c r="O3790" s="2" t="s">
        <v>524</v>
      </c>
      <c r="Y3790" s="2" t="s">
        <v>722</v>
      </c>
    </row>
    <row r="3791" spans="1:25" x14ac:dyDescent="0.25">
      <c r="A3791" s="2" t="s">
        <v>331</v>
      </c>
      <c r="B3791" s="2" t="s">
        <v>540</v>
      </c>
      <c r="C3791" s="2" t="s">
        <v>408</v>
      </c>
      <c r="D3791" s="2" t="s">
        <v>412</v>
      </c>
      <c r="E3791" s="2" t="s">
        <v>413</v>
      </c>
      <c r="F3791" s="2" t="s">
        <v>40</v>
      </c>
      <c r="J3791" s="2" t="s">
        <v>541</v>
      </c>
      <c r="K3791" s="2" t="s">
        <v>542</v>
      </c>
      <c r="L3791" s="2">
        <v>6</v>
      </c>
      <c r="M3791" s="2" t="s">
        <v>548</v>
      </c>
      <c r="O3791" s="2" t="s">
        <v>524</v>
      </c>
      <c r="Y3791" s="2" t="s">
        <v>722</v>
      </c>
    </row>
    <row r="3792" spans="1:25" x14ac:dyDescent="0.25">
      <c r="A3792" s="2" t="s">
        <v>331</v>
      </c>
      <c r="B3792" s="2" t="s">
        <v>540</v>
      </c>
      <c r="C3792" s="2" t="s">
        <v>408</v>
      </c>
      <c r="D3792" s="2" t="s">
        <v>412</v>
      </c>
      <c r="E3792" s="2" t="s">
        <v>413</v>
      </c>
      <c r="F3792" s="2" t="s">
        <v>40</v>
      </c>
      <c r="J3792" s="2" t="s">
        <v>541</v>
      </c>
      <c r="K3792" s="2" t="s">
        <v>542</v>
      </c>
      <c r="L3792" s="2">
        <v>7</v>
      </c>
      <c r="M3792" s="2" t="s">
        <v>549</v>
      </c>
      <c r="O3792" s="2" t="s">
        <v>524</v>
      </c>
      <c r="Y3792" s="2" t="s">
        <v>722</v>
      </c>
    </row>
    <row r="3793" spans="1:34" x14ac:dyDescent="0.25">
      <c r="A3793" s="2" t="s">
        <v>331</v>
      </c>
      <c r="B3793" s="2" t="s">
        <v>540</v>
      </c>
      <c r="C3793" s="2" t="s">
        <v>408</v>
      </c>
      <c r="D3793" s="2" t="s">
        <v>412</v>
      </c>
      <c r="E3793" s="2" t="s">
        <v>413</v>
      </c>
      <c r="F3793" s="2" t="s">
        <v>40</v>
      </c>
      <c r="J3793" s="2" t="s">
        <v>541</v>
      </c>
      <c r="K3793" s="2" t="s">
        <v>542</v>
      </c>
      <c r="L3793" s="2">
        <v>8</v>
      </c>
      <c r="M3793" s="2" t="s">
        <v>550</v>
      </c>
      <c r="O3793" s="2" t="s">
        <v>524</v>
      </c>
      <c r="Y3793" s="2" t="s">
        <v>722</v>
      </c>
    </row>
    <row r="3794" spans="1:34" x14ac:dyDescent="0.25">
      <c r="A3794" s="2" t="s">
        <v>331</v>
      </c>
      <c r="B3794" s="2" t="s">
        <v>540</v>
      </c>
      <c r="C3794" s="2" t="s">
        <v>408</v>
      </c>
      <c r="D3794" s="2" t="s">
        <v>412</v>
      </c>
      <c r="E3794" s="2" t="s">
        <v>413</v>
      </c>
      <c r="F3794" s="2" t="s">
        <v>40</v>
      </c>
      <c r="J3794" s="2" t="s">
        <v>541</v>
      </c>
      <c r="K3794" s="2" t="s">
        <v>542</v>
      </c>
      <c r="L3794" s="2">
        <v>9</v>
      </c>
      <c r="M3794" s="2" t="s">
        <v>551</v>
      </c>
      <c r="O3794" s="2" t="s">
        <v>524</v>
      </c>
      <c r="Y3794" s="2" t="s">
        <v>722</v>
      </c>
    </row>
    <row r="3795" spans="1:34" x14ac:dyDescent="0.25">
      <c r="A3795" s="2" t="s">
        <v>331</v>
      </c>
      <c r="B3795" s="2" t="s">
        <v>540</v>
      </c>
      <c r="C3795" s="2" t="s">
        <v>408</v>
      </c>
      <c r="D3795" s="2" t="s">
        <v>412</v>
      </c>
      <c r="E3795" s="2" t="s">
        <v>413</v>
      </c>
      <c r="F3795" s="2" t="s">
        <v>40</v>
      </c>
      <c r="J3795" s="2" t="s">
        <v>541</v>
      </c>
      <c r="K3795" s="2" t="s">
        <v>542</v>
      </c>
      <c r="L3795" s="2">
        <v>10</v>
      </c>
      <c r="M3795" s="2" t="s">
        <v>552</v>
      </c>
      <c r="O3795" s="2" t="s">
        <v>524</v>
      </c>
      <c r="Y3795" s="2" t="s">
        <v>722</v>
      </c>
    </row>
    <row r="3796" spans="1:34" x14ac:dyDescent="0.25">
      <c r="A3796" s="2" t="s">
        <v>331</v>
      </c>
      <c r="B3796" s="2" t="s">
        <v>540</v>
      </c>
      <c r="C3796" s="2" t="s">
        <v>408</v>
      </c>
      <c r="D3796" s="2" t="s">
        <v>412</v>
      </c>
      <c r="E3796" s="2" t="s">
        <v>413</v>
      </c>
      <c r="F3796" s="2" t="s">
        <v>40</v>
      </c>
      <c r="J3796" s="2" t="s">
        <v>541</v>
      </c>
      <c r="K3796" s="2" t="s">
        <v>542</v>
      </c>
      <c r="L3796" s="2">
        <v>11</v>
      </c>
      <c r="M3796" s="2" t="s">
        <v>553</v>
      </c>
      <c r="O3796" s="2" t="s">
        <v>524</v>
      </c>
      <c r="Y3796" s="2" t="s">
        <v>722</v>
      </c>
    </row>
    <row r="3797" spans="1:34" x14ac:dyDescent="0.25">
      <c r="A3797" s="2" t="s">
        <v>331</v>
      </c>
      <c r="B3797" s="2" t="s">
        <v>540</v>
      </c>
      <c r="C3797" s="2" t="s">
        <v>408</v>
      </c>
      <c r="D3797" s="2" t="s">
        <v>412</v>
      </c>
      <c r="E3797" s="2" t="s">
        <v>413</v>
      </c>
      <c r="F3797" s="2" t="s">
        <v>40</v>
      </c>
      <c r="J3797" s="2" t="s">
        <v>541</v>
      </c>
      <c r="K3797" s="2" t="s">
        <v>542</v>
      </c>
      <c r="L3797" s="2">
        <v>12</v>
      </c>
      <c r="M3797" s="2" t="s">
        <v>554</v>
      </c>
      <c r="O3797" s="2" t="s">
        <v>524</v>
      </c>
      <c r="Y3797" s="2" t="s">
        <v>722</v>
      </c>
    </row>
    <row r="3798" spans="1:34" x14ac:dyDescent="0.25">
      <c r="A3798" s="2" t="s">
        <v>331</v>
      </c>
      <c r="B3798" s="2" t="s">
        <v>555</v>
      </c>
      <c r="C3798" s="2" t="s">
        <v>408</v>
      </c>
      <c r="D3798" s="2" t="s">
        <v>412</v>
      </c>
      <c r="E3798" s="2" t="s">
        <v>413</v>
      </c>
      <c r="F3798" s="2" t="s">
        <v>40</v>
      </c>
      <c r="J3798" s="2" t="s">
        <v>556</v>
      </c>
      <c r="O3798" s="2" t="s">
        <v>524</v>
      </c>
      <c r="Y3798" s="2" t="s">
        <v>722</v>
      </c>
      <c r="AB3798" s="2">
        <v>2</v>
      </c>
    </row>
    <row r="3799" spans="1:34" x14ac:dyDescent="0.25">
      <c r="A3799" s="2" t="s">
        <v>331</v>
      </c>
      <c r="B3799" s="2" t="s">
        <v>557</v>
      </c>
      <c r="C3799" s="2" t="s">
        <v>408</v>
      </c>
      <c r="D3799" s="2" t="s">
        <v>412</v>
      </c>
      <c r="E3799" s="2" t="s">
        <v>413</v>
      </c>
      <c r="F3799" s="2" t="s">
        <v>40</v>
      </c>
      <c r="J3799" s="2" t="s">
        <v>558</v>
      </c>
      <c r="O3799" s="2" t="s">
        <v>524</v>
      </c>
      <c r="Y3799" s="2" t="s">
        <v>722</v>
      </c>
      <c r="AC3799" s="2">
        <f>COUNTIFS($B:$B,"BLOCK_LOAD_Q",$A:$A,$A3799,$C:$C,$C3799,$E:$E,$E3799,$F:$F,$F3799,$N:$N, "&lt;&gt;")</f>
        <v>0</v>
      </c>
      <c r="AD3799" s="2">
        <f>COUNTIFS($B:$B,"BLOCK_TRUST_Q",$A:$A,$A3799,$C:$C,$C3799,$E:$E,$E3799,$F:$F,$F3799,$N:$N, "&lt;&gt;")</f>
        <v>0</v>
      </c>
      <c r="AE3799" s="2" t="str">
        <f>IFERROR(AVERAGEIFS($P:$P,$B:$B,"BLOCK_LOAD_Q",$A:$A,$A3799,$C:$C,$C3799,$E:$E,$E3799,$F:$F,$F3799,$P:$P,"&gt;0"),"")</f>
        <v/>
      </c>
      <c r="AF3799" s="2" t="str">
        <f>IFERROR(AVERAGEIFS($P:$P,$B:$B,"BLOCK_TRUST_Q",$A:$A,$A3799,$C:$C,$C3799,$E:$E,$E3799,$F:$F,$F3799,$P:$P,"&gt;0"),"")</f>
        <v/>
      </c>
      <c r="AG3799" s="2">
        <f>5-AC3799</f>
        <v>5</v>
      </c>
      <c r="AH3799" s="2">
        <f>12-AD3799</f>
        <v>12</v>
      </c>
    </row>
    <row r="3800" spans="1:34" x14ac:dyDescent="0.25">
      <c r="A3800" s="2" t="s">
        <v>331</v>
      </c>
      <c r="B3800" s="2" t="s">
        <v>402</v>
      </c>
      <c r="C3800" s="2" t="s">
        <v>408</v>
      </c>
      <c r="D3800" s="2" t="s">
        <v>412</v>
      </c>
      <c r="E3800" s="2" t="s">
        <v>414</v>
      </c>
      <c r="F3800" s="2" t="s">
        <v>39</v>
      </c>
      <c r="G3800" s="2" t="s">
        <v>415</v>
      </c>
      <c r="H3800" s="2" t="s">
        <v>350</v>
      </c>
      <c r="S3800" s="2" t="s">
        <v>57</v>
      </c>
      <c r="U3800" s="2" t="s">
        <v>58</v>
      </c>
      <c r="W3800" s="2" t="s">
        <v>59</v>
      </c>
    </row>
    <row r="3801" spans="1:34" x14ac:dyDescent="0.25">
      <c r="A3801" s="2" t="s">
        <v>331</v>
      </c>
      <c r="B3801" s="2" t="s">
        <v>402</v>
      </c>
      <c r="C3801" s="2" t="s">
        <v>408</v>
      </c>
      <c r="D3801" s="2" t="s">
        <v>412</v>
      </c>
      <c r="E3801" s="2" t="s">
        <v>414</v>
      </c>
      <c r="F3801" s="2" t="s">
        <v>39</v>
      </c>
      <c r="G3801" s="2" t="s">
        <v>416</v>
      </c>
      <c r="H3801" s="2" t="s">
        <v>571</v>
      </c>
      <c r="S3801" s="2" t="s">
        <v>59</v>
      </c>
      <c r="U3801" s="2" t="s">
        <v>57</v>
      </c>
      <c r="W3801" s="2" t="s">
        <v>60</v>
      </c>
    </row>
    <row r="3802" spans="1:34" x14ac:dyDescent="0.25">
      <c r="A3802" s="2" t="s">
        <v>331</v>
      </c>
      <c r="B3802" s="2" t="s">
        <v>402</v>
      </c>
      <c r="C3802" s="2" t="s">
        <v>408</v>
      </c>
      <c r="D3802" s="2" t="s">
        <v>412</v>
      </c>
      <c r="E3802" s="2" t="s">
        <v>414</v>
      </c>
      <c r="F3802" s="2" t="s">
        <v>39</v>
      </c>
      <c r="G3802" s="2" t="s">
        <v>417</v>
      </c>
      <c r="H3802" s="2" t="s">
        <v>572</v>
      </c>
      <c r="S3802" s="2" t="s">
        <v>57</v>
      </c>
      <c r="U3802" s="2" t="s">
        <v>59</v>
      </c>
      <c r="W3802" s="2" t="s">
        <v>58</v>
      </c>
    </row>
    <row r="3803" spans="1:34" x14ac:dyDescent="0.25">
      <c r="A3803" s="2" t="s">
        <v>331</v>
      </c>
      <c r="B3803" s="2" t="s">
        <v>402</v>
      </c>
      <c r="C3803" s="2" t="s">
        <v>408</v>
      </c>
      <c r="D3803" s="2" t="s">
        <v>412</v>
      </c>
      <c r="E3803" s="2" t="s">
        <v>414</v>
      </c>
      <c r="F3803" s="2" t="s">
        <v>39</v>
      </c>
      <c r="G3803" s="2" t="s">
        <v>418</v>
      </c>
      <c r="H3803" s="2" t="s">
        <v>573</v>
      </c>
      <c r="S3803" s="2" t="s">
        <v>58</v>
      </c>
      <c r="U3803" s="2" t="s">
        <v>58</v>
      </c>
      <c r="W3803" s="2" t="s">
        <v>58</v>
      </c>
    </row>
    <row r="3804" spans="1:34" x14ac:dyDescent="0.25">
      <c r="A3804" s="2" t="s">
        <v>331</v>
      </c>
      <c r="B3804" s="2" t="s">
        <v>402</v>
      </c>
      <c r="C3804" s="2" t="s">
        <v>408</v>
      </c>
      <c r="D3804" s="2" t="s">
        <v>412</v>
      </c>
      <c r="E3804" s="2" t="s">
        <v>414</v>
      </c>
      <c r="F3804" s="2" t="s">
        <v>39</v>
      </c>
      <c r="G3804" s="2" t="s">
        <v>419</v>
      </c>
      <c r="H3804" s="2" t="s">
        <v>365</v>
      </c>
      <c r="S3804" s="2" t="s">
        <v>59</v>
      </c>
      <c r="U3804" s="2" t="s">
        <v>59</v>
      </c>
      <c r="W3804" s="2" t="s">
        <v>60</v>
      </c>
    </row>
    <row r="3805" spans="1:34" x14ac:dyDescent="0.25">
      <c r="A3805" s="2" t="s">
        <v>331</v>
      </c>
      <c r="B3805" s="2" t="s">
        <v>531</v>
      </c>
      <c r="C3805" s="2" t="s">
        <v>408</v>
      </c>
      <c r="D3805" s="2" t="s">
        <v>412</v>
      </c>
      <c r="E3805" s="2" t="s">
        <v>414</v>
      </c>
      <c r="F3805" s="2" t="s">
        <v>39</v>
      </c>
      <c r="J3805" s="2" t="s">
        <v>532</v>
      </c>
      <c r="K3805" s="2" t="s">
        <v>533</v>
      </c>
      <c r="L3805" s="2">
        <v>1</v>
      </c>
      <c r="M3805" s="2" t="s">
        <v>534</v>
      </c>
      <c r="O3805" s="2" t="s">
        <v>524</v>
      </c>
      <c r="Y3805" s="2" t="s">
        <v>723</v>
      </c>
    </row>
    <row r="3806" spans="1:34" x14ac:dyDescent="0.25">
      <c r="A3806" s="2" t="s">
        <v>331</v>
      </c>
      <c r="B3806" s="2" t="s">
        <v>531</v>
      </c>
      <c r="C3806" s="2" t="s">
        <v>408</v>
      </c>
      <c r="D3806" s="2" t="s">
        <v>412</v>
      </c>
      <c r="E3806" s="2" t="s">
        <v>414</v>
      </c>
      <c r="F3806" s="2" t="s">
        <v>39</v>
      </c>
      <c r="J3806" s="2" t="s">
        <v>532</v>
      </c>
      <c r="K3806" s="2" t="s">
        <v>533</v>
      </c>
      <c r="L3806" s="2">
        <v>2</v>
      </c>
      <c r="M3806" s="2" t="s">
        <v>536</v>
      </c>
      <c r="O3806" s="2" t="s">
        <v>524</v>
      </c>
      <c r="Y3806" s="2" t="s">
        <v>723</v>
      </c>
    </row>
    <row r="3807" spans="1:34" x14ac:dyDescent="0.25">
      <c r="A3807" s="2" t="s">
        <v>331</v>
      </c>
      <c r="B3807" s="2" t="s">
        <v>531</v>
      </c>
      <c r="C3807" s="2" t="s">
        <v>408</v>
      </c>
      <c r="D3807" s="2" t="s">
        <v>412</v>
      </c>
      <c r="E3807" s="2" t="s">
        <v>414</v>
      </c>
      <c r="F3807" s="2" t="s">
        <v>39</v>
      </c>
      <c r="J3807" s="2" t="s">
        <v>532</v>
      </c>
      <c r="K3807" s="2" t="s">
        <v>533</v>
      </c>
      <c r="L3807" s="2">
        <v>3</v>
      </c>
      <c r="M3807" s="2" t="s">
        <v>537</v>
      </c>
      <c r="O3807" s="2" t="s">
        <v>524</v>
      </c>
      <c r="Y3807" s="2" t="s">
        <v>723</v>
      </c>
    </row>
    <row r="3808" spans="1:34" x14ac:dyDescent="0.25">
      <c r="A3808" s="2" t="s">
        <v>331</v>
      </c>
      <c r="B3808" s="2" t="s">
        <v>531</v>
      </c>
      <c r="C3808" s="2" t="s">
        <v>408</v>
      </c>
      <c r="D3808" s="2" t="s">
        <v>412</v>
      </c>
      <c r="E3808" s="2" t="s">
        <v>414</v>
      </c>
      <c r="F3808" s="2" t="s">
        <v>39</v>
      </c>
      <c r="J3808" s="2" t="s">
        <v>532</v>
      </c>
      <c r="K3808" s="2" t="s">
        <v>533</v>
      </c>
      <c r="L3808" s="2">
        <v>4</v>
      </c>
      <c r="M3808" s="2" t="s">
        <v>538</v>
      </c>
      <c r="O3808" s="2" t="s">
        <v>524</v>
      </c>
      <c r="Y3808" s="2" t="s">
        <v>723</v>
      </c>
    </row>
    <row r="3809" spans="1:34" x14ac:dyDescent="0.25">
      <c r="A3809" s="2" t="s">
        <v>331</v>
      </c>
      <c r="B3809" s="2" t="s">
        <v>531</v>
      </c>
      <c r="C3809" s="2" t="s">
        <v>408</v>
      </c>
      <c r="D3809" s="2" t="s">
        <v>412</v>
      </c>
      <c r="E3809" s="2" t="s">
        <v>414</v>
      </c>
      <c r="F3809" s="2" t="s">
        <v>39</v>
      </c>
      <c r="J3809" s="2" t="s">
        <v>532</v>
      </c>
      <c r="K3809" s="2" t="s">
        <v>533</v>
      </c>
      <c r="L3809" s="2">
        <v>5</v>
      </c>
      <c r="M3809" s="2" t="s">
        <v>539</v>
      </c>
      <c r="O3809" s="2" t="s">
        <v>524</v>
      </c>
      <c r="Y3809" s="2" t="s">
        <v>723</v>
      </c>
    </row>
    <row r="3810" spans="1:34" x14ac:dyDescent="0.25">
      <c r="A3810" s="2" t="s">
        <v>331</v>
      </c>
      <c r="B3810" s="2" t="s">
        <v>540</v>
      </c>
      <c r="C3810" s="2" t="s">
        <v>408</v>
      </c>
      <c r="D3810" s="2" t="s">
        <v>412</v>
      </c>
      <c r="E3810" s="2" t="s">
        <v>414</v>
      </c>
      <c r="F3810" s="2" t="s">
        <v>39</v>
      </c>
      <c r="J3810" s="2" t="s">
        <v>541</v>
      </c>
      <c r="K3810" s="2" t="s">
        <v>542</v>
      </c>
      <c r="L3810" s="2">
        <v>1</v>
      </c>
      <c r="M3810" s="2" t="s">
        <v>543</v>
      </c>
      <c r="O3810" s="2" t="s">
        <v>524</v>
      </c>
      <c r="Y3810" s="2" t="s">
        <v>723</v>
      </c>
    </row>
    <row r="3811" spans="1:34" x14ac:dyDescent="0.25">
      <c r="A3811" s="2" t="s">
        <v>331</v>
      </c>
      <c r="B3811" s="2" t="s">
        <v>540</v>
      </c>
      <c r="C3811" s="2" t="s">
        <v>408</v>
      </c>
      <c r="D3811" s="2" t="s">
        <v>412</v>
      </c>
      <c r="E3811" s="2" t="s">
        <v>414</v>
      </c>
      <c r="F3811" s="2" t="s">
        <v>39</v>
      </c>
      <c r="J3811" s="2" t="s">
        <v>541</v>
      </c>
      <c r="K3811" s="2" t="s">
        <v>542</v>
      </c>
      <c r="L3811" s="2">
        <v>2</v>
      </c>
      <c r="M3811" s="2" t="s">
        <v>544</v>
      </c>
      <c r="O3811" s="2" t="s">
        <v>524</v>
      </c>
      <c r="Y3811" s="2" t="s">
        <v>723</v>
      </c>
    </row>
    <row r="3812" spans="1:34" x14ac:dyDescent="0.25">
      <c r="A3812" s="2" t="s">
        <v>331</v>
      </c>
      <c r="B3812" s="2" t="s">
        <v>540</v>
      </c>
      <c r="C3812" s="2" t="s">
        <v>408</v>
      </c>
      <c r="D3812" s="2" t="s">
        <v>412</v>
      </c>
      <c r="E3812" s="2" t="s">
        <v>414</v>
      </c>
      <c r="F3812" s="2" t="s">
        <v>39</v>
      </c>
      <c r="J3812" s="2" t="s">
        <v>541</v>
      </c>
      <c r="K3812" s="2" t="s">
        <v>542</v>
      </c>
      <c r="L3812" s="2">
        <v>3</v>
      </c>
      <c r="M3812" s="2" t="s">
        <v>545</v>
      </c>
      <c r="O3812" s="2" t="s">
        <v>524</v>
      </c>
      <c r="Y3812" s="2" t="s">
        <v>723</v>
      </c>
    </row>
    <row r="3813" spans="1:34" x14ac:dyDescent="0.25">
      <c r="A3813" s="2" t="s">
        <v>331</v>
      </c>
      <c r="B3813" s="2" t="s">
        <v>540</v>
      </c>
      <c r="C3813" s="2" t="s">
        <v>408</v>
      </c>
      <c r="D3813" s="2" t="s">
        <v>412</v>
      </c>
      <c r="E3813" s="2" t="s">
        <v>414</v>
      </c>
      <c r="F3813" s="2" t="s">
        <v>39</v>
      </c>
      <c r="J3813" s="2" t="s">
        <v>541</v>
      </c>
      <c r="K3813" s="2" t="s">
        <v>542</v>
      </c>
      <c r="L3813" s="2">
        <v>4</v>
      </c>
      <c r="M3813" s="2" t="s">
        <v>546</v>
      </c>
      <c r="O3813" s="2" t="s">
        <v>524</v>
      </c>
      <c r="Y3813" s="2" t="s">
        <v>723</v>
      </c>
    </row>
    <row r="3814" spans="1:34" x14ac:dyDescent="0.25">
      <c r="A3814" s="2" t="s">
        <v>331</v>
      </c>
      <c r="B3814" s="2" t="s">
        <v>540</v>
      </c>
      <c r="C3814" s="2" t="s">
        <v>408</v>
      </c>
      <c r="D3814" s="2" t="s">
        <v>412</v>
      </c>
      <c r="E3814" s="2" t="s">
        <v>414</v>
      </c>
      <c r="F3814" s="2" t="s">
        <v>39</v>
      </c>
      <c r="J3814" s="2" t="s">
        <v>541</v>
      </c>
      <c r="K3814" s="2" t="s">
        <v>542</v>
      </c>
      <c r="L3814" s="2">
        <v>5</v>
      </c>
      <c r="M3814" s="2" t="s">
        <v>547</v>
      </c>
      <c r="O3814" s="2" t="s">
        <v>524</v>
      </c>
      <c r="Y3814" s="2" t="s">
        <v>723</v>
      </c>
    </row>
    <row r="3815" spans="1:34" x14ac:dyDescent="0.25">
      <c r="A3815" s="2" t="s">
        <v>331</v>
      </c>
      <c r="B3815" s="2" t="s">
        <v>540</v>
      </c>
      <c r="C3815" s="2" t="s">
        <v>408</v>
      </c>
      <c r="D3815" s="2" t="s">
        <v>412</v>
      </c>
      <c r="E3815" s="2" t="s">
        <v>414</v>
      </c>
      <c r="F3815" s="2" t="s">
        <v>39</v>
      </c>
      <c r="J3815" s="2" t="s">
        <v>541</v>
      </c>
      <c r="K3815" s="2" t="s">
        <v>542</v>
      </c>
      <c r="L3815" s="2">
        <v>6</v>
      </c>
      <c r="M3815" s="2" t="s">
        <v>548</v>
      </c>
      <c r="O3815" s="2" t="s">
        <v>524</v>
      </c>
      <c r="Y3815" s="2" t="s">
        <v>723</v>
      </c>
    </row>
    <row r="3816" spans="1:34" x14ac:dyDescent="0.25">
      <c r="A3816" s="2" t="s">
        <v>331</v>
      </c>
      <c r="B3816" s="2" t="s">
        <v>540</v>
      </c>
      <c r="C3816" s="2" t="s">
        <v>408</v>
      </c>
      <c r="D3816" s="2" t="s">
        <v>412</v>
      </c>
      <c r="E3816" s="2" t="s">
        <v>414</v>
      </c>
      <c r="F3816" s="2" t="s">
        <v>39</v>
      </c>
      <c r="J3816" s="2" t="s">
        <v>541</v>
      </c>
      <c r="K3816" s="2" t="s">
        <v>542</v>
      </c>
      <c r="L3816" s="2">
        <v>7</v>
      </c>
      <c r="M3816" s="2" t="s">
        <v>549</v>
      </c>
      <c r="O3816" s="2" t="s">
        <v>524</v>
      </c>
      <c r="Y3816" s="2" t="s">
        <v>723</v>
      </c>
    </row>
    <row r="3817" spans="1:34" x14ac:dyDescent="0.25">
      <c r="A3817" s="2" t="s">
        <v>331</v>
      </c>
      <c r="B3817" s="2" t="s">
        <v>540</v>
      </c>
      <c r="C3817" s="2" t="s">
        <v>408</v>
      </c>
      <c r="D3817" s="2" t="s">
        <v>412</v>
      </c>
      <c r="E3817" s="2" t="s">
        <v>414</v>
      </c>
      <c r="F3817" s="2" t="s">
        <v>39</v>
      </c>
      <c r="J3817" s="2" t="s">
        <v>541</v>
      </c>
      <c r="K3817" s="2" t="s">
        <v>542</v>
      </c>
      <c r="L3817" s="2">
        <v>8</v>
      </c>
      <c r="M3817" s="2" t="s">
        <v>550</v>
      </c>
      <c r="O3817" s="2" t="s">
        <v>524</v>
      </c>
      <c r="Y3817" s="2" t="s">
        <v>723</v>
      </c>
    </row>
    <row r="3818" spans="1:34" x14ac:dyDescent="0.25">
      <c r="A3818" s="2" t="s">
        <v>331</v>
      </c>
      <c r="B3818" s="2" t="s">
        <v>540</v>
      </c>
      <c r="C3818" s="2" t="s">
        <v>408</v>
      </c>
      <c r="D3818" s="2" t="s">
        <v>412</v>
      </c>
      <c r="E3818" s="2" t="s">
        <v>414</v>
      </c>
      <c r="F3818" s="2" t="s">
        <v>39</v>
      </c>
      <c r="J3818" s="2" t="s">
        <v>541</v>
      </c>
      <c r="K3818" s="2" t="s">
        <v>542</v>
      </c>
      <c r="L3818" s="2">
        <v>9</v>
      </c>
      <c r="M3818" s="2" t="s">
        <v>551</v>
      </c>
      <c r="O3818" s="2" t="s">
        <v>524</v>
      </c>
      <c r="Y3818" s="2" t="s">
        <v>723</v>
      </c>
    </row>
    <row r="3819" spans="1:34" x14ac:dyDescent="0.25">
      <c r="A3819" s="2" t="s">
        <v>331</v>
      </c>
      <c r="B3819" s="2" t="s">
        <v>540</v>
      </c>
      <c r="C3819" s="2" t="s">
        <v>408</v>
      </c>
      <c r="D3819" s="2" t="s">
        <v>412</v>
      </c>
      <c r="E3819" s="2" t="s">
        <v>414</v>
      </c>
      <c r="F3819" s="2" t="s">
        <v>39</v>
      </c>
      <c r="J3819" s="2" t="s">
        <v>541</v>
      </c>
      <c r="K3819" s="2" t="s">
        <v>542</v>
      </c>
      <c r="L3819" s="2">
        <v>10</v>
      </c>
      <c r="M3819" s="2" t="s">
        <v>552</v>
      </c>
      <c r="O3819" s="2" t="s">
        <v>524</v>
      </c>
      <c r="Y3819" s="2" t="s">
        <v>723</v>
      </c>
    </row>
    <row r="3820" spans="1:34" x14ac:dyDescent="0.25">
      <c r="A3820" s="2" t="s">
        <v>331</v>
      </c>
      <c r="B3820" s="2" t="s">
        <v>540</v>
      </c>
      <c r="C3820" s="2" t="s">
        <v>408</v>
      </c>
      <c r="D3820" s="2" t="s">
        <v>412</v>
      </c>
      <c r="E3820" s="2" t="s">
        <v>414</v>
      </c>
      <c r="F3820" s="2" t="s">
        <v>39</v>
      </c>
      <c r="J3820" s="2" t="s">
        <v>541</v>
      </c>
      <c r="K3820" s="2" t="s">
        <v>542</v>
      </c>
      <c r="L3820" s="2">
        <v>11</v>
      </c>
      <c r="M3820" s="2" t="s">
        <v>553</v>
      </c>
      <c r="O3820" s="2" t="s">
        <v>524</v>
      </c>
      <c r="Y3820" s="2" t="s">
        <v>723</v>
      </c>
    </row>
    <row r="3821" spans="1:34" x14ac:dyDescent="0.25">
      <c r="A3821" s="2" t="s">
        <v>331</v>
      </c>
      <c r="B3821" s="2" t="s">
        <v>540</v>
      </c>
      <c r="C3821" s="2" t="s">
        <v>408</v>
      </c>
      <c r="D3821" s="2" t="s">
        <v>412</v>
      </c>
      <c r="E3821" s="2" t="s">
        <v>414</v>
      </c>
      <c r="F3821" s="2" t="s">
        <v>39</v>
      </c>
      <c r="J3821" s="2" t="s">
        <v>541</v>
      </c>
      <c r="K3821" s="2" t="s">
        <v>542</v>
      </c>
      <c r="L3821" s="2">
        <v>12</v>
      </c>
      <c r="M3821" s="2" t="s">
        <v>554</v>
      </c>
      <c r="O3821" s="2" t="s">
        <v>524</v>
      </c>
      <c r="Y3821" s="2" t="s">
        <v>723</v>
      </c>
    </row>
    <row r="3822" spans="1:34" x14ac:dyDescent="0.25">
      <c r="A3822" s="2" t="s">
        <v>331</v>
      </c>
      <c r="B3822" s="2" t="s">
        <v>555</v>
      </c>
      <c r="C3822" s="2" t="s">
        <v>408</v>
      </c>
      <c r="D3822" s="2" t="s">
        <v>412</v>
      </c>
      <c r="E3822" s="2" t="s">
        <v>414</v>
      </c>
      <c r="F3822" s="2" t="s">
        <v>39</v>
      </c>
      <c r="J3822" s="2" t="s">
        <v>556</v>
      </c>
      <c r="O3822" s="2" t="s">
        <v>524</v>
      </c>
      <c r="Y3822" s="2" t="s">
        <v>723</v>
      </c>
      <c r="AB3822" s="2">
        <v>1</v>
      </c>
    </row>
    <row r="3823" spans="1:34" x14ac:dyDescent="0.25">
      <c r="A3823" s="2" t="s">
        <v>331</v>
      </c>
      <c r="B3823" s="2" t="s">
        <v>557</v>
      </c>
      <c r="C3823" s="2" t="s">
        <v>408</v>
      </c>
      <c r="D3823" s="2" t="s">
        <v>412</v>
      </c>
      <c r="E3823" s="2" t="s">
        <v>414</v>
      </c>
      <c r="F3823" s="2" t="s">
        <v>39</v>
      </c>
      <c r="J3823" s="2" t="s">
        <v>558</v>
      </c>
      <c r="O3823" s="2" t="s">
        <v>524</v>
      </c>
      <c r="Y3823" s="2" t="s">
        <v>723</v>
      </c>
      <c r="AC3823" s="2">
        <f>COUNTIFS($B:$B,"BLOCK_LOAD_Q",$A:$A,$A3823,$C:$C,$C3823,$E:$E,$E3823,$F:$F,$F3823,$N:$N, "&lt;&gt;")</f>
        <v>0</v>
      </c>
      <c r="AD3823" s="2">
        <f>COUNTIFS($B:$B,"BLOCK_TRUST_Q",$A:$A,$A3823,$C:$C,$C3823,$E:$E,$E3823,$F:$F,$F3823,$N:$N, "&lt;&gt;")</f>
        <v>0</v>
      </c>
      <c r="AE3823" s="2" t="str">
        <f>IFERROR(AVERAGEIFS($P:$P,$B:$B,"BLOCK_LOAD_Q",$A:$A,$A3823,$C:$C,$C3823,$E:$E,$E3823,$F:$F,$F3823,$P:$P,"&gt;0"),"")</f>
        <v/>
      </c>
      <c r="AF3823" s="2" t="str">
        <f>IFERROR(AVERAGEIFS($P:$P,$B:$B,"BLOCK_TRUST_Q",$A:$A,$A3823,$C:$C,$C3823,$E:$E,$E3823,$F:$F,$F3823,$P:$P,"&gt;0"),"")</f>
        <v/>
      </c>
      <c r="AG3823" s="2">
        <f>5-AC3823</f>
        <v>5</v>
      </c>
      <c r="AH3823" s="2">
        <f>12-AD3823</f>
        <v>12</v>
      </c>
    </row>
    <row r="3824" spans="1:34" x14ac:dyDescent="0.25">
      <c r="A3824" s="2" t="s">
        <v>331</v>
      </c>
      <c r="B3824" s="2" t="s">
        <v>403</v>
      </c>
      <c r="C3824" s="2" t="s">
        <v>408</v>
      </c>
      <c r="D3824" s="2" t="s">
        <v>412</v>
      </c>
      <c r="Z3824" s="2" t="s">
        <v>496</v>
      </c>
    </row>
    <row r="3825" spans="1:25" x14ac:dyDescent="0.25">
      <c r="A3825" s="2" t="s">
        <v>331</v>
      </c>
      <c r="B3825" s="2" t="s">
        <v>402</v>
      </c>
      <c r="C3825" s="2" t="s">
        <v>409</v>
      </c>
      <c r="D3825" s="2" t="s">
        <v>410</v>
      </c>
      <c r="E3825" s="2" t="s">
        <v>413</v>
      </c>
      <c r="F3825" s="2" t="s">
        <v>39</v>
      </c>
      <c r="G3825" s="2" t="s">
        <v>415</v>
      </c>
      <c r="H3825" s="2" t="s">
        <v>373</v>
      </c>
      <c r="S3825" s="2" t="s">
        <v>60</v>
      </c>
      <c r="U3825" s="2" t="s">
        <v>60</v>
      </c>
      <c r="W3825" s="2" t="s">
        <v>60</v>
      </c>
    </row>
    <row r="3826" spans="1:25" x14ac:dyDescent="0.25">
      <c r="A3826" s="2" t="s">
        <v>331</v>
      </c>
      <c r="B3826" s="2" t="s">
        <v>402</v>
      </c>
      <c r="C3826" s="2" t="s">
        <v>409</v>
      </c>
      <c r="D3826" s="2" t="s">
        <v>410</v>
      </c>
      <c r="E3826" s="2" t="s">
        <v>413</v>
      </c>
      <c r="F3826" s="2" t="s">
        <v>39</v>
      </c>
      <c r="G3826" s="2" t="s">
        <v>416</v>
      </c>
      <c r="H3826" s="2" t="s">
        <v>528</v>
      </c>
      <c r="S3826" s="2" t="s">
        <v>60</v>
      </c>
      <c r="U3826" s="2" t="s">
        <v>59</v>
      </c>
      <c r="W3826" s="2" t="s">
        <v>59</v>
      </c>
    </row>
    <row r="3827" spans="1:25" x14ac:dyDescent="0.25">
      <c r="A3827" s="2" t="s">
        <v>331</v>
      </c>
      <c r="B3827" s="2" t="s">
        <v>402</v>
      </c>
      <c r="C3827" s="2" t="s">
        <v>409</v>
      </c>
      <c r="D3827" s="2" t="s">
        <v>410</v>
      </c>
      <c r="E3827" s="2" t="s">
        <v>413</v>
      </c>
      <c r="F3827" s="2" t="s">
        <v>39</v>
      </c>
      <c r="G3827" s="2" t="s">
        <v>417</v>
      </c>
      <c r="H3827" s="2" t="s">
        <v>529</v>
      </c>
      <c r="S3827" s="2" t="s">
        <v>57</v>
      </c>
      <c r="U3827" s="2" t="s">
        <v>59</v>
      </c>
      <c r="W3827" s="2" t="s">
        <v>60</v>
      </c>
    </row>
    <row r="3828" spans="1:25" x14ac:dyDescent="0.25">
      <c r="A3828" s="2" t="s">
        <v>331</v>
      </c>
      <c r="B3828" s="2" t="s">
        <v>402</v>
      </c>
      <c r="C3828" s="2" t="s">
        <v>409</v>
      </c>
      <c r="D3828" s="2" t="s">
        <v>410</v>
      </c>
      <c r="E3828" s="2" t="s">
        <v>413</v>
      </c>
      <c r="F3828" s="2" t="s">
        <v>39</v>
      </c>
      <c r="G3828" s="2" t="s">
        <v>418</v>
      </c>
      <c r="H3828" s="2" t="s">
        <v>347</v>
      </c>
      <c r="S3828" s="2" t="s">
        <v>60</v>
      </c>
      <c r="U3828" s="2" t="s">
        <v>57</v>
      </c>
      <c r="W3828" s="2" t="s">
        <v>59</v>
      </c>
    </row>
    <row r="3829" spans="1:25" x14ac:dyDescent="0.25">
      <c r="A3829" s="2" t="s">
        <v>331</v>
      </c>
      <c r="B3829" s="2" t="s">
        <v>402</v>
      </c>
      <c r="C3829" s="2" t="s">
        <v>409</v>
      </c>
      <c r="D3829" s="2" t="s">
        <v>410</v>
      </c>
      <c r="E3829" s="2" t="s">
        <v>413</v>
      </c>
      <c r="F3829" s="2" t="s">
        <v>39</v>
      </c>
      <c r="G3829" s="2" t="s">
        <v>419</v>
      </c>
      <c r="H3829" s="2" t="s">
        <v>530</v>
      </c>
      <c r="S3829" s="2" t="s">
        <v>57</v>
      </c>
      <c r="U3829" s="2" t="s">
        <v>60</v>
      </c>
      <c r="W3829" s="2" t="s">
        <v>58</v>
      </c>
    </row>
    <row r="3830" spans="1:25" x14ac:dyDescent="0.25">
      <c r="A3830" s="2" t="s">
        <v>331</v>
      </c>
      <c r="B3830" s="2" t="s">
        <v>531</v>
      </c>
      <c r="C3830" s="2" t="s">
        <v>409</v>
      </c>
      <c r="D3830" s="2" t="s">
        <v>410</v>
      </c>
      <c r="E3830" s="2" t="s">
        <v>413</v>
      </c>
      <c r="F3830" s="2" t="s">
        <v>39</v>
      </c>
      <c r="J3830" s="2" t="s">
        <v>532</v>
      </c>
      <c r="K3830" s="2" t="s">
        <v>533</v>
      </c>
      <c r="L3830" s="2">
        <v>1</v>
      </c>
      <c r="M3830" s="2" t="s">
        <v>534</v>
      </c>
      <c r="O3830" s="2" t="s">
        <v>524</v>
      </c>
      <c r="Y3830" s="2" t="s">
        <v>724</v>
      </c>
    </row>
    <row r="3831" spans="1:25" x14ac:dyDescent="0.25">
      <c r="A3831" s="2" t="s">
        <v>331</v>
      </c>
      <c r="B3831" s="2" t="s">
        <v>531</v>
      </c>
      <c r="C3831" s="2" t="s">
        <v>409</v>
      </c>
      <c r="D3831" s="2" t="s">
        <v>410</v>
      </c>
      <c r="E3831" s="2" t="s">
        <v>413</v>
      </c>
      <c r="F3831" s="2" t="s">
        <v>39</v>
      </c>
      <c r="J3831" s="2" t="s">
        <v>532</v>
      </c>
      <c r="K3831" s="2" t="s">
        <v>533</v>
      </c>
      <c r="L3831" s="2">
        <v>2</v>
      </c>
      <c r="M3831" s="2" t="s">
        <v>536</v>
      </c>
      <c r="O3831" s="2" t="s">
        <v>524</v>
      </c>
      <c r="Y3831" s="2" t="s">
        <v>724</v>
      </c>
    </row>
    <row r="3832" spans="1:25" x14ac:dyDescent="0.25">
      <c r="A3832" s="2" t="s">
        <v>331</v>
      </c>
      <c r="B3832" s="2" t="s">
        <v>531</v>
      </c>
      <c r="C3832" s="2" t="s">
        <v>409</v>
      </c>
      <c r="D3832" s="2" t="s">
        <v>410</v>
      </c>
      <c r="E3832" s="2" t="s">
        <v>413</v>
      </c>
      <c r="F3832" s="2" t="s">
        <v>39</v>
      </c>
      <c r="J3832" s="2" t="s">
        <v>532</v>
      </c>
      <c r="K3832" s="2" t="s">
        <v>533</v>
      </c>
      <c r="L3832" s="2">
        <v>3</v>
      </c>
      <c r="M3832" s="2" t="s">
        <v>537</v>
      </c>
      <c r="O3832" s="2" t="s">
        <v>524</v>
      </c>
      <c r="Y3832" s="2" t="s">
        <v>724</v>
      </c>
    </row>
    <row r="3833" spans="1:25" x14ac:dyDescent="0.25">
      <c r="A3833" s="2" t="s">
        <v>331</v>
      </c>
      <c r="B3833" s="2" t="s">
        <v>531</v>
      </c>
      <c r="C3833" s="2" t="s">
        <v>409</v>
      </c>
      <c r="D3833" s="2" t="s">
        <v>410</v>
      </c>
      <c r="E3833" s="2" t="s">
        <v>413</v>
      </c>
      <c r="F3833" s="2" t="s">
        <v>39</v>
      </c>
      <c r="J3833" s="2" t="s">
        <v>532</v>
      </c>
      <c r="K3833" s="2" t="s">
        <v>533</v>
      </c>
      <c r="L3833" s="2">
        <v>4</v>
      </c>
      <c r="M3833" s="2" t="s">
        <v>538</v>
      </c>
      <c r="O3833" s="2" t="s">
        <v>524</v>
      </c>
      <c r="Y3833" s="2" t="s">
        <v>724</v>
      </c>
    </row>
    <row r="3834" spans="1:25" x14ac:dyDescent="0.25">
      <c r="A3834" s="2" t="s">
        <v>331</v>
      </c>
      <c r="B3834" s="2" t="s">
        <v>531</v>
      </c>
      <c r="C3834" s="2" t="s">
        <v>409</v>
      </c>
      <c r="D3834" s="2" t="s">
        <v>410</v>
      </c>
      <c r="E3834" s="2" t="s">
        <v>413</v>
      </c>
      <c r="F3834" s="2" t="s">
        <v>39</v>
      </c>
      <c r="J3834" s="2" t="s">
        <v>532</v>
      </c>
      <c r="K3834" s="2" t="s">
        <v>533</v>
      </c>
      <c r="L3834" s="2">
        <v>5</v>
      </c>
      <c r="M3834" s="2" t="s">
        <v>539</v>
      </c>
      <c r="O3834" s="2" t="s">
        <v>524</v>
      </c>
      <c r="Y3834" s="2" t="s">
        <v>724</v>
      </c>
    </row>
    <row r="3835" spans="1:25" x14ac:dyDescent="0.25">
      <c r="A3835" s="2" t="s">
        <v>331</v>
      </c>
      <c r="B3835" s="2" t="s">
        <v>540</v>
      </c>
      <c r="C3835" s="2" t="s">
        <v>409</v>
      </c>
      <c r="D3835" s="2" t="s">
        <v>410</v>
      </c>
      <c r="E3835" s="2" t="s">
        <v>413</v>
      </c>
      <c r="F3835" s="2" t="s">
        <v>39</v>
      </c>
      <c r="J3835" s="2" t="s">
        <v>541</v>
      </c>
      <c r="K3835" s="2" t="s">
        <v>542</v>
      </c>
      <c r="L3835" s="2">
        <v>1</v>
      </c>
      <c r="M3835" s="2" t="s">
        <v>543</v>
      </c>
      <c r="O3835" s="2" t="s">
        <v>524</v>
      </c>
      <c r="Y3835" s="2" t="s">
        <v>724</v>
      </c>
    </row>
    <row r="3836" spans="1:25" x14ac:dyDescent="0.25">
      <c r="A3836" s="2" t="s">
        <v>331</v>
      </c>
      <c r="B3836" s="2" t="s">
        <v>540</v>
      </c>
      <c r="C3836" s="2" t="s">
        <v>409</v>
      </c>
      <c r="D3836" s="2" t="s">
        <v>410</v>
      </c>
      <c r="E3836" s="2" t="s">
        <v>413</v>
      </c>
      <c r="F3836" s="2" t="s">
        <v>39</v>
      </c>
      <c r="J3836" s="2" t="s">
        <v>541</v>
      </c>
      <c r="K3836" s="2" t="s">
        <v>542</v>
      </c>
      <c r="L3836" s="2">
        <v>2</v>
      </c>
      <c r="M3836" s="2" t="s">
        <v>544</v>
      </c>
      <c r="O3836" s="2" t="s">
        <v>524</v>
      </c>
      <c r="Y3836" s="2" t="s">
        <v>724</v>
      </c>
    </row>
    <row r="3837" spans="1:25" x14ac:dyDescent="0.25">
      <c r="A3837" s="2" t="s">
        <v>331</v>
      </c>
      <c r="B3837" s="2" t="s">
        <v>540</v>
      </c>
      <c r="C3837" s="2" t="s">
        <v>409</v>
      </c>
      <c r="D3837" s="2" t="s">
        <v>410</v>
      </c>
      <c r="E3837" s="2" t="s">
        <v>413</v>
      </c>
      <c r="F3837" s="2" t="s">
        <v>39</v>
      </c>
      <c r="J3837" s="2" t="s">
        <v>541</v>
      </c>
      <c r="K3837" s="2" t="s">
        <v>542</v>
      </c>
      <c r="L3837" s="2">
        <v>3</v>
      </c>
      <c r="M3837" s="2" t="s">
        <v>545</v>
      </c>
      <c r="O3837" s="2" t="s">
        <v>524</v>
      </c>
      <c r="Y3837" s="2" t="s">
        <v>724</v>
      </c>
    </row>
    <row r="3838" spans="1:25" x14ac:dyDescent="0.25">
      <c r="A3838" s="2" t="s">
        <v>331</v>
      </c>
      <c r="B3838" s="2" t="s">
        <v>540</v>
      </c>
      <c r="C3838" s="2" t="s">
        <v>409</v>
      </c>
      <c r="D3838" s="2" t="s">
        <v>410</v>
      </c>
      <c r="E3838" s="2" t="s">
        <v>413</v>
      </c>
      <c r="F3838" s="2" t="s">
        <v>39</v>
      </c>
      <c r="J3838" s="2" t="s">
        <v>541</v>
      </c>
      <c r="K3838" s="2" t="s">
        <v>542</v>
      </c>
      <c r="L3838" s="2">
        <v>4</v>
      </c>
      <c r="M3838" s="2" t="s">
        <v>546</v>
      </c>
      <c r="O3838" s="2" t="s">
        <v>524</v>
      </c>
      <c r="Y3838" s="2" t="s">
        <v>724</v>
      </c>
    </row>
    <row r="3839" spans="1:25" x14ac:dyDescent="0.25">
      <c r="A3839" s="2" t="s">
        <v>331</v>
      </c>
      <c r="B3839" s="2" t="s">
        <v>540</v>
      </c>
      <c r="C3839" s="2" t="s">
        <v>409</v>
      </c>
      <c r="D3839" s="2" t="s">
        <v>410</v>
      </c>
      <c r="E3839" s="2" t="s">
        <v>413</v>
      </c>
      <c r="F3839" s="2" t="s">
        <v>39</v>
      </c>
      <c r="J3839" s="2" t="s">
        <v>541</v>
      </c>
      <c r="K3839" s="2" t="s">
        <v>542</v>
      </c>
      <c r="L3839" s="2">
        <v>5</v>
      </c>
      <c r="M3839" s="2" t="s">
        <v>547</v>
      </c>
      <c r="O3839" s="2" t="s">
        <v>524</v>
      </c>
      <c r="Y3839" s="2" t="s">
        <v>724</v>
      </c>
    </row>
    <row r="3840" spans="1:25" x14ac:dyDescent="0.25">
      <c r="A3840" s="2" t="s">
        <v>331</v>
      </c>
      <c r="B3840" s="2" t="s">
        <v>540</v>
      </c>
      <c r="C3840" s="2" t="s">
        <v>409</v>
      </c>
      <c r="D3840" s="2" t="s">
        <v>410</v>
      </c>
      <c r="E3840" s="2" t="s">
        <v>413</v>
      </c>
      <c r="F3840" s="2" t="s">
        <v>39</v>
      </c>
      <c r="J3840" s="2" t="s">
        <v>541</v>
      </c>
      <c r="K3840" s="2" t="s">
        <v>542</v>
      </c>
      <c r="L3840" s="2">
        <v>6</v>
      </c>
      <c r="M3840" s="2" t="s">
        <v>548</v>
      </c>
      <c r="O3840" s="2" t="s">
        <v>524</v>
      </c>
      <c r="Y3840" s="2" t="s">
        <v>724</v>
      </c>
    </row>
    <row r="3841" spans="1:34" x14ac:dyDescent="0.25">
      <c r="A3841" s="2" t="s">
        <v>331</v>
      </c>
      <c r="B3841" s="2" t="s">
        <v>540</v>
      </c>
      <c r="C3841" s="2" t="s">
        <v>409</v>
      </c>
      <c r="D3841" s="2" t="s">
        <v>410</v>
      </c>
      <c r="E3841" s="2" t="s">
        <v>413</v>
      </c>
      <c r="F3841" s="2" t="s">
        <v>39</v>
      </c>
      <c r="J3841" s="2" t="s">
        <v>541</v>
      </c>
      <c r="K3841" s="2" t="s">
        <v>542</v>
      </c>
      <c r="L3841" s="2">
        <v>7</v>
      </c>
      <c r="M3841" s="2" t="s">
        <v>549</v>
      </c>
      <c r="O3841" s="2" t="s">
        <v>524</v>
      </c>
      <c r="Y3841" s="2" t="s">
        <v>724</v>
      </c>
    </row>
    <row r="3842" spans="1:34" x14ac:dyDescent="0.25">
      <c r="A3842" s="2" t="s">
        <v>331</v>
      </c>
      <c r="B3842" s="2" t="s">
        <v>540</v>
      </c>
      <c r="C3842" s="2" t="s">
        <v>409</v>
      </c>
      <c r="D3842" s="2" t="s">
        <v>410</v>
      </c>
      <c r="E3842" s="2" t="s">
        <v>413</v>
      </c>
      <c r="F3842" s="2" t="s">
        <v>39</v>
      </c>
      <c r="J3842" s="2" t="s">
        <v>541</v>
      </c>
      <c r="K3842" s="2" t="s">
        <v>542</v>
      </c>
      <c r="L3842" s="2">
        <v>8</v>
      </c>
      <c r="M3842" s="2" t="s">
        <v>550</v>
      </c>
      <c r="O3842" s="2" t="s">
        <v>524</v>
      </c>
      <c r="Y3842" s="2" t="s">
        <v>724</v>
      </c>
    </row>
    <row r="3843" spans="1:34" x14ac:dyDescent="0.25">
      <c r="A3843" s="2" t="s">
        <v>331</v>
      </c>
      <c r="B3843" s="2" t="s">
        <v>540</v>
      </c>
      <c r="C3843" s="2" t="s">
        <v>409</v>
      </c>
      <c r="D3843" s="2" t="s">
        <v>410</v>
      </c>
      <c r="E3843" s="2" t="s">
        <v>413</v>
      </c>
      <c r="F3843" s="2" t="s">
        <v>39</v>
      </c>
      <c r="J3843" s="2" t="s">
        <v>541</v>
      </c>
      <c r="K3843" s="2" t="s">
        <v>542</v>
      </c>
      <c r="L3843" s="2">
        <v>9</v>
      </c>
      <c r="M3843" s="2" t="s">
        <v>551</v>
      </c>
      <c r="O3843" s="2" t="s">
        <v>524</v>
      </c>
      <c r="Y3843" s="2" t="s">
        <v>724</v>
      </c>
    </row>
    <row r="3844" spans="1:34" x14ac:dyDescent="0.25">
      <c r="A3844" s="2" t="s">
        <v>331</v>
      </c>
      <c r="B3844" s="2" t="s">
        <v>540</v>
      </c>
      <c r="C3844" s="2" t="s">
        <v>409</v>
      </c>
      <c r="D3844" s="2" t="s">
        <v>410</v>
      </c>
      <c r="E3844" s="2" t="s">
        <v>413</v>
      </c>
      <c r="F3844" s="2" t="s">
        <v>39</v>
      </c>
      <c r="J3844" s="2" t="s">
        <v>541</v>
      </c>
      <c r="K3844" s="2" t="s">
        <v>542</v>
      </c>
      <c r="L3844" s="2">
        <v>10</v>
      </c>
      <c r="M3844" s="2" t="s">
        <v>552</v>
      </c>
      <c r="O3844" s="2" t="s">
        <v>524</v>
      </c>
      <c r="Y3844" s="2" t="s">
        <v>724</v>
      </c>
    </row>
    <row r="3845" spans="1:34" x14ac:dyDescent="0.25">
      <c r="A3845" s="2" t="s">
        <v>331</v>
      </c>
      <c r="B3845" s="2" t="s">
        <v>540</v>
      </c>
      <c r="C3845" s="2" t="s">
        <v>409</v>
      </c>
      <c r="D3845" s="2" t="s">
        <v>410</v>
      </c>
      <c r="E3845" s="2" t="s">
        <v>413</v>
      </c>
      <c r="F3845" s="2" t="s">
        <v>39</v>
      </c>
      <c r="J3845" s="2" t="s">
        <v>541</v>
      </c>
      <c r="K3845" s="2" t="s">
        <v>542</v>
      </c>
      <c r="L3845" s="2">
        <v>11</v>
      </c>
      <c r="M3845" s="2" t="s">
        <v>553</v>
      </c>
      <c r="O3845" s="2" t="s">
        <v>524</v>
      </c>
      <c r="Y3845" s="2" t="s">
        <v>724</v>
      </c>
    </row>
    <row r="3846" spans="1:34" x14ac:dyDescent="0.25">
      <c r="A3846" s="2" t="s">
        <v>331</v>
      </c>
      <c r="B3846" s="2" t="s">
        <v>540</v>
      </c>
      <c r="C3846" s="2" t="s">
        <v>409</v>
      </c>
      <c r="D3846" s="2" t="s">
        <v>410</v>
      </c>
      <c r="E3846" s="2" t="s">
        <v>413</v>
      </c>
      <c r="F3846" s="2" t="s">
        <v>39</v>
      </c>
      <c r="J3846" s="2" t="s">
        <v>541</v>
      </c>
      <c r="K3846" s="2" t="s">
        <v>542</v>
      </c>
      <c r="L3846" s="2">
        <v>12</v>
      </c>
      <c r="M3846" s="2" t="s">
        <v>554</v>
      </c>
      <c r="O3846" s="2" t="s">
        <v>524</v>
      </c>
      <c r="Y3846" s="2" t="s">
        <v>724</v>
      </c>
    </row>
    <row r="3847" spans="1:34" x14ac:dyDescent="0.25">
      <c r="A3847" s="2" t="s">
        <v>331</v>
      </c>
      <c r="B3847" s="2" t="s">
        <v>555</v>
      </c>
      <c r="C3847" s="2" t="s">
        <v>409</v>
      </c>
      <c r="D3847" s="2" t="s">
        <v>410</v>
      </c>
      <c r="E3847" s="2" t="s">
        <v>413</v>
      </c>
      <c r="F3847" s="2" t="s">
        <v>39</v>
      </c>
      <c r="J3847" s="2" t="s">
        <v>556</v>
      </c>
      <c r="O3847" s="2" t="s">
        <v>524</v>
      </c>
      <c r="Y3847" s="2" t="s">
        <v>724</v>
      </c>
      <c r="AB3847" s="2">
        <v>1</v>
      </c>
    </row>
    <row r="3848" spans="1:34" x14ac:dyDescent="0.25">
      <c r="A3848" s="2" t="s">
        <v>331</v>
      </c>
      <c r="B3848" s="2" t="s">
        <v>557</v>
      </c>
      <c r="C3848" s="2" t="s">
        <v>409</v>
      </c>
      <c r="D3848" s="2" t="s">
        <v>410</v>
      </c>
      <c r="E3848" s="2" t="s">
        <v>413</v>
      </c>
      <c r="F3848" s="2" t="s">
        <v>39</v>
      </c>
      <c r="J3848" s="2" t="s">
        <v>558</v>
      </c>
      <c r="O3848" s="2" t="s">
        <v>524</v>
      </c>
      <c r="Y3848" s="2" t="s">
        <v>724</v>
      </c>
      <c r="AC3848" s="2">
        <f>COUNTIFS($B:$B,"BLOCK_LOAD_Q",$A:$A,$A3848,$C:$C,$C3848,$E:$E,$E3848,$F:$F,$F3848,$N:$N, "&lt;&gt;")</f>
        <v>0</v>
      </c>
      <c r="AD3848" s="2">
        <f>COUNTIFS($B:$B,"BLOCK_TRUST_Q",$A:$A,$A3848,$C:$C,$C3848,$E:$E,$E3848,$F:$F,$F3848,$N:$N, "&lt;&gt;")</f>
        <v>0</v>
      </c>
      <c r="AE3848" s="2" t="str">
        <f>IFERROR(AVERAGEIFS($P:$P,$B:$B,"BLOCK_LOAD_Q",$A:$A,$A3848,$C:$C,$C3848,$E:$E,$E3848,$F:$F,$F3848,$P:$P,"&gt;0"),"")</f>
        <v/>
      </c>
      <c r="AF3848" s="2" t="str">
        <f>IFERROR(AVERAGEIFS($P:$P,$B:$B,"BLOCK_TRUST_Q",$A:$A,$A3848,$C:$C,$C3848,$E:$E,$E3848,$F:$F,$F3848,$P:$P,"&gt;0"),"")</f>
        <v/>
      </c>
      <c r="AG3848" s="2">
        <f>5-AC3848</f>
        <v>5</v>
      </c>
      <c r="AH3848" s="2">
        <f>12-AD3848</f>
        <v>12</v>
      </c>
    </row>
    <row r="3849" spans="1:34" x14ac:dyDescent="0.25">
      <c r="A3849" s="2" t="s">
        <v>331</v>
      </c>
      <c r="B3849" s="2" t="s">
        <v>402</v>
      </c>
      <c r="C3849" s="2" t="s">
        <v>409</v>
      </c>
      <c r="D3849" s="2" t="s">
        <v>410</v>
      </c>
      <c r="E3849" s="2" t="s">
        <v>414</v>
      </c>
      <c r="F3849" s="2" t="s">
        <v>40</v>
      </c>
      <c r="G3849" s="2" t="s">
        <v>415</v>
      </c>
      <c r="H3849" s="2" t="s">
        <v>354</v>
      </c>
      <c r="S3849" s="2" t="s">
        <v>59</v>
      </c>
      <c r="U3849" s="2" t="s">
        <v>59</v>
      </c>
      <c r="W3849" s="2" t="s">
        <v>58</v>
      </c>
    </row>
    <row r="3850" spans="1:34" x14ac:dyDescent="0.25">
      <c r="A3850" s="2" t="s">
        <v>331</v>
      </c>
      <c r="B3850" s="2" t="s">
        <v>402</v>
      </c>
      <c r="C3850" s="2" t="s">
        <v>409</v>
      </c>
      <c r="D3850" s="2" t="s">
        <v>410</v>
      </c>
      <c r="E3850" s="2" t="s">
        <v>414</v>
      </c>
      <c r="F3850" s="2" t="s">
        <v>40</v>
      </c>
      <c r="G3850" s="2" t="s">
        <v>416</v>
      </c>
      <c r="H3850" s="2" t="s">
        <v>559</v>
      </c>
      <c r="S3850" s="2" t="s">
        <v>57</v>
      </c>
      <c r="U3850" s="2" t="s">
        <v>57</v>
      </c>
      <c r="W3850" s="2" t="s">
        <v>58</v>
      </c>
    </row>
    <row r="3851" spans="1:34" x14ac:dyDescent="0.25">
      <c r="A3851" s="2" t="s">
        <v>331</v>
      </c>
      <c r="B3851" s="2" t="s">
        <v>402</v>
      </c>
      <c r="C3851" s="2" t="s">
        <v>409</v>
      </c>
      <c r="D3851" s="2" t="s">
        <v>410</v>
      </c>
      <c r="E3851" s="2" t="s">
        <v>414</v>
      </c>
      <c r="F3851" s="2" t="s">
        <v>40</v>
      </c>
      <c r="G3851" s="2" t="s">
        <v>417</v>
      </c>
      <c r="H3851" s="2" t="s">
        <v>370</v>
      </c>
      <c r="S3851" s="2" t="s">
        <v>60</v>
      </c>
      <c r="U3851" s="2" t="s">
        <v>58</v>
      </c>
      <c r="W3851" s="2" t="s">
        <v>59</v>
      </c>
    </row>
    <row r="3852" spans="1:34" x14ac:dyDescent="0.25">
      <c r="A3852" s="2" t="s">
        <v>331</v>
      </c>
      <c r="B3852" s="2" t="s">
        <v>402</v>
      </c>
      <c r="C3852" s="2" t="s">
        <v>409</v>
      </c>
      <c r="D3852" s="2" t="s">
        <v>410</v>
      </c>
      <c r="E3852" s="2" t="s">
        <v>414</v>
      </c>
      <c r="F3852" s="2" t="s">
        <v>40</v>
      </c>
      <c r="G3852" s="2" t="s">
        <v>418</v>
      </c>
      <c r="H3852" s="2" t="s">
        <v>560</v>
      </c>
      <c r="S3852" s="2" t="s">
        <v>57</v>
      </c>
      <c r="U3852" s="2" t="s">
        <v>58</v>
      </c>
      <c r="W3852" s="2" t="s">
        <v>60</v>
      </c>
    </row>
    <row r="3853" spans="1:34" x14ac:dyDescent="0.25">
      <c r="A3853" s="2" t="s">
        <v>331</v>
      </c>
      <c r="B3853" s="2" t="s">
        <v>531</v>
      </c>
      <c r="C3853" s="2" t="s">
        <v>409</v>
      </c>
      <c r="D3853" s="2" t="s">
        <v>410</v>
      </c>
      <c r="E3853" s="2" t="s">
        <v>414</v>
      </c>
      <c r="F3853" s="2" t="s">
        <v>40</v>
      </c>
      <c r="J3853" s="2" t="s">
        <v>532</v>
      </c>
      <c r="K3853" s="2" t="s">
        <v>533</v>
      </c>
      <c r="L3853" s="2">
        <v>1</v>
      </c>
      <c r="M3853" s="2" t="s">
        <v>534</v>
      </c>
      <c r="O3853" s="2" t="s">
        <v>524</v>
      </c>
      <c r="Y3853" s="2" t="s">
        <v>725</v>
      </c>
    </row>
    <row r="3854" spans="1:34" x14ac:dyDescent="0.25">
      <c r="A3854" s="2" t="s">
        <v>331</v>
      </c>
      <c r="B3854" s="2" t="s">
        <v>531</v>
      </c>
      <c r="C3854" s="2" t="s">
        <v>409</v>
      </c>
      <c r="D3854" s="2" t="s">
        <v>410</v>
      </c>
      <c r="E3854" s="2" t="s">
        <v>414</v>
      </c>
      <c r="F3854" s="2" t="s">
        <v>40</v>
      </c>
      <c r="J3854" s="2" t="s">
        <v>532</v>
      </c>
      <c r="K3854" s="2" t="s">
        <v>533</v>
      </c>
      <c r="L3854" s="2">
        <v>2</v>
      </c>
      <c r="M3854" s="2" t="s">
        <v>536</v>
      </c>
      <c r="O3854" s="2" t="s">
        <v>524</v>
      </c>
      <c r="Y3854" s="2" t="s">
        <v>725</v>
      </c>
    </row>
    <row r="3855" spans="1:34" x14ac:dyDescent="0.25">
      <c r="A3855" s="2" t="s">
        <v>331</v>
      </c>
      <c r="B3855" s="2" t="s">
        <v>531</v>
      </c>
      <c r="C3855" s="2" t="s">
        <v>409</v>
      </c>
      <c r="D3855" s="2" t="s">
        <v>410</v>
      </c>
      <c r="E3855" s="2" t="s">
        <v>414</v>
      </c>
      <c r="F3855" s="2" t="s">
        <v>40</v>
      </c>
      <c r="J3855" s="2" t="s">
        <v>532</v>
      </c>
      <c r="K3855" s="2" t="s">
        <v>533</v>
      </c>
      <c r="L3855" s="2">
        <v>3</v>
      </c>
      <c r="M3855" s="2" t="s">
        <v>537</v>
      </c>
      <c r="O3855" s="2" t="s">
        <v>524</v>
      </c>
      <c r="Y3855" s="2" t="s">
        <v>725</v>
      </c>
    </row>
    <row r="3856" spans="1:34" x14ac:dyDescent="0.25">
      <c r="A3856" s="2" t="s">
        <v>331</v>
      </c>
      <c r="B3856" s="2" t="s">
        <v>531</v>
      </c>
      <c r="C3856" s="2" t="s">
        <v>409</v>
      </c>
      <c r="D3856" s="2" t="s">
        <v>410</v>
      </c>
      <c r="E3856" s="2" t="s">
        <v>414</v>
      </c>
      <c r="F3856" s="2" t="s">
        <v>40</v>
      </c>
      <c r="J3856" s="2" t="s">
        <v>532</v>
      </c>
      <c r="K3856" s="2" t="s">
        <v>533</v>
      </c>
      <c r="L3856" s="2">
        <v>4</v>
      </c>
      <c r="M3856" s="2" t="s">
        <v>538</v>
      </c>
      <c r="O3856" s="2" t="s">
        <v>524</v>
      </c>
      <c r="Y3856" s="2" t="s">
        <v>725</v>
      </c>
    </row>
    <row r="3857" spans="1:34" x14ac:dyDescent="0.25">
      <c r="A3857" s="2" t="s">
        <v>331</v>
      </c>
      <c r="B3857" s="2" t="s">
        <v>531</v>
      </c>
      <c r="C3857" s="2" t="s">
        <v>409</v>
      </c>
      <c r="D3857" s="2" t="s">
        <v>410</v>
      </c>
      <c r="E3857" s="2" t="s">
        <v>414</v>
      </c>
      <c r="F3857" s="2" t="s">
        <v>40</v>
      </c>
      <c r="J3857" s="2" t="s">
        <v>532</v>
      </c>
      <c r="K3857" s="2" t="s">
        <v>533</v>
      </c>
      <c r="L3857" s="2">
        <v>5</v>
      </c>
      <c r="M3857" s="2" t="s">
        <v>539</v>
      </c>
      <c r="O3857" s="2" t="s">
        <v>524</v>
      </c>
      <c r="Y3857" s="2" t="s">
        <v>725</v>
      </c>
    </row>
    <row r="3858" spans="1:34" x14ac:dyDescent="0.25">
      <c r="A3858" s="2" t="s">
        <v>331</v>
      </c>
      <c r="B3858" s="2" t="s">
        <v>540</v>
      </c>
      <c r="C3858" s="2" t="s">
        <v>409</v>
      </c>
      <c r="D3858" s="2" t="s">
        <v>410</v>
      </c>
      <c r="E3858" s="2" t="s">
        <v>414</v>
      </c>
      <c r="F3858" s="2" t="s">
        <v>40</v>
      </c>
      <c r="J3858" s="2" t="s">
        <v>541</v>
      </c>
      <c r="K3858" s="2" t="s">
        <v>542</v>
      </c>
      <c r="L3858" s="2">
        <v>1</v>
      </c>
      <c r="M3858" s="2" t="s">
        <v>543</v>
      </c>
      <c r="O3858" s="2" t="s">
        <v>524</v>
      </c>
      <c r="Y3858" s="2" t="s">
        <v>725</v>
      </c>
    </row>
    <row r="3859" spans="1:34" x14ac:dyDescent="0.25">
      <c r="A3859" s="2" t="s">
        <v>331</v>
      </c>
      <c r="B3859" s="2" t="s">
        <v>540</v>
      </c>
      <c r="C3859" s="2" t="s">
        <v>409</v>
      </c>
      <c r="D3859" s="2" t="s">
        <v>410</v>
      </c>
      <c r="E3859" s="2" t="s">
        <v>414</v>
      </c>
      <c r="F3859" s="2" t="s">
        <v>40</v>
      </c>
      <c r="J3859" s="2" t="s">
        <v>541</v>
      </c>
      <c r="K3859" s="2" t="s">
        <v>542</v>
      </c>
      <c r="L3859" s="2">
        <v>2</v>
      </c>
      <c r="M3859" s="2" t="s">
        <v>544</v>
      </c>
      <c r="O3859" s="2" t="s">
        <v>524</v>
      </c>
      <c r="Y3859" s="2" t="s">
        <v>725</v>
      </c>
    </row>
    <row r="3860" spans="1:34" x14ac:dyDescent="0.25">
      <c r="A3860" s="2" t="s">
        <v>331</v>
      </c>
      <c r="B3860" s="2" t="s">
        <v>540</v>
      </c>
      <c r="C3860" s="2" t="s">
        <v>409</v>
      </c>
      <c r="D3860" s="2" t="s">
        <v>410</v>
      </c>
      <c r="E3860" s="2" t="s">
        <v>414</v>
      </c>
      <c r="F3860" s="2" t="s">
        <v>40</v>
      </c>
      <c r="J3860" s="2" t="s">
        <v>541</v>
      </c>
      <c r="K3860" s="2" t="s">
        <v>542</v>
      </c>
      <c r="L3860" s="2">
        <v>3</v>
      </c>
      <c r="M3860" s="2" t="s">
        <v>545</v>
      </c>
      <c r="O3860" s="2" t="s">
        <v>524</v>
      </c>
      <c r="Y3860" s="2" t="s">
        <v>725</v>
      </c>
    </row>
    <row r="3861" spans="1:34" x14ac:dyDescent="0.25">
      <c r="A3861" s="2" t="s">
        <v>331</v>
      </c>
      <c r="B3861" s="2" t="s">
        <v>540</v>
      </c>
      <c r="C3861" s="2" t="s">
        <v>409</v>
      </c>
      <c r="D3861" s="2" t="s">
        <v>410</v>
      </c>
      <c r="E3861" s="2" t="s">
        <v>414</v>
      </c>
      <c r="F3861" s="2" t="s">
        <v>40</v>
      </c>
      <c r="J3861" s="2" t="s">
        <v>541</v>
      </c>
      <c r="K3861" s="2" t="s">
        <v>542</v>
      </c>
      <c r="L3861" s="2">
        <v>4</v>
      </c>
      <c r="M3861" s="2" t="s">
        <v>546</v>
      </c>
      <c r="O3861" s="2" t="s">
        <v>524</v>
      </c>
      <c r="Y3861" s="2" t="s">
        <v>725</v>
      </c>
    </row>
    <row r="3862" spans="1:34" x14ac:dyDescent="0.25">
      <c r="A3862" s="2" t="s">
        <v>331</v>
      </c>
      <c r="B3862" s="2" t="s">
        <v>540</v>
      </c>
      <c r="C3862" s="2" t="s">
        <v>409</v>
      </c>
      <c r="D3862" s="2" t="s">
        <v>410</v>
      </c>
      <c r="E3862" s="2" t="s">
        <v>414</v>
      </c>
      <c r="F3862" s="2" t="s">
        <v>40</v>
      </c>
      <c r="J3862" s="2" t="s">
        <v>541</v>
      </c>
      <c r="K3862" s="2" t="s">
        <v>542</v>
      </c>
      <c r="L3862" s="2">
        <v>5</v>
      </c>
      <c r="M3862" s="2" t="s">
        <v>547</v>
      </c>
      <c r="O3862" s="2" t="s">
        <v>524</v>
      </c>
      <c r="Y3862" s="2" t="s">
        <v>725</v>
      </c>
    </row>
    <row r="3863" spans="1:34" x14ac:dyDescent="0.25">
      <c r="A3863" s="2" t="s">
        <v>331</v>
      </c>
      <c r="B3863" s="2" t="s">
        <v>540</v>
      </c>
      <c r="C3863" s="2" t="s">
        <v>409</v>
      </c>
      <c r="D3863" s="2" t="s">
        <v>410</v>
      </c>
      <c r="E3863" s="2" t="s">
        <v>414</v>
      </c>
      <c r="F3863" s="2" t="s">
        <v>40</v>
      </c>
      <c r="J3863" s="2" t="s">
        <v>541</v>
      </c>
      <c r="K3863" s="2" t="s">
        <v>542</v>
      </c>
      <c r="L3863" s="2">
        <v>6</v>
      </c>
      <c r="M3863" s="2" t="s">
        <v>548</v>
      </c>
      <c r="O3863" s="2" t="s">
        <v>524</v>
      </c>
      <c r="Y3863" s="2" t="s">
        <v>725</v>
      </c>
    </row>
    <row r="3864" spans="1:34" x14ac:dyDescent="0.25">
      <c r="A3864" s="2" t="s">
        <v>331</v>
      </c>
      <c r="B3864" s="2" t="s">
        <v>540</v>
      </c>
      <c r="C3864" s="2" t="s">
        <v>409</v>
      </c>
      <c r="D3864" s="2" t="s">
        <v>410</v>
      </c>
      <c r="E3864" s="2" t="s">
        <v>414</v>
      </c>
      <c r="F3864" s="2" t="s">
        <v>40</v>
      </c>
      <c r="J3864" s="2" t="s">
        <v>541</v>
      </c>
      <c r="K3864" s="2" t="s">
        <v>542</v>
      </c>
      <c r="L3864" s="2">
        <v>7</v>
      </c>
      <c r="M3864" s="2" t="s">
        <v>549</v>
      </c>
      <c r="O3864" s="2" t="s">
        <v>524</v>
      </c>
      <c r="Y3864" s="2" t="s">
        <v>725</v>
      </c>
    </row>
    <row r="3865" spans="1:34" x14ac:dyDescent="0.25">
      <c r="A3865" s="2" t="s">
        <v>331</v>
      </c>
      <c r="B3865" s="2" t="s">
        <v>540</v>
      </c>
      <c r="C3865" s="2" t="s">
        <v>409</v>
      </c>
      <c r="D3865" s="2" t="s">
        <v>410</v>
      </c>
      <c r="E3865" s="2" t="s">
        <v>414</v>
      </c>
      <c r="F3865" s="2" t="s">
        <v>40</v>
      </c>
      <c r="J3865" s="2" t="s">
        <v>541</v>
      </c>
      <c r="K3865" s="2" t="s">
        <v>542</v>
      </c>
      <c r="L3865" s="2">
        <v>8</v>
      </c>
      <c r="M3865" s="2" t="s">
        <v>550</v>
      </c>
      <c r="O3865" s="2" t="s">
        <v>524</v>
      </c>
      <c r="Y3865" s="2" t="s">
        <v>725</v>
      </c>
    </row>
    <row r="3866" spans="1:34" x14ac:dyDescent="0.25">
      <c r="A3866" s="2" t="s">
        <v>331</v>
      </c>
      <c r="B3866" s="2" t="s">
        <v>540</v>
      </c>
      <c r="C3866" s="2" t="s">
        <v>409</v>
      </c>
      <c r="D3866" s="2" t="s">
        <v>410</v>
      </c>
      <c r="E3866" s="2" t="s">
        <v>414</v>
      </c>
      <c r="F3866" s="2" t="s">
        <v>40</v>
      </c>
      <c r="J3866" s="2" t="s">
        <v>541</v>
      </c>
      <c r="K3866" s="2" t="s">
        <v>542</v>
      </c>
      <c r="L3866" s="2">
        <v>9</v>
      </c>
      <c r="M3866" s="2" t="s">
        <v>551</v>
      </c>
      <c r="O3866" s="2" t="s">
        <v>524</v>
      </c>
      <c r="Y3866" s="2" t="s">
        <v>725</v>
      </c>
    </row>
    <row r="3867" spans="1:34" x14ac:dyDescent="0.25">
      <c r="A3867" s="2" t="s">
        <v>331</v>
      </c>
      <c r="B3867" s="2" t="s">
        <v>540</v>
      </c>
      <c r="C3867" s="2" t="s">
        <v>409</v>
      </c>
      <c r="D3867" s="2" t="s">
        <v>410</v>
      </c>
      <c r="E3867" s="2" t="s">
        <v>414</v>
      </c>
      <c r="F3867" s="2" t="s">
        <v>40</v>
      </c>
      <c r="J3867" s="2" t="s">
        <v>541</v>
      </c>
      <c r="K3867" s="2" t="s">
        <v>542</v>
      </c>
      <c r="L3867" s="2">
        <v>10</v>
      </c>
      <c r="M3867" s="2" t="s">
        <v>552</v>
      </c>
      <c r="O3867" s="2" t="s">
        <v>524</v>
      </c>
      <c r="Y3867" s="2" t="s">
        <v>725</v>
      </c>
    </row>
    <row r="3868" spans="1:34" x14ac:dyDescent="0.25">
      <c r="A3868" s="2" t="s">
        <v>331</v>
      </c>
      <c r="B3868" s="2" t="s">
        <v>540</v>
      </c>
      <c r="C3868" s="2" t="s">
        <v>409</v>
      </c>
      <c r="D3868" s="2" t="s">
        <v>410</v>
      </c>
      <c r="E3868" s="2" t="s">
        <v>414</v>
      </c>
      <c r="F3868" s="2" t="s">
        <v>40</v>
      </c>
      <c r="J3868" s="2" t="s">
        <v>541</v>
      </c>
      <c r="K3868" s="2" t="s">
        <v>542</v>
      </c>
      <c r="L3868" s="2">
        <v>11</v>
      </c>
      <c r="M3868" s="2" t="s">
        <v>553</v>
      </c>
      <c r="O3868" s="2" t="s">
        <v>524</v>
      </c>
      <c r="Y3868" s="2" t="s">
        <v>725</v>
      </c>
    </row>
    <row r="3869" spans="1:34" x14ac:dyDescent="0.25">
      <c r="A3869" s="2" t="s">
        <v>331</v>
      </c>
      <c r="B3869" s="2" t="s">
        <v>540</v>
      </c>
      <c r="C3869" s="2" t="s">
        <v>409</v>
      </c>
      <c r="D3869" s="2" t="s">
        <v>410</v>
      </c>
      <c r="E3869" s="2" t="s">
        <v>414</v>
      </c>
      <c r="F3869" s="2" t="s">
        <v>40</v>
      </c>
      <c r="J3869" s="2" t="s">
        <v>541</v>
      </c>
      <c r="K3869" s="2" t="s">
        <v>542</v>
      </c>
      <c r="L3869" s="2">
        <v>12</v>
      </c>
      <c r="M3869" s="2" t="s">
        <v>554</v>
      </c>
      <c r="O3869" s="2" t="s">
        <v>524</v>
      </c>
      <c r="Y3869" s="2" t="s">
        <v>725</v>
      </c>
    </row>
    <row r="3870" spans="1:34" x14ac:dyDescent="0.25">
      <c r="A3870" s="2" t="s">
        <v>331</v>
      </c>
      <c r="B3870" s="2" t="s">
        <v>555</v>
      </c>
      <c r="C3870" s="2" t="s">
        <v>409</v>
      </c>
      <c r="D3870" s="2" t="s">
        <v>410</v>
      </c>
      <c r="E3870" s="2" t="s">
        <v>414</v>
      </c>
      <c r="F3870" s="2" t="s">
        <v>40</v>
      </c>
      <c r="J3870" s="2" t="s">
        <v>556</v>
      </c>
      <c r="O3870" s="2" t="s">
        <v>524</v>
      </c>
      <c r="Y3870" s="2" t="s">
        <v>725</v>
      </c>
      <c r="AB3870" s="2">
        <v>2</v>
      </c>
    </row>
    <row r="3871" spans="1:34" x14ac:dyDescent="0.25">
      <c r="A3871" s="2" t="s">
        <v>331</v>
      </c>
      <c r="B3871" s="2" t="s">
        <v>557</v>
      </c>
      <c r="C3871" s="2" t="s">
        <v>409</v>
      </c>
      <c r="D3871" s="2" t="s">
        <v>410</v>
      </c>
      <c r="E3871" s="2" t="s">
        <v>414</v>
      </c>
      <c r="F3871" s="2" t="s">
        <v>40</v>
      </c>
      <c r="J3871" s="2" t="s">
        <v>558</v>
      </c>
      <c r="O3871" s="2" t="s">
        <v>524</v>
      </c>
      <c r="Y3871" s="2" t="s">
        <v>725</v>
      </c>
      <c r="AC3871" s="2">
        <f>COUNTIFS($B:$B,"BLOCK_LOAD_Q",$A:$A,$A3871,$C:$C,$C3871,$E:$E,$E3871,$F:$F,$F3871,$N:$N, "&lt;&gt;")</f>
        <v>0</v>
      </c>
      <c r="AD3871" s="2">
        <f>COUNTIFS($B:$B,"BLOCK_TRUST_Q",$A:$A,$A3871,$C:$C,$C3871,$E:$E,$E3871,$F:$F,$F3871,$N:$N, "&lt;&gt;")</f>
        <v>0</v>
      </c>
      <c r="AE3871" s="2" t="str">
        <f>IFERROR(AVERAGEIFS($P:$P,$B:$B,"BLOCK_LOAD_Q",$A:$A,$A3871,$C:$C,$C3871,$E:$E,$E3871,$F:$F,$F3871,$P:$P,"&gt;0"),"")</f>
        <v/>
      </c>
      <c r="AF3871" s="2" t="str">
        <f>IFERROR(AVERAGEIFS($P:$P,$B:$B,"BLOCK_TRUST_Q",$A:$A,$A3871,$C:$C,$C3871,$E:$E,$E3871,$F:$F,$F3871,$P:$P,"&gt;0"),"")</f>
        <v/>
      </c>
      <c r="AG3871" s="2">
        <f>5-AC3871</f>
        <v>5</v>
      </c>
      <c r="AH3871" s="2">
        <f>12-AD3871</f>
        <v>12</v>
      </c>
    </row>
    <row r="3872" spans="1:34" x14ac:dyDescent="0.25">
      <c r="A3872" s="2" t="s">
        <v>331</v>
      </c>
      <c r="B3872" s="2" t="s">
        <v>403</v>
      </c>
      <c r="C3872" s="2" t="s">
        <v>409</v>
      </c>
      <c r="D3872" s="2" t="s">
        <v>410</v>
      </c>
      <c r="Z3872" s="2" t="s">
        <v>497</v>
      </c>
    </row>
    <row r="3873" spans="1:27" x14ac:dyDescent="0.25">
      <c r="A3873" s="2" t="s">
        <v>331</v>
      </c>
      <c r="B3873" s="2" t="s">
        <v>404</v>
      </c>
      <c r="J3873" s="2" t="s">
        <v>575</v>
      </c>
      <c r="AA3873" s="2" t="s">
        <v>338</v>
      </c>
    </row>
    <row r="3874" spans="1:27" x14ac:dyDescent="0.25">
      <c r="A3874" s="2" t="s">
        <v>331</v>
      </c>
      <c r="B3874" s="2" t="s">
        <v>405</v>
      </c>
    </row>
    <row r="3875" spans="1:27" x14ac:dyDescent="0.25">
      <c r="A3875" s="2" t="s">
        <v>331</v>
      </c>
      <c r="B3875" s="2" t="s">
        <v>406</v>
      </c>
    </row>
    <row r="3876" spans="1:27" x14ac:dyDescent="0.25">
      <c r="A3876" s="2" t="s">
        <v>332</v>
      </c>
      <c r="B3876" s="2" t="s">
        <v>523</v>
      </c>
      <c r="C3876" s="2" t="s">
        <v>524</v>
      </c>
      <c r="D3876" s="2" t="s">
        <v>524</v>
      </c>
      <c r="E3876" s="2" t="s">
        <v>524</v>
      </c>
      <c r="F3876" s="2" t="s">
        <v>524</v>
      </c>
      <c r="J3876" s="2" t="s">
        <v>525</v>
      </c>
      <c r="O3876" s="2" t="s">
        <v>524</v>
      </c>
    </row>
    <row r="3877" spans="1:27" x14ac:dyDescent="0.25">
      <c r="A3877" s="2" t="s">
        <v>332</v>
      </c>
      <c r="B3877" s="2" t="s">
        <v>526</v>
      </c>
      <c r="C3877" s="2" t="s">
        <v>524</v>
      </c>
      <c r="D3877" s="2" t="s">
        <v>524</v>
      </c>
      <c r="E3877" s="2" t="s">
        <v>524</v>
      </c>
      <c r="F3877" s="2" t="s">
        <v>524</v>
      </c>
      <c r="J3877" s="2" t="s">
        <v>527</v>
      </c>
      <c r="O3877" s="2" t="s">
        <v>524</v>
      </c>
    </row>
    <row r="3878" spans="1:27" x14ac:dyDescent="0.25">
      <c r="A3878" s="2" t="s">
        <v>332</v>
      </c>
      <c r="B3878" s="2" t="s">
        <v>402</v>
      </c>
      <c r="C3878" s="2" t="s">
        <v>407</v>
      </c>
      <c r="D3878" s="2" t="s">
        <v>412</v>
      </c>
      <c r="E3878" s="2" t="s">
        <v>413</v>
      </c>
      <c r="F3878" s="2" t="s">
        <v>40</v>
      </c>
      <c r="G3878" s="2" t="s">
        <v>415</v>
      </c>
      <c r="H3878" s="2" t="s">
        <v>567</v>
      </c>
      <c r="S3878" s="2" t="s">
        <v>58</v>
      </c>
      <c r="U3878" s="2" t="s">
        <v>57</v>
      </c>
      <c r="W3878" s="2" t="s">
        <v>60</v>
      </c>
    </row>
    <row r="3879" spans="1:27" x14ac:dyDescent="0.25">
      <c r="A3879" s="2" t="s">
        <v>332</v>
      </c>
      <c r="B3879" s="2" t="s">
        <v>402</v>
      </c>
      <c r="C3879" s="2" t="s">
        <v>407</v>
      </c>
      <c r="D3879" s="2" t="s">
        <v>412</v>
      </c>
      <c r="E3879" s="2" t="s">
        <v>413</v>
      </c>
      <c r="F3879" s="2" t="s">
        <v>40</v>
      </c>
      <c r="G3879" s="2" t="s">
        <v>416</v>
      </c>
      <c r="H3879" s="2" t="s">
        <v>568</v>
      </c>
      <c r="S3879" s="2" t="s">
        <v>59</v>
      </c>
      <c r="U3879" s="2" t="s">
        <v>60</v>
      </c>
      <c r="W3879" s="2" t="s">
        <v>59</v>
      </c>
    </row>
    <row r="3880" spans="1:27" x14ac:dyDescent="0.25">
      <c r="A3880" s="2" t="s">
        <v>332</v>
      </c>
      <c r="B3880" s="2" t="s">
        <v>402</v>
      </c>
      <c r="C3880" s="2" t="s">
        <v>407</v>
      </c>
      <c r="D3880" s="2" t="s">
        <v>412</v>
      </c>
      <c r="E3880" s="2" t="s">
        <v>413</v>
      </c>
      <c r="F3880" s="2" t="s">
        <v>40</v>
      </c>
      <c r="G3880" s="2" t="s">
        <v>417</v>
      </c>
      <c r="H3880" s="2" t="s">
        <v>569</v>
      </c>
      <c r="S3880" s="2" t="s">
        <v>57</v>
      </c>
      <c r="U3880" s="2" t="s">
        <v>60</v>
      </c>
      <c r="W3880" s="2" t="s">
        <v>57</v>
      </c>
    </row>
    <row r="3881" spans="1:27" x14ac:dyDescent="0.25">
      <c r="A3881" s="2" t="s">
        <v>332</v>
      </c>
      <c r="B3881" s="2" t="s">
        <v>402</v>
      </c>
      <c r="C3881" s="2" t="s">
        <v>407</v>
      </c>
      <c r="D3881" s="2" t="s">
        <v>412</v>
      </c>
      <c r="E3881" s="2" t="s">
        <v>413</v>
      </c>
      <c r="F3881" s="2" t="s">
        <v>40</v>
      </c>
      <c r="G3881" s="2" t="s">
        <v>418</v>
      </c>
      <c r="H3881" s="2" t="s">
        <v>351</v>
      </c>
      <c r="S3881" s="2" t="s">
        <v>60</v>
      </c>
      <c r="U3881" s="2" t="s">
        <v>57</v>
      </c>
      <c r="W3881" s="2" t="s">
        <v>57</v>
      </c>
    </row>
    <row r="3882" spans="1:27" x14ac:dyDescent="0.25">
      <c r="A3882" s="2" t="s">
        <v>332</v>
      </c>
      <c r="B3882" s="2" t="s">
        <v>531</v>
      </c>
      <c r="C3882" s="2" t="s">
        <v>407</v>
      </c>
      <c r="D3882" s="2" t="s">
        <v>412</v>
      </c>
      <c r="E3882" s="2" t="s">
        <v>413</v>
      </c>
      <c r="F3882" s="2" t="s">
        <v>40</v>
      </c>
      <c r="J3882" s="2" t="s">
        <v>532</v>
      </c>
      <c r="K3882" s="2" t="s">
        <v>533</v>
      </c>
      <c r="L3882" s="2">
        <v>1</v>
      </c>
      <c r="M3882" s="2" t="s">
        <v>534</v>
      </c>
      <c r="O3882" s="2" t="s">
        <v>524</v>
      </c>
      <c r="Y3882" s="2" t="s">
        <v>726</v>
      </c>
    </row>
    <row r="3883" spans="1:27" x14ac:dyDescent="0.25">
      <c r="A3883" s="2" t="s">
        <v>332</v>
      </c>
      <c r="B3883" s="2" t="s">
        <v>531</v>
      </c>
      <c r="C3883" s="2" t="s">
        <v>407</v>
      </c>
      <c r="D3883" s="2" t="s">
        <v>412</v>
      </c>
      <c r="E3883" s="2" t="s">
        <v>413</v>
      </c>
      <c r="F3883" s="2" t="s">
        <v>40</v>
      </c>
      <c r="J3883" s="2" t="s">
        <v>532</v>
      </c>
      <c r="K3883" s="2" t="s">
        <v>533</v>
      </c>
      <c r="L3883" s="2">
        <v>2</v>
      </c>
      <c r="M3883" s="2" t="s">
        <v>536</v>
      </c>
      <c r="O3883" s="2" t="s">
        <v>524</v>
      </c>
      <c r="Y3883" s="2" t="s">
        <v>726</v>
      </c>
    </row>
    <row r="3884" spans="1:27" x14ac:dyDescent="0.25">
      <c r="A3884" s="2" t="s">
        <v>332</v>
      </c>
      <c r="B3884" s="2" t="s">
        <v>531</v>
      </c>
      <c r="C3884" s="2" t="s">
        <v>407</v>
      </c>
      <c r="D3884" s="2" t="s">
        <v>412</v>
      </c>
      <c r="E3884" s="2" t="s">
        <v>413</v>
      </c>
      <c r="F3884" s="2" t="s">
        <v>40</v>
      </c>
      <c r="J3884" s="2" t="s">
        <v>532</v>
      </c>
      <c r="K3884" s="2" t="s">
        <v>533</v>
      </c>
      <c r="L3884" s="2">
        <v>3</v>
      </c>
      <c r="M3884" s="2" t="s">
        <v>537</v>
      </c>
      <c r="O3884" s="2" t="s">
        <v>524</v>
      </c>
      <c r="Y3884" s="2" t="s">
        <v>726</v>
      </c>
    </row>
    <row r="3885" spans="1:27" x14ac:dyDescent="0.25">
      <c r="A3885" s="2" t="s">
        <v>332</v>
      </c>
      <c r="B3885" s="2" t="s">
        <v>531</v>
      </c>
      <c r="C3885" s="2" t="s">
        <v>407</v>
      </c>
      <c r="D3885" s="2" t="s">
        <v>412</v>
      </c>
      <c r="E3885" s="2" t="s">
        <v>413</v>
      </c>
      <c r="F3885" s="2" t="s">
        <v>40</v>
      </c>
      <c r="J3885" s="2" t="s">
        <v>532</v>
      </c>
      <c r="K3885" s="2" t="s">
        <v>533</v>
      </c>
      <c r="L3885" s="2">
        <v>4</v>
      </c>
      <c r="M3885" s="2" t="s">
        <v>538</v>
      </c>
      <c r="O3885" s="2" t="s">
        <v>524</v>
      </c>
      <c r="Y3885" s="2" t="s">
        <v>726</v>
      </c>
    </row>
    <row r="3886" spans="1:27" x14ac:dyDescent="0.25">
      <c r="A3886" s="2" t="s">
        <v>332</v>
      </c>
      <c r="B3886" s="2" t="s">
        <v>531</v>
      </c>
      <c r="C3886" s="2" t="s">
        <v>407</v>
      </c>
      <c r="D3886" s="2" t="s">
        <v>412</v>
      </c>
      <c r="E3886" s="2" t="s">
        <v>413</v>
      </c>
      <c r="F3886" s="2" t="s">
        <v>40</v>
      </c>
      <c r="J3886" s="2" t="s">
        <v>532</v>
      </c>
      <c r="K3886" s="2" t="s">
        <v>533</v>
      </c>
      <c r="L3886" s="2">
        <v>5</v>
      </c>
      <c r="M3886" s="2" t="s">
        <v>539</v>
      </c>
      <c r="O3886" s="2" t="s">
        <v>524</v>
      </c>
      <c r="Y3886" s="2" t="s">
        <v>726</v>
      </c>
    </row>
    <row r="3887" spans="1:27" x14ac:dyDescent="0.25">
      <c r="A3887" s="2" t="s">
        <v>332</v>
      </c>
      <c r="B3887" s="2" t="s">
        <v>540</v>
      </c>
      <c r="C3887" s="2" t="s">
        <v>407</v>
      </c>
      <c r="D3887" s="2" t="s">
        <v>412</v>
      </c>
      <c r="E3887" s="2" t="s">
        <v>413</v>
      </c>
      <c r="F3887" s="2" t="s">
        <v>40</v>
      </c>
      <c r="J3887" s="2" t="s">
        <v>541</v>
      </c>
      <c r="K3887" s="2" t="s">
        <v>542</v>
      </c>
      <c r="L3887" s="2">
        <v>1</v>
      </c>
      <c r="M3887" s="2" t="s">
        <v>543</v>
      </c>
      <c r="O3887" s="2" t="s">
        <v>524</v>
      </c>
      <c r="Y3887" s="2" t="s">
        <v>726</v>
      </c>
    </row>
    <row r="3888" spans="1:27" x14ac:dyDescent="0.25">
      <c r="A3888" s="2" t="s">
        <v>332</v>
      </c>
      <c r="B3888" s="2" t="s">
        <v>540</v>
      </c>
      <c r="C3888" s="2" t="s">
        <v>407</v>
      </c>
      <c r="D3888" s="2" t="s">
        <v>412</v>
      </c>
      <c r="E3888" s="2" t="s">
        <v>413</v>
      </c>
      <c r="F3888" s="2" t="s">
        <v>40</v>
      </c>
      <c r="J3888" s="2" t="s">
        <v>541</v>
      </c>
      <c r="K3888" s="2" t="s">
        <v>542</v>
      </c>
      <c r="L3888" s="2">
        <v>2</v>
      </c>
      <c r="M3888" s="2" t="s">
        <v>544</v>
      </c>
      <c r="O3888" s="2" t="s">
        <v>524</v>
      </c>
      <c r="Y3888" s="2" t="s">
        <v>726</v>
      </c>
    </row>
    <row r="3889" spans="1:34" x14ac:dyDescent="0.25">
      <c r="A3889" s="2" t="s">
        <v>332</v>
      </c>
      <c r="B3889" s="2" t="s">
        <v>540</v>
      </c>
      <c r="C3889" s="2" t="s">
        <v>407</v>
      </c>
      <c r="D3889" s="2" t="s">
        <v>412</v>
      </c>
      <c r="E3889" s="2" t="s">
        <v>413</v>
      </c>
      <c r="F3889" s="2" t="s">
        <v>40</v>
      </c>
      <c r="J3889" s="2" t="s">
        <v>541</v>
      </c>
      <c r="K3889" s="2" t="s">
        <v>542</v>
      </c>
      <c r="L3889" s="2">
        <v>3</v>
      </c>
      <c r="M3889" s="2" t="s">
        <v>545</v>
      </c>
      <c r="O3889" s="2" t="s">
        <v>524</v>
      </c>
      <c r="Y3889" s="2" t="s">
        <v>726</v>
      </c>
    </row>
    <row r="3890" spans="1:34" x14ac:dyDescent="0.25">
      <c r="A3890" s="2" t="s">
        <v>332</v>
      </c>
      <c r="B3890" s="2" t="s">
        <v>540</v>
      </c>
      <c r="C3890" s="2" t="s">
        <v>407</v>
      </c>
      <c r="D3890" s="2" t="s">
        <v>412</v>
      </c>
      <c r="E3890" s="2" t="s">
        <v>413</v>
      </c>
      <c r="F3890" s="2" t="s">
        <v>40</v>
      </c>
      <c r="J3890" s="2" t="s">
        <v>541</v>
      </c>
      <c r="K3890" s="2" t="s">
        <v>542</v>
      </c>
      <c r="L3890" s="2">
        <v>4</v>
      </c>
      <c r="M3890" s="2" t="s">
        <v>546</v>
      </c>
      <c r="O3890" s="2" t="s">
        <v>524</v>
      </c>
      <c r="Y3890" s="2" t="s">
        <v>726</v>
      </c>
    </row>
    <row r="3891" spans="1:34" x14ac:dyDescent="0.25">
      <c r="A3891" s="2" t="s">
        <v>332</v>
      </c>
      <c r="B3891" s="2" t="s">
        <v>540</v>
      </c>
      <c r="C3891" s="2" t="s">
        <v>407</v>
      </c>
      <c r="D3891" s="2" t="s">
        <v>412</v>
      </c>
      <c r="E3891" s="2" t="s">
        <v>413</v>
      </c>
      <c r="F3891" s="2" t="s">
        <v>40</v>
      </c>
      <c r="J3891" s="2" t="s">
        <v>541</v>
      </c>
      <c r="K3891" s="2" t="s">
        <v>542</v>
      </c>
      <c r="L3891" s="2">
        <v>5</v>
      </c>
      <c r="M3891" s="2" t="s">
        <v>547</v>
      </c>
      <c r="O3891" s="2" t="s">
        <v>524</v>
      </c>
      <c r="Y3891" s="2" t="s">
        <v>726</v>
      </c>
    </row>
    <row r="3892" spans="1:34" x14ac:dyDescent="0.25">
      <c r="A3892" s="2" t="s">
        <v>332</v>
      </c>
      <c r="B3892" s="2" t="s">
        <v>540</v>
      </c>
      <c r="C3892" s="2" t="s">
        <v>407</v>
      </c>
      <c r="D3892" s="2" t="s">
        <v>412</v>
      </c>
      <c r="E3892" s="2" t="s">
        <v>413</v>
      </c>
      <c r="F3892" s="2" t="s">
        <v>40</v>
      </c>
      <c r="J3892" s="2" t="s">
        <v>541</v>
      </c>
      <c r="K3892" s="2" t="s">
        <v>542</v>
      </c>
      <c r="L3892" s="2">
        <v>6</v>
      </c>
      <c r="M3892" s="2" t="s">
        <v>548</v>
      </c>
      <c r="O3892" s="2" t="s">
        <v>524</v>
      </c>
      <c r="Y3892" s="2" t="s">
        <v>726</v>
      </c>
    </row>
    <row r="3893" spans="1:34" x14ac:dyDescent="0.25">
      <c r="A3893" s="2" t="s">
        <v>332</v>
      </c>
      <c r="B3893" s="2" t="s">
        <v>540</v>
      </c>
      <c r="C3893" s="2" t="s">
        <v>407</v>
      </c>
      <c r="D3893" s="2" t="s">
        <v>412</v>
      </c>
      <c r="E3893" s="2" t="s">
        <v>413</v>
      </c>
      <c r="F3893" s="2" t="s">
        <v>40</v>
      </c>
      <c r="J3893" s="2" t="s">
        <v>541</v>
      </c>
      <c r="K3893" s="2" t="s">
        <v>542</v>
      </c>
      <c r="L3893" s="2">
        <v>7</v>
      </c>
      <c r="M3893" s="2" t="s">
        <v>549</v>
      </c>
      <c r="O3893" s="2" t="s">
        <v>524</v>
      </c>
      <c r="Y3893" s="2" t="s">
        <v>726</v>
      </c>
    </row>
    <row r="3894" spans="1:34" x14ac:dyDescent="0.25">
      <c r="A3894" s="2" t="s">
        <v>332</v>
      </c>
      <c r="B3894" s="2" t="s">
        <v>540</v>
      </c>
      <c r="C3894" s="2" t="s">
        <v>407</v>
      </c>
      <c r="D3894" s="2" t="s">
        <v>412</v>
      </c>
      <c r="E3894" s="2" t="s">
        <v>413</v>
      </c>
      <c r="F3894" s="2" t="s">
        <v>40</v>
      </c>
      <c r="J3894" s="2" t="s">
        <v>541</v>
      </c>
      <c r="K3894" s="2" t="s">
        <v>542</v>
      </c>
      <c r="L3894" s="2">
        <v>8</v>
      </c>
      <c r="M3894" s="2" t="s">
        <v>550</v>
      </c>
      <c r="O3894" s="2" t="s">
        <v>524</v>
      </c>
      <c r="Y3894" s="2" t="s">
        <v>726</v>
      </c>
    </row>
    <row r="3895" spans="1:34" x14ac:dyDescent="0.25">
      <c r="A3895" s="2" t="s">
        <v>332</v>
      </c>
      <c r="B3895" s="2" t="s">
        <v>540</v>
      </c>
      <c r="C3895" s="2" t="s">
        <v>407</v>
      </c>
      <c r="D3895" s="2" t="s">
        <v>412</v>
      </c>
      <c r="E3895" s="2" t="s">
        <v>413</v>
      </c>
      <c r="F3895" s="2" t="s">
        <v>40</v>
      </c>
      <c r="J3895" s="2" t="s">
        <v>541</v>
      </c>
      <c r="K3895" s="2" t="s">
        <v>542</v>
      </c>
      <c r="L3895" s="2">
        <v>9</v>
      </c>
      <c r="M3895" s="2" t="s">
        <v>551</v>
      </c>
      <c r="O3895" s="2" t="s">
        <v>524</v>
      </c>
      <c r="Y3895" s="2" t="s">
        <v>726</v>
      </c>
    </row>
    <row r="3896" spans="1:34" x14ac:dyDescent="0.25">
      <c r="A3896" s="2" t="s">
        <v>332</v>
      </c>
      <c r="B3896" s="2" t="s">
        <v>540</v>
      </c>
      <c r="C3896" s="2" t="s">
        <v>407</v>
      </c>
      <c r="D3896" s="2" t="s">
        <v>412</v>
      </c>
      <c r="E3896" s="2" t="s">
        <v>413</v>
      </c>
      <c r="F3896" s="2" t="s">
        <v>40</v>
      </c>
      <c r="J3896" s="2" t="s">
        <v>541</v>
      </c>
      <c r="K3896" s="2" t="s">
        <v>542</v>
      </c>
      <c r="L3896" s="2">
        <v>10</v>
      </c>
      <c r="M3896" s="2" t="s">
        <v>552</v>
      </c>
      <c r="O3896" s="2" t="s">
        <v>524</v>
      </c>
      <c r="Y3896" s="2" t="s">
        <v>726</v>
      </c>
    </row>
    <row r="3897" spans="1:34" x14ac:dyDescent="0.25">
      <c r="A3897" s="2" t="s">
        <v>332</v>
      </c>
      <c r="B3897" s="2" t="s">
        <v>540</v>
      </c>
      <c r="C3897" s="2" t="s">
        <v>407</v>
      </c>
      <c r="D3897" s="2" t="s">
        <v>412</v>
      </c>
      <c r="E3897" s="2" t="s">
        <v>413</v>
      </c>
      <c r="F3897" s="2" t="s">
        <v>40</v>
      </c>
      <c r="J3897" s="2" t="s">
        <v>541</v>
      </c>
      <c r="K3897" s="2" t="s">
        <v>542</v>
      </c>
      <c r="L3897" s="2">
        <v>11</v>
      </c>
      <c r="M3897" s="2" t="s">
        <v>553</v>
      </c>
      <c r="O3897" s="2" t="s">
        <v>524</v>
      </c>
      <c r="Y3897" s="2" t="s">
        <v>726</v>
      </c>
    </row>
    <row r="3898" spans="1:34" x14ac:dyDescent="0.25">
      <c r="A3898" s="2" t="s">
        <v>332</v>
      </c>
      <c r="B3898" s="2" t="s">
        <v>540</v>
      </c>
      <c r="C3898" s="2" t="s">
        <v>407</v>
      </c>
      <c r="D3898" s="2" t="s">
        <v>412</v>
      </c>
      <c r="E3898" s="2" t="s">
        <v>413</v>
      </c>
      <c r="F3898" s="2" t="s">
        <v>40</v>
      </c>
      <c r="J3898" s="2" t="s">
        <v>541</v>
      </c>
      <c r="K3898" s="2" t="s">
        <v>542</v>
      </c>
      <c r="L3898" s="2">
        <v>12</v>
      </c>
      <c r="M3898" s="2" t="s">
        <v>554</v>
      </c>
      <c r="O3898" s="2" t="s">
        <v>524</v>
      </c>
      <c r="Y3898" s="2" t="s">
        <v>726</v>
      </c>
    </row>
    <row r="3899" spans="1:34" x14ac:dyDescent="0.25">
      <c r="A3899" s="2" t="s">
        <v>332</v>
      </c>
      <c r="B3899" s="2" t="s">
        <v>555</v>
      </c>
      <c r="C3899" s="2" t="s">
        <v>407</v>
      </c>
      <c r="D3899" s="2" t="s">
        <v>412</v>
      </c>
      <c r="E3899" s="2" t="s">
        <v>413</v>
      </c>
      <c r="F3899" s="2" t="s">
        <v>40</v>
      </c>
      <c r="J3899" s="2" t="s">
        <v>556</v>
      </c>
      <c r="O3899" s="2" t="s">
        <v>524</v>
      </c>
      <c r="Y3899" s="2" t="s">
        <v>726</v>
      </c>
      <c r="AB3899" s="2">
        <v>2</v>
      </c>
    </row>
    <row r="3900" spans="1:34" x14ac:dyDescent="0.25">
      <c r="A3900" s="2" t="s">
        <v>332</v>
      </c>
      <c r="B3900" s="2" t="s">
        <v>557</v>
      </c>
      <c r="C3900" s="2" t="s">
        <v>407</v>
      </c>
      <c r="D3900" s="2" t="s">
        <v>412</v>
      </c>
      <c r="E3900" s="2" t="s">
        <v>413</v>
      </c>
      <c r="F3900" s="2" t="s">
        <v>40</v>
      </c>
      <c r="J3900" s="2" t="s">
        <v>558</v>
      </c>
      <c r="O3900" s="2" t="s">
        <v>524</v>
      </c>
      <c r="Y3900" s="2" t="s">
        <v>726</v>
      </c>
      <c r="AC3900" s="2">
        <f>COUNTIFS($B:$B,"BLOCK_LOAD_Q",$A:$A,$A3900,$C:$C,$C3900,$E:$E,$E3900,$F:$F,$F3900,$N:$N, "&lt;&gt;")</f>
        <v>0</v>
      </c>
      <c r="AD3900" s="2">
        <f>COUNTIFS($B:$B,"BLOCK_TRUST_Q",$A:$A,$A3900,$C:$C,$C3900,$E:$E,$E3900,$F:$F,$F3900,$N:$N, "&lt;&gt;")</f>
        <v>0</v>
      </c>
      <c r="AE3900" s="2" t="str">
        <f>IFERROR(AVERAGEIFS($P:$P,$B:$B,"BLOCK_LOAD_Q",$A:$A,$A3900,$C:$C,$C3900,$E:$E,$E3900,$F:$F,$F3900,$P:$P,"&gt;0"),"")</f>
        <v/>
      </c>
      <c r="AF3900" s="2" t="str">
        <f>IFERROR(AVERAGEIFS($P:$P,$B:$B,"BLOCK_TRUST_Q",$A:$A,$A3900,$C:$C,$C3900,$E:$E,$E3900,$F:$F,$F3900,$P:$P,"&gt;0"),"")</f>
        <v/>
      </c>
      <c r="AG3900" s="2">
        <f>5-AC3900</f>
        <v>5</v>
      </c>
      <c r="AH3900" s="2">
        <f>12-AD3900</f>
        <v>12</v>
      </c>
    </row>
    <row r="3901" spans="1:34" x14ac:dyDescent="0.25">
      <c r="A3901" s="2" t="s">
        <v>332</v>
      </c>
      <c r="B3901" s="2" t="s">
        <v>402</v>
      </c>
      <c r="C3901" s="2" t="s">
        <v>407</v>
      </c>
      <c r="D3901" s="2" t="s">
        <v>412</v>
      </c>
      <c r="E3901" s="2" t="s">
        <v>414</v>
      </c>
      <c r="F3901" s="2" t="s">
        <v>39</v>
      </c>
      <c r="G3901" s="2" t="s">
        <v>415</v>
      </c>
      <c r="H3901" s="2" t="s">
        <v>350</v>
      </c>
      <c r="S3901" s="2" t="s">
        <v>57</v>
      </c>
      <c r="U3901" s="2" t="s">
        <v>58</v>
      </c>
      <c r="W3901" s="2" t="s">
        <v>59</v>
      </c>
    </row>
    <row r="3902" spans="1:34" x14ac:dyDescent="0.25">
      <c r="A3902" s="2" t="s">
        <v>332</v>
      </c>
      <c r="B3902" s="2" t="s">
        <v>402</v>
      </c>
      <c r="C3902" s="2" t="s">
        <v>407</v>
      </c>
      <c r="D3902" s="2" t="s">
        <v>412</v>
      </c>
      <c r="E3902" s="2" t="s">
        <v>414</v>
      </c>
      <c r="F3902" s="2" t="s">
        <v>39</v>
      </c>
      <c r="G3902" s="2" t="s">
        <v>416</v>
      </c>
      <c r="H3902" s="2" t="s">
        <v>571</v>
      </c>
      <c r="S3902" s="2" t="s">
        <v>59</v>
      </c>
      <c r="U3902" s="2" t="s">
        <v>57</v>
      </c>
      <c r="W3902" s="2" t="s">
        <v>60</v>
      </c>
    </row>
    <row r="3903" spans="1:34" x14ac:dyDescent="0.25">
      <c r="A3903" s="2" t="s">
        <v>332</v>
      </c>
      <c r="B3903" s="2" t="s">
        <v>402</v>
      </c>
      <c r="C3903" s="2" t="s">
        <v>407</v>
      </c>
      <c r="D3903" s="2" t="s">
        <v>412</v>
      </c>
      <c r="E3903" s="2" t="s">
        <v>414</v>
      </c>
      <c r="F3903" s="2" t="s">
        <v>39</v>
      </c>
      <c r="G3903" s="2" t="s">
        <v>417</v>
      </c>
      <c r="H3903" s="2" t="s">
        <v>572</v>
      </c>
      <c r="S3903" s="2" t="s">
        <v>57</v>
      </c>
      <c r="U3903" s="2" t="s">
        <v>59</v>
      </c>
      <c r="W3903" s="2" t="s">
        <v>58</v>
      </c>
    </row>
    <row r="3904" spans="1:34" x14ac:dyDescent="0.25">
      <c r="A3904" s="2" t="s">
        <v>332</v>
      </c>
      <c r="B3904" s="2" t="s">
        <v>402</v>
      </c>
      <c r="C3904" s="2" t="s">
        <v>407</v>
      </c>
      <c r="D3904" s="2" t="s">
        <v>412</v>
      </c>
      <c r="E3904" s="2" t="s">
        <v>414</v>
      </c>
      <c r="F3904" s="2" t="s">
        <v>39</v>
      </c>
      <c r="G3904" s="2" t="s">
        <v>418</v>
      </c>
      <c r="H3904" s="2" t="s">
        <v>573</v>
      </c>
      <c r="S3904" s="2" t="s">
        <v>58</v>
      </c>
      <c r="U3904" s="2" t="s">
        <v>58</v>
      </c>
      <c r="W3904" s="2" t="s">
        <v>58</v>
      </c>
    </row>
    <row r="3905" spans="1:25" x14ac:dyDescent="0.25">
      <c r="A3905" s="2" t="s">
        <v>332</v>
      </c>
      <c r="B3905" s="2" t="s">
        <v>402</v>
      </c>
      <c r="C3905" s="2" t="s">
        <v>407</v>
      </c>
      <c r="D3905" s="2" t="s">
        <v>412</v>
      </c>
      <c r="E3905" s="2" t="s">
        <v>414</v>
      </c>
      <c r="F3905" s="2" t="s">
        <v>39</v>
      </c>
      <c r="G3905" s="2" t="s">
        <v>419</v>
      </c>
      <c r="H3905" s="2" t="s">
        <v>365</v>
      </c>
      <c r="S3905" s="2" t="s">
        <v>59</v>
      </c>
      <c r="U3905" s="2" t="s">
        <v>59</v>
      </c>
      <c r="W3905" s="2" t="s">
        <v>60</v>
      </c>
    </row>
    <row r="3906" spans="1:25" x14ac:dyDescent="0.25">
      <c r="A3906" s="2" t="s">
        <v>332</v>
      </c>
      <c r="B3906" s="2" t="s">
        <v>531</v>
      </c>
      <c r="C3906" s="2" t="s">
        <v>407</v>
      </c>
      <c r="D3906" s="2" t="s">
        <v>412</v>
      </c>
      <c r="E3906" s="2" t="s">
        <v>414</v>
      </c>
      <c r="F3906" s="2" t="s">
        <v>39</v>
      </c>
      <c r="J3906" s="2" t="s">
        <v>532</v>
      </c>
      <c r="K3906" s="2" t="s">
        <v>533</v>
      </c>
      <c r="L3906" s="2">
        <v>1</v>
      </c>
      <c r="M3906" s="2" t="s">
        <v>534</v>
      </c>
      <c r="O3906" s="2" t="s">
        <v>524</v>
      </c>
      <c r="Y3906" s="2" t="s">
        <v>727</v>
      </c>
    </row>
    <row r="3907" spans="1:25" x14ac:dyDescent="0.25">
      <c r="A3907" s="2" t="s">
        <v>332</v>
      </c>
      <c r="B3907" s="2" t="s">
        <v>531</v>
      </c>
      <c r="C3907" s="2" t="s">
        <v>407</v>
      </c>
      <c r="D3907" s="2" t="s">
        <v>412</v>
      </c>
      <c r="E3907" s="2" t="s">
        <v>414</v>
      </c>
      <c r="F3907" s="2" t="s">
        <v>39</v>
      </c>
      <c r="J3907" s="2" t="s">
        <v>532</v>
      </c>
      <c r="K3907" s="2" t="s">
        <v>533</v>
      </c>
      <c r="L3907" s="2">
        <v>2</v>
      </c>
      <c r="M3907" s="2" t="s">
        <v>536</v>
      </c>
      <c r="O3907" s="2" t="s">
        <v>524</v>
      </c>
      <c r="Y3907" s="2" t="s">
        <v>727</v>
      </c>
    </row>
    <row r="3908" spans="1:25" x14ac:dyDescent="0.25">
      <c r="A3908" s="2" t="s">
        <v>332</v>
      </c>
      <c r="B3908" s="2" t="s">
        <v>531</v>
      </c>
      <c r="C3908" s="2" t="s">
        <v>407</v>
      </c>
      <c r="D3908" s="2" t="s">
        <v>412</v>
      </c>
      <c r="E3908" s="2" t="s">
        <v>414</v>
      </c>
      <c r="F3908" s="2" t="s">
        <v>39</v>
      </c>
      <c r="J3908" s="2" t="s">
        <v>532</v>
      </c>
      <c r="K3908" s="2" t="s">
        <v>533</v>
      </c>
      <c r="L3908" s="2">
        <v>3</v>
      </c>
      <c r="M3908" s="2" t="s">
        <v>537</v>
      </c>
      <c r="O3908" s="2" t="s">
        <v>524</v>
      </c>
      <c r="Y3908" s="2" t="s">
        <v>727</v>
      </c>
    </row>
    <row r="3909" spans="1:25" x14ac:dyDescent="0.25">
      <c r="A3909" s="2" t="s">
        <v>332</v>
      </c>
      <c r="B3909" s="2" t="s">
        <v>531</v>
      </c>
      <c r="C3909" s="2" t="s">
        <v>407</v>
      </c>
      <c r="D3909" s="2" t="s">
        <v>412</v>
      </c>
      <c r="E3909" s="2" t="s">
        <v>414</v>
      </c>
      <c r="F3909" s="2" t="s">
        <v>39</v>
      </c>
      <c r="J3909" s="2" t="s">
        <v>532</v>
      </c>
      <c r="K3909" s="2" t="s">
        <v>533</v>
      </c>
      <c r="L3909" s="2">
        <v>4</v>
      </c>
      <c r="M3909" s="2" t="s">
        <v>538</v>
      </c>
      <c r="O3909" s="2" t="s">
        <v>524</v>
      </c>
      <c r="Y3909" s="2" t="s">
        <v>727</v>
      </c>
    </row>
    <row r="3910" spans="1:25" x14ac:dyDescent="0.25">
      <c r="A3910" s="2" t="s">
        <v>332</v>
      </c>
      <c r="B3910" s="2" t="s">
        <v>531</v>
      </c>
      <c r="C3910" s="2" t="s">
        <v>407</v>
      </c>
      <c r="D3910" s="2" t="s">
        <v>412</v>
      </c>
      <c r="E3910" s="2" t="s">
        <v>414</v>
      </c>
      <c r="F3910" s="2" t="s">
        <v>39</v>
      </c>
      <c r="J3910" s="2" t="s">
        <v>532</v>
      </c>
      <c r="K3910" s="2" t="s">
        <v>533</v>
      </c>
      <c r="L3910" s="2">
        <v>5</v>
      </c>
      <c r="M3910" s="2" t="s">
        <v>539</v>
      </c>
      <c r="O3910" s="2" t="s">
        <v>524</v>
      </c>
      <c r="Y3910" s="2" t="s">
        <v>727</v>
      </c>
    </row>
    <row r="3911" spans="1:25" x14ac:dyDescent="0.25">
      <c r="A3911" s="2" t="s">
        <v>332</v>
      </c>
      <c r="B3911" s="2" t="s">
        <v>540</v>
      </c>
      <c r="C3911" s="2" t="s">
        <v>407</v>
      </c>
      <c r="D3911" s="2" t="s">
        <v>412</v>
      </c>
      <c r="E3911" s="2" t="s">
        <v>414</v>
      </c>
      <c r="F3911" s="2" t="s">
        <v>39</v>
      </c>
      <c r="J3911" s="2" t="s">
        <v>541</v>
      </c>
      <c r="K3911" s="2" t="s">
        <v>542</v>
      </c>
      <c r="L3911" s="2">
        <v>1</v>
      </c>
      <c r="M3911" s="2" t="s">
        <v>543</v>
      </c>
      <c r="O3911" s="2" t="s">
        <v>524</v>
      </c>
      <c r="Y3911" s="2" t="s">
        <v>727</v>
      </c>
    </row>
    <row r="3912" spans="1:25" x14ac:dyDescent="0.25">
      <c r="A3912" s="2" t="s">
        <v>332</v>
      </c>
      <c r="B3912" s="2" t="s">
        <v>540</v>
      </c>
      <c r="C3912" s="2" t="s">
        <v>407</v>
      </c>
      <c r="D3912" s="2" t="s">
        <v>412</v>
      </c>
      <c r="E3912" s="2" t="s">
        <v>414</v>
      </c>
      <c r="F3912" s="2" t="s">
        <v>39</v>
      </c>
      <c r="J3912" s="2" t="s">
        <v>541</v>
      </c>
      <c r="K3912" s="2" t="s">
        <v>542</v>
      </c>
      <c r="L3912" s="2">
        <v>2</v>
      </c>
      <c r="M3912" s="2" t="s">
        <v>544</v>
      </c>
      <c r="O3912" s="2" t="s">
        <v>524</v>
      </c>
      <c r="Y3912" s="2" t="s">
        <v>727</v>
      </c>
    </row>
    <row r="3913" spans="1:25" x14ac:dyDescent="0.25">
      <c r="A3913" s="2" t="s">
        <v>332</v>
      </c>
      <c r="B3913" s="2" t="s">
        <v>540</v>
      </c>
      <c r="C3913" s="2" t="s">
        <v>407</v>
      </c>
      <c r="D3913" s="2" t="s">
        <v>412</v>
      </c>
      <c r="E3913" s="2" t="s">
        <v>414</v>
      </c>
      <c r="F3913" s="2" t="s">
        <v>39</v>
      </c>
      <c r="J3913" s="2" t="s">
        <v>541</v>
      </c>
      <c r="K3913" s="2" t="s">
        <v>542</v>
      </c>
      <c r="L3913" s="2">
        <v>3</v>
      </c>
      <c r="M3913" s="2" t="s">
        <v>545</v>
      </c>
      <c r="O3913" s="2" t="s">
        <v>524</v>
      </c>
      <c r="Y3913" s="2" t="s">
        <v>727</v>
      </c>
    </row>
    <row r="3914" spans="1:25" x14ac:dyDescent="0.25">
      <c r="A3914" s="2" t="s">
        <v>332</v>
      </c>
      <c r="B3914" s="2" t="s">
        <v>540</v>
      </c>
      <c r="C3914" s="2" t="s">
        <v>407</v>
      </c>
      <c r="D3914" s="2" t="s">
        <v>412</v>
      </c>
      <c r="E3914" s="2" t="s">
        <v>414</v>
      </c>
      <c r="F3914" s="2" t="s">
        <v>39</v>
      </c>
      <c r="J3914" s="2" t="s">
        <v>541</v>
      </c>
      <c r="K3914" s="2" t="s">
        <v>542</v>
      </c>
      <c r="L3914" s="2">
        <v>4</v>
      </c>
      <c r="M3914" s="2" t="s">
        <v>546</v>
      </c>
      <c r="O3914" s="2" t="s">
        <v>524</v>
      </c>
      <c r="Y3914" s="2" t="s">
        <v>727</v>
      </c>
    </row>
    <row r="3915" spans="1:25" x14ac:dyDescent="0.25">
      <c r="A3915" s="2" t="s">
        <v>332</v>
      </c>
      <c r="B3915" s="2" t="s">
        <v>540</v>
      </c>
      <c r="C3915" s="2" t="s">
        <v>407</v>
      </c>
      <c r="D3915" s="2" t="s">
        <v>412</v>
      </c>
      <c r="E3915" s="2" t="s">
        <v>414</v>
      </c>
      <c r="F3915" s="2" t="s">
        <v>39</v>
      </c>
      <c r="J3915" s="2" t="s">
        <v>541</v>
      </c>
      <c r="K3915" s="2" t="s">
        <v>542</v>
      </c>
      <c r="L3915" s="2">
        <v>5</v>
      </c>
      <c r="M3915" s="2" t="s">
        <v>547</v>
      </c>
      <c r="O3915" s="2" t="s">
        <v>524</v>
      </c>
      <c r="Y3915" s="2" t="s">
        <v>727</v>
      </c>
    </row>
    <row r="3916" spans="1:25" x14ac:dyDescent="0.25">
      <c r="A3916" s="2" t="s">
        <v>332</v>
      </c>
      <c r="B3916" s="2" t="s">
        <v>540</v>
      </c>
      <c r="C3916" s="2" t="s">
        <v>407</v>
      </c>
      <c r="D3916" s="2" t="s">
        <v>412</v>
      </c>
      <c r="E3916" s="2" t="s">
        <v>414</v>
      </c>
      <c r="F3916" s="2" t="s">
        <v>39</v>
      </c>
      <c r="J3916" s="2" t="s">
        <v>541</v>
      </c>
      <c r="K3916" s="2" t="s">
        <v>542</v>
      </c>
      <c r="L3916" s="2">
        <v>6</v>
      </c>
      <c r="M3916" s="2" t="s">
        <v>548</v>
      </c>
      <c r="O3916" s="2" t="s">
        <v>524</v>
      </c>
      <c r="Y3916" s="2" t="s">
        <v>727</v>
      </c>
    </row>
    <row r="3917" spans="1:25" x14ac:dyDescent="0.25">
      <c r="A3917" s="2" t="s">
        <v>332</v>
      </c>
      <c r="B3917" s="2" t="s">
        <v>540</v>
      </c>
      <c r="C3917" s="2" t="s">
        <v>407</v>
      </c>
      <c r="D3917" s="2" t="s">
        <v>412</v>
      </c>
      <c r="E3917" s="2" t="s">
        <v>414</v>
      </c>
      <c r="F3917" s="2" t="s">
        <v>39</v>
      </c>
      <c r="J3917" s="2" t="s">
        <v>541</v>
      </c>
      <c r="K3917" s="2" t="s">
        <v>542</v>
      </c>
      <c r="L3917" s="2">
        <v>7</v>
      </c>
      <c r="M3917" s="2" t="s">
        <v>549</v>
      </c>
      <c r="O3917" s="2" t="s">
        <v>524</v>
      </c>
      <c r="Y3917" s="2" t="s">
        <v>727</v>
      </c>
    </row>
    <row r="3918" spans="1:25" x14ac:dyDescent="0.25">
      <c r="A3918" s="2" t="s">
        <v>332</v>
      </c>
      <c r="B3918" s="2" t="s">
        <v>540</v>
      </c>
      <c r="C3918" s="2" t="s">
        <v>407</v>
      </c>
      <c r="D3918" s="2" t="s">
        <v>412</v>
      </c>
      <c r="E3918" s="2" t="s">
        <v>414</v>
      </c>
      <c r="F3918" s="2" t="s">
        <v>39</v>
      </c>
      <c r="J3918" s="2" t="s">
        <v>541</v>
      </c>
      <c r="K3918" s="2" t="s">
        <v>542</v>
      </c>
      <c r="L3918" s="2">
        <v>8</v>
      </c>
      <c r="M3918" s="2" t="s">
        <v>550</v>
      </c>
      <c r="O3918" s="2" t="s">
        <v>524</v>
      </c>
      <c r="Y3918" s="2" t="s">
        <v>727</v>
      </c>
    </row>
    <row r="3919" spans="1:25" x14ac:dyDescent="0.25">
      <c r="A3919" s="2" t="s">
        <v>332</v>
      </c>
      <c r="B3919" s="2" t="s">
        <v>540</v>
      </c>
      <c r="C3919" s="2" t="s">
        <v>407</v>
      </c>
      <c r="D3919" s="2" t="s">
        <v>412</v>
      </c>
      <c r="E3919" s="2" t="s">
        <v>414</v>
      </c>
      <c r="F3919" s="2" t="s">
        <v>39</v>
      </c>
      <c r="J3919" s="2" t="s">
        <v>541</v>
      </c>
      <c r="K3919" s="2" t="s">
        <v>542</v>
      </c>
      <c r="L3919" s="2">
        <v>9</v>
      </c>
      <c r="M3919" s="2" t="s">
        <v>551</v>
      </c>
      <c r="O3919" s="2" t="s">
        <v>524</v>
      </c>
      <c r="Y3919" s="2" t="s">
        <v>727</v>
      </c>
    </row>
    <row r="3920" spans="1:25" x14ac:dyDescent="0.25">
      <c r="A3920" s="2" t="s">
        <v>332</v>
      </c>
      <c r="B3920" s="2" t="s">
        <v>540</v>
      </c>
      <c r="C3920" s="2" t="s">
        <v>407</v>
      </c>
      <c r="D3920" s="2" t="s">
        <v>412</v>
      </c>
      <c r="E3920" s="2" t="s">
        <v>414</v>
      </c>
      <c r="F3920" s="2" t="s">
        <v>39</v>
      </c>
      <c r="J3920" s="2" t="s">
        <v>541</v>
      </c>
      <c r="K3920" s="2" t="s">
        <v>542</v>
      </c>
      <c r="L3920" s="2">
        <v>10</v>
      </c>
      <c r="M3920" s="2" t="s">
        <v>552</v>
      </c>
      <c r="O3920" s="2" t="s">
        <v>524</v>
      </c>
      <c r="Y3920" s="2" t="s">
        <v>727</v>
      </c>
    </row>
    <row r="3921" spans="1:34" x14ac:dyDescent="0.25">
      <c r="A3921" s="2" t="s">
        <v>332</v>
      </c>
      <c r="B3921" s="2" t="s">
        <v>540</v>
      </c>
      <c r="C3921" s="2" t="s">
        <v>407</v>
      </c>
      <c r="D3921" s="2" t="s">
        <v>412</v>
      </c>
      <c r="E3921" s="2" t="s">
        <v>414</v>
      </c>
      <c r="F3921" s="2" t="s">
        <v>39</v>
      </c>
      <c r="J3921" s="2" t="s">
        <v>541</v>
      </c>
      <c r="K3921" s="2" t="s">
        <v>542</v>
      </c>
      <c r="L3921" s="2">
        <v>11</v>
      </c>
      <c r="M3921" s="2" t="s">
        <v>553</v>
      </c>
      <c r="O3921" s="2" t="s">
        <v>524</v>
      </c>
      <c r="Y3921" s="2" t="s">
        <v>727</v>
      </c>
    </row>
    <row r="3922" spans="1:34" x14ac:dyDescent="0.25">
      <c r="A3922" s="2" t="s">
        <v>332</v>
      </c>
      <c r="B3922" s="2" t="s">
        <v>540</v>
      </c>
      <c r="C3922" s="2" t="s">
        <v>407</v>
      </c>
      <c r="D3922" s="2" t="s">
        <v>412</v>
      </c>
      <c r="E3922" s="2" t="s">
        <v>414</v>
      </c>
      <c r="F3922" s="2" t="s">
        <v>39</v>
      </c>
      <c r="J3922" s="2" t="s">
        <v>541</v>
      </c>
      <c r="K3922" s="2" t="s">
        <v>542</v>
      </c>
      <c r="L3922" s="2">
        <v>12</v>
      </c>
      <c r="M3922" s="2" t="s">
        <v>554</v>
      </c>
      <c r="O3922" s="2" t="s">
        <v>524</v>
      </c>
      <c r="Y3922" s="2" t="s">
        <v>727</v>
      </c>
    </row>
    <row r="3923" spans="1:34" x14ac:dyDescent="0.25">
      <c r="A3923" s="2" t="s">
        <v>332</v>
      </c>
      <c r="B3923" s="2" t="s">
        <v>555</v>
      </c>
      <c r="C3923" s="2" t="s">
        <v>407</v>
      </c>
      <c r="D3923" s="2" t="s">
        <v>412</v>
      </c>
      <c r="E3923" s="2" t="s">
        <v>414</v>
      </c>
      <c r="F3923" s="2" t="s">
        <v>39</v>
      </c>
      <c r="J3923" s="2" t="s">
        <v>556</v>
      </c>
      <c r="O3923" s="2" t="s">
        <v>524</v>
      </c>
      <c r="Y3923" s="2" t="s">
        <v>727</v>
      </c>
      <c r="AB3923" s="2">
        <v>1</v>
      </c>
    </row>
    <row r="3924" spans="1:34" x14ac:dyDescent="0.25">
      <c r="A3924" s="2" t="s">
        <v>332</v>
      </c>
      <c r="B3924" s="2" t="s">
        <v>557</v>
      </c>
      <c r="C3924" s="2" t="s">
        <v>407</v>
      </c>
      <c r="D3924" s="2" t="s">
        <v>412</v>
      </c>
      <c r="E3924" s="2" t="s">
        <v>414</v>
      </c>
      <c r="F3924" s="2" t="s">
        <v>39</v>
      </c>
      <c r="J3924" s="2" t="s">
        <v>558</v>
      </c>
      <c r="O3924" s="2" t="s">
        <v>524</v>
      </c>
      <c r="Y3924" s="2" t="s">
        <v>727</v>
      </c>
      <c r="AC3924" s="2">
        <f>COUNTIFS($B:$B,"BLOCK_LOAD_Q",$A:$A,$A3924,$C:$C,$C3924,$E:$E,$E3924,$F:$F,$F3924,$N:$N, "&lt;&gt;")</f>
        <v>0</v>
      </c>
      <c r="AD3924" s="2">
        <f>COUNTIFS($B:$B,"BLOCK_TRUST_Q",$A:$A,$A3924,$C:$C,$C3924,$E:$E,$E3924,$F:$F,$F3924,$N:$N, "&lt;&gt;")</f>
        <v>0</v>
      </c>
      <c r="AE3924" s="2" t="str">
        <f>IFERROR(AVERAGEIFS($P:$P,$B:$B,"BLOCK_LOAD_Q",$A:$A,$A3924,$C:$C,$C3924,$E:$E,$E3924,$F:$F,$F3924,$P:$P,"&gt;0"),"")</f>
        <v/>
      </c>
      <c r="AF3924" s="2" t="str">
        <f>IFERROR(AVERAGEIFS($P:$P,$B:$B,"BLOCK_TRUST_Q",$A:$A,$A3924,$C:$C,$C3924,$E:$E,$E3924,$F:$F,$F3924,$P:$P,"&gt;0"),"")</f>
        <v/>
      </c>
      <c r="AG3924" s="2">
        <f>5-AC3924</f>
        <v>5</v>
      </c>
      <c r="AH3924" s="2">
        <f>12-AD3924</f>
        <v>12</v>
      </c>
    </row>
    <row r="3925" spans="1:34" x14ac:dyDescent="0.25">
      <c r="A3925" s="2" t="s">
        <v>332</v>
      </c>
      <c r="B3925" s="2" t="s">
        <v>403</v>
      </c>
      <c r="C3925" s="2" t="s">
        <v>407</v>
      </c>
      <c r="D3925" s="2" t="s">
        <v>412</v>
      </c>
      <c r="Z3925" s="2" t="s">
        <v>498</v>
      </c>
    </row>
    <row r="3926" spans="1:34" x14ac:dyDescent="0.25">
      <c r="A3926" s="2" t="s">
        <v>332</v>
      </c>
      <c r="B3926" s="2" t="s">
        <v>402</v>
      </c>
      <c r="C3926" s="2" t="s">
        <v>408</v>
      </c>
      <c r="D3926" s="2" t="s">
        <v>410</v>
      </c>
      <c r="E3926" s="2" t="s">
        <v>413</v>
      </c>
      <c r="F3926" s="2" t="s">
        <v>40</v>
      </c>
      <c r="G3926" s="2" t="s">
        <v>415</v>
      </c>
      <c r="H3926" s="2" t="s">
        <v>354</v>
      </c>
      <c r="S3926" s="2" t="s">
        <v>59</v>
      </c>
      <c r="U3926" s="2" t="s">
        <v>59</v>
      </c>
      <c r="W3926" s="2" t="s">
        <v>58</v>
      </c>
    </row>
    <row r="3927" spans="1:34" x14ac:dyDescent="0.25">
      <c r="A3927" s="2" t="s">
        <v>332</v>
      </c>
      <c r="B3927" s="2" t="s">
        <v>402</v>
      </c>
      <c r="C3927" s="2" t="s">
        <v>408</v>
      </c>
      <c r="D3927" s="2" t="s">
        <v>410</v>
      </c>
      <c r="E3927" s="2" t="s">
        <v>413</v>
      </c>
      <c r="F3927" s="2" t="s">
        <v>40</v>
      </c>
      <c r="G3927" s="2" t="s">
        <v>416</v>
      </c>
      <c r="H3927" s="2" t="s">
        <v>559</v>
      </c>
      <c r="S3927" s="2" t="s">
        <v>57</v>
      </c>
      <c r="U3927" s="2" t="s">
        <v>57</v>
      </c>
      <c r="W3927" s="2" t="s">
        <v>58</v>
      </c>
    </row>
    <row r="3928" spans="1:34" x14ac:dyDescent="0.25">
      <c r="A3928" s="2" t="s">
        <v>332</v>
      </c>
      <c r="B3928" s="2" t="s">
        <v>402</v>
      </c>
      <c r="C3928" s="2" t="s">
        <v>408</v>
      </c>
      <c r="D3928" s="2" t="s">
        <v>410</v>
      </c>
      <c r="E3928" s="2" t="s">
        <v>413</v>
      </c>
      <c r="F3928" s="2" t="s">
        <v>40</v>
      </c>
      <c r="G3928" s="2" t="s">
        <v>417</v>
      </c>
      <c r="H3928" s="2" t="s">
        <v>370</v>
      </c>
      <c r="S3928" s="2" t="s">
        <v>60</v>
      </c>
      <c r="U3928" s="2" t="s">
        <v>58</v>
      </c>
      <c r="W3928" s="2" t="s">
        <v>59</v>
      </c>
    </row>
    <row r="3929" spans="1:34" x14ac:dyDescent="0.25">
      <c r="A3929" s="2" t="s">
        <v>332</v>
      </c>
      <c r="B3929" s="2" t="s">
        <v>402</v>
      </c>
      <c r="C3929" s="2" t="s">
        <v>408</v>
      </c>
      <c r="D3929" s="2" t="s">
        <v>410</v>
      </c>
      <c r="E3929" s="2" t="s">
        <v>413</v>
      </c>
      <c r="F3929" s="2" t="s">
        <v>40</v>
      </c>
      <c r="G3929" s="2" t="s">
        <v>418</v>
      </c>
      <c r="H3929" s="2" t="s">
        <v>560</v>
      </c>
      <c r="S3929" s="2" t="s">
        <v>57</v>
      </c>
      <c r="U3929" s="2" t="s">
        <v>58</v>
      </c>
      <c r="W3929" s="2" t="s">
        <v>60</v>
      </c>
    </row>
    <row r="3930" spans="1:34" x14ac:dyDescent="0.25">
      <c r="A3930" s="2" t="s">
        <v>332</v>
      </c>
      <c r="B3930" s="2" t="s">
        <v>531</v>
      </c>
      <c r="C3930" s="2" t="s">
        <v>408</v>
      </c>
      <c r="D3930" s="2" t="s">
        <v>410</v>
      </c>
      <c r="E3930" s="2" t="s">
        <v>413</v>
      </c>
      <c r="F3930" s="2" t="s">
        <v>40</v>
      </c>
      <c r="J3930" s="2" t="s">
        <v>532</v>
      </c>
      <c r="K3930" s="2" t="s">
        <v>533</v>
      </c>
      <c r="L3930" s="2">
        <v>1</v>
      </c>
      <c r="M3930" s="2" t="s">
        <v>534</v>
      </c>
      <c r="O3930" s="2" t="s">
        <v>524</v>
      </c>
      <c r="Y3930" s="2" t="s">
        <v>728</v>
      </c>
    </row>
    <row r="3931" spans="1:34" x14ac:dyDescent="0.25">
      <c r="A3931" s="2" t="s">
        <v>332</v>
      </c>
      <c r="B3931" s="2" t="s">
        <v>531</v>
      </c>
      <c r="C3931" s="2" t="s">
        <v>408</v>
      </c>
      <c r="D3931" s="2" t="s">
        <v>410</v>
      </c>
      <c r="E3931" s="2" t="s">
        <v>413</v>
      </c>
      <c r="F3931" s="2" t="s">
        <v>40</v>
      </c>
      <c r="J3931" s="2" t="s">
        <v>532</v>
      </c>
      <c r="K3931" s="2" t="s">
        <v>533</v>
      </c>
      <c r="L3931" s="2">
        <v>2</v>
      </c>
      <c r="M3931" s="2" t="s">
        <v>536</v>
      </c>
      <c r="O3931" s="2" t="s">
        <v>524</v>
      </c>
      <c r="Y3931" s="2" t="s">
        <v>728</v>
      </c>
    </row>
    <row r="3932" spans="1:34" x14ac:dyDescent="0.25">
      <c r="A3932" s="2" t="s">
        <v>332</v>
      </c>
      <c r="B3932" s="2" t="s">
        <v>531</v>
      </c>
      <c r="C3932" s="2" t="s">
        <v>408</v>
      </c>
      <c r="D3932" s="2" t="s">
        <v>410</v>
      </c>
      <c r="E3932" s="2" t="s">
        <v>413</v>
      </c>
      <c r="F3932" s="2" t="s">
        <v>40</v>
      </c>
      <c r="J3932" s="2" t="s">
        <v>532</v>
      </c>
      <c r="K3932" s="2" t="s">
        <v>533</v>
      </c>
      <c r="L3932" s="2">
        <v>3</v>
      </c>
      <c r="M3932" s="2" t="s">
        <v>537</v>
      </c>
      <c r="O3932" s="2" t="s">
        <v>524</v>
      </c>
      <c r="Y3932" s="2" t="s">
        <v>728</v>
      </c>
    </row>
    <row r="3933" spans="1:34" x14ac:dyDescent="0.25">
      <c r="A3933" s="2" t="s">
        <v>332</v>
      </c>
      <c r="B3933" s="2" t="s">
        <v>531</v>
      </c>
      <c r="C3933" s="2" t="s">
        <v>408</v>
      </c>
      <c r="D3933" s="2" t="s">
        <v>410</v>
      </c>
      <c r="E3933" s="2" t="s">
        <v>413</v>
      </c>
      <c r="F3933" s="2" t="s">
        <v>40</v>
      </c>
      <c r="J3933" s="2" t="s">
        <v>532</v>
      </c>
      <c r="K3933" s="2" t="s">
        <v>533</v>
      </c>
      <c r="L3933" s="2">
        <v>4</v>
      </c>
      <c r="M3933" s="2" t="s">
        <v>538</v>
      </c>
      <c r="O3933" s="2" t="s">
        <v>524</v>
      </c>
      <c r="Y3933" s="2" t="s">
        <v>728</v>
      </c>
    </row>
    <row r="3934" spans="1:34" x14ac:dyDescent="0.25">
      <c r="A3934" s="2" t="s">
        <v>332</v>
      </c>
      <c r="B3934" s="2" t="s">
        <v>531</v>
      </c>
      <c r="C3934" s="2" t="s">
        <v>408</v>
      </c>
      <c r="D3934" s="2" t="s">
        <v>410</v>
      </c>
      <c r="E3934" s="2" t="s">
        <v>413</v>
      </c>
      <c r="F3934" s="2" t="s">
        <v>40</v>
      </c>
      <c r="J3934" s="2" t="s">
        <v>532</v>
      </c>
      <c r="K3934" s="2" t="s">
        <v>533</v>
      </c>
      <c r="L3934" s="2">
        <v>5</v>
      </c>
      <c r="M3934" s="2" t="s">
        <v>539</v>
      </c>
      <c r="O3934" s="2" t="s">
        <v>524</v>
      </c>
      <c r="Y3934" s="2" t="s">
        <v>728</v>
      </c>
    </row>
    <row r="3935" spans="1:34" x14ac:dyDescent="0.25">
      <c r="A3935" s="2" t="s">
        <v>332</v>
      </c>
      <c r="B3935" s="2" t="s">
        <v>540</v>
      </c>
      <c r="C3935" s="2" t="s">
        <v>408</v>
      </c>
      <c r="D3935" s="2" t="s">
        <v>410</v>
      </c>
      <c r="E3935" s="2" t="s">
        <v>413</v>
      </c>
      <c r="F3935" s="2" t="s">
        <v>40</v>
      </c>
      <c r="J3935" s="2" t="s">
        <v>541</v>
      </c>
      <c r="K3935" s="2" t="s">
        <v>542</v>
      </c>
      <c r="L3935" s="2">
        <v>1</v>
      </c>
      <c r="M3935" s="2" t="s">
        <v>543</v>
      </c>
      <c r="O3935" s="2" t="s">
        <v>524</v>
      </c>
      <c r="Y3935" s="2" t="s">
        <v>728</v>
      </c>
    </row>
    <row r="3936" spans="1:34" x14ac:dyDescent="0.25">
      <c r="A3936" s="2" t="s">
        <v>332</v>
      </c>
      <c r="B3936" s="2" t="s">
        <v>540</v>
      </c>
      <c r="C3936" s="2" t="s">
        <v>408</v>
      </c>
      <c r="D3936" s="2" t="s">
        <v>410</v>
      </c>
      <c r="E3936" s="2" t="s">
        <v>413</v>
      </c>
      <c r="F3936" s="2" t="s">
        <v>40</v>
      </c>
      <c r="J3936" s="2" t="s">
        <v>541</v>
      </c>
      <c r="K3936" s="2" t="s">
        <v>542</v>
      </c>
      <c r="L3936" s="2">
        <v>2</v>
      </c>
      <c r="M3936" s="2" t="s">
        <v>544</v>
      </c>
      <c r="O3936" s="2" t="s">
        <v>524</v>
      </c>
      <c r="Y3936" s="2" t="s">
        <v>728</v>
      </c>
    </row>
    <row r="3937" spans="1:34" x14ac:dyDescent="0.25">
      <c r="A3937" s="2" t="s">
        <v>332</v>
      </c>
      <c r="B3937" s="2" t="s">
        <v>540</v>
      </c>
      <c r="C3937" s="2" t="s">
        <v>408</v>
      </c>
      <c r="D3937" s="2" t="s">
        <v>410</v>
      </c>
      <c r="E3937" s="2" t="s">
        <v>413</v>
      </c>
      <c r="F3937" s="2" t="s">
        <v>40</v>
      </c>
      <c r="J3937" s="2" t="s">
        <v>541</v>
      </c>
      <c r="K3937" s="2" t="s">
        <v>542</v>
      </c>
      <c r="L3937" s="2">
        <v>3</v>
      </c>
      <c r="M3937" s="2" t="s">
        <v>545</v>
      </c>
      <c r="O3937" s="2" t="s">
        <v>524</v>
      </c>
      <c r="Y3937" s="2" t="s">
        <v>728</v>
      </c>
    </row>
    <row r="3938" spans="1:34" x14ac:dyDescent="0.25">
      <c r="A3938" s="2" t="s">
        <v>332</v>
      </c>
      <c r="B3938" s="2" t="s">
        <v>540</v>
      </c>
      <c r="C3938" s="2" t="s">
        <v>408</v>
      </c>
      <c r="D3938" s="2" t="s">
        <v>410</v>
      </c>
      <c r="E3938" s="2" t="s">
        <v>413</v>
      </c>
      <c r="F3938" s="2" t="s">
        <v>40</v>
      </c>
      <c r="J3938" s="2" t="s">
        <v>541</v>
      </c>
      <c r="K3938" s="2" t="s">
        <v>542</v>
      </c>
      <c r="L3938" s="2">
        <v>4</v>
      </c>
      <c r="M3938" s="2" t="s">
        <v>546</v>
      </c>
      <c r="O3938" s="2" t="s">
        <v>524</v>
      </c>
      <c r="Y3938" s="2" t="s">
        <v>728</v>
      </c>
    </row>
    <row r="3939" spans="1:34" x14ac:dyDescent="0.25">
      <c r="A3939" s="2" t="s">
        <v>332</v>
      </c>
      <c r="B3939" s="2" t="s">
        <v>540</v>
      </c>
      <c r="C3939" s="2" t="s">
        <v>408</v>
      </c>
      <c r="D3939" s="2" t="s">
        <v>410</v>
      </c>
      <c r="E3939" s="2" t="s">
        <v>413</v>
      </c>
      <c r="F3939" s="2" t="s">
        <v>40</v>
      </c>
      <c r="J3939" s="2" t="s">
        <v>541</v>
      </c>
      <c r="K3939" s="2" t="s">
        <v>542</v>
      </c>
      <c r="L3939" s="2">
        <v>5</v>
      </c>
      <c r="M3939" s="2" t="s">
        <v>547</v>
      </c>
      <c r="O3939" s="2" t="s">
        <v>524</v>
      </c>
      <c r="Y3939" s="2" t="s">
        <v>728</v>
      </c>
    </row>
    <row r="3940" spans="1:34" x14ac:dyDescent="0.25">
      <c r="A3940" s="2" t="s">
        <v>332</v>
      </c>
      <c r="B3940" s="2" t="s">
        <v>540</v>
      </c>
      <c r="C3940" s="2" t="s">
        <v>408</v>
      </c>
      <c r="D3940" s="2" t="s">
        <v>410</v>
      </c>
      <c r="E3940" s="2" t="s">
        <v>413</v>
      </c>
      <c r="F3940" s="2" t="s">
        <v>40</v>
      </c>
      <c r="J3940" s="2" t="s">
        <v>541</v>
      </c>
      <c r="K3940" s="2" t="s">
        <v>542</v>
      </c>
      <c r="L3940" s="2">
        <v>6</v>
      </c>
      <c r="M3940" s="2" t="s">
        <v>548</v>
      </c>
      <c r="O3940" s="2" t="s">
        <v>524</v>
      </c>
      <c r="Y3940" s="2" t="s">
        <v>728</v>
      </c>
    </row>
    <row r="3941" spans="1:34" x14ac:dyDescent="0.25">
      <c r="A3941" s="2" t="s">
        <v>332</v>
      </c>
      <c r="B3941" s="2" t="s">
        <v>540</v>
      </c>
      <c r="C3941" s="2" t="s">
        <v>408</v>
      </c>
      <c r="D3941" s="2" t="s">
        <v>410</v>
      </c>
      <c r="E3941" s="2" t="s">
        <v>413</v>
      </c>
      <c r="F3941" s="2" t="s">
        <v>40</v>
      </c>
      <c r="J3941" s="2" t="s">
        <v>541</v>
      </c>
      <c r="K3941" s="2" t="s">
        <v>542</v>
      </c>
      <c r="L3941" s="2">
        <v>7</v>
      </c>
      <c r="M3941" s="2" t="s">
        <v>549</v>
      </c>
      <c r="O3941" s="2" t="s">
        <v>524</v>
      </c>
      <c r="Y3941" s="2" t="s">
        <v>728</v>
      </c>
    </row>
    <row r="3942" spans="1:34" x14ac:dyDescent="0.25">
      <c r="A3942" s="2" t="s">
        <v>332</v>
      </c>
      <c r="B3942" s="2" t="s">
        <v>540</v>
      </c>
      <c r="C3942" s="2" t="s">
        <v>408</v>
      </c>
      <c r="D3942" s="2" t="s">
        <v>410</v>
      </c>
      <c r="E3942" s="2" t="s">
        <v>413</v>
      </c>
      <c r="F3942" s="2" t="s">
        <v>40</v>
      </c>
      <c r="J3942" s="2" t="s">
        <v>541</v>
      </c>
      <c r="K3942" s="2" t="s">
        <v>542</v>
      </c>
      <c r="L3942" s="2">
        <v>8</v>
      </c>
      <c r="M3942" s="2" t="s">
        <v>550</v>
      </c>
      <c r="O3942" s="2" t="s">
        <v>524</v>
      </c>
      <c r="Y3942" s="2" t="s">
        <v>728</v>
      </c>
    </row>
    <row r="3943" spans="1:34" x14ac:dyDescent="0.25">
      <c r="A3943" s="2" t="s">
        <v>332</v>
      </c>
      <c r="B3943" s="2" t="s">
        <v>540</v>
      </c>
      <c r="C3943" s="2" t="s">
        <v>408</v>
      </c>
      <c r="D3943" s="2" t="s">
        <v>410</v>
      </c>
      <c r="E3943" s="2" t="s">
        <v>413</v>
      </c>
      <c r="F3943" s="2" t="s">
        <v>40</v>
      </c>
      <c r="J3943" s="2" t="s">
        <v>541</v>
      </c>
      <c r="K3943" s="2" t="s">
        <v>542</v>
      </c>
      <c r="L3943" s="2">
        <v>9</v>
      </c>
      <c r="M3943" s="2" t="s">
        <v>551</v>
      </c>
      <c r="O3943" s="2" t="s">
        <v>524</v>
      </c>
      <c r="Y3943" s="2" t="s">
        <v>728</v>
      </c>
    </row>
    <row r="3944" spans="1:34" x14ac:dyDescent="0.25">
      <c r="A3944" s="2" t="s">
        <v>332</v>
      </c>
      <c r="B3944" s="2" t="s">
        <v>540</v>
      </c>
      <c r="C3944" s="2" t="s">
        <v>408</v>
      </c>
      <c r="D3944" s="2" t="s">
        <v>410</v>
      </c>
      <c r="E3944" s="2" t="s">
        <v>413</v>
      </c>
      <c r="F3944" s="2" t="s">
        <v>40</v>
      </c>
      <c r="J3944" s="2" t="s">
        <v>541</v>
      </c>
      <c r="K3944" s="2" t="s">
        <v>542</v>
      </c>
      <c r="L3944" s="2">
        <v>10</v>
      </c>
      <c r="M3944" s="2" t="s">
        <v>552</v>
      </c>
      <c r="O3944" s="2" t="s">
        <v>524</v>
      </c>
      <c r="Y3944" s="2" t="s">
        <v>728</v>
      </c>
    </row>
    <row r="3945" spans="1:34" x14ac:dyDescent="0.25">
      <c r="A3945" s="2" t="s">
        <v>332</v>
      </c>
      <c r="B3945" s="2" t="s">
        <v>540</v>
      </c>
      <c r="C3945" s="2" t="s">
        <v>408</v>
      </c>
      <c r="D3945" s="2" t="s">
        <v>410</v>
      </c>
      <c r="E3945" s="2" t="s">
        <v>413</v>
      </c>
      <c r="F3945" s="2" t="s">
        <v>40</v>
      </c>
      <c r="J3945" s="2" t="s">
        <v>541</v>
      </c>
      <c r="K3945" s="2" t="s">
        <v>542</v>
      </c>
      <c r="L3945" s="2">
        <v>11</v>
      </c>
      <c r="M3945" s="2" t="s">
        <v>553</v>
      </c>
      <c r="O3945" s="2" t="s">
        <v>524</v>
      </c>
      <c r="Y3945" s="2" t="s">
        <v>728</v>
      </c>
    </row>
    <row r="3946" spans="1:34" x14ac:dyDescent="0.25">
      <c r="A3946" s="2" t="s">
        <v>332</v>
      </c>
      <c r="B3946" s="2" t="s">
        <v>540</v>
      </c>
      <c r="C3946" s="2" t="s">
        <v>408</v>
      </c>
      <c r="D3946" s="2" t="s">
        <v>410</v>
      </c>
      <c r="E3946" s="2" t="s">
        <v>413</v>
      </c>
      <c r="F3946" s="2" t="s">
        <v>40</v>
      </c>
      <c r="J3946" s="2" t="s">
        <v>541</v>
      </c>
      <c r="K3946" s="2" t="s">
        <v>542</v>
      </c>
      <c r="L3946" s="2">
        <v>12</v>
      </c>
      <c r="M3946" s="2" t="s">
        <v>554</v>
      </c>
      <c r="O3946" s="2" t="s">
        <v>524</v>
      </c>
      <c r="Y3946" s="2" t="s">
        <v>728</v>
      </c>
    </row>
    <row r="3947" spans="1:34" x14ac:dyDescent="0.25">
      <c r="A3947" s="2" t="s">
        <v>332</v>
      </c>
      <c r="B3947" s="2" t="s">
        <v>555</v>
      </c>
      <c r="C3947" s="2" t="s">
        <v>408</v>
      </c>
      <c r="D3947" s="2" t="s">
        <v>410</v>
      </c>
      <c r="E3947" s="2" t="s">
        <v>413</v>
      </c>
      <c r="F3947" s="2" t="s">
        <v>40</v>
      </c>
      <c r="J3947" s="2" t="s">
        <v>556</v>
      </c>
      <c r="O3947" s="2" t="s">
        <v>524</v>
      </c>
      <c r="Y3947" s="2" t="s">
        <v>728</v>
      </c>
      <c r="AB3947" s="2">
        <v>2</v>
      </c>
    </row>
    <row r="3948" spans="1:34" x14ac:dyDescent="0.25">
      <c r="A3948" s="2" t="s">
        <v>332</v>
      </c>
      <c r="B3948" s="2" t="s">
        <v>557</v>
      </c>
      <c r="C3948" s="2" t="s">
        <v>408</v>
      </c>
      <c r="D3948" s="2" t="s">
        <v>410</v>
      </c>
      <c r="E3948" s="2" t="s">
        <v>413</v>
      </c>
      <c r="F3948" s="2" t="s">
        <v>40</v>
      </c>
      <c r="J3948" s="2" t="s">
        <v>558</v>
      </c>
      <c r="O3948" s="2" t="s">
        <v>524</v>
      </c>
      <c r="Y3948" s="2" t="s">
        <v>728</v>
      </c>
      <c r="AC3948" s="2">
        <f>COUNTIFS($B:$B,"BLOCK_LOAD_Q",$A:$A,$A3948,$C:$C,$C3948,$E:$E,$E3948,$F:$F,$F3948,$N:$N, "&lt;&gt;")</f>
        <v>0</v>
      </c>
      <c r="AD3948" s="2">
        <f>COUNTIFS($B:$B,"BLOCK_TRUST_Q",$A:$A,$A3948,$C:$C,$C3948,$E:$E,$E3948,$F:$F,$F3948,$N:$N, "&lt;&gt;")</f>
        <v>0</v>
      </c>
      <c r="AE3948" s="2" t="str">
        <f>IFERROR(AVERAGEIFS($P:$P,$B:$B,"BLOCK_LOAD_Q",$A:$A,$A3948,$C:$C,$C3948,$E:$E,$E3948,$F:$F,$F3948,$P:$P,"&gt;0"),"")</f>
        <v/>
      </c>
      <c r="AF3948" s="2" t="str">
        <f>IFERROR(AVERAGEIFS($P:$P,$B:$B,"BLOCK_TRUST_Q",$A:$A,$A3948,$C:$C,$C3948,$E:$E,$E3948,$F:$F,$F3948,$P:$P,"&gt;0"),"")</f>
        <v/>
      </c>
      <c r="AG3948" s="2">
        <f>5-AC3948</f>
        <v>5</v>
      </c>
      <c r="AH3948" s="2">
        <f>12-AD3948</f>
        <v>12</v>
      </c>
    </row>
    <row r="3949" spans="1:34" x14ac:dyDescent="0.25">
      <c r="A3949" s="2" t="s">
        <v>332</v>
      </c>
      <c r="B3949" s="2" t="s">
        <v>402</v>
      </c>
      <c r="C3949" s="2" t="s">
        <v>408</v>
      </c>
      <c r="D3949" s="2" t="s">
        <v>410</v>
      </c>
      <c r="E3949" s="2" t="s">
        <v>414</v>
      </c>
      <c r="F3949" s="2" t="s">
        <v>39</v>
      </c>
      <c r="G3949" s="2" t="s">
        <v>415</v>
      </c>
      <c r="H3949" s="2" t="s">
        <v>373</v>
      </c>
      <c r="S3949" s="2" t="s">
        <v>60</v>
      </c>
      <c r="U3949" s="2" t="s">
        <v>60</v>
      </c>
      <c r="W3949" s="2" t="s">
        <v>60</v>
      </c>
    </row>
    <row r="3950" spans="1:34" x14ac:dyDescent="0.25">
      <c r="A3950" s="2" t="s">
        <v>332</v>
      </c>
      <c r="B3950" s="2" t="s">
        <v>402</v>
      </c>
      <c r="C3950" s="2" t="s">
        <v>408</v>
      </c>
      <c r="D3950" s="2" t="s">
        <v>410</v>
      </c>
      <c r="E3950" s="2" t="s">
        <v>414</v>
      </c>
      <c r="F3950" s="2" t="s">
        <v>39</v>
      </c>
      <c r="G3950" s="2" t="s">
        <v>416</v>
      </c>
      <c r="H3950" s="2" t="s">
        <v>528</v>
      </c>
      <c r="S3950" s="2" t="s">
        <v>60</v>
      </c>
      <c r="U3950" s="2" t="s">
        <v>59</v>
      </c>
      <c r="W3950" s="2" t="s">
        <v>59</v>
      </c>
    </row>
    <row r="3951" spans="1:34" x14ac:dyDescent="0.25">
      <c r="A3951" s="2" t="s">
        <v>332</v>
      </c>
      <c r="B3951" s="2" t="s">
        <v>402</v>
      </c>
      <c r="C3951" s="2" t="s">
        <v>408</v>
      </c>
      <c r="D3951" s="2" t="s">
        <v>410</v>
      </c>
      <c r="E3951" s="2" t="s">
        <v>414</v>
      </c>
      <c r="F3951" s="2" t="s">
        <v>39</v>
      </c>
      <c r="G3951" s="2" t="s">
        <v>417</v>
      </c>
      <c r="H3951" s="2" t="s">
        <v>529</v>
      </c>
      <c r="S3951" s="2" t="s">
        <v>57</v>
      </c>
      <c r="U3951" s="2" t="s">
        <v>59</v>
      </c>
      <c r="W3951" s="2" t="s">
        <v>60</v>
      </c>
    </row>
    <row r="3952" spans="1:34" x14ac:dyDescent="0.25">
      <c r="A3952" s="2" t="s">
        <v>332</v>
      </c>
      <c r="B3952" s="2" t="s">
        <v>402</v>
      </c>
      <c r="C3952" s="2" t="s">
        <v>408</v>
      </c>
      <c r="D3952" s="2" t="s">
        <v>410</v>
      </c>
      <c r="E3952" s="2" t="s">
        <v>414</v>
      </c>
      <c r="F3952" s="2" t="s">
        <v>39</v>
      </c>
      <c r="G3952" s="2" t="s">
        <v>418</v>
      </c>
      <c r="H3952" s="2" t="s">
        <v>347</v>
      </c>
      <c r="S3952" s="2" t="s">
        <v>60</v>
      </c>
      <c r="U3952" s="2" t="s">
        <v>57</v>
      </c>
      <c r="W3952" s="2" t="s">
        <v>59</v>
      </c>
    </row>
    <row r="3953" spans="1:25" x14ac:dyDescent="0.25">
      <c r="A3953" s="2" t="s">
        <v>332</v>
      </c>
      <c r="B3953" s="2" t="s">
        <v>402</v>
      </c>
      <c r="C3953" s="2" t="s">
        <v>408</v>
      </c>
      <c r="D3953" s="2" t="s">
        <v>410</v>
      </c>
      <c r="E3953" s="2" t="s">
        <v>414</v>
      </c>
      <c r="F3953" s="2" t="s">
        <v>39</v>
      </c>
      <c r="G3953" s="2" t="s">
        <v>419</v>
      </c>
      <c r="H3953" s="2" t="s">
        <v>530</v>
      </c>
      <c r="S3953" s="2" t="s">
        <v>57</v>
      </c>
      <c r="U3953" s="2" t="s">
        <v>60</v>
      </c>
      <c r="W3953" s="2" t="s">
        <v>58</v>
      </c>
    </row>
    <row r="3954" spans="1:25" x14ac:dyDescent="0.25">
      <c r="A3954" s="2" t="s">
        <v>332</v>
      </c>
      <c r="B3954" s="2" t="s">
        <v>531</v>
      </c>
      <c r="C3954" s="2" t="s">
        <v>408</v>
      </c>
      <c r="D3954" s="2" t="s">
        <v>410</v>
      </c>
      <c r="E3954" s="2" t="s">
        <v>414</v>
      </c>
      <c r="F3954" s="2" t="s">
        <v>39</v>
      </c>
      <c r="J3954" s="2" t="s">
        <v>532</v>
      </c>
      <c r="K3954" s="2" t="s">
        <v>533</v>
      </c>
      <c r="L3954" s="2">
        <v>1</v>
      </c>
      <c r="M3954" s="2" t="s">
        <v>534</v>
      </c>
      <c r="O3954" s="2" t="s">
        <v>524</v>
      </c>
      <c r="Y3954" s="2" t="s">
        <v>729</v>
      </c>
    </row>
    <row r="3955" spans="1:25" x14ac:dyDescent="0.25">
      <c r="A3955" s="2" t="s">
        <v>332</v>
      </c>
      <c r="B3955" s="2" t="s">
        <v>531</v>
      </c>
      <c r="C3955" s="2" t="s">
        <v>408</v>
      </c>
      <c r="D3955" s="2" t="s">
        <v>410</v>
      </c>
      <c r="E3955" s="2" t="s">
        <v>414</v>
      </c>
      <c r="F3955" s="2" t="s">
        <v>39</v>
      </c>
      <c r="J3955" s="2" t="s">
        <v>532</v>
      </c>
      <c r="K3955" s="2" t="s">
        <v>533</v>
      </c>
      <c r="L3955" s="2">
        <v>2</v>
      </c>
      <c r="M3955" s="2" t="s">
        <v>536</v>
      </c>
      <c r="O3955" s="2" t="s">
        <v>524</v>
      </c>
      <c r="Y3955" s="2" t="s">
        <v>729</v>
      </c>
    </row>
    <row r="3956" spans="1:25" x14ac:dyDescent="0.25">
      <c r="A3956" s="2" t="s">
        <v>332</v>
      </c>
      <c r="B3956" s="2" t="s">
        <v>531</v>
      </c>
      <c r="C3956" s="2" t="s">
        <v>408</v>
      </c>
      <c r="D3956" s="2" t="s">
        <v>410</v>
      </c>
      <c r="E3956" s="2" t="s">
        <v>414</v>
      </c>
      <c r="F3956" s="2" t="s">
        <v>39</v>
      </c>
      <c r="J3956" s="2" t="s">
        <v>532</v>
      </c>
      <c r="K3956" s="2" t="s">
        <v>533</v>
      </c>
      <c r="L3956" s="2">
        <v>3</v>
      </c>
      <c r="M3956" s="2" t="s">
        <v>537</v>
      </c>
      <c r="O3956" s="2" t="s">
        <v>524</v>
      </c>
      <c r="Y3956" s="2" t="s">
        <v>729</v>
      </c>
    </row>
    <row r="3957" spans="1:25" x14ac:dyDescent="0.25">
      <c r="A3957" s="2" t="s">
        <v>332</v>
      </c>
      <c r="B3957" s="2" t="s">
        <v>531</v>
      </c>
      <c r="C3957" s="2" t="s">
        <v>408</v>
      </c>
      <c r="D3957" s="2" t="s">
        <v>410</v>
      </c>
      <c r="E3957" s="2" t="s">
        <v>414</v>
      </c>
      <c r="F3957" s="2" t="s">
        <v>39</v>
      </c>
      <c r="J3957" s="2" t="s">
        <v>532</v>
      </c>
      <c r="K3957" s="2" t="s">
        <v>533</v>
      </c>
      <c r="L3957" s="2">
        <v>4</v>
      </c>
      <c r="M3957" s="2" t="s">
        <v>538</v>
      </c>
      <c r="O3957" s="2" t="s">
        <v>524</v>
      </c>
      <c r="Y3957" s="2" t="s">
        <v>729</v>
      </c>
    </row>
    <row r="3958" spans="1:25" x14ac:dyDescent="0.25">
      <c r="A3958" s="2" t="s">
        <v>332</v>
      </c>
      <c r="B3958" s="2" t="s">
        <v>531</v>
      </c>
      <c r="C3958" s="2" t="s">
        <v>408</v>
      </c>
      <c r="D3958" s="2" t="s">
        <v>410</v>
      </c>
      <c r="E3958" s="2" t="s">
        <v>414</v>
      </c>
      <c r="F3958" s="2" t="s">
        <v>39</v>
      </c>
      <c r="J3958" s="2" t="s">
        <v>532</v>
      </c>
      <c r="K3958" s="2" t="s">
        <v>533</v>
      </c>
      <c r="L3958" s="2">
        <v>5</v>
      </c>
      <c r="M3958" s="2" t="s">
        <v>539</v>
      </c>
      <c r="O3958" s="2" t="s">
        <v>524</v>
      </c>
      <c r="Y3958" s="2" t="s">
        <v>729</v>
      </c>
    </row>
    <row r="3959" spans="1:25" x14ac:dyDescent="0.25">
      <c r="A3959" s="2" t="s">
        <v>332</v>
      </c>
      <c r="B3959" s="2" t="s">
        <v>540</v>
      </c>
      <c r="C3959" s="2" t="s">
        <v>408</v>
      </c>
      <c r="D3959" s="2" t="s">
        <v>410</v>
      </c>
      <c r="E3959" s="2" t="s">
        <v>414</v>
      </c>
      <c r="F3959" s="2" t="s">
        <v>39</v>
      </c>
      <c r="J3959" s="2" t="s">
        <v>541</v>
      </c>
      <c r="K3959" s="2" t="s">
        <v>542</v>
      </c>
      <c r="L3959" s="2">
        <v>1</v>
      </c>
      <c r="M3959" s="2" t="s">
        <v>543</v>
      </c>
      <c r="O3959" s="2" t="s">
        <v>524</v>
      </c>
      <c r="Y3959" s="2" t="s">
        <v>729</v>
      </c>
    </row>
    <row r="3960" spans="1:25" x14ac:dyDescent="0.25">
      <c r="A3960" s="2" t="s">
        <v>332</v>
      </c>
      <c r="B3960" s="2" t="s">
        <v>540</v>
      </c>
      <c r="C3960" s="2" t="s">
        <v>408</v>
      </c>
      <c r="D3960" s="2" t="s">
        <v>410</v>
      </c>
      <c r="E3960" s="2" t="s">
        <v>414</v>
      </c>
      <c r="F3960" s="2" t="s">
        <v>39</v>
      </c>
      <c r="J3960" s="2" t="s">
        <v>541</v>
      </c>
      <c r="K3960" s="2" t="s">
        <v>542</v>
      </c>
      <c r="L3960" s="2">
        <v>2</v>
      </c>
      <c r="M3960" s="2" t="s">
        <v>544</v>
      </c>
      <c r="O3960" s="2" t="s">
        <v>524</v>
      </c>
      <c r="Y3960" s="2" t="s">
        <v>729</v>
      </c>
    </row>
    <row r="3961" spans="1:25" x14ac:dyDescent="0.25">
      <c r="A3961" s="2" t="s">
        <v>332</v>
      </c>
      <c r="B3961" s="2" t="s">
        <v>540</v>
      </c>
      <c r="C3961" s="2" t="s">
        <v>408</v>
      </c>
      <c r="D3961" s="2" t="s">
        <v>410</v>
      </c>
      <c r="E3961" s="2" t="s">
        <v>414</v>
      </c>
      <c r="F3961" s="2" t="s">
        <v>39</v>
      </c>
      <c r="J3961" s="2" t="s">
        <v>541</v>
      </c>
      <c r="K3961" s="2" t="s">
        <v>542</v>
      </c>
      <c r="L3961" s="2">
        <v>3</v>
      </c>
      <c r="M3961" s="2" t="s">
        <v>545</v>
      </c>
      <c r="O3961" s="2" t="s">
        <v>524</v>
      </c>
      <c r="Y3961" s="2" t="s">
        <v>729</v>
      </c>
    </row>
    <row r="3962" spans="1:25" x14ac:dyDescent="0.25">
      <c r="A3962" s="2" t="s">
        <v>332</v>
      </c>
      <c r="B3962" s="2" t="s">
        <v>540</v>
      </c>
      <c r="C3962" s="2" t="s">
        <v>408</v>
      </c>
      <c r="D3962" s="2" t="s">
        <v>410</v>
      </c>
      <c r="E3962" s="2" t="s">
        <v>414</v>
      </c>
      <c r="F3962" s="2" t="s">
        <v>39</v>
      </c>
      <c r="J3962" s="2" t="s">
        <v>541</v>
      </c>
      <c r="K3962" s="2" t="s">
        <v>542</v>
      </c>
      <c r="L3962" s="2">
        <v>4</v>
      </c>
      <c r="M3962" s="2" t="s">
        <v>546</v>
      </c>
      <c r="O3962" s="2" t="s">
        <v>524</v>
      </c>
      <c r="Y3962" s="2" t="s">
        <v>729</v>
      </c>
    </row>
    <row r="3963" spans="1:25" x14ac:dyDescent="0.25">
      <c r="A3963" s="2" t="s">
        <v>332</v>
      </c>
      <c r="B3963" s="2" t="s">
        <v>540</v>
      </c>
      <c r="C3963" s="2" t="s">
        <v>408</v>
      </c>
      <c r="D3963" s="2" t="s">
        <v>410</v>
      </c>
      <c r="E3963" s="2" t="s">
        <v>414</v>
      </c>
      <c r="F3963" s="2" t="s">
        <v>39</v>
      </c>
      <c r="J3963" s="2" t="s">
        <v>541</v>
      </c>
      <c r="K3963" s="2" t="s">
        <v>542</v>
      </c>
      <c r="L3963" s="2">
        <v>5</v>
      </c>
      <c r="M3963" s="2" t="s">
        <v>547</v>
      </c>
      <c r="O3963" s="2" t="s">
        <v>524</v>
      </c>
      <c r="Y3963" s="2" t="s">
        <v>729</v>
      </c>
    </row>
    <row r="3964" spans="1:25" x14ac:dyDescent="0.25">
      <c r="A3964" s="2" t="s">
        <v>332</v>
      </c>
      <c r="B3964" s="2" t="s">
        <v>540</v>
      </c>
      <c r="C3964" s="2" t="s">
        <v>408</v>
      </c>
      <c r="D3964" s="2" t="s">
        <v>410</v>
      </c>
      <c r="E3964" s="2" t="s">
        <v>414</v>
      </c>
      <c r="F3964" s="2" t="s">
        <v>39</v>
      </c>
      <c r="J3964" s="2" t="s">
        <v>541</v>
      </c>
      <c r="K3964" s="2" t="s">
        <v>542</v>
      </c>
      <c r="L3964" s="2">
        <v>6</v>
      </c>
      <c r="M3964" s="2" t="s">
        <v>548</v>
      </c>
      <c r="O3964" s="2" t="s">
        <v>524</v>
      </c>
      <c r="Y3964" s="2" t="s">
        <v>729</v>
      </c>
    </row>
    <row r="3965" spans="1:25" x14ac:dyDescent="0.25">
      <c r="A3965" s="2" t="s">
        <v>332</v>
      </c>
      <c r="B3965" s="2" t="s">
        <v>540</v>
      </c>
      <c r="C3965" s="2" t="s">
        <v>408</v>
      </c>
      <c r="D3965" s="2" t="s">
        <v>410</v>
      </c>
      <c r="E3965" s="2" t="s">
        <v>414</v>
      </c>
      <c r="F3965" s="2" t="s">
        <v>39</v>
      </c>
      <c r="J3965" s="2" t="s">
        <v>541</v>
      </c>
      <c r="K3965" s="2" t="s">
        <v>542</v>
      </c>
      <c r="L3965" s="2">
        <v>7</v>
      </c>
      <c r="M3965" s="2" t="s">
        <v>549</v>
      </c>
      <c r="O3965" s="2" t="s">
        <v>524</v>
      </c>
      <c r="Y3965" s="2" t="s">
        <v>729</v>
      </c>
    </row>
    <row r="3966" spans="1:25" x14ac:dyDescent="0.25">
      <c r="A3966" s="2" t="s">
        <v>332</v>
      </c>
      <c r="B3966" s="2" t="s">
        <v>540</v>
      </c>
      <c r="C3966" s="2" t="s">
        <v>408</v>
      </c>
      <c r="D3966" s="2" t="s">
        <v>410</v>
      </c>
      <c r="E3966" s="2" t="s">
        <v>414</v>
      </c>
      <c r="F3966" s="2" t="s">
        <v>39</v>
      </c>
      <c r="J3966" s="2" t="s">
        <v>541</v>
      </c>
      <c r="K3966" s="2" t="s">
        <v>542</v>
      </c>
      <c r="L3966" s="2">
        <v>8</v>
      </c>
      <c r="M3966" s="2" t="s">
        <v>550</v>
      </c>
      <c r="O3966" s="2" t="s">
        <v>524</v>
      </c>
      <c r="Y3966" s="2" t="s">
        <v>729</v>
      </c>
    </row>
    <row r="3967" spans="1:25" x14ac:dyDescent="0.25">
      <c r="A3967" s="2" t="s">
        <v>332</v>
      </c>
      <c r="B3967" s="2" t="s">
        <v>540</v>
      </c>
      <c r="C3967" s="2" t="s">
        <v>408</v>
      </c>
      <c r="D3967" s="2" t="s">
        <v>410</v>
      </c>
      <c r="E3967" s="2" t="s">
        <v>414</v>
      </c>
      <c r="F3967" s="2" t="s">
        <v>39</v>
      </c>
      <c r="J3967" s="2" t="s">
        <v>541</v>
      </c>
      <c r="K3967" s="2" t="s">
        <v>542</v>
      </c>
      <c r="L3967" s="2">
        <v>9</v>
      </c>
      <c r="M3967" s="2" t="s">
        <v>551</v>
      </c>
      <c r="O3967" s="2" t="s">
        <v>524</v>
      </c>
      <c r="Y3967" s="2" t="s">
        <v>729</v>
      </c>
    </row>
    <row r="3968" spans="1:25" x14ac:dyDescent="0.25">
      <c r="A3968" s="2" t="s">
        <v>332</v>
      </c>
      <c r="B3968" s="2" t="s">
        <v>540</v>
      </c>
      <c r="C3968" s="2" t="s">
        <v>408</v>
      </c>
      <c r="D3968" s="2" t="s">
        <v>410</v>
      </c>
      <c r="E3968" s="2" t="s">
        <v>414</v>
      </c>
      <c r="F3968" s="2" t="s">
        <v>39</v>
      </c>
      <c r="J3968" s="2" t="s">
        <v>541</v>
      </c>
      <c r="K3968" s="2" t="s">
        <v>542</v>
      </c>
      <c r="L3968" s="2">
        <v>10</v>
      </c>
      <c r="M3968" s="2" t="s">
        <v>552</v>
      </c>
      <c r="O3968" s="2" t="s">
        <v>524</v>
      </c>
      <c r="Y3968" s="2" t="s">
        <v>729</v>
      </c>
    </row>
    <row r="3969" spans="1:34" x14ac:dyDescent="0.25">
      <c r="A3969" s="2" t="s">
        <v>332</v>
      </c>
      <c r="B3969" s="2" t="s">
        <v>540</v>
      </c>
      <c r="C3969" s="2" t="s">
        <v>408</v>
      </c>
      <c r="D3969" s="2" t="s">
        <v>410</v>
      </c>
      <c r="E3969" s="2" t="s">
        <v>414</v>
      </c>
      <c r="F3969" s="2" t="s">
        <v>39</v>
      </c>
      <c r="J3969" s="2" t="s">
        <v>541</v>
      </c>
      <c r="K3969" s="2" t="s">
        <v>542</v>
      </c>
      <c r="L3969" s="2">
        <v>11</v>
      </c>
      <c r="M3969" s="2" t="s">
        <v>553</v>
      </c>
      <c r="O3969" s="2" t="s">
        <v>524</v>
      </c>
      <c r="Y3969" s="2" t="s">
        <v>729</v>
      </c>
    </row>
    <row r="3970" spans="1:34" x14ac:dyDescent="0.25">
      <c r="A3970" s="2" t="s">
        <v>332</v>
      </c>
      <c r="B3970" s="2" t="s">
        <v>540</v>
      </c>
      <c r="C3970" s="2" t="s">
        <v>408</v>
      </c>
      <c r="D3970" s="2" t="s">
        <v>410</v>
      </c>
      <c r="E3970" s="2" t="s">
        <v>414</v>
      </c>
      <c r="F3970" s="2" t="s">
        <v>39</v>
      </c>
      <c r="J3970" s="2" t="s">
        <v>541</v>
      </c>
      <c r="K3970" s="2" t="s">
        <v>542</v>
      </c>
      <c r="L3970" s="2">
        <v>12</v>
      </c>
      <c r="M3970" s="2" t="s">
        <v>554</v>
      </c>
      <c r="O3970" s="2" t="s">
        <v>524</v>
      </c>
      <c r="Y3970" s="2" t="s">
        <v>729</v>
      </c>
    </row>
    <row r="3971" spans="1:34" x14ac:dyDescent="0.25">
      <c r="A3971" s="2" t="s">
        <v>332</v>
      </c>
      <c r="B3971" s="2" t="s">
        <v>555</v>
      </c>
      <c r="C3971" s="2" t="s">
        <v>408</v>
      </c>
      <c r="D3971" s="2" t="s">
        <v>410</v>
      </c>
      <c r="E3971" s="2" t="s">
        <v>414</v>
      </c>
      <c r="F3971" s="2" t="s">
        <v>39</v>
      </c>
      <c r="J3971" s="2" t="s">
        <v>556</v>
      </c>
      <c r="O3971" s="2" t="s">
        <v>524</v>
      </c>
      <c r="Y3971" s="2" t="s">
        <v>729</v>
      </c>
      <c r="AB3971" s="2">
        <v>1</v>
      </c>
    </row>
    <row r="3972" spans="1:34" x14ac:dyDescent="0.25">
      <c r="A3972" s="2" t="s">
        <v>332</v>
      </c>
      <c r="B3972" s="2" t="s">
        <v>557</v>
      </c>
      <c r="C3972" s="2" t="s">
        <v>408</v>
      </c>
      <c r="D3972" s="2" t="s">
        <v>410</v>
      </c>
      <c r="E3972" s="2" t="s">
        <v>414</v>
      </c>
      <c r="F3972" s="2" t="s">
        <v>39</v>
      </c>
      <c r="J3972" s="2" t="s">
        <v>558</v>
      </c>
      <c r="O3972" s="2" t="s">
        <v>524</v>
      </c>
      <c r="Y3972" s="2" t="s">
        <v>729</v>
      </c>
      <c r="AC3972" s="2">
        <f>COUNTIFS($B:$B,"BLOCK_LOAD_Q",$A:$A,$A3972,$C:$C,$C3972,$E:$E,$E3972,$F:$F,$F3972,$N:$N, "&lt;&gt;")</f>
        <v>0</v>
      </c>
      <c r="AD3972" s="2">
        <f>COUNTIFS($B:$B,"BLOCK_TRUST_Q",$A:$A,$A3972,$C:$C,$C3972,$E:$E,$E3972,$F:$F,$F3972,$N:$N, "&lt;&gt;")</f>
        <v>0</v>
      </c>
      <c r="AE3972" s="2" t="str">
        <f>IFERROR(AVERAGEIFS($P:$P,$B:$B,"BLOCK_LOAD_Q",$A:$A,$A3972,$C:$C,$C3972,$E:$E,$E3972,$F:$F,$F3972,$P:$P,"&gt;0"),"")</f>
        <v/>
      </c>
      <c r="AF3972" s="2" t="str">
        <f>IFERROR(AVERAGEIFS($P:$P,$B:$B,"BLOCK_TRUST_Q",$A:$A,$A3972,$C:$C,$C3972,$E:$E,$E3972,$F:$F,$F3972,$P:$P,"&gt;0"),"")</f>
        <v/>
      </c>
      <c r="AG3972" s="2">
        <f>5-AC3972</f>
        <v>5</v>
      </c>
      <c r="AH3972" s="2">
        <f>12-AD3972</f>
        <v>12</v>
      </c>
    </row>
    <row r="3973" spans="1:34" x14ac:dyDescent="0.25">
      <c r="A3973" s="2" t="s">
        <v>332</v>
      </c>
      <c r="B3973" s="2" t="s">
        <v>403</v>
      </c>
      <c r="C3973" s="2" t="s">
        <v>408</v>
      </c>
      <c r="D3973" s="2" t="s">
        <v>410</v>
      </c>
      <c r="Z3973" s="2" t="s">
        <v>499</v>
      </c>
    </row>
    <row r="3974" spans="1:34" x14ac:dyDescent="0.25">
      <c r="A3974" s="2" t="s">
        <v>332</v>
      </c>
      <c r="B3974" s="2" t="s">
        <v>402</v>
      </c>
      <c r="C3974" s="2" t="s">
        <v>409</v>
      </c>
      <c r="D3974" s="2" t="s">
        <v>411</v>
      </c>
      <c r="E3974" s="2" t="s">
        <v>413</v>
      </c>
      <c r="F3974" s="2" t="s">
        <v>40</v>
      </c>
      <c r="G3974" s="2" t="s">
        <v>415</v>
      </c>
      <c r="H3974" s="2" t="s">
        <v>357</v>
      </c>
      <c r="S3974" s="2" t="s">
        <v>59</v>
      </c>
      <c r="U3974" s="2" t="s">
        <v>60</v>
      </c>
      <c r="W3974" s="2" t="s">
        <v>57</v>
      </c>
    </row>
    <row r="3975" spans="1:34" x14ac:dyDescent="0.25">
      <c r="A3975" s="2" t="s">
        <v>332</v>
      </c>
      <c r="B3975" s="2" t="s">
        <v>402</v>
      </c>
      <c r="C3975" s="2" t="s">
        <v>409</v>
      </c>
      <c r="D3975" s="2" t="s">
        <v>411</v>
      </c>
      <c r="E3975" s="2" t="s">
        <v>413</v>
      </c>
      <c r="F3975" s="2" t="s">
        <v>40</v>
      </c>
      <c r="G3975" s="2" t="s">
        <v>416</v>
      </c>
      <c r="H3975" s="2" t="s">
        <v>348</v>
      </c>
      <c r="S3975" s="2" t="s">
        <v>58</v>
      </c>
      <c r="U3975" s="2" t="s">
        <v>59</v>
      </c>
      <c r="W3975" s="2" t="s">
        <v>59</v>
      </c>
    </row>
    <row r="3976" spans="1:34" x14ac:dyDescent="0.25">
      <c r="A3976" s="2" t="s">
        <v>332</v>
      </c>
      <c r="B3976" s="2" t="s">
        <v>402</v>
      </c>
      <c r="C3976" s="2" t="s">
        <v>409</v>
      </c>
      <c r="D3976" s="2" t="s">
        <v>411</v>
      </c>
      <c r="E3976" s="2" t="s">
        <v>413</v>
      </c>
      <c r="F3976" s="2" t="s">
        <v>40</v>
      </c>
      <c r="G3976" s="2" t="s">
        <v>417</v>
      </c>
      <c r="H3976" s="2" t="s">
        <v>562</v>
      </c>
      <c r="S3976" s="2" t="s">
        <v>59</v>
      </c>
      <c r="U3976" s="2" t="s">
        <v>57</v>
      </c>
      <c r="W3976" s="2" t="s">
        <v>57</v>
      </c>
    </row>
    <row r="3977" spans="1:34" x14ac:dyDescent="0.25">
      <c r="A3977" s="2" t="s">
        <v>332</v>
      </c>
      <c r="B3977" s="2" t="s">
        <v>402</v>
      </c>
      <c r="C3977" s="2" t="s">
        <v>409</v>
      </c>
      <c r="D3977" s="2" t="s">
        <v>411</v>
      </c>
      <c r="E3977" s="2" t="s">
        <v>413</v>
      </c>
      <c r="F3977" s="2" t="s">
        <v>40</v>
      </c>
      <c r="G3977" s="2" t="s">
        <v>418</v>
      </c>
      <c r="H3977" s="2" t="s">
        <v>563</v>
      </c>
      <c r="S3977" s="2" t="s">
        <v>57</v>
      </c>
      <c r="U3977" s="2" t="s">
        <v>60</v>
      </c>
      <c r="W3977" s="2" t="s">
        <v>60</v>
      </c>
    </row>
    <row r="3978" spans="1:34" x14ac:dyDescent="0.25">
      <c r="A3978" s="2" t="s">
        <v>332</v>
      </c>
      <c r="B3978" s="2" t="s">
        <v>531</v>
      </c>
      <c r="C3978" s="2" t="s">
        <v>409</v>
      </c>
      <c r="D3978" s="2" t="s">
        <v>411</v>
      </c>
      <c r="E3978" s="2" t="s">
        <v>413</v>
      </c>
      <c r="F3978" s="2" t="s">
        <v>40</v>
      </c>
      <c r="J3978" s="2" t="s">
        <v>532</v>
      </c>
      <c r="K3978" s="2" t="s">
        <v>533</v>
      </c>
      <c r="L3978" s="2">
        <v>1</v>
      </c>
      <c r="M3978" s="2" t="s">
        <v>534</v>
      </c>
      <c r="O3978" s="2" t="s">
        <v>524</v>
      </c>
      <c r="Y3978" s="2" t="s">
        <v>730</v>
      </c>
    </row>
    <row r="3979" spans="1:34" x14ac:dyDescent="0.25">
      <c r="A3979" s="2" t="s">
        <v>332</v>
      </c>
      <c r="B3979" s="2" t="s">
        <v>531</v>
      </c>
      <c r="C3979" s="2" t="s">
        <v>409</v>
      </c>
      <c r="D3979" s="2" t="s">
        <v>411</v>
      </c>
      <c r="E3979" s="2" t="s">
        <v>413</v>
      </c>
      <c r="F3979" s="2" t="s">
        <v>40</v>
      </c>
      <c r="J3979" s="2" t="s">
        <v>532</v>
      </c>
      <c r="K3979" s="2" t="s">
        <v>533</v>
      </c>
      <c r="L3979" s="2">
        <v>2</v>
      </c>
      <c r="M3979" s="2" t="s">
        <v>536</v>
      </c>
      <c r="O3979" s="2" t="s">
        <v>524</v>
      </c>
      <c r="Y3979" s="2" t="s">
        <v>730</v>
      </c>
    </row>
    <row r="3980" spans="1:34" x14ac:dyDescent="0.25">
      <c r="A3980" s="2" t="s">
        <v>332</v>
      </c>
      <c r="B3980" s="2" t="s">
        <v>531</v>
      </c>
      <c r="C3980" s="2" t="s">
        <v>409</v>
      </c>
      <c r="D3980" s="2" t="s">
        <v>411</v>
      </c>
      <c r="E3980" s="2" t="s">
        <v>413</v>
      </c>
      <c r="F3980" s="2" t="s">
        <v>40</v>
      </c>
      <c r="J3980" s="2" t="s">
        <v>532</v>
      </c>
      <c r="K3980" s="2" t="s">
        <v>533</v>
      </c>
      <c r="L3980" s="2">
        <v>3</v>
      </c>
      <c r="M3980" s="2" t="s">
        <v>537</v>
      </c>
      <c r="O3980" s="2" t="s">
        <v>524</v>
      </c>
      <c r="Y3980" s="2" t="s">
        <v>730</v>
      </c>
    </row>
    <row r="3981" spans="1:34" x14ac:dyDescent="0.25">
      <c r="A3981" s="2" t="s">
        <v>332</v>
      </c>
      <c r="B3981" s="2" t="s">
        <v>531</v>
      </c>
      <c r="C3981" s="2" t="s">
        <v>409</v>
      </c>
      <c r="D3981" s="2" t="s">
        <v>411</v>
      </c>
      <c r="E3981" s="2" t="s">
        <v>413</v>
      </c>
      <c r="F3981" s="2" t="s">
        <v>40</v>
      </c>
      <c r="J3981" s="2" t="s">
        <v>532</v>
      </c>
      <c r="K3981" s="2" t="s">
        <v>533</v>
      </c>
      <c r="L3981" s="2">
        <v>4</v>
      </c>
      <c r="M3981" s="2" t="s">
        <v>538</v>
      </c>
      <c r="O3981" s="2" t="s">
        <v>524</v>
      </c>
      <c r="Y3981" s="2" t="s">
        <v>730</v>
      </c>
    </row>
    <row r="3982" spans="1:34" x14ac:dyDescent="0.25">
      <c r="A3982" s="2" t="s">
        <v>332</v>
      </c>
      <c r="B3982" s="2" t="s">
        <v>531</v>
      </c>
      <c r="C3982" s="2" t="s">
        <v>409</v>
      </c>
      <c r="D3982" s="2" t="s">
        <v>411</v>
      </c>
      <c r="E3982" s="2" t="s">
        <v>413</v>
      </c>
      <c r="F3982" s="2" t="s">
        <v>40</v>
      </c>
      <c r="J3982" s="2" t="s">
        <v>532</v>
      </c>
      <c r="K3982" s="2" t="s">
        <v>533</v>
      </c>
      <c r="L3982" s="2">
        <v>5</v>
      </c>
      <c r="M3982" s="2" t="s">
        <v>539</v>
      </c>
      <c r="O3982" s="2" t="s">
        <v>524</v>
      </c>
      <c r="Y3982" s="2" t="s">
        <v>730</v>
      </c>
    </row>
    <row r="3983" spans="1:34" x14ac:dyDescent="0.25">
      <c r="A3983" s="2" t="s">
        <v>332</v>
      </c>
      <c r="B3983" s="2" t="s">
        <v>540</v>
      </c>
      <c r="C3983" s="2" t="s">
        <v>409</v>
      </c>
      <c r="D3983" s="2" t="s">
        <v>411</v>
      </c>
      <c r="E3983" s="2" t="s">
        <v>413</v>
      </c>
      <c r="F3983" s="2" t="s">
        <v>40</v>
      </c>
      <c r="J3983" s="2" t="s">
        <v>541</v>
      </c>
      <c r="K3983" s="2" t="s">
        <v>542</v>
      </c>
      <c r="L3983" s="2">
        <v>1</v>
      </c>
      <c r="M3983" s="2" t="s">
        <v>543</v>
      </c>
      <c r="O3983" s="2" t="s">
        <v>524</v>
      </c>
      <c r="Y3983" s="2" t="s">
        <v>730</v>
      </c>
    </row>
    <row r="3984" spans="1:34" x14ac:dyDescent="0.25">
      <c r="A3984" s="2" t="s">
        <v>332</v>
      </c>
      <c r="B3984" s="2" t="s">
        <v>540</v>
      </c>
      <c r="C3984" s="2" t="s">
        <v>409</v>
      </c>
      <c r="D3984" s="2" t="s">
        <v>411</v>
      </c>
      <c r="E3984" s="2" t="s">
        <v>413</v>
      </c>
      <c r="F3984" s="2" t="s">
        <v>40</v>
      </c>
      <c r="J3984" s="2" t="s">
        <v>541</v>
      </c>
      <c r="K3984" s="2" t="s">
        <v>542</v>
      </c>
      <c r="L3984" s="2">
        <v>2</v>
      </c>
      <c r="M3984" s="2" t="s">
        <v>544</v>
      </c>
      <c r="O3984" s="2" t="s">
        <v>524</v>
      </c>
      <c r="Y3984" s="2" t="s">
        <v>730</v>
      </c>
    </row>
    <row r="3985" spans="1:34" x14ac:dyDescent="0.25">
      <c r="A3985" s="2" t="s">
        <v>332</v>
      </c>
      <c r="B3985" s="2" t="s">
        <v>540</v>
      </c>
      <c r="C3985" s="2" t="s">
        <v>409</v>
      </c>
      <c r="D3985" s="2" t="s">
        <v>411</v>
      </c>
      <c r="E3985" s="2" t="s">
        <v>413</v>
      </c>
      <c r="F3985" s="2" t="s">
        <v>40</v>
      </c>
      <c r="J3985" s="2" t="s">
        <v>541</v>
      </c>
      <c r="K3985" s="2" t="s">
        <v>542</v>
      </c>
      <c r="L3985" s="2">
        <v>3</v>
      </c>
      <c r="M3985" s="2" t="s">
        <v>545</v>
      </c>
      <c r="O3985" s="2" t="s">
        <v>524</v>
      </c>
      <c r="Y3985" s="2" t="s">
        <v>730</v>
      </c>
    </row>
    <row r="3986" spans="1:34" x14ac:dyDescent="0.25">
      <c r="A3986" s="2" t="s">
        <v>332</v>
      </c>
      <c r="B3986" s="2" t="s">
        <v>540</v>
      </c>
      <c r="C3986" s="2" t="s">
        <v>409</v>
      </c>
      <c r="D3986" s="2" t="s">
        <v>411</v>
      </c>
      <c r="E3986" s="2" t="s">
        <v>413</v>
      </c>
      <c r="F3986" s="2" t="s">
        <v>40</v>
      </c>
      <c r="J3986" s="2" t="s">
        <v>541</v>
      </c>
      <c r="K3986" s="2" t="s">
        <v>542</v>
      </c>
      <c r="L3986" s="2">
        <v>4</v>
      </c>
      <c r="M3986" s="2" t="s">
        <v>546</v>
      </c>
      <c r="O3986" s="2" t="s">
        <v>524</v>
      </c>
      <c r="Y3986" s="2" t="s">
        <v>730</v>
      </c>
    </row>
    <row r="3987" spans="1:34" x14ac:dyDescent="0.25">
      <c r="A3987" s="2" t="s">
        <v>332</v>
      </c>
      <c r="B3987" s="2" t="s">
        <v>540</v>
      </c>
      <c r="C3987" s="2" t="s">
        <v>409</v>
      </c>
      <c r="D3987" s="2" t="s">
        <v>411</v>
      </c>
      <c r="E3987" s="2" t="s">
        <v>413</v>
      </c>
      <c r="F3987" s="2" t="s">
        <v>40</v>
      </c>
      <c r="J3987" s="2" t="s">
        <v>541</v>
      </c>
      <c r="K3987" s="2" t="s">
        <v>542</v>
      </c>
      <c r="L3987" s="2">
        <v>5</v>
      </c>
      <c r="M3987" s="2" t="s">
        <v>547</v>
      </c>
      <c r="O3987" s="2" t="s">
        <v>524</v>
      </c>
      <c r="Y3987" s="2" t="s">
        <v>730</v>
      </c>
    </row>
    <row r="3988" spans="1:34" x14ac:dyDescent="0.25">
      <c r="A3988" s="2" t="s">
        <v>332</v>
      </c>
      <c r="B3988" s="2" t="s">
        <v>540</v>
      </c>
      <c r="C3988" s="2" t="s">
        <v>409</v>
      </c>
      <c r="D3988" s="2" t="s">
        <v>411</v>
      </c>
      <c r="E3988" s="2" t="s">
        <v>413</v>
      </c>
      <c r="F3988" s="2" t="s">
        <v>40</v>
      </c>
      <c r="J3988" s="2" t="s">
        <v>541</v>
      </c>
      <c r="K3988" s="2" t="s">
        <v>542</v>
      </c>
      <c r="L3988" s="2">
        <v>6</v>
      </c>
      <c r="M3988" s="2" t="s">
        <v>548</v>
      </c>
      <c r="O3988" s="2" t="s">
        <v>524</v>
      </c>
      <c r="Y3988" s="2" t="s">
        <v>730</v>
      </c>
    </row>
    <row r="3989" spans="1:34" x14ac:dyDescent="0.25">
      <c r="A3989" s="2" t="s">
        <v>332</v>
      </c>
      <c r="B3989" s="2" t="s">
        <v>540</v>
      </c>
      <c r="C3989" s="2" t="s">
        <v>409</v>
      </c>
      <c r="D3989" s="2" t="s">
        <v>411</v>
      </c>
      <c r="E3989" s="2" t="s">
        <v>413</v>
      </c>
      <c r="F3989" s="2" t="s">
        <v>40</v>
      </c>
      <c r="J3989" s="2" t="s">
        <v>541</v>
      </c>
      <c r="K3989" s="2" t="s">
        <v>542</v>
      </c>
      <c r="L3989" s="2">
        <v>7</v>
      </c>
      <c r="M3989" s="2" t="s">
        <v>549</v>
      </c>
      <c r="O3989" s="2" t="s">
        <v>524</v>
      </c>
      <c r="Y3989" s="2" t="s">
        <v>730</v>
      </c>
    </row>
    <row r="3990" spans="1:34" x14ac:dyDescent="0.25">
      <c r="A3990" s="2" t="s">
        <v>332</v>
      </c>
      <c r="B3990" s="2" t="s">
        <v>540</v>
      </c>
      <c r="C3990" s="2" t="s">
        <v>409</v>
      </c>
      <c r="D3990" s="2" t="s">
        <v>411</v>
      </c>
      <c r="E3990" s="2" t="s">
        <v>413</v>
      </c>
      <c r="F3990" s="2" t="s">
        <v>40</v>
      </c>
      <c r="J3990" s="2" t="s">
        <v>541</v>
      </c>
      <c r="K3990" s="2" t="s">
        <v>542</v>
      </c>
      <c r="L3990" s="2">
        <v>8</v>
      </c>
      <c r="M3990" s="2" t="s">
        <v>550</v>
      </c>
      <c r="O3990" s="2" t="s">
        <v>524</v>
      </c>
      <c r="Y3990" s="2" t="s">
        <v>730</v>
      </c>
    </row>
    <row r="3991" spans="1:34" x14ac:dyDescent="0.25">
      <c r="A3991" s="2" t="s">
        <v>332</v>
      </c>
      <c r="B3991" s="2" t="s">
        <v>540</v>
      </c>
      <c r="C3991" s="2" t="s">
        <v>409</v>
      </c>
      <c r="D3991" s="2" t="s">
        <v>411</v>
      </c>
      <c r="E3991" s="2" t="s">
        <v>413</v>
      </c>
      <c r="F3991" s="2" t="s">
        <v>40</v>
      </c>
      <c r="J3991" s="2" t="s">
        <v>541</v>
      </c>
      <c r="K3991" s="2" t="s">
        <v>542</v>
      </c>
      <c r="L3991" s="2">
        <v>9</v>
      </c>
      <c r="M3991" s="2" t="s">
        <v>551</v>
      </c>
      <c r="O3991" s="2" t="s">
        <v>524</v>
      </c>
      <c r="Y3991" s="2" t="s">
        <v>730</v>
      </c>
    </row>
    <row r="3992" spans="1:34" x14ac:dyDescent="0.25">
      <c r="A3992" s="2" t="s">
        <v>332</v>
      </c>
      <c r="B3992" s="2" t="s">
        <v>540</v>
      </c>
      <c r="C3992" s="2" t="s">
        <v>409</v>
      </c>
      <c r="D3992" s="2" t="s">
        <v>411</v>
      </c>
      <c r="E3992" s="2" t="s">
        <v>413</v>
      </c>
      <c r="F3992" s="2" t="s">
        <v>40</v>
      </c>
      <c r="J3992" s="2" t="s">
        <v>541</v>
      </c>
      <c r="K3992" s="2" t="s">
        <v>542</v>
      </c>
      <c r="L3992" s="2">
        <v>10</v>
      </c>
      <c r="M3992" s="2" t="s">
        <v>552</v>
      </c>
      <c r="O3992" s="2" t="s">
        <v>524</v>
      </c>
      <c r="Y3992" s="2" t="s">
        <v>730</v>
      </c>
    </row>
    <row r="3993" spans="1:34" x14ac:dyDescent="0.25">
      <c r="A3993" s="2" t="s">
        <v>332</v>
      </c>
      <c r="B3993" s="2" t="s">
        <v>540</v>
      </c>
      <c r="C3993" s="2" t="s">
        <v>409</v>
      </c>
      <c r="D3993" s="2" t="s">
        <v>411</v>
      </c>
      <c r="E3993" s="2" t="s">
        <v>413</v>
      </c>
      <c r="F3993" s="2" t="s">
        <v>40</v>
      </c>
      <c r="J3993" s="2" t="s">
        <v>541</v>
      </c>
      <c r="K3993" s="2" t="s">
        <v>542</v>
      </c>
      <c r="L3993" s="2">
        <v>11</v>
      </c>
      <c r="M3993" s="2" t="s">
        <v>553</v>
      </c>
      <c r="O3993" s="2" t="s">
        <v>524</v>
      </c>
      <c r="Y3993" s="2" t="s">
        <v>730</v>
      </c>
    </row>
    <row r="3994" spans="1:34" x14ac:dyDescent="0.25">
      <c r="A3994" s="2" t="s">
        <v>332</v>
      </c>
      <c r="B3994" s="2" t="s">
        <v>540</v>
      </c>
      <c r="C3994" s="2" t="s">
        <v>409</v>
      </c>
      <c r="D3994" s="2" t="s">
        <v>411</v>
      </c>
      <c r="E3994" s="2" t="s">
        <v>413</v>
      </c>
      <c r="F3994" s="2" t="s">
        <v>40</v>
      </c>
      <c r="J3994" s="2" t="s">
        <v>541</v>
      </c>
      <c r="K3994" s="2" t="s">
        <v>542</v>
      </c>
      <c r="L3994" s="2">
        <v>12</v>
      </c>
      <c r="M3994" s="2" t="s">
        <v>554</v>
      </c>
      <c r="O3994" s="2" t="s">
        <v>524</v>
      </c>
      <c r="Y3994" s="2" t="s">
        <v>730</v>
      </c>
    </row>
    <row r="3995" spans="1:34" x14ac:dyDescent="0.25">
      <c r="A3995" s="2" t="s">
        <v>332</v>
      </c>
      <c r="B3995" s="2" t="s">
        <v>555</v>
      </c>
      <c r="C3995" s="2" t="s">
        <v>409</v>
      </c>
      <c r="D3995" s="2" t="s">
        <v>411</v>
      </c>
      <c r="E3995" s="2" t="s">
        <v>413</v>
      </c>
      <c r="F3995" s="2" t="s">
        <v>40</v>
      </c>
      <c r="J3995" s="2" t="s">
        <v>556</v>
      </c>
      <c r="O3995" s="2" t="s">
        <v>524</v>
      </c>
      <c r="Y3995" s="2" t="s">
        <v>730</v>
      </c>
      <c r="AB3995" s="2">
        <v>2</v>
      </c>
    </row>
    <row r="3996" spans="1:34" x14ac:dyDescent="0.25">
      <c r="A3996" s="2" t="s">
        <v>332</v>
      </c>
      <c r="B3996" s="2" t="s">
        <v>557</v>
      </c>
      <c r="C3996" s="2" t="s">
        <v>409</v>
      </c>
      <c r="D3996" s="2" t="s">
        <v>411</v>
      </c>
      <c r="E3996" s="2" t="s">
        <v>413</v>
      </c>
      <c r="F3996" s="2" t="s">
        <v>40</v>
      </c>
      <c r="J3996" s="2" t="s">
        <v>558</v>
      </c>
      <c r="O3996" s="2" t="s">
        <v>524</v>
      </c>
      <c r="Y3996" s="2" t="s">
        <v>730</v>
      </c>
      <c r="AC3996" s="2">
        <f>COUNTIFS($B:$B,"BLOCK_LOAD_Q",$A:$A,$A3996,$C:$C,$C3996,$E:$E,$E3996,$F:$F,$F3996,$N:$N, "&lt;&gt;")</f>
        <v>0</v>
      </c>
      <c r="AD3996" s="2">
        <f>COUNTIFS($B:$B,"BLOCK_TRUST_Q",$A:$A,$A3996,$C:$C,$C3996,$E:$E,$E3996,$F:$F,$F3996,$N:$N, "&lt;&gt;")</f>
        <v>0</v>
      </c>
      <c r="AE3996" s="2" t="str">
        <f>IFERROR(AVERAGEIFS($P:$P,$B:$B,"BLOCK_LOAD_Q",$A:$A,$A3996,$C:$C,$C3996,$E:$E,$E3996,$F:$F,$F3996,$P:$P,"&gt;0"),"")</f>
        <v/>
      </c>
      <c r="AF3996" s="2" t="str">
        <f>IFERROR(AVERAGEIFS($P:$P,$B:$B,"BLOCK_TRUST_Q",$A:$A,$A3996,$C:$C,$C3996,$E:$E,$E3996,$F:$F,$F3996,$P:$P,"&gt;0"),"")</f>
        <v/>
      </c>
      <c r="AG3996" s="2">
        <f>5-AC3996</f>
        <v>5</v>
      </c>
      <c r="AH3996" s="2">
        <f>12-AD3996</f>
        <v>12</v>
      </c>
    </row>
    <row r="3997" spans="1:34" x14ac:dyDescent="0.25">
      <c r="A3997" s="2" t="s">
        <v>332</v>
      </c>
      <c r="B3997" s="2" t="s">
        <v>402</v>
      </c>
      <c r="C3997" s="2" t="s">
        <v>409</v>
      </c>
      <c r="D3997" s="2" t="s">
        <v>411</v>
      </c>
      <c r="E3997" s="2" t="s">
        <v>414</v>
      </c>
      <c r="F3997" s="2" t="s">
        <v>39</v>
      </c>
      <c r="G3997" s="2" t="s">
        <v>415</v>
      </c>
      <c r="H3997" s="2" t="s">
        <v>349</v>
      </c>
      <c r="S3997" s="2" t="s">
        <v>58</v>
      </c>
      <c r="U3997" s="2" t="s">
        <v>60</v>
      </c>
      <c r="W3997" s="2" t="s">
        <v>58</v>
      </c>
    </row>
    <row r="3998" spans="1:34" x14ac:dyDescent="0.25">
      <c r="A3998" s="2" t="s">
        <v>332</v>
      </c>
      <c r="B3998" s="2" t="s">
        <v>402</v>
      </c>
      <c r="C3998" s="2" t="s">
        <v>409</v>
      </c>
      <c r="D3998" s="2" t="s">
        <v>411</v>
      </c>
      <c r="E3998" s="2" t="s">
        <v>414</v>
      </c>
      <c r="F3998" s="2" t="s">
        <v>39</v>
      </c>
      <c r="G3998" s="2" t="s">
        <v>416</v>
      </c>
      <c r="H3998" s="2" t="s">
        <v>565</v>
      </c>
      <c r="S3998" s="2" t="s">
        <v>59</v>
      </c>
      <c r="U3998" s="2" t="s">
        <v>60</v>
      </c>
      <c r="W3998" s="2" t="s">
        <v>60</v>
      </c>
    </row>
    <row r="3999" spans="1:34" x14ac:dyDescent="0.25">
      <c r="A3999" s="2" t="s">
        <v>332</v>
      </c>
      <c r="B3999" s="2" t="s">
        <v>402</v>
      </c>
      <c r="C3999" s="2" t="s">
        <v>409</v>
      </c>
      <c r="D3999" s="2" t="s">
        <v>411</v>
      </c>
      <c r="E3999" s="2" t="s">
        <v>414</v>
      </c>
      <c r="F3999" s="2" t="s">
        <v>39</v>
      </c>
      <c r="G3999" s="2" t="s">
        <v>417</v>
      </c>
      <c r="H3999" s="2" t="s">
        <v>361</v>
      </c>
      <c r="S3999" s="2" t="s">
        <v>60</v>
      </c>
      <c r="U3999" s="2" t="s">
        <v>60</v>
      </c>
      <c r="W3999" s="2" t="s">
        <v>60</v>
      </c>
    </row>
    <row r="4000" spans="1:34" x14ac:dyDescent="0.25">
      <c r="A4000" s="2" t="s">
        <v>332</v>
      </c>
      <c r="B4000" s="2" t="s">
        <v>402</v>
      </c>
      <c r="C4000" s="2" t="s">
        <v>409</v>
      </c>
      <c r="D4000" s="2" t="s">
        <v>411</v>
      </c>
      <c r="E4000" s="2" t="s">
        <v>414</v>
      </c>
      <c r="F4000" s="2" t="s">
        <v>39</v>
      </c>
      <c r="G4000" s="2" t="s">
        <v>418</v>
      </c>
      <c r="H4000" s="2" t="s">
        <v>353</v>
      </c>
      <c r="S4000" s="2" t="s">
        <v>58</v>
      </c>
      <c r="U4000" s="2" t="s">
        <v>59</v>
      </c>
      <c r="W4000" s="2" t="s">
        <v>58</v>
      </c>
    </row>
    <row r="4001" spans="1:25" x14ac:dyDescent="0.25">
      <c r="A4001" s="2" t="s">
        <v>332</v>
      </c>
      <c r="B4001" s="2" t="s">
        <v>402</v>
      </c>
      <c r="C4001" s="2" t="s">
        <v>409</v>
      </c>
      <c r="D4001" s="2" t="s">
        <v>411</v>
      </c>
      <c r="E4001" s="2" t="s">
        <v>414</v>
      </c>
      <c r="F4001" s="2" t="s">
        <v>39</v>
      </c>
      <c r="G4001" s="2" t="s">
        <v>419</v>
      </c>
      <c r="H4001" s="2" t="s">
        <v>371</v>
      </c>
      <c r="S4001" s="2" t="s">
        <v>60</v>
      </c>
      <c r="U4001" s="2" t="s">
        <v>59</v>
      </c>
      <c r="W4001" s="2" t="s">
        <v>57</v>
      </c>
    </row>
    <row r="4002" spans="1:25" x14ac:dyDescent="0.25">
      <c r="A4002" s="2" t="s">
        <v>332</v>
      </c>
      <c r="B4002" s="2" t="s">
        <v>531</v>
      </c>
      <c r="C4002" s="2" t="s">
        <v>409</v>
      </c>
      <c r="D4002" s="2" t="s">
        <v>411</v>
      </c>
      <c r="E4002" s="2" t="s">
        <v>414</v>
      </c>
      <c r="F4002" s="2" t="s">
        <v>39</v>
      </c>
      <c r="J4002" s="2" t="s">
        <v>532</v>
      </c>
      <c r="K4002" s="2" t="s">
        <v>533</v>
      </c>
      <c r="L4002" s="2">
        <v>1</v>
      </c>
      <c r="M4002" s="2" t="s">
        <v>534</v>
      </c>
      <c r="O4002" s="2" t="s">
        <v>524</v>
      </c>
      <c r="Y4002" s="2" t="s">
        <v>731</v>
      </c>
    </row>
    <row r="4003" spans="1:25" x14ac:dyDescent="0.25">
      <c r="A4003" s="2" t="s">
        <v>332</v>
      </c>
      <c r="B4003" s="2" t="s">
        <v>531</v>
      </c>
      <c r="C4003" s="2" t="s">
        <v>409</v>
      </c>
      <c r="D4003" s="2" t="s">
        <v>411</v>
      </c>
      <c r="E4003" s="2" t="s">
        <v>414</v>
      </c>
      <c r="F4003" s="2" t="s">
        <v>39</v>
      </c>
      <c r="J4003" s="2" t="s">
        <v>532</v>
      </c>
      <c r="K4003" s="2" t="s">
        <v>533</v>
      </c>
      <c r="L4003" s="2">
        <v>2</v>
      </c>
      <c r="M4003" s="2" t="s">
        <v>536</v>
      </c>
      <c r="O4003" s="2" t="s">
        <v>524</v>
      </c>
      <c r="Y4003" s="2" t="s">
        <v>731</v>
      </c>
    </row>
    <row r="4004" spans="1:25" x14ac:dyDescent="0.25">
      <c r="A4004" s="2" t="s">
        <v>332</v>
      </c>
      <c r="B4004" s="2" t="s">
        <v>531</v>
      </c>
      <c r="C4004" s="2" t="s">
        <v>409</v>
      </c>
      <c r="D4004" s="2" t="s">
        <v>411</v>
      </c>
      <c r="E4004" s="2" t="s">
        <v>414</v>
      </c>
      <c r="F4004" s="2" t="s">
        <v>39</v>
      </c>
      <c r="J4004" s="2" t="s">
        <v>532</v>
      </c>
      <c r="K4004" s="2" t="s">
        <v>533</v>
      </c>
      <c r="L4004" s="2">
        <v>3</v>
      </c>
      <c r="M4004" s="2" t="s">
        <v>537</v>
      </c>
      <c r="O4004" s="2" t="s">
        <v>524</v>
      </c>
      <c r="Y4004" s="2" t="s">
        <v>731</v>
      </c>
    </row>
    <row r="4005" spans="1:25" x14ac:dyDescent="0.25">
      <c r="A4005" s="2" t="s">
        <v>332</v>
      </c>
      <c r="B4005" s="2" t="s">
        <v>531</v>
      </c>
      <c r="C4005" s="2" t="s">
        <v>409</v>
      </c>
      <c r="D4005" s="2" t="s">
        <v>411</v>
      </c>
      <c r="E4005" s="2" t="s">
        <v>414</v>
      </c>
      <c r="F4005" s="2" t="s">
        <v>39</v>
      </c>
      <c r="J4005" s="2" t="s">
        <v>532</v>
      </c>
      <c r="K4005" s="2" t="s">
        <v>533</v>
      </c>
      <c r="L4005" s="2">
        <v>4</v>
      </c>
      <c r="M4005" s="2" t="s">
        <v>538</v>
      </c>
      <c r="O4005" s="2" t="s">
        <v>524</v>
      </c>
      <c r="Y4005" s="2" t="s">
        <v>731</v>
      </c>
    </row>
    <row r="4006" spans="1:25" x14ac:dyDescent="0.25">
      <c r="A4006" s="2" t="s">
        <v>332</v>
      </c>
      <c r="B4006" s="2" t="s">
        <v>531</v>
      </c>
      <c r="C4006" s="2" t="s">
        <v>409</v>
      </c>
      <c r="D4006" s="2" t="s">
        <v>411</v>
      </c>
      <c r="E4006" s="2" t="s">
        <v>414</v>
      </c>
      <c r="F4006" s="2" t="s">
        <v>39</v>
      </c>
      <c r="J4006" s="2" t="s">
        <v>532</v>
      </c>
      <c r="K4006" s="2" t="s">
        <v>533</v>
      </c>
      <c r="L4006" s="2">
        <v>5</v>
      </c>
      <c r="M4006" s="2" t="s">
        <v>539</v>
      </c>
      <c r="O4006" s="2" t="s">
        <v>524</v>
      </c>
      <c r="Y4006" s="2" t="s">
        <v>731</v>
      </c>
    </row>
    <row r="4007" spans="1:25" x14ac:dyDescent="0.25">
      <c r="A4007" s="2" t="s">
        <v>332</v>
      </c>
      <c r="B4007" s="2" t="s">
        <v>540</v>
      </c>
      <c r="C4007" s="2" t="s">
        <v>409</v>
      </c>
      <c r="D4007" s="2" t="s">
        <v>411</v>
      </c>
      <c r="E4007" s="2" t="s">
        <v>414</v>
      </c>
      <c r="F4007" s="2" t="s">
        <v>39</v>
      </c>
      <c r="J4007" s="2" t="s">
        <v>541</v>
      </c>
      <c r="K4007" s="2" t="s">
        <v>542</v>
      </c>
      <c r="L4007" s="2">
        <v>1</v>
      </c>
      <c r="M4007" s="2" t="s">
        <v>543</v>
      </c>
      <c r="O4007" s="2" t="s">
        <v>524</v>
      </c>
      <c r="Y4007" s="2" t="s">
        <v>731</v>
      </c>
    </row>
    <row r="4008" spans="1:25" x14ac:dyDescent="0.25">
      <c r="A4008" s="2" t="s">
        <v>332</v>
      </c>
      <c r="B4008" s="2" t="s">
        <v>540</v>
      </c>
      <c r="C4008" s="2" t="s">
        <v>409</v>
      </c>
      <c r="D4008" s="2" t="s">
        <v>411</v>
      </c>
      <c r="E4008" s="2" t="s">
        <v>414</v>
      </c>
      <c r="F4008" s="2" t="s">
        <v>39</v>
      </c>
      <c r="J4008" s="2" t="s">
        <v>541</v>
      </c>
      <c r="K4008" s="2" t="s">
        <v>542</v>
      </c>
      <c r="L4008" s="2">
        <v>2</v>
      </c>
      <c r="M4008" s="2" t="s">
        <v>544</v>
      </c>
      <c r="O4008" s="2" t="s">
        <v>524</v>
      </c>
      <c r="Y4008" s="2" t="s">
        <v>731</v>
      </c>
    </row>
    <row r="4009" spans="1:25" x14ac:dyDescent="0.25">
      <c r="A4009" s="2" t="s">
        <v>332</v>
      </c>
      <c r="B4009" s="2" t="s">
        <v>540</v>
      </c>
      <c r="C4009" s="2" t="s">
        <v>409</v>
      </c>
      <c r="D4009" s="2" t="s">
        <v>411</v>
      </c>
      <c r="E4009" s="2" t="s">
        <v>414</v>
      </c>
      <c r="F4009" s="2" t="s">
        <v>39</v>
      </c>
      <c r="J4009" s="2" t="s">
        <v>541</v>
      </c>
      <c r="K4009" s="2" t="s">
        <v>542</v>
      </c>
      <c r="L4009" s="2">
        <v>3</v>
      </c>
      <c r="M4009" s="2" t="s">
        <v>545</v>
      </c>
      <c r="O4009" s="2" t="s">
        <v>524</v>
      </c>
      <c r="Y4009" s="2" t="s">
        <v>731</v>
      </c>
    </row>
    <row r="4010" spans="1:25" x14ac:dyDescent="0.25">
      <c r="A4010" s="2" t="s">
        <v>332</v>
      </c>
      <c r="B4010" s="2" t="s">
        <v>540</v>
      </c>
      <c r="C4010" s="2" t="s">
        <v>409</v>
      </c>
      <c r="D4010" s="2" t="s">
        <v>411</v>
      </c>
      <c r="E4010" s="2" t="s">
        <v>414</v>
      </c>
      <c r="F4010" s="2" t="s">
        <v>39</v>
      </c>
      <c r="J4010" s="2" t="s">
        <v>541</v>
      </c>
      <c r="K4010" s="2" t="s">
        <v>542</v>
      </c>
      <c r="L4010" s="2">
        <v>4</v>
      </c>
      <c r="M4010" s="2" t="s">
        <v>546</v>
      </c>
      <c r="O4010" s="2" t="s">
        <v>524</v>
      </c>
      <c r="Y4010" s="2" t="s">
        <v>731</v>
      </c>
    </row>
    <row r="4011" spans="1:25" x14ac:dyDescent="0.25">
      <c r="A4011" s="2" t="s">
        <v>332</v>
      </c>
      <c r="B4011" s="2" t="s">
        <v>540</v>
      </c>
      <c r="C4011" s="2" t="s">
        <v>409</v>
      </c>
      <c r="D4011" s="2" t="s">
        <v>411</v>
      </c>
      <c r="E4011" s="2" t="s">
        <v>414</v>
      </c>
      <c r="F4011" s="2" t="s">
        <v>39</v>
      </c>
      <c r="J4011" s="2" t="s">
        <v>541</v>
      </c>
      <c r="K4011" s="2" t="s">
        <v>542</v>
      </c>
      <c r="L4011" s="2">
        <v>5</v>
      </c>
      <c r="M4011" s="2" t="s">
        <v>547</v>
      </c>
      <c r="O4011" s="2" t="s">
        <v>524</v>
      </c>
      <c r="Y4011" s="2" t="s">
        <v>731</v>
      </c>
    </row>
    <row r="4012" spans="1:25" x14ac:dyDescent="0.25">
      <c r="A4012" s="2" t="s">
        <v>332</v>
      </c>
      <c r="B4012" s="2" t="s">
        <v>540</v>
      </c>
      <c r="C4012" s="2" t="s">
        <v>409</v>
      </c>
      <c r="D4012" s="2" t="s">
        <v>411</v>
      </c>
      <c r="E4012" s="2" t="s">
        <v>414</v>
      </c>
      <c r="F4012" s="2" t="s">
        <v>39</v>
      </c>
      <c r="J4012" s="2" t="s">
        <v>541</v>
      </c>
      <c r="K4012" s="2" t="s">
        <v>542</v>
      </c>
      <c r="L4012" s="2">
        <v>6</v>
      </c>
      <c r="M4012" s="2" t="s">
        <v>548</v>
      </c>
      <c r="O4012" s="2" t="s">
        <v>524</v>
      </c>
      <c r="Y4012" s="2" t="s">
        <v>731</v>
      </c>
    </row>
    <row r="4013" spans="1:25" x14ac:dyDescent="0.25">
      <c r="A4013" s="2" t="s">
        <v>332</v>
      </c>
      <c r="B4013" s="2" t="s">
        <v>540</v>
      </c>
      <c r="C4013" s="2" t="s">
        <v>409</v>
      </c>
      <c r="D4013" s="2" t="s">
        <v>411</v>
      </c>
      <c r="E4013" s="2" t="s">
        <v>414</v>
      </c>
      <c r="F4013" s="2" t="s">
        <v>39</v>
      </c>
      <c r="J4013" s="2" t="s">
        <v>541</v>
      </c>
      <c r="K4013" s="2" t="s">
        <v>542</v>
      </c>
      <c r="L4013" s="2">
        <v>7</v>
      </c>
      <c r="M4013" s="2" t="s">
        <v>549</v>
      </c>
      <c r="O4013" s="2" t="s">
        <v>524</v>
      </c>
      <c r="Y4013" s="2" t="s">
        <v>731</v>
      </c>
    </row>
    <row r="4014" spans="1:25" x14ac:dyDescent="0.25">
      <c r="A4014" s="2" t="s">
        <v>332</v>
      </c>
      <c r="B4014" s="2" t="s">
        <v>540</v>
      </c>
      <c r="C4014" s="2" t="s">
        <v>409</v>
      </c>
      <c r="D4014" s="2" t="s">
        <v>411</v>
      </c>
      <c r="E4014" s="2" t="s">
        <v>414</v>
      </c>
      <c r="F4014" s="2" t="s">
        <v>39</v>
      </c>
      <c r="J4014" s="2" t="s">
        <v>541</v>
      </c>
      <c r="K4014" s="2" t="s">
        <v>542</v>
      </c>
      <c r="L4014" s="2">
        <v>8</v>
      </c>
      <c r="M4014" s="2" t="s">
        <v>550</v>
      </c>
      <c r="O4014" s="2" t="s">
        <v>524</v>
      </c>
      <c r="Y4014" s="2" t="s">
        <v>731</v>
      </c>
    </row>
    <row r="4015" spans="1:25" x14ac:dyDescent="0.25">
      <c r="A4015" s="2" t="s">
        <v>332</v>
      </c>
      <c r="B4015" s="2" t="s">
        <v>540</v>
      </c>
      <c r="C4015" s="2" t="s">
        <v>409</v>
      </c>
      <c r="D4015" s="2" t="s">
        <v>411</v>
      </c>
      <c r="E4015" s="2" t="s">
        <v>414</v>
      </c>
      <c r="F4015" s="2" t="s">
        <v>39</v>
      </c>
      <c r="J4015" s="2" t="s">
        <v>541</v>
      </c>
      <c r="K4015" s="2" t="s">
        <v>542</v>
      </c>
      <c r="L4015" s="2">
        <v>9</v>
      </c>
      <c r="M4015" s="2" t="s">
        <v>551</v>
      </c>
      <c r="O4015" s="2" t="s">
        <v>524</v>
      </c>
      <c r="Y4015" s="2" t="s">
        <v>731</v>
      </c>
    </row>
    <row r="4016" spans="1:25" x14ac:dyDescent="0.25">
      <c r="A4016" s="2" t="s">
        <v>332</v>
      </c>
      <c r="B4016" s="2" t="s">
        <v>540</v>
      </c>
      <c r="C4016" s="2" t="s">
        <v>409</v>
      </c>
      <c r="D4016" s="2" t="s">
        <v>411</v>
      </c>
      <c r="E4016" s="2" t="s">
        <v>414</v>
      </c>
      <c r="F4016" s="2" t="s">
        <v>39</v>
      </c>
      <c r="J4016" s="2" t="s">
        <v>541</v>
      </c>
      <c r="K4016" s="2" t="s">
        <v>542</v>
      </c>
      <c r="L4016" s="2">
        <v>10</v>
      </c>
      <c r="M4016" s="2" t="s">
        <v>552</v>
      </c>
      <c r="O4016" s="2" t="s">
        <v>524</v>
      </c>
      <c r="Y4016" s="2" t="s">
        <v>731</v>
      </c>
    </row>
    <row r="4017" spans="1:34" x14ac:dyDescent="0.25">
      <c r="A4017" s="2" t="s">
        <v>332</v>
      </c>
      <c r="B4017" s="2" t="s">
        <v>540</v>
      </c>
      <c r="C4017" s="2" t="s">
        <v>409</v>
      </c>
      <c r="D4017" s="2" t="s">
        <v>411</v>
      </c>
      <c r="E4017" s="2" t="s">
        <v>414</v>
      </c>
      <c r="F4017" s="2" t="s">
        <v>39</v>
      </c>
      <c r="J4017" s="2" t="s">
        <v>541</v>
      </c>
      <c r="K4017" s="2" t="s">
        <v>542</v>
      </c>
      <c r="L4017" s="2">
        <v>11</v>
      </c>
      <c r="M4017" s="2" t="s">
        <v>553</v>
      </c>
      <c r="O4017" s="2" t="s">
        <v>524</v>
      </c>
      <c r="Y4017" s="2" t="s">
        <v>731</v>
      </c>
    </row>
    <row r="4018" spans="1:34" x14ac:dyDescent="0.25">
      <c r="A4018" s="2" t="s">
        <v>332</v>
      </c>
      <c r="B4018" s="2" t="s">
        <v>540</v>
      </c>
      <c r="C4018" s="2" t="s">
        <v>409</v>
      </c>
      <c r="D4018" s="2" t="s">
        <v>411</v>
      </c>
      <c r="E4018" s="2" t="s">
        <v>414</v>
      </c>
      <c r="F4018" s="2" t="s">
        <v>39</v>
      </c>
      <c r="J4018" s="2" t="s">
        <v>541</v>
      </c>
      <c r="K4018" s="2" t="s">
        <v>542</v>
      </c>
      <c r="L4018" s="2">
        <v>12</v>
      </c>
      <c r="M4018" s="2" t="s">
        <v>554</v>
      </c>
      <c r="O4018" s="2" t="s">
        <v>524</v>
      </c>
      <c r="Y4018" s="2" t="s">
        <v>731</v>
      </c>
    </row>
    <row r="4019" spans="1:34" x14ac:dyDescent="0.25">
      <c r="A4019" s="2" t="s">
        <v>332</v>
      </c>
      <c r="B4019" s="2" t="s">
        <v>555</v>
      </c>
      <c r="C4019" s="2" t="s">
        <v>409</v>
      </c>
      <c r="D4019" s="2" t="s">
        <v>411</v>
      </c>
      <c r="E4019" s="2" t="s">
        <v>414</v>
      </c>
      <c r="F4019" s="2" t="s">
        <v>39</v>
      </c>
      <c r="J4019" s="2" t="s">
        <v>556</v>
      </c>
      <c r="O4019" s="2" t="s">
        <v>524</v>
      </c>
      <c r="Y4019" s="2" t="s">
        <v>731</v>
      </c>
      <c r="AB4019" s="2">
        <v>1</v>
      </c>
    </row>
    <row r="4020" spans="1:34" x14ac:dyDescent="0.25">
      <c r="A4020" s="2" t="s">
        <v>332</v>
      </c>
      <c r="B4020" s="2" t="s">
        <v>557</v>
      </c>
      <c r="C4020" s="2" t="s">
        <v>409</v>
      </c>
      <c r="D4020" s="2" t="s">
        <v>411</v>
      </c>
      <c r="E4020" s="2" t="s">
        <v>414</v>
      </c>
      <c r="F4020" s="2" t="s">
        <v>39</v>
      </c>
      <c r="J4020" s="2" t="s">
        <v>558</v>
      </c>
      <c r="O4020" s="2" t="s">
        <v>524</v>
      </c>
      <c r="Y4020" s="2" t="s">
        <v>731</v>
      </c>
      <c r="AC4020" s="2">
        <f>COUNTIFS($B:$B,"BLOCK_LOAD_Q",$A:$A,$A4020,$C:$C,$C4020,$E:$E,$E4020,$F:$F,$F4020,$N:$N, "&lt;&gt;")</f>
        <v>0</v>
      </c>
      <c r="AD4020" s="2">
        <f>COUNTIFS($B:$B,"BLOCK_TRUST_Q",$A:$A,$A4020,$C:$C,$C4020,$E:$E,$E4020,$F:$F,$F4020,$N:$N, "&lt;&gt;")</f>
        <v>0</v>
      </c>
      <c r="AE4020" s="2" t="str">
        <f>IFERROR(AVERAGEIFS($P:$P,$B:$B,"BLOCK_LOAD_Q",$A:$A,$A4020,$C:$C,$C4020,$E:$E,$E4020,$F:$F,$F4020,$P:$P,"&gt;0"),"")</f>
        <v/>
      </c>
      <c r="AF4020" s="2" t="str">
        <f>IFERROR(AVERAGEIFS($P:$P,$B:$B,"BLOCK_TRUST_Q",$A:$A,$A4020,$C:$C,$C4020,$E:$E,$E4020,$F:$F,$F4020,$P:$P,"&gt;0"),"")</f>
        <v/>
      </c>
      <c r="AG4020" s="2">
        <f>5-AC4020</f>
        <v>5</v>
      </c>
      <c r="AH4020" s="2">
        <f>12-AD4020</f>
        <v>12</v>
      </c>
    </row>
    <row r="4021" spans="1:34" x14ac:dyDescent="0.25">
      <c r="A4021" s="2" t="s">
        <v>332</v>
      </c>
      <c r="B4021" s="2" t="s">
        <v>403</v>
      </c>
      <c r="C4021" s="2" t="s">
        <v>409</v>
      </c>
      <c r="D4021" s="2" t="s">
        <v>411</v>
      </c>
      <c r="Z4021" s="2" t="s">
        <v>500</v>
      </c>
    </row>
    <row r="4022" spans="1:34" x14ac:dyDescent="0.25">
      <c r="A4022" s="2" t="s">
        <v>332</v>
      </c>
      <c r="B4022" s="2" t="s">
        <v>404</v>
      </c>
      <c r="J4022" s="2" t="s">
        <v>575</v>
      </c>
      <c r="AA4022" s="2" t="s">
        <v>336</v>
      </c>
    </row>
    <row r="4023" spans="1:34" x14ac:dyDescent="0.25">
      <c r="A4023" s="2" t="s">
        <v>332</v>
      </c>
      <c r="B4023" s="2" t="s">
        <v>405</v>
      </c>
    </row>
    <row r="4024" spans="1:34" x14ac:dyDescent="0.25">
      <c r="A4024" s="2" t="s">
        <v>332</v>
      </c>
      <c r="B4024" s="2" t="s">
        <v>406</v>
      </c>
    </row>
    <row r="4025" spans="1:34" x14ac:dyDescent="0.25">
      <c r="A4025" s="2" t="s">
        <v>333</v>
      </c>
      <c r="B4025" s="2" t="s">
        <v>523</v>
      </c>
      <c r="C4025" s="2" t="s">
        <v>524</v>
      </c>
      <c r="D4025" s="2" t="s">
        <v>524</v>
      </c>
      <c r="E4025" s="2" t="s">
        <v>524</v>
      </c>
      <c r="F4025" s="2" t="s">
        <v>524</v>
      </c>
      <c r="J4025" s="2" t="s">
        <v>525</v>
      </c>
      <c r="O4025" s="2" t="s">
        <v>524</v>
      </c>
    </row>
    <row r="4026" spans="1:34" x14ac:dyDescent="0.25">
      <c r="A4026" s="2" t="s">
        <v>333</v>
      </c>
      <c r="B4026" s="2" t="s">
        <v>526</v>
      </c>
      <c r="C4026" s="2" t="s">
        <v>524</v>
      </c>
      <c r="D4026" s="2" t="s">
        <v>524</v>
      </c>
      <c r="E4026" s="2" t="s">
        <v>524</v>
      </c>
      <c r="F4026" s="2" t="s">
        <v>524</v>
      </c>
      <c r="J4026" s="2" t="s">
        <v>527</v>
      </c>
      <c r="O4026" s="2" t="s">
        <v>524</v>
      </c>
    </row>
    <row r="4027" spans="1:34" x14ac:dyDescent="0.25">
      <c r="A4027" s="2" t="s">
        <v>333</v>
      </c>
      <c r="B4027" s="2" t="s">
        <v>402</v>
      </c>
      <c r="C4027" s="2" t="s">
        <v>407</v>
      </c>
      <c r="D4027" s="2" t="s">
        <v>410</v>
      </c>
      <c r="E4027" s="2" t="s">
        <v>413</v>
      </c>
      <c r="F4027" s="2" t="s">
        <v>40</v>
      </c>
      <c r="G4027" s="2" t="s">
        <v>415</v>
      </c>
      <c r="H4027" s="2" t="s">
        <v>354</v>
      </c>
      <c r="S4027" s="2" t="s">
        <v>59</v>
      </c>
      <c r="U4027" s="2" t="s">
        <v>59</v>
      </c>
      <c r="W4027" s="2" t="s">
        <v>58</v>
      </c>
    </row>
    <row r="4028" spans="1:34" x14ac:dyDescent="0.25">
      <c r="A4028" s="2" t="s">
        <v>333</v>
      </c>
      <c r="B4028" s="2" t="s">
        <v>402</v>
      </c>
      <c r="C4028" s="2" t="s">
        <v>407</v>
      </c>
      <c r="D4028" s="2" t="s">
        <v>410</v>
      </c>
      <c r="E4028" s="2" t="s">
        <v>413</v>
      </c>
      <c r="F4028" s="2" t="s">
        <v>40</v>
      </c>
      <c r="G4028" s="2" t="s">
        <v>416</v>
      </c>
      <c r="H4028" s="2" t="s">
        <v>559</v>
      </c>
      <c r="S4028" s="2" t="s">
        <v>57</v>
      </c>
      <c r="U4028" s="2" t="s">
        <v>57</v>
      </c>
      <c r="W4028" s="2" t="s">
        <v>58</v>
      </c>
    </row>
    <row r="4029" spans="1:34" x14ac:dyDescent="0.25">
      <c r="A4029" s="2" t="s">
        <v>333</v>
      </c>
      <c r="B4029" s="2" t="s">
        <v>402</v>
      </c>
      <c r="C4029" s="2" t="s">
        <v>407</v>
      </c>
      <c r="D4029" s="2" t="s">
        <v>410</v>
      </c>
      <c r="E4029" s="2" t="s">
        <v>413</v>
      </c>
      <c r="F4029" s="2" t="s">
        <v>40</v>
      </c>
      <c r="G4029" s="2" t="s">
        <v>417</v>
      </c>
      <c r="H4029" s="2" t="s">
        <v>370</v>
      </c>
      <c r="S4029" s="2" t="s">
        <v>60</v>
      </c>
      <c r="U4029" s="2" t="s">
        <v>58</v>
      </c>
      <c r="W4029" s="2" t="s">
        <v>59</v>
      </c>
    </row>
    <row r="4030" spans="1:34" x14ac:dyDescent="0.25">
      <c r="A4030" s="2" t="s">
        <v>333</v>
      </c>
      <c r="B4030" s="2" t="s">
        <v>402</v>
      </c>
      <c r="C4030" s="2" t="s">
        <v>407</v>
      </c>
      <c r="D4030" s="2" t="s">
        <v>410</v>
      </c>
      <c r="E4030" s="2" t="s">
        <v>413</v>
      </c>
      <c r="F4030" s="2" t="s">
        <v>40</v>
      </c>
      <c r="G4030" s="2" t="s">
        <v>418</v>
      </c>
      <c r="H4030" s="2" t="s">
        <v>560</v>
      </c>
      <c r="S4030" s="2" t="s">
        <v>57</v>
      </c>
      <c r="U4030" s="2" t="s">
        <v>58</v>
      </c>
      <c r="W4030" s="2" t="s">
        <v>60</v>
      </c>
    </row>
    <row r="4031" spans="1:34" x14ac:dyDescent="0.25">
      <c r="A4031" s="2" t="s">
        <v>333</v>
      </c>
      <c r="B4031" s="2" t="s">
        <v>531</v>
      </c>
      <c r="C4031" s="2" t="s">
        <v>407</v>
      </c>
      <c r="D4031" s="2" t="s">
        <v>410</v>
      </c>
      <c r="E4031" s="2" t="s">
        <v>413</v>
      </c>
      <c r="F4031" s="2" t="s">
        <v>40</v>
      </c>
      <c r="J4031" s="2" t="s">
        <v>532</v>
      </c>
      <c r="K4031" s="2" t="s">
        <v>533</v>
      </c>
      <c r="L4031" s="2">
        <v>1</v>
      </c>
      <c r="M4031" s="2" t="s">
        <v>534</v>
      </c>
      <c r="O4031" s="2" t="s">
        <v>524</v>
      </c>
      <c r="Y4031" s="2" t="s">
        <v>732</v>
      </c>
    </row>
    <row r="4032" spans="1:34" x14ac:dyDescent="0.25">
      <c r="A4032" s="2" t="s">
        <v>333</v>
      </c>
      <c r="B4032" s="2" t="s">
        <v>531</v>
      </c>
      <c r="C4032" s="2" t="s">
        <v>407</v>
      </c>
      <c r="D4032" s="2" t="s">
        <v>410</v>
      </c>
      <c r="E4032" s="2" t="s">
        <v>413</v>
      </c>
      <c r="F4032" s="2" t="s">
        <v>40</v>
      </c>
      <c r="J4032" s="2" t="s">
        <v>532</v>
      </c>
      <c r="K4032" s="2" t="s">
        <v>533</v>
      </c>
      <c r="L4032" s="2">
        <v>2</v>
      </c>
      <c r="M4032" s="2" t="s">
        <v>536</v>
      </c>
      <c r="O4032" s="2" t="s">
        <v>524</v>
      </c>
      <c r="Y4032" s="2" t="s">
        <v>732</v>
      </c>
    </row>
    <row r="4033" spans="1:28" x14ac:dyDescent="0.25">
      <c r="A4033" s="2" t="s">
        <v>333</v>
      </c>
      <c r="B4033" s="2" t="s">
        <v>531</v>
      </c>
      <c r="C4033" s="2" t="s">
        <v>407</v>
      </c>
      <c r="D4033" s="2" t="s">
        <v>410</v>
      </c>
      <c r="E4033" s="2" t="s">
        <v>413</v>
      </c>
      <c r="F4033" s="2" t="s">
        <v>40</v>
      </c>
      <c r="J4033" s="2" t="s">
        <v>532</v>
      </c>
      <c r="K4033" s="2" t="s">
        <v>533</v>
      </c>
      <c r="L4033" s="2">
        <v>3</v>
      </c>
      <c r="M4033" s="2" t="s">
        <v>537</v>
      </c>
      <c r="O4033" s="2" t="s">
        <v>524</v>
      </c>
      <c r="Y4033" s="2" t="s">
        <v>732</v>
      </c>
    </row>
    <row r="4034" spans="1:28" x14ac:dyDescent="0.25">
      <c r="A4034" s="2" t="s">
        <v>333</v>
      </c>
      <c r="B4034" s="2" t="s">
        <v>531</v>
      </c>
      <c r="C4034" s="2" t="s">
        <v>407</v>
      </c>
      <c r="D4034" s="2" t="s">
        <v>410</v>
      </c>
      <c r="E4034" s="2" t="s">
        <v>413</v>
      </c>
      <c r="F4034" s="2" t="s">
        <v>40</v>
      </c>
      <c r="J4034" s="2" t="s">
        <v>532</v>
      </c>
      <c r="K4034" s="2" t="s">
        <v>533</v>
      </c>
      <c r="L4034" s="2">
        <v>4</v>
      </c>
      <c r="M4034" s="2" t="s">
        <v>538</v>
      </c>
      <c r="O4034" s="2" t="s">
        <v>524</v>
      </c>
      <c r="Y4034" s="2" t="s">
        <v>732</v>
      </c>
    </row>
    <row r="4035" spans="1:28" x14ac:dyDescent="0.25">
      <c r="A4035" s="2" t="s">
        <v>333</v>
      </c>
      <c r="B4035" s="2" t="s">
        <v>531</v>
      </c>
      <c r="C4035" s="2" t="s">
        <v>407</v>
      </c>
      <c r="D4035" s="2" t="s">
        <v>410</v>
      </c>
      <c r="E4035" s="2" t="s">
        <v>413</v>
      </c>
      <c r="F4035" s="2" t="s">
        <v>40</v>
      </c>
      <c r="J4035" s="2" t="s">
        <v>532</v>
      </c>
      <c r="K4035" s="2" t="s">
        <v>533</v>
      </c>
      <c r="L4035" s="2">
        <v>5</v>
      </c>
      <c r="M4035" s="2" t="s">
        <v>539</v>
      </c>
      <c r="O4035" s="2" t="s">
        <v>524</v>
      </c>
      <c r="Y4035" s="2" t="s">
        <v>732</v>
      </c>
    </row>
    <row r="4036" spans="1:28" x14ac:dyDescent="0.25">
      <c r="A4036" s="2" t="s">
        <v>333</v>
      </c>
      <c r="B4036" s="2" t="s">
        <v>540</v>
      </c>
      <c r="C4036" s="2" t="s">
        <v>407</v>
      </c>
      <c r="D4036" s="2" t="s">
        <v>410</v>
      </c>
      <c r="E4036" s="2" t="s">
        <v>413</v>
      </c>
      <c r="F4036" s="2" t="s">
        <v>40</v>
      </c>
      <c r="J4036" s="2" t="s">
        <v>541</v>
      </c>
      <c r="K4036" s="2" t="s">
        <v>542</v>
      </c>
      <c r="L4036" s="2">
        <v>1</v>
      </c>
      <c r="M4036" s="2" t="s">
        <v>543</v>
      </c>
      <c r="O4036" s="2" t="s">
        <v>524</v>
      </c>
      <c r="Y4036" s="2" t="s">
        <v>732</v>
      </c>
    </row>
    <row r="4037" spans="1:28" x14ac:dyDescent="0.25">
      <c r="A4037" s="2" t="s">
        <v>333</v>
      </c>
      <c r="B4037" s="2" t="s">
        <v>540</v>
      </c>
      <c r="C4037" s="2" t="s">
        <v>407</v>
      </c>
      <c r="D4037" s="2" t="s">
        <v>410</v>
      </c>
      <c r="E4037" s="2" t="s">
        <v>413</v>
      </c>
      <c r="F4037" s="2" t="s">
        <v>40</v>
      </c>
      <c r="J4037" s="2" t="s">
        <v>541</v>
      </c>
      <c r="K4037" s="2" t="s">
        <v>542</v>
      </c>
      <c r="L4037" s="2">
        <v>2</v>
      </c>
      <c r="M4037" s="2" t="s">
        <v>544</v>
      </c>
      <c r="O4037" s="2" t="s">
        <v>524</v>
      </c>
      <c r="Y4037" s="2" t="s">
        <v>732</v>
      </c>
    </row>
    <row r="4038" spans="1:28" x14ac:dyDescent="0.25">
      <c r="A4038" s="2" t="s">
        <v>333</v>
      </c>
      <c r="B4038" s="2" t="s">
        <v>540</v>
      </c>
      <c r="C4038" s="2" t="s">
        <v>407</v>
      </c>
      <c r="D4038" s="2" t="s">
        <v>410</v>
      </c>
      <c r="E4038" s="2" t="s">
        <v>413</v>
      </c>
      <c r="F4038" s="2" t="s">
        <v>40</v>
      </c>
      <c r="J4038" s="2" t="s">
        <v>541</v>
      </c>
      <c r="K4038" s="2" t="s">
        <v>542</v>
      </c>
      <c r="L4038" s="2">
        <v>3</v>
      </c>
      <c r="M4038" s="2" t="s">
        <v>545</v>
      </c>
      <c r="O4038" s="2" t="s">
        <v>524</v>
      </c>
      <c r="Y4038" s="2" t="s">
        <v>732</v>
      </c>
    </row>
    <row r="4039" spans="1:28" x14ac:dyDescent="0.25">
      <c r="A4039" s="2" t="s">
        <v>333</v>
      </c>
      <c r="B4039" s="2" t="s">
        <v>540</v>
      </c>
      <c r="C4039" s="2" t="s">
        <v>407</v>
      </c>
      <c r="D4039" s="2" t="s">
        <v>410</v>
      </c>
      <c r="E4039" s="2" t="s">
        <v>413</v>
      </c>
      <c r="F4039" s="2" t="s">
        <v>40</v>
      </c>
      <c r="J4039" s="2" t="s">
        <v>541</v>
      </c>
      <c r="K4039" s="2" t="s">
        <v>542</v>
      </c>
      <c r="L4039" s="2">
        <v>4</v>
      </c>
      <c r="M4039" s="2" t="s">
        <v>546</v>
      </c>
      <c r="O4039" s="2" t="s">
        <v>524</v>
      </c>
      <c r="Y4039" s="2" t="s">
        <v>732</v>
      </c>
    </row>
    <row r="4040" spans="1:28" x14ac:dyDescent="0.25">
      <c r="A4040" s="2" t="s">
        <v>333</v>
      </c>
      <c r="B4040" s="2" t="s">
        <v>540</v>
      </c>
      <c r="C4040" s="2" t="s">
        <v>407</v>
      </c>
      <c r="D4040" s="2" t="s">
        <v>410</v>
      </c>
      <c r="E4040" s="2" t="s">
        <v>413</v>
      </c>
      <c r="F4040" s="2" t="s">
        <v>40</v>
      </c>
      <c r="J4040" s="2" t="s">
        <v>541</v>
      </c>
      <c r="K4040" s="2" t="s">
        <v>542</v>
      </c>
      <c r="L4040" s="2">
        <v>5</v>
      </c>
      <c r="M4040" s="2" t="s">
        <v>547</v>
      </c>
      <c r="O4040" s="2" t="s">
        <v>524</v>
      </c>
      <c r="Y4040" s="2" t="s">
        <v>732</v>
      </c>
    </row>
    <row r="4041" spans="1:28" x14ac:dyDescent="0.25">
      <c r="A4041" s="2" t="s">
        <v>333</v>
      </c>
      <c r="B4041" s="2" t="s">
        <v>540</v>
      </c>
      <c r="C4041" s="2" t="s">
        <v>407</v>
      </c>
      <c r="D4041" s="2" t="s">
        <v>410</v>
      </c>
      <c r="E4041" s="2" t="s">
        <v>413</v>
      </c>
      <c r="F4041" s="2" t="s">
        <v>40</v>
      </c>
      <c r="J4041" s="2" t="s">
        <v>541</v>
      </c>
      <c r="K4041" s="2" t="s">
        <v>542</v>
      </c>
      <c r="L4041" s="2">
        <v>6</v>
      </c>
      <c r="M4041" s="2" t="s">
        <v>548</v>
      </c>
      <c r="O4041" s="2" t="s">
        <v>524</v>
      </c>
      <c r="Y4041" s="2" t="s">
        <v>732</v>
      </c>
    </row>
    <row r="4042" spans="1:28" x14ac:dyDescent="0.25">
      <c r="A4042" s="2" t="s">
        <v>333</v>
      </c>
      <c r="B4042" s="2" t="s">
        <v>540</v>
      </c>
      <c r="C4042" s="2" t="s">
        <v>407</v>
      </c>
      <c r="D4042" s="2" t="s">
        <v>410</v>
      </c>
      <c r="E4042" s="2" t="s">
        <v>413</v>
      </c>
      <c r="F4042" s="2" t="s">
        <v>40</v>
      </c>
      <c r="J4042" s="2" t="s">
        <v>541</v>
      </c>
      <c r="K4042" s="2" t="s">
        <v>542</v>
      </c>
      <c r="L4042" s="2">
        <v>7</v>
      </c>
      <c r="M4042" s="2" t="s">
        <v>549</v>
      </c>
      <c r="O4042" s="2" t="s">
        <v>524</v>
      </c>
      <c r="Y4042" s="2" t="s">
        <v>732</v>
      </c>
    </row>
    <row r="4043" spans="1:28" x14ac:dyDescent="0.25">
      <c r="A4043" s="2" t="s">
        <v>333</v>
      </c>
      <c r="B4043" s="2" t="s">
        <v>540</v>
      </c>
      <c r="C4043" s="2" t="s">
        <v>407</v>
      </c>
      <c r="D4043" s="2" t="s">
        <v>410</v>
      </c>
      <c r="E4043" s="2" t="s">
        <v>413</v>
      </c>
      <c r="F4043" s="2" t="s">
        <v>40</v>
      </c>
      <c r="J4043" s="2" t="s">
        <v>541</v>
      </c>
      <c r="K4043" s="2" t="s">
        <v>542</v>
      </c>
      <c r="L4043" s="2">
        <v>8</v>
      </c>
      <c r="M4043" s="2" t="s">
        <v>550</v>
      </c>
      <c r="O4043" s="2" t="s">
        <v>524</v>
      </c>
      <c r="Y4043" s="2" t="s">
        <v>732</v>
      </c>
    </row>
    <row r="4044" spans="1:28" x14ac:dyDescent="0.25">
      <c r="A4044" s="2" t="s">
        <v>333</v>
      </c>
      <c r="B4044" s="2" t="s">
        <v>540</v>
      </c>
      <c r="C4044" s="2" t="s">
        <v>407</v>
      </c>
      <c r="D4044" s="2" t="s">
        <v>410</v>
      </c>
      <c r="E4044" s="2" t="s">
        <v>413</v>
      </c>
      <c r="F4044" s="2" t="s">
        <v>40</v>
      </c>
      <c r="J4044" s="2" t="s">
        <v>541</v>
      </c>
      <c r="K4044" s="2" t="s">
        <v>542</v>
      </c>
      <c r="L4044" s="2">
        <v>9</v>
      </c>
      <c r="M4044" s="2" t="s">
        <v>551</v>
      </c>
      <c r="O4044" s="2" t="s">
        <v>524</v>
      </c>
      <c r="Y4044" s="2" t="s">
        <v>732</v>
      </c>
    </row>
    <row r="4045" spans="1:28" x14ac:dyDescent="0.25">
      <c r="A4045" s="2" t="s">
        <v>333</v>
      </c>
      <c r="B4045" s="2" t="s">
        <v>540</v>
      </c>
      <c r="C4045" s="2" t="s">
        <v>407</v>
      </c>
      <c r="D4045" s="2" t="s">
        <v>410</v>
      </c>
      <c r="E4045" s="2" t="s">
        <v>413</v>
      </c>
      <c r="F4045" s="2" t="s">
        <v>40</v>
      </c>
      <c r="J4045" s="2" t="s">
        <v>541</v>
      </c>
      <c r="K4045" s="2" t="s">
        <v>542</v>
      </c>
      <c r="L4045" s="2">
        <v>10</v>
      </c>
      <c r="M4045" s="2" t="s">
        <v>552</v>
      </c>
      <c r="O4045" s="2" t="s">
        <v>524</v>
      </c>
      <c r="Y4045" s="2" t="s">
        <v>732</v>
      </c>
    </row>
    <row r="4046" spans="1:28" x14ac:dyDescent="0.25">
      <c r="A4046" s="2" t="s">
        <v>333</v>
      </c>
      <c r="B4046" s="2" t="s">
        <v>540</v>
      </c>
      <c r="C4046" s="2" t="s">
        <v>407</v>
      </c>
      <c r="D4046" s="2" t="s">
        <v>410</v>
      </c>
      <c r="E4046" s="2" t="s">
        <v>413</v>
      </c>
      <c r="F4046" s="2" t="s">
        <v>40</v>
      </c>
      <c r="J4046" s="2" t="s">
        <v>541</v>
      </c>
      <c r="K4046" s="2" t="s">
        <v>542</v>
      </c>
      <c r="L4046" s="2">
        <v>11</v>
      </c>
      <c r="M4046" s="2" t="s">
        <v>553</v>
      </c>
      <c r="O4046" s="2" t="s">
        <v>524</v>
      </c>
      <c r="Y4046" s="2" t="s">
        <v>732</v>
      </c>
    </row>
    <row r="4047" spans="1:28" x14ac:dyDescent="0.25">
      <c r="A4047" s="2" t="s">
        <v>333</v>
      </c>
      <c r="B4047" s="2" t="s">
        <v>540</v>
      </c>
      <c r="C4047" s="2" t="s">
        <v>407</v>
      </c>
      <c r="D4047" s="2" t="s">
        <v>410</v>
      </c>
      <c r="E4047" s="2" t="s">
        <v>413</v>
      </c>
      <c r="F4047" s="2" t="s">
        <v>40</v>
      </c>
      <c r="J4047" s="2" t="s">
        <v>541</v>
      </c>
      <c r="K4047" s="2" t="s">
        <v>542</v>
      </c>
      <c r="L4047" s="2">
        <v>12</v>
      </c>
      <c r="M4047" s="2" t="s">
        <v>554</v>
      </c>
      <c r="O4047" s="2" t="s">
        <v>524</v>
      </c>
      <c r="Y4047" s="2" t="s">
        <v>732</v>
      </c>
    </row>
    <row r="4048" spans="1:28" x14ac:dyDescent="0.25">
      <c r="A4048" s="2" t="s">
        <v>333</v>
      </c>
      <c r="B4048" s="2" t="s">
        <v>555</v>
      </c>
      <c r="C4048" s="2" t="s">
        <v>407</v>
      </c>
      <c r="D4048" s="2" t="s">
        <v>410</v>
      </c>
      <c r="E4048" s="2" t="s">
        <v>413</v>
      </c>
      <c r="F4048" s="2" t="s">
        <v>40</v>
      </c>
      <c r="J4048" s="2" t="s">
        <v>556</v>
      </c>
      <c r="O4048" s="2" t="s">
        <v>524</v>
      </c>
      <c r="Y4048" s="2" t="s">
        <v>732</v>
      </c>
      <c r="AB4048" s="2">
        <v>2</v>
      </c>
    </row>
    <row r="4049" spans="1:34" x14ac:dyDescent="0.25">
      <c r="A4049" s="2" t="s">
        <v>333</v>
      </c>
      <c r="B4049" s="2" t="s">
        <v>557</v>
      </c>
      <c r="C4049" s="2" t="s">
        <v>407</v>
      </c>
      <c r="D4049" s="2" t="s">
        <v>410</v>
      </c>
      <c r="E4049" s="2" t="s">
        <v>413</v>
      </c>
      <c r="F4049" s="2" t="s">
        <v>40</v>
      </c>
      <c r="J4049" s="2" t="s">
        <v>558</v>
      </c>
      <c r="O4049" s="2" t="s">
        <v>524</v>
      </c>
      <c r="Y4049" s="2" t="s">
        <v>732</v>
      </c>
      <c r="AC4049" s="2">
        <f>COUNTIFS($B:$B,"BLOCK_LOAD_Q",$A:$A,$A4049,$C:$C,$C4049,$E:$E,$E4049,$F:$F,$F4049,$N:$N, "&lt;&gt;")</f>
        <v>0</v>
      </c>
      <c r="AD4049" s="2">
        <f>COUNTIFS($B:$B,"BLOCK_TRUST_Q",$A:$A,$A4049,$C:$C,$C4049,$E:$E,$E4049,$F:$F,$F4049,$N:$N, "&lt;&gt;")</f>
        <v>0</v>
      </c>
      <c r="AE4049" s="2" t="str">
        <f>IFERROR(AVERAGEIFS($P:$P,$B:$B,"BLOCK_LOAD_Q",$A:$A,$A4049,$C:$C,$C4049,$E:$E,$E4049,$F:$F,$F4049,$P:$P,"&gt;0"),"")</f>
        <v/>
      </c>
      <c r="AF4049" s="2" t="str">
        <f>IFERROR(AVERAGEIFS($P:$P,$B:$B,"BLOCK_TRUST_Q",$A:$A,$A4049,$C:$C,$C4049,$E:$E,$E4049,$F:$F,$F4049,$P:$P,"&gt;0"),"")</f>
        <v/>
      </c>
      <c r="AG4049" s="2">
        <f>5-AC4049</f>
        <v>5</v>
      </c>
      <c r="AH4049" s="2">
        <f>12-AD4049</f>
        <v>12</v>
      </c>
    </row>
    <row r="4050" spans="1:34" x14ac:dyDescent="0.25">
      <c r="A4050" s="2" t="s">
        <v>333</v>
      </c>
      <c r="B4050" s="2" t="s">
        <v>402</v>
      </c>
      <c r="C4050" s="2" t="s">
        <v>407</v>
      </c>
      <c r="D4050" s="2" t="s">
        <v>410</v>
      </c>
      <c r="E4050" s="2" t="s">
        <v>414</v>
      </c>
      <c r="F4050" s="2" t="s">
        <v>39</v>
      </c>
      <c r="G4050" s="2" t="s">
        <v>415</v>
      </c>
      <c r="H4050" s="2" t="s">
        <v>373</v>
      </c>
      <c r="S4050" s="2" t="s">
        <v>60</v>
      </c>
      <c r="U4050" s="2" t="s">
        <v>60</v>
      </c>
      <c r="W4050" s="2" t="s">
        <v>60</v>
      </c>
    </row>
    <row r="4051" spans="1:34" x14ac:dyDescent="0.25">
      <c r="A4051" s="2" t="s">
        <v>333</v>
      </c>
      <c r="B4051" s="2" t="s">
        <v>402</v>
      </c>
      <c r="C4051" s="2" t="s">
        <v>407</v>
      </c>
      <c r="D4051" s="2" t="s">
        <v>410</v>
      </c>
      <c r="E4051" s="2" t="s">
        <v>414</v>
      </c>
      <c r="F4051" s="2" t="s">
        <v>39</v>
      </c>
      <c r="G4051" s="2" t="s">
        <v>416</v>
      </c>
      <c r="H4051" s="2" t="s">
        <v>528</v>
      </c>
      <c r="S4051" s="2" t="s">
        <v>60</v>
      </c>
      <c r="U4051" s="2" t="s">
        <v>59</v>
      </c>
      <c r="W4051" s="2" t="s">
        <v>59</v>
      </c>
    </row>
    <row r="4052" spans="1:34" x14ac:dyDescent="0.25">
      <c r="A4052" s="2" t="s">
        <v>333</v>
      </c>
      <c r="B4052" s="2" t="s">
        <v>402</v>
      </c>
      <c r="C4052" s="2" t="s">
        <v>407</v>
      </c>
      <c r="D4052" s="2" t="s">
        <v>410</v>
      </c>
      <c r="E4052" s="2" t="s">
        <v>414</v>
      </c>
      <c r="F4052" s="2" t="s">
        <v>39</v>
      </c>
      <c r="G4052" s="2" t="s">
        <v>417</v>
      </c>
      <c r="H4052" s="2" t="s">
        <v>529</v>
      </c>
      <c r="S4052" s="2" t="s">
        <v>57</v>
      </c>
      <c r="U4052" s="2" t="s">
        <v>59</v>
      </c>
      <c r="W4052" s="2" t="s">
        <v>60</v>
      </c>
    </row>
    <row r="4053" spans="1:34" x14ac:dyDescent="0.25">
      <c r="A4053" s="2" t="s">
        <v>333</v>
      </c>
      <c r="B4053" s="2" t="s">
        <v>402</v>
      </c>
      <c r="C4053" s="2" t="s">
        <v>407</v>
      </c>
      <c r="D4053" s="2" t="s">
        <v>410</v>
      </c>
      <c r="E4053" s="2" t="s">
        <v>414</v>
      </c>
      <c r="F4053" s="2" t="s">
        <v>39</v>
      </c>
      <c r="G4053" s="2" t="s">
        <v>418</v>
      </c>
      <c r="H4053" s="2" t="s">
        <v>347</v>
      </c>
      <c r="S4053" s="2" t="s">
        <v>60</v>
      </c>
      <c r="U4053" s="2" t="s">
        <v>57</v>
      </c>
      <c r="W4053" s="2" t="s">
        <v>59</v>
      </c>
    </row>
    <row r="4054" spans="1:34" x14ac:dyDescent="0.25">
      <c r="A4054" s="2" t="s">
        <v>333</v>
      </c>
      <c r="B4054" s="2" t="s">
        <v>402</v>
      </c>
      <c r="C4054" s="2" t="s">
        <v>407</v>
      </c>
      <c r="D4054" s="2" t="s">
        <v>410</v>
      </c>
      <c r="E4054" s="2" t="s">
        <v>414</v>
      </c>
      <c r="F4054" s="2" t="s">
        <v>39</v>
      </c>
      <c r="G4054" s="2" t="s">
        <v>419</v>
      </c>
      <c r="H4054" s="2" t="s">
        <v>530</v>
      </c>
      <c r="S4054" s="2" t="s">
        <v>57</v>
      </c>
      <c r="U4054" s="2" t="s">
        <v>60</v>
      </c>
      <c r="W4054" s="2" t="s">
        <v>58</v>
      </c>
    </row>
    <row r="4055" spans="1:34" x14ac:dyDescent="0.25">
      <c r="A4055" s="2" t="s">
        <v>333</v>
      </c>
      <c r="B4055" s="2" t="s">
        <v>531</v>
      </c>
      <c r="C4055" s="2" t="s">
        <v>407</v>
      </c>
      <c r="D4055" s="2" t="s">
        <v>410</v>
      </c>
      <c r="E4055" s="2" t="s">
        <v>414</v>
      </c>
      <c r="F4055" s="2" t="s">
        <v>39</v>
      </c>
      <c r="J4055" s="2" t="s">
        <v>532</v>
      </c>
      <c r="K4055" s="2" t="s">
        <v>533</v>
      </c>
      <c r="L4055" s="2">
        <v>1</v>
      </c>
      <c r="M4055" s="2" t="s">
        <v>534</v>
      </c>
      <c r="O4055" s="2" t="s">
        <v>524</v>
      </c>
      <c r="Y4055" s="2" t="s">
        <v>733</v>
      </c>
    </row>
    <row r="4056" spans="1:34" x14ac:dyDescent="0.25">
      <c r="A4056" s="2" t="s">
        <v>333</v>
      </c>
      <c r="B4056" s="2" t="s">
        <v>531</v>
      </c>
      <c r="C4056" s="2" t="s">
        <v>407</v>
      </c>
      <c r="D4056" s="2" t="s">
        <v>410</v>
      </c>
      <c r="E4056" s="2" t="s">
        <v>414</v>
      </c>
      <c r="F4056" s="2" t="s">
        <v>39</v>
      </c>
      <c r="J4056" s="2" t="s">
        <v>532</v>
      </c>
      <c r="K4056" s="2" t="s">
        <v>533</v>
      </c>
      <c r="L4056" s="2">
        <v>2</v>
      </c>
      <c r="M4056" s="2" t="s">
        <v>536</v>
      </c>
      <c r="O4056" s="2" t="s">
        <v>524</v>
      </c>
      <c r="Y4056" s="2" t="s">
        <v>733</v>
      </c>
    </row>
    <row r="4057" spans="1:34" x14ac:dyDescent="0.25">
      <c r="A4057" s="2" t="s">
        <v>333</v>
      </c>
      <c r="B4057" s="2" t="s">
        <v>531</v>
      </c>
      <c r="C4057" s="2" t="s">
        <v>407</v>
      </c>
      <c r="D4057" s="2" t="s">
        <v>410</v>
      </c>
      <c r="E4057" s="2" t="s">
        <v>414</v>
      </c>
      <c r="F4057" s="2" t="s">
        <v>39</v>
      </c>
      <c r="J4057" s="2" t="s">
        <v>532</v>
      </c>
      <c r="K4057" s="2" t="s">
        <v>533</v>
      </c>
      <c r="L4057" s="2">
        <v>3</v>
      </c>
      <c r="M4057" s="2" t="s">
        <v>537</v>
      </c>
      <c r="O4057" s="2" t="s">
        <v>524</v>
      </c>
      <c r="Y4057" s="2" t="s">
        <v>733</v>
      </c>
    </row>
    <row r="4058" spans="1:34" x14ac:dyDescent="0.25">
      <c r="A4058" s="2" t="s">
        <v>333</v>
      </c>
      <c r="B4058" s="2" t="s">
        <v>531</v>
      </c>
      <c r="C4058" s="2" t="s">
        <v>407</v>
      </c>
      <c r="D4058" s="2" t="s">
        <v>410</v>
      </c>
      <c r="E4058" s="2" t="s">
        <v>414</v>
      </c>
      <c r="F4058" s="2" t="s">
        <v>39</v>
      </c>
      <c r="J4058" s="2" t="s">
        <v>532</v>
      </c>
      <c r="K4058" s="2" t="s">
        <v>533</v>
      </c>
      <c r="L4058" s="2">
        <v>4</v>
      </c>
      <c r="M4058" s="2" t="s">
        <v>538</v>
      </c>
      <c r="O4058" s="2" t="s">
        <v>524</v>
      </c>
      <c r="Y4058" s="2" t="s">
        <v>733</v>
      </c>
    </row>
    <row r="4059" spans="1:34" x14ac:dyDescent="0.25">
      <c r="A4059" s="2" t="s">
        <v>333</v>
      </c>
      <c r="B4059" s="2" t="s">
        <v>531</v>
      </c>
      <c r="C4059" s="2" t="s">
        <v>407</v>
      </c>
      <c r="D4059" s="2" t="s">
        <v>410</v>
      </c>
      <c r="E4059" s="2" t="s">
        <v>414</v>
      </c>
      <c r="F4059" s="2" t="s">
        <v>39</v>
      </c>
      <c r="J4059" s="2" t="s">
        <v>532</v>
      </c>
      <c r="K4059" s="2" t="s">
        <v>533</v>
      </c>
      <c r="L4059" s="2">
        <v>5</v>
      </c>
      <c r="M4059" s="2" t="s">
        <v>539</v>
      </c>
      <c r="O4059" s="2" t="s">
        <v>524</v>
      </c>
      <c r="Y4059" s="2" t="s">
        <v>733</v>
      </c>
    </row>
    <row r="4060" spans="1:34" x14ac:dyDescent="0.25">
      <c r="A4060" s="2" t="s">
        <v>333</v>
      </c>
      <c r="B4060" s="2" t="s">
        <v>540</v>
      </c>
      <c r="C4060" s="2" t="s">
        <v>407</v>
      </c>
      <c r="D4060" s="2" t="s">
        <v>410</v>
      </c>
      <c r="E4060" s="2" t="s">
        <v>414</v>
      </c>
      <c r="F4060" s="2" t="s">
        <v>39</v>
      </c>
      <c r="J4060" s="2" t="s">
        <v>541</v>
      </c>
      <c r="K4060" s="2" t="s">
        <v>542</v>
      </c>
      <c r="L4060" s="2">
        <v>1</v>
      </c>
      <c r="M4060" s="2" t="s">
        <v>543</v>
      </c>
      <c r="O4060" s="2" t="s">
        <v>524</v>
      </c>
      <c r="Y4060" s="2" t="s">
        <v>733</v>
      </c>
    </row>
    <row r="4061" spans="1:34" x14ac:dyDescent="0.25">
      <c r="A4061" s="2" t="s">
        <v>333</v>
      </c>
      <c r="B4061" s="2" t="s">
        <v>540</v>
      </c>
      <c r="C4061" s="2" t="s">
        <v>407</v>
      </c>
      <c r="D4061" s="2" t="s">
        <v>410</v>
      </c>
      <c r="E4061" s="2" t="s">
        <v>414</v>
      </c>
      <c r="F4061" s="2" t="s">
        <v>39</v>
      </c>
      <c r="J4061" s="2" t="s">
        <v>541</v>
      </c>
      <c r="K4061" s="2" t="s">
        <v>542</v>
      </c>
      <c r="L4061" s="2">
        <v>2</v>
      </c>
      <c r="M4061" s="2" t="s">
        <v>544</v>
      </c>
      <c r="O4061" s="2" t="s">
        <v>524</v>
      </c>
      <c r="Y4061" s="2" t="s">
        <v>733</v>
      </c>
    </row>
    <row r="4062" spans="1:34" x14ac:dyDescent="0.25">
      <c r="A4062" s="2" t="s">
        <v>333</v>
      </c>
      <c r="B4062" s="2" t="s">
        <v>540</v>
      </c>
      <c r="C4062" s="2" t="s">
        <v>407</v>
      </c>
      <c r="D4062" s="2" t="s">
        <v>410</v>
      </c>
      <c r="E4062" s="2" t="s">
        <v>414</v>
      </c>
      <c r="F4062" s="2" t="s">
        <v>39</v>
      </c>
      <c r="J4062" s="2" t="s">
        <v>541</v>
      </c>
      <c r="K4062" s="2" t="s">
        <v>542</v>
      </c>
      <c r="L4062" s="2">
        <v>3</v>
      </c>
      <c r="M4062" s="2" t="s">
        <v>545</v>
      </c>
      <c r="O4062" s="2" t="s">
        <v>524</v>
      </c>
      <c r="Y4062" s="2" t="s">
        <v>733</v>
      </c>
    </row>
    <row r="4063" spans="1:34" x14ac:dyDescent="0.25">
      <c r="A4063" s="2" t="s">
        <v>333</v>
      </c>
      <c r="B4063" s="2" t="s">
        <v>540</v>
      </c>
      <c r="C4063" s="2" t="s">
        <v>407</v>
      </c>
      <c r="D4063" s="2" t="s">
        <v>410</v>
      </c>
      <c r="E4063" s="2" t="s">
        <v>414</v>
      </c>
      <c r="F4063" s="2" t="s">
        <v>39</v>
      </c>
      <c r="J4063" s="2" t="s">
        <v>541</v>
      </c>
      <c r="K4063" s="2" t="s">
        <v>542</v>
      </c>
      <c r="L4063" s="2">
        <v>4</v>
      </c>
      <c r="M4063" s="2" t="s">
        <v>546</v>
      </c>
      <c r="O4063" s="2" t="s">
        <v>524</v>
      </c>
      <c r="Y4063" s="2" t="s">
        <v>733</v>
      </c>
    </row>
    <row r="4064" spans="1:34" x14ac:dyDescent="0.25">
      <c r="A4064" s="2" t="s">
        <v>333</v>
      </c>
      <c r="B4064" s="2" t="s">
        <v>540</v>
      </c>
      <c r="C4064" s="2" t="s">
        <v>407</v>
      </c>
      <c r="D4064" s="2" t="s">
        <v>410</v>
      </c>
      <c r="E4064" s="2" t="s">
        <v>414</v>
      </c>
      <c r="F4064" s="2" t="s">
        <v>39</v>
      </c>
      <c r="J4064" s="2" t="s">
        <v>541</v>
      </c>
      <c r="K4064" s="2" t="s">
        <v>542</v>
      </c>
      <c r="L4064" s="2">
        <v>5</v>
      </c>
      <c r="M4064" s="2" t="s">
        <v>547</v>
      </c>
      <c r="O4064" s="2" t="s">
        <v>524</v>
      </c>
      <c r="Y4064" s="2" t="s">
        <v>733</v>
      </c>
    </row>
    <row r="4065" spans="1:34" x14ac:dyDescent="0.25">
      <c r="A4065" s="2" t="s">
        <v>333</v>
      </c>
      <c r="B4065" s="2" t="s">
        <v>540</v>
      </c>
      <c r="C4065" s="2" t="s">
        <v>407</v>
      </c>
      <c r="D4065" s="2" t="s">
        <v>410</v>
      </c>
      <c r="E4065" s="2" t="s">
        <v>414</v>
      </c>
      <c r="F4065" s="2" t="s">
        <v>39</v>
      </c>
      <c r="J4065" s="2" t="s">
        <v>541</v>
      </c>
      <c r="K4065" s="2" t="s">
        <v>542</v>
      </c>
      <c r="L4065" s="2">
        <v>6</v>
      </c>
      <c r="M4065" s="2" t="s">
        <v>548</v>
      </c>
      <c r="O4065" s="2" t="s">
        <v>524</v>
      </c>
      <c r="Y4065" s="2" t="s">
        <v>733</v>
      </c>
    </row>
    <row r="4066" spans="1:34" x14ac:dyDescent="0.25">
      <c r="A4066" s="2" t="s">
        <v>333</v>
      </c>
      <c r="B4066" s="2" t="s">
        <v>540</v>
      </c>
      <c r="C4066" s="2" t="s">
        <v>407</v>
      </c>
      <c r="D4066" s="2" t="s">
        <v>410</v>
      </c>
      <c r="E4066" s="2" t="s">
        <v>414</v>
      </c>
      <c r="F4066" s="2" t="s">
        <v>39</v>
      </c>
      <c r="J4066" s="2" t="s">
        <v>541</v>
      </c>
      <c r="K4066" s="2" t="s">
        <v>542</v>
      </c>
      <c r="L4066" s="2">
        <v>7</v>
      </c>
      <c r="M4066" s="2" t="s">
        <v>549</v>
      </c>
      <c r="O4066" s="2" t="s">
        <v>524</v>
      </c>
      <c r="Y4066" s="2" t="s">
        <v>733</v>
      </c>
    </row>
    <row r="4067" spans="1:34" x14ac:dyDescent="0.25">
      <c r="A4067" s="2" t="s">
        <v>333</v>
      </c>
      <c r="B4067" s="2" t="s">
        <v>540</v>
      </c>
      <c r="C4067" s="2" t="s">
        <v>407</v>
      </c>
      <c r="D4067" s="2" t="s">
        <v>410</v>
      </c>
      <c r="E4067" s="2" t="s">
        <v>414</v>
      </c>
      <c r="F4067" s="2" t="s">
        <v>39</v>
      </c>
      <c r="J4067" s="2" t="s">
        <v>541</v>
      </c>
      <c r="K4067" s="2" t="s">
        <v>542</v>
      </c>
      <c r="L4067" s="2">
        <v>8</v>
      </c>
      <c r="M4067" s="2" t="s">
        <v>550</v>
      </c>
      <c r="O4067" s="2" t="s">
        <v>524</v>
      </c>
      <c r="Y4067" s="2" t="s">
        <v>733</v>
      </c>
    </row>
    <row r="4068" spans="1:34" x14ac:dyDescent="0.25">
      <c r="A4068" s="2" t="s">
        <v>333</v>
      </c>
      <c r="B4068" s="2" t="s">
        <v>540</v>
      </c>
      <c r="C4068" s="2" t="s">
        <v>407</v>
      </c>
      <c r="D4068" s="2" t="s">
        <v>410</v>
      </c>
      <c r="E4068" s="2" t="s">
        <v>414</v>
      </c>
      <c r="F4068" s="2" t="s">
        <v>39</v>
      </c>
      <c r="J4068" s="2" t="s">
        <v>541</v>
      </c>
      <c r="K4068" s="2" t="s">
        <v>542</v>
      </c>
      <c r="L4068" s="2">
        <v>9</v>
      </c>
      <c r="M4068" s="2" t="s">
        <v>551</v>
      </c>
      <c r="O4068" s="2" t="s">
        <v>524</v>
      </c>
      <c r="Y4068" s="2" t="s">
        <v>733</v>
      </c>
    </row>
    <row r="4069" spans="1:34" x14ac:dyDescent="0.25">
      <c r="A4069" s="2" t="s">
        <v>333</v>
      </c>
      <c r="B4069" s="2" t="s">
        <v>540</v>
      </c>
      <c r="C4069" s="2" t="s">
        <v>407</v>
      </c>
      <c r="D4069" s="2" t="s">
        <v>410</v>
      </c>
      <c r="E4069" s="2" t="s">
        <v>414</v>
      </c>
      <c r="F4069" s="2" t="s">
        <v>39</v>
      </c>
      <c r="J4069" s="2" t="s">
        <v>541</v>
      </c>
      <c r="K4069" s="2" t="s">
        <v>542</v>
      </c>
      <c r="L4069" s="2">
        <v>10</v>
      </c>
      <c r="M4069" s="2" t="s">
        <v>552</v>
      </c>
      <c r="O4069" s="2" t="s">
        <v>524</v>
      </c>
      <c r="Y4069" s="2" t="s">
        <v>733</v>
      </c>
    </row>
    <row r="4070" spans="1:34" x14ac:dyDescent="0.25">
      <c r="A4070" s="2" t="s">
        <v>333</v>
      </c>
      <c r="B4070" s="2" t="s">
        <v>540</v>
      </c>
      <c r="C4070" s="2" t="s">
        <v>407</v>
      </c>
      <c r="D4070" s="2" t="s">
        <v>410</v>
      </c>
      <c r="E4070" s="2" t="s">
        <v>414</v>
      </c>
      <c r="F4070" s="2" t="s">
        <v>39</v>
      </c>
      <c r="J4070" s="2" t="s">
        <v>541</v>
      </c>
      <c r="K4070" s="2" t="s">
        <v>542</v>
      </c>
      <c r="L4070" s="2">
        <v>11</v>
      </c>
      <c r="M4070" s="2" t="s">
        <v>553</v>
      </c>
      <c r="O4070" s="2" t="s">
        <v>524</v>
      </c>
      <c r="Y4070" s="2" t="s">
        <v>733</v>
      </c>
    </row>
    <row r="4071" spans="1:34" x14ac:dyDescent="0.25">
      <c r="A4071" s="2" t="s">
        <v>333</v>
      </c>
      <c r="B4071" s="2" t="s">
        <v>540</v>
      </c>
      <c r="C4071" s="2" t="s">
        <v>407</v>
      </c>
      <c r="D4071" s="2" t="s">
        <v>410</v>
      </c>
      <c r="E4071" s="2" t="s">
        <v>414</v>
      </c>
      <c r="F4071" s="2" t="s">
        <v>39</v>
      </c>
      <c r="J4071" s="2" t="s">
        <v>541</v>
      </c>
      <c r="K4071" s="2" t="s">
        <v>542</v>
      </c>
      <c r="L4071" s="2">
        <v>12</v>
      </c>
      <c r="M4071" s="2" t="s">
        <v>554</v>
      </c>
      <c r="O4071" s="2" t="s">
        <v>524</v>
      </c>
      <c r="Y4071" s="2" t="s">
        <v>733</v>
      </c>
    </row>
    <row r="4072" spans="1:34" x14ac:dyDescent="0.25">
      <c r="A4072" s="2" t="s">
        <v>333</v>
      </c>
      <c r="B4072" s="2" t="s">
        <v>555</v>
      </c>
      <c r="C4072" s="2" t="s">
        <v>407</v>
      </c>
      <c r="D4072" s="2" t="s">
        <v>410</v>
      </c>
      <c r="E4072" s="2" t="s">
        <v>414</v>
      </c>
      <c r="F4072" s="2" t="s">
        <v>39</v>
      </c>
      <c r="J4072" s="2" t="s">
        <v>556</v>
      </c>
      <c r="O4072" s="2" t="s">
        <v>524</v>
      </c>
      <c r="Y4072" s="2" t="s">
        <v>733</v>
      </c>
      <c r="AB4072" s="2">
        <v>1</v>
      </c>
    </row>
    <row r="4073" spans="1:34" x14ac:dyDescent="0.25">
      <c r="A4073" s="2" t="s">
        <v>333</v>
      </c>
      <c r="B4073" s="2" t="s">
        <v>557</v>
      </c>
      <c r="C4073" s="2" t="s">
        <v>407</v>
      </c>
      <c r="D4073" s="2" t="s">
        <v>410</v>
      </c>
      <c r="E4073" s="2" t="s">
        <v>414</v>
      </c>
      <c r="F4073" s="2" t="s">
        <v>39</v>
      </c>
      <c r="J4073" s="2" t="s">
        <v>558</v>
      </c>
      <c r="O4073" s="2" t="s">
        <v>524</v>
      </c>
      <c r="Y4073" s="2" t="s">
        <v>733</v>
      </c>
      <c r="AC4073" s="2">
        <f>COUNTIFS($B:$B,"BLOCK_LOAD_Q",$A:$A,$A4073,$C:$C,$C4073,$E:$E,$E4073,$F:$F,$F4073,$N:$N, "&lt;&gt;")</f>
        <v>0</v>
      </c>
      <c r="AD4073" s="2">
        <f>COUNTIFS($B:$B,"BLOCK_TRUST_Q",$A:$A,$A4073,$C:$C,$C4073,$E:$E,$E4073,$F:$F,$F4073,$N:$N, "&lt;&gt;")</f>
        <v>0</v>
      </c>
      <c r="AE4073" s="2" t="str">
        <f>IFERROR(AVERAGEIFS($P:$P,$B:$B,"BLOCK_LOAD_Q",$A:$A,$A4073,$C:$C,$C4073,$E:$E,$E4073,$F:$F,$F4073,$P:$P,"&gt;0"),"")</f>
        <v/>
      </c>
      <c r="AF4073" s="2" t="str">
        <f>IFERROR(AVERAGEIFS($P:$P,$B:$B,"BLOCK_TRUST_Q",$A:$A,$A4073,$C:$C,$C4073,$E:$E,$E4073,$F:$F,$F4073,$P:$P,"&gt;0"),"")</f>
        <v/>
      </c>
      <c r="AG4073" s="2">
        <f>5-AC4073</f>
        <v>5</v>
      </c>
      <c r="AH4073" s="2">
        <f>12-AD4073</f>
        <v>12</v>
      </c>
    </row>
    <row r="4074" spans="1:34" x14ac:dyDescent="0.25">
      <c r="A4074" s="2" t="s">
        <v>333</v>
      </c>
      <c r="B4074" s="2" t="s">
        <v>403</v>
      </c>
      <c r="C4074" s="2" t="s">
        <v>407</v>
      </c>
      <c r="D4074" s="2" t="s">
        <v>410</v>
      </c>
      <c r="Z4074" s="2" t="s">
        <v>501</v>
      </c>
    </row>
    <row r="4075" spans="1:34" x14ac:dyDescent="0.25">
      <c r="A4075" s="2" t="s">
        <v>333</v>
      </c>
      <c r="B4075" s="2" t="s">
        <v>402</v>
      </c>
      <c r="C4075" s="2" t="s">
        <v>408</v>
      </c>
      <c r="D4075" s="2" t="s">
        <v>411</v>
      </c>
      <c r="E4075" s="2" t="s">
        <v>413</v>
      </c>
      <c r="F4075" s="2" t="s">
        <v>39</v>
      </c>
      <c r="G4075" s="2" t="s">
        <v>415</v>
      </c>
      <c r="H4075" s="2" t="s">
        <v>349</v>
      </c>
      <c r="S4075" s="2" t="s">
        <v>58</v>
      </c>
      <c r="U4075" s="2" t="s">
        <v>60</v>
      </c>
      <c r="W4075" s="2" t="s">
        <v>58</v>
      </c>
    </row>
    <row r="4076" spans="1:34" x14ac:dyDescent="0.25">
      <c r="A4076" s="2" t="s">
        <v>333</v>
      </c>
      <c r="B4076" s="2" t="s">
        <v>402</v>
      </c>
      <c r="C4076" s="2" t="s">
        <v>408</v>
      </c>
      <c r="D4076" s="2" t="s">
        <v>411</v>
      </c>
      <c r="E4076" s="2" t="s">
        <v>413</v>
      </c>
      <c r="F4076" s="2" t="s">
        <v>39</v>
      </c>
      <c r="G4076" s="2" t="s">
        <v>416</v>
      </c>
      <c r="H4076" s="2" t="s">
        <v>565</v>
      </c>
      <c r="S4076" s="2" t="s">
        <v>59</v>
      </c>
      <c r="U4076" s="2" t="s">
        <v>60</v>
      </c>
      <c r="W4076" s="2" t="s">
        <v>60</v>
      </c>
    </row>
    <row r="4077" spans="1:34" x14ac:dyDescent="0.25">
      <c r="A4077" s="2" t="s">
        <v>333</v>
      </c>
      <c r="B4077" s="2" t="s">
        <v>402</v>
      </c>
      <c r="C4077" s="2" t="s">
        <v>408</v>
      </c>
      <c r="D4077" s="2" t="s">
        <v>411</v>
      </c>
      <c r="E4077" s="2" t="s">
        <v>413</v>
      </c>
      <c r="F4077" s="2" t="s">
        <v>39</v>
      </c>
      <c r="G4077" s="2" t="s">
        <v>417</v>
      </c>
      <c r="H4077" s="2" t="s">
        <v>361</v>
      </c>
      <c r="S4077" s="2" t="s">
        <v>60</v>
      </c>
      <c r="U4077" s="2" t="s">
        <v>60</v>
      </c>
      <c r="W4077" s="2" t="s">
        <v>60</v>
      </c>
    </row>
    <row r="4078" spans="1:34" x14ac:dyDescent="0.25">
      <c r="A4078" s="2" t="s">
        <v>333</v>
      </c>
      <c r="B4078" s="2" t="s">
        <v>402</v>
      </c>
      <c r="C4078" s="2" t="s">
        <v>408</v>
      </c>
      <c r="D4078" s="2" t="s">
        <v>411</v>
      </c>
      <c r="E4078" s="2" t="s">
        <v>413</v>
      </c>
      <c r="F4078" s="2" t="s">
        <v>39</v>
      </c>
      <c r="G4078" s="2" t="s">
        <v>418</v>
      </c>
      <c r="H4078" s="2" t="s">
        <v>353</v>
      </c>
      <c r="S4078" s="2" t="s">
        <v>58</v>
      </c>
      <c r="U4078" s="2" t="s">
        <v>59</v>
      </c>
      <c r="W4078" s="2" t="s">
        <v>58</v>
      </c>
    </row>
    <row r="4079" spans="1:34" x14ac:dyDescent="0.25">
      <c r="A4079" s="2" t="s">
        <v>333</v>
      </c>
      <c r="B4079" s="2" t="s">
        <v>402</v>
      </c>
      <c r="C4079" s="2" t="s">
        <v>408</v>
      </c>
      <c r="D4079" s="2" t="s">
        <v>411</v>
      </c>
      <c r="E4079" s="2" t="s">
        <v>413</v>
      </c>
      <c r="F4079" s="2" t="s">
        <v>39</v>
      </c>
      <c r="G4079" s="2" t="s">
        <v>419</v>
      </c>
      <c r="H4079" s="2" t="s">
        <v>371</v>
      </c>
      <c r="S4079" s="2" t="s">
        <v>60</v>
      </c>
      <c r="U4079" s="2" t="s">
        <v>59</v>
      </c>
      <c r="W4079" s="2" t="s">
        <v>57</v>
      </c>
    </row>
    <row r="4080" spans="1:34" x14ac:dyDescent="0.25">
      <c r="A4080" s="2" t="s">
        <v>333</v>
      </c>
      <c r="B4080" s="2" t="s">
        <v>531</v>
      </c>
      <c r="C4080" s="2" t="s">
        <v>408</v>
      </c>
      <c r="D4080" s="2" t="s">
        <v>411</v>
      </c>
      <c r="E4080" s="2" t="s">
        <v>413</v>
      </c>
      <c r="F4080" s="2" t="s">
        <v>39</v>
      </c>
      <c r="J4080" s="2" t="s">
        <v>532</v>
      </c>
      <c r="K4080" s="2" t="s">
        <v>533</v>
      </c>
      <c r="L4080" s="2">
        <v>1</v>
      </c>
      <c r="M4080" s="2" t="s">
        <v>534</v>
      </c>
      <c r="O4080" s="2" t="s">
        <v>524</v>
      </c>
      <c r="Y4080" s="2" t="s">
        <v>734</v>
      </c>
    </row>
    <row r="4081" spans="1:25" x14ac:dyDescent="0.25">
      <c r="A4081" s="2" t="s">
        <v>333</v>
      </c>
      <c r="B4081" s="2" t="s">
        <v>531</v>
      </c>
      <c r="C4081" s="2" t="s">
        <v>408</v>
      </c>
      <c r="D4081" s="2" t="s">
        <v>411</v>
      </c>
      <c r="E4081" s="2" t="s">
        <v>413</v>
      </c>
      <c r="F4081" s="2" t="s">
        <v>39</v>
      </c>
      <c r="J4081" s="2" t="s">
        <v>532</v>
      </c>
      <c r="K4081" s="2" t="s">
        <v>533</v>
      </c>
      <c r="L4081" s="2">
        <v>2</v>
      </c>
      <c r="M4081" s="2" t="s">
        <v>536</v>
      </c>
      <c r="O4081" s="2" t="s">
        <v>524</v>
      </c>
      <c r="Y4081" s="2" t="s">
        <v>734</v>
      </c>
    </row>
    <row r="4082" spans="1:25" x14ac:dyDescent="0.25">
      <c r="A4082" s="2" t="s">
        <v>333</v>
      </c>
      <c r="B4082" s="2" t="s">
        <v>531</v>
      </c>
      <c r="C4082" s="2" t="s">
        <v>408</v>
      </c>
      <c r="D4082" s="2" t="s">
        <v>411</v>
      </c>
      <c r="E4082" s="2" t="s">
        <v>413</v>
      </c>
      <c r="F4082" s="2" t="s">
        <v>39</v>
      </c>
      <c r="J4082" s="2" t="s">
        <v>532</v>
      </c>
      <c r="K4082" s="2" t="s">
        <v>533</v>
      </c>
      <c r="L4082" s="2">
        <v>3</v>
      </c>
      <c r="M4082" s="2" t="s">
        <v>537</v>
      </c>
      <c r="O4082" s="2" t="s">
        <v>524</v>
      </c>
      <c r="Y4082" s="2" t="s">
        <v>734</v>
      </c>
    </row>
    <row r="4083" spans="1:25" x14ac:dyDescent="0.25">
      <c r="A4083" s="2" t="s">
        <v>333</v>
      </c>
      <c r="B4083" s="2" t="s">
        <v>531</v>
      </c>
      <c r="C4083" s="2" t="s">
        <v>408</v>
      </c>
      <c r="D4083" s="2" t="s">
        <v>411</v>
      </c>
      <c r="E4083" s="2" t="s">
        <v>413</v>
      </c>
      <c r="F4083" s="2" t="s">
        <v>39</v>
      </c>
      <c r="J4083" s="2" t="s">
        <v>532</v>
      </c>
      <c r="K4083" s="2" t="s">
        <v>533</v>
      </c>
      <c r="L4083" s="2">
        <v>4</v>
      </c>
      <c r="M4083" s="2" t="s">
        <v>538</v>
      </c>
      <c r="O4083" s="2" t="s">
        <v>524</v>
      </c>
      <c r="Y4083" s="2" t="s">
        <v>734</v>
      </c>
    </row>
    <row r="4084" spans="1:25" x14ac:dyDescent="0.25">
      <c r="A4084" s="2" t="s">
        <v>333</v>
      </c>
      <c r="B4084" s="2" t="s">
        <v>531</v>
      </c>
      <c r="C4084" s="2" t="s">
        <v>408</v>
      </c>
      <c r="D4084" s="2" t="s">
        <v>411</v>
      </c>
      <c r="E4084" s="2" t="s">
        <v>413</v>
      </c>
      <c r="F4084" s="2" t="s">
        <v>39</v>
      </c>
      <c r="J4084" s="2" t="s">
        <v>532</v>
      </c>
      <c r="K4084" s="2" t="s">
        <v>533</v>
      </c>
      <c r="L4084" s="2">
        <v>5</v>
      </c>
      <c r="M4084" s="2" t="s">
        <v>539</v>
      </c>
      <c r="O4084" s="2" t="s">
        <v>524</v>
      </c>
      <c r="Y4084" s="2" t="s">
        <v>734</v>
      </c>
    </row>
    <row r="4085" spans="1:25" x14ac:dyDescent="0.25">
      <c r="A4085" s="2" t="s">
        <v>333</v>
      </c>
      <c r="B4085" s="2" t="s">
        <v>540</v>
      </c>
      <c r="C4085" s="2" t="s">
        <v>408</v>
      </c>
      <c r="D4085" s="2" t="s">
        <v>411</v>
      </c>
      <c r="E4085" s="2" t="s">
        <v>413</v>
      </c>
      <c r="F4085" s="2" t="s">
        <v>39</v>
      </c>
      <c r="J4085" s="2" t="s">
        <v>541</v>
      </c>
      <c r="K4085" s="2" t="s">
        <v>542</v>
      </c>
      <c r="L4085" s="2">
        <v>1</v>
      </c>
      <c r="M4085" s="2" t="s">
        <v>543</v>
      </c>
      <c r="O4085" s="2" t="s">
        <v>524</v>
      </c>
      <c r="Y4085" s="2" t="s">
        <v>734</v>
      </c>
    </row>
    <row r="4086" spans="1:25" x14ac:dyDescent="0.25">
      <c r="A4086" s="2" t="s">
        <v>333</v>
      </c>
      <c r="B4086" s="2" t="s">
        <v>540</v>
      </c>
      <c r="C4086" s="2" t="s">
        <v>408</v>
      </c>
      <c r="D4086" s="2" t="s">
        <v>411</v>
      </c>
      <c r="E4086" s="2" t="s">
        <v>413</v>
      </c>
      <c r="F4086" s="2" t="s">
        <v>39</v>
      </c>
      <c r="J4086" s="2" t="s">
        <v>541</v>
      </c>
      <c r="K4086" s="2" t="s">
        <v>542</v>
      </c>
      <c r="L4086" s="2">
        <v>2</v>
      </c>
      <c r="M4086" s="2" t="s">
        <v>544</v>
      </c>
      <c r="O4086" s="2" t="s">
        <v>524</v>
      </c>
      <c r="Y4086" s="2" t="s">
        <v>734</v>
      </c>
    </row>
    <row r="4087" spans="1:25" x14ac:dyDescent="0.25">
      <c r="A4087" s="2" t="s">
        <v>333</v>
      </c>
      <c r="B4087" s="2" t="s">
        <v>540</v>
      </c>
      <c r="C4087" s="2" t="s">
        <v>408</v>
      </c>
      <c r="D4087" s="2" t="s">
        <v>411</v>
      </c>
      <c r="E4087" s="2" t="s">
        <v>413</v>
      </c>
      <c r="F4087" s="2" t="s">
        <v>39</v>
      </c>
      <c r="J4087" s="2" t="s">
        <v>541</v>
      </c>
      <c r="K4087" s="2" t="s">
        <v>542</v>
      </c>
      <c r="L4087" s="2">
        <v>3</v>
      </c>
      <c r="M4087" s="2" t="s">
        <v>545</v>
      </c>
      <c r="O4087" s="2" t="s">
        <v>524</v>
      </c>
      <c r="Y4087" s="2" t="s">
        <v>734</v>
      </c>
    </row>
    <row r="4088" spans="1:25" x14ac:dyDescent="0.25">
      <c r="A4088" s="2" t="s">
        <v>333</v>
      </c>
      <c r="B4088" s="2" t="s">
        <v>540</v>
      </c>
      <c r="C4088" s="2" t="s">
        <v>408</v>
      </c>
      <c r="D4088" s="2" t="s">
        <v>411</v>
      </c>
      <c r="E4088" s="2" t="s">
        <v>413</v>
      </c>
      <c r="F4088" s="2" t="s">
        <v>39</v>
      </c>
      <c r="J4088" s="2" t="s">
        <v>541</v>
      </c>
      <c r="K4088" s="2" t="s">
        <v>542</v>
      </c>
      <c r="L4088" s="2">
        <v>4</v>
      </c>
      <c r="M4088" s="2" t="s">
        <v>546</v>
      </c>
      <c r="O4088" s="2" t="s">
        <v>524</v>
      </c>
      <c r="Y4088" s="2" t="s">
        <v>734</v>
      </c>
    </row>
    <row r="4089" spans="1:25" x14ac:dyDescent="0.25">
      <c r="A4089" s="2" t="s">
        <v>333</v>
      </c>
      <c r="B4089" s="2" t="s">
        <v>540</v>
      </c>
      <c r="C4089" s="2" t="s">
        <v>408</v>
      </c>
      <c r="D4089" s="2" t="s">
        <v>411</v>
      </c>
      <c r="E4089" s="2" t="s">
        <v>413</v>
      </c>
      <c r="F4089" s="2" t="s">
        <v>39</v>
      </c>
      <c r="J4089" s="2" t="s">
        <v>541</v>
      </c>
      <c r="K4089" s="2" t="s">
        <v>542</v>
      </c>
      <c r="L4089" s="2">
        <v>5</v>
      </c>
      <c r="M4089" s="2" t="s">
        <v>547</v>
      </c>
      <c r="O4089" s="2" t="s">
        <v>524</v>
      </c>
      <c r="Y4089" s="2" t="s">
        <v>734</v>
      </c>
    </row>
    <row r="4090" spans="1:25" x14ac:dyDescent="0.25">
      <c r="A4090" s="2" t="s">
        <v>333</v>
      </c>
      <c r="B4090" s="2" t="s">
        <v>540</v>
      </c>
      <c r="C4090" s="2" t="s">
        <v>408</v>
      </c>
      <c r="D4090" s="2" t="s">
        <v>411</v>
      </c>
      <c r="E4090" s="2" t="s">
        <v>413</v>
      </c>
      <c r="F4090" s="2" t="s">
        <v>39</v>
      </c>
      <c r="J4090" s="2" t="s">
        <v>541</v>
      </c>
      <c r="K4090" s="2" t="s">
        <v>542</v>
      </c>
      <c r="L4090" s="2">
        <v>6</v>
      </c>
      <c r="M4090" s="2" t="s">
        <v>548</v>
      </c>
      <c r="O4090" s="2" t="s">
        <v>524</v>
      </c>
      <c r="Y4090" s="2" t="s">
        <v>734</v>
      </c>
    </row>
    <row r="4091" spans="1:25" x14ac:dyDescent="0.25">
      <c r="A4091" s="2" t="s">
        <v>333</v>
      </c>
      <c r="B4091" s="2" t="s">
        <v>540</v>
      </c>
      <c r="C4091" s="2" t="s">
        <v>408</v>
      </c>
      <c r="D4091" s="2" t="s">
        <v>411</v>
      </c>
      <c r="E4091" s="2" t="s">
        <v>413</v>
      </c>
      <c r="F4091" s="2" t="s">
        <v>39</v>
      </c>
      <c r="J4091" s="2" t="s">
        <v>541</v>
      </c>
      <c r="K4091" s="2" t="s">
        <v>542</v>
      </c>
      <c r="L4091" s="2">
        <v>7</v>
      </c>
      <c r="M4091" s="2" t="s">
        <v>549</v>
      </c>
      <c r="O4091" s="2" t="s">
        <v>524</v>
      </c>
      <c r="Y4091" s="2" t="s">
        <v>734</v>
      </c>
    </row>
    <row r="4092" spans="1:25" x14ac:dyDescent="0.25">
      <c r="A4092" s="2" t="s">
        <v>333</v>
      </c>
      <c r="B4092" s="2" t="s">
        <v>540</v>
      </c>
      <c r="C4092" s="2" t="s">
        <v>408</v>
      </c>
      <c r="D4092" s="2" t="s">
        <v>411</v>
      </c>
      <c r="E4092" s="2" t="s">
        <v>413</v>
      </c>
      <c r="F4092" s="2" t="s">
        <v>39</v>
      </c>
      <c r="J4092" s="2" t="s">
        <v>541</v>
      </c>
      <c r="K4092" s="2" t="s">
        <v>542</v>
      </c>
      <c r="L4092" s="2">
        <v>8</v>
      </c>
      <c r="M4092" s="2" t="s">
        <v>550</v>
      </c>
      <c r="O4092" s="2" t="s">
        <v>524</v>
      </c>
      <c r="Y4092" s="2" t="s">
        <v>734</v>
      </c>
    </row>
    <row r="4093" spans="1:25" x14ac:dyDescent="0.25">
      <c r="A4093" s="2" t="s">
        <v>333</v>
      </c>
      <c r="B4093" s="2" t="s">
        <v>540</v>
      </c>
      <c r="C4093" s="2" t="s">
        <v>408</v>
      </c>
      <c r="D4093" s="2" t="s">
        <v>411</v>
      </c>
      <c r="E4093" s="2" t="s">
        <v>413</v>
      </c>
      <c r="F4093" s="2" t="s">
        <v>39</v>
      </c>
      <c r="J4093" s="2" t="s">
        <v>541</v>
      </c>
      <c r="K4093" s="2" t="s">
        <v>542</v>
      </c>
      <c r="L4093" s="2">
        <v>9</v>
      </c>
      <c r="M4093" s="2" t="s">
        <v>551</v>
      </c>
      <c r="O4093" s="2" t="s">
        <v>524</v>
      </c>
      <c r="Y4093" s="2" t="s">
        <v>734</v>
      </c>
    </row>
    <row r="4094" spans="1:25" x14ac:dyDescent="0.25">
      <c r="A4094" s="2" t="s">
        <v>333</v>
      </c>
      <c r="B4094" s="2" t="s">
        <v>540</v>
      </c>
      <c r="C4094" s="2" t="s">
        <v>408</v>
      </c>
      <c r="D4094" s="2" t="s">
        <v>411</v>
      </c>
      <c r="E4094" s="2" t="s">
        <v>413</v>
      </c>
      <c r="F4094" s="2" t="s">
        <v>39</v>
      </c>
      <c r="J4094" s="2" t="s">
        <v>541</v>
      </c>
      <c r="K4094" s="2" t="s">
        <v>542</v>
      </c>
      <c r="L4094" s="2">
        <v>10</v>
      </c>
      <c r="M4094" s="2" t="s">
        <v>552</v>
      </c>
      <c r="O4094" s="2" t="s">
        <v>524</v>
      </c>
      <c r="Y4094" s="2" t="s">
        <v>734</v>
      </c>
    </row>
    <row r="4095" spans="1:25" x14ac:dyDescent="0.25">
      <c r="A4095" s="2" t="s">
        <v>333</v>
      </c>
      <c r="B4095" s="2" t="s">
        <v>540</v>
      </c>
      <c r="C4095" s="2" t="s">
        <v>408</v>
      </c>
      <c r="D4095" s="2" t="s">
        <v>411</v>
      </c>
      <c r="E4095" s="2" t="s">
        <v>413</v>
      </c>
      <c r="F4095" s="2" t="s">
        <v>39</v>
      </c>
      <c r="J4095" s="2" t="s">
        <v>541</v>
      </c>
      <c r="K4095" s="2" t="s">
        <v>542</v>
      </c>
      <c r="L4095" s="2">
        <v>11</v>
      </c>
      <c r="M4095" s="2" t="s">
        <v>553</v>
      </c>
      <c r="O4095" s="2" t="s">
        <v>524</v>
      </c>
      <c r="Y4095" s="2" t="s">
        <v>734</v>
      </c>
    </row>
    <row r="4096" spans="1:25" x14ac:dyDescent="0.25">
      <c r="A4096" s="2" t="s">
        <v>333</v>
      </c>
      <c r="B4096" s="2" t="s">
        <v>540</v>
      </c>
      <c r="C4096" s="2" t="s">
        <v>408</v>
      </c>
      <c r="D4096" s="2" t="s">
        <v>411</v>
      </c>
      <c r="E4096" s="2" t="s">
        <v>413</v>
      </c>
      <c r="F4096" s="2" t="s">
        <v>39</v>
      </c>
      <c r="J4096" s="2" t="s">
        <v>541</v>
      </c>
      <c r="K4096" s="2" t="s">
        <v>542</v>
      </c>
      <c r="L4096" s="2">
        <v>12</v>
      </c>
      <c r="M4096" s="2" t="s">
        <v>554</v>
      </c>
      <c r="O4096" s="2" t="s">
        <v>524</v>
      </c>
      <c r="Y4096" s="2" t="s">
        <v>734</v>
      </c>
    </row>
    <row r="4097" spans="1:34" x14ac:dyDescent="0.25">
      <c r="A4097" s="2" t="s">
        <v>333</v>
      </c>
      <c r="B4097" s="2" t="s">
        <v>555</v>
      </c>
      <c r="C4097" s="2" t="s">
        <v>408</v>
      </c>
      <c r="D4097" s="2" t="s">
        <v>411</v>
      </c>
      <c r="E4097" s="2" t="s">
        <v>413</v>
      </c>
      <c r="F4097" s="2" t="s">
        <v>39</v>
      </c>
      <c r="J4097" s="2" t="s">
        <v>556</v>
      </c>
      <c r="O4097" s="2" t="s">
        <v>524</v>
      </c>
      <c r="Y4097" s="2" t="s">
        <v>734</v>
      </c>
      <c r="AB4097" s="2">
        <v>1</v>
      </c>
    </row>
    <row r="4098" spans="1:34" x14ac:dyDescent="0.25">
      <c r="A4098" s="2" t="s">
        <v>333</v>
      </c>
      <c r="B4098" s="2" t="s">
        <v>557</v>
      </c>
      <c r="C4098" s="2" t="s">
        <v>408</v>
      </c>
      <c r="D4098" s="2" t="s">
        <v>411</v>
      </c>
      <c r="E4098" s="2" t="s">
        <v>413</v>
      </c>
      <c r="F4098" s="2" t="s">
        <v>39</v>
      </c>
      <c r="J4098" s="2" t="s">
        <v>558</v>
      </c>
      <c r="O4098" s="2" t="s">
        <v>524</v>
      </c>
      <c r="Y4098" s="2" t="s">
        <v>734</v>
      </c>
      <c r="AC4098" s="2">
        <f>COUNTIFS($B:$B,"BLOCK_LOAD_Q",$A:$A,$A4098,$C:$C,$C4098,$E:$E,$E4098,$F:$F,$F4098,$N:$N, "&lt;&gt;")</f>
        <v>0</v>
      </c>
      <c r="AD4098" s="2">
        <f>COUNTIFS($B:$B,"BLOCK_TRUST_Q",$A:$A,$A4098,$C:$C,$C4098,$E:$E,$E4098,$F:$F,$F4098,$N:$N, "&lt;&gt;")</f>
        <v>0</v>
      </c>
      <c r="AE4098" s="2" t="str">
        <f>IFERROR(AVERAGEIFS($P:$P,$B:$B,"BLOCK_LOAD_Q",$A:$A,$A4098,$C:$C,$C4098,$E:$E,$E4098,$F:$F,$F4098,$P:$P,"&gt;0"),"")</f>
        <v/>
      </c>
      <c r="AF4098" s="2" t="str">
        <f>IFERROR(AVERAGEIFS($P:$P,$B:$B,"BLOCK_TRUST_Q",$A:$A,$A4098,$C:$C,$C4098,$E:$E,$E4098,$F:$F,$F4098,$P:$P,"&gt;0"),"")</f>
        <v/>
      </c>
      <c r="AG4098" s="2">
        <f>5-AC4098</f>
        <v>5</v>
      </c>
      <c r="AH4098" s="2">
        <f>12-AD4098</f>
        <v>12</v>
      </c>
    </row>
    <row r="4099" spans="1:34" x14ac:dyDescent="0.25">
      <c r="A4099" s="2" t="s">
        <v>333</v>
      </c>
      <c r="B4099" s="2" t="s">
        <v>402</v>
      </c>
      <c r="C4099" s="2" t="s">
        <v>408</v>
      </c>
      <c r="D4099" s="2" t="s">
        <v>411</v>
      </c>
      <c r="E4099" s="2" t="s">
        <v>414</v>
      </c>
      <c r="F4099" s="2" t="s">
        <v>40</v>
      </c>
      <c r="G4099" s="2" t="s">
        <v>415</v>
      </c>
      <c r="H4099" s="2" t="s">
        <v>357</v>
      </c>
      <c r="S4099" s="2" t="s">
        <v>59</v>
      </c>
      <c r="U4099" s="2" t="s">
        <v>60</v>
      </c>
      <c r="W4099" s="2" t="s">
        <v>57</v>
      </c>
    </row>
    <row r="4100" spans="1:34" x14ac:dyDescent="0.25">
      <c r="A4100" s="2" t="s">
        <v>333</v>
      </c>
      <c r="B4100" s="2" t="s">
        <v>402</v>
      </c>
      <c r="C4100" s="2" t="s">
        <v>408</v>
      </c>
      <c r="D4100" s="2" t="s">
        <v>411</v>
      </c>
      <c r="E4100" s="2" t="s">
        <v>414</v>
      </c>
      <c r="F4100" s="2" t="s">
        <v>40</v>
      </c>
      <c r="G4100" s="2" t="s">
        <v>416</v>
      </c>
      <c r="H4100" s="2" t="s">
        <v>348</v>
      </c>
      <c r="S4100" s="2" t="s">
        <v>58</v>
      </c>
      <c r="U4100" s="2" t="s">
        <v>59</v>
      </c>
      <c r="W4100" s="2" t="s">
        <v>59</v>
      </c>
    </row>
    <row r="4101" spans="1:34" x14ac:dyDescent="0.25">
      <c r="A4101" s="2" t="s">
        <v>333</v>
      </c>
      <c r="B4101" s="2" t="s">
        <v>402</v>
      </c>
      <c r="C4101" s="2" t="s">
        <v>408</v>
      </c>
      <c r="D4101" s="2" t="s">
        <v>411</v>
      </c>
      <c r="E4101" s="2" t="s">
        <v>414</v>
      </c>
      <c r="F4101" s="2" t="s">
        <v>40</v>
      </c>
      <c r="G4101" s="2" t="s">
        <v>417</v>
      </c>
      <c r="H4101" s="2" t="s">
        <v>562</v>
      </c>
      <c r="S4101" s="2" t="s">
        <v>59</v>
      </c>
      <c r="U4101" s="2" t="s">
        <v>57</v>
      </c>
      <c r="W4101" s="2" t="s">
        <v>57</v>
      </c>
    </row>
    <row r="4102" spans="1:34" x14ac:dyDescent="0.25">
      <c r="A4102" s="2" t="s">
        <v>333</v>
      </c>
      <c r="B4102" s="2" t="s">
        <v>402</v>
      </c>
      <c r="C4102" s="2" t="s">
        <v>408</v>
      </c>
      <c r="D4102" s="2" t="s">
        <v>411</v>
      </c>
      <c r="E4102" s="2" t="s">
        <v>414</v>
      </c>
      <c r="F4102" s="2" t="s">
        <v>40</v>
      </c>
      <c r="G4102" s="2" t="s">
        <v>418</v>
      </c>
      <c r="H4102" s="2" t="s">
        <v>563</v>
      </c>
      <c r="S4102" s="2" t="s">
        <v>57</v>
      </c>
      <c r="U4102" s="2" t="s">
        <v>60</v>
      </c>
      <c r="W4102" s="2" t="s">
        <v>60</v>
      </c>
    </row>
    <row r="4103" spans="1:34" x14ac:dyDescent="0.25">
      <c r="A4103" s="2" t="s">
        <v>333</v>
      </c>
      <c r="B4103" s="2" t="s">
        <v>531</v>
      </c>
      <c r="C4103" s="2" t="s">
        <v>408</v>
      </c>
      <c r="D4103" s="2" t="s">
        <v>411</v>
      </c>
      <c r="E4103" s="2" t="s">
        <v>414</v>
      </c>
      <c r="F4103" s="2" t="s">
        <v>40</v>
      </c>
      <c r="J4103" s="2" t="s">
        <v>532</v>
      </c>
      <c r="K4103" s="2" t="s">
        <v>533</v>
      </c>
      <c r="L4103" s="2">
        <v>1</v>
      </c>
      <c r="M4103" s="2" t="s">
        <v>534</v>
      </c>
      <c r="O4103" s="2" t="s">
        <v>524</v>
      </c>
      <c r="Y4103" s="2" t="s">
        <v>735</v>
      </c>
    </row>
    <row r="4104" spans="1:34" x14ac:dyDescent="0.25">
      <c r="A4104" s="2" t="s">
        <v>333</v>
      </c>
      <c r="B4104" s="2" t="s">
        <v>531</v>
      </c>
      <c r="C4104" s="2" t="s">
        <v>408</v>
      </c>
      <c r="D4104" s="2" t="s">
        <v>411</v>
      </c>
      <c r="E4104" s="2" t="s">
        <v>414</v>
      </c>
      <c r="F4104" s="2" t="s">
        <v>40</v>
      </c>
      <c r="J4104" s="2" t="s">
        <v>532</v>
      </c>
      <c r="K4104" s="2" t="s">
        <v>533</v>
      </c>
      <c r="L4104" s="2">
        <v>2</v>
      </c>
      <c r="M4104" s="2" t="s">
        <v>536</v>
      </c>
      <c r="O4104" s="2" t="s">
        <v>524</v>
      </c>
      <c r="Y4104" s="2" t="s">
        <v>735</v>
      </c>
    </row>
    <row r="4105" spans="1:34" x14ac:dyDescent="0.25">
      <c r="A4105" s="2" t="s">
        <v>333</v>
      </c>
      <c r="B4105" s="2" t="s">
        <v>531</v>
      </c>
      <c r="C4105" s="2" t="s">
        <v>408</v>
      </c>
      <c r="D4105" s="2" t="s">
        <v>411</v>
      </c>
      <c r="E4105" s="2" t="s">
        <v>414</v>
      </c>
      <c r="F4105" s="2" t="s">
        <v>40</v>
      </c>
      <c r="J4105" s="2" t="s">
        <v>532</v>
      </c>
      <c r="K4105" s="2" t="s">
        <v>533</v>
      </c>
      <c r="L4105" s="2">
        <v>3</v>
      </c>
      <c r="M4105" s="2" t="s">
        <v>537</v>
      </c>
      <c r="O4105" s="2" t="s">
        <v>524</v>
      </c>
      <c r="Y4105" s="2" t="s">
        <v>735</v>
      </c>
    </row>
    <row r="4106" spans="1:34" x14ac:dyDescent="0.25">
      <c r="A4106" s="2" t="s">
        <v>333</v>
      </c>
      <c r="B4106" s="2" t="s">
        <v>531</v>
      </c>
      <c r="C4106" s="2" t="s">
        <v>408</v>
      </c>
      <c r="D4106" s="2" t="s">
        <v>411</v>
      </c>
      <c r="E4106" s="2" t="s">
        <v>414</v>
      </c>
      <c r="F4106" s="2" t="s">
        <v>40</v>
      </c>
      <c r="J4106" s="2" t="s">
        <v>532</v>
      </c>
      <c r="K4106" s="2" t="s">
        <v>533</v>
      </c>
      <c r="L4106" s="2">
        <v>4</v>
      </c>
      <c r="M4106" s="2" t="s">
        <v>538</v>
      </c>
      <c r="O4106" s="2" t="s">
        <v>524</v>
      </c>
      <c r="Y4106" s="2" t="s">
        <v>735</v>
      </c>
    </row>
    <row r="4107" spans="1:34" x14ac:dyDescent="0.25">
      <c r="A4107" s="2" t="s">
        <v>333</v>
      </c>
      <c r="B4107" s="2" t="s">
        <v>531</v>
      </c>
      <c r="C4107" s="2" t="s">
        <v>408</v>
      </c>
      <c r="D4107" s="2" t="s">
        <v>411</v>
      </c>
      <c r="E4107" s="2" t="s">
        <v>414</v>
      </c>
      <c r="F4107" s="2" t="s">
        <v>40</v>
      </c>
      <c r="J4107" s="2" t="s">
        <v>532</v>
      </c>
      <c r="K4107" s="2" t="s">
        <v>533</v>
      </c>
      <c r="L4107" s="2">
        <v>5</v>
      </c>
      <c r="M4107" s="2" t="s">
        <v>539</v>
      </c>
      <c r="O4107" s="2" t="s">
        <v>524</v>
      </c>
      <c r="Y4107" s="2" t="s">
        <v>735</v>
      </c>
    </row>
    <row r="4108" spans="1:34" x14ac:dyDescent="0.25">
      <c r="A4108" s="2" t="s">
        <v>333</v>
      </c>
      <c r="B4108" s="2" t="s">
        <v>540</v>
      </c>
      <c r="C4108" s="2" t="s">
        <v>408</v>
      </c>
      <c r="D4108" s="2" t="s">
        <v>411</v>
      </c>
      <c r="E4108" s="2" t="s">
        <v>414</v>
      </c>
      <c r="F4108" s="2" t="s">
        <v>40</v>
      </c>
      <c r="J4108" s="2" t="s">
        <v>541</v>
      </c>
      <c r="K4108" s="2" t="s">
        <v>542</v>
      </c>
      <c r="L4108" s="2">
        <v>1</v>
      </c>
      <c r="M4108" s="2" t="s">
        <v>543</v>
      </c>
      <c r="O4108" s="2" t="s">
        <v>524</v>
      </c>
      <c r="Y4108" s="2" t="s">
        <v>735</v>
      </c>
    </row>
    <row r="4109" spans="1:34" x14ac:dyDescent="0.25">
      <c r="A4109" s="2" t="s">
        <v>333</v>
      </c>
      <c r="B4109" s="2" t="s">
        <v>540</v>
      </c>
      <c r="C4109" s="2" t="s">
        <v>408</v>
      </c>
      <c r="D4109" s="2" t="s">
        <v>411</v>
      </c>
      <c r="E4109" s="2" t="s">
        <v>414</v>
      </c>
      <c r="F4109" s="2" t="s">
        <v>40</v>
      </c>
      <c r="J4109" s="2" t="s">
        <v>541</v>
      </c>
      <c r="K4109" s="2" t="s">
        <v>542</v>
      </c>
      <c r="L4109" s="2">
        <v>2</v>
      </c>
      <c r="M4109" s="2" t="s">
        <v>544</v>
      </c>
      <c r="O4109" s="2" t="s">
        <v>524</v>
      </c>
      <c r="Y4109" s="2" t="s">
        <v>735</v>
      </c>
    </row>
    <row r="4110" spans="1:34" x14ac:dyDescent="0.25">
      <c r="A4110" s="2" t="s">
        <v>333</v>
      </c>
      <c r="B4110" s="2" t="s">
        <v>540</v>
      </c>
      <c r="C4110" s="2" t="s">
        <v>408</v>
      </c>
      <c r="D4110" s="2" t="s">
        <v>411</v>
      </c>
      <c r="E4110" s="2" t="s">
        <v>414</v>
      </c>
      <c r="F4110" s="2" t="s">
        <v>40</v>
      </c>
      <c r="J4110" s="2" t="s">
        <v>541</v>
      </c>
      <c r="K4110" s="2" t="s">
        <v>542</v>
      </c>
      <c r="L4110" s="2">
        <v>3</v>
      </c>
      <c r="M4110" s="2" t="s">
        <v>545</v>
      </c>
      <c r="O4110" s="2" t="s">
        <v>524</v>
      </c>
      <c r="Y4110" s="2" t="s">
        <v>735</v>
      </c>
    </row>
    <row r="4111" spans="1:34" x14ac:dyDescent="0.25">
      <c r="A4111" s="2" t="s">
        <v>333</v>
      </c>
      <c r="B4111" s="2" t="s">
        <v>540</v>
      </c>
      <c r="C4111" s="2" t="s">
        <v>408</v>
      </c>
      <c r="D4111" s="2" t="s">
        <v>411</v>
      </c>
      <c r="E4111" s="2" t="s">
        <v>414</v>
      </c>
      <c r="F4111" s="2" t="s">
        <v>40</v>
      </c>
      <c r="J4111" s="2" t="s">
        <v>541</v>
      </c>
      <c r="K4111" s="2" t="s">
        <v>542</v>
      </c>
      <c r="L4111" s="2">
        <v>4</v>
      </c>
      <c r="M4111" s="2" t="s">
        <v>546</v>
      </c>
      <c r="O4111" s="2" t="s">
        <v>524</v>
      </c>
      <c r="Y4111" s="2" t="s">
        <v>735</v>
      </c>
    </row>
    <row r="4112" spans="1:34" x14ac:dyDescent="0.25">
      <c r="A4112" s="2" t="s">
        <v>333</v>
      </c>
      <c r="B4112" s="2" t="s">
        <v>540</v>
      </c>
      <c r="C4112" s="2" t="s">
        <v>408</v>
      </c>
      <c r="D4112" s="2" t="s">
        <v>411</v>
      </c>
      <c r="E4112" s="2" t="s">
        <v>414</v>
      </c>
      <c r="F4112" s="2" t="s">
        <v>40</v>
      </c>
      <c r="J4112" s="2" t="s">
        <v>541</v>
      </c>
      <c r="K4112" s="2" t="s">
        <v>542</v>
      </c>
      <c r="L4112" s="2">
        <v>5</v>
      </c>
      <c r="M4112" s="2" t="s">
        <v>547</v>
      </c>
      <c r="O4112" s="2" t="s">
        <v>524</v>
      </c>
      <c r="Y4112" s="2" t="s">
        <v>735</v>
      </c>
    </row>
    <row r="4113" spans="1:34" x14ac:dyDescent="0.25">
      <c r="A4113" s="2" t="s">
        <v>333</v>
      </c>
      <c r="B4113" s="2" t="s">
        <v>540</v>
      </c>
      <c r="C4113" s="2" t="s">
        <v>408</v>
      </c>
      <c r="D4113" s="2" t="s">
        <v>411</v>
      </c>
      <c r="E4113" s="2" t="s">
        <v>414</v>
      </c>
      <c r="F4113" s="2" t="s">
        <v>40</v>
      </c>
      <c r="J4113" s="2" t="s">
        <v>541</v>
      </c>
      <c r="K4113" s="2" t="s">
        <v>542</v>
      </c>
      <c r="L4113" s="2">
        <v>6</v>
      </c>
      <c r="M4113" s="2" t="s">
        <v>548</v>
      </c>
      <c r="O4113" s="2" t="s">
        <v>524</v>
      </c>
      <c r="Y4113" s="2" t="s">
        <v>735</v>
      </c>
    </row>
    <row r="4114" spans="1:34" x14ac:dyDescent="0.25">
      <c r="A4114" s="2" t="s">
        <v>333</v>
      </c>
      <c r="B4114" s="2" t="s">
        <v>540</v>
      </c>
      <c r="C4114" s="2" t="s">
        <v>408</v>
      </c>
      <c r="D4114" s="2" t="s">
        <v>411</v>
      </c>
      <c r="E4114" s="2" t="s">
        <v>414</v>
      </c>
      <c r="F4114" s="2" t="s">
        <v>40</v>
      </c>
      <c r="J4114" s="2" t="s">
        <v>541</v>
      </c>
      <c r="K4114" s="2" t="s">
        <v>542</v>
      </c>
      <c r="L4114" s="2">
        <v>7</v>
      </c>
      <c r="M4114" s="2" t="s">
        <v>549</v>
      </c>
      <c r="O4114" s="2" t="s">
        <v>524</v>
      </c>
      <c r="Y4114" s="2" t="s">
        <v>735</v>
      </c>
    </row>
    <row r="4115" spans="1:34" x14ac:dyDescent="0.25">
      <c r="A4115" s="2" t="s">
        <v>333</v>
      </c>
      <c r="B4115" s="2" t="s">
        <v>540</v>
      </c>
      <c r="C4115" s="2" t="s">
        <v>408</v>
      </c>
      <c r="D4115" s="2" t="s">
        <v>411</v>
      </c>
      <c r="E4115" s="2" t="s">
        <v>414</v>
      </c>
      <c r="F4115" s="2" t="s">
        <v>40</v>
      </c>
      <c r="J4115" s="2" t="s">
        <v>541</v>
      </c>
      <c r="K4115" s="2" t="s">
        <v>542</v>
      </c>
      <c r="L4115" s="2">
        <v>8</v>
      </c>
      <c r="M4115" s="2" t="s">
        <v>550</v>
      </c>
      <c r="O4115" s="2" t="s">
        <v>524</v>
      </c>
      <c r="Y4115" s="2" t="s">
        <v>735</v>
      </c>
    </row>
    <row r="4116" spans="1:34" x14ac:dyDescent="0.25">
      <c r="A4116" s="2" t="s">
        <v>333</v>
      </c>
      <c r="B4116" s="2" t="s">
        <v>540</v>
      </c>
      <c r="C4116" s="2" t="s">
        <v>408</v>
      </c>
      <c r="D4116" s="2" t="s">
        <v>411</v>
      </c>
      <c r="E4116" s="2" t="s">
        <v>414</v>
      </c>
      <c r="F4116" s="2" t="s">
        <v>40</v>
      </c>
      <c r="J4116" s="2" t="s">
        <v>541</v>
      </c>
      <c r="K4116" s="2" t="s">
        <v>542</v>
      </c>
      <c r="L4116" s="2">
        <v>9</v>
      </c>
      <c r="M4116" s="2" t="s">
        <v>551</v>
      </c>
      <c r="O4116" s="2" t="s">
        <v>524</v>
      </c>
      <c r="Y4116" s="2" t="s">
        <v>735</v>
      </c>
    </row>
    <row r="4117" spans="1:34" x14ac:dyDescent="0.25">
      <c r="A4117" s="2" t="s">
        <v>333</v>
      </c>
      <c r="B4117" s="2" t="s">
        <v>540</v>
      </c>
      <c r="C4117" s="2" t="s">
        <v>408</v>
      </c>
      <c r="D4117" s="2" t="s">
        <v>411</v>
      </c>
      <c r="E4117" s="2" t="s">
        <v>414</v>
      </c>
      <c r="F4117" s="2" t="s">
        <v>40</v>
      </c>
      <c r="J4117" s="2" t="s">
        <v>541</v>
      </c>
      <c r="K4117" s="2" t="s">
        <v>542</v>
      </c>
      <c r="L4117" s="2">
        <v>10</v>
      </c>
      <c r="M4117" s="2" t="s">
        <v>552</v>
      </c>
      <c r="O4117" s="2" t="s">
        <v>524</v>
      </c>
      <c r="Y4117" s="2" t="s">
        <v>735</v>
      </c>
    </row>
    <row r="4118" spans="1:34" x14ac:dyDescent="0.25">
      <c r="A4118" s="2" t="s">
        <v>333</v>
      </c>
      <c r="B4118" s="2" t="s">
        <v>540</v>
      </c>
      <c r="C4118" s="2" t="s">
        <v>408</v>
      </c>
      <c r="D4118" s="2" t="s">
        <v>411</v>
      </c>
      <c r="E4118" s="2" t="s">
        <v>414</v>
      </c>
      <c r="F4118" s="2" t="s">
        <v>40</v>
      </c>
      <c r="J4118" s="2" t="s">
        <v>541</v>
      </c>
      <c r="K4118" s="2" t="s">
        <v>542</v>
      </c>
      <c r="L4118" s="2">
        <v>11</v>
      </c>
      <c r="M4118" s="2" t="s">
        <v>553</v>
      </c>
      <c r="O4118" s="2" t="s">
        <v>524</v>
      </c>
      <c r="Y4118" s="2" t="s">
        <v>735</v>
      </c>
    </row>
    <row r="4119" spans="1:34" x14ac:dyDescent="0.25">
      <c r="A4119" s="2" t="s">
        <v>333</v>
      </c>
      <c r="B4119" s="2" t="s">
        <v>540</v>
      </c>
      <c r="C4119" s="2" t="s">
        <v>408</v>
      </c>
      <c r="D4119" s="2" t="s">
        <v>411</v>
      </c>
      <c r="E4119" s="2" t="s">
        <v>414</v>
      </c>
      <c r="F4119" s="2" t="s">
        <v>40</v>
      </c>
      <c r="J4119" s="2" t="s">
        <v>541</v>
      </c>
      <c r="K4119" s="2" t="s">
        <v>542</v>
      </c>
      <c r="L4119" s="2">
        <v>12</v>
      </c>
      <c r="M4119" s="2" t="s">
        <v>554</v>
      </c>
      <c r="O4119" s="2" t="s">
        <v>524</v>
      </c>
      <c r="Y4119" s="2" t="s">
        <v>735</v>
      </c>
    </row>
    <row r="4120" spans="1:34" x14ac:dyDescent="0.25">
      <c r="A4120" s="2" t="s">
        <v>333</v>
      </c>
      <c r="B4120" s="2" t="s">
        <v>555</v>
      </c>
      <c r="C4120" s="2" t="s">
        <v>408</v>
      </c>
      <c r="D4120" s="2" t="s">
        <v>411</v>
      </c>
      <c r="E4120" s="2" t="s">
        <v>414</v>
      </c>
      <c r="F4120" s="2" t="s">
        <v>40</v>
      </c>
      <c r="J4120" s="2" t="s">
        <v>556</v>
      </c>
      <c r="O4120" s="2" t="s">
        <v>524</v>
      </c>
      <c r="Y4120" s="2" t="s">
        <v>735</v>
      </c>
      <c r="AB4120" s="2">
        <v>2</v>
      </c>
    </row>
    <row r="4121" spans="1:34" x14ac:dyDescent="0.25">
      <c r="A4121" s="2" t="s">
        <v>333</v>
      </c>
      <c r="B4121" s="2" t="s">
        <v>557</v>
      </c>
      <c r="C4121" s="2" t="s">
        <v>408</v>
      </c>
      <c r="D4121" s="2" t="s">
        <v>411</v>
      </c>
      <c r="E4121" s="2" t="s">
        <v>414</v>
      </c>
      <c r="F4121" s="2" t="s">
        <v>40</v>
      </c>
      <c r="J4121" s="2" t="s">
        <v>558</v>
      </c>
      <c r="O4121" s="2" t="s">
        <v>524</v>
      </c>
      <c r="Y4121" s="2" t="s">
        <v>735</v>
      </c>
      <c r="AC4121" s="2">
        <f>COUNTIFS($B:$B,"BLOCK_LOAD_Q",$A:$A,$A4121,$C:$C,$C4121,$E:$E,$E4121,$F:$F,$F4121,$N:$N, "&lt;&gt;")</f>
        <v>0</v>
      </c>
      <c r="AD4121" s="2">
        <f>COUNTIFS($B:$B,"BLOCK_TRUST_Q",$A:$A,$A4121,$C:$C,$C4121,$E:$E,$E4121,$F:$F,$F4121,$N:$N, "&lt;&gt;")</f>
        <v>0</v>
      </c>
      <c r="AE4121" s="2" t="str">
        <f>IFERROR(AVERAGEIFS($P:$P,$B:$B,"BLOCK_LOAD_Q",$A:$A,$A4121,$C:$C,$C4121,$E:$E,$E4121,$F:$F,$F4121,$P:$P,"&gt;0"),"")</f>
        <v/>
      </c>
      <c r="AF4121" s="2" t="str">
        <f>IFERROR(AVERAGEIFS($P:$P,$B:$B,"BLOCK_TRUST_Q",$A:$A,$A4121,$C:$C,$C4121,$E:$E,$E4121,$F:$F,$F4121,$P:$P,"&gt;0"),"")</f>
        <v/>
      </c>
      <c r="AG4121" s="2">
        <f>5-AC4121</f>
        <v>5</v>
      </c>
      <c r="AH4121" s="2">
        <f>12-AD4121</f>
        <v>12</v>
      </c>
    </row>
    <row r="4122" spans="1:34" x14ac:dyDescent="0.25">
      <c r="A4122" s="2" t="s">
        <v>333</v>
      </c>
      <c r="B4122" s="2" t="s">
        <v>403</v>
      </c>
      <c r="C4122" s="2" t="s">
        <v>408</v>
      </c>
      <c r="D4122" s="2" t="s">
        <v>411</v>
      </c>
      <c r="Z4122" s="2" t="s">
        <v>502</v>
      </c>
    </row>
    <row r="4123" spans="1:34" x14ac:dyDescent="0.25">
      <c r="A4123" s="2" t="s">
        <v>333</v>
      </c>
      <c r="B4123" s="2" t="s">
        <v>402</v>
      </c>
      <c r="C4123" s="2" t="s">
        <v>409</v>
      </c>
      <c r="D4123" s="2" t="s">
        <v>412</v>
      </c>
      <c r="E4123" s="2" t="s">
        <v>413</v>
      </c>
      <c r="F4123" s="2" t="s">
        <v>40</v>
      </c>
      <c r="G4123" s="2" t="s">
        <v>415</v>
      </c>
      <c r="H4123" s="2" t="s">
        <v>567</v>
      </c>
      <c r="S4123" s="2" t="s">
        <v>58</v>
      </c>
      <c r="U4123" s="2" t="s">
        <v>57</v>
      </c>
      <c r="W4123" s="2" t="s">
        <v>60</v>
      </c>
    </row>
    <row r="4124" spans="1:34" x14ac:dyDescent="0.25">
      <c r="A4124" s="2" t="s">
        <v>333</v>
      </c>
      <c r="B4124" s="2" t="s">
        <v>402</v>
      </c>
      <c r="C4124" s="2" t="s">
        <v>409</v>
      </c>
      <c r="D4124" s="2" t="s">
        <v>412</v>
      </c>
      <c r="E4124" s="2" t="s">
        <v>413</v>
      </c>
      <c r="F4124" s="2" t="s">
        <v>40</v>
      </c>
      <c r="G4124" s="2" t="s">
        <v>416</v>
      </c>
      <c r="H4124" s="2" t="s">
        <v>568</v>
      </c>
      <c r="S4124" s="2" t="s">
        <v>59</v>
      </c>
      <c r="U4124" s="2" t="s">
        <v>60</v>
      </c>
      <c r="W4124" s="2" t="s">
        <v>59</v>
      </c>
    </row>
    <row r="4125" spans="1:34" x14ac:dyDescent="0.25">
      <c r="A4125" s="2" t="s">
        <v>333</v>
      </c>
      <c r="B4125" s="2" t="s">
        <v>402</v>
      </c>
      <c r="C4125" s="2" t="s">
        <v>409</v>
      </c>
      <c r="D4125" s="2" t="s">
        <v>412</v>
      </c>
      <c r="E4125" s="2" t="s">
        <v>413</v>
      </c>
      <c r="F4125" s="2" t="s">
        <v>40</v>
      </c>
      <c r="G4125" s="2" t="s">
        <v>417</v>
      </c>
      <c r="H4125" s="2" t="s">
        <v>569</v>
      </c>
      <c r="S4125" s="2" t="s">
        <v>57</v>
      </c>
      <c r="U4125" s="2" t="s">
        <v>60</v>
      </c>
      <c r="W4125" s="2" t="s">
        <v>57</v>
      </c>
    </row>
    <row r="4126" spans="1:34" x14ac:dyDescent="0.25">
      <c r="A4126" s="2" t="s">
        <v>333</v>
      </c>
      <c r="B4126" s="2" t="s">
        <v>402</v>
      </c>
      <c r="C4126" s="2" t="s">
        <v>409</v>
      </c>
      <c r="D4126" s="2" t="s">
        <v>412</v>
      </c>
      <c r="E4126" s="2" t="s">
        <v>413</v>
      </c>
      <c r="F4126" s="2" t="s">
        <v>40</v>
      </c>
      <c r="G4126" s="2" t="s">
        <v>418</v>
      </c>
      <c r="H4126" s="2" t="s">
        <v>351</v>
      </c>
      <c r="S4126" s="2" t="s">
        <v>60</v>
      </c>
      <c r="U4126" s="2" t="s">
        <v>57</v>
      </c>
      <c r="W4126" s="2" t="s">
        <v>57</v>
      </c>
    </row>
    <row r="4127" spans="1:34" x14ac:dyDescent="0.25">
      <c r="A4127" s="2" t="s">
        <v>333</v>
      </c>
      <c r="B4127" s="2" t="s">
        <v>531</v>
      </c>
      <c r="C4127" s="2" t="s">
        <v>409</v>
      </c>
      <c r="D4127" s="2" t="s">
        <v>412</v>
      </c>
      <c r="E4127" s="2" t="s">
        <v>413</v>
      </c>
      <c r="F4127" s="2" t="s">
        <v>40</v>
      </c>
      <c r="J4127" s="2" t="s">
        <v>532</v>
      </c>
      <c r="K4127" s="2" t="s">
        <v>533</v>
      </c>
      <c r="L4127" s="2">
        <v>1</v>
      </c>
      <c r="M4127" s="2" t="s">
        <v>534</v>
      </c>
      <c r="O4127" s="2" t="s">
        <v>524</v>
      </c>
      <c r="Y4127" s="2" t="s">
        <v>736</v>
      </c>
    </row>
    <row r="4128" spans="1:34" x14ac:dyDescent="0.25">
      <c r="A4128" s="2" t="s">
        <v>333</v>
      </c>
      <c r="B4128" s="2" t="s">
        <v>531</v>
      </c>
      <c r="C4128" s="2" t="s">
        <v>409</v>
      </c>
      <c r="D4128" s="2" t="s">
        <v>412</v>
      </c>
      <c r="E4128" s="2" t="s">
        <v>413</v>
      </c>
      <c r="F4128" s="2" t="s">
        <v>40</v>
      </c>
      <c r="J4128" s="2" t="s">
        <v>532</v>
      </c>
      <c r="K4128" s="2" t="s">
        <v>533</v>
      </c>
      <c r="L4128" s="2">
        <v>2</v>
      </c>
      <c r="M4128" s="2" t="s">
        <v>536</v>
      </c>
      <c r="O4128" s="2" t="s">
        <v>524</v>
      </c>
      <c r="Y4128" s="2" t="s">
        <v>736</v>
      </c>
    </row>
    <row r="4129" spans="1:28" x14ac:dyDescent="0.25">
      <c r="A4129" s="2" t="s">
        <v>333</v>
      </c>
      <c r="B4129" s="2" t="s">
        <v>531</v>
      </c>
      <c r="C4129" s="2" t="s">
        <v>409</v>
      </c>
      <c r="D4129" s="2" t="s">
        <v>412</v>
      </c>
      <c r="E4129" s="2" t="s">
        <v>413</v>
      </c>
      <c r="F4129" s="2" t="s">
        <v>40</v>
      </c>
      <c r="J4129" s="2" t="s">
        <v>532</v>
      </c>
      <c r="K4129" s="2" t="s">
        <v>533</v>
      </c>
      <c r="L4129" s="2">
        <v>3</v>
      </c>
      <c r="M4129" s="2" t="s">
        <v>537</v>
      </c>
      <c r="O4129" s="2" t="s">
        <v>524</v>
      </c>
      <c r="Y4129" s="2" t="s">
        <v>736</v>
      </c>
    </row>
    <row r="4130" spans="1:28" x14ac:dyDescent="0.25">
      <c r="A4130" s="2" t="s">
        <v>333</v>
      </c>
      <c r="B4130" s="2" t="s">
        <v>531</v>
      </c>
      <c r="C4130" s="2" t="s">
        <v>409</v>
      </c>
      <c r="D4130" s="2" t="s">
        <v>412</v>
      </c>
      <c r="E4130" s="2" t="s">
        <v>413</v>
      </c>
      <c r="F4130" s="2" t="s">
        <v>40</v>
      </c>
      <c r="J4130" s="2" t="s">
        <v>532</v>
      </c>
      <c r="K4130" s="2" t="s">
        <v>533</v>
      </c>
      <c r="L4130" s="2">
        <v>4</v>
      </c>
      <c r="M4130" s="2" t="s">
        <v>538</v>
      </c>
      <c r="O4130" s="2" t="s">
        <v>524</v>
      </c>
      <c r="Y4130" s="2" t="s">
        <v>736</v>
      </c>
    </row>
    <row r="4131" spans="1:28" x14ac:dyDescent="0.25">
      <c r="A4131" s="2" t="s">
        <v>333</v>
      </c>
      <c r="B4131" s="2" t="s">
        <v>531</v>
      </c>
      <c r="C4131" s="2" t="s">
        <v>409</v>
      </c>
      <c r="D4131" s="2" t="s">
        <v>412</v>
      </c>
      <c r="E4131" s="2" t="s">
        <v>413</v>
      </c>
      <c r="F4131" s="2" t="s">
        <v>40</v>
      </c>
      <c r="J4131" s="2" t="s">
        <v>532</v>
      </c>
      <c r="K4131" s="2" t="s">
        <v>533</v>
      </c>
      <c r="L4131" s="2">
        <v>5</v>
      </c>
      <c r="M4131" s="2" t="s">
        <v>539</v>
      </c>
      <c r="O4131" s="2" t="s">
        <v>524</v>
      </c>
      <c r="Y4131" s="2" t="s">
        <v>736</v>
      </c>
    </row>
    <row r="4132" spans="1:28" x14ac:dyDescent="0.25">
      <c r="A4132" s="2" t="s">
        <v>333</v>
      </c>
      <c r="B4132" s="2" t="s">
        <v>540</v>
      </c>
      <c r="C4132" s="2" t="s">
        <v>409</v>
      </c>
      <c r="D4132" s="2" t="s">
        <v>412</v>
      </c>
      <c r="E4132" s="2" t="s">
        <v>413</v>
      </c>
      <c r="F4132" s="2" t="s">
        <v>40</v>
      </c>
      <c r="J4132" s="2" t="s">
        <v>541</v>
      </c>
      <c r="K4132" s="2" t="s">
        <v>542</v>
      </c>
      <c r="L4132" s="2">
        <v>1</v>
      </c>
      <c r="M4132" s="2" t="s">
        <v>543</v>
      </c>
      <c r="O4132" s="2" t="s">
        <v>524</v>
      </c>
      <c r="Y4132" s="2" t="s">
        <v>736</v>
      </c>
    </row>
    <row r="4133" spans="1:28" x14ac:dyDescent="0.25">
      <c r="A4133" s="2" t="s">
        <v>333</v>
      </c>
      <c r="B4133" s="2" t="s">
        <v>540</v>
      </c>
      <c r="C4133" s="2" t="s">
        <v>409</v>
      </c>
      <c r="D4133" s="2" t="s">
        <v>412</v>
      </c>
      <c r="E4133" s="2" t="s">
        <v>413</v>
      </c>
      <c r="F4133" s="2" t="s">
        <v>40</v>
      </c>
      <c r="J4133" s="2" t="s">
        <v>541</v>
      </c>
      <c r="K4133" s="2" t="s">
        <v>542</v>
      </c>
      <c r="L4133" s="2">
        <v>2</v>
      </c>
      <c r="M4133" s="2" t="s">
        <v>544</v>
      </c>
      <c r="O4133" s="2" t="s">
        <v>524</v>
      </c>
      <c r="Y4133" s="2" t="s">
        <v>736</v>
      </c>
    </row>
    <row r="4134" spans="1:28" x14ac:dyDescent="0.25">
      <c r="A4134" s="2" t="s">
        <v>333</v>
      </c>
      <c r="B4134" s="2" t="s">
        <v>540</v>
      </c>
      <c r="C4134" s="2" t="s">
        <v>409</v>
      </c>
      <c r="D4134" s="2" t="s">
        <v>412</v>
      </c>
      <c r="E4134" s="2" t="s">
        <v>413</v>
      </c>
      <c r="F4134" s="2" t="s">
        <v>40</v>
      </c>
      <c r="J4134" s="2" t="s">
        <v>541</v>
      </c>
      <c r="K4134" s="2" t="s">
        <v>542</v>
      </c>
      <c r="L4134" s="2">
        <v>3</v>
      </c>
      <c r="M4134" s="2" t="s">
        <v>545</v>
      </c>
      <c r="O4134" s="2" t="s">
        <v>524</v>
      </c>
      <c r="Y4134" s="2" t="s">
        <v>736</v>
      </c>
    </row>
    <row r="4135" spans="1:28" x14ac:dyDescent="0.25">
      <c r="A4135" s="2" t="s">
        <v>333</v>
      </c>
      <c r="B4135" s="2" t="s">
        <v>540</v>
      </c>
      <c r="C4135" s="2" t="s">
        <v>409</v>
      </c>
      <c r="D4135" s="2" t="s">
        <v>412</v>
      </c>
      <c r="E4135" s="2" t="s">
        <v>413</v>
      </c>
      <c r="F4135" s="2" t="s">
        <v>40</v>
      </c>
      <c r="J4135" s="2" t="s">
        <v>541</v>
      </c>
      <c r="K4135" s="2" t="s">
        <v>542</v>
      </c>
      <c r="L4135" s="2">
        <v>4</v>
      </c>
      <c r="M4135" s="2" t="s">
        <v>546</v>
      </c>
      <c r="O4135" s="2" t="s">
        <v>524</v>
      </c>
      <c r="Y4135" s="2" t="s">
        <v>736</v>
      </c>
    </row>
    <row r="4136" spans="1:28" x14ac:dyDescent="0.25">
      <c r="A4136" s="2" t="s">
        <v>333</v>
      </c>
      <c r="B4136" s="2" t="s">
        <v>540</v>
      </c>
      <c r="C4136" s="2" t="s">
        <v>409</v>
      </c>
      <c r="D4136" s="2" t="s">
        <v>412</v>
      </c>
      <c r="E4136" s="2" t="s">
        <v>413</v>
      </c>
      <c r="F4136" s="2" t="s">
        <v>40</v>
      </c>
      <c r="J4136" s="2" t="s">
        <v>541</v>
      </c>
      <c r="K4136" s="2" t="s">
        <v>542</v>
      </c>
      <c r="L4136" s="2">
        <v>5</v>
      </c>
      <c r="M4136" s="2" t="s">
        <v>547</v>
      </c>
      <c r="O4136" s="2" t="s">
        <v>524</v>
      </c>
      <c r="Y4136" s="2" t="s">
        <v>736</v>
      </c>
    </row>
    <row r="4137" spans="1:28" x14ac:dyDescent="0.25">
      <c r="A4137" s="2" t="s">
        <v>333</v>
      </c>
      <c r="B4137" s="2" t="s">
        <v>540</v>
      </c>
      <c r="C4137" s="2" t="s">
        <v>409</v>
      </c>
      <c r="D4137" s="2" t="s">
        <v>412</v>
      </c>
      <c r="E4137" s="2" t="s">
        <v>413</v>
      </c>
      <c r="F4137" s="2" t="s">
        <v>40</v>
      </c>
      <c r="J4137" s="2" t="s">
        <v>541</v>
      </c>
      <c r="K4137" s="2" t="s">
        <v>542</v>
      </c>
      <c r="L4137" s="2">
        <v>6</v>
      </c>
      <c r="M4137" s="2" t="s">
        <v>548</v>
      </c>
      <c r="O4137" s="2" t="s">
        <v>524</v>
      </c>
      <c r="Y4137" s="2" t="s">
        <v>736</v>
      </c>
    </row>
    <row r="4138" spans="1:28" x14ac:dyDescent="0.25">
      <c r="A4138" s="2" t="s">
        <v>333</v>
      </c>
      <c r="B4138" s="2" t="s">
        <v>540</v>
      </c>
      <c r="C4138" s="2" t="s">
        <v>409</v>
      </c>
      <c r="D4138" s="2" t="s">
        <v>412</v>
      </c>
      <c r="E4138" s="2" t="s">
        <v>413</v>
      </c>
      <c r="F4138" s="2" t="s">
        <v>40</v>
      </c>
      <c r="J4138" s="2" t="s">
        <v>541</v>
      </c>
      <c r="K4138" s="2" t="s">
        <v>542</v>
      </c>
      <c r="L4138" s="2">
        <v>7</v>
      </c>
      <c r="M4138" s="2" t="s">
        <v>549</v>
      </c>
      <c r="O4138" s="2" t="s">
        <v>524</v>
      </c>
      <c r="Y4138" s="2" t="s">
        <v>736</v>
      </c>
    </row>
    <row r="4139" spans="1:28" x14ac:dyDescent="0.25">
      <c r="A4139" s="2" t="s">
        <v>333</v>
      </c>
      <c r="B4139" s="2" t="s">
        <v>540</v>
      </c>
      <c r="C4139" s="2" t="s">
        <v>409</v>
      </c>
      <c r="D4139" s="2" t="s">
        <v>412</v>
      </c>
      <c r="E4139" s="2" t="s">
        <v>413</v>
      </c>
      <c r="F4139" s="2" t="s">
        <v>40</v>
      </c>
      <c r="J4139" s="2" t="s">
        <v>541</v>
      </c>
      <c r="K4139" s="2" t="s">
        <v>542</v>
      </c>
      <c r="L4139" s="2">
        <v>8</v>
      </c>
      <c r="M4139" s="2" t="s">
        <v>550</v>
      </c>
      <c r="O4139" s="2" t="s">
        <v>524</v>
      </c>
      <c r="Y4139" s="2" t="s">
        <v>736</v>
      </c>
    </row>
    <row r="4140" spans="1:28" x14ac:dyDescent="0.25">
      <c r="A4140" s="2" t="s">
        <v>333</v>
      </c>
      <c r="B4140" s="2" t="s">
        <v>540</v>
      </c>
      <c r="C4140" s="2" t="s">
        <v>409</v>
      </c>
      <c r="D4140" s="2" t="s">
        <v>412</v>
      </c>
      <c r="E4140" s="2" t="s">
        <v>413</v>
      </c>
      <c r="F4140" s="2" t="s">
        <v>40</v>
      </c>
      <c r="J4140" s="2" t="s">
        <v>541</v>
      </c>
      <c r="K4140" s="2" t="s">
        <v>542</v>
      </c>
      <c r="L4140" s="2">
        <v>9</v>
      </c>
      <c r="M4140" s="2" t="s">
        <v>551</v>
      </c>
      <c r="O4140" s="2" t="s">
        <v>524</v>
      </c>
      <c r="Y4140" s="2" t="s">
        <v>736</v>
      </c>
    </row>
    <row r="4141" spans="1:28" x14ac:dyDescent="0.25">
      <c r="A4141" s="2" t="s">
        <v>333</v>
      </c>
      <c r="B4141" s="2" t="s">
        <v>540</v>
      </c>
      <c r="C4141" s="2" t="s">
        <v>409</v>
      </c>
      <c r="D4141" s="2" t="s">
        <v>412</v>
      </c>
      <c r="E4141" s="2" t="s">
        <v>413</v>
      </c>
      <c r="F4141" s="2" t="s">
        <v>40</v>
      </c>
      <c r="J4141" s="2" t="s">
        <v>541</v>
      </c>
      <c r="K4141" s="2" t="s">
        <v>542</v>
      </c>
      <c r="L4141" s="2">
        <v>10</v>
      </c>
      <c r="M4141" s="2" t="s">
        <v>552</v>
      </c>
      <c r="O4141" s="2" t="s">
        <v>524</v>
      </c>
      <c r="Y4141" s="2" t="s">
        <v>736</v>
      </c>
    </row>
    <row r="4142" spans="1:28" x14ac:dyDescent="0.25">
      <c r="A4142" s="2" t="s">
        <v>333</v>
      </c>
      <c r="B4142" s="2" t="s">
        <v>540</v>
      </c>
      <c r="C4142" s="2" t="s">
        <v>409</v>
      </c>
      <c r="D4142" s="2" t="s">
        <v>412</v>
      </c>
      <c r="E4142" s="2" t="s">
        <v>413</v>
      </c>
      <c r="F4142" s="2" t="s">
        <v>40</v>
      </c>
      <c r="J4142" s="2" t="s">
        <v>541</v>
      </c>
      <c r="K4142" s="2" t="s">
        <v>542</v>
      </c>
      <c r="L4142" s="2">
        <v>11</v>
      </c>
      <c r="M4142" s="2" t="s">
        <v>553</v>
      </c>
      <c r="O4142" s="2" t="s">
        <v>524</v>
      </c>
      <c r="Y4142" s="2" t="s">
        <v>736</v>
      </c>
    </row>
    <row r="4143" spans="1:28" x14ac:dyDescent="0.25">
      <c r="A4143" s="2" t="s">
        <v>333</v>
      </c>
      <c r="B4143" s="2" t="s">
        <v>540</v>
      </c>
      <c r="C4143" s="2" t="s">
        <v>409</v>
      </c>
      <c r="D4143" s="2" t="s">
        <v>412</v>
      </c>
      <c r="E4143" s="2" t="s">
        <v>413</v>
      </c>
      <c r="F4143" s="2" t="s">
        <v>40</v>
      </c>
      <c r="J4143" s="2" t="s">
        <v>541</v>
      </c>
      <c r="K4143" s="2" t="s">
        <v>542</v>
      </c>
      <c r="L4143" s="2">
        <v>12</v>
      </c>
      <c r="M4143" s="2" t="s">
        <v>554</v>
      </c>
      <c r="O4143" s="2" t="s">
        <v>524</v>
      </c>
      <c r="Y4143" s="2" t="s">
        <v>736</v>
      </c>
    </row>
    <row r="4144" spans="1:28" x14ac:dyDescent="0.25">
      <c r="A4144" s="2" t="s">
        <v>333</v>
      </c>
      <c r="B4144" s="2" t="s">
        <v>555</v>
      </c>
      <c r="C4144" s="2" t="s">
        <v>409</v>
      </c>
      <c r="D4144" s="2" t="s">
        <v>412</v>
      </c>
      <c r="E4144" s="2" t="s">
        <v>413</v>
      </c>
      <c r="F4144" s="2" t="s">
        <v>40</v>
      </c>
      <c r="J4144" s="2" t="s">
        <v>556</v>
      </c>
      <c r="O4144" s="2" t="s">
        <v>524</v>
      </c>
      <c r="Y4144" s="2" t="s">
        <v>736</v>
      </c>
      <c r="AB4144" s="2">
        <v>2</v>
      </c>
    </row>
    <row r="4145" spans="1:34" x14ac:dyDescent="0.25">
      <c r="A4145" s="2" t="s">
        <v>333</v>
      </c>
      <c r="B4145" s="2" t="s">
        <v>557</v>
      </c>
      <c r="C4145" s="2" t="s">
        <v>409</v>
      </c>
      <c r="D4145" s="2" t="s">
        <v>412</v>
      </c>
      <c r="E4145" s="2" t="s">
        <v>413</v>
      </c>
      <c r="F4145" s="2" t="s">
        <v>40</v>
      </c>
      <c r="J4145" s="2" t="s">
        <v>558</v>
      </c>
      <c r="O4145" s="2" t="s">
        <v>524</v>
      </c>
      <c r="Y4145" s="2" t="s">
        <v>736</v>
      </c>
      <c r="AC4145" s="2">
        <f>COUNTIFS($B:$B,"BLOCK_LOAD_Q",$A:$A,$A4145,$C:$C,$C4145,$E:$E,$E4145,$F:$F,$F4145,$N:$N, "&lt;&gt;")</f>
        <v>0</v>
      </c>
      <c r="AD4145" s="2">
        <f>COUNTIFS($B:$B,"BLOCK_TRUST_Q",$A:$A,$A4145,$C:$C,$C4145,$E:$E,$E4145,$F:$F,$F4145,$N:$N, "&lt;&gt;")</f>
        <v>0</v>
      </c>
      <c r="AE4145" s="2" t="str">
        <f>IFERROR(AVERAGEIFS($P:$P,$B:$B,"BLOCK_LOAD_Q",$A:$A,$A4145,$C:$C,$C4145,$E:$E,$E4145,$F:$F,$F4145,$P:$P,"&gt;0"),"")</f>
        <v/>
      </c>
      <c r="AF4145" s="2" t="str">
        <f>IFERROR(AVERAGEIFS($P:$P,$B:$B,"BLOCK_TRUST_Q",$A:$A,$A4145,$C:$C,$C4145,$E:$E,$E4145,$F:$F,$F4145,$P:$P,"&gt;0"),"")</f>
        <v/>
      </c>
      <c r="AG4145" s="2">
        <f>5-AC4145</f>
        <v>5</v>
      </c>
      <c r="AH4145" s="2">
        <f>12-AD4145</f>
        <v>12</v>
      </c>
    </row>
    <row r="4146" spans="1:34" x14ac:dyDescent="0.25">
      <c r="A4146" s="2" t="s">
        <v>333</v>
      </c>
      <c r="B4146" s="2" t="s">
        <v>402</v>
      </c>
      <c r="C4146" s="2" t="s">
        <v>409</v>
      </c>
      <c r="D4146" s="2" t="s">
        <v>412</v>
      </c>
      <c r="E4146" s="2" t="s">
        <v>414</v>
      </c>
      <c r="F4146" s="2" t="s">
        <v>39</v>
      </c>
      <c r="G4146" s="2" t="s">
        <v>415</v>
      </c>
      <c r="H4146" s="2" t="s">
        <v>350</v>
      </c>
      <c r="S4146" s="2" t="s">
        <v>57</v>
      </c>
      <c r="U4146" s="2" t="s">
        <v>58</v>
      </c>
      <c r="W4146" s="2" t="s">
        <v>59</v>
      </c>
    </row>
    <row r="4147" spans="1:34" x14ac:dyDescent="0.25">
      <c r="A4147" s="2" t="s">
        <v>333</v>
      </c>
      <c r="B4147" s="2" t="s">
        <v>402</v>
      </c>
      <c r="C4147" s="2" t="s">
        <v>409</v>
      </c>
      <c r="D4147" s="2" t="s">
        <v>412</v>
      </c>
      <c r="E4147" s="2" t="s">
        <v>414</v>
      </c>
      <c r="F4147" s="2" t="s">
        <v>39</v>
      </c>
      <c r="G4147" s="2" t="s">
        <v>416</v>
      </c>
      <c r="H4147" s="2" t="s">
        <v>571</v>
      </c>
      <c r="S4147" s="2" t="s">
        <v>59</v>
      </c>
      <c r="U4147" s="2" t="s">
        <v>57</v>
      </c>
      <c r="W4147" s="2" t="s">
        <v>60</v>
      </c>
    </row>
    <row r="4148" spans="1:34" x14ac:dyDescent="0.25">
      <c r="A4148" s="2" t="s">
        <v>333</v>
      </c>
      <c r="B4148" s="2" t="s">
        <v>402</v>
      </c>
      <c r="C4148" s="2" t="s">
        <v>409</v>
      </c>
      <c r="D4148" s="2" t="s">
        <v>412</v>
      </c>
      <c r="E4148" s="2" t="s">
        <v>414</v>
      </c>
      <c r="F4148" s="2" t="s">
        <v>39</v>
      </c>
      <c r="G4148" s="2" t="s">
        <v>417</v>
      </c>
      <c r="H4148" s="2" t="s">
        <v>572</v>
      </c>
      <c r="S4148" s="2" t="s">
        <v>57</v>
      </c>
      <c r="U4148" s="2" t="s">
        <v>59</v>
      </c>
      <c r="W4148" s="2" t="s">
        <v>58</v>
      </c>
    </row>
    <row r="4149" spans="1:34" x14ac:dyDescent="0.25">
      <c r="A4149" s="2" t="s">
        <v>333</v>
      </c>
      <c r="B4149" s="2" t="s">
        <v>402</v>
      </c>
      <c r="C4149" s="2" t="s">
        <v>409</v>
      </c>
      <c r="D4149" s="2" t="s">
        <v>412</v>
      </c>
      <c r="E4149" s="2" t="s">
        <v>414</v>
      </c>
      <c r="F4149" s="2" t="s">
        <v>39</v>
      </c>
      <c r="G4149" s="2" t="s">
        <v>418</v>
      </c>
      <c r="H4149" s="2" t="s">
        <v>573</v>
      </c>
      <c r="S4149" s="2" t="s">
        <v>58</v>
      </c>
      <c r="U4149" s="2" t="s">
        <v>58</v>
      </c>
      <c r="W4149" s="2" t="s">
        <v>58</v>
      </c>
    </row>
    <row r="4150" spans="1:34" x14ac:dyDescent="0.25">
      <c r="A4150" s="2" t="s">
        <v>333</v>
      </c>
      <c r="B4150" s="2" t="s">
        <v>402</v>
      </c>
      <c r="C4150" s="2" t="s">
        <v>409</v>
      </c>
      <c r="D4150" s="2" t="s">
        <v>412</v>
      </c>
      <c r="E4150" s="2" t="s">
        <v>414</v>
      </c>
      <c r="F4150" s="2" t="s">
        <v>39</v>
      </c>
      <c r="G4150" s="2" t="s">
        <v>419</v>
      </c>
      <c r="H4150" s="2" t="s">
        <v>365</v>
      </c>
      <c r="S4150" s="2" t="s">
        <v>59</v>
      </c>
      <c r="U4150" s="2" t="s">
        <v>59</v>
      </c>
      <c r="W4150" s="2" t="s">
        <v>60</v>
      </c>
    </row>
    <row r="4151" spans="1:34" x14ac:dyDescent="0.25">
      <c r="A4151" s="2" t="s">
        <v>333</v>
      </c>
      <c r="B4151" s="2" t="s">
        <v>531</v>
      </c>
      <c r="C4151" s="2" t="s">
        <v>409</v>
      </c>
      <c r="D4151" s="2" t="s">
        <v>412</v>
      </c>
      <c r="E4151" s="2" t="s">
        <v>414</v>
      </c>
      <c r="F4151" s="2" t="s">
        <v>39</v>
      </c>
      <c r="J4151" s="2" t="s">
        <v>532</v>
      </c>
      <c r="K4151" s="2" t="s">
        <v>533</v>
      </c>
      <c r="L4151" s="2">
        <v>1</v>
      </c>
      <c r="M4151" s="2" t="s">
        <v>534</v>
      </c>
      <c r="O4151" s="2" t="s">
        <v>524</v>
      </c>
      <c r="Y4151" s="2" t="s">
        <v>737</v>
      </c>
    </row>
    <row r="4152" spans="1:34" x14ac:dyDescent="0.25">
      <c r="A4152" s="2" t="s">
        <v>333</v>
      </c>
      <c r="B4152" s="2" t="s">
        <v>531</v>
      </c>
      <c r="C4152" s="2" t="s">
        <v>409</v>
      </c>
      <c r="D4152" s="2" t="s">
        <v>412</v>
      </c>
      <c r="E4152" s="2" t="s">
        <v>414</v>
      </c>
      <c r="F4152" s="2" t="s">
        <v>39</v>
      </c>
      <c r="J4152" s="2" t="s">
        <v>532</v>
      </c>
      <c r="K4152" s="2" t="s">
        <v>533</v>
      </c>
      <c r="L4152" s="2">
        <v>2</v>
      </c>
      <c r="M4152" s="2" t="s">
        <v>536</v>
      </c>
      <c r="O4152" s="2" t="s">
        <v>524</v>
      </c>
      <c r="Y4152" s="2" t="s">
        <v>737</v>
      </c>
    </row>
    <row r="4153" spans="1:34" x14ac:dyDescent="0.25">
      <c r="A4153" s="2" t="s">
        <v>333</v>
      </c>
      <c r="B4153" s="2" t="s">
        <v>531</v>
      </c>
      <c r="C4153" s="2" t="s">
        <v>409</v>
      </c>
      <c r="D4153" s="2" t="s">
        <v>412</v>
      </c>
      <c r="E4153" s="2" t="s">
        <v>414</v>
      </c>
      <c r="F4153" s="2" t="s">
        <v>39</v>
      </c>
      <c r="J4153" s="2" t="s">
        <v>532</v>
      </c>
      <c r="K4153" s="2" t="s">
        <v>533</v>
      </c>
      <c r="L4153" s="2">
        <v>3</v>
      </c>
      <c r="M4153" s="2" t="s">
        <v>537</v>
      </c>
      <c r="O4153" s="2" t="s">
        <v>524</v>
      </c>
      <c r="Y4153" s="2" t="s">
        <v>737</v>
      </c>
    </row>
    <row r="4154" spans="1:34" x14ac:dyDescent="0.25">
      <c r="A4154" s="2" t="s">
        <v>333</v>
      </c>
      <c r="B4154" s="2" t="s">
        <v>531</v>
      </c>
      <c r="C4154" s="2" t="s">
        <v>409</v>
      </c>
      <c r="D4154" s="2" t="s">
        <v>412</v>
      </c>
      <c r="E4154" s="2" t="s">
        <v>414</v>
      </c>
      <c r="F4154" s="2" t="s">
        <v>39</v>
      </c>
      <c r="J4154" s="2" t="s">
        <v>532</v>
      </c>
      <c r="K4154" s="2" t="s">
        <v>533</v>
      </c>
      <c r="L4154" s="2">
        <v>4</v>
      </c>
      <c r="M4154" s="2" t="s">
        <v>538</v>
      </c>
      <c r="O4154" s="2" t="s">
        <v>524</v>
      </c>
      <c r="Y4154" s="2" t="s">
        <v>737</v>
      </c>
    </row>
    <row r="4155" spans="1:34" x14ac:dyDescent="0.25">
      <c r="A4155" s="2" t="s">
        <v>333</v>
      </c>
      <c r="B4155" s="2" t="s">
        <v>531</v>
      </c>
      <c r="C4155" s="2" t="s">
        <v>409</v>
      </c>
      <c r="D4155" s="2" t="s">
        <v>412</v>
      </c>
      <c r="E4155" s="2" t="s">
        <v>414</v>
      </c>
      <c r="F4155" s="2" t="s">
        <v>39</v>
      </c>
      <c r="J4155" s="2" t="s">
        <v>532</v>
      </c>
      <c r="K4155" s="2" t="s">
        <v>533</v>
      </c>
      <c r="L4155" s="2">
        <v>5</v>
      </c>
      <c r="M4155" s="2" t="s">
        <v>539</v>
      </c>
      <c r="O4155" s="2" t="s">
        <v>524</v>
      </c>
      <c r="Y4155" s="2" t="s">
        <v>737</v>
      </c>
    </row>
    <row r="4156" spans="1:34" x14ac:dyDescent="0.25">
      <c r="A4156" s="2" t="s">
        <v>333</v>
      </c>
      <c r="B4156" s="2" t="s">
        <v>540</v>
      </c>
      <c r="C4156" s="2" t="s">
        <v>409</v>
      </c>
      <c r="D4156" s="2" t="s">
        <v>412</v>
      </c>
      <c r="E4156" s="2" t="s">
        <v>414</v>
      </c>
      <c r="F4156" s="2" t="s">
        <v>39</v>
      </c>
      <c r="J4156" s="2" t="s">
        <v>541</v>
      </c>
      <c r="K4156" s="2" t="s">
        <v>542</v>
      </c>
      <c r="L4156" s="2">
        <v>1</v>
      </c>
      <c r="M4156" s="2" t="s">
        <v>543</v>
      </c>
      <c r="O4156" s="2" t="s">
        <v>524</v>
      </c>
      <c r="Y4156" s="2" t="s">
        <v>737</v>
      </c>
    </row>
    <row r="4157" spans="1:34" x14ac:dyDescent="0.25">
      <c r="A4157" s="2" t="s">
        <v>333</v>
      </c>
      <c r="B4157" s="2" t="s">
        <v>540</v>
      </c>
      <c r="C4157" s="2" t="s">
        <v>409</v>
      </c>
      <c r="D4157" s="2" t="s">
        <v>412</v>
      </c>
      <c r="E4157" s="2" t="s">
        <v>414</v>
      </c>
      <c r="F4157" s="2" t="s">
        <v>39</v>
      </c>
      <c r="J4157" s="2" t="s">
        <v>541</v>
      </c>
      <c r="K4157" s="2" t="s">
        <v>542</v>
      </c>
      <c r="L4157" s="2">
        <v>2</v>
      </c>
      <c r="M4157" s="2" t="s">
        <v>544</v>
      </c>
      <c r="O4157" s="2" t="s">
        <v>524</v>
      </c>
      <c r="Y4157" s="2" t="s">
        <v>737</v>
      </c>
    </row>
    <row r="4158" spans="1:34" x14ac:dyDescent="0.25">
      <c r="A4158" s="2" t="s">
        <v>333</v>
      </c>
      <c r="B4158" s="2" t="s">
        <v>540</v>
      </c>
      <c r="C4158" s="2" t="s">
        <v>409</v>
      </c>
      <c r="D4158" s="2" t="s">
        <v>412</v>
      </c>
      <c r="E4158" s="2" t="s">
        <v>414</v>
      </c>
      <c r="F4158" s="2" t="s">
        <v>39</v>
      </c>
      <c r="J4158" s="2" t="s">
        <v>541</v>
      </c>
      <c r="K4158" s="2" t="s">
        <v>542</v>
      </c>
      <c r="L4158" s="2">
        <v>3</v>
      </c>
      <c r="M4158" s="2" t="s">
        <v>545</v>
      </c>
      <c r="O4158" s="2" t="s">
        <v>524</v>
      </c>
      <c r="Y4158" s="2" t="s">
        <v>737</v>
      </c>
    </row>
    <row r="4159" spans="1:34" x14ac:dyDescent="0.25">
      <c r="A4159" s="2" t="s">
        <v>333</v>
      </c>
      <c r="B4159" s="2" t="s">
        <v>540</v>
      </c>
      <c r="C4159" s="2" t="s">
        <v>409</v>
      </c>
      <c r="D4159" s="2" t="s">
        <v>412</v>
      </c>
      <c r="E4159" s="2" t="s">
        <v>414</v>
      </c>
      <c r="F4159" s="2" t="s">
        <v>39</v>
      </c>
      <c r="J4159" s="2" t="s">
        <v>541</v>
      </c>
      <c r="K4159" s="2" t="s">
        <v>542</v>
      </c>
      <c r="L4159" s="2">
        <v>4</v>
      </c>
      <c r="M4159" s="2" t="s">
        <v>546</v>
      </c>
      <c r="O4159" s="2" t="s">
        <v>524</v>
      </c>
      <c r="Y4159" s="2" t="s">
        <v>737</v>
      </c>
    </row>
    <row r="4160" spans="1:34" x14ac:dyDescent="0.25">
      <c r="A4160" s="2" t="s">
        <v>333</v>
      </c>
      <c r="B4160" s="2" t="s">
        <v>540</v>
      </c>
      <c r="C4160" s="2" t="s">
        <v>409</v>
      </c>
      <c r="D4160" s="2" t="s">
        <v>412</v>
      </c>
      <c r="E4160" s="2" t="s">
        <v>414</v>
      </c>
      <c r="F4160" s="2" t="s">
        <v>39</v>
      </c>
      <c r="J4160" s="2" t="s">
        <v>541</v>
      </c>
      <c r="K4160" s="2" t="s">
        <v>542</v>
      </c>
      <c r="L4160" s="2">
        <v>5</v>
      </c>
      <c r="M4160" s="2" t="s">
        <v>547</v>
      </c>
      <c r="O4160" s="2" t="s">
        <v>524</v>
      </c>
      <c r="Y4160" s="2" t="s">
        <v>737</v>
      </c>
    </row>
    <row r="4161" spans="1:34" x14ac:dyDescent="0.25">
      <c r="A4161" s="2" t="s">
        <v>333</v>
      </c>
      <c r="B4161" s="2" t="s">
        <v>540</v>
      </c>
      <c r="C4161" s="2" t="s">
        <v>409</v>
      </c>
      <c r="D4161" s="2" t="s">
        <v>412</v>
      </c>
      <c r="E4161" s="2" t="s">
        <v>414</v>
      </c>
      <c r="F4161" s="2" t="s">
        <v>39</v>
      </c>
      <c r="J4161" s="2" t="s">
        <v>541</v>
      </c>
      <c r="K4161" s="2" t="s">
        <v>542</v>
      </c>
      <c r="L4161" s="2">
        <v>6</v>
      </c>
      <c r="M4161" s="2" t="s">
        <v>548</v>
      </c>
      <c r="O4161" s="2" t="s">
        <v>524</v>
      </c>
      <c r="Y4161" s="2" t="s">
        <v>737</v>
      </c>
    </row>
    <row r="4162" spans="1:34" x14ac:dyDescent="0.25">
      <c r="A4162" s="2" t="s">
        <v>333</v>
      </c>
      <c r="B4162" s="2" t="s">
        <v>540</v>
      </c>
      <c r="C4162" s="2" t="s">
        <v>409</v>
      </c>
      <c r="D4162" s="2" t="s">
        <v>412</v>
      </c>
      <c r="E4162" s="2" t="s">
        <v>414</v>
      </c>
      <c r="F4162" s="2" t="s">
        <v>39</v>
      </c>
      <c r="J4162" s="2" t="s">
        <v>541</v>
      </c>
      <c r="K4162" s="2" t="s">
        <v>542</v>
      </c>
      <c r="L4162" s="2">
        <v>7</v>
      </c>
      <c r="M4162" s="2" t="s">
        <v>549</v>
      </c>
      <c r="O4162" s="2" t="s">
        <v>524</v>
      </c>
      <c r="Y4162" s="2" t="s">
        <v>737</v>
      </c>
    </row>
    <row r="4163" spans="1:34" x14ac:dyDescent="0.25">
      <c r="A4163" s="2" t="s">
        <v>333</v>
      </c>
      <c r="B4163" s="2" t="s">
        <v>540</v>
      </c>
      <c r="C4163" s="2" t="s">
        <v>409</v>
      </c>
      <c r="D4163" s="2" t="s">
        <v>412</v>
      </c>
      <c r="E4163" s="2" t="s">
        <v>414</v>
      </c>
      <c r="F4163" s="2" t="s">
        <v>39</v>
      </c>
      <c r="J4163" s="2" t="s">
        <v>541</v>
      </c>
      <c r="K4163" s="2" t="s">
        <v>542</v>
      </c>
      <c r="L4163" s="2">
        <v>8</v>
      </c>
      <c r="M4163" s="2" t="s">
        <v>550</v>
      </c>
      <c r="O4163" s="2" t="s">
        <v>524</v>
      </c>
      <c r="Y4163" s="2" t="s">
        <v>737</v>
      </c>
    </row>
    <row r="4164" spans="1:34" x14ac:dyDescent="0.25">
      <c r="A4164" s="2" t="s">
        <v>333</v>
      </c>
      <c r="B4164" s="2" t="s">
        <v>540</v>
      </c>
      <c r="C4164" s="2" t="s">
        <v>409</v>
      </c>
      <c r="D4164" s="2" t="s">
        <v>412</v>
      </c>
      <c r="E4164" s="2" t="s">
        <v>414</v>
      </c>
      <c r="F4164" s="2" t="s">
        <v>39</v>
      </c>
      <c r="J4164" s="2" t="s">
        <v>541</v>
      </c>
      <c r="K4164" s="2" t="s">
        <v>542</v>
      </c>
      <c r="L4164" s="2">
        <v>9</v>
      </c>
      <c r="M4164" s="2" t="s">
        <v>551</v>
      </c>
      <c r="O4164" s="2" t="s">
        <v>524</v>
      </c>
      <c r="Y4164" s="2" t="s">
        <v>737</v>
      </c>
    </row>
    <row r="4165" spans="1:34" x14ac:dyDescent="0.25">
      <c r="A4165" s="2" t="s">
        <v>333</v>
      </c>
      <c r="B4165" s="2" t="s">
        <v>540</v>
      </c>
      <c r="C4165" s="2" t="s">
        <v>409</v>
      </c>
      <c r="D4165" s="2" t="s">
        <v>412</v>
      </c>
      <c r="E4165" s="2" t="s">
        <v>414</v>
      </c>
      <c r="F4165" s="2" t="s">
        <v>39</v>
      </c>
      <c r="J4165" s="2" t="s">
        <v>541</v>
      </c>
      <c r="K4165" s="2" t="s">
        <v>542</v>
      </c>
      <c r="L4165" s="2">
        <v>10</v>
      </c>
      <c r="M4165" s="2" t="s">
        <v>552</v>
      </c>
      <c r="O4165" s="2" t="s">
        <v>524</v>
      </c>
      <c r="Y4165" s="2" t="s">
        <v>737</v>
      </c>
    </row>
    <row r="4166" spans="1:34" x14ac:dyDescent="0.25">
      <c r="A4166" s="2" t="s">
        <v>333</v>
      </c>
      <c r="B4166" s="2" t="s">
        <v>540</v>
      </c>
      <c r="C4166" s="2" t="s">
        <v>409</v>
      </c>
      <c r="D4166" s="2" t="s">
        <v>412</v>
      </c>
      <c r="E4166" s="2" t="s">
        <v>414</v>
      </c>
      <c r="F4166" s="2" t="s">
        <v>39</v>
      </c>
      <c r="J4166" s="2" t="s">
        <v>541</v>
      </c>
      <c r="K4166" s="2" t="s">
        <v>542</v>
      </c>
      <c r="L4166" s="2">
        <v>11</v>
      </c>
      <c r="M4166" s="2" t="s">
        <v>553</v>
      </c>
      <c r="O4166" s="2" t="s">
        <v>524</v>
      </c>
      <c r="Y4166" s="2" t="s">
        <v>737</v>
      </c>
    </row>
    <row r="4167" spans="1:34" x14ac:dyDescent="0.25">
      <c r="A4167" s="2" t="s">
        <v>333</v>
      </c>
      <c r="B4167" s="2" t="s">
        <v>540</v>
      </c>
      <c r="C4167" s="2" t="s">
        <v>409</v>
      </c>
      <c r="D4167" s="2" t="s">
        <v>412</v>
      </c>
      <c r="E4167" s="2" t="s">
        <v>414</v>
      </c>
      <c r="F4167" s="2" t="s">
        <v>39</v>
      </c>
      <c r="J4167" s="2" t="s">
        <v>541</v>
      </c>
      <c r="K4167" s="2" t="s">
        <v>542</v>
      </c>
      <c r="L4167" s="2">
        <v>12</v>
      </c>
      <c r="M4167" s="2" t="s">
        <v>554</v>
      </c>
      <c r="O4167" s="2" t="s">
        <v>524</v>
      </c>
      <c r="Y4167" s="2" t="s">
        <v>737</v>
      </c>
    </row>
    <row r="4168" spans="1:34" x14ac:dyDescent="0.25">
      <c r="A4168" s="2" t="s">
        <v>333</v>
      </c>
      <c r="B4168" s="2" t="s">
        <v>555</v>
      </c>
      <c r="C4168" s="2" t="s">
        <v>409</v>
      </c>
      <c r="D4168" s="2" t="s">
        <v>412</v>
      </c>
      <c r="E4168" s="2" t="s">
        <v>414</v>
      </c>
      <c r="F4168" s="2" t="s">
        <v>39</v>
      </c>
      <c r="J4168" s="2" t="s">
        <v>556</v>
      </c>
      <c r="O4168" s="2" t="s">
        <v>524</v>
      </c>
      <c r="Y4168" s="2" t="s">
        <v>737</v>
      </c>
      <c r="AB4168" s="2">
        <v>1</v>
      </c>
    </row>
    <row r="4169" spans="1:34" x14ac:dyDescent="0.25">
      <c r="A4169" s="2" t="s">
        <v>333</v>
      </c>
      <c r="B4169" s="2" t="s">
        <v>557</v>
      </c>
      <c r="C4169" s="2" t="s">
        <v>409</v>
      </c>
      <c r="D4169" s="2" t="s">
        <v>412</v>
      </c>
      <c r="E4169" s="2" t="s">
        <v>414</v>
      </c>
      <c r="F4169" s="2" t="s">
        <v>39</v>
      </c>
      <c r="J4169" s="2" t="s">
        <v>558</v>
      </c>
      <c r="O4169" s="2" t="s">
        <v>524</v>
      </c>
      <c r="Y4169" s="2" t="s">
        <v>737</v>
      </c>
      <c r="AC4169" s="2">
        <f>COUNTIFS($B:$B,"BLOCK_LOAD_Q",$A:$A,$A4169,$C:$C,$C4169,$E:$E,$E4169,$F:$F,$F4169,$N:$N, "&lt;&gt;")</f>
        <v>0</v>
      </c>
      <c r="AD4169" s="2">
        <f>COUNTIFS($B:$B,"BLOCK_TRUST_Q",$A:$A,$A4169,$C:$C,$C4169,$E:$E,$E4169,$F:$F,$F4169,$N:$N, "&lt;&gt;")</f>
        <v>0</v>
      </c>
      <c r="AE4169" s="2" t="str">
        <f>IFERROR(AVERAGEIFS($P:$P,$B:$B,"BLOCK_LOAD_Q",$A:$A,$A4169,$C:$C,$C4169,$E:$E,$E4169,$F:$F,$F4169,$P:$P,"&gt;0"),"")</f>
        <v/>
      </c>
      <c r="AF4169" s="2" t="str">
        <f>IFERROR(AVERAGEIFS($P:$P,$B:$B,"BLOCK_TRUST_Q",$A:$A,$A4169,$C:$C,$C4169,$E:$E,$E4169,$F:$F,$F4169,$P:$P,"&gt;0"),"")</f>
        <v/>
      </c>
      <c r="AG4169" s="2">
        <f>5-AC4169</f>
        <v>5</v>
      </c>
      <c r="AH4169" s="2">
        <f>12-AD4169</f>
        <v>12</v>
      </c>
    </row>
    <row r="4170" spans="1:34" x14ac:dyDescent="0.25">
      <c r="A4170" s="2" t="s">
        <v>333</v>
      </c>
      <c r="B4170" s="2" t="s">
        <v>403</v>
      </c>
      <c r="C4170" s="2" t="s">
        <v>409</v>
      </c>
      <c r="D4170" s="2" t="s">
        <v>412</v>
      </c>
      <c r="Z4170" s="2" t="s">
        <v>503</v>
      </c>
    </row>
    <row r="4171" spans="1:34" x14ac:dyDescent="0.25">
      <c r="A4171" s="2" t="s">
        <v>333</v>
      </c>
      <c r="B4171" s="2" t="s">
        <v>404</v>
      </c>
      <c r="J4171" s="2" t="s">
        <v>575</v>
      </c>
      <c r="AA4171" s="2" t="s">
        <v>337</v>
      </c>
    </row>
    <row r="4172" spans="1:34" x14ac:dyDescent="0.25">
      <c r="A4172" s="2" t="s">
        <v>333</v>
      </c>
      <c r="B4172" s="2" t="s">
        <v>405</v>
      </c>
    </row>
    <row r="4173" spans="1:34" x14ac:dyDescent="0.25">
      <c r="A4173" s="2" t="s">
        <v>333</v>
      </c>
      <c r="B4173" s="2" t="s">
        <v>406</v>
      </c>
    </row>
    <row r="4174" spans="1:34" x14ac:dyDescent="0.25">
      <c r="A4174" s="2" t="s">
        <v>334</v>
      </c>
      <c r="B4174" s="2" t="s">
        <v>523</v>
      </c>
      <c r="C4174" s="2" t="s">
        <v>524</v>
      </c>
      <c r="D4174" s="2" t="s">
        <v>524</v>
      </c>
      <c r="E4174" s="2" t="s">
        <v>524</v>
      </c>
      <c r="F4174" s="2" t="s">
        <v>524</v>
      </c>
      <c r="J4174" s="2" t="s">
        <v>525</v>
      </c>
      <c r="O4174" s="2" t="s">
        <v>524</v>
      </c>
    </row>
    <row r="4175" spans="1:34" x14ac:dyDescent="0.25">
      <c r="A4175" s="2" t="s">
        <v>334</v>
      </c>
      <c r="B4175" s="2" t="s">
        <v>526</v>
      </c>
      <c r="C4175" s="2" t="s">
        <v>524</v>
      </c>
      <c r="D4175" s="2" t="s">
        <v>524</v>
      </c>
      <c r="E4175" s="2" t="s">
        <v>524</v>
      </c>
      <c r="F4175" s="2" t="s">
        <v>524</v>
      </c>
      <c r="J4175" s="2" t="s">
        <v>527</v>
      </c>
      <c r="O4175" s="2" t="s">
        <v>524</v>
      </c>
    </row>
    <row r="4176" spans="1:34" x14ac:dyDescent="0.25">
      <c r="A4176" s="2" t="s">
        <v>334</v>
      </c>
      <c r="B4176" s="2" t="s">
        <v>402</v>
      </c>
      <c r="C4176" s="2" t="s">
        <v>407</v>
      </c>
      <c r="D4176" s="2" t="s">
        <v>411</v>
      </c>
      <c r="E4176" s="2" t="s">
        <v>413</v>
      </c>
      <c r="F4176" s="2" t="s">
        <v>40</v>
      </c>
      <c r="G4176" s="2" t="s">
        <v>415</v>
      </c>
      <c r="H4176" s="2" t="s">
        <v>357</v>
      </c>
      <c r="S4176" s="2" t="s">
        <v>59</v>
      </c>
      <c r="U4176" s="2" t="s">
        <v>60</v>
      </c>
      <c r="W4176" s="2" t="s">
        <v>57</v>
      </c>
    </row>
    <row r="4177" spans="1:25" x14ac:dyDescent="0.25">
      <c r="A4177" s="2" t="s">
        <v>334</v>
      </c>
      <c r="B4177" s="2" t="s">
        <v>402</v>
      </c>
      <c r="C4177" s="2" t="s">
        <v>407</v>
      </c>
      <c r="D4177" s="2" t="s">
        <v>411</v>
      </c>
      <c r="E4177" s="2" t="s">
        <v>413</v>
      </c>
      <c r="F4177" s="2" t="s">
        <v>40</v>
      </c>
      <c r="G4177" s="2" t="s">
        <v>416</v>
      </c>
      <c r="H4177" s="2" t="s">
        <v>348</v>
      </c>
      <c r="S4177" s="2" t="s">
        <v>58</v>
      </c>
      <c r="U4177" s="2" t="s">
        <v>59</v>
      </c>
      <c r="W4177" s="2" t="s">
        <v>59</v>
      </c>
    </row>
    <row r="4178" spans="1:25" x14ac:dyDescent="0.25">
      <c r="A4178" s="2" t="s">
        <v>334</v>
      </c>
      <c r="B4178" s="2" t="s">
        <v>402</v>
      </c>
      <c r="C4178" s="2" t="s">
        <v>407</v>
      </c>
      <c r="D4178" s="2" t="s">
        <v>411</v>
      </c>
      <c r="E4178" s="2" t="s">
        <v>413</v>
      </c>
      <c r="F4178" s="2" t="s">
        <v>40</v>
      </c>
      <c r="G4178" s="2" t="s">
        <v>417</v>
      </c>
      <c r="H4178" s="2" t="s">
        <v>562</v>
      </c>
      <c r="S4178" s="2" t="s">
        <v>59</v>
      </c>
      <c r="U4178" s="2" t="s">
        <v>57</v>
      </c>
      <c r="W4178" s="2" t="s">
        <v>57</v>
      </c>
    </row>
    <row r="4179" spans="1:25" x14ac:dyDescent="0.25">
      <c r="A4179" s="2" t="s">
        <v>334</v>
      </c>
      <c r="B4179" s="2" t="s">
        <v>402</v>
      </c>
      <c r="C4179" s="2" t="s">
        <v>407</v>
      </c>
      <c r="D4179" s="2" t="s">
        <v>411</v>
      </c>
      <c r="E4179" s="2" t="s">
        <v>413</v>
      </c>
      <c r="F4179" s="2" t="s">
        <v>40</v>
      </c>
      <c r="G4179" s="2" t="s">
        <v>418</v>
      </c>
      <c r="H4179" s="2" t="s">
        <v>563</v>
      </c>
      <c r="S4179" s="2" t="s">
        <v>57</v>
      </c>
      <c r="U4179" s="2" t="s">
        <v>60</v>
      </c>
      <c r="W4179" s="2" t="s">
        <v>60</v>
      </c>
    </row>
    <row r="4180" spans="1:25" x14ac:dyDescent="0.25">
      <c r="A4180" s="2" t="s">
        <v>334</v>
      </c>
      <c r="B4180" s="2" t="s">
        <v>531</v>
      </c>
      <c r="C4180" s="2" t="s">
        <v>407</v>
      </c>
      <c r="D4180" s="2" t="s">
        <v>411</v>
      </c>
      <c r="E4180" s="2" t="s">
        <v>413</v>
      </c>
      <c r="F4180" s="2" t="s">
        <v>40</v>
      </c>
      <c r="J4180" s="2" t="s">
        <v>532</v>
      </c>
      <c r="K4180" s="2" t="s">
        <v>533</v>
      </c>
      <c r="L4180" s="2">
        <v>1</v>
      </c>
      <c r="M4180" s="2" t="s">
        <v>534</v>
      </c>
      <c r="O4180" s="2" t="s">
        <v>524</v>
      </c>
      <c r="Y4180" s="2" t="s">
        <v>738</v>
      </c>
    </row>
    <row r="4181" spans="1:25" x14ac:dyDescent="0.25">
      <c r="A4181" s="2" t="s">
        <v>334</v>
      </c>
      <c r="B4181" s="2" t="s">
        <v>531</v>
      </c>
      <c r="C4181" s="2" t="s">
        <v>407</v>
      </c>
      <c r="D4181" s="2" t="s">
        <v>411</v>
      </c>
      <c r="E4181" s="2" t="s">
        <v>413</v>
      </c>
      <c r="F4181" s="2" t="s">
        <v>40</v>
      </c>
      <c r="J4181" s="2" t="s">
        <v>532</v>
      </c>
      <c r="K4181" s="2" t="s">
        <v>533</v>
      </c>
      <c r="L4181" s="2">
        <v>2</v>
      </c>
      <c r="M4181" s="2" t="s">
        <v>536</v>
      </c>
      <c r="O4181" s="2" t="s">
        <v>524</v>
      </c>
      <c r="Y4181" s="2" t="s">
        <v>738</v>
      </c>
    </row>
    <row r="4182" spans="1:25" x14ac:dyDescent="0.25">
      <c r="A4182" s="2" t="s">
        <v>334</v>
      </c>
      <c r="B4182" s="2" t="s">
        <v>531</v>
      </c>
      <c r="C4182" s="2" t="s">
        <v>407</v>
      </c>
      <c r="D4182" s="2" t="s">
        <v>411</v>
      </c>
      <c r="E4182" s="2" t="s">
        <v>413</v>
      </c>
      <c r="F4182" s="2" t="s">
        <v>40</v>
      </c>
      <c r="J4182" s="2" t="s">
        <v>532</v>
      </c>
      <c r="K4182" s="2" t="s">
        <v>533</v>
      </c>
      <c r="L4182" s="2">
        <v>3</v>
      </c>
      <c r="M4182" s="2" t="s">
        <v>537</v>
      </c>
      <c r="O4182" s="2" t="s">
        <v>524</v>
      </c>
      <c r="Y4182" s="2" t="s">
        <v>738</v>
      </c>
    </row>
    <row r="4183" spans="1:25" x14ac:dyDescent="0.25">
      <c r="A4183" s="2" t="s">
        <v>334</v>
      </c>
      <c r="B4183" s="2" t="s">
        <v>531</v>
      </c>
      <c r="C4183" s="2" t="s">
        <v>407</v>
      </c>
      <c r="D4183" s="2" t="s">
        <v>411</v>
      </c>
      <c r="E4183" s="2" t="s">
        <v>413</v>
      </c>
      <c r="F4183" s="2" t="s">
        <v>40</v>
      </c>
      <c r="J4183" s="2" t="s">
        <v>532</v>
      </c>
      <c r="K4183" s="2" t="s">
        <v>533</v>
      </c>
      <c r="L4183" s="2">
        <v>4</v>
      </c>
      <c r="M4183" s="2" t="s">
        <v>538</v>
      </c>
      <c r="O4183" s="2" t="s">
        <v>524</v>
      </c>
      <c r="Y4183" s="2" t="s">
        <v>738</v>
      </c>
    </row>
    <row r="4184" spans="1:25" x14ac:dyDescent="0.25">
      <c r="A4184" s="2" t="s">
        <v>334</v>
      </c>
      <c r="B4184" s="2" t="s">
        <v>531</v>
      </c>
      <c r="C4184" s="2" t="s">
        <v>407</v>
      </c>
      <c r="D4184" s="2" t="s">
        <v>411</v>
      </c>
      <c r="E4184" s="2" t="s">
        <v>413</v>
      </c>
      <c r="F4184" s="2" t="s">
        <v>40</v>
      </c>
      <c r="J4184" s="2" t="s">
        <v>532</v>
      </c>
      <c r="K4184" s="2" t="s">
        <v>533</v>
      </c>
      <c r="L4184" s="2">
        <v>5</v>
      </c>
      <c r="M4184" s="2" t="s">
        <v>539</v>
      </c>
      <c r="O4184" s="2" t="s">
        <v>524</v>
      </c>
      <c r="Y4184" s="2" t="s">
        <v>738</v>
      </c>
    </row>
    <row r="4185" spans="1:25" x14ac:dyDescent="0.25">
      <c r="A4185" s="2" t="s">
        <v>334</v>
      </c>
      <c r="B4185" s="2" t="s">
        <v>540</v>
      </c>
      <c r="C4185" s="2" t="s">
        <v>407</v>
      </c>
      <c r="D4185" s="2" t="s">
        <v>411</v>
      </c>
      <c r="E4185" s="2" t="s">
        <v>413</v>
      </c>
      <c r="F4185" s="2" t="s">
        <v>40</v>
      </c>
      <c r="J4185" s="2" t="s">
        <v>541</v>
      </c>
      <c r="K4185" s="2" t="s">
        <v>542</v>
      </c>
      <c r="L4185" s="2">
        <v>1</v>
      </c>
      <c r="M4185" s="2" t="s">
        <v>543</v>
      </c>
      <c r="O4185" s="2" t="s">
        <v>524</v>
      </c>
      <c r="Y4185" s="2" t="s">
        <v>738</v>
      </c>
    </row>
    <row r="4186" spans="1:25" x14ac:dyDescent="0.25">
      <c r="A4186" s="2" t="s">
        <v>334</v>
      </c>
      <c r="B4186" s="2" t="s">
        <v>540</v>
      </c>
      <c r="C4186" s="2" t="s">
        <v>407</v>
      </c>
      <c r="D4186" s="2" t="s">
        <v>411</v>
      </c>
      <c r="E4186" s="2" t="s">
        <v>413</v>
      </c>
      <c r="F4186" s="2" t="s">
        <v>40</v>
      </c>
      <c r="J4186" s="2" t="s">
        <v>541</v>
      </c>
      <c r="K4186" s="2" t="s">
        <v>542</v>
      </c>
      <c r="L4186" s="2">
        <v>2</v>
      </c>
      <c r="M4186" s="2" t="s">
        <v>544</v>
      </c>
      <c r="O4186" s="2" t="s">
        <v>524</v>
      </c>
      <c r="Y4186" s="2" t="s">
        <v>738</v>
      </c>
    </row>
    <row r="4187" spans="1:25" x14ac:dyDescent="0.25">
      <c r="A4187" s="2" t="s">
        <v>334</v>
      </c>
      <c r="B4187" s="2" t="s">
        <v>540</v>
      </c>
      <c r="C4187" s="2" t="s">
        <v>407</v>
      </c>
      <c r="D4187" s="2" t="s">
        <v>411</v>
      </c>
      <c r="E4187" s="2" t="s">
        <v>413</v>
      </c>
      <c r="F4187" s="2" t="s">
        <v>40</v>
      </c>
      <c r="J4187" s="2" t="s">
        <v>541</v>
      </c>
      <c r="K4187" s="2" t="s">
        <v>542</v>
      </c>
      <c r="L4187" s="2">
        <v>3</v>
      </c>
      <c r="M4187" s="2" t="s">
        <v>545</v>
      </c>
      <c r="O4187" s="2" t="s">
        <v>524</v>
      </c>
      <c r="Y4187" s="2" t="s">
        <v>738</v>
      </c>
    </row>
    <row r="4188" spans="1:25" x14ac:dyDescent="0.25">
      <c r="A4188" s="2" t="s">
        <v>334</v>
      </c>
      <c r="B4188" s="2" t="s">
        <v>540</v>
      </c>
      <c r="C4188" s="2" t="s">
        <v>407</v>
      </c>
      <c r="D4188" s="2" t="s">
        <v>411</v>
      </c>
      <c r="E4188" s="2" t="s">
        <v>413</v>
      </c>
      <c r="F4188" s="2" t="s">
        <v>40</v>
      </c>
      <c r="J4188" s="2" t="s">
        <v>541</v>
      </c>
      <c r="K4188" s="2" t="s">
        <v>542</v>
      </c>
      <c r="L4188" s="2">
        <v>4</v>
      </c>
      <c r="M4188" s="2" t="s">
        <v>546</v>
      </c>
      <c r="O4188" s="2" t="s">
        <v>524</v>
      </c>
      <c r="Y4188" s="2" t="s">
        <v>738</v>
      </c>
    </row>
    <row r="4189" spans="1:25" x14ac:dyDescent="0.25">
      <c r="A4189" s="2" t="s">
        <v>334</v>
      </c>
      <c r="B4189" s="2" t="s">
        <v>540</v>
      </c>
      <c r="C4189" s="2" t="s">
        <v>407</v>
      </c>
      <c r="D4189" s="2" t="s">
        <v>411</v>
      </c>
      <c r="E4189" s="2" t="s">
        <v>413</v>
      </c>
      <c r="F4189" s="2" t="s">
        <v>40</v>
      </c>
      <c r="J4189" s="2" t="s">
        <v>541</v>
      </c>
      <c r="K4189" s="2" t="s">
        <v>542</v>
      </c>
      <c r="L4189" s="2">
        <v>5</v>
      </c>
      <c r="M4189" s="2" t="s">
        <v>547</v>
      </c>
      <c r="O4189" s="2" t="s">
        <v>524</v>
      </c>
      <c r="Y4189" s="2" t="s">
        <v>738</v>
      </c>
    </row>
    <row r="4190" spans="1:25" x14ac:dyDescent="0.25">
      <c r="A4190" s="2" t="s">
        <v>334</v>
      </c>
      <c r="B4190" s="2" t="s">
        <v>540</v>
      </c>
      <c r="C4190" s="2" t="s">
        <v>407</v>
      </c>
      <c r="D4190" s="2" t="s">
        <v>411</v>
      </c>
      <c r="E4190" s="2" t="s">
        <v>413</v>
      </c>
      <c r="F4190" s="2" t="s">
        <v>40</v>
      </c>
      <c r="J4190" s="2" t="s">
        <v>541</v>
      </c>
      <c r="K4190" s="2" t="s">
        <v>542</v>
      </c>
      <c r="L4190" s="2">
        <v>6</v>
      </c>
      <c r="M4190" s="2" t="s">
        <v>548</v>
      </c>
      <c r="O4190" s="2" t="s">
        <v>524</v>
      </c>
      <c r="Y4190" s="2" t="s">
        <v>738</v>
      </c>
    </row>
    <row r="4191" spans="1:25" x14ac:dyDescent="0.25">
      <c r="A4191" s="2" t="s">
        <v>334</v>
      </c>
      <c r="B4191" s="2" t="s">
        <v>540</v>
      </c>
      <c r="C4191" s="2" t="s">
        <v>407</v>
      </c>
      <c r="D4191" s="2" t="s">
        <v>411</v>
      </c>
      <c r="E4191" s="2" t="s">
        <v>413</v>
      </c>
      <c r="F4191" s="2" t="s">
        <v>40</v>
      </c>
      <c r="J4191" s="2" t="s">
        <v>541</v>
      </c>
      <c r="K4191" s="2" t="s">
        <v>542</v>
      </c>
      <c r="L4191" s="2">
        <v>7</v>
      </c>
      <c r="M4191" s="2" t="s">
        <v>549</v>
      </c>
      <c r="O4191" s="2" t="s">
        <v>524</v>
      </c>
      <c r="Y4191" s="2" t="s">
        <v>738</v>
      </c>
    </row>
    <row r="4192" spans="1:25" x14ac:dyDescent="0.25">
      <c r="A4192" s="2" t="s">
        <v>334</v>
      </c>
      <c r="B4192" s="2" t="s">
        <v>540</v>
      </c>
      <c r="C4192" s="2" t="s">
        <v>407</v>
      </c>
      <c r="D4192" s="2" t="s">
        <v>411</v>
      </c>
      <c r="E4192" s="2" t="s">
        <v>413</v>
      </c>
      <c r="F4192" s="2" t="s">
        <v>40</v>
      </c>
      <c r="J4192" s="2" t="s">
        <v>541</v>
      </c>
      <c r="K4192" s="2" t="s">
        <v>542</v>
      </c>
      <c r="L4192" s="2">
        <v>8</v>
      </c>
      <c r="M4192" s="2" t="s">
        <v>550</v>
      </c>
      <c r="O4192" s="2" t="s">
        <v>524</v>
      </c>
      <c r="Y4192" s="2" t="s">
        <v>738</v>
      </c>
    </row>
    <row r="4193" spans="1:34" x14ac:dyDescent="0.25">
      <c r="A4193" s="2" t="s">
        <v>334</v>
      </c>
      <c r="B4193" s="2" t="s">
        <v>540</v>
      </c>
      <c r="C4193" s="2" t="s">
        <v>407</v>
      </c>
      <c r="D4193" s="2" t="s">
        <v>411</v>
      </c>
      <c r="E4193" s="2" t="s">
        <v>413</v>
      </c>
      <c r="F4193" s="2" t="s">
        <v>40</v>
      </c>
      <c r="J4193" s="2" t="s">
        <v>541</v>
      </c>
      <c r="K4193" s="2" t="s">
        <v>542</v>
      </c>
      <c r="L4193" s="2">
        <v>9</v>
      </c>
      <c r="M4193" s="2" t="s">
        <v>551</v>
      </c>
      <c r="O4193" s="2" t="s">
        <v>524</v>
      </c>
      <c r="Y4193" s="2" t="s">
        <v>738</v>
      </c>
    </row>
    <row r="4194" spans="1:34" x14ac:dyDescent="0.25">
      <c r="A4194" s="2" t="s">
        <v>334</v>
      </c>
      <c r="B4194" s="2" t="s">
        <v>540</v>
      </c>
      <c r="C4194" s="2" t="s">
        <v>407</v>
      </c>
      <c r="D4194" s="2" t="s">
        <v>411</v>
      </c>
      <c r="E4194" s="2" t="s">
        <v>413</v>
      </c>
      <c r="F4194" s="2" t="s">
        <v>40</v>
      </c>
      <c r="J4194" s="2" t="s">
        <v>541</v>
      </c>
      <c r="K4194" s="2" t="s">
        <v>542</v>
      </c>
      <c r="L4194" s="2">
        <v>10</v>
      </c>
      <c r="M4194" s="2" t="s">
        <v>552</v>
      </c>
      <c r="O4194" s="2" t="s">
        <v>524</v>
      </c>
      <c r="Y4194" s="2" t="s">
        <v>738</v>
      </c>
    </row>
    <row r="4195" spans="1:34" x14ac:dyDescent="0.25">
      <c r="A4195" s="2" t="s">
        <v>334</v>
      </c>
      <c r="B4195" s="2" t="s">
        <v>540</v>
      </c>
      <c r="C4195" s="2" t="s">
        <v>407</v>
      </c>
      <c r="D4195" s="2" t="s">
        <v>411</v>
      </c>
      <c r="E4195" s="2" t="s">
        <v>413</v>
      </c>
      <c r="F4195" s="2" t="s">
        <v>40</v>
      </c>
      <c r="J4195" s="2" t="s">
        <v>541</v>
      </c>
      <c r="K4195" s="2" t="s">
        <v>542</v>
      </c>
      <c r="L4195" s="2">
        <v>11</v>
      </c>
      <c r="M4195" s="2" t="s">
        <v>553</v>
      </c>
      <c r="O4195" s="2" t="s">
        <v>524</v>
      </c>
      <c r="Y4195" s="2" t="s">
        <v>738</v>
      </c>
    </row>
    <row r="4196" spans="1:34" x14ac:dyDescent="0.25">
      <c r="A4196" s="2" t="s">
        <v>334</v>
      </c>
      <c r="B4196" s="2" t="s">
        <v>540</v>
      </c>
      <c r="C4196" s="2" t="s">
        <v>407</v>
      </c>
      <c r="D4196" s="2" t="s">
        <v>411</v>
      </c>
      <c r="E4196" s="2" t="s">
        <v>413</v>
      </c>
      <c r="F4196" s="2" t="s">
        <v>40</v>
      </c>
      <c r="J4196" s="2" t="s">
        <v>541</v>
      </c>
      <c r="K4196" s="2" t="s">
        <v>542</v>
      </c>
      <c r="L4196" s="2">
        <v>12</v>
      </c>
      <c r="M4196" s="2" t="s">
        <v>554</v>
      </c>
      <c r="O4196" s="2" t="s">
        <v>524</v>
      </c>
      <c r="Y4196" s="2" t="s">
        <v>738</v>
      </c>
    </row>
    <row r="4197" spans="1:34" x14ac:dyDescent="0.25">
      <c r="A4197" s="2" t="s">
        <v>334</v>
      </c>
      <c r="B4197" s="2" t="s">
        <v>555</v>
      </c>
      <c r="C4197" s="2" t="s">
        <v>407</v>
      </c>
      <c r="D4197" s="2" t="s">
        <v>411</v>
      </c>
      <c r="E4197" s="2" t="s">
        <v>413</v>
      </c>
      <c r="F4197" s="2" t="s">
        <v>40</v>
      </c>
      <c r="J4197" s="2" t="s">
        <v>556</v>
      </c>
      <c r="O4197" s="2" t="s">
        <v>524</v>
      </c>
      <c r="Y4197" s="2" t="s">
        <v>738</v>
      </c>
      <c r="AB4197" s="2">
        <v>2</v>
      </c>
    </row>
    <row r="4198" spans="1:34" x14ac:dyDescent="0.25">
      <c r="A4198" s="2" t="s">
        <v>334</v>
      </c>
      <c r="B4198" s="2" t="s">
        <v>557</v>
      </c>
      <c r="C4198" s="2" t="s">
        <v>407</v>
      </c>
      <c r="D4198" s="2" t="s">
        <v>411</v>
      </c>
      <c r="E4198" s="2" t="s">
        <v>413</v>
      </c>
      <c r="F4198" s="2" t="s">
        <v>40</v>
      </c>
      <c r="J4198" s="2" t="s">
        <v>558</v>
      </c>
      <c r="O4198" s="2" t="s">
        <v>524</v>
      </c>
      <c r="Y4198" s="2" t="s">
        <v>738</v>
      </c>
      <c r="AC4198" s="2">
        <f>COUNTIFS($B:$B,"BLOCK_LOAD_Q",$A:$A,$A4198,$C:$C,$C4198,$E:$E,$E4198,$F:$F,$F4198,$N:$N, "&lt;&gt;")</f>
        <v>0</v>
      </c>
      <c r="AD4198" s="2">
        <f>COUNTIFS($B:$B,"BLOCK_TRUST_Q",$A:$A,$A4198,$C:$C,$C4198,$E:$E,$E4198,$F:$F,$F4198,$N:$N, "&lt;&gt;")</f>
        <v>0</v>
      </c>
      <c r="AE4198" s="2" t="str">
        <f>IFERROR(AVERAGEIFS($P:$P,$B:$B,"BLOCK_LOAD_Q",$A:$A,$A4198,$C:$C,$C4198,$E:$E,$E4198,$F:$F,$F4198,$P:$P,"&gt;0"),"")</f>
        <v/>
      </c>
      <c r="AF4198" s="2" t="str">
        <f>IFERROR(AVERAGEIFS($P:$P,$B:$B,"BLOCK_TRUST_Q",$A:$A,$A4198,$C:$C,$C4198,$E:$E,$E4198,$F:$F,$F4198,$P:$P,"&gt;0"),"")</f>
        <v/>
      </c>
      <c r="AG4198" s="2">
        <f>5-AC4198</f>
        <v>5</v>
      </c>
      <c r="AH4198" s="2">
        <f>12-AD4198</f>
        <v>12</v>
      </c>
    </row>
    <row r="4199" spans="1:34" x14ac:dyDescent="0.25">
      <c r="A4199" s="2" t="s">
        <v>334</v>
      </c>
      <c r="B4199" s="2" t="s">
        <v>402</v>
      </c>
      <c r="C4199" s="2" t="s">
        <v>407</v>
      </c>
      <c r="D4199" s="2" t="s">
        <v>411</v>
      </c>
      <c r="E4199" s="2" t="s">
        <v>414</v>
      </c>
      <c r="F4199" s="2" t="s">
        <v>39</v>
      </c>
      <c r="G4199" s="2" t="s">
        <v>415</v>
      </c>
      <c r="H4199" s="2" t="s">
        <v>349</v>
      </c>
      <c r="S4199" s="2" t="s">
        <v>58</v>
      </c>
      <c r="U4199" s="2" t="s">
        <v>60</v>
      </c>
      <c r="W4199" s="2" t="s">
        <v>58</v>
      </c>
    </row>
    <row r="4200" spans="1:34" x14ac:dyDescent="0.25">
      <c r="A4200" s="2" t="s">
        <v>334</v>
      </c>
      <c r="B4200" s="2" t="s">
        <v>402</v>
      </c>
      <c r="C4200" s="2" t="s">
        <v>407</v>
      </c>
      <c r="D4200" s="2" t="s">
        <v>411</v>
      </c>
      <c r="E4200" s="2" t="s">
        <v>414</v>
      </c>
      <c r="F4200" s="2" t="s">
        <v>39</v>
      </c>
      <c r="G4200" s="2" t="s">
        <v>416</v>
      </c>
      <c r="H4200" s="2" t="s">
        <v>565</v>
      </c>
      <c r="S4200" s="2" t="s">
        <v>59</v>
      </c>
      <c r="U4200" s="2" t="s">
        <v>60</v>
      </c>
      <c r="W4200" s="2" t="s">
        <v>60</v>
      </c>
    </row>
    <row r="4201" spans="1:34" x14ac:dyDescent="0.25">
      <c r="A4201" s="2" t="s">
        <v>334</v>
      </c>
      <c r="B4201" s="2" t="s">
        <v>402</v>
      </c>
      <c r="C4201" s="2" t="s">
        <v>407</v>
      </c>
      <c r="D4201" s="2" t="s">
        <v>411</v>
      </c>
      <c r="E4201" s="2" t="s">
        <v>414</v>
      </c>
      <c r="F4201" s="2" t="s">
        <v>39</v>
      </c>
      <c r="G4201" s="2" t="s">
        <v>417</v>
      </c>
      <c r="H4201" s="2" t="s">
        <v>361</v>
      </c>
      <c r="S4201" s="2" t="s">
        <v>60</v>
      </c>
      <c r="U4201" s="2" t="s">
        <v>60</v>
      </c>
      <c r="W4201" s="2" t="s">
        <v>60</v>
      </c>
    </row>
    <row r="4202" spans="1:34" x14ac:dyDescent="0.25">
      <c r="A4202" s="2" t="s">
        <v>334</v>
      </c>
      <c r="B4202" s="2" t="s">
        <v>402</v>
      </c>
      <c r="C4202" s="2" t="s">
        <v>407</v>
      </c>
      <c r="D4202" s="2" t="s">
        <v>411</v>
      </c>
      <c r="E4202" s="2" t="s">
        <v>414</v>
      </c>
      <c r="F4202" s="2" t="s">
        <v>39</v>
      </c>
      <c r="G4202" s="2" t="s">
        <v>418</v>
      </c>
      <c r="H4202" s="2" t="s">
        <v>353</v>
      </c>
      <c r="S4202" s="2" t="s">
        <v>58</v>
      </c>
      <c r="U4202" s="2" t="s">
        <v>59</v>
      </c>
      <c r="W4202" s="2" t="s">
        <v>58</v>
      </c>
    </row>
    <row r="4203" spans="1:34" x14ac:dyDescent="0.25">
      <c r="A4203" s="2" t="s">
        <v>334</v>
      </c>
      <c r="B4203" s="2" t="s">
        <v>402</v>
      </c>
      <c r="C4203" s="2" t="s">
        <v>407</v>
      </c>
      <c r="D4203" s="2" t="s">
        <v>411</v>
      </c>
      <c r="E4203" s="2" t="s">
        <v>414</v>
      </c>
      <c r="F4203" s="2" t="s">
        <v>39</v>
      </c>
      <c r="G4203" s="2" t="s">
        <v>419</v>
      </c>
      <c r="H4203" s="2" t="s">
        <v>371</v>
      </c>
      <c r="S4203" s="2" t="s">
        <v>60</v>
      </c>
      <c r="U4203" s="2" t="s">
        <v>59</v>
      </c>
      <c r="W4203" s="2" t="s">
        <v>57</v>
      </c>
    </row>
    <row r="4204" spans="1:34" x14ac:dyDescent="0.25">
      <c r="A4204" s="2" t="s">
        <v>334</v>
      </c>
      <c r="B4204" s="2" t="s">
        <v>531</v>
      </c>
      <c r="C4204" s="2" t="s">
        <v>407</v>
      </c>
      <c r="D4204" s="2" t="s">
        <v>411</v>
      </c>
      <c r="E4204" s="2" t="s">
        <v>414</v>
      </c>
      <c r="F4204" s="2" t="s">
        <v>39</v>
      </c>
      <c r="J4204" s="2" t="s">
        <v>532</v>
      </c>
      <c r="K4204" s="2" t="s">
        <v>533</v>
      </c>
      <c r="L4204" s="2">
        <v>1</v>
      </c>
      <c r="M4204" s="2" t="s">
        <v>534</v>
      </c>
      <c r="O4204" s="2" t="s">
        <v>524</v>
      </c>
      <c r="Y4204" s="2" t="s">
        <v>739</v>
      </c>
    </row>
    <row r="4205" spans="1:34" x14ac:dyDescent="0.25">
      <c r="A4205" s="2" t="s">
        <v>334</v>
      </c>
      <c r="B4205" s="2" t="s">
        <v>531</v>
      </c>
      <c r="C4205" s="2" t="s">
        <v>407</v>
      </c>
      <c r="D4205" s="2" t="s">
        <v>411</v>
      </c>
      <c r="E4205" s="2" t="s">
        <v>414</v>
      </c>
      <c r="F4205" s="2" t="s">
        <v>39</v>
      </c>
      <c r="J4205" s="2" t="s">
        <v>532</v>
      </c>
      <c r="K4205" s="2" t="s">
        <v>533</v>
      </c>
      <c r="L4205" s="2">
        <v>2</v>
      </c>
      <c r="M4205" s="2" t="s">
        <v>536</v>
      </c>
      <c r="O4205" s="2" t="s">
        <v>524</v>
      </c>
      <c r="Y4205" s="2" t="s">
        <v>739</v>
      </c>
    </row>
    <row r="4206" spans="1:34" x14ac:dyDescent="0.25">
      <c r="A4206" s="2" t="s">
        <v>334</v>
      </c>
      <c r="B4206" s="2" t="s">
        <v>531</v>
      </c>
      <c r="C4206" s="2" t="s">
        <v>407</v>
      </c>
      <c r="D4206" s="2" t="s">
        <v>411</v>
      </c>
      <c r="E4206" s="2" t="s">
        <v>414</v>
      </c>
      <c r="F4206" s="2" t="s">
        <v>39</v>
      </c>
      <c r="J4206" s="2" t="s">
        <v>532</v>
      </c>
      <c r="K4206" s="2" t="s">
        <v>533</v>
      </c>
      <c r="L4206" s="2">
        <v>3</v>
      </c>
      <c r="M4206" s="2" t="s">
        <v>537</v>
      </c>
      <c r="O4206" s="2" t="s">
        <v>524</v>
      </c>
      <c r="Y4206" s="2" t="s">
        <v>739</v>
      </c>
    </row>
    <row r="4207" spans="1:34" x14ac:dyDescent="0.25">
      <c r="A4207" s="2" t="s">
        <v>334</v>
      </c>
      <c r="B4207" s="2" t="s">
        <v>531</v>
      </c>
      <c r="C4207" s="2" t="s">
        <v>407</v>
      </c>
      <c r="D4207" s="2" t="s">
        <v>411</v>
      </c>
      <c r="E4207" s="2" t="s">
        <v>414</v>
      </c>
      <c r="F4207" s="2" t="s">
        <v>39</v>
      </c>
      <c r="J4207" s="2" t="s">
        <v>532</v>
      </c>
      <c r="K4207" s="2" t="s">
        <v>533</v>
      </c>
      <c r="L4207" s="2">
        <v>4</v>
      </c>
      <c r="M4207" s="2" t="s">
        <v>538</v>
      </c>
      <c r="O4207" s="2" t="s">
        <v>524</v>
      </c>
      <c r="Y4207" s="2" t="s">
        <v>739</v>
      </c>
    </row>
    <row r="4208" spans="1:34" x14ac:dyDescent="0.25">
      <c r="A4208" s="2" t="s">
        <v>334</v>
      </c>
      <c r="B4208" s="2" t="s">
        <v>531</v>
      </c>
      <c r="C4208" s="2" t="s">
        <v>407</v>
      </c>
      <c r="D4208" s="2" t="s">
        <v>411</v>
      </c>
      <c r="E4208" s="2" t="s">
        <v>414</v>
      </c>
      <c r="F4208" s="2" t="s">
        <v>39</v>
      </c>
      <c r="J4208" s="2" t="s">
        <v>532</v>
      </c>
      <c r="K4208" s="2" t="s">
        <v>533</v>
      </c>
      <c r="L4208" s="2">
        <v>5</v>
      </c>
      <c r="M4208" s="2" t="s">
        <v>539</v>
      </c>
      <c r="O4208" s="2" t="s">
        <v>524</v>
      </c>
      <c r="Y4208" s="2" t="s">
        <v>739</v>
      </c>
    </row>
    <row r="4209" spans="1:34" x14ac:dyDescent="0.25">
      <c r="A4209" s="2" t="s">
        <v>334</v>
      </c>
      <c r="B4209" s="2" t="s">
        <v>540</v>
      </c>
      <c r="C4209" s="2" t="s">
        <v>407</v>
      </c>
      <c r="D4209" s="2" t="s">
        <v>411</v>
      </c>
      <c r="E4209" s="2" t="s">
        <v>414</v>
      </c>
      <c r="F4209" s="2" t="s">
        <v>39</v>
      </c>
      <c r="J4209" s="2" t="s">
        <v>541</v>
      </c>
      <c r="K4209" s="2" t="s">
        <v>542</v>
      </c>
      <c r="L4209" s="2">
        <v>1</v>
      </c>
      <c r="M4209" s="2" t="s">
        <v>543</v>
      </c>
      <c r="O4209" s="2" t="s">
        <v>524</v>
      </c>
      <c r="Y4209" s="2" t="s">
        <v>739</v>
      </c>
    </row>
    <row r="4210" spans="1:34" x14ac:dyDescent="0.25">
      <c r="A4210" s="2" t="s">
        <v>334</v>
      </c>
      <c r="B4210" s="2" t="s">
        <v>540</v>
      </c>
      <c r="C4210" s="2" t="s">
        <v>407</v>
      </c>
      <c r="D4210" s="2" t="s">
        <v>411</v>
      </c>
      <c r="E4210" s="2" t="s">
        <v>414</v>
      </c>
      <c r="F4210" s="2" t="s">
        <v>39</v>
      </c>
      <c r="J4210" s="2" t="s">
        <v>541</v>
      </c>
      <c r="K4210" s="2" t="s">
        <v>542</v>
      </c>
      <c r="L4210" s="2">
        <v>2</v>
      </c>
      <c r="M4210" s="2" t="s">
        <v>544</v>
      </c>
      <c r="O4210" s="2" t="s">
        <v>524</v>
      </c>
      <c r="Y4210" s="2" t="s">
        <v>739</v>
      </c>
    </row>
    <row r="4211" spans="1:34" x14ac:dyDescent="0.25">
      <c r="A4211" s="2" t="s">
        <v>334</v>
      </c>
      <c r="B4211" s="2" t="s">
        <v>540</v>
      </c>
      <c r="C4211" s="2" t="s">
        <v>407</v>
      </c>
      <c r="D4211" s="2" t="s">
        <v>411</v>
      </c>
      <c r="E4211" s="2" t="s">
        <v>414</v>
      </c>
      <c r="F4211" s="2" t="s">
        <v>39</v>
      </c>
      <c r="J4211" s="2" t="s">
        <v>541</v>
      </c>
      <c r="K4211" s="2" t="s">
        <v>542</v>
      </c>
      <c r="L4211" s="2">
        <v>3</v>
      </c>
      <c r="M4211" s="2" t="s">
        <v>545</v>
      </c>
      <c r="O4211" s="2" t="s">
        <v>524</v>
      </c>
      <c r="Y4211" s="2" t="s">
        <v>739</v>
      </c>
    </row>
    <row r="4212" spans="1:34" x14ac:dyDescent="0.25">
      <c r="A4212" s="2" t="s">
        <v>334</v>
      </c>
      <c r="B4212" s="2" t="s">
        <v>540</v>
      </c>
      <c r="C4212" s="2" t="s">
        <v>407</v>
      </c>
      <c r="D4212" s="2" t="s">
        <v>411</v>
      </c>
      <c r="E4212" s="2" t="s">
        <v>414</v>
      </c>
      <c r="F4212" s="2" t="s">
        <v>39</v>
      </c>
      <c r="J4212" s="2" t="s">
        <v>541</v>
      </c>
      <c r="K4212" s="2" t="s">
        <v>542</v>
      </c>
      <c r="L4212" s="2">
        <v>4</v>
      </c>
      <c r="M4212" s="2" t="s">
        <v>546</v>
      </c>
      <c r="O4212" s="2" t="s">
        <v>524</v>
      </c>
      <c r="Y4212" s="2" t="s">
        <v>739</v>
      </c>
    </row>
    <row r="4213" spans="1:34" x14ac:dyDescent="0.25">
      <c r="A4213" s="2" t="s">
        <v>334</v>
      </c>
      <c r="B4213" s="2" t="s">
        <v>540</v>
      </c>
      <c r="C4213" s="2" t="s">
        <v>407</v>
      </c>
      <c r="D4213" s="2" t="s">
        <v>411</v>
      </c>
      <c r="E4213" s="2" t="s">
        <v>414</v>
      </c>
      <c r="F4213" s="2" t="s">
        <v>39</v>
      </c>
      <c r="J4213" s="2" t="s">
        <v>541</v>
      </c>
      <c r="K4213" s="2" t="s">
        <v>542</v>
      </c>
      <c r="L4213" s="2">
        <v>5</v>
      </c>
      <c r="M4213" s="2" t="s">
        <v>547</v>
      </c>
      <c r="O4213" s="2" t="s">
        <v>524</v>
      </c>
      <c r="Y4213" s="2" t="s">
        <v>739</v>
      </c>
    </row>
    <row r="4214" spans="1:34" x14ac:dyDescent="0.25">
      <c r="A4214" s="2" t="s">
        <v>334</v>
      </c>
      <c r="B4214" s="2" t="s">
        <v>540</v>
      </c>
      <c r="C4214" s="2" t="s">
        <v>407</v>
      </c>
      <c r="D4214" s="2" t="s">
        <v>411</v>
      </c>
      <c r="E4214" s="2" t="s">
        <v>414</v>
      </c>
      <c r="F4214" s="2" t="s">
        <v>39</v>
      </c>
      <c r="J4214" s="2" t="s">
        <v>541</v>
      </c>
      <c r="K4214" s="2" t="s">
        <v>542</v>
      </c>
      <c r="L4214" s="2">
        <v>6</v>
      </c>
      <c r="M4214" s="2" t="s">
        <v>548</v>
      </c>
      <c r="O4214" s="2" t="s">
        <v>524</v>
      </c>
      <c r="Y4214" s="2" t="s">
        <v>739</v>
      </c>
    </row>
    <row r="4215" spans="1:34" x14ac:dyDescent="0.25">
      <c r="A4215" s="2" t="s">
        <v>334</v>
      </c>
      <c r="B4215" s="2" t="s">
        <v>540</v>
      </c>
      <c r="C4215" s="2" t="s">
        <v>407</v>
      </c>
      <c r="D4215" s="2" t="s">
        <v>411</v>
      </c>
      <c r="E4215" s="2" t="s">
        <v>414</v>
      </c>
      <c r="F4215" s="2" t="s">
        <v>39</v>
      </c>
      <c r="J4215" s="2" t="s">
        <v>541</v>
      </c>
      <c r="K4215" s="2" t="s">
        <v>542</v>
      </c>
      <c r="L4215" s="2">
        <v>7</v>
      </c>
      <c r="M4215" s="2" t="s">
        <v>549</v>
      </c>
      <c r="O4215" s="2" t="s">
        <v>524</v>
      </c>
      <c r="Y4215" s="2" t="s">
        <v>739</v>
      </c>
    </row>
    <row r="4216" spans="1:34" x14ac:dyDescent="0.25">
      <c r="A4216" s="2" t="s">
        <v>334</v>
      </c>
      <c r="B4216" s="2" t="s">
        <v>540</v>
      </c>
      <c r="C4216" s="2" t="s">
        <v>407</v>
      </c>
      <c r="D4216" s="2" t="s">
        <v>411</v>
      </c>
      <c r="E4216" s="2" t="s">
        <v>414</v>
      </c>
      <c r="F4216" s="2" t="s">
        <v>39</v>
      </c>
      <c r="J4216" s="2" t="s">
        <v>541</v>
      </c>
      <c r="K4216" s="2" t="s">
        <v>542</v>
      </c>
      <c r="L4216" s="2">
        <v>8</v>
      </c>
      <c r="M4216" s="2" t="s">
        <v>550</v>
      </c>
      <c r="O4216" s="2" t="s">
        <v>524</v>
      </c>
      <c r="Y4216" s="2" t="s">
        <v>739</v>
      </c>
    </row>
    <row r="4217" spans="1:34" x14ac:dyDescent="0.25">
      <c r="A4217" s="2" t="s">
        <v>334</v>
      </c>
      <c r="B4217" s="2" t="s">
        <v>540</v>
      </c>
      <c r="C4217" s="2" t="s">
        <v>407</v>
      </c>
      <c r="D4217" s="2" t="s">
        <v>411</v>
      </c>
      <c r="E4217" s="2" t="s">
        <v>414</v>
      </c>
      <c r="F4217" s="2" t="s">
        <v>39</v>
      </c>
      <c r="J4217" s="2" t="s">
        <v>541</v>
      </c>
      <c r="K4217" s="2" t="s">
        <v>542</v>
      </c>
      <c r="L4217" s="2">
        <v>9</v>
      </c>
      <c r="M4217" s="2" t="s">
        <v>551</v>
      </c>
      <c r="O4217" s="2" t="s">
        <v>524</v>
      </c>
      <c r="Y4217" s="2" t="s">
        <v>739</v>
      </c>
    </row>
    <row r="4218" spans="1:34" x14ac:dyDescent="0.25">
      <c r="A4218" s="2" t="s">
        <v>334</v>
      </c>
      <c r="B4218" s="2" t="s">
        <v>540</v>
      </c>
      <c r="C4218" s="2" t="s">
        <v>407</v>
      </c>
      <c r="D4218" s="2" t="s">
        <v>411</v>
      </c>
      <c r="E4218" s="2" t="s">
        <v>414</v>
      </c>
      <c r="F4218" s="2" t="s">
        <v>39</v>
      </c>
      <c r="J4218" s="2" t="s">
        <v>541</v>
      </c>
      <c r="K4218" s="2" t="s">
        <v>542</v>
      </c>
      <c r="L4218" s="2">
        <v>10</v>
      </c>
      <c r="M4218" s="2" t="s">
        <v>552</v>
      </c>
      <c r="O4218" s="2" t="s">
        <v>524</v>
      </c>
      <c r="Y4218" s="2" t="s">
        <v>739</v>
      </c>
    </row>
    <row r="4219" spans="1:34" x14ac:dyDescent="0.25">
      <c r="A4219" s="2" t="s">
        <v>334</v>
      </c>
      <c r="B4219" s="2" t="s">
        <v>540</v>
      </c>
      <c r="C4219" s="2" t="s">
        <v>407</v>
      </c>
      <c r="D4219" s="2" t="s">
        <v>411</v>
      </c>
      <c r="E4219" s="2" t="s">
        <v>414</v>
      </c>
      <c r="F4219" s="2" t="s">
        <v>39</v>
      </c>
      <c r="J4219" s="2" t="s">
        <v>541</v>
      </c>
      <c r="K4219" s="2" t="s">
        <v>542</v>
      </c>
      <c r="L4219" s="2">
        <v>11</v>
      </c>
      <c r="M4219" s="2" t="s">
        <v>553</v>
      </c>
      <c r="O4219" s="2" t="s">
        <v>524</v>
      </c>
      <c r="Y4219" s="2" t="s">
        <v>739</v>
      </c>
    </row>
    <row r="4220" spans="1:34" x14ac:dyDescent="0.25">
      <c r="A4220" s="2" t="s">
        <v>334</v>
      </c>
      <c r="B4220" s="2" t="s">
        <v>540</v>
      </c>
      <c r="C4220" s="2" t="s">
        <v>407</v>
      </c>
      <c r="D4220" s="2" t="s">
        <v>411</v>
      </c>
      <c r="E4220" s="2" t="s">
        <v>414</v>
      </c>
      <c r="F4220" s="2" t="s">
        <v>39</v>
      </c>
      <c r="J4220" s="2" t="s">
        <v>541</v>
      </c>
      <c r="K4220" s="2" t="s">
        <v>542</v>
      </c>
      <c r="L4220" s="2">
        <v>12</v>
      </c>
      <c r="M4220" s="2" t="s">
        <v>554</v>
      </c>
      <c r="O4220" s="2" t="s">
        <v>524</v>
      </c>
      <c r="Y4220" s="2" t="s">
        <v>739</v>
      </c>
    </row>
    <row r="4221" spans="1:34" x14ac:dyDescent="0.25">
      <c r="A4221" s="2" t="s">
        <v>334</v>
      </c>
      <c r="B4221" s="2" t="s">
        <v>555</v>
      </c>
      <c r="C4221" s="2" t="s">
        <v>407</v>
      </c>
      <c r="D4221" s="2" t="s">
        <v>411</v>
      </c>
      <c r="E4221" s="2" t="s">
        <v>414</v>
      </c>
      <c r="F4221" s="2" t="s">
        <v>39</v>
      </c>
      <c r="J4221" s="2" t="s">
        <v>556</v>
      </c>
      <c r="O4221" s="2" t="s">
        <v>524</v>
      </c>
      <c r="Y4221" s="2" t="s">
        <v>739</v>
      </c>
      <c r="AB4221" s="2">
        <v>1</v>
      </c>
    </row>
    <row r="4222" spans="1:34" x14ac:dyDescent="0.25">
      <c r="A4222" s="2" t="s">
        <v>334</v>
      </c>
      <c r="B4222" s="2" t="s">
        <v>557</v>
      </c>
      <c r="C4222" s="2" t="s">
        <v>407</v>
      </c>
      <c r="D4222" s="2" t="s">
        <v>411</v>
      </c>
      <c r="E4222" s="2" t="s">
        <v>414</v>
      </c>
      <c r="F4222" s="2" t="s">
        <v>39</v>
      </c>
      <c r="J4222" s="2" t="s">
        <v>558</v>
      </c>
      <c r="O4222" s="2" t="s">
        <v>524</v>
      </c>
      <c r="Y4222" s="2" t="s">
        <v>739</v>
      </c>
      <c r="AC4222" s="2">
        <f>COUNTIFS($B:$B,"BLOCK_LOAD_Q",$A:$A,$A4222,$C:$C,$C4222,$E:$E,$E4222,$F:$F,$F4222,$N:$N, "&lt;&gt;")</f>
        <v>0</v>
      </c>
      <c r="AD4222" s="2">
        <f>COUNTIFS($B:$B,"BLOCK_TRUST_Q",$A:$A,$A4222,$C:$C,$C4222,$E:$E,$E4222,$F:$F,$F4222,$N:$N, "&lt;&gt;")</f>
        <v>0</v>
      </c>
      <c r="AE4222" s="2" t="str">
        <f>IFERROR(AVERAGEIFS($P:$P,$B:$B,"BLOCK_LOAD_Q",$A:$A,$A4222,$C:$C,$C4222,$E:$E,$E4222,$F:$F,$F4222,$P:$P,"&gt;0"),"")</f>
        <v/>
      </c>
      <c r="AF4222" s="2" t="str">
        <f>IFERROR(AVERAGEIFS($P:$P,$B:$B,"BLOCK_TRUST_Q",$A:$A,$A4222,$C:$C,$C4222,$E:$E,$E4222,$F:$F,$F4222,$P:$P,"&gt;0"),"")</f>
        <v/>
      </c>
      <c r="AG4222" s="2">
        <f>5-AC4222</f>
        <v>5</v>
      </c>
      <c r="AH4222" s="2">
        <f>12-AD4222</f>
        <v>12</v>
      </c>
    </row>
    <row r="4223" spans="1:34" x14ac:dyDescent="0.25">
      <c r="A4223" s="2" t="s">
        <v>334</v>
      </c>
      <c r="B4223" s="2" t="s">
        <v>403</v>
      </c>
      <c r="C4223" s="2" t="s">
        <v>407</v>
      </c>
      <c r="D4223" s="2" t="s">
        <v>411</v>
      </c>
      <c r="Z4223" s="2" t="s">
        <v>504</v>
      </c>
    </row>
    <row r="4224" spans="1:34" x14ac:dyDescent="0.25">
      <c r="A4224" s="2" t="s">
        <v>334</v>
      </c>
      <c r="B4224" s="2" t="s">
        <v>402</v>
      </c>
      <c r="C4224" s="2" t="s">
        <v>408</v>
      </c>
      <c r="D4224" s="2" t="s">
        <v>412</v>
      </c>
      <c r="E4224" s="2" t="s">
        <v>413</v>
      </c>
      <c r="F4224" s="2" t="s">
        <v>39</v>
      </c>
      <c r="G4224" s="2" t="s">
        <v>415</v>
      </c>
      <c r="H4224" s="2" t="s">
        <v>350</v>
      </c>
      <c r="S4224" s="2" t="s">
        <v>57</v>
      </c>
      <c r="U4224" s="2" t="s">
        <v>58</v>
      </c>
      <c r="W4224" s="2" t="s">
        <v>59</v>
      </c>
    </row>
    <row r="4225" spans="1:25" x14ac:dyDescent="0.25">
      <c r="A4225" s="2" t="s">
        <v>334</v>
      </c>
      <c r="B4225" s="2" t="s">
        <v>402</v>
      </c>
      <c r="C4225" s="2" t="s">
        <v>408</v>
      </c>
      <c r="D4225" s="2" t="s">
        <v>412</v>
      </c>
      <c r="E4225" s="2" t="s">
        <v>413</v>
      </c>
      <c r="F4225" s="2" t="s">
        <v>39</v>
      </c>
      <c r="G4225" s="2" t="s">
        <v>416</v>
      </c>
      <c r="H4225" s="2" t="s">
        <v>571</v>
      </c>
      <c r="S4225" s="2" t="s">
        <v>59</v>
      </c>
      <c r="U4225" s="2" t="s">
        <v>57</v>
      </c>
      <c r="W4225" s="2" t="s">
        <v>60</v>
      </c>
    </row>
    <row r="4226" spans="1:25" x14ac:dyDescent="0.25">
      <c r="A4226" s="2" t="s">
        <v>334</v>
      </c>
      <c r="B4226" s="2" t="s">
        <v>402</v>
      </c>
      <c r="C4226" s="2" t="s">
        <v>408</v>
      </c>
      <c r="D4226" s="2" t="s">
        <v>412</v>
      </c>
      <c r="E4226" s="2" t="s">
        <v>413</v>
      </c>
      <c r="F4226" s="2" t="s">
        <v>39</v>
      </c>
      <c r="G4226" s="2" t="s">
        <v>417</v>
      </c>
      <c r="H4226" s="2" t="s">
        <v>572</v>
      </c>
      <c r="S4226" s="2" t="s">
        <v>57</v>
      </c>
      <c r="U4226" s="2" t="s">
        <v>59</v>
      </c>
      <c r="W4226" s="2" t="s">
        <v>58</v>
      </c>
    </row>
    <row r="4227" spans="1:25" x14ac:dyDescent="0.25">
      <c r="A4227" s="2" t="s">
        <v>334</v>
      </c>
      <c r="B4227" s="2" t="s">
        <v>402</v>
      </c>
      <c r="C4227" s="2" t="s">
        <v>408</v>
      </c>
      <c r="D4227" s="2" t="s">
        <v>412</v>
      </c>
      <c r="E4227" s="2" t="s">
        <v>413</v>
      </c>
      <c r="F4227" s="2" t="s">
        <v>39</v>
      </c>
      <c r="G4227" s="2" t="s">
        <v>418</v>
      </c>
      <c r="H4227" s="2" t="s">
        <v>573</v>
      </c>
      <c r="S4227" s="2" t="s">
        <v>58</v>
      </c>
      <c r="U4227" s="2" t="s">
        <v>58</v>
      </c>
      <c r="W4227" s="2" t="s">
        <v>58</v>
      </c>
    </row>
    <row r="4228" spans="1:25" x14ac:dyDescent="0.25">
      <c r="A4228" s="2" t="s">
        <v>334</v>
      </c>
      <c r="B4228" s="2" t="s">
        <v>402</v>
      </c>
      <c r="C4228" s="2" t="s">
        <v>408</v>
      </c>
      <c r="D4228" s="2" t="s">
        <v>412</v>
      </c>
      <c r="E4228" s="2" t="s">
        <v>413</v>
      </c>
      <c r="F4228" s="2" t="s">
        <v>39</v>
      </c>
      <c r="G4228" s="2" t="s">
        <v>419</v>
      </c>
      <c r="H4228" s="2" t="s">
        <v>365</v>
      </c>
      <c r="S4228" s="2" t="s">
        <v>59</v>
      </c>
      <c r="U4228" s="2" t="s">
        <v>59</v>
      </c>
      <c r="W4228" s="2" t="s">
        <v>60</v>
      </c>
    </row>
    <row r="4229" spans="1:25" x14ac:dyDescent="0.25">
      <c r="A4229" s="2" t="s">
        <v>334</v>
      </c>
      <c r="B4229" s="2" t="s">
        <v>531</v>
      </c>
      <c r="C4229" s="2" t="s">
        <v>408</v>
      </c>
      <c r="D4229" s="2" t="s">
        <v>412</v>
      </c>
      <c r="E4229" s="2" t="s">
        <v>413</v>
      </c>
      <c r="F4229" s="2" t="s">
        <v>39</v>
      </c>
      <c r="J4229" s="2" t="s">
        <v>532</v>
      </c>
      <c r="K4229" s="2" t="s">
        <v>533</v>
      </c>
      <c r="L4229" s="2">
        <v>1</v>
      </c>
      <c r="M4229" s="2" t="s">
        <v>534</v>
      </c>
      <c r="O4229" s="2" t="s">
        <v>524</v>
      </c>
      <c r="Y4229" s="2" t="s">
        <v>740</v>
      </c>
    </row>
    <row r="4230" spans="1:25" x14ac:dyDescent="0.25">
      <c r="A4230" s="2" t="s">
        <v>334</v>
      </c>
      <c r="B4230" s="2" t="s">
        <v>531</v>
      </c>
      <c r="C4230" s="2" t="s">
        <v>408</v>
      </c>
      <c r="D4230" s="2" t="s">
        <v>412</v>
      </c>
      <c r="E4230" s="2" t="s">
        <v>413</v>
      </c>
      <c r="F4230" s="2" t="s">
        <v>39</v>
      </c>
      <c r="J4230" s="2" t="s">
        <v>532</v>
      </c>
      <c r="K4230" s="2" t="s">
        <v>533</v>
      </c>
      <c r="L4230" s="2">
        <v>2</v>
      </c>
      <c r="M4230" s="2" t="s">
        <v>536</v>
      </c>
      <c r="O4230" s="2" t="s">
        <v>524</v>
      </c>
      <c r="Y4230" s="2" t="s">
        <v>740</v>
      </c>
    </row>
    <row r="4231" spans="1:25" x14ac:dyDescent="0.25">
      <c r="A4231" s="2" t="s">
        <v>334</v>
      </c>
      <c r="B4231" s="2" t="s">
        <v>531</v>
      </c>
      <c r="C4231" s="2" t="s">
        <v>408</v>
      </c>
      <c r="D4231" s="2" t="s">
        <v>412</v>
      </c>
      <c r="E4231" s="2" t="s">
        <v>413</v>
      </c>
      <c r="F4231" s="2" t="s">
        <v>39</v>
      </c>
      <c r="J4231" s="2" t="s">
        <v>532</v>
      </c>
      <c r="K4231" s="2" t="s">
        <v>533</v>
      </c>
      <c r="L4231" s="2">
        <v>3</v>
      </c>
      <c r="M4231" s="2" t="s">
        <v>537</v>
      </c>
      <c r="O4231" s="2" t="s">
        <v>524</v>
      </c>
      <c r="Y4231" s="2" t="s">
        <v>740</v>
      </c>
    </row>
    <row r="4232" spans="1:25" x14ac:dyDescent="0.25">
      <c r="A4232" s="2" t="s">
        <v>334</v>
      </c>
      <c r="B4232" s="2" t="s">
        <v>531</v>
      </c>
      <c r="C4232" s="2" t="s">
        <v>408</v>
      </c>
      <c r="D4232" s="2" t="s">
        <v>412</v>
      </c>
      <c r="E4232" s="2" t="s">
        <v>413</v>
      </c>
      <c r="F4232" s="2" t="s">
        <v>39</v>
      </c>
      <c r="J4232" s="2" t="s">
        <v>532</v>
      </c>
      <c r="K4232" s="2" t="s">
        <v>533</v>
      </c>
      <c r="L4232" s="2">
        <v>4</v>
      </c>
      <c r="M4232" s="2" t="s">
        <v>538</v>
      </c>
      <c r="O4232" s="2" t="s">
        <v>524</v>
      </c>
      <c r="Y4232" s="2" t="s">
        <v>740</v>
      </c>
    </row>
    <row r="4233" spans="1:25" x14ac:dyDescent="0.25">
      <c r="A4233" s="2" t="s">
        <v>334</v>
      </c>
      <c r="B4233" s="2" t="s">
        <v>531</v>
      </c>
      <c r="C4233" s="2" t="s">
        <v>408</v>
      </c>
      <c r="D4233" s="2" t="s">
        <v>412</v>
      </c>
      <c r="E4233" s="2" t="s">
        <v>413</v>
      </c>
      <c r="F4233" s="2" t="s">
        <v>39</v>
      </c>
      <c r="J4233" s="2" t="s">
        <v>532</v>
      </c>
      <c r="K4233" s="2" t="s">
        <v>533</v>
      </c>
      <c r="L4233" s="2">
        <v>5</v>
      </c>
      <c r="M4233" s="2" t="s">
        <v>539</v>
      </c>
      <c r="O4233" s="2" t="s">
        <v>524</v>
      </c>
      <c r="Y4233" s="2" t="s">
        <v>740</v>
      </c>
    </row>
    <row r="4234" spans="1:25" x14ac:dyDescent="0.25">
      <c r="A4234" s="2" t="s">
        <v>334</v>
      </c>
      <c r="B4234" s="2" t="s">
        <v>540</v>
      </c>
      <c r="C4234" s="2" t="s">
        <v>408</v>
      </c>
      <c r="D4234" s="2" t="s">
        <v>412</v>
      </c>
      <c r="E4234" s="2" t="s">
        <v>413</v>
      </c>
      <c r="F4234" s="2" t="s">
        <v>39</v>
      </c>
      <c r="J4234" s="2" t="s">
        <v>541</v>
      </c>
      <c r="K4234" s="2" t="s">
        <v>542</v>
      </c>
      <c r="L4234" s="2">
        <v>1</v>
      </c>
      <c r="M4234" s="2" t="s">
        <v>543</v>
      </c>
      <c r="O4234" s="2" t="s">
        <v>524</v>
      </c>
      <c r="Y4234" s="2" t="s">
        <v>740</v>
      </c>
    </row>
    <row r="4235" spans="1:25" x14ac:dyDescent="0.25">
      <c r="A4235" s="2" t="s">
        <v>334</v>
      </c>
      <c r="B4235" s="2" t="s">
        <v>540</v>
      </c>
      <c r="C4235" s="2" t="s">
        <v>408</v>
      </c>
      <c r="D4235" s="2" t="s">
        <v>412</v>
      </c>
      <c r="E4235" s="2" t="s">
        <v>413</v>
      </c>
      <c r="F4235" s="2" t="s">
        <v>39</v>
      </c>
      <c r="J4235" s="2" t="s">
        <v>541</v>
      </c>
      <c r="K4235" s="2" t="s">
        <v>542</v>
      </c>
      <c r="L4235" s="2">
        <v>2</v>
      </c>
      <c r="M4235" s="2" t="s">
        <v>544</v>
      </c>
      <c r="O4235" s="2" t="s">
        <v>524</v>
      </c>
      <c r="Y4235" s="2" t="s">
        <v>740</v>
      </c>
    </row>
    <row r="4236" spans="1:25" x14ac:dyDescent="0.25">
      <c r="A4236" s="2" t="s">
        <v>334</v>
      </c>
      <c r="B4236" s="2" t="s">
        <v>540</v>
      </c>
      <c r="C4236" s="2" t="s">
        <v>408</v>
      </c>
      <c r="D4236" s="2" t="s">
        <v>412</v>
      </c>
      <c r="E4236" s="2" t="s">
        <v>413</v>
      </c>
      <c r="F4236" s="2" t="s">
        <v>39</v>
      </c>
      <c r="J4236" s="2" t="s">
        <v>541</v>
      </c>
      <c r="K4236" s="2" t="s">
        <v>542</v>
      </c>
      <c r="L4236" s="2">
        <v>3</v>
      </c>
      <c r="M4236" s="2" t="s">
        <v>545</v>
      </c>
      <c r="O4236" s="2" t="s">
        <v>524</v>
      </c>
      <c r="Y4236" s="2" t="s">
        <v>740</v>
      </c>
    </row>
    <row r="4237" spans="1:25" x14ac:dyDescent="0.25">
      <c r="A4237" s="2" t="s">
        <v>334</v>
      </c>
      <c r="B4237" s="2" t="s">
        <v>540</v>
      </c>
      <c r="C4237" s="2" t="s">
        <v>408</v>
      </c>
      <c r="D4237" s="2" t="s">
        <v>412</v>
      </c>
      <c r="E4237" s="2" t="s">
        <v>413</v>
      </c>
      <c r="F4237" s="2" t="s">
        <v>39</v>
      </c>
      <c r="J4237" s="2" t="s">
        <v>541</v>
      </c>
      <c r="K4237" s="2" t="s">
        <v>542</v>
      </c>
      <c r="L4237" s="2">
        <v>4</v>
      </c>
      <c r="M4237" s="2" t="s">
        <v>546</v>
      </c>
      <c r="O4237" s="2" t="s">
        <v>524</v>
      </c>
      <c r="Y4237" s="2" t="s">
        <v>740</v>
      </c>
    </row>
    <row r="4238" spans="1:25" x14ac:dyDescent="0.25">
      <c r="A4238" s="2" t="s">
        <v>334</v>
      </c>
      <c r="B4238" s="2" t="s">
        <v>540</v>
      </c>
      <c r="C4238" s="2" t="s">
        <v>408</v>
      </c>
      <c r="D4238" s="2" t="s">
        <v>412</v>
      </c>
      <c r="E4238" s="2" t="s">
        <v>413</v>
      </c>
      <c r="F4238" s="2" t="s">
        <v>39</v>
      </c>
      <c r="J4238" s="2" t="s">
        <v>541</v>
      </c>
      <c r="K4238" s="2" t="s">
        <v>542</v>
      </c>
      <c r="L4238" s="2">
        <v>5</v>
      </c>
      <c r="M4238" s="2" t="s">
        <v>547</v>
      </c>
      <c r="O4238" s="2" t="s">
        <v>524</v>
      </c>
      <c r="Y4238" s="2" t="s">
        <v>740</v>
      </c>
    </row>
    <row r="4239" spans="1:25" x14ac:dyDescent="0.25">
      <c r="A4239" s="2" t="s">
        <v>334</v>
      </c>
      <c r="B4239" s="2" t="s">
        <v>540</v>
      </c>
      <c r="C4239" s="2" t="s">
        <v>408</v>
      </c>
      <c r="D4239" s="2" t="s">
        <v>412</v>
      </c>
      <c r="E4239" s="2" t="s">
        <v>413</v>
      </c>
      <c r="F4239" s="2" t="s">
        <v>39</v>
      </c>
      <c r="J4239" s="2" t="s">
        <v>541</v>
      </c>
      <c r="K4239" s="2" t="s">
        <v>542</v>
      </c>
      <c r="L4239" s="2">
        <v>6</v>
      </c>
      <c r="M4239" s="2" t="s">
        <v>548</v>
      </c>
      <c r="O4239" s="2" t="s">
        <v>524</v>
      </c>
      <c r="Y4239" s="2" t="s">
        <v>740</v>
      </c>
    </row>
    <row r="4240" spans="1:25" x14ac:dyDescent="0.25">
      <c r="A4240" s="2" t="s">
        <v>334</v>
      </c>
      <c r="B4240" s="2" t="s">
        <v>540</v>
      </c>
      <c r="C4240" s="2" t="s">
        <v>408</v>
      </c>
      <c r="D4240" s="2" t="s">
        <v>412</v>
      </c>
      <c r="E4240" s="2" t="s">
        <v>413</v>
      </c>
      <c r="F4240" s="2" t="s">
        <v>39</v>
      </c>
      <c r="J4240" s="2" t="s">
        <v>541</v>
      </c>
      <c r="K4240" s="2" t="s">
        <v>542</v>
      </c>
      <c r="L4240" s="2">
        <v>7</v>
      </c>
      <c r="M4240" s="2" t="s">
        <v>549</v>
      </c>
      <c r="O4240" s="2" t="s">
        <v>524</v>
      </c>
      <c r="Y4240" s="2" t="s">
        <v>740</v>
      </c>
    </row>
    <row r="4241" spans="1:34" x14ac:dyDescent="0.25">
      <c r="A4241" s="2" t="s">
        <v>334</v>
      </c>
      <c r="B4241" s="2" t="s">
        <v>540</v>
      </c>
      <c r="C4241" s="2" t="s">
        <v>408</v>
      </c>
      <c r="D4241" s="2" t="s">
        <v>412</v>
      </c>
      <c r="E4241" s="2" t="s">
        <v>413</v>
      </c>
      <c r="F4241" s="2" t="s">
        <v>39</v>
      </c>
      <c r="J4241" s="2" t="s">
        <v>541</v>
      </c>
      <c r="K4241" s="2" t="s">
        <v>542</v>
      </c>
      <c r="L4241" s="2">
        <v>8</v>
      </c>
      <c r="M4241" s="2" t="s">
        <v>550</v>
      </c>
      <c r="O4241" s="2" t="s">
        <v>524</v>
      </c>
      <c r="Y4241" s="2" t="s">
        <v>740</v>
      </c>
    </row>
    <row r="4242" spans="1:34" x14ac:dyDescent="0.25">
      <c r="A4242" s="2" t="s">
        <v>334</v>
      </c>
      <c r="B4242" s="2" t="s">
        <v>540</v>
      </c>
      <c r="C4242" s="2" t="s">
        <v>408</v>
      </c>
      <c r="D4242" s="2" t="s">
        <v>412</v>
      </c>
      <c r="E4242" s="2" t="s">
        <v>413</v>
      </c>
      <c r="F4242" s="2" t="s">
        <v>39</v>
      </c>
      <c r="J4242" s="2" t="s">
        <v>541</v>
      </c>
      <c r="K4242" s="2" t="s">
        <v>542</v>
      </c>
      <c r="L4242" s="2">
        <v>9</v>
      </c>
      <c r="M4242" s="2" t="s">
        <v>551</v>
      </c>
      <c r="O4242" s="2" t="s">
        <v>524</v>
      </c>
      <c r="Y4242" s="2" t="s">
        <v>740</v>
      </c>
    </row>
    <row r="4243" spans="1:34" x14ac:dyDescent="0.25">
      <c r="A4243" s="2" t="s">
        <v>334</v>
      </c>
      <c r="B4243" s="2" t="s">
        <v>540</v>
      </c>
      <c r="C4243" s="2" t="s">
        <v>408</v>
      </c>
      <c r="D4243" s="2" t="s">
        <v>412</v>
      </c>
      <c r="E4243" s="2" t="s">
        <v>413</v>
      </c>
      <c r="F4243" s="2" t="s">
        <v>39</v>
      </c>
      <c r="J4243" s="2" t="s">
        <v>541</v>
      </c>
      <c r="K4243" s="2" t="s">
        <v>542</v>
      </c>
      <c r="L4243" s="2">
        <v>10</v>
      </c>
      <c r="M4243" s="2" t="s">
        <v>552</v>
      </c>
      <c r="O4243" s="2" t="s">
        <v>524</v>
      </c>
      <c r="Y4243" s="2" t="s">
        <v>740</v>
      </c>
    </row>
    <row r="4244" spans="1:34" x14ac:dyDescent="0.25">
      <c r="A4244" s="2" t="s">
        <v>334</v>
      </c>
      <c r="B4244" s="2" t="s">
        <v>540</v>
      </c>
      <c r="C4244" s="2" t="s">
        <v>408</v>
      </c>
      <c r="D4244" s="2" t="s">
        <v>412</v>
      </c>
      <c r="E4244" s="2" t="s">
        <v>413</v>
      </c>
      <c r="F4244" s="2" t="s">
        <v>39</v>
      </c>
      <c r="J4244" s="2" t="s">
        <v>541</v>
      </c>
      <c r="K4244" s="2" t="s">
        <v>542</v>
      </c>
      <c r="L4244" s="2">
        <v>11</v>
      </c>
      <c r="M4244" s="2" t="s">
        <v>553</v>
      </c>
      <c r="O4244" s="2" t="s">
        <v>524</v>
      </c>
      <c r="Y4244" s="2" t="s">
        <v>740</v>
      </c>
    </row>
    <row r="4245" spans="1:34" x14ac:dyDescent="0.25">
      <c r="A4245" s="2" t="s">
        <v>334</v>
      </c>
      <c r="B4245" s="2" t="s">
        <v>540</v>
      </c>
      <c r="C4245" s="2" t="s">
        <v>408</v>
      </c>
      <c r="D4245" s="2" t="s">
        <v>412</v>
      </c>
      <c r="E4245" s="2" t="s">
        <v>413</v>
      </c>
      <c r="F4245" s="2" t="s">
        <v>39</v>
      </c>
      <c r="J4245" s="2" t="s">
        <v>541</v>
      </c>
      <c r="K4245" s="2" t="s">
        <v>542</v>
      </c>
      <c r="L4245" s="2">
        <v>12</v>
      </c>
      <c r="M4245" s="2" t="s">
        <v>554</v>
      </c>
      <c r="O4245" s="2" t="s">
        <v>524</v>
      </c>
      <c r="Y4245" s="2" t="s">
        <v>740</v>
      </c>
    </row>
    <row r="4246" spans="1:34" x14ac:dyDescent="0.25">
      <c r="A4246" s="2" t="s">
        <v>334</v>
      </c>
      <c r="B4246" s="2" t="s">
        <v>555</v>
      </c>
      <c r="C4246" s="2" t="s">
        <v>408</v>
      </c>
      <c r="D4246" s="2" t="s">
        <v>412</v>
      </c>
      <c r="E4246" s="2" t="s">
        <v>413</v>
      </c>
      <c r="F4246" s="2" t="s">
        <v>39</v>
      </c>
      <c r="J4246" s="2" t="s">
        <v>556</v>
      </c>
      <c r="O4246" s="2" t="s">
        <v>524</v>
      </c>
      <c r="Y4246" s="2" t="s">
        <v>740</v>
      </c>
      <c r="AB4246" s="2">
        <v>1</v>
      </c>
    </row>
    <row r="4247" spans="1:34" x14ac:dyDescent="0.25">
      <c r="A4247" s="2" t="s">
        <v>334</v>
      </c>
      <c r="B4247" s="2" t="s">
        <v>557</v>
      </c>
      <c r="C4247" s="2" t="s">
        <v>408</v>
      </c>
      <c r="D4247" s="2" t="s">
        <v>412</v>
      </c>
      <c r="E4247" s="2" t="s">
        <v>413</v>
      </c>
      <c r="F4247" s="2" t="s">
        <v>39</v>
      </c>
      <c r="J4247" s="2" t="s">
        <v>558</v>
      </c>
      <c r="O4247" s="2" t="s">
        <v>524</v>
      </c>
      <c r="Y4247" s="2" t="s">
        <v>740</v>
      </c>
      <c r="AC4247" s="2">
        <f>COUNTIFS($B:$B,"BLOCK_LOAD_Q",$A:$A,$A4247,$C:$C,$C4247,$E:$E,$E4247,$F:$F,$F4247,$N:$N, "&lt;&gt;")</f>
        <v>0</v>
      </c>
      <c r="AD4247" s="2">
        <f>COUNTIFS($B:$B,"BLOCK_TRUST_Q",$A:$A,$A4247,$C:$C,$C4247,$E:$E,$E4247,$F:$F,$F4247,$N:$N, "&lt;&gt;")</f>
        <v>0</v>
      </c>
      <c r="AE4247" s="2" t="str">
        <f>IFERROR(AVERAGEIFS($P:$P,$B:$B,"BLOCK_LOAD_Q",$A:$A,$A4247,$C:$C,$C4247,$E:$E,$E4247,$F:$F,$F4247,$P:$P,"&gt;0"),"")</f>
        <v/>
      </c>
      <c r="AF4247" s="2" t="str">
        <f>IFERROR(AVERAGEIFS($P:$P,$B:$B,"BLOCK_TRUST_Q",$A:$A,$A4247,$C:$C,$C4247,$E:$E,$E4247,$F:$F,$F4247,$P:$P,"&gt;0"),"")</f>
        <v/>
      </c>
      <c r="AG4247" s="2">
        <f>5-AC4247</f>
        <v>5</v>
      </c>
      <c r="AH4247" s="2">
        <f>12-AD4247</f>
        <v>12</v>
      </c>
    </row>
    <row r="4248" spans="1:34" x14ac:dyDescent="0.25">
      <c r="A4248" s="2" t="s">
        <v>334</v>
      </c>
      <c r="B4248" s="2" t="s">
        <v>402</v>
      </c>
      <c r="C4248" s="2" t="s">
        <v>408</v>
      </c>
      <c r="D4248" s="2" t="s">
        <v>412</v>
      </c>
      <c r="E4248" s="2" t="s">
        <v>414</v>
      </c>
      <c r="F4248" s="2" t="s">
        <v>40</v>
      </c>
      <c r="G4248" s="2" t="s">
        <v>415</v>
      </c>
      <c r="H4248" s="2" t="s">
        <v>567</v>
      </c>
      <c r="S4248" s="2" t="s">
        <v>58</v>
      </c>
      <c r="U4248" s="2" t="s">
        <v>57</v>
      </c>
      <c r="W4248" s="2" t="s">
        <v>60</v>
      </c>
    </row>
    <row r="4249" spans="1:34" x14ac:dyDescent="0.25">
      <c r="A4249" s="2" t="s">
        <v>334</v>
      </c>
      <c r="B4249" s="2" t="s">
        <v>402</v>
      </c>
      <c r="C4249" s="2" t="s">
        <v>408</v>
      </c>
      <c r="D4249" s="2" t="s">
        <v>412</v>
      </c>
      <c r="E4249" s="2" t="s">
        <v>414</v>
      </c>
      <c r="F4249" s="2" t="s">
        <v>40</v>
      </c>
      <c r="G4249" s="2" t="s">
        <v>416</v>
      </c>
      <c r="H4249" s="2" t="s">
        <v>568</v>
      </c>
      <c r="S4249" s="2" t="s">
        <v>59</v>
      </c>
      <c r="U4249" s="2" t="s">
        <v>60</v>
      </c>
      <c r="W4249" s="2" t="s">
        <v>59</v>
      </c>
    </row>
    <row r="4250" spans="1:34" x14ac:dyDescent="0.25">
      <c r="A4250" s="2" t="s">
        <v>334</v>
      </c>
      <c r="B4250" s="2" t="s">
        <v>402</v>
      </c>
      <c r="C4250" s="2" t="s">
        <v>408</v>
      </c>
      <c r="D4250" s="2" t="s">
        <v>412</v>
      </c>
      <c r="E4250" s="2" t="s">
        <v>414</v>
      </c>
      <c r="F4250" s="2" t="s">
        <v>40</v>
      </c>
      <c r="G4250" s="2" t="s">
        <v>417</v>
      </c>
      <c r="H4250" s="2" t="s">
        <v>569</v>
      </c>
      <c r="S4250" s="2" t="s">
        <v>57</v>
      </c>
      <c r="U4250" s="2" t="s">
        <v>60</v>
      </c>
      <c r="W4250" s="2" t="s">
        <v>57</v>
      </c>
    </row>
    <row r="4251" spans="1:34" x14ac:dyDescent="0.25">
      <c r="A4251" s="2" t="s">
        <v>334</v>
      </c>
      <c r="B4251" s="2" t="s">
        <v>402</v>
      </c>
      <c r="C4251" s="2" t="s">
        <v>408</v>
      </c>
      <c r="D4251" s="2" t="s">
        <v>412</v>
      </c>
      <c r="E4251" s="2" t="s">
        <v>414</v>
      </c>
      <c r="F4251" s="2" t="s">
        <v>40</v>
      </c>
      <c r="G4251" s="2" t="s">
        <v>418</v>
      </c>
      <c r="H4251" s="2" t="s">
        <v>351</v>
      </c>
      <c r="S4251" s="2" t="s">
        <v>60</v>
      </c>
      <c r="U4251" s="2" t="s">
        <v>57</v>
      </c>
      <c r="W4251" s="2" t="s">
        <v>57</v>
      </c>
    </row>
    <row r="4252" spans="1:34" x14ac:dyDescent="0.25">
      <c r="A4252" s="2" t="s">
        <v>334</v>
      </c>
      <c r="B4252" s="2" t="s">
        <v>531</v>
      </c>
      <c r="C4252" s="2" t="s">
        <v>408</v>
      </c>
      <c r="D4252" s="2" t="s">
        <v>412</v>
      </c>
      <c r="E4252" s="2" t="s">
        <v>414</v>
      </c>
      <c r="F4252" s="2" t="s">
        <v>40</v>
      </c>
      <c r="J4252" s="2" t="s">
        <v>532</v>
      </c>
      <c r="K4252" s="2" t="s">
        <v>533</v>
      </c>
      <c r="L4252" s="2">
        <v>1</v>
      </c>
      <c r="M4252" s="2" t="s">
        <v>534</v>
      </c>
      <c r="O4252" s="2" t="s">
        <v>524</v>
      </c>
      <c r="Y4252" s="2" t="s">
        <v>741</v>
      </c>
    </row>
    <row r="4253" spans="1:34" x14ac:dyDescent="0.25">
      <c r="A4253" s="2" t="s">
        <v>334</v>
      </c>
      <c r="B4253" s="2" t="s">
        <v>531</v>
      </c>
      <c r="C4253" s="2" t="s">
        <v>408</v>
      </c>
      <c r="D4253" s="2" t="s">
        <v>412</v>
      </c>
      <c r="E4253" s="2" t="s">
        <v>414</v>
      </c>
      <c r="F4253" s="2" t="s">
        <v>40</v>
      </c>
      <c r="J4253" s="2" t="s">
        <v>532</v>
      </c>
      <c r="K4253" s="2" t="s">
        <v>533</v>
      </c>
      <c r="L4253" s="2">
        <v>2</v>
      </c>
      <c r="M4253" s="2" t="s">
        <v>536</v>
      </c>
      <c r="O4253" s="2" t="s">
        <v>524</v>
      </c>
      <c r="Y4253" s="2" t="s">
        <v>741</v>
      </c>
    </row>
    <row r="4254" spans="1:34" x14ac:dyDescent="0.25">
      <c r="A4254" s="2" t="s">
        <v>334</v>
      </c>
      <c r="B4254" s="2" t="s">
        <v>531</v>
      </c>
      <c r="C4254" s="2" t="s">
        <v>408</v>
      </c>
      <c r="D4254" s="2" t="s">
        <v>412</v>
      </c>
      <c r="E4254" s="2" t="s">
        <v>414</v>
      </c>
      <c r="F4254" s="2" t="s">
        <v>40</v>
      </c>
      <c r="J4254" s="2" t="s">
        <v>532</v>
      </c>
      <c r="K4254" s="2" t="s">
        <v>533</v>
      </c>
      <c r="L4254" s="2">
        <v>3</v>
      </c>
      <c r="M4254" s="2" t="s">
        <v>537</v>
      </c>
      <c r="O4254" s="2" t="s">
        <v>524</v>
      </c>
      <c r="Y4254" s="2" t="s">
        <v>741</v>
      </c>
    </row>
    <row r="4255" spans="1:34" x14ac:dyDescent="0.25">
      <c r="A4255" s="2" t="s">
        <v>334</v>
      </c>
      <c r="B4255" s="2" t="s">
        <v>531</v>
      </c>
      <c r="C4255" s="2" t="s">
        <v>408</v>
      </c>
      <c r="D4255" s="2" t="s">
        <v>412</v>
      </c>
      <c r="E4255" s="2" t="s">
        <v>414</v>
      </c>
      <c r="F4255" s="2" t="s">
        <v>40</v>
      </c>
      <c r="J4255" s="2" t="s">
        <v>532</v>
      </c>
      <c r="K4255" s="2" t="s">
        <v>533</v>
      </c>
      <c r="L4255" s="2">
        <v>4</v>
      </c>
      <c r="M4255" s="2" t="s">
        <v>538</v>
      </c>
      <c r="O4255" s="2" t="s">
        <v>524</v>
      </c>
      <c r="Y4255" s="2" t="s">
        <v>741</v>
      </c>
    </row>
    <row r="4256" spans="1:34" x14ac:dyDescent="0.25">
      <c r="A4256" s="2" t="s">
        <v>334</v>
      </c>
      <c r="B4256" s="2" t="s">
        <v>531</v>
      </c>
      <c r="C4256" s="2" t="s">
        <v>408</v>
      </c>
      <c r="D4256" s="2" t="s">
        <v>412</v>
      </c>
      <c r="E4256" s="2" t="s">
        <v>414</v>
      </c>
      <c r="F4256" s="2" t="s">
        <v>40</v>
      </c>
      <c r="J4256" s="2" t="s">
        <v>532</v>
      </c>
      <c r="K4256" s="2" t="s">
        <v>533</v>
      </c>
      <c r="L4256" s="2">
        <v>5</v>
      </c>
      <c r="M4256" s="2" t="s">
        <v>539</v>
      </c>
      <c r="O4256" s="2" t="s">
        <v>524</v>
      </c>
      <c r="Y4256" s="2" t="s">
        <v>741</v>
      </c>
    </row>
    <row r="4257" spans="1:34" x14ac:dyDescent="0.25">
      <c r="A4257" s="2" t="s">
        <v>334</v>
      </c>
      <c r="B4257" s="2" t="s">
        <v>540</v>
      </c>
      <c r="C4257" s="2" t="s">
        <v>408</v>
      </c>
      <c r="D4257" s="2" t="s">
        <v>412</v>
      </c>
      <c r="E4257" s="2" t="s">
        <v>414</v>
      </c>
      <c r="F4257" s="2" t="s">
        <v>40</v>
      </c>
      <c r="J4257" s="2" t="s">
        <v>541</v>
      </c>
      <c r="K4257" s="2" t="s">
        <v>542</v>
      </c>
      <c r="L4257" s="2">
        <v>1</v>
      </c>
      <c r="M4257" s="2" t="s">
        <v>543</v>
      </c>
      <c r="O4257" s="2" t="s">
        <v>524</v>
      </c>
      <c r="Y4257" s="2" t="s">
        <v>741</v>
      </c>
    </row>
    <row r="4258" spans="1:34" x14ac:dyDescent="0.25">
      <c r="A4258" s="2" t="s">
        <v>334</v>
      </c>
      <c r="B4258" s="2" t="s">
        <v>540</v>
      </c>
      <c r="C4258" s="2" t="s">
        <v>408</v>
      </c>
      <c r="D4258" s="2" t="s">
        <v>412</v>
      </c>
      <c r="E4258" s="2" t="s">
        <v>414</v>
      </c>
      <c r="F4258" s="2" t="s">
        <v>40</v>
      </c>
      <c r="J4258" s="2" t="s">
        <v>541</v>
      </c>
      <c r="K4258" s="2" t="s">
        <v>542</v>
      </c>
      <c r="L4258" s="2">
        <v>2</v>
      </c>
      <c r="M4258" s="2" t="s">
        <v>544</v>
      </c>
      <c r="O4258" s="2" t="s">
        <v>524</v>
      </c>
      <c r="Y4258" s="2" t="s">
        <v>741</v>
      </c>
    </row>
    <row r="4259" spans="1:34" x14ac:dyDescent="0.25">
      <c r="A4259" s="2" t="s">
        <v>334</v>
      </c>
      <c r="B4259" s="2" t="s">
        <v>540</v>
      </c>
      <c r="C4259" s="2" t="s">
        <v>408</v>
      </c>
      <c r="D4259" s="2" t="s">
        <v>412</v>
      </c>
      <c r="E4259" s="2" t="s">
        <v>414</v>
      </c>
      <c r="F4259" s="2" t="s">
        <v>40</v>
      </c>
      <c r="J4259" s="2" t="s">
        <v>541</v>
      </c>
      <c r="K4259" s="2" t="s">
        <v>542</v>
      </c>
      <c r="L4259" s="2">
        <v>3</v>
      </c>
      <c r="M4259" s="2" t="s">
        <v>545</v>
      </c>
      <c r="O4259" s="2" t="s">
        <v>524</v>
      </c>
      <c r="Y4259" s="2" t="s">
        <v>741</v>
      </c>
    </row>
    <row r="4260" spans="1:34" x14ac:dyDescent="0.25">
      <c r="A4260" s="2" t="s">
        <v>334</v>
      </c>
      <c r="B4260" s="2" t="s">
        <v>540</v>
      </c>
      <c r="C4260" s="2" t="s">
        <v>408</v>
      </c>
      <c r="D4260" s="2" t="s">
        <v>412</v>
      </c>
      <c r="E4260" s="2" t="s">
        <v>414</v>
      </c>
      <c r="F4260" s="2" t="s">
        <v>40</v>
      </c>
      <c r="J4260" s="2" t="s">
        <v>541</v>
      </c>
      <c r="K4260" s="2" t="s">
        <v>542</v>
      </c>
      <c r="L4260" s="2">
        <v>4</v>
      </c>
      <c r="M4260" s="2" t="s">
        <v>546</v>
      </c>
      <c r="O4260" s="2" t="s">
        <v>524</v>
      </c>
      <c r="Y4260" s="2" t="s">
        <v>741</v>
      </c>
    </row>
    <row r="4261" spans="1:34" x14ac:dyDescent="0.25">
      <c r="A4261" s="2" t="s">
        <v>334</v>
      </c>
      <c r="B4261" s="2" t="s">
        <v>540</v>
      </c>
      <c r="C4261" s="2" t="s">
        <v>408</v>
      </c>
      <c r="D4261" s="2" t="s">
        <v>412</v>
      </c>
      <c r="E4261" s="2" t="s">
        <v>414</v>
      </c>
      <c r="F4261" s="2" t="s">
        <v>40</v>
      </c>
      <c r="J4261" s="2" t="s">
        <v>541</v>
      </c>
      <c r="K4261" s="2" t="s">
        <v>542</v>
      </c>
      <c r="L4261" s="2">
        <v>5</v>
      </c>
      <c r="M4261" s="2" t="s">
        <v>547</v>
      </c>
      <c r="O4261" s="2" t="s">
        <v>524</v>
      </c>
      <c r="Y4261" s="2" t="s">
        <v>741</v>
      </c>
    </row>
    <row r="4262" spans="1:34" x14ac:dyDescent="0.25">
      <c r="A4262" s="2" t="s">
        <v>334</v>
      </c>
      <c r="B4262" s="2" t="s">
        <v>540</v>
      </c>
      <c r="C4262" s="2" t="s">
        <v>408</v>
      </c>
      <c r="D4262" s="2" t="s">
        <v>412</v>
      </c>
      <c r="E4262" s="2" t="s">
        <v>414</v>
      </c>
      <c r="F4262" s="2" t="s">
        <v>40</v>
      </c>
      <c r="J4262" s="2" t="s">
        <v>541</v>
      </c>
      <c r="K4262" s="2" t="s">
        <v>542</v>
      </c>
      <c r="L4262" s="2">
        <v>6</v>
      </c>
      <c r="M4262" s="2" t="s">
        <v>548</v>
      </c>
      <c r="O4262" s="2" t="s">
        <v>524</v>
      </c>
      <c r="Y4262" s="2" t="s">
        <v>741</v>
      </c>
    </row>
    <row r="4263" spans="1:34" x14ac:dyDescent="0.25">
      <c r="A4263" s="2" t="s">
        <v>334</v>
      </c>
      <c r="B4263" s="2" t="s">
        <v>540</v>
      </c>
      <c r="C4263" s="2" t="s">
        <v>408</v>
      </c>
      <c r="D4263" s="2" t="s">
        <v>412</v>
      </c>
      <c r="E4263" s="2" t="s">
        <v>414</v>
      </c>
      <c r="F4263" s="2" t="s">
        <v>40</v>
      </c>
      <c r="J4263" s="2" t="s">
        <v>541</v>
      </c>
      <c r="K4263" s="2" t="s">
        <v>542</v>
      </c>
      <c r="L4263" s="2">
        <v>7</v>
      </c>
      <c r="M4263" s="2" t="s">
        <v>549</v>
      </c>
      <c r="O4263" s="2" t="s">
        <v>524</v>
      </c>
      <c r="Y4263" s="2" t="s">
        <v>741</v>
      </c>
    </row>
    <row r="4264" spans="1:34" x14ac:dyDescent="0.25">
      <c r="A4264" s="2" t="s">
        <v>334</v>
      </c>
      <c r="B4264" s="2" t="s">
        <v>540</v>
      </c>
      <c r="C4264" s="2" t="s">
        <v>408</v>
      </c>
      <c r="D4264" s="2" t="s">
        <v>412</v>
      </c>
      <c r="E4264" s="2" t="s">
        <v>414</v>
      </c>
      <c r="F4264" s="2" t="s">
        <v>40</v>
      </c>
      <c r="J4264" s="2" t="s">
        <v>541</v>
      </c>
      <c r="K4264" s="2" t="s">
        <v>542</v>
      </c>
      <c r="L4264" s="2">
        <v>8</v>
      </c>
      <c r="M4264" s="2" t="s">
        <v>550</v>
      </c>
      <c r="O4264" s="2" t="s">
        <v>524</v>
      </c>
      <c r="Y4264" s="2" t="s">
        <v>741</v>
      </c>
    </row>
    <row r="4265" spans="1:34" x14ac:dyDescent="0.25">
      <c r="A4265" s="2" t="s">
        <v>334</v>
      </c>
      <c r="B4265" s="2" t="s">
        <v>540</v>
      </c>
      <c r="C4265" s="2" t="s">
        <v>408</v>
      </c>
      <c r="D4265" s="2" t="s">
        <v>412</v>
      </c>
      <c r="E4265" s="2" t="s">
        <v>414</v>
      </c>
      <c r="F4265" s="2" t="s">
        <v>40</v>
      </c>
      <c r="J4265" s="2" t="s">
        <v>541</v>
      </c>
      <c r="K4265" s="2" t="s">
        <v>542</v>
      </c>
      <c r="L4265" s="2">
        <v>9</v>
      </c>
      <c r="M4265" s="2" t="s">
        <v>551</v>
      </c>
      <c r="O4265" s="2" t="s">
        <v>524</v>
      </c>
      <c r="Y4265" s="2" t="s">
        <v>741</v>
      </c>
    </row>
    <row r="4266" spans="1:34" x14ac:dyDescent="0.25">
      <c r="A4266" s="2" t="s">
        <v>334</v>
      </c>
      <c r="B4266" s="2" t="s">
        <v>540</v>
      </c>
      <c r="C4266" s="2" t="s">
        <v>408</v>
      </c>
      <c r="D4266" s="2" t="s">
        <v>412</v>
      </c>
      <c r="E4266" s="2" t="s">
        <v>414</v>
      </c>
      <c r="F4266" s="2" t="s">
        <v>40</v>
      </c>
      <c r="J4266" s="2" t="s">
        <v>541</v>
      </c>
      <c r="K4266" s="2" t="s">
        <v>542</v>
      </c>
      <c r="L4266" s="2">
        <v>10</v>
      </c>
      <c r="M4266" s="2" t="s">
        <v>552</v>
      </c>
      <c r="O4266" s="2" t="s">
        <v>524</v>
      </c>
      <c r="Y4266" s="2" t="s">
        <v>741</v>
      </c>
    </row>
    <row r="4267" spans="1:34" x14ac:dyDescent="0.25">
      <c r="A4267" s="2" t="s">
        <v>334</v>
      </c>
      <c r="B4267" s="2" t="s">
        <v>540</v>
      </c>
      <c r="C4267" s="2" t="s">
        <v>408</v>
      </c>
      <c r="D4267" s="2" t="s">
        <v>412</v>
      </c>
      <c r="E4267" s="2" t="s">
        <v>414</v>
      </c>
      <c r="F4267" s="2" t="s">
        <v>40</v>
      </c>
      <c r="J4267" s="2" t="s">
        <v>541</v>
      </c>
      <c r="K4267" s="2" t="s">
        <v>542</v>
      </c>
      <c r="L4267" s="2">
        <v>11</v>
      </c>
      <c r="M4267" s="2" t="s">
        <v>553</v>
      </c>
      <c r="O4267" s="2" t="s">
        <v>524</v>
      </c>
      <c r="Y4267" s="2" t="s">
        <v>741</v>
      </c>
    </row>
    <row r="4268" spans="1:34" x14ac:dyDescent="0.25">
      <c r="A4268" s="2" t="s">
        <v>334</v>
      </c>
      <c r="B4268" s="2" t="s">
        <v>540</v>
      </c>
      <c r="C4268" s="2" t="s">
        <v>408</v>
      </c>
      <c r="D4268" s="2" t="s">
        <v>412</v>
      </c>
      <c r="E4268" s="2" t="s">
        <v>414</v>
      </c>
      <c r="F4268" s="2" t="s">
        <v>40</v>
      </c>
      <c r="J4268" s="2" t="s">
        <v>541</v>
      </c>
      <c r="K4268" s="2" t="s">
        <v>542</v>
      </c>
      <c r="L4268" s="2">
        <v>12</v>
      </c>
      <c r="M4268" s="2" t="s">
        <v>554</v>
      </c>
      <c r="O4268" s="2" t="s">
        <v>524</v>
      </c>
      <c r="Y4268" s="2" t="s">
        <v>741</v>
      </c>
    </row>
    <row r="4269" spans="1:34" x14ac:dyDescent="0.25">
      <c r="A4269" s="2" t="s">
        <v>334</v>
      </c>
      <c r="B4269" s="2" t="s">
        <v>555</v>
      </c>
      <c r="C4269" s="2" t="s">
        <v>408</v>
      </c>
      <c r="D4269" s="2" t="s">
        <v>412</v>
      </c>
      <c r="E4269" s="2" t="s">
        <v>414</v>
      </c>
      <c r="F4269" s="2" t="s">
        <v>40</v>
      </c>
      <c r="J4269" s="2" t="s">
        <v>556</v>
      </c>
      <c r="O4269" s="2" t="s">
        <v>524</v>
      </c>
      <c r="Y4269" s="2" t="s">
        <v>741</v>
      </c>
      <c r="AB4269" s="2">
        <v>2</v>
      </c>
    </row>
    <row r="4270" spans="1:34" x14ac:dyDescent="0.25">
      <c r="A4270" s="2" t="s">
        <v>334</v>
      </c>
      <c r="B4270" s="2" t="s">
        <v>557</v>
      </c>
      <c r="C4270" s="2" t="s">
        <v>408</v>
      </c>
      <c r="D4270" s="2" t="s">
        <v>412</v>
      </c>
      <c r="E4270" s="2" t="s">
        <v>414</v>
      </c>
      <c r="F4270" s="2" t="s">
        <v>40</v>
      </c>
      <c r="J4270" s="2" t="s">
        <v>558</v>
      </c>
      <c r="O4270" s="2" t="s">
        <v>524</v>
      </c>
      <c r="Y4270" s="2" t="s">
        <v>741</v>
      </c>
      <c r="AC4270" s="2">
        <f>COUNTIFS($B:$B,"BLOCK_LOAD_Q",$A:$A,$A4270,$C:$C,$C4270,$E:$E,$E4270,$F:$F,$F4270,$N:$N, "&lt;&gt;")</f>
        <v>0</v>
      </c>
      <c r="AD4270" s="2">
        <f>COUNTIFS($B:$B,"BLOCK_TRUST_Q",$A:$A,$A4270,$C:$C,$C4270,$E:$E,$E4270,$F:$F,$F4270,$N:$N, "&lt;&gt;")</f>
        <v>0</v>
      </c>
      <c r="AE4270" s="2" t="str">
        <f>IFERROR(AVERAGEIFS($P:$P,$B:$B,"BLOCK_LOAD_Q",$A:$A,$A4270,$C:$C,$C4270,$E:$E,$E4270,$F:$F,$F4270,$P:$P,"&gt;0"),"")</f>
        <v/>
      </c>
      <c r="AF4270" s="2" t="str">
        <f>IFERROR(AVERAGEIFS($P:$P,$B:$B,"BLOCK_TRUST_Q",$A:$A,$A4270,$C:$C,$C4270,$E:$E,$E4270,$F:$F,$F4270,$P:$P,"&gt;0"),"")</f>
        <v/>
      </c>
      <c r="AG4270" s="2">
        <f>5-AC4270</f>
        <v>5</v>
      </c>
      <c r="AH4270" s="2">
        <f>12-AD4270</f>
        <v>12</v>
      </c>
    </row>
    <row r="4271" spans="1:34" x14ac:dyDescent="0.25">
      <c r="A4271" s="2" t="s">
        <v>334</v>
      </c>
      <c r="B4271" s="2" t="s">
        <v>403</v>
      </c>
      <c r="C4271" s="2" t="s">
        <v>408</v>
      </c>
      <c r="D4271" s="2" t="s">
        <v>412</v>
      </c>
      <c r="Z4271" s="2" t="s">
        <v>505</v>
      </c>
    </row>
    <row r="4272" spans="1:34" x14ac:dyDescent="0.25">
      <c r="A4272" s="2" t="s">
        <v>334</v>
      </c>
      <c r="B4272" s="2" t="s">
        <v>402</v>
      </c>
      <c r="C4272" s="2" t="s">
        <v>409</v>
      </c>
      <c r="D4272" s="2" t="s">
        <v>410</v>
      </c>
      <c r="E4272" s="2" t="s">
        <v>413</v>
      </c>
      <c r="F4272" s="2" t="s">
        <v>40</v>
      </c>
      <c r="G4272" s="2" t="s">
        <v>415</v>
      </c>
      <c r="H4272" s="2" t="s">
        <v>354</v>
      </c>
      <c r="S4272" s="2" t="s">
        <v>59</v>
      </c>
      <c r="U4272" s="2" t="s">
        <v>59</v>
      </c>
      <c r="W4272" s="2" t="s">
        <v>58</v>
      </c>
    </row>
    <row r="4273" spans="1:25" x14ac:dyDescent="0.25">
      <c r="A4273" s="2" t="s">
        <v>334</v>
      </c>
      <c r="B4273" s="2" t="s">
        <v>402</v>
      </c>
      <c r="C4273" s="2" t="s">
        <v>409</v>
      </c>
      <c r="D4273" s="2" t="s">
        <v>410</v>
      </c>
      <c r="E4273" s="2" t="s">
        <v>413</v>
      </c>
      <c r="F4273" s="2" t="s">
        <v>40</v>
      </c>
      <c r="G4273" s="2" t="s">
        <v>416</v>
      </c>
      <c r="H4273" s="2" t="s">
        <v>559</v>
      </c>
      <c r="S4273" s="2" t="s">
        <v>57</v>
      </c>
      <c r="U4273" s="2" t="s">
        <v>57</v>
      </c>
      <c r="W4273" s="2" t="s">
        <v>58</v>
      </c>
    </row>
    <row r="4274" spans="1:25" x14ac:dyDescent="0.25">
      <c r="A4274" s="2" t="s">
        <v>334</v>
      </c>
      <c r="B4274" s="2" t="s">
        <v>402</v>
      </c>
      <c r="C4274" s="2" t="s">
        <v>409</v>
      </c>
      <c r="D4274" s="2" t="s">
        <v>410</v>
      </c>
      <c r="E4274" s="2" t="s">
        <v>413</v>
      </c>
      <c r="F4274" s="2" t="s">
        <v>40</v>
      </c>
      <c r="G4274" s="2" t="s">
        <v>417</v>
      </c>
      <c r="H4274" s="2" t="s">
        <v>370</v>
      </c>
      <c r="S4274" s="2" t="s">
        <v>60</v>
      </c>
      <c r="U4274" s="2" t="s">
        <v>58</v>
      </c>
      <c r="W4274" s="2" t="s">
        <v>59</v>
      </c>
    </row>
    <row r="4275" spans="1:25" x14ac:dyDescent="0.25">
      <c r="A4275" s="2" t="s">
        <v>334</v>
      </c>
      <c r="B4275" s="2" t="s">
        <v>402</v>
      </c>
      <c r="C4275" s="2" t="s">
        <v>409</v>
      </c>
      <c r="D4275" s="2" t="s">
        <v>410</v>
      </c>
      <c r="E4275" s="2" t="s">
        <v>413</v>
      </c>
      <c r="F4275" s="2" t="s">
        <v>40</v>
      </c>
      <c r="G4275" s="2" t="s">
        <v>418</v>
      </c>
      <c r="H4275" s="2" t="s">
        <v>560</v>
      </c>
      <c r="S4275" s="2" t="s">
        <v>57</v>
      </c>
      <c r="U4275" s="2" t="s">
        <v>58</v>
      </c>
      <c r="W4275" s="2" t="s">
        <v>60</v>
      </c>
    </row>
    <row r="4276" spans="1:25" x14ac:dyDescent="0.25">
      <c r="A4276" s="2" t="s">
        <v>334</v>
      </c>
      <c r="B4276" s="2" t="s">
        <v>531</v>
      </c>
      <c r="C4276" s="2" t="s">
        <v>409</v>
      </c>
      <c r="D4276" s="2" t="s">
        <v>410</v>
      </c>
      <c r="E4276" s="2" t="s">
        <v>413</v>
      </c>
      <c r="F4276" s="2" t="s">
        <v>40</v>
      </c>
      <c r="J4276" s="2" t="s">
        <v>532</v>
      </c>
      <c r="K4276" s="2" t="s">
        <v>533</v>
      </c>
      <c r="L4276" s="2">
        <v>1</v>
      </c>
      <c r="M4276" s="2" t="s">
        <v>534</v>
      </c>
      <c r="O4276" s="2" t="s">
        <v>524</v>
      </c>
      <c r="Y4276" s="2" t="s">
        <v>742</v>
      </c>
    </row>
    <row r="4277" spans="1:25" x14ac:dyDescent="0.25">
      <c r="A4277" s="2" t="s">
        <v>334</v>
      </c>
      <c r="B4277" s="2" t="s">
        <v>531</v>
      </c>
      <c r="C4277" s="2" t="s">
        <v>409</v>
      </c>
      <c r="D4277" s="2" t="s">
        <v>410</v>
      </c>
      <c r="E4277" s="2" t="s">
        <v>413</v>
      </c>
      <c r="F4277" s="2" t="s">
        <v>40</v>
      </c>
      <c r="J4277" s="2" t="s">
        <v>532</v>
      </c>
      <c r="K4277" s="2" t="s">
        <v>533</v>
      </c>
      <c r="L4277" s="2">
        <v>2</v>
      </c>
      <c r="M4277" s="2" t="s">
        <v>536</v>
      </c>
      <c r="O4277" s="2" t="s">
        <v>524</v>
      </c>
      <c r="Y4277" s="2" t="s">
        <v>742</v>
      </c>
    </row>
    <row r="4278" spans="1:25" x14ac:dyDescent="0.25">
      <c r="A4278" s="2" t="s">
        <v>334</v>
      </c>
      <c r="B4278" s="2" t="s">
        <v>531</v>
      </c>
      <c r="C4278" s="2" t="s">
        <v>409</v>
      </c>
      <c r="D4278" s="2" t="s">
        <v>410</v>
      </c>
      <c r="E4278" s="2" t="s">
        <v>413</v>
      </c>
      <c r="F4278" s="2" t="s">
        <v>40</v>
      </c>
      <c r="J4278" s="2" t="s">
        <v>532</v>
      </c>
      <c r="K4278" s="2" t="s">
        <v>533</v>
      </c>
      <c r="L4278" s="2">
        <v>3</v>
      </c>
      <c r="M4278" s="2" t="s">
        <v>537</v>
      </c>
      <c r="O4278" s="2" t="s">
        <v>524</v>
      </c>
      <c r="Y4278" s="2" t="s">
        <v>742</v>
      </c>
    </row>
    <row r="4279" spans="1:25" x14ac:dyDescent="0.25">
      <c r="A4279" s="2" t="s">
        <v>334</v>
      </c>
      <c r="B4279" s="2" t="s">
        <v>531</v>
      </c>
      <c r="C4279" s="2" t="s">
        <v>409</v>
      </c>
      <c r="D4279" s="2" t="s">
        <v>410</v>
      </c>
      <c r="E4279" s="2" t="s">
        <v>413</v>
      </c>
      <c r="F4279" s="2" t="s">
        <v>40</v>
      </c>
      <c r="J4279" s="2" t="s">
        <v>532</v>
      </c>
      <c r="K4279" s="2" t="s">
        <v>533</v>
      </c>
      <c r="L4279" s="2">
        <v>4</v>
      </c>
      <c r="M4279" s="2" t="s">
        <v>538</v>
      </c>
      <c r="O4279" s="2" t="s">
        <v>524</v>
      </c>
      <c r="Y4279" s="2" t="s">
        <v>742</v>
      </c>
    </row>
    <row r="4280" spans="1:25" x14ac:dyDescent="0.25">
      <c r="A4280" s="2" t="s">
        <v>334</v>
      </c>
      <c r="B4280" s="2" t="s">
        <v>531</v>
      </c>
      <c r="C4280" s="2" t="s">
        <v>409</v>
      </c>
      <c r="D4280" s="2" t="s">
        <v>410</v>
      </c>
      <c r="E4280" s="2" t="s">
        <v>413</v>
      </c>
      <c r="F4280" s="2" t="s">
        <v>40</v>
      </c>
      <c r="J4280" s="2" t="s">
        <v>532</v>
      </c>
      <c r="K4280" s="2" t="s">
        <v>533</v>
      </c>
      <c r="L4280" s="2">
        <v>5</v>
      </c>
      <c r="M4280" s="2" t="s">
        <v>539</v>
      </c>
      <c r="O4280" s="2" t="s">
        <v>524</v>
      </c>
      <c r="Y4280" s="2" t="s">
        <v>742</v>
      </c>
    </row>
    <row r="4281" spans="1:25" x14ac:dyDescent="0.25">
      <c r="A4281" s="2" t="s">
        <v>334</v>
      </c>
      <c r="B4281" s="2" t="s">
        <v>540</v>
      </c>
      <c r="C4281" s="2" t="s">
        <v>409</v>
      </c>
      <c r="D4281" s="2" t="s">
        <v>410</v>
      </c>
      <c r="E4281" s="2" t="s">
        <v>413</v>
      </c>
      <c r="F4281" s="2" t="s">
        <v>40</v>
      </c>
      <c r="J4281" s="2" t="s">
        <v>541</v>
      </c>
      <c r="K4281" s="2" t="s">
        <v>542</v>
      </c>
      <c r="L4281" s="2">
        <v>1</v>
      </c>
      <c r="M4281" s="2" t="s">
        <v>543</v>
      </c>
      <c r="O4281" s="2" t="s">
        <v>524</v>
      </c>
      <c r="Y4281" s="2" t="s">
        <v>742</v>
      </c>
    </row>
    <row r="4282" spans="1:25" x14ac:dyDescent="0.25">
      <c r="A4282" s="2" t="s">
        <v>334</v>
      </c>
      <c r="B4282" s="2" t="s">
        <v>540</v>
      </c>
      <c r="C4282" s="2" t="s">
        <v>409</v>
      </c>
      <c r="D4282" s="2" t="s">
        <v>410</v>
      </c>
      <c r="E4282" s="2" t="s">
        <v>413</v>
      </c>
      <c r="F4282" s="2" t="s">
        <v>40</v>
      </c>
      <c r="J4282" s="2" t="s">
        <v>541</v>
      </c>
      <c r="K4282" s="2" t="s">
        <v>542</v>
      </c>
      <c r="L4282" s="2">
        <v>2</v>
      </c>
      <c r="M4282" s="2" t="s">
        <v>544</v>
      </c>
      <c r="O4282" s="2" t="s">
        <v>524</v>
      </c>
      <c r="Y4282" s="2" t="s">
        <v>742</v>
      </c>
    </row>
    <row r="4283" spans="1:25" x14ac:dyDescent="0.25">
      <c r="A4283" s="2" t="s">
        <v>334</v>
      </c>
      <c r="B4283" s="2" t="s">
        <v>540</v>
      </c>
      <c r="C4283" s="2" t="s">
        <v>409</v>
      </c>
      <c r="D4283" s="2" t="s">
        <v>410</v>
      </c>
      <c r="E4283" s="2" t="s">
        <v>413</v>
      </c>
      <c r="F4283" s="2" t="s">
        <v>40</v>
      </c>
      <c r="J4283" s="2" t="s">
        <v>541</v>
      </c>
      <c r="K4283" s="2" t="s">
        <v>542</v>
      </c>
      <c r="L4283" s="2">
        <v>3</v>
      </c>
      <c r="M4283" s="2" t="s">
        <v>545</v>
      </c>
      <c r="O4283" s="2" t="s">
        <v>524</v>
      </c>
      <c r="Y4283" s="2" t="s">
        <v>742</v>
      </c>
    </row>
    <row r="4284" spans="1:25" x14ac:dyDescent="0.25">
      <c r="A4284" s="2" t="s">
        <v>334</v>
      </c>
      <c r="B4284" s="2" t="s">
        <v>540</v>
      </c>
      <c r="C4284" s="2" t="s">
        <v>409</v>
      </c>
      <c r="D4284" s="2" t="s">
        <v>410</v>
      </c>
      <c r="E4284" s="2" t="s">
        <v>413</v>
      </c>
      <c r="F4284" s="2" t="s">
        <v>40</v>
      </c>
      <c r="J4284" s="2" t="s">
        <v>541</v>
      </c>
      <c r="K4284" s="2" t="s">
        <v>542</v>
      </c>
      <c r="L4284" s="2">
        <v>4</v>
      </c>
      <c r="M4284" s="2" t="s">
        <v>546</v>
      </c>
      <c r="O4284" s="2" t="s">
        <v>524</v>
      </c>
      <c r="Y4284" s="2" t="s">
        <v>742</v>
      </c>
    </row>
    <row r="4285" spans="1:25" x14ac:dyDescent="0.25">
      <c r="A4285" s="2" t="s">
        <v>334</v>
      </c>
      <c r="B4285" s="2" t="s">
        <v>540</v>
      </c>
      <c r="C4285" s="2" t="s">
        <v>409</v>
      </c>
      <c r="D4285" s="2" t="s">
        <v>410</v>
      </c>
      <c r="E4285" s="2" t="s">
        <v>413</v>
      </c>
      <c r="F4285" s="2" t="s">
        <v>40</v>
      </c>
      <c r="J4285" s="2" t="s">
        <v>541</v>
      </c>
      <c r="K4285" s="2" t="s">
        <v>542</v>
      </c>
      <c r="L4285" s="2">
        <v>5</v>
      </c>
      <c r="M4285" s="2" t="s">
        <v>547</v>
      </c>
      <c r="O4285" s="2" t="s">
        <v>524</v>
      </c>
      <c r="Y4285" s="2" t="s">
        <v>742</v>
      </c>
    </row>
    <row r="4286" spans="1:25" x14ac:dyDescent="0.25">
      <c r="A4286" s="2" t="s">
        <v>334</v>
      </c>
      <c r="B4286" s="2" t="s">
        <v>540</v>
      </c>
      <c r="C4286" s="2" t="s">
        <v>409</v>
      </c>
      <c r="D4286" s="2" t="s">
        <v>410</v>
      </c>
      <c r="E4286" s="2" t="s">
        <v>413</v>
      </c>
      <c r="F4286" s="2" t="s">
        <v>40</v>
      </c>
      <c r="J4286" s="2" t="s">
        <v>541</v>
      </c>
      <c r="K4286" s="2" t="s">
        <v>542</v>
      </c>
      <c r="L4286" s="2">
        <v>6</v>
      </c>
      <c r="M4286" s="2" t="s">
        <v>548</v>
      </c>
      <c r="O4286" s="2" t="s">
        <v>524</v>
      </c>
      <c r="Y4286" s="2" t="s">
        <v>742</v>
      </c>
    </row>
    <row r="4287" spans="1:25" x14ac:dyDescent="0.25">
      <c r="A4287" s="2" t="s">
        <v>334</v>
      </c>
      <c r="B4287" s="2" t="s">
        <v>540</v>
      </c>
      <c r="C4287" s="2" t="s">
        <v>409</v>
      </c>
      <c r="D4287" s="2" t="s">
        <v>410</v>
      </c>
      <c r="E4287" s="2" t="s">
        <v>413</v>
      </c>
      <c r="F4287" s="2" t="s">
        <v>40</v>
      </c>
      <c r="J4287" s="2" t="s">
        <v>541</v>
      </c>
      <c r="K4287" s="2" t="s">
        <v>542</v>
      </c>
      <c r="L4287" s="2">
        <v>7</v>
      </c>
      <c r="M4287" s="2" t="s">
        <v>549</v>
      </c>
      <c r="O4287" s="2" t="s">
        <v>524</v>
      </c>
      <c r="Y4287" s="2" t="s">
        <v>742</v>
      </c>
    </row>
    <row r="4288" spans="1:25" x14ac:dyDescent="0.25">
      <c r="A4288" s="2" t="s">
        <v>334</v>
      </c>
      <c r="B4288" s="2" t="s">
        <v>540</v>
      </c>
      <c r="C4288" s="2" t="s">
        <v>409</v>
      </c>
      <c r="D4288" s="2" t="s">
        <v>410</v>
      </c>
      <c r="E4288" s="2" t="s">
        <v>413</v>
      </c>
      <c r="F4288" s="2" t="s">
        <v>40</v>
      </c>
      <c r="J4288" s="2" t="s">
        <v>541</v>
      </c>
      <c r="K4288" s="2" t="s">
        <v>542</v>
      </c>
      <c r="L4288" s="2">
        <v>8</v>
      </c>
      <c r="M4288" s="2" t="s">
        <v>550</v>
      </c>
      <c r="O4288" s="2" t="s">
        <v>524</v>
      </c>
      <c r="Y4288" s="2" t="s">
        <v>742</v>
      </c>
    </row>
    <row r="4289" spans="1:34" x14ac:dyDescent="0.25">
      <c r="A4289" s="2" t="s">
        <v>334</v>
      </c>
      <c r="B4289" s="2" t="s">
        <v>540</v>
      </c>
      <c r="C4289" s="2" t="s">
        <v>409</v>
      </c>
      <c r="D4289" s="2" t="s">
        <v>410</v>
      </c>
      <c r="E4289" s="2" t="s">
        <v>413</v>
      </c>
      <c r="F4289" s="2" t="s">
        <v>40</v>
      </c>
      <c r="J4289" s="2" t="s">
        <v>541</v>
      </c>
      <c r="K4289" s="2" t="s">
        <v>542</v>
      </c>
      <c r="L4289" s="2">
        <v>9</v>
      </c>
      <c r="M4289" s="2" t="s">
        <v>551</v>
      </c>
      <c r="O4289" s="2" t="s">
        <v>524</v>
      </c>
      <c r="Y4289" s="2" t="s">
        <v>742</v>
      </c>
    </row>
    <row r="4290" spans="1:34" x14ac:dyDescent="0.25">
      <c r="A4290" s="2" t="s">
        <v>334</v>
      </c>
      <c r="B4290" s="2" t="s">
        <v>540</v>
      </c>
      <c r="C4290" s="2" t="s">
        <v>409</v>
      </c>
      <c r="D4290" s="2" t="s">
        <v>410</v>
      </c>
      <c r="E4290" s="2" t="s">
        <v>413</v>
      </c>
      <c r="F4290" s="2" t="s">
        <v>40</v>
      </c>
      <c r="J4290" s="2" t="s">
        <v>541</v>
      </c>
      <c r="K4290" s="2" t="s">
        <v>542</v>
      </c>
      <c r="L4290" s="2">
        <v>10</v>
      </c>
      <c r="M4290" s="2" t="s">
        <v>552</v>
      </c>
      <c r="O4290" s="2" t="s">
        <v>524</v>
      </c>
      <c r="Y4290" s="2" t="s">
        <v>742</v>
      </c>
    </row>
    <row r="4291" spans="1:34" x14ac:dyDescent="0.25">
      <c r="A4291" s="2" t="s">
        <v>334</v>
      </c>
      <c r="B4291" s="2" t="s">
        <v>540</v>
      </c>
      <c r="C4291" s="2" t="s">
        <v>409</v>
      </c>
      <c r="D4291" s="2" t="s">
        <v>410</v>
      </c>
      <c r="E4291" s="2" t="s">
        <v>413</v>
      </c>
      <c r="F4291" s="2" t="s">
        <v>40</v>
      </c>
      <c r="J4291" s="2" t="s">
        <v>541</v>
      </c>
      <c r="K4291" s="2" t="s">
        <v>542</v>
      </c>
      <c r="L4291" s="2">
        <v>11</v>
      </c>
      <c r="M4291" s="2" t="s">
        <v>553</v>
      </c>
      <c r="O4291" s="2" t="s">
        <v>524</v>
      </c>
      <c r="Y4291" s="2" t="s">
        <v>742</v>
      </c>
    </row>
    <row r="4292" spans="1:34" x14ac:dyDescent="0.25">
      <c r="A4292" s="2" t="s">
        <v>334</v>
      </c>
      <c r="B4292" s="2" t="s">
        <v>540</v>
      </c>
      <c r="C4292" s="2" t="s">
        <v>409</v>
      </c>
      <c r="D4292" s="2" t="s">
        <v>410</v>
      </c>
      <c r="E4292" s="2" t="s">
        <v>413</v>
      </c>
      <c r="F4292" s="2" t="s">
        <v>40</v>
      </c>
      <c r="J4292" s="2" t="s">
        <v>541</v>
      </c>
      <c r="K4292" s="2" t="s">
        <v>542</v>
      </c>
      <c r="L4292" s="2">
        <v>12</v>
      </c>
      <c r="M4292" s="2" t="s">
        <v>554</v>
      </c>
      <c r="O4292" s="2" t="s">
        <v>524</v>
      </c>
      <c r="Y4292" s="2" t="s">
        <v>742</v>
      </c>
    </row>
    <row r="4293" spans="1:34" x14ac:dyDescent="0.25">
      <c r="A4293" s="2" t="s">
        <v>334</v>
      </c>
      <c r="B4293" s="2" t="s">
        <v>555</v>
      </c>
      <c r="C4293" s="2" t="s">
        <v>409</v>
      </c>
      <c r="D4293" s="2" t="s">
        <v>410</v>
      </c>
      <c r="E4293" s="2" t="s">
        <v>413</v>
      </c>
      <c r="F4293" s="2" t="s">
        <v>40</v>
      </c>
      <c r="J4293" s="2" t="s">
        <v>556</v>
      </c>
      <c r="O4293" s="2" t="s">
        <v>524</v>
      </c>
      <c r="Y4293" s="2" t="s">
        <v>742</v>
      </c>
      <c r="AB4293" s="2">
        <v>2</v>
      </c>
    </row>
    <row r="4294" spans="1:34" x14ac:dyDescent="0.25">
      <c r="A4294" s="2" t="s">
        <v>334</v>
      </c>
      <c r="B4294" s="2" t="s">
        <v>557</v>
      </c>
      <c r="C4294" s="2" t="s">
        <v>409</v>
      </c>
      <c r="D4294" s="2" t="s">
        <v>410</v>
      </c>
      <c r="E4294" s="2" t="s">
        <v>413</v>
      </c>
      <c r="F4294" s="2" t="s">
        <v>40</v>
      </c>
      <c r="J4294" s="2" t="s">
        <v>558</v>
      </c>
      <c r="O4294" s="2" t="s">
        <v>524</v>
      </c>
      <c r="Y4294" s="2" t="s">
        <v>742</v>
      </c>
      <c r="AC4294" s="2">
        <f>COUNTIFS($B:$B,"BLOCK_LOAD_Q",$A:$A,$A4294,$C:$C,$C4294,$E:$E,$E4294,$F:$F,$F4294,$N:$N, "&lt;&gt;")</f>
        <v>0</v>
      </c>
      <c r="AD4294" s="2">
        <f>COUNTIFS($B:$B,"BLOCK_TRUST_Q",$A:$A,$A4294,$C:$C,$C4294,$E:$E,$E4294,$F:$F,$F4294,$N:$N, "&lt;&gt;")</f>
        <v>0</v>
      </c>
      <c r="AE4294" s="2" t="str">
        <f>IFERROR(AVERAGEIFS($P:$P,$B:$B,"BLOCK_LOAD_Q",$A:$A,$A4294,$C:$C,$C4294,$E:$E,$E4294,$F:$F,$F4294,$P:$P,"&gt;0"),"")</f>
        <v/>
      </c>
      <c r="AF4294" s="2" t="str">
        <f>IFERROR(AVERAGEIFS($P:$P,$B:$B,"BLOCK_TRUST_Q",$A:$A,$A4294,$C:$C,$C4294,$E:$E,$E4294,$F:$F,$F4294,$P:$P,"&gt;0"),"")</f>
        <v/>
      </c>
      <c r="AG4294" s="2">
        <f>5-AC4294</f>
        <v>5</v>
      </c>
      <c r="AH4294" s="2">
        <f>12-AD4294</f>
        <v>12</v>
      </c>
    </row>
    <row r="4295" spans="1:34" x14ac:dyDescent="0.25">
      <c r="A4295" s="2" t="s">
        <v>334</v>
      </c>
      <c r="B4295" s="2" t="s">
        <v>402</v>
      </c>
      <c r="C4295" s="2" t="s">
        <v>409</v>
      </c>
      <c r="D4295" s="2" t="s">
        <v>410</v>
      </c>
      <c r="E4295" s="2" t="s">
        <v>414</v>
      </c>
      <c r="F4295" s="2" t="s">
        <v>39</v>
      </c>
      <c r="G4295" s="2" t="s">
        <v>415</v>
      </c>
      <c r="H4295" s="2" t="s">
        <v>373</v>
      </c>
      <c r="S4295" s="2" t="s">
        <v>60</v>
      </c>
      <c r="U4295" s="2" t="s">
        <v>60</v>
      </c>
      <c r="W4295" s="2" t="s">
        <v>60</v>
      </c>
    </row>
    <row r="4296" spans="1:34" x14ac:dyDescent="0.25">
      <c r="A4296" s="2" t="s">
        <v>334</v>
      </c>
      <c r="B4296" s="2" t="s">
        <v>402</v>
      </c>
      <c r="C4296" s="2" t="s">
        <v>409</v>
      </c>
      <c r="D4296" s="2" t="s">
        <v>410</v>
      </c>
      <c r="E4296" s="2" t="s">
        <v>414</v>
      </c>
      <c r="F4296" s="2" t="s">
        <v>39</v>
      </c>
      <c r="G4296" s="2" t="s">
        <v>416</v>
      </c>
      <c r="H4296" s="2" t="s">
        <v>528</v>
      </c>
      <c r="S4296" s="2" t="s">
        <v>60</v>
      </c>
      <c r="U4296" s="2" t="s">
        <v>59</v>
      </c>
      <c r="W4296" s="2" t="s">
        <v>59</v>
      </c>
    </row>
    <row r="4297" spans="1:34" x14ac:dyDescent="0.25">
      <c r="A4297" s="2" t="s">
        <v>334</v>
      </c>
      <c r="B4297" s="2" t="s">
        <v>402</v>
      </c>
      <c r="C4297" s="2" t="s">
        <v>409</v>
      </c>
      <c r="D4297" s="2" t="s">
        <v>410</v>
      </c>
      <c r="E4297" s="2" t="s">
        <v>414</v>
      </c>
      <c r="F4297" s="2" t="s">
        <v>39</v>
      </c>
      <c r="G4297" s="2" t="s">
        <v>417</v>
      </c>
      <c r="H4297" s="2" t="s">
        <v>529</v>
      </c>
      <c r="S4297" s="2" t="s">
        <v>57</v>
      </c>
      <c r="U4297" s="2" t="s">
        <v>59</v>
      </c>
      <c r="W4297" s="2" t="s">
        <v>60</v>
      </c>
    </row>
    <row r="4298" spans="1:34" x14ac:dyDescent="0.25">
      <c r="A4298" s="2" t="s">
        <v>334</v>
      </c>
      <c r="B4298" s="2" t="s">
        <v>402</v>
      </c>
      <c r="C4298" s="2" t="s">
        <v>409</v>
      </c>
      <c r="D4298" s="2" t="s">
        <v>410</v>
      </c>
      <c r="E4298" s="2" t="s">
        <v>414</v>
      </c>
      <c r="F4298" s="2" t="s">
        <v>39</v>
      </c>
      <c r="G4298" s="2" t="s">
        <v>418</v>
      </c>
      <c r="H4298" s="2" t="s">
        <v>347</v>
      </c>
      <c r="S4298" s="2" t="s">
        <v>60</v>
      </c>
      <c r="U4298" s="2" t="s">
        <v>57</v>
      </c>
      <c r="W4298" s="2" t="s">
        <v>59</v>
      </c>
    </row>
    <row r="4299" spans="1:34" x14ac:dyDescent="0.25">
      <c r="A4299" s="2" t="s">
        <v>334</v>
      </c>
      <c r="B4299" s="2" t="s">
        <v>402</v>
      </c>
      <c r="C4299" s="2" t="s">
        <v>409</v>
      </c>
      <c r="D4299" s="2" t="s">
        <v>410</v>
      </c>
      <c r="E4299" s="2" t="s">
        <v>414</v>
      </c>
      <c r="F4299" s="2" t="s">
        <v>39</v>
      </c>
      <c r="G4299" s="2" t="s">
        <v>419</v>
      </c>
      <c r="H4299" s="2" t="s">
        <v>530</v>
      </c>
      <c r="S4299" s="2" t="s">
        <v>57</v>
      </c>
      <c r="U4299" s="2" t="s">
        <v>60</v>
      </c>
      <c r="W4299" s="2" t="s">
        <v>58</v>
      </c>
    </row>
    <row r="4300" spans="1:34" x14ac:dyDescent="0.25">
      <c r="A4300" s="2" t="s">
        <v>334</v>
      </c>
      <c r="B4300" s="2" t="s">
        <v>531</v>
      </c>
      <c r="C4300" s="2" t="s">
        <v>409</v>
      </c>
      <c r="D4300" s="2" t="s">
        <v>410</v>
      </c>
      <c r="E4300" s="2" t="s">
        <v>414</v>
      </c>
      <c r="F4300" s="2" t="s">
        <v>39</v>
      </c>
      <c r="J4300" s="2" t="s">
        <v>532</v>
      </c>
      <c r="K4300" s="2" t="s">
        <v>533</v>
      </c>
      <c r="L4300" s="2">
        <v>1</v>
      </c>
      <c r="M4300" s="2" t="s">
        <v>534</v>
      </c>
      <c r="O4300" s="2" t="s">
        <v>524</v>
      </c>
      <c r="Y4300" s="2" t="s">
        <v>743</v>
      </c>
    </row>
    <row r="4301" spans="1:34" x14ac:dyDescent="0.25">
      <c r="A4301" s="2" t="s">
        <v>334</v>
      </c>
      <c r="B4301" s="2" t="s">
        <v>531</v>
      </c>
      <c r="C4301" s="2" t="s">
        <v>409</v>
      </c>
      <c r="D4301" s="2" t="s">
        <v>410</v>
      </c>
      <c r="E4301" s="2" t="s">
        <v>414</v>
      </c>
      <c r="F4301" s="2" t="s">
        <v>39</v>
      </c>
      <c r="J4301" s="2" t="s">
        <v>532</v>
      </c>
      <c r="K4301" s="2" t="s">
        <v>533</v>
      </c>
      <c r="L4301" s="2">
        <v>2</v>
      </c>
      <c r="M4301" s="2" t="s">
        <v>536</v>
      </c>
      <c r="O4301" s="2" t="s">
        <v>524</v>
      </c>
      <c r="Y4301" s="2" t="s">
        <v>743</v>
      </c>
    </row>
    <row r="4302" spans="1:34" x14ac:dyDescent="0.25">
      <c r="A4302" s="2" t="s">
        <v>334</v>
      </c>
      <c r="B4302" s="2" t="s">
        <v>531</v>
      </c>
      <c r="C4302" s="2" t="s">
        <v>409</v>
      </c>
      <c r="D4302" s="2" t="s">
        <v>410</v>
      </c>
      <c r="E4302" s="2" t="s">
        <v>414</v>
      </c>
      <c r="F4302" s="2" t="s">
        <v>39</v>
      </c>
      <c r="J4302" s="2" t="s">
        <v>532</v>
      </c>
      <c r="K4302" s="2" t="s">
        <v>533</v>
      </c>
      <c r="L4302" s="2">
        <v>3</v>
      </c>
      <c r="M4302" s="2" t="s">
        <v>537</v>
      </c>
      <c r="O4302" s="2" t="s">
        <v>524</v>
      </c>
      <c r="Y4302" s="2" t="s">
        <v>743</v>
      </c>
    </row>
    <row r="4303" spans="1:34" x14ac:dyDescent="0.25">
      <c r="A4303" s="2" t="s">
        <v>334</v>
      </c>
      <c r="B4303" s="2" t="s">
        <v>531</v>
      </c>
      <c r="C4303" s="2" t="s">
        <v>409</v>
      </c>
      <c r="D4303" s="2" t="s">
        <v>410</v>
      </c>
      <c r="E4303" s="2" t="s">
        <v>414</v>
      </c>
      <c r="F4303" s="2" t="s">
        <v>39</v>
      </c>
      <c r="J4303" s="2" t="s">
        <v>532</v>
      </c>
      <c r="K4303" s="2" t="s">
        <v>533</v>
      </c>
      <c r="L4303" s="2">
        <v>4</v>
      </c>
      <c r="M4303" s="2" t="s">
        <v>538</v>
      </c>
      <c r="O4303" s="2" t="s">
        <v>524</v>
      </c>
      <c r="Y4303" s="2" t="s">
        <v>743</v>
      </c>
    </row>
    <row r="4304" spans="1:34" x14ac:dyDescent="0.25">
      <c r="A4304" s="2" t="s">
        <v>334</v>
      </c>
      <c r="B4304" s="2" t="s">
        <v>531</v>
      </c>
      <c r="C4304" s="2" t="s">
        <v>409</v>
      </c>
      <c r="D4304" s="2" t="s">
        <v>410</v>
      </c>
      <c r="E4304" s="2" t="s">
        <v>414</v>
      </c>
      <c r="F4304" s="2" t="s">
        <v>39</v>
      </c>
      <c r="J4304" s="2" t="s">
        <v>532</v>
      </c>
      <c r="K4304" s="2" t="s">
        <v>533</v>
      </c>
      <c r="L4304" s="2">
        <v>5</v>
      </c>
      <c r="M4304" s="2" t="s">
        <v>539</v>
      </c>
      <c r="O4304" s="2" t="s">
        <v>524</v>
      </c>
      <c r="Y4304" s="2" t="s">
        <v>743</v>
      </c>
    </row>
    <row r="4305" spans="1:34" x14ac:dyDescent="0.25">
      <c r="A4305" s="2" t="s">
        <v>334</v>
      </c>
      <c r="B4305" s="2" t="s">
        <v>540</v>
      </c>
      <c r="C4305" s="2" t="s">
        <v>409</v>
      </c>
      <c r="D4305" s="2" t="s">
        <v>410</v>
      </c>
      <c r="E4305" s="2" t="s">
        <v>414</v>
      </c>
      <c r="F4305" s="2" t="s">
        <v>39</v>
      </c>
      <c r="J4305" s="2" t="s">
        <v>541</v>
      </c>
      <c r="K4305" s="2" t="s">
        <v>542</v>
      </c>
      <c r="L4305" s="2">
        <v>1</v>
      </c>
      <c r="M4305" s="2" t="s">
        <v>543</v>
      </c>
      <c r="O4305" s="2" t="s">
        <v>524</v>
      </c>
      <c r="Y4305" s="2" t="s">
        <v>743</v>
      </c>
    </row>
    <row r="4306" spans="1:34" x14ac:dyDescent="0.25">
      <c r="A4306" s="2" t="s">
        <v>334</v>
      </c>
      <c r="B4306" s="2" t="s">
        <v>540</v>
      </c>
      <c r="C4306" s="2" t="s">
        <v>409</v>
      </c>
      <c r="D4306" s="2" t="s">
        <v>410</v>
      </c>
      <c r="E4306" s="2" t="s">
        <v>414</v>
      </c>
      <c r="F4306" s="2" t="s">
        <v>39</v>
      </c>
      <c r="J4306" s="2" t="s">
        <v>541</v>
      </c>
      <c r="K4306" s="2" t="s">
        <v>542</v>
      </c>
      <c r="L4306" s="2">
        <v>2</v>
      </c>
      <c r="M4306" s="2" t="s">
        <v>544</v>
      </c>
      <c r="O4306" s="2" t="s">
        <v>524</v>
      </c>
      <c r="Y4306" s="2" t="s">
        <v>743</v>
      </c>
    </row>
    <row r="4307" spans="1:34" x14ac:dyDescent="0.25">
      <c r="A4307" s="2" t="s">
        <v>334</v>
      </c>
      <c r="B4307" s="2" t="s">
        <v>540</v>
      </c>
      <c r="C4307" s="2" t="s">
        <v>409</v>
      </c>
      <c r="D4307" s="2" t="s">
        <v>410</v>
      </c>
      <c r="E4307" s="2" t="s">
        <v>414</v>
      </c>
      <c r="F4307" s="2" t="s">
        <v>39</v>
      </c>
      <c r="J4307" s="2" t="s">
        <v>541</v>
      </c>
      <c r="K4307" s="2" t="s">
        <v>542</v>
      </c>
      <c r="L4307" s="2">
        <v>3</v>
      </c>
      <c r="M4307" s="2" t="s">
        <v>545</v>
      </c>
      <c r="O4307" s="2" t="s">
        <v>524</v>
      </c>
      <c r="Y4307" s="2" t="s">
        <v>743</v>
      </c>
    </row>
    <row r="4308" spans="1:34" x14ac:dyDescent="0.25">
      <c r="A4308" s="2" t="s">
        <v>334</v>
      </c>
      <c r="B4308" s="2" t="s">
        <v>540</v>
      </c>
      <c r="C4308" s="2" t="s">
        <v>409</v>
      </c>
      <c r="D4308" s="2" t="s">
        <v>410</v>
      </c>
      <c r="E4308" s="2" t="s">
        <v>414</v>
      </c>
      <c r="F4308" s="2" t="s">
        <v>39</v>
      </c>
      <c r="J4308" s="2" t="s">
        <v>541</v>
      </c>
      <c r="K4308" s="2" t="s">
        <v>542</v>
      </c>
      <c r="L4308" s="2">
        <v>4</v>
      </c>
      <c r="M4308" s="2" t="s">
        <v>546</v>
      </c>
      <c r="O4308" s="2" t="s">
        <v>524</v>
      </c>
      <c r="Y4308" s="2" t="s">
        <v>743</v>
      </c>
    </row>
    <row r="4309" spans="1:34" x14ac:dyDescent="0.25">
      <c r="A4309" s="2" t="s">
        <v>334</v>
      </c>
      <c r="B4309" s="2" t="s">
        <v>540</v>
      </c>
      <c r="C4309" s="2" t="s">
        <v>409</v>
      </c>
      <c r="D4309" s="2" t="s">
        <v>410</v>
      </c>
      <c r="E4309" s="2" t="s">
        <v>414</v>
      </c>
      <c r="F4309" s="2" t="s">
        <v>39</v>
      </c>
      <c r="J4309" s="2" t="s">
        <v>541</v>
      </c>
      <c r="K4309" s="2" t="s">
        <v>542</v>
      </c>
      <c r="L4309" s="2">
        <v>5</v>
      </c>
      <c r="M4309" s="2" t="s">
        <v>547</v>
      </c>
      <c r="O4309" s="2" t="s">
        <v>524</v>
      </c>
      <c r="Y4309" s="2" t="s">
        <v>743</v>
      </c>
    </row>
    <row r="4310" spans="1:34" x14ac:dyDescent="0.25">
      <c r="A4310" s="2" t="s">
        <v>334</v>
      </c>
      <c r="B4310" s="2" t="s">
        <v>540</v>
      </c>
      <c r="C4310" s="2" t="s">
        <v>409</v>
      </c>
      <c r="D4310" s="2" t="s">
        <v>410</v>
      </c>
      <c r="E4310" s="2" t="s">
        <v>414</v>
      </c>
      <c r="F4310" s="2" t="s">
        <v>39</v>
      </c>
      <c r="J4310" s="2" t="s">
        <v>541</v>
      </c>
      <c r="K4310" s="2" t="s">
        <v>542</v>
      </c>
      <c r="L4310" s="2">
        <v>6</v>
      </c>
      <c r="M4310" s="2" t="s">
        <v>548</v>
      </c>
      <c r="O4310" s="2" t="s">
        <v>524</v>
      </c>
      <c r="Y4310" s="2" t="s">
        <v>743</v>
      </c>
    </row>
    <row r="4311" spans="1:34" x14ac:dyDescent="0.25">
      <c r="A4311" s="2" t="s">
        <v>334</v>
      </c>
      <c r="B4311" s="2" t="s">
        <v>540</v>
      </c>
      <c r="C4311" s="2" t="s">
        <v>409</v>
      </c>
      <c r="D4311" s="2" t="s">
        <v>410</v>
      </c>
      <c r="E4311" s="2" t="s">
        <v>414</v>
      </c>
      <c r="F4311" s="2" t="s">
        <v>39</v>
      </c>
      <c r="J4311" s="2" t="s">
        <v>541</v>
      </c>
      <c r="K4311" s="2" t="s">
        <v>542</v>
      </c>
      <c r="L4311" s="2">
        <v>7</v>
      </c>
      <c r="M4311" s="2" t="s">
        <v>549</v>
      </c>
      <c r="O4311" s="2" t="s">
        <v>524</v>
      </c>
      <c r="Y4311" s="2" t="s">
        <v>743</v>
      </c>
    </row>
    <row r="4312" spans="1:34" x14ac:dyDescent="0.25">
      <c r="A4312" s="2" t="s">
        <v>334</v>
      </c>
      <c r="B4312" s="2" t="s">
        <v>540</v>
      </c>
      <c r="C4312" s="2" t="s">
        <v>409</v>
      </c>
      <c r="D4312" s="2" t="s">
        <v>410</v>
      </c>
      <c r="E4312" s="2" t="s">
        <v>414</v>
      </c>
      <c r="F4312" s="2" t="s">
        <v>39</v>
      </c>
      <c r="J4312" s="2" t="s">
        <v>541</v>
      </c>
      <c r="K4312" s="2" t="s">
        <v>542</v>
      </c>
      <c r="L4312" s="2">
        <v>8</v>
      </c>
      <c r="M4312" s="2" t="s">
        <v>550</v>
      </c>
      <c r="O4312" s="2" t="s">
        <v>524</v>
      </c>
      <c r="Y4312" s="2" t="s">
        <v>743</v>
      </c>
    </row>
    <row r="4313" spans="1:34" x14ac:dyDescent="0.25">
      <c r="A4313" s="2" t="s">
        <v>334</v>
      </c>
      <c r="B4313" s="2" t="s">
        <v>540</v>
      </c>
      <c r="C4313" s="2" t="s">
        <v>409</v>
      </c>
      <c r="D4313" s="2" t="s">
        <v>410</v>
      </c>
      <c r="E4313" s="2" t="s">
        <v>414</v>
      </c>
      <c r="F4313" s="2" t="s">
        <v>39</v>
      </c>
      <c r="J4313" s="2" t="s">
        <v>541</v>
      </c>
      <c r="K4313" s="2" t="s">
        <v>542</v>
      </c>
      <c r="L4313" s="2">
        <v>9</v>
      </c>
      <c r="M4313" s="2" t="s">
        <v>551</v>
      </c>
      <c r="O4313" s="2" t="s">
        <v>524</v>
      </c>
      <c r="Y4313" s="2" t="s">
        <v>743</v>
      </c>
    </row>
    <row r="4314" spans="1:34" x14ac:dyDescent="0.25">
      <c r="A4314" s="2" t="s">
        <v>334</v>
      </c>
      <c r="B4314" s="2" t="s">
        <v>540</v>
      </c>
      <c r="C4314" s="2" t="s">
        <v>409</v>
      </c>
      <c r="D4314" s="2" t="s">
        <v>410</v>
      </c>
      <c r="E4314" s="2" t="s">
        <v>414</v>
      </c>
      <c r="F4314" s="2" t="s">
        <v>39</v>
      </c>
      <c r="J4314" s="2" t="s">
        <v>541</v>
      </c>
      <c r="K4314" s="2" t="s">
        <v>542</v>
      </c>
      <c r="L4314" s="2">
        <v>10</v>
      </c>
      <c r="M4314" s="2" t="s">
        <v>552</v>
      </c>
      <c r="O4314" s="2" t="s">
        <v>524</v>
      </c>
      <c r="Y4314" s="2" t="s">
        <v>743</v>
      </c>
    </row>
    <row r="4315" spans="1:34" x14ac:dyDescent="0.25">
      <c r="A4315" s="2" t="s">
        <v>334</v>
      </c>
      <c r="B4315" s="2" t="s">
        <v>540</v>
      </c>
      <c r="C4315" s="2" t="s">
        <v>409</v>
      </c>
      <c r="D4315" s="2" t="s">
        <v>410</v>
      </c>
      <c r="E4315" s="2" t="s">
        <v>414</v>
      </c>
      <c r="F4315" s="2" t="s">
        <v>39</v>
      </c>
      <c r="J4315" s="2" t="s">
        <v>541</v>
      </c>
      <c r="K4315" s="2" t="s">
        <v>542</v>
      </c>
      <c r="L4315" s="2">
        <v>11</v>
      </c>
      <c r="M4315" s="2" t="s">
        <v>553</v>
      </c>
      <c r="O4315" s="2" t="s">
        <v>524</v>
      </c>
      <c r="Y4315" s="2" t="s">
        <v>743</v>
      </c>
    </row>
    <row r="4316" spans="1:34" x14ac:dyDescent="0.25">
      <c r="A4316" s="2" t="s">
        <v>334</v>
      </c>
      <c r="B4316" s="2" t="s">
        <v>540</v>
      </c>
      <c r="C4316" s="2" t="s">
        <v>409</v>
      </c>
      <c r="D4316" s="2" t="s">
        <v>410</v>
      </c>
      <c r="E4316" s="2" t="s">
        <v>414</v>
      </c>
      <c r="F4316" s="2" t="s">
        <v>39</v>
      </c>
      <c r="J4316" s="2" t="s">
        <v>541</v>
      </c>
      <c r="K4316" s="2" t="s">
        <v>542</v>
      </c>
      <c r="L4316" s="2">
        <v>12</v>
      </c>
      <c r="M4316" s="2" t="s">
        <v>554</v>
      </c>
      <c r="O4316" s="2" t="s">
        <v>524</v>
      </c>
      <c r="Y4316" s="2" t="s">
        <v>743</v>
      </c>
    </row>
    <row r="4317" spans="1:34" x14ac:dyDescent="0.25">
      <c r="A4317" s="2" t="s">
        <v>334</v>
      </c>
      <c r="B4317" s="2" t="s">
        <v>555</v>
      </c>
      <c r="C4317" s="2" t="s">
        <v>409</v>
      </c>
      <c r="D4317" s="2" t="s">
        <v>410</v>
      </c>
      <c r="E4317" s="2" t="s">
        <v>414</v>
      </c>
      <c r="F4317" s="2" t="s">
        <v>39</v>
      </c>
      <c r="J4317" s="2" t="s">
        <v>556</v>
      </c>
      <c r="O4317" s="2" t="s">
        <v>524</v>
      </c>
      <c r="Y4317" s="2" t="s">
        <v>743</v>
      </c>
      <c r="AB4317" s="2">
        <v>1</v>
      </c>
    </row>
    <row r="4318" spans="1:34" x14ac:dyDescent="0.25">
      <c r="A4318" s="2" t="s">
        <v>334</v>
      </c>
      <c r="B4318" s="2" t="s">
        <v>557</v>
      </c>
      <c r="C4318" s="2" t="s">
        <v>409</v>
      </c>
      <c r="D4318" s="2" t="s">
        <v>410</v>
      </c>
      <c r="E4318" s="2" t="s">
        <v>414</v>
      </c>
      <c r="F4318" s="2" t="s">
        <v>39</v>
      </c>
      <c r="J4318" s="2" t="s">
        <v>558</v>
      </c>
      <c r="O4318" s="2" t="s">
        <v>524</v>
      </c>
      <c r="Y4318" s="2" t="s">
        <v>743</v>
      </c>
      <c r="AC4318" s="2">
        <f>COUNTIFS($B:$B,"BLOCK_LOAD_Q",$A:$A,$A4318,$C:$C,$C4318,$E:$E,$E4318,$F:$F,$F4318,$N:$N, "&lt;&gt;")</f>
        <v>0</v>
      </c>
      <c r="AD4318" s="2">
        <f>COUNTIFS($B:$B,"BLOCK_TRUST_Q",$A:$A,$A4318,$C:$C,$C4318,$E:$E,$E4318,$F:$F,$F4318,$N:$N, "&lt;&gt;")</f>
        <v>0</v>
      </c>
      <c r="AE4318" s="2" t="str">
        <f>IFERROR(AVERAGEIFS($P:$P,$B:$B,"BLOCK_LOAD_Q",$A:$A,$A4318,$C:$C,$C4318,$E:$E,$E4318,$F:$F,$F4318,$P:$P,"&gt;0"),"")</f>
        <v/>
      </c>
      <c r="AF4318" s="2" t="str">
        <f>IFERROR(AVERAGEIFS($P:$P,$B:$B,"BLOCK_TRUST_Q",$A:$A,$A4318,$C:$C,$C4318,$E:$E,$E4318,$F:$F,$F4318,$P:$P,"&gt;0"),"")</f>
        <v/>
      </c>
      <c r="AG4318" s="2">
        <f>5-AC4318</f>
        <v>5</v>
      </c>
      <c r="AH4318" s="2">
        <f>12-AD4318</f>
        <v>12</v>
      </c>
    </row>
    <row r="4319" spans="1:34" x14ac:dyDescent="0.25">
      <c r="A4319" s="2" t="s">
        <v>334</v>
      </c>
      <c r="B4319" s="2" t="s">
        <v>403</v>
      </c>
      <c r="C4319" s="2" t="s">
        <v>409</v>
      </c>
      <c r="D4319" s="2" t="s">
        <v>410</v>
      </c>
      <c r="Z4319" s="2" t="s">
        <v>506</v>
      </c>
    </row>
    <row r="4320" spans="1:34" x14ac:dyDescent="0.25">
      <c r="A4320" s="2" t="s">
        <v>334</v>
      </c>
      <c r="B4320" s="2" t="s">
        <v>404</v>
      </c>
      <c r="J4320" s="2" t="s">
        <v>575</v>
      </c>
      <c r="AA4320" s="2" t="s">
        <v>338</v>
      </c>
    </row>
    <row r="4321" spans="1:25" x14ac:dyDescent="0.25">
      <c r="A4321" s="2" t="s">
        <v>334</v>
      </c>
      <c r="B4321" s="2" t="s">
        <v>405</v>
      </c>
    </row>
    <row r="4322" spans="1:25" x14ac:dyDescent="0.25">
      <c r="A4322" s="2" t="s">
        <v>334</v>
      </c>
      <c r="B4322" s="2" t="s">
        <v>406</v>
      </c>
    </row>
    <row r="4323" spans="1:25" x14ac:dyDescent="0.25">
      <c r="A4323" s="2" t="s">
        <v>335</v>
      </c>
      <c r="B4323" s="2" t="s">
        <v>523</v>
      </c>
      <c r="C4323" s="2" t="s">
        <v>524</v>
      </c>
      <c r="D4323" s="2" t="s">
        <v>524</v>
      </c>
      <c r="E4323" s="2" t="s">
        <v>524</v>
      </c>
      <c r="F4323" s="2" t="s">
        <v>524</v>
      </c>
      <c r="J4323" s="2" t="s">
        <v>525</v>
      </c>
      <c r="O4323" s="2" t="s">
        <v>524</v>
      </c>
    </row>
    <row r="4324" spans="1:25" x14ac:dyDescent="0.25">
      <c r="A4324" s="2" t="s">
        <v>335</v>
      </c>
      <c r="B4324" s="2" t="s">
        <v>526</v>
      </c>
      <c r="C4324" s="2" t="s">
        <v>524</v>
      </c>
      <c r="D4324" s="2" t="s">
        <v>524</v>
      </c>
      <c r="E4324" s="2" t="s">
        <v>524</v>
      </c>
      <c r="F4324" s="2" t="s">
        <v>524</v>
      </c>
      <c r="J4324" s="2" t="s">
        <v>527</v>
      </c>
      <c r="O4324" s="2" t="s">
        <v>524</v>
      </c>
    </row>
    <row r="4325" spans="1:25" x14ac:dyDescent="0.25">
      <c r="A4325" s="2" t="s">
        <v>335</v>
      </c>
      <c r="B4325" s="2" t="s">
        <v>402</v>
      </c>
      <c r="C4325" s="2" t="s">
        <v>407</v>
      </c>
      <c r="D4325" s="2" t="s">
        <v>412</v>
      </c>
      <c r="E4325" s="2" t="s">
        <v>413</v>
      </c>
      <c r="F4325" s="2" t="s">
        <v>40</v>
      </c>
      <c r="G4325" s="2" t="s">
        <v>415</v>
      </c>
      <c r="H4325" s="2" t="s">
        <v>567</v>
      </c>
      <c r="S4325" s="2" t="s">
        <v>58</v>
      </c>
      <c r="U4325" s="2" t="s">
        <v>57</v>
      </c>
      <c r="W4325" s="2" t="s">
        <v>60</v>
      </c>
    </row>
    <row r="4326" spans="1:25" x14ac:dyDescent="0.25">
      <c r="A4326" s="2" t="s">
        <v>335</v>
      </c>
      <c r="B4326" s="2" t="s">
        <v>402</v>
      </c>
      <c r="C4326" s="2" t="s">
        <v>407</v>
      </c>
      <c r="D4326" s="2" t="s">
        <v>412</v>
      </c>
      <c r="E4326" s="2" t="s">
        <v>413</v>
      </c>
      <c r="F4326" s="2" t="s">
        <v>40</v>
      </c>
      <c r="G4326" s="2" t="s">
        <v>416</v>
      </c>
      <c r="H4326" s="2" t="s">
        <v>568</v>
      </c>
      <c r="S4326" s="2" t="s">
        <v>59</v>
      </c>
      <c r="U4326" s="2" t="s">
        <v>60</v>
      </c>
      <c r="W4326" s="2" t="s">
        <v>59</v>
      </c>
    </row>
    <row r="4327" spans="1:25" x14ac:dyDescent="0.25">
      <c r="A4327" s="2" t="s">
        <v>335</v>
      </c>
      <c r="B4327" s="2" t="s">
        <v>402</v>
      </c>
      <c r="C4327" s="2" t="s">
        <v>407</v>
      </c>
      <c r="D4327" s="2" t="s">
        <v>412</v>
      </c>
      <c r="E4327" s="2" t="s">
        <v>413</v>
      </c>
      <c r="F4327" s="2" t="s">
        <v>40</v>
      </c>
      <c r="G4327" s="2" t="s">
        <v>417</v>
      </c>
      <c r="H4327" s="2" t="s">
        <v>569</v>
      </c>
      <c r="S4327" s="2" t="s">
        <v>57</v>
      </c>
      <c r="U4327" s="2" t="s">
        <v>60</v>
      </c>
      <c r="W4327" s="2" t="s">
        <v>57</v>
      </c>
    </row>
    <row r="4328" spans="1:25" x14ac:dyDescent="0.25">
      <c r="A4328" s="2" t="s">
        <v>335</v>
      </c>
      <c r="B4328" s="2" t="s">
        <v>402</v>
      </c>
      <c r="C4328" s="2" t="s">
        <v>407</v>
      </c>
      <c r="D4328" s="2" t="s">
        <v>412</v>
      </c>
      <c r="E4328" s="2" t="s">
        <v>413</v>
      </c>
      <c r="F4328" s="2" t="s">
        <v>40</v>
      </c>
      <c r="G4328" s="2" t="s">
        <v>418</v>
      </c>
      <c r="H4328" s="2" t="s">
        <v>351</v>
      </c>
      <c r="S4328" s="2" t="s">
        <v>60</v>
      </c>
      <c r="U4328" s="2" t="s">
        <v>57</v>
      </c>
      <c r="W4328" s="2" t="s">
        <v>57</v>
      </c>
    </row>
    <row r="4329" spans="1:25" x14ac:dyDescent="0.25">
      <c r="A4329" s="2" t="s">
        <v>335</v>
      </c>
      <c r="B4329" s="2" t="s">
        <v>531</v>
      </c>
      <c r="C4329" s="2" t="s">
        <v>407</v>
      </c>
      <c r="D4329" s="2" t="s">
        <v>412</v>
      </c>
      <c r="E4329" s="2" t="s">
        <v>413</v>
      </c>
      <c r="F4329" s="2" t="s">
        <v>40</v>
      </c>
      <c r="J4329" s="2" t="s">
        <v>532</v>
      </c>
      <c r="K4329" s="2" t="s">
        <v>533</v>
      </c>
      <c r="L4329" s="2">
        <v>1</v>
      </c>
      <c r="M4329" s="2" t="s">
        <v>534</v>
      </c>
      <c r="O4329" s="2" t="s">
        <v>524</v>
      </c>
      <c r="Y4329" s="2" t="s">
        <v>744</v>
      </c>
    </row>
    <row r="4330" spans="1:25" x14ac:dyDescent="0.25">
      <c r="A4330" s="2" t="s">
        <v>335</v>
      </c>
      <c r="B4330" s="2" t="s">
        <v>531</v>
      </c>
      <c r="C4330" s="2" t="s">
        <v>407</v>
      </c>
      <c r="D4330" s="2" t="s">
        <v>412</v>
      </c>
      <c r="E4330" s="2" t="s">
        <v>413</v>
      </c>
      <c r="F4330" s="2" t="s">
        <v>40</v>
      </c>
      <c r="J4330" s="2" t="s">
        <v>532</v>
      </c>
      <c r="K4330" s="2" t="s">
        <v>533</v>
      </c>
      <c r="L4330" s="2">
        <v>2</v>
      </c>
      <c r="M4330" s="2" t="s">
        <v>536</v>
      </c>
      <c r="O4330" s="2" t="s">
        <v>524</v>
      </c>
      <c r="Y4330" s="2" t="s">
        <v>744</v>
      </c>
    </row>
    <row r="4331" spans="1:25" x14ac:dyDescent="0.25">
      <c r="A4331" s="2" t="s">
        <v>335</v>
      </c>
      <c r="B4331" s="2" t="s">
        <v>531</v>
      </c>
      <c r="C4331" s="2" t="s">
        <v>407</v>
      </c>
      <c r="D4331" s="2" t="s">
        <v>412</v>
      </c>
      <c r="E4331" s="2" t="s">
        <v>413</v>
      </c>
      <c r="F4331" s="2" t="s">
        <v>40</v>
      </c>
      <c r="J4331" s="2" t="s">
        <v>532</v>
      </c>
      <c r="K4331" s="2" t="s">
        <v>533</v>
      </c>
      <c r="L4331" s="2">
        <v>3</v>
      </c>
      <c r="M4331" s="2" t="s">
        <v>537</v>
      </c>
      <c r="O4331" s="2" t="s">
        <v>524</v>
      </c>
      <c r="Y4331" s="2" t="s">
        <v>744</v>
      </c>
    </row>
    <row r="4332" spans="1:25" x14ac:dyDescent="0.25">
      <c r="A4332" s="2" t="s">
        <v>335</v>
      </c>
      <c r="B4332" s="2" t="s">
        <v>531</v>
      </c>
      <c r="C4332" s="2" t="s">
        <v>407</v>
      </c>
      <c r="D4332" s="2" t="s">
        <v>412</v>
      </c>
      <c r="E4332" s="2" t="s">
        <v>413</v>
      </c>
      <c r="F4332" s="2" t="s">
        <v>40</v>
      </c>
      <c r="J4332" s="2" t="s">
        <v>532</v>
      </c>
      <c r="K4332" s="2" t="s">
        <v>533</v>
      </c>
      <c r="L4332" s="2">
        <v>4</v>
      </c>
      <c r="M4332" s="2" t="s">
        <v>538</v>
      </c>
      <c r="O4332" s="2" t="s">
        <v>524</v>
      </c>
      <c r="Y4332" s="2" t="s">
        <v>744</v>
      </c>
    </row>
    <row r="4333" spans="1:25" x14ac:dyDescent="0.25">
      <c r="A4333" s="2" t="s">
        <v>335</v>
      </c>
      <c r="B4333" s="2" t="s">
        <v>531</v>
      </c>
      <c r="C4333" s="2" t="s">
        <v>407</v>
      </c>
      <c r="D4333" s="2" t="s">
        <v>412</v>
      </c>
      <c r="E4333" s="2" t="s">
        <v>413</v>
      </c>
      <c r="F4333" s="2" t="s">
        <v>40</v>
      </c>
      <c r="J4333" s="2" t="s">
        <v>532</v>
      </c>
      <c r="K4333" s="2" t="s">
        <v>533</v>
      </c>
      <c r="L4333" s="2">
        <v>5</v>
      </c>
      <c r="M4333" s="2" t="s">
        <v>539</v>
      </c>
      <c r="O4333" s="2" t="s">
        <v>524</v>
      </c>
      <c r="Y4333" s="2" t="s">
        <v>744</v>
      </c>
    </row>
    <row r="4334" spans="1:25" x14ac:dyDescent="0.25">
      <c r="A4334" s="2" t="s">
        <v>335</v>
      </c>
      <c r="B4334" s="2" t="s">
        <v>540</v>
      </c>
      <c r="C4334" s="2" t="s">
        <v>407</v>
      </c>
      <c r="D4334" s="2" t="s">
        <v>412</v>
      </c>
      <c r="E4334" s="2" t="s">
        <v>413</v>
      </c>
      <c r="F4334" s="2" t="s">
        <v>40</v>
      </c>
      <c r="J4334" s="2" t="s">
        <v>541</v>
      </c>
      <c r="K4334" s="2" t="s">
        <v>542</v>
      </c>
      <c r="L4334" s="2">
        <v>1</v>
      </c>
      <c r="M4334" s="2" t="s">
        <v>543</v>
      </c>
      <c r="O4334" s="2" t="s">
        <v>524</v>
      </c>
      <c r="Y4334" s="2" t="s">
        <v>744</v>
      </c>
    </row>
    <row r="4335" spans="1:25" x14ac:dyDescent="0.25">
      <c r="A4335" s="2" t="s">
        <v>335</v>
      </c>
      <c r="B4335" s="2" t="s">
        <v>540</v>
      </c>
      <c r="C4335" s="2" t="s">
        <v>407</v>
      </c>
      <c r="D4335" s="2" t="s">
        <v>412</v>
      </c>
      <c r="E4335" s="2" t="s">
        <v>413</v>
      </c>
      <c r="F4335" s="2" t="s">
        <v>40</v>
      </c>
      <c r="J4335" s="2" t="s">
        <v>541</v>
      </c>
      <c r="K4335" s="2" t="s">
        <v>542</v>
      </c>
      <c r="L4335" s="2">
        <v>2</v>
      </c>
      <c r="M4335" s="2" t="s">
        <v>544</v>
      </c>
      <c r="O4335" s="2" t="s">
        <v>524</v>
      </c>
      <c r="Y4335" s="2" t="s">
        <v>744</v>
      </c>
    </row>
    <row r="4336" spans="1:25" x14ac:dyDescent="0.25">
      <c r="A4336" s="2" t="s">
        <v>335</v>
      </c>
      <c r="B4336" s="2" t="s">
        <v>540</v>
      </c>
      <c r="C4336" s="2" t="s">
        <v>407</v>
      </c>
      <c r="D4336" s="2" t="s">
        <v>412</v>
      </c>
      <c r="E4336" s="2" t="s">
        <v>413</v>
      </c>
      <c r="F4336" s="2" t="s">
        <v>40</v>
      </c>
      <c r="J4336" s="2" t="s">
        <v>541</v>
      </c>
      <c r="K4336" s="2" t="s">
        <v>542</v>
      </c>
      <c r="L4336" s="2">
        <v>3</v>
      </c>
      <c r="M4336" s="2" t="s">
        <v>545</v>
      </c>
      <c r="O4336" s="2" t="s">
        <v>524</v>
      </c>
      <c r="Y4336" s="2" t="s">
        <v>744</v>
      </c>
    </row>
    <row r="4337" spans="1:34" x14ac:dyDescent="0.25">
      <c r="A4337" s="2" t="s">
        <v>335</v>
      </c>
      <c r="B4337" s="2" t="s">
        <v>540</v>
      </c>
      <c r="C4337" s="2" t="s">
        <v>407</v>
      </c>
      <c r="D4337" s="2" t="s">
        <v>412</v>
      </c>
      <c r="E4337" s="2" t="s">
        <v>413</v>
      </c>
      <c r="F4337" s="2" t="s">
        <v>40</v>
      </c>
      <c r="J4337" s="2" t="s">
        <v>541</v>
      </c>
      <c r="K4337" s="2" t="s">
        <v>542</v>
      </c>
      <c r="L4337" s="2">
        <v>4</v>
      </c>
      <c r="M4337" s="2" t="s">
        <v>546</v>
      </c>
      <c r="O4337" s="2" t="s">
        <v>524</v>
      </c>
      <c r="Y4337" s="2" t="s">
        <v>744</v>
      </c>
    </row>
    <row r="4338" spans="1:34" x14ac:dyDescent="0.25">
      <c r="A4338" s="2" t="s">
        <v>335</v>
      </c>
      <c r="B4338" s="2" t="s">
        <v>540</v>
      </c>
      <c r="C4338" s="2" t="s">
        <v>407</v>
      </c>
      <c r="D4338" s="2" t="s">
        <v>412</v>
      </c>
      <c r="E4338" s="2" t="s">
        <v>413</v>
      </c>
      <c r="F4338" s="2" t="s">
        <v>40</v>
      </c>
      <c r="J4338" s="2" t="s">
        <v>541</v>
      </c>
      <c r="K4338" s="2" t="s">
        <v>542</v>
      </c>
      <c r="L4338" s="2">
        <v>5</v>
      </c>
      <c r="M4338" s="2" t="s">
        <v>547</v>
      </c>
      <c r="O4338" s="2" t="s">
        <v>524</v>
      </c>
      <c r="Y4338" s="2" t="s">
        <v>744</v>
      </c>
    </row>
    <row r="4339" spans="1:34" x14ac:dyDescent="0.25">
      <c r="A4339" s="2" t="s">
        <v>335</v>
      </c>
      <c r="B4339" s="2" t="s">
        <v>540</v>
      </c>
      <c r="C4339" s="2" t="s">
        <v>407</v>
      </c>
      <c r="D4339" s="2" t="s">
        <v>412</v>
      </c>
      <c r="E4339" s="2" t="s">
        <v>413</v>
      </c>
      <c r="F4339" s="2" t="s">
        <v>40</v>
      </c>
      <c r="J4339" s="2" t="s">
        <v>541</v>
      </c>
      <c r="K4339" s="2" t="s">
        <v>542</v>
      </c>
      <c r="L4339" s="2">
        <v>6</v>
      </c>
      <c r="M4339" s="2" t="s">
        <v>548</v>
      </c>
      <c r="O4339" s="2" t="s">
        <v>524</v>
      </c>
      <c r="Y4339" s="2" t="s">
        <v>744</v>
      </c>
    </row>
    <row r="4340" spans="1:34" x14ac:dyDescent="0.25">
      <c r="A4340" s="2" t="s">
        <v>335</v>
      </c>
      <c r="B4340" s="2" t="s">
        <v>540</v>
      </c>
      <c r="C4340" s="2" t="s">
        <v>407</v>
      </c>
      <c r="D4340" s="2" t="s">
        <v>412</v>
      </c>
      <c r="E4340" s="2" t="s">
        <v>413</v>
      </c>
      <c r="F4340" s="2" t="s">
        <v>40</v>
      </c>
      <c r="J4340" s="2" t="s">
        <v>541</v>
      </c>
      <c r="K4340" s="2" t="s">
        <v>542</v>
      </c>
      <c r="L4340" s="2">
        <v>7</v>
      </c>
      <c r="M4340" s="2" t="s">
        <v>549</v>
      </c>
      <c r="O4340" s="2" t="s">
        <v>524</v>
      </c>
      <c r="Y4340" s="2" t="s">
        <v>744</v>
      </c>
    </row>
    <row r="4341" spans="1:34" x14ac:dyDescent="0.25">
      <c r="A4341" s="2" t="s">
        <v>335</v>
      </c>
      <c r="B4341" s="2" t="s">
        <v>540</v>
      </c>
      <c r="C4341" s="2" t="s">
        <v>407</v>
      </c>
      <c r="D4341" s="2" t="s">
        <v>412</v>
      </c>
      <c r="E4341" s="2" t="s">
        <v>413</v>
      </c>
      <c r="F4341" s="2" t="s">
        <v>40</v>
      </c>
      <c r="J4341" s="2" t="s">
        <v>541</v>
      </c>
      <c r="K4341" s="2" t="s">
        <v>542</v>
      </c>
      <c r="L4341" s="2">
        <v>8</v>
      </c>
      <c r="M4341" s="2" t="s">
        <v>550</v>
      </c>
      <c r="O4341" s="2" t="s">
        <v>524</v>
      </c>
      <c r="Y4341" s="2" t="s">
        <v>744</v>
      </c>
    </row>
    <row r="4342" spans="1:34" x14ac:dyDescent="0.25">
      <c r="A4342" s="2" t="s">
        <v>335</v>
      </c>
      <c r="B4342" s="2" t="s">
        <v>540</v>
      </c>
      <c r="C4342" s="2" t="s">
        <v>407</v>
      </c>
      <c r="D4342" s="2" t="s">
        <v>412</v>
      </c>
      <c r="E4342" s="2" t="s">
        <v>413</v>
      </c>
      <c r="F4342" s="2" t="s">
        <v>40</v>
      </c>
      <c r="J4342" s="2" t="s">
        <v>541</v>
      </c>
      <c r="K4342" s="2" t="s">
        <v>542</v>
      </c>
      <c r="L4342" s="2">
        <v>9</v>
      </c>
      <c r="M4342" s="2" t="s">
        <v>551</v>
      </c>
      <c r="O4342" s="2" t="s">
        <v>524</v>
      </c>
      <c r="Y4342" s="2" t="s">
        <v>744</v>
      </c>
    </row>
    <row r="4343" spans="1:34" x14ac:dyDescent="0.25">
      <c r="A4343" s="2" t="s">
        <v>335</v>
      </c>
      <c r="B4343" s="2" t="s">
        <v>540</v>
      </c>
      <c r="C4343" s="2" t="s">
        <v>407</v>
      </c>
      <c r="D4343" s="2" t="s">
        <v>412</v>
      </c>
      <c r="E4343" s="2" t="s">
        <v>413</v>
      </c>
      <c r="F4343" s="2" t="s">
        <v>40</v>
      </c>
      <c r="J4343" s="2" t="s">
        <v>541</v>
      </c>
      <c r="K4343" s="2" t="s">
        <v>542</v>
      </c>
      <c r="L4343" s="2">
        <v>10</v>
      </c>
      <c r="M4343" s="2" t="s">
        <v>552</v>
      </c>
      <c r="O4343" s="2" t="s">
        <v>524</v>
      </c>
      <c r="Y4343" s="2" t="s">
        <v>744</v>
      </c>
    </row>
    <row r="4344" spans="1:34" x14ac:dyDescent="0.25">
      <c r="A4344" s="2" t="s">
        <v>335</v>
      </c>
      <c r="B4344" s="2" t="s">
        <v>540</v>
      </c>
      <c r="C4344" s="2" t="s">
        <v>407</v>
      </c>
      <c r="D4344" s="2" t="s">
        <v>412</v>
      </c>
      <c r="E4344" s="2" t="s">
        <v>413</v>
      </c>
      <c r="F4344" s="2" t="s">
        <v>40</v>
      </c>
      <c r="J4344" s="2" t="s">
        <v>541</v>
      </c>
      <c r="K4344" s="2" t="s">
        <v>542</v>
      </c>
      <c r="L4344" s="2">
        <v>11</v>
      </c>
      <c r="M4344" s="2" t="s">
        <v>553</v>
      </c>
      <c r="O4344" s="2" t="s">
        <v>524</v>
      </c>
      <c r="Y4344" s="2" t="s">
        <v>744</v>
      </c>
    </row>
    <row r="4345" spans="1:34" x14ac:dyDescent="0.25">
      <c r="A4345" s="2" t="s">
        <v>335</v>
      </c>
      <c r="B4345" s="2" t="s">
        <v>540</v>
      </c>
      <c r="C4345" s="2" t="s">
        <v>407</v>
      </c>
      <c r="D4345" s="2" t="s">
        <v>412</v>
      </c>
      <c r="E4345" s="2" t="s">
        <v>413</v>
      </c>
      <c r="F4345" s="2" t="s">
        <v>40</v>
      </c>
      <c r="J4345" s="2" t="s">
        <v>541</v>
      </c>
      <c r="K4345" s="2" t="s">
        <v>542</v>
      </c>
      <c r="L4345" s="2">
        <v>12</v>
      </c>
      <c r="M4345" s="2" t="s">
        <v>554</v>
      </c>
      <c r="O4345" s="2" t="s">
        <v>524</v>
      </c>
      <c r="Y4345" s="2" t="s">
        <v>744</v>
      </c>
    </row>
    <row r="4346" spans="1:34" x14ac:dyDescent="0.25">
      <c r="A4346" s="2" t="s">
        <v>335</v>
      </c>
      <c r="B4346" s="2" t="s">
        <v>555</v>
      </c>
      <c r="C4346" s="2" t="s">
        <v>407</v>
      </c>
      <c r="D4346" s="2" t="s">
        <v>412</v>
      </c>
      <c r="E4346" s="2" t="s">
        <v>413</v>
      </c>
      <c r="F4346" s="2" t="s">
        <v>40</v>
      </c>
      <c r="J4346" s="2" t="s">
        <v>556</v>
      </c>
      <c r="O4346" s="2" t="s">
        <v>524</v>
      </c>
      <c r="Y4346" s="2" t="s">
        <v>744</v>
      </c>
      <c r="AB4346" s="2">
        <v>2</v>
      </c>
    </row>
    <row r="4347" spans="1:34" x14ac:dyDescent="0.25">
      <c r="A4347" s="2" t="s">
        <v>335</v>
      </c>
      <c r="B4347" s="2" t="s">
        <v>557</v>
      </c>
      <c r="C4347" s="2" t="s">
        <v>407</v>
      </c>
      <c r="D4347" s="2" t="s">
        <v>412</v>
      </c>
      <c r="E4347" s="2" t="s">
        <v>413</v>
      </c>
      <c r="F4347" s="2" t="s">
        <v>40</v>
      </c>
      <c r="J4347" s="2" t="s">
        <v>558</v>
      </c>
      <c r="O4347" s="2" t="s">
        <v>524</v>
      </c>
      <c r="Y4347" s="2" t="s">
        <v>744</v>
      </c>
      <c r="AC4347" s="2">
        <f>COUNTIFS($B:$B,"BLOCK_LOAD_Q",$A:$A,$A4347,$C:$C,$C4347,$E:$E,$E4347,$F:$F,$F4347,$N:$N, "&lt;&gt;")</f>
        <v>0</v>
      </c>
      <c r="AD4347" s="2">
        <f>COUNTIFS($B:$B,"BLOCK_TRUST_Q",$A:$A,$A4347,$C:$C,$C4347,$E:$E,$E4347,$F:$F,$F4347,$N:$N, "&lt;&gt;")</f>
        <v>0</v>
      </c>
      <c r="AE4347" s="2" t="str">
        <f>IFERROR(AVERAGEIFS($P:$P,$B:$B,"BLOCK_LOAD_Q",$A:$A,$A4347,$C:$C,$C4347,$E:$E,$E4347,$F:$F,$F4347,$P:$P,"&gt;0"),"")</f>
        <v/>
      </c>
      <c r="AF4347" s="2" t="str">
        <f>IFERROR(AVERAGEIFS($P:$P,$B:$B,"BLOCK_TRUST_Q",$A:$A,$A4347,$C:$C,$C4347,$E:$E,$E4347,$F:$F,$F4347,$P:$P,"&gt;0"),"")</f>
        <v/>
      </c>
      <c r="AG4347" s="2">
        <f>5-AC4347</f>
        <v>5</v>
      </c>
      <c r="AH4347" s="2">
        <f>12-AD4347</f>
        <v>12</v>
      </c>
    </row>
    <row r="4348" spans="1:34" x14ac:dyDescent="0.25">
      <c r="A4348" s="2" t="s">
        <v>335</v>
      </c>
      <c r="B4348" s="2" t="s">
        <v>402</v>
      </c>
      <c r="C4348" s="2" t="s">
        <v>407</v>
      </c>
      <c r="D4348" s="2" t="s">
        <v>412</v>
      </c>
      <c r="E4348" s="2" t="s">
        <v>414</v>
      </c>
      <c r="F4348" s="2" t="s">
        <v>39</v>
      </c>
      <c r="G4348" s="2" t="s">
        <v>415</v>
      </c>
      <c r="H4348" s="2" t="s">
        <v>350</v>
      </c>
      <c r="S4348" s="2" t="s">
        <v>57</v>
      </c>
      <c r="U4348" s="2" t="s">
        <v>58</v>
      </c>
      <c r="W4348" s="2" t="s">
        <v>59</v>
      </c>
    </row>
    <row r="4349" spans="1:34" x14ac:dyDescent="0.25">
      <c r="A4349" s="2" t="s">
        <v>335</v>
      </c>
      <c r="B4349" s="2" t="s">
        <v>402</v>
      </c>
      <c r="C4349" s="2" t="s">
        <v>407</v>
      </c>
      <c r="D4349" s="2" t="s">
        <v>412</v>
      </c>
      <c r="E4349" s="2" t="s">
        <v>414</v>
      </c>
      <c r="F4349" s="2" t="s">
        <v>39</v>
      </c>
      <c r="G4349" s="2" t="s">
        <v>416</v>
      </c>
      <c r="H4349" s="2" t="s">
        <v>571</v>
      </c>
      <c r="S4349" s="2" t="s">
        <v>59</v>
      </c>
      <c r="U4349" s="2" t="s">
        <v>57</v>
      </c>
      <c r="W4349" s="2" t="s">
        <v>60</v>
      </c>
    </row>
    <row r="4350" spans="1:34" x14ac:dyDescent="0.25">
      <c r="A4350" s="2" t="s">
        <v>335</v>
      </c>
      <c r="B4350" s="2" t="s">
        <v>402</v>
      </c>
      <c r="C4350" s="2" t="s">
        <v>407</v>
      </c>
      <c r="D4350" s="2" t="s">
        <v>412</v>
      </c>
      <c r="E4350" s="2" t="s">
        <v>414</v>
      </c>
      <c r="F4350" s="2" t="s">
        <v>39</v>
      </c>
      <c r="G4350" s="2" t="s">
        <v>417</v>
      </c>
      <c r="H4350" s="2" t="s">
        <v>572</v>
      </c>
      <c r="S4350" s="2" t="s">
        <v>57</v>
      </c>
      <c r="U4350" s="2" t="s">
        <v>59</v>
      </c>
      <c r="W4350" s="2" t="s">
        <v>58</v>
      </c>
    </row>
    <row r="4351" spans="1:34" x14ac:dyDescent="0.25">
      <c r="A4351" s="2" t="s">
        <v>335</v>
      </c>
      <c r="B4351" s="2" t="s">
        <v>402</v>
      </c>
      <c r="C4351" s="2" t="s">
        <v>407</v>
      </c>
      <c r="D4351" s="2" t="s">
        <v>412</v>
      </c>
      <c r="E4351" s="2" t="s">
        <v>414</v>
      </c>
      <c r="F4351" s="2" t="s">
        <v>39</v>
      </c>
      <c r="G4351" s="2" t="s">
        <v>418</v>
      </c>
      <c r="H4351" s="2" t="s">
        <v>573</v>
      </c>
      <c r="S4351" s="2" t="s">
        <v>58</v>
      </c>
      <c r="U4351" s="2" t="s">
        <v>58</v>
      </c>
      <c r="W4351" s="2" t="s">
        <v>58</v>
      </c>
    </row>
    <row r="4352" spans="1:34" x14ac:dyDescent="0.25">
      <c r="A4352" s="2" t="s">
        <v>335</v>
      </c>
      <c r="B4352" s="2" t="s">
        <v>402</v>
      </c>
      <c r="C4352" s="2" t="s">
        <v>407</v>
      </c>
      <c r="D4352" s="2" t="s">
        <v>412</v>
      </c>
      <c r="E4352" s="2" t="s">
        <v>414</v>
      </c>
      <c r="F4352" s="2" t="s">
        <v>39</v>
      </c>
      <c r="G4352" s="2" t="s">
        <v>419</v>
      </c>
      <c r="H4352" s="2" t="s">
        <v>365</v>
      </c>
      <c r="S4352" s="2" t="s">
        <v>59</v>
      </c>
      <c r="U4352" s="2" t="s">
        <v>59</v>
      </c>
      <c r="W4352" s="2" t="s">
        <v>60</v>
      </c>
    </row>
    <row r="4353" spans="1:25" x14ac:dyDescent="0.25">
      <c r="A4353" s="2" t="s">
        <v>335</v>
      </c>
      <c r="B4353" s="2" t="s">
        <v>531</v>
      </c>
      <c r="C4353" s="2" t="s">
        <v>407</v>
      </c>
      <c r="D4353" s="2" t="s">
        <v>412</v>
      </c>
      <c r="E4353" s="2" t="s">
        <v>414</v>
      </c>
      <c r="F4353" s="2" t="s">
        <v>39</v>
      </c>
      <c r="J4353" s="2" t="s">
        <v>532</v>
      </c>
      <c r="K4353" s="2" t="s">
        <v>533</v>
      </c>
      <c r="L4353" s="2">
        <v>1</v>
      </c>
      <c r="M4353" s="2" t="s">
        <v>534</v>
      </c>
      <c r="O4353" s="2" t="s">
        <v>524</v>
      </c>
      <c r="Y4353" s="2" t="s">
        <v>745</v>
      </c>
    </row>
    <row r="4354" spans="1:25" x14ac:dyDescent="0.25">
      <c r="A4354" s="2" t="s">
        <v>335</v>
      </c>
      <c r="B4354" s="2" t="s">
        <v>531</v>
      </c>
      <c r="C4354" s="2" t="s">
        <v>407</v>
      </c>
      <c r="D4354" s="2" t="s">
        <v>412</v>
      </c>
      <c r="E4354" s="2" t="s">
        <v>414</v>
      </c>
      <c r="F4354" s="2" t="s">
        <v>39</v>
      </c>
      <c r="J4354" s="2" t="s">
        <v>532</v>
      </c>
      <c r="K4354" s="2" t="s">
        <v>533</v>
      </c>
      <c r="L4354" s="2">
        <v>2</v>
      </c>
      <c r="M4354" s="2" t="s">
        <v>536</v>
      </c>
      <c r="O4354" s="2" t="s">
        <v>524</v>
      </c>
      <c r="Y4354" s="2" t="s">
        <v>745</v>
      </c>
    </row>
    <row r="4355" spans="1:25" x14ac:dyDescent="0.25">
      <c r="A4355" s="2" t="s">
        <v>335</v>
      </c>
      <c r="B4355" s="2" t="s">
        <v>531</v>
      </c>
      <c r="C4355" s="2" t="s">
        <v>407</v>
      </c>
      <c r="D4355" s="2" t="s">
        <v>412</v>
      </c>
      <c r="E4355" s="2" t="s">
        <v>414</v>
      </c>
      <c r="F4355" s="2" t="s">
        <v>39</v>
      </c>
      <c r="J4355" s="2" t="s">
        <v>532</v>
      </c>
      <c r="K4355" s="2" t="s">
        <v>533</v>
      </c>
      <c r="L4355" s="2">
        <v>3</v>
      </c>
      <c r="M4355" s="2" t="s">
        <v>537</v>
      </c>
      <c r="O4355" s="2" t="s">
        <v>524</v>
      </c>
      <c r="Y4355" s="2" t="s">
        <v>745</v>
      </c>
    </row>
    <row r="4356" spans="1:25" x14ac:dyDescent="0.25">
      <c r="A4356" s="2" t="s">
        <v>335</v>
      </c>
      <c r="B4356" s="2" t="s">
        <v>531</v>
      </c>
      <c r="C4356" s="2" t="s">
        <v>407</v>
      </c>
      <c r="D4356" s="2" t="s">
        <v>412</v>
      </c>
      <c r="E4356" s="2" t="s">
        <v>414</v>
      </c>
      <c r="F4356" s="2" t="s">
        <v>39</v>
      </c>
      <c r="J4356" s="2" t="s">
        <v>532</v>
      </c>
      <c r="K4356" s="2" t="s">
        <v>533</v>
      </c>
      <c r="L4356" s="2">
        <v>4</v>
      </c>
      <c r="M4356" s="2" t="s">
        <v>538</v>
      </c>
      <c r="O4356" s="2" t="s">
        <v>524</v>
      </c>
      <c r="Y4356" s="2" t="s">
        <v>745</v>
      </c>
    </row>
    <row r="4357" spans="1:25" x14ac:dyDescent="0.25">
      <c r="A4357" s="2" t="s">
        <v>335</v>
      </c>
      <c r="B4357" s="2" t="s">
        <v>531</v>
      </c>
      <c r="C4357" s="2" t="s">
        <v>407</v>
      </c>
      <c r="D4357" s="2" t="s">
        <v>412</v>
      </c>
      <c r="E4357" s="2" t="s">
        <v>414</v>
      </c>
      <c r="F4357" s="2" t="s">
        <v>39</v>
      </c>
      <c r="J4357" s="2" t="s">
        <v>532</v>
      </c>
      <c r="K4357" s="2" t="s">
        <v>533</v>
      </c>
      <c r="L4357" s="2">
        <v>5</v>
      </c>
      <c r="M4357" s="2" t="s">
        <v>539</v>
      </c>
      <c r="O4357" s="2" t="s">
        <v>524</v>
      </c>
      <c r="Y4357" s="2" t="s">
        <v>745</v>
      </c>
    </row>
    <row r="4358" spans="1:25" x14ac:dyDescent="0.25">
      <c r="A4358" s="2" t="s">
        <v>335</v>
      </c>
      <c r="B4358" s="2" t="s">
        <v>540</v>
      </c>
      <c r="C4358" s="2" t="s">
        <v>407</v>
      </c>
      <c r="D4358" s="2" t="s">
        <v>412</v>
      </c>
      <c r="E4358" s="2" t="s">
        <v>414</v>
      </c>
      <c r="F4358" s="2" t="s">
        <v>39</v>
      </c>
      <c r="J4358" s="2" t="s">
        <v>541</v>
      </c>
      <c r="K4358" s="2" t="s">
        <v>542</v>
      </c>
      <c r="L4358" s="2">
        <v>1</v>
      </c>
      <c r="M4358" s="2" t="s">
        <v>543</v>
      </c>
      <c r="O4358" s="2" t="s">
        <v>524</v>
      </c>
      <c r="Y4358" s="2" t="s">
        <v>745</v>
      </c>
    </row>
    <row r="4359" spans="1:25" x14ac:dyDescent="0.25">
      <c r="A4359" s="2" t="s">
        <v>335</v>
      </c>
      <c r="B4359" s="2" t="s">
        <v>540</v>
      </c>
      <c r="C4359" s="2" t="s">
        <v>407</v>
      </c>
      <c r="D4359" s="2" t="s">
        <v>412</v>
      </c>
      <c r="E4359" s="2" t="s">
        <v>414</v>
      </c>
      <c r="F4359" s="2" t="s">
        <v>39</v>
      </c>
      <c r="J4359" s="2" t="s">
        <v>541</v>
      </c>
      <c r="K4359" s="2" t="s">
        <v>542</v>
      </c>
      <c r="L4359" s="2">
        <v>2</v>
      </c>
      <c r="M4359" s="2" t="s">
        <v>544</v>
      </c>
      <c r="O4359" s="2" t="s">
        <v>524</v>
      </c>
      <c r="Y4359" s="2" t="s">
        <v>745</v>
      </c>
    </row>
    <row r="4360" spans="1:25" x14ac:dyDescent="0.25">
      <c r="A4360" s="2" t="s">
        <v>335</v>
      </c>
      <c r="B4360" s="2" t="s">
        <v>540</v>
      </c>
      <c r="C4360" s="2" t="s">
        <v>407</v>
      </c>
      <c r="D4360" s="2" t="s">
        <v>412</v>
      </c>
      <c r="E4360" s="2" t="s">
        <v>414</v>
      </c>
      <c r="F4360" s="2" t="s">
        <v>39</v>
      </c>
      <c r="J4360" s="2" t="s">
        <v>541</v>
      </c>
      <c r="K4360" s="2" t="s">
        <v>542</v>
      </c>
      <c r="L4360" s="2">
        <v>3</v>
      </c>
      <c r="M4360" s="2" t="s">
        <v>545</v>
      </c>
      <c r="O4360" s="2" t="s">
        <v>524</v>
      </c>
      <c r="Y4360" s="2" t="s">
        <v>745</v>
      </c>
    </row>
    <row r="4361" spans="1:25" x14ac:dyDescent="0.25">
      <c r="A4361" s="2" t="s">
        <v>335</v>
      </c>
      <c r="B4361" s="2" t="s">
        <v>540</v>
      </c>
      <c r="C4361" s="2" t="s">
        <v>407</v>
      </c>
      <c r="D4361" s="2" t="s">
        <v>412</v>
      </c>
      <c r="E4361" s="2" t="s">
        <v>414</v>
      </c>
      <c r="F4361" s="2" t="s">
        <v>39</v>
      </c>
      <c r="J4361" s="2" t="s">
        <v>541</v>
      </c>
      <c r="K4361" s="2" t="s">
        <v>542</v>
      </c>
      <c r="L4361" s="2">
        <v>4</v>
      </c>
      <c r="M4361" s="2" t="s">
        <v>546</v>
      </c>
      <c r="O4361" s="2" t="s">
        <v>524</v>
      </c>
      <c r="Y4361" s="2" t="s">
        <v>745</v>
      </c>
    </row>
    <row r="4362" spans="1:25" x14ac:dyDescent="0.25">
      <c r="A4362" s="2" t="s">
        <v>335</v>
      </c>
      <c r="B4362" s="2" t="s">
        <v>540</v>
      </c>
      <c r="C4362" s="2" t="s">
        <v>407</v>
      </c>
      <c r="D4362" s="2" t="s">
        <v>412</v>
      </c>
      <c r="E4362" s="2" t="s">
        <v>414</v>
      </c>
      <c r="F4362" s="2" t="s">
        <v>39</v>
      </c>
      <c r="J4362" s="2" t="s">
        <v>541</v>
      </c>
      <c r="K4362" s="2" t="s">
        <v>542</v>
      </c>
      <c r="L4362" s="2">
        <v>5</v>
      </c>
      <c r="M4362" s="2" t="s">
        <v>547</v>
      </c>
      <c r="O4362" s="2" t="s">
        <v>524</v>
      </c>
      <c r="Y4362" s="2" t="s">
        <v>745</v>
      </c>
    </row>
    <row r="4363" spans="1:25" x14ac:dyDescent="0.25">
      <c r="A4363" s="2" t="s">
        <v>335</v>
      </c>
      <c r="B4363" s="2" t="s">
        <v>540</v>
      </c>
      <c r="C4363" s="2" t="s">
        <v>407</v>
      </c>
      <c r="D4363" s="2" t="s">
        <v>412</v>
      </c>
      <c r="E4363" s="2" t="s">
        <v>414</v>
      </c>
      <c r="F4363" s="2" t="s">
        <v>39</v>
      </c>
      <c r="J4363" s="2" t="s">
        <v>541</v>
      </c>
      <c r="K4363" s="2" t="s">
        <v>542</v>
      </c>
      <c r="L4363" s="2">
        <v>6</v>
      </c>
      <c r="M4363" s="2" t="s">
        <v>548</v>
      </c>
      <c r="O4363" s="2" t="s">
        <v>524</v>
      </c>
      <c r="Y4363" s="2" t="s">
        <v>745</v>
      </c>
    </row>
    <row r="4364" spans="1:25" x14ac:dyDescent="0.25">
      <c r="A4364" s="2" t="s">
        <v>335</v>
      </c>
      <c r="B4364" s="2" t="s">
        <v>540</v>
      </c>
      <c r="C4364" s="2" t="s">
        <v>407</v>
      </c>
      <c r="D4364" s="2" t="s">
        <v>412</v>
      </c>
      <c r="E4364" s="2" t="s">
        <v>414</v>
      </c>
      <c r="F4364" s="2" t="s">
        <v>39</v>
      </c>
      <c r="J4364" s="2" t="s">
        <v>541</v>
      </c>
      <c r="K4364" s="2" t="s">
        <v>542</v>
      </c>
      <c r="L4364" s="2">
        <v>7</v>
      </c>
      <c r="M4364" s="2" t="s">
        <v>549</v>
      </c>
      <c r="O4364" s="2" t="s">
        <v>524</v>
      </c>
      <c r="Y4364" s="2" t="s">
        <v>745</v>
      </c>
    </row>
    <row r="4365" spans="1:25" x14ac:dyDescent="0.25">
      <c r="A4365" s="2" t="s">
        <v>335</v>
      </c>
      <c r="B4365" s="2" t="s">
        <v>540</v>
      </c>
      <c r="C4365" s="2" t="s">
        <v>407</v>
      </c>
      <c r="D4365" s="2" t="s">
        <v>412</v>
      </c>
      <c r="E4365" s="2" t="s">
        <v>414</v>
      </c>
      <c r="F4365" s="2" t="s">
        <v>39</v>
      </c>
      <c r="J4365" s="2" t="s">
        <v>541</v>
      </c>
      <c r="K4365" s="2" t="s">
        <v>542</v>
      </c>
      <c r="L4365" s="2">
        <v>8</v>
      </c>
      <c r="M4365" s="2" t="s">
        <v>550</v>
      </c>
      <c r="O4365" s="2" t="s">
        <v>524</v>
      </c>
      <c r="Y4365" s="2" t="s">
        <v>745</v>
      </c>
    </row>
    <row r="4366" spans="1:25" x14ac:dyDescent="0.25">
      <c r="A4366" s="2" t="s">
        <v>335</v>
      </c>
      <c r="B4366" s="2" t="s">
        <v>540</v>
      </c>
      <c r="C4366" s="2" t="s">
        <v>407</v>
      </c>
      <c r="D4366" s="2" t="s">
        <v>412</v>
      </c>
      <c r="E4366" s="2" t="s">
        <v>414</v>
      </c>
      <c r="F4366" s="2" t="s">
        <v>39</v>
      </c>
      <c r="J4366" s="2" t="s">
        <v>541</v>
      </c>
      <c r="K4366" s="2" t="s">
        <v>542</v>
      </c>
      <c r="L4366" s="2">
        <v>9</v>
      </c>
      <c r="M4366" s="2" t="s">
        <v>551</v>
      </c>
      <c r="O4366" s="2" t="s">
        <v>524</v>
      </c>
      <c r="Y4366" s="2" t="s">
        <v>745</v>
      </c>
    </row>
    <row r="4367" spans="1:25" x14ac:dyDescent="0.25">
      <c r="A4367" s="2" t="s">
        <v>335</v>
      </c>
      <c r="B4367" s="2" t="s">
        <v>540</v>
      </c>
      <c r="C4367" s="2" t="s">
        <v>407</v>
      </c>
      <c r="D4367" s="2" t="s">
        <v>412</v>
      </c>
      <c r="E4367" s="2" t="s">
        <v>414</v>
      </c>
      <c r="F4367" s="2" t="s">
        <v>39</v>
      </c>
      <c r="J4367" s="2" t="s">
        <v>541</v>
      </c>
      <c r="K4367" s="2" t="s">
        <v>542</v>
      </c>
      <c r="L4367" s="2">
        <v>10</v>
      </c>
      <c r="M4367" s="2" t="s">
        <v>552</v>
      </c>
      <c r="O4367" s="2" t="s">
        <v>524</v>
      </c>
      <c r="Y4367" s="2" t="s">
        <v>745</v>
      </c>
    </row>
    <row r="4368" spans="1:25" x14ac:dyDescent="0.25">
      <c r="A4368" s="2" t="s">
        <v>335</v>
      </c>
      <c r="B4368" s="2" t="s">
        <v>540</v>
      </c>
      <c r="C4368" s="2" t="s">
        <v>407</v>
      </c>
      <c r="D4368" s="2" t="s">
        <v>412</v>
      </c>
      <c r="E4368" s="2" t="s">
        <v>414</v>
      </c>
      <c r="F4368" s="2" t="s">
        <v>39</v>
      </c>
      <c r="J4368" s="2" t="s">
        <v>541</v>
      </c>
      <c r="K4368" s="2" t="s">
        <v>542</v>
      </c>
      <c r="L4368" s="2">
        <v>11</v>
      </c>
      <c r="M4368" s="2" t="s">
        <v>553</v>
      </c>
      <c r="O4368" s="2" t="s">
        <v>524</v>
      </c>
      <c r="Y4368" s="2" t="s">
        <v>745</v>
      </c>
    </row>
    <row r="4369" spans="1:34" x14ac:dyDescent="0.25">
      <c r="A4369" s="2" t="s">
        <v>335</v>
      </c>
      <c r="B4369" s="2" t="s">
        <v>540</v>
      </c>
      <c r="C4369" s="2" t="s">
        <v>407</v>
      </c>
      <c r="D4369" s="2" t="s">
        <v>412</v>
      </c>
      <c r="E4369" s="2" t="s">
        <v>414</v>
      </c>
      <c r="F4369" s="2" t="s">
        <v>39</v>
      </c>
      <c r="J4369" s="2" t="s">
        <v>541</v>
      </c>
      <c r="K4369" s="2" t="s">
        <v>542</v>
      </c>
      <c r="L4369" s="2">
        <v>12</v>
      </c>
      <c r="M4369" s="2" t="s">
        <v>554</v>
      </c>
      <c r="O4369" s="2" t="s">
        <v>524</v>
      </c>
      <c r="Y4369" s="2" t="s">
        <v>745</v>
      </c>
    </row>
    <row r="4370" spans="1:34" x14ac:dyDescent="0.25">
      <c r="A4370" s="2" t="s">
        <v>335</v>
      </c>
      <c r="B4370" s="2" t="s">
        <v>555</v>
      </c>
      <c r="C4370" s="2" t="s">
        <v>407</v>
      </c>
      <c r="D4370" s="2" t="s">
        <v>412</v>
      </c>
      <c r="E4370" s="2" t="s">
        <v>414</v>
      </c>
      <c r="F4370" s="2" t="s">
        <v>39</v>
      </c>
      <c r="J4370" s="2" t="s">
        <v>556</v>
      </c>
      <c r="O4370" s="2" t="s">
        <v>524</v>
      </c>
      <c r="Y4370" s="2" t="s">
        <v>745</v>
      </c>
      <c r="AB4370" s="2">
        <v>1</v>
      </c>
    </row>
    <row r="4371" spans="1:34" x14ac:dyDescent="0.25">
      <c r="A4371" s="2" t="s">
        <v>335</v>
      </c>
      <c r="B4371" s="2" t="s">
        <v>557</v>
      </c>
      <c r="C4371" s="2" t="s">
        <v>407</v>
      </c>
      <c r="D4371" s="2" t="s">
        <v>412</v>
      </c>
      <c r="E4371" s="2" t="s">
        <v>414</v>
      </c>
      <c r="F4371" s="2" t="s">
        <v>39</v>
      </c>
      <c r="J4371" s="2" t="s">
        <v>558</v>
      </c>
      <c r="O4371" s="2" t="s">
        <v>524</v>
      </c>
      <c r="Y4371" s="2" t="s">
        <v>745</v>
      </c>
      <c r="AC4371" s="2">
        <f>COUNTIFS($B:$B,"BLOCK_LOAD_Q",$A:$A,$A4371,$C:$C,$C4371,$E:$E,$E4371,$F:$F,$F4371,$N:$N, "&lt;&gt;")</f>
        <v>0</v>
      </c>
      <c r="AD4371" s="2">
        <f>COUNTIFS($B:$B,"BLOCK_TRUST_Q",$A:$A,$A4371,$C:$C,$C4371,$E:$E,$E4371,$F:$F,$F4371,$N:$N, "&lt;&gt;")</f>
        <v>0</v>
      </c>
      <c r="AE4371" s="2" t="str">
        <f>IFERROR(AVERAGEIFS($P:$P,$B:$B,"BLOCK_LOAD_Q",$A:$A,$A4371,$C:$C,$C4371,$E:$E,$E4371,$F:$F,$F4371,$P:$P,"&gt;0"),"")</f>
        <v/>
      </c>
      <c r="AF4371" s="2" t="str">
        <f>IFERROR(AVERAGEIFS($P:$P,$B:$B,"BLOCK_TRUST_Q",$A:$A,$A4371,$C:$C,$C4371,$E:$E,$E4371,$F:$F,$F4371,$P:$P,"&gt;0"),"")</f>
        <v/>
      </c>
      <c r="AG4371" s="2">
        <f>5-AC4371</f>
        <v>5</v>
      </c>
      <c r="AH4371" s="2">
        <f>12-AD4371</f>
        <v>12</v>
      </c>
    </row>
    <row r="4372" spans="1:34" x14ac:dyDescent="0.25">
      <c r="A4372" s="2" t="s">
        <v>335</v>
      </c>
      <c r="B4372" s="2" t="s">
        <v>403</v>
      </c>
      <c r="C4372" s="2" t="s">
        <v>407</v>
      </c>
      <c r="D4372" s="2" t="s">
        <v>412</v>
      </c>
      <c r="Z4372" s="2" t="s">
        <v>507</v>
      </c>
    </row>
    <row r="4373" spans="1:34" x14ac:dyDescent="0.25">
      <c r="A4373" s="2" t="s">
        <v>335</v>
      </c>
      <c r="B4373" s="2" t="s">
        <v>402</v>
      </c>
      <c r="C4373" s="2" t="s">
        <v>408</v>
      </c>
      <c r="D4373" s="2" t="s">
        <v>410</v>
      </c>
      <c r="E4373" s="2" t="s">
        <v>413</v>
      </c>
      <c r="F4373" s="2" t="s">
        <v>40</v>
      </c>
      <c r="G4373" s="2" t="s">
        <v>415</v>
      </c>
      <c r="H4373" s="2" t="s">
        <v>354</v>
      </c>
      <c r="S4373" s="2" t="s">
        <v>59</v>
      </c>
      <c r="U4373" s="2" t="s">
        <v>59</v>
      </c>
      <c r="W4373" s="2" t="s">
        <v>58</v>
      </c>
    </row>
    <row r="4374" spans="1:34" x14ac:dyDescent="0.25">
      <c r="A4374" s="2" t="s">
        <v>335</v>
      </c>
      <c r="B4374" s="2" t="s">
        <v>402</v>
      </c>
      <c r="C4374" s="2" t="s">
        <v>408</v>
      </c>
      <c r="D4374" s="2" t="s">
        <v>410</v>
      </c>
      <c r="E4374" s="2" t="s">
        <v>413</v>
      </c>
      <c r="F4374" s="2" t="s">
        <v>40</v>
      </c>
      <c r="G4374" s="2" t="s">
        <v>416</v>
      </c>
      <c r="H4374" s="2" t="s">
        <v>559</v>
      </c>
      <c r="S4374" s="2" t="s">
        <v>57</v>
      </c>
      <c r="U4374" s="2" t="s">
        <v>57</v>
      </c>
      <c r="W4374" s="2" t="s">
        <v>58</v>
      </c>
    </row>
    <row r="4375" spans="1:34" x14ac:dyDescent="0.25">
      <c r="A4375" s="2" t="s">
        <v>335</v>
      </c>
      <c r="B4375" s="2" t="s">
        <v>402</v>
      </c>
      <c r="C4375" s="2" t="s">
        <v>408</v>
      </c>
      <c r="D4375" s="2" t="s">
        <v>410</v>
      </c>
      <c r="E4375" s="2" t="s">
        <v>413</v>
      </c>
      <c r="F4375" s="2" t="s">
        <v>40</v>
      </c>
      <c r="G4375" s="2" t="s">
        <v>417</v>
      </c>
      <c r="H4375" s="2" t="s">
        <v>370</v>
      </c>
      <c r="S4375" s="2" t="s">
        <v>60</v>
      </c>
      <c r="U4375" s="2" t="s">
        <v>58</v>
      </c>
      <c r="W4375" s="2" t="s">
        <v>59</v>
      </c>
    </row>
    <row r="4376" spans="1:34" x14ac:dyDescent="0.25">
      <c r="A4376" s="2" t="s">
        <v>335</v>
      </c>
      <c r="B4376" s="2" t="s">
        <v>402</v>
      </c>
      <c r="C4376" s="2" t="s">
        <v>408</v>
      </c>
      <c r="D4376" s="2" t="s">
        <v>410</v>
      </c>
      <c r="E4376" s="2" t="s">
        <v>413</v>
      </c>
      <c r="F4376" s="2" t="s">
        <v>40</v>
      </c>
      <c r="G4376" s="2" t="s">
        <v>418</v>
      </c>
      <c r="H4376" s="2" t="s">
        <v>560</v>
      </c>
      <c r="S4376" s="2" t="s">
        <v>57</v>
      </c>
      <c r="U4376" s="2" t="s">
        <v>58</v>
      </c>
      <c r="W4376" s="2" t="s">
        <v>60</v>
      </c>
    </row>
    <row r="4377" spans="1:34" x14ac:dyDescent="0.25">
      <c r="A4377" s="2" t="s">
        <v>335</v>
      </c>
      <c r="B4377" s="2" t="s">
        <v>531</v>
      </c>
      <c r="C4377" s="2" t="s">
        <v>408</v>
      </c>
      <c r="D4377" s="2" t="s">
        <v>410</v>
      </c>
      <c r="E4377" s="2" t="s">
        <v>413</v>
      </c>
      <c r="F4377" s="2" t="s">
        <v>40</v>
      </c>
      <c r="J4377" s="2" t="s">
        <v>532</v>
      </c>
      <c r="K4377" s="2" t="s">
        <v>533</v>
      </c>
      <c r="L4377" s="2">
        <v>1</v>
      </c>
      <c r="M4377" s="2" t="s">
        <v>534</v>
      </c>
      <c r="O4377" s="2" t="s">
        <v>524</v>
      </c>
      <c r="Y4377" s="2" t="s">
        <v>746</v>
      </c>
    </row>
    <row r="4378" spans="1:34" x14ac:dyDescent="0.25">
      <c r="A4378" s="2" t="s">
        <v>335</v>
      </c>
      <c r="B4378" s="2" t="s">
        <v>531</v>
      </c>
      <c r="C4378" s="2" t="s">
        <v>408</v>
      </c>
      <c r="D4378" s="2" t="s">
        <v>410</v>
      </c>
      <c r="E4378" s="2" t="s">
        <v>413</v>
      </c>
      <c r="F4378" s="2" t="s">
        <v>40</v>
      </c>
      <c r="J4378" s="2" t="s">
        <v>532</v>
      </c>
      <c r="K4378" s="2" t="s">
        <v>533</v>
      </c>
      <c r="L4378" s="2">
        <v>2</v>
      </c>
      <c r="M4378" s="2" t="s">
        <v>536</v>
      </c>
      <c r="O4378" s="2" t="s">
        <v>524</v>
      </c>
      <c r="Y4378" s="2" t="s">
        <v>746</v>
      </c>
    </row>
    <row r="4379" spans="1:34" x14ac:dyDescent="0.25">
      <c r="A4379" s="2" t="s">
        <v>335</v>
      </c>
      <c r="B4379" s="2" t="s">
        <v>531</v>
      </c>
      <c r="C4379" s="2" t="s">
        <v>408</v>
      </c>
      <c r="D4379" s="2" t="s">
        <v>410</v>
      </c>
      <c r="E4379" s="2" t="s">
        <v>413</v>
      </c>
      <c r="F4379" s="2" t="s">
        <v>40</v>
      </c>
      <c r="J4379" s="2" t="s">
        <v>532</v>
      </c>
      <c r="K4379" s="2" t="s">
        <v>533</v>
      </c>
      <c r="L4379" s="2">
        <v>3</v>
      </c>
      <c r="M4379" s="2" t="s">
        <v>537</v>
      </c>
      <c r="O4379" s="2" t="s">
        <v>524</v>
      </c>
      <c r="Y4379" s="2" t="s">
        <v>746</v>
      </c>
    </row>
    <row r="4380" spans="1:34" x14ac:dyDescent="0.25">
      <c r="A4380" s="2" t="s">
        <v>335</v>
      </c>
      <c r="B4380" s="2" t="s">
        <v>531</v>
      </c>
      <c r="C4380" s="2" t="s">
        <v>408</v>
      </c>
      <c r="D4380" s="2" t="s">
        <v>410</v>
      </c>
      <c r="E4380" s="2" t="s">
        <v>413</v>
      </c>
      <c r="F4380" s="2" t="s">
        <v>40</v>
      </c>
      <c r="J4380" s="2" t="s">
        <v>532</v>
      </c>
      <c r="K4380" s="2" t="s">
        <v>533</v>
      </c>
      <c r="L4380" s="2">
        <v>4</v>
      </c>
      <c r="M4380" s="2" t="s">
        <v>538</v>
      </c>
      <c r="O4380" s="2" t="s">
        <v>524</v>
      </c>
      <c r="Y4380" s="2" t="s">
        <v>746</v>
      </c>
    </row>
    <row r="4381" spans="1:34" x14ac:dyDescent="0.25">
      <c r="A4381" s="2" t="s">
        <v>335</v>
      </c>
      <c r="B4381" s="2" t="s">
        <v>531</v>
      </c>
      <c r="C4381" s="2" t="s">
        <v>408</v>
      </c>
      <c r="D4381" s="2" t="s">
        <v>410</v>
      </c>
      <c r="E4381" s="2" t="s">
        <v>413</v>
      </c>
      <c r="F4381" s="2" t="s">
        <v>40</v>
      </c>
      <c r="J4381" s="2" t="s">
        <v>532</v>
      </c>
      <c r="K4381" s="2" t="s">
        <v>533</v>
      </c>
      <c r="L4381" s="2">
        <v>5</v>
      </c>
      <c r="M4381" s="2" t="s">
        <v>539</v>
      </c>
      <c r="O4381" s="2" t="s">
        <v>524</v>
      </c>
      <c r="Y4381" s="2" t="s">
        <v>746</v>
      </c>
    </row>
    <row r="4382" spans="1:34" x14ac:dyDescent="0.25">
      <c r="A4382" s="2" t="s">
        <v>335</v>
      </c>
      <c r="B4382" s="2" t="s">
        <v>540</v>
      </c>
      <c r="C4382" s="2" t="s">
        <v>408</v>
      </c>
      <c r="D4382" s="2" t="s">
        <v>410</v>
      </c>
      <c r="E4382" s="2" t="s">
        <v>413</v>
      </c>
      <c r="F4382" s="2" t="s">
        <v>40</v>
      </c>
      <c r="J4382" s="2" t="s">
        <v>541</v>
      </c>
      <c r="K4382" s="2" t="s">
        <v>542</v>
      </c>
      <c r="L4382" s="2">
        <v>1</v>
      </c>
      <c r="M4382" s="2" t="s">
        <v>543</v>
      </c>
      <c r="O4382" s="2" t="s">
        <v>524</v>
      </c>
      <c r="Y4382" s="2" t="s">
        <v>746</v>
      </c>
    </row>
    <row r="4383" spans="1:34" x14ac:dyDescent="0.25">
      <c r="A4383" s="2" t="s">
        <v>335</v>
      </c>
      <c r="B4383" s="2" t="s">
        <v>540</v>
      </c>
      <c r="C4383" s="2" t="s">
        <v>408</v>
      </c>
      <c r="D4383" s="2" t="s">
        <v>410</v>
      </c>
      <c r="E4383" s="2" t="s">
        <v>413</v>
      </c>
      <c r="F4383" s="2" t="s">
        <v>40</v>
      </c>
      <c r="J4383" s="2" t="s">
        <v>541</v>
      </c>
      <c r="K4383" s="2" t="s">
        <v>542</v>
      </c>
      <c r="L4383" s="2">
        <v>2</v>
      </c>
      <c r="M4383" s="2" t="s">
        <v>544</v>
      </c>
      <c r="O4383" s="2" t="s">
        <v>524</v>
      </c>
      <c r="Y4383" s="2" t="s">
        <v>746</v>
      </c>
    </row>
    <row r="4384" spans="1:34" x14ac:dyDescent="0.25">
      <c r="A4384" s="2" t="s">
        <v>335</v>
      </c>
      <c r="B4384" s="2" t="s">
        <v>540</v>
      </c>
      <c r="C4384" s="2" t="s">
        <v>408</v>
      </c>
      <c r="D4384" s="2" t="s">
        <v>410</v>
      </c>
      <c r="E4384" s="2" t="s">
        <v>413</v>
      </c>
      <c r="F4384" s="2" t="s">
        <v>40</v>
      </c>
      <c r="J4384" s="2" t="s">
        <v>541</v>
      </c>
      <c r="K4384" s="2" t="s">
        <v>542</v>
      </c>
      <c r="L4384" s="2">
        <v>3</v>
      </c>
      <c r="M4384" s="2" t="s">
        <v>545</v>
      </c>
      <c r="O4384" s="2" t="s">
        <v>524</v>
      </c>
      <c r="Y4384" s="2" t="s">
        <v>746</v>
      </c>
    </row>
    <row r="4385" spans="1:34" x14ac:dyDescent="0.25">
      <c r="A4385" s="2" t="s">
        <v>335</v>
      </c>
      <c r="B4385" s="2" t="s">
        <v>540</v>
      </c>
      <c r="C4385" s="2" t="s">
        <v>408</v>
      </c>
      <c r="D4385" s="2" t="s">
        <v>410</v>
      </c>
      <c r="E4385" s="2" t="s">
        <v>413</v>
      </c>
      <c r="F4385" s="2" t="s">
        <v>40</v>
      </c>
      <c r="J4385" s="2" t="s">
        <v>541</v>
      </c>
      <c r="K4385" s="2" t="s">
        <v>542</v>
      </c>
      <c r="L4385" s="2">
        <v>4</v>
      </c>
      <c r="M4385" s="2" t="s">
        <v>546</v>
      </c>
      <c r="O4385" s="2" t="s">
        <v>524</v>
      </c>
      <c r="Y4385" s="2" t="s">
        <v>746</v>
      </c>
    </row>
    <row r="4386" spans="1:34" x14ac:dyDescent="0.25">
      <c r="A4386" s="2" t="s">
        <v>335</v>
      </c>
      <c r="B4386" s="2" t="s">
        <v>540</v>
      </c>
      <c r="C4386" s="2" t="s">
        <v>408</v>
      </c>
      <c r="D4386" s="2" t="s">
        <v>410</v>
      </c>
      <c r="E4386" s="2" t="s">
        <v>413</v>
      </c>
      <c r="F4386" s="2" t="s">
        <v>40</v>
      </c>
      <c r="J4386" s="2" t="s">
        <v>541</v>
      </c>
      <c r="K4386" s="2" t="s">
        <v>542</v>
      </c>
      <c r="L4386" s="2">
        <v>5</v>
      </c>
      <c r="M4386" s="2" t="s">
        <v>547</v>
      </c>
      <c r="O4386" s="2" t="s">
        <v>524</v>
      </c>
      <c r="Y4386" s="2" t="s">
        <v>746</v>
      </c>
    </row>
    <row r="4387" spans="1:34" x14ac:dyDescent="0.25">
      <c r="A4387" s="2" t="s">
        <v>335</v>
      </c>
      <c r="B4387" s="2" t="s">
        <v>540</v>
      </c>
      <c r="C4387" s="2" t="s">
        <v>408</v>
      </c>
      <c r="D4387" s="2" t="s">
        <v>410</v>
      </c>
      <c r="E4387" s="2" t="s">
        <v>413</v>
      </c>
      <c r="F4387" s="2" t="s">
        <v>40</v>
      </c>
      <c r="J4387" s="2" t="s">
        <v>541</v>
      </c>
      <c r="K4387" s="2" t="s">
        <v>542</v>
      </c>
      <c r="L4387" s="2">
        <v>6</v>
      </c>
      <c r="M4387" s="2" t="s">
        <v>548</v>
      </c>
      <c r="O4387" s="2" t="s">
        <v>524</v>
      </c>
      <c r="Y4387" s="2" t="s">
        <v>746</v>
      </c>
    </row>
    <row r="4388" spans="1:34" x14ac:dyDescent="0.25">
      <c r="A4388" s="2" t="s">
        <v>335</v>
      </c>
      <c r="B4388" s="2" t="s">
        <v>540</v>
      </c>
      <c r="C4388" s="2" t="s">
        <v>408</v>
      </c>
      <c r="D4388" s="2" t="s">
        <v>410</v>
      </c>
      <c r="E4388" s="2" t="s">
        <v>413</v>
      </c>
      <c r="F4388" s="2" t="s">
        <v>40</v>
      </c>
      <c r="J4388" s="2" t="s">
        <v>541</v>
      </c>
      <c r="K4388" s="2" t="s">
        <v>542</v>
      </c>
      <c r="L4388" s="2">
        <v>7</v>
      </c>
      <c r="M4388" s="2" t="s">
        <v>549</v>
      </c>
      <c r="O4388" s="2" t="s">
        <v>524</v>
      </c>
      <c r="Y4388" s="2" t="s">
        <v>746</v>
      </c>
    </row>
    <row r="4389" spans="1:34" x14ac:dyDescent="0.25">
      <c r="A4389" s="2" t="s">
        <v>335</v>
      </c>
      <c r="B4389" s="2" t="s">
        <v>540</v>
      </c>
      <c r="C4389" s="2" t="s">
        <v>408</v>
      </c>
      <c r="D4389" s="2" t="s">
        <v>410</v>
      </c>
      <c r="E4389" s="2" t="s">
        <v>413</v>
      </c>
      <c r="F4389" s="2" t="s">
        <v>40</v>
      </c>
      <c r="J4389" s="2" t="s">
        <v>541</v>
      </c>
      <c r="K4389" s="2" t="s">
        <v>542</v>
      </c>
      <c r="L4389" s="2">
        <v>8</v>
      </c>
      <c r="M4389" s="2" t="s">
        <v>550</v>
      </c>
      <c r="O4389" s="2" t="s">
        <v>524</v>
      </c>
      <c r="Y4389" s="2" t="s">
        <v>746</v>
      </c>
    </row>
    <row r="4390" spans="1:34" x14ac:dyDescent="0.25">
      <c r="A4390" s="2" t="s">
        <v>335</v>
      </c>
      <c r="B4390" s="2" t="s">
        <v>540</v>
      </c>
      <c r="C4390" s="2" t="s">
        <v>408</v>
      </c>
      <c r="D4390" s="2" t="s">
        <v>410</v>
      </c>
      <c r="E4390" s="2" t="s">
        <v>413</v>
      </c>
      <c r="F4390" s="2" t="s">
        <v>40</v>
      </c>
      <c r="J4390" s="2" t="s">
        <v>541</v>
      </c>
      <c r="K4390" s="2" t="s">
        <v>542</v>
      </c>
      <c r="L4390" s="2">
        <v>9</v>
      </c>
      <c r="M4390" s="2" t="s">
        <v>551</v>
      </c>
      <c r="O4390" s="2" t="s">
        <v>524</v>
      </c>
      <c r="Y4390" s="2" t="s">
        <v>746</v>
      </c>
    </row>
    <row r="4391" spans="1:34" x14ac:dyDescent="0.25">
      <c r="A4391" s="2" t="s">
        <v>335</v>
      </c>
      <c r="B4391" s="2" t="s">
        <v>540</v>
      </c>
      <c r="C4391" s="2" t="s">
        <v>408</v>
      </c>
      <c r="D4391" s="2" t="s">
        <v>410</v>
      </c>
      <c r="E4391" s="2" t="s">
        <v>413</v>
      </c>
      <c r="F4391" s="2" t="s">
        <v>40</v>
      </c>
      <c r="J4391" s="2" t="s">
        <v>541</v>
      </c>
      <c r="K4391" s="2" t="s">
        <v>542</v>
      </c>
      <c r="L4391" s="2">
        <v>10</v>
      </c>
      <c r="M4391" s="2" t="s">
        <v>552</v>
      </c>
      <c r="O4391" s="2" t="s">
        <v>524</v>
      </c>
      <c r="Y4391" s="2" t="s">
        <v>746</v>
      </c>
    </row>
    <row r="4392" spans="1:34" x14ac:dyDescent="0.25">
      <c r="A4392" s="2" t="s">
        <v>335</v>
      </c>
      <c r="B4392" s="2" t="s">
        <v>540</v>
      </c>
      <c r="C4392" s="2" t="s">
        <v>408</v>
      </c>
      <c r="D4392" s="2" t="s">
        <v>410</v>
      </c>
      <c r="E4392" s="2" t="s">
        <v>413</v>
      </c>
      <c r="F4392" s="2" t="s">
        <v>40</v>
      </c>
      <c r="J4392" s="2" t="s">
        <v>541</v>
      </c>
      <c r="K4392" s="2" t="s">
        <v>542</v>
      </c>
      <c r="L4392" s="2">
        <v>11</v>
      </c>
      <c r="M4392" s="2" t="s">
        <v>553</v>
      </c>
      <c r="O4392" s="2" t="s">
        <v>524</v>
      </c>
      <c r="Y4392" s="2" t="s">
        <v>746</v>
      </c>
    </row>
    <row r="4393" spans="1:34" x14ac:dyDescent="0.25">
      <c r="A4393" s="2" t="s">
        <v>335</v>
      </c>
      <c r="B4393" s="2" t="s">
        <v>540</v>
      </c>
      <c r="C4393" s="2" t="s">
        <v>408</v>
      </c>
      <c r="D4393" s="2" t="s">
        <v>410</v>
      </c>
      <c r="E4393" s="2" t="s">
        <v>413</v>
      </c>
      <c r="F4393" s="2" t="s">
        <v>40</v>
      </c>
      <c r="J4393" s="2" t="s">
        <v>541</v>
      </c>
      <c r="K4393" s="2" t="s">
        <v>542</v>
      </c>
      <c r="L4393" s="2">
        <v>12</v>
      </c>
      <c r="M4393" s="2" t="s">
        <v>554</v>
      </c>
      <c r="O4393" s="2" t="s">
        <v>524</v>
      </c>
      <c r="Y4393" s="2" t="s">
        <v>746</v>
      </c>
    </row>
    <row r="4394" spans="1:34" x14ac:dyDescent="0.25">
      <c r="A4394" s="2" t="s">
        <v>335</v>
      </c>
      <c r="B4394" s="2" t="s">
        <v>555</v>
      </c>
      <c r="C4394" s="2" t="s">
        <v>408</v>
      </c>
      <c r="D4394" s="2" t="s">
        <v>410</v>
      </c>
      <c r="E4394" s="2" t="s">
        <v>413</v>
      </c>
      <c r="F4394" s="2" t="s">
        <v>40</v>
      </c>
      <c r="J4394" s="2" t="s">
        <v>556</v>
      </c>
      <c r="O4394" s="2" t="s">
        <v>524</v>
      </c>
      <c r="Y4394" s="2" t="s">
        <v>746</v>
      </c>
      <c r="AB4394" s="2">
        <v>2</v>
      </c>
    </row>
    <row r="4395" spans="1:34" x14ac:dyDescent="0.25">
      <c r="A4395" s="2" t="s">
        <v>335</v>
      </c>
      <c r="B4395" s="2" t="s">
        <v>557</v>
      </c>
      <c r="C4395" s="2" t="s">
        <v>408</v>
      </c>
      <c r="D4395" s="2" t="s">
        <v>410</v>
      </c>
      <c r="E4395" s="2" t="s">
        <v>413</v>
      </c>
      <c r="F4395" s="2" t="s">
        <v>40</v>
      </c>
      <c r="J4395" s="2" t="s">
        <v>558</v>
      </c>
      <c r="O4395" s="2" t="s">
        <v>524</v>
      </c>
      <c r="Y4395" s="2" t="s">
        <v>746</v>
      </c>
      <c r="AC4395" s="2">
        <f>COUNTIFS($B:$B,"BLOCK_LOAD_Q",$A:$A,$A4395,$C:$C,$C4395,$E:$E,$E4395,$F:$F,$F4395,$N:$N, "&lt;&gt;")</f>
        <v>0</v>
      </c>
      <c r="AD4395" s="2">
        <f>COUNTIFS($B:$B,"BLOCK_TRUST_Q",$A:$A,$A4395,$C:$C,$C4395,$E:$E,$E4395,$F:$F,$F4395,$N:$N, "&lt;&gt;")</f>
        <v>0</v>
      </c>
      <c r="AE4395" s="2" t="str">
        <f>IFERROR(AVERAGEIFS($P:$P,$B:$B,"BLOCK_LOAD_Q",$A:$A,$A4395,$C:$C,$C4395,$E:$E,$E4395,$F:$F,$F4395,$P:$P,"&gt;0"),"")</f>
        <v/>
      </c>
      <c r="AF4395" s="2" t="str">
        <f>IFERROR(AVERAGEIFS($P:$P,$B:$B,"BLOCK_TRUST_Q",$A:$A,$A4395,$C:$C,$C4395,$E:$E,$E4395,$F:$F,$F4395,$P:$P,"&gt;0"),"")</f>
        <v/>
      </c>
      <c r="AG4395" s="2">
        <f>5-AC4395</f>
        <v>5</v>
      </c>
      <c r="AH4395" s="2">
        <f>12-AD4395</f>
        <v>12</v>
      </c>
    </row>
    <row r="4396" spans="1:34" x14ac:dyDescent="0.25">
      <c r="A4396" s="2" t="s">
        <v>335</v>
      </c>
      <c r="B4396" s="2" t="s">
        <v>402</v>
      </c>
      <c r="C4396" s="2" t="s">
        <v>408</v>
      </c>
      <c r="D4396" s="2" t="s">
        <v>410</v>
      </c>
      <c r="E4396" s="2" t="s">
        <v>414</v>
      </c>
      <c r="F4396" s="2" t="s">
        <v>39</v>
      </c>
      <c r="G4396" s="2" t="s">
        <v>415</v>
      </c>
      <c r="H4396" s="2" t="s">
        <v>373</v>
      </c>
      <c r="S4396" s="2" t="s">
        <v>60</v>
      </c>
      <c r="U4396" s="2" t="s">
        <v>60</v>
      </c>
      <c r="W4396" s="2" t="s">
        <v>60</v>
      </c>
    </row>
    <row r="4397" spans="1:34" x14ac:dyDescent="0.25">
      <c r="A4397" s="2" t="s">
        <v>335</v>
      </c>
      <c r="B4397" s="2" t="s">
        <v>402</v>
      </c>
      <c r="C4397" s="2" t="s">
        <v>408</v>
      </c>
      <c r="D4397" s="2" t="s">
        <v>410</v>
      </c>
      <c r="E4397" s="2" t="s">
        <v>414</v>
      </c>
      <c r="F4397" s="2" t="s">
        <v>39</v>
      </c>
      <c r="G4397" s="2" t="s">
        <v>416</v>
      </c>
      <c r="H4397" s="2" t="s">
        <v>528</v>
      </c>
      <c r="S4397" s="2" t="s">
        <v>60</v>
      </c>
      <c r="U4397" s="2" t="s">
        <v>59</v>
      </c>
      <c r="W4397" s="2" t="s">
        <v>59</v>
      </c>
    </row>
    <row r="4398" spans="1:34" x14ac:dyDescent="0.25">
      <c r="A4398" s="2" t="s">
        <v>335</v>
      </c>
      <c r="B4398" s="2" t="s">
        <v>402</v>
      </c>
      <c r="C4398" s="2" t="s">
        <v>408</v>
      </c>
      <c r="D4398" s="2" t="s">
        <v>410</v>
      </c>
      <c r="E4398" s="2" t="s">
        <v>414</v>
      </c>
      <c r="F4398" s="2" t="s">
        <v>39</v>
      </c>
      <c r="G4398" s="2" t="s">
        <v>417</v>
      </c>
      <c r="H4398" s="2" t="s">
        <v>529</v>
      </c>
      <c r="S4398" s="2" t="s">
        <v>57</v>
      </c>
      <c r="U4398" s="2" t="s">
        <v>59</v>
      </c>
      <c r="W4398" s="2" t="s">
        <v>60</v>
      </c>
    </row>
    <row r="4399" spans="1:34" x14ac:dyDescent="0.25">
      <c r="A4399" s="2" t="s">
        <v>335</v>
      </c>
      <c r="B4399" s="2" t="s">
        <v>402</v>
      </c>
      <c r="C4399" s="2" t="s">
        <v>408</v>
      </c>
      <c r="D4399" s="2" t="s">
        <v>410</v>
      </c>
      <c r="E4399" s="2" t="s">
        <v>414</v>
      </c>
      <c r="F4399" s="2" t="s">
        <v>39</v>
      </c>
      <c r="G4399" s="2" t="s">
        <v>418</v>
      </c>
      <c r="H4399" s="2" t="s">
        <v>347</v>
      </c>
      <c r="S4399" s="2" t="s">
        <v>60</v>
      </c>
      <c r="U4399" s="2" t="s">
        <v>57</v>
      </c>
      <c r="W4399" s="2" t="s">
        <v>59</v>
      </c>
    </row>
    <row r="4400" spans="1:34" x14ac:dyDescent="0.25">
      <c r="A4400" s="2" t="s">
        <v>335</v>
      </c>
      <c r="B4400" s="2" t="s">
        <v>402</v>
      </c>
      <c r="C4400" s="2" t="s">
        <v>408</v>
      </c>
      <c r="D4400" s="2" t="s">
        <v>410</v>
      </c>
      <c r="E4400" s="2" t="s">
        <v>414</v>
      </c>
      <c r="F4400" s="2" t="s">
        <v>39</v>
      </c>
      <c r="G4400" s="2" t="s">
        <v>419</v>
      </c>
      <c r="H4400" s="2" t="s">
        <v>530</v>
      </c>
      <c r="S4400" s="2" t="s">
        <v>57</v>
      </c>
      <c r="U4400" s="2" t="s">
        <v>60</v>
      </c>
      <c r="W4400" s="2" t="s">
        <v>58</v>
      </c>
    </row>
    <row r="4401" spans="1:25" x14ac:dyDescent="0.25">
      <c r="A4401" s="2" t="s">
        <v>335</v>
      </c>
      <c r="B4401" s="2" t="s">
        <v>531</v>
      </c>
      <c r="C4401" s="2" t="s">
        <v>408</v>
      </c>
      <c r="D4401" s="2" t="s">
        <v>410</v>
      </c>
      <c r="E4401" s="2" t="s">
        <v>414</v>
      </c>
      <c r="F4401" s="2" t="s">
        <v>39</v>
      </c>
      <c r="J4401" s="2" t="s">
        <v>532</v>
      </c>
      <c r="K4401" s="2" t="s">
        <v>533</v>
      </c>
      <c r="L4401" s="2">
        <v>1</v>
      </c>
      <c r="M4401" s="2" t="s">
        <v>534</v>
      </c>
      <c r="O4401" s="2" t="s">
        <v>524</v>
      </c>
      <c r="Y4401" s="2" t="s">
        <v>747</v>
      </c>
    </row>
    <row r="4402" spans="1:25" x14ac:dyDescent="0.25">
      <c r="A4402" s="2" t="s">
        <v>335</v>
      </c>
      <c r="B4402" s="2" t="s">
        <v>531</v>
      </c>
      <c r="C4402" s="2" t="s">
        <v>408</v>
      </c>
      <c r="D4402" s="2" t="s">
        <v>410</v>
      </c>
      <c r="E4402" s="2" t="s">
        <v>414</v>
      </c>
      <c r="F4402" s="2" t="s">
        <v>39</v>
      </c>
      <c r="J4402" s="2" t="s">
        <v>532</v>
      </c>
      <c r="K4402" s="2" t="s">
        <v>533</v>
      </c>
      <c r="L4402" s="2">
        <v>2</v>
      </c>
      <c r="M4402" s="2" t="s">
        <v>536</v>
      </c>
      <c r="O4402" s="2" t="s">
        <v>524</v>
      </c>
      <c r="Y4402" s="2" t="s">
        <v>747</v>
      </c>
    </row>
    <row r="4403" spans="1:25" x14ac:dyDescent="0.25">
      <c r="A4403" s="2" t="s">
        <v>335</v>
      </c>
      <c r="B4403" s="2" t="s">
        <v>531</v>
      </c>
      <c r="C4403" s="2" t="s">
        <v>408</v>
      </c>
      <c r="D4403" s="2" t="s">
        <v>410</v>
      </c>
      <c r="E4403" s="2" t="s">
        <v>414</v>
      </c>
      <c r="F4403" s="2" t="s">
        <v>39</v>
      </c>
      <c r="J4403" s="2" t="s">
        <v>532</v>
      </c>
      <c r="K4403" s="2" t="s">
        <v>533</v>
      </c>
      <c r="L4403" s="2">
        <v>3</v>
      </c>
      <c r="M4403" s="2" t="s">
        <v>537</v>
      </c>
      <c r="O4403" s="2" t="s">
        <v>524</v>
      </c>
      <c r="Y4403" s="2" t="s">
        <v>747</v>
      </c>
    </row>
    <row r="4404" spans="1:25" x14ac:dyDescent="0.25">
      <c r="A4404" s="2" t="s">
        <v>335</v>
      </c>
      <c r="B4404" s="2" t="s">
        <v>531</v>
      </c>
      <c r="C4404" s="2" t="s">
        <v>408</v>
      </c>
      <c r="D4404" s="2" t="s">
        <v>410</v>
      </c>
      <c r="E4404" s="2" t="s">
        <v>414</v>
      </c>
      <c r="F4404" s="2" t="s">
        <v>39</v>
      </c>
      <c r="J4404" s="2" t="s">
        <v>532</v>
      </c>
      <c r="K4404" s="2" t="s">
        <v>533</v>
      </c>
      <c r="L4404" s="2">
        <v>4</v>
      </c>
      <c r="M4404" s="2" t="s">
        <v>538</v>
      </c>
      <c r="O4404" s="2" t="s">
        <v>524</v>
      </c>
      <c r="Y4404" s="2" t="s">
        <v>747</v>
      </c>
    </row>
    <row r="4405" spans="1:25" x14ac:dyDescent="0.25">
      <c r="A4405" s="2" t="s">
        <v>335</v>
      </c>
      <c r="B4405" s="2" t="s">
        <v>531</v>
      </c>
      <c r="C4405" s="2" t="s">
        <v>408</v>
      </c>
      <c r="D4405" s="2" t="s">
        <v>410</v>
      </c>
      <c r="E4405" s="2" t="s">
        <v>414</v>
      </c>
      <c r="F4405" s="2" t="s">
        <v>39</v>
      </c>
      <c r="J4405" s="2" t="s">
        <v>532</v>
      </c>
      <c r="K4405" s="2" t="s">
        <v>533</v>
      </c>
      <c r="L4405" s="2">
        <v>5</v>
      </c>
      <c r="M4405" s="2" t="s">
        <v>539</v>
      </c>
      <c r="O4405" s="2" t="s">
        <v>524</v>
      </c>
      <c r="Y4405" s="2" t="s">
        <v>747</v>
      </c>
    </row>
    <row r="4406" spans="1:25" x14ac:dyDescent="0.25">
      <c r="A4406" s="2" t="s">
        <v>335</v>
      </c>
      <c r="B4406" s="2" t="s">
        <v>540</v>
      </c>
      <c r="C4406" s="2" t="s">
        <v>408</v>
      </c>
      <c r="D4406" s="2" t="s">
        <v>410</v>
      </c>
      <c r="E4406" s="2" t="s">
        <v>414</v>
      </c>
      <c r="F4406" s="2" t="s">
        <v>39</v>
      </c>
      <c r="J4406" s="2" t="s">
        <v>541</v>
      </c>
      <c r="K4406" s="2" t="s">
        <v>542</v>
      </c>
      <c r="L4406" s="2">
        <v>1</v>
      </c>
      <c r="M4406" s="2" t="s">
        <v>543</v>
      </c>
      <c r="O4406" s="2" t="s">
        <v>524</v>
      </c>
      <c r="Y4406" s="2" t="s">
        <v>747</v>
      </c>
    </row>
    <row r="4407" spans="1:25" x14ac:dyDescent="0.25">
      <c r="A4407" s="2" t="s">
        <v>335</v>
      </c>
      <c r="B4407" s="2" t="s">
        <v>540</v>
      </c>
      <c r="C4407" s="2" t="s">
        <v>408</v>
      </c>
      <c r="D4407" s="2" t="s">
        <v>410</v>
      </c>
      <c r="E4407" s="2" t="s">
        <v>414</v>
      </c>
      <c r="F4407" s="2" t="s">
        <v>39</v>
      </c>
      <c r="J4407" s="2" t="s">
        <v>541</v>
      </c>
      <c r="K4407" s="2" t="s">
        <v>542</v>
      </c>
      <c r="L4407" s="2">
        <v>2</v>
      </c>
      <c r="M4407" s="2" t="s">
        <v>544</v>
      </c>
      <c r="O4407" s="2" t="s">
        <v>524</v>
      </c>
      <c r="Y4407" s="2" t="s">
        <v>747</v>
      </c>
    </row>
    <row r="4408" spans="1:25" x14ac:dyDescent="0.25">
      <c r="A4408" s="2" t="s">
        <v>335</v>
      </c>
      <c r="B4408" s="2" t="s">
        <v>540</v>
      </c>
      <c r="C4408" s="2" t="s">
        <v>408</v>
      </c>
      <c r="D4408" s="2" t="s">
        <v>410</v>
      </c>
      <c r="E4408" s="2" t="s">
        <v>414</v>
      </c>
      <c r="F4408" s="2" t="s">
        <v>39</v>
      </c>
      <c r="J4408" s="2" t="s">
        <v>541</v>
      </c>
      <c r="K4408" s="2" t="s">
        <v>542</v>
      </c>
      <c r="L4408" s="2">
        <v>3</v>
      </c>
      <c r="M4408" s="2" t="s">
        <v>545</v>
      </c>
      <c r="O4408" s="2" t="s">
        <v>524</v>
      </c>
      <c r="Y4408" s="2" t="s">
        <v>747</v>
      </c>
    </row>
    <row r="4409" spans="1:25" x14ac:dyDescent="0.25">
      <c r="A4409" s="2" t="s">
        <v>335</v>
      </c>
      <c r="B4409" s="2" t="s">
        <v>540</v>
      </c>
      <c r="C4409" s="2" t="s">
        <v>408</v>
      </c>
      <c r="D4409" s="2" t="s">
        <v>410</v>
      </c>
      <c r="E4409" s="2" t="s">
        <v>414</v>
      </c>
      <c r="F4409" s="2" t="s">
        <v>39</v>
      </c>
      <c r="J4409" s="2" t="s">
        <v>541</v>
      </c>
      <c r="K4409" s="2" t="s">
        <v>542</v>
      </c>
      <c r="L4409" s="2">
        <v>4</v>
      </c>
      <c r="M4409" s="2" t="s">
        <v>546</v>
      </c>
      <c r="O4409" s="2" t="s">
        <v>524</v>
      </c>
      <c r="Y4409" s="2" t="s">
        <v>747</v>
      </c>
    </row>
    <row r="4410" spans="1:25" x14ac:dyDescent="0.25">
      <c r="A4410" s="2" t="s">
        <v>335</v>
      </c>
      <c r="B4410" s="2" t="s">
        <v>540</v>
      </c>
      <c r="C4410" s="2" t="s">
        <v>408</v>
      </c>
      <c r="D4410" s="2" t="s">
        <v>410</v>
      </c>
      <c r="E4410" s="2" t="s">
        <v>414</v>
      </c>
      <c r="F4410" s="2" t="s">
        <v>39</v>
      </c>
      <c r="J4410" s="2" t="s">
        <v>541</v>
      </c>
      <c r="K4410" s="2" t="s">
        <v>542</v>
      </c>
      <c r="L4410" s="2">
        <v>5</v>
      </c>
      <c r="M4410" s="2" t="s">
        <v>547</v>
      </c>
      <c r="O4410" s="2" t="s">
        <v>524</v>
      </c>
      <c r="Y4410" s="2" t="s">
        <v>747</v>
      </c>
    </row>
    <row r="4411" spans="1:25" x14ac:dyDescent="0.25">
      <c r="A4411" s="2" t="s">
        <v>335</v>
      </c>
      <c r="B4411" s="2" t="s">
        <v>540</v>
      </c>
      <c r="C4411" s="2" t="s">
        <v>408</v>
      </c>
      <c r="D4411" s="2" t="s">
        <v>410</v>
      </c>
      <c r="E4411" s="2" t="s">
        <v>414</v>
      </c>
      <c r="F4411" s="2" t="s">
        <v>39</v>
      </c>
      <c r="J4411" s="2" t="s">
        <v>541</v>
      </c>
      <c r="K4411" s="2" t="s">
        <v>542</v>
      </c>
      <c r="L4411" s="2">
        <v>6</v>
      </c>
      <c r="M4411" s="2" t="s">
        <v>548</v>
      </c>
      <c r="O4411" s="2" t="s">
        <v>524</v>
      </c>
      <c r="Y4411" s="2" t="s">
        <v>747</v>
      </c>
    </row>
    <row r="4412" spans="1:25" x14ac:dyDescent="0.25">
      <c r="A4412" s="2" t="s">
        <v>335</v>
      </c>
      <c r="B4412" s="2" t="s">
        <v>540</v>
      </c>
      <c r="C4412" s="2" t="s">
        <v>408</v>
      </c>
      <c r="D4412" s="2" t="s">
        <v>410</v>
      </c>
      <c r="E4412" s="2" t="s">
        <v>414</v>
      </c>
      <c r="F4412" s="2" t="s">
        <v>39</v>
      </c>
      <c r="J4412" s="2" t="s">
        <v>541</v>
      </c>
      <c r="K4412" s="2" t="s">
        <v>542</v>
      </c>
      <c r="L4412" s="2">
        <v>7</v>
      </c>
      <c r="M4412" s="2" t="s">
        <v>549</v>
      </c>
      <c r="O4412" s="2" t="s">
        <v>524</v>
      </c>
      <c r="Y4412" s="2" t="s">
        <v>747</v>
      </c>
    </row>
    <row r="4413" spans="1:25" x14ac:dyDescent="0.25">
      <c r="A4413" s="2" t="s">
        <v>335</v>
      </c>
      <c r="B4413" s="2" t="s">
        <v>540</v>
      </c>
      <c r="C4413" s="2" t="s">
        <v>408</v>
      </c>
      <c r="D4413" s="2" t="s">
        <v>410</v>
      </c>
      <c r="E4413" s="2" t="s">
        <v>414</v>
      </c>
      <c r="F4413" s="2" t="s">
        <v>39</v>
      </c>
      <c r="J4413" s="2" t="s">
        <v>541</v>
      </c>
      <c r="K4413" s="2" t="s">
        <v>542</v>
      </c>
      <c r="L4413" s="2">
        <v>8</v>
      </c>
      <c r="M4413" s="2" t="s">
        <v>550</v>
      </c>
      <c r="O4413" s="2" t="s">
        <v>524</v>
      </c>
      <c r="Y4413" s="2" t="s">
        <v>747</v>
      </c>
    </row>
    <row r="4414" spans="1:25" x14ac:dyDescent="0.25">
      <c r="A4414" s="2" t="s">
        <v>335</v>
      </c>
      <c r="B4414" s="2" t="s">
        <v>540</v>
      </c>
      <c r="C4414" s="2" t="s">
        <v>408</v>
      </c>
      <c r="D4414" s="2" t="s">
        <v>410</v>
      </c>
      <c r="E4414" s="2" t="s">
        <v>414</v>
      </c>
      <c r="F4414" s="2" t="s">
        <v>39</v>
      </c>
      <c r="J4414" s="2" t="s">
        <v>541</v>
      </c>
      <c r="K4414" s="2" t="s">
        <v>542</v>
      </c>
      <c r="L4414" s="2">
        <v>9</v>
      </c>
      <c r="M4414" s="2" t="s">
        <v>551</v>
      </c>
      <c r="O4414" s="2" t="s">
        <v>524</v>
      </c>
      <c r="Y4414" s="2" t="s">
        <v>747</v>
      </c>
    </row>
    <row r="4415" spans="1:25" x14ac:dyDescent="0.25">
      <c r="A4415" s="2" t="s">
        <v>335</v>
      </c>
      <c r="B4415" s="2" t="s">
        <v>540</v>
      </c>
      <c r="C4415" s="2" t="s">
        <v>408</v>
      </c>
      <c r="D4415" s="2" t="s">
        <v>410</v>
      </c>
      <c r="E4415" s="2" t="s">
        <v>414</v>
      </c>
      <c r="F4415" s="2" t="s">
        <v>39</v>
      </c>
      <c r="J4415" s="2" t="s">
        <v>541</v>
      </c>
      <c r="K4415" s="2" t="s">
        <v>542</v>
      </c>
      <c r="L4415" s="2">
        <v>10</v>
      </c>
      <c r="M4415" s="2" t="s">
        <v>552</v>
      </c>
      <c r="O4415" s="2" t="s">
        <v>524</v>
      </c>
      <c r="Y4415" s="2" t="s">
        <v>747</v>
      </c>
    </row>
    <row r="4416" spans="1:25" x14ac:dyDescent="0.25">
      <c r="A4416" s="2" t="s">
        <v>335</v>
      </c>
      <c r="B4416" s="2" t="s">
        <v>540</v>
      </c>
      <c r="C4416" s="2" t="s">
        <v>408</v>
      </c>
      <c r="D4416" s="2" t="s">
        <v>410</v>
      </c>
      <c r="E4416" s="2" t="s">
        <v>414</v>
      </c>
      <c r="F4416" s="2" t="s">
        <v>39</v>
      </c>
      <c r="J4416" s="2" t="s">
        <v>541</v>
      </c>
      <c r="K4416" s="2" t="s">
        <v>542</v>
      </c>
      <c r="L4416" s="2">
        <v>11</v>
      </c>
      <c r="M4416" s="2" t="s">
        <v>553</v>
      </c>
      <c r="O4416" s="2" t="s">
        <v>524</v>
      </c>
      <c r="Y4416" s="2" t="s">
        <v>747</v>
      </c>
    </row>
    <row r="4417" spans="1:34" x14ac:dyDescent="0.25">
      <c r="A4417" s="2" t="s">
        <v>335</v>
      </c>
      <c r="B4417" s="2" t="s">
        <v>540</v>
      </c>
      <c r="C4417" s="2" t="s">
        <v>408</v>
      </c>
      <c r="D4417" s="2" t="s">
        <v>410</v>
      </c>
      <c r="E4417" s="2" t="s">
        <v>414</v>
      </c>
      <c r="F4417" s="2" t="s">
        <v>39</v>
      </c>
      <c r="J4417" s="2" t="s">
        <v>541</v>
      </c>
      <c r="K4417" s="2" t="s">
        <v>542</v>
      </c>
      <c r="L4417" s="2">
        <v>12</v>
      </c>
      <c r="M4417" s="2" t="s">
        <v>554</v>
      </c>
      <c r="O4417" s="2" t="s">
        <v>524</v>
      </c>
      <c r="Y4417" s="2" t="s">
        <v>747</v>
      </c>
    </row>
    <row r="4418" spans="1:34" x14ac:dyDescent="0.25">
      <c r="A4418" s="2" t="s">
        <v>335</v>
      </c>
      <c r="B4418" s="2" t="s">
        <v>555</v>
      </c>
      <c r="C4418" s="2" t="s">
        <v>408</v>
      </c>
      <c r="D4418" s="2" t="s">
        <v>410</v>
      </c>
      <c r="E4418" s="2" t="s">
        <v>414</v>
      </c>
      <c r="F4418" s="2" t="s">
        <v>39</v>
      </c>
      <c r="J4418" s="2" t="s">
        <v>556</v>
      </c>
      <c r="O4418" s="2" t="s">
        <v>524</v>
      </c>
      <c r="Y4418" s="2" t="s">
        <v>747</v>
      </c>
      <c r="AB4418" s="2">
        <v>1</v>
      </c>
    </row>
    <row r="4419" spans="1:34" x14ac:dyDescent="0.25">
      <c r="A4419" s="2" t="s">
        <v>335</v>
      </c>
      <c r="B4419" s="2" t="s">
        <v>557</v>
      </c>
      <c r="C4419" s="2" t="s">
        <v>408</v>
      </c>
      <c r="D4419" s="2" t="s">
        <v>410</v>
      </c>
      <c r="E4419" s="2" t="s">
        <v>414</v>
      </c>
      <c r="F4419" s="2" t="s">
        <v>39</v>
      </c>
      <c r="J4419" s="2" t="s">
        <v>558</v>
      </c>
      <c r="O4419" s="2" t="s">
        <v>524</v>
      </c>
      <c r="Y4419" s="2" t="s">
        <v>747</v>
      </c>
      <c r="AC4419" s="2">
        <f>COUNTIFS($B:$B,"BLOCK_LOAD_Q",$A:$A,$A4419,$C:$C,$C4419,$E:$E,$E4419,$F:$F,$F4419,$N:$N, "&lt;&gt;")</f>
        <v>0</v>
      </c>
      <c r="AD4419" s="2">
        <f>COUNTIFS($B:$B,"BLOCK_TRUST_Q",$A:$A,$A4419,$C:$C,$C4419,$E:$E,$E4419,$F:$F,$F4419,$N:$N, "&lt;&gt;")</f>
        <v>0</v>
      </c>
      <c r="AE4419" s="2" t="str">
        <f>IFERROR(AVERAGEIFS($P:$P,$B:$B,"BLOCK_LOAD_Q",$A:$A,$A4419,$C:$C,$C4419,$E:$E,$E4419,$F:$F,$F4419,$P:$P,"&gt;0"),"")</f>
        <v/>
      </c>
      <c r="AF4419" s="2" t="str">
        <f>IFERROR(AVERAGEIFS($P:$P,$B:$B,"BLOCK_TRUST_Q",$A:$A,$A4419,$C:$C,$C4419,$E:$E,$E4419,$F:$F,$F4419,$P:$P,"&gt;0"),"")</f>
        <v/>
      </c>
      <c r="AG4419" s="2">
        <f>5-AC4419</f>
        <v>5</v>
      </c>
      <c r="AH4419" s="2">
        <f>12-AD4419</f>
        <v>12</v>
      </c>
    </row>
    <row r="4420" spans="1:34" x14ac:dyDescent="0.25">
      <c r="A4420" s="2" t="s">
        <v>335</v>
      </c>
      <c r="B4420" s="2" t="s">
        <v>403</v>
      </c>
      <c r="C4420" s="2" t="s">
        <v>408</v>
      </c>
      <c r="D4420" s="2" t="s">
        <v>410</v>
      </c>
      <c r="Z4420" s="2" t="s">
        <v>508</v>
      </c>
    </row>
    <row r="4421" spans="1:34" x14ac:dyDescent="0.25">
      <c r="A4421" s="2" t="s">
        <v>335</v>
      </c>
      <c r="B4421" s="2" t="s">
        <v>402</v>
      </c>
      <c r="C4421" s="2" t="s">
        <v>409</v>
      </c>
      <c r="D4421" s="2" t="s">
        <v>411</v>
      </c>
      <c r="E4421" s="2" t="s">
        <v>413</v>
      </c>
      <c r="F4421" s="2" t="s">
        <v>40</v>
      </c>
      <c r="G4421" s="2" t="s">
        <v>415</v>
      </c>
      <c r="H4421" s="2" t="s">
        <v>357</v>
      </c>
      <c r="S4421" s="2" t="s">
        <v>59</v>
      </c>
      <c r="U4421" s="2" t="s">
        <v>60</v>
      </c>
      <c r="W4421" s="2" t="s">
        <v>57</v>
      </c>
    </row>
    <row r="4422" spans="1:34" x14ac:dyDescent="0.25">
      <c r="A4422" s="2" t="s">
        <v>335</v>
      </c>
      <c r="B4422" s="2" t="s">
        <v>402</v>
      </c>
      <c r="C4422" s="2" t="s">
        <v>409</v>
      </c>
      <c r="D4422" s="2" t="s">
        <v>411</v>
      </c>
      <c r="E4422" s="2" t="s">
        <v>413</v>
      </c>
      <c r="F4422" s="2" t="s">
        <v>40</v>
      </c>
      <c r="G4422" s="2" t="s">
        <v>416</v>
      </c>
      <c r="H4422" s="2" t="s">
        <v>348</v>
      </c>
      <c r="S4422" s="2" t="s">
        <v>58</v>
      </c>
      <c r="U4422" s="2" t="s">
        <v>59</v>
      </c>
      <c r="W4422" s="2" t="s">
        <v>59</v>
      </c>
    </row>
    <row r="4423" spans="1:34" x14ac:dyDescent="0.25">
      <c r="A4423" s="2" t="s">
        <v>335</v>
      </c>
      <c r="B4423" s="2" t="s">
        <v>402</v>
      </c>
      <c r="C4423" s="2" t="s">
        <v>409</v>
      </c>
      <c r="D4423" s="2" t="s">
        <v>411</v>
      </c>
      <c r="E4423" s="2" t="s">
        <v>413</v>
      </c>
      <c r="F4423" s="2" t="s">
        <v>40</v>
      </c>
      <c r="G4423" s="2" t="s">
        <v>417</v>
      </c>
      <c r="H4423" s="2" t="s">
        <v>562</v>
      </c>
      <c r="S4423" s="2" t="s">
        <v>59</v>
      </c>
      <c r="U4423" s="2" t="s">
        <v>57</v>
      </c>
      <c r="W4423" s="2" t="s">
        <v>57</v>
      </c>
    </row>
    <row r="4424" spans="1:34" x14ac:dyDescent="0.25">
      <c r="A4424" s="2" t="s">
        <v>335</v>
      </c>
      <c r="B4424" s="2" t="s">
        <v>402</v>
      </c>
      <c r="C4424" s="2" t="s">
        <v>409</v>
      </c>
      <c r="D4424" s="2" t="s">
        <v>411</v>
      </c>
      <c r="E4424" s="2" t="s">
        <v>413</v>
      </c>
      <c r="F4424" s="2" t="s">
        <v>40</v>
      </c>
      <c r="G4424" s="2" t="s">
        <v>418</v>
      </c>
      <c r="H4424" s="2" t="s">
        <v>563</v>
      </c>
      <c r="S4424" s="2" t="s">
        <v>57</v>
      </c>
      <c r="U4424" s="2" t="s">
        <v>60</v>
      </c>
      <c r="W4424" s="2" t="s">
        <v>60</v>
      </c>
    </row>
    <row r="4425" spans="1:34" x14ac:dyDescent="0.25">
      <c r="A4425" s="2" t="s">
        <v>335</v>
      </c>
      <c r="B4425" s="2" t="s">
        <v>531</v>
      </c>
      <c r="C4425" s="2" t="s">
        <v>409</v>
      </c>
      <c r="D4425" s="2" t="s">
        <v>411</v>
      </c>
      <c r="E4425" s="2" t="s">
        <v>413</v>
      </c>
      <c r="F4425" s="2" t="s">
        <v>40</v>
      </c>
      <c r="J4425" s="2" t="s">
        <v>532</v>
      </c>
      <c r="K4425" s="2" t="s">
        <v>533</v>
      </c>
      <c r="L4425" s="2">
        <v>1</v>
      </c>
      <c r="M4425" s="2" t="s">
        <v>534</v>
      </c>
      <c r="O4425" s="2" t="s">
        <v>524</v>
      </c>
      <c r="Y4425" s="2" t="s">
        <v>748</v>
      </c>
    </row>
    <row r="4426" spans="1:34" x14ac:dyDescent="0.25">
      <c r="A4426" s="2" t="s">
        <v>335</v>
      </c>
      <c r="B4426" s="2" t="s">
        <v>531</v>
      </c>
      <c r="C4426" s="2" t="s">
        <v>409</v>
      </c>
      <c r="D4426" s="2" t="s">
        <v>411</v>
      </c>
      <c r="E4426" s="2" t="s">
        <v>413</v>
      </c>
      <c r="F4426" s="2" t="s">
        <v>40</v>
      </c>
      <c r="J4426" s="2" t="s">
        <v>532</v>
      </c>
      <c r="K4426" s="2" t="s">
        <v>533</v>
      </c>
      <c r="L4426" s="2">
        <v>2</v>
      </c>
      <c r="M4426" s="2" t="s">
        <v>536</v>
      </c>
      <c r="O4426" s="2" t="s">
        <v>524</v>
      </c>
      <c r="Y4426" s="2" t="s">
        <v>748</v>
      </c>
    </row>
    <row r="4427" spans="1:34" x14ac:dyDescent="0.25">
      <c r="A4427" s="2" t="s">
        <v>335</v>
      </c>
      <c r="B4427" s="2" t="s">
        <v>531</v>
      </c>
      <c r="C4427" s="2" t="s">
        <v>409</v>
      </c>
      <c r="D4427" s="2" t="s">
        <v>411</v>
      </c>
      <c r="E4427" s="2" t="s">
        <v>413</v>
      </c>
      <c r="F4427" s="2" t="s">
        <v>40</v>
      </c>
      <c r="J4427" s="2" t="s">
        <v>532</v>
      </c>
      <c r="K4427" s="2" t="s">
        <v>533</v>
      </c>
      <c r="L4427" s="2">
        <v>3</v>
      </c>
      <c r="M4427" s="2" t="s">
        <v>537</v>
      </c>
      <c r="O4427" s="2" t="s">
        <v>524</v>
      </c>
      <c r="Y4427" s="2" t="s">
        <v>748</v>
      </c>
    </row>
    <row r="4428" spans="1:34" x14ac:dyDescent="0.25">
      <c r="A4428" s="2" t="s">
        <v>335</v>
      </c>
      <c r="B4428" s="2" t="s">
        <v>531</v>
      </c>
      <c r="C4428" s="2" t="s">
        <v>409</v>
      </c>
      <c r="D4428" s="2" t="s">
        <v>411</v>
      </c>
      <c r="E4428" s="2" t="s">
        <v>413</v>
      </c>
      <c r="F4428" s="2" t="s">
        <v>40</v>
      </c>
      <c r="J4428" s="2" t="s">
        <v>532</v>
      </c>
      <c r="K4428" s="2" t="s">
        <v>533</v>
      </c>
      <c r="L4428" s="2">
        <v>4</v>
      </c>
      <c r="M4428" s="2" t="s">
        <v>538</v>
      </c>
      <c r="O4428" s="2" t="s">
        <v>524</v>
      </c>
      <c r="Y4428" s="2" t="s">
        <v>748</v>
      </c>
    </row>
    <row r="4429" spans="1:34" x14ac:dyDescent="0.25">
      <c r="A4429" s="2" t="s">
        <v>335</v>
      </c>
      <c r="B4429" s="2" t="s">
        <v>531</v>
      </c>
      <c r="C4429" s="2" t="s">
        <v>409</v>
      </c>
      <c r="D4429" s="2" t="s">
        <v>411</v>
      </c>
      <c r="E4429" s="2" t="s">
        <v>413</v>
      </c>
      <c r="F4429" s="2" t="s">
        <v>40</v>
      </c>
      <c r="J4429" s="2" t="s">
        <v>532</v>
      </c>
      <c r="K4429" s="2" t="s">
        <v>533</v>
      </c>
      <c r="L4429" s="2">
        <v>5</v>
      </c>
      <c r="M4429" s="2" t="s">
        <v>539</v>
      </c>
      <c r="O4429" s="2" t="s">
        <v>524</v>
      </c>
      <c r="Y4429" s="2" t="s">
        <v>748</v>
      </c>
    </row>
    <row r="4430" spans="1:34" x14ac:dyDescent="0.25">
      <c r="A4430" s="2" t="s">
        <v>335</v>
      </c>
      <c r="B4430" s="2" t="s">
        <v>540</v>
      </c>
      <c r="C4430" s="2" t="s">
        <v>409</v>
      </c>
      <c r="D4430" s="2" t="s">
        <v>411</v>
      </c>
      <c r="E4430" s="2" t="s">
        <v>413</v>
      </c>
      <c r="F4430" s="2" t="s">
        <v>40</v>
      </c>
      <c r="J4430" s="2" t="s">
        <v>541</v>
      </c>
      <c r="K4430" s="2" t="s">
        <v>542</v>
      </c>
      <c r="L4430" s="2">
        <v>1</v>
      </c>
      <c r="M4430" s="2" t="s">
        <v>543</v>
      </c>
      <c r="O4430" s="2" t="s">
        <v>524</v>
      </c>
      <c r="Y4430" s="2" t="s">
        <v>748</v>
      </c>
    </row>
    <row r="4431" spans="1:34" x14ac:dyDescent="0.25">
      <c r="A4431" s="2" t="s">
        <v>335</v>
      </c>
      <c r="B4431" s="2" t="s">
        <v>540</v>
      </c>
      <c r="C4431" s="2" t="s">
        <v>409</v>
      </c>
      <c r="D4431" s="2" t="s">
        <v>411</v>
      </c>
      <c r="E4431" s="2" t="s">
        <v>413</v>
      </c>
      <c r="F4431" s="2" t="s">
        <v>40</v>
      </c>
      <c r="J4431" s="2" t="s">
        <v>541</v>
      </c>
      <c r="K4431" s="2" t="s">
        <v>542</v>
      </c>
      <c r="L4431" s="2">
        <v>2</v>
      </c>
      <c r="M4431" s="2" t="s">
        <v>544</v>
      </c>
      <c r="O4431" s="2" t="s">
        <v>524</v>
      </c>
      <c r="Y4431" s="2" t="s">
        <v>748</v>
      </c>
    </row>
    <row r="4432" spans="1:34" x14ac:dyDescent="0.25">
      <c r="A4432" s="2" t="s">
        <v>335</v>
      </c>
      <c r="B4432" s="2" t="s">
        <v>540</v>
      </c>
      <c r="C4432" s="2" t="s">
        <v>409</v>
      </c>
      <c r="D4432" s="2" t="s">
        <v>411</v>
      </c>
      <c r="E4432" s="2" t="s">
        <v>413</v>
      </c>
      <c r="F4432" s="2" t="s">
        <v>40</v>
      </c>
      <c r="J4432" s="2" t="s">
        <v>541</v>
      </c>
      <c r="K4432" s="2" t="s">
        <v>542</v>
      </c>
      <c r="L4432" s="2">
        <v>3</v>
      </c>
      <c r="M4432" s="2" t="s">
        <v>545</v>
      </c>
      <c r="O4432" s="2" t="s">
        <v>524</v>
      </c>
      <c r="Y4432" s="2" t="s">
        <v>748</v>
      </c>
    </row>
    <row r="4433" spans="1:34" x14ac:dyDescent="0.25">
      <c r="A4433" s="2" t="s">
        <v>335</v>
      </c>
      <c r="B4433" s="2" t="s">
        <v>540</v>
      </c>
      <c r="C4433" s="2" t="s">
        <v>409</v>
      </c>
      <c r="D4433" s="2" t="s">
        <v>411</v>
      </c>
      <c r="E4433" s="2" t="s">
        <v>413</v>
      </c>
      <c r="F4433" s="2" t="s">
        <v>40</v>
      </c>
      <c r="J4433" s="2" t="s">
        <v>541</v>
      </c>
      <c r="K4433" s="2" t="s">
        <v>542</v>
      </c>
      <c r="L4433" s="2">
        <v>4</v>
      </c>
      <c r="M4433" s="2" t="s">
        <v>546</v>
      </c>
      <c r="O4433" s="2" t="s">
        <v>524</v>
      </c>
      <c r="Y4433" s="2" t="s">
        <v>748</v>
      </c>
    </row>
    <row r="4434" spans="1:34" x14ac:dyDescent="0.25">
      <c r="A4434" s="2" t="s">
        <v>335</v>
      </c>
      <c r="B4434" s="2" t="s">
        <v>540</v>
      </c>
      <c r="C4434" s="2" t="s">
        <v>409</v>
      </c>
      <c r="D4434" s="2" t="s">
        <v>411</v>
      </c>
      <c r="E4434" s="2" t="s">
        <v>413</v>
      </c>
      <c r="F4434" s="2" t="s">
        <v>40</v>
      </c>
      <c r="J4434" s="2" t="s">
        <v>541</v>
      </c>
      <c r="K4434" s="2" t="s">
        <v>542</v>
      </c>
      <c r="L4434" s="2">
        <v>5</v>
      </c>
      <c r="M4434" s="2" t="s">
        <v>547</v>
      </c>
      <c r="O4434" s="2" t="s">
        <v>524</v>
      </c>
      <c r="Y4434" s="2" t="s">
        <v>748</v>
      </c>
    </row>
    <row r="4435" spans="1:34" x14ac:dyDescent="0.25">
      <c r="A4435" s="2" t="s">
        <v>335</v>
      </c>
      <c r="B4435" s="2" t="s">
        <v>540</v>
      </c>
      <c r="C4435" s="2" t="s">
        <v>409</v>
      </c>
      <c r="D4435" s="2" t="s">
        <v>411</v>
      </c>
      <c r="E4435" s="2" t="s">
        <v>413</v>
      </c>
      <c r="F4435" s="2" t="s">
        <v>40</v>
      </c>
      <c r="J4435" s="2" t="s">
        <v>541</v>
      </c>
      <c r="K4435" s="2" t="s">
        <v>542</v>
      </c>
      <c r="L4435" s="2">
        <v>6</v>
      </c>
      <c r="M4435" s="2" t="s">
        <v>548</v>
      </c>
      <c r="O4435" s="2" t="s">
        <v>524</v>
      </c>
      <c r="Y4435" s="2" t="s">
        <v>748</v>
      </c>
    </row>
    <row r="4436" spans="1:34" x14ac:dyDescent="0.25">
      <c r="A4436" s="2" t="s">
        <v>335</v>
      </c>
      <c r="B4436" s="2" t="s">
        <v>540</v>
      </c>
      <c r="C4436" s="2" t="s">
        <v>409</v>
      </c>
      <c r="D4436" s="2" t="s">
        <v>411</v>
      </c>
      <c r="E4436" s="2" t="s">
        <v>413</v>
      </c>
      <c r="F4436" s="2" t="s">
        <v>40</v>
      </c>
      <c r="J4436" s="2" t="s">
        <v>541</v>
      </c>
      <c r="K4436" s="2" t="s">
        <v>542</v>
      </c>
      <c r="L4436" s="2">
        <v>7</v>
      </c>
      <c r="M4436" s="2" t="s">
        <v>549</v>
      </c>
      <c r="O4436" s="2" t="s">
        <v>524</v>
      </c>
      <c r="Y4436" s="2" t="s">
        <v>748</v>
      </c>
    </row>
    <row r="4437" spans="1:34" x14ac:dyDescent="0.25">
      <c r="A4437" s="2" t="s">
        <v>335</v>
      </c>
      <c r="B4437" s="2" t="s">
        <v>540</v>
      </c>
      <c r="C4437" s="2" t="s">
        <v>409</v>
      </c>
      <c r="D4437" s="2" t="s">
        <v>411</v>
      </c>
      <c r="E4437" s="2" t="s">
        <v>413</v>
      </c>
      <c r="F4437" s="2" t="s">
        <v>40</v>
      </c>
      <c r="J4437" s="2" t="s">
        <v>541</v>
      </c>
      <c r="K4437" s="2" t="s">
        <v>542</v>
      </c>
      <c r="L4437" s="2">
        <v>8</v>
      </c>
      <c r="M4437" s="2" t="s">
        <v>550</v>
      </c>
      <c r="O4437" s="2" t="s">
        <v>524</v>
      </c>
      <c r="Y4437" s="2" t="s">
        <v>748</v>
      </c>
    </row>
    <row r="4438" spans="1:34" x14ac:dyDescent="0.25">
      <c r="A4438" s="2" t="s">
        <v>335</v>
      </c>
      <c r="B4438" s="2" t="s">
        <v>540</v>
      </c>
      <c r="C4438" s="2" t="s">
        <v>409</v>
      </c>
      <c r="D4438" s="2" t="s">
        <v>411</v>
      </c>
      <c r="E4438" s="2" t="s">
        <v>413</v>
      </c>
      <c r="F4438" s="2" t="s">
        <v>40</v>
      </c>
      <c r="J4438" s="2" t="s">
        <v>541</v>
      </c>
      <c r="K4438" s="2" t="s">
        <v>542</v>
      </c>
      <c r="L4438" s="2">
        <v>9</v>
      </c>
      <c r="M4438" s="2" t="s">
        <v>551</v>
      </c>
      <c r="O4438" s="2" t="s">
        <v>524</v>
      </c>
      <c r="Y4438" s="2" t="s">
        <v>748</v>
      </c>
    </row>
    <row r="4439" spans="1:34" x14ac:dyDescent="0.25">
      <c r="A4439" s="2" t="s">
        <v>335</v>
      </c>
      <c r="B4439" s="2" t="s">
        <v>540</v>
      </c>
      <c r="C4439" s="2" t="s">
        <v>409</v>
      </c>
      <c r="D4439" s="2" t="s">
        <v>411</v>
      </c>
      <c r="E4439" s="2" t="s">
        <v>413</v>
      </c>
      <c r="F4439" s="2" t="s">
        <v>40</v>
      </c>
      <c r="J4439" s="2" t="s">
        <v>541</v>
      </c>
      <c r="K4439" s="2" t="s">
        <v>542</v>
      </c>
      <c r="L4439" s="2">
        <v>10</v>
      </c>
      <c r="M4439" s="2" t="s">
        <v>552</v>
      </c>
      <c r="O4439" s="2" t="s">
        <v>524</v>
      </c>
      <c r="Y4439" s="2" t="s">
        <v>748</v>
      </c>
    </row>
    <row r="4440" spans="1:34" x14ac:dyDescent="0.25">
      <c r="A4440" s="2" t="s">
        <v>335</v>
      </c>
      <c r="B4440" s="2" t="s">
        <v>540</v>
      </c>
      <c r="C4440" s="2" t="s">
        <v>409</v>
      </c>
      <c r="D4440" s="2" t="s">
        <v>411</v>
      </c>
      <c r="E4440" s="2" t="s">
        <v>413</v>
      </c>
      <c r="F4440" s="2" t="s">
        <v>40</v>
      </c>
      <c r="J4440" s="2" t="s">
        <v>541</v>
      </c>
      <c r="K4440" s="2" t="s">
        <v>542</v>
      </c>
      <c r="L4440" s="2">
        <v>11</v>
      </c>
      <c r="M4440" s="2" t="s">
        <v>553</v>
      </c>
      <c r="O4440" s="2" t="s">
        <v>524</v>
      </c>
      <c r="Y4440" s="2" t="s">
        <v>748</v>
      </c>
    </row>
    <row r="4441" spans="1:34" x14ac:dyDescent="0.25">
      <c r="A4441" s="2" t="s">
        <v>335</v>
      </c>
      <c r="B4441" s="2" t="s">
        <v>540</v>
      </c>
      <c r="C4441" s="2" t="s">
        <v>409</v>
      </c>
      <c r="D4441" s="2" t="s">
        <v>411</v>
      </c>
      <c r="E4441" s="2" t="s">
        <v>413</v>
      </c>
      <c r="F4441" s="2" t="s">
        <v>40</v>
      </c>
      <c r="J4441" s="2" t="s">
        <v>541</v>
      </c>
      <c r="K4441" s="2" t="s">
        <v>542</v>
      </c>
      <c r="L4441" s="2">
        <v>12</v>
      </c>
      <c r="M4441" s="2" t="s">
        <v>554</v>
      </c>
      <c r="O4441" s="2" t="s">
        <v>524</v>
      </c>
      <c r="Y4441" s="2" t="s">
        <v>748</v>
      </c>
    </row>
    <row r="4442" spans="1:34" x14ac:dyDescent="0.25">
      <c r="A4442" s="2" t="s">
        <v>335</v>
      </c>
      <c r="B4442" s="2" t="s">
        <v>555</v>
      </c>
      <c r="C4442" s="2" t="s">
        <v>409</v>
      </c>
      <c r="D4442" s="2" t="s">
        <v>411</v>
      </c>
      <c r="E4442" s="2" t="s">
        <v>413</v>
      </c>
      <c r="F4442" s="2" t="s">
        <v>40</v>
      </c>
      <c r="J4442" s="2" t="s">
        <v>556</v>
      </c>
      <c r="O4442" s="2" t="s">
        <v>524</v>
      </c>
      <c r="Y4442" s="2" t="s">
        <v>748</v>
      </c>
      <c r="AB4442" s="2">
        <v>2</v>
      </c>
    </row>
    <row r="4443" spans="1:34" x14ac:dyDescent="0.25">
      <c r="A4443" s="2" t="s">
        <v>335</v>
      </c>
      <c r="B4443" s="2" t="s">
        <v>557</v>
      </c>
      <c r="C4443" s="2" t="s">
        <v>409</v>
      </c>
      <c r="D4443" s="2" t="s">
        <v>411</v>
      </c>
      <c r="E4443" s="2" t="s">
        <v>413</v>
      </c>
      <c r="F4443" s="2" t="s">
        <v>40</v>
      </c>
      <c r="J4443" s="2" t="s">
        <v>558</v>
      </c>
      <c r="O4443" s="2" t="s">
        <v>524</v>
      </c>
      <c r="Y4443" s="2" t="s">
        <v>748</v>
      </c>
      <c r="AC4443" s="2">
        <f>COUNTIFS($B:$B,"BLOCK_LOAD_Q",$A:$A,$A4443,$C:$C,$C4443,$E:$E,$E4443,$F:$F,$F4443,$N:$N, "&lt;&gt;")</f>
        <v>0</v>
      </c>
      <c r="AD4443" s="2">
        <f>COUNTIFS($B:$B,"BLOCK_TRUST_Q",$A:$A,$A4443,$C:$C,$C4443,$E:$E,$E4443,$F:$F,$F4443,$N:$N, "&lt;&gt;")</f>
        <v>0</v>
      </c>
      <c r="AE4443" s="2" t="str">
        <f>IFERROR(AVERAGEIFS($P:$P,$B:$B,"BLOCK_LOAD_Q",$A:$A,$A4443,$C:$C,$C4443,$E:$E,$E4443,$F:$F,$F4443,$P:$P,"&gt;0"),"")</f>
        <v/>
      </c>
      <c r="AF4443" s="2" t="str">
        <f>IFERROR(AVERAGEIFS($P:$P,$B:$B,"BLOCK_TRUST_Q",$A:$A,$A4443,$C:$C,$C4443,$E:$E,$E4443,$F:$F,$F4443,$P:$P,"&gt;0"),"")</f>
        <v/>
      </c>
      <c r="AG4443" s="2">
        <f>5-AC4443</f>
        <v>5</v>
      </c>
      <c r="AH4443" s="2">
        <f>12-AD4443</f>
        <v>12</v>
      </c>
    </row>
    <row r="4444" spans="1:34" x14ac:dyDescent="0.25">
      <c r="A4444" s="2" t="s">
        <v>335</v>
      </c>
      <c r="B4444" s="2" t="s">
        <v>402</v>
      </c>
      <c r="C4444" s="2" t="s">
        <v>409</v>
      </c>
      <c r="D4444" s="2" t="s">
        <v>411</v>
      </c>
      <c r="E4444" s="2" t="s">
        <v>414</v>
      </c>
      <c r="F4444" s="2" t="s">
        <v>39</v>
      </c>
      <c r="G4444" s="2" t="s">
        <v>415</v>
      </c>
      <c r="H4444" s="2" t="s">
        <v>349</v>
      </c>
      <c r="S4444" s="2" t="s">
        <v>58</v>
      </c>
      <c r="U4444" s="2" t="s">
        <v>60</v>
      </c>
      <c r="W4444" s="2" t="s">
        <v>58</v>
      </c>
    </row>
    <row r="4445" spans="1:34" x14ac:dyDescent="0.25">
      <c r="A4445" s="2" t="s">
        <v>335</v>
      </c>
      <c r="B4445" s="2" t="s">
        <v>402</v>
      </c>
      <c r="C4445" s="2" t="s">
        <v>409</v>
      </c>
      <c r="D4445" s="2" t="s">
        <v>411</v>
      </c>
      <c r="E4445" s="2" t="s">
        <v>414</v>
      </c>
      <c r="F4445" s="2" t="s">
        <v>39</v>
      </c>
      <c r="G4445" s="2" t="s">
        <v>416</v>
      </c>
      <c r="H4445" s="2" t="s">
        <v>565</v>
      </c>
      <c r="S4445" s="2" t="s">
        <v>59</v>
      </c>
      <c r="U4445" s="2" t="s">
        <v>60</v>
      </c>
      <c r="W4445" s="2" t="s">
        <v>60</v>
      </c>
    </row>
    <row r="4446" spans="1:34" x14ac:dyDescent="0.25">
      <c r="A4446" s="2" t="s">
        <v>335</v>
      </c>
      <c r="B4446" s="2" t="s">
        <v>402</v>
      </c>
      <c r="C4446" s="2" t="s">
        <v>409</v>
      </c>
      <c r="D4446" s="2" t="s">
        <v>411</v>
      </c>
      <c r="E4446" s="2" t="s">
        <v>414</v>
      </c>
      <c r="F4446" s="2" t="s">
        <v>39</v>
      </c>
      <c r="G4446" s="2" t="s">
        <v>417</v>
      </c>
      <c r="H4446" s="2" t="s">
        <v>361</v>
      </c>
      <c r="S4446" s="2" t="s">
        <v>60</v>
      </c>
      <c r="U4446" s="2" t="s">
        <v>60</v>
      </c>
      <c r="W4446" s="2" t="s">
        <v>60</v>
      </c>
    </row>
    <row r="4447" spans="1:34" x14ac:dyDescent="0.25">
      <c r="A4447" s="2" t="s">
        <v>335</v>
      </c>
      <c r="B4447" s="2" t="s">
        <v>402</v>
      </c>
      <c r="C4447" s="2" t="s">
        <v>409</v>
      </c>
      <c r="D4447" s="2" t="s">
        <v>411</v>
      </c>
      <c r="E4447" s="2" t="s">
        <v>414</v>
      </c>
      <c r="F4447" s="2" t="s">
        <v>39</v>
      </c>
      <c r="G4447" s="2" t="s">
        <v>418</v>
      </c>
      <c r="H4447" s="2" t="s">
        <v>353</v>
      </c>
      <c r="S4447" s="2" t="s">
        <v>58</v>
      </c>
      <c r="U4447" s="2" t="s">
        <v>59</v>
      </c>
      <c r="W4447" s="2" t="s">
        <v>58</v>
      </c>
    </row>
    <row r="4448" spans="1:34" x14ac:dyDescent="0.25">
      <c r="A4448" s="2" t="s">
        <v>335</v>
      </c>
      <c r="B4448" s="2" t="s">
        <v>402</v>
      </c>
      <c r="C4448" s="2" t="s">
        <v>409</v>
      </c>
      <c r="D4448" s="2" t="s">
        <v>411</v>
      </c>
      <c r="E4448" s="2" t="s">
        <v>414</v>
      </c>
      <c r="F4448" s="2" t="s">
        <v>39</v>
      </c>
      <c r="G4448" s="2" t="s">
        <v>419</v>
      </c>
      <c r="H4448" s="2" t="s">
        <v>371</v>
      </c>
      <c r="S4448" s="2" t="s">
        <v>60</v>
      </c>
      <c r="U4448" s="2" t="s">
        <v>59</v>
      </c>
      <c r="W4448" s="2" t="s">
        <v>57</v>
      </c>
    </row>
    <row r="4449" spans="1:25" x14ac:dyDescent="0.25">
      <c r="A4449" s="2" t="s">
        <v>335</v>
      </c>
      <c r="B4449" s="2" t="s">
        <v>531</v>
      </c>
      <c r="C4449" s="2" t="s">
        <v>409</v>
      </c>
      <c r="D4449" s="2" t="s">
        <v>411</v>
      </c>
      <c r="E4449" s="2" t="s">
        <v>414</v>
      </c>
      <c r="F4449" s="2" t="s">
        <v>39</v>
      </c>
      <c r="J4449" s="2" t="s">
        <v>532</v>
      </c>
      <c r="K4449" s="2" t="s">
        <v>533</v>
      </c>
      <c r="L4449" s="2">
        <v>1</v>
      </c>
      <c r="M4449" s="2" t="s">
        <v>534</v>
      </c>
      <c r="O4449" s="2" t="s">
        <v>524</v>
      </c>
      <c r="Y4449" s="2" t="s">
        <v>749</v>
      </c>
    </row>
    <row r="4450" spans="1:25" x14ac:dyDescent="0.25">
      <c r="A4450" s="2" t="s">
        <v>335</v>
      </c>
      <c r="B4450" s="2" t="s">
        <v>531</v>
      </c>
      <c r="C4450" s="2" t="s">
        <v>409</v>
      </c>
      <c r="D4450" s="2" t="s">
        <v>411</v>
      </c>
      <c r="E4450" s="2" t="s">
        <v>414</v>
      </c>
      <c r="F4450" s="2" t="s">
        <v>39</v>
      </c>
      <c r="J4450" s="2" t="s">
        <v>532</v>
      </c>
      <c r="K4450" s="2" t="s">
        <v>533</v>
      </c>
      <c r="L4450" s="2">
        <v>2</v>
      </c>
      <c r="M4450" s="2" t="s">
        <v>536</v>
      </c>
      <c r="O4450" s="2" t="s">
        <v>524</v>
      </c>
      <c r="Y4450" s="2" t="s">
        <v>749</v>
      </c>
    </row>
    <row r="4451" spans="1:25" x14ac:dyDescent="0.25">
      <c r="A4451" s="2" t="s">
        <v>335</v>
      </c>
      <c r="B4451" s="2" t="s">
        <v>531</v>
      </c>
      <c r="C4451" s="2" t="s">
        <v>409</v>
      </c>
      <c r="D4451" s="2" t="s">
        <v>411</v>
      </c>
      <c r="E4451" s="2" t="s">
        <v>414</v>
      </c>
      <c r="F4451" s="2" t="s">
        <v>39</v>
      </c>
      <c r="J4451" s="2" t="s">
        <v>532</v>
      </c>
      <c r="K4451" s="2" t="s">
        <v>533</v>
      </c>
      <c r="L4451" s="2">
        <v>3</v>
      </c>
      <c r="M4451" s="2" t="s">
        <v>537</v>
      </c>
      <c r="O4451" s="2" t="s">
        <v>524</v>
      </c>
      <c r="Y4451" s="2" t="s">
        <v>749</v>
      </c>
    </row>
    <row r="4452" spans="1:25" x14ac:dyDescent="0.25">
      <c r="A4452" s="2" t="s">
        <v>335</v>
      </c>
      <c r="B4452" s="2" t="s">
        <v>531</v>
      </c>
      <c r="C4452" s="2" t="s">
        <v>409</v>
      </c>
      <c r="D4452" s="2" t="s">
        <v>411</v>
      </c>
      <c r="E4452" s="2" t="s">
        <v>414</v>
      </c>
      <c r="F4452" s="2" t="s">
        <v>39</v>
      </c>
      <c r="J4452" s="2" t="s">
        <v>532</v>
      </c>
      <c r="K4452" s="2" t="s">
        <v>533</v>
      </c>
      <c r="L4452" s="2">
        <v>4</v>
      </c>
      <c r="M4452" s="2" t="s">
        <v>538</v>
      </c>
      <c r="O4452" s="2" t="s">
        <v>524</v>
      </c>
      <c r="Y4452" s="2" t="s">
        <v>749</v>
      </c>
    </row>
    <row r="4453" spans="1:25" x14ac:dyDescent="0.25">
      <c r="A4453" s="2" t="s">
        <v>335</v>
      </c>
      <c r="B4453" s="2" t="s">
        <v>531</v>
      </c>
      <c r="C4453" s="2" t="s">
        <v>409</v>
      </c>
      <c r="D4453" s="2" t="s">
        <v>411</v>
      </c>
      <c r="E4453" s="2" t="s">
        <v>414</v>
      </c>
      <c r="F4453" s="2" t="s">
        <v>39</v>
      </c>
      <c r="J4453" s="2" t="s">
        <v>532</v>
      </c>
      <c r="K4453" s="2" t="s">
        <v>533</v>
      </c>
      <c r="L4453" s="2">
        <v>5</v>
      </c>
      <c r="M4453" s="2" t="s">
        <v>539</v>
      </c>
      <c r="O4453" s="2" t="s">
        <v>524</v>
      </c>
      <c r="Y4453" s="2" t="s">
        <v>749</v>
      </c>
    </row>
    <row r="4454" spans="1:25" x14ac:dyDescent="0.25">
      <c r="A4454" s="2" t="s">
        <v>335</v>
      </c>
      <c r="B4454" s="2" t="s">
        <v>540</v>
      </c>
      <c r="C4454" s="2" t="s">
        <v>409</v>
      </c>
      <c r="D4454" s="2" t="s">
        <v>411</v>
      </c>
      <c r="E4454" s="2" t="s">
        <v>414</v>
      </c>
      <c r="F4454" s="2" t="s">
        <v>39</v>
      </c>
      <c r="J4454" s="2" t="s">
        <v>541</v>
      </c>
      <c r="K4454" s="2" t="s">
        <v>542</v>
      </c>
      <c r="L4454" s="2">
        <v>1</v>
      </c>
      <c r="M4454" s="2" t="s">
        <v>543</v>
      </c>
      <c r="O4454" s="2" t="s">
        <v>524</v>
      </c>
      <c r="Y4454" s="2" t="s">
        <v>749</v>
      </c>
    </row>
    <row r="4455" spans="1:25" x14ac:dyDescent="0.25">
      <c r="A4455" s="2" t="s">
        <v>335</v>
      </c>
      <c r="B4455" s="2" t="s">
        <v>540</v>
      </c>
      <c r="C4455" s="2" t="s">
        <v>409</v>
      </c>
      <c r="D4455" s="2" t="s">
        <v>411</v>
      </c>
      <c r="E4455" s="2" t="s">
        <v>414</v>
      </c>
      <c r="F4455" s="2" t="s">
        <v>39</v>
      </c>
      <c r="J4455" s="2" t="s">
        <v>541</v>
      </c>
      <c r="K4455" s="2" t="s">
        <v>542</v>
      </c>
      <c r="L4455" s="2">
        <v>2</v>
      </c>
      <c r="M4455" s="2" t="s">
        <v>544</v>
      </c>
      <c r="O4455" s="2" t="s">
        <v>524</v>
      </c>
      <c r="Y4455" s="2" t="s">
        <v>749</v>
      </c>
    </row>
    <row r="4456" spans="1:25" x14ac:dyDescent="0.25">
      <c r="A4456" s="2" t="s">
        <v>335</v>
      </c>
      <c r="B4456" s="2" t="s">
        <v>540</v>
      </c>
      <c r="C4456" s="2" t="s">
        <v>409</v>
      </c>
      <c r="D4456" s="2" t="s">
        <v>411</v>
      </c>
      <c r="E4456" s="2" t="s">
        <v>414</v>
      </c>
      <c r="F4456" s="2" t="s">
        <v>39</v>
      </c>
      <c r="J4456" s="2" t="s">
        <v>541</v>
      </c>
      <c r="K4456" s="2" t="s">
        <v>542</v>
      </c>
      <c r="L4456" s="2">
        <v>3</v>
      </c>
      <c r="M4456" s="2" t="s">
        <v>545</v>
      </c>
      <c r="O4456" s="2" t="s">
        <v>524</v>
      </c>
      <c r="Y4456" s="2" t="s">
        <v>749</v>
      </c>
    </row>
    <row r="4457" spans="1:25" x14ac:dyDescent="0.25">
      <c r="A4457" s="2" t="s">
        <v>335</v>
      </c>
      <c r="B4457" s="2" t="s">
        <v>540</v>
      </c>
      <c r="C4457" s="2" t="s">
        <v>409</v>
      </c>
      <c r="D4457" s="2" t="s">
        <v>411</v>
      </c>
      <c r="E4457" s="2" t="s">
        <v>414</v>
      </c>
      <c r="F4457" s="2" t="s">
        <v>39</v>
      </c>
      <c r="J4457" s="2" t="s">
        <v>541</v>
      </c>
      <c r="K4457" s="2" t="s">
        <v>542</v>
      </c>
      <c r="L4457" s="2">
        <v>4</v>
      </c>
      <c r="M4457" s="2" t="s">
        <v>546</v>
      </c>
      <c r="O4457" s="2" t="s">
        <v>524</v>
      </c>
      <c r="Y4457" s="2" t="s">
        <v>749</v>
      </c>
    </row>
    <row r="4458" spans="1:25" x14ac:dyDescent="0.25">
      <c r="A4458" s="2" t="s">
        <v>335</v>
      </c>
      <c r="B4458" s="2" t="s">
        <v>540</v>
      </c>
      <c r="C4458" s="2" t="s">
        <v>409</v>
      </c>
      <c r="D4458" s="2" t="s">
        <v>411</v>
      </c>
      <c r="E4458" s="2" t="s">
        <v>414</v>
      </c>
      <c r="F4458" s="2" t="s">
        <v>39</v>
      </c>
      <c r="J4458" s="2" t="s">
        <v>541</v>
      </c>
      <c r="K4458" s="2" t="s">
        <v>542</v>
      </c>
      <c r="L4458" s="2">
        <v>5</v>
      </c>
      <c r="M4458" s="2" t="s">
        <v>547</v>
      </c>
      <c r="O4458" s="2" t="s">
        <v>524</v>
      </c>
      <c r="Y4458" s="2" t="s">
        <v>749</v>
      </c>
    </row>
    <row r="4459" spans="1:25" x14ac:dyDescent="0.25">
      <c r="A4459" s="2" t="s">
        <v>335</v>
      </c>
      <c r="B4459" s="2" t="s">
        <v>540</v>
      </c>
      <c r="C4459" s="2" t="s">
        <v>409</v>
      </c>
      <c r="D4459" s="2" t="s">
        <v>411</v>
      </c>
      <c r="E4459" s="2" t="s">
        <v>414</v>
      </c>
      <c r="F4459" s="2" t="s">
        <v>39</v>
      </c>
      <c r="J4459" s="2" t="s">
        <v>541</v>
      </c>
      <c r="K4459" s="2" t="s">
        <v>542</v>
      </c>
      <c r="L4459" s="2">
        <v>6</v>
      </c>
      <c r="M4459" s="2" t="s">
        <v>548</v>
      </c>
      <c r="O4459" s="2" t="s">
        <v>524</v>
      </c>
      <c r="Y4459" s="2" t="s">
        <v>749</v>
      </c>
    </row>
    <row r="4460" spans="1:25" x14ac:dyDescent="0.25">
      <c r="A4460" s="2" t="s">
        <v>335</v>
      </c>
      <c r="B4460" s="2" t="s">
        <v>540</v>
      </c>
      <c r="C4460" s="2" t="s">
        <v>409</v>
      </c>
      <c r="D4460" s="2" t="s">
        <v>411</v>
      </c>
      <c r="E4460" s="2" t="s">
        <v>414</v>
      </c>
      <c r="F4460" s="2" t="s">
        <v>39</v>
      </c>
      <c r="J4460" s="2" t="s">
        <v>541</v>
      </c>
      <c r="K4460" s="2" t="s">
        <v>542</v>
      </c>
      <c r="L4460" s="2">
        <v>7</v>
      </c>
      <c r="M4460" s="2" t="s">
        <v>549</v>
      </c>
      <c r="O4460" s="2" t="s">
        <v>524</v>
      </c>
      <c r="Y4460" s="2" t="s">
        <v>749</v>
      </c>
    </row>
    <row r="4461" spans="1:25" x14ac:dyDescent="0.25">
      <c r="A4461" s="2" t="s">
        <v>335</v>
      </c>
      <c r="B4461" s="2" t="s">
        <v>540</v>
      </c>
      <c r="C4461" s="2" t="s">
        <v>409</v>
      </c>
      <c r="D4461" s="2" t="s">
        <v>411</v>
      </c>
      <c r="E4461" s="2" t="s">
        <v>414</v>
      </c>
      <c r="F4461" s="2" t="s">
        <v>39</v>
      </c>
      <c r="J4461" s="2" t="s">
        <v>541</v>
      </c>
      <c r="K4461" s="2" t="s">
        <v>542</v>
      </c>
      <c r="L4461" s="2">
        <v>8</v>
      </c>
      <c r="M4461" s="2" t="s">
        <v>550</v>
      </c>
      <c r="O4461" s="2" t="s">
        <v>524</v>
      </c>
      <c r="Y4461" s="2" t="s">
        <v>749</v>
      </c>
    </row>
    <row r="4462" spans="1:25" x14ac:dyDescent="0.25">
      <c r="A4462" s="2" t="s">
        <v>335</v>
      </c>
      <c r="B4462" s="2" t="s">
        <v>540</v>
      </c>
      <c r="C4462" s="2" t="s">
        <v>409</v>
      </c>
      <c r="D4462" s="2" t="s">
        <v>411</v>
      </c>
      <c r="E4462" s="2" t="s">
        <v>414</v>
      </c>
      <c r="F4462" s="2" t="s">
        <v>39</v>
      </c>
      <c r="J4462" s="2" t="s">
        <v>541</v>
      </c>
      <c r="K4462" s="2" t="s">
        <v>542</v>
      </c>
      <c r="L4462" s="2">
        <v>9</v>
      </c>
      <c r="M4462" s="2" t="s">
        <v>551</v>
      </c>
      <c r="O4462" s="2" t="s">
        <v>524</v>
      </c>
      <c r="Y4462" s="2" t="s">
        <v>749</v>
      </c>
    </row>
    <row r="4463" spans="1:25" x14ac:dyDescent="0.25">
      <c r="A4463" s="2" t="s">
        <v>335</v>
      </c>
      <c r="B4463" s="2" t="s">
        <v>540</v>
      </c>
      <c r="C4463" s="2" t="s">
        <v>409</v>
      </c>
      <c r="D4463" s="2" t="s">
        <v>411</v>
      </c>
      <c r="E4463" s="2" t="s">
        <v>414</v>
      </c>
      <c r="F4463" s="2" t="s">
        <v>39</v>
      </c>
      <c r="J4463" s="2" t="s">
        <v>541</v>
      </c>
      <c r="K4463" s="2" t="s">
        <v>542</v>
      </c>
      <c r="L4463" s="2">
        <v>10</v>
      </c>
      <c r="M4463" s="2" t="s">
        <v>552</v>
      </c>
      <c r="O4463" s="2" t="s">
        <v>524</v>
      </c>
      <c r="Y4463" s="2" t="s">
        <v>749</v>
      </c>
    </row>
    <row r="4464" spans="1:25" x14ac:dyDescent="0.25">
      <c r="A4464" s="2" t="s">
        <v>335</v>
      </c>
      <c r="B4464" s="2" t="s">
        <v>540</v>
      </c>
      <c r="C4464" s="2" t="s">
        <v>409</v>
      </c>
      <c r="D4464" s="2" t="s">
        <v>411</v>
      </c>
      <c r="E4464" s="2" t="s">
        <v>414</v>
      </c>
      <c r="F4464" s="2" t="s">
        <v>39</v>
      </c>
      <c r="J4464" s="2" t="s">
        <v>541</v>
      </c>
      <c r="K4464" s="2" t="s">
        <v>542</v>
      </c>
      <c r="L4464" s="2">
        <v>11</v>
      </c>
      <c r="M4464" s="2" t="s">
        <v>553</v>
      </c>
      <c r="O4464" s="2" t="s">
        <v>524</v>
      </c>
      <c r="Y4464" s="2" t="s">
        <v>749</v>
      </c>
    </row>
    <row r="4465" spans="1:34" x14ac:dyDescent="0.25">
      <c r="A4465" s="2" t="s">
        <v>335</v>
      </c>
      <c r="B4465" s="2" t="s">
        <v>540</v>
      </c>
      <c r="C4465" s="2" t="s">
        <v>409</v>
      </c>
      <c r="D4465" s="2" t="s">
        <v>411</v>
      </c>
      <c r="E4465" s="2" t="s">
        <v>414</v>
      </c>
      <c r="F4465" s="2" t="s">
        <v>39</v>
      </c>
      <c r="J4465" s="2" t="s">
        <v>541</v>
      </c>
      <c r="K4465" s="2" t="s">
        <v>542</v>
      </c>
      <c r="L4465" s="2">
        <v>12</v>
      </c>
      <c r="M4465" s="2" t="s">
        <v>554</v>
      </c>
      <c r="O4465" s="2" t="s">
        <v>524</v>
      </c>
      <c r="Y4465" s="2" t="s">
        <v>749</v>
      </c>
    </row>
    <row r="4466" spans="1:34" x14ac:dyDescent="0.25">
      <c r="A4466" s="2" t="s">
        <v>335</v>
      </c>
      <c r="B4466" s="2" t="s">
        <v>555</v>
      </c>
      <c r="C4466" s="2" t="s">
        <v>409</v>
      </c>
      <c r="D4466" s="2" t="s">
        <v>411</v>
      </c>
      <c r="E4466" s="2" t="s">
        <v>414</v>
      </c>
      <c r="F4466" s="2" t="s">
        <v>39</v>
      </c>
      <c r="J4466" s="2" t="s">
        <v>556</v>
      </c>
      <c r="O4466" s="2" t="s">
        <v>524</v>
      </c>
      <c r="Y4466" s="2" t="s">
        <v>749</v>
      </c>
      <c r="AB4466" s="2">
        <v>1</v>
      </c>
    </row>
    <row r="4467" spans="1:34" x14ac:dyDescent="0.25">
      <c r="A4467" s="2" t="s">
        <v>335</v>
      </c>
      <c r="B4467" s="2" t="s">
        <v>557</v>
      </c>
      <c r="C4467" s="2" t="s">
        <v>409</v>
      </c>
      <c r="D4467" s="2" t="s">
        <v>411</v>
      </c>
      <c r="E4467" s="2" t="s">
        <v>414</v>
      </c>
      <c r="F4467" s="2" t="s">
        <v>39</v>
      </c>
      <c r="J4467" s="2" t="s">
        <v>558</v>
      </c>
      <c r="O4467" s="2" t="s">
        <v>524</v>
      </c>
      <c r="Y4467" s="2" t="s">
        <v>749</v>
      </c>
      <c r="AC4467" s="2">
        <f>COUNTIFS($B:$B,"BLOCK_LOAD_Q",$A:$A,$A4467,$C:$C,$C4467,$E:$E,$E4467,$F:$F,$F4467,$N:$N, "&lt;&gt;")</f>
        <v>0</v>
      </c>
      <c r="AD4467" s="2">
        <f>COUNTIFS($B:$B,"BLOCK_TRUST_Q",$A:$A,$A4467,$C:$C,$C4467,$E:$E,$E4467,$F:$F,$F4467,$N:$N, "&lt;&gt;")</f>
        <v>0</v>
      </c>
      <c r="AE4467" s="2" t="str">
        <f>IFERROR(AVERAGEIFS($P:$P,$B:$B,"BLOCK_LOAD_Q",$A:$A,$A4467,$C:$C,$C4467,$E:$E,$E4467,$F:$F,$F4467,$P:$P,"&gt;0"),"")</f>
        <v/>
      </c>
      <c r="AF4467" s="2" t="str">
        <f>IFERROR(AVERAGEIFS($P:$P,$B:$B,"BLOCK_TRUST_Q",$A:$A,$A4467,$C:$C,$C4467,$E:$E,$E4467,$F:$F,$F4467,$P:$P,"&gt;0"),"")</f>
        <v/>
      </c>
      <c r="AG4467" s="2">
        <f>5-AC4467</f>
        <v>5</v>
      </c>
      <c r="AH4467" s="2">
        <f>12-AD4467</f>
        <v>12</v>
      </c>
    </row>
    <row r="4468" spans="1:34" x14ac:dyDescent="0.25">
      <c r="A4468" s="2" t="s">
        <v>335</v>
      </c>
      <c r="B4468" s="2" t="s">
        <v>403</v>
      </c>
      <c r="C4468" s="2" t="s">
        <v>409</v>
      </c>
      <c r="D4468" s="2" t="s">
        <v>411</v>
      </c>
      <c r="Z4468" s="2" t="s">
        <v>509</v>
      </c>
    </row>
    <row r="4469" spans="1:34" x14ac:dyDescent="0.25">
      <c r="A4469" s="2" t="s">
        <v>335</v>
      </c>
      <c r="B4469" s="2" t="s">
        <v>404</v>
      </c>
      <c r="J4469" s="2" t="s">
        <v>575</v>
      </c>
      <c r="AA4469" s="2" t="s">
        <v>336</v>
      </c>
    </row>
    <row r="4470" spans="1:34" x14ac:dyDescent="0.25">
      <c r="A4470" s="2" t="s">
        <v>335</v>
      </c>
      <c r="B4470" s="2" t="s">
        <v>405</v>
      </c>
    </row>
    <row r="4471" spans="1:34" x14ac:dyDescent="0.25">
      <c r="A4471" s="2" t="s">
        <v>335</v>
      </c>
      <c r="B4471" s="2" t="s">
        <v>406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rightToLeft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3" sqref="H13"/>
    </sheetView>
  </sheetViews>
  <sheetFormatPr defaultRowHeight="15" x14ac:dyDescent="0.25"/>
  <cols>
    <col min="1" max="1" width="13.5703125" customWidth="1"/>
    <col min="3" max="3" width="10.140625" customWidth="1"/>
    <col min="4" max="4" width="16.42578125" customWidth="1"/>
    <col min="5" max="5" width="22" customWidth="1"/>
    <col min="6" max="6" width="14.5703125" customWidth="1"/>
    <col min="7" max="9" width="9.570312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t="s">
        <v>39</v>
      </c>
      <c r="C2" t="s">
        <v>41</v>
      </c>
      <c r="D2" t="s">
        <v>43</v>
      </c>
      <c r="E2" t="s">
        <v>45</v>
      </c>
      <c r="F2" t="s">
        <v>48</v>
      </c>
      <c r="G2" t="s">
        <v>57</v>
      </c>
      <c r="H2" t="s">
        <v>58</v>
      </c>
      <c r="I2" t="s">
        <v>59</v>
      </c>
    </row>
    <row r="3" spans="1:9" x14ac:dyDescent="0.25">
      <c r="A3" t="s">
        <v>10</v>
      </c>
      <c r="B3" t="s">
        <v>39</v>
      </c>
      <c r="C3" t="s">
        <v>41</v>
      </c>
      <c r="D3" t="s">
        <v>43</v>
      </c>
      <c r="E3" t="s">
        <v>46</v>
      </c>
      <c r="F3" t="s">
        <v>49</v>
      </c>
      <c r="G3" t="s">
        <v>58</v>
      </c>
      <c r="H3" t="s">
        <v>57</v>
      </c>
      <c r="I3" t="s">
        <v>58</v>
      </c>
    </row>
    <row r="4" spans="1:9" x14ac:dyDescent="0.25">
      <c r="A4" t="s">
        <v>11</v>
      </c>
      <c r="B4" t="s">
        <v>39</v>
      </c>
      <c r="C4" t="s">
        <v>41</v>
      </c>
      <c r="D4" t="s">
        <v>43</v>
      </c>
      <c r="E4" t="s">
        <v>47</v>
      </c>
      <c r="F4" t="s">
        <v>48</v>
      </c>
      <c r="G4" t="s">
        <v>58</v>
      </c>
      <c r="H4" t="s">
        <v>58</v>
      </c>
      <c r="I4" t="s">
        <v>58</v>
      </c>
    </row>
    <row r="5" spans="1:9" x14ac:dyDescent="0.25">
      <c r="A5" t="s">
        <v>12</v>
      </c>
      <c r="B5" t="s">
        <v>39</v>
      </c>
      <c r="C5" t="s">
        <v>42</v>
      </c>
      <c r="D5" t="s">
        <v>43</v>
      </c>
      <c r="E5" t="s">
        <v>47</v>
      </c>
      <c r="F5" t="s">
        <v>49</v>
      </c>
      <c r="G5" t="s">
        <v>59</v>
      </c>
      <c r="H5" t="s">
        <v>59</v>
      </c>
      <c r="I5" t="s">
        <v>58</v>
      </c>
    </row>
    <row r="6" spans="1:9" x14ac:dyDescent="0.25">
      <c r="A6" t="s">
        <v>13</v>
      </c>
      <c r="B6" t="s">
        <v>40</v>
      </c>
      <c r="C6" t="s">
        <v>42</v>
      </c>
      <c r="D6" t="s">
        <v>43</v>
      </c>
      <c r="E6" t="s">
        <v>45</v>
      </c>
      <c r="F6" t="s">
        <v>49</v>
      </c>
      <c r="G6" t="s">
        <v>60</v>
      </c>
      <c r="H6" t="s">
        <v>57</v>
      </c>
      <c r="I6" t="s">
        <v>58</v>
      </c>
    </row>
    <row r="7" spans="1:9" x14ac:dyDescent="0.25">
      <c r="A7" t="s">
        <v>14</v>
      </c>
      <c r="B7" t="s">
        <v>39</v>
      </c>
      <c r="C7" t="s">
        <v>42</v>
      </c>
      <c r="D7" t="s">
        <v>44</v>
      </c>
      <c r="E7" t="s">
        <v>45</v>
      </c>
      <c r="F7" t="s">
        <v>50</v>
      </c>
      <c r="G7" t="s">
        <v>60</v>
      </c>
      <c r="H7" t="s">
        <v>58</v>
      </c>
      <c r="I7" t="s">
        <v>57</v>
      </c>
    </row>
    <row r="8" spans="1:9" x14ac:dyDescent="0.25">
      <c r="A8" t="s">
        <v>15</v>
      </c>
      <c r="B8" t="s">
        <v>39</v>
      </c>
      <c r="C8" t="s">
        <v>42</v>
      </c>
      <c r="D8" t="s">
        <v>43</v>
      </c>
      <c r="E8" t="s">
        <v>47</v>
      </c>
      <c r="F8" t="s">
        <v>51</v>
      </c>
      <c r="G8" t="s">
        <v>58</v>
      </c>
      <c r="H8" t="s">
        <v>58</v>
      </c>
      <c r="I8" t="s">
        <v>59</v>
      </c>
    </row>
    <row r="9" spans="1:9" x14ac:dyDescent="0.25">
      <c r="A9" t="s">
        <v>16</v>
      </c>
      <c r="B9" t="s">
        <v>39</v>
      </c>
      <c r="C9" t="s">
        <v>42</v>
      </c>
      <c r="D9" t="s">
        <v>44</v>
      </c>
      <c r="E9" t="s">
        <v>47</v>
      </c>
      <c r="F9" t="s">
        <v>50</v>
      </c>
      <c r="G9" t="s">
        <v>59</v>
      </c>
      <c r="H9" t="s">
        <v>60</v>
      </c>
      <c r="I9" t="s">
        <v>57</v>
      </c>
    </row>
    <row r="10" spans="1:9" x14ac:dyDescent="0.25">
      <c r="A10" t="s">
        <v>17</v>
      </c>
      <c r="B10" t="s">
        <v>39</v>
      </c>
      <c r="C10" t="s">
        <v>42</v>
      </c>
      <c r="D10" t="s">
        <v>43</v>
      </c>
      <c r="E10" t="s">
        <v>47</v>
      </c>
      <c r="F10" t="s">
        <v>51</v>
      </c>
      <c r="G10" t="s">
        <v>60</v>
      </c>
      <c r="H10" t="s">
        <v>57</v>
      </c>
      <c r="I10" t="s">
        <v>59</v>
      </c>
    </row>
    <row r="11" spans="1:9" x14ac:dyDescent="0.25">
      <c r="A11" t="s">
        <v>18</v>
      </c>
      <c r="B11" t="s">
        <v>40</v>
      </c>
      <c r="C11" t="s">
        <v>42</v>
      </c>
      <c r="D11" t="s">
        <v>44</v>
      </c>
      <c r="E11" t="s">
        <v>45</v>
      </c>
      <c r="F11" t="s">
        <v>52</v>
      </c>
      <c r="G11" t="s">
        <v>57</v>
      </c>
      <c r="H11" t="s">
        <v>58</v>
      </c>
      <c r="I11" t="s">
        <v>58</v>
      </c>
    </row>
    <row r="12" spans="1:9" x14ac:dyDescent="0.25">
      <c r="A12" t="s">
        <v>19</v>
      </c>
      <c r="B12" t="s">
        <v>40</v>
      </c>
      <c r="C12" t="s">
        <v>42</v>
      </c>
      <c r="D12" t="s">
        <v>43</v>
      </c>
      <c r="E12" t="s">
        <v>45</v>
      </c>
      <c r="F12" t="s">
        <v>51</v>
      </c>
      <c r="G12" t="s">
        <v>58</v>
      </c>
      <c r="H12" t="s">
        <v>58</v>
      </c>
      <c r="I12" t="s">
        <v>60</v>
      </c>
    </row>
    <row r="13" spans="1:9" x14ac:dyDescent="0.25">
      <c r="A13" t="s">
        <v>20</v>
      </c>
      <c r="B13" t="s">
        <v>39</v>
      </c>
      <c r="C13" t="s">
        <v>42</v>
      </c>
      <c r="D13" t="s">
        <v>44</v>
      </c>
      <c r="E13" t="s">
        <v>46</v>
      </c>
      <c r="F13" t="s">
        <v>53</v>
      </c>
      <c r="G13" t="s">
        <v>58</v>
      </c>
      <c r="H13" t="s">
        <v>58</v>
      </c>
      <c r="I13" t="s">
        <v>57</v>
      </c>
    </row>
    <row r="14" spans="1:9" x14ac:dyDescent="0.25">
      <c r="A14" t="s">
        <v>21</v>
      </c>
      <c r="B14" t="s">
        <v>40</v>
      </c>
      <c r="C14" t="s">
        <v>42</v>
      </c>
      <c r="D14" t="s">
        <v>44</v>
      </c>
      <c r="E14" t="s">
        <v>46</v>
      </c>
      <c r="F14" t="s">
        <v>53</v>
      </c>
      <c r="G14" t="s">
        <v>60</v>
      </c>
      <c r="H14" t="s">
        <v>59</v>
      </c>
      <c r="I14" t="s">
        <v>60</v>
      </c>
    </row>
    <row r="15" spans="1:9" x14ac:dyDescent="0.25">
      <c r="A15" t="s">
        <v>22</v>
      </c>
      <c r="B15" t="s">
        <v>39</v>
      </c>
      <c r="C15" t="s">
        <v>42</v>
      </c>
      <c r="D15" t="s">
        <v>43</v>
      </c>
      <c r="E15" t="s">
        <v>46</v>
      </c>
      <c r="F15" t="s">
        <v>54</v>
      </c>
      <c r="G15" t="s">
        <v>58</v>
      </c>
      <c r="H15" t="s">
        <v>59</v>
      </c>
      <c r="I15" t="s">
        <v>58</v>
      </c>
    </row>
    <row r="16" spans="1:9" x14ac:dyDescent="0.25">
      <c r="A16" t="s">
        <v>23</v>
      </c>
      <c r="B16" t="s">
        <v>40</v>
      </c>
      <c r="C16" t="s">
        <v>42</v>
      </c>
      <c r="D16" t="s">
        <v>43</v>
      </c>
      <c r="E16" t="s">
        <v>47</v>
      </c>
      <c r="F16" t="s">
        <v>51</v>
      </c>
      <c r="G16" t="s">
        <v>57</v>
      </c>
      <c r="H16" t="s">
        <v>60</v>
      </c>
      <c r="I16" t="s">
        <v>59</v>
      </c>
    </row>
    <row r="17" spans="1:9" x14ac:dyDescent="0.25">
      <c r="A17" t="s">
        <v>24</v>
      </c>
      <c r="B17" t="s">
        <v>39</v>
      </c>
      <c r="C17" t="s">
        <v>42</v>
      </c>
      <c r="D17" t="s">
        <v>44</v>
      </c>
      <c r="E17" t="s">
        <v>46</v>
      </c>
      <c r="F17" t="s">
        <v>53</v>
      </c>
      <c r="G17" t="s">
        <v>58</v>
      </c>
      <c r="H17" t="s">
        <v>57</v>
      </c>
      <c r="I17" t="s">
        <v>59</v>
      </c>
    </row>
    <row r="18" spans="1:9" x14ac:dyDescent="0.25">
      <c r="A18" t="s">
        <v>25</v>
      </c>
      <c r="B18" t="s">
        <v>39</v>
      </c>
      <c r="C18" t="s">
        <v>42</v>
      </c>
      <c r="D18" t="s">
        <v>43</v>
      </c>
      <c r="E18" t="s">
        <v>47</v>
      </c>
      <c r="F18" t="s">
        <v>49</v>
      </c>
      <c r="G18" t="s">
        <v>59</v>
      </c>
      <c r="H18" t="s">
        <v>60</v>
      </c>
      <c r="I18" t="s">
        <v>60</v>
      </c>
    </row>
    <row r="19" spans="1:9" x14ac:dyDescent="0.25">
      <c r="A19" t="s">
        <v>26</v>
      </c>
      <c r="B19" t="s">
        <v>40</v>
      </c>
      <c r="C19" t="s">
        <v>42</v>
      </c>
      <c r="D19" t="s">
        <v>44</v>
      </c>
      <c r="E19" t="s">
        <v>47</v>
      </c>
      <c r="F19" t="s">
        <v>55</v>
      </c>
      <c r="G19" t="s">
        <v>57</v>
      </c>
      <c r="H19" t="s">
        <v>57</v>
      </c>
      <c r="I19" t="s">
        <v>58</v>
      </c>
    </row>
    <row r="20" spans="1:9" x14ac:dyDescent="0.25">
      <c r="A20" t="s">
        <v>27</v>
      </c>
      <c r="B20" t="s">
        <v>40</v>
      </c>
      <c r="C20" t="s">
        <v>42</v>
      </c>
      <c r="D20" t="s">
        <v>43</v>
      </c>
      <c r="E20" t="s">
        <v>47</v>
      </c>
      <c r="F20" t="s">
        <v>48</v>
      </c>
      <c r="G20" t="s">
        <v>59</v>
      </c>
      <c r="H20" t="s">
        <v>57</v>
      </c>
      <c r="I20" t="s">
        <v>57</v>
      </c>
    </row>
    <row r="21" spans="1:9" x14ac:dyDescent="0.25">
      <c r="A21" t="s">
        <v>28</v>
      </c>
      <c r="B21" t="s">
        <v>40</v>
      </c>
      <c r="C21" t="s">
        <v>42</v>
      </c>
      <c r="D21" t="s">
        <v>44</v>
      </c>
      <c r="E21" t="s">
        <v>45</v>
      </c>
      <c r="F21" t="s">
        <v>56</v>
      </c>
      <c r="G21" t="s">
        <v>60</v>
      </c>
      <c r="H21" t="s">
        <v>60</v>
      </c>
      <c r="I21" t="s">
        <v>60</v>
      </c>
    </row>
    <row r="22" spans="1:9" x14ac:dyDescent="0.25">
      <c r="A22" t="s">
        <v>29</v>
      </c>
      <c r="B22" t="s">
        <v>40</v>
      </c>
      <c r="C22" t="s">
        <v>42</v>
      </c>
      <c r="D22" t="s">
        <v>43</v>
      </c>
      <c r="E22" t="s">
        <v>47</v>
      </c>
      <c r="F22" t="s">
        <v>48</v>
      </c>
      <c r="G22" t="s">
        <v>58</v>
      </c>
      <c r="H22" t="s">
        <v>57</v>
      </c>
      <c r="I22" t="s">
        <v>59</v>
      </c>
    </row>
    <row r="23" spans="1:9" x14ac:dyDescent="0.25">
      <c r="A23" t="s">
        <v>30</v>
      </c>
      <c r="B23" t="s">
        <v>40</v>
      </c>
      <c r="C23" t="s">
        <v>42</v>
      </c>
      <c r="D23" t="s">
        <v>44</v>
      </c>
      <c r="E23" t="s">
        <v>45</v>
      </c>
      <c r="F23" t="s">
        <v>53</v>
      </c>
      <c r="G23" t="s">
        <v>57</v>
      </c>
      <c r="H23" t="s">
        <v>58</v>
      </c>
      <c r="I23" t="s">
        <v>60</v>
      </c>
    </row>
    <row r="24" spans="1:9" x14ac:dyDescent="0.25">
      <c r="A24" t="s">
        <v>31</v>
      </c>
      <c r="B24" t="s">
        <v>40</v>
      </c>
      <c r="C24" t="s">
        <v>42</v>
      </c>
      <c r="D24" t="s">
        <v>43</v>
      </c>
      <c r="E24" t="s">
        <v>47</v>
      </c>
      <c r="F24" t="s">
        <v>54</v>
      </c>
      <c r="G24" t="s">
        <v>60</v>
      </c>
      <c r="H24" t="s">
        <v>60</v>
      </c>
      <c r="I24" t="s">
        <v>60</v>
      </c>
    </row>
    <row r="25" spans="1:9" x14ac:dyDescent="0.25">
      <c r="A25" t="s">
        <v>32</v>
      </c>
      <c r="B25" t="s">
        <v>39</v>
      </c>
      <c r="C25" t="s">
        <v>42</v>
      </c>
      <c r="D25" t="s">
        <v>44</v>
      </c>
      <c r="E25" t="s">
        <v>46</v>
      </c>
      <c r="F25" t="s">
        <v>52</v>
      </c>
      <c r="G25" t="s">
        <v>58</v>
      </c>
      <c r="H25" t="s">
        <v>58</v>
      </c>
      <c r="I25" t="s">
        <v>59</v>
      </c>
    </row>
    <row r="26" spans="1:9" x14ac:dyDescent="0.25">
      <c r="A26" t="s">
        <v>33</v>
      </c>
      <c r="B26" t="s">
        <v>39</v>
      </c>
      <c r="C26" t="s">
        <v>42</v>
      </c>
      <c r="D26" t="s">
        <v>43</v>
      </c>
      <c r="E26" t="s">
        <v>46</v>
      </c>
      <c r="F26" t="s">
        <v>54</v>
      </c>
      <c r="G26" t="s">
        <v>57</v>
      </c>
      <c r="H26" t="s">
        <v>60</v>
      </c>
      <c r="I26" t="s">
        <v>59</v>
      </c>
    </row>
    <row r="27" spans="1:9" x14ac:dyDescent="0.25">
      <c r="A27" t="s">
        <v>34</v>
      </c>
      <c r="B27" t="s">
        <v>39</v>
      </c>
      <c r="C27" t="s">
        <v>42</v>
      </c>
      <c r="D27" t="s">
        <v>44</v>
      </c>
      <c r="E27" t="s">
        <v>47</v>
      </c>
      <c r="F27" t="s">
        <v>55</v>
      </c>
      <c r="G27" t="s">
        <v>60</v>
      </c>
      <c r="H27" t="s">
        <v>59</v>
      </c>
      <c r="I27" t="s">
        <v>58</v>
      </c>
    </row>
    <row r="28" spans="1:9" x14ac:dyDescent="0.25">
      <c r="A28" t="s">
        <v>35</v>
      </c>
      <c r="B28" t="s">
        <v>39</v>
      </c>
      <c r="C28" t="s">
        <v>42</v>
      </c>
      <c r="D28" t="s">
        <v>43</v>
      </c>
      <c r="E28" t="s">
        <v>45</v>
      </c>
      <c r="F28" t="s">
        <v>51</v>
      </c>
      <c r="G28" t="s">
        <v>60</v>
      </c>
      <c r="H28" t="s">
        <v>57</v>
      </c>
      <c r="I28" t="s">
        <v>57</v>
      </c>
    </row>
    <row r="29" spans="1:9" x14ac:dyDescent="0.25">
      <c r="A29" t="s">
        <v>36</v>
      </c>
      <c r="B29" t="s">
        <v>39</v>
      </c>
      <c r="C29" t="s">
        <v>42</v>
      </c>
      <c r="D29" t="s">
        <v>44</v>
      </c>
      <c r="E29" t="s">
        <v>47</v>
      </c>
      <c r="F29" t="s">
        <v>55</v>
      </c>
      <c r="G29" t="s">
        <v>59</v>
      </c>
      <c r="H29" t="s">
        <v>58</v>
      </c>
      <c r="I29" t="s">
        <v>59</v>
      </c>
    </row>
    <row r="30" spans="1:9" x14ac:dyDescent="0.25">
      <c r="A30" t="s">
        <v>37</v>
      </c>
      <c r="B30" t="s">
        <v>40</v>
      </c>
      <c r="C30" t="s">
        <v>42</v>
      </c>
      <c r="D30" t="s">
        <v>44</v>
      </c>
      <c r="E30" t="s">
        <v>45</v>
      </c>
      <c r="F30" t="s">
        <v>56</v>
      </c>
      <c r="G30" t="s">
        <v>59</v>
      </c>
      <c r="H30" t="s">
        <v>57</v>
      </c>
      <c r="I30" t="s">
        <v>60</v>
      </c>
    </row>
    <row r="31" spans="1:9" x14ac:dyDescent="0.25">
      <c r="A31" t="s">
        <v>38</v>
      </c>
      <c r="B31" t="s">
        <v>39</v>
      </c>
      <c r="C31" t="s">
        <v>42</v>
      </c>
      <c r="D31" t="s">
        <v>43</v>
      </c>
      <c r="E31" t="s">
        <v>46</v>
      </c>
      <c r="F31" t="s">
        <v>48</v>
      </c>
      <c r="G31" t="s">
        <v>60</v>
      </c>
      <c r="H31" t="s">
        <v>57</v>
      </c>
      <c r="I31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קידוד_ניסוי</vt:lpstr>
      <vt:lpstr>תיעוד_תגובות</vt:lpstr>
      <vt:lpstr>קטלוג תרחישים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Itzik Meir</cp:lastModifiedBy>
  <dcterms:created xsi:type="dcterms:W3CDTF">2025-11-22T12:06:41Z</dcterms:created>
  <dcterms:modified xsi:type="dcterms:W3CDTF">2025-11-22T13:34:41Z</dcterms:modified>
</cp:coreProperties>
</file>