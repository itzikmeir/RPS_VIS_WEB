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RPS_VIS-main\Model_Ordered_experiment\"/>
    </mc:Choice>
  </mc:AlternateContent>
  <xr:revisionPtr revIDLastSave="0" documentId="13_ncr:1_{4F44095A-4506-4E93-962E-5F3D29EFDC5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קידוד_ניסוי" sheetId="1" r:id="rId1"/>
    <sheet name="קטלוג תרחישים" sheetId="2" r:id="rId2"/>
    <sheet name="מפת_איזון" sheetId="3" r:id="rId3"/>
    <sheet name="Schedule_Long" sheetId="4" r:id="rId4"/>
    <sheet name="בדיקות_איזון" sheetId="5" r:id="rId5"/>
  </sheets>
  <definedNames>
    <definedName name="_xlnm._FilterDatabase" localSheetId="1" hidden="1">'קטלוג תרחישים'!$A$1:$AR$34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75EdUAD6CP5W4E/EhuBFq8yHWm3VoBLR/USZkpo8UU="/>
    </ext>
  </extLst>
</workbook>
</file>

<file path=xl/calcChain.xml><?xml version="1.0" encoding="utf-8"?>
<calcChain xmlns="http://schemas.openxmlformats.org/spreadsheetml/2006/main">
  <c r="AE2" i="2" l="1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L241" i="4"/>
  <c r="P241" i="4" s="1"/>
  <c r="L143" i="4"/>
  <c r="P143" i="4" s="1"/>
  <c r="L774" i="4"/>
  <c r="P774" i="4" s="1"/>
  <c r="L883" i="4"/>
  <c r="P883" i="4" s="1"/>
  <c r="L575" i="4"/>
  <c r="P575" i="4" s="1"/>
  <c r="L723" i="4"/>
  <c r="P723" i="4" s="1"/>
  <c r="L560" i="4"/>
  <c r="P560" i="4" s="1"/>
  <c r="AH9" i="2"/>
  <c r="AH7" i="2"/>
  <c r="AH6" i="2"/>
  <c r="AH5" i="2"/>
  <c r="AH3" i="2"/>
  <c r="AH2" i="2"/>
  <c r="L430" i="4"/>
  <c r="P430" i="4" s="1"/>
  <c r="L680" i="4"/>
  <c r="P680" i="4" s="1"/>
  <c r="L217" i="4"/>
  <c r="P217" i="4" s="1"/>
  <c r="L260" i="4"/>
  <c r="P260" i="4" s="1"/>
  <c r="L935" i="4"/>
  <c r="P935" i="4" s="1"/>
  <c r="L661" i="4"/>
  <c r="P661" i="4" s="1"/>
  <c r="L99" i="4"/>
  <c r="P99" i="4" s="1"/>
  <c r="L347" i="4"/>
  <c r="P347" i="4" s="1"/>
  <c r="L544" i="4"/>
  <c r="P544" i="4" s="1"/>
  <c r="L255" i="4"/>
  <c r="P255" i="4" s="1"/>
  <c r="L636" i="4"/>
  <c r="P636" i="4" s="1"/>
  <c r="L685" i="4"/>
  <c r="P685" i="4" s="1"/>
  <c r="L622" i="4"/>
  <c r="P622" i="4" s="1"/>
  <c r="L892" i="4"/>
  <c r="P892" i="4" s="1"/>
  <c r="L821" i="4"/>
  <c r="P821" i="4" s="1"/>
  <c r="L609" i="4"/>
  <c r="P609" i="4" s="1"/>
  <c r="L454" i="4"/>
  <c r="P454" i="4" s="1"/>
  <c r="L977" i="4"/>
  <c r="P977" i="4" s="1"/>
  <c r="L671" i="4"/>
  <c r="P671" i="4" s="1"/>
  <c r="L592" i="4"/>
  <c r="P592" i="4" s="1"/>
  <c r="O3" i="4" a="1"/>
  <c r="O3" i="4" s="1"/>
  <c r="O4" i="4" a="1"/>
  <c r="O4" i="4" s="1"/>
  <c r="O5" i="4" a="1"/>
  <c r="O5" i="4" s="1"/>
  <c r="O6" i="4" a="1"/>
  <c r="O6" i="4" s="1"/>
  <c r="O7" i="4" a="1"/>
  <c r="O7" i="4" s="1"/>
  <c r="O8" i="4" a="1"/>
  <c r="O8" i="4" s="1"/>
  <c r="O9" i="4" a="1"/>
  <c r="O9" i="4" s="1"/>
  <c r="O10" i="4" a="1"/>
  <c r="O10" i="4" s="1"/>
  <c r="O11" i="4" a="1"/>
  <c r="O11" i="4" s="1"/>
  <c r="O12" i="4" a="1"/>
  <c r="O12" i="4" s="1"/>
  <c r="O13" i="4" a="1"/>
  <c r="O13" i="4" s="1"/>
  <c r="O14" i="4" a="1"/>
  <c r="O14" i="4" s="1"/>
  <c r="O15" i="4" a="1"/>
  <c r="O15" i="4" s="1"/>
  <c r="O16" i="4" a="1"/>
  <c r="O16" i="4" s="1"/>
  <c r="O17" i="4" a="1"/>
  <c r="O17" i="4" s="1"/>
  <c r="O18" i="4" a="1"/>
  <c r="O18" i="4" s="1"/>
  <c r="O19" i="4" a="1"/>
  <c r="O19" i="4" s="1"/>
  <c r="O20" i="4" a="1"/>
  <c r="O20" i="4" s="1"/>
  <c r="O21" i="4" a="1"/>
  <c r="O21" i="4" s="1"/>
  <c r="O22" i="4" a="1"/>
  <c r="O22" i="4" s="1"/>
  <c r="O23" i="4" a="1"/>
  <c r="O23" i="4" s="1"/>
  <c r="O24" i="4" a="1"/>
  <c r="O24" i="4" s="1"/>
  <c r="O25" i="4" a="1"/>
  <c r="O25" i="4" s="1"/>
  <c r="O26" i="4" a="1"/>
  <c r="O26" i="4" s="1"/>
  <c r="O27" i="4" a="1"/>
  <c r="O27" i="4" s="1"/>
  <c r="O28" i="4" a="1"/>
  <c r="O28" i="4" s="1"/>
  <c r="O29" i="4" a="1"/>
  <c r="O29" i="4" s="1"/>
  <c r="O30" i="4" a="1"/>
  <c r="O30" i="4" s="1"/>
  <c r="O31" i="4" a="1"/>
  <c r="O31" i="4" s="1"/>
  <c r="O32" i="4" a="1"/>
  <c r="O32" i="4" s="1"/>
  <c r="O33" i="4" a="1"/>
  <c r="O33" i="4" s="1"/>
  <c r="O34" i="4" a="1"/>
  <c r="O34" i="4"/>
  <c r="O35" i="4" a="1"/>
  <c r="O35" i="4" s="1"/>
  <c r="O36" i="4" a="1"/>
  <c r="O36" i="4" s="1"/>
  <c r="O37" i="4" a="1"/>
  <c r="O37" i="4" s="1"/>
  <c r="O38" i="4" a="1"/>
  <c r="O38" i="4" s="1"/>
  <c r="O39" i="4" a="1"/>
  <c r="O39" i="4" s="1"/>
  <c r="O40" i="4" a="1"/>
  <c r="O40" i="4" s="1"/>
  <c r="O41" i="4" a="1"/>
  <c r="O41" i="4" s="1"/>
  <c r="O42" i="4" a="1"/>
  <c r="O42" i="4" s="1"/>
  <c r="O43" i="4" a="1"/>
  <c r="O43" i="4" s="1"/>
  <c r="O44" i="4" a="1"/>
  <c r="O44" i="4" s="1"/>
  <c r="O45" i="4" a="1"/>
  <c r="O45" i="4" s="1"/>
  <c r="O46" i="4" a="1"/>
  <c r="O46" i="4" s="1"/>
  <c r="O47" i="4" a="1"/>
  <c r="O47" i="4" s="1"/>
  <c r="O48" i="4" a="1"/>
  <c r="O48" i="4" s="1"/>
  <c r="O49" i="4" a="1"/>
  <c r="O49" i="4" s="1"/>
  <c r="O50" i="4" a="1"/>
  <c r="O50" i="4" s="1"/>
  <c r="O51" i="4" a="1"/>
  <c r="O51" i="4" s="1"/>
  <c r="O52" i="4" a="1"/>
  <c r="O52" i="4" s="1"/>
  <c r="O53" i="4" a="1"/>
  <c r="O53" i="4" s="1"/>
  <c r="O54" i="4" a="1"/>
  <c r="O54" i="4" s="1"/>
  <c r="O55" i="4" a="1"/>
  <c r="O55" i="4" s="1"/>
  <c r="O56" i="4" a="1"/>
  <c r="O56" i="4" s="1"/>
  <c r="O57" i="4" a="1"/>
  <c r="O57" i="4" s="1"/>
  <c r="O58" i="4" a="1"/>
  <c r="O58" i="4" s="1"/>
  <c r="O59" i="4" a="1"/>
  <c r="O59" i="4" s="1"/>
  <c r="O60" i="4" a="1"/>
  <c r="O60" i="4" s="1"/>
  <c r="O61" i="4" a="1"/>
  <c r="O61" i="4" s="1"/>
  <c r="O62" i="4" a="1"/>
  <c r="O62" i="4" s="1"/>
  <c r="O63" i="4" a="1"/>
  <c r="O63" i="4" s="1"/>
  <c r="O64" i="4" a="1"/>
  <c r="O64" i="4" s="1"/>
  <c r="O65" i="4" a="1"/>
  <c r="O65" i="4" s="1"/>
  <c r="O66" i="4" a="1"/>
  <c r="O66" i="4" s="1"/>
  <c r="O67" i="4" a="1"/>
  <c r="O67" i="4" s="1"/>
  <c r="O68" i="4" a="1"/>
  <c r="O68" i="4" s="1"/>
  <c r="O69" i="4" a="1"/>
  <c r="O69" i="4" s="1"/>
  <c r="O70" i="4" a="1"/>
  <c r="O70" i="4"/>
  <c r="O71" i="4" a="1"/>
  <c r="O71" i="4" s="1"/>
  <c r="O72" i="4" a="1"/>
  <c r="O72" i="4" s="1"/>
  <c r="O73" i="4" a="1"/>
  <c r="O73" i="4" s="1"/>
  <c r="O74" i="4" a="1"/>
  <c r="O74" i="4" s="1"/>
  <c r="O75" i="4" a="1"/>
  <c r="O75" i="4" s="1"/>
  <c r="O76" i="4" a="1"/>
  <c r="O76" i="4" s="1"/>
  <c r="O77" i="4" a="1"/>
  <c r="O77" i="4" s="1"/>
  <c r="O78" i="4" a="1"/>
  <c r="O78" i="4" s="1"/>
  <c r="O79" i="4" a="1"/>
  <c r="O79" i="4" s="1"/>
  <c r="O80" i="4" a="1"/>
  <c r="O80" i="4" s="1"/>
  <c r="O81" i="4" a="1"/>
  <c r="O81" i="4" s="1"/>
  <c r="O82" i="4" a="1"/>
  <c r="O82" i="4"/>
  <c r="O83" i="4" a="1"/>
  <c r="O83" i="4" s="1"/>
  <c r="O84" i="4" a="1"/>
  <c r="O84" i="4" s="1"/>
  <c r="O85" i="4" a="1"/>
  <c r="O85" i="4" s="1"/>
  <c r="O86" i="4" a="1"/>
  <c r="O86" i="4" s="1"/>
  <c r="O87" i="4" a="1"/>
  <c r="O87" i="4" s="1"/>
  <c r="O88" i="4" a="1"/>
  <c r="O88" i="4" s="1"/>
  <c r="O89" i="4" a="1"/>
  <c r="O89" i="4" s="1"/>
  <c r="O90" i="4" a="1"/>
  <c r="O90" i="4" s="1"/>
  <c r="O91" i="4" a="1"/>
  <c r="O91" i="4" s="1"/>
  <c r="O92" i="4" a="1"/>
  <c r="O92" i="4" s="1"/>
  <c r="O93" i="4" a="1"/>
  <c r="O93" i="4" s="1"/>
  <c r="O94" i="4" a="1"/>
  <c r="O94" i="4" s="1"/>
  <c r="O95" i="4" a="1"/>
  <c r="O95" i="4" s="1"/>
  <c r="O96" i="4" a="1"/>
  <c r="O96" i="4" s="1"/>
  <c r="O97" i="4" a="1"/>
  <c r="O97" i="4" s="1"/>
  <c r="O98" i="4" a="1"/>
  <c r="O98" i="4"/>
  <c r="O99" i="4" a="1"/>
  <c r="O99" i="4" s="1"/>
  <c r="O100" i="4" a="1"/>
  <c r="O100" i="4" s="1"/>
  <c r="O101" i="4" a="1"/>
  <c r="O101" i="4" s="1"/>
  <c r="O102" i="4" a="1"/>
  <c r="O102" i="4"/>
  <c r="O103" i="4" a="1"/>
  <c r="O103" i="4" s="1"/>
  <c r="O104" i="4" a="1"/>
  <c r="O104" i="4" s="1"/>
  <c r="O105" i="4" a="1"/>
  <c r="O105" i="4" s="1"/>
  <c r="O106" i="4" a="1"/>
  <c r="O106" i="4" s="1"/>
  <c r="O107" i="4" a="1"/>
  <c r="O107" i="4" s="1"/>
  <c r="O108" i="4" a="1"/>
  <c r="O108" i="4" s="1"/>
  <c r="O109" i="4" a="1"/>
  <c r="O109" i="4" s="1"/>
  <c r="O110" i="4" a="1"/>
  <c r="O110" i="4" s="1"/>
  <c r="O111" i="4" a="1"/>
  <c r="O111" i="4" s="1"/>
  <c r="O112" i="4" a="1"/>
  <c r="O112" i="4" s="1"/>
  <c r="O113" i="4" a="1"/>
  <c r="O113" i="4" s="1"/>
  <c r="O114" i="4" a="1"/>
  <c r="O114" i="4" s="1"/>
  <c r="O115" i="4" a="1"/>
  <c r="O115" i="4" s="1"/>
  <c r="O116" i="4" a="1"/>
  <c r="O116" i="4" s="1"/>
  <c r="O117" i="4" a="1"/>
  <c r="O117" i="4" s="1"/>
  <c r="O118" i="4" a="1"/>
  <c r="O118" i="4" s="1"/>
  <c r="O119" i="4" a="1"/>
  <c r="O119" i="4" s="1"/>
  <c r="O120" i="4" a="1"/>
  <c r="O120" i="4" s="1"/>
  <c r="O121" i="4" a="1"/>
  <c r="O121" i="4" s="1"/>
  <c r="O122" i="4" a="1"/>
  <c r="O122" i="4"/>
  <c r="O123" i="4" a="1"/>
  <c r="O123" i="4" s="1"/>
  <c r="O124" i="4" a="1"/>
  <c r="O124" i="4" s="1"/>
  <c r="O125" i="4" a="1"/>
  <c r="O125" i="4" s="1"/>
  <c r="O126" i="4" a="1"/>
  <c r="O126" i="4" s="1"/>
  <c r="O127" i="4" a="1"/>
  <c r="O127" i="4" s="1"/>
  <c r="O128" i="4" a="1"/>
  <c r="O128" i="4" s="1"/>
  <c r="O129" i="4" a="1"/>
  <c r="O129" i="4" s="1"/>
  <c r="O130" i="4" a="1"/>
  <c r="O130" i="4" s="1"/>
  <c r="O131" i="4" a="1"/>
  <c r="O131" i="4" s="1"/>
  <c r="O132" i="4" a="1"/>
  <c r="O132" i="4" s="1"/>
  <c r="O133" i="4" a="1"/>
  <c r="O133" i="4" s="1"/>
  <c r="O134" i="4" a="1"/>
  <c r="O134" i="4" s="1"/>
  <c r="O135" i="4" a="1"/>
  <c r="O135" i="4" s="1"/>
  <c r="O136" i="4" a="1"/>
  <c r="O136" i="4" s="1"/>
  <c r="O137" i="4" a="1"/>
  <c r="O137" i="4" s="1"/>
  <c r="O138" i="4" a="1"/>
  <c r="O138" i="4" s="1"/>
  <c r="O139" i="4" a="1"/>
  <c r="O139" i="4" s="1"/>
  <c r="O140" i="4" a="1"/>
  <c r="O140" i="4" s="1"/>
  <c r="O141" i="4" a="1"/>
  <c r="O141" i="4" s="1"/>
  <c r="O142" i="4" a="1"/>
  <c r="O142" i="4" s="1"/>
  <c r="O143" i="4" a="1"/>
  <c r="O143" i="4" s="1"/>
  <c r="O144" i="4" a="1"/>
  <c r="O144" i="4" s="1"/>
  <c r="O145" i="4" a="1"/>
  <c r="O145" i="4" s="1"/>
  <c r="O146" i="4" a="1"/>
  <c r="O146" i="4"/>
  <c r="O147" i="4" a="1"/>
  <c r="O147" i="4" s="1"/>
  <c r="O148" i="4" a="1"/>
  <c r="O148" i="4" s="1"/>
  <c r="O149" i="4" a="1"/>
  <c r="O149" i="4" s="1"/>
  <c r="O150" i="4" a="1"/>
  <c r="O150" i="4" s="1"/>
  <c r="O151" i="4" a="1"/>
  <c r="O151" i="4" s="1"/>
  <c r="O152" i="4" a="1"/>
  <c r="O152" i="4" s="1"/>
  <c r="O153" i="4" a="1"/>
  <c r="O153" i="4" s="1"/>
  <c r="O154" i="4" a="1"/>
  <c r="O154" i="4" s="1"/>
  <c r="O155" i="4" a="1"/>
  <c r="O155" i="4" s="1"/>
  <c r="O156" i="4" a="1"/>
  <c r="O156" i="4" s="1"/>
  <c r="O157" i="4" a="1"/>
  <c r="O157" i="4" s="1"/>
  <c r="O158" i="4" a="1"/>
  <c r="O158" i="4" s="1"/>
  <c r="O159" i="4" a="1"/>
  <c r="O159" i="4" s="1"/>
  <c r="O160" i="4" a="1"/>
  <c r="O160" i="4" s="1"/>
  <c r="O161" i="4" a="1"/>
  <c r="O161" i="4" s="1"/>
  <c r="O162" i="4" a="1"/>
  <c r="O162" i="4"/>
  <c r="O163" i="4" a="1"/>
  <c r="O163" i="4" s="1"/>
  <c r="O164" i="4" a="1"/>
  <c r="O164" i="4" s="1"/>
  <c r="O165" i="4" a="1"/>
  <c r="O165" i="4" s="1"/>
  <c r="O166" i="4" a="1"/>
  <c r="O166" i="4" s="1"/>
  <c r="O167" i="4" a="1"/>
  <c r="O167" i="4" s="1"/>
  <c r="O168" i="4" a="1"/>
  <c r="O168" i="4" s="1"/>
  <c r="O169" i="4" a="1"/>
  <c r="O169" i="4" s="1"/>
  <c r="O170" i="4" a="1"/>
  <c r="O170" i="4" s="1"/>
  <c r="O171" i="4" a="1"/>
  <c r="O171" i="4" s="1"/>
  <c r="O172" i="4" a="1"/>
  <c r="O172" i="4" s="1"/>
  <c r="O173" i="4" a="1"/>
  <c r="O173" i="4" s="1"/>
  <c r="O174" i="4" a="1"/>
  <c r="O174" i="4" s="1"/>
  <c r="O175" i="4" a="1"/>
  <c r="O175" i="4" s="1"/>
  <c r="O176" i="4" a="1"/>
  <c r="O176" i="4" s="1"/>
  <c r="O177" i="4" a="1"/>
  <c r="O177" i="4" s="1"/>
  <c r="O178" i="4" a="1"/>
  <c r="O178" i="4" s="1"/>
  <c r="O179" i="4" a="1"/>
  <c r="O179" i="4" s="1"/>
  <c r="O180" i="4" a="1"/>
  <c r="O180" i="4" s="1"/>
  <c r="O181" i="4" a="1"/>
  <c r="O181" i="4" s="1"/>
  <c r="O182" i="4" a="1"/>
  <c r="O182" i="4" s="1"/>
  <c r="O183" i="4" a="1"/>
  <c r="O183" i="4" s="1"/>
  <c r="O184" i="4" a="1"/>
  <c r="O184" i="4" s="1"/>
  <c r="O185" i="4" a="1"/>
  <c r="O185" i="4" s="1"/>
  <c r="O186" i="4" a="1"/>
  <c r="O186" i="4" s="1"/>
  <c r="O187" i="4" a="1"/>
  <c r="O187" i="4" s="1"/>
  <c r="O188" i="4" a="1"/>
  <c r="O188" i="4" s="1"/>
  <c r="O189" i="4" a="1"/>
  <c r="O189" i="4" s="1"/>
  <c r="O190" i="4" a="1"/>
  <c r="O190" i="4" s="1"/>
  <c r="O191" i="4" a="1"/>
  <c r="O191" i="4" s="1"/>
  <c r="O192" i="4" a="1"/>
  <c r="O192" i="4" s="1"/>
  <c r="O193" i="4" a="1"/>
  <c r="O193" i="4" s="1"/>
  <c r="O194" i="4" a="1"/>
  <c r="O194" i="4" s="1"/>
  <c r="O195" i="4" a="1"/>
  <c r="O195" i="4" s="1"/>
  <c r="O196" i="4" a="1"/>
  <c r="O196" i="4" s="1"/>
  <c r="O197" i="4" a="1"/>
  <c r="O197" i="4" s="1"/>
  <c r="O198" i="4" a="1"/>
  <c r="O198" i="4"/>
  <c r="O199" i="4" a="1"/>
  <c r="O199" i="4" s="1"/>
  <c r="O200" i="4" a="1"/>
  <c r="O200" i="4" s="1"/>
  <c r="O201" i="4" a="1"/>
  <c r="O201" i="4" s="1"/>
  <c r="O202" i="4" a="1"/>
  <c r="O202" i="4" s="1"/>
  <c r="O203" i="4" a="1"/>
  <c r="O203" i="4" s="1"/>
  <c r="O204" i="4" a="1"/>
  <c r="O204" i="4" s="1"/>
  <c r="O205" i="4" a="1"/>
  <c r="O205" i="4" s="1"/>
  <c r="O206" i="4" a="1"/>
  <c r="O206" i="4" s="1"/>
  <c r="O207" i="4" a="1"/>
  <c r="O207" i="4" s="1"/>
  <c r="O208" i="4" a="1"/>
  <c r="O208" i="4" s="1"/>
  <c r="O209" i="4" a="1"/>
  <c r="O209" i="4" s="1"/>
  <c r="O210" i="4" a="1"/>
  <c r="O210" i="4"/>
  <c r="O211" i="4" a="1"/>
  <c r="O211" i="4" s="1"/>
  <c r="O212" i="4" a="1"/>
  <c r="O212" i="4" s="1"/>
  <c r="O213" i="4" a="1"/>
  <c r="O213" i="4" s="1"/>
  <c r="O214" i="4" a="1"/>
  <c r="O214" i="4" s="1"/>
  <c r="O215" i="4" a="1"/>
  <c r="O215" i="4" s="1"/>
  <c r="O216" i="4" a="1"/>
  <c r="O216" i="4" s="1"/>
  <c r="O217" i="4" a="1"/>
  <c r="O217" i="4" s="1"/>
  <c r="O218" i="4" a="1"/>
  <c r="O218" i="4" s="1"/>
  <c r="O219" i="4" a="1"/>
  <c r="O219" i="4" s="1"/>
  <c r="O220" i="4" a="1"/>
  <c r="O220" i="4" s="1"/>
  <c r="O221" i="4" a="1"/>
  <c r="O221" i="4" s="1"/>
  <c r="O222" i="4" a="1"/>
  <c r="O222" i="4" s="1"/>
  <c r="O223" i="4" a="1"/>
  <c r="O223" i="4" s="1"/>
  <c r="O224" i="4" a="1"/>
  <c r="O224" i="4" s="1"/>
  <c r="O225" i="4" a="1"/>
  <c r="O225" i="4" s="1"/>
  <c r="O226" i="4" a="1"/>
  <c r="O226" i="4"/>
  <c r="O227" i="4" a="1"/>
  <c r="O227" i="4" s="1"/>
  <c r="O228" i="4" a="1"/>
  <c r="O228" i="4" s="1"/>
  <c r="O229" i="4" a="1"/>
  <c r="O229" i="4" s="1"/>
  <c r="O230" i="4" a="1"/>
  <c r="O230" i="4" s="1"/>
  <c r="O231" i="4" a="1"/>
  <c r="O231" i="4" s="1"/>
  <c r="O232" i="4" a="1"/>
  <c r="O232" i="4" s="1"/>
  <c r="O233" i="4" a="1"/>
  <c r="O233" i="4" s="1"/>
  <c r="O234" i="4" a="1"/>
  <c r="O234" i="4" s="1"/>
  <c r="O235" i="4" a="1"/>
  <c r="O235" i="4" s="1"/>
  <c r="O236" i="4" a="1"/>
  <c r="O236" i="4" s="1"/>
  <c r="O237" i="4" a="1"/>
  <c r="O237" i="4" s="1"/>
  <c r="O238" i="4" a="1"/>
  <c r="O238" i="4" s="1"/>
  <c r="O239" i="4" a="1"/>
  <c r="O239" i="4" s="1"/>
  <c r="O240" i="4" a="1"/>
  <c r="O240" i="4" s="1"/>
  <c r="O241" i="4" a="1"/>
  <c r="O241" i="4" s="1"/>
  <c r="O242" i="4" a="1"/>
  <c r="O242" i="4" s="1"/>
  <c r="O243" i="4" a="1"/>
  <c r="O243" i="4" s="1"/>
  <c r="O244" i="4" a="1"/>
  <c r="O244" i="4" s="1"/>
  <c r="O245" i="4" a="1"/>
  <c r="O245" i="4" s="1"/>
  <c r="O246" i="4" a="1"/>
  <c r="O246" i="4" s="1"/>
  <c r="O247" i="4" a="1"/>
  <c r="O247" i="4" s="1"/>
  <c r="O248" i="4" a="1"/>
  <c r="O248" i="4" s="1"/>
  <c r="O249" i="4" a="1"/>
  <c r="O249" i="4" s="1"/>
  <c r="O250" i="4" a="1"/>
  <c r="O250" i="4"/>
  <c r="O251" i="4" a="1"/>
  <c r="O251" i="4" s="1"/>
  <c r="O252" i="4" a="1"/>
  <c r="O252" i="4" s="1"/>
  <c r="O253" i="4" a="1"/>
  <c r="O253" i="4" s="1"/>
  <c r="O254" i="4" a="1"/>
  <c r="O254" i="4" s="1"/>
  <c r="O255" i="4" a="1"/>
  <c r="O255" i="4" s="1"/>
  <c r="O256" i="4" a="1"/>
  <c r="O256" i="4" s="1"/>
  <c r="O257" i="4" a="1"/>
  <c r="O257" i="4" s="1"/>
  <c r="O258" i="4" a="1"/>
  <c r="O258" i="4" s="1"/>
  <c r="O259" i="4" a="1"/>
  <c r="O259" i="4" s="1"/>
  <c r="O260" i="4" a="1"/>
  <c r="O260" i="4" s="1"/>
  <c r="O261" i="4" a="1"/>
  <c r="O261" i="4" s="1"/>
  <c r="O262" i="4" a="1"/>
  <c r="O262" i="4" s="1"/>
  <c r="O263" i="4" a="1"/>
  <c r="O263" i="4" s="1"/>
  <c r="O264" i="4" a="1"/>
  <c r="O264" i="4" s="1"/>
  <c r="O265" i="4" a="1"/>
  <c r="O265" i="4" s="1"/>
  <c r="O266" i="4" a="1"/>
  <c r="O266" i="4" s="1"/>
  <c r="O267" i="4" a="1"/>
  <c r="O267" i="4" s="1"/>
  <c r="O268" i="4" a="1"/>
  <c r="O268" i="4" s="1"/>
  <c r="O269" i="4" a="1"/>
  <c r="O269" i="4" s="1"/>
  <c r="O270" i="4" a="1"/>
  <c r="O270" i="4" s="1"/>
  <c r="O271" i="4" a="1"/>
  <c r="O271" i="4" s="1"/>
  <c r="O272" i="4" a="1"/>
  <c r="O272" i="4" s="1"/>
  <c r="O273" i="4" a="1"/>
  <c r="O273" i="4" s="1"/>
  <c r="O274" i="4" a="1"/>
  <c r="O274" i="4"/>
  <c r="O275" i="4" a="1"/>
  <c r="O275" i="4" s="1"/>
  <c r="O276" i="4" a="1"/>
  <c r="O276" i="4" s="1"/>
  <c r="O277" i="4" a="1"/>
  <c r="O277" i="4" s="1"/>
  <c r="O278" i="4" a="1"/>
  <c r="O278" i="4"/>
  <c r="O279" i="4" a="1"/>
  <c r="O279" i="4" s="1"/>
  <c r="O280" i="4" a="1"/>
  <c r="O280" i="4" s="1"/>
  <c r="O281" i="4" a="1"/>
  <c r="O281" i="4" s="1"/>
  <c r="O282" i="4" a="1"/>
  <c r="O282" i="4" s="1"/>
  <c r="O283" i="4" a="1"/>
  <c r="O283" i="4" s="1"/>
  <c r="O284" i="4" a="1"/>
  <c r="O284" i="4" s="1"/>
  <c r="O285" i="4" a="1"/>
  <c r="O285" i="4" s="1"/>
  <c r="O286" i="4" a="1"/>
  <c r="O286" i="4" s="1"/>
  <c r="O287" i="4" a="1"/>
  <c r="O287" i="4" s="1"/>
  <c r="O288" i="4" a="1"/>
  <c r="O288" i="4" s="1"/>
  <c r="O289" i="4" a="1"/>
  <c r="O289" i="4" s="1"/>
  <c r="O290" i="4" a="1"/>
  <c r="O290" i="4" s="1"/>
  <c r="O291" i="4" a="1"/>
  <c r="O291" i="4" s="1"/>
  <c r="O292" i="4" a="1"/>
  <c r="O292" i="4" s="1"/>
  <c r="O293" i="4" a="1"/>
  <c r="O293" i="4" s="1"/>
  <c r="O294" i="4" a="1"/>
  <c r="O294" i="4"/>
  <c r="O295" i="4" a="1"/>
  <c r="O295" i="4" s="1"/>
  <c r="O296" i="4" a="1"/>
  <c r="O296" i="4" s="1"/>
  <c r="O297" i="4" a="1"/>
  <c r="O297" i="4" s="1"/>
  <c r="O298" i="4" a="1"/>
  <c r="O298" i="4" s="1"/>
  <c r="O299" i="4" a="1"/>
  <c r="O299" i="4" s="1"/>
  <c r="O300" i="4" a="1"/>
  <c r="O300" i="4" s="1"/>
  <c r="O301" i="4" a="1"/>
  <c r="O301" i="4" s="1"/>
  <c r="O302" i="4" a="1"/>
  <c r="O302" i="4" s="1"/>
  <c r="O303" i="4" a="1"/>
  <c r="O303" i="4" s="1"/>
  <c r="O304" i="4" a="1"/>
  <c r="O304" i="4" s="1"/>
  <c r="O305" i="4" a="1"/>
  <c r="O305" i="4" s="1"/>
  <c r="O306" i="4" a="1"/>
  <c r="O306" i="4" s="1"/>
  <c r="O307" i="4" a="1"/>
  <c r="O307" i="4" s="1"/>
  <c r="O308" i="4" a="1"/>
  <c r="O308" i="4" s="1"/>
  <c r="O309" i="4" a="1"/>
  <c r="O309" i="4" s="1"/>
  <c r="O310" i="4" a="1"/>
  <c r="O310" i="4" s="1"/>
  <c r="O311" i="4" a="1"/>
  <c r="O311" i="4" s="1"/>
  <c r="O312" i="4" a="1"/>
  <c r="O312" i="4" s="1"/>
  <c r="O313" i="4" a="1"/>
  <c r="O313" i="4" s="1"/>
  <c r="O314" i="4" a="1"/>
  <c r="O314" i="4" s="1"/>
  <c r="O315" i="4" a="1"/>
  <c r="O315" i="4" s="1"/>
  <c r="O316" i="4" a="1"/>
  <c r="O316" i="4" s="1"/>
  <c r="O317" i="4" a="1"/>
  <c r="O317" i="4" s="1"/>
  <c r="O318" i="4" a="1"/>
  <c r="O318" i="4" s="1"/>
  <c r="O319" i="4" a="1"/>
  <c r="O319" i="4" s="1"/>
  <c r="O320" i="4" a="1"/>
  <c r="O320" i="4" s="1"/>
  <c r="O321" i="4" a="1"/>
  <c r="O321" i="4" s="1"/>
  <c r="O322" i="4" a="1"/>
  <c r="O322" i="4" s="1"/>
  <c r="O323" i="4" a="1"/>
  <c r="O323" i="4" s="1"/>
  <c r="O324" i="4" a="1"/>
  <c r="O324" i="4" s="1"/>
  <c r="O325" i="4" a="1"/>
  <c r="O325" i="4" s="1"/>
  <c r="O326" i="4" a="1"/>
  <c r="O326" i="4" s="1"/>
  <c r="O327" i="4" a="1"/>
  <c r="O327" i="4" s="1"/>
  <c r="O328" i="4" a="1"/>
  <c r="O328" i="4" s="1"/>
  <c r="O329" i="4" a="1"/>
  <c r="O329" i="4" s="1"/>
  <c r="O330" i="4" a="1"/>
  <c r="O330" i="4" s="1"/>
  <c r="O331" i="4" a="1"/>
  <c r="O331" i="4" s="1"/>
  <c r="O332" i="4" a="1"/>
  <c r="O332" i="4" s="1"/>
  <c r="O333" i="4" a="1"/>
  <c r="O333" i="4" s="1"/>
  <c r="O334" i="4" a="1"/>
  <c r="O334" i="4" s="1"/>
  <c r="O335" i="4" a="1"/>
  <c r="O335" i="4" s="1"/>
  <c r="O336" i="4" a="1"/>
  <c r="O336" i="4" s="1"/>
  <c r="O337" i="4" a="1"/>
  <c r="O337" i="4" s="1"/>
  <c r="O338" i="4" a="1"/>
  <c r="O338" i="4" s="1"/>
  <c r="O339" i="4" a="1"/>
  <c r="O339" i="4" s="1"/>
  <c r="O340" i="4" a="1"/>
  <c r="O340" i="4" s="1"/>
  <c r="O341" i="4" a="1"/>
  <c r="O341" i="4" s="1"/>
  <c r="O342" i="4" a="1"/>
  <c r="O342" i="4"/>
  <c r="O343" i="4" a="1"/>
  <c r="O343" i="4" s="1"/>
  <c r="O344" i="4" a="1"/>
  <c r="O344" i="4"/>
  <c r="O345" i="4" a="1"/>
  <c r="O345" i="4" s="1"/>
  <c r="O346" i="4" a="1"/>
  <c r="O346" i="4" s="1"/>
  <c r="O347" i="4" a="1"/>
  <c r="O347" i="4" s="1"/>
  <c r="O348" i="4" a="1"/>
  <c r="O348" i="4" s="1"/>
  <c r="O349" i="4" a="1"/>
  <c r="O349" i="4" s="1"/>
  <c r="O350" i="4" a="1"/>
  <c r="O350" i="4" s="1"/>
  <c r="O351" i="4" a="1"/>
  <c r="O351" i="4" s="1"/>
  <c r="O352" i="4" a="1"/>
  <c r="O352" i="4" s="1"/>
  <c r="O353" i="4" a="1"/>
  <c r="O353" i="4" s="1"/>
  <c r="O354" i="4" a="1"/>
  <c r="O354" i="4" s="1"/>
  <c r="O355" i="4" a="1"/>
  <c r="O355" i="4" s="1"/>
  <c r="O356" i="4" a="1"/>
  <c r="O356" i="4" s="1"/>
  <c r="O357" i="4" a="1"/>
  <c r="O357" i="4" s="1"/>
  <c r="O358" i="4" a="1"/>
  <c r="O358" i="4" s="1"/>
  <c r="O359" i="4" a="1"/>
  <c r="O359" i="4" s="1"/>
  <c r="O360" i="4" a="1"/>
  <c r="O360" i="4" s="1"/>
  <c r="O361" i="4" a="1"/>
  <c r="O361" i="4" s="1"/>
  <c r="O362" i="4" a="1"/>
  <c r="O362" i="4"/>
  <c r="O363" i="4" a="1"/>
  <c r="O363" i="4" s="1"/>
  <c r="O364" i="4" a="1"/>
  <c r="O364" i="4" s="1"/>
  <c r="O365" i="4" a="1"/>
  <c r="O365" i="4" s="1"/>
  <c r="O366" i="4" a="1"/>
  <c r="O366" i="4" s="1"/>
  <c r="O367" i="4" a="1"/>
  <c r="O367" i="4" s="1"/>
  <c r="O368" i="4" a="1"/>
  <c r="O368" i="4" s="1"/>
  <c r="O369" i="4" a="1"/>
  <c r="O369" i="4" s="1"/>
  <c r="O370" i="4" a="1"/>
  <c r="O370" i="4" s="1"/>
  <c r="O371" i="4" a="1"/>
  <c r="O371" i="4" s="1"/>
  <c r="O372" i="4" a="1"/>
  <c r="O372" i="4" s="1"/>
  <c r="O373" i="4" a="1"/>
  <c r="O373" i="4" s="1"/>
  <c r="O374" i="4" a="1"/>
  <c r="O374" i="4" s="1"/>
  <c r="O375" i="4" a="1"/>
  <c r="O375" i="4" s="1"/>
  <c r="O376" i="4" a="1"/>
  <c r="O376" i="4" s="1"/>
  <c r="O377" i="4" a="1"/>
  <c r="O377" i="4" s="1"/>
  <c r="O378" i="4" a="1"/>
  <c r="O378" i="4" s="1"/>
  <c r="O379" i="4" a="1"/>
  <c r="O379" i="4" s="1"/>
  <c r="O380" i="4" a="1"/>
  <c r="O380" i="4" s="1"/>
  <c r="O381" i="4" a="1"/>
  <c r="O381" i="4" s="1"/>
  <c r="O382" i="4" a="1"/>
  <c r="O382" i="4" s="1"/>
  <c r="O383" i="4" a="1"/>
  <c r="O383" i="4" s="1"/>
  <c r="O384" i="4" a="1"/>
  <c r="O384" i="4" s="1"/>
  <c r="O385" i="4" a="1"/>
  <c r="O385" i="4" s="1"/>
  <c r="O386" i="4" a="1"/>
  <c r="O386" i="4"/>
  <c r="O387" i="4" a="1"/>
  <c r="O387" i="4" s="1"/>
  <c r="O388" i="4" a="1"/>
  <c r="O388" i="4" s="1"/>
  <c r="O389" i="4" a="1"/>
  <c r="O389" i="4" s="1"/>
  <c r="O390" i="4" a="1"/>
  <c r="O390" i="4" s="1"/>
  <c r="O391" i="4" a="1"/>
  <c r="O391" i="4" s="1"/>
  <c r="O392" i="4" a="1"/>
  <c r="O392" i="4" s="1"/>
  <c r="O393" i="4" a="1"/>
  <c r="O393" i="4" s="1"/>
  <c r="O394" i="4" a="1"/>
  <c r="O394" i="4" s="1"/>
  <c r="O395" i="4" a="1"/>
  <c r="O395" i="4" s="1"/>
  <c r="O396" i="4" a="1"/>
  <c r="O396" i="4" s="1"/>
  <c r="O397" i="4" a="1"/>
  <c r="O397" i="4" s="1"/>
  <c r="O398" i="4" a="1"/>
  <c r="O398" i="4" s="1"/>
  <c r="O399" i="4" a="1"/>
  <c r="O399" i="4" s="1"/>
  <c r="O400" i="4" a="1"/>
  <c r="O400" i="4" s="1"/>
  <c r="O401" i="4" a="1"/>
  <c r="O401" i="4" s="1"/>
  <c r="O402" i="4" a="1"/>
  <c r="O402" i="4"/>
  <c r="O403" i="4" a="1"/>
  <c r="O403" i="4" s="1"/>
  <c r="O404" i="4" a="1"/>
  <c r="O404" i="4" s="1"/>
  <c r="O405" i="4" a="1"/>
  <c r="O405" i="4" s="1"/>
  <c r="O406" i="4" a="1"/>
  <c r="O406" i="4" s="1"/>
  <c r="O407" i="4" a="1"/>
  <c r="O407" i="4" s="1"/>
  <c r="O408" i="4" a="1"/>
  <c r="O408" i="4" s="1"/>
  <c r="O409" i="4" a="1"/>
  <c r="O409" i="4" s="1"/>
  <c r="O410" i="4" a="1"/>
  <c r="O410" i="4"/>
  <c r="O411" i="4" a="1"/>
  <c r="O411" i="4" s="1"/>
  <c r="O412" i="4" a="1"/>
  <c r="O412" i="4" s="1"/>
  <c r="O413" i="4" a="1"/>
  <c r="O413" i="4" s="1"/>
  <c r="O414" i="4" a="1"/>
  <c r="O414" i="4" s="1"/>
  <c r="O415" i="4" a="1"/>
  <c r="O415" i="4" s="1"/>
  <c r="O416" i="4" a="1"/>
  <c r="O416" i="4" s="1"/>
  <c r="O417" i="4" a="1"/>
  <c r="O417" i="4" s="1"/>
  <c r="O418" i="4" a="1"/>
  <c r="O418" i="4" s="1"/>
  <c r="O419" i="4" a="1"/>
  <c r="O419" i="4" s="1"/>
  <c r="O420" i="4" a="1"/>
  <c r="O420" i="4" s="1"/>
  <c r="O421" i="4" a="1"/>
  <c r="O421" i="4" s="1"/>
  <c r="O422" i="4" a="1"/>
  <c r="O422" i="4" s="1"/>
  <c r="O423" i="4" a="1"/>
  <c r="O423" i="4" s="1"/>
  <c r="O424" i="4" a="1"/>
  <c r="O424" i="4" s="1"/>
  <c r="O425" i="4" a="1"/>
  <c r="O425" i="4" s="1"/>
  <c r="O426" i="4" a="1"/>
  <c r="O426" i="4"/>
  <c r="O427" i="4" a="1"/>
  <c r="O427" i="4" s="1"/>
  <c r="O428" i="4" a="1"/>
  <c r="O428" i="4" s="1"/>
  <c r="O429" i="4" a="1"/>
  <c r="O429" i="4" s="1"/>
  <c r="O430" i="4" a="1"/>
  <c r="O430" i="4" s="1"/>
  <c r="O431" i="4" a="1"/>
  <c r="O431" i="4" s="1"/>
  <c r="O432" i="4" a="1"/>
  <c r="O432" i="4" s="1"/>
  <c r="O433" i="4" a="1"/>
  <c r="O433" i="4" s="1"/>
  <c r="O434" i="4" a="1"/>
  <c r="O434" i="4" s="1"/>
  <c r="O435" i="4" a="1"/>
  <c r="O435" i="4" s="1"/>
  <c r="O436" i="4" a="1"/>
  <c r="O436" i="4" s="1"/>
  <c r="O437" i="4" a="1"/>
  <c r="O437" i="4" s="1"/>
  <c r="O438" i="4" a="1"/>
  <c r="O438" i="4" s="1"/>
  <c r="O439" i="4" a="1"/>
  <c r="O439" i="4" s="1"/>
  <c r="O440" i="4" a="1"/>
  <c r="O440" i="4" s="1"/>
  <c r="O441" i="4" a="1"/>
  <c r="O441" i="4" s="1"/>
  <c r="O442" i="4" a="1"/>
  <c r="O442" i="4" s="1"/>
  <c r="O443" i="4" a="1"/>
  <c r="O443" i="4" s="1"/>
  <c r="O444" i="4" a="1"/>
  <c r="O444" i="4" s="1"/>
  <c r="O445" i="4" a="1"/>
  <c r="O445" i="4" s="1"/>
  <c r="O446" i="4" a="1"/>
  <c r="O446" i="4" s="1"/>
  <c r="O447" i="4" a="1"/>
  <c r="O447" i="4" s="1"/>
  <c r="O448" i="4" a="1"/>
  <c r="O448" i="4" s="1"/>
  <c r="O449" i="4" a="1"/>
  <c r="O449" i="4" s="1"/>
  <c r="O450" i="4" a="1"/>
  <c r="O450" i="4"/>
  <c r="O451" i="4" a="1"/>
  <c r="O451" i="4" s="1"/>
  <c r="O452" i="4" a="1"/>
  <c r="O452" i="4" s="1"/>
  <c r="O453" i="4" a="1"/>
  <c r="O453" i="4" s="1"/>
  <c r="O454" i="4" a="1"/>
  <c r="O454" i="4" s="1"/>
  <c r="O455" i="4" a="1"/>
  <c r="O455" i="4" s="1"/>
  <c r="O456" i="4" a="1"/>
  <c r="O456" i="4" s="1"/>
  <c r="O457" i="4" a="1"/>
  <c r="O457" i="4" s="1"/>
  <c r="O458" i="4" a="1"/>
  <c r="O458" i="4" s="1"/>
  <c r="O459" i="4" a="1"/>
  <c r="O459" i="4" s="1"/>
  <c r="O460" i="4" a="1"/>
  <c r="O460" i="4" s="1"/>
  <c r="O461" i="4" a="1"/>
  <c r="O461" i="4" s="1"/>
  <c r="O462" i="4" a="1"/>
  <c r="O462" i="4" s="1"/>
  <c r="O463" i="4" a="1"/>
  <c r="O463" i="4" s="1"/>
  <c r="O464" i="4" a="1"/>
  <c r="O464" i="4" s="1"/>
  <c r="O465" i="4" a="1"/>
  <c r="O465" i="4" s="1"/>
  <c r="O466" i="4" a="1"/>
  <c r="O466" i="4"/>
  <c r="O467" i="4" a="1"/>
  <c r="O467" i="4" s="1"/>
  <c r="O468" i="4" a="1"/>
  <c r="O468" i="4" s="1"/>
  <c r="O469" i="4" a="1"/>
  <c r="O469" i="4" s="1"/>
  <c r="O470" i="4" a="1"/>
  <c r="O470" i="4" s="1"/>
  <c r="O471" i="4" a="1"/>
  <c r="O471" i="4" s="1"/>
  <c r="O472" i="4" a="1"/>
  <c r="O472" i="4" s="1"/>
  <c r="O473" i="4" a="1"/>
  <c r="O473" i="4" s="1"/>
  <c r="O474" i="4" a="1"/>
  <c r="O474" i="4" s="1"/>
  <c r="O475" i="4" a="1"/>
  <c r="O475" i="4" s="1"/>
  <c r="O476" i="4" a="1"/>
  <c r="O476" i="4" s="1"/>
  <c r="O477" i="4" a="1"/>
  <c r="O477" i="4" s="1"/>
  <c r="O478" i="4" a="1"/>
  <c r="O478" i="4" s="1"/>
  <c r="O479" i="4" a="1"/>
  <c r="O479" i="4" s="1"/>
  <c r="O480" i="4" a="1"/>
  <c r="O480" i="4" s="1"/>
  <c r="O481" i="4" a="1"/>
  <c r="O481" i="4" s="1"/>
  <c r="O482" i="4" a="1"/>
  <c r="O482" i="4" s="1"/>
  <c r="O483" i="4" a="1"/>
  <c r="O483" i="4" s="1"/>
  <c r="O484" i="4" a="1"/>
  <c r="O484" i="4" s="1"/>
  <c r="O485" i="4" a="1"/>
  <c r="O485" i="4" s="1"/>
  <c r="O486" i="4" a="1"/>
  <c r="O486" i="4" s="1"/>
  <c r="O487" i="4" a="1"/>
  <c r="O487" i="4" s="1"/>
  <c r="O488" i="4" a="1"/>
  <c r="O488" i="4" s="1"/>
  <c r="O489" i="4" a="1"/>
  <c r="O489" i="4" s="1"/>
  <c r="O490" i="4" a="1"/>
  <c r="O490" i="4"/>
  <c r="O491" i="4" a="1"/>
  <c r="O491" i="4" s="1"/>
  <c r="O492" i="4" a="1"/>
  <c r="O492" i="4" s="1"/>
  <c r="O493" i="4" a="1"/>
  <c r="O493" i="4" s="1"/>
  <c r="O494" i="4" a="1"/>
  <c r="O494" i="4" s="1"/>
  <c r="O495" i="4" a="1"/>
  <c r="O495" i="4" s="1"/>
  <c r="O496" i="4" a="1"/>
  <c r="O496" i="4" s="1"/>
  <c r="O497" i="4" a="1"/>
  <c r="O497" i="4" s="1"/>
  <c r="O498" i="4" a="1"/>
  <c r="O498" i="4"/>
  <c r="O499" i="4" a="1"/>
  <c r="O499" i="4" s="1"/>
  <c r="O500" i="4" a="1"/>
  <c r="O500" i="4" s="1"/>
  <c r="O501" i="4" a="1"/>
  <c r="O501" i="4" s="1"/>
  <c r="O502" i="4" a="1"/>
  <c r="O502" i="4" s="1"/>
  <c r="O503" i="4" a="1"/>
  <c r="O503" i="4" s="1"/>
  <c r="O504" i="4" a="1"/>
  <c r="O504" i="4" s="1"/>
  <c r="O505" i="4" a="1"/>
  <c r="O505" i="4" s="1"/>
  <c r="O506" i="4" a="1"/>
  <c r="O506" i="4" s="1"/>
  <c r="O507" i="4" a="1"/>
  <c r="O507" i="4" s="1"/>
  <c r="O508" i="4" a="1"/>
  <c r="O508" i="4" s="1"/>
  <c r="O509" i="4" a="1"/>
  <c r="O509" i="4" s="1"/>
  <c r="O510" i="4" a="1"/>
  <c r="O510" i="4" s="1"/>
  <c r="O511" i="4" a="1"/>
  <c r="O511" i="4" s="1"/>
  <c r="O512" i="4" a="1"/>
  <c r="O512" i="4" s="1"/>
  <c r="O513" i="4" a="1"/>
  <c r="O513" i="4" s="1"/>
  <c r="O514" i="4" a="1"/>
  <c r="O514" i="4"/>
  <c r="O515" i="4" a="1"/>
  <c r="O515" i="4" s="1"/>
  <c r="O516" i="4" a="1"/>
  <c r="O516" i="4" s="1"/>
  <c r="O517" i="4" a="1"/>
  <c r="O517" i="4" s="1"/>
  <c r="O518" i="4" a="1"/>
  <c r="O518" i="4" s="1"/>
  <c r="O519" i="4" a="1"/>
  <c r="O519" i="4" s="1"/>
  <c r="O520" i="4" a="1"/>
  <c r="O520" i="4" s="1"/>
  <c r="O521" i="4" a="1"/>
  <c r="O521" i="4" s="1"/>
  <c r="O522" i="4" a="1"/>
  <c r="O522" i="4" s="1"/>
  <c r="O523" i="4" a="1"/>
  <c r="O523" i="4" s="1"/>
  <c r="O524" i="4" a="1"/>
  <c r="O524" i="4" s="1"/>
  <c r="O525" i="4" a="1"/>
  <c r="O525" i="4" s="1"/>
  <c r="O526" i="4" a="1"/>
  <c r="O526" i="4" s="1"/>
  <c r="O527" i="4" a="1"/>
  <c r="O527" i="4" s="1"/>
  <c r="O528" i="4" a="1"/>
  <c r="O528" i="4" s="1"/>
  <c r="O529" i="4" a="1"/>
  <c r="O529" i="4" s="1"/>
  <c r="O530" i="4" a="1"/>
  <c r="O530" i="4"/>
  <c r="O531" i="4" a="1"/>
  <c r="O531" i="4" s="1"/>
  <c r="O532" i="4" a="1"/>
  <c r="O532" i="4" s="1"/>
  <c r="O533" i="4" a="1"/>
  <c r="O533" i="4" s="1"/>
  <c r="O534" i="4" a="1"/>
  <c r="O534" i="4" s="1"/>
  <c r="O535" i="4" a="1"/>
  <c r="O535" i="4" s="1"/>
  <c r="O536" i="4" a="1"/>
  <c r="O536" i="4" s="1"/>
  <c r="O537" i="4" a="1"/>
  <c r="O537" i="4" s="1"/>
  <c r="O538" i="4" a="1"/>
  <c r="O538" i="4"/>
  <c r="O539" i="4" a="1"/>
  <c r="O539" i="4" s="1"/>
  <c r="O540" i="4" a="1"/>
  <c r="O540" i="4" s="1"/>
  <c r="O541" i="4" a="1"/>
  <c r="O541" i="4" s="1"/>
  <c r="O542" i="4" a="1"/>
  <c r="O542" i="4" s="1"/>
  <c r="O543" i="4" a="1"/>
  <c r="O543" i="4" s="1"/>
  <c r="O544" i="4" a="1"/>
  <c r="O544" i="4" s="1"/>
  <c r="O545" i="4" a="1"/>
  <c r="O545" i="4" s="1"/>
  <c r="O546" i="4" a="1"/>
  <c r="O546" i="4" s="1"/>
  <c r="O547" i="4" a="1"/>
  <c r="O547" i="4" s="1"/>
  <c r="O548" i="4" a="1"/>
  <c r="O548" i="4" s="1"/>
  <c r="O549" i="4" a="1"/>
  <c r="O549" i="4" s="1"/>
  <c r="O550" i="4" a="1"/>
  <c r="O550" i="4" s="1"/>
  <c r="O551" i="4" a="1"/>
  <c r="O551" i="4" s="1"/>
  <c r="O552" i="4" a="1"/>
  <c r="O552" i="4" s="1"/>
  <c r="O553" i="4" a="1"/>
  <c r="O553" i="4" s="1"/>
  <c r="O554" i="4" a="1"/>
  <c r="O554" i="4"/>
  <c r="O555" i="4" a="1"/>
  <c r="O555" i="4" s="1"/>
  <c r="O556" i="4" a="1"/>
  <c r="O556" i="4" s="1"/>
  <c r="O557" i="4" a="1"/>
  <c r="O557" i="4" s="1"/>
  <c r="O558" i="4" a="1"/>
  <c r="O558" i="4"/>
  <c r="O559" i="4" a="1"/>
  <c r="O559" i="4" s="1"/>
  <c r="O560" i="4" a="1"/>
  <c r="O560" i="4" s="1"/>
  <c r="O561" i="4" a="1"/>
  <c r="O561" i="4" s="1"/>
  <c r="O562" i="4" a="1"/>
  <c r="O562" i="4" s="1"/>
  <c r="O563" i="4" a="1"/>
  <c r="O563" i="4" s="1"/>
  <c r="O564" i="4" a="1"/>
  <c r="O564" i="4" s="1"/>
  <c r="O565" i="4" a="1"/>
  <c r="O565" i="4" s="1"/>
  <c r="O566" i="4" a="1"/>
  <c r="O566" i="4" s="1"/>
  <c r="O567" i="4" a="1"/>
  <c r="O567" i="4" s="1"/>
  <c r="O568" i="4" a="1"/>
  <c r="O568" i="4" s="1"/>
  <c r="O569" i="4" a="1"/>
  <c r="O569" i="4" s="1"/>
  <c r="O570" i="4" a="1"/>
  <c r="O570" i="4"/>
  <c r="O571" i="4" a="1"/>
  <c r="O571" i="4" s="1"/>
  <c r="O572" i="4" a="1"/>
  <c r="O572" i="4" s="1"/>
  <c r="O573" i="4" a="1"/>
  <c r="O573" i="4" s="1"/>
  <c r="O574" i="4" a="1"/>
  <c r="O574" i="4" s="1"/>
  <c r="O575" i="4" a="1"/>
  <c r="O575" i="4" s="1"/>
  <c r="O576" i="4" a="1"/>
  <c r="O576" i="4" s="1"/>
  <c r="O577" i="4" a="1"/>
  <c r="O577" i="4" s="1"/>
  <c r="O578" i="4" a="1"/>
  <c r="O578" i="4" s="1"/>
  <c r="O579" i="4" a="1"/>
  <c r="O579" i="4" s="1"/>
  <c r="O580" i="4" a="1"/>
  <c r="O580" i="4" s="1"/>
  <c r="O581" i="4" a="1"/>
  <c r="O581" i="4" s="1"/>
  <c r="O582" i="4" a="1"/>
  <c r="O582" i="4" s="1"/>
  <c r="O583" i="4" a="1"/>
  <c r="O583" i="4" s="1"/>
  <c r="O584" i="4" a="1"/>
  <c r="O584" i="4" s="1"/>
  <c r="O585" i="4" a="1"/>
  <c r="O585" i="4" s="1"/>
  <c r="O586" i="4" a="1"/>
  <c r="O586" i="4" s="1"/>
  <c r="O587" i="4" a="1"/>
  <c r="O587" i="4" s="1"/>
  <c r="O588" i="4" a="1"/>
  <c r="O588" i="4" s="1"/>
  <c r="O589" i="4" a="1"/>
  <c r="O589" i="4" s="1"/>
  <c r="O590" i="4" a="1"/>
  <c r="O590" i="4" s="1"/>
  <c r="O591" i="4" a="1"/>
  <c r="O591" i="4" s="1"/>
  <c r="O592" i="4" a="1"/>
  <c r="O592" i="4" s="1"/>
  <c r="O593" i="4" a="1"/>
  <c r="O593" i="4" s="1"/>
  <c r="O594" i="4" a="1"/>
  <c r="O594" i="4"/>
  <c r="O595" i="4" a="1"/>
  <c r="O595" i="4" s="1"/>
  <c r="O596" i="4" a="1"/>
  <c r="O596" i="4" s="1"/>
  <c r="O597" i="4" a="1"/>
  <c r="O597" i="4" s="1"/>
  <c r="O598" i="4" a="1"/>
  <c r="O598" i="4" s="1"/>
  <c r="O599" i="4" a="1"/>
  <c r="O599" i="4" s="1"/>
  <c r="O600" i="4" a="1"/>
  <c r="O600" i="4" s="1"/>
  <c r="O601" i="4" a="1"/>
  <c r="O601" i="4" s="1"/>
  <c r="O602" i="4" a="1"/>
  <c r="O602" i="4" s="1"/>
  <c r="O603" i="4" a="1"/>
  <c r="O603" i="4" s="1"/>
  <c r="O604" i="4" a="1"/>
  <c r="O604" i="4" s="1"/>
  <c r="O605" i="4" a="1"/>
  <c r="O605" i="4" s="1"/>
  <c r="O606" i="4" a="1"/>
  <c r="O606" i="4" s="1"/>
  <c r="O607" i="4" a="1"/>
  <c r="O607" i="4" s="1"/>
  <c r="O608" i="4" a="1"/>
  <c r="O608" i="4" s="1"/>
  <c r="O609" i="4" a="1"/>
  <c r="O609" i="4" s="1"/>
  <c r="O610" i="4" a="1"/>
  <c r="O610" i="4"/>
  <c r="O611" i="4" a="1"/>
  <c r="O611" i="4" s="1"/>
  <c r="O612" i="4" a="1"/>
  <c r="O612" i="4" s="1"/>
  <c r="O613" i="4" a="1"/>
  <c r="O613" i="4" s="1"/>
  <c r="O614" i="4" a="1"/>
  <c r="O614" i="4" s="1"/>
  <c r="O615" i="4" a="1"/>
  <c r="O615" i="4" s="1"/>
  <c r="O616" i="4" a="1"/>
  <c r="O616" i="4" s="1"/>
  <c r="O617" i="4" a="1"/>
  <c r="O617" i="4" s="1"/>
  <c r="O618" i="4" a="1"/>
  <c r="O618" i="4" s="1"/>
  <c r="O619" i="4" a="1"/>
  <c r="O619" i="4" s="1"/>
  <c r="O620" i="4" a="1"/>
  <c r="O620" i="4" s="1"/>
  <c r="O621" i="4" a="1"/>
  <c r="O621" i="4" s="1"/>
  <c r="O622" i="4" a="1"/>
  <c r="O622" i="4" s="1"/>
  <c r="O623" i="4" a="1"/>
  <c r="O623" i="4" s="1"/>
  <c r="O624" i="4" a="1"/>
  <c r="O624" i="4" s="1"/>
  <c r="O625" i="4" a="1"/>
  <c r="O625" i="4" s="1"/>
  <c r="O626" i="4" a="1"/>
  <c r="O626" i="4" s="1"/>
  <c r="O627" i="4" a="1"/>
  <c r="O627" i="4" s="1"/>
  <c r="O628" i="4" a="1"/>
  <c r="O628" i="4" s="1"/>
  <c r="O629" i="4" a="1"/>
  <c r="O629" i="4" s="1"/>
  <c r="O630" i="4" a="1"/>
  <c r="O630" i="4" s="1"/>
  <c r="O631" i="4" a="1"/>
  <c r="O631" i="4" s="1"/>
  <c r="O632" i="4" a="1"/>
  <c r="O632" i="4" s="1"/>
  <c r="O633" i="4" a="1"/>
  <c r="O633" i="4" s="1"/>
  <c r="O634" i="4" a="1"/>
  <c r="O634" i="4" s="1"/>
  <c r="O635" i="4" a="1"/>
  <c r="O635" i="4" s="1"/>
  <c r="O636" i="4" a="1"/>
  <c r="O636" i="4" s="1"/>
  <c r="O637" i="4" a="1"/>
  <c r="O637" i="4" s="1"/>
  <c r="O638" i="4" a="1"/>
  <c r="O638" i="4" s="1"/>
  <c r="O639" i="4" a="1"/>
  <c r="O639" i="4" s="1"/>
  <c r="O640" i="4" a="1"/>
  <c r="O640" i="4" s="1"/>
  <c r="O641" i="4" a="1"/>
  <c r="O641" i="4" s="1"/>
  <c r="O642" i="4" a="1"/>
  <c r="O642" i="4" s="1"/>
  <c r="O643" i="4" a="1"/>
  <c r="O643" i="4" s="1"/>
  <c r="O644" i="4" a="1"/>
  <c r="O644" i="4" s="1"/>
  <c r="O645" i="4" a="1"/>
  <c r="O645" i="4" s="1"/>
  <c r="O646" i="4" a="1"/>
  <c r="O646" i="4" s="1"/>
  <c r="O647" i="4" a="1"/>
  <c r="O647" i="4" s="1"/>
  <c r="O648" i="4" a="1"/>
  <c r="O648" i="4" s="1"/>
  <c r="O649" i="4" a="1"/>
  <c r="O649" i="4"/>
  <c r="O650" i="4" a="1"/>
  <c r="O650" i="4" s="1"/>
  <c r="O651" i="4" a="1"/>
  <c r="O651" i="4" s="1"/>
  <c r="O652" i="4" a="1"/>
  <c r="O652" i="4" s="1"/>
  <c r="O653" i="4" a="1"/>
  <c r="O653" i="4" s="1"/>
  <c r="O654" i="4" a="1"/>
  <c r="O654" i="4"/>
  <c r="O655" i="4" a="1"/>
  <c r="O655" i="4" s="1"/>
  <c r="O656" i="4" a="1"/>
  <c r="O656" i="4" s="1"/>
  <c r="O657" i="4" a="1"/>
  <c r="O657" i="4" s="1"/>
  <c r="O658" i="4" a="1"/>
  <c r="O658" i="4" s="1"/>
  <c r="O659" i="4" a="1"/>
  <c r="O659" i="4" s="1"/>
  <c r="O660" i="4" a="1"/>
  <c r="O660" i="4" s="1"/>
  <c r="O661" i="4" a="1"/>
  <c r="O661" i="4" s="1"/>
  <c r="O662" i="4" a="1"/>
  <c r="O662" i="4" s="1"/>
  <c r="O663" i="4" a="1"/>
  <c r="O663" i="4" s="1"/>
  <c r="O664" i="4" a="1"/>
  <c r="O664" i="4" s="1"/>
  <c r="O665" i="4" a="1"/>
  <c r="O665" i="4"/>
  <c r="O666" i="4" a="1"/>
  <c r="O666" i="4" s="1"/>
  <c r="O667" i="4" a="1"/>
  <c r="O667" i="4" s="1"/>
  <c r="O668" i="4" a="1"/>
  <c r="O668" i="4" s="1"/>
  <c r="O669" i="4" a="1"/>
  <c r="O669" i="4" s="1"/>
  <c r="O670" i="4" a="1"/>
  <c r="O670" i="4"/>
  <c r="O671" i="4" a="1"/>
  <c r="O671" i="4" s="1"/>
  <c r="O672" i="4" a="1"/>
  <c r="O672" i="4" s="1"/>
  <c r="O673" i="4" a="1"/>
  <c r="O673" i="4" s="1"/>
  <c r="O674" i="4" a="1"/>
  <c r="O674" i="4" s="1"/>
  <c r="O675" i="4" a="1"/>
  <c r="O675" i="4" s="1"/>
  <c r="O676" i="4" a="1"/>
  <c r="O676" i="4" s="1"/>
  <c r="O677" i="4" a="1"/>
  <c r="O677" i="4" s="1"/>
  <c r="O678" i="4" a="1"/>
  <c r="O678" i="4" s="1"/>
  <c r="O679" i="4" a="1"/>
  <c r="O679" i="4" s="1"/>
  <c r="O680" i="4" a="1"/>
  <c r="O680" i="4" s="1"/>
  <c r="O681" i="4" a="1"/>
  <c r="O681" i="4" s="1"/>
  <c r="O682" i="4" a="1"/>
  <c r="O682" i="4" s="1"/>
  <c r="O683" i="4" a="1"/>
  <c r="O683" i="4" s="1"/>
  <c r="O684" i="4" a="1"/>
  <c r="O684" i="4" s="1"/>
  <c r="O685" i="4" a="1"/>
  <c r="O685" i="4" s="1"/>
  <c r="O686" i="4" a="1"/>
  <c r="O686" i="4"/>
  <c r="O687" i="4" a="1"/>
  <c r="O687" i="4" s="1"/>
  <c r="O688" i="4" a="1"/>
  <c r="O688" i="4" s="1"/>
  <c r="O689" i="4" a="1"/>
  <c r="O689" i="4" s="1"/>
  <c r="O690" i="4" a="1"/>
  <c r="O690" i="4" s="1"/>
  <c r="O691" i="4" a="1"/>
  <c r="O691" i="4" s="1"/>
  <c r="O692" i="4" a="1"/>
  <c r="O692" i="4" s="1"/>
  <c r="O693" i="4" a="1"/>
  <c r="O693" i="4" s="1"/>
  <c r="O694" i="4" a="1"/>
  <c r="O694" i="4" s="1"/>
  <c r="O695" i="4" a="1"/>
  <c r="O695" i="4" s="1"/>
  <c r="O696" i="4" a="1"/>
  <c r="O696" i="4" s="1"/>
  <c r="O697" i="4" a="1"/>
  <c r="O697" i="4"/>
  <c r="O698" i="4" a="1"/>
  <c r="O698" i="4" s="1"/>
  <c r="O699" i="4" a="1"/>
  <c r="O699" i="4" s="1"/>
  <c r="O700" i="4" a="1"/>
  <c r="O700" i="4" s="1"/>
  <c r="O701" i="4" a="1"/>
  <c r="O701" i="4" s="1"/>
  <c r="O702" i="4" a="1"/>
  <c r="O702" i="4" s="1"/>
  <c r="O703" i="4" a="1"/>
  <c r="O703" i="4" s="1"/>
  <c r="O704" i="4" a="1"/>
  <c r="O704" i="4" s="1"/>
  <c r="O705" i="4" a="1"/>
  <c r="O705" i="4" s="1"/>
  <c r="O706" i="4" a="1"/>
  <c r="O706" i="4" s="1"/>
  <c r="O707" i="4" a="1"/>
  <c r="O707" i="4" s="1"/>
  <c r="O708" i="4" a="1"/>
  <c r="O708" i="4" s="1"/>
  <c r="O709" i="4" a="1"/>
  <c r="O709" i="4" s="1"/>
  <c r="O710" i="4" a="1"/>
  <c r="O710" i="4" s="1"/>
  <c r="O711" i="4" a="1"/>
  <c r="O711" i="4" s="1"/>
  <c r="O712" i="4" a="1"/>
  <c r="O712" i="4" s="1"/>
  <c r="O713" i="4" a="1"/>
  <c r="O713" i="4"/>
  <c r="O714" i="4" a="1"/>
  <c r="O714" i="4" s="1"/>
  <c r="O715" i="4" a="1"/>
  <c r="O715" i="4" s="1"/>
  <c r="O716" i="4" a="1"/>
  <c r="O716" i="4" s="1"/>
  <c r="O717" i="4" a="1"/>
  <c r="O717" i="4" s="1"/>
  <c r="O718" i="4" a="1"/>
  <c r="O718" i="4" s="1"/>
  <c r="O719" i="4" a="1"/>
  <c r="O719" i="4" s="1"/>
  <c r="O720" i="4" a="1"/>
  <c r="O720" i="4" s="1"/>
  <c r="O721" i="4" a="1"/>
  <c r="O721" i="4" s="1"/>
  <c r="O722" i="4" a="1"/>
  <c r="O722" i="4" s="1"/>
  <c r="O723" i="4" a="1"/>
  <c r="O723" i="4" s="1"/>
  <c r="O724" i="4" a="1"/>
  <c r="O724" i="4" s="1"/>
  <c r="O725" i="4" a="1"/>
  <c r="O725" i="4" s="1"/>
  <c r="O726" i="4" a="1"/>
  <c r="O726" i="4" s="1"/>
  <c r="O727" i="4" a="1"/>
  <c r="O727" i="4" s="1"/>
  <c r="O728" i="4" a="1"/>
  <c r="O728" i="4" s="1"/>
  <c r="O729" i="4" a="1"/>
  <c r="O729" i="4"/>
  <c r="O730" i="4" a="1"/>
  <c r="O730" i="4" s="1"/>
  <c r="O731" i="4" a="1"/>
  <c r="O731" i="4" s="1"/>
  <c r="O732" i="4" a="1"/>
  <c r="O732" i="4" s="1"/>
  <c r="O733" i="4" a="1"/>
  <c r="O733" i="4" s="1"/>
  <c r="O734" i="4" a="1"/>
  <c r="O734" i="4"/>
  <c r="O735" i="4" a="1"/>
  <c r="O735" i="4" s="1"/>
  <c r="O736" i="4" a="1"/>
  <c r="O736" i="4" s="1"/>
  <c r="O737" i="4" a="1"/>
  <c r="O737" i="4" s="1"/>
  <c r="O738" i="4" a="1"/>
  <c r="O738" i="4" s="1"/>
  <c r="O739" i="4" a="1"/>
  <c r="O739" i="4" s="1"/>
  <c r="O740" i="4" a="1"/>
  <c r="O740" i="4" s="1"/>
  <c r="O741" i="4" a="1"/>
  <c r="O741" i="4" s="1"/>
  <c r="O742" i="4" a="1"/>
  <c r="O742" i="4" s="1"/>
  <c r="O743" i="4" a="1"/>
  <c r="O743" i="4" s="1"/>
  <c r="O744" i="4" a="1"/>
  <c r="O744" i="4" s="1"/>
  <c r="O745" i="4" a="1"/>
  <c r="O745" i="4" s="1"/>
  <c r="O746" i="4" a="1"/>
  <c r="O746" i="4" s="1"/>
  <c r="O747" i="4" a="1"/>
  <c r="O747" i="4" s="1"/>
  <c r="O748" i="4" a="1"/>
  <c r="O748" i="4" s="1"/>
  <c r="O749" i="4" a="1"/>
  <c r="O749" i="4" s="1"/>
  <c r="O750" i="4" a="1"/>
  <c r="O750" i="4"/>
  <c r="O751" i="4" a="1"/>
  <c r="O751" i="4" s="1"/>
  <c r="O752" i="4" a="1"/>
  <c r="O752" i="4" s="1"/>
  <c r="O753" i="4" a="1"/>
  <c r="O753" i="4" s="1"/>
  <c r="O754" i="4" a="1"/>
  <c r="O754" i="4" s="1"/>
  <c r="O755" i="4" a="1"/>
  <c r="O755" i="4" s="1"/>
  <c r="O756" i="4" a="1"/>
  <c r="O756" i="4" s="1"/>
  <c r="O757" i="4" a="1"/>
  <c r="O757" i="4" s="1"/>
  <c r="O758" i="4" a="1"/>
  <c r="O758" i="4" s="1"/>
  <c r="O759" i="4" a="1"/>
  <c r="O759" i="4" s="1"/>
  <c r="O760" i="4" a="1"/>
  <c r="O760" i="4" s="1"/>
  <c r="O761" i="4" a="1"/>
  <c r="O761" i="4" s="1"/>
  <c r="O762" i="4" a="1"/>
  <c r="O762" i="4" s="1"/>
  <c r="O763" i="4" a="1"/>
  <c r="O763" i="4" s="1"/>
  <c r="O764" i="4" a="1"/>
  <c r="O764" i="4" s="1"/>
  <c r="O765" i="4" a="1"/>
  <c r="O765" i="4" s="1"/>
  <c r="O766" i="4" a="1"/>
  <c r="O766" i="4" s="1"/>
  <c r="O767" i="4" a="1"/>
  <c r="O767" i="4" s="1"/>
  <c r="O768" i="4" a="1"/>
  <c r="O768" i="4" s="1"/>
  <c r="O769" i="4" a="1"/>
  <c r="O769" i="4" s="1"/>
  <c r="O770" i="4" a="1"/>
  <c r="O770" i="4" s="1"/>
  <c r="O771" i="4" a="1"/>
  <c r="O771" i="4" s="1"/>
  <c r="O772" i="4" a="1"/>
  <c r="O772" i="4" s="1"/>
  <c r="O773" i="4" a="1"/>
  <c r="O773" i="4" s="1"/>
  <c r="O774" i="4" a="1"/>
  <c r="O774" i="4" s="1"/>
  <c r="O775" i="4" a="1"/>
  <c r="O775" i="4" s="1"/>
  <c r="O776" i="4" a="1"/>
  <c r="O776" i="4" s="1"/>
  <c r="O777" i="4" a="1"/>
  <c r="O777" i="4"/>
  <c r="O778" i="4" a="1"/>
  <c r="O778" i="4" s="1"/>
  <c r="O779" i="4" a="1"/>
  <c r="O779" i="4" s="1"/>
  <c r="O780" i="4" a="1"/>
  <c r="O780" i="4" s="1"/>
  <c r="O781" i="4" a="1"/>
  <c r="O781" i="4" s="1"/>
  <c r="O782" i="4" a="1"/>
  <c r="O782" i="4"/>
  <c r="O783" i="4" a="1"/>
  <c r="O783" i="4" s="1"/>
  <c r="O784" i="4" a="1"/>
  <c r="O784" i="4" s="1"/>
  <c r="O785" i="4" a="1"/>
  <c r="O785" i="4" s="1"/>
  <c r="O786" i="4" a="1"/>
  <c r="O786" i="4" s="1"/>
  <c r="O787" i="4" a="1"/>
  <c r="O787" i="4" s="1"/>
  <c r="O788" i="4" a="1"/>
  <c r="O788" i="4" s="1"/>
  <c r="O789" i="4" a="1"/>
  <c r="O789" i="4" s="1"/>
  <c r="O790" i="4" a="1"/>
  <c r="O790" i="4" s="1"/>
  <c r="O791" i="4" a="1"/>
  <c r="O791" i="4" s="1"/>
  <c r="O792" i="4" a="1"/>
  <c r="O792" i="4" s="1"/>
  <c r="O793" i="4" a="1"/>
  <c r="O793" i="4" s="1"/>
  <c r="O794" i="4" a="1"/>
  <c r="O794" i="4" s="1"/>
  <c r="O795" i="4" a="1"/>
  <c r="O795" i="4" s="1"/>
  <c r="O796" i="4" a="1"/>
  <c r="O796" i="4" s="1"/>
  <c r="O797" i="4" a="1"/>
  <c r="O797" i="4" s="1"/>
  <c r="O798" i="4" a="1"/>
  <c r="O798" i="4"/>
  <c r="O799" i="4" a="1"/>
  <c r="O799" i="4" s="1"/>
  <c r="O800" i="4" a="1"/>
  <c r="O800" i="4" s="1"/>
  <c r="O801" i="4" a="1"/>
  <c r="O801" i="4" s="1"/>
  <c r="O802" i="4" a="1"/>
  <c r="O802" i="4" s="1"/>
  <c r="O803" i="4" a="1"/>
  <c r="O803" i="4" s="1"/>
  <c r="O804" i="4" a="1"/>
  <c r="O804" i="4" s="1"/>
  <c r="O805" i="4" a="1"/>
  <c r="O805" i="4" s="1"/>
  <c r="O806" i="4" a="1"/>
  <c r="O806" i="4" s="1"/>
  <c r="O807" i="4" a="1"/>
  <c r="O807" i="4" s="1"/>
  <c r="O808" i="4" a="1"/>
  <c r="O808" i="4" s="1"/>
  <c r="O809" i="4" a="1"/>
  <c r="O809" i="4" s="1"/>
  <c r="O810" i="4" a="1"/>
  <c r="O810" i="4" s="1"/>
  <c r="O811" i="4" a="1"/>
  <c r="O811" i="4" s="1"/>
  <c r="O812" i="4" a="1"/>
  <c r="O812" i="4"/>
  <c r="O813" i="4" a="1"/>
  <c r="O813" i="4"/>
  <c r="O814" i="4" a="1"/>
  <c r="O814" i="4" s="1"/>
  <c r="O815" i="4" a="1"/>
  <c r="O815" i="4" s="1"/>
  <c r="O816" i="4" a="1"/>
  <c r="O816" i="4" s="1"/>
  <c r="O817" i="4" a="1"/>
  <c r="O817" i="4" s="1"/>
  <c r="O818" i="4" a="1"/>
  <c r="O818" i="4" s="1"/>
  <c r="O819" i="4" a="1"/>
  <c r="O819" i="4" s="1"/>
  <c r="O820" i="4" a="1"/>
  <c r="O820" i="4" s="1"/>
  <c r="O821" i="4" a="1"/>
  <c r="O821" i="4"/>
  <c r="O822" i="4" a="1"/>
  <c r="O822" i="4"/>
  <c r="O823" i="4" a="1"/>
  <c r="O823" i="4" s="1"/>
  <c r="O824" i="4" a="1"/>
  <c r="O824" i="4" s="1"/>
  <c r="O825" i="4" a="1"/>
  <c r="O825" i="4" s="1"/>
  <c r="O826" i="4" a="1"/>
  <c r="O826" i="4" s="1"/>
  <c r="O827" i="4" a="1"/>
  <c r="O827" i="4" s="1"/>
  <c r="O828" i="4" a="1"/>
  <c r="O828" i="4" s="1"/>
  <c r="O829" i="4" a="1"/>
  <c r="O829" i="4" s="1"/>
  <c r="O830" i="4" a="1"/>
  <c r="O830" i="4"/>
  <c r="O831" i="4" a="1"/>
  <c r="O831" i="4" s="1"/>
  <c r="O832" i="4" a="1"/>
  <c r="O832" i="4"/>
  <c r="O833" i="4" a="1"/>
  <c r="O833" i="4" s="1"/>
  <c r="O834" i="4" a="1"/>
  <c r="O834" i="4" s="1"/>
  <c r="O835" i="4" a="1"/>
  <c r="O835" i="4" s="1"/>
  <c r="O836" i="4" a="1"/>
  <c r="O836" i="4" s="1"/>
  <c r="O837" i="4" a="1"/>
  <c r="O837" i="4"/>
  <c r="O838" i="4" a="1"/>
  <c r="O838" i="4" s="1"/>
  <c r="O839" i="4" a="1"/>
  <c r="O839" i="4" s="1"/>
  <c r="O840" i="4" a="1"/>
  <c r="O840" i="4" s="1"/>
  <c r="O841" i="4" a="1"/>
  <c r="O841" i="4"/>
  <c r="O842" i="4" a="1"/>
  <c r="O842" i="4" s="1"/>
  <c r="O843" i="4" a="1"/>
  <c r="O843" i="4" s="1"/>
  <c r="O844" i="4" a="1"/>
  <c r="O844" i="4" s="1"/>
  <c r="O845" i="4" a="1"/>
  <c r="O845" i="4" s="1"/>
  <c r="O846" i="4" a="1"/>
  <c r="O846" i="4" s="1"/>
  <c r="O847" i="4" a="1"/>
  <c r="O847" i="4" s="1"/>
  <c r="O848" i="4" a="1"/>
  <c r="O848" i="4" s="1"/>
  <c r="O849" i="4" a="1"/>
  <c r="O849" i="4" s="1"/>
  <c r="O850" i="4" a="1"/>
  <c r="O850" i="4"/>
  <c r="O851" i="4" a="1"/>
  <c r="O851" i="4" s="1"/>
  <c r="O852" i="4" a="1"/>
  <c r="O852" i="4"/>
  <c r="O853" i="4" a="1"/>
  <c r="O853" i="4"/>
  <c r="O854" i="4" a="1"/>
  <c r="O854" i="4" s="1"/>
  <c r="O855" i="4" a="1"/>
  <c r="O855" i="4" s="1"/>
  <c r="O856" i="4" a="1"/>
  <c r="O856" i="4" s="1"/>
  <c r="O857" i="4" a="1"/>
  <c r="O857" i="4" s="1"/>
  <c r="O858" i="4" a="1"/>
  <c r="O858" i="4" s="1"/>
  <c r="O859" i="4" a="1"/>
  <c r="O859" i="4" s="1"/>
  <c r="O860" i="4" a="1"/>
  <c r="O860" i="4" s="1"/>
  <c r="O861" i="4" a="1"/>
  <c r="O861" i="4"/>
  <c r="O862" i="4" a="1"/>
  <c r="O862" i="4"/>
  <c r="O863" i="4" a="1"/>
  <c r="O863" i="4" s="1"/>
  <c r="O864" i="4" a="1"/>
  <c r="O864" i="4"/>
  <c r="O865" i="4" a="1"/>
  <c r="O865" i="4" s="1"/>
  <c r="O866" i="4" a="1"/>
  <c r="O866" i="4" s="1"/>
  <c r="O867" i="4" a="1"/>
  <c r="O867" i="4" s="1"/>
  <c r="O868" i="4" a="1"/>
  <c r="O868" i="4"/>
  <c r="O869" i="4" a="1"/>
  <c r="O869" i="4" s="1"/>
  <c r="O870" i="4" a="1"/>
  <c r="O870" i="4" s="1"/>
  <c r="O871" i="4" a="1"/>
  <c r="O871" i="4" s="1"/>
  <c r="O872" i="4" a="1"/>
  <c r="O872" i="4" s="1"/>
  <c r="O873" i="4" a="1"/>
  <c r="O873" i="4" s="1"/>
  <c r="O874" i="4" a="1"/>
  <c r="O874" i="4" s="1"/>
  <c r="O875" i="4" a="1"/>
  <c r="O875" i="4" s="1"/>
  <c r="O876" i="4" a="1"/>
  <c r="O876" i="4"/>
  <c r="O877" i="4" a="1"/>
  <c r="O877" i="4"/>
  <c r="O878" i="4" a="1"/>
  <c r="O878" i="4"/>
  <c r="O879" i="4" a="1"/>
  <c r="O879" i="4" s="1"/>
  <c r="O880" i="4" a="1"/>
  <c r="O880" i="4" s="1"/>
  <c r="O881" i="4" a="1"/>
  <c r="O881" i="4" s="1"/>
  <c r="O882" i="4" a="1"/>
  <c r="O882" i="4" s="1"/>
  <c r="O883" i="4" a="1"/>
  <c r="O883" i="4" s="1"/>
  <c r="O884" i="4" a="1"/>
  <c r="O884" i="4" s="1"/>
  <c r="O885" i="4" a="1"/>
  <c r="O885" i="4" s="1"/>
  <c r="O886" i="4" a="1"/>
  <c r="O886" i="4"/>
  <c r="O887" i="4" a="1"/>
  <c r="O887" i="4" s="1"/>
  <c r="O888" i="4" a="1"/>
  <c r="O888" i="4" s="1"/>
  <c r="O889" i="4" a="1"/>
  <c r="O889" i="4" s="1"/>
  <c r="O890" i="4" a="1"/>
  <c r="O890" i="4" s="1"/>
  <c r="O891" i="4" a="1"/>
  <c r="O891" i="4" s="1"/>
  <c r="O892" i="4" a="1"/>
  <c r="O892" i="4"/>
  <c r="O893" i="4" a="1"/>
  <c r="O893" i="4" s="1"/>
  <c r="O894" i="4" a="1"/>
  <c r="O894" i="4" s="1"/>
  <c r="O895" i="4" a="1"/>
  <c r="O895" i="4" s="1"/>
  <c r="O896" i="4" a="1"/>
  <c r="O896" i="4" s="1"/>
  <c r="O897" i="4" a="1"/>
  <c r="O897" i="4" s="1"/>
  <c r="O898" i="4" a="1"/>
  <c r="O898" i="4" s="1"/>
  <c r="O899" i="4" a="1"/>
  <c r="O899" i="4" s="1"/>
  <c r="O900" i="4" a="1"/>
  <c r="O900" i="4" s="1"/>
  <c r="O901" i="4" a="1"/>
  <c r="O901" i="4" s="1"/>
  <c r="O902" i="4" a="1"/>
  <c r="O902" i="4"/>
  <c r="O903" i="4" a="1"/>
  <c r="O903" i="4" s="1"/>
  <c r="O904" i="4" a="1"/>
  <c r="O904" i="4" s="1"/>
  <c r="O905" i="4" a="1"/>
  <c r="O905" i="4" s="1"/>
  <c r="O906" i="4" a="1"/>
  <c r="O906" i="4" s="1"/>
  <c r="O907" i="4" a="1"/>
  <c r="O907" i="4" s="1"/>
  <c r="O908" i="4" a="1"/>
  <c r="O908" i="4"/>
  <c r="O909" i="4" a="1"/>
  <c r="O909" i="4" s="1"/>
  <c r="O910" i="4" a="1"/>
  <c r="O910" i="4" s="1"/>
  <c r="O911" i="4" a="1"/>
  <c r="O911" i="4" s="1"/>
  <c r="O912" i="4" a="1"/>
  <c r="O912" i="4" s="1"/>
  <c r="O913" i="4" a="1"/>
  <c r="O913" i="4" s="1"/>
  <c r="O914" i="4" a="1"/>
  <c r="O914" i="4" s="1"/>
  <c r="O915" i="4" a="1"/>
  <c r="O915" i="4" s="1"/>
  <c r="O916" i="4" a="1"/>
  <c r="O916" i="4" s="1"/>
  <c r="O917" i="4" a="1"/>
  <c r="O917" i="4"/>
  <c r="O918" i="4" a="1"/>
  <c r="O918" i="4"/>
  <c r="O919" i="4" a="1"/>
  <c r="O919" i="4" s="1"/>
  <c r="O920" i="4" a="1"/>
  <c r="O920" i="4" s="1"/>
  <c r="O921" i="4" a="1"/>
  <c r="O921" i="4" s="1"/>
  <c r="O922" i="4" a="1"/>
  <c r="O922" i="4" s="1"/>
  <c r="O923" i="4" a="1"/>
  <c r="O923" i="4" s="1"/>
  <c r="O924" i="4" a="1"/>
  <c r="O924" i="4" s="1"/>
  <c r="O925" i="4" a="1"/>
  <c r="O925" i="4" s="1"/>
  <c r="O926" i="4" a="1"/>
  <c r="O926" i="4"/>
  <c r="O927" i="4" a="1"/>
  <c r="O927" i="4" s="1"/>
  <c r="O928" i="4" a="1"/>
  <c r="O928" i="4"/>
  <c r="O929" i="4" a="1"/>
  <c r="O929" i="4" s="1"/>
  <c r="O930" i="4" a="1"/>
  <c r="O930" i="4" s="1"/>
  <c r="O931" i="4" a="1"/>
  <c r="O931" i="4" s="1"/>
  <c r="O932" i="4" a="1"/>
  <c r="O932" i="4"/>
  <c r="O933" i="4" a="1"/>
  <c r="O933" i="4"/>
  <c r="O934" i="4" a="1"/>
  <c r="O934" i="4" s="1"/>
  <c r="O935" i="4" a="1"/>
  <c r="O935" i="4" s="1"/>
  <c r="O936" i="4" a="1"/>
  <c r="O936" i="4" s="1"/>
  <c r="O937" i="4" a="1"/>
  <c r="O937" i="4"/>
  <c r="O938" i="4" a="1"/>
  <c r="O938" i="4" s="1"/>
  <c r="O939" i="4" a="1"/>
  <c r="O939" i="4" s="1"/>
  <c r="O940" i="4" a="1"/>
  <c r="O940" i="4" s="1"/>
  <c r="O941" i="4" a="1"/>
  <c r="O941" i="4"/>
  <c r="O942" i="4" a="1"/>
  <c r="O942" i="4"/>
  <c r="O943" i="4" a="1"/>
  <c r="O943" i="4" s="1"/>
  <c r="O944" i="4" a="1"/>
  <c r="O944" i="4" s="1"/>
  <c r="O945" i="4" a="1"/>
  <c r="O945" i="4" s="1"/>
  <c r="O946" i="4" a="1"/>
  <c r="O946" i="4"/>
  <c r="O947" i="4" a="1"/>
  <c r="O947" i="4" s="1"/>
  <c r="O948" i="4" a="1"/>
  <c r="O948" i="4"/>
  <c r="O949" i="4" a="1"/>
  <c r="O949" i="4"/>
  <c r="O950" i="4" a="1"/>
  <c r="O950" i="4" s="1"/>
  <c r="O951" i="4" a="1"/>
  <c r="O951" i="4"/>
  <c r="O952" i="4" a="1"/>
  <c r="O952" i="4"/>
  <c r="O953" i="4" a="1"/>
  <c r="O953" i="4"/>
  <c r="O954" i="4" a="1"/>
  <c r="O954" i="4" s="1"/>
  <c r="O955" i="4" a="1"/>
  <c r="O955" i="4" s="1"/>
  <c r="O956" i="4" a="1"/>
  <c r="O956" i="4"/>
  <c r="O957" i="4" a="1"/>
  <c r="O957" i="4"/>
  <c r="O958" i="4" a="1"/>
  <c r="O958" i="4" s="1"/>
  <c r="O959" i="4" a="1"/>
  <c r="O959" i="4"/>
  <c r="O960" i="4" a="1"/>
  <c r="O960" i="4"/>
  <c r="O961" i="4" a="1"/>
  <c r="O961" i="4"/>
  <c r="O962" i="4" a="1"/>
  <c r="O962" i="4" s="1"/>
  <c r="O963" i="4" a="1"/>
  <c r="O963" i="4" s="1"/>
  <c r="O964" i="4" a="1"/>
  <c r="O964" i="4"/>
  <c r="O965" i="4" a="1"/>
  <c r="O965" i="4" s="1"/>
  <c r="O966" i="4" a="1"/>
  <c r="O966" i="4" s="1"/>
  <c r="O967" i="4" a="1"/>
  <c r="O967" i="4"/>
  <c r="O968" i="4" a="1"/>
  <c r="O968" i="4"/>
  <c r="O969" i="4" a="1"/>
  <c r="O969" i="4"/>
  <c r="O970" i="4" a="1"/>
  <c r="O970" i="4" s="1"/>
  <c r="O971" i="4" a="1"/>
  <c r="O971" i="4" s="1"/>
  <c r="O972" i="4" a="1"/>
  <c r="O972" i="4"/>
  <c r="O973" i="4" a="1"/>
  <c r="O973" i="4" s="1"/>
  <c r="O974" i="4" a="1"/>
  <c r="O974" i="4" s="1"/>
  <c r="O975" i="4" a="1"/>
  <c r="O975" i="4"/>
  <c r="O976" i="4" a="1"/>
  <c r="O976" i="4"/>
  <c r="O977" i="4" a="1"/>
  <c r="O977" i="4"/>
  <c r="O978" i="4" a="1"/>
  <c r="O978" i="4" s="1"/>
  <c r="O979" i="4" a="1"/>
  <c r="O979" i="4" s="1"/>
  <c r="O980" i="4" a="1"/>
  <c r="O980" i="4"/>
  <c r="O981" i="4" a="1"/>
  <c r="O981" i="4" s="1"/>
  <c r="O982" i="4" a="1"/>
  <c r="O982" i="4" s="1"/>
  <c r="O983" i="4" a="1"/>
  <c r="O983" i="4"/>
  <c r="O984" i="4" a="1"/>
  <c r="O984" i="4"/>
  <c r="O985" i="4" a="1"/>
  <c r="O985" i="4"/>
  <c r="O986" i="4" a="1"/>
  <c r="O986" i="4" s="1"/>
  <c r="O987" i="4" a="1"/>
  <c r="O987" i="4" s="1"/>
  <c r="O988" i="4" a="1"/>
  <c r="O988" i="4"/>
  <c r="O989" i="4" a="1"/>
  <c r="O989" i="4" s="1"/>
  <c r="O990" i="4" a="1"/>
  <c r="O990" i="4" s="1"/>
  <c r="O991" i="4" a="1"/>
  <c r="O991" i="4"/>
  <c r="O2" i="4" a="1"/>
  <c r="O2" i="4" s="1"/>
  <c r="L6" i="4"/>
  <c r="P6" i="4" s="1"/>
  <c r="L7" i="4"/>
  <c r="P7" i="4" s="1"/>
  <c r="L8" i="4"/>
  <c r="P8" i="4" s="1"/>
  <c r="L9" i="4"/>
  <c r="P9" i="4" s="1"/>
  <c r="L14" i="4"/>
  <c r="P14" i="4" s="1"/>
  <c r="L15" i="4"/>
  <c r="P15" i="4" s="1"/>
  <c r="L16" i="4"/>
  <c r="P16" i="4" s="1"/>
  <c r="L17" i="4"/>
  <c r="P17" i="4" s="1"/>
  <c r="L21" i="4"/>
  <c r="P21" i="4" s="1"/>
  <c r="L22" i="4"/>
  <c r="P22" i="4" s="1"/>
  <c r="L23" i="4"/>
  <c r="P23" i="4" s="1"/>
  <c r="L29" i="4"/>
  <c r="P29" i="4" s="1"/>
  <c r="L33" i="4"/>
  <c r="P33" i="4" s="1"/>
  <c r="L39" i="4"/>
  <c r="P39" i="4" s="1"/>
  <c r="L40" i="4"/>
  <c r="P40" i="4" s="1"/>
  <c r="L41" i="4"/>
  <c r="P41" i="4" s="1"/>
  <c r="L46" i="4"/>
  <c r="P46" i="4" s="1"/>
  <c r="L49" i="4"/>
  <c r="P49" i="4" s="1"/>
  <c r="L53" i="4"/>
  <c r="P53" i="4" s="1"/>
  <c r="L54" i="4"/>
  <c r="P54" i="4" s="1"/>
  <c r="L55" i="4"/>
  <c r="P55" i="4" s="1"/>
  <c r="L57" i="4"/>
  <c r="P57" i="4" s="1"/>
  <c r="L61" i="4"/>
  <c r="P61" i="4" s="1"/>
  <c r="L63" i="4"/>
  <c r="P63" i="4" s="1"/>
  <c r="L65" i="4"/>
  <c r="P65" i="4" s="1"/>
  <c r="L71" i="4"/>
  <c r="P71" i="4" s="1"/>
  <c r="L72" i="4"/>
  <c r="P72" i="4" s="1"/>
  <c r="L73" i="4"/>
  <c r="P73" i="4" s="1"/>
  <c r="L77" i="4"/>
  <c r="P77" i="4" s="1"/>
  <c r="L79" i="4"/>
  <c r="P79" i="4" s="1"/>
  <c r="L80" i="4"/>
  <c r="P80" i="4" s="1"/>
  <c r="L81" i="4"/>
  <c r="P81" i="4" s="1"/>
  <c r="L87" i="4"/>
  <c r="P87" i="4" s="1"/>
  <c r="L89" i="4"/>
  <c r="P89" i="4" s="1"/>
  <c r="L96" i="4"/>
  <c r="P96" i="4" s="1"/>
  <c r="L97" i="4"/>
  <c r="P97" i="4" s="1"/>
  <c r="L102" i="4"/>
  <c r="P102" i="4" s="1"/>
  <c r="L103" i="4"/>
  <c r="P103" i="4" s="1"/>
  <c r="L104" i="4"/>
  <c r="P104" i="4" s="1"/>
  <c r="L105" i="4"/>
  <c r="P105" i="4" s="1"/>
  <c r="L111" i="4"/>
  <c r="P111" i="4" s="1"/>
  <c r="L112" i="4"/>
  <c r="P112" i="4" s="1"/>
  <c r="L119" i="4"/>
  <c r="P119" i="4" s="1"/>
  <c r="L120" i="4"/>
  <c r="P120" i="4" s="1"/>
  <c r="L125" i="4"/>
  <c r="P125" i="4" s="1"/>
  <c r="L126" i="4"/>
  <c r="P126" i="4" s="1"/>
  <c r="L127" i="4"/>
  <c r="P127" i="4" s="1"/>
  <c r="L129" i="4"/>
  <c r="P129" i="4" s="1"/>
  <c r="L135" i="4"/>
  <c r="P135" i="4" s="1"/>
  <c r="L137" i="4"/>
  <c r="P137" i="4" s="1"/>
  <c r="L141" i="4"/>
  <c r="P141" i="4" s="1"/>
  <c r="L142" i="4"/>
  <c r="P142" i="4" s="1"/>
  <c r="L144" i="4"/>
  <c r="P144" i="4" s="1"/>
  <c r="L145" i="4"/>
  <c r="P145" i="4" s="1"/>
  <c r="L151" i="4"/>
  <c r="P151" i="4" s="1"/>
  <c r="L152" i="4"/>
  <c r="P152" i="4" s="1"/>
  <c r="L161" i="4"/>
  <c r="P161" i="4" s="1"/>
  <c r="L166" i="4"/>
  <c r="P166" i="4" s="1"/>
  <c r="L167" i="4"/>
  <c r="P167" i="4" s="1"/>
  <c r="L168" i="4"/>
  <c r="P168" i="4" s="1"/>
  <c r="L169" i="4"/>
  <c r="P169" i="4" s="1"/>
  <c r="L175" i="4"/>
  <c r="P175" i="4" s="1"/>
  <c r="L181" i="4"/>
  <c r="P181" i="4" s="1"/>
  <c r="L184" i="4"/>
  <c r="P184" i="4" s="1"/>
  <c r="L185" i="4"/>
  <c r="P185" i="4" s="1"/>
  <c r="L190" i="4"/>
  <c r="P190" i="4" s="1"/>
  <c r="L192" i="4"/>
  <c r="P192" i="4" s="1"/>
  <c r="L193" i="4"/>
  <c r="P193" i="4" s="1"/>
  <c r="L201" i="4"/>
  <c r="P201" i="4" s="1"/>
  <c r="L206" i="4"/>
  <c r="P206" i="4" s="1"/>
  <c r="L207" i="4"/>
  <c r="P207" i="4" s="1"/>
  <c r="L208" i="4"/>
  <c r="P208" i="4" s="1"/>
  <c r="L213" i="4"/>
  <c r="P213" i="4" s="1"/>
  <c r="L215" i="4"/>
  <c r="P215" i="4" s="1"/>
  <c r="L216" i="4"/>
  <c r="P216" i="4" s="1"/>
  <c r="L222" i="4"/>
  <c r="P222" i="4" s="1"/>
  <c r="L223" i="4"/>
  <c r="P223" i="4" s="1"/>
  <c r="L225" i="4"/>
  <c r="P225" i="4" s="1"/>
  <c r="L231" i="4"/>
  <c r="P231" i="4" s="1"/>
  <c r="L233" i="4"/>
  <c r="P233" i="4" s="1"/>
  <c r="L237" i="4"/>
  <c r="P237" i="4" s="1"/>
  <c r="L238" i="4"/>
  <c r="P238" i="4" s="1"/>
  <c r="L239" i="4"/>
  <c r="P239" i="4" s="1"/>
  <c r="L240" i="4"/>
  <c r="P240" i="4" s="1"/>
  <c r="L247" i="4"/>
  <c r="P247" i="4" s="1"/>
  <c r="L256" i="4"/>
  <c r="P256" i="4" s="1"/>
  <c r="L257" i="4"/>
  <c r="P257" i="4" s="1"/>
  <c r="L262" i="4"/>
  <c r="P262" i="4" s="1"/>
  <c r="L263" i="4"/>
  <c r="P263" i="4" s="1"/>
  <c r="L265" i="4"/>
  <c r="P265" i="4" s="1"/>
  <c r="L269" i="4"/>
  <c r="P269" i="4" s="1"/>
  <c r="L271" i="4"/>
  <c r="P271" i="4" s="1"/>
  <c r="L272" i="4"/>
  <c r="P272" i="4" s="1"/>
  <c r="L278" i="4"/>
  <c r="P278" i="4" s="1"/>
  <c r="L279" i="4"/>
  <c r="P279" i="4" s="1"/>
  <c r="L280" i="4"/>
  <c r="P280" i="4" s="1"/>
  <c r="L285" i="4"/>
  <c r="P285" i="4" s="1"/>
  <c r="L288" i="4"/>
  <c r="P288" i="4" s="1"/>
  <c r="L289" i="4"/>
  <c r="P289" i="4" s="1"/>
  <c r="L295" i="4"/>
  <c r="P295" i="4" s="1"/>
  <c r="L296" i="4"/>
  <c r="P296" i="4" s="1"/>
  <c r="L302" i="4"/>
  <c r="P302" i="4" s="1"/>
  <c r="L303" i="4"/>
  <c r="P303" i="4" s="1"/>
  <c r="L304" i="4"/>
  <c r="P304" i="4" s="1"/>
  <c r="L305" i="4"/>
  <c r="P305" i="4" s="1"/>
  <c r="L311" i="4"/>
  <c r="P311" i="4" s="1"/>
  <c r="L317" i="4"/>
  <c r="P317" i="4" s="1"/>
  <c r="L318" i="4"/>
  <c r="P318" i="4" s="1"/>
  <c r="L320" i="4"/>
  <c r="P320" i="4" s="1"/>
  <c r="L321" i="4"/>
  <c r="P321" i="4" s="1"/>
  <c r="L328" i="4"/>
  <c r="P328" i="4" s="1"/>
  <c r="L329" i="4"/>
  <c r="P329" i="4" s="1"/>
  <c r="L333" i="4"/>
  <c r="P333" i="4" s="1"/>
  <c r="L334" i="4"/>
  <c r="P334" i="4" s="1"/>
  <c r="L335" i="4"/>
  <c r="P335" i="4" s="1"/>
  <c r="L336" i="4"/>
  <c r="P336" i="4" s="1"/>
  <c r="L337" i="4"/>
  <c r="P337" i="4" s="1"/>
  <c r="L344" i="4"/>
  <c r="P344" i="4" s="1"/>
  <c r="L345" i="4"/>
  <c r="P345" i="4" s="1"/>
  <c r="L349" i="4"/>
  <c r="P349" i="4" s="1"/>
  <c r="L351" i="4"/>
  <c r="P351" i="4" s="1"/>
  <c r="L352" i="4"/>
  <c r="P352" i="4" s="1"/>
  <c r="L353" i="4"/>
  <c r="P353" i="4" s="1"/>
  <c r="L358" i="4"/>
  <c r="P358" i="4" s="1"/>
  <c r="L359" i="4"/>
  <c r="P359" i="4" s="1"/>
  <c r="L361" i="4"/>
  <c r="P361" i="4" s="1"/>
  <c r="L366" i="4"/>
  <c r="P366" i="4" s="1"/>
  <c r="L367" i="4"/>
  <c r="P367" i="4" s="1"/>
  <c r="L368" i="4"/>
  <c r="P368" i="4" s="1"/>
  <c r="L369" i="4"/>
  <c r="P369" i="4" s="1"/>
  <c r="L383" i="4"/>
  <c r="P383" i="4" s="1"/>
  <c r="L385" i="4"/>
  <c r="P385" i="4" s="1"/>
  <c r="L397" i="4"/>
  <c r="P397" i="4" s="1"/>
  <c r="L398" i="4"/>
  <c r="P398" i="4" s="1"/>
  <c r="L399" i="4"/>
  <c r="P399" i="4" s="1"/>
  <c r="L400" i="4"/>
  <c r="P400" i="4" s="1"/>
  <c r="L401" i="4"/>
  <c r="P401" i="4" s="1"/>
  <c r="L407" i="4"/>
  <c r="P407" i="4" s="1"/>
  <c r="L408" i="4"/>
  <c r="P408" i="4" s="1"/>
  <c r="L409" i="4"/>
  <c r="P409" i="4" s="1"/>
  <c r="L415" i="4"/>
  <c r="P415" i="4" s="1"/>
  <c r="L416" i="4"/>
  <c r="P416" i="4" s="1"/>
  <c r="L417" i="4"/>
  <c r="P417" i="4" s="1"/>
  <c r="L425" i="4"/>
  <c r="P425" i="4" s="1"/>
  <c r="L429" i="4"/>
  <c r="P429" i="4" s="1"/>
  <c r="L431" i="4"/>
  <c r="P431" i="4" s="1"/>
  <c r="L432" i="4"/>
  <c r="P432" i="4" s="1"/>
  <c r="L433" i="4"/>
  <c r="P433" i="4" s="1"/>
  <c r="L439" i="4"/>
  <c r="P439" i="4" s="1"/>
  <c r="L440" i="4"/>
  <c r="P440" i="4" s="1"/>
  <c r="L447" i="4"/>
  <c r="P447" i="4" s="1"/>
  <c r="L448" i="4"/>
  <c r="P448" i="4" s="1"/>
  <c r="L449" i="4"/>
  <c r="P449" i="4" s="1"/>
  <c r="L455" i="4"/>
  <c r="P455" i="4" s="1"/>
  <c r="L457" i="4"/>
  <c r="P457" i="4" s="1"/>
  <c r="L463" i="4"/>
  <c r="P463" i="4" s="1"/>
  <c r="L464" i="4"/>
  <c r="P464" i="4" s="1"/>
  <c r="L465" i="4"/>
  <c r="P465" i="4" s="1"/>
  <c r="L469" i="4"/>
  <c r="P469" i="4" s="1"/>
  <c r="L478" i="4"/>
  <c r="P478" i="4" s="1"/>
  <c r="L479" i="4"/>
  <c r="P479" i="4" s="1"/>
  <c r="L480" i="4"/>
  <c r="P480" i="4" s="1"/>
  <c r="L481" i="4"/>
  <c r="P481" i="4" s="1"/>
  <c r="L486" i="4"/>
  <c r="P486" i="4" s="1"/>
  <c r="L496" i="4"/>
  <c r="P496" i="4" s="1"/>
  <c r="L497" i="4"/>
  <c r="P497" i="4" s="1"/>
  <c r="L503" i="4"/>
  <c r="P503" i="4" s="1"/>
  <c r="L511" i="4"/>
  <c r="P511" i="4" s="1"/>
  <c r="L512" i="4"/>
  <c r="P512" i="4" s="1"/>
  <c r="L518" i="4"/>
  <c r="P518" i="4" s="1"/>
  <c r="L519" i="4"/>
  <c r="P519" i="4" s="1"/>
  <c r="L520" i="4"/>
  <c r="P520" i="4" s="1"/>
  <c r="L527" i="4"/>
  <c r="P527" i="4" s="1"/>
  <c r="L535" i="4"/>
  <c r="P535" i="4" s="1"/>
  <c r="L537" i="4"/>
  <c r="P537" i="4" s="1"/>
  <c r="L543" i="4"/>
  <c r="P543" i="4" s="1"/>
  <c r="L545" i="4"/>
  <c r="P545" i="4" s="1"/>
  <c r="L550" i="4"/>
  <c r="P550" i="4" s="1"/>
  <c r="L552" i="4"/>
  <c r="P552" i="4" s="1"/>
  <c r="L553" i="4"/>
  <c r="P553" i="4" s="1"/>
  <c r="L558" i="4"/>
  <c r="P558" i="4" s="1"/>
  <c r="L559" i="4"/>
  <c r="P559" i="4" s="1"/>
  <c r="L565" i="4"/>
  <c r="P565" i="4" s="1"/>
  <c r="L566" i="4"/>
  <c r="P566" i="4" s="1"/>
  <c r="L567" i="4"/>
  <c r="P567" i="4" s="1"/>
  <c r="L568" i="4"/>
  <c r="P568" i="4" s="1"/>
  <c r="L573" i="4"/>
  <c r="P573" i="4" s="1"/>
  <c r="L574" i="4"/>
  <c r="P574" i="4" s="1"/>
  <c r="L577" i="4"/>
  <c r="P577" i="4" s="1"/>
  <c r="L583" i="4"/>
  <c r="P583" i="4" s="1"/>
  <c r="L584" i="4"/>
  <c r="P584" i="4" s="1"/>
  <c r="L589" i="4"/>
  <c r="P589" i="4" s="1"/>
  <c r="L593" i="4"/>
  <c r="P593" i="4" s="1"/>
  <c r="L597" i="4"/>
  <c r="P597" i="4" s="1"/>
  <c r="L598" i="4"/>
  <c r="P598" i="4" s="1"/>
  <c r="L599" i="4"/>
  <c r="P599" i="4" s="1"/>
  <c r="L600" i="4"/>
  <c r="P600" i="4" s="1"/>
  <c r="L601" i="4"/>
  <c r="P601" i="4" s="1"/>
  <c r="L607" i="4"/>
  <c r="P607" i="4" s="1"/>
  <c r="L608" i="4"/>
  <c r="P608" i="4" s="1"/>
  <c r="L614" i="4"/>
  <c r="P614" i="4" s="1"/>
  <c r="L624" i="4"/>
  <c r="P624" i="4" s="1"/>
  <c r="L630" i="4"/>
  <c r="P630" i="4" s="1"/>
  <c r="L633" i="4"/>
  <c r="P633" i="4" s="1"/>
  <c r="L640" i="4"/>
  <c r="P640" i="4" s="1"/>
  <c r="L641" i="4"/>
  <c r="P641" i="4" s="1"/>
  <c r="L645" i="4"/>
  <c r="P645" i="4" s="1"/>
  <c r="L646" i="4"/>
  <c r="P646" i="4" s="1"/>
  <c r="L647" i="4"/>
  <c r="P647" i="4" s="1"/>
  <c r="L648" i="4"/>
  <c r="P648" i="4" s="1"/>
  <c r="L653" i="4"/>
  <c r="P653" i="4" s="1"/>
  <c r="L654" i="4"/>
  <c r="P654" i="4" s="1"/>
  <c r="L656" i="4"/>
  <c r="P656" i="4" s="1"/>
  <c r="L657" i="4"/>
  <c r="P657" i="4" s="1"/>
  <c r="L662" i="4"/>
  <c r="P662" i="4" s="1"/>
  <c r="L663" i="4"/>
  <c r="P663" i="4" s="1"/>
  <c r="L664" i="4"/>
  <c r="P664" i="4" s="1"/>
  <c r="L670" i="4"/>
  <c r="P670" i="4" s="1"/>
  <c r="L672" i="4"/>
  <c r="P672" i="4" s="1"/>
  <c r="L673" i="4"/>
  <c r="P673" i="4" s="1"/>
  <c r="L679" i="4"/>
  <c r="P679" i="4" s="1"/>
  <c r="L681" i="4"/>
  <c r="P681" i="4" s="1"/>
  <c r="L687" i="4"/>
  <c r="P687" i="4" s="1"/>
  <c r="L695" i="4"/>
  <c r="P695" i="4" s="1"/>
  <c r="L697" i="4"/>
  <c r="P697" i="4" s="1"/>
  <c r="L712" i="4"/>
  <c r="P712" i="4" s="1"/>
  <c r="L713" i="4"/>
  <c r="P713" i="4" s="1"/>
  <c r="L717" i="4"/>
  <c r="P717" i="4" s="1"/>
  <c r="L718" i="4"/>
  <c r="P718" i="4" s="1"/>
  <c r="L720" i="4"/>
  <c r="P720" i="4" s="1"/>
  <c r="L725" i="4"/>
  <c r="P725" i="4" s="1"/>
  <c r="L726" i="4"/>
  <c r="P726" i="4" s="1"/>
  <c r="L727" i="4"/>
  <c r="P727" i="4" s="1"/>
  <c r="L729" i="4"/>
  <c r="P729" i="4" s="1"/>
  <c r="L733" i="4"/>
  <c r="P733" i="4" s="1"/>
  <c r="L734" i="4"/>
  <c r="P734" i="4" s="1"/>
  <c r="L735" i="4"/>
  <c r="P735" i="4" s="1"/>
  <c r="L737" i="4"/>
  <c r="P737" i="4" s="1"/>
  <c r="L741" i="4"/>
  <c r="P741" i="4" s="1"/>
  <c r="L743" i="4"/>
  <c r="P743" i="4" s="1"/>
  <c r="L744" i="4"/>
  <c r="P744" i="4" s="1"/>
  <c r="L745" i="4"/>
  <c r="P745" i="4" s="1"/>
  <c r="L749" i="4"/>
  <c r="P749" i="4" s="1"/>
  <c r="L750" i="4"/>
  <c r="P750" i="4" s="1"/>
  <c r="L753" i="4"/>
  <c r="P753" i="4" s="1"/>
  <c r="L757" i="4"/>
  <c r="P757" i="4" s="1"/>
  <c r="L761" i="4"/>
  <c r="P761" i="4" s="1"/>
  <c r="L765" i="4"/>
  <c r="P765" i="4" s="1"/>
  <c r="L766" i="4"/>
  <c r="P766" i="4" s="1"/>
  <c r="L768" i="4"/>
  <c r="P768" i="4" s="1"/>
  <c r="L769" i="4"/>
  <c r="P769" i="4" s="1"/>
  <c r="L777" i="4"/>
  <c r="P777" i="4" s="1"/>
  <c r="L785" i="4"/>
  <c r="P785" i="4" s="1"/>
  <c r="L792" i="4"/>
  <c r="P792" i="4" s="1"/>
  <c r="L793" i="4"/>
  <c r="P793" i="4" s="1"/>
  <c r="L799" i="4"/>
  <c r="P799" i="4" s="1"/>
  <c r="L801" i="4"/>
  <c r="P801" i="4" s="1"/>
  <c r="L807" i="4"/>
  <c r="P807" i="4" s="1"/>
  <c r="L809" i="4"/>
  <c r="P809" i="4" s="1"/>
  <c r="L813" i="4"/>
  <c r="P813" i="4" s="1"/>
  <c r="L814" i="4"/>
  <c r="P814" i="4" s="1"/>
  <c r="L816" i="4"/>
  <c r="P816" i="4" s="1"/>
  <c r="L817" i="4"/>
  <c r="P817" i="4" s="1"/>
  <c r="L823" i="4"/>
  <c r="P823" i="4" s="1"/>
  <c r="L824" i="4"/>
  <c r="P824" i="4" s="1"/>
  <c r="L829" i="4"/>
  <c r="P829" i="4" s="1"/>
  <c r="L830" i="4"/>
  <c r="P830" i="4" s="1"/>
  <c r="L831" i="4"/>
  <c r="P831" i="4" s="1"/>
  <c r="L839" i="4"/>
  <c r="P839" i="4" s="1"/>
  <c r="L840" i="4"/>
  <c r="P840" i="4" s="1"/>
  <c r="L846" i="4"/>
  <c r="P846" i="4" s="1"/>
  <c r="L848" i="4"/>
  <c r="P848" i="4" s="1"/>
  <c r="L849" i="4"/>
  <c r="P849" i="4" s="1"/>
  <c r="L853" i="4"/>
  <c r="P853" i="4" s="1"/>
  <c r="L856" i="4"/>
  <c r="P856" i="4" s="1"/>
  <c r="L857" i="4"/>
  <c r="P857" i="4" s="1"/>
  <c r="L861" i="4"/>
  <c r="P861" i="4" s="1"/>
  <c r="L863" i="4"/>
  <c r="P863" i="4" s="1"/>
  <c r="L865" i="4"/>
  <c r="P865" i="4" s="1"/>
  <c r="L869" i="4"/>
  <c r="P869" i="4" s="1"/>
  <c r="L870" i="4"/>
  <c r="P870" i="4" s="1"/>
  <c r="L871" i="4"/>
  <c r="P871" i="4" s="1"/>
  <c r="L872" i="4"/>
  <c r="P872" i="4" s="1"/>
  <c r="L873" i="4"/>
  <c r="P873" i="4" s="1"/>
  <c r="L880" i="4"/>
  <c r="P880" i="4" s="1"/>
  <c r="L881" i="4"/>
  <c r="P881" i="4" s="1"/>
  <c r="L886" i="4"/>
  <c r="P886" i="4" s="1"/>
  <c r="L887" i="4"/>
  <c r="P887" i="4" s="1"/>
  <c r="L894" i="4"/>
  <c r="P894" i="4" s="1"/>
  <c r="L895" i="4"/>
  <c r="P895" i="4" s="1"/>
  <c r="L896" i="4"/>
  <c r="P896" i="4" s="1"/>
  <c r="L897" i="4"/>
  <c r="P897" i="4" s="1"/>
  <c r="L904" i="4"/>
  <c r="P904" i="4" s="1"/>
  <c r="L910" i="4"/>
  <c r="P910" i="4" s="1"/>
  <c r="L912" i="4"/>
  <c r="P912" i="4" s="1"/>
  <c r="L913" i="4"/>
  <c r="P913" i="4" s="1"/>
  <c r="L917" i="4"/>
  <c r="P917" i="4" s="1"/>
  <c r="L919" i="4"/>
  <c r="P919" i="4" s="1"/>
  <c r="L920" i="4"/>
  <c r="P920" i="4" s="1"/>
  <c r="L921" i="4"/>
  <c r="P921" i="4" s="1"/>
  <c r="L927" i="4"/>
  <c r="P927" i="4" s="1"/>
  <c r="L928" i="4"/>
  <c r="P928" i="4" s="1"/>
  <c r="L929" i="4"/>
  <c r="P929" i="4" s="1"/>
  <c r="L934" i="4"/>
  <c r="P934" i="4" s="1"/>
  <c r="L937" i="4"/>
  <c r="P937" i="4" s="1"/>
  <c r="L942" i="4"/>
  <c r="P942" i="4" s="1"/>
  <c r="L943" i="4"/>
  <c r="P943" i="4" s="1"/>
  <c r="L945" i="4"/>
  <c r="P945" i="4" s="1"/>
  <c r="L952" i="4"/>
  <c r="P952" i="4" s="1"/>
  <c r="L953" i="4"/>
  <c r="P953" i="4" s="1"/>
  <c r="L960" i="4"/>
  <c r="P960" i="4" s="1"/>
  <c r="L961" i="4"/>
  <c r="P961" i="4" s="1"/>
  <c r="L968" i="4"/>
  <c r="P968" i="4" s="1"/>
  <c r="L974" i="4"/>
  <c r="P974" i="4" s="1"/>
  <c r="L975" i="4"/>
  <c r="P975" i="4" s="1"/>
  <c r="L981" i="4"/>
  <c r="P981" i="4" s="1"/>
  <c r="L982" i="4"/>
  <c r="P982" i="4" s="1"/>
  <c r="L984" i="4"/>
  <c r="P984" i="4" s="1"/>
  <c r="L985" i="4"/>
  <c r="P985" i="4" s="1"/>
  <c r="L988" i="4"/>
  <c r="P988" i="4" s="1"/>
  <c r="L987" i="4"/>
  <c r="P987" i="4" s="1"/>
  <c r="L986" i="4"/>
  <c r="P986" i="4" s="1"/>
  <c r="L971" i="4"/>
  <c r="P971" i="4" s="1"/>
  <c r="L970" i="4"/>
  <c r="P970" i="4" s="1"/>
  <c r="L965" i="4"/>
  <c r="P965" i="4" s="1"/>
  <c r="L950" i="4"/>
  <c r="P950" i="4" s="1"/>
  <c r="L940" i="4"/>
  <c r="P940" i="4" s="1"/>
  <c r="L938" i="4"/>
  <c r="P938" i="4" s="1"/>
  <c r="L933" i="4"/>
  <c r="P933" i="4" s="1"/>
  <c r="L924" i="4"/>
  <c r="P924" i="4" s="1"/>
  <c r="L923" i="4"/>
  <c r="P923" i="4" s="1"/>
  <c r="L907" i="4"/>
  <c r="P907" i="4" s="1"/>
  <c r="L903" i="4"/>
  <c r="P903" i="4" s="1"/>
  <c r="L902" i="4"/>
  <c r="P902" i="4" s="1"/>
  <c r="L901" i="4"/>
  <c r="P901" i="4" s="1"/>
  <c r="L891" i="4"/>
  <c r="P891" i="4" s="1"/>
  <c r="L890" i="4"/>
  <c r="P890" i="4" s="1"/>
  <c r="L876" i="4"/>
  <c r="P876" i="4" s="1"/>
  <c r="L875" i="4"/>
  <c r="P875" i="4" s="1"/>
  <c r="L864" i="4"/>
  <c r="P864" i="4" s="1"/>
  <c r="L860" i="4"/>
  <c r="P860" i="4" s="1"/>
  <c r="L859" i="4"/>
  <c r="P859" i="4" s="1"/>
  <c r="L858" i="4"/>
  <c r="P858" i="4" s="1"/>
  <c r="L811" i="4"/>
  <c r="P811" i="4" s="1"/>
  <c r="L797" i="4"/>
  <c r="P797" i="4" s="1"/>
  <c r="L779" i="4"/>
  <c r="P779" i="4" s="1"/>
  <c r="L778" i="4"/>
  <c r="P778" i="4" s="1"/>
  <c r="L715" i="4"/>
  <c r="P715" i="4" s="1"/>
  <c r="L714" i="4"/>
  <c r="P714" i="4" s="1"/>
  <c r="L682" i="4"/>
  <c r="P682" i="4" s="1"/>
  <c r="L674" i="4"/>
  <c r="P674" i="4" s="1"/>
  <c r="L632" i="4"/>
  <c r="P632" i="4" s="1"/>
  <c r="L631" i="4"/>
  <c r="P631" i="4" s="1"/>
  <c r="L620" i="4"/>
  <c r="P620" i="4" s="1"/>
  <c r="L619" i="4"/>
  <c r="P619" i="4" s="1"/>
  <c r="L613" i="4"/>
  <c r="P613" i="4" s="1"/>
  <c r="L612" i="4"/>
  <c r="P612" i="4" s="1"/>
  <c r="L588" i="4"/>
  <c r="P588" i="4" s="1"/>
  <c r="L587" i="4"/>
  <c r="P587" i="4" s="1"/>
  <c r="L586" i="4"/>
  <c r="P586" i="4" s="1"/>
  <c r="L581" i="4"/>
  <c r="P581" i="4" s="1"/>
  <c r="L555" i="4"/>
  <c r="P555" i="4" s="1"/>
  <c r="L549" i="4"/>
  <c r="P549" i="4" s="1"/>
  <c r="L528" i="4"/>
  <c r="P528" i="4" s="1"/>
  <c r="L524" i="4"/>
  <c r="P524" i="4" s="1"/>
  <c r="L523" i="4"/>
  <c r="P523" i="4" s="1"/>
  <c r="L522" i="4"/>
  <c r="P522" i="4" s="1"/>
  <c r="L507" i="4"/>
  <c r="P507" i="4" s="1"/>
  <c r="L501" i="4"/>
  <c r="P501" i="4" s="1"/>
  <c r="L500" i="4"/>
  <c r="P500" i="4" s="1"/>
  <c r="L472" i="4"/>
  <c r="P472" i="4" s="1"/>
  <c r="L468" i="4"/>
  <c r="P468" i="4" s="1"/>
  <c r="L460" i="4"/>
  <c r="P460" i="4" s="1"/>
  <c r="L459" i="4"/>
  <c r="P459" i="4" s="1"/>
  <c r="L458" i="4"/>
  <c r="P458" i="4" s="1"/>
  <c r="L443" i="4"/>
  <c r="P443" i="4" s="1"/>
  <c r="L436" i="4"/>
  <c r="P436" i="4" s="1"/>
  <c r="L403" i="4"/>
  <c r="P403" i="4" s="1"/>
  <c r="L402" i="4"/>
  <c r="P402" i="4" s="1"/>
  <c r="L395" i="4"/>
  <c r="P395" i="4" s="1"/>
  <c r="L394" i="4"/>
  <c r="P394" i="4" s="1"/>
  <c r="L390" i="4"/>
  <c r="P390" i="4" s="1"/>
  <c r="L387" i="4"/>
  <c r="P387" i="4" s="1"/>
  <c r="L386" i="4"/>
  <c r="P386" i="4" s="1"/>
  <c r="L380" i="4"/>
  <c r="P380" i="4" s="1"/>
  <c r="L379" i="4"/>
  <c r="P379" i="4" s="1"/>
  <c r="L378" i="4"/>
  <c r="P378" i="4" s="1"/>
  <c r="L375" i="4"/>
  <c r="P375" i="4" s="1"/>
  <c r="L370" i="4"/>
  <c r="P370" i="4" s="1"/>
  <c r="L362" i="4"/>
  <c r="P362" i="4" s="1"/>
  <c r="L346" i="4"/>
  <c r="P346" i="4" s="1"/>
  <c r="L343" i="4"/>
  <c r="P343" i="4" s="1"/>
  <c r="L339" i="4"/>
  <c r="P339" i="4" s="1"/>
  <c r="L338" i="4"/>
  <c r="P338" i="4" s="1"/>
  <c r="L331" i="4"/>
  <c r="P331" i="4" s="1"/>
  <c r="L330" i="4"/>
  <c r="P330" i="4" s="1"/>
  <c r="L326" i="4"/>
  <c r="P326" i="4" s="1"/>
  <c r="L323" i="4"/>
  <c r="P323" i="4" s="1"/>
  <c r="L322" i="4"/>
  <c r="P322" i="4" s="1"/>
  <c r="L315" i="4"/>
  <c r="P315" i="4" s="1"/>
  <c r="L314" i="4"/>
  <c r="P314" i="4" s="1"/>
  <c r="L299" i="4"/>
  <c r="P299" i="4" s="1"/>
  <c r="L291" i="4"/>
  <c r="P291" i="4" s="1"/>
  <c r="L283" i="4"/>
  <c r="P283" i="4" s="1"/>
  <c r="L282" i="4"/>
  <c r="P282" i="4" s="1"/>
  <c r="L276" i="4"/>
  <c r="P276" i="4" s="1"/>
  <c r="L274" i="4"/>
  <c r="P274" i="4" s="1"/>
  <c r="L270" i="4"/>
  <c r="P270" i="4" s="1"/>
  <c r="L267" i="4"/>
  <c r="P267" i="4" s="1"/>
  <c r="L266" i="4"/>
  <c r="P266" i="4" s="1"/>
  <c r="L259" i="4"/>
  <c r="P259" i="4" s="1"/>
  <c r="L258" i="4"/>
  <c r="P258" i="4" s="1"/>
  <c r="L253" i="4"/>
  <c r="P253" i="4" s="1"/>
  <c r="L252" i="4"/>
  <c r="P252" i="4" s="1"/>
  <c r="L251" i="4"/>
  <c r="P251" i="4" s="1"/>
  <c r="L250" i="4"/>
  <c r="P250" i="4" s="1"/>
  <c r="L235" i="4"/>
  <c r="P235" i="4" s="1"/>
  <c r="L234" i="4"/>
  <c r="P234" i="4" s="1"/>
  <c r="L226" i="4"/>
  <c r="P226" i="4" s="1"/>
  <c r="L219" i="4"/>
  <c r="P219" i="4" s="1"/>
  <c r="L218" i="4"/>
  <c r="P218" i="4" s="1"/>
  <c r="L212" i="4"/>
  <c r="P212" i="4" s="1"/>
  <c r="L211" i="4"/>
  <c r="P211" i="4" s="1"/>
  <c r="L209" i="4"/>
  <c r="P209" i="4" s="1"/>
  <c r="L203" i="4"/>
  <c r="P203" i="4" s="1"/>
  <c r="L202" i="4"/>
  <c r="P202" i="4" s="1"/>
  <c r="L195" i="4"/>
  <c r="P195" i="4" s="1"/>
  <c r="L194" i="4"/>
  <c r="P194" i="4" s="1"/>
  <c r="L186" i="4"/>
  <c r="P186" i="4" s="1"/>
  <c r="L179" i="4"/>
  <c r="P179" i="4" s="1"/>
  <c r="L174" i="4"/>
  <c r="P174" i="4" s="1"/>
  <c r="L171" i="4"/>
  <c r="P171" i="4" s="1"/>
  <c r="L170" i="4"/>
  <c r="P170" i="4" s="1"/>
  <c r="L163" i="4"/>
  <c r="P163" i="4" s="1"/>
  <c r="L162" i="4"/>
  <c r="P162" i="4" s="1"/>
  <c r="L153" i="4"/>
  <c r="P153" i="4" s="1"/>
  <c r="L146" i="4"/>
  <c r="P146" i="4" s="1"/>
  <c r="L139" i="4"/>
  <c r="P139" i="4" s="1"/>
  <c r="L138" i="4"/>
  <c r="P138" i="4" s="1"/>
  <c r="L134" i="4"/>
  <c r="P134" i="4" s="1"/>
  <c r="L131" i="4"/>
  <c r="P131" i="4" s="1"/>
  <c r="L130" i="4"/>
  <c r="P130" i="4" s="1"/>
  <c r="L124" i="4"/>
  <c r="P124" i="4" s="1"/>
  <c r="L123" i="4"/>
  <c r="P123" i="4" s="1"/>
  <c r="L122" i="4"/>
  <c r="P122" i="4" s="1"/>
  <c r="L107" i="4"/>
  <c r="P107" i="4" s="1"/>
  <c r="L106" i="4"/>
  <c r="P106" i="4" s="1"/>
  <c r="L98" i="4"/>
  <c r="P98" i="4" s="1"/>
  <c r="L93" i="4"/>
  <c r="P93" i="4" s="1"/>
  <c r="L85" i="4"/>
  <c r="P85" i="4" s="1"/>
  <c r="L69" i="4"/>
  <c r="P69" i="4" s="1"/>
  <c r="L64" i="4"/>
  <c r="P64" i="4" s="1"/>
  <c r="L45" i="4"/>
  <c r="P45" i="4" s="1"/>
  <c r="L37" i="4"/>
  <c r="P37" i="4" s="1"/>
  <c r="L5" i="4"/>
  <c r="P5" i="4" s="1"/>
  <c r="L991" i="4"/>
  <c r="P991" i="4" s="1"/>
  <c r="L990" i="4"/>
  <c r="P990" i="4" s="1"/>
  <c r="L980" i="4"/>
  <c r="P980" i="4" s="1"/>
  <c r="L979" i="4"/>
  <c r="P979" i="4" s="1"/>
  <c r="L978" i="4"/>
  <c r="P978" i="4" s="1"/>
  <c r="L964" i="4"/>
  <c r="P964" i="4" s="1"/>
  <c r="L963" i="4"/>
  <c r="P963" i="4" s="1"/>
  <c r="L962" i="4"/>
  <c r="P962" i="4" s="1"/>
  <c r="L959" i="4"/>
  <c r="P959" i="4" s="1"/>
  <c r="L958" i="4"/>
  <c r="P958" i="4" s="1"/>
  <c r="L957" i="4"/>
  <c r="P957" i="4" s="1"/>
  <c r="L947" i="4"/>
  <c r="P947" i="4" s="1"/>
  <c r="L946" i="4"/>
  <c r="P946" i="4" s="1"/>
  <c r="L941" i="4"/>
  <c r="P941" i="4" s="1"/>
  <c r="L936" i="4"/>
  <c r="P936" i="4" s="1"/>
  <c r="L932" i="4"/>
  <c r="P932" i="4" s="1"/>
  <c r="L931" i="4"/>
  <c r="P931" i="4" s="1"/>
  <c r="L930" i="4"/>
  <c r="P930" i="4" s="1"/>
  <c r="L926" i="4"/>
  <c r="P926" i="4" s="1"/>
  <c r="L925" i="4"/>
  <c r="P925" i="4" s="1"/>
  <c r="L916" i="4"/>
  <c r="P916" i="4" s="1"/>
  <c r="L915" i="4"/>
  <c r="P915" i="4" s="1"/>
  <c r="L914" i="4"/>
  <c r="P914" i="4" s="1"/>
  <c r="L898" i="4"/>
  <c r="P898" i="4" s="1"/>
  <c r="L893" i="4"/>
  <c r="P893" i="4" s="1"/>
  <c r="L884" i="4"/>
  <c r="P884" i="4" s="1"/>
  <c r="L878" i="4"/>
  <c r="P878" i="4" s="1"/>
  <c r="L877" i="4"/>
  <c r="P877" i="4" s="1"/>
  <c r="L867" i="4"/>
  <c r="P867" i="4" s="1"/>
  <c r="L866" i="4"/>
  <c r="P866" i="4" s="1"/>
  <c r="L862" i="4"/>
  <c r="P862" i="4" s="1"/>
  <c r="L854" i="4"/>
  <c r="P854" i="4" s="1"/>
  <c r="L852" i="4"/>
  <c r="P852" i="4" s="1"/>
  <c r="L850" i="4"/>
  <c r="P850" i="4" s="1"/>
  <c r="L845" i="4"/>
  <c r="P845" i="4" s="1"/>
  <c r="L844" i="4"/>
  <c r="P844" i="4" s="1"/>
  <c r="L843" i="4"/>
  <c r="P843" i="4" s="1"/>
  <c r="L842" i="4"/>
  <c r="P842" i="4" s="1"/>
  <c r="L836" i="4"/>
  <c r="P836" i="4" s="1"/>
  <c r="L835" i="4"/>
  <c r="P835" i="4" s="1"/>
  <c r="L832" i="4"/>
  <c r="P832" i="4" s="1"/>
  <c r="L828" i="4"/>
  <c r="P828" i="4" s="1"/>
  <c r="L827" i="4"/>
  <c r="P827" i="4" s="1"/>
  <c r="L820" i="4"/>
  <c r="P820" i="4" s="1"/>
  <c r="L819" i="4"/>
  <c r="P819" i="4" s="1"/>
  <c r="L810" i="4"/>
  <c r="P810" i="4" s="1"/>
  <c r="L808" i="4"/>
  <c r="P808" i="4" s="1"/>
  <c r="L806" i="4"/>
  <c r="P806" i="4" s="1"/>
  <c r="L804" i="4"/>
  <c r="P804" i="4" s="1"/>
  <c r="L802" i="4"/>
  <c r="P802" i="4" s="1"/>
  <c r="L800" i="4"/>
  <c r="P800" i="4" s="1"/>
  <c r="L798" i="4"/>
  <c r="P798" i="4" s="1"/>
  <c r="L796" i="4"/>
  <c r="P796" i="4" s="1"/>
  <c r="L795" i="4"/>
  <c r="P795" i="4" s="1"/>
  <c r="L794" i="4"/>
  <c r="P794" i="4" s="1"/>
  <c r="L791" i="4"/>
  <c r="P791" i="4" s="1"/>
  <c r="L789" i="4"/>
  <c r="P789" i="4" s="1"/>
  <c r="L788" i="4"/>
  <c r="P788" i="4" s="1"/>
  <c r="L787" i="4"/>
  <c r="P787" i="4" s="1"/>
  <c r="L786" i="4"/>
  <c r="P786" i="4" s="1"/>
  <c r="L783" i="4"/>
  <c r="P783" i="4" s="1"/>
  <c r="L782" i="4"/>
  <c r="P782" i="4" s="1"/>
  <c r="L780" i="4"/>
  <c r="P780" i="4" s="1"/>
  <c r="L773" i="4"/>
  <c r="P773" i="4" s="1"/>
  <c r="L772" i="4"/>
  <c r="P772" i="4" s="1"/>
  <c r="L764" i="4"/>
  <c r="P764" i="4" s="1"/>
  <c r="L763" i="4"/>
  <c r="P763" i="4" s="1"/>
  <c r="L762" i="4"/>
  <c r="P762" i="4" s="1"/>
  <c r="L760" i="4"/>
  <c r="P760" i="4" s="1"/>
  <c r="L754" i="4"/>
  <c r="P754" i="4" s="1"/>
  <c r="L747" i="4"/>
  <c r="P747" i="4" s="1"/>
  <c r="L746" i="4"/>
  <c r="P746" i="4" s="1"/>
  <c r="L740" i="4"/>
  <c r="P740" i="4" s="1"/>
  <c r="L739" i="4"/>
  <c r="P739" i="4" s="1"/>
  <c r="L738" i="4"/>
  <c r="P738" i="4" s="1"/>
  <c r="L732" i="4"/>
  <c r="P732" i="4" s="1"/>
  <c r="L731" i="4"/>
  <c r="P731" i="4" s="1"/>
  <c r="L730" i="4"/>
  <c r="P730" i="4" s="1"/>
  <c r="L728" i="4"/>
  <c r="P728" i="4" s="1"/>
  <c r="L724" i="4"/>
  <c r="P724" i="4" s="1"/>
  <c r="L722" i="4"/>
  <c r="P722" i="4" s="1"/>
  <c r="L719" i="4"/>
  <c r="P719" i="4" s="1"/>
  <c r="L709" i="4"/>
  <c r="P709" i="4" s="1"/>
  <c r="L708" i="4"/>
  <c r="P708" i="4" s="1"/>
  <c r="L707" i="4"/>
  <c r="P707" i="4" s="1"/>
  <c r="L704" i="4"/>
  <c r="P704" i="4" s="1"/>
  <c r="L702" i="4"/>
  <c r="P702" i="4" s="1"/>
  <c r="L701" i="4"/>
  <c r="P701" i="4" s="1"/>
  <c r="L700" i="4"/>
  <c r="P700" i="4" s="1"/>
  <c r="L699" i="4"/>
  <c r="P699" i="4" s="1"/>
  <c r="L698" i="4"/>
  <c r="P698" i="4" s="1"/>
  <c r="L696" i="4"/>
  <c r="P696" i="4" s="1"/>
  <c r="L693" i="4"/>
  <c r="P693" i="4" s="1"/>
  <c r="L692" i="4"/>
  <c r="P692" i="4" s="1"/>
  <c r="L690" i="4"/>
  <c r="P690" i="4" s="1"/>
  <c r="L684" i="4"/>
  <c r="P684" i="4" s="1"/>
  <c r="L683" i="4"/>
  <c r="P683" i="4" s="1"/>
  <c r="L678" i="4"/>
  <c r="P678" i="4" s="1"/>
  <c r="L677" i="4"/>
  <c r="P677" i="4" s="1"/>
  <c r="L676" i="4"/>
  <c r="P676" i="4" s="1"/>
  <c r="L669" i="4"/>
  <c r="P669" i="4" s="1"/>
  <c r="L668" i="4"/>
  <c r="P668" i="4" s="1"/>
  <c r="L667" i="4"/>
  <c r="P667" i="4" s="1"/>
  <c r="L666" i="4"/>
  <c r="P666" i="4" s="1"/>
  <c r="L665" i="4"/>
  <c r="P665" i="4" s="1"/>
  <c r="L660" i="4"/>
  <c r="P660" i="4" s="1"/>
  <c r="L659" i="4"/>
  <c r="P659" i="4" s="1"/>
  <c r="L658" i="4"/>
  <c r="P658" i="4" s="1"/>
  <c r="L652" i="4"/>
  <c r="P652" i="4" s="1"/>
  <c r="L651" i="4"/>
  <c r="P651" i="4" s="1"/>
  <c r="L650" i="4"/>
  <c r="P650" i="4" s="1"/>
  <c r="L638" i="4"/>
  <c r="P638" i="4" s="1"/>
  <c r="L635" i="4"/>
  <c r="P635" i="4" s="1"/>
  <c r="L634" i="4"/>
  <c r="P634" i="4" s="1"/>
  <c r="L629" i="4"/>
  <c r="P629" i="4" s="1"/>
  <c r="L627" i="4"/>
  <c r="P627" i="4" s="1"/>
  <c r="L626" i="4"/>
  <c r="P626" i="4" s="1"/>
  <c r="L621" i="4"/>
  <c r="P621" i="4" s="1"/>
  <c r="L615" i="4"/>
  <c r="P615" i="4" s="1"/>
  <c r="L611" i="4"/>
  <c r="P611" i="4" s="1"/>
  <c r="L610" i="4"/>
  <c r="P610" i="4" s="1"/>
  <c r="L606" i="4"/>
  <c r="P606" i="4" s="1"/>
  <c r="L604" i="4"/>
  <c r="P604" i="4" s="1"/>
  <c r="L603" i="4"/>
  <c r="P603" i="4" s="1"/>
  <c r="L602" i="4"/>
  <c r="P602" i="4" s="1"/>
  <c r="L596" i="4"/>
  <c r="P596" i="4" s="1"/>
  <c r="L595" i="4"/>
  <c r="P595" i="4" s="1"/>
  <c r="L594" i="4"/>
  <c r="P594" i="4" s="1"/>
  <c r="L591" i="4"/>
  <c r="P591" i="4" s="1"/>
  <c r="L582" i="4"/>
  <c r="P582" i="4" s="1"/>
  <c r="L578" i="4"/>
  <c r="P578" i="4" s="1"/>
  <c r="L571" i="4"/>
  <c r="P571" i="4" s="1"/>
  <c r="L570" i="4"/>
  <c r="P570" i="4" s="1"/>
  <c r="L564" i="4"/>
  <c r="P564" i="4" s="1"/>
  <c r="L563" i="4"/>
  <c r="P563" i="4" s="1"/>
  <c r="L562" i="4"/>
  <c r="P562" i="4" s="1"/>
  <c r="L548" i="4"/>
  <c r="P548" i="4" s="1"/>
  <c r="L546" i="4"/>
  <c r="P546" i="4" s="1"/>
  <c r="L542" i="4"/>
  <c r="P542" i="4" s="1"/>
  <c r="L541" i="4"/>
  <c r="P541" i="4" s="1"/>
  <c r="L540" i="4"/>
  <c r="P540" i="4" s="1"/>
  <c r="L539" i="4"/>
  <c r="P539" i="4" s="1"/>
  <c r="L538" i="4"/>
  <c r="P538" i="4" s="1"/>
  <c r="L534" i="4"/>
  <c r="P534" i="4" s="1"/>
  <c r="L533" i="4"/>
  <c r="P533" i="4" s="1"/>
  <c r="L532" i="4"/>
  <c r="P532" i="4" s="1"/>
  <c r="L531" i="4"/>
  <c r="P531" i="4" s="1"/>
  <c r="L530" i="4"/>
  <c r="P530" i="4" s="1"/>
  <c r="L526" i="4"/>
  <c r="P526" i="4" s="1"/>
  <c r="L525" i="4"/>
  <c r="P525" i="4" s="1"/>
  <c r="L516" i="4"/>
  <c r="P516" i="4" s="1"/>
  <c r="L515" i="4"/>
  <c r="P515" i="4" s="1"/>
  <c r="L508" i="4"/>
  <c r="P508" i="4" s="1"/>
  <c r="L504" i="4"/>
  <c r="P504" i="4" s="1"/>
  <c r="L502" i="4"/>
  <c r="P502" i="4" s="1"/>
  <c r="L499" i="4"/>
  <c r="P499" i="4" s="1"/>
  <c r="L498" i="4"/>
  <c r="P498" i="4" s="1"/>
  <c r="L493" i="4"/>
  <c r="P493" i="4" s="1"/>
  <c r="L491" i="4"/>
  <c r="P491" i="4" s="1"/>
  <c r="L490" i="4"/>
  <c r="P490" i="4" s="1"/>
  <c r="L485" i="4"/>
  <c r="P485" i="4" s="1"/>
  <c r="L483" i="4"/>
  <c r="P483" i="4" s="1"/>
  <c r="L482" i="4"/>
  <c r="P482" i="4" s="1"/>
  <c r="L476" i="4"/>
  <c r="P476" i="4" s="1"/>
  <c r="L475" i="4"/>
  <c r="P475" i="4" s="1"/>
  <c r="L474" i="4"/>
  <c r="P474" i="4" s="1"/>
  <c r="L471" i="4"/>
  <c r="P471" i="4" s="1"/>
  <c r="L470" i="4"/>
  <c r="P470" i="4" s="1"/>
  <c r="L467" i="4"/>
  <c r="P467" i="4" s="1"/>
  <c r="L466" i="4"/>
  <c r="P466" i="4" s="1"/>
  <c r="L461" i="4"/>
  <c r="P461" i="4" s="1"/>
  <c r="L456" i="4"/>
  <c r="P456" i="4" s="1"/>
  <c r="L452" i="4"/>
  <c r="P452" i="4" s="1"/>
  <c r="L451" i="4"/>
  <c r="P451" i="4" s="1"/>
  <c r="L450" i="4"/>
  <c r="P450" i="4" s="1"/>
  <c r="L444" i="4"/>
  <c r="P444" i="4" s="1"/>
  <c r="L442" i="4"/>
  <c r="P442" i="4" s="1"/>
  <c r="L435" i="4"/>
  <c r="P435" i="4" s="1"/>
  <c r="L434" i="4"/>
  <c r="P434" i="4" s="1"/>
  <c r="L428" i="4"/>
  <c r="P428" i="4" s="1"/>
  <c r="L426" i="4"/>
  <c r="P426" i="4" s="1"/>
  <c r="L420" i="4"/>
  <c r="P420" i="4" s="1"/>
  <c r="L419" i="4"/>
  <c r="P419" i="4" s="1"/>
  <c r="L418" i="4"/>
  <c r="P418" i="4" s="1"/>
  <c r="L413" i="4"/>
  <c r="P413" i="4" s="1"/>
  <c r="L412" i="4"/>
  <c r="P412" i="4" s="1"/>
  <c r="L411" i="4"/>
  <c r="P411" i="4" s="1"/>
  <c r="L405" i="4"/>
  <c r="P405" i="4" s="1"/>
  <c r="L404" i="4"/>
  <c r="P404" i="4" s="1"/>
  <c r="L396" i="4"/>
  <c r="P396" i="4" s="1"/>
  <c r="L392" i="4"/>
  <c r="P392" i="4" s="1"/>
  <c r="L389" i="4"/>
  <c r="P389" i="4" s="1"/>
  <c r="L388" i="4"/>
  <c r="P388" i="4" s="1"/>
  <c r="L373" i="4"/>
  <c r="P373" i="4" s="1"/>
  <c r="L372" i="4"/>
  <c r="P372" i="4" s="1"/>
  <c r="L365" i="4"/>
  <c r="P365" i="4" s="1"/>
  <c r="L356" i="4"/>
  <c r="P356" i="4" s="1"/>
  <c r="L348" i="4"/>
  <c r="P348" i="4" s="1"/>
  <c r="L342" i="4"/>
  <c r="P342" i="4" s="1"/>
  <c r="L340" i="4"/>
  <c r="P340" i="4" s="1"/>
  <c r="L332" i="4"/>
  <c r="P332" i="4" s="1"/>
  <c r="L324" i="4"/>
  <c r="P324" i="4" s="1"/>
  <c r="L310" i="4"/>
  <c r="P310" i="4" s="1"/>
  <c r="L308" i="4"/>
  <c r="P308" i="4" s="1"/>
  <c r="L301" i="4"/>
  <c r="P301" i="4" s="1"/>
  <c r="L300" i="4"/>
  <c r="P300" i="4" s="1"/>
  <c r="L292" i="4"/>
  <c r="P292" i="4" s="1"/>
  <c r="L286" i="4"/>
  <c r="P286" i="4" s="1"/>
  <c r="L277" i="4"/>
  <c r="P277" i="4" s="1"/>
  <c r="L273" i="4"/>
  <c r="P273" i="4" s="1"/>
  <c r="L268" i="4"/>
  <c r="P268" i="4" s="1"/>
  <c r="L261" i="4"/>
  <c r="P261" i="4" s="1"/>
  <c r="L254" i="4"/>
  <c r="P254" i="4" s="1"/>
  <c r="L245" i="4"/>
  <c r="P245" i="4" s="1"/>
  <c r="L244" i="4"/>
  <c r="P244" i="4" s="1"/>
  <c r="L236" i="4"/>
  <c r="P236" i="4" s="1"/>
  <c r="L230" i="4"/>
  <c r="P230" i="4" s="1"/>
  <c r="L224" i="4"/>
  <c r="P224" i="4" s="1"/>
  <c r="L220" i="4"/>
  <c r="P220" i="4" s="1"/>
  <c r="L205" i="4"/>
  <c r="P205" i="4" s="1"/>
  <c r="L204" i="4"/>
  <c r="P204" i="4" s="1"/>
  <c r="L200" i="4"/>
  <c r="P200" i="4" s="1"/>
  <c r="L199" i="4"/>
  <c r="P199" i="4" s="1"/>
  <c r="L198" i="4"/>
  <c r="P198" i="4" s="1"/>
  <c r="L196" i="4"/>
  <c r="P196" i="4" s="1"/>
  <c r="L189" i="4"/>
  <c r="P189" i="4" s="1"/>
  <c r="L188" i="4"/>
  <c r="P188" i="4" s="1"/>
  <c r="L180" i="4"/>
  <c r="P180" i="4" s="1"/>
  <c r="L172" i="4"/>
  <c r="P172" i="4" s="1"/>
  <c r="L158" i="4"/>
  <c r="P158" i="4" s="1"/>
  <c r="L157" i="4"/>
  <c r="P157" i="4" s="1"/>
  <c r="L156" i="4"/>
  <c r="P156" i="4" s="1"/>
  <c r="L150" i="4"/>
  <c r="P150" i="4" s="1"/>
  <c r="L149" i="4"/>
  <c r="P149" i="4" s="1"/>
  <c r="L148" i="4"/>
  <c r="P148" i="4" s="1"/>
  <c r="L140" i="4"/>
  <c r="P140" i="4" s="1"/>
  <c r="L136" i="4"/>
  <c r="P136" i="4" s="1"/>
  <c r="L133" i="4"/>
  <c r="P133" i="4" s="1"/>
  <c r="L118" i="4"/>
  <c r="P118" i="4" s="1"/>
  <c r="L117" i="4"/>
  <c r="P117" i="4" s="1"/>
  <c r="L108" i="4"/>
  <c r="P108" i="4" s="1"/>
  <c r="L101" i="4"/>
  <c r="P101" i="4" s="1"/>
  <c r="L92" i="4"/>
  <c r="P92" i="4" s="1"/>
  <c r="L86" i="4"/>
  <c r="P86" i="4" s="1"/>
  <c r="L84" i="4"/>
  <c r="P84" i="4" s="1"/>
  <c r="L83" i="4"/>
  <c r="P83" i="4" s="1"/>
  <c r="L76" i="4"/>
  <c r="P76" i="4" s="1"/>
  <c r="L75" i="4"/>
  <c r="P75" i="4" s="1"/>
  <c r="L74" i="4"/>
  <c r="P74" i="4" s="1"/>
  <c r="L70" i="4"/>
  <c r="P70" i="4" s="1"/>
  <c r="L68" i="4"/>
  <c r="P68" i="4" s="1"/>
  <c r="L66" i="4"/>
  <c r="P66" i="4" s="1"/>
  <c r="L62" i="4"/>
  <c r="P62" i="4" s="1"/>
  <c r="L60" i="4"/>
  <c r="P60" i="4" s="1"/>
  <c r="L58" i="4"/>
  <c r="P58" i="4" s="1"/>
  <c r="L50" i="4"/>
  <c r="P50" i="4" s="1"/>
  <c r="L44" i="4"/>
  <c r="P44" i="4" s="1"/>
  <c r="L38" i="4"/>
  <c r="P38" i="4" s="1"/>
  <c r="L36" i="4"/>
  <c r="P36" i="4" s="1"/>
  <c r="L35" i="4"/>
  <c r="P35" i="4" s="1"/>
  <c r="L34" i="4"/>
  <c r="P34" i="4" s="1"/>
  <c r="L28" i="4"/>
  <c r="P28" i="4" s="1"/>
  <c r="L26" i="4"/>
  <c r="P26" i="4" s="1"/>
  <c r="L19" i="4"/>
  <c r="P19" i="4" s="1"/>
  <c r="L18" i="4"/>
  <c r="P18" i="4" s="1"/>
  <c r="L12" i="4"/>
  <c r="P12" i="4" s="1"/>
  <c r="L10" i="4"/>
  <c r="P10" i="4" s="1"/>
  <c r="L4" i="4"/>
  <c r="P4" i="4" s="1"/>
  <c r="L3" i="4"/>
  <c r="P3" i="4" s="1"/>
  <c r="L2" i="4"/>
  <c r="P2" i="4" s="1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E2" i="2"/>
  <c r="D2" i="2"/>
  <c r="C2" i="2"/>
  <c r="L770" i="4" l="1"/>
  <c r="P770" i="4" s="1"/>
  <c r="L424" i="4"/>
  <c r="P424" i="4" s="1"/>
  <c r="L551" i="4"/>
  <c r="P551" i="4" s="1"/>
  <c r="L309" i="4"/>
  <c r="P309" i="4" s="1"/>
  <c r="L227" i="4"/>
  <c r="P227" i="4" s="1"/>
  <c r="L812" i="4"/>
  <c r="P812" i="4" s="1"/>
  <c r="L554" i="4"/>
  <c r="P554" i="4" s="1"/>
  <c r="L826" i="4"/>
  <c r="P826" i="4" s="1"/>
  <c r="L294" i="4"/>
  <c r="P294" i="4" s="1"/>
  <c r="L154" i="4"/>
  <c r="P154" i="4" s="1"/>
  <c r="L319" i="4"/>
  <c r="P319" i="4" s="1"/>
  <c r="L13" i="4"/>
  <c r="P13" i="4" s="1"/>
  <c r="L438" i="4"/>
  <c r="P438" i="4" s="1"/>
  <c r="L655" i="4"/>
  <c r="P655" i="4" s="1"/>
  <c r="L165" i="4"/>
  <c r="P165" i="4" s="1"/>
  <c r="L242" i="4"/>
  <c r="P242" i="4" s="1"/>
  <c r="L879" i="4"/>
  <c r="P879" i="4" s="1"/>
  <c r="L462" i="4"/>
  <c r="P462" i="4" s="1"/>
  <c r="L939" i="4"/>
  <c r="P939" i="4" s="1"/>
  <c r="L736" i="4"/>
  <c r="P736" i="4" s="1"/>
  <c r="L918" i="4"/>
  <c r="P918" i="4" s="1"/>
  <c r="L721" i="4"/>
  <c r="P721" i="4" s="1"/>
  <c r="L784" i="4"/>
  <c r="P784" i="4" s="1"/>
  <c r="L691" i="4"/>
  <c r="P691" i="4" s="1"/>
  <c r="L815" i="4"/>
  <c r="P815" i="4" s="1"/>
  <c r="L855" i="4"/>
  <c r="P855" i="4" s="1"/>
  <c r="L948" i="4"/>
  <c r="P948" i="4" s="1"/>
  <c r="L109" i="4"/>
  <c r="P109" i="4" s="1"/>
  <c r="L377" i="4"/>
  <c r="P377" i="4" s="1"/>
  <c r="L561" i="4"/>
  <c r="P561" i="4" s="1"/>
  <c r="L590" i="4"/>
  <c r="P590" i="4" s="1"/>
  <c r="L421" i="4"/>
  <c r="P421" i="4" s="1"/>
  <c r="L243" i="4"/>
  <c r="P243" i="4" s="1"/>
  <c r="L59" i="4"/>
  <c r="P59" i="4" s="1"/>
  <c r="L78" i="4"/>
  <c r="P78" i="4" s="1"/>
  <c r="L751" i="4"/>
  <c r="P751" i="4" s="1"/>
  <c r="L716" i="4"/>
  <c r="P716" i="4" s="1"/>
  <c r="L752" i="4"/>
  <c r="P752" i="4" s="1"/>
  <c r="L355" i="4"/>
  <c r="P355" i="4" s="1"/>
  <c r="L506" i="4"/>
  <c r="P506" i="4" s="1"/>
  <c r="L776" i="4"/>
  <c r="P776" i="4" s="1"/>
  <c r="L91" i="4"/>
  <c r="P91" i="4" s="1"/>
  <c r="L121" i="4"/>
  <c r="P121" i="4" s="1"/>
  <c r="L249" i="4"/>
  <c r="P249" i="4" s="1"/>
  <c r="L637" i="4"/>
  <c r="P637" i="4" s="1"/>
  <c r="L694" i="4"/>
  <c r="P694" i="4" s="1"/>
  <c r="L705" i="4"/>
  <c r="P705" i="4" s="1"/>
  <c r="L874" i="4"/>
  <c r="P874" i="4" s="1"/>
  <c r="L909" i="4"/>
  <c r="P909" i="4" s="1"/>
  <c r="L949" i="4"/>
  <c r="P949" i="4" s="1"/>
  <c r="L381" i="4"/>
  <c r="P381" i="4" s="1"/>
  <c r="L505" i="4"/>
  <c r="P505" i="4" s="1"/>
  <c r="L775" i="4"/>
  <c r="P775" i="4" s="1"/>
  <c r="L281" i="4"/>
  <c r="P281" i="4" s="1"/>
  <c r="L384" i="4"/>
  <c r="P384" i="4" s="1"/>
  <c r="L56" i="4"/>
  <c r="P56" i="4" s="1"/>
  <c r="L132" i="4"/>
  <c r="P132" i="4" s="1"/>
  <c r="L287" i="4"/>
  <c r="P287" i="4" s="1"/>
  <c r="L495" i="4"/>
  <c r="P495" i="4" s="1"/>
  <c r="L509" i="4"/>
  <c r="P509" i="4" s="1"/>
  <c r="L406" i="4"/>
  <c r="P406" i="4" s="1"/>
  <c r="L755" i="4"/>
  <c r="P755" i="4" s="1"/>
  <c r="L905" i="4"/>
  <c r="P905" i="4" s="1"/>
  <c r="L31" i="4"/>
  <c r="P31" i="4" s="1"/>
  <c r="L95" i="4"/>
  <c r="P95" i="4" s="1"/>
  <c r="L371" i="4"/>
  <c r="P371" i="4" s="1"/>
  <c r="L576" i="4"/>
  <c r="P576" i="4" s="1"/>
  <c r="L623" i="4"/>
  <c r="P623" i="4" s="1"/>
  <c r="L643" i="4"/>
  <c r="P643" i="4" s="1"/>
  <c r="L350" i="4"/>
  <c r="P350" i="4" s="1"/>
  <c r="L183" i="4"/>
  <c r="P183" i="4" s="1"/>
  <c r="L354" i="4"/>
  <c r="P354" i="4" s="1"/>
  <c r="L579" i="4"/>
  <c r="P579" i="4" s="1"/>
  <c r="L187" i="4"/>
  <c r="P187" i="4" s="1"/>
  <c r="L484" i="4"/>
  <c r="P484" i="4" s="1"/>
  <c r="L510" i="4"/>
  <c r="P510" i="4" s="1"/>
  <c r="L818" i="4"/>
  <c r="P818" i="4" s="1"/>
  <c r="L42" i="4"/>
  <c r="P42" i="4" s="1"/>
  <c r="L214" i="4"/>
  <c r="P214" i="4" s="1"/>
  <c r="L325" i="4"/>
  <c r="P325" i="4" s="1"/>
  <c r="L605" i="4"/>
  <c r="P605" i="4" s="1"/>
  <c r="L110" i="4"/>
  <c r="P110" i="4" s="1"/>
  <c r="L159" i="4"/>
  <c r="P159" i="4" s="1"/>
  <c r="L275" i="4"/>
  <c r="P275" i="4" s="1"/>
  <c r="L453" i="4"/>
  <c r="P453" i="4" s="1"/>
  <c r="L473" i="4"/>
  <c r="P473" i="4" s="1"/>
  <c r="L487" i="4"/>
  <c r="P487" i="4" s="1"/>
  <c r="L686" i="4"/>
  <c r="P686" i="4" s="1"/>
  <c r="L781" i="4"/>
  <c r="P781" i="4" s="1"/>
  <c r="L790" i="4"/>
  <c r="P790" i="4" s="1"/>
  <c r="L838" i="4"/>
  <c r="P838" i="4" s="1"/>
  <c r="L882" i="4"/>
  <c r="P882" i="4" s="1"/>
  <c r="L954" i="4"/>
  <c r="P954" i="4" s="1"/>
  <c r="L972" i="4"/>
  <c r="P972" i="4" s="1"/>
  <c r="L30" i="4"/>
  <c r="P30" i="4" s="1"/>
  <c r="L90" i="4"/>
  <c r="P90" i="4" s="1"/>
  <c r="L115" i="4"/>
  <c r="P115" i="4" s="1"/>
  <c r="L164" i="4"/>
  <c r="P164" i="4" s="1"/>
  <c r="L221" i="4"/>
  <c r="P221" i="4" s="1"/>
  <c r="L306" i="4"/>
  <c r="P306" i="4" s="1"/>
  <c r="L517" i="4"/>
  <c r="P517" i="4" s="1"/>
  <c r="L536" i="4"/>
  <c r="P536" i="4" s="1"/>
  <c r="L547" i="4"/>
  <c r="P547" i="4" s="1"/>
  <c r="L688" i="4"/>
  <c r="P688" i="4" s="1"/>
  <c r="L767" i="4"/>
  <c r="P767" i="4" s="1"/>
  <c r="L956" i="4"/>
  <c r="P956" i="4" s="1"/>
  <c r="L494" i="4"/>
  <c r="P494" i="4" s="1"/>
  <c r="L155" i="4"/>
  <c r="P155" i="4" s="1"/>
  <c r="L228" i="4"/>
  <c r="P228" i="4" s="1"/>
  <c r="L422" i="4"/>
  <c r="P422" i="4" s="1"/>
  <c r="L899" i="4"/>
  <c r="P899" i="4" s="1"/>
  <c r="L48" i="4"/>
  <c r="P48" i="4" s="1"/>
  <c r="L114" i="4"/>
  <c r="P114" i="4" s="1"/>
  <c r="L173" i="4"/>
  <c r="P173" i="4" s="1"/>
  <c r="L391" i="4"/>
  <c r="P391" i="4" s="1"/>
  <c r="L628" i="4"/>
  <c r="P628" i="4" s="1"/>
  <c r="L675" i="4"/>
  <c r="P675" i="4" s="1"/>
  <c r="L803" i="4"/>
  <c r="P803" i="4" s="1"/>
  <c r="L955" i="4"/>
  <c r="P955" i="4" s="1"/>
  <c r="L360" i="4"/>
  <c r="P360" i="4" s="1"/>
  <c r="L617" i="4"/>
  <c r="P617" i="4" s="1"/>
  <c r="L689" i="4"/>
  <c r="P689" i="4" s="1"/>
  <c r="L771" i="4"/>
  <c r="P771" i="4" s="1"/>
  <c r="L24" i="4"/>
  <c r="P24" i="4" s="1"/>
  <c r="L51" i="4"/>
  <c r="P51" i="4" s="1"/>
  <c r="L116" i="4"/>
  <c r="P116" i="4" s="1"/>
  <c r="L178" i="4"/>
  <c r="P178" i="4" s="1"/>
  <c r="L197" i="4"/>
  <c r="P197" i="4" s="1"/>
  <c r="L232" i="4"/>
  <c r="P232" i="4" s="1"/>
  <c r="L248" i="4"/>
  <c r="P248" i="4" s="1"/>
  <c r="L297" i="4"/>
  <c r="P297" i="4" s="1"/>
  <c r="L312" i="4"/>
  <c r="P312" i="4" s="1"/>
  <c r="L363" i="4"/>
  <c r="P363" i="4" s="1"/>
  <c r="L393" i="4"/>
  <c r="P393" i="4" s="1"/>
  <c r="L427" i="4"/>
  <c r="P427" i="4" s="1"/>
  <c r="L445" i="4"/>
  <c r="P445" i="4" s="1"/>
  <c r="L514" i="4"/>
  <c r="P514" i="4" s="1"/>
  <c r="L556" i="4"/>
  <c r="P556" i="4" s="1"/>
  <c r="L618" i="4"/>
  <c r="P618" i="4" s="1"/>
  <c r="L644" i="4"/>
  <c r="P644" i="4" s="1"/>
  <c r="L742" i="4"/>
  <c r="P742" i="4" s="1"/>
  <c r="L758" i="4"/>
  <c r="P758" i="4" s="1"/>
  <c r="L834" i="4"/>
  <c r="P834" i="4" s="1"/>
  <c r="L847" i="4"/>
  <c r="P847" i="4" s="1"/>
  <c r="L868" i="4"/>
  <c r="P868" i="4" s="1"/>
  <c r="L888" i="4"/>
  <c r="P888" i="4" s="1"/>
  <c r="L906" i="4"/>
  <c r="P906" i="4" s="1"/>
  <c r="L973" i="4"/>
  <c r="P973" i="4" s="1"/>
  <c r="L113" i="4"/>
  <c r="P113" i="4" s="1"/>
  <c r="L264" i="4"/>
  <c r="P264" i="4" s="1"/>
  <c r="L32" i="4"/>
  <c r="P32" i="4" s="1"/>
  <c r="L94" i="4"/>
  <c r="P94" i="4" s="1"/>
  <c r="L210" i="4"/>
  <c r="P210" i="4" s="1"/>
  <c r="L488" i="4"/>
  <c r="P488" i="4" s="1"/>
  <c r="L529" i="4"/>
  <c r="P529" i="4" s="1"/>
  <c r="L642" i="4"/>
  <c r="P642" i="4" s="1"/>
  <c r="L983" i="4"/>
  <c r="P983" i="4" s="1"/>
  <c r="L20" i="4"/>
  <c r="P20" i="4" s="1"/>
  <c r="L82" i="4"/>
  <c r="P82" i="4" s="1"/>
  <c r="L176" i="4"/>
  <c r="P176" i="4" s="1"/>
  <c r="L246" i="4"/>
  <c r="P246" i="4" s="1"/>
  <c r="L376" i="4"/>
  <c r="P376" i="4" s="1"/>
  <c r="L922" i="4"/>
  <c r="P922" i="4" s="1"/>
  <c r="L67" i="4"/>
  <c r="P67" i="4" s="1"/>
  <c r="L100" i="4"/>
  <c r="P100" i="4" s="1"/>
  <c r="L52" i="4"/>
  <c r="P52" i="4" s="1"/>
  <c r="L298" i="4"/>
  <c r="P298" i="4" s="1"/>
  <c r="L313" i="4"/>
  <c r="P313" i="4" s="1"/>
  <c r="L364" i="4"/>
  <c r="P364" i="4" s="1"/>
  <c r="L446" i="4"/>
  <c r="P446" i="4" s="1"/>
  <c r="L557" i="4"/>
  <c r="P557" i="4" s="1"/>
  <c r="L572" i="4"/>
  <c r="P572" i="4" s="1"/>
  <c r="L649" i="4"/>
  <c r="P649" i="4" s="1"/>
  <c r="L710" i="4"/>
  <c r="P710" i="4" s="1"/>
  <c r="L822" i="4"/>
  <c r="P822" i="4" s="1"/>
  <c r="L889" i="4"/>
  <c r="P889" i="4" s="1"/>
  <c r="L908" i="4"/>
  <c r="P908" i="4" s="1"/>
  <c r="L976" i="4"/>
  <c r="P976" i="4" s="1"/>
  <c r="L47" i="4"/>
  <c r="P47" i="4" s="1"/>
  <c r="L290" i="4"/>
  <c r="P290" i="4" s="1"/>
  <c r="L410" i="4"/>
  <c r="P410" i="4" s="1"/>
  <c r="L639" i="4"/>
  <c r="P639" i="4" s="1"/>
  <c r="L706" i="4"/>
  <c r="P706" i="4" s="1"/>
  <c r="L229" i="4"/>
  <c r="P229" i="4" s="1"/>
  <c r="L374" i="4"/>
  <c r="P374" i="4" s="1"/>
  <c r="L580" i="4"/>
  <c r="P580" i="4" s="1"/>
  <c r="L900" i="4"/>
  <c r="P900" i="4" s="1"/>
  <c r="L966" i="4"/>
  <c r="P966" i="4" s="1"/>
  <c r="L489" i="4"/>
  <c r="P489" i="4" s="1"/>
  <c r="L513" i="4"/>
  <c r="P513" i="4" s="1"/>
  <c r="L756" i="4"/>
  <c r="P756" i="4" s="1"/>
  <c r="L833" i="4"/>
  <c r="P833" i="4" s="1"/>
  <c r="L11" i="4"/>
  <c r="P11" i="4" s="1"/>
  <c r="L27" i="4"/>
  <c r="P27" i="4" s="1"/>
  <c r="L160" i="4"/>
  <c r="P160" i="4" s="1"/>
  <c r="L182" i="4"/>
  <c r="P182" i="4" s="1"/>
  <c r="L316" i="4"/>
  <c r="P316" i="4" s="1"/>
  <c r="L382" i="4"/>
  <c r="P382" i="4" s="1"/>
  <c r="L492" i="4"/>
  <c r="P492" i="4" s="1"/>
  <c r="L825" i="4"/>
  <c r="P825" i="4" s="1"/>
  <c r="L748" i="4"/>
  <c r="P748" i="4" s="1"/>
  <c r="L327" i="4"/>
  <c r="P327" i="4" s="1"/>
  <c r="L989" i="4"/>
  <c r="P989" i="4" s="1"/>
  <c r="L284" i="4"/>
  <c r="P284" i="4" s="1"/>
  <c r="L43" i="4"/>
  <c r="P43" i="4" s="1"/>
  <c r="L88" i="4"/>
  <c r="P88" i="4" s="1"/>
  <c r="L341" i="4"/>
  <c r="P341" i="4" s="1"/>
  <c r="L357" i="4"/>
  <c r="P357" i="4" s="1"/>
  <c r="L477" i="4"/>
  <c r="P477" i="4" s="1"/>
  <c r="L569" i="4"/>
  <c r="P569" i="4" s="1"/>
  <c r="L625" i="4"/>
  <c r="P625" i="4" s="1"/>
  <c r="L837" i="4"/>
  <c r="P837" i="4" s="1"/>
  <c r="L885" i="4"/>
  <c r="P885" i="4" s="1"/>
  <c r="L951" i="4"/>
  <c r="P951" i="4" s="1"/>
  <c r="L147" i="4"/>
  <c r="P147" i="4" s="1"/>
  <c r="L177" i="4"/>
  <c r="P177" i="4" s="1"/>
  <c r="L191" i="4"/>
  <c r="P191" i="4" s="1"/>
  <c r="L423" i="4"/>
  <c r="P423" i="4" s="1"/>
  <c r="L437" i="4"/>
  <c r="P437" i="4" s="1"/>
  <c r="L851" i="4"/>
  <c r="P851" i="4" s="1"/>
  <c r="L585" i="4"/>
  <c r="P585" i="4" s="1"/>
  <c r="L616" i="4"/>
  <c r="P616" i="4" s="1"/>
  <c r="L841" i="4"/>
  <c r="P841" i="4" s="1"/>
  <c r="L128" i="4"/>
  <c r="P128" i="4" s="1"/>
  <c r="L307" i="4"/>
  <c r="P307" i="4" s="1"/>
  <c r="L414" i="4"/>
  <c r="P414" i="4" s="1"/>
  <c r="L441" i="4"/>
  <c r="P441" i="4" s="1"/>
  <c r="L703" i="4"/>
  <c r="P703" i="4" s="1"/>
  <c r="L711" i="4"/>
  <c r="P711" i="4" s="1"/>
  <c r="L944" i="4"/>
  <c r="P944" i="4" s="1"/>
  <c r="L967" i="4"/>
  <c r="P967" i="4" s="1"/>
  <c r="L25" i="4"/>
  <c r="P25" i="4" s="1"/>
  <c r="L293" i="4"/>
  <c r="P293" i="4" s="1"/>
  <c r="L521" i="4"/>
  <c r="P521" i="4" s="1"/>
  <c r="L759" i="4"/>
  <c r="P759" i="4" s="1"/>
  <c r="L805" i="4"/>
  <c r="P805" i="4" s="1"/>
  <c r="L911" i="4"/>
  <c r="P911" i="4" s="1"/>
  <c r="L969" i="4"/>
  <c r="P969" i="4" s="1"/>
  <c r="P99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<sst xmlns="http://schemas.openxmlformats.org/spreadsheetml/2006/main" count="12828" uniqueCount="388">
  <si>
    <t>Participant_ID</t>
  </si>
  <si>
    <t>סדר_מודלים</t>
  </si>
  <si>
    <t>מודל A</t>
  </si>
  <si>
    <t>מודל B</t>
  </si>
  <si>
    <t>תרגול_R1_Scenario_ID</t>
  </si>
  <si>
    <t>תרגול_R1_קושי</t>
  </si>
  <si>
    <t>תרגול_R2_Scenario_ID</t>
  </si>
  <si>
    <t>תרגול_R2_קושי</t>
  </si>
  <si>
    <t>תרגול_R3_Scenario_ID</t>
  </si>
  <si>
    <t>תרגול_R3_קושי</t>
  </si>
  <si>
    <t>תרגול_R4_Scenario_ID</t>
  </si>
  <si>
    <t>תרגול_R4_קושי</t>
  </si>
  <si>
    <t>תרגול_R5_Scenario_ID</t>
  </si>
  <si>
    <t>תרגול_R5_קושי</t>
  </si>
  <si>
    <t>תרגול_R6_Scenario_ID</t>
  </si>
  <si>
    <t>תרגול_R6_קושי</t>
  </si>
  <si>
    <t>מודל_1_סוג_מודל</t>
  </si>
  <si>
    <t>מודל_1_סדר_ויזואליזציות</t>
  </si>
  <si>
    <t>מודל_1_VIS1_ויזואליזציה</t>
  </si>
  <si>
    <t>מודל_1_VIS1_R1_Scenario_ID</t>
  </si>
  <si>
    <t>מודל_1_VIS1_R1_קושי</t>
  </si>
  <si>
    <t>מודל_1_VIS1_R2_Scenario_ID</t>
  </si>
  <si>
    <t>מודל_1_VIS1_R2_קושי</t>
  </si>
  <si>
    <t>מודל_1_VIS1_R3_Scenario_ID</t>
  </si>
  <si>
    <t>מודל_1_VIS1_R3_קושי</t>
  </si>
  <si>
    <t>מודל_1_VIS1_R4_Scenario_ID</t>
  </si>
  <si>
    <t>מודל_1_VIS1_R4_קושי</t>
  </si>
  <si>
    <t>מודל_1_VIS1_R5_Scenario_ID</t>
  </si>
  <si>
    <t>מודל_1_VIS1_R5_קושי</t>
  </si>
  <si>
    <t>מודל_1_VIS2_ויזואליזציה</t>
  </si>
  <si>
    <t>מודל_1_VIS2_R1_Scenario_ID</t>
  </si>
  <si>
    <t>מודל_1_VIS2_R1_קושי</t>
  </si>
  <si>
    <t>מודל_1_VIS2_R2_Scenario_ID</t>
  </si>
  <si>
    <t>מודל_1_VIS2_R2_קושי</t>
  </si>
  <si>
    <t>מודל_1_VIS2_R3_Scenario_ID</t>
  </si>
  <si>
    <t>מודל_1_VIS2_R3_קושי</t>
  </si>
  <si>
    <t>מודל_1_VIS2_R4_Scenario_ID</t>
  </si>
  <si>
    <t>מודל_1_VIS2_R4_קושי</t>
  </si>
  <si>
    <t>מודל_1_VIS2_R5_Scenario_ID</t>
  </si>
  <si>
    <t>מודל_1_VIS2_R5_קושי</t>
  </si>
  <si>
    <t>מודל_1_VIS3_ויזואליזציה</t>
  </si>
  <si>
    <t>מודל_1_VIS3_R1_Scenario_ID</t>
  </si>
  <si>
    <t>מודל_1_VIS3_R1_קושי</t>
  </si>
  <si>
    <t>מודל_1_VIS3_R2_Scenario_ID</t>
  </si>
  <si>
    <t>מודל_1_VIS3_R2_קושי</t>
  </si>
  <si>
    <t>מודל_1_VIS3_R3_Scenario_ID</t>
  </si>
  <si>
    <t>מודל_1_VIS3_R3_קושי</t>
  </si>
  <si>
    <t>מודל_1_VIS3_R4_Scenario_ID</t>
  </si>
  <si>
    <t>מודל_1_VIS3_R4_קושי</t>
  </si>
  <si>
    <t>מודל_1_VIS3_R5_Scenario_ID</t>
  </si>
  <si>
    <t>מודל_1_VIS3_R5_קושי</t>
  </si>
  <si>
    <t>מודל_2_סוג_מודל</t>
  </si>
  <si>
    <t>מודל_2_סדר_ויזואליזציות</t>
  </si>
  <si>
    <t>מודל_2_VIS1_ויזואליזציה</t>
  </si>
  <si>
    <t>מודל_2_VIS1_R1_Scenario_ID</t>
  </si>
  <si>
    <t>מודל_2_VIS1_R1_קושי</t>
  </si>
  <si>
    <t>מודל_2_VIS1_R2_Scenario_ID</t>
  </si>
  <si>
    <t>מודל_2_VIS1_R2_קושי</t>
  </si>
  <si>
    <t>מודל_2_VIS1_R3_Scenario_ID</t>
  </si>
  <si>
    <t>מודל_2_VIS1_R3_קושי</t>
  </si>
  <si>
    <t>מודל_2_VIS1_R4_Scenario_ID</t>
  </si>
  <si>
    <t>מודל_2_VIS1_R4_קושי</t>
  </si>
  <si>
    <t>מודל_2_VIS1_R5_Scenario_ID</t>
  </si>
  <si>
    <t>מודל_2_VIS1_R5_קושי</t>
  </si>
  <si>
    <t>מודל_2_VIS2_ויזואליזציה</t>
  </si>
  <si>
    <t>מודל_2_VIS2_R1_Scenario_ID</t>
  </si>
  <si>
    <t>מודל_2_VIS2_R1_קושי</t>
  </si>
  <si>
    <t>מודל_2_VIS2_R2_Scenario_ID</t>
  </si>
  <si>
    <t>מודל_2_VIS2_R2_קושי</t>
  </si>
  <si>
    <t>מודל_2_VIS2_R3_Scenario_ID</t>
  </si>
  <si>
    <t>מודל_2_VIS2_R3_קושי</t>
  </si>
  <si>
    <t>מודל_2_VIS2_R4_Scenario_ID</t>
  </si>
  <si>
    <t>מודל_2_VIS2_R4_קושי</t>
  </si>
  <si>
    <t>מודל_2_VIS2_R5_Scenario_ID</t>
  </si>
  <si>
    <t>מודל_2_VIS2_R5_קושי</t>
  </si>
  <si>
    <t>מודל_2_VIS3_ויזואליזציה</t>
  </si>
  <si>
    <t>מודל_2_VIS3_R1_Scenario_ID</t>
  </si>
  <si>
    <t>מודל_2_VIS3_R1_קושי</t>
  </si>
  <si>
    <t>מודל_2_VIS3_R2_Scenario_ID</t>
  </si>
  <si>
    <t>מודל_2_VIS3_R2_קושי</t>
  </si>
  <si>
    <t>מודל_2_VIS3_R3_Scenario_ID</t>
  </si>
  <si>
    <t>מודל_2_VIS3_R3_קושי</t>
  </si>
  <si>
    <t>מודל_2_VIS3_R4_Scenario_ID</t>
  </si>
  <si>
    <t>מודל_2_VIS3_R4_קושי</t>
  </si>
  <si>
    <t>מודל_2_VIS3_R5_Scenario_ID</t>
  </si>
  <si>
    <t>מודל_2_VIS3_R5_קושי</t>
  </si>
  <si>
    <t>P001</t>
  </si>
  <si>
    <t>אופטימלי ← תת-אופטימלי</t>
  </si>
  <si>
    <t>עמודות נערמות ← רדאר ← מפת חום</t>
  </si>
  <si>
    <t>רדאר ← מפת חום ← עמודות נערמות</t>
  </si>
  <si>
    <t>SCN_001_S</t>
  </si>
  <si>
    <t>E</t>
  </si>
  <si>
    <t>SCN_031_S</t>
  </si>
  <si>
    <t>SCN_002_R</t>
  </si>
  <si>
    <t>SCN_032_R</t>
  </si>
  <si>
    <t>SCN_003_H</t>
  </si>
  <si>
    <t>SCN_033_H</t>
  </si>
  <si>
    <t>OPT</t>
  </si>
  <si>
    <t>עמודות נערמות</t>
  </si>
  <si>
    <t>SCN_028_S</t>
  </si>
  <si>
    <t>H</t>
  </si>
  <si>
    <t>SCN_030_S</t>
  </si>
  <si>
    <t>SCN_026_S</t>
  </si>
  <si>
    <t>SCN_027_S</t>
  </si>
  <si>
    <t>SCN_024_S</t>
  </si>
  <si>
    <t>רדאר</t>
  </si>
  <si>
    <t>SCN_014_R</t>
  </si>
  <si>
    <t>SCN_016_R</t>
  </si>
  <si>
    <t>SCN_017_R</t>
  </si>
  <si>
    <t>SCN_012_R</t>
  </si>
  <si>
    <t>SCN_025_R</t>
  </si>
  <si>
    <t>מפת חום</t>
  </si>
  <si>
    <t>SCN_007_H</t>
  </si>
  <si>
    <t>SCN_006_H</t>
  </si>
  <si>
    <t>SCN_004_H</t>
  </si>
  <si>
    <t>SCN_008_H</t>
  </si>
  <si>
    <t>SCN_009_H</t>
  </si>
  <si>
    <t>SUB</t>
  </si>
  <si>
    <t>SCN_015_R</t>
  </si>
  <si>
    <t>SCN_018_R</t>
  </si>
  <si>
    <t>SCN_019_R</t>
  </si>
  <si>
    <t>SCN_020_R</t>
  </si>
  <si>
    <t>SCN_005_H</t>
  </si>
  <si>
    <t>SCN_013_H</t>
  </si>
  <si>
    <t>SCN_011_H</t>
  </si>
  <si>
    <t>SCN_010_H</t>
  </si>
  <si>
    <t>SCN_023_S</t>
  </si>
  <si>
    <t>SCN_029_S</t>
  </si>
  <si>
    <t>SCN_021_S</t>
  </si>
  <si>
    <t>SCN_022_S</t>
  </si>
  <si>
    <t>P002</t>
  </si>
  <si>
    <t>תת-אופטימלי ← אופטימלי</t>
  </si>
  <si>
    <t>מפת חום ← עמודות נערמות ← רדאר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</si>
  <si>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</si>
  <si>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</si>
  <si>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</si>
  <si>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</si>
  <si>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</si>
  <si>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</si>
  <si>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</si>
  <si>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</si>
  <si>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</si>
  <si>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SCN_024_R</t>
  </si>
  <si>
    <t>SCN_030_R</t>
  </si>
  <si>
    <t>SCN_026_R</t>
  </si>
  <si>
    <t>SCN_027_R</t>
  </si>
  <si>
    <t>SCN_028_R</t>
  </si>
  <si>
    <t>SCN_017_H</t>
  </si>
  <si>
    <t>SCN_016_H</t>
  </si>
  <si>
    <t>SCN_025_H</t>
  </si>
  <si>
    <t>SCN_012_H</t>
  </si>
  <si>
    <t>SCN_014_H</t>
  </si>
  <si>
    <t>SCN_009_S</t>
  </si>
  <si>
    <t>SCN_008_S</t>
  </si>
  <si>
    <t>SCN_004_S</t>
  </si>
  <si>
    <t>SCN_006_S</t>
  </si>
  <si>
    <t>SCN_007_S</t>
  </si>
  <si>
    <t>SCN_019_H</t>
  </si>
  <si>
    <t>SCN_020_H</t>
  </si>
  <si>
    <t>SCN_015_H</t>
  </si>
  <si>
    <t>SCN_018_H</t>
  </si>
  <si>
    <t>SCN_011_S</t>
  </si>
  <si>
    <t>SCN_010_S</t>
  </si>
  <si>
    <t>SCN_005_S</t>
  </si>
  <si>
    <t>SCN_013_S</t>
  </si>
  <si>
    <t>SCN_023_R</t>
  </si>
  <si>
    <t>SCN_029_R</t>
  </si>
  <si>
    <t>SCN_021_R</t>
  </si>
  <si>
    <t>SCN_022_R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</si>
  <si>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</si>
  <si>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</si>
  <si>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</si>
  <si>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</si>
  <si>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</si>
  <si>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</si>
  <si>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</si>
  <si>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</si>
  <si>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</si>
  <si>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</si>
  <si>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SCN_024_H</t>
  </si>
  <si>
    <t>SCN_030_H</t>
  </si>
  <si>
    <t>SCN_028_H</t>
  </si>
  <si>
    <t>SCN_027_H</t>
  </si>
  <si>
    <t>SCN_026_H</t>
  </si>
  <si>
    <t>SCN_025_S</t>
  </si>
  <si>
    <t>SCN_016_S</t>
  </si>
  <si>
    <t>SCN_014_S</t>
  </si>
  <si>
    <t>SCN_012_S</t>
  </si>
  <si>
    <t>SCN_017_S</t>
  </si>
  <si>
    <t>SCN_009_R</t>
  </si>
  <si>
    <t>SCN_006_R</t>
  </si>
  <si>
    <t>SCN_004_R</t>
  </si>
  <si>
    <t>SCN_008_R</t>
  </si>
  <si>
    <t>SCN_007_R</t>
  </si>
  <si>
    <t>SCN_015_S</t>
  </si>
  <si>
    <t>SCN_020_S</t>
  </si>
  <si>
    <t>SCN_019_S</t>
  </si>
  <si>
    <t>SCN_018_S</t>
  </si>
  <si>
    <t>SCN_011_R</t>
  </si>
  <si>
    <t>SCN_010_R</t>
  </si>
  <si>
    <t>SCN_005_R</t>
  </si>
  <si>
    <t>SCN_013_R</t>
  </si>
  <si>
    <t>SCN_023_H</t>
  </si>
  <si>
    <t>SCN_022_H</t>
  </si>
  <si>
    <t>SCN_021_H</t>
  </si>
  <si>
    <t>SCN_029_H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</si>
  <si>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</si>
  <si>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</si>
  <si>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</si>
  <si>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</si>
  <si>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</si>
  <si>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</si>
  <si>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</si>
  <si>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</si>
  <si>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</si>
  <si>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SCN_ID</t>
  </si>
  <si>
    <t>יישוב</t>
  </si>
  <si>
    <t>Scenario_ID_H</t>
  </si>
  <si>
    <t>Scenario_ID_R</t>
  </si>
  <si>
    <t>Scenario_ID_S</t>
  </si>
  <si>
    <t>TRAFFIC</t>
  </si>
  <si>
    <t>TOLL</t>
  </si>
  <si>
    <t>COMM</t>
  </si>
  <si>
    <t>Route_Direction</t>
  </si>
  <si>
    <t>Practice</t>
  </si>
  <si>
    <t>Base_Difficulty</t>
  </si>
  <si>
    <t>CORRECT_ROUTE</t>
  </si>
  <si>
    <t>REC_INACCURATE</t>
  </si>
  <si>
    <t>Q1</t>
  </si>
  <si>
    <t>O1</t>
  </si>
  <si>
    <t>A1</t>
  </si>
  <si>
    <t>Q2</t>
  </si>
  <si>
    <t>O2</t>
  </si>
  <si>
    <t>A2</t>
  </si>
  <si>
    <t>Q3</t>
  </si>
  <si>
    <t>O3</t>
  </si>
  <si>
    <t>A3</t>
  </si>
  <si>
    <t>TASK_TEXT</t>
  </si>
  <si>
    <t>Priority</t>
  </si>
  <si>
    <t>SEG</t>
  </si>
  <si>
    <t>SEG_PRIORITY</t>
  </si>
  <si>
    <t>REQUIREMENTS</t>
  </si>
  <si>
    <t>Status</t>
  </si>
  <si>
    <t>SCN_001</t>
  </si>
  <si>
    <t>ראש העין</t>
  </si>
  <si>
    <t>RTL</t>
  </si>
  <si>
    <t>Y</t>
  </si>
  <si>
    <t>לפי הוויזואליזציה (בפאנל התחתון) איזה מסלול הציג את הציונים הגבוהים ביותר בקטגוריית קליטה?</t>
  </si>
  <si>
    <t>מסלול א
מסלול ב
מסלול ג
לא יודע/ת</t>
  </si>
  <si>
    <t>מסלול ג</t>
  </si>
  <si>
    <t>לפי הוויזואליזציה (בפאנל התחתון) איזה מסלול הציג את הציונים הגבוהים ביותר בקטגוריית חיסכון?</t>
  </si>
  <si>
    <t>מסלול א</t>
  </si>
  <si>
    <t>במפה שלפניך מופיעים 3 מסלולים אפשריים בין נקודת המוצא ליעד. בחר ואשר את המסלול שמתעדף את הדרישות:</t>
  </si>
  <si>
    <t>נוף</t>
  </si>
  <si>
    <t>נוף לאורך כל המקטעים במסלול.</t>
  </si>
  <si>
    <t>SCN_002</t>
  </si>
  <si>
    <t>שדרות</t>
  </si>
  <si>
    <t>LTR</t>
  </si>
  <si>
    <t>לפי הוויזואליזציה (בפאנל התחתון) איזה מסלול הציג את הציונים הגבוהים ביותר בקטגוריית נוף?</t>
  </si>
  <si>
    <t>מסלול ב</t>
  </si>
  <si>
    <t>קליטה</t>
  </si>
  <si>
    <t>קליטה לאורך כל המקטעים במסלול.</t>
  </si>
  <si>
    <t>SCN_003</t>
  </si>
  <si>
    <t>רעננה</t>
  </si>
  <si>
    <t>לפי הוויזואליזציה (בפאנל התחתון) איזה מסלול הציג את הציונים הנמוכים ביותר בקטגוריית קליטה?</t>
  </si>
  <si>
    <t>חיסכון</t>
  </si>
  <si>
    <t>חיסכון לאורך כל המקטעים במסלול.</t>
  </si>
  <si>
    <t>SCN_004</t>
  </si>
  <si>
    <t>רמלה</t>
  </si>
  <si>
    <t>N</t>
  </si>
  <si>
    <t>לפי הוויזואליזציה (בפאנל התחתון) איזה מסלול הציג את הציונים הנמוכים ביותר בקטגוריית חיסכון?</t>
  </si>
  <si>
    <t>מסלול א, מסלול ב</t>
  </si>
  <si>
    <t>SCN_005</t>
  </si>
  <si>
    <t>תל מונד</t>
  </si>
  <si>
    <t>לפי הוויזואליזציה (בפאנל התחתון) איזה מסלול הציג את הציונים הנמוכים ביותר בקטגוריית נוף?</t>
  </si>
  <si>
    <t>SCN_006</t>
  </si>
  <si>
    <t>אור עקיבא</t>
  </si>
  <si>
    <t>מסלול א, מסלול ג</t>
  </si>
  <si>
    <t>נוף לאורך כל המקטעים במסלול.
במקטע 1 גם חיסכון.</t>
  </si>
  <si>
    <t>TRAFF</t>
  </si>
  <si>
    <t>SCN_007</t>
  </si>
  <si>
    <t>אשדוד</t>
  </si>
  <si>
    <t>מסלול ב, מסלול ג</t>
  </si>
  <si>
    <t>SCN_008</t>
  </si>
  <si>
    <t>באר שבע צפון</t>
  </si>
  <si>
    <t>קליטה לאורך כל המקטעים במסלול.
במקטע 2 גם נוף.</t>
  </si>
  <si>
    <t>TOT</t>
  </si>
  <si>
    <t>SCN_009</t>
  </si>
  <si>
    <t>הדר יוסף</t>
  </si>
  <si>
    <t>SCN_010</t>
  </si>
  <si>
    <t>דימונה</t>
  </si>
  <si>
    <t>חיסכון לאורך כל המקטעים במסלול.
במקטע 3 גם נוף.</t>
  </si>
  <si>
    <t>SCN_011</t>
  </si>
  <si>
    <t>אשקלון</t>
  </si>
  <si>
    <t>SCN_012</t>
  </si>
  <si>
    <t>הרצליה</t>
  </si>
  <si>
    <t>קליטה לאורך כל המקטעים במסלול.
במקטע 2 גם חיסכון.</t>
  </si>
  <si>
    <t>SCN_013</t>
  </si>
  <si>
    <t>יבנה</t>
  </si>
  <si>
    <t>נוף לאורך כל המקטעים במסלול.
במקטע 2 גם קליטה.</t>
  </si>
  <si>
    <t>SCN_014</t>
  </si>
  <si>
    <t>חדרה</t>
  </si>
  <si>
    <t>SCN_015</t>
  </si>
  <si>
    <t>זכרון יעקב</t>
  </si>
  <si>
    <t>SCN_016</t>
  </si>
  <si>
    <t>טירת כרמל</t>
  </si>
  <si>
    <t>SCN_017</t>
  </si>
  <si>
    <t>טבריה</t>
  </si>
  <si>
    <t>SCN_018</t>
  </si>
  <si>
    <t>ירוחם</t>
  </si>
  <si>
    <t>חיסכון לאורך כל המקטעים במסלול.
במקטע 1 גם קליטה.</t>
  </si>
  <si>
    <t>SCN_019</t>
  </si>
  <si>
    <t>ירושלים מרכז</t>
  </si>
  <si>
    <t>SCN_020</t>
  </si>
  <si>
    <t>מגדל העמק</t>
  </si>
  <si>
    <t>חיסכון לאורך כל המקטעים במסלול.
במקטע 2 גם נוף.</t>
  </si>
  <si>
    <t>SCN_021</t>
  </si>
  <si>
    <t>מעלות</t>
  </si>
  <si>
    <t>SCN_022</t>
  </si>
  <si>
    <t>נס ציונה</t>
  </si>
  <si>
    <t>נוף לאורך כל המקטעים במסלול.
במקטע 3 גם קליטה.</t>
  </si>
  <si>
    <t>SCN_023</t>
  </si>
  <si>
    <t>נתיבות</t>
  </si>
  <si>
    <t>SCN_024</t>
  </si>
  <si>
    <t>נתניה דרום</t>
  </si>
  <si>
    <t>קליטה לאורך כל המקטעים במסלול.
במקטע 1 גם נוף.</t>
  </si>
  <si>
    <t>SCN_025</t>
  </si>
  <si>
    <t>ערד</t>
  </si>
  <si>
    <t>SCN_026</t>
  </si>
  <si>
    <t>נתניה מרכז</t>
  </si>
  <si>
    <t>SCN_027</t>
  </si>
  <si>
    <t>עומר</t>
  </si>
  <si>
    <t>SCN_028</t>
  </si>
  <si>
    <t>עתלית</t>
  </si>
  <si>
    <t>קליטה לאורך כל המקטעים במסלול.
במקטע 3 גם חיסכון.</t>
  </si>
  <si>
    <t>SCN_029</t>
  </si>
  <si>
    <t>קריית גת</t>
  </si>
  <si>
    <t>נוף לאורך כל המקטעים במסלול.
במקטע 1 גם קליטה.</t>
  </si>
  <si>
    <t>SCN_030</t>
  </si>
  <si>
    <t>קריית מלאכי</t>
  </si>
  <si>
    <t>SCN_031</t>
  </si>
  <si>
    <t>רעננה 2</t>
  </si>
  <si>
    <t>SCN_032</t>
  </si>
  <si>
    <t>SCN_033</t>
  </si>
  <si>
    <t>List</t>
  </si>
  <si>
    <t>סדר_תנאים</t>
  </si>
  <si>
    <t>תנאי_1_ויזואליזציה</t>
  </si>
  <si>
    <t>תנאי_2_ויזואליזציה</t>
  </si>
  <si>
    <t>תנאי_3_ויזואליזציה</t>
  </si>
  <si>
    <t>G(מפת חום)</t>
  </si>
  <si>
    <t>G(רדאר)</t>
  </si>
  <si>
    <t>G(עמודות)</t>
  </si>
  <si>
    <t>A</t>
  </si>
  <si>
    <t>עמודות מוערמות ← רדאר ← מפת חום</t>
  </si>
  <si>
    <t>עמודות מוערמות</t>
  </si>
  <si>
    <t>רדאר ← מפת חום ← עמודות מוערמות</t>
  </si>
  <si>
    <t>מפת חום ← עמודות מוערמות ← רדאר</t>
  </si>
  <si>
    <t>B</t>
  </si>
  <si>
    <t>C</t>
  </si>
  <si>
    <t>Trial_No</t>
  </si>
  <si>
    <t>Phase</t>
  </si>
  <si>
    <t>Condition</t>
  </si>
  <si>
    <t>Visualization</t>
  </si>
  <si>
    <t>ModelSlot</t>
  </si>
  <si>
    <t>ModelType</t>
  </si>
  <si>
    <t>Scenario_ID</t>
  </si>
  <si>
    <t>Difficulty</t>
  </si>
  <si>
    <t>Rec_Correct</t>
  </si>
  <si>
    <t>Correct_Answer</t>
  </si>
  <si>
    <t>System_Recommendation</t>
  </si>
  <si>
    <t>תרגול</t>
  </si>
  <si>
    <t>כן</t>
  </si>
  <si>
    <t>ניסוי</t>
  </si>
  <si>
    <t>M1</t>
  </si>
  <si>
    <t>לא</t>
  </si>
  <si>
    <t>M2</t>
  </si>
  <si>
    <t>בדיקת איזון (סיכום)</t>
  </si>
  <si>
    <t>Total</t>
  </si>
  <si>
    <t>OPT_trials</t>
  </si>
  <si>
    <t>OPT_correct</t>
  </si>
  <si>
    <t>SUB_trials</t>
  </si>
  <si>
    <t>SUB_correct</t>
  </si>
  <si>
    <t>opt</t>
  </si>
  <si>
    <t>א'</t>
  </si>
  <si>
    <t>ב'</t>
  </si>
  <si>
    <t>ג</t>
  </si>
  <si>
    <t>ג'</t>
  </si>
  <si>
    <t>קשה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</si>
</sst>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ptos Narrow"/>
    </font>
    <font>
      <b/>
      <sz val="11"/>
      <color rgb="FFFFFFFF"/>
      <name val="Aptos Narrow"/>
    </font>
    <font>
      <sz val="11"/>
      <color rgb="FF111827"/>
      <name val="Aptos Narrow"/>
    </font>
    <font>
      <b/>
      <sz val="14"/>
      <color rgb="FF111827"/>
      <name val="Aptos Narrow"/>
    </font>
    <font>
      <b/>
      <sz val="11"/>
      <color rgb="FF111827"/>
      <name val="Aptos Narrow"/>
    </font>
    <font>
      <sz val="10"/>
      <color rgb="FF434343"/>
      <name val="Arial"/>
    </font>
    <font>
      <sz val="8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  <fill>
      <patternFill patternType="solid">
        <fgColor rgb="FF111827"/>
        <bgColor rgb="FF111827"/>
      </patternFill>
    </fill>
    <fill>
      <patternFill patternType="solid">
        <fgColor rgb="FFE0E7FF"/>
        <bgColor rgb="FFE0E7FF"/>
      </patternFill>
    </fill>
    <fill>
      <patternFill patternType="solid">
        <fgColor rgb="FFDCFCE7"/>
        <bgColor rgb="FFDCFCE7"/>
      </patternFill>
    </fill>
    <fill>
      <patternFill patternType="solid">
        <fgColor rgb="FFDBEAFE"/>
        <bgColor rgb="FFDBEAFE"/>
      </patternFill>
    </fill>
    <fill>
      <patternFill patternType="solid">
        <fgColor rgb="FFFDE2E2"/>
        <bgColor rgb="FFFDE2E2"/>
      </patternFill>
    </fill>
    <fill>
      <patternFill patternType="solid">
        <fgColor rgb="FFFDE68A"/>
        <bgColor rgb="FFFDE68A"/>
      </patternFill>
    </fill>
    <fill>
      <patternFill patternType="solid">
        <fgColor rgb="FFC7D2FE"/>
        <bgColor rgb="FFC7D2FE"/>
      </patternFill>
    </fill>
    <fill>
      <patternFill patternType="solid">
        <fgColor rgb="FFE5E7EB"/>
        <bgColor rgb="FFE5E7EB"/>
      </patternFill>
    </fill>
    <fill>
      <patternFill patternType="solid">
        <fgColor rgb="FFF6F8F9"/>
        <bgColor rgb="FFF6F8F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356854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6" fillId="7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right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14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15" borderId="7" xfId="0" applyFont="1" applyFill="1" applyBorder="1" applyAlignment="1">
      <alignment horizontal="center" vertical="center" wrapText="1"/>
    </xf>
    <xf numFmtId="0" fontId="10" fillId="15" borderId="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/>
    <xf numFmtId="0" fontId="2" fillId="0" borderId="5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16" borderId="2" xfId="0" applyFont="1" applyFill="1" applyBorder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0" fillId="0" borderId="0" xfId="0"/>
    <xf numFmtId="0" fontId="2" fillId="17" borderId="2" xfId="0" applyFont="1" applyFill="1" applyBorder="1" applyAlignment="1">
      <alignment horizontal="center" vertical="top"/>
    </xf>
    <xf numFmtId="0" fontId="2" fillId="18" borderId="2" xfId="0" applyFont="1" applyFill="1" applyBorder="1" applyAlignment="1">
      <alignment horizontal="center" vertical="top"/>
    </xf>
    <xf numFmtId="0" fontId="2" fillId="19" borderId="2" xfId="0" applyFont="1" applyFill="1" applyBorder="1" applyAlignment="1">
      <alignment horizontal="center" vertical="top"/>
    </xf>
    <xf numFmtId="0" fontId="2" fillId="20" borderId="0" xfId="0" applyFont="1" applyFill="1" applyAlignment="1">
      <alignment horizontal="center" vertical="top"/>
    </xf>
    <xf numFmtId="0" fontId="2" fillId="18" borderId="5" xfId="0" applyFont="1" applyFill="1" applyBorder="1" applyAlignment="1">
      <alignment horizontal="center" vertical="top"/>
    </xf>
  </cellXfs>
  <cellStyles count="1">
    <cellStyle name="Normal" xfId="0" builtinId="0"/>
  </cellStyles>
  <dxfs count="72"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8ED873"/>
          <bgColor rgb="FF8ED873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8ED873"/>
          <bgColor rgb="FF8ED873"/>
        </patternFill>
      </fill>
    </dxf>
    <dxf>
      <font>
        <color theme="0"/>
      </font>
      <fill>
        <patternFill patternType="solid">
          <fgColor rgb="FF78206E"/>
          <bgColor rgb="FF78206E"/>
        </patternFill>
      </fill>
    </dxf>
    <dxf>
      <font>
        <color theme="0"/>
      </font>
      <fill>
        <patternFill patternType="solid">
          <fgColor rgb="FF0F4861"/>
          <bgColor rgb="FF0F4861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8ED873"/>
          <bgColor rgb="FF8ED873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8ED873"/>
          <bgColor rgb="FF8ED87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5B0E1"/>
          <bgColor rgb="FF45B0E1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קידוד_ניסוי-style" pivot="0" count="3" xr9:uid="{00000000-0011-0000-FFFF-FFFF00000000}">
      <tableStyleElement type="headerRow" dxfId="71"/>
      <tableStyleElement type="firstRowStripe" dxfId="70"/>
      <tableStyleElement type="secondRowStripe" dxfId="69"/>
    </tableStyle>
    <tableStyle name="Schedule_Long-style" pivot="0" count="3" xr9:uid="{00000000-0011-0000-FFFF-FFFF01000000}">
      <tableStyleElement type="headerRow" dxfId="68"/>
      <tableStyleElement type="firstRowStripe" dxfId="67"/>
      <tableStyleElement type="secondRowStripe" dxfId="6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H31">
  <tableColumns count="86">
    <tableColumn id="1" xr3:uid="{00000000-0010-0000-0000-000001000000}" name="Participant_ID"/>
    <tableColumn id="2" xr3:uid="{00000000-0010-0000-0000-000002000000}" name="סדר_מודלים"/>
    <tableColumn id="3" xr3:uid="{00000000-0010-0000-0000-000003000000}" name="מודל A"/>
    <tableColumn id="4" xr3:uid="{00000000-0010-0000-0000-000004000000}" name="מודל B"/>
    <tableColumn id="5" xr3:uid="{00000000-0010-0000-0000-000005000000}" name="תרגול_R1_Scenario_ID"/>
    <tableColumn id="6" xr3:uid="{00000000-0010-0000-0000-000006000000}" name="תרגול_R1_קושי"/>
    <tableColumn id="7" xr3:uid="{00000000-0010-0000-0000-000007000000}" name="תרגול_R2_Scenario_ID"/>
    <tableColumn id="8" xr3:uid="{00000000-0010-0000-0000-000008000000}" name="תרגול_R2_קושי"/>
    <tableColumn id="9" xr3:uid="{00000000-0010-0000-0000-000009000000}" name="תרגול_R3_Scenario_ID"/>
    <tableColumn id="10" xr3:uid="{00000000-0010-0000-0000-00000A000000}" name="תרגול_R3_קושי"/>
    <tableColumn id="11" xr3:uid="{00000000-0010-0000-0000-00000B000000}" name="תרגול_R4_Scenario_ID"/>
    <tableColumn id="12" xr3:uid="{00000000-0010-0000-0000-00000C000000}" name="תרגול_R4_קושי"/>
    <tableColumn id="13" xr3:uid="{00000000-0010-0000-0000-00000D000000}" name="תרגול_R5_Scenario_ID"/>
    <tableColumn id="14" xr3:uid="{00000000-0010-0000-0000-00000E000000}" name="תרגול_R5_קושי"/>
    <tableColumn id="15" xr3:uid="{00000000-0010-0000-0000-00000F000000}" name="תרגול_R6_Scenario_ID"/>
    <tableColumn id="16" xr3:uid="{00000000-0010-0000-0000-000010000000}" name="תרגול_R6_קושי"/>
    <tableColumn id="17" xr3:uid="{00000000-0010-0000-0000-000011000000}" name="מודל_1_סוג_מודל"/>
    <tableColumn id="18" xr3:uid="{00000000-0010-0000-0000-000012000000}" name="מודל_1_סדר_ויזואליזציות"/>
    <tableColumn id="19" xr3:uid="{00000000-0010-0000-0000-000013000000}" name="מודל_1_VIS1_ויזואליזציה"/>
    <tableColumn id="20" xr3:uid="{00000000-0010-0000-0000-000014000000}" name="מודל_1_VIS1_R1_Scenario_ID"/>
    <tableColumn id="21" xr3:uid="{00000000-0010-0000-0000-000015000000}" name="מודל_1_VIS1_R1_קושי"/>
    <tableColumn id="22" xr3:uid="{00000000-0010-0000-0000-000016000000}" name="מודל_1_VIS1_R2_Scenario_ID"/>
    <tableColumn id="23" xr3:uid="{00000000-0010-0000-0000-000017000000}" name="מודל_1_VIS1_R2_קושי"/>
    <tableColumn id="24" xr3:uid="{00000000-0010-0000-0000-000018000000}" name="מודל_1_VIS1_R3_Scenario_ID"/>
    <tableColumn id="25" xr3:uid="{00000000-0010-0000-0000-000019000000}" name="מודל_1_VIS1_R3_קושי"/>
    <tableColumn id="26" xr3:uid="{00000000-0010-0000-0000-00001A000000}" name="מודל_1_VIS1_R4_Scenario_ID"/>
    <tableColumn id="27" xr3:uid="{00000000-0010-0000-0000-00001B000000}" name="מודל_1_VIS1_R4_קושי"/>
    <tableColumn id="28" xr3:uid="{00000000-0010-0000-0000-00001C000000}" name="מודל_1_VIS1_R5_Scenario_ID"/>
    <tableColumn id="29" xr3:uid="{00000000-0010-0000-0000-00001D000000}" name="מודל_1_VIS1_R5_קושי"/>
    <tableColumn id="30" xr3:uid="{00000000-0010-0000-0000-00001E000000}" name="מודל_1_VIS2_ויזואליזציה"/>
    <tableColumn id="31" xr3:uid="{00000000-0010-0000-0000-00001F000000}" name="מודל_1_VIS2_R1_Scenario_ID"/>
    <tableColumn id="32" xr3:uid="{00000000-0010-0000-0000-000020000000}" name="מודל_1_VIS2_R1_קושי"/>
    <tableColumn id="33" xr3:uid="{00000000-0010-0000-0000-000021000000}" name="מודל_1_VIS2_R2_Scenario_ID"/>
    <tableColumn id="34" xr3:uid="{00000000-0010-0000-0000-000022000000}" name="מודל_1_VIS2_R2_קושי"/>
    <tableColumn id="35" xr3:uid="{00000000-0010-0000-0000-000023000000}" name="מודל_1_VIS2_R3_Scenario_ID"/>
    <tableColumn id="36" xr3:uid="{00000000-0010-0000-0000-000024000000}" name="מודל_1_VIS2_R3_קושי"/>
    <tableColumn id="37" xr3:uid="{00000000-0010-0000-0000-000025000000}" name="מודל_1_VIS2_R4_Scenario_ID"/>
    <tableColumn id="38" xr3:uid="{00000000-0010-0000-0000-000026000000}" name="מודל_1_VIS2_R4_קושי"/>
    <tableColumn id="39" xr3:uid="{00000000-0010-0000-0000-000027000000}" name="מודל_1_VIS2_R5_Scenario_ID"/>
    <tableColumn id="40" xr3:uid="{00000000-0010-0000-0000-000028000000}" name="מודל_1_VIS2_R5_קושי"/>
    <tableColumn id="41" xr3:uid="{00000000-0010-0000-0000-000029000000}" name="מודל_1_VIS3_ויזואליזציה"/>
    <tableColumn id="42" xr3:uid="{00000000-0010-0000-0000-00002A000000}" name="מודל_1_VIS3_R1_Scenario_ID"/>
    <tableColumn id="43" xr3:uid="{00000000-0010-0000-0000-00002B000000}" name="מודל_1_VIS3_R1_קושי"/>
    <tableColumn id="44" xr3:uid="{00000000-0010-0000-0000-00002C000000}" name="מודל_1_VIS3_R2_Scenario_ID"/>
    <tableColumn id="45" xr3:uid="{00000000-0010-0000-0000-00002D000000}" name="מודל_1_VIS3_R2_קושי"/>
    <tableColumn id="46" xr3:uid="{00000000-0010-0000-0000-00002E000000}" name="מודל_1_VIS3_R3_Scenario_ID"/>
    <tableColumn id="47" xr3:uid="{00000000-0010-0000-0000-00002F000000}" name="מודל_1_VIS3_R3_קושי"/>
    <tableColumn id="48" xr3:uid="{00000000-0010-0000-0000-000030000000}" name="מודל_1_VIS3_R4_Scenario_ID"/>
    <tableColumn id="49" xr3:uid="{00000000-0010-0000-0000-000031000000}" name="מודל_1_VIS3_R4_קושי"/>
    <tableColumn id="50" xr3:uid="{00000000-0010-0000-0000-000032000000}" name="מודל_1_VIS3_R5_Scenario_ID"/>
    <tableColumn id="51" xr3:uid="{00000000-0010-0000-0000-000033000000}" name="מודל_1_VIS3_R5_קושי"/>
    <tableColumn id="52" xr3:uid="{00000000-0010-0000-0000-000034000000}" name="מודל_2_סוג_מודל"/>
    <tableColumn id="53" xr3:uid="{00000000-0010-0000-0000-000035000000}" name="מודל_2_סדר_ויזואליזציות"/>
    <tableColumn id="54" xr3:uid="{00000000-0010-0000-0000-000036000000}" name="מודל_2_VIS1_ויזואליזציה"/>
    <tableColumn id="55" xr3:uid="{00000000-0010-0000-0000-000037000000}" name="מודל_2_VIS1_R1_Scenario_ID"/>
    <tableColumn id="56" xr3:uid="{00000000-0010-0000-0000-000038000000}" name="מודל_2_VIS1_R1_קושי"/>
    <tableColumn id="57" xr3:uid="{00000000-0010-0000-0000-000039000000}" name="מודל_2_VIS1_R2_Scenario_ID"/>
    <tableColumn id="58" xr3:uid="{00000000-0010-0000-0000-00003A000000}" name="מודל_2_VIS1_R2_קושי"/>
    <tableColumn id="59" xr3:uid="{00000000-0010-0000-0000-00003B000000}" name="מודל_2_VIS1_R3_Scenario_ID"/>
    <tableColumn id="60" xr3:uid="{00000000-0010-0000-0000-00003C000000}" name="מודל_2_VIS1_R3_קושי"/>
    <tableColumn id="61" xr3:uid="{00000000-0010-0000-0000-00003D000000}" name="מודל_2_VIS1_R4_Scenario_ID"/>
    <tableColumn id="62" xr3:uid="{00000000-0010-0000-0000-00003E000000}" name="מודל_2_VIS1_R4_קושי"/>
    <tableColumn id="63" xr3:uid="{00000000-0010-0000-0000-00003F000000}" name="מודל_2_VIS1_R5_Scenario_ID"/>
    <tableColumn id="64" xr3:uid="{00000000-0010-0000-0000-000040000000}" name="מודל_2_VIS1_R5_קושי"/>
    <tableColumn id="65" xr3:uid="{00000000-0010-0000-0000-000041000000}" name="מודל_2_VIS2_ויזואליזציה"/>
    <tableColumn id="66" xr3:uid="{00000000-0010-0000-0000-000042000000}" name="מודל_2_VIS2_R1_Scenario_ID"/>
    <tableColumn id="67" xr3:uid="{00000000-0010-0000-0000-000043000000}" name="מודל_2_VIS2_R1_קושי"/>
    <tableColumn id="68" xr3:uid="{00000000-0010-0000-0000-000044000000}" name="מודל_2_VIS2_R2_Scenario_ID"/>
    <tableColumn id="69" xr3:uid="{00000000-0010-0000-0000-000045000000}" name="מודל_2_VIS2_R2_קושי"/>
    <tableColumn id="70" xr3:uid="{00000000-0010-0000-0000-000046000000}" name="מודל_2_VIS2_R3_Scenario_ID"/>
    <tableColumn id="71" xr3:uid="{00000000-0010-0000-0000-000047000000}" name="מודל_2_VIS2_R3_קושי"/>
    <tableColumn id="72" xr3:uid="{00000000-0010-0000-0000-000048000000}" name="מודל_2_VIS2_R4_Scenario_ID"/>
    <tableColumn id="73" xr3:uid="{00000000-0010-0000-0000-000049000000}" name="מודל_2_VIS2_R4_קושי"/>
    <tableColumn id="74" xr3:uid="{00000000-0010-0000-0000-00004A000000}" name="מודל_2_VIS2_R5_Scenario_ID"/>
    <tableColumn id="75" xr3:uid="{00000000-0010-0000-0000-00004B000000}" name="מודל_2_VIS2_R5_קושי"/>
    <tableColumn id="76" xr3:uid="{00000000-0010-0000-0000-00004C000000}" name="מודל_2_VIS3_ויזואליזציה"/>
    <tableColumn id="77" xr3:uid="{00000000-0010-0000-0000-00004D000000}" name="מודל_2_VIS3_R1_Scenario_ID"/>
    <tableColumn id="78" xr3:uid="{00000000-0010-0000-0000-00004E000000}" name="מודל_2_VIS3_R1_קושי"/>
    <tableColumn id="79" xr3:uid="{00000000-0010-0000-0000-00004F000000}" name="מודל_2_VIS3_R2_Scenario_ID"/>
    <tableColumn id="80" xr3:uid="{00000000-0010-0000-0000-000050000000}" name="מודל_2_VIS3_R2_קושי"/>
    <tableColumn id="81" xr3:uid="{00000000-0010-0000-0000-000051000000}" name="מודל_2_VIS3_R3_Scenario_ID"/>
    <tableColumn id="82" xr3:uid="{00000000-0010-0000-0000-000052000000}" name="מודל_2_VIS3_R3_קושי"/>
    <tableColumn id="83" xr3:uid="{00000000-0010-0000-0000-000053000000}" name="מודל_2_VIS3_R4_Scenario_ID"/>
    <tableColumn id="84" xr3:uid="{00000000-0010-0000-0000-000054000000}" name="מודל_2_VIS3_R4_קושי"/>
    <tableColumn id="85" xr3:uid="{00000000-0010-0000-0000-000055000000}" name="מודל_2_VIS3_R5_Scenario_ID"/>
    <tableColumn id="86" xr3:uid="{00000000-0010-0000-0000-000056000000}" name="מודל_2_VIS3_R5_קושי"/>
  </tableColumns>
  <tableStyleInfo name="קידוד_ניסוי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C48C83-3142-42C1-8D57-26C0D0EDD864}" name="Table3" displayName="Table3" ref="A1:AB34" totalsRowShown="0" headerRowDxfId="65" dataDxfId="63" headerRowBorderDxfId="64" tableBorderDxfId="62">
  <autoFilter ref="A1:AB34" xr:uid="{D4C48C83-3142-42C1-8D57-26C0D0EDD864}"/>
  <tableColumns count="28">
    <tableColumn id="1" xr3:uid="{0AD46272-8E01-4B4D-9E5D-75D00307535A}" name="SCN_ID" dataDxfId="61"/>
    <tableColumn id="2" xr3:uid="{DF046BBE-56A0-444E-B3DF-99F5037B0E90}" name="יישוב" dataDxfId="60"/>
    <tableColumn id="3" xr3:uid="{93AA91EE-63B5-4264-9C89-BA0F9A305915}" name="Scenario_ID_H" dataDxfId="59">
      <calculatedColumnFormula>A2&amp;"_H"</calculatedColumnFormula>
    </tableColumn>
    <tableColumn id="4" xr3:uid="{1D1F029C-8ED9-483E-AB74-9DF4C6F06E6C}" name="Scenario_ID_R" dataDxfId="58">
      <calculatedColumnFormula>A2&amp;"_R"</calculatedColumnFormula>
    </tableColumn>
    <tableColumn id="5" xr3:uid="{7B6626BA-6F34-48E5-A7DC-7D5B26BF998E}" name="Scenario_ID_S" dataDxfId="57">
      <calculatedColumnFormula>A2&amp;"_S"</calculatedColumnFormula>
    </tableColumn>
    <tableColumn id="6" xr3:uid="{5CEEB290-24F5-4656-8AFD-93C8F5046D76}" name="TRAFFIC" dataDxfId="56"/>
    <tableColumn id="7" xr3:uid="{B6B9A4C9-EC4D-4BA8-B6DA-87F688184AA7}" name="TOLL" dataDxfId="55"/>
    <tableColumn id="8" xr3:uid="{66D02502-67CF-4AFD-A657-C03C68F909B2}" name="COMM" dataDxfId="54"/>
    <tableColumn id="9" xr3:uid="{7EB780BC-9C9A-4B46-B274-17E8152F34B8}" name="Route_Direction" dataDxfId="53"/>
    <tableColumn id="10" xr3:uid="{EE532780-B227-4A19-8432-435AA277DC18}" name="Practice" dataDxfId="52"/>
    <tableColumn id="11" xr3:uid="{FF03EFF3-A403-4D38-BF10-A6DD68F45729}" name="Base_Difficulty" dataDxfId="51"/>
    <tableColumn id="12" xr3:uid="{344626F0-EB9D-470C-80BD-8515B3A59810}" name="CORRECT_ROUTE" dataDxfId="50"/>
    <tableColumn id="13" xr3:uid="{FAAC3E43-BFF4-4D1B-BD27-BFDF5620D5B5}" name="REC_INACCURATE" dataDxfId="49"/>
    <tableColumn id="14" xr3:uid="{DE2E377E-F451-4A8E-9DB3-3EFABDB097DB}" name="Q1" dataDxfId="48"/>
    <tableColumn id="15" xr3:uid="{91C3BA6D-BBE0-4A3C-B460-994367BF3739}" name="O1" dataDxfId="47"/>
    <tableColumn id="16" xr3:uid="{89B1173E-DCE9-44B7-9FE7-7036B02B3EBB}" name="A1" dataDxfId="46"/>
    <tableColumn id="17" xr3:uid="{A0789A45-858F-4F11-9670-1F79BC16F905}" name="Q2" dataDxfId="45"/>
    <tableColumn id="18" xr3:uid="{A03FA26F-74BA-4570-943E-ACA30801D89A}" name="O2" dataDxfId="44"/>
    <tableColumn id="19" xr3:uid="{FDB1C86B-B9A3-4088-89A8-214599DD6DE5}" name="A2" dataDxfId="43"/>
    <tableColumn id="20" xr3:uid="{BA805DB7-6CDA-4382-B7AD-4F36A5A000CD}" name="Q3" dataDxfId="42"/>
    <tableColumn id="21" xr3:uid="{5FB6FEB0-3518-4BF5-9586-B11220D5E5A4}" name="O3" dataDxfId="41"/>
    <tableColumn id="22" xr3:uid="{8D7E5E7E-DE34-488C-B08B-143A041517C0}" name="A3" dataDxfId="40"/>
    <tableColumn id="23" xr3:uid="{62F0B399-FAAA-4453-B0CE-4FDB4BD770E8}" name="TASK_TEXT" dataDxfId="39"/>
    <tableColumn id="24" xr3:uid="{34019888-29B1-4A07-B969-6CF56B17959D}" name="Priority" dataDxfId="38"/>
    <tableColumn id="25" xr3:uid="{ADAE0590-64B1-404F-AE2F-857A1287410A}" name="SEG" dataDxfId="37"/>
    <tableColumn id="26" xr3:uid="{751BFE07-3EB0-49BC-A9C5-56F4F8A720F6}" name="SEG_PRIORITY" dataDxfId="36"/>
    <tableColumn id="27" xr3:uid="{85C71AA6-3A91-48F0-90DF-F20809F061E8}" name="REQUIREMENTS" dataDxfId="35"/>
    <tableColumn id="28" xr3:uid="{B08A44B5-A9FB-4C77-B8BC-93D662672E83}" name="Status" dataDxfId="3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L991">
  <autoFilter ref="A1:L991" xr:uid="{00000000-000C-0000-FFFF-FFFF01000000}"/>
  <tableColumns count="12">
    <tableColumn id="1" xr3:uid="{00000000-0010-0000-0100-000001000000}" name="Participant_ID"/>
    <tableColumn id="2" xr3:uid="{00000000-0010-0000-0100-000002000000}" name="Trial_No"/>
    <tableColumn id="3" xr3:uid="{00000000-0010-0000-0100-000003000000}" name="Phase"/>
    <tableColumn id="4" xr3:uid="{00000000-0010-0000-0100-000004000000}" name="Condition"/>
    <tableColumn id="5" xr3:uid="{00000000-0010-0000-0100-000005000000}" name="Visualization"/>
    <tableColumn id="6" xr3:uid="{00000000-0010-0000-0100-000006000000}" name="ModelSlot"/>
    <tableColumn id="7" xr3:uid="{00000000-0010-0000-0100-000007000000}" name="ModelType"/>
    <tableColumn id="8" xr3:uid="{00000000-0010-0000-0100-000008000000}" name="Scenario_ID"/>
    <tableColumn id="9" xr3:uid="{00000000-0010-0000-0100-000009000000}" name="Difficulty"/>
    <tableColumn id="10" xr3:uid="{00000000-0010-0000-0100-00000A000000}" name="Rec_Correct"/>
    <tableColumn id="11" xr3:uid="{00000000-0010-0000-0100-00000B000000}" name="Correct_Answer"/>
    <tableColumn id="12" xr3:uid="{00000000-0010-0000-0100-00000C000000}" name="System_Recommendation"/>
  </tableColumns>
  <tableStyleInfo name="Schedule_Lo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1000"/>
  <sheetViews>
    <sheetView showGridLines="0" rightToLeft="1" workbookViewId="0">
      <pane xSplit="4" ySplit="1" topLeftCell="AO4" activePane="bottomRight" state="frozen"/>
      <selection pane="topRight" activeCell="E1" sqref="E1"/>
      <selection pane="bottomLeft" activeCell="A2" sqref="A2"/>
      <selection pane="bottomRight" activeCell="E14" sqref="E14"/>
    </sheetView>
  </sheetViews>
  <sheetFormatPr defaultColWidth="14.42578125" defaultRowHeight="15" customHeight="1" x14ac:dyDescent="0.25"/>
  <cols>
    <col min="1" max="1" width="10.28515625" customWidth="1"/>
    <col min="2" max="2" width="24" customWidth="1"/>
    <col min="3" max="4" width="34.7109375" customWidth="1"/>
    <col min="5" max="5" width="16" customWidth="1"/>
    <col min="6" max="6" width="7.28515625" customWidth="1"/>
    <col min="7" max="7" width="16" customWidth="1"/>
    <col min="8" max="8" width="7.28515625" customWidth="1"/>
    <col min="9" max="9" width="16" customWidth="1"/>
    <col min="10" max="10" width="7.28515625" customWidth="1"/>
    <col min="11" max="11" width="16" customWidth="1"/>
    <col min="12" max="12" width="7.28515625" customWidth="1"/>
    <col min="13" max="13" width="16" customWidth="1"/>
    <col min="14" max="14" width="7.28515625" customWidth="1"/>
    <col min="15" max="15" width="16" customWidth="1"/>
    <col min="16" max="16" width="7.28515625" customWidth="1"/>
    <col min="17" max="17" width="12" customWidth="1"/>
    <col min="18" max="18" width="31.5703125" customWidth="1"/>
    <col min="19" max="20" width="14" customWidth="1"/>
    <col min="21" max="21" width="6" customWidth="1"/>
    <col min="22" max="22" width="14" customWidth="1"/>
    <col min="23" max="23" width="6" customWidth="1"/>
    <col min="24" max="24" width="14" customWidth="1"/>
    <col min="25" max="25" width="6" customWidth="1"/>
    <col min="26" max="26" width="14" customWidth="1"/>
    <col min="27" max="27" width="6" customWidth="1"/>
    <col min="28" max="28" width="14" customWidth="1"/>
    <col min="29" max="29" width="6" customWidth="1"/>
    <col min="30" max="31" width="14" customWidth="1"/>
    <col min="32" max="32" width="6" customWidth="1"/>
    <col min="33" max="33" width="14" customWidth="1"/>
    <col min="34" max="34" width="6" customWidth="1"/>
    <col min="35" max="35" width="14" customWidth="1"/>
    <col min="36" max="36" width="6" customWidth="1"/>
    <col min="37" max="37" width="14" customWidth="1"/>
    <col min="38" max="38" width="6" customWidth="1"/>
    <col min="39" max="39" width="14" customWidth="1"/>
    <col min="40" max="40" width="6" customWidth="1"/>
    <col min="41" max="42" width="14" customWidth="1"/>
    <col min="43" max="43" width="6" customWidth="1"/>
    <col min="44" max="44" width="14" customWidth="1"/>
    <col min="45" max="45" width="6" customWidth="1"/>
    <col min="46" max="46" width="14" customWidth="1"/>
    <col min="47" max="47" width="6" customWidth="1"/>
    <col min="48" max="48" width="14" customWidth="1"/>
    <col min="49" max="49" width="6" customWidth="1"/>
    <col min="50" max="50" width="14" customWidth="1"/>
    <col min="51" max="51" width="6" customWidth="1"/>
    <col min="52" max="52" width="12" customWidth="1"/>
    <col min="53" max="53" width="26" customWidth="1"/>
    <col min="54" max="55" width="14" customWidth="1"/>
    <col min="56" max="56" width="6" customWidth="1"/>
    <col min="57" max="57" width="14" customWidth="1"/>
    <col min="58" max="58" width="6" customWidth="1"/>
    <col min="59" max="59" width="14" customWidth="1"/>
    <col min="60" max="60" width="6" customWidth="1"/>
    <col min="61" max="61" width="14" customWidth="1"/>
    <col min="62" max="62" width="6" customWidth="1"/>
    <col min="63" max="63" width="14" customWidth="1"/>
    <col min="64" max="64" width="6" customWidth="1"/>
    <col min="65" max="66" width="14" customWidth="1"/>
    <col min="67" max="67" width="6" customWidth="1"/>
    <col min="68" max="68" width="14" customWidth="1"/>
    <col min="69" max="69" width="6" customWidth="1"/>
    <col min="70" max="70" width="14" customWidth="1"/>
    <col min="71" max="71" width="6" customWidth="1"/>
    <col min="72" max="72" width="14" customWidth="1"/>
    <col min="73" max="73" width="6" customWidth="1"/>
    <col min="74" max="74" width="14" customWidth="1"/>
    <col min="75" max="75" width="6" customWidth="1"/>
    <col min="76" max="77" width="14" customWidth="1"/>
    <col min="78" max="78" width="6" customWidth="1"/>
    <col min="79" max="79" width="14" customWidth="1"/>
    <col min="80" max="80" width="6" customWidth="1"/>
    <col min="81" max="81" width="14" customWidth="1"/>
    <col min="82" max="82" width="6" customWidth="1"/>
    <col min="83" max="83" width="14" customWidth="1"/>
    <col min="84" max="84" width="6" customWidth="1"/>
    <col min="85" max="85" width="14" customWidth="1"/>
    <col min="86" max="98" width="6" customWidth="1"/>
    <col min="99" max="99" width="15.7109375" customWidth="1"/>
    <col min="100" max="100" width="23.42578125" customWidth="1"/>
    <col min="101" max="101" width="15.7109375" customWidth="1"/>
    <col min="102" max="106" width="5.7109375" customWidth="1"/>
  </cols>
  <sheetData>
    <row r="1" spans="1:10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</row>
    <row r="2" spans="1:106" ht="14.25" customHeight="1" x14ac:dyDescent="0.25">
      <c r="A2" s="6" t="s">
        <v>86</v>
      </c>
      <c r="B2" s="6" t="s">
        <v>87</v>
      </c>
      <c r="C2" s="7" t="s">
        <v>88</v>
      </c>
      <c r="D2" s="7" t="s">
        <v>89</v>
      </c>
      <c r="E2" s="8" t="s">
        <v>90</v>
      </c>
      <c r="F2" s="8" t="s">
        <v>91</v>
      </c>
      <c r="G2" s="8" t="s">
        <v>92</v>
      </c>
      <c r="H2" s="8" t="s">
        <v>91</v>
      </c>
      <c r="I2" s="8" t="s">
        <v>93</v>
      </c>
      <c r="J2" s="8" t="s">
        <v>91</v>
      </c>
      <c r="K2" s="8" t="s">
        <v>94</v>
      </c>
      <c r="L2" s="8" t="s">
        <v>91</v>
      </c>
      <c r="M2" s="8" t="s">
        <v>95</v>
      </c>
      <c r="N2" s="8" t="s">
        <v>91</v>
      </c>
      <c r="O2" s="8" t="s">
        <v>96</v>
      </c>
      <c r="P2" s="8" t="s">
        <v>91</v>
      </c>
      <c r="Q2" s="8" t="s">
        <v>97</v>
      </c>
      <c r="R2" s="7" t="s">
        <v>88</v>
      </c>
      <c r="S2" s="7" t="s">
        <v>98</v>
      </c>
      <c r="T2" s="8" t="s">
        <v>99</v>
      </c>
      <c r="U2" s="8" t="s">
        <v>100</v>
      </c>
      <c r="V2" s="8" t="s">
        <v>101</v>
      </c>
      <c r="W2" s="8" t="s">
        <v>91</v>
      </c>
      <c r="X2" s="8" t="s">
        <v>102</v>
      </c>
      <c r="Y2" s="8" t="s">
        <v>100</v>
      </c>
      <c r="Z2" s="8" t="s">
        <v>103</v>
      </c>
      <c r="AA2" s="8" t="s">
        <v>91</v>
      </c>
      <c r="AB2" s="8" t="s">
        <v>104</v>
      </c>
      <c r="AC2" s="8" t="s">
        <v>100</v>
      </c>
      <c r="AD2" s="7" t="s">
        <v>105</v>
      </c>
      <c r="AE2" s="8" t="s">
        <v>106</v>
      </c>
      <c r="AF2" s="8" t="s">
        <v>91</v>
      </c>
      <c r="AG2" s="8" t="s">
        <v>107</v>
      </c>
      <c r="AH2" s="8" t="s">
        <v>100</v>
      </c>
      <c r="AI2" s="8" t="s">
        <v>108</v>
      </c>
      <c r="AJ2" s="8" t="s">
        <v>91</v>
      </c>
      <c r="AK2" s="8" t="s">
        <v>109</v>
      </c>
      <c r="AL2" s="8" t="s">
        <v>100</v>
      </c>
      <c r="AM2" s="8" t="s">
        <v>110</v>
      </c>
      <c r="AN2" s="8" t="s">
        <v>91</v>
      </c>
      <c r="AO2" s="7" t="s">
        <v>111</v>
      </c>
      <c r="AP2" s="8" t="s">
        <v>112</v>
      </c>
      <c r="AQ2" s="8" t="s">
        <v>91</v>
      </c>
      <c r="AR2" s="8" t="s">
        <v>113</v>
      </c>
      <c r="AS2" s="8" t="s">
        <v>100</v>
      </c>
      <c r="AT2" s="8" t="s">
        <v>114</v>
      </c>
      <c r="AU2" s="8" t="s">
        <v>91</v>
      </c>
      <c r="AV2" s="8" t="s">
        <v>115</v>
      </c>
      <c r="AW2" s="8" t="s">
        <v>100</v>
      </c>
      <c r="AX2" s="8" t="s">
        <v>116</v>
      </c>
      <c r="AY2" s="8" t="s">
        <v>91</v>
      </c>
      <c r="AZ2" s="8" t="s">
        <v>117</v>
      </c>
      <c r="BA2" s="7" t="s">
        <v>89</v>
      </c>
      <c r="BB2" s="7" t="s">
        <v>105</v>
      </c>
      <c r="BC2" s="8" t="s">
        <v>118</v>
      </c>
      <c r="BD2" s="8" t="s">
        <v>91</v>
      </c>
      <c r="BE2" s="8" t="s">
        <v>119</v>
      </c>
      <c r="BF2" s="8" t="s">
        <v>100</v>
      </c>
      <c r="BG2" s="8" t="s">
        <v>120</v>
      </c>
      <c r="BH2" s="8" t="s">
        <v>91</v>
      </c>
      <c r="BI2" s="8" t="s">
        <v>121</v>
      </c>
      <c r="BJ2" s="8" t="s">
        <v>100</v>
      </c>
      <c r="BK2" s="8"/>
      <c r="BL2" s="8"/>
      <c r="BM2" s="7" t="s">
        <v>111</v>
      </c>
      <c r="BN2" s="8" t="s">
        <v>122</v>
      </c>
      <c r="BO2" s="8" t="s">
        <v>91</v>
      </c>
      <c r="BP2" s="8" t="s">
        <v>123</v>
      </c>
      <c r="BQ2" s="8" t="s">
        <v>100</v>
      </c>
      <c r="BR2" s="8" t="s">
        <v>124</v>
      </c>
      <c r="BS2" s="8" t="s">
        <v>91</v>
      </c>
      <c r="BT2" s="8" t="s">
        <v>125</v>
      </c>
      <c r="BU2" s="8" t="s">
        <v>100</v>
      </c>
      <c r="BV2" s="8"/>
      <c r="BW2" s="8"/>
      <c r="BX2" s="7" t="s">
        <v>98</v>
      </c>
      <c r="BY2" s="8" t="s">
        <v>126</v>
      </c>
      <c r="BZ2" s="8" t="s">
        <v>91</v>
      </c>
      <c r="CA2" s="8" t="s">
        <v>127</v>
      </c>
      <c r="CB2" s="8" t="s">
        <v>100</v>
      </c>
      <c r="CC2" s="8" t="s">
        <v>128</v>
      </c>
      <c r="CD2" s="8" t="s">
        <v>91</v>
      </c>
      <c r="CE2" s="8" t="s">
        <v>129</v>
      </c>
      <c r="CF2" s="8" t="s">
        <v>100</v>
      </c>
      <c r="CG2" s="8"/>
      <c r="CH2" s="8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</row>
    <row r="3" spans="1:106" ht="14.25" customHeight="1" x14ac:dyDescent="0.25">
      <c r="A3" s="6" t="s">
        <v>130</v>
      </c>
      <c r="B3" s="6" t="s">
        <v>131</v>
      </c>
      <c r="C3" s="7" t="s">
        <v>132</v>
      </c>
      <c r="D3" s="7" t="s">
        <v>89</v>
      </c>
      <c r="E3" s="8" t="s">
        <v>90</v>
      </c>
      <c r="F3" s="8" t="s">
        <v>91</v>
      </c>
      <c r="G3" s="8" t="s">
        <v>92</v>
      </c>
      <c r="H3" s="8" t="s">
        <v>91</v>
      </c>
      <c r="I3" s="8" t="s">
        <v>93</v>
      </c>
      <c r="J3" s="8" t="s">
        <v>91</v>
      </c>
      <c r="K3" s="8" t="s">
        <v>94</v>
      </c>
      <c r="L3" s="8" t="s">
        <v>91</v>
      </c>
      <c r="M3" s="8" t="s">
        <v>95</v>
      </c>
      <c r="N3" s="8" t="s">
        <v>91</v>
      </c>
      <c r="O3" s="8" t="s">
        <v>96</v>
      </c>
      <c r="P3" s="8" t="s">
        <v>91</v>
      </c>
      <c r="Q3" s="8" t="s">
        <v>117</v>
      </c>
      <c r="R3" s="7" t="s">
        <v>132</v>
      </c>
      <c r="S3" s="7" t="s">
        <v>111</v>
      </c>
      <c r="T3" s="8" t="s">
        <v>122</v>
      </c>
      <c r="U3" s="8" t="s">
        <v>91</v>
      </c>
      <c r="V3" s="8" t="s">
        <v>125</v>
      </c>
      <c r="W3" s="8" t="s">
        <v>100</v>
      </c>
      <c r="X3" s="8" t="s">
        <v>124</v>
      </c>
      <c r="Y3" s="8" t="s">
        <v>91</v>
      </c>
      <c r="Z3" s="8" t="s">
        <v>123</v>
      </c>
      <c r="AA3" s="8" t="s">
        <v>100</v>
      </c>
      <c r="AB3" s="8"/>
      <c r="AC3" s="8"/>
      <c r="AD3" s="7" t="s">
        <v>98</v>
      </c>
      <c r="AE3" s="8" t="s">
        <v>126</v>
      </c>
      <c r="AF3" s="8" t="s">
        <v>91</v>
      </c>
      <c r="AG3" s="8" t="s">
        <v>129</v>
      </c>
      <c r="AH3" s="8" t="s">
        <v>100</v>
      </c>
      <c r="AI3" s="8" t="s">
        <v>128</v>
      </c>
      <c r="AJ3" s="8" t="s">
        <v>91</v>
      </c>
      <c r="AK3" s="8" t="s">
        <v>127</v>
      </c>
      <c r="AL3" s="8" t="s">
        <v>100</v>
      </c>
      <c r="AM3" s="8"/>
      <c r="AN3" s="8"/>
      <c r="AO3" s="7" t="s">
        <v>105</v>
      </c>
      <c r="AP3" s="8" t="s">
        <v>118</v>
      </c>
      <c r="AQ3" s="8" t="s">
        <v>91</v>
      </c>
      <c r="AR3" s="8" t="s">
        <v>119</v>
      </c>
      <c r="AS3" s="8" t="s">
        <v>100</v>
      </c>
      <c r="AT3" s="8" t="s">
        <v>120</v>
      </c>
      <c r="AU3" s="8" t="s">
        <v>91</v>
      </c>
      <c r="AV3" s="8" t="s">
        <v>121</v>
      </c>
      <c r="AW3" s="8" t="s">
        <v>100</v>
      </c>
      <c r="AX3" s="8"/>
      <c r="AY3" s="8"/>
      <c r="AZ3" s="8" t="s">
        <v>97</v>
      </c>
      <c r="BA3" s="7" t="s">
        <v>89</v>
      </c>
      <c r="BB3" s="7" t="s">
        <v>105</v>
      </c>
      <c r="BC3" s="8" t="s">
        <v>110</v>
      </c>
      <c r="BD3" s="8" t="s">
        <v>91</v>
      </c>
      <c r="BE3" s="8" t="s">
        <v>109</v>
      </c>
      <c r="BF3" s="8" t="s">
        <v>100</v>
      </c>
      <c r="BG3" s="8" t="s">
        <v>106</v>
      </c>
      <c r="BH3" s="8" t="s">
        <v>91</v>
      </c>
      <c r="BI3" s="8" t="s">
        <v>107</v>
      </c>
      <c r="BJ3" s="8" t="s">
        <v>100</v>
      </c>
      <c r="BK3" s="8" t="s">
        <v>108</v>
      </c>
      <c r="BL3" s="8" t="s">
        <v>91</v>
      </c>
      <c r="BM3" s="7" t="s">
        <v>111</v>
      </c>
      <c r="BN3" s="8" t="s">
        <v>112</v>
      </c>
      <c r="BO3" s="8" t="s">
        <v>91</v>
      </c>
      <c r="BP3" s="8" t="s">
        <v>113</v>
      </c>
      <c r="BQ3" s="8" t="s">
        <v>100</v>
      </c>
      <c r="BR3" s="8" t="s">
        <v>114</v>
      </c>
      <c r="BS3" s="8" t="s">
        <v>91</v>
      </c>
      <c r="BT3" s="8" t="s">
        <v>115</v>
      </c>
      <c r="BU3" s="8" t="s">
        <v>100</v>
      </c>
      <c r="BV3" s="8" t="s">
        <v>116</v>
      </c>
      <c r="BW3" s="8" t="s">
        <v>91</v>
      </c>
      <c r="BX3" s="7" t="s">
        <v>98</v>
      </c>
      <c r="BY3" s="8" t="s">
        <v>104</v>
      </c>
      <c r="BZ3" s="8" t="s">
        <v>100</v>
      </c>
      <c r="CA3" s="8" t="s">
        <v>103</v>
      </c>
      <c r="CB3" s="8" t="s">
        <v>91</v>
      </c>
      <c r="CC3" s="8" t="s">
        <v>102</v>
      </c>
      <c r="CD3" s="8" t="s">
        <v>100</v>
      </c>
      <c r="CE3" s="8" t="s">
        <v>101</v>
      </c>
      <c r="CF3" s="8" t="s">
        <v>91</v>
      </c>
      <c r="CG3" s="8" t="s">
        <v>99</v>
      </c>
      <c r="CH3" s="8" t="s">
        <v>100</v>
      </c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</row>
    <row r="4" spans="1:106" ht="14.25" customHeight="1" x14ac:dyDescent="0.25">
      <c r="A4" s="6" t="s">
        <v>133</v>
      </c>
      <c r="B4" s="6" t="s">
        <v>87</v>
      </c>
      <c r="C4" s="7" t="s">
        <v>132</v>
      </c>
      <c r="D4" s="7" t="s">
        <v>88</v>
      </c>
      <c r="E4" s="8" t="s">
        <v>90</v>
      </c>
      <c r="F4" s="8" t="s">
        <v>91</v>
      </c>
      <c r="G4" s="8" t="s">
        <v>92</v>
      </c>
      <c r="H4" s="8" t="s">
        <v>91</v>
      </c>
      <c r="I4" s="8" t="s">
        <v>93</v>
      </c>
      <c r="J4" s="8" t="s">
        <v>91</v>
      </c>
      <c r="K4" s="8" t="s">
        <v>94</v>
      </c>
      <c r="L4" s="8" t="s">
        <v>91</v>
      </c>
      <c r="M4" s="8" t="s">
        <v>95</v>
      </c>
      <c r="N4" s="8" t="s">
        <v>91</v>
      </c>
      <c r="O4" s="8" t="s">
        <v>96</v>
      </c>
      <c r="P4" s="8" t="s">
        <v>91</v>
      </c>
      <c r="Q4" s="8" t="s">
        <v>97</v>
      </c>
      <c r="R4" s="7" t="s">
        <v>132</v>
      </c>
      <c r="S4" s="7" t="s">
        <v>111</v>
      </c>
      <c r="T4" s="8" t="s">
        <v>116</v>
      </c>
      <c r="U4" s="8" t="s">
        <v>91</v>
      </c>
      <c r="V4" s="8" t="s">
        <v>115</v>
      </c>
      <c r="W4" s="8" t="s">
        <v>100</v>
      </c>
      <c r="X4" s="8" t="s">
        <v>114</v>
      </c>
      <c r="Y4" s="8" t="s">
        <v>91</v>
      </c>
      <c r="Z4" s="8" t="s">
        <v>113</v>
      </c>
      <c r="AA4" s="8" t="s">
        <v>100</v>
      </c>
      <c r="AB4" s="8" t="s">
        <v>112</v>
      </c>
      <c r="AC4" s="8" t="s">
        <v>91</v>
      </c>
      <c r="AD4" s="7" t="s">
        <v>98</v>
      </c>
      <c r="AE4" s="8" t="s">
        <v>104</v>
      </c>
      <c r="AF4" s="8" t="s">
        <v>100</v>
      </c>
      <c r="AG4" s="8" t="s">
        <v>103</v>
      </c>
      <c r="AH4" s="8" t="s">
        <v>91</v>
      </c>
      <c r="AI4" s="8" t="s">
        <v>102</v>
      </c>
      <c r="AJ4" s="8" t="s">
        <v>100</v>
      </c>
      <c r="AK4" s="8" t="s">
        <v>101</v>
      </c>
      <c r="AL4" s="8" t="s">
        <v>91</v>
      </c>
      <c r="AM4" s="8" t="s">
        <v>99</v>
      </c>
      <c r="AN4" s="8" t="s">
        <v>100</v>
      </c>
      <c r="AO4" s="7" t="s">
        <v>105</v>
      </c>
      <c r="AP4" s="8" t="s">
        <v>106</v>
      </c>
      <c r="AQ4" s="8" t="s">
        <v>91</v>
      </c>
      <c r="AR4" s="8" t="s">
        <v>107</v>
      </c>
      <c r="AS4" s="8" t="s">
        <v>100</v>
      </c>
      <c r="AT4" s="8" t="s">
        <v>110</v>
      </c>
      <c r="AU4" s="8" t="s">
        <v>91</v>
      </c>
      <c r="AV4" s="8" t="s">
        <v>109</v>
      </c>
      <c r="AW4" s="8" t="s">
        <v>100</v>
      </c>
      <c r="AX4" s="8" t="s">
        <v>108</v>
      </c>
      <c r="AY4" s="8" t="s">
        <v>91</v>
      </c>
      <c r="AZ4" s="8" t="s">
        <v>117</v>
      </c>
      <c r="BA4" s="7" t="s">
        <v>88</v>
      </c>
      <c r="BB4" s="7" t="s">
        <v>98</v>
      </c>
      <c r="BC4" s="8" t="s">
        <v>126</v>
      </c>
      <c r="BD4" s="8" t="s">
        <v>91</v>
      </c>
      <c r="BE4" s="8" t="s">
        <v>129</v>
      </c>
      <c r="BF4" s="8" t="s">
        <v>100</v>
      </c>
      <c r="BG4" s="8" t="s">
        <v>128</v>
      </c>
      <c r="BH4" s="8" t="s">
        <v>91</v>
      </c>
      <c r="BI4" s="8" t="s">
        <v>127</v>
      </c>
      <c r="BJ4" s="8" t="s">
        <v>100</v>
      </c>
      <c r="BK4" s="8"/>
      <c r="BL4" s="8"/>
      <c r="BM4" s="7" t="s">
        <v>105</v>
      </c>
      <c r="BN4" s="8" t="s">
        <v>120</v>
      </c>
      <c r="BO4" s="8" t="s">
        <v>91</v>
      </c>
      <c r="BP4" s="8" t="s">
        <v>121</v>
      </c>
      <c r="BQ4" s="8" t="s">
        <v>100</v>
      </c>
      <c r="BR4" s="8" t="s">
        <v>118</v>
      </c>
      <c r="BS4" s="8" t="s">
        <v>91</v>
      </c>
      <c r="BT4" s="8" t="s">
        <v>119</v>
      </c>
      <c r="BU4" s="8" t="s">
        <v>100</v>
      </c>
      <c r="BV4" s="8"/>
      <c r="BW4" s="8"/>
      <c r="BX4" s="7" t="s">
        <v>111</v>
      </c>
      <c r="BY4" s="8" t="s">
        <v>122</v>
      </c>
      <c r="BZ4" s="8" t="s">
        <v>91</v>
      </c>
      <c r="CA4" s="8" t="s">
        <v>125</v>
      </c>
      <c r="CB4" s="8" t="s">
        <v>100</v>
      </c>
      <c r="CC4" s="8" t="s">
        <v>124</v>
      </c>
      <c r="CD4" s="8" t="s">
        <v>91</v>
      </c>
      <c r="CE4" s="8" t="s">
        <v>123</v>
      </c>
      <c r="CF4" s="8" t="s">
        <v>100</v>
      </c>
      <c r="CG4" s="8"/>
      <c r="CH4" s="8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</row>
    <row r="5" spans="1:106" ht="14.25" customHeight="1" x14ac:dyDescent="0.25">
      <c r="A5" s="6" t="s">
        <v>134</v>
      </c>
      <c r="B5" s="6" t="s">
        <v>131</v>
      </c>
      <c r="C5" s="7" t="s">
        <v>89</v>
      </c>
      <c r="D5" s="7" t="s">
        <v>88</v>
      </c>
      <c r="E5" s="8" t="s">
        <v>90</v>
      </c>
      <c r="F5" s="8" t="s">
        <v>91</v>
      </c>
      <c r="G5" s="8" t="s">
        <v>92</v>
      </c>
      <c r="H5" s="8" t="s">
        <v>91</v>
      </c>
      <c r="I5" s="8" t="s">
        <v>93</v>
      </c>
      <c r="J5" s="8" t="s">
        <v>91</v>
      </c>
      <c r="K5" s="8" t="s">
        <v>94</v>
      </c>
      <c r="L5" s="8" t="s">
        <v>91</v>
      </c>
      <c r="M5" s="8" t="s">
        <v>95</v>
      </c>
      <c r="N5" s="8" t="s">
        <v>91</v>
      </c>
      <c r="O5" s="8" t="s">
        <v>96</v>
      </c>
      <c r="P5" s="8" t="s">
        <v>91</v>
      </c>
      <c r="Q5" s="8" t="s">
        <v>117</v>
      </c>
      <c r="R5" s="7" t="s">
        <v>89</v>
      </c>
      <c r="S5" s="7" t="s">
        <v>105</v>
      </c>
      <c r="T5" s="8" t="s">
        <v>120</v>
      </c>
      <c r="U5" s="8" t="s">
        <v>91</v>
      </c>
      <c r="V5" s="8" t="s">
        <v>121</v>
      </c>
      <c r="W5" s="8" t="s">
        <v>100</v>
      </c>
      <c r="X5" s="8" t="s">
        <v>118</v>
      </c>
      <c r="Y5" s="8" t="s">
        <v>91</v>
      </c>
      <c r="Z5" s="8" t="s">
        <v>119</v>
      </c>
      <c r="AA5" s="8" t="s">
        <v>100</v>
      </c>
      <c r="AB5" s="8"/>
      <c r="AC5" s="8"/>
      <c r="AD5" s="7" t="s">
        <v>111</v>
      </c>
      <c r="AE5" s="8" t="s">
        <v>124</v>
      </c>
      <c r="AF5" s="8" t="s">
        <v>91</v>
      </c>
      <c r="AG5" s="8" t="s">
        <v>125</v>
      </c>
      <c r="AH5" s="8" t="s">
        <v>100</v>
      </c>
      <c r="AI5" s="8" t="s">
        <v>122</v>
      </c>
      <c r="AJ5" s="8" t="s">
        <v>91</v>
      </c>
      <c r="AK5" s="8" t="s">
        <v>123</v>
      </c>
      <c r="AL5" s="8" t="s">
        <v>100</v>
      </c>
      <c r="AM5" s="8"/>
      <c r="AN5" s="8"/>
      <c r="AO5" s="7" t="s">
        <v>98</v>
      </c>
      <c r="AP5" s="8" t="s">
        <v>126</v>
      </c>
      <c r="AQ5" s="8" t="s">
        <v>91</v>
      </c>
      <c r="AR5" s="8" t="s">
        <v>129</v>
      </c>
      <c r="AS5" s="8" t="s">
        <v>100</v>
      </c>
      <c r="AT5" s="8" t="s">
        <v>128</v>
      </c>
      <c r="AU5" s="8" t="s">
        <v>91</v>
      </c>
      <c r="AV5" s="8" t="s">
        <v>127</v>
      </c>
      <c r="AW5" s="8" t="s">
        <v>100</v>
      </c>
      <c r="AX5" s="8"/>
      <c r="AY5" s="8"/>
      <c r="AZ5" s="8" t="s">
        <v>97</v>
      </c>
      <c r="BA5" s="7" t="s">
        <v>88</v>
      </c>
      <c r="BB5" s="7" t="s">
        <v>98</v>
      </c>
      <c r="BC5" s="8" t="s">
        <v>102</v>
      </c>
      <c r="BD5" s="8" t="s">
        <v>100</v>
      </c>
      <c r="BE5" s="8" t="s">
        <v>101</v>
      </c>
      <c r="BF5" s="8" t="s">
        <v>91</v>
      </c>
      <c r="BG5" s="8" t="s">
        <v>104</v>
      </c>
      <c r="BH5" s="8" t="s">
        <v>100</v>
      </c>
      <c r="BI5" s="8" t="s">
        <v>103</v>
      </c>
      <c r="BJ5" s="8" t="s">
        <v>91</v>
      </c>
      <c r="BK5" s="8" t="s">
        <v>99</v>
      </c>
      <c r="BL5" s="8" t="s">
        <v>100</v>
      </c>
      <c r="BM5" s="7" t="s">
        <v>105</v>
      </c>
      <c r="BN5" s="8" t="s">
        <v>106</v>
      </c>
      <c r="BO5" s="8" t="s">
        <v>91</v>
      </c>
      <c r="BP5" s="8" t="s">
        <v>109</v>
      </c>
      <c r="BQ5" s="8" t="s">
        <v>100</v>
      </c>
      <c r="BR5" s="8" t="s">
        <v>108</v>
      </c>
      <c r="BS5" s="8" t="s">
        <v>91</v>
      </c>
      <c r="BT5" s="8" t="s">
        <v>107</v>
      </c>
      <c r="BU5" s="8" t="s">
        <v>100</v>
      </c>
      <c r="BV5" s="8" t="s">
        <v>110</v>
      </c>
      <c r="BW5" s="8" t="s">
        <v>91</v>
      </c>
      <c r="BX5" s="7" t="s">
        <v>111</v>
      </c>
      <c r="BY5" s="8" t="s">
        <v>116</v>
      </c>
      <c r="BZ5" s="8" t="s">
        <v>91</v>
      </c>
      <c r="CA5" s="8" t="s">
        <v>113</v>
      </c>
      <c r="CB5" s="8" t="s">
        <v>100</v>
      </c>
      <c r="CC5" s="8" t="s">
        <v>114</v>
      </c>
      <c r="CD5" s="8" t="s">
        <v>91</v>
      </c>
      <c r="CE5" s="8" t="s">
        <v>115</v>
      </c>
      <c r="CF5" s="8" t="s">
        <v>100</v>
      </c>
      <c r="CG5" s="8" t="s">
        <v>112</v>
      </c>
      <c r="CH5" s="8" t="s">
        <v>91</v>
      </c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</row>
    <row r="6" spans="1:106" ht="14.25" customHeight="1" x14ac:dyDescent="0.25">
      <c r="A6" s="6" t="s">
        <v>135</v>
      </c>
      <c r="B6" s="6" t="s">
        <v>87</v>
      </c>
      <c r="C6" s="7" t="s">
        <v>89</v>
      </c>
      <c r="D6" s="7" t="s">
        <v>132</v>
      </c>
      <c r="E6" s="8" t="s">
        <v>90</v>
      </c>
      <c r="F6" s="8" t="s">
        <v>91</v>
      </c>
      <c r="G6" s="8" t="s">
        <v>92</v>
      </c>
      <c r="H6" s="8" t="s">
        <v>91</v>
      </c>
      <c r="I6" s="8" t="s">
        <v>93</v>
      </c>
      <c r="J6" s="8" t="s">
        <v>91</v>
      </c>
      <c r="K6" s="8" t="s">
        <v>94</v>
      </c>
      <c r="L6" s="8" t="s">
        <v>91</v>
      </c>
      <c r="M6" s="8" t="s">
        <v>95</v>
      </c>
      <c r="N6" s="8" t="s">
        <v>91</v>
      </c>
      <c r="O6" s="8" t="s">
        <v>96</v>
      </c>
      <c r="P6" s="8" t="s">
        <v>91</v>
      </c>
      <c r="Q6" s="8" t="s">
        <v>97</v>
      </c>
      <c r="R6" s="7" t="s">
        <v>89</v>
      </c>
      <c r="S6" s="7" t="s">
        <v>105</v>
      </c>
      <c r="T6" s="8" t="s">
        <v>108</v>
      </c>
      <c r="U6" s="8" t="s">
        <v>91</v>
      </c>
      <c r="V6" s="8" t="s">
        <v>107</v>
      </c>
      <c r="W6" s="8" t="s">
        <v>100</v>
      </c>
      <c r="X6" s="8" t="s">
        <v>110</v>
      </c>
      <c r="Y6" s="8" t="s">
        <v>91</v>
      </c>
      <c r="Z6" s="8" t="s">
        <v>109</v>
      </c>
      <c r="AA6" s="8" t="s">
        <v>100</v>
      </c>
      <c r="AB6" s="8" t="s">
        <v>106</v>
      </c>
      <c r="AC6" s="8" t="s">
        <v>91</v>
      </c>
      <c r="AD6" s="7" t="s">
        <v>111</v>
      </c>
      <c r="AE6" s="8" t="s">
        <v>112</v>
      </c>
      <c r="AF6" s="8" t="s">
        <v>91</v>
      </c>
      <c r="AG6" s="8" t="s">
        <v>115</v>
      </c>
      <c r="AH6" s="8" t="s">
        <v>100</v>
      </c>
      <c r="AI6" s="8" t="s">
        <v>116</v>
      </c>
      <c r="AJ6" s="8" t="s">
        <v>91</v>
      </c>
      <c r="AK6" s="8" t="s">
        <v>113</v>
      </c>
      <c r="AL6" s="8" t="s">
        <v>100</v>
      </c>
      <c r="AM6" s="8" t="s">
        <v>114</v>
      </c>
      <c r="AN6" s="8" t="s">
        <v>91</v>
      </c>
      <c r="AO6" s="7" t="s">
        <v>98</v>
      </c>
      <c r="AP6" s="8" t="s">
        <v>104</v>
      </c>
      <c r="AQ6" s="8" t="s">
        <v>100</v>
      </c>
      <c r="AR6" s="8" t="s">
        <v>103</v>
      </c>
      <c r="AS6" s="8" t="s">
        <v>91</v>
      </c>
      <c r="AT6" s="8" t="s">
        <v>99</v>
      </c>
      <c r="AU6" s="8" t="s">
        <v>100</v>
      </c>
      <c r="AV6" s="8" t="s">
        <v>101</v>
      </c>
      <c r="AW6" s="8" t="s">
        <v>91</v>
      </c>
      <c r="AX6" s="8" t="s">
        <v>102</v>
      </c>
      <c r="AY6" s="8" t="s">
        <v>100</v>
      </c>
      <c r="AZ6" s="8" t="s">
        <v>117</v>
      </c>
      <c r="BA6" s="7" t="s">
        <v>132</v>
      </c>
      <c r="BB6" s="7" t="s">
        <v>111</v>
      </c>
      <c r="BC6" s="8" t="s">
        <v>122</v>
      </c>
      <c r="BD6" s="8" t="s">
        <v>91</v>
      </c>
      <c r="BE6" s="8" t="s">
        <v>125</v>
      </c>
      <c r="BF6" s="8" t="s">
        <v>100</v>
      </c>
      <c r="BG6" s="8" t="s">
        <v>124</v>
      </c>
      <c r="BH6" s="8" t="s">
        <v>91</v>
      </c>
      <c r="BI6" s="8" t="s">
        <v>123</v>
      </c>
      <c r="BJ6" s="8" t="s">
        <v>100</v>
      </c>
      <c r="BK6" s="8"/>
      <c r="BL6" s="8"/>
      <c r="BM6" s="7" t="s">
        <v>98</v>
      </c>
      <c r="BN6" s="8" t="s">
        <v>126</v>
      </c>
      <c r="BO6" s="8" t="s">
        <v>91</v>
      </c>
      <c r="BP6" s="8" t="s">
        <v>127</v>
      </c>
      <c r="BQ6" s="8" t="s">
        <v>100</v>
      </c>
      <c r="BR6" s="8" t="s">
        <v>128</v>
      </c>
      <c r="BS6" s="8" t="s">
        <v>91</v>
      </c>
      <c r="BT6" s="8" t="s">
        <v>129</v>
      </c>
      <c r="BU6" s="8" t="s">
        <v>100</v>
      </c>
      <c r="BV6" s="8"/>
      <c r="BW6" s="8"/>
      <c r="BX6" s="7" t="s">
        <v>105</v>
      </c>
      <c r="BY6" s="8" t="s">
        <v>118</v>
      </c>
      <c r="BZ6" s="8" t="s">
        <v>91</v>
      </c>
      <c r="CA6" s="8" t="s">
        <v>119</v>
      </c>
      <c r="CB6" s="8" t="s">
        <v>100</v>
      </c>
      <c r="CC6" s="8" t="s">
        <v>120</v>
      </c>
      <c r="CD6" s="8" t="s">
        <v>91</v>
      </c>
      <c r="CE6" s="8" t="s">
        <v>121</v>
      </c>
      <c r="CF6" s="8" t="s">
        <v>100</v>
      </c>
      <c r="CG6" s="8"/>
      <c r="CH6" s="8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</row>
    <row r="7" spans="1:106" ht="14.25" customHeight="1" x14ac:dyDescent="0.25">
      <c r="A7" s="6" t="s">
        <v>136</v>
      </c>
      <c r="B7" s="6" t="s">
        <v>131</v>
      </c>
      <c r="C7" s="7" t="s">
        <v>88</v>
      </c>
      <c r="D7" s="7" t="s">
        <v>132</v>
      </c>
      <c r="E7" s="8" t="s">
        <v>90</v>
      </c>
      <c r="F7" s="8" t="s">
        <v>91</v>
      </c>
      <c r="G7" s="8" t="s">
        <v>92</v>
      </c>
      <c r="H7" s="8" t="s">
        <v>91</v>
      </c>
      <c r="I7" s="8" t="s">
        <v>93</v>
      </c>
      <c r="J7" s="8" t="s">
        <v>91</v>
      </c>
      <c r="K7" s="8" t="s">
        <v>94</v>
      </c>
      <c r="L7" s="8" t="s">
        <v>91</v>
      </c>
      <c r="M7" s="8" t="s">
        <v>95</v>
      </c>
      <c r="N7" s="8" t="s">
        <v>91</v>
      </c>
      <c r="O7" s="8" t="s">
        <v>96</v>
      </c>
      <c r="P7" s="8" t="s">
        <v>91</v>
      </c>
      <c r="Q7" s="8" t="s">
        <v>117</v>
      </c>
      <c r="R7" s="7" t="s">
        <v>88</v>
      </c>
      <c r="S7" s="7" t="s">
        <v>98</v>
      </c>
      <c r="T7" s="8" t="s">
        <v>128</v>
      </c>
      <c r="U7" s="8" t="s">
        <v>91</v>
      </c>
      <c r="V7" s="8" t="s">
        <v>129</v>
      </c>
      <c r="W7" s="8" t="s">
        <v>100</v>
      </c>
      <c r="X7" s="8" t="s">
        <v>126</v>
      </c>
      <c r="Y7" s="8" t="s">
        <v>91</v>
      </c>
      <c r="Z7" s="8" t="s">
        <v>127</v>
      </c>
      <c r="AA7" s="8" t="s">
        <v>100</v>
      </c>
      <c r="AB7" s="8"/>
      <c r="AC7" s="8"/>
      <c r="AD7" s="7" t="s">
        <v>105</v>
      </c>
      <c r="AE7" s="8" t="s">
        <v>120</v>
      </c>
      <c r="AF7" s="8" t="s">
        <v>91</v>
      </c>
      <c r="AG7" s="8" t="s">
        <v>121</v>
      </c>
      <c r="AH7" s="8" t="s">
        <v>100</v>
      </c>
      <c r="AI7" s="8" t="s">
        <v>118</v>
      </c>
      <c r="AJ7" s="8" t="s">
        <v>91</v>
      </c>
      <c r="AK7" s="8" t="s">
        <v>119</v>
      </c>
      <c r="AL7" s="8" t="s">
        <v>100</v>
      </c>
      <c r="AM7" s="8"/>
      <c r="AN7" s="8"/>
      <c r="AO7" s="7" t="s">
        <v>111</v>
      </c>
      <c r="AP7" s="8" t="s">
        <v>122</v>
      </c>
      <c r="AQ7" s="8" t="s">
        <v>91</v>
      </c>
      <c r="AR7" s="8" t="s">
        <v>125</v>
      </c>
      <c r="AS7" s="8" t="s">
        <v>100</v>
      </c>
      <c r="AT7" s="8" t="s">
        <v>124</v>
      </c>
      <c r="AU7" s="8" t="s">
        <v>91</v>
      </c>
      <c r="AV7" s="8" t="s">
        <v>123</v>
      </c>
      <c r="AW7" s="8" t="s">
        <v>100</v>
      </c>
      <c r="AX7" s="8"/>
      <c r="AY7" s="8"/>
      <c r="AZ7" s="8" t="s">
        <v>97</v>
      </c>
      <c r="BA7" s="7" t="s">
        <v>132</v>
      </c>
      <c r="BB7" s="7" t="s">
        <v>111</v>
      </c>
      <c r="BC7" s="8" t="s">
        <v>116</v>
      </c>
      <c r="BD7" s="8" t="s">
        <v>91</v>
      </c>
      <c r="BE7" s="8" t="s">
        <v>113</v>
      </c>
      <c r="BF7" s="8" t="s">
        <v>100</v>
      </c>
      <c r="BG7" s="8" t="s">
        <v>114</v>
      </c>
      <c r="BH7" s="8" t="s">
        <v>91</v>
      </c>
      <c r="BI7" s="8" t="s">
        <v>115</v>
      </c>
      <c r="BJ7" s="8" t="s">
        <v>100</v>
      </c>
      <c r="BK7" s="8" t="s">
        <v>112</v>
      </c>
      <c r="BL7" s="8" t="s">
        <v>91</v>
      </c>
      <c r="BM7" s="7" t="s">
        <v>98</v>
      </c>
      <c r="BN7" s="8" t="s">
        <v>102</v>
      </c>
      <c r="BO7" s="8" t="s">
        <v>100</v>
      </c>
      <c r="BP7" s="8" t="s">
        <v>103</v>
      </c>
      <c r="BQ7" s="8" t="s">
        <v>91</v>
      </c>
      <c r="BR7" s="8" t="s">
        <v>104</v>
      </c>
      <c r="BS7" s="8" t="s">
        <v>100</v>
      </c>
      <c r="BT7" s="8" t="s">
        <v>101</v>
      </c>
      <c r="BU7" s="8" t="s">
        <v>91</v>
      </c>
      <c r="BV7" s="8" t="s">
        <v>99</v>
      </c>
      <c r="BW7" s="8" t="s">
        <v>100</v>
      </c>
      <c r="BX7" s="7" t="s">
        <v>105</v>
      </c>
      <c r="BY7" s="8" t="s">
        <v>108</v>
      </c>
      <c r="BZ7" s="8" t="s">
        <v>91</v>
      </c>
      <c r="CA7" s="8" t="s">
        <v>107</v>
      </c>
      <c r="CB7" s="8" t="s">
        <v>100</v>
      </c>
      <c r="CC7" s="8" t="s">
        <v>106</v>
      </c>
      <c r="CD7" s="8" t="s">
        <v>91</v>
      </c>
      <c r="CE7" s="8" t="s">
        <v>109</v>
      </c>
      <c r="CF7" s="8" t="s">
        <v>100</v>
      </c>
      <c r="CG7" s="8" t="s">
        <v>110</v>
      </c>
      <c r="CH7" s="8" t="s">
        <v>91</v>
      </c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</row>
    <row r="8" spans="1:106" ht="14.25" customHeight="1" x14ac:dyDescent="0.25">
      <c r="A8" s="6" t="s">
        <v>137</v>
      </c>
      <c r="B8" s="6" t="s">
        <v>87</v>
      </c>
      <c r="C8" s="7" t="s">
        <v>88</v>
      </c>
      <c r="D8" s="7" t="s">
        <v>89</v>
      </c>
      <c r="E8" s="8" t="s">
        <v>90</v>
      </c>
      <c r="F8" s="8" t="s">
        <v>91</v>
      </c>
      <c r="G8" s="8" t="s">
        <v>92</v>
      </c>
      <c r="H8" s="8" t="s">
        <v>91</v>
      </c>
      <c r="I8" s="8" t="s">
        <v>93</v>
      </c>
      <c r="J8" s="8" t="s">
        <v>91</v>
      </c>
      <c r="K8" s="8" t="s">
        <v>94</v>
      </c>
      <c r="L8" s="8" t="s">
        <v>91</v>
      </c>
      <c r="M8" s="8" t="s">
        <v>95</v>
      </c>
      <c r="N8" s="8" t="s">
        <v>91</v>
      </c>
      <c r="O8" s="8" t="s">
        <v>96</v>
      </c>
      <c r="P8" s="8" t="s">
        <v>91</v>
      </c>
      <c r="Q8" s="8" t="s">
        <v>97</v>
      </c>
      <c r="R8" s="7" t="s">
        <v>88</v>
      </c>
      <c r="S8" s="7" t="s">
        <v>98</v>
      </c>
      <c r="T8" s="8" t="s">
        <v>102</v>
      </c>
      <c r="U8" s="8" t="s">
        <v>100</v>
      </c>
      <c r="V8" s="8" t="s">
        <v>101</v>
      </c>
      <c r="W8" s="8" t="s">
        <v>91</v>
      </c>
      <c r="X8" s="8" t="s">
        <v>104</v>
      </c>
      <c r="Y8" s="8" t="s">
        <v>100</v>
      </c>
      <c r="Z8" s="8" t="s">
        <v>103</v>
      </c>
      <c r="AA8" s="8" t="s">
        <v>91</v>
      </c>
      <c r="AB8" s="8" t="s">
        <v>99</v>
      </c>
      <c r="AC8" s="8" t="s">
        <v>100</v>
      </c>
      <c r="AD8" s="7" t="s">
        <v>105</v>
      </c>
      <c r="AE8" s="8" t="s">
        <v>108</v>
      </c>
      <c r="AF8" s="8" t="s">
        <v>91</v>
      </c>
      <c r="AG8" s="8" t="s">
        <v>109</v>
      </c>
      <c r="AH8" s="8" t="s">
        <v>100</v>
      </c>
      <c r="AI8" s="8" t="s">
        <v>110</v>
      </c>
      <c r="AJ8" s="8" t="s">
        <v>91</v>
      </c>
      <c r="AK8" s="8" t="s">
        <v>107</v>
      </c>
      <c r="AL8" s="8" t="s">
        <v>100</v>
      </c>
      <c r="AM8" s="8" t="s">
        <v>106</v>
      </c>
      <c r="AN8" s="8" t="s">
        <v>91</v>
      </c>
      <c r="AO8" s="7" t="s">
        <v>111</v>
      </c>
      <c r="AP8" s="8" t="s">
        <v>114</v>
      </c>
      <c r="AQ8" s="8" t="s">
        <v>91</v>
      </c>
      <c r="AR8" s="8" t="s">
        <v>113</v>
      </c>
      <c r="AS8" s="8" t="s">
        <v>100</v>
      </c>
      <c r="AT8" s="8" t="s">
        <v>112</v>
      </c>
      <c r="AU8" s="8" t="s">
        <v>91</v>
      </c>
      <c r="AV8" s="8" t="s">
        <v>115</v>
      </c>
      <c r="AW8" s="8" t="s">
        <v>100</v>
      </c>
      <c r="AX8" s="8" t="s">
        <v>116</v>
      </c>
      <c r="AY8" s="8" t="s">
        <v>91</v>
      </c>
      <c r="AZ8" s="8" t="s">
        <v>117</v>
      </c>
      <c r="BA8" s="7" t="s">
        <v>89</v>
      </c>
      <c r="BB8" s="7" t="s">
        <v>105</v>
      </c>
      <c r="BC8" s="8" t="s">
        <v>118</v>
      </c>
      <c r="BD8" s="8" t="s">
        <v>91</v>
      </c>
      <c r="BE8" s="8" t="s">
        <v>119</v>
      </c>
      <c r="BF8" s="8" t="s">
        <v>100</v>
      </c>
      <c r="BG8" s="8" t="s">
        <v>120</v>
      </c>
      <c r="BH8" s="8" t="s">
        <v>91</v>
      </c>
      <c r="BI8" s="8" t="s">
        <v>121</v>
      </c>
      <c r="BJ8" s="8" t="s">
        <v>100</v>
      </c>
      <c r="BK8" s="8"/>
      <c r="BL8" s="8"/>
      <c r="BM8" s="7" t="s">
        <v>111</v>
      </c>
      <c r="BN8" s="8" t="s">
        <v>122</v>
      </c>
      <c r="BO8" s="8" t="s">
        <v>91</v>
      </c>
      <c r="BP8" s="8" t="s">
        <v>125</v>
      </c>
      <c r="BQ8" s="8" t="s">
        <v>100</v>
      </c>
      <c r="BR8" s="8" t="s">
        <v>124</v>
      </c>
      <c r="BS8" s="8" t="s">
        <v>91</v>
      </c>
      <c r="BT8" s="8" t="s">
        <v>123</v>
      </c>
      <c r="BU8" s="8" t="s">
        <v>100</v>
      </c>
      <c r="BV8" s="8"/>
      <c r="BW8" s="8"/>
      <c r="BX8" s="7" t="s">
        <v>98</v>
      </c>
      <c r="BY8" s="8" t="s">
        <v>128</v>
      </c>
      <c r="BZ8" s="8" t="s">
        <v>91</v>
      </c>
      <c r="CA8" s="8" t="s">
        <v>127</v>
      </c>
      <c r="CB8" s="8" t="s">
        <v>100</v>
      </c>
      <c r="CC8" s="8" t="s">
        <v>126</v>
      </c>
      <c r="CD8" s="8" t="s">
        <v>91</v>
      </c>
      <c r="CE8" s="8" t="s">
        <v>129</v>
      </c>
      <c r="CF8" s="8" t="s">
        <v>100</v>
      </c>
      <c r="CG8" s="8"/>
      <c r="CH8" s="8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</row>
    <row r="9" spans="1:106" ht="14.25" customHeight="1" x14ac:dyDescent="0.25">
      <c r="A9" s="6" t="s">
        <v>138</v>
      </c>
      <c r="B9" s="6" t="s">
        <v>131</v>
      </c>
      <c r="C9" s="7" t="s">
        <v>132</v>
      </c>
      <c r="D9" s="7" t="s">
        <v>89</v>
      </c>
      <c r="E9" s="8" t="s">
        <v>90</v>
      </c>
      <c r="F9" s="8" t="s">
        <v>91</v>
      </c>
      <c r="G9" s="8" t="s">
        <v>92</v>
      </c>
      <c r="H9" s="8" t="s">
        <v>91</v>
      </c>
      <c r="I9" s="8" t="s">
        <v>93</v>
      </c>
      <c r="J9" s="8" t="s">
        <v>91</v>
      </c>
      <c r="K9" s="8" t="s">
        <v>94</v>
      </c>
      <c r="L9" s="8" t="s">
        <v>91</v>
      </c>
      <c r="M9" s="8" t="s">
        <v>95</v>
      </c>
      <c r="N9" s="8" t="s">
        <v>91</v>
      </c>
      <c r="O9" s="8" t="s">
        <v>96</v>
      </c>
      <c r="P9" s="8" t="s">
        <v>91</v>
      </c>
      <c r="Q9" s="8" t="s">
        <v>117</v>
      </c>
      <c r="R9" s="7" t="s">
        <v>132</v>
      </c>
      <c r="S9" s="7" t="s">
        <v>111</v>
      </c>
      <c r="T9" s="8" t="s">
        <v>124</v>
      </c>
      <c r="U9" s="8" t="s">
        <v>91</v>
      </c>
      <c r="V9" s="8" t="s">
        <v>125</v>
      </c>
      <c r="W9" s="8" t="s">
        <v>100</v>
      </c>
      <c r="X9" s="8" t="s">
        <v>122</v>
      </c>
      <c r="Y9" s="8" t="s">
        <v>91</v>
      </c>
      <c r="Z9" s="8" t="s">
        <v>123</v>
      </c>
      <c r="AA9" s="8" t="s">
        <v>100</v>
      </c>
      <c r="AB9" s="8"/>
      <c r="AC9" s="8"/>
      <c r="AD9" s="7" t="s">
        <v>98</v>
      </c>
      <c r="AE9" s="8" t="s">
        <v>126</v>
      </c>
      <c r="AF9" s="8" t="s">
        <v>91</v>
      </c>
      <c r="AG9" s="8" t="s">
        <v>127</v>
      </c>
      <c r="AH9" s="8" t="s">
        <v>100</v>
      </c>
      <c r="AI9" s="8" t="s">
        <v>128</v>
      </c>
      <c r="AJ9" s="8" t="s">
        <v>91</v>
      </c>
      <c r="AK9" s="8" t="s">
        <v>129</v>
      </c>
      <c r="AL9" s="8" t="s">
        <v>100</v>
      </c>
      <c r="AM9" s="8"/>
      <c r="AN9" s="8"/>
      <c r="AO9" s="7" t="s">
        <v>105</v>
      </c>
      <c r="AP9" s="8" t="s">
        <v>120</v>
      </c>
      <c r="AQ9" s="8" t="s">
        <v>91</v>
      </c>
      <c r="AR9" s="8" t="s">
        <v>119</v>
      </c>
      <c r="AS9" s="8" t="s">
        <v>100</v>
      </c>
      <c r="AT9" s="8" t="s">
        <v>118</v>
      </c>
      <c r="AU9" s="8" t="s">
        <v>91</v>
      </c>
      <c r="AV9" s="8" t="s">
        <v>121</v>
      </c>
      <c r="AW9" s="8" t="s">
        <v>100</v>
      </c>
      <c r="AX9" s="8"/>
      <c r="AY9" s="8"/>
      <c r="AZ9" s="8" t="s">
        <v>97</v>
      </c>
      <c r="BA9" s="7" t="s">
        <v>89</v>
      </c>
      <c r="BB9" s="7" t="s">
        <v>105</v>
      </c>
      <c r="BC9" s="8" t="s">
        <v>106</v>
      </c>
      <c r="BD9" s="8" t="s">
        <v>91</v>
      </c>
      <c r="BE9" s="8" t="s">
        <v>109</v>
      </c>
      <c r="BF9" s="8" t="s">
        <v>100</v>
      </c>
      <c r="BG9" s="8" t="s">
        <v>110</v>
      </c>
      <c r="BH9" s="8" t="s">
        <v>91</v>
      </c>
      <c r="BI9" s="8" t="s">
        <v>107</v>
      </c>
      <c r="BJ9" s="8" t="s">
        <v>100</v>
      </c>
      <c r="BK9" s="8" t="s">
        <v>108</v>
      </c>
      <c r="BL9" s="8" t="s">
        <v>91</v>
      </c>
      <c r="BM9" s="7" t="s">
        <v>111</v>
      </c>
      <c r="BN9" s="8" t="s">
        <v>114</v>
      </c>
      <c r="BO9" s="8" t="s">
        <v>91</v>
      </c>
      <c r="BP9" s="8" t="s">
        <v>115</v>
      </c>
      <c r="BQ9" s="8" t="s">
        <v>100</v>
      </c>
      <c r="BR9" s="8" t="s">
        <v>116</v>
      </c>
      <c r="BS9" s="8" t="s">
        <v>91</v>
      </c>
      <c r="BT9" s="8" t="s">
        <v>113</v>
      </c>
      <c r="BU9" s="8" t="s">
        <v>100</v>
      </c>
      <c r="BV9" s="8" t="s">
        <v>112</v>
      </c>
      <c r="BW9" s="8" t="s">
        <v>91</v>
      </c>
      <c r="BX9" s="7" t="s">
        <v>98</v>
      </c>
      <c r="BY9" s="8" t="s">
        <v>102</v>
      </c>
      <c r="BZ9" s="8" t="s">
        <v>100</v>
      </c>
      <c r="CA9" s="8" t="s">
        <v>103</v>
      </c>
      <c r="CB9" s="8" t="s">
        <v>91</v>
      </c>
      <c r="CC9" s="8" t="s">
        <v>104</v>
      </c>
      <c r="CD9" s="8" t="s">
        <v>100</v>
      </c>
      <c r="CE9" s="8" t="s">
        <v>101</v>
      </c>
      <c r="CF9" s="8" t="s">
        <v>91</v>
      </c>
      <c r="CG9" s="8" t="s">
        <v>99</v>
      </c>
      <c r="CH9" s="8" t="s">
        <v>100</v>
      </c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</row>
    <row r="10" spans="1:106" ht="14.25" customHeight="1" x14ac:dyDescent="0.25">
      <c r="A10" s="6" t="s">
        <v>139</v>
      </c>
      <c r="B10" s="6" t="s">
        <v>87</v>
      </c>
      <c r="C10" s="7" t="s">
        <v>132</v>
      </c>
      <c r="D10" s="7" t="s">
        <v>88</v>
      </c>
      <c r="E10" s="8" t="s">
        <v>90</v>
      </c>
      <c r="F10" s="8" t="s">
        <v>91</v>
      </c>
      <c r="G10" s="8" t="s">
        <v>92</v>
      </c>
      <c r="H10" s="8" t="s">
        <v>91</v>
      </c>
      <c r="I10" s="8" t="s">
        <v>93</v>
      </c>
      <c r="J10" s="8" t="s">
        <v>91</v>
      </c>
      <c r="K10" s="8" t="s">
        <v>94</v>
      </c>
      <c r="L10" s="8" t="s">
        <v>91</v>
      </c>
      <c r="M10" s="8" t="s">
        <v>95</v>
      </c>
      <c r="N10" s="8" t="s">
        <v>91</v>
      </c>
      <c r="O10" s="8" t="s">
        <v>96</v>
      </c>
      <c r="P10" s="8" t="s">
        <v>91</v>
      </c>
      <c r="Q10" s="8" t="s">
        <v>97</v>
      </c>
      <c r="R10" s="7" t="s">
        <v>132</v>
      </c>
      <c r="S10" s="7" t="s">
        <v>111</v>
      </c>
      <c r="T10" s="8" t="s">
        <v>116</v>
      </c>
      <c r="U10" s="8" t="s">
        <v>91</v>
      </c>
      <c r="V10" s="8" t="s">
        <v>113</v>
      </c>
      <c r="W10" s="8" t="s">
        <v>100</v>
      </c>
      <c r="X10" s="8" t="s">
        <v>114</v>
      </c>
      <c r="Y10" s="8" t="s">
        <v>91</v>
      </c>
      <c r="Z10" s="8" t="s">
        <v>115</v>
      </c>
      <c r="AA10" s="8" t="s">
        <v>100</v>
      </c>
      <c r="AB10" s="8" t="s">
        <v>112</v>
      </c>
      <c r="AC10" s="8" t="s">
        <v>91</v>
      </c>
      <c r="AD10" s="7" t="s">
        <v>98</v>
      </c>
      <c r="AE10" s="8" t="s">
        <v>102</v>
      </c>
      <c r="AF10" s="8" t="s">
        <v>100</v>
      </c>
      <c r="AG10" s="8" t="s">
        <v>103</v>
      </c>
      <c r="AH10" s="8" t="s">
        <v>91</v>
      </c>
      <c r="AI10" s="8" t="s">
        <v>99</v>
      </c>
      <c r="AJ10" s="8" t="s">
        <v>100</v>
      </c>
      <c r="AK10" s="8" t="s">
        <v>101</v>
      </c>
      <c r="AL10" s="8" t="s">
        <v>91</v>
      </c>
      <c r="AM10" s="8" t="s">
        <v>104</v>
      </c>
      <c r="AN10" s="8" t="s">
        <v>100</v>
      </c>
      <c r="AO10" s="7" t="s">
        <v>105</v>
      </c>
      <c r="AP10" s="8" t="s">
        <v>106</v>
      </c>
      <c r="AQ10" s="8" t="s">
        <v>91</v>
      </c>
      <c r="AR10" s="8" t="s">
        <v>107</v>
      </c>
      <c r="AS10" s="8" t="s">
        <v>100</v>
      </c>
      <c r="AT10" s="8" t="s">
        <v>110</v>
      </c>
      <c r="AU10" s="8" t="s">
        <v>91</v>
      </c>
      <c r="AV10" s="8" t="s">
        <v>109</v>
      </c>
      <c r="AW10" s="8" t="s">
        <v>100</v>
      </c>
      <c r="AX10" s="8" t="s">
        <v>108</v>
      </c>
      <c r="AY10" s="8" t="s">
        <v>91</v>
      </c>
      <c r="AZ10" s="8" t="s">
        <v>117</v>
      </c>
      <c r="BA10" s="7" t="s">
        <v>88</v>
      </c>
      <c r="BB10" s="7" t="s">
        <v>98</v>
      </c>
      <c r="BC10" s="8" t="s">
        <v>126</v>
      </c>
      <c r="BD10" s="8" t="s">
        <v>91</v>
      </c>
      <c r="BE10" s="8" t="s">
        <v>129</v>
      </c>
      <c r="BF10" s="8" t="s">
        <v>100</v>
      </c>
      <c r="BG10" s="8" t="s">
        <v>128</v>
      </c>
      <c r="BH10" s="8" t="s">
        <v>91</v>
      </c>
      <c r="BI10" s="8" t="s">
        <v>127</v>
      </c>
      <c r="BJ10" s="8" t="s">
        <v>100</v>
      </c>
      <c r="BK10" s="8"/>
      <c r="BL10" s="8"/>
      <c r="BM10" s="7" t="s">
        <v>105</v>
      </c>
      <c r="BN10" s="8" t="s">
        <v>118</v>
      </c>
      <c r="BO10" s="8" t="s">
        <v>91</v>
      </c>
      <c r="BP10" s="8" t="s">
        <v>121</v>
      </c>
      <c r="BQ10" s="8" t="s">
        <v>100</v>
      </c>
      <c r="BR10" s="8" t="s">
        <v>120</v>
      </c>
      <c r="BS10" s="8" t="s">
        <v>91</v>
      </c>
      <c r="BT10" s="8" t="s">
        <v>119</v>
      </c>
      <c r="BU10" s="8" t="s">
        <v>100</v>
      </c>
      <c r="BV10" s="8"/>
      <c r="BW10" s="8"/>
      <c r="BX10" s="7" t="s">
        <v>111</v>
      </c>
      <c r="BY10" s="8" t="s">
        <v>124</v>
      </c>
      <c r="BZ10" s="8" t="s">
        <v>91</v>
      </c>
      <c r="CA10" s="8" t="s">
        <v>123</v>
      </c>
      <c r="CB10" s="8" t="s">
        <v>100</v>
      </c>
      <c r="CC10" s="8" t="s">
        <v>122</v>
      </c>
      <c r="CD10" s="8" t="s">
        <v>91</v>
      </c>
      <c r="CE10" s="8" t="s">
        <v>125</v>
      </c>
      <c r="CF10" s="8" t="s">
        <v>100</v>
      </c>
      <c r="CG10" s="8"/>
      <c r="CH10" s="8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</row>
    <row r="11" spans="1:106" ht="14.25" customHeight="1" x14ac:dyDescent="0.25">
      <c r="A11" s="6" t="s">
        <v>140</v>
      </c>
      <c r="B11" s="6" t="s">
        <v>131</v>
      </c>
      <c r="C11" s="7" t="s">
        <v>89</v>
      </c>
      <c r="D11" s="7" t="s">
        <v>88</v>
      </c>
      <c r="E11" s="8" t="s">
        <v>90</v>
      </c>
      <c r="F11" s="8" t="s">
        <v>91</v>
      </c>
      <c r="G11" s="8" t="s">
        <v>92</v>
      </c>
      <c r="H11" s="8" t="s">
        <v>91</v>
      </c>
      <c r="I11" s="8" t="s">
        <v>93</v>
      </c>
      <c r="J11" s="8" t="s">
        <v>91</v>
      </c>
      <c r="K11" s="8" t="s">
        <v>94</v>
      </c>
      <c r="L11" s="8" t="s">
        <v>91</v>
      </c>
      <c r="M11" s="8" t="s">
        <v>95</v>
      </c>
      <c r="N11" s="8" t="s">
        <v>91</v>
      </c>
      <c r="O11" s="8" t="s">
        <v>96</v>
      </c>
      <c r="P11" s="8" t="s">
        <v>91</v>
      </c>
      <c r="Q11" s="8" t="s">
        <v>117</v>
      </c>
      <c r="R11" s="7" t="s">
        <v>89</v>
      </c>
      <c r="S11" s="7" t="s">
        <v>105</v>
      </c>
      <c r="T11" s="8" t="s">
        <v>118</v>
      </c>
      <c r="U11" s="8" t="s">
        <v>91</v>
      </c>
      <c r="V11" s="8" t="s">
        <v>121</v>
      </c>
      <c r="W11" s="8" t="s">
        <v>100</v>
      </c>
      <c r="X11" s="8" t="s">
        <v>120</v>
      </c>
      <c r="Y11" s="8" t="s">
        <v>91</v>
      </c>
      <c r="Z11" s="8" t="s">
        <v>119</v>
      </c>
      <c r="AA11" s="8" t="s">
        <v>100</v>
      </c>
      <c r="AB11" s="8"/>
      <c r="AC11" s="8"/>
      <c r="AD11" s="7" t="s">
        <v>111</v>
      </c>
      <c r="AE11" s="8" t="s">
        <v>124</v>
      </c>
      <c r="AF11" s="8" t="s">
        <v>91</v>
      </c>
      <c r="AG11" s="8" t="s">
        <v>123</v>
      </c>
      <c r="AH11" s="8" t="s">
        <v>100</v>
      </c>
      <c r="AI11" s="8" t="s">
        <v>122</v>
      </c>
      <c r="AJ11" s="8" t="s">
        <v>91</v>
      </c>
      <c r="AK11" s="8" t="s">
        <v>125</v>
      </c>
      <c r="AL11" s="8" t="s">
        <v>100</v>
      </c>
      <c r="AM11" s="8"/>
      <c r="AN11" s="8"/>
      <c r="AO11" s="7" t="s">
        <v>98</v>
      </c>
      <c r="AP11" s="8" t="s">
        <v>128</v>
      </c>
      <c r="AQ11" s="8" t="s">
        <v>91</v>
      </c>
      <c r="AR11" s="8" t="s">
        <v>129</v>
      </c>
      <c r="AS11" s="8" t="s">
        <v>100</v>
      </c>
      <c r="AT11" s="8" t="s">
        <v>126</v>
      </c>
      <c r="AU11" s="8" t="s">
        <v>91</v>
      </c>
      <c r="AV11" s="8" t="s">
        <v>127</v>
      </c>
      <c r="AW11" s="8" t="s">
        <v>100</v>
      </c>
      <c r="AX11" s="8"/>
      <c r="AY11" s="8"/>
      <c r="AZ11" s="8" t="s">
        <v>97</v>
      </c>
      <c r="BA11" s="7" t="s">
        <v>88</v>
      </c>
      <c r="BB11" s="7" t="s">
        <v>98</v>
      </c>
      <c r="BC11" s="8" t="s">
        <v>99</v>
      </c>
      <c r="BD11" s="8" t="s">
        <v>100</v>
      </c>
      <c r="BE11" s="8" t="s">
        <v>103</v>
      </c>
      <c r="BF11" s="8" t="s">
        <v>91</v>
      </c>
      <c r="BG11" s="8" t="s">
        <v>102</v>
      </c>
      <c r="BH11" s="8" t="s">
        <v>100</v>
      </c>
      <c r="BI11" s="8" t="s">
        <v>101</v>
      </c>
      <c r="BJ11" s="8" t="s">
        <v>91</v>
      </c>
      <c r="BK11" s="8" t="s">
        <v>104</v>
      </c>
      <c r="BL11" s="8" t="s">
        <v>100</v>
      </c>
      <c r="BM11" s="7" t="s">
        <v>105</v>
      </c>
      <c r="BN11" s="8" t="s">
        <v>106</v>
      </c>
      <c r="BO11" s="8" t="s">
        <v>91</v>
      </c>
      <c r="BP11" s="8" t="s">
        <v>107</v>
      </c>
      <c r="BQ11" s="8" t="s">
        <v>100</v>
      </c>
      <c r="BR11" s="8" t="s">
        <v>108</v>
      </c>
      <c r="BS11" s="8" t="s">
        <v>91</v>
      </c>
      <c r="BT11" s="8" t="s">
        <v>109</v>
      </c>
      <c r="BU11" s="8" t="s">
        <v>100</v>
      </c>
      <c r="BV11" s="8" t="s">
        <v>110</v>
      </c>
      <c r="BW11" s="8" t="s">
        <v>91</v>
      </c>
      <c r="BX11" s="7" t="s">
        <v>111</v>
      </c>
      <c r="BY11" s="8" t="s">
        <v>116</v>
      </c>
      <c r="BZ11" s="8" t="s">
        <v>91</v>
      </c>
      <c r="CA11" s="8" t="s">
        <v>115</v>
      </c>
      <c r="CB11" s="8" t="s">
        <v>100</v>
      </c>
      <c r="CC11" s="8" t="s">
        <v>114</v>
      </c>
      <c r="CD11" s="8" t="s">
        <v>91</v>
      </c>
      <c r="CE11" s="8" t="s">
        <v>113</v>
      </c>
      <c r="CF11" s="8" t="s">
        <v>100</v>
      </c>
      <c r="CG11" s="8" t="s">
        <v>112</v>
      </c>
      <c r="CH11" s="8" t="s">
        <v>91</v>
      </c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</row>
    <row r="12" spans="1:106" ht="14.25" customHeight="1" x14ac:dyDescent="0.25">
      <c r="A12" s="6" t="s">
        <v>141</v>
      </c>
      <c r="B12" s="6" t="s">
        <v>87</v>
      </c>
      <c r="C12" s="7" t="s">
        <v>89</v>
      </c>
      <c r="D12" s="7" t="s">
        <v>132</v>
      </c>
      <c r="E12" s="8" t="s">
        <v>90</v>
      </c>
      <c r="F12" s="8" t="s">
        <v>91</v>
      </c>
      <c r="G12" s="8" t="s">
        <v>92</v>
      </c>
      <c r="H12" s="8" t="s">
        <v>91</v>
      </c>
      <c r="I12" s="8" t="s">
        <v>93</v>
      </c>
      <c r="J12" s="8" t="s">
        <v>91</v>
      </c>
      <c r="K12" s="8" t="s">
        <v>94</v>
      </c>
      <c r="L12" s="8" t="s">
        <v>91</v>
      </c>
      <c r="M12" s="8" t="s">
        <v>95</v>
      </c>
      <c r="N12" s="8" t="s">
        <v>91</v>
      </c>
      <c r="O12" s="8" t="s">
        <v>96</v>
      </c>
      <c r="P12" s="8" t="s">
        <v>91</v>
      </c>
      <c r="Q12" s="8" t="s">
        <v>97</v>
      </c>
      <c r="R12" s="7" t="s">
        <v>89</v>
      </c>
      <c r="S12" s="7" t="s">
        <v>105</v>
      </c>
      <c r="T12" s="8" t="s">
        <v>142</v>
      </c>
      <c r="U12" s="8" t="s">
        <v>100</v>
      </c>
      <c r="V12" s="8" t="s">
        <v>143</v>
      </c>
      <c r="W12" s="8" t="s">
        <v>91</v>
      </c>
      <c r="X12" s="8" t="s">
        <v>144</v>
      </c>
      <c r="Y12" s="8" t="s">
        <v>100</v>
      </c>
      <c r="Z12" s="8" t="s">
        <v>145</v>
      </c>
      <c r="AA12" s="8" t="s">
        <v>91</v>
      </c>
      <c r="AB12" s="8" t="s">
        <v>146</v>
      </c>
      <c r="AC12" s="8" t="s">
        <v>100</v>
      </c>
      <c r="AD12" s="7" t="s">
        <v>111</v>
      </c>
      <c r="AE12" s="8" t="s">
        <v>147</v>
      </c>
      <c r="AF12" s="8" t="s">
        <v>91</v>
      </c>
      <c r="AG12" s="8" t="s">
        <v>148</v>
      </c>
      <c r="AH12" s="8" t="s">
        <v>100</v>
      </c>
      <c r="AI12" s="8" t="s">
        <v>149</v>
      </c>
      <c r="AJ12" s="8" t="s">
        <v>91</v>
      </c>
      <c r="AK12" s="8" t="s">
        <v>150</v>
      </c>
      <c r="AL12" s="8" t="s">
        <v>100</v>
      </c>
      <c r="AM12" s="8" t="s">
        <v>151</v>
      </c>
      <c r="AN12" s="8" t="s">
        <v>91</v>
      </c>
      <c r="AO12" s="7" t="s">
        <v>98</v>
      </c>
      <c r="AP12" s="8" t="s">
        <v>152</v>
      </c>
      <c r="AQ12" s="8" t="s">
        <v>91</v>
      </c>
      <c r="AR12" s="8" t="s">
        <v>153</v>
      </c>
      <c r="AS12" s="8" t="s">
        <v>100</v>
      </c>
      <c r="AT12" s="8" t="s">
        <v>154</v>
      </c>
      <c r="AU12" s="8" t="s">
        <v>91</v>
      </c>
      <c r="AV12" s="8" t="s">
        <v>155</v>
      </c>
      <c r="AW12" s="8" t="s">
        <v>100</v>
      </c>
      <c r="AX12" s="8" t="s">
        <v>156</v>
      </c>
      <c r="AY12" s="8" t="s">
        <v>91</v>
      </c>
      <c r="AZ12" s="8" t="s">
        <v>117</v>
      </c>
      <c r="BA12" s="7" t="s">
        <v>132</v>
      </c>
      <c r="BB12" s="7" t="s">
        <v>111</v>
      </c>
      <c r="BC12" s="8" t="s">
        <v>157</v>
      </c>
      <c r="BD12" s="8" t="s">
        <v>91</v>
      </c>
      <c r="BE12" s="8" t="s">
        <v>158</v>
      </c>
      <c r="BF12" s="8" t="s">
        <v>100</v>
      </c>
      <c r="BG12" s="8" t="s">
        <v>159</v>
      </c>
      <c r="BH12" s="8" t="s">
        <v>91</v>
      </c>
      <c r="BI12" s="8" t="s">
        <v>160</v>
      </c>
      <c r="BJ12" s="8" t="s">
        <v>100</v>
      </c>
      <c r="BK12" s="8"/>
      <c r="BL12" s="8"/>
      <c r="BM12" s="7" t="s">
        <v>98</v>
      </c>
      <c r="BN12" s="8" t="s">
        <v>161</v>
      </c>
      <c r="BO12" s="8" t="s">
        <v>91</v>
      </c>
      <c r="BP12" s="8" t="s">
        <v>162</v>
      </c>
      <c r="BQ12" s="8" t="s">
        <v>100</v>
      </c>
      <c r="BR12" s="8" t="s">
        <v>163</v>
      </c>
      <c r="BS12" s="8" t="s">
        <v>91</v>
      </c>
      <c r="BT12" s="8" t="s">
        <v>164</v>
      </c>
      <c r="BU12" s="8" t="s">
        <v>100</v>
      </c>
      <c r="BV12" s="8"/>
      <c r="BW12" s="8"/>
      <c r="BX12" s="7" t="s">
        <v>105</v>
      </c>
      <c r="BY12" s="8" t="s">
        <v>165</v>
      </c>
      <c r="BZ12" s="8" t="s">
        <v>91</v>
      </c>
      <c r="CA12" s="8" t="s">
        <v>166</v>
      </c>
      <c r="CB12" s="8" t="s">
        <v>100</v>
      </c>
      <c r="CC12" s="8" t="s">
        <v>167</v>
      </c>
      <c r="CD12" s="8" t="s">
        <v>91</v>
      </c>
      <c r="CE12" s="8" t="s">
        <v>168</v>
      </c>
      <c r="CF12" s="8" t="s">
        <v>100</v>
      </c>
      <c r="CG12" s="8"/>
      <c r="CH12" s="8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</row>
    <row r="13" spans="1:106" ht="14.25" customHeight="1" x14ac:dyDescent="0.25">
      <c r="A13" s="6" t="s">
        <v>169</v>
      </c>
      <c r="B13" s="6" t="s">
        <v>131</v>
      </c>
      <c r="C13" s="7" t="s">
        <v>88</v>
      </c>
      <c r="D13" s="7" t="s">
        <v>132</v>
      </c>
      <c r="E13" s="8" t="s">
        <v>90</v>
      </c>
      <c r="F13" s="8" t="s">
        <v>91</v>
      </c>
      <c r="G13" s="8" t="s">
        <v>92</v>
      </c>
      <c r="H13" s="8" t="s">
        <v>91</v>
      </c>
      <c r="I13" s="8" t="s">
        <v>93</v>
      </c>
      <c r="J13" s="8" t="s">
        <v>91</v>
      </c>
      <c r="K13" s="8" t="s">
        <v>94</v>
      </c>
      <c r="L13" s="8" t="s">
        <v>91</v>
      </c>
      <c r="M13" s="8" t="s">
        <v>95</v>
      </c>
      <c r="N13" s="8" t="s">
        <v>91</v>
      </c>
      <c r="O13" s="8" t="s">
        <v>96</v>
      </c>
      <c r="P13" s="8" t="s">
        <v>91</v>
      </c>
      <c r="Q13" s="8" t="s">
        <v>117</v>
      </c>
      <c r="R13" s="7" t="s">
        <v>88</v>
      </c>
      <c r="S13" s="7" t="s">
        <v>98</v>
      </c>
      <c r="T13" s="8" t="s">
        <v>163</v>
      </c>
      <c r="U13" s="8" t="s">
        <v>91</v>
      </c>
      <c r="V13" s="8" t="s">
        <v>162</v>
      </c>
      <c r="W13" s="8" t="s">
        <v>100</v>
      </c>
      <c r="X13" s="8" t="s">
        <v>161</v>
      </c>
      <c r="Y13" s="8" t="s">
        <v>91</v>
      </c>
      <c r="Z13" s="8" t="s">
        <v>164</v>
      </c>
      <c r="AA13" s="8" t="s">
        <v>100</v>
      </c>
      <c r="AB13" s="8"/>
      <c r="AC13" s="8"/>
      <c r="AD13" s="7" t="s">
        <v>105</v>
      </c>
      <c r="AE13" s="8" t="s">
        <v>167</v>
      </c>
      <c r="AF13" s="8" t="s">
        <v>91</v>
      </c>
      <c r="AG13" s="8" t="s">
        <v>168</v>
      </c>
      <c r="AH13" s="8" t="s">
        <v>100</v>
      </c>
      <c r="AI13" s="8" t="s">
        <v>165</v>
      </c>
      <c r="AJ13" s="8" t="s">
        <v>91</v>
      </c>
      <c r="AK13" s="8" t="s">
        <v>166</v>
      </c>
      <c r="AL13" s="8" t="s">
        <v>100</v>
      </c>
      <c r="AM13" s="8"/>
      <c r="AN13" s="8"/>
      <c r="AO13" s="7" t="s">
        <v>111</v>
      </c>
      <c r="AP13" s="8" t="s">
        <v>157</v>
      </c>
      <c r="AQ13" s="8" t="s">
        <v>91</v>
      </c>
      <c r="AR13" s="8" t="s">
        <v>158</v>
      </c>
      <c r="AS13" s="8" t="s">
        <v>100</v>
      </c>
      <c r="AT13" s="8" t="s">
        <v>159</v>
      </c>
      <c r="AU13" s="8" t="s">
        <v>91</v>
      </c>
      <c r="AV13" s="8" t="s">
        <v>160</v>
      </c>
      <c r="AW13" s="8" t="s">
        <v>100</v>
      </c>
      <c r="AX13" s="8"/>
      <c r="AY13" s="8"/>
      <c r="AZ13" s="8" t="s">
        <v>97</v>
      </c>
      <c r="BA13" s="7" t="s">
        <v>132</v>
      </c>
      <c r="BB13" s="7" t="s">
        <v>111</v>
      </c>
      <c r="BC13" s="8" t="s">
        <v>151</v>
      </c>
      <c r="BD13" s="8" t="s">
        <v>91</v>
      </c>
      <c r="BE13" s="8" t="s">
        <v>148</v>
      </c>
      <c r="BF13" s="8" t="s">
        <v>100</v>
      </c>
      <c r="BG13" s="8" t="s">
        <v>147</v>
      </c>
      <c r="BH13" s="8" t="s">
        <v>91</v>
      </c>
      <c r="BI13" s="8" t="s">
        <v>150</v>
      </c>
      <c r="BJ13" s="8" t="s">
        <v>100</v>
      </c>
      <c r="BK13" s="8" t="s">
        <v>149</v>
      </c>
      <c r="BL13" s="8" t="s">
        <v>91</v>
      </c>
      <c r="BM13" s="7" t="s">
        <v>98</v>
      </c>
      <c r="BN13" s="8" t="s">
        <v>154</v>
      </c>
      <c r="BO13" s="8" t="s">
        <v>91</v>
      </c>
      <c r="BP13" s="8" t="s">
        <v>153</v>
      </c>
      <c r="BQ13" s="8" t="s">
        <v>100</v>
      </c>
      <c r="BR13" s="8" t="s">
        <v>152</v>
      </c>
      <c r="BS13" s="8" t="s">
        <v>91</v>
      </c>
      <c r="BT13" s="8" t="s">
        <v>155</v>
      </c>
      <c r="BU13" s="8" t="s">
        <v>100</v>
      </c>
      <c r="BV13" s="8" t="s">
        <v>156</v>
      </c>
      <c r="BW13" s="8" t="s">
        <v>91</v>
      </c>
      <c r="BX13" s="7" t="s">
        <v>105</v>
      </c>
      <c r="BY13" s="8" t="s">
        <v>146</v>
      </c>
      <c r="BZ13" s="8" t="s">
        <v>100</v>
      </c>
      <c r="CA13" s="8" t="s">
        <v>145</v>
      </c>
      <c r="CB13" s="8" t="s">
        <v>91</v>
      </c>
      <c r="CC13" s="8" t="s">
        <v>144</v>
      </c>
      <c r="CD13" s="8" t="s">
        <v>100</v>
      </c>
      <c r="CE13" s="8" t="s">
        <v>143</v>
      </c>
      <c r="CF13" s="8" t="s">
        <v>91</v>
      </c>
      <c r="CG13" s="8" t="s">
        <v>142</v>
      </c>
      <c r="CH13" s="8" t="s">
        <v>100</v>
      </c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</row>
    <row r="14" spans="1:106" ht="14.25" customHeight="1" x14ac:dyDescent="0.25">
      <c r="A14" s="6" t="s">
        <v>170</v>
      </c>
      <c r="B14" s="6" t="s">
        <v>87</v>
      </c>
      <c r="C14" s="7" t="s">
        <v>88</v>
      </c>
      <c r="D14" s="7" t="s">
        <v>89</v>
      </c>
      <c r="E14" s="8" t="s">
        <v>90</v>
      </c>
      <c r="F14" s="8" t="s">
        <v>91</v>
      </c>
      <c r="G14" s="8" t="s">
        <v>92</v>
      </c>
      <c r="H14" s="8" t="s">
        <v>91</v>
      </c>
      <c r="I14" s="8" t="s">
        <v>93</v>
      </c>
      <c r="J14" s="8" t="s">
        <v>91</v>
      </c>
      <c r="K14" s="8" t="s">
        <v>94</v>
      </c>
      <c r="L14" s="8" t="s">
        <v>91</v>
      </c>
      <c r="M14" s="8" t="s">
        <v>95</v>
      </c>
      <c r="N14" s="8" t="s">
        <v>91</v>
      </c>
      <c r="O14" s="8" t="s">
        <v>96</v>
      </c>
      <c r="P14" s="8" t="s">
        <v>91</v>
      </c>
      <c r="Q14" s="8" t="s">
        <v>97</v>
      </c>
      <c r="R14" s="7" t="s">
        <v>88</v>
      </c>
      <c r="S14" s="7" t="s">
        <v>98</v>
      </c>
      <c r="T14" s="8" t="s">
        <v>152</v>
      </c>
      <c r="U14" s="8" t="s">
        <v>91</v>
      </c>
      <c r="V14" s="8" t="s">
        <v>155</v>
      </c>
      <c r="W14" s="8" t="s">
        <v>100</v>
      </c>
      <c r="X14" s="8" t="s">
        <v>156</v>
      </c>
      <c r="Y14" s="8" t="s">
        <v>91</v>
      </c>
      <c r="Z14" s="8" t="s">
        <v>153</v>
      </c>
      <c r="AA14" s="8" t="s">
        <v>100</v>
      </c>
      <c r="AB14" s="8" t="s">
        <v>154</v>
      </c>
      <c r="AC14" s="8" t="s">
        <v>91</v>
      </c>
      <c r="AD14" s="7" t="s">
        <v>105</v>
      </c>
      <c r="AE14" s="8" t="s">
        <v>144</v>
      </c>
      <c r="AF14" s="8" t="s">
        <v>100</v>
      </c>
      <c r="AG14" s="8" t="s">
        <v>143</v>
      </c>
      <c r="AH14" s="8" t="s">
        <v>91</v>
      </c>
      <c r="AI14" s="8" t="s">
        <v>142</v>
      </c>
      <c r="AJ14" s="8" t="s">
        <v>100</v>
      </c>
      <c r="AK14" s="8" t="s">
        <v>145</v>
      </c>
      <c r="AL14" s="8" t="s">
        <v>91</v>
      </c>
      <c r="AM14" s="8" t="s">
        <v>146</v>
      </c>
      <c r="AN14" s="8" t="s">
        <v>100</v>
      </c>
      <c r="AO14" s="7" t="s">
        <v>111</v>
      </c>
      <c r="AP14" s="8" t="s">
        <v>147</v>
      </c>
      <c r="AQ14" s="8" t="s">
        <v>91</v>
      </c>
      <c r="AR14" s="8" t="s">
        <v>148</v>
      </c>
      <c r="AS14" s="8" t="s">
        <v>100</v>
      </c>
      <c r="AT14" s="8" t="s">
        <v>151</v>
      </c>
      <c r="AU14" s="8" t="s">
        <v>91</v>
      </c>
      <c r="AV14" s="8" t="s">
        <v>150</v>
      </c>
      <c r="AW14" s="8" t="s">
        <v>100</v>
      </c>
      <c r="AX14" s="8" t="s">
        <v>149</v>
      </c>
      <c r="AY14" s="8" t="s">
        <v>91</v>
      </c>
      <c r="AZ14" s="8" t="s">
        <v>117</v>
      </c>
      <c r="BA14" s="7" t="s">
        <v>89</v>
      </c>
      <c r="BB14" s="7" t="s">
        <v>105</v>
      </c>
      <c r="BC14" s="8" t="s">
        <v>167</v>
      </c>
      <c r="BD14" s="8" t="s">
        <v>91</v>
      </c>
      <c r="BE14" s="8" t="s">
        <v>168</v>
      </c>
      <c r="BF14" s="8" t="s">
        <v>100</v>
      </c>
      <c r="BG14" s="8" t="s">
        <v>165</v>
      </c>
      <c r="BH14" s="8" t="s">
        <v>91</v>
      </c>
      <c r="BI14" s="8" t="s">
        <v>166</v>
      </c>
      <c r="BJ14" s="8" t="s">
        <v>100</v>
      </c>
      <c r="BK14" s="8"/>
      <c r="BL14" s="8"/>
      <c r="BM14" s="7" t="s">
        <v>111</v>
      </c>
      <c r="BN14" s="8" t="s">
        <v>157</v>
      </c>
      <c r="BO14" s="8" t="s">
        <v>91</v>
      </c>
      <c r="BP14" s="8" t="s">
        <v>160</v>
      </c>
      <c r="BQ14" s="8" t="s">
        <v>100</v>
      </c>
      <c r="BR14" s="8" t="s">
        <v>159</v>
      </c>
      <c r="BS14" s="8" t="s">
        <v>91</v>
      </c>
      <c r="BT14" s="8" t="s">
        <v>158</v>
      </c>
      <c r="BU14" s="8" t="s">
        <v>100</v>
      </c>
      <c r="BV14" s="8"/>
      <c r="BW14" s="8"/>
      <c r="BX14" s="7" t="s">
        <v>98</v>
      </c>
      <c r="BY14" s="8" t="s">
        <v>163</v>
      </c>
      <c r="BZ14" s="8" t="s">
        <v>91</v>
      </c>
      <c r="CA14" s="8" t="s">
        <v>164</v>
      </c>
      <c r="CB14" s="8" t="s">
        <v>100</v>
      </c>
      <c r="CC14" s="8" t="s">
        <v>161</v>
      </c>
      <c r="CD14" s="8" t="s">
        <v>91</v>
      </c>
      <c r="CE14" s="8" t="s">
        <v>162</v>
      </c>
      <c r="CF14" s="8" t="s">
        <v>100</v>
      </c>
      <c r="CG14" s="8"/>
      <c r="CH14" s="8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</row>
    <row r="15" spans="1:106" ht="14.25" customHeight="1" x14ac:dyDescent="0.25">
      <c r="A15" s="6" t="s">
        <v>171</v>
      </c>
      <c r="B15" s="6" t="s">
        <v>131</v>
      </c>
      <c r="C15" s="7" t="s">
        <v>132</v>
      </c>
      <c r="D15" s="7" t="s">
        <v>89</v>
      </c>
      <c r="E15" s="8" t="s">
        <v>90</v>
      </c>
      <c r="F15" s="8" t="s">
        <v>91</v>
      </c>
      <c r="G15" s="8" t="s">
        <v>92</v>
      </c>
      <c r="H15" s="8" t="s">
        <v>91</v>
      </c>
      <c r="I15" s="8" t="s">
        <v>93</v>
      </c>
      <c r="J15" s="8" t="s">
        <v>91</v>
      </c>
      <c r="K15" s="8" t="s">
        <v>94</v>
      </c>
      <c r="L15" s="8" t="s">
        <v>91</v>
      </c>
      <c r="M15" s="8" t="s">
        <v>95</v>
      </c>
      <c r="N15" s="8" t="s">
        <v>91</v>
      </c>
      <c r="O15" s="8" t="s">
        <v>96</v>
      </c>
      <c r="P15" s="8" t="s">
        <v>91</v>
      </c>
      <c r="Q15" s="8" t="s">
        <v>117</v>
      </c>
      <c r="R15" s="7" t="s">
        <v>132</v>
      </c>
      <c r="S15" s="7" t="s">
        <v>111</v>
      </c>
      <c r="T15" s="8" t="s">
        <v>157</v>
      </c>
      <c r="U15" s="8" t="s">
        <v>91</v>
      </c>
      <c r="V15" s="8" t="s">
        <v>158</v>
      </c>
      <c r="W15" s="8" t="s">
        <v>100</v>
      </c>
      <c r="X15" s="8" t="s">
        <v>159</v>
      </c>
      <c r="Y15" s="8" t="s">
        <v>91</v>
      </c>
      <c r="Z15" s="8" t="s">
        <v>160</v>
      </c>
      <c r="AA15" s="8" t="s">
        <v>100</v>
      </c>
      <c r="AB15" s="8"/>
      <c r="AC15" s="8"/>
      <c r="AD15" s="7" t="s">
        <v>98</v>
      </c>
      <c r="AE15" s="8" t="s">
        <v>161</v>
      </c>
      <c r="AF15" s="8" t="s">
        <v>91</v>
      </c>
      <c r="AG15" s="8" t="s">
        <v>162</v>
      </c>
      <c r="AH15" s="8" t="s">
        <v>100</v>
      </c>
      <c r="AI15" s="8" t="s">
        <v>163</v>
      </c>
      <c r="AJ15" s="8" t="s">
        <v>91</v>
      </c>
      <c r="AK15" s="8" t="s">
        <v>164</v>
      </c>
      <c r="AL15" s="8" t="s">
        <v>100</v>
      </c>
      <c r="AM15" s="8"/>
      <c r="AN15" s="8"/>
      <c r="AO15" s="7" t="s">
        <v>105</v>
      </c>
      <c r="AP15" s="8" t="s">
        <v>167</v>
      </c>
      <c r="AQ15" s="8" t="s">
        <v>91</v>
      </c>
      <c r="AR15" s="8" t="s">
        <v>166</v>
      </c>
      <c r="AS15" s="8" t="s">
        <v>100</v>
      </c>
      <c r="AT15" s="8" t="s">
        <v>165</v>
      </c>
      <c r="AU15" s="8" t="s">
        <v>91</v>
      </c>
      <c r="AV15" s="8" t="s">
        <v>168</v>
      </c>
      <c r="AW15" s="8" t="s">
        <v>100</v>
      </c>
      <c r="AX15" s="8"/>
      <c r="AY15" s="8"/>
      <c r="AZ15" s="8" t="s">
        <v>97</v>
      </c>
      <c r="BA15" s="7" t="s">
        <v>89</v>
      </c>
      <c r="BB15" s="7" t="s">
        <v>105</v>
      </c>
      <c r="BC15" s="8" t="s">
        <v>146</v>
      </c>
      <c r="BD15" s="8" t="s">
        <v>100</v>
      </c>
      <c r="BE15" s="8" t="s">
        <v>143</v>
      </c>
      <c r="BF15" s="8" t="s">
        <v>91</v>
      </c>
      <c r="BG15" s="8" t="s">
        <v>144</v>
      </c>
      <c r="BH15" s="8" t="s">
        <v>100</v>
      </c>
      <c r="BI15" s="8" t="s">
        <v>145</v>
      </c>
      <c r="BJ15" s="8" t="s">
        <v>91</v>
      </c>
      <c r="BK15" s="8" t="s">
        <v>142</v>
      </c>
      <c r="BL15" s="8" t="s">
        <v>100</v>
      </c>
      <c r="BM15" s="7" t="s">
        <v>111</v>
      </c>
      <c r="BN15" s="8" t="s">
        <v>149</v>
      </c>
      <c r="BO15" s="8" t="s">
        <v>91</v>
      </c>
      <c r="BP15" s="8" t="s">
        <v>150</v>
      </c>
      <c r="BQ15" s="8" t="s">
        <v>100</v>
      </c>
      <c r="BR15" s="8" t="s">
        <v>151</v>
      </c>
      <c r="BS15" s="8" t="s">
        <v>91</v>
      </c>
      <c r="BT15" s="8" t="s">
        <v>148</v>
      </c>
      <c r="BU15" s="8" t="s">
        <v>100</v>
      </c>
      <c r="BV15" s="8" t="s">
        <v>147</v>
      </c>
      <c r="BW15" s="8" t="s">
        <v>91</v>
      </c>
      <c r="BX15" s="7" t="s">
        <v>98</v>
      </c>
      <c r="BY15" s="8" t="s">
        <v>156</v>
      </c>
      <c r="BZ15" s="8" t="s">
        <v>91</v>
      </c>
      <c r="CA15" s="8" t="s">
        <v>155</v>
      </c>
      <c r="CB15" s="8" t="s">
        <v>100</v>
      </c>
      <c r="CC15" s="8" t="s">
        <v>154</v>
      </c>
      <c r="CD15" s="8" t="s">
        <v>91</v>
      </c>
      <c r="CE15" s="8" t="s">
        <v>153</v>
      </c>
      <c r="CF15" s="8" t="s">
        <v>100</v>
      </c>
      <c r="CG15" s="8" t="s">
        <v>152</v>
      </c>
      <c r="CH15" s="8" t="s">
        <v>91</v>
      </c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</row>
    <row r="16" spans="1:106" ht="14.25" customHeight="1" x14ac:dyDescent="0.25">
      <c r="A16" s="6" t="s">
        <v>172</v>
      </c>
      <c r="B16" s="6" t="s">
        <v>87</v>
      </c>
      <c r="C16" s="7" t="s">
        <v>132</v>
      </c>
      <c r="D16" s="7" t="s">
        <v>88</v>
      </c>
      <c r="E16" s="8" t="s">
        <v>90</v>
      </c>
      <c r="F16" s="8" t="s">
        <v>91</v>
      </c>
      <c r="G16" s="8" t="s">
        <v>92</v>
      </c>
      <c r="H16" s="8" t="s">
        <v>91</v>
      </c>
      <c r="I16" s="8" t="s">
        <v>93</v>
      </c>
      <c r="J16" s="8" t="s">
        <v>91</v>
      </c>
      <c r="K16" s="8" t="s">
        <v>94</v>
      </c>
      <c r="L16" s="8" t="s">
        <v>91</v>
      </c>
      <c r="M16" s="8" t="s">
        <v>95</v>
      </c>
      <c r="N16" s="8" t="s">
        <v>91</v>
      </c>
      <c r="O16" s="8" t="s">
        <v>96</v>
      </c>
      <c r="P16" s="8" t="s">
        <v>91</v>
      </c>
      <c r="Q16" s="8" t="s">
        <v>97</v>
      </c>
      <c r="R16" s="7" t="s">
        <v>132</v>
      </c>
      <c r="S16" s="7" t="s">
        <v>111</v>
      </c>
      <c r="T16" s="8" t="s">
        <v>149</v>
      </c>
      <c r="U16" s="8" t="s">
        <v>91</v>
      </c>
      <c r="V16" s="8" t="s">
        <v>148</v>
      </c>
      <c r="W16" s="8" t="s">
        <v>100</v>
      </c>
      <c r="X16" s="8" t="s">
        <v>147</v>
      </c>
      <c r="Y16" s="8" t="s">
        <v>91</v>
      </c>
      <c r="Z16" s="8" t="s">
        <v>150</v>
      </c>
      <c r="AA16" s="8" t="s">
        <v>100</v>
      </c>
      <c r="AB16" s="8" t="s">
        <v>151</v>
      </c>
      <c r="AC16" s="8" t="s">
        <v>91</v>
      </c>
      <c r="AD16" s="7" t="s">
        <v>98</v>
      </c>
      <c r="AE16" s="8" t="s">
        <v>154</v>
      </c>
      <c r="AF16" s="8" t="s">
        <v>91</v>
      </c>
      <c r="AG16" s="8" t="s">
        <v>155</v>
      </c>
      <c r="AH16" s="8" t="s">
        <v>100</v>
      </c>
      <c r="AI16" s="8" t="s">
        <v>152</v>
      </c>
      <c r="AJ16" s="8" t="s">
        <v>91</v>
      </c>
      <c r="AK16" s="8" t="s">
        <v>153</v>
      </c>
      <c r="AL16" s="8" t="s">
        <v>100</v>
      </c>
      <c r="AM16" s="8" t="s">
        <v>156</v>
      </c>
      <c r="AN16" s="8" t="s">
        <v>91</v>
      </c>
      <c r="AO16" s="7" t="s">
        <v>105</v>
      </c>
      <c r="AP16" s="8" t="s">
        <v>142</v>
      </c>
      <c r="AQ16" s="8" t="s">
        <v>100</v>
      </c>
      <c r="AR16" s="8" t="s">
        <v>143</v>
      </c>
      <c r="AS16" s="8" t="s">
        <v>91</v>
      </c>
      <c r="AT16" s="8" t="s">
        <v>146</v>
      </c>
      <c r="AU16" s="8" t="s">
        <v>100</v>
      </c>
      <c r="AV16" s="8" t="s">
        <v>145</v>
      </c>
      <c r="AW16" s="8" t="s">
        <v>91</v>
      </c>
      <c r="AX16" s="8" t="s">
        <v>144</v>
      </c>
      <c r="AY16" s="8" t="s">
        <v>100</v>
      </c>
      <c r="AZ16" s="8" t="s">
        <v>117</v>
      </c>
      <c r="BA16" s="7" t="s">
        <v>88</v>
      </c>
      <c r="BB16" s="7" t="s">
        <v>98</v>
      </c>
      <c r="BC16" s="8" t="s">
        <v>163</v>
      </c>
      <c r="BD16" s="8" t="s">
        <v>91</v>
      </c>
      <c r="BE16" s="8" t="s">
        <v>162</v>
      </c>
      <c r="BF16" s="8" t="s">
        <v>100</v>
      </c>
      <c r="BG16" s="8" t="s">
        <v>161</v>
      </c>
      <c r="BH16" s="8" t="s">
        <v>91</v>
      </c>
      <c r="BI16" s="8" t="s">
        <v>164</v>
      </c>
      <c r="BJ16" s="8" t="s">
        <v>100</v>
      </c>
      <c r="BK16" s="8"/>
      <c r="BL16" s="8"/>
      <c r="BM16" s="7" t="s">
        <v>105</v>
      </c>
      <c r="BN16" s="8" t="s">
        <v>167</v>
      </c>
      <c r="BO16" s="8" t="s">
        <v>91</v>
      </c>
      <c r="BP16" s="8" t="s">
        <v>166</v>
      </c>
      <c r="BQ16" s="8" t="s">
        <v>100</v>
      </c>
      <c r="BR16" s="8" t="s">
        <v>165</v>
      </c>
      <c r="BS16" s="8" t="s">
        <v>91</v>
      </c>
      <c r="BT16" s="8" t="s">
        <v>168</v>
      </c>
      <c r="BU16" s="8" t="s">
        <v>100</v>
      </c>
      <c r="BV16" s="8"/>
      <c r="BW16" s="8"/>
      <c r="BX16" s="7" t="s">
        <v>111</v>
      </c>
      <c r="BY16" s="8" t="s">
        <v>157</v>
      </c>
      <c r="BZ16" s="8" t="s">
        <v>91</v>
      </c>
      <c r="CA16" s="8" t="s">
        <v>158</v>
      </c>
      <c r="CB16" s="8" t="s">
        <v>100</v>
      </c>
      <c r="CC16" s="8" t="s">
        <v>159</v>
      </c>
      <c r="CD16" s="8" t="s">
        <v>91</v>
      </c>
      <c r="CE16" s="8" t="s">
        <v>160</v>
      </c>
      <c r="CF16" s="8" t="s">
        <v>100</v>
      </c>
      <c r="CG16" s="8"/>
      <c r="CH16" s="8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</row>
    <row r="17" spans="1:106" ht="14.25" customHeight="1" x14ac:dyDescent="0.25">
      <c r="A17" s="6" t="s">
        <v>173</v>
      </c>
      <c r="B17" s="6" t="s">
        <v>131</v>
      </c>
      <c r="C17" s="7" t="s">
        <v>89</v>
      </c>
      <c r="D17" s="7" t="s">
        <v>88</v>
      </c>
      <c r="E17" s="8" t="s">
        <v>90</v>
      </c>
      <c r="F17" s="8" t="s">
        <v>91</v>
      </c>
      <c r="G17" s="8" t="s">
        <v>92</v>
      </c>
      <c r="H17" s="8" t="s">
        <v>91</v>
      </c>
      <c r="I17" s="8" t="s">
        <v>93</v>
      </c>
      <c r="J17" s="8" t="s">
        <v>91</v>
      </c>
      <c r="K17" s="8" t="s">
        <v>94</v>
      </c>
      <c r="L17" s="8" t="s">
        <v>91</v>
      </c>
      <c r="M17" s="8" t="s">
        <v>95</v>
      </c>
      <c r="N17" s="8" t="s">
        <v>91</v>
      </c>
      <c r="O17" s="8" t="s">
        <v>96</v>
      </c>
      <c r="P17" s="8" t="s">
        <v>91</v>
      </c>
      <c r="Q17" s="8" t="s">
        <v>117</v>
      </c>
      <c r="R17" s="7" t="s">
        <v>89</v>
      </c>
      <c r="S17" s="7" t="s">
        <v>105</v>
      </c>
      <c r="T17" s="8" t="s">
        <v>167</v>
      </c>
      <c r="U17" s="8" t="s">
        <v>91</v>
      </c>
      <c r="V17" s="8" t="s">
        <v>166</v>
      </c>
      <c r="W17" s="8" t="s">
        <v>100</v>
      </c>
      <c r="X17" s="8" t="s">
        <v>165</v>
      </c>
      <c r="Y17" s="8" t="s">
        <v>91</v>
      </c>
      <c r="Z17" s="8" t="s">
        <v>168</v>
      </c>
      <c r="AA17" s="8" t="s">
        <v>100</v>
      </c>
      <c r="AB17" s="8"/>
      <c r="AC17" s="8"/>
      <c r="AD17" s="7" t="s">
        <v>111</v>
      </c>
      <c r="AE17" s="8" t="s">
        <v>157</v>
      </c>
      <c r="AF17" s="8" t="s">
        <v>91</v>
      </c>
      <c r="AG17" s="8" t="s">
        <v>158</v>
      </c>
      <c r="AH17" s="8" t="s">
        <v>100</v>
      </c>
      <c r="AI17" s="8" t="s">
        <v>159</v>
      </c>
      <c r="AJ17" s="8" t="s">
        <v>91</v>
      </c>
      <c r="AK17" s="8" t="s">
        <v>160</v>
      </c>
      <c r="AL17" s="8" t="s">
        <v>100</v>
      </c>
      <c r="AM17" s="8"/>
      <c r="AN17" s="8"/>
      <c r="AO17" s="7" t="s">
        <v>98</v>
      </c>
      <c r="AP17" s="8" t="s">
        <v>161</v>
      </c>
      <c r="AQ17" s="8" t="s">
        <v>91</v>
      </c>
      <c r="AR17" s="8" t="s">
        <v>162</v>
      </c>
      <c r="AS17" s="8" t="s">
        <v>100</v>
      </c>
      <c r="AT17" s="8" t="s">
        <v>163</v>
      </c>
      <c r="AU17" s="8" t="s">
        <v>91</v>
      </c>
      <c r="AV17" s="8" t="s">
        <v>164</v>
      </c>
      <c r="AW17" s="8" t="s">
        <v>100</v>
      </c>
      <c r="AX17" s="8"/>
      <c r="AY17" s="8"/>
      <c r="AZ17" s="8" t="s">
        <v>97</v>
      </c>
      <c r="BA17" s="7" t="s">
        <v>88</v>
      </c>
      <c r="BB17" s="7" t="s">
        <v>98</v>
      </c>
      <c r="BC17" s="8" t="s">
        <v>152</v>
      </c>
      <c r="BD17" s="8" t="s">
        <v>91</v>
      </c>
      <c r="BE17" s="8" t="s">
        <v>153</v>
      </c>
      <c r="BF17" s="8" t="s">
        <v>100</v>
      </c>
      <c r="BG17" s="8" t="s">
        <v>154</v>
      </c>
      <c r="BH17" s="8" t="s">
        <v>91</v>
      </c>
      <c r="BI17" s="8" t="s">
        <v>155</v>
      </c>
      <c r="BJ17" s="8" t="s">
        <v>100</v>
      </c>
      <c r="BK17" s="8" t="s">
        <v>156</v>
      </c>
      <c r="BL17" s="8" t="s">
        <v>91</v>
      </c>
      <c r="BM17" s="7" t="s">
        <v>105</v>
      </c>
      <c r="BN17" s="8" t="s">
        <v>146</v>
      </c>
      <c r="BO17" s="8" t="s">
        <v>100</v>
      </c>
      <c r="BP17" s="8" t="s">
        <v>145</v>
      </c>
      <c r="BQ17" s="8" t="s">
        <v>91</v>
      </c>
      <c r="BR17" s="8" t="s">
        <v>142</v>
      </c>
      <c r="BS17" s="8" t="s">
        <v>100</v>
      </c>
      <c r="BT17" s="8" t="s">
        <v>143</v>
      </c>
      <c r="BU17" s="8" t="s">
        <v>91</v>
      </c>
      <c r="BV17" s="8" t="s">
        <v>144</v>
      </c>
      <c r="BW17" s="8" t="s">
        <v>100</v>
      </c>
      <c r="BX17" s="7" t="s">
        <v>111</v>
      </c>
      <c r="BY17" s="8" t="s">
        <v>149</v>
      </c>
      <c r="BZ17" s="8" t="s">
        <v>91</v>
      </c>
      <c r="CA17" s="8" t="s">
        <v>148</v>
      </c>
      <c r="CB17" s="8" t="s">
        <v>100</v>
      </c>
      <c r="CC17" s="8" t="s">
        <v>147</v>
      </c>
      <c r="CD17" s="8" t="s">
        <v>91</v>
      </c>
      <c r="CE17" s="8" t="s">
        <v>150</v>
      </c>
      <c r="CF17" s="8" t="s">
        <v>100</v>
      </c>
      <c r="CG17" s="8" t="s">
        <v>151</v>
      </c>
      <c r="CH17" s="8" t="s">
        <v>91</v>
      </c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</row>
    <row r="18" spans="1:106" ht="14.25" customHeight="1" x14ac:dyDescent="0.25">
      <c r="A18" s="6" t="s">
        <v>174</v>
      </c>
      <c r="B18" s="6" t="s">
        <v>87</v>
      </c>
      <c r="C18" s="7" t="s">
        <v>89</v>
      </c>
      <c r="D18" s="7" t="s">
        <v>132</v>
      </c>
      <c r="E18" s="8" t="s">
        <v>90</v>
      </c>
      <c r="F18" s="8" t="s">
        <v>91</v>
      </c>
      <c r="G18" s="8" t="s">
        <v>92</v>
      </c>
      <c r="H18" s="8" t="s">
        <v>91</v>
      </c>
      <c r="I18" s="8" t="s">
        <v>93</v>
      </c>
      <c r="J18" s="8" t="s">
        <v>91</v>
      </c>
      <c r="K18" s="8" t="s">
        <v>94</v>
      </c>
      <c r="L18" s="8" t="s">
        <v>91</v>
      </c>
      <c r="M18" s="8" t="s">
        <v>95</v>
      </c>
      <c r="N18" s="8" t="s">
        <v>91</v>
      </c>
      <c r="O18" s="8" t="s">
        <v>96</v>
      </c>
      <c r="P18" s="8" t="s">
        <v>91</v>
      </c>
      <c r="Q18" s="8" t="s">
        <v>97</v>
      </c>
      <c r="R18" s="7" t="s">
        <v>89</v>
      </c>
      <c r="S18" s="7" t="s">
        <v>105</v>
      </c>
      <c r="T18" s="8" t="s">
        <v>146</v>
      </c>
      <c r="U18" s="8" t="s">
        <v>100</v>
      </c>
      <c r="V18" s="8" t="s">
        <v>143</v>
      </c>
      <c r="W18" s="8" t="s">
        <v>91</v>
      </c>
      <c r="X18" s="8" t="s">
        <v>144</v>
      </c>
      <c r="Y18" s="8" t="s">
        <v>100</v>
      </c>
      <c r="Z18" s="8" t="s">
        <v>145</v>
      </c>
      <c r="AA18" s="8" t="s">
        <v>91</v>
      </c>
      <c r="AB18" s="8" t="s">
        <v>142</v>
      </c>
      <c r="AC18" s="8" t="s">
        <v>100</v>
      </c>
      <c r="AD18" s="7" t="s">
        <v>111</v>
      </c>
      <c r="AE18" s="8" t="s">
        <v>149</v>
      </c>
      <c r="AF18" s="8" t="s">
        <v>91</v>
      </c>
      <c r="AG18" s="8" t="s">
        <v>150</v>
      </c>
      <c r="AH18" s="8" t="s">
        <v>100</v>
      </c>
      <c r="AI18" s="8" t="s">
        <v>151</v>
      </c>
      <c r="AJ18" s="8" t="s">
        <v>91</v>
      </c>
      <c r="AK18" s="8" t="s">
        <v>148</v>
      </c>
      <c r="AL18" s="8" t="s">
        <v>100</v>
      </c>
      <c r="AM18" s="8" t="s">
        <v>147</v>
      </c>
      <c r="AN18" s="8" t="s">
        <v>91</v>
      </c>
      <c r="AO18" s="7" t="s">
        <v>98</v>
      </c>
      <c r="AP18" s="8" t="s">
        <v>154</v>
      </c>
      <c r="AQ18" s="8" t="s">
        <v>91</v>
      </c>
      <c r="AR18" s="8" t="s">
        <v>155</v>
      </c>
      <c r="AS18" s="8" t="s">
        <v>100</v>
      </c>
      <c r="AT18" s="8" t="s">
        <v>156</v>
      </c>
      <c r="AU18" s="8" t="s">
        <v>91</v>
      </c>
      <c r="AV18" s="8" t="s">
        <v>153</v>
      </c>
      <c r="AW18" s="8" t="s">
        <v>100</v>
      </c>
      <c r="AX18" s="8" t="s">
        <v>152</v>
      </c>
      <c r="AY18" s="8" t="s">
        <v>91</v>
      </c>
      <c r="AZ18" s="8" t="s">
        <v>117</v>
      </c>
      <c r="BA18" s="7" t="s">
        <v>132</v>
      </c>
      <c r="BB18" s="7" t="s">
        <v>111</v>
      </c>
      <c r="BC18" s="8" t="s">
        <v>157</v>
      </c>
      <c r="BD18" s="8" t="s">
        <v>91</v>
      </c>
      <c r="BE18" s="8" t="s">
        <v>158</v>
      </c>
      <c r="BF18" s="8" t="s">
        <v>100</v>
      </c>
      <c r="BG18" s="8" t="s">
        <v>159</v>
      </c>
      <c r="BH18" s="8" t="s">
        <v>91</v>
      </c>
      <c r="BI18" s="8" t="s">
        <v>160</v>
      </c>
      <c r="BJ18" s="8" t="s">
        <v>100</v>
      </c>
      <c r="BK18" s="8"/>
      <c r="BL18" s="8"/>
      <c r="BM18" s="7" t="s">
        <v>98</v>
      </c>
      <c r="BN18" s="8" t="s">
        <v>161</v>
      </c>
      <c r="BO18" s="8" t="s">
        <v>91</v>
      </c>
      <c r="BP18" s="8" t="s">
        <v>162</v>
      </c>
      <c r="BQ18" s="8" t="s">
        <v>100</v>
      </c>
      <c r="BR18" s="8" t="s">
        <v>163</v>
      </c>
      <c r="BS18" s="8" t="s">
        <v>91</v>
      </c>
      <c r="BT18" s="8" t="s">
        <v>164</v>
      </c>
      <c r="BU18" s="8" t="s">
        <v>100</v>
      </c>
      <c r="BV18" s="8"/>
      <c r="BW18" s="8"/>
      <c r="BX18" s="7" t="s">
        <v>105</v>
      </c>
      <c r="BY18" s="8" t="s">
        <v>167</v>
      </c>
      <c r="BZ18" s="8" t="s">
        <v>91</v>
      </c>
      <c r="CA18" s="8" t="s">
        <v>166</v>
      </c>
      <c r="CB18" s="8" t="s">
        <v>100</v>
      </c>
      <c r="CC18" s="8" t="s">
        <v>165</v>
      </c>
      <c r="CD18" s="8" t="s">
        <v>91</v>
      </c>
      <c r="CE18" s="8" t="s">
        <v>168</v>
      </c>
      <c r="CF18" s="8" t="s">
        <v>100</v>
      </c>
      <c r="CG18" s="8"/>
      <c r="CH18" s="8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</row>
    <row r="19" spans="1:106" ht="14.25" customHeight="1" x14ac:dyDescent="0.25">
      <c r="A19" s="6" t="s">
        <v>175</v>
      </c>
      <c r="B19" s="6" t="s">
        <v>131</v>
      </c>
      <c r="C19" s="7" t="s">
        <v>88</v>
      </c>
      <c r="D19" s="7" t="s">
        <v>132</v>
      </c>
      <c r="E19" s="8" t="s">
        <v>90</v>
      </c>
      <c r="F19" s="8" t="s">
        <v>91</v>
      </c>
      <c r="G19" s="8" t="s">
        <v>92</v>
      </c>
      <c r="H19" s="8" t="s">
        <v>91</v>
      </c>
      <c r="I19" s="8" t="s">
        <v>93</v>
      </c>
      <c r="J19" s="8" t="s">
        <v>91</v>
      </c>
      <c r="K19" s="8" t="s">
        <v>94</v>
      </c>
      <c r="L19" s="8" t="s">
        <v>91</v>
      </c>
      <c r="M19" s="8" t="s">
        <v>95</v>
      </c>
      <c r="N19" s="8" t="s">
        <v>91</v>
      </c>
      <c r="O19" s="8" t="s">
        <v>96</v>
      </c>
      <c r="P19" s="8" t="s">
        <v>91</v>
      </c>
      <c r="Q19" s="8" t="s">
        <v>117</v>
      </c>
      <c r="R19" s="7" t="s">
        <v>88</v>
      </c>
      <c r="S19" s="7" t="s">
        <v>98</v>
      </c>
      <c r="T19" s="8" t="s">
        <v>161</v>
      </c>
      <c r="U19" s="8" t="s">
        <v>91</v>
      </c>
      <c r="V19" s="8" t="s">
        <v>164</v>
      </c>
      <c r="W19" s="8" t="s">
        <v>100</v>
      </c>
      <c r="X19" s="8" t="s">
        <v>163</v>
      </c>
      <c r="Y19" s="8" t="s">
        <v>91</v>
      </c>
      <c r="Z19" s="8" t="s">
        <v>162</v>
      </c>
      <c r="AA19" s="8" t="s">
        <v>100</v>
      </c>
      <c r="AB19" s="8"/>
      <c r="AC19" s="8"/>
      <c r="AD19" s="7" t="s">
        <v>105</v>
      </c>
      <c r="AE19" s="8" t="s">
        <v>165</v>
      </c>
      <c r="AF19" s="8" t="s">
        <v>91</v>
      </c>
      <c r="AG19" s="8" t="s">
        <v>168</v>
      </c>
      <c r="AH19" s="8" t="s">
        <v>100</v>
      </c>
      <c r="AI19" s="8" t="s">
        <v>167</v>
      </c>
      <c r="AJ19" s="8" t="s">
        <v>91</v>
      </c>
      <c r="AK19" s="8" t="s">
        <v>166</v>
      </c>
      <c r="AL19" s="8" t="s">
        <v>100</v>
      </c>
      <c r="AM19" s="8"/>
      <c r="AN19" s="8"/>
      <c r="AO19" s="7" t="s">
        <v>111</v>
      </c>
      <c r="AP19" s="8" t="s">
        <v>159</v>
      </c>
      <c r="AQ19" s="8" t="s">
        <v>91</v>
      </c>
      <c r="AR19" s="8" t="s">
        <v>160</v>
      </c>
      <c r="AS19" s="8" t="s">
        <v>100</v>
      </c>
      <c r="AT19" s="8" t="s">
        <v>157</v>
      </c>
      <c r="AU19" s="8" t="s">
        <v>91</v>
      </c>
      <c r="AV19" s="8" t="s">
        <v>158</v>
      </c>
      <c r="AW19" s="8" t="s">
        <v>100</v>
      </c>
      <c r="AX19" s="8"/>
      <c r="AY19" s="8"/>
      <c r="AZ19" s="8" t="s">
        <v>97</v>
      </c>
      <c r="BA19" s="7" t="s">
        <v>132</v>
      </c>
      <c r="BB19" s="7" t="s">
        <v>111</v>
      </c>
      <c r="BC19" s="8" t="s">
        <v>151</v>
      </c>
      <c r="BD19" s="8" t="s">
        <v>91</v>
      </c>
      <c r="BE19" s="8" t="s">
        <v>150</v>
      </c>
      <c r="BF19" s="8" t="s">
        <v>100</v>
      </c>
      <c r="BG19" s="8" t="s">
        <v>149</v>
      </c>
      <c r="BH19" s="8" t="s">
        <v>91</v>
      </c>
      <c r="BI19" s="8" t="s">
        <v>148</v>
      </c>
      <c r="BJ19" s="8" t="s">
        <v>100</v>
      </c>
      <c r="BK19" s="8" t="s">
        <v>147</v>
      </c>
      <c r="BL19" s="8" t="s">
        <v>91</v>
      </c>
      <c r="BM19" s="7" t="s">
        <v>98</v>
      </c>
      <c r="BN19" s="8" t="s">
        <v>154</v>
      </c>
      <c r="BO19" s="8" t="s">
        <v>91</v>
      </c>
      <c r="BP19" s="8" t="s">
        <v>153</v>
      </c>
      <c r="BQ19" s="8" t="s">
        <v>100</v>
      </c>
      <c r="BR19" s="8" t="s">
        <v>152</v>
      </c>
      <c r="BS19" s="8" t="s">
        <v>91</v>
      </c>
      <c r="BT19" s="8" t="s">
        <v>155</v>
      </c>
      <c r="BU19" s="8" t="s">
        <v>100</v>
      </c>
      <c r="BV19" s="8" t="s">
        <v>156</v>
      </c>
      <c r="BW19" s="8" t="s">
        <v>91</v>
      </c>
      <c r="BX19" s="7" t="s">
        <v>105</v>
      </c>
      <c r="BY19" s="8" t="s">
        <v>146</v>
      </c>
      <c r="BZ19" s="8" t="s">
        <v>100</v>
      </c>
      <c r="CA19" s="8" t="s">
        <v>143</v>
      </c>
      <c r="CB19" s="8" t="s">
        <v>91</v>
      </c>
      <c r="CC19" s="8" t="s">
        <v>142</v>
      </c>
      <c r="CD19" s="8" t="s">
        <v>100</v>
      </c>
      <c r="CE19" s="8" t="s">
        <v>145</v>
      </c>
      <c r="CF19" s="8" t="s">
        <v>91</v>
      </c>
      <c r="CG19" s="8" t="s">
        <v>144</v>
      </c>
      <c r="CH19" s="8" t="s">
        <v>100</v>
      </c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</row>
    <row r="20" spans="1:106" ht="14.25" customHeight="1" x14ac:dyDescent="0.25">
      <c r="A20" s="6" t="s">
        <v>176</v>
      </c>
      <c r="B20" s="6" t="s">
        <v>87</v>
      </c>
      <c r="C20" s="7" t="s">
        <v>88</v>
      </c>
      <c r="D20" s="7" t="s">
        <v>89</v>
      </c>
      <c r="E20" s="8" t="s">
        <v>90</v>
      </c>
      <c r="F20" s="8" t="s">
        <v>91</v>
      </c>
      <c r="G20" s="8" t="s">
        <v>92</v>
      </c>
      <c r="H20" s="8" t="s">
        <v>91</v>
      </c>
      <c r="I20" s="8" t="s">
        <v>93</v>
      </c>
      <c r="J20" s="8" t="s">
        <v>91</v>
      </c>
      <c r="K20" s="8" t="s">
        <v>94</v>
      </c>
      <c r="L20" s="8" t="s">
        <v>91</v>
      </c>
      <c r="M20" s="8" t="s">
        <v>95</v>
      </c>
      <c r="N20" s="8" t="s">
        <v>91</v>
      </c>
      <c r="O20" s="8" t="s">
        <v>96</v>
      </c>
      <c r="P20" s="8" t="s">
        <v>91</v>
      </c>
      <c r="Q20" s="8" t="s">
        <v>97</v>
      </c>
      <c r="R20" s="7" t="s">
        <v>88</v>
      </c>
      <c r="S20" s="7" t="s">
        <v>98</v>
      </c>
      <c r="T20" s="8" t="s">
        <v>152</v>
      </c>
      <c r="U20" s="8" t="s">
        <v>91</v>
      </c>
      <c r="V20" s="8" t="s">
        <v>155</v>
      </c>
      <c r="W20" s="8" t="s">
        <v>100</v>
      </c>
      <c r="X20" s="8" t="s">
        <v>156</v>
      </c>
      <c r="Y20" s="8" t="s">
        <v>91</v>
      </c>
      <c r="Z20" s="8" t="s">
        <v>153</v>
      </c>
      <c r="AA20" s="8" t="s">
        <v>100</v>
      </c>
      <c r="AB20" s="8" t="s">
        <v>154</v>
      </c>
      <c r="AC20" s="8" t="s">
        <v>91</v>
      </c>
      <c r="AD20" s="7" t="s">
        <v>105</v>
      </c>
      <c r="AE20" s="8" t="s">
        <v>146</v>
      </c>
      <c r="AF20" s="8" t="s">
        <v>100</v>
      </c>
      <c r="AG20" s="8" t="s">
        <v>145</v>
      </c>
      <c r="AH20" s="8" t="s">
        <v>91</v>
      </c>
      <c r="AI20" s="8" t="s">
        <v>142</v>
      </c>
      <c r="AJ20" s="8" t="s">
        <v>100</v>
      </c>
      <c r="AK20" s="8" t="s">
        <v>143</v>
      </c>
      <c r="AL20" s="8" t="s">
        <v>91</v>
      </c>
      <c r="AM20" s="8" t="s">
        <v>144</v>
      </c>
      <c r="AN20" s="8" t="s">
        <v>100</v>
      </c>
      <c r="AO20" s="7" t="s">
        <v>111</v>
      </c>
      <c r="AP20" s="8" t="s">
        <v>147</v>
      </c>
      <c r="AQ20" s="8" t="s">
        <v>91</v>
      </c>
      <c r="AR20" s="8" t="s">
        <v>150</v>
      </c>
      <c r="AS20" s="8" t="s">
        <v>100</v>
      </c>
      <c r="AT20" s="8" t="s">
        <v>151</v>
      </c>
      <c r="AU20" s="8" t="s">
        <v>91</v>
      </c>
      <c r="AV20" s="8" t="s">
        <v>148</v>
      </c>
      <c r="AW20" s="8" t="s">
        <v>100</v>
      </c>
      <c r="AX20" s="8" t="s">
        <v>149</v>
      </c>
      <c r="AY20" s="8" t="s">
        <v>91</v>
      </c>
      <c r="AZ20" s="8" t="s">
        <v>117</v>
      </c>
      <c r="BA20" s="7" t="s">
        <v>89</v>
      </c>
      <c r="BB20" s="7" t="s">
        <v>105</v>
      </c>
      <c r="BC20" s="8" t="s">
        <v>167</v>
      </c>
      <c r="BD20" s="8" t="s">
        <v>91</v>
      </c>
      <c r="BE20" s="8" t="s">
        <v>168</v>
      </c>
      <c r="BF20" s="8" t="s">
        <v>100</v>
      </c>
      <c r="BG20" s="8" t="s">
        <v>165</v>
      </c>
      <c r="BH20" s="8" t="s">
        <v>91</v>
      </c>
      <c r="BI20" s="8" t="s">
        <v>166</v>
      </c>
      <c r="BJ20" s="8" t="s">
        <v>100</v>
      </c>
      <c r="BK20" s="8"/>
      <c r="BL20" s="8"/>
      <c r="BM20" s="7" t="s">
        <v>111</v>
      </c>
      <c r="BN20" s="8" t="s">
        <v>157</v>
      </c>
      <c r="BO20" s="8" t="s">
        <v>91</v>
      </c>
      <c r="BP20" s="8" t="s">
        <v>158</v>
      </c>
      <c r="BQ20" s="8" t="s">
        <v>100</v>
      </c>
      <c r="BR20" s="8" t="s">
        <v>159</v>
      </c>
      <c r="BS20" s="8" t="s">
        <v>91</v>
      </c>
      <c r="BT20" s="8" t="s">
        <v>160</v>
      </c>
      <c r="BU20" s="8" t="s">
        <v>100</v>
      </c>
      <c r="BV20" s="8"/>
      <c r="BW20" s="8"/>
      <c r="BX20" s="7" t="s">
        <v>98</v>
      </c>
      <c r="BY20" s="8" t="s">
        <v>161</v>
      </c>
      <c r="BZ20" s="8" t="s">
        <v>91</v>
      </c>
      <c r="CA20" s="8" t="s">
        <v>162</v>
      </c>
      <c r="CB20" s="8" t="s">
        <v>100</v>
      </c>
      <c r="CC20" s="8" t="s">
        <v>163</v>
      </c>
      <c r="CD20" s="8" t="s">
        <v>91</v>
      </c>
      <c r="CE20" s="8" t="s">
        <v>164</v>
      </c>
      <c r="CF20" s="8" t="s">
        <v>100</v>
      </c>
      <c r="CG20" s="8"/>
      <c r="CH20" s="8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</row>
    <row r="21" spans="1:106" ht="14.25" customHeight="1" x14ac:dyDescent="0.25">
      <c r="A21" s="6" t="s">
        <v>177</v>
      </c>
      <c r="B21" s="6" t="s">
        <v>131</v>
      </c>
      <c r="C21" s="7" t="s">
        <v>132</v>
      </c>
      <c r="D21" s="7" t="s">
        <v>89</v>
      </c>
      <c r="E21" s="8" t="s">
        <v>90</v>
      </c>
      <c r="F21" s="8" t="s">
        <v>91</v>
      </c>
      <c r="G21" s="8" t="s">
        <v>92</v>
      </c>
      <c r="H21" s="8" t="s">
        <v>91</v>
      </c>
      <c r="I21" s="8" t="s">
        <v>93</v>
      </c>
      <c r="J21" s="8" t="s">
        <v>91</v>
      </c>
      <c r="K21" s="8" t="s">
        <v>94</v>
      </c>
      <c r="L21" s="8" t="s">
        <v>91</v>
      </c>
      <c r="M21" s="8" t="s">
        <v>95</v>
      </c>
      <c r="N21" s="8" t="s">
        <v>91</v>
      </c>
      <c r="O21" s="8" t="s">
        <v>96</v>
      </c>
      <c r="P21" s="8" t="s">
        <v>91</v>
      </c>
      <c r="Q21" s="8" t="s">
        <v>117</v>
      </c>
      <c r="R21" s="7" t="s">
        <v>132</v>
      </c>
      <c r="S21" s="7" t="s">
        <v>111</v>
      </c>
      <c r="T21" s="8" t="s">
        <v>157</v>
      </c>
      <c r="U21" s="8" t="s">
        <v>91</v>
      </c>
      <c r="V21" s="8" t="s">
        <v>160</v>
      </c>
      <c r="W21" s="8" t="s">
        <v>100</v>
      </c>
      <c r="X21" s="8" t="s">
        <v>159</v>
      </c>
      <c r="Y21" s="8" t="s">
        <v>91</v>
      </c>
      <c r="Z21" s="8" t="s">
        <v>158</v>
      </c>
      <c r="AA21" s="8" t="s">
        <v>100</v>
      </c>
      <c r="AB21" s="8"/>
      <c r="AC21" s="8"/>
      <c r="AD21" s="7" t="s">
        <v>98</v>
      </c>
      <c r="AE21" s="8" t="s">
        <v>163</v>
      </c>
      <c r="AF21" s="8" t="s">
        <v>91</v>
      </c>
      <c r="AG21" s="8" t="s">
        <v>162</v>
      </c>
      <c r="AH21" s="8" t="s">
        <v>100</v>
      </c>
      <c r="AI21" s="8" t="s">
        <v>161</v>
      </c>
      <c r="AJ21" s="8" t="s">
        <v>91</v>
      </c>
      <c r="AK21" s="8" t="s">
        <v>164</v>
      </c>
      <c r="AL21" s="8" t="s">
        <v>100</v>
      </c>
      <c r="AM21" s="8"/>
      <c r="AN21" s="8"/>
      <c r="AO21" s="7" t="s">
        <v>105</v>
      </c>
      <c r="AP21" s="8" t="s">
        <v>165</v>
      </c>
      <c r="AQ21" s="8" t="s">
        <v>91</v>
      </c>
      <c r="AR21" s="8" t="s">
        <v>168</v>
      </c>
      <c r="AS21" s="8" t="s">
        <v>100</v>
      </c>
      <c r="AT21" s="8" t="s">
        <v>167</v>
      </c>
      <c r="AU21" s="8" t="s">
        <v>91</v>
      </c>
      <c r="AV21" s="8" t="s">
        <v>166</v>
      </c>
      <c r="AW21" s="8" t="s">
        <v>100</v>
      </c>
      <c r="AX21" s="8"/>
      <c r="AY21" s="8"/>
      <c r="AZ21" s="8" t="s">
        <v>97</v>
      </c>
      <c r="BA21" s="7" t="s">
        <v>89</v>
      </c>
      <c r="BB21" s="7" t="s">
        <v>105</v>
      </c>
      <c r="BC21" s="8" t="s">
        <v>142</v>
      </c>
      <c r="BD21" s="8" t="s">
        <v>100</v>
      </c>
      <c r="BE21" s="8" t="s">
        <v>145</v>
      </c>
      <c r="BF21" s="8" t="s">
        <v>91</v>
      </c>
      <c r="BG21" s="8" t="s">
        <v>144</v>
      </c>
      <c r="BH21" s="8" t="s">
        <v>100</v>
      </c>
      <c r="BI21" s="8" t="s">
        <v>143</v>
      </c>
      <c r="BJ21" s="8" t="s">
        <v>91</v>
      </c>
      <c r="BK21" s="8" t="s">
        <v>146</v>
      </c>
      <c r="BL21" s="8" t="s">
        <v>100</v>
      </c>
      <c r="BM21" s="7" t="s">
        <v>111</v>
      </c>
      <c r="BN21" s="8" t="s">
        <v>147</v>
      </c>
      <c r="BO21" s="8" t="s">
        <v>91</v>
      </c>
      <c r="BP21" s="8" t="s">
        <v>148</v>
      </c>
      <c r="BQ21" s="8" t="s">
        <v>100</v>
      </c>
      <c r="BR21" s="8" t="s">
        <v>149</v>
      </c>
      <c r="BS21" s="8" t="s">
        <v>91</v>
      </c>
      <c r="BT21" s="8" t="s">
        <v>150</v>
      </c>
      <c r="BU21" s="8" t="s">
        <v>100</v>
      </c>
      <c r="BV21" s="8" t="s">
        <v>151</v>
      </c>
      <c r="BW21" s="8" t="s">
        <v>91</v>
      </c>
      <c r="BX21" s="7" t="s">
        <v>98</v>
      </c>
      <c r="BY21" s="8" t="s">
        <v>154</v>
      </c>
      <c r="BZ21" s="8" t="s">
        <v>91</v>
      </c>
      <c r="CA21" s="8" t="s">
        <v>153</v>
      </c>
      <c r="CB21" s="8" t="s">
        <v>100</v>
      </c>
      <c r="CC21" s="8" t="s">
        <v>156</v>
      </c>
      <c r="CD21" s="8" t="s">
        <v>91</v>
      </c>
      <c r="CE21" s="8" t="s">
        <v>155</v>
      </c>
      <c r="CF21" s="8" t="s">
        <v>100</v>
      </c>
      <c r="CG21" s="8" t="s">
        <v>152</v>
      </c>
      <c r="CH21" s="8" t="s">
        <v>91</v>
      </c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</row>
    <row r="22" spans="1:106" ht="14.25" customHeight="1" x14ac:dyDescent="0.25">
      <c r="A22" s="6" t="s">
        <v>178</v>
      </c>
      <c r="B22" s="6" t="s">
        <v>87</v>
      </c>
      <c r="C22" s="7" t="s">
        <v>132</v>
      </c>
      <c r="D22" s="7" t="s">
        <v>88</v>
      </c>
      <c r="E22" s="8" t="s">
        <v>90</v>
      </c>
      <c r="F22" s="8" t="s">
        <v>91</v>
      </c>
      <c r="G22" s="8" t="s">
        <v>92</v>
      </c>
      <c r="H22" s="8" t="s">
        <v>91</v>
      </c>
      <c r="I22" s="8" t="s">
        <v>93</v>
      </c>
      <c r="J22" s="8" t="s">
        <v>91</v>
      </c>
      <c r="K22" s="8" t="s">
        <v>94</v>
      </c>
      <c r="L22" s="8" t="s">
        <v>91</v>
      </c>
      <c r="M22" s="8" t="s">
        <v>95</v>
      </c>
      <c r="N22" s="8" t="s">
        <v>91</v>
      </c>
      <c r="O22" s="8" t="s">
        <v>96</v>
      </c>
      <c r="P22" s="8" t="s">
        <v>91</v>
      </c>
      <c r="Q22" s="8" t="s">
        <v>97</v>
      </c>
      <c r="R22" s="7" t="s">
        <v>132</v>
      </c>
      <c r="S22" s="7" t="s">
        <v>111</v>
      </c>
      <c r="T22" s="8" t="s">
        <v>179</v>
      </c>
      <c r="U22" s="8" t="s">
        <v>100</v>
      </c>
      <c r="V22" s="8" t="s">
        <v>180</v>
      </c>
      <c r="W22" s="8" t="s">
        <v>91</v>
      </c>
      <c r="X22" s="8" t="s">
        <v>181</v>
      </c>
      <c r="Y22" s="8" t="s">
        <v>100</v>
      </c>
      <c r="Z22" s="8" t="s">
        <v>182</v>
      </c>
      <c r="AA22" s="8" t="s">
        <v>91</v>
      </c>
      <c r="AB22" s="8" t="s">
        <v>183</v>
      </c>
      <c r="AC22" s="8" t="s">
        <v>100</v>
      </c>
      <c r="AD22" s="7" t="s">
        <v>98</v>
      </c>
      <c r="AE22" s="8" t="s">
        <v>184</v>
      </c>
      <c r="AF22" s="8" t="s">
        <v>91</v>
      </c>
      <c r="AG22" s="8" t="s">
        <v>185</v>
      </c>
      <c r="AH22" s="8" t="s">
        <v>100</v>
      </c>
      <c r="AI22" s="8" t="s">
        <v>186</v>
      </c>
      <c r="AJ22" s="8" t="s">
        <v>91</v>
      </c>
      <c r="AK22" s="8" t="s">
        <v>187</v>
      </c>
      <c r="AL22" s="8" t="s">
        <v>100</v>
      </c>
      <c r="AM22" s="8" t="s">
        <v>188</v>
      </c>
      <c r="AN22" s="8" t="s">
        <v>91</v>
      </c>
      <c r="AO22" s="7" t="s">
        <v>105</v>
      </c>
      <c r="AP22" s="8" t="s">
        <v>189</v>
      </c>
      <c r="AQ22" s="8" t="s">
        <v>91</v>
      </c>
      <c r="AR22" s="8" t="s">
        <v>190</v>
      </c>
      <c r="AS22" s="8" t="s">
        <v>100</v>
      </c>
      <c r="AT22" s="8" t="s">
        <v>191</v>
      </c>
      <c r="AU22" s="8" t="s">
        <v>91</v>
      </c>
      <c r="AV22" s="8" t="s">
        <v>192</v>
      </c>
      <c r="AW22" s="8" t="s">
        <v>100</v>
      </c>
      <c r="AX22" s="8" t="s">
        <v>193</v>
      </c>
      <c r="AY22" s="8" t="s">
        <v>91</v>
      </c>
      <c r="AZ22" s="8" t="s">
        <v>117</v>
      </c>
      <c r="BA22" s="7" t="s">
        <v>88</v>
      </c>
      <c r="BB22" s="7" t="s">
        <v>98</v>
      </c>
      <c r="BC22" s="8" t="s">
        <v>194</v>
      </c>
      <c r="BD22" s="8" t="s">
        <v>91</v>
      </c>
      <c r="BE22" s="8" t="s">
        <v>195</v>
      </c>
      <c r="BF22" s="8" t="s">
        <v>100</v>
      </c>
      <c r="BG22" s="8" t="s">
        <v>196</v>
      </c>
      <c r="BH22" s="8" t="s">
        <v>91</v>
      </c>
      <c r="BI22" s="8" t="s">
        <v>197</v>
      </c>
      <c r="BJ22" s="8" t="s">
        <v>100</v>
      </c>
      <c r="BK22" s="8"/>
      <c r="BL22" s="8"/>
      <c r="BM22" s="7" t="s">
        <v>105</v>
      </c>
      <c r="BN22" s="8" t="s">
        <v>198</v>
      </c>
      <c r="BO22" s="8" t="s">
        <v>91</v>
      </c>
      <c r="BP22" s="8" t="s">
        <v>199</v>
      </c>
      <c r="BQ22" s="8" t="s">
        <v>100</v>
      </c>
      <c r="BR22" s="8" t="s">
        <v>200</v>
      </c>
      <c r="BS22" s="8" t="s">
        <v>91</v>
      </c>
      <c r="BT22" s="8" t="s">
        <v>201</v>
      </c>
      <c r="BU22" s="8" t="s">
        <v>100</v>
      </c>
      <c r="BV22" s="8"/>
      <c r="BW22" s="8"/>
      <c r="BX22" s="7" t="s">
        <v>111</v>
      </c>
      <c r="BY22" s="8" t="s">
        <v>202</v>
      </c>
      <c r="BZ22" s="8" t="s">
        <v>91</v>
      </c>
      <c r="CA22" s="8" t="s">
        <v>203</v>
      </c>
      <c r="CB22" s="8" t="s">
        <v>100</v>
      </c>
      <c r="CC22" s="8" t="s">
        <v>204</v>
      </c>
      <c r="CD22" s="8" t="s">
        <v>91</v>
      </c>
      <c r="CE22" s="8" t="s">
        <v>205</v>
      </c>
      <c r="CF22" s="8" t="s">
        <v>100</v>
      </c>
      <c r="CG22" s="8"/>
      <c r="CH22" s="8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</row>
    <row r="23" spans="1:106" ht="14.25" customHeight="1" x14ac:dyDescent="0.25">
      <c r="A23" s="6" t="s">
        <v>206</v>
      </c>
      <c r="B23" s="6" t="s">
        <v>131</v>
      </c>
      <c r="C23" s="7" t="s">
        <v>89</v>
      </c>
      <c r="D23" s="7" t="s">
        <v>88</v>
      </c>
      <c r="E23" s="8" t="s">
        <v>90</v>
      </c>
      <c r="F23" s="8" t="s">
        <v>91</v>
      </c>
      <c r="G23" s="8" t="s">
        <v>92</v>
      </c>
      <c r="H23" s="8" t="s">
        <v>91</v>
      </c>
      <c r="I23" s="8" t="s">
        <v>93</v>
      </c>
      <c r="J23" s="8" t="s">
        <v>91</v>
      </c>
      <c r="K23" s="8" t="s">
        <v>94</v>
      </c>
      <c r="L23" s="8" t="s">
        <v>91</v>
      </c>
      <c r="M23" s="8" t="s">
        <v>95</v>
      </c>
      <c r="N23" s="8" t="s">
        <v>91</v>
      </c>
      <c r="O23" s="8" t="s">
        <v>96</v>
      </c>
      <c r="P23" s="8" t="s">
        <v>91</v>
      </c>
      <c r="Q23" s="8" t="s">
        <v>117</v>
      </c>
      <c r="R23" s="7" t="s">
        <v>89</v>
      </c>
      <c r="S23" s="7" t="s">
        <v>105</v>
      </c>
      <c r="T23" s="8" t="s">
        <v>200</v>
      </c>
      <c r="U23" s="8" t="s">
        <v>91</v>
      </c>
      <c r="V23" s="8" t="s">
        <v>201</v>
      </c>
      <c r="W23" s="8" t="s">
        <v>100</v>
      </c>
      <c r="X23" s="8" t="s">
        <v>198</v>
      </c>
      <c r="Y23" s="8" t="s">
        <v>91</v>
      </c>
      <c r="Z23" s="8" t="s">
        <v>199</v>
      </c>
      <c r="AA23" s="8" t="s">
        <v>100</v>
      </c>
      <c r="AB23" s="8"/>
      <c r="AC23" s="8"/>
      <c r="AD23" s="7" t="s">
        <v>111</v>
      </c>
      <c r="AE23" s="8" t="s">
        <v>204</v>
      </c>
      <c r="AF23" s="8" t="s">
        <v>91</v>
      </c>
      <c r="AG23" s="8" t="s">
        <v>205</v>
      </c>
      <c r="AH23" s="8" t="s">
        <v>100</v>
      </c>
      <c r="AI23" s="8" t="s">
        <v>202</v>
      </c>
      <c r="AJ23" s="8" t="s">
        <v>91</v>
      </c>
      <c r="AK23" s="8" t="s">
        <v>203</v>
      </c>
      <c r="AL23" s="8" t="s">
        <v>100</v>
      </c>
      <c r="AM23" s="8"/>
      <c r="AN23" s="8"/>
      <c r="AO23" s="7" t="s">
        <v>98</v>
      </c>
      <c r="AP23" s="8" t="s">
        <v>194</v>
      </c>
      <c r="AQ23" s="8" t="s">
        <v>91</v>
      </c>
      <c r="AR23" s="8" t="s">
        <v>195</v>
      </c>
      <c r="AS23" s="8" t="s">
        <v>100</v>
      </c>
      <c r="AT23" s="8" t="s">
        <v>196</v>
      </c>
      <c r="AU23" s="8" t="s">
        <v>91</v>
      </c>
      <c r="AV23" s="8" t="s">
        <v>197</v>
      </c>
      <c r="AW23" s="8" t="s">
        <v>100</v>
      </c>
      <c r="AX23" s="8"/>
      <c r="AY23" s="8"/>
      <c r="AZ23" s="8" t="s">
        <v>97</v>
      </c>
      <c r="BA23" s="7" t="s">
        <v>88</v>
      </c>
      <c r="BB23" s="7" t="s">
        <v>98</v>
      </c>
      <c r="BC23" s="8" t="s">
        <v>188</v>
      </c>
      <c r="BD23" s="8" t="s">
        <v>91</v>
      </c>
      <c r="BE23" s="8" t="s">
        <v>187</v>
      </c>
      <c r="BF23" s="8" t="s">
        <v>100</v>
      </c>
      <c r="BG23" s="8" t="s">
        <v>184</v>
      </c>
      <c r="BH23" s="8" t="s">
        <v>91</v>
      </c>
      <c r="BI23" s="8" t="s">
        <v>185</v>
      </c>
      <c r="BJ23" s="8" t="s">
        <v>100</v>
      </c>
      <c r="BK23" s="8" t="s">
        <v>186</v>
      </c>
      <c r="BL23" s="8" t="s">
        <v>91</v>
      </c>
      <c r="BM23" s="7" t="s">
        <v>105</v>
      </c>
      <c r="BN23" s="8" t="s">
        <v>193</v>
      </c>
      <c r="BO23" s="8" t="s">
        <v>91</v>
      </c>
      <c r="BP23" s="8" t="s">
        <v>192</v>
      </c>
      <c r="BQ23" s="8" t="s">
        <v>100</v>
      </c>
      <c r="BR23" s="8" t="s">
        <v>189</v>
      </c>
      <c r="BS23" s="8" t="s">
        <v>91</v>
      </c>
      <c r="BT23" s="8" t="s">
        <v>190</v>
      </c>
      <c r="BU23" s="8" t="s">
        <v>100</v>
      </c>
      <c r="BV23" s="8" t="s">
        <v>191</v>
      </c>
      <c r="BW23" s="8" t="s">
        <v>91</v>
      </c>
      <c r="BX23" s="7" t="s">
        <v>111</v>
      </c>
      <c r="BY23" s="8" t="s">
        <v>181</v>
      </c>
      <c r="BZ23" s="8" t="s">
        <v>100</v>
      </c>
      <c r="CA23" s="8" t="s">
        <v>180</v>
      </c>
      <c r="CB23" s="8" t="s">
        <v>91</v>
      </c>
      <c r="CC23" s="8" t="s">
        <v>183</v>
      </c>
      <c r="CD23" s="8" t="s">
        <v>100</v>
      </c>
      <c r="CE23" s="8" t="s">
        <v>182</v>
      </c>
      <c r="CF23" s="8" t="s">
        <v>91</v>
      </c>
      <c r="CG23" s="8" t="s">
        <v>179</v>
      </c>
      <c r="CH23" s="8" t="s">
        <v>100</v>
      </c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</row>
    <row r="24" spans="1:106" ht="14.25" customHeight="1" x14ac:dyDescent="0.25">
      <c r="A24" s="6" t="s">
        <v>207</v>
      </c>
      <c r="B24" s="6" t="s">
        <v>87</v>
      </c>
      <c r="C24" s="7" t="s">
        <v>89</v>
      </c>
      <c r="D24" s="7" t="s">
        <v>132</v>
      </c>
      <c r="E24" s="8" t="s">
        <v>90</v>
      </c>
      <c r="F24" s="8" t="s">
        <v>91</v>
      </c>
      <c r="G24" s="8" t="s">
        <v>92</v>
      </c>
      <c r="H24" s="8" t="s">
        <v>91</v>
      </c>
      <c r="I24" s="8" t="s">
        <v>93</v>
      </c>
      <c r="J24" s="8" t="s">
        <v>91</v>
      </c>
      <c r="K24" s="8" t="s">
        <v>94</v>
      </c>
      <c r="L24" s="8" t="s">
        <v>91</v>
      </c>
      <c r="M24" s="8" t="s">
        <v>95</v>
      </c>
      <c r="N24" s="8" t="s">
        <v>91</v>
      </c>
      <c r="O24" s="8" t="s">
        <v>96</v>
      </c>
      <c r="P24" s="8" t="s">
        <v>91</v>
      </c>
      <c r="Q24" s="8" t="s">
        <v>97</v>
      </c>
      <c r="R24" s="7" t="s">
        <v>89</v>
      </c>
      <c r="S24" s="7" t="s">
        <v>105</v>
      </c>
      <c r="T24" s="8" t="s">
        <v>191</v>
      </c>
      <c r="U24" s="8" t="s">
        <v>91</v>
      </c>
      <c r="V24" s="8" t="s">
        <v>192</v>
      </c>
      <c r="W24" s="8" t="s">
        <v>100</v>
      </c>
      <c r="X24" s="8" t="s">
        <v>193</v>
      </c>
      <c r="Y24" s="8" t="s">
        <v>91</v>
      </c>
      <c r="Z24" s="8" t="s">
        <v>190</v>
      </c>
      <c r="AA24" s="8" t="s">
        <v>100</v>
      </c>
      <c r="AB24" s="8" t="s">
        <v>189</v>
      </c>
      <c r="AC24" s="8" t="s">
        <v>91</v>
      </c>
      <c r="AD24" s="7" t="s">
        <v>111</v>
      </c>
      <c r="AE24" s="8" t="s">
        <v>181</v>
      </c>
      <c r="AF24" s="8" t="s">
        <v>100</v>
      </c>
      <c r="AG24" s="8" t="s">
        <v>182</v>
      </c>
      <c r="AH24" s="8" t="s">
        <v>91</v>
      </c>
      <c r="AI24" s="8" t="s">
        <v>183</v>
      </c>
      <c r="AJ24" s="8" t="s">
        <v>100</v>
      </c>
      <c r="AK24" s="8" t="s">
        <v>180</v>
      </c>
      <c r="AL24" s="8" t="s">
        <v>91</v>
      </c>
      <c r="AM24" s="8" t="s">
        <v>179</v>
      </c>
      <c r="AN24" s="8" t="s">
        <v>100</v>
      </c>
      <c r="AO24" s="7" t="s">
        <v>98</v>
      </c>
      <c r="AP24" s="8" t="s">
        <v>184</v>
      </c>
      <c r="AQ24" s="8" t="s">
        <v>91</v>
      </c>
      <c r="AR24" s="8" t="s">
        <v>185</v>
      </c>
      <c r="AS24" s="8" t="s">
        <v>100</v>
      </c>
      <c r="AT24" s="8" t="s">
        <v>186</v>
      </c>
      <c r="AU24" s="8" t="s">
        <v>91</v>
      </c>
      <c r="AV24" s="8" t="s">
        <v>187</v>
      </c>
      <c r="AW24" s="8" t="s">
        <v>100</v>
      </c>
      <c r="AX24" s="8" t="s">
        <v>188</v>
      </c>
      <c r="AY24" s="8" t="s">
        <v>91</v>
      </c>
      <c r="AZ24" s="8" t="s">
        <v>117</v>
      </c>
      <c r="BA24" s="7" t="s">
        <v>132</v>
      </c>
      <c r="BB24" s="7" t="s">
        <v>111</v>
      </c>
      <c r="BC24" s="8" t="s">
        <v>202</v>
      </c>
      <c r="BD24" s="8" t="s">
        <v>91</v>
      </c>
      <c r="BE24" s="8" t="s">
        <v>205</v>
      </c>
      <c r="BF24" s="8" t="s">
        <v>100</v>
      </c>
      <c r="BG24" s="8" t="s">
        <v>204</v>
      </c>
      <c r="BH24" s="8" t="s">
        <v>91</v>
      </c>
      <c r="BI24" s="8" t="s">
        <v>203</v>
      </c>
      <c r="BJ24" s="8" t="s">
        <v>100</v>
      </c>
      <c r="BK24" s="8"/>
      <c r="BL24" s="8"/>
      <c r="BM24" s="7" t="s">
        <v>98</v>
      </c>
      <c r="BN24" s="8" t="s">
        <v>196</v>
      </c>
      <c r="BO24" s="8" t="s">
        <v>91</v>
      </c>
      <c r="BP24" s="8" t="s">
        <v>197</v>
      </c>
      <c r="BQ24" s="8" t="s">
        <v>100</v>
      </c>
      <c r="BR24" s="8" t="s">
        <v>194</v>
      </c>
      <c r="BS24" s="8" t="s">
        <v>91</v>
      </c>
      <c r="BT24" s="8" t="s">
        <v>195</v>
      </c>
      <c r="BU24" s="8" t="s">
        <v>100</v>
      </c>
      <c r="BV24" s="8"/>
      <c r="BW24" s="8"/>
      <c r="BX24" s="7" t="s">
        <v>105</v>
      </c>
      <c r="BY24" s="8" t="s">
        <v>200</v>
      </c>
      <c r="BZ24" s="8" t="s">
        <v>91</v>
      </c>
      <c r="CA24" s="8" t="s">
        <v>201</v>
      </c>
      <c r="CB24" s="8" t="s">
        <v>100</v>
      </c>
      <c r="CC24" s="8" t="s">
        <v>198</v>
      </c>
      <c r="CD24" s="8" t="s">
        <v>91</v>
      </c>
      <c r="CE24" s="8" t="s">
        <v>199</v>
      </c>
      <c r="CF24" s="8" t="s">
        <v>100</v>
      </c>
      <c r="CG24" s="8"/>
      <c r="CH24" s="8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</row>
    <row r="25" spans="1:106" ht="14.25" customHeight="1" x14ac:dyDescent="0.25">
      <c r="A25" s="6" t="s">
        <v>208</v>
      </c>
      <c r="B25" s="6" t="s">
        <v>131</v>
      </c>
      <c r="C25" s="7" t="s">
        <v>88</v>
      </c>
      <c r="D25" s="7" t="s">
        <v>132</v>
      </c>
      <c r="E25" s="8" t="s">
        <v>90</v>
      </c>
      <c r="F25" s="8" t="s">
        <v>91</v>
      </c>
      <c r="G25" s="8" t="s">
        <v>92</v>
      </c>
      <c r="H25" s="8" t="s">
        <v>91</v>
      </c>
      <c r="I25" s="8" t="s">
        <v>93</v>
      </c>
      <c r="J25" s="8" t="s">
        <v>91</v>
      </c>
      <c r="K25" s="8" t="s">
        <v>94</v>
      </c>
      <c r="L25" s="8" t="s">
        <v>91</v>
      </c>
      <c r="M25" s="8" t="s">
        <v>95</v>
      </c>
      <c r="N25" s="8" t="s">
        <v>91</v>
      </c>
      <c r="O25" s="8" t="s">
        <v>96</v>
      </c>
      <c r="P25" s="8" t="s">
        <v>91</v>
      </c>
      <c r="Q25" s="8" t="s">
        <v>117</v>
      </c>
      <c r="R25" s="7" t="s">
        <v>88</v>
      </c>
      <c r="S25" s="7" t="s">
        <v>98</v>
      </c>
      <c r="T25" s="8" t="s">
        <v>194</v>
      </c>
      <c r="U25" s="8" t="s">
        <v>91</v>
      </c>
      <c r="V25" s="8" t="s">
        <v>195</v>
      </c>
      <c r="W25" s="8" t="s">
        <v>100</v>
      </c>
      <c r="X25" s="8" t="s">
        <v>196</v>
      </c>
      <c r="Y25" s="8" t="s">
        <v>91</v>
      </c>
      <c r="Z25" s="8" t="s">
        <v>197</v>
      </c>
      <c r="AA25" s="8" t="s">
        <v>100</v>
      </c>
      <c r="AB25" s="8"/>
      <c r="AC25" s="8"/>
      <c r="AD25" s="7" t="s">
        <v>105</v>
      </c>
      <c r="AE25" s="8" t="s">
        <v>200</v>
      </c>
      <c r="AF25" s="8" t="s">
        <v>91</v>
      </c>
      <c r="AG25" s="8" t="s">
        <v>199</v>
      </c>
      <c r="AH25" s="8" t="s">
        <v>100</v>
      </c>
      <c r="AI25" s="8" t="s">
        <v>198</v>
      </c>
      <c r="AJ25" s="8" t="s">
        <v>91</v>
      </c>
      <c r="AK25" s="8" t="s">
        <v>201</v>
      </c>
      <c r="AL25" s="8" t="s">
        <v>100</v>
      </c>
      <c r="AM25" s="8"/>
      <c r="AN25" s="8"/>
      <c r="AO25" s="7" t="s">
        <v>111</v>
      </c>
      <c r="AP25" s="8" t="s">
        <v>202</v>
      </c>
      <c r="AQ25" s="8" t="s">
        <v>91</v>
      </c>
      <c r="AR25" s="8" t="s">
        <v>203</v>
      </c>
      <c r="AS25" s="8" t="s">
        <v>100</v>
      </c>
      <c r="AT25" s="8" t="s">
        <v>204</v>
      </c>
      <c r="AU25" s="8" t="s">
        <v>91</v>
      </c>
      <c r="AV25" s="8" t="s">
        <v>205</v>
      </c>
      <c r="AW25" s="8" t="s">
        <v>100</v>
      </c>
      <c r="AX25" s="8"/>
      <c r="AY25" s="8"/>
      <c r="AZ25" s="8" t="s">
        <v>97</v>
      </c>
      <c r="BA25" s="7" t="s">
        <v>132</v>
      </c>
      <c r="BB25" s="7" t="s">
        <v>111</v>
      </c>
      <c r="BC25" s="8" t="s">
        <v>183</v>
      </c>
      <c r="BD25" s="8" t="s">
        <v>100</v>
      </c>
      <c r="BE25" s="8" t="s">
        <v>182</v>
      </c>
      <c r="BF25" s="8" t="s">
        <v>91</v>
      </c>
      <c r="BG25" s="8" t="s">
        <v>179</v>
      </c>
      <c r="BH25" s="8" t="s">
        <v>100</v>
      </c>
      <c r="BI25" s="8" t="s">
        <v>180</v>
      </c>
      <c r="BJ25" s="8" t="s">
        <v>91</v>
      </c>
      <c r="BK25" s="8" t="s">
        <v>181</v>
      </c>
      <c r="BL25" s="8" t="s">
        <v>100</v>
      </c>
      <c r="BM25" s="7" t="s">
        <v>98</v>
      </c>
      <c r="BN25" s="8" t="s">
        <v>184</v>
      </c>
      <c r="BO25" s="8" t="s">
        <v>91</v>
      </c>
      <c r="BP25" s="8" t="s">
        <v>187</v>
      </c>
      <c r="BQ25" s="8" t="s">
        <v>100</v>
      </c>
      <c r="BR25" s="8" t="s">
        <v>186</v>
      </c>
      <c r="BS25" s="8" t="s">
        <v>91</v>
      </c>
      <c r="BT25" s="8" t="s">
        <v>185</v>
      </c>
      <c r="BU25" s="8" t="s">
        <v>100</v>
      </c>
      <c r="BV25" s="8" t="s">
        <v>188</v>
      </c>
      <c r="BW25" s="8" t="s">
        <v>91</v>
      </c>
      <c r="BX25" s="7" t="s">
        <v>105</v>
      </c>
      <c r="BY25" s="8" t="s">
        <v>191</v>
      </c>
      <c r="BZ25" s="8" t="s">
        <v>91</v>
      </c>
      <c r="CA25" s="8" t="s">
        <v>192</v>
      </c>
      <c r="CB25" s="8" t="s">
        <v>100</v>
      </c>
      <c r="CC25" s="8" t="s">
        <v>189</v>
      </c>
      <c r="CD25" s="8" t="s">
        <v>91</v>
      </c>
      <c r="CE25" s="8" t="s">
        <v>190</v>
      </c>
      <c r="CF25" s="8" t="s">
        <v>100</v>
      </c>
      <c r="CG25" s="8" t="s">
        <v>193</v>
      </c>
      <c r="CH25" s="8" t="s">
        <v>91</v>
      </c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</row>
    <row r="26" spans="1:106" ht="14.25" customHeight="1" x14ac:dyDescent="0.25">
      <c r="A26" s="6" t="s">
        <v>209</v>
      </c>
      <c r="B26" s="6" t="s">
        <v>87</v>
      </c>
      <c r="C26" s="7" t="s">
        <v>88</v>
      </c>
      <c r="D26" s="7" t="s">
        <v>89</v>
      </c>
      <c r="E26" s="8" t="s">
        <v>90</v>
      </c>
      <c r="F26" s="8" t="s">
        <v>91</v>
      </c>
      <c r="G26" s="8" t="s">
        <v>92</v>
      </c>
      <c r="H26" s="8" t="s">
        <v>91</v>
      </c>
      <c r="I26" s="8" t="s">
        <v>93</v>
      </c>
      <c r="J26" s="8" t="s">
        <v>91</v>
      </c>
      <c r="K26" s="8" t="s">
        <v>94</v>
      </c>
      <c r="L26" s="8" t="s">
        <v>91</v>
      </c>
      <c r="M26" s="8" t="s">
        <v>95</v>
      </c>
      <c r="N26" s="8" t="s">
        <v>91</v>
      </c>
      <c r="O26" s="8" t="s">
        <v>96</v>
      </c>
      <c r="P26" s="8" t="s">
        <v>91</v>
      </c>
      <c r="Q26" s="8" t="s">
        <v>97</v>
      </c>
      <c r="R26" s="7" t="s">
        <v>88</v>
      </c>
      <c r="S26" s="7" t="s">
        <v>98</v>
      </c>
      <c r="T26" s="8" t="s">
        <v>184</v>
      </c>
      <c r="U26" s="8" t="s">
        <v>91</v>
      </c>
      <c r="V26" s="8" t="s">
        <v>185</v>
      </c>
      <c r="W26" s="8" t="s">
        <v>100</v>
      </c>
      <c r="X26" s="8" t="s">
        <v>186</v>
      </c>
      <c r="Y26" s="8" t="s">
        <v>91</v>
      </c>
      <c r="Z26" s="8" t="s">
        <v>187</v>
      </c>
      <c r="AA26" s="8" t="s">
        <v>100</v>
      </c>
      <c r="AB26" s="8" t="s">
        <v>188</v>
      </c>
      <c r="AC26" s="8" t="s">
        <v>91</v>
      </c>
      <c r="AD26" s="7" t="s">
        <v>105</v>
      </c>
      <c r="AE26" s="8" t="s">
        <v>189</v>
      </c>
      <c r="AF26" s="8" t="s">
        <v>91</v>
      </c>
      <c r="AG26" s="8" t="s">
        <v>190</v>
      </c>
      <c r="AH26" s="8" t="s">
        <v>100</v>
      </c>
      <c r="AI26" s="8" t="s">
        <v>193</v>
      </c>
      <c r="AJ26" s="8" t="s">
        <v>91</v>
      </c>
      <c r="AK26" s="8" t="s">
        <v>192</v>
      </c>
      <c r="AL26" s="8" t="s">
        <v>100</v>
      </c>
      <c r="AM26" s="8" t="s">
        <v>191</v>
      </c>
      <c r="AN26" s="8" t="s">
        <v>91</v>
      </c>
      <c r="AO26" s="7" t="s">
        <v>111</v>
      </c>
      <c r="AP26" s="8" t="s">
        <v>181</v>
      </c>
      <c r="AQ26" s="8" t="s">
        <v>100</v>
      </c>
      <c r="AR26" s="8" t="s">
        <v>180</v>
      </c>
      <c r="AS26" s="8" t="s">
        <v>91</v>
      </c>
      <c r="AT26" s="8" t="s">
        <v>183</v>
      </c>
      <c r="AU26" s="8" t="s">
        <v>100</v>
      </c>
      <c r="AV26" s="8" t="s">
        <v>182</v>
      </c>
      <c r="AW26" s="8" t="s">
        <v>91</v>
      </c>
      <c r="AX26" s="8" t="s">
        <v>179</v>
      </c>
      <c r="AY26" s="8" t="s">
        <v>100</v>
      </c>
      <c r="AZ26" s="8" t="s">
        <v>117</v>
      </c>
      <c r="BA26" s="7" t="s">
        <v>89</v>
      </c>
      <c r="BB26" s="7" t="s">
        <v>105</v>
      </c>
      <c r="BC26" s="8" t="s">
        <v>200</v>
      </c>
      <c r="BD26" s="8" t="s">
        <v>91</v>
      </c>
      <c r="BE26" s="8" t="s">
        <v>201</v>
      </c>
      <c r="BF26" s="8" t="s">
        <v>100</v>
      </c>
      <c r="BG26" s="8" t="s">
        <v>198</v>
      </c>
      <c r="BH26" s="8" t="s">
        <v>91</v>
      </c>
      <c r="BI26" s="8" t="s">
        <v>199</v>
      </c>
      <c r="BJ26" s="8" t="s">
        <v>100</v>
      </c>
      <c r="BK26" s="8"/>
      <c r="BL26" s="8"/>
      <c r="BM26" s="7" t="s">
        <v>111</v>
      </c>
      <c r="BN26" s="8" t="s">
        <v>204</v>
      </c>
      <c r="BO26" s="8" t="s">
        <v>91</v>
      </c>
      <c r="BP26" s="8" t="s">
        <v>203</v>
      </c>
      <c r="BQ26" s="8" t="s">
        <v>100</v>
      </c>
      <c r="BR26" s="8" t="s">
        <v>202</v>
      </c>
      <c r="BS26" s="8" t="s">
        <v>91</v>
      </c>
      <c r="BT26" s="8" t="s">
        <v>205</v>
      </c>
      <c r="BU26" s="8" t="s">
        <v>100</v>
      </c>
      <c r="BV26" s="8"/>
      <c r="BW26" s="8"/>
      <c r="BX26" s="7" t="s">
        <v>98</v>
      </c>
      <c r="BY26" s="8" t="s">
        <v>194</v>
      </c>
      <c r="BZ26" s="8" t="s">
        <v>91</v>
      </c>
      <c r="CA26" s="8" t="s">
        <v>195</v>
      </c>
      <c r="CB26" s="8" t="s">
        <v>100</v>
      </c>
      <c r="CC26" s="8" t="s">
        <v>196</v>
      </c>
      <c r="CD26" s="8" t="s">
        <v>91</v>
      </c>
      <c r="CE26" s="8" t="s">
        <v>197</v>
      </c>
      <c r="CF26" s="8" t="s">
        <v>100</v>
      </c>
      <c r="CG26" s="8"/>
      <c r="CH26" s="8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</row>
    <row r="27" spans="1:106" ht="14.25" customHeight="1" x14ac:dyDescent="0.25">
      <c r="A27" s="6" t="s">
        <v>210</v>
      </c>
      <c r="B27" s="6" t="s">
        <v>131</v>
      </c>
      <c r="C27" s="7" t="s">
        <v>132</v>
      </c>
      <c r="D27" s="7" t="s">
        <v>89</v>
      </c>
      <c r="E27" s="8" t="s">
        <v>90</v>
      </c>
      <c r="F27" s="8" t="s">
        <v>91</v>
      </c>
      <c r="G27" s="8" t="s">
        <v>92</v>
      </c>
      <c r="H27" s="8" t="s">
        <v>91</v>
      </c>
      <c r="I27" s="8" t="s">
        <v>93</v>
      </c>
      <c r="J27" s="8" t="s">
        <v>91</v>
      </c>
      <c r="K27" s="8" t="s">
        <v>94</v>
      </c>
      <c r="L27" s="8" t="s">
        <v>91</v>
      </c>
      <c r="M27" s="8" t="s">
        <v>95</v>
      </c>
      <c r="N27" s="8" t="s">
        <v>91</v>
      </c>
      <c r="O27" s="8" t="s">
        <v>96</v>
      </c>
      <c r="P27" s="8" t="s">
        <v>91</v>
      </c>
      <c r="Q27" s="8" t="s">
        <v>117</v>
      </c>
      <c r="R27" s="7" t="s">
        <v>132</v>
      </c>
      <c r="S27" s="7" t="s">
        <v>111</v>
      </c>
      <c r="T27" s="8" t="s">
        <v>204</v>
      </c>
      <c r="U27" s="8" t="s">
        <v>91</v>
      </c>
      <c r="V27" s="8" t="s">
        <v>205</v>
      </c>
      <c r="W27" s="8" t="s">
        <v>100</v>
      </c>
      <c r="X27" s="8" t="s">
        <v>202</v>
      </c>
      <c r="Y27" s="8" t="s">
        <v>91</v>
      </c>
      <c r="Z27" s="8" t="s">
        <v>203</v>
      </c>
      <c r="AA27" s="8" t="s">
        <v>100</v>
      </c>
      <c r="AB27" s="8"/>
      <c r="AC27" s="8"/>
      <c r="AD27" s="7" t="s">
        <v>98</v>
      </c>
      <c r="AE27" s="8" t="s">
        <v>196</v>
      </c>
      <c r="AF27" s="8" t="s">
        <v>91</v>
      </c>
      <c r="AG27" s="8" t="s">
        <v>195</v>
      </c>
      <c r="AH27" s="8" t="s">
        <v>100</v>
      </c>
      <c r="AI27" s="8" t="s">
        <v>194</v>
      </c>
      <c r="AJ27" s="8" t="s">
        <v>91</v>
      </c>
      <c r="AK27" s="8" t="s">
        <v>197</v>
      </c>
      <c r="AL27" s="8" t="s">
        <v>100</v>
      </c>
      <c r="AM27" s="8"/>
      <c r="AN27" s="8"/>
      <c r="AO27" s="7" t="s">
        <v>105</v>
      </c>
      <c r="AP27" s="8" t="s">
        <v>198</v>
      </c>
      <c r="AQ27" s="8" t="s">
        <v>91</v>
      </c>
      <c r="AR27" s="8" t="s">
        <v>201</v>
      </c>
      <c r="AS27" s="8" t="s">
        <v>100</v>
      </c>
      <c r="AT27" s="8" t="s">
        <v>200</v>
      </c>
      <c r="AU27" s="8" t="s">
        <v>91</v>
      </c>
      <c r="AV27" s="8" t="s">
        <v>199</v>
      </c>
      <c r="AW27" s="8" t="s">
        <v>100</v>
      </c>
      <c r="AX27" s="8"/>
      <c r="AY27" s="8"/>
      <c r="AZ27" s="8" t="s">
        <v>97</v>
      </c>
      <c r="BA27" s="7" t="s">
        <v>89</v>
      </c>
      <c r="BB27" s="7" t="s">
        <v>105</v>
      </c>
      <c r="BC27" s="8" t="s">
        <v>189</v>
      </c>
      <c r="BD27" s="8" t="s">
        <v>91</v>
      </c>
      <c r="BE27" s="8" t="s">
        <v>192</v>
      </c>
      <c r="BF27" s="8" t="s">
        <v>100</v>
      </c>
      <c r="BG27" s="8" t="s">
        <v>191</v>
      </c>
      <c r="BH27" s="8" t="s">
        <v>91</v>
      </c>
      <c r="BI27" s="8" t="s">
        <v>190</v>
      </c>
      <c r="BJ27" s="8" t="s">
        <v>100</v>
      </c>
      <c r="BK27" s="8" t="s">
        <v>193</v>
      </c>
      <c r="BL27" s="8" t="s">
        <v>91</v>
      </c>
      <c r="BM27" s="7" t="s">
        <v>111</v>
      </c>
      <c r="BN27" s="8" t="s">
        <v>179</v>
      </c>
      <c r="BO27" s="8" t="s">
        <v>100</v>
      </c>
      <c r="BP27" s="8" t="s">
        <v>182</v>
      </c>
      <c r="BQ27" s="8" t="s">
        <v>91</v>
      </c>
      <c r="BR27" s="8" t="s">
        <v>181</v>
      </c>
      <c r="BS27" s="8" t="s">
        <v>100</v>
      </c>
      <c r="BT27" s="8" t="s">
        <v>180</v>
      </c>
      <c r="BU27" s="8" t="s">
        <v>91</v>
      </c>
      <c r="BV27" s="8" t="s">
        <v>183</v>
      </c>
      <c r="BW27" s="8" t="s">
        <v>100</v>
      </c>
      <c r="BX27" s="7" t="s">
        <v>98</v>
      </c>
      <c r="BY27" s="8" t="s">
        <v>186</v>
      </c>
      <c r="BZ27" s="8" t="s">
        <v>91</v>
      </c>
      <c r="CA27" s="8" t="s">
        <v>185</v>
      </c>
      <c r="CB27" s="8" t="s">
        <v>100</v>
      </c>
      <c r="CC27" s="8" t="s">
        <v>184</v>
      </c>
      <c r="CD27" s="8" t="s">
        <v>91</v>
      </c>
      <c r="CE27" s="8" t="s">
        <v>187</v>
      </c>
      <c r="CF27" s="8" t="s">
        <v>100</v>
      </c>
      <c r="CG27" s="8" t="s">
        <v>188</v>
      </c>
      <c r="CH27" s="8" t="s">
        <v>91</v>
      </c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</row>
    <row r="28" spans="1:106" ht="14.25" customHeight="1" x14ac:dyDescent="0.25">
      <c r="A28" s="6" t="s">
        <v>211</v>
      </c>
      <c r="B28" s="6" t="s">
        <v>87</v>
      </c>
      <c r="C28" s="7" t="s">
        <v>132</v>
      </c>
      <c r="D28" s="7" t="s">
        <v>88</v>
      </c>
      <c r="E28" s="8" t="s">
        <v>90</v>
      </c>
      <c r="F28" s="8" t="s">
        <v>91</v>
      </c>
      <c r="G28" s="8" t="s">
        <v>92</v>
      </c>
      <c r="H28" s="8" t="s">
        <v>91</v>
      </c>
      <c r="I28" s="8" t="s">
        <v>93</v>
      </c>
      <c r="J28" s="8" t="s">
        <v>91</v>
      </c>
      <c r="K28" s="8" t="s">
        <v>94</v>
      </c>
      <c r="L28" s="8" t="s">
        <v>91</v>
      </c>
      <c r="M28" s="8" t="s">
        <v>95</v>
      </c>
      <c r="N28" s="8" t="s">
        <v>91</v>
      </c>
      <c r="O28" s="8" t="s">
        <v>96</v>
      </c>
      <c r="P28" s="8" t="s">
        <v>91</v>
      </c>
      <c r="Q28" s="8" t="s">
        <v>97</v>
      </c>
      <c r="R28" s="7" t="s">
        <v>132</v>
      </c>
      <c r="S28" s="7" t="s">
        <v>111</v>
      </c>
      <c r="T28" s="8" t="s">
        <v>183</v>
      </c>
      <c r="U28" s="8" t="s">
        <v>100</v>
      </c>
      <c r="V28" s="8" t="s">
        <v>180</v>
      </c>
      <c r="W28" s="8" t="s">
        <v>91</v>
      </c>
      <c r="X28" s="8" t="s">
        <v>181</v>
      </c>
      <c r="Y28" s="8" t="s">
        <v>100</v>
      </c>
      <c r="Z28" s="8" t="s">
        <v>182</v>
      </c>
      <c r="AA28" s="8" t="s">
        <v>91</v>
      </c>
      <c r="AB28" s="8" t="s">
        <v>179</v>
      </c>
      <c r="AC28" s="8" t="s">
        <v>100</v>
      </c>
      <c r="AD28" s="7" t="s">
        <v>98</v>
      </c>
      <c r="AE28" s="8" t="s">
        <v>186</v>
      </c>
      <c r="AF28" s="8" t="s">
        <v>91</v>
      </c>
      <c r="AG28" s="8" t="s">
        <v>187</v>
      </c>
      <c r="AH28" s="8" t="s">
        <v>100</v>
      </c>
      <c r="AI28" s="8" t="s">
        <v>184</v>
      </c>
      <c r="AJ28" s="8" t="s">
        <v>91</v>
      </c>
      <c r="AK28" s="8" t="s">
        <v>185</v>
      </c>
      <c r="AL28" s="8" t="s">
        <v>100</v>
      </c>
      <c r="AM28" s="8" t="s">
        <v>188</v>
      </c>
      <c r="AN28" s="8" t="s">
        <v>91</v>
      </c>
      <c r="AO28" s="7" t="s">
        <v>105</v>
      </c>
      <c r="AP28" s="8" t="s">
        <v>193</v>
      </c>
      <c r="AQ28" s="8" t="s">
        <v>91</v>
      </c>
      <c r="AR28" s="8" t="s">
        <v>192</v>
      </c>
      <c r="AS28" s="8" t="s">
        <v>100</v>
      </c>
      <c r="AT28" s="8" t="s">
        <v>189</v>
      </c>
      <c r="AU28" s="8" t="s">
        <v>91</v>
      </c>
      <c r="AV28" s="8" t="s">
        <v>190</v>
      </c>
      <c r="AW28" s="8" t="s">
        <v>100</v>
      </c>
      <c r="AX28" s="8" t="s">
        <v>191</v>
      </c>
      <c r="AY28" s="8" t="s">
        <v>91</v>
      </c>
      <c r="AZ28" s="8" t="s">
        <v>117</v>
      </c>
      <c r="BA28" s="7" t="s">
        <v>88</v>
      </c>
      <c r="BB28" s="7" t="s">
        <v>98</v>
      </c>
      <c r="BC28" s="8" t="s">
        <v>196</v>
      </c>
      <c r="BD28" s="8" t="s">
        <v>91</v>
      </c>
      <c r="BE28" s="8" t="s">
        <v>195</v>
      </c>
      <c r="BF28" s="8" t="s">
        <v>100</v>
      </c>
      <c r="BG28" s="8" t="s">
        <v>194</v>
      </c>
      <c r="BH28" s="8" t="s">
        <v>91</v>
      </c>
      <c r="BI28" s="8" t="s">
        <v>197</v>
      </c>
      <c r="BJ28" s="8" t="s">
        <v>100</v>
      </c>
      <c r="BK28" s="8"/>
      <c r="BL28" s="8"/>
      <c r="BM28" s="7" t="s">
        <v>105</v>
      </c>
      <c r="BN28" s="8" t="s">
        <v>198</v>
      </c>
      <c r="BO28" s="8" t="s">
        <v>91</v>
      </c>
      <c r="BP28" s="8" t="s">
        <v>199</v>
      </c>
      <c r="BQ28" s="8" t="s">
        <v>100</v>
      </c>
      <c r="BR28" s="8" t="s">
        <v>200</v>
      </c>
      <c r="BS28" s="8" t="s">
        <v>91</v>
      </c>
      <c r="BT28" s="8" t="s">
        <v>201</v>
      </c>
      <c r="BU28" s="8" t="s">
        <v>100</v>
      </c>
      <c r="BV28" s="8"/>
      <c r="BW28" s="8"/>
      <c r="BX28" s="7" t="s">
        <v>111</v>
      </c>
      <c r="BY28" s="8" t="s">
        <v>204</v>
      </c>
      <c r="BZ28" s="8" t="s">
        <v>91</v>
      </c>
      <c r="CA28" s="8" t="s">
        <v>205</v>
      </c>
      <c r="CB28" s="8" t="s">
        <v>100</v>
      </c>
      <c r="CC28" s="8" t="s">
        <v>202</v>
      </c>
      <c r="CD28" s="8" t="s">
        <v>91</v>
      </c>
      <c r="CE28" s="8" t="s">
        <v>203</v>
      </c>
      <c r="CF28" s="8" t="s">
        <v>100</v>
      </c>
      <c r="CG28" s="8"/>
      <c r="CH28" s="8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</row>
    <row r="29" spans="1:106" ht="14.25" customHeight="1" x14ac:dyDescent="0.25">
      <c r="A29" s="6" t="s">
        <v>212</v>
      </c>
      <c r="B29" s="6" t="s">
        <v>131</v>
      </c>
      <c r="C29" s="7" t="s">
        <v>89</v>
      </c>
      <c r="D29" s="7" t="s">
        <v>88</v>
      </c>
      <c r="E29" s="8" t="s">
        <v>90</v>
      </c>
      <c r="F29" s="8" t="s">
        <v>91</v>
      </c>
      <c r="G29" s="8" t="s">
        <v>92</v>
      </c>
      <c r="H29" s="8" t="s">
        <v>91</v>
      </c>
      <c r="I29" s="8" t="s">
        <v>93</v>
      </c>
      <c r="J29" s="8" t="s">
        <v>91</v>
      </c>
      <c r="K29" s="8" t="s">
        <v>94</v>
      </c>
      <c r="L29" s="8" t="s">
        <v>91</v>
      </c>
      <c r="M29" s="8" t="s">
        <v>95</v>
      </c>
      <c r="N29" s="8" t="s">
        <v>91</v>
      </c>
      <c r="O29" s="8" t="s">
        <v>96</v>
      </c>
      <c r="P29" s="8" t="s">
        <v>91</v>
      </c>
      <c r="Q29" s="8" t="s">
        <v>117</v>
      </c>
      <c r="R29" s="7" t="s">
        <v>89</v>
      </c>
      <c r="S29" s="7" t="s">
        <v>105</v>
      </c>
      <c r="T29" s="8" t="s">
        <v>200</v>
      </c>
      <c r="U29" s="8" t="s">
        <v>91</v>
      </c>
      <c r="V29" s="8" t="s">
        <v>201</v>
      </c>
      <c r="W29" s="8" t="s">
        <v>100</v>
      </c>
      <c r="X29" s="8" t="s">
        <v>198</v>
      </c>
      <c r="Y29" s="8" t="s">
        <v>91</v>
      </c>
      <c r="Z29" s="8" t="s">
        <v>199</v>
      </c>
      <c r="AA29" s="8" t="s">
        <v>100</v>
      </c>
      <c r="AB29" s="8"/>
      <c r="AC29" s="8"/>
      <c r="AD29" s="7" t="s">
        <v>111</v>
      </c>
      <c r="AE29" s="8" t="s">
        <v>204</v>
      </c>
      <c r="AF29" s="8" t="s">
        <v>91</v>
      </c>
      <c r="AG29" s="8" t="s">
        <v>205</v>
      </c>
      <c r="AH29" s="8" t="s">
        <v>100</v>
      </c>
      <c r="AI29" s="8" t="s">
        <v>202</v>
      </c>
      <c r="AJ29" s="8" t="s">
        <v>91</v>
      </c>
      <c r="AK29" s="8" t="s">
        <v>203</v>
      </c>
      <c r="AL29" s="8" t="s">
        <v>100</v>
      </c>
      <c r="AM29" s="8"/>
      <c r="AN29" s="8"/>
      <c r="AO29" s="7" t="s">
        <v>98</v>
      </c>
      <c r="AP29" s="8" t="s">
        <v>196</v>
      </c>
      <c r="AQ29" s="8" t="s">
        <v>91</v>
      </c>
      <c r="AR29" s="8" t="s">
        <v>197</v>
      </c>
      <c r="AS29" s="8" t="s">
        <v>100</v>
      </c>
      <c r="AT29" s="8" t="s">
        <v>194</v>
      </c>
      <c r="AU29" s="8" t="s">
        <v>91</v>
      </c>
      <c r="AV29" s="8" t="s">
        <v>195</v>
      </c>
      <c r="AW29" s="8" t="s">
        <v>100</v>
      </c>
      <c r="AX29" s="8"/>
      <c r="AY29" s="8"/>
      <c r="AZ29" s="8" t="s">
        <v>97</v>
      </c>
      <c r="BA29" s="7" t="s">
        <v>88</v>
      </c>
      <c r="BB29" s="7" t="s">
        <v>98</v>
      </c>
      <c r="BC29" s="8" t="s">
        <v>188</v>
      </c>
      <c r="BD29" s="8" t="s">
        <v>91</v>
      </c>
      <c r="BE29" s="8" t="s">
        <v>187</v>
      </c>
      <c r="BF29" s="8" t="s">
        <v>100</v>
      </c>
      <c r="BG29" s="8" t="s">
        <v>184</v>
      </c>
      <c r="BH29" s="8" t="s">
        <v>91</v>
      </c>
      <c r="BI29" s="8" t="s">
        <v>185</v>
      </c>
      <c r="BJ29" s="8" t="s">
        <v>100</v>
      </c>
      <c r="BK29" s="8" t="s">
        <v>186</v>
      </c>
      <c r="BL29" s="8" t="s">
        <v>91</v>
      </c>
      <c r="BM29" s="7" t="s">
        <v>105</v>
      </c>
      <c r="BN29" s="8" t="s">
        <v>191</v>
      </c>
      <c r="BO29" s="8" t="s">
        <v>91</v>
      </c>
      <c r="BP29" s="8" t="s">
        <v>190</v>
      </c>
      <c r="BQ29" s="8" t="s">
        <v>100</v>
      </c>
      <c r="BR29" s="8" t="s">
        <v>193</v>
      </c>
      <c r="BS29" s="8" t="s">
        <v>91</v>
      </c>
      <c r="BT29" s="8" t="s">
        <v>192</v>
      </c>
      <c r="BU29" s="8" t="s">
        <v>100</v>
      </c>
      <c r="BV29" s="8" t="s">
        <v>189</v>
      </c>
      <c r="BW29" s="8" t="s">
        <v>91</v>
      </c>
      <c r="BX29" s="7" t="s">
        <v>111</v>
      </c>
      <c r="BY29" s="8" t="s">
        <v>183</v>
      </c>
      <c r="BZ29" s="8" t="s">
        <v>100</v>
      </c>
      <c r="CA29" s="8" t="s">
        <v>180</v>
      </c>
      <c r="CB29" s="8" t="s">
        <v>91</v>
      </c>
      <c r="CC29" s="8" t="s">
        <v>181</v>
      </c>
      <c r="CD29" s="8" t="s">
        <v>100</v>
      </c>
      <c r="CE29" s="8" t="s">
        <v>182</v>
      </c>
      <c r="CF29" s="8" t="s">
        <v>91</v>
      </c>
      <c r="CG29" s="8" t="s">
        <v>179</v>
      </c>
      <c r="CH29" s="8" t="s">
        <v>100</v>
      </c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</row>
    <row r="30" spans="1:106" ht="14.25" customHeight="1" x14ac:dyDescent="0.25">
      <c r="A30" s="6" t="s">
        <v>213</v>
      </c>
      <c r="B30" s="6" t="s">
        <v>87</v>
      </c>
      <c r="C30" s="7" t="s">
        <v>89</v>
      </c>
      <c r="D30" s="7" t="s">
        <v>132</v>
      </c>
      <c r="E30" s="8" t="s">
        <v>90</v>
      </c>
      <c r="F30" s="8" t="s">
        <v>91</v>
      </c>
      <c r="G30" s="8" t="s">
        <v>92</v>
      </c>
      <c r="H30" s="8" t="s">
        <v>91</v>
      </c>
      <c r="I30" s="8" t="s">
        <v>93</v>
      </c>
      <c r="J30" s="8" t="s">
        <v>91</v>
      </c>
      <c r="K30" s="8" t="s">
        <v>94</v>
      </c>
      <c r="L30" s="8" t="s">
        <v>91</v>
      </c>
      <c r="M30" s="8" t="s">
        <v>95</v>
      </c>
      <c r="N30" s="8" t="s">
        <v>91</v>
      </c>
      <c r="O30" s="8" t="s">
        <v>96</v>
      </c>
      <c r="P30" s="8" t="s">
        <v>91</v>
      </c>
      <c r="Q30" s="8" t="s">
        <v>97</v>
      </c>
      <c r="R30" s="7" t="s">
        <v>89</v>
      </c>
      <c r="S30" s="7" t="s">
        <v>105</v>
      </c>
      <c r="T30" s="8" t="s">
        <v>191</v>
      </c>
      <c r="U30" s="8" t="s">
        <v>91</v>
      </c>
      <c r="V30" s="8" t="s">
        <v>190</v>
      </c>
      <c r="W30" s="8" t="s">
        <v>100</v>
      </c>
      <c r="X30" s="8" t="s">
        <v>189</v>
      </c>
      <c r="Y30" s="8" t="s">
        <v>91</v>
      </c>
      <c r="Z30" s="8" t="s">
        <v>192</v>
      </c>
      <c r="AA30" s="8" t="s">
        <v>100</v>
      </c>
      <c r="AB30" s="8" t="s">
        <v>193</v>
      </c>
      <c r="AC30" s="8" t="s">
        <v>91</v>
      </c>
      <c r="AD30" s="7" t="s">
        <v>111</v>
      </c>
      <c r="AE30" s="8" t="s">
        <v>181</v>
      </c>
      <c r="AF30" s="8" t="s">
        <v>100</v>
      </c>
      <c r="AG30" s="8" t="s">
        <v>180</v>
      </c>
      <c r="AH30" s="8" t="s">
        <v>91</v>
      </c>
      <c r="AI30" s="8" t="s">
        <v>179</v>
      </c>
      <c r="AJ30" s="8" t="s">
        <v>100</v>
      </c>
      <c r="AK30" s="8" t="s">
        <v>182</v>
      </c>
      <c r="AL30" s="8" t="s">
        <v>91</v>
      </c>
      <c r="AM30" s="8" t="s">
        <v>183</v>
      </c>
      <c r="AN30" s="8" t="s">
        <v>100</v>
      </c>
      <c r="AO30" s="7" t="s">
        <v>98</v>
      </c>
      <c r="AP30" s="8" t="s">
        <v>188</v>
      </c>
      <c r="AQ30" s="8" t="s">
        <v>91</v>
      </c>
      <c r="AR30" s="8" t="s">
        <v>187</v>
      </c>
      <c r="AS30" s="8" t="s">
        <v>100</v>
      </c>
      <c r="AT30" s="8" t="s">
        <v>184</v>
      </c>
      <c r="AU30" s="8" t="s">
        <v>91</v>
      </c>
      <c r="AV30" s="8" t="s">
        <v>185</v>
      </c>
      <c r="AW30" s="8" t="s">
        <v>100</v>
      </c>
      <c r="AX30" s="8" t="s">
        <v>186</v>
      </c>
      <c r="AY30" s="8" t="s">
        <v>91</v>
      </c>
      <c r="AZ30" s="8" t="s">
        <v>117</v>
      </c>
      <c r="BA30" s="7" t="s">
        <v>132</v>
      </c>
      <c r="BB30" s="7" t="s">
        <v>111</v>
      </c>
      <c r="BC30" s="8" t="s">
        <v>204</v>
      </c>
      <c r="BD30" s="8" t="s">
        <v>91</v>
      </c>
      <c r="BE30" s="8" t="s">
        <v>205</v>
      </c>
      <c r="BF30" s="8" t="s">
        <v>100</v>
      </c>
      <c r="BG30" s="8" t="s">
        <v>202</v>
      </c>
      <c r="BH30" s="8" t="s">
        <v>91</v>
      </c>
      <c r="BI30" s="8" t="s">
        <v>203</v>
      </c>
      <c r="BJ30" s="8" t="s">
        <v>100</v>
      </c>
      <c r="BK30" s="8"/>
      <c r="BL30" s="8"/>
      <c r="BM30" s="7" t="s">
        <v>98</v>
      </c>
      <c r="BN30" s="8" t="s">
        <v>196</v>
      </c>
      <c r="BO30" s="8" t="s">
        <v>91</v>
      </c>
      <c r="BP30" s="8" t="s">
        <v>195</v>
      </c>
      <c r="BQ30" s="8" t="s">
        <v>100</v>
      </c>
      <c r="BR30" s="8" t="s">
        <v>194</v>
      </c>
      <c r="BS30" s="8" t="s">
        <v>91</v>
      </c>
      <c r="BT30" s="8" t="s">
        <v>197</v>
      </c>
      <c r="BU30" s="8" t="s">
        <v>100</v>
      </c>
      <c r="BV30" s="8"/>
      <c r="BW30" s="8"/>
      <c r="BX30" s="7" t="s">
        <v>105</v>
      </c>
      <c r="BY30" s="8" t="s">
        <v>200</v>
      </c>
      <c r="BZ30" s="8" t="s">
        <v>91</v>
      </c>
      <c r="CA30" s="8" t="s">
        <v>199</v>
      </c>
      <c r="CB30" s="8" t="s">
        <v>100</v>
      </c>
      <c r="CC30" s="8" t="s">
        <v>198</v>
      </c>
      <c r="CD30" s="8" t="s">
        <v>91</v>
      </c>
      <c r="CE30" s="8" t="s">
        <v>201</v>
      </c>
      <c r="CF30" s="8" t="s">
        <v>100</v>
      </c>
      <c r="CG30" s="8"/>
      <c r="CH30" s="8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</row>
    <row r="31" spans="1:106" ht="14.25" customHeight="1" x14ac:dyDescent="0.25">
      <c r="A31" s="6" t="s">
        <v>214</v>
      </c>
      <c r="B31" s="6" t="s">
        <v>131</v>
      </c>
      <c r="C31" s="7" t="s">
        <v>88</v>
      </c>
      <c r="D31" s="7" t="s">
        <v>132</v>
      </c>
      <c r="E31" s="8" t="s">
        <v>90</v>
      </c>
      <c r="F31" s="8" t="s">
        <v>91</v>
      </c>
      <c r="G31" s="8" t="s">
        <v>92</v>
      </c>
      <c r="H31" s="8" t="s">
        <v>91</v>
      </c>
      <c r="I31" s="8" t="s">
        <v>93</v>
      </c>
      <c r="J31" s="8" t="s">
        <v>91</v>
      </c>
      <c r="K31" s="8" t="s">
        <v>94</v>
      </c>
      <c r="L31" s="8" t="s">
        <v>91</v>
      </c>
      <c r="M31" s="8" t="s">
        <v>95</v>
      </c>
      <c r="N31" s="8" t="s">
        <v>91</v>
      </c>
      <c r="O31" s="8" t="s">
        <v>96</v>
      </c>
      <c r="P31" s="8" t="s">
        <v>91</v>
      </c>
      <c r="Q31" s="8" t="s">
        <v>117</v>
      </c>
      <c r="R31" s="7" t="s">
        <v>88</v>
      </c>
      <c r="S31" s="7" t="s">
        <v>98</v>
      </c>
      <c r="T31" s="8" t="s">
        <v>194</v>
      </c>
      <c r="U31" s="8" t="s">
        <v>91</v>
      </c>
      <c r="V31" s="8" t="s">
        <v>195</v>
      </c>
      <c r="W31" s="8" t="s">
        <v>100</v>
      </c>
      <c r="X31" s="8" t="s">
        <v>196</v>
      </c>
      <c r="Y31" s="8" t="s">
        <v>91</v>
      </c>
      <c r="Z31" s="8" t="s">
        <v>197</v>
      </c>
      <c r="AA31" s="8" t="s">
        <v>100</v>
      </c>
      <c r="AB31" s="8"/>
      <c r="AC31" s="8"/>
      <c r="AD31" s="7" t="s">
        <v>105</v>
      </c>
      <c r="AE31" s="8" t="s">
        <v>198</v>
      </c>
      <c r="AF31" s="8" t="s">
        <v>91</v>
      </c>
      <c r="AG31" s="8" t="s">
        <v>201</v>
      </c>
      <c r="AH31" s="8" t="s">
        <v>100</v>
      </c>
      <c r="AI31" s="8" t="s">
        <v>200</v>
      </c>
      <c r="AJ31" s="8" t="s">
        <v>91</v>
      </c>
      <c r="AK31" s="8" t="s">
        <v>199</v>
      </c>
      <c r="AL31" s="8" t="s">
        <v>100</v>
      </c>
      <c r="AM31" s="8"/>
      <c r="AN31" s="8"/>
      <c r="AO31" s="7" t="s">
        <v>111</v>
      </c>
      <c r="AP31" s="8" t="s">
        <v>204</v>
      </c>
      <c r="AQ31" s="8" t="s">
        <v>91</v>
      </c>
      <c r="AR31" s="8" t="s">
        <v>203</v>
      </c>
      <c r="AS31" s="8" t="s">
        <v>100</v>
      </c>
      <c r="AT31" s="8" t="s">
        <v>202</v>
      </c>
      <c r="AU31" s="8" t="s">
        <v>91</v>
      </c>
      <c r="AV31" s="8" t="s">
        <v>205</v>
      </c>
      <c r="AW31" s="8" t="s">
        <v>100</v>
      </c>
      <c r="AX31" s="8"/>
      <c r="AY31" s="8"/>
      <c r="AZ31" s="8" t="s">
        <v>97</v>
      </c>
      <c r="BA31" s="7" t="s">
        <v>132</v>
      </c>
      <c r="BB31" s="7" t="s">
        <v>111</v>
      </c>
      <c r="BC31" s="8" t="s">
        <v>183</v>
      </c>
      <c r="BD31" s="8" t="s">
        <v>100</v>
      </c>
      <c r="BE31" s="8" t="s">
        <v>182</v>
      </c>
      <c r="BF31" s="8" t="s">
        <v>91</v>
      </c>
      <c r="BG31" s="8" t="s">
        <v>181</v>
      </c>
      <c r="BH31" s="8" t="s">
        <v>100</v>
      </c>
      <c r="BI31" s="8" t="s">
        <v>180</v>
      </c>
      <c r="BJ31" s="8" t="s">
        <v>91</v>
      </c>
      <c r="BK31" s="8" t="s">
        <v>179</v>
      </c>
      <c r="BL31" s="8" t="s">
        <v>100</v>
      </c>
      <c r="BM31" s="7" t="s">
        <v>98</v>
      </c>
      <c r="BN31" s="8" t="s">
        <v>186</v>
      </c>
      <c r="BO31" s="8" t="s">
        <v>91</v>
      </c>
      <c r="BP31" s="8" t="s">
        <v>187</v>
      </c>
      <c r="BQ31" s="8" t="s">
        <v>100</v>
      </c>
      <c r="BR31" s="8" t="s">
        <v>188</v>
      </c>
      <c r="BS31" s="8" t="s">
        <v>91</v>
      </c>
      <c r="BT31" s="8" t="s">
        <v>185</v>
      </c>
      <c r="BU31" s="8" t="s">
        <v>100</v>
      </c>
      <c r="BV31" s="8" t="s">
        <v>184</v>
      </c>
      <c r="BW31" s="8" t="s">
        <v>91</v>
      </c>
      <c r="BX31" s="7" t="s">
        <v>105</v>
      </c>
      <c r="BY31" s="8" t="s">
        <v>193</v>
      </c>
      <c r="BZ31" s="8" t="s">
        <v>91</v>
      </c>
      <c r="CA31" s="8" t="s">
        <v>192</v>
      </c>
      <c r="CB31" s="8" t="s">
        <v>100</v>
      </c>
      <c r="CC31" s="8" t="s">
        <v>189</v>
      </c>
      <c r="CD31" s="8" t="s">
        <v>91</v>
      </c>
      <c r="CE31" s="8" t="s">
        <v>190</v>
      </c>
      <c r="CF31" s="8" t="s">
        <v>100</v>
      </c>
      <c r="CG31" s="8" t="s">
        <v>191</v>
      </c>
      <c r="CH31" s="8" t="s">
        <v>91</v>
      </c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</row>
    <row r="32" spans="1:106" ht="15.75" customHeight="1" x14ac:dyDescent="0.25">
      <c r="A32" s="9"/>
      <c r="B32" s="9"/>
      <c r="C32" s="9"/>
      <c r="D32" s="10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</row>
    <row r="33" spans="1:106" ht="15.75" customHeight="1" x14ac:dyDescent="0.25">
      <c r="A33" s="9"/>
      <c r="B33" s="9"/>
      <c r="C33" s="9"/>
      <c r="D33" s="10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</row>
    <row r="34" spans="1:106" ht="15.75" customHeight="1" x14ac:dyDescent="0.25">
      <c r="A34" s="9"/>
      <c r="B34" s="9"/>
      <c r="C34" s="9"/>
      <c r="D34" s="1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</row>
    <row r="35" spans="1:106" ht="15.75" customHeight="1" x14ac:dyDescent="0.25">
      <c r="A35" s="9"/>
      <c r="B35" s="9"/>
      <c r="C35" s="9"/>
      <c r="D35" s="10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</row>
    <row r="36" spans="1:106" ht="15.75" customHeight="1" x14ac:dyDescent="0.25">
      <c r="A36" s="9"/>
      <c r="B36" s="9"/>
      <c r="C36" s="9"/>
      <c r="D36" s="10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</row>
    <row r="37" spans="1:106" ht="15.75" customHeight="1" x14ac:dyDescent="0.25">
      <c r="A37" s="9"/>
      <c r="B37" s="9"/>
      <c r="C37" s="9"/>
      <c r="D37" s="10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</row>
    <row r="38" spans="1:106" ht="15.75" customHeight="1" x14ac:dyDescent="0.25">
      <c r="A38" s="9"/>
      <c r="B38" s="9"/>
      <c r="C38" s="9"/>
      <c r="D38" s="10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</row>
    <row r="39" spans="1:106" ht="15.75" customHeight="1" x14ac:dyDescent="0.25">
      <c r="A39" s="9"/>
      <c r="B39" s="9"/>
      <c r="C39" s="9"/>
      <c r="D39" s="10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</row>
    <row r="40" spans="1:106" ht="15.75" customHeight="1" x14ac:dyDescent="0.25">
      <c r="A40" s="9"/>
      <c r="B40" s="9"/>
      <c r="C40" s="9"/>
      <c r="D40" s="1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</row>
    <row r="41" spans="1:106" ht="15.75" customHeight="1" x14ac:dyDescent="0.25">
      <c r="A41" s="9"/>
      <c r="B41" s="9"/>
      <c r="C41" s="9"/>
      <c r="D41" s="10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</row>
    <row r="42" spans="1:106" ht="15.75" customHeight="1" x14ac:dyDescent="0.25">
      <c r="A42" s="9"/>
      <c r="B42" s="9"/>
      <c r="C42" s="9"/>
      <c r="D42" s="10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</row>
    <row r="43" spans="1:106" ht="15.75" customHeight="1" x14ac:dyDescent="0.25">
      <c r="A43" s="9"/>
      <c r="B43" s="9"/>
      <c r="C43" s="9"/>
      <c r="D43" s="10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</row>
    <row r="44" spans="1:106" ht="15.75" customHeight="1" x14ac:dyDescent="0.25">
      <c r="A44" s="9"/>
      <c r="B44" s="9"/>
      <c r="C44" s="9"/>
      <c r="D44" s="10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</row>
    <row r="45" spans="1:106" ht="15.75" customHeight="1" x14ac:dyDescent="0.25">
      <c r="A45" s="9"/>
      <c r="B45" s="9"/>
      <c r="C45" s="9"/>
      <c r="D45" s="10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</row>
    <row r="46" spans="1:106" ht="15.75" customHeight="1" x14ac:dyDescent="0.25">
      <c r="A46" s="9"/>
      <c r="B46" s="9"/>
      <c r="C46" s="9"/>
      <c r="D46" s="10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</row>
    <row r="47" spans="1:106" ht="15.75" customHeight="1" x14ac:dyDescent="0.25">
      <c r="A47" s="9"/>
      <c r="B47" s="9"/>
      <c r="C47" s="9"/>
      <c r="D47" s="1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</row>
    <row r="48" spans="1:106" ht="15.75" customHeight="1" x14ac:dyDescent="0.25">
      <c r="A48" s="9"/>
      <c r="B48" s="9"/>
      <c r="C48" s="9"/>
      <c r="D48" s="10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</row>
    <row r="49" spans="1:106" ht="15.75" customHeight="1" x14ac:dyDescent="0.25">
      <c r="A49" s="9"/>
      <c r="B49" s="9"/>
      <c r="C49" s="9"/>
      <c r="D49" s="10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</row>
    <row r="50" spans="1:106" ht="15.75" customHeight="1" x14ac:dyDescent="0.25">
      <c r="A50" s="9"/>
      <c r="B50" s="9"/>
      <c r="C50" s="9"/>
      <c r="D50" s="10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</row>
    <row r="51" spans="1:106" ht="15.75" customHeight="1" x14ac:dyDescent="0.25">
      <c r="A51" s="9"/>
      <c r="B51" s="9"/>
      <c r="C51" s="9"/>
      <c r="D51" s="10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</row>
    <row r="52" spans="1:106" ht="15.75" customHeight="1" x14ac:dyDescent="0.25">
      <c r="A52" s="9"/>
      <c r="B52" s="9"/>
      <c r="C52" s="9"/>
      <c r="D52" s="10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</row>
    <row r="53" spans="1:106" ht="15.75" customHeight="1" x14ac:dyDescent="0.25">
      <c r="A53" s="9"/>
      <c r="B53" s="9"/>
      <c r="C53" s="9"/>
      <c r="D53" s="10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</row>
    <row r="54" spans="1:106" ht="15.75" customHeight="1" x14ac:dyDescent="0.25">
      <c r="A54" s="9"/>
      <c r="B54" s="9"/>
      <c r="C54" s="9"/>
      <c r="D54" s="1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</row>
    <row r="55" spans="1:106" ht="15.75" customHeight="1" x14ac:dyDescent="0.25">
      <c r="A55" s="9"/>
      <c r="B55" s="9"/>
      <c r="C55" s="9"/>
      <c r="D55" s="10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</row>
    <row r="56" spans="1:106" ht="15.75" customHeight="1" x14ac:dyDescent="0.25">
      <c r="A56" s="9"/>
      <c r="B56" s="9"/>
      <c r="C56" s="9"/>
      <c r="D56" s="10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</row>
    <row r="57" spans="1:106" ht="15.75" customHeight="1" x14ac:dyDescent="0.25">
      <c r="A57" s="9"/>
      <c r="B57" s="9"/>
      <c r="C57" s="9"/>
      <c r="D57" s="10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</row>
    <row r="58" spans="1:106" ht="15.75" customHeight="1" x14ac:dyDescent="0.25">
      <c r="A58" s="9"/>
      <c r="B58" s="9"/>
      <c r="C58" s="9"/>
      <c r="D58" s="10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</row>
    <row r="59" spans="1:106" ht="15.75" customHeight="1" x14ac:dyDescent="0.25">
      <c r="A59" s="9"/>
      <c r="B59" s="9"/>
      <c r="C59" s="9"/>
      <c r="D59" s="10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</row>
    <row r="60" spans="1:106" ht="15.75" customHeight="1" x14ac:dyDescent="0.25">
      <c r="A60" s="9"/>
      <c r="B60" s="9"/>
      <c r="C60" s="9"/>
      <c r="D60" s="10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</row>
    <row r="61" spans="1:106" ht="15.75" customHeight="1" x14ac:dyDescent="0.25">
      <c r="A61" s="9"/>
      <c r="B61" s="9"/>
      <c r="C61" s="9"/>
      <c r="D61" s="10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</row>
    <row r="62" spans="1:106" ht="15.75" customHeight="1" x14ac:dyDescent="0.25">
      <c r="A62" s="9"/>
      <c r="B62" s="9"/>
      <c r="C62" s="9"/>
      <c r="D62" s="10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</row>
    <row r="63" spans="1:106" ht="15.75" customHeight="1" x14ac:dyDescent="0.25">
      <c r="A63" s="9"/>
      <c r="B63" s="9"/>
      <c r="C63" s="9"/>
      <c r="D63" s="10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</row>
    <row r="64" spans="1:106" ht="15.75" customHeight="1" x14ac:dyDescent="0.25">
      <c r="A64" s="9"/>
      <c r="B64" s="9"/>
      <c r="C64" s="9"/>
      <c r="D64" s="10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</row>
    <row r="65" spans="1:106" ht="15.75" customHeight="1" x14ac:dyDescent="0.25">
      <c r="A65" s="9"/>
      <c r="B65" s="9"/>
      <c r="C65" s="9"/>
      <c r="D65" s="10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</row>
    <row r="66" spans="1:106" ht="15.75" customHeight="1" x14ac:dyDescent="0.25">
      <c r="A66" s="9"/>
      <c r="B66" s="9"/>
      <c r="C66" s="9"/>
      <c r="D66" s="10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</row>
    <row r="67" spans="1:106" ht="15.75" customHeight="1" x14ac:dyDescent="0.25">
      <c r="A67" s="9"/>
      <c r="B67" s="9"/>
      <c r="C67" s="9"/>
      <c r="D67" s="10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</row>
    <row r="68" spans="1:106" ht="15.75" customHeight="1" x14ac:dyDescent="0.25">
      <c r="A68" s="9"/>
      <c r="B68" s="9"/>
      <c r="C68" s="9"/>
      <c r="D68" s="10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</row>
    <row r="69" spans="1:106" ht="15.75" customHeight="1" x14ac:dyDescent="0.25">
      <c r="A69" s="9"/>
      <c r="B69" s="9"/>
      <c r="C69" s="9"/>
      <c r="D69" s="1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</row>
    <row r="70" spans="1:106" ht="15.75" customHeight="1" x14ac:dyDescent="0.25">
      <c r="A70" s="9"/>
      <c r="B70" s="9"/>
      <c r="C70" s="9"/>
      <c r="D70" s="10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</row>
    <row r="71" spans="1:106" ht="15.75" customHeight="1" x14ac:dyDescent="0.25">
      <c r="A71" s="9"/>
      <c r="B71" s="9"/>
      <c r="C71" s="9"/>
      <c r="D71" s="10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</row>
    <row r="72" spans="1:106" ht="15.75" customHeight="1" x14ac:dyDescent="0.25">
      <c r="A72" s="9"/>
      <c r="B72" s="9"/>
      <c r="C72" s="9"/>
      <c r="D72" s="10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</row>
    <row r="73" spans="1:106" ht="15.75" customHeight="1" x14ac:dyDescent="0.25">
      <c r="A73" s="9"/>
      <c r="B73" s="9"/>
      <c r="C73" s="9"/>
      <c r="D73" s="10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</row>
    <row r="74" spans="1:106" ht="15.75" customHeight="1" x14ac:dyDescent="0.25">
      <c r="A74" s="9"/>
      <c r="B74" s="9"/>
      <c r="C74" s="9"/>
      <c r="D74" s="10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</row>
    <row r="75" spans="1:106" ht="15.75" customHeight="1" x14ac:dyDescent="0.25">
      <c r="A75" s="9"/>
      <c r="B75" s="9"/>
      <c r="C75" s="9"/>
      <c r="D75" s="10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</row>
    <row r="76" spans="1:106" ht="15.75" customHeight="1" x14ac:dyDescent="0.25">
      <c r="A76" s="9"/>
      <c r="B76" s="9"/>
      <c r="C76" s="9"/>
      <c r="D76" s="10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</row>
    <row r="77" spans="1:106" ht="15.75" customHeight="1" x14ac:dyDescent="0.25">
      <c r="A77" s="9"/>
      <c r="B77" s="9"/>
      <c r="C77" s="9"/>
      <c r="D77" s="10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</row>
    <row r="78" spans="1:106" ht="15.75" customHeight="1" x14ac:dyDescent="0.25">
      <c r="A78" s="9"/>
      <c r="B78" s="9"/>
      <c r="C78" s="9"/>
      <c r="D78" s="10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</row>
    <row r="79" spans="1:106" ht="15.75" customHeight="1" x14ac:dyDescent="0.25">
      <c r="A79" s="9"/>
      <c r="B79" s="9"/>
      <c r="C79" s="9"/>
      <c r="D79" s="10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</row>
    <row r="80" spans="1:106" ht="15.75" customHeight="1" x14ac:dyDescent="0.25">
      <c r="A80" s="9"/>
      <c r="B80" s="9"/>
      <c r="C80" s="9"/>
      <c r="D80" s="10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</row>
    <row r="81" spans="1:106" ht="15.75" customHeight="1" x14ac:dyDescent="0.25">
      <c r="A81" s="9"/>
      <c r="B81" s="9"/>
      <c r="C81" s="9"/>
      <c r="D81" s="10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</row>
    <row r="82" spans="1:106" ht="15.75" customHeight="1" x14ac:dyDescent="0.25">
      <c r="A82" s="9"/>
      <c r="B82" s="9"/>
      <c r="C82" s="9"/>
      <c r="D82" s="10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</row>
    <row r="83" spans="1:106" ht="15.75" customHeight="1" x14ac:dyDescent="0.25">
      <c r="A83" s="9"/>
      <c r="B83" s="9"/>
      <c r="C83" s="9"/>
      <c r="D83" s="10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</row>
    <row r="84" spans="1:106" ht="15.75" customHeight="1" x14ac:dyDescent="0.25">
      <c r="A84" s="9"/>
      <c r="B84" s="9"/>
      <c r="C84" s="9"/>
      <c r="D84" s="10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</row>
    <row r="85" spans="1:106" ht="15.75" customHeight="1" x14ac:dyDescent="0.25">
      <c r="A85" s="9"/>
      <c r="B85" s="9"/>
      <c r="C85" s="9"/>
      <c r="D85" s="10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</row>
    <row r="86" spans="1:106" ht="15.75" customHeight="1" x14ac:dyDescent="0.25">
      <c r="A86" s="9"/>
      <c r="B86" s="9"/>
      <c r="C86" s="9"/>
      <c r="D86" s="10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</row>
    <row r="87" spans="1:106" ht="15.75" customHeight="1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</row>
    <row r="88" spans="1:106" ht="15.75" customHeight="1" x14ac:dyDescent="0.25">
      <c r="A88" s="9"/>
      <c r="B88" s="9"/>
      <c r="C88" s="9"/>
      <c r="D88" s="10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</row>
    <row r="89" spans="1:106" ht="15.75" customHeight="1" x14ac:dyDescent="0.25">
      <c r="A89" s="9"/>
      <c r="B89" s="9"/>
      <c r="C89" s="9"/>
      <c r="D89" s="10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</row>
    <row r="90" spans="1:106" ht="15.75" customHeight="1" x14ac:dyDescent="0.25">
      <c r="A90" s="9"/>
      <c r="B90" s="9"/>
      <c r="C90" s="9"/>
      <c r="D90" s="10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</row>
    <row r="91" spans="1:106" ht="15.75" customHeight="1" x14ac:dyDescent="0.25">
      <c r="A91" s="9"/>
      <c r="B91" s="9"/>
      <c r="C91" s="9"/>
      <c r="D91" s="10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</row>
    <row r="92" spans="1:106" ht="15.75" customHeight="1" x14ac:dyDescent="0.25">
      <c r="A92" s="9"/>
      <c r="B92" s="9"/>
      <c r="C92" s="9"/>
      <c r="D92" s="10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</row>
    <row r="93" spans="1:106" ht="15.75" customHeight="1" x14ac:dyDescent="0.25">
      <c r="A93" s="9"/>
      <c r="B93" s="9"/>
      <c r="C93" s="9"/>
      <c r="D93" s="10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</row>
    <row r="94" spans="1:106" ht="15.75" customHeight="1" x14ac:dyDescent="0.25">
      <c r="A94" s="9"/>
      <c r="B94" s="9"/>
      <c r="C94" s="9"/>
      <c r="D94" s="10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</row>
    <row r="95" spans="1:106" ht="15.75" customHeight="1" x14ac:dyDescent="0.25">
      <c r="A95" s="9"/>
      <c r="B95" s="9"/>
      <c r="C95" s="9"/>
      <c r="D95" s="10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</row>
    <row r="96" spans="1:106" ht="15.75" customHeight="1" x14ac:dyDescent="0.25">
      <c r="A96" s="9"/>
      <c r="B96" s="9"/>
      <c r="C96" s="9"/>
      <c r="D96" s="10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</row>
    <row r="97" spans="1:106" ht="15.75" customHeight="1" x14ac:dyDescent="0.25">
      <c r="A97" s="9"/>
      <c r="B97" s="9"/>
      <c r="C97" s="9"/>
      <c r="D97" s="10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</row>
    <row r="98" spans="1:106" ht="15.75" customHeight="1" x14ac:dyDescent="0.25">
      <c r="A98" s="9"/>
      <c r="B98" s="9"/>
      <c r="C98" s="9"/>
      <c r="D98" s="10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</row>
    <row r="99" spans="1:106" ht="15.75" customHeight="1" x14ac:dyDescent="0.25">
      <c r="A99" s="9"/>
      <c r="B99" s="9"/>
      <c r="C99" s="9"/>
      <c r="D99" s="10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</row>
    <row r="100" spans="1:106" ht="15.75" customHeight="1" x14ac:dyDescent="0.25">
      <c r="A100" s="9"/>
      <c r="B100" s="9"/>
      <c r="C100" s="9"/>
      <c r="D100" s="10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</row>
    <row r="101" spans="1:106" ht="15.75" customHeight="1" x14ac:dyDescent="0.25">
      <c r="A101" s="9"/>
      <c r="B101" s="9"/>
      <c r="C101" s="9"/>
      <c r="D101" s="10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</row>
    <row r="102" spans="1:106" ht="15.75" customHeight="1" x14ac:dyDescent="0.25">
      <c r="A102" s="9"/>
      <c r="B102" s="9"/>
      <c r="C102" s="9"/>
      <c r="D102" s="10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</row>
    <row r="103" spans="1:106" ht="15.75" customHeight="1" x14ac:dyDescent="0.25">
      <c r="A103" s="9"/>
      <c r="B103" s="9"/>
      <c r="C103" s="9"/>
      <c r="D103" s="10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</row>
    <row r="104" spans="1:106" ht="15.75" customHeight="1" x14ac:dyDescent="0.25">
      <c r="A104" s="9"/>
      <c r="B104" s="9"/>
      <c r="C104" s="9"/>
      <c r="D104" s="10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</row>
    <row r="105" spans="1:106" ht="15.75" customHeight="1" x14ac:dyDescent="0.25">
      <c r="A105" s="9"/>
      <c r="B105" s="9"/>
      <c r="C105" s="9"/>
      <c r="D105" s="10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</row>
    <row r="106" spans="1:106" ht="15.75" customHeight="1" x14ac:dyDescent="0.25">
      <c r="A106" s="9"/>
      <c r="B106" s="9"/>
      <c r="C106" s="9"/>
      <c r="D106" s="10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</row>
    <row r="107" spans="1:106" ht="15.75" customHeight="1" x14ac:dyDescent="0.25">
      <c r="A107" s="9"/>
      <c r="B107" s="9"/>
      <c r="C107" s="9"/>
      <c r="D107" s="10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</row>
    <row r="108" spans="1:106" ht="15.75" customHeight="1" x14ac:dyDescent="0.25">
      <c r="A108" s="9"/>
      <c r="B108" s="9"/>
      <c r="C108" s="9"/>
      <c r="D108" s="10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</row>
    <row r="109" spans="1:106" ht="15.75" customHeight="1" x14ac:dyDescent="0.25">
      <c r="A109" s="9"/>
      <c r="B109" s="9"/>
      <c r="C109" s="9"/>
      <c r="D109" s="10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</row>
    <row r="110" spans="1:106" ht="15.75" customHeight="1" x14ac:dyDescent="0.25">
      <c r="A110" s="9"/>
      <c r="B110" s="9"/>
      <c r="C110" s="9"/>
      <c r="D110" s="10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</row>
    <row r="111" spans="1:106" ht="15.75" customHeight="1" x14ac:dyDescent="0.25">
      <c r="A111" s="9"/>
      <c r="B111" s="9"/>
      <c r="C111" s="9"/>
      <c r="D111" s="10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</row>
    <row r="112" spans="1:106" ht="15.75" customHeight="1" x14ac:dyDescent="0.25">
      <c r="A112" s="9"/>
      <c r="B112" s="9"/>
      <c r="C112" s="9"/>
      <c r="D112" s="10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</row>
    <row r="113" spans="1:106" ht="15.75" customHeight="1" x14ac:dyDescent="0.25">
      <c r="A113" s="9"/>
      <c r="B113" s="9"/>
      <c r="C113" s="9"/>
      <c r="D113" s="10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</row>
    <row r="114" spans="1:106" ht="15.75" customHeight="1" x14ac:dyDescent="0.25">
      <c r="A114" s="9"/>
      <c r="B114" s="9"/>
      <c r="C114" s="9"/>
      <c r="D114" s="10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</row>
    <row r="115" spans="1:106" ht="15.75" customHeight="1" x14ac:dyDescent="0.25">
      <c r="A115" s="9"/>
      <c r="B115" s="9"/>
      <c r="C115" s="9"/>
      <c r="D115" s="10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</row>
    <row r="116" spans="1:106" ht="15.75" customHeight="1" x14ac:dyDescent="0.25">
      <c r="A116" s="9"/>
      <c r="B116" s="9"/>
      <c r="C116" s="9"/>
      <c r="D116" s="10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</row>
    <row r="117" spans="1:106" ht="15.75" customHeight="1" x14ac:dyDescent="0.25">
      <c r="A117" s="9"/>
      <c r="B117" s="9"/>
      <c r="C117" s="9"/>
      <c r="D117" s="10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</row>
    <row r="118" spans="1:106" ht="15.75" customHeight="1" x14ac:dyDescent="0.25">
      <c r="A118" s="9"/>
      <c r="B118" s="9"/>
      <c r="C118" s="9"/>
      <c r="D118" s="10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</row>
    <row r="119" spans="1:106" ht="15.75" customHeight="1" x14ac:dyDescent="0.25">
      <c r="A119" s="9"/>
      <c r="B119" s="9"/>
      <c r="C119" s="9"/>
      <c r="D119" s="10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</row>
    <row r="120" spans="1:106" ht="15.75" customHeight="1" x14ac:dyDescent="0.25">
      <c r="A120" s="9"/>
      <c r="B120" s="9"/>
      <c r="C120" s="9"/>
      <c r="D120" s="10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</row>
    <row r="121" spans="1:106" ht="15.75" customHeight="1" x14ac:dyDescent="0.25">
      <c r="A121" s="9"/>
      <c r="B121" s="9"/>
      <c r="C121" s="9"/>
      <c r="D121" s="10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</row>
    <row r="122" spans="1:106" ht="15.75" customHeight="1" x14ac:dyDescent="0.25">
      <c r="A122" s="9"/>
      <c r="B122" s="9"/>
      <c r="C122" s="9"/>
      <c r="D122" s="10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</row>
    <row r="123" spans="1:106" ht="15.75" customHeight="1" x14ac:dyDescent="0.25">
      <c r="A123" s="9"/>
      <c r="B123" s="9"/>
      <c r="C123" s="9"/>
      <c r="D123" s="10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</row>
    <row r="124" spans="1:106" ht="15.75" customHeight="1" x14ac:dyDescent="0.25">
      <c r="A124" s="9"/>
      <c r="B124" s="9"/>
      <c r="C124" s="9"/>
      <c r="D124" s="10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</row>
    <row r="125" spans="1:106" ht="15.75" customHeight="1" x14ac:dyDescent="0.25">
      <c r="A125" s="9"/>
      <c r="B125" s="9"/>
      <c r="C125" s="9"/>
      <c r="D125" s="10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</row>
    <row r="126" spans="1:106" ht="15.75" customHeight="1" x14ac:dyDescent="0.25">
      <c r="A126" s="9"/>
      <c r="B126" s="9"/>
      <c r="C126" s="9"/>
      <c r="D126" s="10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</row>
    <row r="127" spans="1:106" ht="15.75" customHeight="1" x14ac:dyDescent="0.25">
      <c r="A127" s="9"/>
      <c r="B127" s="9"/>
      <c r="C127" s="9"/>
      <c r="D127" s="10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</row>
    <row r="128" spans="1:106" ht="15.75" customHeight="1" x14ac:dyDescent="0.25">
      <c r="A128" s="9"/>
      <c r="B128" s="9"/>
      <c r="C128" s="9"/>
      <c r="D128" s="10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</row>
    <row r="129" spans="1:106" ht="15.75" customHeight="1" x14ac:dyDescent="0.25">
      <c r="A129" s="9"/>
      <c r="B129" s="9"/>
      <c r="C129" s="9"/>
      <c r="D129" s="10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</row>
    <row r="130" spans="1:106" ht="15.75" customHeight="1" x14ac:dyDescent="0.25">
      <c r="A130" s="9"/>
      <c r="B130" s="9"/>
      <c r="C130" s="9"/>
      <c r="D130" s="10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</row>
    <row r="131" spans="1:106" ht="15.75" customHeight="1" x14ac:dyDescent="0.25">
      <c r="A131" s="9"/>
      <c r="B131" s="9"/>
      <c r="C131" s="9"/>
      <c r="D131" s="10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</row>
    <row r="132" spans="1:106" ht="15.75" customHeight="1" x14ac:dyDescent="0.25">
      <c r="A132" s="9"/>
      <c r="B132" s="9"/>
      <c r="C132" s="9"/>
      <c r="D132" s="10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</row>
    <row r="133" spans="1:106" ht="15.75" customHeight="1" x14ac:dyDescent="0.25">
      <c r="A133" s="9"/>
      <c r="B133" s="9"/>
      <c r="C133" s="9"/>
      <c r="D133" s="10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</row>
    <row r="134" spans="1:106" ht="15.75" customHeight="1" x14ac:dyDescent="0.25">
      <c r="A134" s="9"/>
      <c r="B134" s="9"/>
      <c r="C134" s="9"/>
      <c r="D134" s="10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</row>
    <row r="135" spans="1:106" ht="15.75" customHeight="1" x14ac:dyDescent="0.25">
      <c r="A135" s="9"/>
      <c r="B135" s="9"/>
      <c r="C135" s="9"/>
      <c r="D135" s="10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</row>
    <row r="136" spans="1:106" ht="15.75" customHeight="1" x14ac:dyDescent="0.25">
      <c r="A136" s="9"/>
      <c r="B136" s="9"/>
      <c r="C136" s="9"/>
      <c r="D136" s="10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</row>
    <row r="137" spans="1:106" ht="15.75" customHeight="1" x14ac:dyDescent="0.25">
      <c r="A137" s="9"/>
      <c r="B137" s="9"/>
      <c r="C137" s="9"/>
      <c r="D137" s="10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</row>
    <row r="138" spans="1:106" ht="15.75" customHeight="1" x14ac:dyDescent="0.25">
      <c r="A138" s="9"/>
      <c r="B138" s="9"/>
      <c r="C138" s="9"/>
      <c r="D138" s="10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</row>
    <row r="139" spans="1:106" ht="15.75" customHeight="1" x14ac:dyDescent="0.25">
      <c r="A139" s="9"/>
      <c r="B139" s="9"/>
      <c r="C139" s="9"/>
      <c r="D139" s="10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</row>
    <row r="140" spans="1:106" ht="15.75" customHeight="1" x14ac:dyDescent="0.25">
      <c r="A140" s="9"/>
      <c r="B140" s="9"/>
      <c r="C140" s="9"/>
      <c r="D140" s="10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</row>
    <row r="141" spans="1:106" ht="15.75" customHeight="1" x14ac:dyDescent="0.25">
      <c r="A141" s="9"/>
      <c r="B141" s="9"/>
      <c r="C141" s="9"/>
      <c r="D141" s="10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</row>
    <row r="142" spans="1:106" ht="15.75" customHeight="1" x14ac:dyDescent="0.25">
      <c r="A142" s="9"/>
      <c r="B142" s="9"/>
      <c r="C142" s="9"/>
      <c r="D142" s="1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</row>
    <row r="143" spans="1:106" ht="15.75" customHeight="1" x14ac:dyDescent="0.25">
      <c r="A143" s="9"/>
      <c r="B143" s="9"/>
      <c r="C143" s="9"/>
      <c r="D143" s="1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</row>
    <row r="144" spans="1:106" ht="15.75" customHeight="1" x14ac:dyDescent="0.25">
      <c r="A144" s="9"/>
      <c r="B144" s="9"/>
      <c r="C144" s="9"/>
      <c r="D144" s="10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</row>
    <row r="145" spans="1:106" ht="15.75" customHeight="1" x14ac:dyDescent="0.25">
      <c r="A145" s="9"/>
      <c r="B145" s="9"/>
      <c r="C145" s="9"/>
      <c r="D145" s="10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</row>
    <row r="146" spans="1:106" ht="15.75" customHeight="1" x14ac:dyDescent="0.25">
      <c r="A146" s="9"/>
      <c r="B146" s="9"/>
      <c r="C146" s="9"/>
      <c r="D146" s="10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</row>
    <row r="147" spans="1:106" ht="15.75" customHeight="1" x14ac:dyDescent="0.25">
      <c r="A147" s="9"/>
      <c r="B147" s="9"/>
      <c r="C147" s="9"/>
      <c r="D147" s="10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</row>
    <row r="148" spans="1:106" ht="15.75" customHeight="1" x14ac:dyDescent="0.25">
      <c r="A148" s="9"/>
      <c r="B148" s="9"/>
      <c r="C148" s="9"/>
      <c r="D148" s="10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</row>
    <row r="149" spans="1:106" ht="15.75" customHeight="1" x14ac:dyDescent="0.25">
      <c r="A149" s="9"/>
      <c r="B149" s="9"/>
      <c r="C149" s="9"/>
      <c r="D149" s="1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</row>
    <row r="150" spans="1:106" ht="15.75" customHeight="1" x14ac:dyDescent="0.25">
      <c r="A150" s="9"/>
      <c r="B150" s="9"/>
      <c r="C150" s="9"/>
      <c r="D150" s="10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</row>
    <row r="151" spans="1:106" ht="15.75" customHeight="1" x14ac:dyDescent="0.25">
      <c r="A151" s="9"/>
      <c r="B151" s="9"/>
      <c r="C151" s="9"/>
      <c r="D151" s="10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</row>
    <row r="152" spans="1:106" ht="15.75" customHeight="1" x14ac:dyDescent="0.25">
      <c r="A152" s="9"/>
      <c r="B152" s="9"/>
      <c r="C152" s="9"/>
      <c r="D152" s="10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</row>
    <row r="153" spans="1:106" ht="15.75" customHeight="1" x14ac:dyDescent="0.25">
      <c r="A153" s="9"/>
      <c r="B153" s="9"/>
      <c r="C153" s="9"/>
      <c r="D153" s="1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</row>
    <row r="154" spans="1:106" ht="15.75" customHeight="1" x14ac:dyDescent="0.25">
      <c r="A154" s="9"/>
      <c r="B154" s="9"/>
      <c r="C154" s="9"/>
      <c r="D154" s="1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</row>
    <row r="155" spans="1:106" ht="15.75" customHeight="1" x14ac:dyDescent="0.25">
      <c r="A155" s="9"/>
      <c r="B155" s="9"/>
      <c r="C155" s="9"/>
      <c r="D155" s="10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</row>
    <row r="156" spans="1:106" ht="15.75" customHeight="1" x14ac:dyDescent="0.25">
      <c r="A156" s="9"/>
      <c r="B156" s="9"/>
      <c r="C156" s="9"/>
      <c r="D156" s="10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</row>
    <row r="157" spans="1:106" ht="15.75" customHeight="1" x14ac:dyDescent="0.25">
      <c r="A157" s="9"/>
      <c r="B157" s="9"/>
      <c r="C157" s="9"/>
      <c r="D157" s="10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</row>
    <row r="158" spans="1:106" ht="15.75" customHeight="1" x14ac:dyDescent="0.25">
      <c r="A158" s="9"/>
      <c r="B158" s="9"/>
      <c r="C158" s="9"/>
      <c r="D158" s="10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</row>
    <row r="159" spans="1:106" ht="15.75" customHeight="1" x14ac:dyDescent="0.25">
      <c r="A159" s="9"/>
      <c r="B159" s="9"/>
      <c r="C159" s="9"/>
      <c r="D159" s="1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</row>
    <row r="160" spans="1:106" ht="15.75" customHeight="1" x14ac:dyDescent="0.25">
      <c r="A160" s="9"/>
      <c r="B160" s="9"/>
      <c r="C160" s="9"/>
      <c r="D160" s="1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</row>
    <row r="161" spans="1:106" ht="15.75" customHeight="1" x14ac:dyDescent="0.25">
      <c r="A161" s="9"/>
      <c r="B161" s="9"/>
      <c r="C161" s="9"/>
      <c r="D161" s="1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</row>
    <row r="162" spans="1:106" ht="15.75" customHeight="1" x14ac:dyDescent="0.25">
      <c r="A162" s="9"/>
      <c r="B162" s="9"/>
      <c r="C162" s="9"/>
      <c r="D162" s="10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</row>
    <row r="163" spans="1:106" ht="15.75" customHeight="1" x14ac:dyDescent="0.25">
      <c r="A163" s="9"/>
      <c r="B163" s="9"/>
      <c r="C163" s="9"/>
      <c r="D163" s="10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</row>
    <row r="164" spans="1:106" ht="15.75" customHeight="1" x14ac:dyDescent="0.25">
      <c r="A164" s="9"/>
      <c r="B164" s="9"/>
      <c r="C164" s="9"/>
      <c r="D164" s="10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</row>
    <row r="165" spans="1:106" ht="15.75" customHeight="1" x14ac:dyDescent="0.25">
      <c r="A165" s="9"/>
      <c r="B165" s="9"/>
      <c r="C165" s="9"/>
      <c r="D165" s="10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</row>
    <row r="166" spans="1:106" ht="15.75" customHeight="1" x14ac:dyDescent="0.25">
      <c r="A166" s="9"/>
      <c r="B166" s="9"/>
      <c r="C166" s="9"/>
      <c r="D166" s="10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</row>
    <row r="167" spans="1:106" ht="15.75" customHeight="1" x14ac:dyDescent="0.25">
      <c r="A167" s="9"/>
      <c r="B167" s="9"/>
      <c r="C167" s="9"/>
      <c r="D167" s="10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</row>
    <row r="168" spans="1:106" ht="15.75" customHeight="1" x14ac:dyDescent="0.25">
      <c r="A168" s="9"/>
      <c r="B168" s="9"/>
      <c r="C168" s="9"/>
      <c r="D168" s="10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</row>
    <row r="169" spans="1:106" ht="15.75" customHeight="1" x14ac:dyDescent="0.25">
      <c r="A169" s="9"/>
      <c r="B169" s="9"/>
      <c r="C169" s="9"/>
      <c r="D169" s="10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</row>
    <row r="170" spans="1:106" ht="15.75" customHeight="1" x14ac:dyDescent="0.25">
      <c r="A170" s="9"/>
      <c r="B170" s="9"/>
      <c r="C170" s="9"/>
      <c r="D170" s="10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</row>
    <row r="171" spans="1:106" ht="15.75" customHeight="1" x14ac:dyDescent="0.25">
      <c r="A171" s="9"/>
      <c r="B171" s="9"/>
      <c r="C171" s="9"/>
      <c r="D171" s="10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</row>
    <row r="172" spans="1:106" ht="15.75" customHeight="1" x14ac:dyDescent="0.25">
      <c r="A172" s="9"/>
      <c r="B172" s="9"/>
      <c r="C172" s="9"/>
      <c r="D172" s="10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</row>
    <row r="173" spans="1:106" ht="15.75" customHeight="1" x14ac:dyDescent="0.25">
      <c r="A173" s="9"/>
      <c r="B173" s="9"/>
      <c r="C173" s="9"/>
      <c r="D173" s="10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</row>
    <row r="174" spans="1:106" ht="15.75" customHeight="1" x14ac:dyDescent="0.25">
      <c r="A174" s="9"/>
      <c r="B174" s="9"/>
      <c r="C174" s="9"/>
      <c r="D174" s="10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</row>
    <row r="175" spans="1:106" ht="15.75" customHeight="1" x14ac:dyDescent="0.25">
      <c r="A175" s="9"/>
      <c r="B175" s="9"/>
      <c r="C175" s="9"/>
      <c r="D175" s="10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</row>
    <row r="176" spans="1:106" ht="15.75" customHeight="1" x14ac:dyDescent="0.25">
      <c r="A176" s="9"/>
      <c r="B176" s="9"/>
      <c r="C176" s="9"/>
      <c r="D176" s="10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</row>
    <row r="177" spans="1:106" ht="15.75" customHeight="1" x14ac:dyDescent="0.25">
      <c r="A177" s="9"/>
      <c r="B177" s="9"/>
      <c r="C177" s="9"/>
      <c r="D177" s="10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</row>
    <row r="178" spans="1:106" ht="15.75" customHeight="1" x14ac:dyDescent="0.25">
      <c r="A178" s="9"/>
      <c r="B178" s="9"/>
      <c r="C178" s="9"/>
      <c r="D178" s="10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</row>
    <row r="179" spans="1:106" ht="15.75" customHeight="1" x14ac:dyDescent="0.25">
      <c r="A179" s="9"/>
      <c r="B179" s="9"/>
      <c r="C179" s="9"/>
      <c r="D179" s="10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</row>
    <row r="180" spans="1:106" ht="15.75" customHeight="1" x14ac:dyDescent="0.25">
      <c r="A180" s="9"/>
      <c r="B180" s="9"/>
      <c r="C180" s="9"/>
      <c r="D180" s="10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</row>
    <row r="181" spans="1:106" ht="15.75" customHeight="1" x14ac:dyDescent="0.25">
      <c r="A181" s="9"/>
      <c r="B181" s="9"/>
      <c r="C181" s="9"/>
      <c r="D181" s="10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</row>
    <row r="182" spans="1:106" ht="15.75" customHeight="1" x14ac:dyDescent="0.25">
      <c r="A182" s="9"/>
      <c r="B182" s="9"/>
      <c r="C182" s="9"/>
      <c r="D182" s="10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</row>
    <row r="183" spans="1:106" ht="15.75" customHeight="1" x14ac:dyDescent="0.25">
      <c r="A183" s="9"/>
      <c r="B183" s="9"/>
      <c r="C183" s="9"/>
      <c r="D183" s="10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</row>
    <row r="184" spans="1:106" ht="15.75" customHeight="1" x14ac:dyDescent="0.25">
      <c r="A184" s="9"/>
      <c r="B184" s="9"/>
      <c r="C184" s="9"/>
      <c r="D184" s="10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</row>
    <row r="185" spans="1:106" ht="15.75" customHeight="1" x14ac:dyDescent="0.25">
      <c r="A185" s="9"/>
      <c r="B185" s="9"/>
      <c r="C185" s="9"/>
      <c r="D185" s="10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</row>
    <row r="186" spans="1:106" ht="15.75" customHeight="1" x14ac:dyDescent="0.25">
      <c r="A186" s="9"/>
      <c r="B186" s="9"/>
      <c r="C186" s="9"/>
      <c r="D186" s="10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</row>
    <row r="187" spans="1:106" ht="15.75" customHeight="1" x14ac:dyDescent="0.25">
      <c r="A187" s="9"/>
      <c r="B187" s="9"/>
      <c r="C187" s="9"/>
      <c r="D187" s="10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</row>
    <row r="188" spans="1:106" ht="15.75" customHeight="1" x14ac:dyDescent="0.25">
      <c r="A188" s="9"/>
      <c r="B188" s="9"/>
      <c r="C188" s="9"/>
      <c r="D188" s="10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</row>
    <row r="189" spans="1:106" ht="15.75" customHeight="1" x14ac:dyDescent="0.25">
      <c r="A189" s="9"/>
      <c r="B189" s="9"/>
      <c r="C189" s="9"/>
      <c r="D189" s="10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</row>
    <row r="190" spans="1:106" ht="15.75" customHeight="1" x14ac:dyDescent="0.25">
      <c r="A190" s="9"/>
      <c r="B190" s="9"/>
      <c r="C190" s="9"/>
      <c r="D190" s="10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</row>
    <row r="191" spans="1:106" ht="15.75" customHeight="1" x14ac:dyDescent="0.25">
      <c r="A191" s="9"/>
      <c r="B191" s="9"/>
      <c r="C191" s="9"/>
      <c r="D191" s="10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</row>
    <row r="192" spans="1:106" ht="15.75" customHeight="1" x14ac:dyDescent="0.25">
      <c r="A192" s="9"/>
      <c r="B192" s="9"/>
      <c r="C192" s="9"/>
      <c r="D192" s="10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</row>
    <row r="193" spans="1:106" ht="15.75" customHeight="1" x14ac:dyDescent="0.25">
      <c r="A193" s="9"/>
      <c r="B193" s="9"/>
      <c r="C193" s="9"/>
      <c r="D193" s="10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</row>
    <row r="194" spans="1:106" ht="15.75" customHeight="1" x14ac:dyDescent="0.25">
      <c r="A194" s="9"/>
      <c r="B194" s="9"/>
      <c r="C194" s="9"/>
      <c r="D194" s="10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</row>
    <row r="195" spans="1:106" ht="15.75" customHeight="1" x14ac:dyDescent="0.25">
      <c r="A195" s="9"/>
      <c r="B195" s="9"/>
      <c r="C195" s="9"/>
      <c r="D195" s="10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</row>
    <row r="196" spans="1:106" ht="15.75" customHeight="1" x14ac:dyDescent="0.25">
      <c r="A196" s="9"/>
      <c r="B196" s="9"/>
      <c r="C196" s="9"/>
      <c r="D196" s="10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</row>
    <row r="197" spans="1:106" ht="15.75" customHeight="1" x14ac:dyDescent="0.25">
      <c r="A197" s="9"/>
      <c r="B197" s="9"/>
      <c r="C197" s="9"/>
      <c r="D197" s="10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</row>
    <row r="198" spans="1:106" ht="15.75" customHeight="1" x14ac:dyDescent="0.25">
      <c r="A198" s="9"/>
      <c r="B198" s="9"/>
      <c r="C198" s="9"/>
      <c r="D198" s="10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</row>
    <row r="199" spans="1:106" ht="15.75" customHeight="1" x14ac:dyDescent="0.25">
      <c r="A199" s="9"/>
      <c r="B199" s="9"/>
      <c r="C199" s="9"/>
      <c r="D199" s="10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</row>
    <row r="200" spans="1:106" ht="15.75" customHeight="1" x14ac:dyDescent="0.25">
      <c r="A200" s="9"/>
      <c r="B200" s="9"/>
      <c r="C200" s="9"/>
      <c r="D200" s="10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</row>
    <row r="201" spans="1:106" ht="15.75" customHeight="1" x14ac:dyDescent="0.25">
      <c r="A201" s="9"/>
      <c r="B201" s="9"/>
      <c r="C201" s="9"/>
      <c r="D201" s="10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</row>
    <row r="202" spans="1:106" ht="15.75" customHeight="1" x14ac:dyDescent="0.25">
      <c r="A202" s="9"/>
      <c r="B202" s="9"/>
      <c r="C202" s="9"/>
      <c r="D202" s="10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</row>
    <row r="203" spans="1:106" ht="15.75" customHeight="1" x14ac:dyDescent="0.25">
      <c r="A203" s="9"/>
      <c r="B203" s="9"/>
      <c r="C203" s="9"/>
      <c r="D203" s="10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</row>
    <row r="204" spans="1:106" ht="15.75" customHeight="1" x14ac:dyDescent="0.25">
      <c r="A204" s="9"/>
      <c r="B204" s="9"/>
      <c r="C204" s="9"/>
      <c r="D204" s="10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</row>
    <row r="205" spans="1:106" ht="15.75" customHeight="1" x14ac:dyDescent="0.25">
      <c r="A205" s="9"/>
      <c r="B205" s="9"/>
      <c r="C205" s="9"/>
      <c r="D205" s="10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</row>
    <row r="206" spans="1:106" ht="15.75" customHeight="1" x14ac:dyDescent="0.25">
      <c r="A206" s="9"/>
      <c r="B206" s="9"/>
      <c r="C206" s="9"/>
      <c r="D206" s="10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</row>
    <row r="207" spans="1:106" ht="15.75" customHeight="1" x14ac:dyDescent="0.25">
      <c r="A207" s="9"/>
      <c r="B207" s="9"/>
      <c r="C207" s="9"/>
      <c r="D207" s="10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</row>
    <row r="208" spans="1:106" ht="15.75" customHeight="1" x14ac:dyDescent="0.25">
      <c r="A208" s="9"/>
      <c r="B208" s="9"/>
      <c r="C208" s="9"/>
      <c r="D208" s="10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</row>
    <row r="209" spans="1:106" ht="15.75" customHeight="1" x14ac:dyDescent="0.25">
      <c r="A209" s="9"/>
      <c r="B209" s="9"/>
      <c r="C209" s="9"/>
      <c r="D209" s="10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</row>
    <row r="210" spans="1:106" ht="15.75" customHeight="1" x14ac:dyDescent="0.25">
      <c r="A210" s="9"/>
      <c r="B210" s="9"/>
      <c r="C210" s="9"/>
      <c r="D210" s="10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</row>
    <row r="211" spans="1:106" ht="15.75" customHeight="1" x14ac:dyDescent="0.25">
      <c r="A211" s="9"/>
      <c r="B211" s="9"/>
      <c r="C211" s="9"/>
      <c r="D211" s="10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</row>
    <row r="212" spans="1:106" ht="15.75" customHeight="1" x14ac:dyDescent="0.25">
      <c r="A212" s="9"/>
      <c r="B212" s="9"/>
      <c r="C212" s="9"/>
      <c r="D212" s="10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</row>
    <row r="213" spans="1:106" ht="15.75" customHeight="1" x14ac:dyDescent="0.25">
      <c r="A213" s="9"/>
      <c r="B213" s="9"/>
      <c r="C213" s="9"/>
      <c r="D213" s="10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</row>
    <row r="214" spans="1:106" ht="15.75" customHeight="1" x14ac:dyDescent="0.25">
      <c r="A214" s="9"/>
      <c r="B214" s="9"/>
      <c r="C214" s="9"/>
      <c r="D214" s="10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</row>
    <row r="215" spans="1:106" ht="15.75" customHeight="1" x14ac:dyDescent="0.25">
      <c r="A215" s="9"/>
      <c r="B215" s="9"/>
      <c r="C215" s="9"/>
      <c r="D215" s="10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</row>
    <row r="216" spans="1:106" ht="15.75" customHeight="1" x14ac:dyDescent="0.25">
      <c r="A216" s="9"/>
      <c r="B216" s="9"/>
      <c r="C216" s="9"/>
      <c r="D216" s="10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</row>
    <row r="217" spans="1:106" ht="15.75" customHeight="1" x14ac:dyDescent="0.25">
      <c r="A217" s="9"/>
      <c r="B217" s="9"/>
      <c r="C217" s="9"/>
      <c r="D217" s="10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</row>
    <row r="218" spans="1:106" ht="15.75" customHeight="1" x14ac:dyDescent="0.25">
      <c r="A218" s="9"/>
      <c r="B218" s="9"/>
      <c r="C218" s="9"/>
      <c r="D218" s="10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</row>
    <row r="219" spans="1:106" ht="15.75" customHeight="1" x14ac:dyDescent="0.25">
      <c r="A219" s="9"/>
      <c r="B219" s="9"/>
      <c r="C219" s="9"/>
      <c r="D219" s="10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</row>
    <row r="220" spans="1:106" ht="15.75" customHeight="1" x14ac:dyDescent="0.25">
      <c r="A220" s="9"/>
      <c r="B220" s="9"/>
      <c r="C220" s="9"/>
      <c r="D220" s="10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</row>
    <row r="221" spans="1:106" ht="15.75" customHeight="1" x14ac:dyDescent="0.25">
      <c r="A221" s="9"/>
      <c r="B221" s="9"/>
      <c r="C221" s="9"/>
      <c r="D221" s="10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</row>
    <row r="222" spans="1:106" ht="15.75" customHeight="1" x14ac:dyDescent="0.25">
      <c r="A222" s="9"/>
      <c r="B222" s="9"/>
      <c r="C222" s="9"/>
      <c r="D222" s="10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</row>
    <row r="223" spans="1:106" ht="15.75" customHeight="1" x14ac:dyDescent="0.25">
      <c r="A223" s="9"/>
      <c r="B223" s="9"/>
      <c r="C223" s="9"/>
      <c r="D223" s="10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</row>
    <row r="224" spans="1:106" ht="15.75" customHeight="1" x14ac:dyDescent="0.25">
      <c r="A224" s="9"/>
      <c r="B224" s="9"/>
      <c r="C224" s="9"/>
      <c r="D224" s="10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</row>
    <row r="225" spans="1:106" ht="15.75" customHeight="1" x14ac:dyDescent="0.25">
      <c r="A225" s="9"/>
      <c r="B225" s="9"/>
      <c r="C225" s="9"/>
      <c r="D225" s="10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</row>
    <row r="226" spans="1:106" ht="15.75" customHeight="1" x14ac:dyDescent="0.25">
      <c r="A226" s="9"/>
      <c r="B226" s="9"/>
      <c r="C226" s="9"/>
      <c r="D226" s="10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</row>
    <row r="227" spans="1:106" ht="15.75" customHeight="1" x14ac:dyDescent="0.25">
      <c r="A227" s="9"/>
      <c r="B227" s="9"/>
      <c r="C227" s="9"/>
      <c r="D227" s="10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</row>
    <row r="228" spans="1:106" ht="15.75" customHeight="1" x14ac:dyDescent="0.25">
      <c r="A228" s="9"/>
      <c r="B228" s="9"/>
      <c r="C228" s="9"/>
      <c r="D228" s="10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</row>
    <row r="229" spans="1:106" ht="15.75" customHeight="1" x14ac:dyDescent="0.25">
      <c r="A229" s="9"/>
      <c r="B229" s="9"/>
      <c r="C229" s="9"/>
      <c r="D229" s="10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</row>
    <row r="230" spans="1:106" ht="15.75" customHeight="1" x14ac:dyDescent="0.25">
      <c r="A230" s="9"/>
      <c r="B230" s="9"/>
      <c r="C230" s="9"/>
      <c r="D230" s="10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</row>
    <row r="231" spans="1:106" ht="15.75" customHeight="1" x14ac:dyDescent="0.25">
      <c r="A231" s="9"/>
      <c r="B231" s="9"/>
      <c r="C231" s="9"/>
      <c r="D231" s="10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</row>
    <row r="232" spans="1:10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</row>
    <row r="233" spans="1:10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</row>
    <row r="234" spans="1:10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</row>
    <row r="235" spans="1:10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</row>
    <row r="236" spans="1:10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</row>
    <row r="237" spans="1:10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</row>
    <row r="238" spans="1:10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</row>
    <row r="239" spans="1:10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</row>
    <row r="240" spans="1:10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</row>
    <row r="241" spans="1:10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</row>
    <row r="242" spans="1:10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</row>
    <row r="243" spans="1:10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</row>
    <row r="244" spans="1:10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</row>
    <row r="245" spans="1:10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</row>
    <row r="246" spans="1:10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</row>
    <row r="247" spans="1:10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</row>
    <row r="248" spans="1:10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</row>
    <row r="249" spans="1:10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</row>
    <row r="250" spans="1:10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</row>
    <row r="251" spans="1:10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</row>
    <row r="252" spans="1:10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</row>
    <row r="253" spans="1:10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</row>
    <row r="254" spans="1:10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</row>
    <row r="255" spans="1:10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</row>
    <row r="256" spans="1:10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</row>
    <row r="257" spans="1:10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</row>
    <row r="258" spans="1:10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</row>
    <row r="259" spans="1:10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</row>
    <row r="260" spans="1:10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</row>
    <row r="261" spans="1:10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</row>
    <row r="262" spans="1:10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</row>
    <row r="263" spans="1:10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</row>
    <row r="264" spans="1:10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</row>
    <row r="265" spans="1:10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</row>
    <row r="266" spans="1:10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</row>
    <row r="267" spans="1:10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</row>
    <row r="268" spans="1:10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</row>
    <row r="269" spans="1:10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</row>
    <row r="270" spans="1:10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</row>
    <row r="271" spans="1:10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</row>
    <row r="272" spans="1:10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</row>
    <row r="273" spans="1:10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</row>
    <row r="274" spans="1:10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</row>
    <row r="275" spans="1:10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</row>
    <row r="276" spans="1:10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</row>
    <row r="277" spans="1:10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</row>
    <row r="278" spans="1:10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</row>
    <row r="279" spans="1:10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</row>
    <row r="280" spans="1:10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</row>
    <row r="281" spans="1:10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</row>
    <row r="282" spans="1:10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</row>
    <row r="283" spans="1:10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</row>
    <row r="284" spans="1:10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</row>
    <row r="285" spans="1:10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</row>
    <row r="286" spans="1:10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</row>
    <row r="287" spans="1:10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</row>
    <row r="288" spans="1:10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</row>
    <row r="289" spans="1:10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</row>
    <row r="290" spans="1:10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</row>
    <row r="291" spans="1:10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</row>
    <row r="292" spans="1:10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</row>
    <row r="293" spans="1:10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</row>
    <row r="294" spans="1:10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</row>
    <row r="295" spans="1:10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</row>
    <row r="296" spans="1:10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</row>
    <row r="297" spans="1:10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</row>
    <row r="298" spans="1:10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</row>
    <row r="299" spans="1:10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</row>
    <row r="300" spans="1:10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</row>
    <row r="301" spans="1:10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</row>
    <row r="302" spans="1:10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</row>
    <row r="303" spans="1:10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</row>
    <row r="304" spans="1:10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</row>
    <row r="305" spans="1:10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</row>
    <row r="306" spans="1:10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</row>
    <row r="307" spans="1:10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</row>
    <row r="308" spans="1:10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</row>
    <row r="309" spans="1:10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</row>
    <row r="310" spans="1:10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</row>
    <row r="311" spans="1:10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</row>
    <row r="312" spans="1:10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</row>
    <row r="313" spans="1:10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</row>
    <row r="314" spans="1:10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</row>
    <row r="315" spans="1:10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</row>
    <row r="316" spans="1:10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</row>
    <row r="317" spans="1:10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</row>
    <row r="318" spans="1:10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</row>
    <row r="319" spans="1:10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</row>
    <row r="320" spans="1:10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</row>
    <row r="321" spans="1:10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</row>
    <row r="322" spans="1:10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</row>
    <row r="323" spans="1:10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</row>
    <row r="324" spans="1:10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</row>
    <row r="325" spans="1:10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</row>
    <row r="326" spans="1:10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</row>
    <row r="327" spans="1:10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</row>
    <row r="328" spans="1:10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</row>
    <row r="329" spans="1:10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</row>
    <row r="330" spans="1:10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</row>
    <row r="331" spans="1:10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</row>
    <row r="332" spans="1:10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</row>
    <row r="333" spans="1:10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</row>
    <row r="334" spans="1:10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</row>
    <row r="335" spans="1:10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</row>
    <row r="336" spans="1:10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</row>
    <row r="337" spans="1:10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</row>
    <row r="338" spans="1:10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</row>
    <row r="339" spans="1:10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</row>
    <row r="340" spans="1:10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</row>
    <row r="341" spans="1:10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</row>
    <row r="342" spans="1:10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</row>
    <row r="343" spans="1:10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</row>
    <row r="344" spans="1:10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</row>
    <row r="345" spans="1:10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</row>
    <row r="346" spans="1:10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</row>
    <row r="347" spans="1:10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</row>
    <row r="348" spans="1:10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</row>
    <row r="349" spans="1:10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</row>
    <row r="350" spans="1:10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</row>
    <row r="351" spans="1:10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</row>
    <row r="352" spans="1:10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</row>
    <row r="353" spans="1:10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</row>
    <row r="354" spans="1:10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</row>
    <row r="355" spans="1:10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</row>
    <row r="356" spans="1:10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</row>
    <row r="357" spans="1:10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</row>
    <row r="358" spans="1:10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</row>
    <row r="359" spans="1:10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</row>
    <row r="360" spans="1:10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</row>
    <row r="361" spans="1:10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</row>
    <row r="362" spans="1:10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</row>
    <row r="363" spans="1:10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</row>
    <row r="364" spans="1:10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</row>
    <row r="365" spans="1:10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</row>
    <row r="366" spans="1:10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</row>
    <row r="367" spans="1:10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</row>
    <row r="368" spans="1:10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</row>
    <row r="369" spans="1:10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</row>
    <row r="370" spans="1:10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</row>
    <row r="371" spans="1:10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</row>
    <row r="372" spans="1:10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</row>
    <row r="373" spans="1:10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</row>
    <row r="374" spans="1:10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</row>
    <row r="375" spans="1:10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</row>
    <row r="376" spans="1:10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</row>
    <row r="377" spans="1:10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</row>
    <row r="378" spans="1:10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</row>
    <row r="379" spans="1:10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</row>
    <row r="380" spans="1:10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</row>
    <row r="381" spans="1:10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</row>
    <row r="382" spans="1:10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</row>
    <row r="383" spans="1:10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</row>
    <row r="384" spans="1:10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</row>
    <row r="385" spans="1:10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</row>
    <row r="386" spans="1:10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</row>
    <row r="387" spans="1:10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</row>
    <row r="388" spans="1:10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</row>
    <row r="389" spans="1:10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</row>
    <row r="390" spans="1:10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</row>
    <row r="391" spans="1:10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</row>
    <row r="392" spans="1:10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</row>
    <row r="393" spans="1:10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</row>
    <row r="394" spans="1:10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</row>
    <row r="395" spans="1:10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</row>
    <row r="396" spans="1:10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</row>
    <row r="397" spans="1:10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</row>
    <row r="398" spans="1:10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</row>
    <row r="399" spans="1:10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</row>
    <row r="400" spans="1:10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</row>
    <row r="401" spans="1:10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</row>
    <row r="402" spans="1:10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</row>
    <row r="403" spans="1:10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</row>
    <row r="404" spans="1:10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</row>
    <row r="405" spans="1:10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</row>
    <row r="406" spans="1:10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</row>
    <row r="407" spans="1:10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</row>
    <row r="408" spans="1:10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</row>
    <row r="409" spans="1:10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</row>
    <row r="410" spans="1:10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</row>
    <row r="411" spans="1:10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</row>
    <row r="412" spans="1:10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</row>
    <row r="413" spans="1:10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</row>
    <row r="414" spans="1:10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/>
      <c r="DB414" s="11"/>
    </row>
    <row r="415" spans="1:10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</row>
    <row r="416" spans="1:10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</row>
    <row r="417" spans="1:10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</row>
    <row r="418" spans="1:10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</row>
    <row r="419" spans="1:10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</row>
    <row r="420" spans="1:10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</row>
    <row r="421" spans="1:10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</row>
    <row r="422" spans="1:10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/>
      <c r="DB422" s="11"/>
    </row>
    <row r="423" spans="1:10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</row>
    <row r="424" spans="1:10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</row>
    <row r="425" spans="1:10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</row>
    <row r="426" spans="1:10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</row>
    <row r="427" spans="1:10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</row>
    <row r="428" spans="1:10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</row>
    <row r="429" spans="1:10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</row>
    <row r="430" spans="1:10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</row>
    <row r="431" spans="1:10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</row>
    <row r="432" spans="1:10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</row>
    <row r="433" spans="1:10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</row>
    <row r="434" spans="1:10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</row>
    <row r="435" spans="1:10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</row>
    <row r="436" spans="1:10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</row>
    <row r="437" spans="1:10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</row>
    <row r="438" spans="1:10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</row>
    <row r="439" spans="1:10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</row>
    <row r="440" spans="1:10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</row>
    <row r="441" spans="1:10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</row>
    <row r="442" spans="1:10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</row>
    <row r="443" spans="1:10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</row>
    <row r="444" spans="1:10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</row>
    <row r="445" spans="1:10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</row>
    <row r="446" spans="1:10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/>
      <c r="DB446" s="11"/>
    </row>
    <row r="447" spans="1:10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</row>
    <row r="448" spans="1:10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11"/>
      <c r="CX448" s="11"/>
      <c r="CY448" s="11"/>
      <c r="CZ448" s="11"/>
      <c r="DA448" s="11"/>
      <c r="DB448" s="11"/>
    </row>
    <row r="449" spans="1:10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</row>
    <row r="450" spans="1:10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/>
      <c r="DB450" s="11"/>
    </row>
    <row r="451" spans="1:10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</row>
    <row r="452" spans="1:10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</row>
    <row r="453" spans="1:10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</row>
    <row r="454" spans="1:10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/>
      <c r="DB454" s="11"/>
    </row>
    <row r="455" spans="1:10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</row>
    <row r="456" spans="1:10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</row>
    <row r="457" spans="1:10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</row>
    <row r="458" spans="1:10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</row>
    <row r="459" spans="1:10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</row>
    <row r="460" spans="1:10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</row>
    <row r="461" spans="1:10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</row>
    <row r="462" spans="1:10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</row>
    <row r="463" spans="1:10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</row>
    <row r="464" spans="1:10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</row>
    <row r="465" spans="1:10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</row>
    <row r="466" spans="1:10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</row>
    <row r="467" spans="1:10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</row>
    <row r="468" spans="1:10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</row>
    <row r="469" spans="1:10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</row>
    <row r="470" spans="1:10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</row>
    <row r="471" spans="1:10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</row>
    <row r="472" spans="1:10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</row>
    <row r="473" spans="1:10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</row>
    <row r="474" spans="1:10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</row>
    <row r="475" spans="1:10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</row>
    <row r="476" spans="1:10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/>
      <c r="DB476" s="11"/>
    </row>
    <row r="477" spans="1:10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</row>
    <row r="478" spans="1:10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</row>
    <row r="479" spans="1:10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</row>
    <row r="480" spans="1:10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</row>
    <row r="481" spans="1:10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</row>
    <row r="482" spans="1:10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</row>
    <row r="483" spans="1:10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</row>
    <row r="484" spans="1:10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</row>
    <row r="485" spans="1:10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</row>
    <row r="486" spans="1:10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/>
    </row>
    <row r="487" spans="1:10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</row>
    <row r="488" spans="1:10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/>
      <c r="DB488" s="11"/>
    </row>
    <row r="489" spans="1:10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</row>
    <row r="490" spans="1:10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/>
      <c r="DB490" s="11"/>
    </row>
    <row r="491" spans="1:10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</row>
    <row r="492" spans="1:10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</row>
    <row r="493" spans="1:10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</row>
    <row r="494" spans="1:10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/>
      <c r="DB494" s="11"/>
    </row>
    <row r="495" spans="1:10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</row>
    <row r="496" spans="1:10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</row>
    <row r="497" spans="1:10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</row>
    <row r="498" spans="1:10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/>
      <c r="DB498" s="11"/>
    </row>
    <row r="499" spans="1:10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</row>
    <row r="500" spans="1:10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</row>
    <row r="501" spans="1:10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</row>
    <row r="502" spans="1:10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  <c r="DA502" s="11"/>
      <c r="DB502" s="11"/>
    </row>
    <row r="503" spans="1:10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</row>
    <row r="504" spans="1:10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</row>
    <row r="505" spans="1:10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</row>
    <row r="506" spans="1:10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</row>
    <row r="507" spans="1:10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</row>
    <row r="508" spans="1:10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CH508" s="11"/>
      <c r="CI508" s="11"/>
      <c r="CJ508" s="11"/>
      <c r="CK508" s="11"/>
      <c r="CL508" s="11"/>
      <c r="CM508" s="11"/>
      <c r="CN508" s="11"/>
      <c r="CO508" s="11"/>
      <c r="CP508" s="11"/>
      <c r="CQ508" s="11"/>
      <c r="CR508" s="11"/>
      <c r="CS508" s="11"/>
      <c r="CT508" s="11"/>
      <c r="CU508" s="11"/>
      <c r="CV508" s="11"/>
      <c r="CW508" s="11"/>
      <c r="CX508" s="11"/>
      <c r="CY508" s="11"/>
      <c r="CZ508" s="11"/>
      <c r="DA508" s="11"/>
      <c r="DB508" s="11"/>
    </row>
    <row r="509" spans="1:10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</row>
    <row r="510" spans="1:10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</row>
    <row r="511" spans="1:10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  <c r="CD511" s="11"/>
      <c r="CE511" s="11"/>
      <c r="CF511" s="11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</row>
    <row r="512" spans="1:10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  <c r="DA512" s="11"/>
      <c r="DB512" s="11"/>
    </row>
    <row r="513" spans="1:10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</row>
    <row r="514" spans="1:10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1"/>
      <c r="CN514" s="11"/>
      <c r="CO514" s="11"/>
      <c r="CP514" s="11"/>
      <c r="CQ514" s="11"/>
      <c r="CR514" s="11"/>
      <c r="CS514" s="11"/>
      <c r="CT514" s="11"/>
      <c r="CU514" s="11"/>
      <c r="CV514" s="11"/>
      <c r="CW514" s="11"/>
      <c r="CX514" s="11"/>
      <c r="CY514" s="11"/>
      <c r="CZ514" s="11"/>
      <c r="DA514" s="11"/>
      <c r="DB514" s="11"/>
    </row>
    <row r="515" spans="1:10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</row>
    <row r="516" spans="1:10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  <c r="CK516" s="11"/>
      <c r="CL516" s="11"/>
      <c r="CM516" s="11"/>
      <c r="CN516" s="11"/>
      <c r="CO516" s="11"/>
      <c r="CP516" s="11"/>
      <c r="CQ516" s="11"/>
      <c r="CR516" s="11"/>
      <c r="CS516" s="11"/>
      <c r="CT516" s="11"/>
      <c r="CU516" s="11"/>
      <c r="CV516" s="11"/>
      <c r="CW516" s="11"/>
      <c r="CX516" s="11"/>
      <c r="CY516" s="11"/>
      <c r="CZ516" s="11"/>
      <c r="DA516" s="11"/>
      <c r="DB516" s="11"/>
    </row>
    <row r="517" spans="1:10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</row>
    <row r="518" spans="1:10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  <c r="CK518" s="11"/>
      <c r="CL518" s="11"/>
      <c r="CM518" s="11"/>
      <c r="CN518" s="11"/>
      <c r="CO518" s="11"/>
      <c r="CP518" s="11"/>
      <c r="CQ518" s="11"/>
      <c r="CR518" s="11"/>
      <c r="CS518" s="11"/>
      <c r="CT518" s="11"/>
      <c r="CU518" s="11"/>
      <c r="CV518" s="11"/>
      <c r="CW518" s="11"/>
      <c r="CX518" s="11"/>
      <c r="CY518" s="11"/>
      <c r="CZ518" s="11"/>
      <c r="DA518" s="11"/>
      <c r="DB518" s="11"/>
    </row>
    <row r="519" spans="1:10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</row>
    <row r="520" spans="1:10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CH520" s="11"/>
      <c r="CI520" s="11"/>
      <c r="CJ520" s="11"/>
      <c r="CK520" s="11"/>
      <c r="CL520" s="11"/>
      <c r="CM520" s="11"/>
      <c r="CN520" s="11"/>
      <c r="CO520" s="11"/>
      <c r="CP520" s="11"/>
      <c r="CQ520" s="11"/>
      <c r="CR520" s="11"/>
      <c r="CS520" s="11"/>
      <c r="CT520" s="11"/>
      <c r="CU520" s="11"/>
      <c r="CV520" s="11"/>
      <c r="CW520" s="11"/>
      <c r="CX520" s="11"/>
      <c r="CY520" s="11"/>
      <c r="CZ520" s="11"/>
      <c r="DA520" s="11"/>
      <c r="DB520" s="11"/>
    </row>
    <row r="521" spans="1:10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  <c r="CD521" s="11"/>
      <c r="CE521" s="11"/>
      <c r="CF521" s="11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</row>
    <row r="522" spans="1:10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/>
      <c r="CG522" s="11"/>
      <c r="CH522" s="11"/>
      <c r="CI522" s="11"/>
      <c r="CJ522" s="11"/>
      <c r="CK522" s="11"/>
      <c r="CL522" s="11"/>
      <c r="CM522" s="11"/>
      <c r="CN522" s="11"/>
      <c r="CO522" s="11"/>
      <c r="CP522" s="11"/>
      <c r="CQ522" s="11"/>
      <c r="CR522" s="11"/>
      <c r="CS522" s="11"/>
      <c r="CT522" s="11"/>
      <c r="CU522" s="11"/>
      <c r="CV522" s="11"/>
      <c r="CW522" s="11"/>
      <c r="CX522" s="11"/>
      <c r="CY522" s="11"/>
      <c r="CZ522" s="11"/>
      <c r="DA522" s="11"/>
      <c r="DB522" s="11"/>
    </row>
    <row r="523" spans="1:10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</row>
    <row r="524" spans="1:10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  <c r="CK524" s="11"/>
      <c r="CL524" s="11"/>
      <c r="CM524" s="11"/>
      <c r="CN524" s="11"/>
      <c r="CO524" s="11"/>
      <c r="CP524" s="11"/>
      <c r="CQ524" s="11"/>
      <c r="CR524" s="11"/>
      <c r="CS524" s="11"/>
      <c r="CT524" s="11"/>
      <c r="CU524" s="11"/>
      <c r="CV524" s="11"/>
      <c r="CW524" s="11"/>
      <c r="CX524" s="11"/>
      <c r="CY524" s="11"/>
      <c r="CZ524" s="11"/>
      <c r="DA524" s="11"/>
      <c r="DB524" s="11"/>
    </row>
    <row r="525" spans="1:10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</row>
    <row r="526" spans="1:10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</row>
    <row r="527" spans="1:10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</row>
    <row r="528" spans="1:10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</row>
    <row r="529" spans="1:10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</row>
    <row r="530" spans="1:10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</row>
    <row r="531" spans="1:10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</row>
    <row r="532" spans="1:10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  <c r="DA532" s="11"/>
      <c r="DB532" s="11"/>
    </row>
    <row r="533" spans="1:10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</row>
    <row r="534" spans="1:10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11"/>
      <c r="CX534" s="11"/>
      <c r="CY534" s="11"/>
      <c r="CZ534" s="11"/>
      <c r="DA534" s="11"/>
      <c r="DB534" s="11"/>
    </row>
    <row r="535" spans="1:10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</row>
    <row r="536" spans="1:10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CH536" s="11"/>
      <c r="CI536" s="11"/>
      <c r="CJ536" s="11"/>
      <c r="CK536" s="11"/>
      <c r="CL536" s="11"/>
      <c r="CM536" s="11"/>
      <c r="CN536" s="11"/>
      <c r="CO536" s="11"/>
      <c r="CP536" s="11"/>
      <c r="CQ536" s="11"/>
      <c r="CR536" s="11"/>
      <c r="CS536" s="11"/>
      <c r="CT536" s="11"/>
      <c r="CU536" s="11"/>
      <c r="CV536" s="11"/>
      <c r="CW536" s="11"/>
      <c r="CX536" s="11"/>
      <c r="CY536" s="11"/>
      <c r="CZ536" s="11"/>
      <c r="DA536" s="11"/>
      <c r="DB536" s="11"/>
    </row>
    <row r="537" spans="1:10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</row>
    <row r="538" spans="1:10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CH538" s="11"/>
      <c r="CI538" s="11"/>
      <c r="CJ538" s="11"/>
      <c r="CK538" s="11"/>
      <c r="CL538" s="11"/>
      <c r="CM538" s="11"/>
      <c r="CN538" s="11"/>
      <c r="CO538" s="11"/>
      <c r="CP538" s="11"/>
      <c r="CQ538" s="11"/>
      <c r="CR538" s="11"/>
      <c r="CS538" s="11"/>
      <c r="CT538" s="11"/>
      <c r="CU538" s="11"/>
      <c r="CV538" s="11"/>
      <c r="CW538" s="11"/>
      <c r="CX538" s="11"/>
      <c r="CY538" s="11"/>
      <c r="CZ538" s="11"/>
      <c r="DA538" s="11"/>
      <c r="DB538" s="11"/>
    </row>
    <row r="539" spans="1:10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  <c r="CD539" s="11"/>
      <c r="CE539" s="11"/>
      <c r="CF539" s="11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/>
      <c r="DB539" s="11"/>
    </row>
    <row r="540" spans="1:10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  <c r="CD540" s="11"/>
      <c r="CE540" s="11"/>
      <c r="CF540" s="11"/>
      <c r="CG540" s="11"/>
      <c r="CH540" s="11"/>
      <c r="CI540" s="11"/>
      <c r="CJ540" s="11"/>
      <c r="CK540" s="11"/>
      <c r="CL540" s="11"/>
      <c r="CM540" s="11"/>
      <c r="CN540" s="11"/>
      <c r="CO540" s="11"/>
      <c r="CP540" s="11"/>
      <c r="CQ540" s="11"/>
      <c r="CR540" s="11"/>
      <c r="CS540" s="11"/>
      <c r="CT540" s="11"/>
      <c r="CU540" s="11"/>
      <c r="CV540" s="11"/>
      <c r="CW540" s="11"/>
      <c r="CX540" s="11"/>
      <c r="CY540" s="11"/>
      <c r="CZ540" s="11"/>
      <c r="DA540" s="11"/>
      <c r="DB540" s="11"/>
    </row>
    <row r="541" spans="1:10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</row>
    <row r="542" spans="1:10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CH542" s="11"/>
      <c r="CI542" s="11"/>
      <c r="CJ542" s="11"/>
      <c r="CK542" s="11"/>
      <c r="CL542" s="11"/>
      <c r="CM542" s="11"/>
      <c r="CN542" s="11"/>
      <c r="CO542" s="11"/>
      <c r="CP542" s="11"/>
      <c r="CQ542" s="11"/>
      <c r="CR542" s="11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</row>
    <row r="543" spans="1:10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  <c r="CD543" s="11"/>
      <c r="CE543" s="11"/>
      <c r="CF543" s="11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  <c r="DA543" s="11"/>
      <c r="DB543" s="11"/>
    </row>
    <row r="544" spans="1:10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</row>
    <row r="545" spans="1:10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</row>
    <row r="546" spans="1:10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CH546" s="11"/>
      <c r="CI546" s="11"/>
      <c r="CJ546" s="11"/>
      <c r="CK546" s="11"/>
      <c r="CL546" s="11"/>
      <c r="CM546" s="11"/>
      <c r="CN546" s="11"/>
      <c r="CO546" s="11"/>
      <c r="CP546" s="11"/>
      <c r="CQ546" s="11"/>
      <c r="CR546" s="11"/>
      <c r="CS546" s="11"/>
      <c r="CT546" s="11"/>
      <c r="CU546" s="11"/>
      <c r="CV546" s="11"/>
      <c r="CW546" s="11"/>
      <c r="CX546" s="11"/>
      <c r="CY546" s="11"/>
      <c r="CZ546" s="11"/>
      <c r="DA546" s="11"/>
      <c r="DB546" s="11"/>
    </row>
    <row r="547" spans="1:10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</row>
    <row r="548" spans="1:10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CH548" s="11"/>
      <c r="CI548" s="11"/>
      <c r="CJ548" s="11"/>
      <c r="CK548" s="11"/>
      <c r="CL548" s="11"/>
      <c r="CM548" s="11"/>
      <c r="CN548" s="11"/>
      <c r="CO548" s="11"/>
      <c r="CP548" s="11"/>
      <c r="CQ548" s="11"/>
      <c r="CR548" s="11"/>
      <c r="CS548" s="11"/>
      <c r="CT548" s="11"/>
      <c r="CU548" s="11"/>
      <c r="CV548" s="11"/>
      <c r="CW548" s="11"/>
      <c r="CX548" s="11"/>
      <c r="CY548" s="11"/>
      <c r="CZ548" s="11"/>
      <c r="DA548" s="11"/>
      <c r="DB548" s="11"/>
    </row>
    <row r="549" spans="1:10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  <c r="CD549" s="11"/>
      <c r="CE549" s="11"/>
      <c r="CF549" s="11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</row>
    <row r="550" spans="1:10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</row>
    <row r="551" spans="1:10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</row>
    <row r="552" spans="1:10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11"/>
      <c r="CX552" s="11"/>
      <c r="CY552" s="11"/>
      <c r="CZ552" s="11"/>
      <c r="DA552" s="11"/>
      <c r="DB552" s="11"/>
    </row>
    <row r="553" spans="1:10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</row>
    <row r="554" spans="1:10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  <c r="CW554" s="11"/>
      <c r="CX554" s="11"/>
      <c r="CY554" s="11"/>
      <c r="CZ554" s="11"/>
      <c r="DA554" s="11"/>
      <c r="DB554" s="11"/>
    </row>
    <row r="555" spans="1:10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</row>
    <row r="556" spans="1:10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</row>
    <row r="557" spans="1:10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</row>
    <row r="558" spans="1:10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/>
      <c r="DB558" s="11"/>
    </row>
    <row r="559" spans="1:10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</row>
    <row r="560" spans="1:10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CH560" s="11"/>
      <c r="CI560" s="11"/>
      <c r="CJ560" s="11"/>
      <c r="CK560" s="11"/>
      <c r="CL560" s="11"/>
      <c r="CM560" s="11"/>
      <c r="CN560" s="11"/>
      <c r="CO560" s="11"/>
      <c r="CP560" s="11"/>
      <c r="CQ560" s="11"/>
      <c r="CR560" s="11"/>
      <c r="CS560" s="11"/>
      <c r="CT560" s="11"/>
      <c r="CU560" s="11"/>
      <c r="CV560" s="11"/>
      <c r="CW560" s="11"/>
      <c r="CX560" s="11"/>
      <c r="CY560" s="11"/>
      <c r="CZ560" s="11"/>
      <c r="DA560" s="11"/>
      <c r="DB560" s="11"/>
    </row>
    <row r="561" spans="1:10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</row>
    <row r="562" spans="1:10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  <c r="CH562" s="11"/>
      <c r="CI562" s="11"/>
      <c r="CJ562" s="11"/>
      <c r="CK562" s="11"/>
      <c r="CL562" s="11"/>
      <c r="CM562" s="11"/>
      <c r="CN562" s="11"/>
      <c r="CO562" s="11"/>
      <c r="CP562" s="11"/>
      <c r="CQ562" s="11"/>
      <c r="CR562" s="11"/>
      <c r="CS562" s="11"/>
      <c r="CT562" s="11"/>
      <c r="CU562" s="11"/>
      <c r="CV562" s="11"/>
      <c r="CW562" s="11"/>
      <c r="CX562" s="11"/>
      <c r="CY562" s="11"/>
      <c r="CZ562" s="11"/>
      <c r="DA562" s="11"/>
      <c r="DB562" s="11"/>
    </row>
    <row r="563" spans="1:10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</row>
    <row r="564" spans="1:10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11"/>
      <c r="CF564" s="11"/>
      <c r="CG564" s="11"/>
      <c r="CH564" s="11"/>
      <c r="CI564" s="11"/>
      <c r="CJ564" s="11"/>
      <c r="CK564" s="11"/>
      <c r="CL564" s="11"/>
      <c r="CM564" s="11"/>
      <c r="CN564" s="11"/>
      <c r="CO564" s="11"/>
      <c r="CP564" s="11"/>
      <c r="CQ564" s="11"/>
      <c r="CR564" s="11"/>
      <c r="CS564" s="11"/>
      <c r="CT564" s="11"/>
      <c r="CU564" s="11"/>
      <c r="CV564" s="11"/>
      <c r="CW564" s="11"/>
      <c r="CX564" s="11"/>
      <c r="CY564" s="11"/>
      <c r="CZ564" s="11"/>
      <c r="DA564" s="11"/>
      <c r="DB564" s="11"/>
    </row>
    <row r="565" spans="1:10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</row>
    <row r="566" spans="1:10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CH566" s="11"/>
      <c r="CI566" s="11"/>
      <c r="CJ566" s="11"/>
      <c r="CK566" s="11"/>
      <c r="CL566" s="11"/>
      <c r="CM566" s="11"/>
      <c r="CN566" s="11"/>
      <c r="CO566" s="11"/>
      <c r="CP566" s="11"/>
      <c r="CQ566" s="11"/>
      <c r="CR566" s="11"/>
      <c r="CS566" s="11"/>
      <c r="CT566" s="11"/>
      <c r="CU566" s="11"/>
      <c r="CV566" s="11"/>
      <c r="CW566" s="11"/>
      <c r="CX566" s="11"/>
      <c r="CY566" s="11"/>
      <c r="CZ566" s="11"/>
      <c r="DA566" s="11"/>
      <c r="DB566" s="11"/>
    </row>
    <row r="567" spans="1:10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11"/>
      <c r="CF567" s="11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</row>
    <row r="568" spans="1:10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  <c r="CD568" s="11"/>
      <c r="CE568" s="11"/>
      <c r="CF568" s="11"/>
      <c r="CG568" s="11"/>
      <c r="CH568" s="11"/>
      <c r="CI568" s="11"/>
      <c r="CJ568" s="11"/>
      <c r="CK568" s="11"/>
      <c r="CL568" s="11"/>
      <c r="CM568" s="11"/>
      <c r="CN568" s="11"/>
      <c r="CO568" s="11"/>
      <c r="CP568" s="11"/>
      <c r="CQ568" s="11"/>
      <c r="CR568" s="11"/>
      <c r="CS568" s="11"/>
      <c r="CT568" s="11"/>
      <c r="CU568" s="11"/>
      <c r="CV568" s="11"/>
      <c r="CW568" s="11"/>
      <c r="CX568" s="11"/>
      <c r="CY568" s="11"/>
      <c r="CZ568" s="11"/>
      <c r="DA568" s="11"/>
      <c r="DB568" s="11"/>
    </row>
    <row r="569" spans="1:10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/>
      <c r="DB569" s="11"/>
    </row>
    <row r="570" spans="1:10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  <c r="CD570" s="11"/>
      <c r="CE570" s="11"/>
      <c r="CF570" s="11"/>
      <c r="CG570" s="11"/>
      <c r="CH570" s="11"/>
      <c r="CI570" s="11"/>
      <c r="CJ570" s="11"/>
      <c r="CK570" s="11"/>
      <c r="CL570" s="11"/>
      <c r="CM570" s="11"/>
      <c r="CN570" s="11"/>
      <c r="CO570" s="11"/>
      <c r="CP570" s="11"/>
      <c r="CQ570" s="11"/>
      <c r="CR570" s="11"/>
      <c r="CS570" s="11"/>
      <c r="CT570" s="11"/>
      <c r="CU570" s="11"/>
      <c r="CV570" s="11"/>
      <c r="CW570" s="11"/>
      <c r="CX570" s="11"/>
      <c r="CY570" s="11"/>
      <c r="CZ570" s="11"/>
      <c r="DA570" s="11"/>
      <c r="DB570" s="11"/>
    </row>
    <row r="571" spans="1:10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</row>
    <row r="572" spans="1:10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/>
      <c r="CG572" s="11"/>
      <c r="CH572" s="11"/>
      <c r="CI572" s="11"/>
      <c r="CJ572" s="11"/>
      <c r="CK572" s="11"/>
      <c r="CL572" s="11"/>
      <c r="CM572" s="11"/>
      <c r="CN572" s="11"/>
      <c r="CO572" s="11"/>
      <c r="CP572" s="11"/>
      <c r="CQ572" s="11"/>
      <c r="CR572" s="11"/>
      <c r="CS572" s="11"/>
      <c r="CT572" s="11"/>
      <c r="CU572" s="11"/>
      <c r="CV572" s="11"/>
      <c r="CW572" s="11"/>
      <c r="CX572" s="11"/>
      <c r="CY572" s="11"/>
      <c r="CZ572" s="11"/>
      <c r="DA572" s="11"/>
      <c r="DB572" s="11"/>
    </row>
    <row r="573" spans="1:10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/>
      <c r="DB573" s="11"/>
    </row>
    <row r="574" spans="1:10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CH574" s="11"/>
      <c r="CI574" s="11"/>
      <c r="CJ574" s="11"/>
      <c r="CK574" s="11"/>
      <c r="CL574" s="11"/>
      <c r="CM574" s="11"/>
      <c r="CN574" s="11"/>
      <c r="CO574" s="11"/>
      <c r="CP574" s="11"/>
      <c r="CQ574" s="11"/>
      <c r="CR574" s="11"/>
      <c r="CS574" s="11"/>
      <c r="CT574" s="11"/>
      <c r="CU574" s="11"/>
      <c r="CV574" s="11"/>
      <c r="CW574" s="11"/>
      <c r="CX574" s="11"/>
      <c r="CY574" s="11"/>
      <c r="CZ574" s="11"/>
      <c r="DA574" s="11"/>
      <c r="DB574" s="11"/>
    </row>
    <row r="575" spans="1:10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/>
      <c r="DB575" s="11"/>
    </row>
    <row r="576" spans="1:10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1"/>
      <c r="CK576" s="11"/>
      <c r="CL576" s="11"/>
      <c r="CM576" s="11"/>
      <c r="CN576" s="11"/>
      <c r="CO576" s="11"/>
      <c r="CP576" s="11"/>
      <c r="CQ576" s="11"/>
      <c r="CR576" s="11"/>
      <c r="CS576" s="11"/>
      <c r="CT576" s="11"/>
      <c r="CU576" s="11"/>
      <c r="CV576" s="11"/>
      <c r="CW576" s="11"/>
      <c r="CX576" s="11"/>
      <c r="CY576" s="11"/>
      <c r="CZ576" s="11"/>
      <c r="DA576" s="11"/>
      <c r="DB576" s="11"/>
    </row>
    <row r="577" spans="1:10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/>
      <c r="DB577" s="11"/>
    </row>
    <row r="578" spans="1:10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CH578" s="11"/>
      <c r="CI578" s="11"/>
      <c r="CJ578" s="11"/>
      <c r="CK578" s="11"/>
      <c r="CL578" s="11"/>
      <c r="CM578" s="11"/>
      <c r="CN578" s="11"/>
      <c r="CO578" s="11"/>
      <c r="CP578" s="11"/>
      <c r="CQ578" s="11"/>
      <c r="CR578" s="11"/>
      <c r="CS578" s="11"/>
      <c r="CT578" s="11"/>
      <c r="CU578" s="11"/>
      <c r="CV578" s="11"/>
      <c r="CW578" s="11"/>
      <c r="CX578" s="11"/>
      <c r="CY578" s="11"/>
      <c r="CZ578" s="11"/>
      <c r="DA578" s="11"/>
      <c r="DB578" s="11"/>
    </row>
    <row r="579" spans="1:10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  <c r="CD579" s="11"/>
      <c r="CE579" s="11"/>
      <c r="CF579" s="11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/>
      <c r="DB579" s="11"/>
    </row>
    <row r="580" spans="1:10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  <c r="CW580" s="11"/>
      <c r="CX580" s="11"/>
      <c r="CY580" s="11"/>
      <c r="CZ580" s="11"/>
      <c r="DA580" s="11"/>
      <c r="DB580" s="11"/>
    </row>
    <row r="581" spans="1:10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/>
      <c r="DB581" s="11"/>
    </row>
    <row r="582" spans="1:10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  <c r="CD582" s="11"/>
      <c r="CE582" s="11"/>
      <c r="CF582" s="11"/>
      <c r="CG582" s="11"/>
      <c r="CH582" s="11"/>
      <c r="CI582" s="11"/>
      <c r="CJ582" s="11"/>
      <c r="CK582" s="11"/>
      <c r="CL582" s="11"/>
      <c r="CM582" s="11"/>
      <c r="CN582" s="11"/>
      <c r="CO582" s="11"/>
      <c r="CP582" s="11"/>
      <c r="CQ582" s="11"/>
      <c r="CR582" s="11"/>
      <c r="CS582" s="11"/>
      <c r="CT582" s="11"/>
      <c r="CU582" s="11"/>
      <c r="CV582" s="11"/>
      <c r="CW582" s="11"/>
      <c r="CX582" s="11"/>
      <c r="CY582" s="11"/>
      <c r="CZ582" s="11"/>
      <c r="DA582" s="11"/>
      <c r="DB582" s="11"/>
    </row>
    <row r="583" spans="1:10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</row>
    <row r="584" spans="1:10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</row>
    <row r="585" spans="1:10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</row>
    <row r="586" spans="1:10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  <c r="CD586" s="11"/>
      <c r="CE586" s="11"/>
      <c r="CF586" s="11"/>
      <c r="CG586" s="11"/>
      <c r="CH586" s="11"/>
      <c r="CI586" s="11"/>
      <c r="CJ586" s="11"/>
      <c r="CK586" s="11"/>
      <c r="CL586" s="11"/>
      <c r="CM586" s="11"/>
      <c r="CN586" s="11"/>
      <c r="CO586" s="11"/>
      <c r="CP586" s="11"/>
      <c r="CQ586" s="11"/>
      <c r="CR586" s="11"/>
      <c r="CS586" s="11"/>
      <c r="CT586" s="11"/>
      <c r="CU586" s="11"/>
      <c r="CV586" s="11"/>
      <c r="CW586" s="11"/>
      <c r="CX586" s="11"/>
      <c r="CY586" s="11"/>
      <c r="CZ586" s="11"/>
      <c r="DA586" s="11"/>
      <c r="DB586" s="11"/>
    </row>
    <row r="587" spans="1:10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  <c r="DA587" s="11"/>
      <c r="DB587" s="11"/>
    </row>
    <row r="588" spans="1:10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/>
      <c r="CG588" s="11"/>
      <c r="CH588" s="11"/>
      <c r="CI588" s="11"/>
      <c r="CJ588" s="11"/>
      <c r="CK588" s="11"/>
      <c r="CL588" s="11"/>
      <c r="CM588" s="11"/>
      <c r="CN588" s="11"/>
      <c r="CO588" s="11"/>
      <c r="CP588" s="11"/>
      <c r="CQ588" s="11"/>
      <c r="CR588" s="11"/>
      <c r="CS588" s="11"/>
      <c r="CT588" s="11"/>
      <c r="CU588" s="11"/>
      <c r="CV588" s="11"/>
      <c r="CW588" s="11"/>
      <c r="CX588" s="11"/>
      <c r="CY588" s="11"/>
      <c r="CZ588" s="11"/>
      <c r="DA588" s="11"/>
      <c r="DB588" s="11"/>
    </row>
    <row r="589" spans="1:10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</row>
    <row r="590" spans="1:10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</row>
    <row r="591" spans="1:10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/>
      <c r="DB591" s="11"/>
    </row>
    <row r="592" spans="1:10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  <c r="CH592" s="11"/>
      <c r="CI592" s="11"/>
      <c r="CJ592" s="11"/>
      <c r="CK592" s="11"/>
      <c r="CL592" s="11"/>
      <c r="CM592" s="11"/>
      <c r="CN592" s="11"/>
      <c r="CO592" s="11"/>
      <c r="CP592" s="11"/>
      <c r="CQ592" s="11"/>
      <c r="CR592" s="11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</row>
    <row r="593" spans="1:10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  <c r="DA593" s="11"/>
      <c r="DB593" s="11"/>
    </row>
    <row r="594" spans="1:10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  <c r="CH594" s="11"/>
      <c r="CI594" s="11"/>
      <c r="CJ594" s="11"/>
      <c r="CK594" s="11"/>
      <c r="CL594" s="11"/>
      <c r="CM594" s="11"/>
      <c r="CN594" s="11"/>
      <c r="CO594" s="11"/>
      <c r="CP594" s="11"/>
      <c r="CQ594" s="11"/>
      <c r="CR594" s="11"/>
      <c r="CS594" s="11"/>
      <c r="CT594" s="11"/>
      <c r="CU594" s="11"/>
      <c r="CV594" s="11"/>
      <c r="CW594" s="11"/>
      <c r="CX594" s="11"/>
      <c r="CY594" s="11"/>
      <c r="CZ594" s="11"/>
      <c r="DA594" s="11"/>
      <c r="DB594" s="11"/>
    </row>
    <row r="595" spans="1:10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</row>
    <row r="596" spans="1:10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CH596" s="11"/>
      <c r="CI596" s="11"/>
      <c r="CJ596" s="11"/>
      <c r="CK596" s="11"/>
      <c r="CL596" s="11"/>
      <c r="CM596" s="11"/>
      <c r="CN596" s="11"/>
      <c r="CO596" s="11"/>
      <c r="CP596" s="11"/>
      <c r="CQ596" s="11"/>
      <c r="CR596" s="11"/>
      <c r="CS596" s="11"/>
      <c r="CT596" s="11"/>
      <c r="CU596" s="11"/>
      <c r="CV596" s="11"/>
      <c r="CW596" s="11"/>
      <c r="CX596" s="11"/>
      <c r="CY596" s="11"/>
      <c r="CZ596" s="11"/>
      <c r="DA596" s="11"/>
      <c r="DB596" s="11"/>
    </row>
    <row r="597" spans="1:10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CF597" s="11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  <c r="DA597" s="11"/>
      <c r="DB597" s="11"/>
    </row>
    <row r="598" spans="1:10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CH598" s="11"/>
      <c r="CI598" s="11"/>
      <c r="CJ598" s="11"/>
      <c r="CK598" s="11"/>
      <c r="CL598" s="11"/>
      <c r="CM598" s="11"/>
      <c r="CN598" s="11"/>
      <c r="CO598" s="11"/>
      <c r="CP598" s="11"/>
      <c r="CQ598" s="11"/>
      <c r="CR598" s="11"/>
      <c r="CS598" s="11"/>
      <c r="CT598" s="11"/>
      <c r="CU598" s="11"/>
      <c r="CV598" s="11"/>
      <c r="CW598" s="11"/>
      <c r="CX598" s="11"/>
      <c r="CY598" s="11"/>
      <c r="CZ598" s="11"/>
      <c r="DA598" s="11"/>
      <c r="DB598" s="11"/>
    </row>
    <row r="599" spans="1:10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</row>
    <row r="600" spans="1:10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  <c r="DA600" s="11"/>
      <c r="DB600" s="11"/>
    </row>
    <row r="601" spans="1:10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</row>
    <row r="602" spans="1:10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CH602" s="11"/>
      <c r="CI602" s="11"/>
      <c r="CJ602" s="11"/>
      <c r="CK602" s="11"/>
      <c r="CL602" s="11"/>
      <c r="CM602" s="11"/>
      <c r="CN602" s="11"/>
      <c r="CO602" s="11"/>
      <c r="CP602" s="11"/>
      <c r="CQ602" s="11"/>
      <c r="CR602" s="11"/>
      <c r="CS602" s="11"/>
      <c r="CT602" s="11"/>
      <c r="CU602" s="11"/>
      <c r="CV602" s="11"/>
      <c r="CW602" s="11"/>
      <c r="CX602" s="11"/>
      <c r="CY602" s="11"/>
      <c r="CZ602" s="11"/>
      <c r="DA602" s="11"/>
      <c r="DB602" s="11"/>
    </row>
    <row r="603" spans="1:10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  <c r="DA603" s="11"/>
      <c r="DB603" s="11"/>
    </row>
    <row r="604" spans="1:10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CM604" s="11"/>
      <c r="CN604" s="11"/>
      <c r="CO604" s="11"/>
      <c r="CP604" s="11"/>
      <c r="CQ604" s="11"/>
      <c r="CR604" s="11"/>
      <c r="CS604" s="11"/>
      <c r="CT604" s="11"/>
      <c r="CU604" s="11"/>
      <c r="CV604" s="11"/>
      <c r="CW604" s="11"/>
      <c r="CX604" s="11"/>
      <c r="CY604" s="11"/>
      <c r="CZ604" s="11"/>
      <c r="DA604" s="11"/>
      <c r="DB604" s="11"/>
    </row>
    <row r="605" spans="1:10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  <c r="DA605" s="11"/>
      <c r="DB605" s="11"/>
    </row>
    <row r="606" spans="1:10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11"/>
      <c r="CQ606" s="11"/>
      <c r="CR606" s="11"/>
      <c r="CS606" s="11"/>
      <c r="CT606" s="11"/>
      <c r="CU606" s="11"/>
      <c r="CV606" s="11"/>
      <c r="CW606" s="11"/>
      <c r="CX606" s="11"/>
      <c r="CY606" s="11"/>
      <c r="CZ606" s="11"/>
      <c r="DA606" s="11"/>
      <c r="DB606" s="11"/>
    </row>
    <row r="607" spans="1:10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  <c r="DA607" s="11"/>
      <c r="DB607" s="11"/>
    </row>
    <row r="608" spans="1:10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1"/>
      <c r="CP608" s="11"/>
      <c r="CQ608" s="11"/>
      <c r="CR608" s="11"/>
      <c r="CS608" s="11"/>
      <c r="CT608" s="11"/>
      <c r="CU608" s="11"/>
      <c r="CV608" s="11"/>
      <c r="CW608" s="11"/>
      <c r="CX608" s="11"/>
      <c r="CY608" s="11"/>
      <c r="CZ608" s="11"/>
      <c r="DA608" s="11"/>
      <c r="DB608" s="11"/>
    </row>
    <row r="609" spans="1:10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/>
      <c r="DB609" s="11"/>
    </row>
    <row r="610" spans="1:10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CH610" s="11"/>
      <c r="CI610" s="11"/>
      <c r="CJ610" s="11"/>
      <c r="CK610" s="11"/>
      <c r="CL610" s="11"/>
      <c r="CM610" s="11"/>
      <c r="CN610" s="11"/>
      <c r="CO610" s="11"/>
      <c r="CP610" s="11"/>
      <c r="CQ610" s="11"/>
      <c r="CR610" s="11"/>
      <c r="CS610" s="11"/>
      <c r="CT610" s="11"/>
      <c r="CU610" s="11"/>
      <c r="CV610" s="11"/>
      <c r="CW610" s="11"/>
      <c r="CX610" s="11"/>
      <c r="CY610" s="11"/>
      <c r="CZ610" s="11"/>
      <c r="DA610" s="11"/>
      <c r="DB610" s="11"/>
    </row>
    <row r="611" spans="1:10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  <c r="DA611" s="11"/>
      <c r="DB611" s="11"/>
    </row>
    <row r="612" spans="1:10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  <c r="CW612" s="11"/>
      <c r="CX612" s="11"/>
      <c r="CY612" s="11"/>
      <c r="CZ612" s="11"/>
      <c r="DA612" s="11"/>
      <c r="DB612" s="11"/>
    </row>
    <row r="613" spans="1:10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</row>
    <row r="614" spans="1:10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  <c r="CW614" s="11"/>
      <c r="CX614" s="11"/>
      <c r="CY614" s="11"/>
      <c r="CZ614" s="11"/>
      <c r="DA614" s="11"/>
      <c r="DB614" s="11"/>
    </row>
    <row r="615" spans="1:10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</row>
    <row r="616" spans="1:10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  <c r="CW616" s="11"/>
      <c r="CX616" s="11"/>
      <c r="CY616" s="11"/>
      <c r="CZ616" s="11"/>
      <c r="DA616" s="11"/>
      <c r="DB616" s="11"/>
    </row>
    <row r="617" spans="1:10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</row>
    <row r="618" spans="1:10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1"/>
      <c r="CP618" s="11"/>
      <c r="CQ618" s="11"/>
      <c r="CR618" s="11"/>
      <c r="CS618" s="11"/>
      <c r="CT618" s="11"/>
      <c r="CU618" s="11"/>
      <c r="CV618" s="11"/>
      <c r="CW618" s="11"/>
      <c r="CX618" s="11"/>
      <c r="CY618" s="11"/>
      <c r="CZ618" s="11"/>
      <c r="DA618" s="11"/>
      <c r="DB618" s="11"/>
    </row>
    <row r="619" spans="1:10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</row>
    <row r="620" spans="1:10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  <c r="CW620" s="11"/>
      <c r="CX620" s="11"/>
      <c r="CY620" s="11"/>
      <c r="CZ620" s="11"/>
      <c r="DA620" s="11"/>
      <c r="DB620" s="11"/>
    </row>
    <row r="621" spans="1:10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/>
      <c r="DB621" s="11"/>
    </row>
    <row r="622" spans="1:10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1"/>
      <c r="CP622" s="11"/>
      <c r="CQ622" s="11"/>
      <c r="CR622" s="11"/>
      <c r="CS622" s="11"/>
      <c r="CT622" s="11"/>
      <c r="CU622" s="11"/>
      <c r="CV622" s="11"/>
      <c r="CW622" s="11"/>
      <c r="CX622" s="11"/>
      <c r="CY622" s="11"/>
      <c r="CZ622" s="11"/>
      <c r="DA622" s="11"/>
      <c r="DB622" s="11"/>
    </row>
    <row r="623" spans="1:10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</row>
    <row r="624" spans="1:10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</row>
    <row r="625" spans="1:10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</row>
    <row r="626" spans="1:10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  <c r="CW626" s="11"/>
      <c r="CX626" s="11"/>
      <c r="CY626" s="11"/>
      <c r="CZ626" s="11"/>
      <c r="DA626" s="11"/>
      <c r="DB626" s="11"/>
    </row>
    <row r="627" spans="1:10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/>
      <c r="DB627" s="11"/>
    </row>
    <row r="628" spans="1:10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/>
      <c r="CG628" s="11"/>
      <c r="CH628" s="11"/>
      <c r="CI628" s="11"/>
      <c r="CJ628" s="11"/>
      <c r="CK628" s="11"/>
      <c r="CL628" s="11"/>
      <c r="CM628" s="11"/>
      <c r="CN628" s="11"/>
      <c r="CO628" s="11"/>
      <c r="CP628" s="11"/>
      <c r="CQ628" s="11"/>
      <c r="CR628" s="11"/>
      <c r="CS628" s="11"/>
      <c r="CT628" s="11"/>
      <c r="CU628" s="11"/>
      <c r="CV628" s="11"/>
      <c r="CW628" s="11"/>
      <c r="CX628" s="11"/>
      <c r="CY628" s="11"/>
      <c r="CZ628" s="11"/>
      <c r="DA628" s="11"/>
      <c r="DB628" s="11"/>
    </row>
    <row r="629" spans="1:10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  <c r="CD629" s="11"/>
      <c r="CE629" s="11"/>
      <c r="CF629" s="11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/>
      <c r="DB629" s="11"/>
    </row>
    <row r="630" spans="1:10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</row>
    <row r="631" spans="1:10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/>
      <c r="DB631" s="11"/>
    </row>
    <row r="632" spans="1:10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CH632" s="11"/>
      <c r="CI632" s="11"/>
      <c r="CJ632" s="11"/>
      <c r="CK632" s="11"/>
      <c r="CL632" s="11"/>
      <c r="CM632" s="11"/>
      <c r="CN632" s="11"/>
      <c r="CO632" s="11"/>
      <c r="CP632" s="11"/>
      <c r="CQ632" s="11"/>
      <c r="CR632" s="11"/>
      <c r="CS632" s="11"/>
      <c r="CT632" s="11"/>
      <c r="CU632" s="11"/>
      <c r="CV632" s="11"/>
      <c r="CW632" s="11"/>
      <c r="CX632" s="11"/>
      <c r="CY632" s="11"/>
      <c r="CZ632" s="11"/>
      <c r="DA632" s="11"/>
      <c r="DB632" s="11"/>
    </row>
    <row r="633" spans="1:10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</row>
    <row r="634" spans="1:10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  <c r="CD634" s="11"/>
      <c r="CE634" s="11"/>
      <c r="CF634" s="11"/>
      <c r="CG634" s="11"/>
      <c r="CH634" s="11"/>
      <c r="CI634" s="11"/>
      <c r="CJ634" s="11"/>
      <c r="CK634" s="11"/>
      <c r="CL634" s="11"/>
      <c r="CM634" s="11"/>
      <c r="CN634" s="11"/>
      <c r="CO634" s="11"/>
      <c r="CP634" s="11"/>
      <c r="CQ634" s="11"/>
      <c r="CR634" s="11"/>
      <c r="CS634" s="11"/>
      <c r="CT634" s="11"/>
      <c r="CU634" s="11"/>
      <c r="CV634" s="11"/>
      <c r="CW634" s="11"/>
      <c r="CX634" s="11"/>
      <c r="CY634" s="11"/>
      <c r="CZ634" s="11"/>
      <c r="DA634" s="11"/>
      <c r="DB634" s="11"/>
    </row>
    <row r="635" spans="1:10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/>
      <c r="DB635" s="11"/>
    </row>
    <row r="636" spans="1:10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  <c r="CD636" s="11"/>
      <c r="CE636" s="11"/>
      <c r="CF636" s="11"/>
      <c r="CG636" s="11"/>
      <c r="CH636" s="11"/>
      <c r="CI636" s="11"/>
      <c r="CJ636" s="11"/>
      <c r="CK636" s="11"/>
      <c r="CL636" s="11"/>
      <c r="CM636" s="11"/>
      <c r="CN636" s="11"/>
      <c r="CO636" s="11"/>
      <c r="CP636" s="11"/>
      <c r="CQ636" s="11"/>
      <c r="CR636" s="11"/>
      <c r="CS636" s="11"/>
      <c r="CT636" s="11"/>
      <c r="CU636" s="11"/>
      <c r="CV636" s="11"/>
      <c r="CW636" s="11"/>
      <c r="CX636" s="11"/>
      <c r="CY636" s="11"/>
      <c r="CZ636" s="11"/>
      <c r="DA636" s="11"/>
      <c r="DB636" s="11"/>
    </row>
    <row r="637" spans="1:10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  <c r="CD637" s="11"/>
      <c r="CE637" s="11"/>
      <c r="CF637" s="11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/>
      <c r="DB637" s="11"/>
    </row>
    <row r="638" spans="1:10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  <c r="CD638" s="11"/>
      <c r="CE638" s="11"/>
      <c r="CF638" s="11"/>
      <c r="CG638" s="11"/>
      <c r="CH638" s="11"/>
      <c r="CI638" s="11"/>
      <c r="CJ638" s="11"/>
      <c r="CK638" s="11"/>
      <c r="CL638" s="11"/>
      <c r="CM638" s="11"/>
      <c r="CN638" s="11"/>
      <c r="CO638" s="11"/>
      <c r="CP638" s="11"/>
      <c r="CQ638" s="11"/>
      <c r="CR638" s="11"/>
      <c r="CS638" s="11"/>
      <c r="CT638" s="11"/>
      <c r="CU638" s="11"/>
      <c r="CV638" s="11"/>
      <c r="CW638" s="11"/>
      <c r="CX638" s="11"/>
      <c r="CY638" s="11"/>
      <c r="CZ638" s="11"/>
      <c r="DA638" s="11"/>
      <c r="DB638" s="11"/>
    </row>
    <row r="639" spans="1:10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11"/>
      <c r="CX639" s="11"/>
      <c r="CY639" s="11"/>
      <c r="CZ639" s="11"/>
      <c r="DA639" s="11"/>
      <c r="DB639" s="11"/>
    </row>
    <row r="640" spans="1:10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1"/>
      <c r="CG640" s="11"/>
      <c r="CH640" s="11"/>
      <c r="CI640" s="11"/>
      <c r="CJ640" s="11"/>
      <c r="CK640" s="11"/>
      <c r="CL640" s="11"/>
      <c r="CM640" s="11"/>
      <c r="CN640" s="11"/>
      <c r="CO640" s="11"/>
      <c r="CP640" s="11"/>
      <c r="CQ640" s="11"/>
      <c r="CR640" s="11"/>
      <c r="CS640" s="11"/>
      <c r="CT640" s="11"/>
      <c r="CU640" s="11"/>
      <c r="CV640" s="11"/>
      <c r="CW640" s="11"/>
      <c r="CX640" s="11"/>
      <c r="CY640" s="11"/>
      <c r="CZ640" s="11"/>
      <c r="DA640" s="11"/>
      <c r="DB640" s="11"/>
    </row>
    <row r="641" spans="1:10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1"/>
      <c r="CG641" s="11"/>
      <c r="CH641" s="11"/>
      <c r="CI641" s="11"/>
      <c r="CJ641" s="11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  <c r="CW641" s="11"/>
      <c r="CX641" s="11"/>
      <c r="CY641" s="11"/>
      <c r="CZ641" s="11"/>
      <c r="DA641" s="11"/>
      <c r="DB641" s="11"/>
    </row>
    <row r="642" spans="1:10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  <c r="CD642" s="11"/>
      <c r="CE642" s="11"/>
      <c r="CF642" s="11"/>
      <c r="CG642" s="11"/>
      <c r="CH642" s="11"/>
      <c r="CI642" s="11"/>
      <c r="CJ642" s="11"/>
      <c r="CK642" s="11"/>
      <c r="CL642" s="11"/>
      <c r="CM642" s="11"/>
      <c r="CN642" s="11"/>
      <c r="CO642" s="11"/>
      <c r="CP642" s="11"/>
      <c r="CQ642" s="11"/>
      <c r="CR642" s="11"/>
      <c r="CS642" s="11"/>
      <c r="CT642" s="11"/>
      <c r="CU642" s="11"/>
      <c r="CV642" s="11"/>
      <c r="CW642" s="11"/>
      <c r="CX642" s="11"/>
      <c r="CY642" s="11"/>
      <c r="CZ642" s="11"/>
      <c r="DA642" s="11"/>
      <c r="DB642" s="11"/>
    </row>
    <row r="643" spans="1:10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</row>
    <row r="644" spans="1:10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1"/>
      <c r="CG644" s="11"/>
      <c r="CH644" s="11"/>
      <c r="CI644" s="11"/>
      <c r="CJ644" s="11"/>
      <c r="CK644" s="11"/>
      <c r="CL644" s="11"/>
      <c r="CM644" s="11"/>
      <c r="CN644" s="11"/>
      <c r="CO644" s="11"/>
      <c r="CP644" s="11"/>
      <c r="CQ644" s="11"/>
      <c r="CR644" s="11"/>
      <c r="CS644" s="11"/>
      <c r="CT644" s="11"/>
      <c r="CU644" s="11"/>
      <c r="CV644" s="11"/>
      <c r="CW644" s="11"/>
      <c r="CX644" s="11"/>
      <c r="CY644" s="11"/>
      <c r="CZ644" s="11"/>
      <c r="DA644" s="11"/>
      <c r="DB644" s="11"/>
    </row>
    <row r="645" spans="1:10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/>
      <c r="DB645" s="11"/>
    </row>
    <row r="646" spans="1:10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1"/>
      <c r="CG646" s="11"/>
      <c r="CH646" s="11"/>
      <c r="CI646" s="11"/>
      <c r="CJ646" s="11"/>
      <c r="CK646" s="11"/>
      <c r="CL646" s="11"/>
      <c r="CM646" s="11"/>
      <c r="CN646" s="11"/>
      <c r="CO646" s="11"/>
      <c r="CP646" s="11"/>
      <c r="CQ646" s="11"/>
      <c r="CR646" s="11"/>
      <c r="CS646" s="11"/>
      <c r="CT646" s="11"/>
      <c r="CU646" s="11"/>
      <c r="CV646" s="11"/>
      <c r="CW646" s="11"/>
      <c r="CX646" s="11"/>
      <c r="CY646" s="11"/>
      <c r="CZ646" s="11"/>
      <c r="DA646" s="11"/>
      <c r="DB646" s="11"/>
    </row>
    <row r="647" spans="1:10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/>
      <c r="CG647" s="11"/>
      <c r="CH647" s="11"/>
      <c r="CI647" s="11"/>
      <c r="CJ647" s="11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  <c r="CW647" s="11"/>
      <c r="CX647" s="11"/>
      <c r="CY647" s="11"/>
      <c r="CZ647" s="11"/>
      <c r="DA647" s="11"/>
      <c r="DB647" s="11"/>
    </row>
    <row r="648" spans="1:10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  <c r="CH648" s="11"/>
      <c r="CI648" s="11"/>
      <c r="CJ648" s="11"/>
      <c r="CK648" s="11"/>
      <c r="CL648" s="11"/>
      <c r="CM648" s="11"/>
      <c r="CN648" s="11"/>
      <c r="CO648" s="11"/>
      <c r="CP648" s="11"/>
      <c r="CQ648" s="11"/>
      <c r="CR648" s="11"/>
      <c r="CS648" s="11"/>
      <c r="CT648" s="11"/>
      <c r="CU648" s="11"/>
      <c r="CV648" s="11"/>
      <c r="CW648" s="11"/>
      <c r="CX648" s="11"/>
      <c r="CY648" s="11"/>
      <c r="CZ648" s="11"/>
      <c r="DA648" s="11"/>
      <c r="DB648" s="11"/>
    </row>
    <row r="649" spans="1:10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1"/>
      <c r="CG649" s="11"/>
      <c r="CH649" s="11"/>
      <c r="CI649" s="11"/>
      <c r="CJ649" s="11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  <c r="CW649" s="11"/>
      <c r="CX649" s="11"/>
      <c r="CY649" s="11"/>
      <c r="CZ649" s="11"/>
      <c r="DA649" s="11"/>
      <c r="DB649" s="11"/>
    </row>
    <row r="650" spans="1:10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1"/>
      <c r="CG650" s="11"/>
      <c r="CH650" s="11"/>
      <c r="CI650" s="11"/>
      <c r="CJ650" s="11"/>
      <c r="CK650" s="11"/>
      <c r="CL650" s="11"/>
      <c r="CM650" s="11"/>
      <c r="CN650" s="11"/>
      <c r="CO650" s="11"/>
      <c r="CP650" s="11"/>
      <c r="CQ650" s="11"/>
      <c r="CR650" s="11"/>
      <c r="CS650" s="11"/>
      <c r="CT650" s="11"/>
      <c r="CU650" s="11"/>
      <c r="CV650" s="11"/>
      <c r="CW650" s="11"/>
      <c r="CX650" s="11"/>
      <c r="CY650" s="11"/>
      <c r="CZ650" s="11"/>
      <c r="DA650" s="11"/>
      <c r="DB650" s="11"/>
    </row>
    <row r="651" spans="1:10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  <c r="CD651" s="11"/>
      <c r="CE651" s="11"/>
      <c r="CF651" s="11"/>
      <c r="CG651" s="11"/>
      <c r="CH651" s="11"/>
      <c r="CI651" s="11"/>
      <c r="CJ651" s="11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  <c r="CW651" s="11"/>
      <c r="CX651" s="11"/>
      <c r="CY651" s="11"/>
      <c r="CZ651" s="11"/>
      <c r="DA651" s="11"/>
      <c r="DB651" s="11"/>
    </row>
    <row r="652" spans="1:10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  <c r="CD652" s="11"/>
      <c r="CE652" s="11"/>
      <c r="CF652" s="11"/>
      <c r="CG652" s="11"/>
      <c r="CH652" s="11"/>
      <c r="CI652" s="11"/>
      <c r="CJ652" s="11"/>
      <c r="CK652" s="11"/>
      <c r="CL652" s="11"/>
      <c r="CM652" s="11"/>
      <c r="CN652" s="11"/>
      <c r="CO652" s="11"/>
      <c r="CP652" s="11"/>
      <c r="CQ652" s="11"/>
      <c r="CR652" s="11"/>
      <c r="CS652" s="11"/>
      <c r="CT652" s="11"/>
      <c r="CU652" s="11"/>
      <c r="CV652" s="11"/>
      <c r="CW652" s="11"/>
      <c r="CX652" s="11"/>
      <c r="CY652" s="11"/>
      <c r="CZ652" s="11"/>
      <c r="DA652" s="11"/>
      <c r="DB652" s="11"/>
    </row>
    <row r="653" spans="1:10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  <c r="CD653" s="11"/>
      <c r="CE653" s="11"/>
      <c r="CF653" s="11"/>
      <c r="CG653" s="11"/>
      <c r="CH653" s="11"/>
      <c r="CI653" s="11"/>
      <c r="CJ653" s="11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  <c r="CW653" s="11"/>
      <c r="CX653" s="11"/>
      <c r="CY653" s="11"/>
      <c r="CZ653" s="11"/>
      <c r="DA653" s="11"/>
      <c r="DB653" s="11"/>
    </row>
    <row r="654" spans="1:10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/>
      <c r="CG654" s="11"/>
      <c r="CH654" s="11"/>
      <c r="CI654" s="11"/>
      <c r="CJ654" s="11"/>
      <c r="CK654" s="11"/>
      <c r="CL654" s="11"/>
      <c r="CM654" s="11"/>
      <c r="CN654" s="11"/>
      <c r="CO654" s="11"/>
      <c r="CP654" s="11"/>
      <c r="CQ654" s="11"/>
      <c r="CR654" s="11"/>
      <c r="CS654" s="11"/>
      <c r="CT654" s="11"/>
      <c r="CU654" s="11"/>
      <c r="CV654" s="11"/>
      <c r="CW654" s="11"/>
      <c r="CX654" s="11"/>
      <c r="CY654" s="11"/>
      <c r="CZ654" s="11"/>
      <c r="DA654" s="11"/>
      <c r="DB654" s="11"/>
    </row>
    <row r="655" spans="1:10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  <c r="CD655" s="11"/>
      <c r="CE655" s="11"/>
      <c r="CF655" s="11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11"/>
      <c r="CX655" s="11"/>
      <c r="CY655" s="11"/>
      <c r="CZ655" s="11"/>
      <c r="DA655" s="11"/>
      <c r="DB655" s="11"/>
    </row>
    <row r="656" spans="1:10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  <c r="CD656" s="11"/>
      <c r="CE656" s="11"/>
      <c r="CF656" s="11"/>
      <c r="CG656" s="11"/>
      <c r="CH656" s="11"/>
      <c r="CI656" s="11"/>
      <c r="CJ656" s="11"/>
      <c r="CK656" s="11"/>
      <c r="CL656" s="11"/>
      <c r="CM656" s="11"/>
      <c r="CN656" s="11"/>
      <c r="CO656" s="11"/>
      <c r="CP656" s="11"/>
      <c r="CQ656" s="11"/>
      <c r="CR656" s="11"/>
      <c r="CS656" s="11"/>
      <c r="CT656" s="11"/>
      <c r="CU656" s="11"/>
      <c r="CV656" s="11"/>
      <c r="CW656" s="11"/>
      <c r="CX656" s="11"/>
      <c r="CY656" s="11"/>
      <c r="CZ656" s="11"/>
      <c r="DA656" s="11"/>
      <c r="DB656" s="11"/>
    </row>
    <row r="657" spans="1:10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11"/>
      <c r="CX657" s="11"/>
      <c r="CY657" s="11"/>
      <c r="CZ657" s="11"/>
      <c r="DA657" s="11"/>
      <c r="DB657" s="11"/>
    </row>
    <row r="658" spans="1:10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  <c r="CW658" s="11"/>
      <c r="CX658" s="11"/>
      <c r="CY658" s="11"/>
      <c r="CZ658" s="11"/>
      <c r="DA658" s="11"/>
      <c r="DB658" s="11"/>
    </row>
    <row r="659" spans="1:10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  <c r="CD659" s="11"/>
      <c r="CE659" s="11"/>
      <c r="CF659" s="11"/>
      <c r="CG659" s="11"/>
      <c r="CH659" s="11"/>
      <c r="CI659" s="11"/>
      <c r="CJ659" s="11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  <c r="CW659" s="11"/>
      <c r="CX659" s="11"/>
      <c r="CY659" s="11"/>
      <c r="CZ659" s="11"/>
      <c r="DA659" s="11"/>
      <c r="DB659" s="11"/>
    </row>
    <row r="660" spans="1:10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  <c r="CD660" s="11"/>
      <c r="CE660" s="11"/>
      <c r="CF660" s="11"/>
      <c r="CG660" s="11"/>
      <c r="CH660" s="11"/>
      <c r="CI660" s="11"/>
      <c r="CJ660" s="11"/>
      <c r="CK660" s="11"/>
      <c r="CL660" s="11"/>
      <c r="CM660" s="11"/>
      <c r="CN660" s="11"/>
      <c r="CO660" s="11"/>
      <c r="CP660" s="11"/>
      <c r="CQ660" s="11"/>
      <c r="CR660" s="11"/>
      <c r="CS660" s="11"/>
      <c r="CT660" s="11"/>
      <c r="CU660" s="11"/>
      <c r="CV660" s="11"/>
      <c r="CW660" s="11"/>
      <c r="CX660" s="11"/>
      <c r="CY660" s="11"/>
      <c r="CZ660" s="11"/>
      <c r="DA660" s="11"/>
      <c r="DB660" s="11"/>
    </row>
    <row r="661" spans="1:10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  <c r="CD661" s="11"/>
      <c r="CE661" s="11"/>
      <c r="CF661" s="11"/>
      <c r="CG661" s="11"/>
      <c r="CH661" s="11"/>
      <c r="CI661" s="11"/>
      <c r="CJ661" s="11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  <c r="CW661" s="11"/>
      <c r="CX661" s="11"/>
      <c r="CY661" s="11"/>
      <c r="CZ661" s="11"/>
      <c r="DA661" s="11"/>
      <c r="DB661" s="11"/>
    </row>
    <row r="662" spans="1:10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/>
      <c r="CG662" s="11"/>
      <c r="CH662" s="11"/>
      <c r="CI662" s="11"/>
      <c r="CJ662" s="11"/>
      <c r="CK662" s="11"/>
      <c r="CL662" s="11"/>
      <c r="CM662" s="11"/>
      <c r="CN662" s="11"/>
      <c r="CO662" s="11"/>
      <c r="CP662" s="11"/>
      <c r="CQ662" s="11"/>
      <c r="CR662" s="11"/>
      <c r="CS662" s="11"/>
      <c r="CT662" s="11"/>
      <c r="CU662" s="11"/>
      <c r="CV662" s="11"/>
      <c r="CW662" s="11"/>
      <c r="CX662" s="11"/>
      <c r="CY662" s="11"/>
      <c r="CZ662" s="11"/>
      <c r="DA662" s="11"/>
      <c r="DB662" s="11"/>
    </row>
    <row r="663" spans="1:10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/>
      <c r="CG663" s="11"/>
      <c r="CH663" s="11"/>
      <c r="CI663" s="11"/>
      <c r="CJ663" s="11"/>
      <c r="CK663" s="11"/>
      <c r="CL663" s="11"/>
      <c r="CM663" s="11"/>
      <c r="CN663" s="11"/>
      <c r="CO663" s="11"/>
      <c r="CP663" s="11"/>
      <c r="CQ663" s="11"/>
      <c r="CR663" s="11"/>
      <c r="CS663" s="11"/>
      <c r="CT663" s="11"/>
      <c r="CU663" s="11"/>
      <c r="CV663" s="11"/>
      <c r="CW663" s="11"/>
      <c r="CX663" s="11"/>
      <c r="CY663" s="11"/>
      <c r="CZ663" s="11"/>
      <c r="DA663" s="11"/>
      <c r="DB663" s="11"/>
    </row>
    <row r="664" spans="1:10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</row>
    <row r="665" spans="1:10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</row>
    <row r="666" spans="1:10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1"/>
      <c r="CH666" s="11"/>
      <c r="CI666" s="11"/>
      <c r="CJ666" s="11"/>
      <c r="CK666" s="11"/>
      <c r="CL666" s="11"/>
      <c r="CM666" s="11"/>
      <c r="CN666" s="11"/>
      <c r="CO666" s="11"/>
      <c r="CP666" s="11"/>
      <c r="CQ666" s="11"/>
      <c r="CR666" s="11"/>
      <c r="CS666" s="11"/>
      <c r="CT666" s="11"/>
      <c r="CU666" s="11"/>
      <c r="CV666" s="11"/>
      <c r="CW666" s="11"/>
      <c r="CX666" s="11"/>
      <c r="CY666" s="11"/>
      <c r="CZ666" s="11"/>
      <c r="DA666" s="11"/>
      <c r="DB666" s="11"/>
    </row>
    <row r="667" spans="1:10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11"/>
      <c r="CX667" s="11"/>
      <c r="CY667" s="11"/>
      <c r="CZ667" s="11"/>
      <c r="DA667" s="11"/>
      <c r="DB667" s="11"/>
    </row>
    <row r="668" spans="1:10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  <c r="CD668" s="11"/>
      <c r="CE668" s="11"/>
      <c r="CF668" s="11"/>
      <c r="CG668" s="11"/>
      <c r="CH668" s="11"/>
      <c r="CI668" s="11"/>
      <c r="CJ668" s="11"/>
      <c r="CK668" s="11"/>
      <c r="CL668" s="11"/>
      <c r="CM668" s="11"/>
      <c r="CN668" s="11"/>
      <c r="CO668" s="11"/>
      <c r="CP668" s="11"/>
      <c r="CQ668" s="11"/>
      <c r="CR668" s="11"/>
      <c r="CS668" s="11"/>
      <c r="CT668" s="11"/>
      <c r="CU668" s="11"/>
      <c r="CV668" s="11"/>
      <c r="CW668" s="11"/>
      <c r="CX668" s="11"/>
      <c r="CY668" s="11"/>
      <c r="CZ668" s="11"/>
      <c r="DA668" s="11"/>
      <c r="DB668" s="11"/>
    </row>
    <row r="669" spans="1:10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</row>
    <row r="670" spans="1:10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</row>
    <row r="671" spans="1:10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</row>
    <row r="672" spans="1:10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  <c r="CH672" s="11"/>
      <c r="CI672" s="11"/>
      <c r="CJ672" s="11"/>
      <c r="CK672" s="11"/>
      <c r="CL672" s="11"/>
      <c r="CM672" s="11"/>
      <c r="CN672" s="11"/>
      <c r="CO672" s="11"/>
      <c r="CP672" s="11"/>
      <c r="CQ672" s="11"/>
      <c r="CR672" s="11"/>
      <c r="CS672" s="11"/>
      <c r="CT672" s="11"/>
      <c r="CU672" s="11"/>
      <c r="CV672" s="11"/>
      <c r="CW672" s="11"/>
      <c r="CX672" s="11"/>
      <c r="CY672" s="11"/>
      <c r="CZ672" s="11"/>
      <c r="DA672" s="11"/>
      <c r="DB672" s="11"/>
    </row>
    <row r="673" spans="1:10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</row>
    <row r="674" spans="1:10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1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  <c r="CZ674" s="11"/>
      <c r="DA674" s="11"/>
      <c r="DB674" s="11"/>
    </row>
    <row r="675" spans="1:10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</row>
    <row r="676" spans="1:10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/>
      <c r="DB676" s="11"/>
    </row>
    <row r="677" spans="1:10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/>
      <c r="DB677" s="11"/>
    </row>
    <row r="678" spans="1:10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  <c r="CW678" s="11"/>
      <c r="CX678" s="11"/>
      <c r="CY678" s="11"/>
      <c r="CZ678" s="11"/>
      <c r="DA678" s="11"/>
      <c r="DB678" s="11"/>
    </row>
    <row r="679" spans="1:10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  <c r="DA679" s="11"/>
      <c r="DB679" s="11"/>
    </row>
    <row r="680" spans="1:10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  <c r="CK680" s="11"/>
      <c r="CL680" s="11"/>
      <c r="CM680" s="11"/>
      <c r="CN680" s="11"/>
      <c r="CO680" s="11"/>
      <c r="CP680" s="11"/>
      <c r="CQ680" s="11"/>
      <c r="CR680" s="11"/>
      <c r="CS680" s="11"/>
      <c r="CT680" s="11"/>
      <c r="CU680" s="11"/>
      <c r="CV680" s="11"/>
      <c r="CW680" s="11"/>
      <c r="CX680" s="11"/>
      <c r="CY680" s="11"/>
      <c r="CZ680" s="11"/>
      <c r="DA680" s="11"/>
      <c r="DB680" s="11"/>
    </row>
    <row r="681" spans="1:10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  <c r="DA681" s="11"/>
      <c r="DB681" s="11"/>
    </row>
    <row r="682" spans="1:10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  <c r="CK682" s="11"/>
      <c r="CL682" s="11"/>
      <c r="CM682" s="11"/>
      <c r="CN682" s="11"/>
      <c r="CO682" s="11"/>
      <c r="CP682" s="11"/>
      <c r="CQ682" s="11"/>
      <c r="CR682" s="11"/>
      <c r="CS682" s="11"/>
      <c r="CT682" s="11"/>
      <c r="CU682" s="11"/>
      <c r="CV682" s="11"/>
      <c r="CW682" s="11"/>
      <c r="CX682" s="11"/>
      <c r="CY682" s="11"/>
      <c r="CZ682" s="11"/>
      <c r="DA682" s="11"/>
      <c r="DB682" s="11"/>
    </row>
    <row r="683" spans="1:10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/>
      <c r="DB683" s="11"/>
    </row>
    <row r="684" spans="1:10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  <c r="CK684" s="11"/>
      <c r="CL684" s="11"/>
      <c r="CM684" s="11"/>
      <c r="CN684" s="11"/>
      <c r="CO684" s="11"/>
      <c r="CP684" s="11"/>
      <c r="CQ684" s="11"/>
      <c r="CR684" s="11"/>
      <c r="CS684" s="11"/>
      <c r="CT684" s="11"/>
      <c r="CU684" s="11"/>
      <c r="CV684" s="11"/>
      <c r="CW684" s="11"/>
      <c r="CX684" s="11"/>
      <c r="CY684" s="11"/>
      <c r="CZ684" s="11"/>
      <c r="DA684" s="11"/>
      <c r="DB684" s="11"/>
    </row>
    <row r="685" spans="1:10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  <c r="DA685" s="11"/>
      <c r="DB685" s="11"/>
    </row>
    <row r="686" spans="1:10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1"/>
      <c r="CP686" s="11"/>
      <c r="CQ686" s="11"/>
      <c r="CR686" s="11"/>
      <c r="CS686" s="11"/>
      <c r="CT686" s="11"/>
      <c r="CU686" s="11"/>
      <c r="CV686" s="11"/>
      <c r="CW686" s="11"/>
      <c r="CX686" s="11"/>
      <c r="CY686" s="11"/>
      <c r="CZ686" s="11"/>
      <c r="DA686" s="11"/>
      <c r="DB686" s="11"/>
    </row>
    <row r="687" spans="1:10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</row>
    <row r="688" spans="1:10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  <c r="CK688" s="11"/>
      <c r="CL688" s="11"/>
      <c r="CM688" s="11"/>
      <c r="CN688" s="11"/>
      <c r="CO688" s="11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  <c r="CZ688" s="11"/>
      <c r="DA688" s="11"/>
      <c r="DB688" s="11"/>
    </row>
    <row r="689" spans="1:10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11"/>
      <c r="CX689" s="11"/>
      <c r="CY689" s="11"/>
      <c r="CZ689" s="11"/>
      <c r="DA689" s="11"/>
      <c r="DB689" s="11"/>
    </row>
    <row r="690" spans="1:10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1"/>
      <c r="CJ690" s="11"/>
      <c r="CK690" s="11"/>
      <c r="CL690" s="11"/>
      <c r="CM690" s="11"/>
      <c r="CN690" s="11"/>
      <c r="CO690" s="11"/>
      <c r="CP690" s="11"/>
      <c r="CQ690" s="11"/>
      <c r="CR690" s="11"/>
      <c r="CS690" s="11"/>
      <c r="CT690" s="11"/>
      <c r="CU690" s="11"/>
      <c r="CV690" s="11"/>
      <c r="CW690" s="11"/>
      <c r="CX690" s="11"/>
      <c r="CY690" s="11"/>
      <c r="CZ690" s="11"/>
      <c r="DA690" s="11"/>
      <c r="DB690" s="11"/>
    </row>
    <row r="691" spans="1:10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/>
      <c r="DB691" s="11"/>
    </row>
    <row r="692" spans="1:10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CH692" s="11"/>
      <c r="CI692" s="11"/>
      <c r="CJ692" s="11"/>
      <c r="CK692" s="11"/>
      <c r="CL692" s="11"/>
      <c r="CM692" s="11"/>
      <c r="CN692" s="11"/>
      <c r="CO692" s="11"/>
      <c r="CP692" s="11"/>
      <c r="CQ692" s="11"/>
      <c r="CR692" s="11"/>
      <c r="CS692" s="11"/>
      <c r="CT692" s="11"/>
      <c r="CU692" s="11"/>
      <c r="CV692" s="11"/>
      <c r="CW692" s="11"/>
      <c r="CX692" s="11"/>
      <c r="CY692" s="11"/>
      <c r="CZ692" s="11"/>
      <c r="DA692" s="11"/>
      <c r="DB692" s="11"/>
    </row>
    <row r="693" spans="1:10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  <c r="DA693" s="11"/>
      <c r="DB693" s="11"/>
    </row>
    <row r="694" spans="1:10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CH694" s="11"/>
      <c r="CI694" s="11"/>
      <c r="CJ694" s="11"/>
      <c r="CK694" s="11"/>
      <c r="CL694" s="11"/>
      <c r="CM694" s="11"/>
      <c r="CN694" s="11"/>
      <c r="CO694" s="11"/>
      <c r="CP694" s="11"/>
      <c r="CQ694" s="11"/>
      <c r="CR694" s="11"/>
      <c r="CS694" s="11"/>
      <c r="CT694" s="11"/>
      <c r="CU694" s="11"/>
      <c r="CV694" s="11"/>
      <c r="CW694" s="11"/>
      <c r="CX694" s="11"/>
      <c r="CY694" s="11"/>
      <c r="CZ694" s="11"/>
      <c r="DA694" s="11"/>
      <c r="DB694" s="11"/>
    </row>
    <row r="695" spans="1:10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  <c r="DA695" s="11"/>
      <c r="DB695" s="11"/>
    </row>
    <row r="696" spans="1:10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CH696" s="11"/>
      <c r="CI696" s="11"/>
      <c r="CJ696" s="11"/>
      <c r="CK696" s="11"/>
      <c r="CL696" s="11"/>
      <c r="CM696" s="11"/>
      <c r="CN696" s="11"/>
      <c r="CO696" s="11"/>
      <c r="CP696" s="11"/>
      <c r="CQ696" s="11"/>
      <c r="CR696" s="11"/>
      <c r="CS696" s="11"/>
      <c r="CT696" s="11"/>
      <c r="CU696" s="11"/>
      <c r="CV696" s="11"/>
      <c r="CW696" s="11"/>
      <c r="CX696" s="11"/>
      <c r="CY696" s="11"/>
      <c r="CZ696" s="11"/>
      <c r="DA696" s="11"/>
      <c r="DB696" s="11"/>
    </row>
    <row r="697" spans="1:10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  <c r="DA697" s="11"/>
      <c r="DB697" s="11"/>
    </row>
    <row r="698" spans="1:10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  <c r="CD698" s="11"/>
      <c r="CE698" s="11"/>
      <c r="CF698" s="11"/>
      <c r="CG698" s="11"/>
      <c r="CH698" s="11"/>
      <c r="CI698" s="11"/>
      <c r="CJ698" s="11"/>
      <c r="CK698" s="11"/>
      <c r="CL698" s="11"/>
      <c r="CM698" s="11"/>
      <c r="CN698" s="11"/>
      <c r="CO698" s="11"/>
      <c r="CP698" s="11"/>
      <c r="CQ698" s="11"/>
      <c r="CR698" s="11"/>
      <c r="CS698" s="11"/>
      <c r="CT698" s="11"/>
      <c r="CU698" s="11"/>
      <c r="CV698" s="11"/>
      <c r="CW698" s="11"/>
      <c r="CX698" s="11"/>
      <c r="CY698" s="11"/>
      <c r="CZ698" s="11"/>
      <c r="DA698" s="11"/>
      <c r="DB698" s="11"/>
    </row>
    <row r="699" spans="1:10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  <c r="DA699" s="11"/>
      <c r="DB699" s="11"/>
    </row>
    <row r="700" spans="1:10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  <c r="CD700" s="11"/>
      <c r="CE700" s="11"/>
      <c r="CF700" s="11"/>
      <c r="CG700" s="11"/>
      <c r="CH700" s="11"/>
      <c r="CI700" s="11"/>
      <c r="CJ700" s="11"/>
      <c r="CK700" s="11"/>
      <c r="CL700" s="11"/>
      <c r="CM700" s="11"/>
      <c r="CN700" s="11"/>
      <c r="CO700" s="11"/>
      <c r="CP700" s="11"/>
      <c r="CQ700" s="11"/>
      <c r="CR700" s="11"/>
      <c r="CS700" s="11"/>
      <c r="CT700" s="11"/>
      <c r="CU700" s="11"/>
      <c r="CV700" s="11"/>
      <c r="CW700" s="11"/>
      <c r="CX700" s="11"/>
      <c r="CY700" s="11"/>
      <c r="CZ700" s="11"/>
      <c r="DA700" s="11"/>
      <c r="DB700" s="11"/>
    </row>
    <row r="701" spans="1:10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</row>
    <row r="702" spans="1:10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  <c r="DA702" s="11"/>
      <c r="DB702" s="11"/>
    </row>
    <row r="703" spans="1:10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11"/>
      <c r="CX703" s="11"/>
      <c r="CY703" s="11"/>
      <c r="CZ703" s="11"/>
      <c r="DA703" s="11"/>
      <c r="DB703" s="11"/>
    </row>
    <row r="704" spans="1:10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</row>
    <row r="705" spans="1:10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</row>
    <row r="706" spans="1:10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1"/>
      <c r="CL706" s="11"/>
      <c r="CM706" s="11"/>
      <c r="CN706" s="11"/>
      <c r="CO706" s="11"/>
      <c r="CP706" s="11"/>
      <c r="CQ706" s="11"/>
      <c r="CR706" s="11"/>
      <c r="CS706" s="11"/>
      <c r="CT706" s="11"/>
      <c r="CU706" s="11"/>
      <c r="CV706" s="11"/>
      <c r="CW706" s="11"/>
      <c r="CX706" s="11"/>
      <c r="CY706" s="11"/>
      <c r="CZ706" s="11"/>
      <c r="DA706" s="11"/>
      <c r="DB706" s="11"/>
    </row>
    <row r="707" spans="1:10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  <c r="DA707" s="11"/>
      <c r="DB707" s="11"/>
    </row>
    <row r="708" spans="1:10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  <c r="CW708" s="11"/>
      <c r="CX708" s="11"/>
      <c r="CY708" s="11"/>
      <c r="CZ708" s="11"/>
      <c r="DA708" s="11"/>
      <c r="DB708" s="11"/>
    </row>
    <row r="709" spans="1:10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</row>
    <row r="710" spans="1:10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</row>
    <row r="711" spans="1:10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  <c r="CD711" s="11"/>
      <c r="CE711" s="11"/>
      <c r="CF711" s="11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  <c r="DA711" s="11"/>
      <c r="DB711" s="11"/>
    </row>
    <row r="712" spans="1:10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  <c r="CW712" s="11"/>
      <c r="CX712" s="11"/>
      <c r="CY712" s="11"/>
      <c r="CZ712" s="11"/>
      <c r="DA712" s="11"/>
      <c r="DB712" s="11"/>
    </row>
    <row r="713" spans="1:10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  <c r="DA713" s="11"/>
      <c r="DB713" s="11"/>
    </row>
    <row r="714" spans="1:10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CH714" s="11"/>
      <c r="CI714" s="11"/>
      <c r="CJ714" s="11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1"/>
      <c r="CW714" s="11"/>
      <c r="CX714" s="11"/>
      <c r="CY714" s="11"/>
      <c r="CZ714" s="11"/>
      <c r="DA714" s="11"/>
      <c r="DB714" s="11"/>
    </row>
    <row r="715" spans="1:10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  <c r="CD715" s="11"/>
      <c r="CE715" s="11"/>
      <c r="CF715" s="11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</row>
    <row r="716" spans="1:10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  <c r="CD716" s="11"/>
      <c r="CE716" s="11"/>
      <c r="CF716" s="11"/>
      <c r="CG716" s="11"/>
      <c r="CH716" s="11"/>
      <c r="CI716" s="11"/>
      <c r="CJ716" s="11"/>
      <c r="CK716" s="11"/>
      <c r="CL716" s="11"/>
      <c r="CM716" s="11"/>
      <c r="CN716" s="11"/>
      <c r="CO716" s="11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  <c r="CZ716" s="11"/>
      <c r="DA716" s="11"/>
      <c r="DB716" s="11"/>
    </row>
    <row r="717" spans="1:10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  <c r="CD717" s="11"/>
      <c r="CE717" s="11"/>
      <c r="CF717" s="11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  <c r="DA717" s="11"/>
      <c r="DB717" s="11"/>
    </row>
    <row r="718" spans="1:10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  <c r="CD718" s="11"/>
      <c r="CE718" s="11"/>
      <c r="CF718" s="11"/>
      <c r="CG718" s="11"/>
      <c r="CH718" s="11"/>
      <c r="CI718" s="11"/>
      <c r="CJ718" s="11"/>
      <c r="CK718" s="11"/>
      <c r="CL718" s="11"/>
      <c r="CM718" s="11"/>
      <c r="CN718" s="11"/>
      <c r="CO718" s="11"/>
      <c r="CP718" s="11"/>
      <c r="CQ718" s="11"/>
      <c r="CR718" s="11"/>
      <c r="CS718" s="11"/>
      <c r="CT718" s="11"/>
      <c r="CU718" s="11"/>
      <c r="CV718" s="11"/>
      <c r="CW718" s="11"/>
      <c r="CX718" s="11"/>
      <c r="CY718" s="11"/>
      <c r="CZ718" s="11"/>
      <c r="DA718" s="11"/>
      <c r="DB718" s="11"/>
    </row>
    <row r="719" spans="1:10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  <c r="CD719" s="11"/>
      <c r="CE719" s="11"/>
      <c r="CF719" s="11"/>
      <c r="CG719" s="11"/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  <c r="DA719" s="11"/>
      <c r="DB719" s="11"/>
    </row>
    <row r="720" spans="1:10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  <c r="CD720" s="11"/>
      <c r="CE720" s="11"/>
      <c r="CF720" s="11"/>
      <c r="CG720" s="11"/>
      <c r="CH720" s="11"/>
      <c r="CI720" s="11"/>
      <c r="CJ720" s="11"/>
      <c r="CK720" s="11"/>
      <c r="CL720" s="11"/>
      <c r="CM720" s="11"/>
      <c r="CN720" s="11"/>
      <c r="CO720" s="11"/>
      <c r="CP720" s="11"/>
      <c r="CQ720" s="11"/>
      <c r="CR720" s="11"/>
      <c r="CS720" s="11"/>
      <c r="CT720" s="11"/>
      <c r="CU720" s="11"/>
      <c r="CV720" s="11"/>
      <c r="CW720" s="11"/>
      <c r="CX720" s="11"/>
      <c r="CY720" s="11"/>
      <c r="CZ720" s="11"/>
      <c r="DA720" s="11"/>
      <c r="DB720" s="11"/>
    </row>
    <row r="721" spans="1:10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/>
      <c r="DB721" s="11"/>
    </row>
    <row r="722" spans="1:10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  <c r="CD722" s="11"/>
      <c r="CE722" s="11"/>
      <c r="CF722" s="11"/>
      <c r="CG722" s="11"/>
      <c r="CH722" s="11"/>
      <c r="CI722" s="11"/>
      <c r="CJ722" s="11"/>
      <c r="CK722" s="11"/>
      <c r="CL722" s="11"/>
      <c r="CM722" s="11"/>
      <c r="CN722" s="11"/>
      <c r="CO722" s="11"/>
      <c r="CP722" s="11"/>
      <c r="CQ722" s="11"/>
      <c r="CR722" s="11"/>
      <c r="CS722" s="11"/>
      <c r="CT722" s="11"/>
      <c r="CU722" s="11"/>
      <c r="CV722" s="11"/>
      <c r="CW722" s="11"/>
      <c r="CX722" s="11"/>
      <c r="CY722" s="11"/>
      <c r="CZ722" s="11"/>
      <c r="DA722" s="11"/>
      <c r="DB722" s="11"/>
    </row>
    <row r="723" spans="1:10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</row>
    <row r="724" spans="1:10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  <c r="CD724" s="11"/>
      <c r="CE724" s="11"/>
      <c r="CF724" s="11"/>
      <c r="CG724" s="11"/>
      <c r="CH724" s="11"/>
      <c r="CI724" s="11"/>
      <c r="CJ724" s="11"/>
      <c r="CK724" s="11"/>
      <c r="CL724" s="11"/>
      <c r="CM724" s="11"/>
      <c r="CN724" s="11"/>
      <c r="CO724" s="11"/>
      <c r="CP724" s="11"/>
      <c r="CQ724" s="11"/>
      <c r="CR724" s="11"/>
      <c r="CS724" s="11"/>
      <c r="CT724" s="11"/>
      <c r="CU724" s="11"/>
      <c r="CV724" s="11"/>
      <c r="CW724" s="11"/>
      <c r="CX724" s="11"/>
      <c r="CY724" s="11"/>
      <c r="CZ724" s="11"/>
      <c r="DA724" s="11"/>
      <c r="DB724" s="11"/>
    </row>
    <row r="725" spans="1:10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  <c r="CD725" s="11"/>
      <c r="CE725" s="11"/>
      <c r="CF725" s="11"/>
      <c r="CG725" s="11"/>
      <c r="CH725" s="11"/>
      <c r="CI725" s="11"/>
      <c r="CJ725" s="11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  <c r="CW725" s="11"/>
      <c r="CX725" s="11"/>
      <c r="CY725" s="11"/>
      <c r="CZ725" s="11"/>
      <c r="DA725" s="11"/>
      <c r="DB725" s="11"/>
    </row>
    <row r="726" spans="1:10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  <c r="CD726" s="11"/>
      <c r="CE726" s="11"/>
      <c r="CF726" s="11"/>
      <c r="CG726" s="11"/>
      <c r="CH726" s="11"/>
      <c r="CI726" s="11"/>
      <c r="CJ726" s="11"/>
      <c r="CK726" s="11"/>
      <c r="CL726" s="11"/>
      <c r="CM726" s="11"/>
      <c r="CN726" s="11"/>
      <c r="CO726" s="11"/>
      <c r="CP726" s="11"/>
      <c r="CQ726" s="11"/>
      <c r="CR726" s="11"/>
      <c r="CS726" s="11"/>
      <c r="CT726" s="11"/>
      <c r="CU726" s="11"/>
      <c r="CV726" s="11"/>
      <c r="CW726" s="11"/>
      <c r="CX726" s="11"/>
      <c r="CY726" s="11"/>
      <c r="CZ726" s="11"/>
      <c r="DA726" s="11"/>
      <c r="DB726" s="11"/>
    </row>
    <row r="727" spans="1:10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  <c r="DA727" s="11"/>
      <c r="DB727" s="11"/>
    </row>
    <row r="728" spans="1:10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  <c r="CD728" s="11"/>
      <c r="CE728" s="11"/>
      <c r="CF728" s="11"/>
      <c r="CG728" s="11"/>
      <c r="CH728" s="11"/>
      <c r="CI728" s="11"/>
      <c r="CJ728" s="11"/>
      <c r="CK728" s="11"/>
      <c r="CL728" s="11"/>
      <c r="CM728" s="11"/>
      <c r="CN728" s="11"/>
      <c r="CO728" s="11"/>
      <c r="CP728" s="11"/>
      <c r="CQ728" s="11"/>
      <c r="CR728" s="11"/>
      <c r="CS728" s="11"/>
      <c r="CT728" s="11"/>
      <c r="CU728" s="11"/>
      <c r="CV728" s="11"/>
      <c r="CW728" s="11"/>
      <c r="CX728" s="11"/>
      <c r="CY728" s="11"/>
      <c r="CZ728" s="11"/>
      <c r="DA728" s="11"/>
      <c r="DB728" s="11"/>
    </row>
    <row r="729" spans="1:10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  <c r="CD729" s="11"/>
      <c r="CE729" s="11"/>
      <c r="CF729" s="11"/>
      <c r="CG729" s="11"/>
      <c r="CH729" s="11"/>
      <c r="CI729" s="11"/>
      <c r="CJ729" s="11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</row>
    <row r="730" spans="1:10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  <c r="CD730" s="11"/>
      <c r="CE730" s="11"/>
      <c r="CF730" s="11"/>
      <c r="CG730" s="11"/>
      <c r="CH730" s="11"/>
      <c r="CI730" s="11"/>
      <c r="CJ730" s="11"/>
      <c r="CK730" s="11"/>
      <c r="CL730" s="11"/>
      <c r="CM730" s="11"/>
      <c r="CN730" s="11"/>
      <c r="CO730" s="11"/>
      <c r="CP730" s="11"/>
      <c r="CQ730" s="11"/>
      <c r="CR730" s="11"/>
      <c r="CS730" s="11"/>
      <c r="CT730" s="11"/>
      <c r="CU730" s="11"/>
      <c r="CV730" s="11"/>
      <c r="CW730" s="11"/>
      <c r="CX730" s="11"/>
      <c r="CY730" s="11"/>
      <c r="CZ730" s="11"/>
      <c r="DA730" s="11"/>
      <c r="DB730" s="11"/>
    </row>
    <row r="731" spans="1:10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  <c r="CD731" s="11"/>
      <c r="CE731" s="11"/>
      <c r="CF731" s="11"/>
      <c r="CG731" s="11"/>
      <c r="CH731" s="11"/>
      <c r="CI731" s="11"/>
      <c r="CJ731" s="11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  <c r="CW731" s="11"/>
      <c r="CX731" s="11"/>
      <c r="CY731" s="11"/>
      <c r="CZ731" s="11"/>
      <c r="DA731" s="11"/>
      <c r="DB731" s="11"/>
    </row>
    <row r="732" spans="1:10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  <c r="CD732" s="11"/>
      <c r="CE732" s="11"/>
      <c r="CF732" s="11"/>
      <c r="CG732" s="11"/>
      <c r="CH732" s="11"/>
      <c r="CI732" s="11"/>
      <c r="CJ732" s="11"/>
      <c r="CK732" s="11"/>
      <c r="CL732" s="11"/>
      <c r="CM732" s="11"/>
      <c r="CN732" s="11"/>
      <c r="CO732" s="11"/>
      <c r="CP732" s="11"/>
      <c r="CQ732" s="11"/>
      <c r="CR732" s="11"/>
      <c r="CS732" s="11"/>
      <c r="CT732" s="11"/>
      <c r="CU732" s="11"/>
      <c r="CV732" s="11"/>
      <c r="CW732" s="11"/>
      <c r="CX732" s="11"/>
      <c r="CY732" s="11"/>
      <c r="CZ732" s="11"/>
      <c r="DA732" s="11"/>
      <c r="DB732" s="11"/>
    </row>
    <row r="733" spans="1:10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  <c r="CD733" s="11"/>
      <c r="CE733" s="11"/>
      <c r="CF733" s="11"/>
      <c r="CG733" s="11"/>
      <c r="CH733" s="11"/>
      <c r="CI733" s="11"/>
      <c r="CJ733" s="11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  <c r="CW733" s="11"/>
      <c r="CX733" s="11"/>
      <c r="CY733" s="11"/>
      <c r="CZ733" s="11"/>
      <c r="DA733" s="11"/>
      <c r="DB733" s="11"/>
    </row>
    <row r="734" spans="1:10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  <c r="CD734" s="11"/>
      <c r="CE734" s="11"/>
      <c r="CF734" s="11"/>
      <c r="CG734" s="11"/>
      <c r="CH734" s="11"/>
      <c r="CI734" s="11"/>
      <c r="CJ734" s="11"/>
      <c r="CK734" s="11"/>
      <c r="CL734" s="11"/>
      <c r="CM734" s="11"/>
      <c r="CN734" s="11"/>
      <c r="CO734" s="11"/>
      <c r="CP734" s="11"/>
      <c r="CQ734" s="11"/>
      <c r="CR734" s="11"/>
      <c r="CS734" s="11"/>
      <c r="CT734" s="11"/>
      <c r="CU734" s="11"/>
      <c r="CV734" s="11"/>
      <c r="CW734" s="11"/>
      <c r="CX734" s="11"/>
      <c r="CY734" s="11"/>
      <c r="CZ734" s="11"/>
      <c r="DA734" s="11"/>
      <c r="DB734" s="11"/>
    </row>
    <row r="735" spans="1:10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  <c r="CD735" s="11"/>
      <c r="CE735" s="11"/>
      <c r="CF735" s="11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11"/>
      <c r="CX735" s="11"/>
      <c r="CY735" s="11"/>
      <c r="CZ735" s="11"/>
      <c r="DA735" s="11"/>
      <c r="DB735" s="11"/>
    </row>
    <row r="736" spans="1:10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/>
      <c r="CG736" s="11"/>
      <c r="CH736" s="11"/>
      <c r="CI736" s="11"/>
      <c r="CJ736" s="11"/>
      <c r="CK736" s="11"/>
      <c r="CL736" s="11"/>
      <c r="CM736" s="11"/>
      <c r="CN736" s="11"/>
      <c r="CO736" s="11"/>
      <c r="CP736" s="11"/>
      <c r="CQ736" s="11"/>
      <c r="CR736" s="11"/>
      <c r="CS736" s="11"/>
      <c r="CT736" s="11"/>
      <c r="CU736" s="11"/>
      <c r="CV736" s="11"/>
      <c r="CW736" s="11"/>
      <c r="CX736" s="11"/>
      <c r="CY736" s="11"/>
      <c r="CZ736" s="11"/>
      <c r="DA736" s="11"/>
      <c r="DB736" s="11"/>
    </row>
    <row r="737" spans="1:10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11"/>
      <c r="CX737" s="11"/>
      <c r="CY737" s="11"/>
      <c r="CZ737" s="11"/>
      <c r="DA737" s="11"/>
      <c r="DB737" s="11"/>
    </row>
    <row r="738" spans="1:10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  <c r="CD738" s="11"/>
      <c r="CE738" s="11"/>
      <c r="CF738" s="11"/>
      <c r="CG738" s="11"/>
      <c r="CH738" s="11"/>
      <c r="CI738" s="11"/>
      <c r="CJ738" s="11"/>
      <c r="CK738" s="11"/>
      <c r="CL738" s="11"/>
      <c r="CM738" s="11"/>
      <c r="CN738" s="11"/>
      <c r="CO738" s="11"/>
      <c r="CP738" s="11"/>
      <c r="CQ738" s="11"/>
      <c r="CR738" s="11"/>
      <c r="CS738" s="11"/>
      <c r="CT738" s="11"/>
      <c r="CU738" s="11"/>
      <c r="CV738" s="11"/>
      <c r="CW738" s="11"/>
      <c r="CX738" s="11"/>
      <c r="CY738" s="11"/>
      <c r="CZ738" s="11"/>
      <c r="DA738" s="11"/>
      <c r="DB738" s="11"/>
    </row>
    <row r="739" spans="1:10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  <c r="CD739" s="11"/>
      <c r="CE739" s="11"/>
      <c r="CF739" s="11"/>
      <c r="CG739" s="11"/>
      <c r="CH739" s="11"/>
      <c r="CI739" s="11"/>
      <c r="CJ739" s="11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  <c r="CW739" s="11"/>
      <c r="CX739" s="11"/>
      <c r="CY739" s="11"/>
      <c r="CZ739" s="11"/>
      <c r="DA739" s="11"/>
      <c r="DB739" s="11"/>
    </row>
    <row r="740" spans="1:10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  <c r="CD740" s="11"/>
      <c r="CE740" s="11"/>
      <c r="CF740" s="11"/>
      <c r="CG740" s="11"/>
      <c r="CH740" s="11"/>
      <c r="CI740" s="11"/>
      <c r="CJ740" s="11"/>
      <c r="CK740" s="11"/>
      <c r="CL740" s="11"/>
      <c r="CM740" s="11"/>
      <c r="CN740" s="11"/>
      <c r="CO740" s="11"/>
      <c r="CP740" s="11"/>
      <c r="CQ740" s="11"/>
      <c r="CR740" s="11"/>
      <c r="CS740" s="11"/>
      <c r="CT740" s="11"/>
      <c r="CU740" s="11"/>
      <c r="CV740" s="11"/>
      <c r="CW740" s="11"/>
      <c r="CX740" s="11"/>
      <c r="CY740" s="11"/>
      <c r="CZ740" s="11"/>
      <c r="DA740" s="11"/>
      <c r="DB740" s="11"/>
    </row>
    <row r="741" spans="1:10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  <c r="CD741" s="11"/>
      <c r="CE741" s="11"/>
      <c r="CF741" s="11"/>
      <c r="CG741" s="11"/>
      <c r="CH741" s="11"/>
      <c r="CI741" s="11"/>
      <c r="CJ741" s="11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  <c r="CW741" s="11"/>
      <c r="CX741" s="11"/>
      <c r="CY741" s="11"/>
      <c r="CZ741" s="11"/>
      <c r="DA741" s="11"/>
      <c r="DB741" s="11"/>
    </row>
    <row r="742" spans="1:10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  <c r="CD742" s="11"/>
      <c r="CE742" s="11"/>
      <c r="CF742" s="11"/>
      <c r="CG742" s="11"/>
      <c r="CH742" s="11"/>
      <c r="CI742" s="11"/>
      <c r="CJ742" s="11"/>
      <c r="CK742" s="11"/>
      <c r="CL742" s="11"/>
      <c r="CM742" s="11"/>
      <c r="CN742" s="11"/>
      <c r="CO742" s="11"/>
      <c r="CP742" s="11"/>
      <c r="CQ742" s="11"/>
      <c r="CR742" s="11"/>
      <c r="CS742" s="11"/>
      <c r="CT742" s="11"/>
      <c r="CU742" s="11"/>
      <c r="CV742" s="11"/>
      <c r="CW742" s="11"/>
      <c r="CX742" s="11"/>
      <c r="CY742" s="11"/>
      <c r="CZ742" s="11"/>
      <c r="DA742" s="11"/>
      <c r="DB742" s="11"/>
    </row>
    <row r="743" spans="1:10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  <c r="CD743" s="11"/>
      <c r="CE743" s="11"/>
      <c r="CF743" s="11"/>
      <c r="CG743" s="11"/>
      <c r="CH743" s="11"/>
      <c r="CI743" s="11"/>
      <c r="CJ743" s="11"/>
      <c r="CK743" s="11"/>
      <c r="CL743" s="11"/>
      <c r="CM743" s="11"/>
      <c r="CN743" s="11"/>
      <c r="CO743" s="11"/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  <c r="DA743" s="11"/>
      <c r="DB743" s="11"/>
    </row>
    <row r="744" spans="1:10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</row>
    <row r="745" spans="1:10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</row>
    <row r="746" spans="1:10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  <c r="CD746" s="11"/>
      <c r="CE746" s="11"/>
      <c r="CF746" s="11"/>
      <c r="CG746" s="11"/>
      <c r="CH746" s="11"/>
      <c r="CI746" s="11"/>
      <c r="CJ746" s="11"/>
      <c r="CK746" s="11"/>
      <c r="CL746" s="11"/>
      <c r="CM746" s="11"/>
      <c r="CN746" s="11"/>
      <c r="CO746" s="11"/>
      <c r="CP746" s="11"/>
      <c r="CQ746" s="11"/>
      <c r="CR746" s="11"/>
      <c r="CS746" s="11"/>
      <c r="CT746" s="11"/>
      <c r="CU746" s="11"/>
      <c r="CV746" s="11"/>
      <c r="CW746" s="11"/>
      <c r="CX746" s="11"/>
      <c r="CY746" s="11"/>
      <c r="CZ746" s="11"/>
      <c r="DA746" s="11"/>
      <c r="DB746" s="11"/>
    </row>
    <row r="747" spans="1:10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</row>
    <row r="748" spans="1:10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  <c r="CD748" s="11"/>
      <c r="CE748" s="11"/>
      <c r="CF748" s="11"/>
      <c r="CG748" s="11"/>
      <c r="CH748" s="11"/>
      <c r="CI748" s="11"/>
      <c r="CJ748" s="11"/>
      <c r="CK748" s="11"/>
      <c r="CL748" s="11"/>
      <c r="CM748" s="11"/>
      <c r="CN748" s="11"/>
      <c r="CO748" s="11"/>
      <c r="CP748" s="11"/>
      <c r="CQ748" s="11"/>
      <c r="CR748" s="11"/>
      <c r="CS748" s="11"/>
      <c r="CT748" s="11"/>
      <c r="CU748" s="11"/>
      <c r="CV748" s="11"/>
      <c r="CW748" s="11"/>
      <c r="CX748" s="11"/>
      <c r="CY748" s="11"/>
      <c r="CZ748" s="11"/>
      <c r="DA748" s="11"/>
      <c r="DB748" s="11"/>
    </row>
    <row r="749" spans="1:10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  <c r="CD749" s="11"/>
      <c r="CE749" s="11"/>
      <c r="CF749" s="11"/>
      <c r="CG749" s="11"/>
      <c r="CH749" s="11"/>
      <c r="CI749" s="11"/>
      <c r="CJ749" s="11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  <c r="CW749" s="11"/>
      <c r="CX749" s="11"/>
      <c r="CY749" s="11"/>
      <c r="CZ749" s="11"/>
      <c r="DA749" s="11"/>
      <c r="DB749" s="11"/>
    </row>
    <row r="750" spans="1:10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</row>
    <row r="751" spans="1:10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  <c r="DA751" s="11"/>
      <c r="DB751" s="11"/>
    </row>
    <row r="752" spans="1:10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  <c r="CD752" s="11"/>
      <c r="CE752" s="11"/>
      <c r="CF752" s="11"/>
      <c r="CG752" s="11"/>
      <c r="CH752" s="11"/>
      <c r="CI752" s="11"/>
      <c r="CJ752" s="11"/>
      <c r="CK752" s="11"/>
      <c r="CL752" s="11"/>
      <c r="CM752" s="11"/>
      <c r="CN752" s="11"/>
      <c r="CO752" s="11"/>
      <c r="CP752" s="11"/>
      <c r="CQ752" s="11"/>
      <c r="CR752" s="11"/>
      <c r="CS752" s="11"/>
      <c r="CT752" s="11"/>
      <c r="CU752" s="11"/>
      <c r="CV752" s="11"/>
      <c r="CW752" s="11"/>
      <c r="CX752" s="11"/>
      <c r="CY752" s="11"/>
      <c r="CZ752" s="11"/>
      <c r="DA752" s="11"/>
      <c r="DB752" s="11"/>
    </row>
    <row r="753" spans="1:10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  <c r="CD753" s="11"/>
      <c r="CE753" s="11"/>
      <c r="CF753" s="11"/>
      <c r="CG753" s="11"/>
      <c r="CH753" s="11"/>
      <c r="CI753" s="11"/>
      <c r="CJ753" s="11"/>
      <c r="CK753" s="11"/>
      <c r="CL753" s="11"/>
      <c r="CM753" s="11"/>
      <c r="CN753" s="11"/>
      <c r="CO753" s="11"/>
      <c r="CP753" s="11"/>
      <c r="CQ753" s="11"/>
      <c r="CR753" s="11"/>
      <c r="CS753" s="11"/>
      <c r="CT753" s="11"/>
      <c r="CU753" s="11"/>
      <c r="CV753" s="11"/>
      <c r="CW753" s="11"/>
      <c r="CX753" s="11"/>
      <c r="CY753" s="11"/>
      <c r="CZ753" s="11"/>
      <c r="DA753" s="11"/>
      <c r="DB753" s="11"/>
    </row>
    <row r="754" spans="1:10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  <c r="CD754" s="11"/>
      <c r="CE754" s="11"/>
      <c r="CF754" s="11"/>
      <c r="CG754" s="11"/>
      <c r="CH754" s="11"/>
      <c r="CI754" s="11"/>
      <c r="CJ754" s="11"/>
      <c r="CK754" s="11"/>
      <c r="CL754" s="11"/>
      <c r="CM754" s="11"/>
      <c r="CN754" s="11"/>
      <c r="CO754" s="11"/>
      <c r="CP754" s="11"/>
      <c r="CQ754" s="11"/>
      <c r="CR754" s="11"/>
      <c r="CS754" s="11"/>
      <c r="CT754" s="11"/>
      <c r="CU754" s="11"/>
      <c r="CV754" s="11"/>
      <c r="CW754" s="11"/>
      <c r="CX754" s="11"/>
      <c r="CY754" s="11"/>
      <c r="CZ754" s="11"/>
      <c r="DA754" s="11"/>
      <c r="DB754" s="11"/>
    </row>
    <row r="755" spans="1:10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  <c r="CD755" s="11"/>
      <c r="CE755" s="11"/>
      <c r="CF755" s="11"/>
      <c r="CG755" s="11"/>
      <c r="CH755" s="11"/>
      <c r="CI755" s="11"/>
      <c r="CJ755" s="11"/>
      <c r="CK755" s="11"/>
      <c r="CL755" s="11"/>
      <c r="CM755" s="11"/>
      <c r="CN755" s="11"/>
      <c r="CO755" s="11"/>
      <c r="CP755" s="11"/>
      <c r="CQ755" s="11"/>
      <c r="CR755" s="11"/>
      <c r="CS755" s="11"/>
      <c r="CT755" s="11"/>
      <c r="CU755" s="11"/>
      <c r="CV755" s="11"/>
      <c r="CW755" s="11"/>
      <c r="CX755" s="11"/>
      <c r="CY755" s="11"/>
      <c r="CZ755" s="11"/>
      <c r="DA755" s="11"/>
      <c r="DB755" s="11"/>
    </row>
    <row r="756" spans="1:10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  <c r="CD756" s="11"/>
      <c r="CE756" s="11"/>
      <c r="CF756" s="11"/>
      <c r="CG756" s="11"/>
      <c r="CH756" s="11"/>
      <c r="CI756" s="11"/>
      <c r="CJ756" s="11"/>
      <c r="CK756" s="11"/>
      <c r="CL756" s="11"/>
      <c r="CM756" s="11"/>
      <c r="CN756" s="11"/>
      <c r="CO756" s="11"/>
      <c r="CP756" s="11"/>
      <c r="CQ756" s="11"/>
      <c r="CR756" s="11"/>
      <c r="CS756" s="11"/>
      <c r="CT756" s="11"/>
      <c r="CU756" s="11"/>
      <c r="CV756" s="11"/>
      <c r="CW756" s="11"/>
      <c r="CX756" s="11"/>
      <c r="CY756" s="11"/>
      <c r="CZ756" s="11"/>
      <c r="DA756" s="11"/>
      <c r="DB756" s="11"/>
    </row>
    <row r="757" spans="1:10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  <c r="CD757" s="11"/>
      <c r="CE757" s="11"/>
      <c r="CF757" s="11"/>
      <c r="CG757" s="11"/>
      <c r="CH757" s="11"/>
      <c r="CI757" s="11"/>
      <c r="CJ757" s="11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</row>
    <row r="758" spans="1:10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  <c r="CD758" s="11"/>
      <c r="CE758" s="11"/>
      <c r="CF758" s="11"/>
      <c r="CG758" s="11"/>
      <c r="CH758" s="11"/>
      <c r="CI758" s="11"/>
      <c r="CJ758" s="11"/>
      <c r="CK758" s="11"/>
      <c r="CL758" s="11"/>
      <c r="CM758" s="11"/>
      <c r="CN758" s="11"/>
      <c r="CO758" s="11"/>
      <c r="CP758" s="11"/>
      <c r="CQ758" s="11"/>
      <c r="CR758" s="11"/>
      <c r="CS758" s="11"/>
      <c r="CT758" s="11"/>
      <c r="CU758" s="11"/>
      <c r="CV758" s="11"/>
      <c r="CW758" s="11"/>
      <c r="CX758" s="11"/>
      <c r="CY758" s="11"/>
      <c r="CZ758" s="11"/>
      <c r="DA758" s="11"/>
      <c r="DB758" s="11"/>
    </row>
    <row r="759" spans="1:10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  <c r="CD759" s="11"/>
      <c r="CE759" s="11"/>
      <c r="CF759" s="11"/>
      <c r="CG759" s="11"/>
      <c r="CH759" s="11"/>
      <c r="CI759" s="11"/>
      <c r="CJ759" s="11"/>
      <c r="CK759" s="11"/>
      <c r="CL759" s="11"/>
      <c r="CM759" s="11"/>
      <c r="CN759" s="11"/>
      <c r="CO759" s="11"/>
      <c r="CP759" s="11"/>
      <c r="CQ759" s="11"/>
      <c r="CR759" s="11"/>
      <c r="CS759" s="11"/>
      <c r="CT759" s="11"/>
      <c r="CU759" s="11"/>
      <c r="CV759" s="11"/>
      <c r="CW759" s="11"/>
      <c r="CX759" s="11"/>
      <c r="CY759" s="11"/>
      <c r="CZ759" s="11"/>
      <c r="DA759" s="11"/>
      <c r="DB759" s="11"/>
    </row>
    <row r="760" spans="1:10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  <c r="CD760" s="11"/>
      <c r="CE760" s="11"/>
      <c r="CF760" s="11"/>
      <c r="CG760" s="11"/>
      <c r="CH760" s="11"/>
      <c r="CI760" s="11"/>
      <c r="CJ760" s="11"/>
      <c r="CK760" s="11"/>
      <c r="CL760" s="11"/>
      <c r="CM760" s="11"/>
      <c r="CN760" s="11"/>
      <c r="CO760" s="11"/>
      <c r="CP760" s="11"/>
      <c r="CQ760" s="11"/>
      <c r="CR760" s="11"/>
      <c r="CS760" s="11"/>
      <c r="CT760" s="11"/>
      <c r="CU760" s="11"/>
      <c r="CV760" s="11"/>
      <c r="CW760" s="11"/>
      <c r="CX760" s="11"/>
      <c r="CY760" s="11"/>
      <c r="CZ760" s="11"/>
      <c r="DA760" s="11"/>
      <c r="DB760" s="11"/>
    </row>
    <row r="761" spans="1:10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  <c r="CD761" s="11"/>
      <c r="CE761" s="11"/>
      <c r="CF761" s="11"/>
      <c r="CG761" s="11"/>
      <c r="CH761" s="11"/>
      <c r="CI761" s="11"/>
      <c r="CJ761" s="11"/>
      <c r="CK761" s="11"/>
      <c r="CL761" s="11"/>
      <c r="CM761" s="11"/>
      <c r="CN761" s="11"/>
      <c r="CO761" s="11"/>
      <c r="CP761" s="11"/>
      <c r="CQ761" s="11"/>
      <c r="CR761" s="11"/>
      <c r="CS761" s="11"/>
      <c r="CT761" s="11"/>
      <c r="CU761" s="11"/>
      <c r="CV761" s="11"/>
      <c r="CW761" s="11"/>
      <c r="CX761" s="11"/>
      <c r="CY761" s="11"/>
      <c r="CZ761" s="11"/>
      <c r="DA761" s="11"/>
      <c r="DB761" s="11"/>
    </row>
    <row r="762" spans="1:10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  <c r="CD762" s="11"/>
      <c r="CE762" s="11"/>
      <c r="CF762" s="11"/>
      <c r="CG762" s="11"/>
      <c r="CH762" s="11"/>
      <c r="CI762" s="11"/>
      <c r="CJ762" s="11"/>
      <c r="CK762" s="11"/>
      <c r="CL762" s="11"/>
      <c r="CM762" s="11"/>
      <c r="CN762" s="11"/>
      <c r="CO762" s="11"/>
      <c r="CP762" s="11"/>
      <c r="CQ762" s="11"/>
      <c r="CR762" s="11"/>
      <c r="CS762" s="11"/>
      <c r="CT762" s="11"/>
      <c r="CU762" s="11"/>
      <c r="CV762" s="11"/>
      <c r="CW762" s="11"/>
      <c r="CX762" s="11"/>
      <c r="CY762" s="11"/>
      <c r="CZ762" s="11"/>
      <c r="DA762" s="11"/>
      <c r="DB762" s="11"/>
    </row>
    <row r="763" spans="1:10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  <c r="CD763" s="11"/>
      <c r="CE763" s="11"/>
      <c r="CF763" s="11"/>
      <c r="CG763" s="11"/>
      <c r="CH763" s="11"/>
      <c r="CI763" s="11"/>
      <c r="CJ763" s="11"/>
      <c r="CK763" s="11"/>
      <c r="CL763" s="11"/>
      <c r="CM763" s="11"/>
      <c r="CN763" s="11"/>
      <c r="CO763" s="11"/>
      <c r="CP763" s="11"/>
      <c r="CQ763" s="11"/>
      <c r="CR763" s="11"/>
      <c r="CS763" s="11"/>
      <c r="CT763" s="11"/>
      <c r="CU763" s="11"/>
      <c r="CV763" s="11"/>
      <c r="CW763" s="11"/>
      <c r="CX763" s="11"/>
      <c r="CY763" s="11"/>
      <c r="CZ763" s="11"/>
      <c r="DA763" s="11"/>
      <c r="DB763" s="11"/>
    </row>
    <row r="764" spans="1:10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  <c r="CD764" s="11"/>
      <c r="CE764" s="11"/>
      <c r="CF764" s="11"/>
      <c r="CG764" s="11"/>
      <c r="CH764" s="11"/>
      <c r="CI764" s="11"/>
      <c r="CJ764" s="11"/>
      <c r="CK764" s="11"/>
      <c r="CL764" s="11"/>
      <c r="CM764" s="11"/>
      <c r="CN764" s="11"/>
      <c r="CO764" s="11"/>
      <c r="CP764" s="11"/>
      <c r="CQ764" s="11"/>
      <c r="CR764" s="11"/>
      <c r="CS764" s="11"/>
      <c r="CT764" s="11"/>
      <c r="CU764" s="11"/>
      <c r="CV764" s="11"/>
      <c r="CW764" s="11"/>
      <c r="CX764" s="11"/>
      <c r="CY764" s="11"/>
      <c r="CZ764" s="11"/>
      <c r="DA764" s="11"/>
      <c r="DB764" s="11"/>
    </row>
    <row r="765" spans="1:10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  <c r="CD765" s="11"/>
      <c r="CE765" s="11"/>
      <c r="CF765" s="11"/>
      <c r="CG765" s="11"/>
      <c r="CH765" s="11"/>
      <c r="CI765" s="11"/>
      <c r="CJ765" s="11"/>
      <c r="CK765" s="11"/>
      <c r="CL765" s="11"/>
      <c r="CM765" s="11"/>
      <c r="CN765" s="11"/>
      <c r="CO765" s="11"/>
      <c r="CP765" s="11"/>
      <c r="CQ765" s="11"/>
      <c r="CR765" s="11"/>
      <c r="CS765" s="11"/>
      <c r="CT765" s="11"/>
      <c r="CU765" s="11"/>
      <c r="CV765" s="11"/>
      <c r="CW765" s="11"/>
      <c r="CX765" s="11"/>
      <c r="CY765" s="11"/>
      <c r="CZ765" s="11"/>
      <c r="DA765" s="11"/>
      <c r="DB765" s="11"/>
    </row>
    <row r="766" spans="1:10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  <c r="CD766" s="11"/>
      <c r="CE766" s="11"/>
      <c r="CF766" s="11"/>
      <c r="CG766" s="11"/>
      <c r="CH766" s="11"/>
      <c r="CI766" s="11"/>
      <c r="CJ766" s="11"/>
      <c r="CK766" s="11"/>
      <c r="CL766" s="11"/>
      <c r="CM766" s="11"/>
      <c r="CN766" s="11"/>
      <c r="CO766" s="11"/>
      <c r="CP766" s="11"/>
      <c r="CQ766" s="11"/>
      <c r="CR766" s="11"/>
      <c r="CS766" s="11"/>
      <c r="CT766" s="11"/>
      <c r="CU766" s="11"/>
      <c r="CV766" s="11"/>
      <c r="CW766" s="11"/>
      <c r="CX766" s="11"/>
      <c r="CY766" s="11"/>
      <c r="CZ766" s="11"/>
      <c r="DA766" s="11"/>
      <c r="DB766" s="11"/>
    </row>
    <row r="767" spans="1:10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  <c r="CD767" s="11"/>
      <c r="CE767" s="11"/>
      <c r="CF767" s="11"/>
      <c r="CG767" s="11"/>
      <c r="CH767" s="11"/>
      <c r="CI767" s="11"/>
      <c r="CJ767" s="11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  <c r="CW767" s="11"/>
      <c r="CX767" s="11"/>
      <c r="CY767" s="11"/>
      <c r="CZ767" s="11"/>
      <c r="DA767" s="11"/>
      <c r="DB767" s="11"/>
    </row>
    <row r="768" spans="1:10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  <c r="CD768" s="11"/>
      <c r="CE768" s="11"/>
      <c r="CF768" s="11"/>
      <c r="CG768" s="11"/>
      <c r="CH768" s="11"/>
      <c r="CI768" s="11"/>
      <c r="CJ768" s="11"/>
      <c r="CK768" s="11"/>
      <c r="CL768" s="11"/>
      <c r="CM768" s="11"/>
      <c r="CN768" s="11"/>
      <c r="CO768" s="11"/>
      <c r="CP768" s="11"/>
      <c r="CQ768" s="11"/>
      <c r="CR768" s="11"/>
      <c r="CS768" s="11"/>
      <c r="CT768" s="11"/>
      <c r="CU768" s="11"/>
      <c r="CV768" s="11"/>
      <c r="CW768" s="11"/>
      <c r="CX768" s="11"/>
      <c r="CY768" s="11"/>
      <c r="CZ768" s="11"/>
      <c r="DA768" s="11"/>
      <c r="DB768" s="11"/>
    </row>
    <row r="769" spans="1:10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  <c r="CD769" s="11"/>
      <c r="CE769" s="11"/>
      <c r="CF769" s="11"/>
      <c r="CG769" s="11"/>
      <c r="CH769" s="11"/>
      <c r="CI769" s="11"/>
      <c r="CJ769" s="11"/>
      <c r="CK769" s="11"/>
      <c r="CL769" s="11"/>
      <c r="CM769" s="11"/>
      <c r="CN769" s="11"/>
      <c r="CO769" s="11"/>
      <c r="CP769" s="11"/>
      <c r="CQ769" s="11"/>
      <c r="CR769" s="11"/>
      <c r="CS769" s="11"/>
      <c r="CT769" s="11"/>
      <c r="CU769" s="11"/>
      <c r="CV769" s="11"/>
      <c r="CW769" s="11"/>
      <c r="CX769" s="11"/>
      <c r="CY769" s="11"/>
      <c r="CZ769" s="11"/>
      <c r="DA769" s="11"/>
      <c r="DB769" s="11"/>
    </row>
    <row r="770" spans="1:10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  <c r="CD770" s="11"/>
      <c r="CE770" s="11"/>
      <c r="CF770" s="11"/>
      <c r="CG770" s="11"/>
      <c r="CH770" s="11"/>
      <c r="CI770" s="11"/>
      <c r="CJ770" s="11"/>
      <c r="CK770" s="11"/>
      <c r="CL770" s="11"/>
      <c r="CM770" s="11"/>
      <c r="CN770" s="11"/>
      <c r="CO770" s="11"/>
      <c r="CP770" s="11"/>
      <c r="CQ770" s="11"/>
      <c r="CR770" s="11"/>
      <c r="CS770" s="11"/>
      <c r="CT770" s="11"/>
      <c r="CU770" s="11"/>
      <c r="CV770" s="11"/>
      <c r="CW770" s="11"/>
      <c r="CX770" s="11"/>
      <c r="CY770" s="11"/>
      <c r="CZ770" s="11"/>
      <c r="DA770" s="11"/>
      <c r="DB770" s="11"/>
    </row>
    <row r="771" spans="1:10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  <c r="CD771" s="11"/>
      <c r="CE771" s="11"/>
      <c r="CF771" s="11"/>
      <c r="CG771" s="11"/>
      <c r="CH771" s="11"/>
      <c r="CI771" s="11"/>
      <c r="CJ771" s="11"/>
      <c r="CK771" s="11"/>
      <c r="CL771" s="11"/>
      <c r="CM771" s="11"/>
      <c r="CN771" s="11"/>
      <c r="CO771" s="11"/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  <c r="DA771" s="11"/>
      <c r="DB771" s="11"/>
    </row>
    <row r="772" spans="1:10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  <c r="CD772" s="11"/>
      <c r="CE772" s="11"/>
      <c r="CF772" s="11"/>
      <c r="CG772" s="11"/>
      <c r="CH772" s="11"/>
      <c r="CI772" s="11"/>
      <c r="CJ772" s="11"/>
      <c r="CK772" s="11"/>
      <c r="CL772" s="11"/>
      <c r="CM772" s="11"/>
      <c r="CN772" s="11"/>
      <c r="CO772" s="11"/>
      <c r="CP772" s="11"/>
      <c r="CQ772" s="11"/>
      <c r="CR772" s="11"/>
      <c r="CS772" s="11"/>
      <c r="CT772" s="11"/>
      <c r="CU772" s="11"/>
      <c r="CV772" s="11"/>
      <c r="CW772" s="11"/>
      <c r="CX772" s="11"/>
      <c r="CY772" s="11"/>
      <c r="CZ772" s="11"/>
      <c r="DA772" s="11"/>
      <c r="DB772" s="11"/>
    </row>
    <row r="773" spans="1:10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  <c r="CD773" s="11"/>
      <c r="CE773" s="11"/>
      <c r="CF773" s="11"/>
      <c r="CG773" s="11"/>
      <c r="CH773" s="11"/>
      <c r="CI773" s="11"/>
      <c r="CJ773" s="11"/>
      <c r="CK773" s="11"/>
      <c r="CL773" s="11"/>
      <c r="CM773" s="11"/>
      <c r="CN773" s="11"/>
      <c r="CO773" s="11"/>
      <c r="CP773" s="11"/>
      <c r="CQ773" s="11"/>
      <c r="CR773" s="11"/>
      <c r="CS773" s="11"/>
      <c r="CT773" s="11"/>
      <c r="CU773" s="11"/>
      <c r="CV773" s="11"/>
      <c r="CW773" s="11"/>
      <c r="CX773" s="11"/>
      <c r="CY773" s="11"/>
      <c r="CZ773" s="11"/>
      <c r="DA773" s="11"/>
      <c r="DB773" s="11"/>
    </row>
    <row r="774" spans="1:10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  <c r="CD774" s="11"/>
      <c r="CE774" s="11"/>
      <c r="CF774" s="11"/>
      <c r="CG774" s="11"/>
      <c r="CH774" s="11"/>
      <c r="CI774" s="11"/>
      <c r="CJ774" s="11"/>
      <c r="CK774" s="11"/>
      <c r="CL774" s="11"/>
      <c r="CM774" s="11"/>
      <c r="CN774" s="11"/>
      <c r="CO774" s="11"/>
      <c r="CP774" s="11"/>
      <c r="CQ774" s="11"/>
      <c r="CR774" s="11"/>
      <c r="CS774" s="11"/>
      <c r="CT774" s="11"/>
      <c r="CU774" s="11"/>
      <c r="CV774" s="11"/>
      <c r="CW774" s="11"/>
      <c r="CX774" s="11"/>
      <c r="CY774" s="11"/>
      <c r="CZ774" s="11"/>
      <c r="DA774" s="11"/>
      <c r="DB774" s="11"/>
    </row>
    <row r="775" spans="1:10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  <c r="CD775" s="11"/>
      <c r="CE775" s="11"/>
      <c r="CF775" s="11"/>
      <c r="CG775" s="11"/>
      <c r="CH775" s="11"/>
      <c r="CI775" s="11"/>
      <c r="CJ775" s="11"/>
      <c r="CK775" s="11"/>
      <c r="CL775" s="11"/>
      <c r="CM775" s="11"/>
      <c r="CN775" s="11"/>
      <c r="CO775" s="11"/>
      <c r="CP775" s="11"/>
      <c r="CQ775" s="11"/>
      <c r="CR775" s="11"/>
      <c r="CS775" s="11"/>
      <c r="CT775" s="11"/>
      <c r="CU775" s="11"/>
      <c r="CV775" s="11"/>
      <c r="CW775" s="11"/>
      <c r="CX775" s="11"/>
      <c r="CY775" s="11"/>
      <c r="CZ775" s="11"/>
      <c r="DA775" s="11"/>
      <c r="DB775" s="11"/>
    </row>
    <row r="776" spans="1:10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  <c r="CD776" s="11"/>
      <c r="CE776" s="11"/>
      <c r="CF776" s="11"/>
      <c r="CG776" s="11"/>
      <c r="CH776" s="11"/>
      <c r="CI776" s="11"/>
      <c r="CJ776" s="11"/>
      <c r="CK776" s="11"/>
      <c r="CL776" s="11"/>
      <c r="CM776" s="11"/>
      <c r="CN776" s="11"/>
      <c r="CO776" s="11"/>
      <c r="CP776" s="11"/>
      <c r="CQ776" s="11"/>
      <c r="CR776" s="11"/>
      <c r="CS776" s="11"/>
      <c r="CT776" s="11"/>
      <c r="CU776" s="11"/>
      <c r="CV776" s="11"/>
      <c r="CW776" s="11"/>
      <c r="CX776" s="11"/>
      <c r="CY776" s="11"/>
      <c r="CZ776" s="11"/>
      <c r="DA776" s="11"/>
      <c r="DB776" s="11"/>
    </row>
    <row r="777" spans="1:10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  <c r="CD777" s="11"/>
      <c r="CE777" s="11"/>
      <c r="CF777" s="11"/>
      <c r="CG777" s="11"/>
      <c r="CH777" s="11"/>
      <c r="CI777" s="11"/>
      <c r="CJ777" s="11"/>
      <c r="CK777" s="11"/>
      <c r="CL777" s="11"/>
      <c r="CM777" s="11"/>
      <c r="CN777" s="11"/>
      <c r="CO777" s="11"/>
      <c r="CP777" s="11"/>
      <c r="CQ777" s="11"/>
      <c r="CR777" s="11"/>
      <c r="CS777" s="11"/>
      <c r="CT777" s="11"/>
      <c r="CU777" s="11"/>
      <c r="CV777" s="11"/>
      <c r="CW777" s="11"/>
      <c r="CX777" s="11"/>
      <c r="CY777" s="11"/>
      <c r="CZ777" s="11"/>
      <c r="DA777" s="11"/>
      <c r="DB777" s="11"/>
    </row>
    <row r="778" spans="1:10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  <c r="CD778" s="11"/>
      <c r="CE778" s="11"/>
      <c r="CF778" s="11"/>
      <c r="CG778" s="11"/>
      <c r="CH778" s="11"/>
      <c r="CI778" s="11"/>
      <c r="CJ778" s="11"/>
      <c r="CK778" s="11"/>
      <c r="CL778" s="11"/>
      <c r="CM778" s="11"/>
      <c r="CN778" s="11"/>
      <c r="CO778" s="11"/>
      <c r="CP778" s="11"/>
      <c r="CQ778" s="11"/>
      <c r="CR778" s="11"/>
      <c r="CS778" s="11"/>
      <c r="CT778" s="11"/>
      <c r="CU778" s="11"/>
      <c r="CV778" s="11"/>
      <c r="CW778" s="11"/>
      <c r="CX778" s="11"/>
      <c r="CY778" s="11"/>
      <c r="CZ778" s="11"/>
      <c r="DA778" s="11"/>
      <c r="DB778" s="11"/>
    </row>
    <row r="779" spans="1:10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  <c r="CD779" s="11"/>
      <c r="CE779" s="11"/>
      <c r="CF779" s="11"/>
      <c r="CG779" s="11"/>
      <c r="CH779" s="11"/>
      <c r="CI779" s="11"/>
      <c r="CJ779" s="11"/>
      <c r="CK779" s="11"/>
      <c r="CL779" s="11"/>
      <c r="CM779" s="11"/>
      <c r="CN779" s="11"/>
      <c r="CO779" s="11"/>
      <c r="CP779" s="11"/>
      <c r="CQ779" s="11"/>
      <c r="CR779" s="11"/>
      <c r="CS779" s="11"/>
      <c r="CT779" s="11"/>
      <c r="CU779" s="11"/>
      <c r="CV779" s="11"/>
      <c r="CW779" s="11"/>
      <c r="CX779" s="11"/>
      <c r="CY779" s="11"/>
      <c r="CZ779" s="11"/>
      <c r="DA779" s="11"/>
      <c r="DB779" s="11"/>
    </row>
    <row r="780" spans="1:10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  <c r="CD780" s="11"/>
      <c r="CE780" s="11"/>
      <c r="CF780" s="11"/>
      <c r="CG780" s="11"/>
      <c r="CH780" s="11"/>
      <c r="CI780" s="11"/>
      <c r="CJ780" s="11"/>
      <c r="CK780" s="11"/>
      <c r="CL780" s="11"/>
      <c r="CM780" s="11"/>
      <c r="CN780" s="11"/>
      <c r="CO780" s="11"/>
      <c r="CP780" s="11"/>
      <c r="CQ780" s="11"/>
      <c r="CR780" s="11"/>
      <c r="CS780" s="11"/>
      <c r="CT780" s="11"/>
      <c r="CU780" s="11"/>
      <c r="CV780" s="11"/>
      <c r="CW780" s="11"/>
      <c r="CX780" s="11"/>
      <c r="CY780" s="11"/>
      <c r="CZ780" s="11"/>
      <c r="DA780" s="11"/>
      <c r="DB780" s="11"/>
    </row>
    <row r="781" spans="1:10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  <c r="CD781" s="11"/>
      <c r="CE781" s="11"/>
      <c r="CF781" s="11"/>
      <c r="CG781" s="11"/>
      <c r="CH781" s="11"/>
      <c r="CI781" s="11"/>
      <c r="CJ781" s="11"/>
      <c r="CK781" s="11"/>
      <c r="CL781" s="11"/>
      <c r="CM781" s="11"/>
      <c r="CN781" s="11"/>
      <c r="CO781" s="11"/>
      <c r="CP781" s="11"/>
      <c r="CQ781" s="11"/>
      <c r="CR781" s="11"/>
      <c r="CS781" s="11"/>
      <c r="CT781" s="11"/>
      <c r="CU781" s="11"/>
      <c r="CV781" s="11"/>
      <c r="CW781" s="11"/>
      <c r="CX781" s="11"/>
      <c r="CY781" s="11"/>
      <c r="CZ781" s="11"/>
      <c r="DA781" s="11"/>
      <c r="DB781" s="11"/>
    </row>
    <row r="782" spans="1:10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  <c r="CD782" s="11"/>
      <c r="CE782" s="11"/>
      <c r="CF782" s="11"/>
      <c r="CG782" s="11"/>
      <c r="CH782" s="11"/>
      <c r="CI782" s="11"/>
      <c r="CJ782" s="11"/>
      <c r="CK782" s="11"/>
      <c r="CL782" s="11"/>
      <c r="CM782" s="11"/>
      <c r="CN782" s="11"/>
      <c r="CO782" s="11"/>
      <c r="CP782" s="11"/>
      <c r="CQ782" s="11"/>
      <c r="CR782" s="11"/>
      <c r="CS782" s="11"/>
      <c r="CT782" s="11"/>
      <c r="CU782" s="11"/>
      <c r="CV782" s="11"/>
      <c r="CW782" s="11"/>
      <c r="CX782" s="11"/>
      <c r="CY782" s="11"/>
      <c r="CZ782" s="11"/>
      <c r="DA782" s="11"/>
      <c r="DB782" s="11"/>
    </row>
    <row r="783" spans="1:10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  <c r="CD783" s="11"/>
      <c r="CE783" s="11"/>
      <c r="CF783" s="11"/>
      <c r="CG783" s="11"/>
      <c r="CH783" s="11"/>
      <c r="CI783" s="11"/>
      <c r="CJ783" s="11"/>
      <c r="CK783" s="11"/>
      <c r="CL783" s="11"/>
      <c r="CM783" s="11"/>
      <c r="CN783" s="11"/>
      <c r="CO783" s="11"/>
      <c r="CP783" s="11"/>
      <c r="CQ783" s="11"/>
      <c r="CR783" s="11"/>
      <c r="CS783" s="11"/>
      <c r="CT783" s="11"/>
      <c r="CU783" s="11"/>
      <c r="CV783" s="11"/>
      <c r="CW783" s="11"/>
      <c r="CX783" s="11"/>
      <c r="CY783" s="11"/>
      <c r="CZ783" s="11"/>
      <c r="DA783" s="11"/>
      <c r="DB783" s="11"/>
    </row>
    <row r="784" spans="1:10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</row>
    <row r="785" spans="1:10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</row>
    <row r="786" spans="1:10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  <c r="CD786" s="11"/>
      <c r="CE786" s="11"/>
      <c r="CF786" s="11"/>
      <c r="CG786" s="11"/>
      <c r="CH786" s="11"/>
      <c r="CI786" s="11"/>
      <c r="CJ786" s="11"/>
      <c r="CK786" s="11"/>
      <c r="CL786" s="11"/>
      <c r="CM786" s="11"/>
      <c r="CN786" s="11"/>
      <c r="CO786" s="11"/>
      <c r="CP786" s="11"/>
      <c r="CQ786" s="11"/>
      <c r="CR786" s="11"/>
      <c r="CS786" s="11"/>
      <c r="CT786" s="11"/>
      <c r="CU786" s="11"/>
      <c r="CV786" s="11"/>
      <c r="CW786" s="11"/>
      <c r="CX786" s="11"/>
      <c r="CY786" s="11"/>
      <c r="CZ786" s="11"/>
      <c r="DA786" s="11"/>
      <c r="DB786" s="11"/>
    </row>
    <row r="787" spans="1:10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1"/>
      <c r="DB787" s="11"/>
    </row>
    <row r="788" spans="1:10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CH788" s="11"/>
      <c r="CI788" s="11"/>
      <c r="CJ788" s="11"/>
      <c r="CK788" s="11"/>
      <c r="CL788" s="11"/>
      <c r="CM788" s="11"/>
      <c r="CN788" s="11"/>
      <c r="CO788" s="11"/>
      <c r="CP788" s="11"/>
      <c r="CQ788" s="11"/>
      <c r="CR788" s="11"/>
      <c r="CS788" s="11"/>
      <c r="CT788" s="11"/>
      <c r="CU788" s="11"/>
      <c r="CV788" s="11"/>
      <c r="CW788" s="11"/>
      <c r="CX788" s="11"/>
      <c r="CY788" s="11"/>
      <c r="CZ788" s="11"/>
      <c r="DA788" s="11"/>
      <c r="DB788" s="11"/>
    </row>
    <row r="789" spans="1:10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  <c r="CD789" s="11"/>
      <c r="CE789" s="11"/>
      <c r="CF789" s="11"/>
      <c r="CG789" s="11"/>
      <c r="CH789" s="11"/>
      <c r="CI789" s="11"/>
      <c r="CJ789" s="11"/>
      <c r="CK789" s="11"/>
      <c r="CL789" s="11"/>
      <c r="CM789" s="11"/>
      <c r="CN789" s="11"/>
      <c r="CO789" s="11"/>
      <c r="CP789" s="11"/>
      <c r="CQ789" s="11"/>
      <c r="CR789" s="11"/>
      <c r="CS789" s="11"/>
      <c r="CT789" s="11"/>
      <c r="CU789" s="11"/>
      <c r="CV789" s="11"/>
      <c r="CW789" s="11"/>
      <c r="CX789" s="11"/>
      <c r="CY789" s="11"/>
      <c r="CZ789" s="11"/>
      <c r="DA789" s="11"/>
      <c r="DB789" s="11"/>
    </row>
    <row r="790" spans="1:10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</row>
    <row r="791" spans="1:10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  <c r="CD791" s="11"/>
      <c r="CE791" s="11"/>
      <c r="CF791" s="11"/>
      <c r="CG791" s="11"/>
      <c r="CH791" s="11"/>
      <c r="CI791" s="11"/>
      <c r="CJ791" s="11"/>
      <c r="CK791" s="11"/>
      <c r="CL791" s="11"/>
      <c r="CM791" s="11"/>
      <c r="CN791" s="11"/>
      <c r="CO791" s="11"/>
      <c r="CP791" s="11"/>
      <c r="CQ791" s="11"/>
      <c r="CR791" s="11"/>
      <c r="CS791" s="11"/>
      <c r="CT791" s="11"/>
      <c r="CU791" s="11"/>
      <c r="CV791" s="11"/>
      <c r="CW791" s="11"/>
      <c r="CX791" s="11"/>
      <c r="CY791" s="11"/>
      <c r="CZ791" s="11"/>
      <c r="DA791" s="11"/>
      <c r="DB791" s="11"/>
    </row>
    <row r="792" spans="1:10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  <c r="CD792" s="11"/>
      <c r="CE792" s="11"/>
      <c r="CF792" s="11"/>
      <c r="CG792" s="11"/>
      <c r="CH792" s="11"/>
      <c r="CI792" s="11"/>
      <c r="CJ792" s="11"/>
      <c r="CK792" s="11"/>
      <c r="CL792" s="11"/>
      <c r="CM792" s="11"/>
      <c r="CN792" s="11"/>
      <c r="CO792" s="11"/>
      <c r="CP792" s="11"/>
      <c r="CQ792" s="11"/>
      <c r="CR792" s="11"/>
      <c r="CS792" s="11"/>
      <c r="CT792" s="11"/>
      <c r="CU792" s="11"/>
      <c r="CV792" s="11"/>
      <c r="CW792" s="11"/>
      <c r="CX792" s="11"/>
      <c r="CY792" s="11"/>
      <c r="CZ792" s="11"/>
      <c r="DA792" s="11"/>
      <c r="DB792" s="11"/>
    </row>
    <row r="793" spans="1:10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  <c r="CD793" s="11"/>
      <c r="CE793" s="11"/>
      <c r="CF793" s="11"/>
      <c r="CG793" s="11"/>
      <c r="CH793" s="11"/>
      <c r="CI793" s="11"/>
      <c r="CJ793" s="11"/>
      <c r="CK793" s="11"/>
      <c r="CL793" s="11"/>
      <c r="CM793" s="11"/>
      <c r="CN793" s="11"/>
      <c r="CO793" s="11"/>
      <c r="CP793" s="11"/>
      <c r="CQ793" s="11"/>
      <c r="CR793" s="11"/>
      <c r="CS793" s="11"/>
      <c r="CT793" s="11"/>
      <c r="CU793" s="11"/>
      <c r="CV793" s="11"/>
      <c r="CW793" s="11"/>
      <c r="CX793" s="11"/>
      <c r="CY793" s="11"/>
      <c r="CZ793" s="11"/>
      <c r="DA793" s="11"/>
      <c r="DB793" s="11"/>
    </row>
    <row r="794" spans="1:10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  <c r="CD794" s="11"/>
      <c r="CE794" s="11"/>
      <c r="CF794" s="11"/>
      <c r="CG794" s="11"/>
      <c r="CH794" s="11"/>
      <c r="CI794" s="11"/>
      <c r="CJ794" s="11"/>
      <c r="CK794" s="11"/>
      <c r="CL794" s="11"/>
      <c r="CM794" s="11"/>
      <c r="CN794" s="11"/>
      <c r="CO794" s="11"/>
      <c r="CP794" s="11"/>
      <c r="CQ794" s="11"/>
      <c r="CR794" s="11"/>
      <c r="CS794" s="11"/>
      <c r="CT794" s="11"/>
      <c r="CU794" s="11"/>
      <c r="CV794" s="11"/>
      <c r="CW794" s="11"/>
      <c r="CX794" s="11"/>
      <c r="CY794" s="11"/>
      <c r="CZ794" s="11"/>
      <c r="DA794" s="11"/>
      <c r="DB794" s="11"/>
    </row>
    <row r="795" spans="1:10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  <c r="CD795" s="11"/>
      <c r="CE795" s="11"/>
      <c r="CF795" s="11"/>
      <c r="CG795" s="11"/>
      <c r="CH795" s="11"/>
      <c r="CI795" s="11"/>
      <c r="CJ795" s="11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  <c r="CW795" s="11"/>
      <c r="CX795" s="11"/>
      <c r="CY795" s="11"/>
      <c r="CZ795" s="11"/>
      <c r="DA795" s="11"/>
      <c r="DB795" s="11"/>
    </row>
    <row r="796" spans="1:10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  <c r="CD796" s="11"/>
      <c r="CE796" s="11"/>
      <c r="CF796" s="11"/>
      <c r="CG796" s="11"/>
      <c r="CH796" s="11"/>
      <c r="CI796" s="11"/>
      <c r="CJ796" s="11"/>
      <c r="CK796" s="11"/>
      <c r="CL796" s="11"/>
      <c r="CM796" s="11"/>
      <c r="CN796" s="11"/>
      <c r="CO796" s="11"/>
      <c r="CP796" s="11"/>
      <c r="CQ796" s="11"/>
      <c r="CR796" s="11"/>
      <c r="CS796" s="11"/>
      <c r="CT796" s="11"/>
      <c r="CU796" s="11"/>
      <c r="CV796" s="11"/>
      <c r="CW796" s="11"/>
      <c r="CX796" s="11"/>
      <c r="CY796" s="11"/>
      <c r="CZ796" s="11"/>
      <c r="DA796" s="11"/>
      <c r="DB796" s="11"/>
    </row>
    <row r="797" spans="1:10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  <c r="DA797" s="11"/>
      <c r="DB797" s="11"/>
    </row>
    <row r="798" spans="1:10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  <c r="CD798" s="11"/>
      <c r="CE798" s="11"/>
      <c r="CF798" s="11"/>
      <c r="CG798" s="11"/>
      <c r="CH798" s="11"/>
      <c r="CI798" s="11"/>
      <c r="CJ798" s="11"/>
      <c r="CK798" s="11"/>
      <c r="CL798" s="11"/>
      <c r="CM798" s="11"/>
      <c r="CN798" s="11"/>
      <c r="CO798" s="11"/>
      <c r="CP798" s="11"/>
      <c r="CQ798" s="11"/>
      <c r="CR798" s="11"/>
      <c r="CS798" s="11"/>
      <c r="CT798" s="11"/>
      <c r="CU798" s="11"/>
      <c r="CV798" s="11"/>
      <c r="CW798" s="11"/>
      <c r="CX798" s="11"/>
      <c r="CY798" s="11"/>
      <c r="CZ798" s="11"/>
      <c r="DA798" s="11"/>
      <c r="DB798" s="11"/>
    </row>
    <row r="799" spans="1:10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  <c r="CD799" s="11"/>
      <c r="CE799" s="11"/>
      <c r="CF799" s="11"/>
      <c r="CG799" s="11"/>
      <c r="CH799" s="11"/>
      <c r="CI799" s="11"/>
      <c r="CJ799" s="11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/>
      <c r="CW799" s="11"/>
      <c r="CX799" s="11"/>
      <c r="CY799" s="11"/>
      <c r="CZ799" s="11"/>
      <c r="DA799" s="11"/>
      <c r="DB799" s="11"/>
    </row>
    <row r="800" spans="1:10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/>
      <c r="CG800" s="11"/>
      <c r="CH800" s="11"/>
      <c r="CI800" s="11"/>
      <c r="CJ800" s="11"/>
      <c r="CK800" s="11"/>
      <c r="CL800" s="11"/>
      <c r="CM800" s="11"/>
      <c r="CN800" s="11"/>
      <c r="CO800" s="11"/>
      <c r="CP800" s="11"/>
      <c r="CQ800" s="11"/>
      <c r="CR800" s="11"/>
      <c r="CS800" s="11"/>
      <c r="CT800" s="11"/>
      <c r="CU800" s="11"/>
      <c r="CV800" s="11"/>
      <c r="CW800" s="11"/>
      <c r="CX800" s="11"/>
      <c r="CY800" s="11"/>
      <c r="CZ800" s="11"/>
      <c r="DA800" s="11"/>
      <c r="DB800" s="11"/>
    </row>
    <row r="801" spans="1:10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  <c r="CD801" s="11"/>
      <c r="CE801" s="11"/>
      <c r="CF801" s="11"/>
      <c r="CG801" s="11"/>
      <c r="CH801" s="11"/>
      <c r="CI801" s="11"/>
      <c r="CJ801" s="11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  <c r="CW801" s="11"/>
      <c r="CX801" s="11"/>
      <c r="CY801" s="11"/>
      <c r="CZ801" s="11"/>
      <c r="DA801" s="11"/>
      <c r="DB801" s="11"/>
    </row>
    <row r="802" spans="1:10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  <c r="CD802" s="11"/>
      <c r="CE802" s="11"/>
      <c r="CF802" s="11"/>
      <c r="CG802" s="11"/>
      <c r="CH802" s="11"/>
      <c r="CI802" s="11"/>
      <c r="CJ802" s="11"/>
      <c r="CK802" s="11"/>
      <c r="CL802" s="11"/>
      <c r="CM802" s="11"/>
      <c r="CN802" s="11"/>
      <c r="CO802" s="11"/>
      <c r="CP802" s="11"/>
      <c r="CQ802" s="11"/>
      <c r="CR802" s="11"/>
      <c r="CS802" s="11"/>
      <c r="CT802" s="11"/>
      <c r="CU802" s="11"/>
      <c r="CV802" s="11"/>
      <c r="CW802" s="11"/>
      <c r="CX802" s="11"/>
      <c r="CY802" s="11"/>
      <c r="CZ802" s="11"/>
      <c r="DA802" s="11"/>
      <c r="DB802" s="11"/>
    </row>
    <row r="803" spans="1:10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  <c r="CD803" s="11"/>
      <c r="CE803" s="11"/>
      <c r="CF803" s="11"/>
      <c r="CG803" s="11"/>
      <c r="CH803" s="11"/>
      <c r="CI803" s="11"/>
      <c r="CJ803" s="11"/>
      <c r="CK803" s="11"/>
      <c r="CL803" s="11"/>
      <c r="CM803" s="11"/>
      <c r="CN803" s="11"/>
      <c r="CO803" s="11"/>
      <c r="CP803" s="11"/>
      <c r="CQ803" s="11"/>
      <c r="CR803" s="11"/>
      <c r="CS803" s="11"/>
      <c r="CT803" s="11"/>
      <c r="CU803" s="11"/>
      <c r="CV803" s="11"/>
      <c r="CW803" s="11"/>
      <c r="CX803" s="11"/>
      <c r="CY803" s="11"/>
      <c r="CZ803" s="11"/>
      <c r="DA803" s="11"/>
      <c r="DB803" s="11"/>
    </row>
    <row r="804" spans="1:10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  <c r="CD804" s="11"/>
      <c r="CE804" s="11"/>
      <c r="CF804" s="11"/>
      <c r="CG804" s="11"/>
      <c r="CH804" s="11"/>
      <c r="CI804" s="11"/>
      <c r="CJ804" s="11"/>
      <c r="CK804" s="11"/>
      <c r="CL804" s="11"/>
      <c r="CM804" s="11"/>
      <c r="CN804" s="11"/>
      <c r="CO804" s="11"/>
      <c r="CP804" s="11"/>
      <c r="CQ804" s="11"/>
      <c r="CR804" s="11"/>
      <c r="CS804" s="11"/>
      <c r="CT804" s="11"/>
      <c r="CU804" s="11"/>
      <c r="CV804" s="11"/>
      <c r="CW804" s="11"/>
      <c r="CX804" s="11"/>
      <c r="CY804" s="11"/>
      <c r="CZ804" s="11"/>
      <c r="DA804" s="11"/>
      <c r="DB804" s="11"/>
    </row>
    <row r="805" spans="1:10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  <c r="CD805" s="11"/>
      <c r="CE805" s="11"/>
      <c r="CF805" s="11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11"/>
      <c r="CX805" s="11"/>
      <c r="CY805" s="11"/>
      <c r="CZ805" s="11"/>
      <c r="DA805" s="11"/>
      <c r="DB805" s="11"/>
    </row>
    <row r="806" spans="1:10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  <c r="CD806" s="11"/>
      <c r="CE806" s="11"/>
      <c r="CF806" s="11"/>
      <c r="CG806" s="11"/>
      <c r="CH806" s="11"/>
      <c r="CI806" s="11"/>
      <c r="CJ806" s="11"/>
      <c r="CK806" s="11"/>
      <c r="CL806" s="11"/>
      <c r="CM806" s="11"/>
      <c r="CN806" s="11"/>
      <c r="CO806" s="11"/>
      <c r="CP806" s="11"/>
      <c r="CQ806" s="11"/>
      <c r="CR806" s="11"/>
      <c r="CS806" s="11"/>
      <c r="CT806" s="11"/>
      <c r="CU806" s="11"/>
      <c r="CV806" s="11"/>
      <c r="CW806" s="11"/>
      <c r="CX806" s="11"/>
      <c r="CY806" s="11"/>
      <c r="CZ806" s="11"/>
      <c r="DA806" s="11"/>
      <c r="DB806" s="11"/>
    </row>
    <row r="807" spans="1:10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  <c r="CD807" s="11"/>
      <c r="CE807" s="11"/>
      <c r="CF807" s="11"/>
      <c r="CG807" s="11"/>
      <c r="CH807" s="11"/>
      <c r="CI807" s="11"/>
      <c r="CJ807" s="11"/>
      <c r="CK807" s="11"/>
      <c r="CL807" s="11"/>
      <c r="CM807" s="11"/>
      <c r="CN807" s="11"/>
      <c r="CO807" s="11"/>
      <c r="CP807" s="11"/>
      <c r="CQ807" s="11"/>
      <c r="CR807" s="11"/>
      <c r="CS807" s="11"/>
      <c r="CT807" s="11"/>
      <c r="CU807" s="11"/>
      <c r="CV807" s="11"/>
      <c r="CW807" s="11"/>
      <c r="CX807" s="11"/>
      <c r="CY807" s="11"/>
      <c r="CZ807" s="11"/>
      <c r="DA807" s="11"/>
      <c r="DB807" s="11"/>
    </row>
    <row r="808" spans="1:10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  <c r="CD808" s="11"/>
      <c r="CE808" s="11"/>
      <c r="CF808" s="11"/>
      <c r="CG808" s="11"/>
      <c r="CH808" s="11"/>
      <c r="CI808" s="11"/>
      <c r="CJ808" s="11"/>
      <c r="CK808" s="11"/>
      <c r="CL808" s="11"/>
      <c r="CM808" s="11"/>
      <c r="CN808" s="11"/>
      <c r="CO808" s="11"/>
      <c r="CP808" s="11"/>
      <c r="CQ808" s="11"/>
      <c r="CR808" s="11"/>
      <c r="CS808" s="11"/>
      <c r="CT808" s="11"/>
      <c r="CU808" s="11"/>
      <c r="CV808" s="11"/>
      <c r="CW808" s="11"/>
      <c r="CX808" s="11"/>
      <c r="CY808" s="11"/>
      <c r="CZ808" s="11"/>
      <c r="DA808" s="11"/>
      <c r="DB808" s="11"/>
    </row>
    <row r="809" spans="1:10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  <c r="CD809" s="11"/>
      <c r="CE809" s="11"/>
      <c r="CF809" s="11"/>
      <c r="CG809" s="11"/>
      <c r="CH809" s="11"/>
      <c r="CI809" s="11"/>
      <c r="CJ809" s="11"/>
      <c r="CK809" s="11"/>
      <c r="CL809" s="11"/>
      <c r="CM809" s="11"/>
      <c r="CN809" s="11"/>
      <c r="CO809" s="11"/>
      <c r="CP809" s="11"/>
      <c r="CQ809" s="11"/>
      <c r="CR809" s="11"/>
      <c r="CS809" s="11"/>
      <c r="CT809" s="11"/>
      <c r="CU809" s="11"/>
      <c r="CV809" s="11"/>
      <c r="CW809" s="11"/>
      <c r="CX809" s="11"/>
      <c r="CY809" s="11"/>
      <c r="CZ809" s="11"/>
      <c r="DA809" s="11"/>
      <c r="DB809" s="11"/>
    </row>
    <row r="810" spans="1:10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  <c r="CD810" s="11"/>
      <c r="CE810" s="11"/>
      <c r="CF810" s="11"/>
      <c r="CG810" s="11"/>
      <c r="CH810" s="11"/>
      <c r="CI810" s="11"/>
      <c r="CJ810" s="11"/>
      <c r="CK810" s="11"/>
      <c r="CL810" s="11"/>
      <c r="CM810" s="11"/>
      <c r="CN810" s="11"/>
      <c r="CO810" s="11"/>
      <c r="CP810" s="11"/>
      <c r="CQ810" s="11"/>
      <c r="CR810" s="11"/>
      <c r="CS810" s="11"/>
      <c r="CT810" s="11"/>
      <c r="CU810" s="11"/>
      <c r="CV810" s="11"/>
      <c r="CW810" s="11"/>
      <c r="CX810" s="11"/>
      <c r="CY810" s="11"/>
      <c r="CZ810" s="11"/>
      <c r="DA810" s="11"/>
      <c r="DB810" s="11"/>
    </row>
    <row r="811" spans="1:10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1"/>
      <c r="CG811" s="11"/>
      <c r="CH811" s="11"/>
      <c r="CI811" s="11"/>
      <c r="CJ811" s="11"/>
      <c r="CK811" s="11"/>
      <c r="CL811" s="11"/>
      <c r="CM811" s="11"/>
      <c r="CN811" s="11"/>
      <c r="CO811" s="11"/>
      <c r="CP811" s="11"/>
      <c r="CQ811" s="11"/>
      <c r="CR811" s="11"/>
      <c r="CS811" s="11"/>
      <c r="CT811" s="11"/>
      <c r="CU811" s="11"/>
      <c r="CV811" s="11"/>
      <c r="CW811" s="11"/>
      <c r="CX811" s="11"/>
      <c r="CY811" s="11"/>
      <c r="CZ811" s="11"/>
      <c r="DA811" s="11"/>
      <c r="DB811" s="11"/>
    </row>
    <row r="812" spans="1:10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1"/>
      <c r="CG812" s="11"/>
      <c r="CH812" s="11"/>
      <c r="CI812" s="11"/>
      <c r="CJ812" s="11"/>
      <c r="CK812" s="11"/>
      <c r="CL812" s="11"/>
      <c r="CM812" s="11"/>
      <c r="CN812" s="11"/>
      <c r="CO812" s="11"/>
      <c r="CP812" s="11"/>
      <c r="CQ812" s="11"/>
      <c r="CR812" s="11"/>
      <c r="CS812" s="11"/>
      <c r="CT812" s="11"/>
      <c r="CU812" s="11"/>
      <c r="CV812" s="11"/>
      <c r="CW812" s="11"/>
      <c r="CX812" s="11"/>
      <c r="CY812" s="11"/>
      <c r="CZ812" s="11"/>
      <c r="DA812" s="11"/>
      <c r="DB812" s="11"/>
    </row>
    <row r="813" spans="1:10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  <c r="CD813" s="11"/>
      <c r="CE813" s="11"/>
      <c r="CF813" s="11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11"/>
      <c r="CX813" s="11"/>
      <c r="CY813" s="11"/>
      <c r="CZ813" s="11"/>
      <c r="DA813" s="11"/>
      <c r="DB813" s="11"/>
    </row>
    <row r="814" spans="1:10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  <c r="CD814" s="11"/>
      <c r="CE814" s="11"/>
      <c r="CF814" s="11"/>
      <c r="CG814" s="11"/>
      <c r="CH814" s="11"/>
      <c r="CI814" s="11"/>
      <c r="CJ814" s="11"/>
      <c r="CK814" s="11"/>
      <c r="CL814" s="11"/>
      <c r="CM814" s="11"/>
      <c r="CN814" s="11"/>
      <c r="CO814" s="11"/>
      <c r="CP814" s="11"/>
      <c r="CQ814" s="11"/>
      <c r="CR814" s="11"/>
      <c r="CS814" s="11"/>
      <c r="CT814" s="11"/>
      <c r="CU814" s="11"/>
      <c r="CV814" s="11"/>
      <c r="CW814" s="11"/>
      <c r="CX814" s="11"/>
      <c r="CY814" s="11"/>
      <c r="CZ814" s="11"/>
      <c r="DA814" s="11"/>
      <c r="DB814" s="11"/>
    </row>
    <row r="815" spans="1:10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  <c r="CD815" s="11"/>
      <c r="CE815" s="11"/>
      <c r="CF815" s="11"/>
      <c r="CG815" s="11"/>
      <c r="CH815" s="11"/>
      <c r="CI815" s="11"/>
      <c r="CJ815" s="11"/>
      <c r="CK815" s="11"/>
      <c r="CL815" s="11"/>
      <c r="CM815" s="11"/>
      <c r="CN815" s="11"/>
      <c r="CO815" s="11"/>
      <c r="CP815" s="11"/>
      <c r="CQ815" s="11"/>
      <c r="CR815" s="11"/>
      <c r="CS815" s="11"/>
      <c r="CT815" s="11"/>
      <c r="CU815" s="11"/>
      <c r="CV815" s="11"/>
      <c r="CW815" s="11"/>
      <c r="CX815" s="11"/>
      <c r="CY815" s="11"/>
      <c r="CZ815" s="11"/>
      <c r="DA815" s="11"/>
      <c r="DB815" s="11"/>
    </row>
    <row r="816" spans="1:10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  <c r="CD816" s="11"/>
      <c r="CE816" s="11"/>
      <c r="CF816" s="11"/>
      <c r="CG816" s="11"/>
      <c r="CH816" s="11"/>
      <c r="CI816" s="11"/>
      <c r="CJ816" s="11"/>
      <c r="CK816" s="11"/>
      <c r="CL816" s="11"/>
      <c r="CM816" s="11"/>
      <c r="CN816" s="11"/>
      <c r="CO816" s="11"/>
      <c r="CP816" s="11"/>
      <c r="CQ816" s="11"/>
      <c r="CR816" s="11"/>
      <c r="CS816" s="11"/>
      <c r="CT816" s="11"/>
      <c r="CU816" s="11"/>
      <c r="CV816" s="11"/>
      <c r="CW816" s="11"/>
      <c r="CX816" s="11"/>
      <c r="CY816" s="11"/>
      <c r="CZ816" s="11"/>
      <c r="DA816" s="11"/>
      <c r="DB816" s="11"/>
    </row>
    <row r="817" spans="1:10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  <c r="CD817" s="11"/>
      <c r="CE817" s="11"/>
      <c r="CF817" s="11"/>
      <c r="CG817" s="11"/>
      <c r="CH817" s="11"/>
      <c r="CI817" s="11"/>
      <c r="CJ817" s="11"/>
      <c r="CK817" s="11"/>
      <c r="CL817" s="11"/>
      <c r="CM817" s="11"/>
      <c r="CN817" s="11"/>
      <c r="CO817" s="11"/>
      <c r="CP817" s="11"/>
      <c r="CQ817" s="11"/>
      <c r="CR817" s="11"/>
      <c r="CS817" s="11"/>
      <c r="CT817" s="11"/>
      <c r="CU817" s="11"/>
      <c r="CV817" s="11"/>
      <c r="CW817" s="11"/>
      <c r="CX817" s="11"/>
      <c r="CY817" s="11"/>
      <c r="CZ817" s="11"/>
      <c r="DA817" s="11"/>
      <c r="DB817" s="11"/>
    </row>
    <row r="818" spans="1:10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  <c r="CD818" s="11"/>
      <c r="CE818" s="11"/>
      <c r="CF818" s="11"/>
      <c r="CG818" s="11"/>
      <c r="CH818" s="11"/>
      <c r="CI818" s="11"/>
      <c r="CJ818" s="11"/>
      <c r="CK818" s="11"/>
      <c r="CL818" s="11"/>
      <c r="CM818" s="11"/>
      <c r="CN818" s="11"/>
      <c r="CO818" s="11"/>
      <c r="CP818" s="11"/>
      <c r="CQ818" s="11"/>
      <c r="CR818" s="11"/>
      <c r="CS818" s="11"/>
      <c r="CT818" s="11"/>
      <c r="CU818" s="11"/>
      <c r="CV818" s="11"/>
      <c r="CW818" s="11"/>
      <c r="CX818" s="11"/>
      <c r="CY818" s="11"/>
      <c r="CZ818" s="11"/>
      <c r="DA818" s="11"/>
      <c r="DB818" s="11"/>
    </row>
    <row r="819" spans="1:10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  <c r="CD819" s="11"/>
      <c r="CE819" s="11"/>
      <c r="CF819" s="11"/>
      <c r="CG819" s="11"/>
      <c r="CH819" s="11"/>
      <c r="CI819" s="11"/>
      <c r="CJ819" s="11"/>
      <c r="CK819" s="11"/>
      <c r="CL819" s="11"/>
      <c r="CM819" s="11"/>
      <c r="CN819" s="11"/>
      <c r="CO819" s="11"/>
      <c r="CP819" s="11"/>
      <c r="CQ819" s="11"/>
      <c r="CR819" s="11"/>
      <c r="CS819" s="11"/>
      <c r="CT819" s="11"/>
      <c r="CU819" s="11"/>
      <c r="CV819" s="11"/>
      <c r="CW819" s="11"/>
      <c r="CX819" s="11"/>
      <c r="CY819" s="11"/>
      <c r="CZ819" s="11"/>
      <c r="DA819" s="11"/>
      <c r="DB819" s="11"/>
    </row>
    <row r="820" spans="1:10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  <c r="CD820" s="11"/>
      <c r="CE820" s="11"/>
      <c r="CF820" s="11"/>
      <c r="CG820" s="11"/>
      <c r="CH820" s="11"/>
      <c r="CI820" s="11"/>
      <c r="CJ820" s="11"/>
      <c r="CK820" s="11"/>
      <c r="CL820" s="11"/>
      <c r="CM820" s="11"/>
      <c r="CN820" s="11"/>
      <c r="CO820" s="11"/>
      <c r="CP820" s="11"/>
      <c r="CQ820" s="11"/>
      <c r="CR820" s="11"/>
      <c r="CS820" s="11"/>
      <c r="CT820" s="11"/>
      <c r="CU820" s="11"/>
      <c r="CV820" s="11"/>
      <c r="CW820" s="11"/>
      <c r="CX820" s="11"/>
      <c r="CY820" s="11"/>
      <c r="CZ820" s="11"/>
      <c r="DA820" s="11"/>
      <c r="DB820" s="11"/>
    </row>
    <row r="821" spans="1:10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  <c r="CD821" s="11"/>
      <c r="CE821" s="11"/>
      <c r="CF821" s="11"/>
      <c r="CG821" s="11"/>
      <c r="CH821" s="11"/>
      <c r="CI821" s="11"/>
      <c r="CJ821" s="11"/>
      <c r="CK821" s="11"/>
      <c r="CL821" s="11"/>
      <c r="CM821" s="11"/>
      <c r="CN821" s="11"/>
      <c r="CO821" s="11"/>
      <c r="CP821" s="11"/>
      <c r="CQ821" s="11"/>
      <c r="CR821" s="11"/>
      <c r="CS821" s="11"/>
      <c r="CT821" s="11"/>
      <c r="CU821" s="11"/>
      <c r="CV821" s="11"/>
      <c r="CW821" s="11"/>
      <c r="CX821" s="11"/>
      <c r="CY821" s="11"/>
      <c r="CZ821" s="11"/>
      <c r="DA821" s="11"/>
      <c r="DB821" s="11"/>
    </row>
    <row r="822" spans="1:10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  <c r="CD822" s="11"/>
      <c r="CE822" s="11"/>
      <c r="CF822" s="11"/>
      <c r="CG822" s="11"/>
      <c r="CH822" s="11"/>
      <c r="CI822" s="11"/>
      <c r="CJ822" s="11"/>
      <c r="CK822" s="11"/>
      <c r="CL822" s="11"/>
      <c r="CM822" s="11"/>
      <c r="CN822" s="11"/>
      <c r="CO822" s="11"/>
      <c r="CP822" s="11"/>
      <c r="CQ822" s="11"/>
      <c r="CR822" s="11"/>
      <c r="CS822" s="11"/>
      <c r="CT822" s="11"/>
      <c r="CU822" s="11"/>
      <c r="CV822" s="11"/>
      <c r="CW822" s="11"/>
      <c r="CX822" s="11"/>
      <c r="CY822" s="11"/>
      <c r="CZ822" s="11"/>
      <c r="DA822" s="11"/>
      <c r="DB822" s="11"/>
    </row>
    <row r="823" spans="1:10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</row>
    <row r="824" spans="1:10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</row>
    <row r="825" spans="1:10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</row>
    <row r="826" spans="1:10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  <c r="CD826" s="11"/>
      <c r="CE826" s="11"/>
      <c r="CF826" s="11"/>
      <c r="CG826" s="11"/>
      <c r="CH826" s="11"/>
      <c r="CI826" s="11"/>
      <c r="CJ826" s="11"/>
      <c r="CK826" s="11"/>
      <c r="CL826" s="11"/>
      <c r="CM826" s="11"/>
      <c r="CN826" s="11"/>
      <c r="CO826" s="11"/>
      <c r="CP826" s="11"/>
      <c r="CQ826" s="11"/>
      <c r="CR826" s="11"/>
      <c r="CS826" s="11"/>
      <c r="CT826" s="11"/>
      <c r="CU826" s="11"/>
      <c r="CV826" s="11"/>
      <c r="CW826" s="11"/>
      <c r="CX826" s="11"/>
      <c r="CY826" s="11"/>
      <c r="CZ826" s="11"/>
      <c r="DA826" s="11"/>
      <c r="DB826" s="11"/>
    </row>
    <row r="827" spans="1:10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  <c r="CD827" s="11"/>
      <c r="CE827" s="11"/>
      <c r="CF827" s="11"/>
      <c r="CG827" s="11"/>
      <c r="CH827" s="11"/>
      <c r="CI827" s="11"/>
      <c r="CJ827" s="11"/>
      <c r="CK827" s="11"/>
      <c r="CL827" s="11"/>
      <c r="CM827" s="11"/>
      <c r="CN827" s="11"/>
      <c r="CO827" s="11"/>
      <c r="CP827" s="11"/>
      <c r="CQ827" s="11"/>
      <c r="CR827" s="11"/>
      <c r="CS827" s="11"/>
      <c r="CT827" s="11"/>
      <c r="CU827" s="11"/>
      <c r="CV827" s="11"/>
      <c r="CW827" s="11"/>
      <c r="CX827" s="11"/>
      <c r="CY827" s="11"/>
      <c r="CZ827" s="11"/>
      <c r="DA827" s="11"/>
      <c r="DB827" s="11"/>
    </row>
    <row r="828" spans="1:10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  <c r="CD828" s="11"/>
      <c r="CE828" s="11"/>
      <c r="CF828" s="11"/>
      <c r="CG828" s="11"/>
      <c r="CH828" s="11"/>
      <c r="CI828" s="11"/>
      <c r="CJ828" s="11"/>
      <c r="CK828" s="11"/>
      <c r="CL828" s="11"/>
      <c r="CM828" s="11"/>
      <c r="CN828" s="11"/>
      <c r="CO828" s="11"/>
      <c r="CP828" s="11"/>
      <c r="CQ828" s="11"/>
      <c r="CR828" s="11"/>
      <c r="CS828" s="11"/>
      <c r="CT828" s="11"/>
      <c r="CU828" s="11"/>
      <c r="CV828" s="11"/>
      <c r="CW828" s="11"/>
      <c r="CX828" s="11"/>
      <c r="CY828" s="11"/>
      <c r="CZ828" s="11"/>
      <c r="DA828" s="11"/>
      <c r="DB828" s="11"/>
    </row>
    <row r="829" spans="1:10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  <c r="CD829" s="11"/>
      <c r="CE829" s="11"/>
      <c r="CF829" s="11"/>
      <c r="CG829" s="11"/>
      <c r="CH829" s="11"/>
      <c r="CI829" s="11"/>
      <c r="CJ829" s="11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  <c r="CW829" s="11"/>
      <c r="CX829" s="11"/>
      <c r="CY829" s="11"/>
      <c r="CZ829" s="11"/>
      <c r="DA829" s="11"/>
      <c r="DB829" s="11"/>
    </row>
    <row r="830" spans="1:10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</row>
    <row r="831" spans="1:10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  <c r="CD831" s="11"/>
      <c r="CE831" s="11"/>
      <c r="CF831" s="11"/>
      <c r="CG831" s="11"/>
      <c r="CH831" s="11"/>
      <c r="CI831" s="11"/>
      <c r="CJ831" s="11"/>
      <c r="CK831" s="11"/>
      <c r="CL831" s="11"/>
      <c r="CM831" s="11"/>
      <c r="CN831" s="11"/>
      <c r="CO831" s="11"/>
      <c r="CP831" s="11"/>
      <c r="CQ831" s="11"/>
      <c r="CR831" s="11"/>
      <c r="CS831" s="11"/>
      <c r="CT831" s="11"/>
      <c r="CU831" s="11"/>
      <c r="CV831" s="11"/>
      <c r="CW831" s="11"/>
      <c r="CX831" s="11"/>
      <c r="CY831" s="11"/>
      <c r="CZ831" s="11"/>
      <c r="DA831" s="11"/>
      <c r="DB831" s="11"/>
    </row>
    <row r="832" spans="1:10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/>
      <c r="CE832" s="11"/>
      <c r="CF832" s="11"/>
      <c r="CG832" s="11"/>
      <c r="CH832" s="11"/>
      <c r="CI832" s="11"/>
      <c r="CJ832" s="11"/>
      <c r="CK832" s="11"/>
      <c r="CL832" s="11"/>
      <c r="CM832" s="11"/>
      <c r="CN832" s="11"/>
      <c r="CO832" s="11"/>
      <c r="CP832" s="11"/>
      <c r="CQ832" s="11"/>
      <c r="CR832" s="11"/>
      <c r="CS832" s="11"/>
      <c r="CT832" s="11"/>
      <c r="CU832" s="11"/>
      <c r="CV832" s="11"/>
      <c r="CW832" s="11"/>
      <c r="CX832" s="11"/>
      <c r="CY832" s="11"/>
      <c r="CZ832" s="11"/>
      <c r="DA832" s="11"/>
      <c r="DB832" s="11"/>
    </row>
    <row r="833" spans="1:10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  <c r="CD833" s="11"/>
      <c r="CE833" s="11"/>
      <c r="CF833" s="11"/>
      <c r="CG833" s="11"/>
      <c r="CH833" s="11"/>
      <c r="CI833" s="11"/>
      <c r="CJ833" s="11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  <c r="CW833" s="11"/>
      <c r="CX833" s="11"/>
      <c r="CY833" s="11"/>
      <c r="CZ833" s="11"/>
      <c r="DA833" s="11"/>
      <c r="DB833" s="11"/>
    </row>
    <row r="834" spans="1:10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  <c r="CD834" s="11"/>
      <c r="CE834" s="11"/>
      <c r="CF834" s="11"/>
      <c r="CG834" s="11"/>
      <c r="CH834" s="11"/>
      <c r="CI834" s="11"/>
      <c r="CJ834" s="11"/>
      <c r="CK834" s="11"/>
      <c r="CL834" s="11"/>
      <c r="CM834" s="11"/>
      <c r="CN834" s="11"/>
      <c r="CO834" s="11"/>
      <c r="CP834" s="11"/>
      <c r="CQ834" s="11"/>
      <c r="CR834" s="11"/>
      <c r="CS834" s="11"/>
      <c r="CT834" s="11"/>
      <c r="CU834" s="11"/>
      <c r="CV834" s="11"/>
      <c r="CW834" s="11"/>
      <c r="CX834" s="11"/>
      <c r="CY834" s="11"/>
      <c r="CZ834" s="11"/>
      <c r="DA834" s="11"/>
      <c r="DB834" s="11"/>
    </row>
    <row r="835" spans="1:10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  <c r="CD835" s="11"/>
      <c r="CE835" s="11"/>
      <c r="CF835" s="11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11"/>
      <c r="CX835" s="11"/>
      <c r="CY835" s="11"/>
      <c r="CZ835" s="11"/>
      <c r="DA835" s="11"/>
      <c r="DB835" s="11"/>
    </row>
    <row r="836" spans="1:10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  <c r="CD836" s="11"/>
      <c r="CE836" s="11"/>
      <c r="CF836" s="11"/>
      <c r="CG836" s="11"/>
      <c r="CH836" s="11"/>
      <c r="CI836" s="11"/>
      <c r="CJ836" s="11"/>
      <c r="CK836" s="11"/>
      <c r="CL836" s="11"/>
      <c r="CM836" s="11"/>
      <c r="CN836" s="11"/>
      <c r="CO836" s="11"/>
      <c r="CP836" s="11"/>
      <c r="CQ836" s="11"/>
      <c r="CR836" s="11"/>
      <c r="CS836" s="11"/>
      <c r="CT836" s="11"/>
      <c r="CU836" s="11"/>
      <c r="CV836" s="11"/>
      <c r="CW836" s="11"/>
      <c r="CX836" s="11"/>
      <c r="CY836" s="11"/>
      <c r="CZ836" s="11"/>
      <c r="DA836" s="11"/>
      <c r="DB836" s="11"/>
    </row>
    <row r="837" spans="1:10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  <c r="CD837" s="11"/>
      <c r="CE837" s="11"/>
      <c r="CF837" s="11"/>
      <c r="CG837" s="11"/>
      <c r="CH837" s="11"/>
      <c r="CI837" s="11"/>
      <c r="CJ837" s="11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  <c r="CW837" s="11"/>
      <c r="CX837" s="11"/>
      <c r="CY837" s="11"/>
      <c r="CZ837" s="11"/>
      <c r="DA837" s="11"/>
      <c r="DB837" s="11"/>
    </row>
    <row r="838" spans="1:10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11"/>
      <c r="CH838" s="11"/>
      <c r="CI838" s="11"/>
      <c r="CJ838" s="11"/>
      <c r="CK838" s="11"/>
      <c r="CL838" s="11"/>
      <c r="CM838" s="11"/>
      <c r="CN838" s="11"/>
      <c r="CO838" s="11"/>
      <c r="CP838" s="11"/>
      <c r="CQ838" s="11"/>
      <c r="CR838" s="11"/>
      <c r="CS838" s="11"/>
      <c r="CT838" s="11"/>
      <c r="CU838" s="11"/>
      <c r="CV838" s="11"/>
      <c r="CW838" s="11"/>
      <c r="CX838" s="11"/>
      <c r="CY838" s="11"/>
      <c r="CZ838" s="11"/>
      <c r="DA838" s="11"/>
      <c r="DB838" s="11"/>
    </row>
    <row r="839" spans="1:10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  <c r="CD839" s="11"/>
      <c r="CE839" s="11"/>
      <c r="CF839" s="11"/>
      <c r="CG839" s="11"/>
      <c r="CH839" s="11"/>
      <c r="CI839" s="11"/>
      <c r="CJ839" s="11"/>
      <c r="CK839" s="11"/>
      <c r="CL839" s="11"/>
      <c r="CM839" s="11"/>
      <c r="CN839" s="11"/>
      <c r="CO839" s="11"/>
      <c r="CP839" s="11"/>
      <c r="CQ839" s="11"/>
      <c r="CR839" s="11"/>
      <c r="CS839" s="11"/>
      <c r="CT839" s="11"/>
      <c r="CU839" s="11"/>
      <c r="CV839" s="11"/>
      <c r="CW839" s="11"/>
      <c r="CX839" s="11"/>
      <c r="CY839" s="11"/>
      <c r="CZ839" s="11"/>
      <c r="DA839" s="11"/>
      <c r="DB839" s="11"/>
    </row>
    <row r="840" spans="1:10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  <c r="CD840" s="11"/>
      <c r="CE840" s="11"/>
      <c r="CF840" s="11"/>
      <c r="CG840" s="11"/>
      <c r="CH840" s="11"/>
      <c r="CI840" s="11"/>
      <c r="CJ840" s="11"/>
      <c r="CK840" s="11"/>
      <c r="CL840" s="11"/>
      <c r="CM840" s="11"/>
      <c r="CN840" s="11"/>
      <c r="CO840" s="11"/>
      <c r="CP840" s="11"/>
      <c r="CQ840" s="11"/>
      <c r="CR840" s="11"/>
      <c r="CS840" s="11"/>
      <c r="CT840" s="11"/>
      <c r="CU840" s="11"/>
      <c r="CV840" s="11"/>
      <c r="CW840" s="11"/>
      <c r="CX840" s="11"/>
      <c r="CY840" s="11"/>
      <c r="CZ840" s="11"/>
      <c r="DA840" s="11"/>
      <c r="DB840" s="11"/>
    </row>
    <row r="841" spans="1:10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  <c r="CD841" s="11"/>
      <c r="CE841" s="11"/>
      <c r="CF841" s="11"/>
      <c r="CG841" s="11"/>
      <c r="CH841" s="11"/>
      <c r="CI841" s="11"/>
      <c r="CJ841" s="11"/>
      <c r="CK841" s="11"/>
      <c r="CL841" s="11"/>
      <c r="CM841" s="11"/>
      <c r="CN841" s="11"/>
      <c r="CO841" s="11"/>
      <c r="CP841" s="11"/>
      <c r="CQ841" s="11"/>
      <c r="CR841" s="11"/>
      <c r="CS841" s="11"/>
      <c r="CT841" s="11"/>
      <c r="CU841" s="11"/>
      <c r="CV841" s="11"/>
      <c r="CW841" s="11"/>
      <c r="CX841" s="11"/>
      <c r="CY841" s="11"/>
      <c r="CZ841" s="11"/>
      <c r="DA841" s="11"/>
      <c r="DB841" s="11"/>
    </row>
    <row r="842" spans="1:10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  <c r="CD842" s="11"/>
      <c r="CE842" s="11"/>
      <c r="CF842" s="11"/>
      <c r="CG842" s="11"/>
      <c r="CH842" s="11"/>
      <c r="CI842" s="11"/>
      <c r="CJ842" s="11"/>
      <c r="CK842" s="11"/>
      <c r="CL842" s="11"/>
      <c r="CM842" s="11"/>
      <c r="CN842" s="11"/>
      <c r="CO842" s="11"/>
      <c r="CP842" s="11"/>
      <c r="CQ842" s="11"/>
      <c r="CR842" s="11"/>
      <c r="CS842" s="11"/>
      <c r="CT842" s="11"/>
      <c r="CU842" s="11"/>
      <c r="CV842" s="11"/>
      <c r="CW842" s="11"/>
      <c r="CX842" s="11"/>
      <c r="CY842" s="11"/>
      <c r="CZ842" s="11"/>
      <c r="DA842" s="11"/>
      <c r="DB842" s="11"/>
    </row>
    <row r="843" spans="1:10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  <c r="CD843" s="11"/>
      <c r="CE843" s="11"/>
      <c r="CF843" s="11"/>
      <c r="CG843" s="11"/>
      <c r="CH843" s="11"/>
      <c r="CI843" s="11"/>
      <c r="CJ843" s="11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  <c r="CW843" s="11"/>
      <c r="CX843" s="11"/>
      <c r="CY843" s="11"/>
      <c r="CZ843" s="11"/>
      <c r="DA843" s="11"/>
      <c r="DB843" s="11"/>
    </row>
    <row r="844" spans="1:10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  <c r="CD844" s="11"/>
      <c r="CE844" s="11"/>
      <c r="CF844" s="11"/>
      <c r="CG844" s="11"/>
      <c r="CH844" s="11"/>
      <c r="CI844" s="11"/>
      <c r="CJ844" s="11"/>
      <c r="CK844" s="11"/>
      <c r="CL844" s="11"/>
      <c r="CM844" s="11"/>
      <c r="CN844" s="11"/>
      <c r="CO844" s="11"/>
      <c r="CP844" s="11"/>
      <c r="CQ844" s="11"/>
      <c r="CR844" s="11"/>
      <c r="CS844" s="11"/>
      <c r="CT844" s="11"/>
      <c r="CU844" s="11"/>
      <c r="CV844" s="11"/>
      <c r="CW844" s="11"/>
      <c r="CX844" s="11"/>
      <c r="CY844" s="11"/>
      <c r="CZ844" s="11"/>
      <c r="DA844" s="11"/>
      <c r="DB844" s="11"/>
    </row>
    <row r="845" spans="1:10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  <c r="CD845" s="11"/>
      <c r="CE845" s="11"/>
      <c r="CF845" s="11"/>
      <c r="CG845" s="11"/>
      <c r="CH845" s="11"/>
      <c r="CI845" s="11"/>
      <c r="CJ845" s="11"/>
      <c r="CK845" s="11"/>
      <c r="CL845" s="11"/>
      <c r="CM845" s="11"/>
      <c r="CN845" s="11"/>
      <c r="CO845" s="11"/>
      <c r="CP845" s="11"/>
      <c r="CQ845" s="11"/>
      <c r="CR845" s="11"/>
      <c r="CS845" s="11"/>
      <c r="CT845" s="11"/>
      <c r="CU845" s="11"/>
      <c r="CV845" s="11"/>
      <c r="CW845" s="11"/>
      <c r="CX845" s="11"/>
      <c r="CY845" s="11"/>
      <c r="CZ845" s="11"/>
      <c r="DA845" s="11"/>
      <c r="DB845" s="11"/>
    </row>
    <row r="846" spans="1:10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  <c r="CD846" s="11"/>
      <c r="CE846" s="11"/>
      <c r="CF846" s="11"/>
      <c r="CG846" s="11"/>
      <c r="CH846" s="11"/>
      <c r="CI846" s="11"/>
      <c r="CJ846" s="11"/>
      <c r="CK846" s="11"/>
      <c r="CL846" s="11"/>
      <c r="CM846" s="11"/>
      <c r="CN846" s="11"/>
      <c r="CO846" s="11"/>
      <c r="CP846" s="11"/>
      <c r="CQ846" s="11"/>
      <c r="CR846" s="11"/>
      <c r="CS846" s="11"/>
      <c r="CT846" s="11"/>
      <c r="CU846" s="11"/>
      <c r="CV846" s="11"/>
      <c r="CW846" s="11"/>
      <c r="CX846" s="11"/>
      <c r="CY846" s="11"/>
      <c r="CZ846" s="11"/>
      <c r="DA846" s="11"/>
      <c r="DB846" s="11"/>
    </row>
    <row r="847" spans="1:10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  <c r="CD847" s="11"/>
      <c r="CE847" s="11"/>
      <c r="CF847" s="11"/>
      <c r="CG847" s="11"/>
      <c r="CH847" s="11"/>
      <c r="CI847" s="11"/>
      <c r="CJ847" s="11"/>
      <c r="CK847" s="11"/>
      <c r="CL847" s="11"/>
      <c r="CM847" s="11"/>
      <c r="CN847" s="11"/>
      <c r="CO847" s="11"/>
      <c r="CP847" s="11"/>
      <c r="CQ847" s="11"/>
      <c r="CR847" s="11"/>
      <c r="CS847" s="11"/>
      <c r="CT847" s="11"/>
      <c r="CU847" s="11"/>
      <c r="CV847" s="11"/>
      <c r="CW847" s="11"/>
      <c r="CX847" s="11"/>
      <c r="CY847" s="11"/>
      <c r="CZ847" s="11"/>
      <c r="DA847" s="11"/>
      <c r="DB847" s="11"/>
    </row>
    <row r="848" spans="1:10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  <c r="CD848" s="11"/>
      <c r="CE848" s="11"/>
      <c r="CF848" s="11"/>
      <c r="CG848" s="11"/>
      <c r="CH848" s="11"/>
      <c r="CI848" s="11"/>
      <c r="CJ848" s="11"/>
      <c r="CK848" s="11"/>
      <c r="CL848" s="11"/>
      <c r="CM848" s="11"/>
      <c r="CN848" s="11"/>
      <c r="CO848" s="11"/>
      <c r="CP848" s="11"/>
      <c r="CQ848" s="11"/>
      <c r="CR848" s="11"/>
      <c r="CS848" s="11"/>
      <c r="CT848" s="11"/>
      <c r="CU848" s="11"/>
      <c r="CV848" s="11"/>
      <c r="CW848" s="11"/>
      <c r="CX848" s="11"/>
      <c r="CY848" s="11"/>
      <c r="CZ848" s="11"/>
      <c r="DA848" s="11"/>
      <c r="DB848" s="11"/>
    </row>
    <row r="849" spans="1:10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  <c r="CD849" s="11"/>
      <c r="CE849" s="11"/>
      <c r="CF849" s="11"/>
      <c r="CG849" s="11"/>
      <c r="CH849" s="11"/>
      <c r="CI849" s="11"/>
      <c r="CJ849" s="11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  <c r="CW849" s="11"/>
      <c r="CX849" s="11"/>
      <c r="CY849" s="11"/>
      <c r="CZ849" s="11"/>
      <c r="DA849" s="11"/>
      <c r="DB849" s="11"/>
    </row>
    <row r="850" spans="1:10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  <c r="CD850" s="11"/>
      <c r="CE850" s="11"/>
      <c r="CF850" s="11"/>
      <c r="CG850" s="11"/>
      <c r="CH850" s="11"/>
      <c r="CI850" s="11"/>
      <c r="CJ850" s="11"/>
      <c r="CK850" s="11"/>
      <c r="CL850" s="11"/>
      <c r="CM850" s="11"/>
      <c r="CN850" s="11"/>
      <c r="CO850" s="11"/>
      <c r="CP850" s="11"/>
      <c r="CQ850" s="11"/>
      <c r="CR850" s="11"/>
      <c r="CS850" s="11"/>
      <c r="CT850" s="11"/>
      <c r="CU850" s="11"/>
      <c r="CV850" s="11"/>
      <c r="CW850" s="11"/>
      <c r="CX850" s="11"/>
      <c r="CY850" s="11"/>
      <c r="CZ850" s="11"/>
      <c r="DA850" s="11"/>
      <c r="DB850" s="11"/>
    </row>
    <row r="851" spans="1:10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  <c r="CD851" s="11"/>
      <c r="CE851" s="11"/>
      <c r="CF851" s="11"/>
      <c r="CG851" s="11"/>
      <c r="CH851" s="11"/>
      <c r="CI851" s="11"/>
      <c r="CJ851" s="11"/>
      <c r="CK851" s="11"/>
      <c r="CL851" s="11"/>
      <c r="CM851" s="11"/>
      <c r="CN851" s="11"/>
      <c r="CO851" s="11"/>
      <c r="CP851" s="11"/>
      <c r="CQ851" s="11"/>
      <c r="CR851" s="11"/>
      <c r="CS851" s="11"/>
      <c r="CT851" s="11"/>
      <c r="CU851" s="11"/>
      <c r="CV851" s="11"/>
      <c r="CW851" s="11"/>
      <c r="CX851" s="11"/>
      <c r="CY851" s="11"/>
      <c r="CZ851" s="11"/>
      <c r="DA851" s="11"/>
      <c r="DB851" s="11"/>
    </row>
    <row r="852" spans="1:10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/>
      <c r="CG852" s="11"/>
      <c r="CH852" s="11"/>
      <c r="CI852" s="11"/>
      <c r="CJ852" s="11"/>
      <c r="CK852" s="11"/>
      <c r="CL852" s="11"/>
      <c r="CM852" s="11"/>
      <c r="CN852" s="11"/>
      <c r="CO852" s="11"/>
      <c r="CP852" s="11"/>
      <c r="CQ852" s="11"/>
      <c r="CR852" s="11"/>
      <c r="CS852" s="11"/>
      <c r="CT852" s="11"/>
      <c r="CU852" s="11"/>
      <c r="CV852" s="11"/>
      <c r="CW852" s="11"/>
      <c r="CX852" s="11"/>
      <c r="CY852" s="11"/>
      <c r="CZ852" s="11"/>
      <c r="DA852" s="11"/>
      <c r="DB852" s="11"/>
    </row>
    <row r="853" spans="1:10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  <c r="CD853" s="11"/>
      <c r="CE853" s="11"/>
      <c r="CF853" s="11"/>
      <c r="CG853" s="11"/>
      <c r="CH853" s="11"/>
      <c r="CI853" s="11"/>
      <c r="CJ853" s="11"/>
      <c r="CK853" s="11"/>
      <c r="CL853" s="11"/>
      <c r="CM853" s="11"/>
      <c r="CN853" s="11"/>
      <c r="CO853" s="11"/>
      <c r="CP853" s="11"/>
      <c r="CQ853" s="11"/>
      <c r="CR853" s="11"/>
      <c r="CS853" s="11"/>
      <c r="CT853" s="11"/>
      <c r="CU853" s="11"/>
      <c r="CV853" s="11"/>
      <c r="CW853" s="11"/>
      <c r="CX853" s="11"/>
      <c r="CY853" s="11"/>
      <c r="CZ853" s="11"/>
      <c r="DA853" s="11"/>
      <c r="DB853" s="11"/>
    </row>
    <row r="854" spans="1:10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  <c r="CD854" s="11"/>
      <c r="CE854" s="11"/>
      <c r="CF854" s="11"/>
      <c r="CG854" s="11"/>
      <c r="CH854" s="11"/>
      <c r="CI854" s="11"/>
      <c r="CJ854" s="11"/>
      <c r="CK854" s="11"/>
      <c r="CL854" s="11"/>
      <c r="CM854" s="11"/>
      <c r="CN854" s="11"/>
      <c r="CO854" s="11"/>
      <c r="CP854" s="11"/>
      <c r="CQ854" s="11"/>
      <c r="CR854" s="11"/>
      <c r="CS854" s="11"/>
      <c r="CT854" s="11"/>
      <c r="CU854" s="11"/>
      <c r="CV854" s="11"/>
      <c r="CW854" s="11"/>
      <c r="CX854" s="11"/>
      <c r="CY854" s="11"/>
      <c r="CZ854" s="11"/>
      <c r="DA854" s="11"/>
      <c r="DB854" s="11"/>
    </row>
    <row r="855" spans="1:10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  <c r="CD855" s="11"/>
      <c r="CE855" s="11"/>
      <c r="CF855" s="11"/>
      <c r="CG855" s="11"/>
      <c r="CH855" s="11"/>
      <c r="CI855" s="11"/>
      <c r="CJ855" s="11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  <c r="CW855" s="11"/>
      <c r="CX855" s="11"/>
      <c r="CY855" s="11"/>
      <c r="CZ855" s="11"/>
      <c r="DA855" s="11"/>
      <c r="DB855" s="11"/>
    </row>
    <row r="856" spans="1:10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  <c r="CH856" s="11"/>
      <c r="CI856" s="11"/>
      <c r="CJ856" s="11"/>
      <c r="CK856" s="11"/>
      <c r="CL856" s="11"/>
      <c r="CM856" s="11"/>
      <c r="CN856" s="11"/>
      <c r="CO856" s="11"/>
      <c r="CP856" s="11"/>
      <c r="CQ856" s="11"/>
      <c r="CR856" s="11"/>
      <c r="CS856" s="11"/>
      <c r="CT856" s="11"/>
      <c r="CU856" s="11"/>
      <c r="CV856" s="11"/>
      <c r="CW856" s="11"/>
      <c r="CX856" s="11"/>
      <c r="CY856" s="11"/>
      <c r="CZ856" s="11"/>
      <c r="DA856" s="11"/>
      <c r="DB856" s="11"/>
    </row>
    <row r="857" spans="1:10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  <c r="CD857" s="11"/>
      <c r="CE857" s="11"/>
      <c r="CF857" s="11"/>
      <c r="CG857" s="11"/>
      <c r="CH857" s="11"/>
      <c r="CI857" s="11"/>
      <c r="CJ857" s="11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  <c r="CW857" s="11"/>
      <c r="CX857" s="11"/>
      <c r="CY857" s="11"/>
      <c r="CZ857" s="11"/>
      <c r="DA857" s="11"/>
      <c r="DB857" s="11"/>
    </row>
    <row r="858" spans="1:10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  <c r="CD858" s="11"/>
      <c r="CE858" s="11"/>
      <c r="CF858" s="11"/>
      <c r="CG858" s="11"/>
      <c r="CH858" s="11"/>
      <c r="CI858" s="11"/>
      <c r="CJ858" s="11"/>
      <c r="CK858" s="11"/>
      <c r="CL858" s="11"/>
      <c r="CM858" s="11"/>
      <c r="CN858" s="11"/>
      <c r="CO858" s="11"/>
      <c r="CP858" s="11"/>
      <c r="CQ858" s="11"/>
      <c r="CR858" s="11"/>
      <c r="CS858" s="11"/>
      <c r="CT858" s="11"/>
      <c r="CU858" s="11"/>
      <c r="CV858" s="11"/>
      <c r="CW858" s="11"/>
      <c r="CX858" s="11"/>
      <c r="CY858" s="11"/>
      <c r="CZ858" s="11"/>
      <c r="DA858" s="11"/>
      <c r="DB858" s="11"/>
    </row>
    <row r="859" spans="1:10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  <c r="CD859" s="11"/>
      <c r="CE859" s="11"/>
      <c r="CF859" s="11"/>
      <c r="CG859" s="11"/>
      <c r="CH859" s="11"/>
      <c r="CI859" s="11"/>
      <c r="CJ859" s="11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/>
      <c r="CW859" s="11"/>
      <c r="CX859" s="11"/>
      <c r="CY859" s="11"/>
      <c r="CZ859" s="11"/>
      <c r="DA859" s="11"/>
      <c r="DB859" s="11"/>
    </row>
    <row r="860" spans="1:10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  <c r="CA860" s="11"/>
      <c r="CB860" s="11"/>
      <c r="CC860" s="11"/>
      <c r="CD860" s="11"/>
      <c r="CE860" s="11"/>
      <c r="CF860" s="11"/>
      <c r="CG860" s="11"/>
      <c r="CH860" s="11"/>
      <c r="CI860" s="11"/>
      <c r="CJ860" s="11"/>
      <c r="CK860" s="11"/>
      <c r="CL860" s="11"/>
      <c r="CM860" s="11"/>
      <c r="CN860" s="11"/>
      <c r="CO860" s="11"/>
      <c r="CP860" s="11"/>
      <c r="CQ860" s="11"/>
      <c r="CR860" s="11"/>
      <c r="CS860" s="11"/>
      <c r="CT860" s="11"/>
      <c r="CU860" s="11"/>
      <c r="CV860" s="11"/>
      <c r="CW860" s="11"/>
      <c r="CX860" s="11"/>
      <c r="CY860" s="11"/>
      <c r="CZ860" s="11"/>
      <c r="DA860" s="11"/>
      <c r="DB860" s="11"/>
    </row>
    <row r="861" spans="1:10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</row>
    <row r="862" spans="1:10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  <c r="CC862" s="11"/>
      <c r="CD862" s="11"/>
      <c r="CE862" s="11"/>
      <c r="CF862" s="11"/>
      <c r="CG862" s="11"/>
      <c r="CH862" s="11"/>
      <c r="CI862" s="11"/>
      <c r="CJ862" s="11"/>
      <c r="CK862" s="11"/>
      <c r="CL862" s="11"/>
      <c r="CM862" s="11"/>
      <c r="CN862" s="11"/>
      <c r="CO862" s="11"/>
      <c r="CP862" s="11"/>
      <c r="CQ862" s="11"/>
      <c r="CR862" s="11"/>
      <c r="CS862" s="11"/>
      <c r="CT862" s="11"/>
      <c r="CU862" s="11"/>
      <c r="CV862" s="11"/>
      <c r="CW862" s="11"/>
      <c r="CX862" s="11"/>
      <c r="CY862" s="11"/>
      <c r="CZ862" s="11"/>
      <c r="DA862" s="11"/>
      <c r="DB862" s="11"/>
    </row>
    <row r="863" spans="1:10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  <c r="CA863" s="11"/>
      <c r="CB863" s="11"/>
      <c r="CC863" s="11"/>
      <c r="CD863" s="11"/>
      <c r="CE863" s="11"/>
      <c r="CF863" s="11"/>
      <c r="CG863" s="11"/>
      <c r="CH863" s="11"/>
      <c r="CI863" s="11"/>
      <c r="CJ863" s="11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  <c r="CW863" s="11"/>
      <c r="CX863" s="11"/>
      <c r="CY863" s="11"/>
      <c r="CZ863" s="11"/>
      <c r="DA863" s="11"/>
      <c r="DB863" s="11"/>
    </row>
    <row r="864" spans="1:10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</row>
    <row r="865" spans="1:10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</row>
    <row r="866" spans="1:10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  <c r="CA866" s="11"/>
      <c r="CB866" s="11"/>
      <c r="CC866" s="11"/>
      <c r="CD866" s="11"/>
      <c r="CE866" s="11"/>
      <c r="CF866" s="11"/>
      <c r="CG866" s="11"/>
      <c r="CH866" s="11"/>
      <c r="CI866" s="11"/>
      <c r="CJ866" s="11"/>
      <c r="CK866" s="11"/>
      <c r="CL866" s="11"/>
      <c r="CM866" s="11"/>
      <c r="CN866" s="11"/>
      <c r="CO866" s="11"/>
      <c r="CP866" s="11"/>
      <c r="CQ866" s="11"/>
      <c r="CR866" s="11"/>
      <c r="CS866" s="11"/>
      <c r="CT866" s="11"/>
      <c r="CU866" s="11"/>
      <c r="CV866" s="11"/>
      <c r="CW866" s="11"/>
      <c r="CX866" s="11"/>
      <c r="CY866" s="11"/>
      <c r="CZ866" s="11"/>
      <c r="DA866" s="11"/>
      <c r="DB866" s="11"/>
    </row>
    <row r="867" spans="1:10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  <c r="CA867" s="11"/>
      <c r="CB867" s="11"/>
      <c r="CC867" s="11"/>
      <c r="CD867" s="11"/>
      <c r="CE867" s="11"/>
      <c r="CF867" s="11"/>
      <c r="CG867" s="11"/>
      <c r="CH867" s="11"/>
      <c r="CI867" s="11"/>
      <c r="CJ867" s="11"/>
      <c r="CK867" s="11"/>
      <c r="CL867" s="11"/>
      <c r="CM867" s="11"/>
      <c r="CN867" s="11"/>
      <c r="CO867" s="11"/>
      <c r="CP867" s="11"/>
      <c r="CQ867" s="11"/>
      <c r="CR867" s="11"/>
      <c r="CS867" s="11"/>
      <c r="CT867" s="11"/>
      <c r="CU867" s="11"/>
      <c r="CV867" s="11"/>
      <c r="CW867" s="11"/>
      <c r="CX867" s="11"/>
      <c r="CY867" s="11"/>
      <c r="CZ867" s="11"/>
      <c r="DA867" s="11"/>
      <c r="DB867" s="11"/>
    </row>
    <row r="868" spans="1:10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  <c r="CA868" s="11"/>
      <c r="CB868" s="11"/>
      <c r="CC868" s="11"/>
      <c r="CD868" s="11"/>
      <c r="CE868" s="11"/>
      <c r="CF868" s="11"/>
      <c r="CG868" s="11"/>
      <c r="CH868" s="11"/>
      <c r="CI868" s="11"/>
      <c r="CJ868" s="11"/>
      <c r="CK868" s="11"/>
      <c r="CL868" s="11"/>
      <c r="CM868" s="11"/>
      <c r="CN868" s="11"/>
      <c r="CO868" s="11"/>
      <c r="CP868" s="11"/>
      <c r="CQ868" s="11"/>
      <c r="CR868" s="11"/>
      <c r="CS868" s="11"/>
      <c r="CT868" s="11"/>
      <c r="CU868" s="11"/>
      <c r="CV868" s="11"/>
      <c r="CW868" s="11"/>
      <c r="CX868" s="11"/>
      <c r="CY868" s="11"/>
      <c r="CZ868" s="11"/>
      <c r="DA868" s="11"/>
      <c r="DB868" s="11"/>
    </row>
    <row r="869" spans="1:10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  <c r="CA869" s="11"/>
      <c r="CB869" s="11"/>
      <c r="CC869" s="11"/>
      <c r="CD869" s="11"/>
      <c r="CE869" s="11"/>
      <c r="CF869" s="11"/>
      <c r="CG869" s="11"/>
      <c r="CH869" s="11"/>
      <c r="CI869" s="11"/>
      <c r="CJ869" s="11"/>
      <c r="CK869" s="11"/>
      <c r="CL869" s="11"/>
      <c r="CM869" s="11"/>
      <c r="CN869" s="11"/>
      <c r="CO869" s="11"/>
      <c r="CP869" s="11"/>
      <c r="CQ869" s="11"/>
      <c r="CR869" s="11"/>
      <c r="CS869" s="11"/>
      <c r="CT869" s="11"/>
      <c r="CU869" s="11"/>
      <c r="CV869" s="11"/>
      <c r="CW869" s="11"/>
      <c r="CX869" s="11"/>
      <c r="CY869" s="11"/>
      <c r="CZ869" s="11"/>
      <c r="DA869" s="11"/>
      <c r="DB869" s="11"/>
    </row>
    <row r="870" spans="1:10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</row>
    <row r="871" spans="1:10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  <c r="CA871" s="11"/>
      <c r="CB871" s="11"/>
      <c r="CC871" s="11"/>
      <c r="CD871" s="11"/>
      <c r="CE871" s="11"/>
      <c r="CF871" s="11"/>
      <c r="CG871" s="11"/>
      <c r="CH871" s="11"/>
      <c r="CI871" s="11"/>
      <c r="CJ871" s="11"/>
      <c r="CK871" s="11"/>
      <c r="CL871" s="11"/>
      <c r="CM871" s="11"/>
      <c r="CN871" s="11"/>
      <c r="CO871" s="11"/>
      <c r="CP871" s="11"/>
      <c r="CQ871" s="11"/>
      <c r="CR871" s="11"/>
      <c r="CS871" s="11"/>
      <c r="CT871" s="11"/>
      <c r="CU871" s="11"/>
      <c r="CV871" s="11"/>
      <c r="CW871" s="11"/>
      <c r="CX871" s="11"/>
      <c r="CY871" s="11"/>
      <c r="CZ871" s="11"/>
      <c r="DA871" s="11"/>
      <c r="DB871" s="11"/>
    </row>
    <row r="872" spans="1:10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  <c r="CA872" s="11"/>
      <c r="CB872" s="11"/>
      <c r="CC872" s="11"/>
      <c r="CD872" s="11"/>
      <c r="CE872" s="11"/>
      <c r="CF872" s="11"/>
      <c r="CG872" s="11"/>
      <c r="CH872" s="11"/>
      <c r="CI872" s="11"/>
      <c r="CJ872" s="11"/>
      <c r="CK872" s="11"/>
      <c r="CL872" s="11"/>
      <c r="CM872" s="11"/>
      <c r="CN872" s="11"/>
      <c r="CO872" s="11"/>
      <c r="CP872" s="11"/>
      <c r="CQ872" s="11"/>
      <c r="CR872" s="11"/>
      <c r="CS872" s="11"/>
      <c r="CT872" s="11"/>
      <c r="CU872" s="11"/>
      <c r="CV872" s="11"/>
      <c r="CW872" s="11"/>
      <c r="CX872" s="11"/>
      <c r="CY872" s="11"/>
      <c r="CZ872" s="11"/>
      <c r="DA872" s="11"/>
      <c r="DB872" s="11"/>
    </row>
    <row r="873" spans="1:10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  <c r="CA873" s="11"/>
      <c r="CB873" s="11"/>
      <c r="CC873" s="11"/>
      <c r="CD873" s="11"/>
      <c r="CE873" s="11"/>
      <c r="CF873" s="11"/>
      <c r="CG873" s="11"/>
      <c r="CH873" s="11"/>
      <c r="CI873" s="11"/>
      <c r="CJ873" s="11"/>
      <c r="CK873" s="11"/>
      <c r="CL873" s="11"/>
      <c r="CM873" s="11"/>
      <c r="CN873" s="11"/>
      <c r="CO873" s="11"/>
      <c r="CP873" s="11"/>
      <c r="CQ873" s="11"/>
      <c r="CR873" s="11"/>
      <c r="CS873" s="11"/>
      <c r="CT873" s="11"/>
      <c r="CU873" s="11"/>
      <c r="CV873" s="11"/>
      <c r="CW873" s="11"/>
      <c r="CX873" s="11"/>
      <c r="CY873" s="11"/>
      <c r="CZ873" s="11"/>
      <c r="DA873" s="11"/>
      <c r="DB873" s="11"/>
    </row>
    <row r="874" spans="1:10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CH874" s="11"/>
      <c r="CI874" s="11"/>
      <c r="CJ874" s="11"/>
      <c r="CK874" s="11"/>
      <c r="CL874" s="11"/>
      <c r="CM874" s="11"/>
      <c r="CN874" s="11"/>
      <c r="CO874" s="11"/>
      <c r="CP874" s="11"/>
      <c r="CQ874" s="11"/>
      <c r="CR874" s="11"/>
      <c r="CS874" s="11"/>
      <c r="CT874" s="11"/>
      <c r="CU874" s="11"/>
      <c r="CV874" s="11"/>
      <c r="CW874" s="11"/>
      <c r="CX874" s="11"/>
      <c r="CY874" s="11"/>
      <c r="CZ874" s="11"/>
      <c r="DA874" s="11"/>
      <c r="DB874" s="11"/>
    </row>
    <row r="875" spans="1:10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  <c r="CC875" s="11"/>
      <c r="CD875" s="11"/>
      <c r="CE875" s="11"/>
      <c r="CF875" s="11"/>
      <c r="CG875" s="11"/>
      <c r="CH875" s="11"/>
      <c r="CI875" s="11"/>
      <c r="CJ875" s="11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  <c r="CW875" s="11"/>
      <c r="CX875" s="11"/>
      <c r="CY875" s="11"/>
      <c r="CZ875" s="11"/>
      <c r="DA875" s="11"/>
      <c r="DB875" s="11"/>
    </row>
    <row r="876" spans="1:10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11"/>
      <c r="CD876" s="11"/>
      <c r="CE876" s="11"/>
      <c r="CF876" s="11"/>
      <c r="CG876" s="11"/>
      <c r="CH876" s="11"/>
      <c r="CI876" s="11"/>
      <c r="CJ876" s="11"/>
      <c r="CK876" s="11"/>
      <c r="CL876" s="11"/>
      <c r="CM876" s="11"/>
      <c r="CN876" s="11"/>
      <c r="CO876" s="11"/>
      <c r="CP876" s="11"/>
      <c r="CQ876" s="11"/>
      <c r="CR876" s="11"/>
      <c r="CS876" s="11"/>
      <c r="CT876" s="11"/>
      <c r="CU876" s="11"/>
      <c r="CV876" s="11"/>
      <c r="CW876" s="11"/>
      <c r="CX876" s="11"/>
      <c r="CY876" s="11"/>
      <c r="CZ876" s="11"/>
      <c r="DA876" s="11"/>
      <c r="DB876" s="11"/>
    </row>
    <row r="877" spans="1:10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  <c r="CC877" s="11"/>
      <c r="CD877" s="11"/>
      <c r="CE877" s="11"/>
      <c r="CF877" s="11"/>
      <c r="CG877" s="11"/>
      <c r="CH877" s="11"/>
      <c r="CI877" s="11"/>
      <c r="CJ877" s="11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  <c r="CW877" s="11"/>
      <c r="CX877" s="11"/>
      <c r="CY877" s="11"/>
      <c r="CZ877" s="11"/>
      <c r="DA877" s="11"/>
      <c r="DB877" s="11"/>
    </row>
    <row r="878" spans="1:10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11"/>
      <c r="CD878" s="11"/>
      <c r="CE878" s="11"/>
      <c r="CF878" s="11"/>
      <c r="CG878" s="11"/>
      <c r="CH878" s="11"/>
      <c r="CI878" s="11"/>
      <c r="CJ878" s="11"/>
      <c r="CK878" s="11"/>
      <c r="CL878" s="11"/>
      <c r="CM878" s="11"/>
      <c r="CN878" s="11"/>
      <c r="CO878" s="11"/>
      <c r="CP878" s="11"/>
      <c r="CQ878" s="11"/>
      <c r="CR878" s="11"/>
      <c r="CS878" s="11"/>
      <c r="CT878" s="11"/>
      <c r="CU878" s="11"/>
      <c r="CV878" s="11"/>
      <c r="CW878" s="11"/>
      <c r="CX878" s="11"/>
      <c r="CY878" s="11"/>
      <c r="CZ878" s="11"/>
      <c r="DA878" s="11"/>
      <c r="DB878" s="11"/>
    </row>
    <row r="879" spans="1:10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  <c r="CA879" s="11"/>
      <c r="CB879" s="11"/>
      <c r="CC879" s="11"/>
      <c r="CD879" s="11"/>
      <c r="CE879" s="11"/>
      <c r="CF879" s="11"/>
      <c r="CG879" s="11"/>
      <c r="CH879" s="11"/>
      <c r="CI879" s="11"/>
      <c r="CJ879" s="11"/>
      <c r="CK879" s="11"/>
      <c r="CL879" s="11"/>
      <c r="CM879" s="11"/>
      <c r="CN879" s="11"/>
      <c r="CO879" s="11"/>
      <c r="CP879" s="11"/>
      <c r="CQ879" s="11"/>
      <c r="CR879" s="11"/>
      <c r="CS879" s="11"/>
      <c r="CT879" s="11"/>
      <c r="CU879" s="11"/>
      <c r="CV879" s="11"/>
      <c r="CW879" s="11"/>
      <c r="CX879" s="11"/>
      <c r="CY879" s="11"/>
      <c r="CZ879" s="11"/>
      <c r="DA879" s="11"/>
      <c r="DB879" s="11"/>
    </row>
    <row r="880" spans="1:10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  <c r="CA880" s="11"/>
      <c r="CB880" s="11"/>
      <c r="CC880" s="11"/>
      <c r="CD880" s="11"/>
      <c r="CE880" s="11"/>
      <c r="CF880" s="11"/>
      <c r="CG880" s="11"/>
      <c r="CH880" s="11"/>
      <c r="CI880" s="11"/>
      <c r="CJ880" s="11"/>
      <c r="CK880" s="11"/>
      <c r="CL880" s="11"/>
      <c r="CM880" s="11"/>
      <c r="CN880" s="11"/>
      <c r="CO880" s="11"/>
      <c r="CP880" s="11"/>
      <c r="CQ880" s="11"/>
      <c r="CR880" s="11"/>
      <c r="CS880" s="11"/>
      <c r="CT880" s="11"/>
      <c r="CU880" s="11"/>
      <c r="CV880" s="11"/>
      <c r="CW880" s="11"/>
      <c r="CX880" s="11"/>
      <c r="CY880" s="11"/>
      <c r="CZ880" s="11"/>
      <c r="DA880" s="11"/>
      <c r="DB880" s="11"/>
    </row>
    <row r="881" spans="1:10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  <c r="CA881" s="11"/>
      <c r="CB881" s="11"/>
      <c r="CC881" s="11"/>
      <c r="CD881" s="11"/>
      <c r="CE881" s="11"/>
      <c r="CF881" s="11"/>
      <c r="CG881" s="11"/>
      <c r="CH881" s="11"/>
      <c r="CI881" s="11"/>
      <c r="CJ881" s="11"/>
      <c r="CK881" s="11"/>
      <c r="CL881" s="11"/>
      <c r="CM881" s="11"/>
      <c r="CN881" s="11"/>
      <c r="CO881" s="11"/>
      <c r="CP881" s="11"/>
      <c r="CQ881" s="11"/>
      <c r="CR881" s="11"/>
      <c r="CS881" s="11"/>
      <c r="CT881" s="11"/>
      <c r="CU881" s="11"/>
      <c r="CV881" s="11"/>
      <c r="CW881" s="11"/>
      <c r="CX881" s="11"/>
      <c r="CY881" s="11"/>
      <c r="CZ881" s="11"/>
      <c r="DA881" s="11"/>
      <c r="DB881" s="11"/>
    </row>
    <row r="882" spans="1:10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B882" s="11"/>
      <c r="CC882" s="11"/>
      <c r="CD882" s="11"/>
      <c r="CE882" s="11"/>
      <c r="CF882" s="11"/>
      <c r="CG882" s="11"/>
      <c r="CH882" s="11"/>
      <c r="CI882" s="11"/>
      <c r="CJ882" s="11"/>
      <c r="CK882" s="11"/>
      <c r="CL882" s="11"/>
      <c r="CM882" s="11"/>
      <c r="CN882" s="11"/>
      <c r="CO882" s="11"/>
      <c r="CP882" s="11"/>
      <c r="CQ882" s="11"/>
      <c r="CR882" s="11"/>
      <c r="CS882" s="11"/>
      <c r="CT882" s="11"/>
      <c r="CU882" s="11"/>
      <c r="CV882" s="11"/>
      <c r="CW882" s="11"/>
      <c r="CX882" s="11"/>
      <c r="CY882" s="11"/>
      <c r="CZ882" s="11"/>
      <c r="DA882" s="11"/>
      <c r="DB882" s="11"/>
    </row>
    <row r="883" spans="1:10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  <c r="CA883" s="11"/>
      <c r="CB883" s="11"/>
      <c r="CC883" s="11"/>
      <c r="CD883" s="11"/>
      <c r="CE883" s="11"/>
      <c r="CF883" s="11"/>
      <c r="CG883" s="11"/>
      <c r="CH883" s="11"/>
      <c r="CI883" s="11"/>
      <c r="CJ883" s="11"/>
      <c r="CK883" s="11"/>
      <c r="CL883" s="11"/>
      <c r="CM883" s="11"/>
      <c r="CN883" s="11"/>
      <c r="CO883" s="11"/>
      <c r="CP883" s="11"/>
      <c r="CQ883" s="11"/>
      <c r="CR883" s="11"/>
      <c r="CS883" s="11"/>
      <c r="CT883" s="11"/>
      <c r="CU883" s="11"/>
      <c r="CV883" s="11"/>
      <c r="CW883" s="11"/>
      <c r="CX883" s="11"/>
      <c r="CY883" s="11"/>
      <c r="CZ883" s="11"/>
      <c r="DA883" s="11"/>
      <c r="DB883" s="11"/>
    </row>
    <row r="884" spans="1:10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  <c r="CA884" s="11"/>
      <c r="CB884" s="11"/>
      <c r="CC884" s="11"/>
      <c r="CD884" s="11"/>
      <c r="CE884" s="11"/>
      <c r="CF884" s="11"/>
      <c r="CG884" s="11"/>
      <c r="CH884" s="11"/>
      <c r="CI884" s="11"/>
      <c r="CJ884" s="11"/>
      <c r="CK884" s="11"/>
      <c r="CL884" s="11"/>
      <c r="CM884" s="11"/>
      <c r="CN884" s="11"/>
      <c r="CO884" s="11"/>
      <c r="CP884" s="11"/>
      <c r="CQ884" s="11"/>
      <c r="CR884" s="11"/>
      <c r="CS884" s="11"/>
      <c r="CT884" s="11"/>
      <c r="CU884" s="11"/>
      <c r="CV884" s="11"/>
      <c r="CW884" s="11"/>
      <c r="CX884" s="11"/>
      <c r="CY884" s="11"/>
      <c r="CZ884" s="11"/>
      <c r="DA884" s="11"/>
      <c r="DB884" s="11"/>
    </row>
    <row r="885" spans="1:10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  <c r="CA885" s="11"/>
      <c r="CB885" s="11"/>
      <c r="CC885" s="11"/>
      <c r="CD885" s="11"/>
      <c r="CE885" s="11"/>
      <c r="CF885" s="11"/>
      <c r="CG885" s="11"/>
      <c r="CH885" s="11"/>
      <c r="CI885" s="11"/>
      <c r="CJ885" s="11"/>
      <c r="CK885" s="11"/>
      <c r="CL885" s="11"/>
      <c r="CM885" s="11"/>
      <c r="CN885" s="11"/>
      <c r="CO885" s="11"/>
      <c r="CP885" s="11"/>
      <c r="CQ885" s="11"/>
      <c r="CR885" s="11"/>
      <c r="CS885" s="11"/>
      <c r="CT885" s="11"/>
      <c r="CU885" s="11"/>
      <c r="CV885" s="11"/>
      <c r="CW885" s="11"/>
      <c r="CX885" s="11"/>
      <c r="CY885" s="11"/>
      <c r="CZ885" s="11"/>
      <c r="DA885" s="11"/>
      <c r="DB885" s="11"/>
    </row>
    <row r="886" spans="1:10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11"/>
      <c r="CD886" s="11"/>
      <c r="CE886" s="11"/>
      <c r="CF886" s="11"/>
      <c r="CG886" s="11"/>
      <c r="CH886" s="11"/>
      <c r="CI886" s="11"/>
      <c r="CJ886" s="11"/>
      <c r="CK886" s="11"/>
      <c r="CL886" s="11"/>
      <c r="CM886" s="11"/>
      <c r="CN886" s="11"/>
      <c r="CO886" s="11"/>
      <c r="CP886" s="11"/>
      <c r="CQ886" s="11"/>
      <c r="CR886" s="11"/>
      <c r="CS886" s="11"/>
      <c r="CT886" s="11"/>
      <c r="CU886" s="11"/>
      <c r="CV886" s="11"/>
      <c r="CW886" s="11"/>
      <c r="CX886" s="11"/>
      <c r="CY886" s="11"/>
      <c r="CZ886" s="11"/>
      <c r="DA886" s="11"/>
      <c r="DB886" s="11"/>
    </row>
    <row r="887" spans="1:10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B887" s="11"/>
      <c r="CC887" s="11"/>
      <c r="CD887" s="11"/>
      <c r="CE887" s="11"/>
      <c r="CF887" s="11"/>
      <c r="CG887" s="11"/>
      <c r="CH887" s="11"/>
      <c r="CI887" s="11"/>
      <c r="CJ887" s="11"/>
      <c r="CK887" s="11"/>
      <c r="CL887" s="11"/>
      <c r="CM887" s="11"/>
      <c r="CN887" s="11"/>
      <c r="CO887" s="11"/>
      <c r="CP887" s="11"/>
      <c r="CQ887" s="11"/>
      <c r="CR887" s="11"/>
      <c r="CS887" s="11"/>
      <c r="CT887" s="11"/>
      <c r="CU887" s="11"/>
      <c r="CV887" s="11"/>
      <c r="CW887" s="11"/>
      <c r="CX887" s="11"/>
      <c r="CY887" s="11"/>
      <c r="CZ887" s="11"/>
      <c r="DA887" s="11"/>
      <c r="DB887" s="11"/>
    </row>
    <row r="888" spans="1:10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  <c r="CC888" s="11"/>
      <c r="CD888" s="11"/>
      <c r="CE888" s="11"/>
      <c r="CF888" s="11"/>
      <c r="CG888" s="11"/>
      <c r="CH888" s="11"/>
      <c r="CI888" s="11"/>
      <c r="CJ888" s="11"/>
      <c r="CK888" s="11"/>
      <c r="CL888" s="11"/>
      <c r="CM888" s="11"/>
      <c r="CN888" s="11"/>
      <c r="CO888" s="11"/>
      <c r="CP888" s="11"/>
      <c r="CQ888" s="11"/>
      <c r="CR888" s="11"/>
      <c r="CS888" s="11"/>
      <c r="CT888" s="11"/>
      <c r="CU888" s="11"/>
      <c r="CV888" s="11"/>
      <c r="CW888" s="11"/>
      <c r="CX888" s="11"/>
      <c r="CY888" s="11"/>
      <c r="CZ888" s="11"/>
      <c r="DA888" s="11"/>
      <c r="DB888" s="11"/>
    </row>
    <row r="889" spans="1:10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B889" s="11"/>
      <c r="CC889" s="11"/>
      <c r="CD889" s="11"/>
      <c r="CE889" s="11"/>
      <c r="CF889" s="11"/>
      <c r="CG889" s="11"/>
      <c r="CH889" s="11"/>
      <c r="CI889" s="11"/>
      <c r="CJ889" s="11"/>
      <c r="CK889" s="11"/>
      <c r="CL889" s="11"/>
      <c r="CM889" s="11"/>
      <c r="CN889" s="11"/>
      <c r="CO889" s="11"/>
      <c r="CP889" s="11"/>
      <c r="CQ889" s="11"/>
      <c r="CR889" s="11"/>
      <c r="CS889" s="11"/>
      <c r="CT889" s="11"/>
      <c r="CU889" s="11"/>
      <c r="CV889" s="11"/>
      <c r="CW889" s="11"/>
      <c r="CX889" s="11"/>
      <c r="CY889" s="11"/>
      <c r="CZ889" s="11"/>
      <c r="DA889" s="11"/>
      <c r="DB889" s="11"/>
    </row>
    <row r="890" spans="1:10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  <c r="CA890" s="11"/>
      <c r="CB890" s="11"/>
      <c r="CC890" s="11"/>
      <c r="CD890" s="11"/>
      <c r="CE890" s="11"/>
      <c r="CF890" s="11"/>
      <c r="CG890" s="11"/>
      <c r="CH890" s="11"/>
      <c r="CI890" s="11"/>
      <c r="CJ890" s="11"/>
      <c r="CK890" s="11"/>
      <c r="CL890" s="11"/>
      <c r="CM890" s="11"/>
      <c r="CN890" s="11"/>
      <c r="CO890" s="11"/>
      <c r="CP890" s="11"/>
      <c r="CQ890" s="11"/>
      <c r="CR890" s="11"/>
      <c r="CS890" s="11"/>
      <c r="CT890" s="11"/>
      <c r="CU890" s="11"/>
      <c r="CV890" s="11"/>
      <c r="CW890" s="11"/>
      <c r="CX890" s="11"/>
      <c r="CY890" s="11"/>
      <c r="CZ890" s="11"/>
      <c r="DA890" s="11"/>
      <c r="DB890" s="11"/>
    </row>
    <row r="891" spans="1:10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  <c r="CA891" s="11"/>
      <c r="CB891" s="11"/>
      <c r="CC891" s="11"/>
      <c r="CD891" s="11"/>
      <c r="CE891" s="11"/>
      <c r="CF891" s="11"/>
      <c r="CG891" s="11"/>
      <c r="CH891" s="11"/>
      <c r="CI891" s="11"/>
      <c r="CJ891" s="11"/>
      <c r="CK891" s="11"/>
      <c r="CL891" s="11"/>
      <c r="CM891" s="11"/>
      <c r="CN891" s="11"/>
      <c r="CO891" s="11"/>
      <c r="CP891" s="11"/>
      <c r="CQ891" s="11"/>
      <c r="CR891" s="11"/>
      <c r="CS891" s="11"/>
      <c r="CT891" s="11"/>
      <c r="CU891" s="11"/>
      <c r="CV891" s="11"/>
      <c r="CW891" s="11"/>
      <c r="CX891" s="11"/>
      <c r="CY891" s="11"/>
      <c r="CZ891" s="11"/>
      <c r="DA891" s="11"/>
      <c r="DB891" s="11"/>
    </row>
    <row r="892" spans="1:10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  <c r="CA892" s="11"/>
      <c r="CB892" s="11"/>
      <c r="CC892" s="11"/>
      <c r="CD892" s="11"/>
      <c r="CE892" s="11"/>
      <c r="CF892" s="11"/>
      <c r="CG892" s="11"/>
      <c r="CH892" s="11"/>
      <c r="CI892" s="11"/>
      <c r="CJ892" s="11"/>
      <c r="CK892" s="11"/>
      <c r="CL892" s="11"/>
      <c r="CM892" s="11"/>
      <c r="CN892" s="11"/>
      <c r="CO892" s="11"/>
      <c r="CP892" s="11"/>
      <c r="CQ892" s="11"/>
      <c r="CR892" s="11"/>
      <c r="CS892" s="11"/>
      <c r="CT892" s="11"/>
      <c r="CU892" s="11"/>
      <c r="CV892" s="11"/>
      <c r="CW892" s="11"/>
      <c r="CX892" s="11"/>
      <c r="CY892" s="11"/>
      <c r="CZ892" s="11"/>
      <c r="DA892" s="11"/>
      <c r="DB892" s="11"/>
    </row>
    <row r="893" spans="1:10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  <c r="CA893" s="11"/>
      <c r="CB893" s="11"/>
      <c r="CC893" s="11"/>
      <c r="CD893" s="11"/>
      <c r="CE893" s="11"/>
      <c r="CF893" s="11"/>
      <c r="CG893" s="11"/>
      <c r="CH893" s="11"/>
      <c r="CI893" s="11"/>
      <c r="CJ893" s="11"/>
      <c r="CK893" s="11"/>
      <c r="CL893" s="11"/>
      <c r="CM893" s="11"/>
      <c r="CN893" s="11"/>
      <c r="CO893" s="11"/>
      <c r="CP893" s="11"/>
      <c r="CQ893" s="11"/>
      <c r="CR893" s="11"/>
      <c r="CS893" s="11"/>
      <c r="CT893" s="11"/>
      <c r="CU893" s="11"/>
      <c r="CV893" s="11"/>
      <c r="CW893" s="11"/>
      <c r="CX893" s="11"/>
      <c r="CY893" s="11"/>
      <c r="CZ893" s="11"/>
      <c r="DA893" s="11"/>
      <c r="DB893" s="11"/>
    </row>
    <row r="894" spans="1:10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  <c r="CA894" s="11"/>
      <c r="CB894" s="11"/>
      <c r="CC894" s="11"/>
      <c r="CD894" s="11"/>
      <c r="CE894" s="11"/>
      <c r="CF894" s="11"/>
      <c r="CG894" s="11"/>
      <c r="CH894" s="11"/>
      <c r="CI894" s="11"/>
      <c r="CJ894" s="11"/>
      <c r="CK894" s="11"/>
      <c r="CL894" s="11"/>
      <c r="CM894" s="11"/>
      <c r="CN894" s="11"/>
      <c r="CO894" s="11"/>
      <c r="CP894" s="11"/>
      <c r="CQ894" s="11"/>
      <c r="CR894" s="11"/>
      <c r="CS894" s="11"/>
      <c r="CT894" s="11"/>
      <c r="CU894" s="11"/>
      <c r="CV894" s="11"/>
      <c r="CW894" s="11"/>
      <c r="CX894" s="11"/>
      <c r="CY894" s="11"/>
      <c r="CZ894" s="11"/>
      <c r="DA894" s="11"/>
      <c r="DB894" s="11"/>
    </row>
    <row r="895" spans="1:10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  <c r="CA895" s="11"/>
      <c r="CB895" s="11"/>
      <c r="CC895" s="11"/>
      <c r="CD895" s="11"/>
      <c r="CE895" s="11"/>
      <c r="CF895" s="11"/>
      <c r="CG895" s="11"/>
      <c r="CH895" s="11"/>
      <c r="CI895" s="11"/>
      <c r="CJ895" s="11"/>
      <c r="CK895" s="11"/>
      <c r="CL895" s="11"/>
      <c r="CM895" s="11"/>
      <c r="CN895" s="11"/>
      <c r="CO895" s="11"/>
      <c r="CP895" s="11"/>
      <c r="CQ895" s="11"/>
      <c r="CR895" s="11"/>
      <c r="CS895" s="11"/>
      <c r="CT895" s="11"/>
      <c r="CU895" s="11"/>
      <c r="CV895" s="11"/>
      <c r="CW895" s="11"/>
      <c r="CX895" s="11"/>
      <c r="CY895" s="11"/>
      <c r="CZ895" s="11"/>
      <c r="DA895" s="11"/>
      <c r="DB895" s="11"/>
    </row>
    <row r="896" spans="1:10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  <c r="BZ896" s="11"/>
      <c r="CA896" s="11"/>
      <c r="CB896" s="11"/>
      <c r="CC896" s="11"/>
      <c r="CD896" s="11"/>
      <c r="CE896" s="11"/>
      <c r="CF896" s="11"/>
      <c r="CG896" s="11"/>
      <c r="CH896" s="11"/>
      <c r="CI896" s="11"/>
      <c r="CJ896" s="11"/>
      <c r="CK896" s="11"/>
      <c r="CL896" s="11"/>
      <c r="CM896" s="11"/>
      <c r="CN896" s="11"/>
      <c r="CO896" s="11"/>
      <c r="CP896" s="11"/>
      <c r="CQ896" s="11"/>
      <c r="CR896" s="11"/>
      <c r="CS896" s="11"/>
      <c r="CT896" s="11"/>
      <c r="CU896" s="11"/>
      <c r="CV896" s="11"/>
      <c r="CW896" s="11"/>
      <c r="CX896" s="11"/>
      <c r="CY896" s="11"/>
      <c r="CZ896" s="11"/>
      <c r="DA896" s="11"/>
      <c r="DB896" s="11"/>
    </row>
    <row r="897" spans="1:10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  <c r="BZ897" s="11"/>
      <c r="CA897" s="11"/>
      <c r="CB897" s="11"/>
      <c r="CC897" s="11"/>
      <c r="CD897" s="11"/>
      <c r="CE897" s="11"/>
      <c r="CF897" s="11"/>
      <c r="CG897" s="11"/>
      <c r="CH897" s="11"/>
      <c r="CI897" s="11"/>
      <c r="CJ897" s="11"/>
      <c r="CK897" s="11"/>
      <c r="CL897" s="11"/>
      <c r="CM897" s="11"/>
      <c r="CN897" s="11"/>
      <c r="CO897" s="11"/>
      <c r="CP897" s="11"/>
      <c r="CQ897" s="11"/>
      <c r="CR897" s="11"/>
      <c r="CS897" s="11"/>
      <c r="CT897" s="11"/>
      <c r="CU897" s="11"/>
      <c r="CV897" s="11"/>
      <c r="CW897" s="11"/>
      <c r="CX897" s="11"/>
      <c r="CY897" s="11"/>
      <c r="CZ897" s="11"/>
      <c r="DA897" s="11"/>
      <c r="DB897" s="11"/>
    </row>
    <row r="898" spans="1:10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  <c r="BZ898" s="11"/>
      <c r="CA898" s="11"/>
      <c r="CB898" s="11"/>
      <c r="CC898" s="11"/>
      <c r="CD898" s="11"/>
      <c r="CE898" s="11"/>
      <c r="CF898" s="11"/>
      <c r="CG898" s="11"/>
      <c r="CH898" s="11"/>
      <c r="CI898" s="11"/>
      <c r="CJ898" s="11"/>
      <c r="CK898" s="11"/>
      <c r="CL898" s="11"/>
      <c r="CM898" s="11"/>
      <c r="CN898" s="11"/>
      <c r="CO898" s="11"/>
      <c r="CP898" s="11"/>
      <c r="CQ898" s="11"/>
      <c r="CR898" s="11"/>
      <c r="CS898" s="11"/>
      <c r="CT898" s="11"/>
      <c r="CU898" s="11"/>
      <c r="CV898" s="11"/>
      <c r="CW898" s="11"/>
      <c r="CX898" s="11"/>
      <c r="CY898" s="11"/>
      <c r="CZ898" s="11"/>
      <c r="DA898" s="11"/>
      <c r="DB898" s="11"/>
    </row>
    <row r="899" spans="1:10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</row>
    <row r="900" spans="1:10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  <c r="CA900" s="11"/>
      <c r="CB900" s="11"/>
      <c r="CC900" s="11"/>
      <c r="CD900" s="11"/>
      <c r="CE900" s="11"/>
      <c r="CF900" s="11"/>
      <c r="CG900" s="11"/>
      <c r="CH900" s="11"/>
      <c r="CI900" s="11"/>
      <c r="CJ900" s="11"/>
      <c r="CK900" s="11"/>
      <c r="CL900" s="11"/>
      <c r="CM900" s="11"/>
      <c r="CN900" s="11"/>
      <c r="CO900" s="11"/>
      <c r="CP900" s="11"/>
      <c r="CQ900" s="11"/>
      <c r="CR900" s="11"/>
      <c r="CS900" s="11"/>
      <c r="CT900" s="11"/>
      <c r="CU900" s="11"/>
      <c r="CV900" s="11"/>
      <c r="CW900" s="11"/>
      <c r="CX900" s="11"/>
      <c r="CY900" s="11"/>
      <c r="CZ900" s="11"/>
      <c r="DA900" s="11"/>
      <c r="DB900" s="11"/>
    </row>
    <row r="901" spans="1:10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  <c r="CA901" s="11"/>
      <c r="CB901" s="11"/>
      <c r="CC901" s="11"/>
      <c r="CD901" s="11"/>
      <c r="CE901" s="11"/>
      <c r="CF901" s="11"/>
      <c r="CG901" s="11"/>
      <c r="CH901" s="11"/>
      <c r="CI901" s="11"/>
      <c r="CJ901" s="11"/>
      <c r="CK901" s="11"/>
      <c r="CL901" s="11"/>
      <c r="CM901" s="11"/>
      <c r="CN901" s="11"/>
      <c r="CO901" s="11"/>
      <c r="CP901" s="11"/>
      <c r="CQ901" s="11"/>
      <c r="CR901" s="11"/>
      <c r="CS901" s="11"/>
      <c r="CT901" s="11"/>
      <c r="CU901" s="11"/>
      <c r="CV901" s="11"/>
      <c r="CW901" s="11"/>
      <c r="CX901" s="11"/>
      <c r="CY901" s="11"/>
      <c r="CZ901" s="11"/>
      <c r="DA901" s="11"/>
      <c r="DB901" s="11"/>
    </row>
    <row r="902" spans="1:10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  <c r="CA902" s="11"/>
      <c r="CB902" s="11"/>
      <c r="CC902" s="11"/>
      <c r="CD902" s="11"/>
      <c r="CE902" s="11"/>
      <c r="CF902" s="11"/>
      <c r="CG902" s="11"/>
      <c r="CH902" s="11"/>
      <c r="CI902" s="11"/>
      <c r="CJ902" s="11"/>
      <c r="CK902" s="11"/>
      <c r="CL902" s="11"/>
      <c r="CM902" s="11"/>
      <c r="CN902" s="11"/>
      <c r="CO902" s="11"/>
      <c r="CP902" s="11"/>
      <c r="CQ902" s="11"/>
      <c r="CR902" s="11"/>
      <c r="CS902" s="11"/>
      <c r="CT902" s="11"/>
      <c r="CU902" s="11"/>
      <c r="CV902" s="11"/>
      <c r="CW902" s="11"/>
      <c r="CX902" s="11"/>
      <c r="CY902" s="11"/>
      <c r="CZ902" s="11"/>
      <c r="DA902" s="11"/>
      <c r="DB902" s="11"/>
    </row>
    <row r="903" spans="1:10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  <c r="CH903" s="11"/>
      <c r="CI903" s="11"/>
      <c r="CJ903" s="11"/>
      <c r="CK903" s="11"/>
      <c r="CL903" s="11"/>
      <c r="CM903" s="11"/>
      <c r="CN903" s="11"/>
      <c r="CO903" s="11"/>
      <c r="CP903" s="11"/>
      <c r="CQ903" s="11"/>
      <c r="CR903" s="11"/>
      <c r="CS903" s="11"/>
      <c r="CT903" s="11"/>
      <c r="CU903" s="11"/>
      <c r="CV903" s="11"/>
      <c r="CW903" s="11"/>
      <c r="CX903" s="11"/>
      <c r="CY903" s="11"/>
      <c r="CZ903" s="11"/>
      <c r="DA903" s="11"/>
      <c r="DB903" s="11"/>
    </row>
    <row r="904" spans="1:10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</row>
    <row r="905" spans="1:10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</row>
    <row r="906" spans="1:10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  <c r="CA906" s="11"/>
      <c r="CB906" s="11"/>
      <c r="CC906" s="11"/>
      <c r="CD906" s="11"/>
      <c r="CE906" s="11"/>
      <c r="CF906" s="11"/>
      <c r="CG906" s="11"/>
      <c r="CH906" s="11"/>
      <c r="CI906" s="11"/>
      <c r="CJ906" s="11"/>
      <c r="CK906" s="11"/>
      <c r="CL906" s="11"/>
      <c r="CM906" s="11"/>
      <c r="CN906" s="11"/>
      <c r="CO906" s="11"/>
      <c r="CP906" s="11"/>
      <c r="CQ906" s="11"/>
      <c r="CR906" s="11"/>
      <c r="CS906" s="11"/>
      <c r="CT906" s="11"/>
      <c r="CU906" s="11"/>
      <c r="CV906" s="11"/>
      <c r="CW906" s="11"/>
      <c r="CX906" s="11"/>
      <c r="CY906" s="11"/>
      <c r="CZ906" s="11"/>
      <c r="DA906" s="11"/>
      <c r="DB906" s="11"/>
    </row>
    <row r="907" spans="1:10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  <c r="CA907" s="11"/>
      <c r="CB907" s="11"/>
      <c r="CC907" s="11"/>
      <c r="CD907" s="11"/>
      <c r="CE907" s="11"/>
      <c r="CF907" s="11"/>
      <c r="CG907" s="11"/>
      <c r="CH907" s="11"/>
      <c r="CI907" s="11"/>
      <c r="CJ907" s="11"/>
      <c r="CK907" s="11"/>
      <c r="CL907" s="11"/>
      <c r="CM907" s="11"/>
      <c r="CN907" s="11"/>
      <c r="CO907" s="11"/>
      <c r="CP907" s="11"/>
      <c r="CQ907" s="11"/>
      <c r="CR907" s="11"/>
      <c r="CS907" s="11"/>
      <c r="CT907" s="11"/>
      <c r="CU907" s="11"/>
      <c r="CV907" s="11"/>
      <c r="CW907" s="11"/>
      <c r="CX907" s="11"/>
      <c r="CY907" s="11"/>
      <c r="CZ907" s="11"/>
      <c r="DA907" s="11"/>
      <c r="DB907" s="11"/>
    </row>
    <row r="908" spans="1:10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  <c r="CA908" s="11"/>
      <c r="CB908" s="11"/>
      <c r="CC908" s="11"/>
      <c r="CD908" s="11"/>
      <c r="CE908" s="11"/>
      <c r="CF908" s="11"/>
      <c r="CG908" s="11"/>
      <c r="CH908" s="11"/>
      <c r="CI908" s="11"/>
      <c r="CJ908" s="11"/>
      <c r="CK908" s="11"/>
      <c r="CL908" s="11"/>
      <c r="CM908" s="11"/>
      <c r="CN908" s="11"/>
      <c r="CO908" s="11"/>
      <c r="CP908" s="11"/>
      <c r="CQ908" s="11"/>
      <c r="CR908" s="11"/>
      <c r="CS908" s="11"/>
      <c r="CT908" s="11"/>
      <c r="CU908" s="11"/>
      <c r="CV908" s="11"/>
      <c r="CW908" s="11"/>
      <c r="CX908" s="11"/>
      <c r="CY908" s="11"/>
      <c r="CZ908" s="11"/>
      <c r="DA908" s="11"/>
      <c r="DB908" s="11"/>
    </row>
    <row r="909" spans="1:10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  <c r="CA909" s="11"/>
      <c r="CB909" s="11"/>
      <c r="CC909" s="11"/>
      <c r="CD909" s="11"/>
      <c r="CE909" s="11"/>
      <c r="CF909" s="11"/>
      <c r="CG909" s="11"/>
      <c r="CH909" s="11"/>
      <c r="CI909" s="11"/>
      <c r="CJ909" s="11"/>
      <c r="CK909" s="11"/>
      <c r="CL909" s="11"/>
      <c r="CM909" s="11"/>
      <c r="CN909" s="11"/>
      <c r="CO909" s="11"/>
      <c r="CP909" s="11"/>
      <c r="CQ909" s="11"/>
      <c r="CR909" s="11"/>
      <c r="CS909" s="11"/>
      <c r="CT909" s="11"/>
      <c r="CU909" s="11"/>
      <c r="CV909" s="11"/>
      <c r="CW909" s="11"/>
      <c r="CX909" s="11"/>
      <c r="CY909" s="11"/>
      <c r="CZ909" s="11"/>
      <c r="DA909" s="11"/>
      <c r="DB909" s="11"/>
    </row>
    <row r="910" spans="1:10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</row>
    <row r="911" spans="1:10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  <c r="CA911" s="11"/>
      <c r="CB911" s="11"/>
      <c r="CC911" s="11"/>
      <c r="CD911" s="11"/>
      <c r="CE911" s="11"/>
      <c r="CF911" s="11"/>
      <c r="CG911" s="11"/>
      <c r="CH911" s="11"/>
      <c r="CI911" s="11"/>
      <c r="CJ911" s="11"/>
      <c r="CK911" s="11"/>
      <c r="CL911" s="11"/>
      <c r="CM911" s="11"/>
      <c r="CN911" s="11"/>
      <c r="CO911" s="11"/>
      <c r="CP911" s="11"/>
      <c r="CQ911" s="11"/>
      <c r="CR911" s="11"/>
      <c r="CS911" s="11"/>
      <c r="CT911" s="11"/>
      <c r="CU911" s="11"/>
      <c r="CV911" s="11"/>
      <c r="CW911" s="11"/>
      <c r="CX911" s="11"/>
      <c r="CY911" s="11"/>
      <c r="CZ911" s="11"/>
      <c r="DA911" s="11"/>
      <c r="DB911" s="11"/>
    </row>
    <row r="912" spans="1:10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  <c r="CA912" s="11"/>
      <c r="CB912" s="11"/>
      <c r="CC912" s="11"/>
      <c r="CD912" s="11"/>
      <c r="CE912" s="11"/>
      <c r="CF912" s="11"/>
      <c r="CG912" s="11"/>
      <c r="CH912" s="11"/>
      <c r="CI912" s="11"/>
      <c r="CJ912" s="11"/>
      <c r="CK912" s="11"/>
      <c r="CL912" s="11"/>
      <c r="CM912" s="11"/>
      <c r="CN912" s="11"/>
      <c r="CO912" s="11"/>
      <c r="CP912" s="11"/>
      <c r="CQ912" s="11"/>
      <c r="CR912" s="11"/>
      <c r="CS912" s="11"/>
      <c r="CT912" s="11"/>
      <c r="CU912" s="11"/>
      <c r="CV912" s="11"/>
      <c r="CW912" s="11"/>
      <c r="CX912" s="11"/>
      <c r="CY912" s="11"/>
      <c r="CZ912" s="11"/>
      <c r="DA912" s="11"/>
      <c r="DB912" s="11"/>
    </row>
    <row r="913" spans="1:10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  <c r="CA913" s="11"/>
      <c r="CB913" s="11"/>
      <c r="CC913" s="11"/>
      <c r="CD913" s="11"/>
      <c r="CE913" s="11"/>
      <c r="CF913" s="11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  <c r="CW913" s="11"/>
      <c r="CX913" s="11"/>
      <c r="CY913" s="11"/>
      <c r="CZ913" s="11"/>
      <c r="DA913" s="11"/>
      <c r="DB913" s="11"/>
    </row>
    <row r="914" spans="1:10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11"/>
      <c r="CD914" s="11"/>
      <c r="CE914" s="11"/>
      <c r="CF914" s="11"/>
      <c r="CG914" s="11"/>
      <c r="CH914" s="11"/>
      <c r="CI914" s="11"/>
      <c r="CJ914" s="11"/>
      <c r="CK914" s="11"/>
      <c r="CL914" s="11"/>
      <c r="CM914" s="11"/>
      <c r="CN914" s="11"/>
      <c r="CO914" s="11"/>
      <c r="CP914" s="11"/>
      <c r="CQ914" s="11"/>
      <c r="CR914" s="11"/>
      <c r="CS914" s="11"/>
      <c r="CT914" s="11"/>
      <c r="CU914" s="11"/>
      <c r="CV914" s="11"/>
      <c r="CW914" s="11"/>
      <c r="CX914" s="11"/>
      <c r="CY914" s="11"/>
      <c r="CZ914" s="11"/>
      <c r="DA914" s="11"/>
      <c r="DB914" s="11"/>
    </row>
    <row r="915" spans="1:10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  <c r="CA915" s="11"/>
      <c r="CB915" s="11"/>
      <c r="CC915" s="11"/>
      <c r="CD915" s="11"/>
      <c r="CE915" s="11"/>
      <c r="CF915" s="11"/>
      <c r="CG915" s="11"/>
      <c r="CH915" s="11"/>
      <c r="CI915" s="11"/>
      <c r="CJ915" s="11"/>
      <c r="CK915" s="11"/>
      <c r="CL915" s="11"/>
      <c r="CM915" s="11"/>
      <c r="CN915" s="11"/>
      <c r="CO915" s="11"/>
      <c r="CP915" s="11"/>
      <c r="CQ915" s="11"/>
      <c r="CR915" s="11"/>
      <c r="CS915" s="11"/>
      <c r="CT915" s="11"/>
      <c r="CU915" s="11"/>
      <c r="CV915" s="11"/>
      <c r="CW915" s="11"/>
      <c r="CX915" s="11"/>
      <c r="CY915" s="11"/>
      <c r="CZ915" s="11"/>
      <c r="DA915" s="11"/>
      <c r="DB915" s="11"/>
    </row>
    <row r="916" spans="1:10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  <c r="CA916" s="11"/>
      <c r="CB916" s="11"/>
      <c r="CC916" s="11"/>
      <c r="CD916" s="11"/>
      <c r="CE916" s="11"/>
      <c r="CF916" s="11"/>
      <c r="CG916" s="11"/>
      <c r="CH916" s="11"/>
      <c r="CI916" s="11"/>
      <c r="CJ916" s="11"/>
      <c r="CK916" s="11"/>
      <c r="CL916" s="11"/>
      <c r="CM916" s="11"/>
      <c r="CN916" s="11"/>
      <c r="CO916" s="11"/>
      <c r="CP916" s="11"/>
      <c r="CQ916" s="11"/>
      <c r="CR916" s="11"/>
      <c r="CS916" s="11"/>
      <c r="CT916" s="11"/>
      <c r="CU916" s="11"/>
      <c r="CV916" s="11"/>
      <c r="CW916" s="11"/>
      <c r="CX916" s="11"/>
      <c r="CY916" s="11"/>
      <c r="CZ916" s="11"/>
      <c r="DA916" s="11"/>
      <c r="DB916" s="11"/>
    </row>
    <row r="917" spans="1:10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  <c r="CA917" s="11"/>
      <c r="CB917" s="11"/>
      <c r="CC917" s="11"/>
      <c r="CD917" s="11"/>
      <c r="CE917" s="11"/>
      <c r="CF917" s="11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  <c r="CW917" s="11"/>
      <c r="CX917" s="11"/>
      <c r="CY917" s="11"/>
      <c r="CZ917" s="11"/>
      <c r="DA917" s="11"/>
      <c r="DB917" s="11"/>
    </row>
    <row r="918" spans="1:10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  <c r="CA918" s="11"/>
      <c r="CB918" s="11"/>
      <c r="CC918" s="11"/>
      <c r="CD918" s="11"/>
      <c r="CE918" s="11"/>
      <c r="CF918" s="11"/>
      <c r="CG918" s="11"/>
      <c r="CH918" s="11"/>
      <c r="CI918" s="11"/>
      <c r="CJ918" s="11"/>
      <c r="CK918" s="11"/>
      <c r="CL918" s="11"/>
      <c r="CM918" s="11"/>
      <c r="CN918" s="11"/>
      <c r="CO918" s="11"/>
      <c r="CP918" s="11"/>
      <c r="CQ918" s="11"/>
      <c r="CR918" s="11"/>
      <c r="CS918" s="11"/>
      <c r="CT918" s="11"/>
      <c r="CU918" s="11"/>
      <c r="CV918" s="11"/>
      <c r="CW918" s="11"/>
      <c r="CX918" s="11"/>
      <c r="CY918" s="11"/>
      <c r="CZ918" s="11"/>
      <c r="DA918" s="11"/>
      <c r="DB918" s="11"/>
    </row>
    <row r="919" spans="1:10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  <c r="CA919" s="11"/>
      <c r="CB919" s="11"/>
      <c r="CC919" s="11"/>
      <c r="CD919" s="11"/>
      <c r="CE919" s="11"/>
      <c r="CF919" s="11"/>
      <c r="CG919" s="11"/>
      <c r="CH919" s="11"/>
      <c r="CI919" s="11"/>
      <c r="CJ919" s="11"/>
      <c r="CK919" s="11"/>
      <c r="CL919" s="11"/>
      <c r="CM919" s="11"/>
      <c r="CN919" s="11"/>
      <c r="CO919" s="11"/>
      <c r="CP919" s="11"/>
      <c r="CQ919" s="11"/>
      <c r="CR919" s="11"/>
      <c r="CS919" s="11"/>
      <c r="CT919" s="11"/>
      <c r="CU919" s="11"/>
      <c r="CV919" s="11"/>
      <c r="CW919" s="11"/>
      <c r="CX919" s="11"/>
      <c r="CY919" s="11"/>
      <c r="CZ919" s="11"/>
      <c r="DA919" s="11"/>
      <c r="DB919" s="11"/>
    </row>
    <row r="920" spans="1:10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  <c r="CA920" s="11"/>
      <c r="CB920" s="11"/>
      <c r="CC920" s="11"/>
      <c r="CD920" s="11"/>
      <c r="CE920" s="11"/>
      <c r="CF920" s="11"/>
      <c r="CG920" s="11"/>
      <c r="CH920" s="11"/>
      <c r="CI920" s="11"/>
      <c r="CJ920" s="11"/>
      <c r="CK920" s="11"/>
      <c r="CL920" s="11"/>
      <c r="CM920" s="11"/>
      <c r="CN920" s="11"/>
      <c r="CO920" s="11"/>
      <c r="CP920" s="11"/>
      <c r="CQ920" s="11"/>
      <c r="CR920" s="11"/>
      <c r="CS920" s="11"/>
      <c r="CT920" s="11"/>
      <c r="CU920" s="11"/>
      <c r="CV920" s="11"/>
      <c r="CW920" s="11"/>
      <c r="CX920" s="11"/>
      <c r="CY920" s="11"/>
      <c r="CZ920" s="11"/>
      <c r="DA920" s="11"/>
      <c r="DB920" s="11"/>
    </row>
    <row r="921" spans="1:10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  <c r="CA921" s="11"/>
      <c r="CB921" s="11"/>
      <c r="CC921" s="11"/>
      <c r="CD921" s="11"/>
      <c r="CE921" s="11"/>
      <c r="CF921" s="11"/>
      <c r="CG921" s="11"/>
      <c r="CH921" s="11"/>
      <c r="CI921" s="11"/>
      <c r="CJ921" s="11"/>
      <c r="CK921" s="11"/>
      <c r="CL921" s="11"/>
      <c r="CM921" s="11"/>
      <c r="CN921" s="11"/>
      <c r="CO921" s="11"/>
      <c r="CP921" s="11"/>
      <c r="CQ921" s="11"/>
      <c r="CR921" s="11"/>
      <c r="CS921" s="11"/>
      <c r="CT921" s="11"/>
      <c r="CU921" s="11"/>
      <c r="CV921" s="11"/>
      <c r="CW921" s="11"/>
      <c r="CX921" s="11"/>
      <c r="CY921" s="11"/>
      <c r="CZ921" s="11"/>
      <c r="DA921" s="11"/>
      <c r="DB921" s="11"/>
    </row>
    <row r="922" spans="1:10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  <c r="CA922" s="11"/>
      <c r="CB922" s="11"/>
      <c r="CC922" s="11"/>
      <c r="CD922" s="11"/>
      <c r="CE922" s="11"/>
      <c r="CF922" s="11"/>
      <c r="CG922" s="11"/>
      <c r="CH922" s="11"/>
      <c r="CI922" s="11"/>
      <c r="CJ922" s="11"/>
      <c r="CK922" s="11"/>
      <c r="CL922" s="11"/>
      <c r="CM922" s="11"/>
      <c r="CN922" s="11"/>
      <c r="CO922" s="11"/>
      <c r="CP922" s="11"/>
      <c r="CQ922" s="11"/>
      <c r="CR922" s="11"/>
      <c r="CS922" s="11"/>
      <c r="CT922" s="11"/>
      <c r="CU922" s="11"/>
      <c r="CV922" s="11"/>
      <c r="CW922" s="11"/>
      <c r="CX922" s="11"/>
      <c r="CY922" s="11"/>
      <c r="CZ922" s="11"/>
      <c r="DA922" s="11"/>
      <c r="DB922" s="11"/>
    </row>
    <row r="923" spans="1:10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  <c r="CA923" s="11"/>
      <c r="CB923" s="11"/>
      <c r="CC923" s="11"/>
      <c r="CD923" s="11"/>
      <c r="CE923" s="11"/>
      <c r="CF923" s="11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  <c r="CW923" s="11"/>
      <c r="CX923" s="11"/>
      <c r="CY923" s="11"/>
      <c r="CZ923" s="11"/>
      <c r="DA923" s="11"/>
      <c r="DB923" s="11"/>
    </row>
    <row r="924" spans="1:10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  <c r="CA924" s="11"/>
      <c r="CB924" s="11"/>
      <c r="CC924" s="11"/>
      <c r="CD924" s="11"/>
      <c r="CE924" s="11"/>
      <c r="CF924" s="11"/>
      <c r="CG924" s="11"/>
      <c r="CH924" s="11"/>
      <c r="CI924" s="11"/>
      <c r="CJ924" s="11"/>
      <c r="CK924" s="11"/>
      <c r="CL924" s="11"/>
      <c r="CM924" s="11"/>
      <c r="CN924" s="11"/>
      <c r="CO924" s="11"/>
      <c r="CP924" s="11"/>
      <c r="CQ924" s="11"/>
      <c r="CR924" s="11"/>
      <c r="CS924" s="11"/>
      <c r="CT924" s="11"/>
      <c r="CU924" s="11"/>
      <c r="CV924" s="11"/>
      <c r="CW924" s="11"/>
      <c r="CX924" s="11"/>
      <c r="CY924" s="11"/>
      <c r="CZ924" s="11"/>
      <c r="DA924" s="11"/>
      <c r="DB924" s="11"/>
    </row>
    <row r="925" spans="1:10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  <c r="CA925" s="11"/>
      <c r="CB925" s="11"/>
      <c r="CC925" s="11"/>
      <c r="CD925" s="11"/>
      <c r="CE925" s="11"/>
      <c r="CF925" s="11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  <c r="CW925" s="11"/>
      <c r="CX925" s="11"/>
      <c r="CY925" s="11"/>
      <c r="CZ925" s="11"/>
      <c r="DA925" s="11"/>
      <c r="DB925" s="11"/>
    </row>
    <row r="926" spans="1:10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  <c r="CA926" s="11"/>
      <c r="CB926" s="11"/>
      <c r="CC926" s="11"/>
      <c r="CD926" s="11"/>
      <c r="CE926" s="11"/>
      <c r="CF926" s="11"/>
      <c r="CG926" s="11"/>
      <c r="CH926" s="11"/>
      <c r="CI926" s="11"/>
      <c r="CJ926" s="11"/>
      <c r="CK926" s="11"/>
      <c r="CL926" s="11"/>
      <c r="CM926" s="11"/>
      <c r="CN926" s="11"/>
      <c r="CO926" s="11"/>
      <c r="CP926" s="11"/>
      <c r="CQ926" s="11"/>
      <c r="CR926" s="11"/>
      <c r="CS926" s="11"/>
      <c r="CT926" s="11"/>
      <c r="CU926" s="11"/>
      <c r="CV926" s="11"/>
      <c r="CW926" s="11"/>
      <c r="CX926" s="11"/>
      <c r="CY926" s="11"/>
      <c r="CZ926" s="11"/>
      <c r="DA926" s="11"/>
      <c r="DB926" s="11"/>
    </row>
    <row r="927" spans="1:10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  <c r="CA927" s="11"/>
      <c r="CB927" s="11"/>
      <c r="CC927" s="11"/>
      <c r="CD927" s="11"/>
      <c r="CE927" s="11"/>
      <c r="CF927" s="11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  <c r="CW927" s="11"/>
      <c r="CX927" s="11"/>
      <c r="CY927" s="11"/>
      <c r="CZ927" s="11"/>
      <c r="DA927" s="11"/>
      <c r="DB927" s="11"/>
    </row>
    <row r="928" spans="1:10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  <c r="CA928" s="11"/>
      <c r="CB928" s="11"/>
      <c r="CC928" s="11"/>
      <c r="CD928" s="11"/>
      <c r="CE928" s="11"/>
      <c r="CF928" s="11"/>
      <c r="CG928" s="11"/>
      <c r="CH928" s="11"/>
      <c r="CI928" s="11"/>
      <c r="CJ928" s="11"/>
      <c r="CK928" s="11"/>
      <c r="CL928" s="11"/>
      <c r="CM928" s="11"/>
      <c r="CN928" s="11"/>
      <c r="CO928" s="11"/>
      <c r="CP928" s="11"/>
      <c r="CQ928" s="11"/>
      <c r="CR928" s="11"/>
      <c r="CS928" s="11"/>
      <c r="CT928" s="11"/>
      <c r="CU928" s="11"/>
      <c r="CV928" s="11"/>
      <c r="CW928" s="11"/>
      <c r="CX928" s="11"/>
      <c r="CY928" s="11"/>
      <c r="CZ928" s="11"/>
      <c r="DA928" s="11"/>
      <c r="DB928" s="11"/>
    </row>
    <row r="929" spans="1:10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11"/>
      <c r="CD929" s="11"/>
      <c r="CE929" s="11"/>
      <c r="CF929" s="11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  <c r="CW929" s="11"/>
      <c r="CX929" s="11"/>
      <c r="CY929" s="11"/>
      <c r="CZ929" s="11"/>
      <c r="DA929" s="11"/>
      <c r="DB929" s="11"/>
    </row>
    <row r="930" spans="1:10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  <c r="CA930" s="11"/>
      <c r="CB930" s="11"/>
      <c r="CC930" s="11"/>
      <c r="CD930" s="11"/>
      <c r="CE930" s="11"/>
      <c r="CF930" s="11"/>
      <c r="CG930" s="11"/>
      <c r="CH930" s="11"/>
      <c r="CI930" s="11"/>
      <c r="CJ930" s="11"/>
      <c r="CK930" s="11"/>
      <c r="CL930" s="11"/>
      <c r="CM930" s="11"/>
      <c r="CN930" s="11"/>
      <c r="CO930" s="11"/>
      <c r="CP930" s="11"/>
      <c r="CQ930" s="11"/>
      <c r="CR930" s="11"/>
      <c r="CS930" s="11"/>
      <c r="CT930" s="11"/>
      <c r="CU930" s="11"/>
      <c r="CV930" s="11"/>
      <c r="CW930" s="11"/>
      <c r="CX930" s="11"/>
      <c r="CY930" s="11"/>
      <c r="CZ930" s="11"/>
      <c r="DA930" s="11"/>
      <c r="DB930" s="11"/>
    </row>
    <row r="931" spans="1:10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  <c r="CA931" s="11"/>
      <c r="CB931" s="11"/>
      <c r="CC931" s="11"/>
      <c r="CD931" s="11"/>
      <c r="CE931" s="11"/>
      <c r="CF931" s="11"/>
      <c r="CG931" s="11"/>
      <c r="CH931" s="11"/>
      <c r="CI931" s="11"/>
      <c r="CJ931" s="11"/>
      <c r="CK931" s="11"/>
      <c r="CL931" s="11"/>
      <c r="CM931" s="11"/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  <c r="DA931" s="11"/>
      <c r="DB931" s="11"/>
    </row>
    <row r="932" spans="1:10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CH932" s="11"/>
      <c r="CI932" s="11"/>
      <c r="CJ932" s="11"/>
      <c r="CK932" s="11"/>
      <c r="CL932" s="11"/>
      <c r="CM932" s="11"/>
      <c r="CN932" s="11"/>
      <c r="CO932" s="11"/>
      <c r="CP932" s="11"/>
      <c r="CQ932" s="11"/>
      <c r="CR932" s="11"/>
      <c r="CS932" s="11"/>
      <c r="CT932" s="11"/>
      <c r="CU932" s="11"/>
      <c r="CV932" s="11"/>
      <c r="CW932" s="11"/>
      <c r="CX932" s="11"/>
      <c r="CY932" s="11"/>
      <c r="CZ932" s="11"/>
      <c r="DA932" s="11"/>
      <c r="DB932" s="11"/>
    </row>
    <row r="933" spans="1:10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11"/>
      <c r="CD933" s="11"/>
      <c r="CE933" s="11"/>
      <c r="CF933" s="11"/>
      <c r="CG933" s="11"/>
      <c r="CH933" s="11"/>
      <c r="CI933" s="11"/>
      <c r="CJ933" s="11"/>
      <c r="CK933" s="11"/>
      <c r="CL933" s="11"/>
      <c r="CM933" s="11"/>
      <c r="CN933" s="11"/>
      <c r="CO933" s="11"/>
      <c r="CP933" s="11"/>
      <c r="CQ933" s="11"/>
      <c r="CR933" s="11"/>
      <c r="CS933" s="11"/>
      <c r="CT933" s="11"/>
      <c r="CU933" s="11"/>
      <c r="CV933" s="11"/>
      <c r="CW933" s="11"/>
      <c r="CX933" s="11"/>
      <c r="CY933" s="11"/>
      <c r="CZ933" s="11"/>
      <c r="DA933" s="11"/>
      <c r="DB933" s="11"/>
    </row>
    <row r="934" spans="1:10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11"/>
      <c r="CD934" s="11"/>
      <c r="CE934" s="11"/>
      <c r="CF934" s="11"/>
      <c r="CG934" s="11"/>
      <c r="CH934" s="11"/>
      <c r="CI934" s="11"/>
      <c r="CJ934" s="11"/>
      <c r="CK934" s="11"/>
      <c r="CL934" s="11"/>
      <c r="CM934" s="11"/>
      <c r="CN934" s="11"/>
      <c r="CO934" s="11"/>
      <c r="CP934" s="11"/>
      <c r="CQ934" s="11"/>
      <c r="CR934" s="11"/>
      <c r="CS934" s="11"/>
      <c r="CT934" s="11"/>
      <c r="CU934" s="11"/>
      <c r="CV934" s="11"/>
      <c r="CW934" s="11"/>
      <c r="CX934" s="11"/>
      <c r="CY934" s="11"/>
      <c r="CZ934" s="11"/>
      <c r="DA934" s="11"/>
      <c r="DB934" s="11"/>
    </row>
    <row r="935" spans="1:10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  <c r="CA935" s="11"/>
      <c r="CB935" s="11"/>
      <c r="CC935" s="11"/>
      <c r="CD935" s="11"/>
      <c r="CE935" s="11"/>
      <c r="CF935" s="11"/>
      <c r="CG935" s="11"/>
      <c r="CH935" s="11"/>
      <c r="CI935" s="11"/>
      <c r="CJ935" s="11"/>
      <c r="CK935" s="11"/>
      <c r="CL935" s="11"/>
      <c r="CM935" s="11"/>
      <c r="CN935" s="11"/>
      <c r="CO935" s="11"/>
      <c r="CP935" s="11"/>
      <c r="CQ935" s="11"/>
      <c r="CR935" s="11"/>
      <c r="CS935" s="11"/>
      <c r="CT935" s="11"/>
      <c r="CU935" s="11"/>
      <c r="CV935" s="11"/>
      <c r="CW935" s="11"/>
      <c r="CX935" s="11"/>
      <c r="CY935" s="11"/>
      <c r="CZ935" s="11"/>
      <c r="DA935" s="11"/>
      <c r="DB935" s="11"/>
    </row>
    <row r="936" spans="1:10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  <c r="CA936" s="11"/>
      <c r="CB936" s="11"/>
      <c r="CC936" s="11"/>
      <c r="CD936" s="11"/>
      <c r="CE936" s="11"/>
      <c r="CF936" s="11"/>
      <c r="CG936" s="11"/>
      <c r="CH936" s="11"/>
      <c r="CI936" s="11"/>
      <c r="CJ936" s="11"/>
      <c r="CK936" s="11"/>
      <c r="CL936" s="11"/>
      <c r="CM936" s="11"/>
      <c r="CN936" s="11"/>
      <c r="CO936" s="11"/>
      <c r="CP936" s="11"/>
      <c r="CQ936" s="11"/>
      <c r="CR936" s="11"/>
      <c r="CS936" s="11"/>
      <c r="CT936" s="11"/>
      <c r="CU936" s="11"/>
      <c r="CV936" s="11"/>
      <c r="CW936" s="11"/>
      <c r="CX936" s="11"/>
      <c r="CY936" s="11"/>
      <c r="CZ936" s="11"/>
      <c r="DA936" s="11"/>
      <c r="DB936" s="11"/>
    </row>
    <row r="937" spans="1:10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</row>
    <row r="938" spans="1:10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  <c r="CA938" s="11"/>
      <c r="CB938" s="11"/>
      <c r="CC938" s="11"/>
      <c r="CD938" s="11"/>
      <c r="CE938" s="11"/>
      <c r="CF938" s="11"/>
      <c r="CG938" s="11"/>
      <c r="CH938" s="11"/>
      <c r="CI938" s="11"/>
      <c r="CJ938" s="11"/>
      <c r="CK938" s="11"/>
      <c r="CL938" s="11"/>
      <c r="CM938" s="11"/>
      <c r="CN938" s="11"/>
      <c r="CO938" s="11"/>
      <c r="CP938" s="11"/>
      <c r="CQ938" s="11"/>
      <c r="CR938" s="11"/>
      <c r="CS938" s="11"/>
      <c r="CT938" s="11"/>
      <c r="CU938" s="11"/>
      <c r="CV938" s="11"/>
      <c r="CW938" s="11"/>
      <c r="CX938" s="11"/>
      <c r="CY938" s="11"/>
      <c r="CZ938" s="11"/>
      <c r="DA938" s="11"/>
      <c r="DB938" s="11"/>
    </row>
    <row r="939" spans="1:10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  <c r="CA939" s="11"/>
      <c r="CB939" s="11"/>
      <c r="CC939" s="11"/>
      <c r="CD939" s="11"/>
      <c r="CE939" s="11"/>
      <c r="CF939" s="11"/>
      <c r="CG939" s="11"/>
      <c r="CH939" s="11"/>
      <c r="CI939" s="11"/>
      <c r="CJ939" s="11"/>
      <c r="CK939" s="11"/>
      <c r="CL939" s="11"/>
      <c r="CM939" s="11"/>
      <c r="CN939" s="11"/>
      <c r="CO939" s="11"/>
      <c r="CP939" s="11"/>
      <c r="CQ939" s="11"/>
      <c r="CR939" s="11"/>
      <c r="CS939" s="11"/>
      <c r="CT939" s="11"/>
      <c r="CU939" s="11"/>
      <c r="CV939" s="11"/>
      <c r="CW939" s="11"/>
      <c r="CX939" s="11"/>
      <c r="CY939" s="11"/>
      <c r="CZ939" s="11"/>
      <c r="DA939" s="11"/>
      <c r="DB939" s="11"/>
    </row>
    <row r="940" spans="1:10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11"/>
      <c r="CD940" s="11"/>
      <c r="CE940" s="11"/>
      <c r="CF940" s="11"/>
      <c r="CG940" s="11"/>
      <c r="CH940" s="11"/>
      <c r="CI940" s="11"/>
      <c r="CJ940" s="11"/>
      <c r="CK940" s="11"/>
      <c r="CL940" s="11"/>
      <c r="CM940" s="11"/>
      <c r="CN940" s="11"/>
      <c r="CO940" s="11"/>
      <c r="CP940" s="11"/>
      <c r="CQ940" s="11"/>
      <c r="CR940" s="11"/>
      <c r="CS940" s="11"/>
      <c r="CT940" s="11"/>
      <c r="CU940" s="11"/>
      <c r="CV940" s="11"/>
      <c r="CW940" s="11"/>
      <c r="CX940" s="11"/>
      <c r="CY940" s="11"/>
      <c r="CZ940" s="11"/>
      <c r="DA940" s="11"/>
      <c r="DB940" s="11"/>
    </row>
    <row r="941" spans="1:10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  <c r="CA941" s="11"/>
      <c r="CB941" s="11"/>
      <c r="CC941" s="11"/>
      <c r="CD941" s="11"/>
      <c r="CE941" s="11"/>
      <c r="CF941" s="11"/>
      <c r="CG941" s="11"/>
      <c r="CH941" s="11"/>
      <c r="CI941" s="11"/>
      <c r="CJ941" s="11"/>
      <c r="CK941" s="11"/>
      <c r="CL941" s="11"/>
      <c r="CM941" s="11"/>
      <c r="CN941" s="11"/>
      <c r="CO941" s="11"/>
      <c r="CP941" s="11"/>
      <c r="CQ941" s="11"/>
      <c r="CR941" s="11"/>
      <c r="CS941" s="11"/>
      <c r="CT941" s="11"/>
      <c r="CU941" s="11"/>
      <c r="CV941" s="11"/>
      <c r="CW941" s="11"/>
      <c r="CX941" s="11"/>
      <c r="CY941" s="11"/>
      <c r="CZ941" s="11"/>
      <c r="DA941" s="11"/>
      <c r="DB941" s="11"/>
    </row>
    <row r="942" spans="1:10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  <c r="CA942" s="11"/>
      <c r="CB942" s="11"/>
      <c r="CC942" s="11"/>
      <c r="CD942" s="11"/>
      <c r="CE942" s="11"/>
      <c r="CF942" s="11"/>
      <c r="CG942" s="11"/>
      <c r="CH942" s="11"/>
      <c r="CI942" s="11"/>
      <c r="CJ942" s="11"/>
      <c r="CK942" s="11"/>
      <c r="CL942" s="11"/>
      <c r="CM942" s="11"/>
      <c r="CN942" s="11"/>
      <c r="CO942" s="11"/>
      <c r="CP942" s="11"/>
      <c r="CQ942" s="11"/>
      <c r="CR942" s="11"/>
      <c r="CS942" s="11"/>
      <c r="CT942" s="11"/>
      <c r="CU942" s="11"/>
      <c r="CV942" s="11"/>
      <c r="CW942" s="11"/>
      <c r="CX942" s="11"/>
      <c r="CY942" s="11"/>
      <c r="CZ942" s="11"/>
      <c r="DA942" s="11"/>
      <c r="DB942" s="11"/>
    </row>
    <row r="943" spans="1:10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  <c r="CA943" s="11"/>
      <c r="CB943" s="11"/>
      <c r="CC943" s="11"/>
      <c r="CD943" s="11"/>
      <c r="CE943" s="11"/>
      <c r="CF943" s="11"/>
      <c r="CG943" s="11"/>
      <c r="CH943" s="11"/>
      <c r="CI943" s="11"/>
      <c r="CJ943" s="11"/>
      <c r="CK943" s="11"/>
      <c r="CL943" s="11"/>
      <c r="CM943" s="11"/>
      <c r="CN943" s="11"/>
      <c r="CO943" s="11"/>
      <c r="CP943" s="11"/>
      <c r="CQ943" s="11"/>
      <c r="CR943" s="11"/>
      <c r="CS943" s="11"/>
      <c r="CT943" s="11"/>
      <c r="CU943" s="11"/>
      <c r="CV943" s="11"/>
      <c r="CW943" s="11"/>
      <c r="CX943" s="11"/>
      <c r="CY943" s="11"/>
      <c r="CZ943" s="11"/>
      <c r="DA943" s="11"/>
      <c r="DB943" s="11"/>
    </row>
    <row r="944" spans="1:10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</row>
    <row r="945" spans="1:10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</row>
    <row r="946" spans="1:10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  <c r="CA946" s="11"/>
      <c r="CB946" s="11"/>
      <c r="CC946" s="11"/>
      <c r="CD946" s="11"/>
      <c r="CE946" s="11"/>
      <c r="CF946" s="11"/>
      <c r="CG946" s="11"/>
      <c r="CH946" s="11"/>
      <c r="CI946" s="11"/>
      <c r="CJ946" s="11"/>
      <c r="CK946" s="11"/>
      <c r="CL946" s="11"/>
      <c r="CM946" s="11"/>
      <c r="CN946" s="11"/>
      <c r="CO946" s="11"/>
      <c r="CP946" s="11"/>
      <c r="CQ946" s="11"/>
      <c r="CR946" s="11"/>
      <c r="CS946" s="11"/>
      <c r="CT946" s="11"/>
      <c r="CU946" s="11"/>
      <c r="CV946" s="11"/>
      <c r="CW946" s="11"/>
      <c r="CX946" s="11"/>
      <c r="CY946" s="11"/>
      <c r="CZ946" s="11"/>
      <c r="DA946" s="11"/>
      <c r="DB946" s="11"/>
    </row>
    <row r="947" spans="1:10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11"/>
      <c r="CD947" s="11"/>
      <c r="CE947" s="11"/>
      <c r="CF947" s="11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  <c r="CW947" s="11"/>
      <c r="CX947" s="11"/>
      <c r="CY947" s="11"/>
      <c r="CZ947" s="11"/>
      <c r="DA947" s="11"/>
      <c r="DB947" s="11"/>
    </row>
    <row r="948" spans="1:10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  <c r="CA948" s="11"/>
      <c r="CB948" s="11"/>
      <c r="CC948" s="11"/>
      <c r="CD948" s="11"/>
      <c r="CE948" s="11"/>
      <c r="CF948" s="11"/>
      <c r="CG948" s="11"/>
      <c r="CH948" s="11"/>
      <c r="CI948" s="11"/>
      <c r="CJ948" s="11"/>
      <c r="CK948" s="11"/>
      <c r="CL948" s="11"/>
      <c r="CM948" s="11"/>
      <c r="CN948" s="11"/>
      <c r="CO948" s="11"/>
      <c r="CP948" s="11"/>
      <c r="CQ948" s="11"/>
      <c r="CR948" s="11"/>
      <c r="CS948" s="11"/>
      <c r="CT948" s="11"/>
      <c r="CU948" s="11"/>
      <c r="CV948" s="11"/>
      <c r="CW948" s="11"/>
      <c r="CX948" s="11"/>
      <c r="CY948" s="11"/>
      <c r="CZ948" s="11"/>
      <c r="DA948" s="11"/>
      <c r="DB948" s="11"/>
    </row>
    <row r="949" spans="1:10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  <c r="CA949" s="11"/>
      <c r="CB949" s="11"/>
      <c r="CC949" s="11"/>
      <c r="CD949" s="11"/>
      <c r="CE949" s="11"/>
      <c r="CF949" s="11"/>
      <c r="CG949" s="11"/>
      <c r="CH949" s="11"/>
      <c r="CI949" s="11"/>
      <c r="CJ949" s="11"/>
      <c r="CK949" s="11"/>
      <c r="CL949" s="11"/>
      <c r="CM949" s="11"/>
      <c r="CN949" s="11"/>
      <c r="CO949" s="11"/>
      <c r="CP949" s="11"/>
      <c r="CQ949" s="11"/>
      <c r="CR949" s="11"/>
      <c r="CS949" s="11"/>
      <c r="CT949" s="11"/>
      <c r="CU949" s="11"/>
      <c r="CV949" s="11"/>
      <c r="CW949" s="11"/>
      <c r="CX949" s="11"/>
      <c r="CY949" s="11"/>
      <c r="CZ949" s="11"/>
      <c r="DA949" s="11"/>
      <c r="DB949" s="11"/>
    </row>
    <row r="950" spans="1:10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</row>
    <row r="951" spans="1:10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  <c r="CA951" s="11"/>
      <c r="CB951" s="11"/>
      <c r="CC951" s="11"/>
      <c r="CD951" s="11"/>
      <c r="CE951" s="11"/>
      <c r="CF951" s="11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  <c r="CW951" s="11"/>
      <c r="CX951" s="11"/>
      <c r="CY951" s="11"/>
      <c r="CZ951" s="11"/>
      <c r="DA951" s="11"/>
      <c r="DB951" s="11"/>
    </row>
    <row r="952" spans="1:10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  <c r="CA952" s="11"/>
      <c r="CB952" s="11"/>
      <c r="CC952" s="11"/>
      <c r="CD952" s="11"/>
      <c r="CE952" s="11"/>
      <c r="CF952" s="11"/>
      <c r="CG952" s="11"/>
      <c r="CH952" s="11"/>
      <c r="CI952" s="11"/>
      <c r="CJ952" s="11"/>
      <c r="CK952" s="11"/>
      <c r="CL952" s="11"/>
      <c r="CM952" s="11"/>
      <c r="CN952" s="11"/>
      <c r="CO952" s="11"/>
      <c r="CP952" s="11"/>
      <c r="CQ952" s="11"/>
      <c r="CR952" s="11"/>
      <c r="CS952" s="11"/>
      <c r="CT952" s="11"/>
      <c r="CU952" s="11"/>
      <c r="CV952" s="11"/>
      <c r="CW952" s="11"/>
      <c r="CX952" s="11"/>
      <c r="CY952" s="11"/>
      <c r="CZ952" s="11"/>
      <c r="DA952" s="11"/>
      <c r="DB952" s="11"/>
    </row>
    <row r="953" spans="1:10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  <c r="DA953" s="11"/>
      <c r="DB953" s="11"/>
    </row>
    <row r="954" spans="1:10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1"/>
      <c r="CP954" s="11"/>
      <c r="CQ954" s="11"/>
      <c r="CR954" s="11"/>
      <c r="CS954" s="11"/>
      <c r="CT954" s="11"/>
      <c r="CU954" s="11"/>
      <c r="CV954" s="11"/>
      <c r="CW954" s="11"/>
      <c r="CX954" s="11"/>
      <c r="CY954" s="11"/>
      <c r="CZ954" s="11"/>
      <c r="DA954" s="11"/>
      <c r="DB954" s="11"/>
    </row>
    <row r="955" spans="1:10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11"/>
      <c r="CD955" s="11"/>
      <c r="CE955" s="11"/>
      <c r="CF955" s="11"/>
      <c r="CG955" s="11"/>
      <c r="CH955" s="11"/>
      <c r="CI955" s="11"/>
      <c r="CJ955" s="11"/>
      <c r="CK955" s="11"/>
      <c r="CL955" s="11"/>
      <c r="CM955" s="11"/>
      <c r="CN955" s="11"/>
      <c r="CO955" s="11"/>
      <c r="CP955" s="11"/>
      <c r="CQ955" s="11"/>
      <c r="CR955" s="11"/>
      <c r="CS955" s="11"/>
      <c r="CT955" s="11"/>
      <c r="CU955" s="11"/>
      <c r="CV955" s="11"/>
      <c r="CW955" s="11"/>
      <c r="CX955" s="11"/>
      <c r="CY955" s="11"/>
      <c r="CZ955" s="11"/>
      <c r="DA955" s="11"/>
      <c r="DB955" s="11"/>
    </row>
    <row r="956" spans="1:10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CH956" s="11"/>
      <c r="CI956" s="11"/>
      <c r="CJ956" s="11"/>
      <c r="CK956" s="11"/>
      <c r="CL956" s="11"/>
      <c r="CM956" s="11"/>
      <c r="CN956" s="11"/>
      <c r="CO956" s="11"/>
      <c r="CP956" s="11"/>
      <c r="CQ956" s="11"/>
      <c r="CR956" s="11"/>
      <c r="CS956" s="11"/>
      <c r="CT956" s="11"/>
      <c r="CU956" s="11"/>
      <c r="CV956" s="11"/>
      <c r="CW956" s="11"/>
      <c r="CX956" s="11"/>
      <c r="CY956" s="11"/>
      <c r="CZ956" s="11"/>
      <c r="DA956" s="11"/>
      <c r="DB956" s="11"/>
    </row>
    <row r="957" spans="1:10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  <c r="CA957" s="11"/>
      <c r="CB957" s="11"/>
      <c r="CC957" s="11"/>
      <c r="CD957" s="11"/>
      <c r="CE957" s="11"/>
      <c r="CF957" s="11"/>
      <c r="CG957" s="11"/>
      <c r="CH957" s="11"/>
      <c r="CI957" s="11"/>
      <c r="CJ957" s="11"/>
      <c r="CK957" s="11"/>
      <c r="CL957" s="11"/>
      <c r="CM957" s="11"/>
      <c r="CN957" s="11"/>
      <c r="CO957" s="11"/>
      <c r="CP957" s="11"/>
      <c r="CQ957" s="11"/>
      <c r="CR957" s="11"/>
      <c r="CS957" s="11"/>
      <c r="CT957" s="11"/>
      <c r="CU957" s="11"/>
      <c r="CV957" s="11"/>
      <c r="CW957" s="11"/>
      <c r="CX957" s="11"/>
      <c r="CY957" s="11"/>
      <c r="CZ957" s="11"/>
      <c r="DA957" s="11"/>
      <c r="DB957" s="11"/>
    </row>
    <row r="958" spans="1:10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CH958" s="11"/>
      <c r="CI958" s="11"/>
      <c r="CJ958" s="11"/>
      <c r="CK958" s="11"/>
      <c r="CL958" s="11"/>
      <c r="CM958" s="11"/>
      <c r="CN958" s="11"/>
      <c r="CO958" s="11"/>
      <c r="CP958" s="11"/>
      <c r="CQ958" s="11"/>
      <c r="CR958" s="11"/>
      <c r="CS958" s="11"/>
      <c r="CT958" s="11"/>
      <c r="CU958" s="11"/>
      <c r="CV958" s="11"/>
      <c r="CW958" s="11"/>
      <c r="CX958" s="11"/>
      <c r="CY958" s="11"/>
      <c r="CZ958" s="11"/>
      <c r="DA958" s="11"/>
      <c r="DB958" s="11"/>
    </row>
    <row r="959" spans="1:10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  <c r="CA959" s="11"/>
      <c r="CB959" s="11"/>
      <c r="CC959" s="11"/>
      <c r="CD959" s="11"/>
      <c r="CE959" s="11"/>
      <c r="CF959" s="11"/>
      <c r="CG959" s="11"/>
      <c r="CH959" s="11"/>
      <c r="CI959" s="11"/>
      <c r="CJ959" s="11"/>
      <c r="CK959" s="11"/>
      <c r="CL959" s="11"/>
      <c r="CM959" s="11"/>
      <c r="CN959" s="11"/>
      <c r="CO959" s="11"/>
      <c r="CP959" s="11"/>
      <c r="CQ959" s="11"/>
      <c r="CR959" s="11"/>
      <c r="CS959" s="11"/>
      <c r="CT959" s="11"/>
      <c r="CU959" s="11"/>
      <c r="CV959" s="11"/>
      <c r="CW959" s="11"/>
      <c r="CX959" s="11"/>
      <c r="CY959" s="11"/>
      <c r="CZ959" s="11"/>
      <c r="DA959" s="11"/>
      <c r="DB959" s="11"/>
    </row>
    <row r="960" spans="1:10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11"/>
      <c r="CD960" s="11"/>
      <c r="CE960" s="11"/>
      <c r="CF960" s="11"/>
      <c r="CG960" s="11"/>
      <c r="CH960" s="11"/>
      <c r="CI960" s="11"/>
      <c r="CJ960" s="11"/>
      <c r="CK960" s="11"/>
      <c r="CL960" s="11"/>
      <c r="CM960" s="11"/>
      <c r="CN960" s="11"/>
      <c r="CO960" s="11"/>
      <c r="CP960" s="11"/>
      <c r="CQ960" s="11"/>
      <c r="CR960" s="11"/>
      <c r="CS960" s="11"/>
      <c r="CT960" s="11"/>
      <c r="CU960" s="11"/>
      <c r="CV960" s="11"/>
      <c r="CW960" s="11"/>
      <c r="CX960" s="11"/>
      <c r="CY960" s="11"/>
      <c r="CZ960" s="11"/>
      <c r="DA960" s="11"/>
      <c r="DB960" s="11"/>
    </row>
    <row r="961" spans="1:10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1"/>
      <c r="CH961" s="11"/>
      <c r="CI961" s="11"/>
      <c r="CJ961" s="11"/>
      <c r="CK961" s="11"/>
      <c r="CL961" s="11"/>
      <c r="CM961" s="11"/>
      <c r="CN961" s="11"/>
      <c r="CO961" s="11"/>
      <c r="CP961" s="11"/>
      <c r="CQ961" s="11"/>
      <c r="CR961" s="11"/>
      <c r="CS961" s="11"/>
      <c r="CT961" s="11"/>
      <c r="CU961" s="11"/>
      <c r="CV961" s="11"/>
      <c r="CW961" s="11"/>
      <c r="CX961" s="11"/>
      <c r="CY961" s="11"/>
      <c r="CZ961" s="11"/>
      <c r="DA961" s="11"/>
      <c r="DB961" s="11"/>
    </row>
    <row r="962" spans="1:10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1"/>
      <c r="CH962" s="11"/>
      <c r="CI962" s="11"/>
      <c r="CJ962" s="11"/>
      <c r="CK962" s="11"/>
      <c r="CL962" s="11"/>
      <c r="CM962" s="11"/>
      <c r="CN962" s="11"/>
      <c r="CO962" s="11"/>
      <c r="CP962" s="11"/>
      <c r="CQ962" s="11"/>
      <c r="CR962" s="11"/>
      <c r="CS962" s="11"/>
      <c r="CT962" s="11"/>
      <c r="CU962" s="11"/>
      <c r="CV962" s="11"/>
      <c r="CW962" s="11"/>
      <c r="CX962" s="11"/>
      <c r="CY962" s="11"/>
      <c r="CZ962" s="11"/>
      <c r="DA962" s="11"/>
      <c r="DB962" s="11"/>
    </row>
    <row r="963" spans="1:10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11"/>
      <c r="CD963" s="11"/>
      <c r="CE963" s="11"/>
      <c r="CF963" s="11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  <c r="CW963" s="11"/>
      <c r="CX963" s="11"/>
      <c r="CY963" s="11"/>
      <c r="CZ963" s="11"/>
      <c r="DA963" s="11"/>
      <c r="DB963" s="11"/>
    </row>
    <row r="964" spans="1:10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  <c r="CA964" s="11"/>
      <c r="CB964" s="11"/>
      <c r="CC964" s="11"/>
      <c r="CD964" s="11"/>
      <c r="CE964" s="11"/>
      <c r="CF964" s="11"/>
      <c r="CG964" s="11"/>
      <c r="CH964" s="11"/>
      <c r="CI964" s="11"/>
      <c r="CJ964" s="11"/>
      <c r="CK964" s="11"/>
      <c r="CL964" s="11"/>
      <c r="CM964" s="11"/>
      <c r="CN964" s="11"/>
      <c r="CO964" s="11"/>
      <c r="CP964" s="11"/>
      <c r="CQ964" s="11"/>
      <c r="CR964" s="11"/>
      <c r="CS964" s="11"/>
      <c r="CT964" s="11"/>
      <c r="CU964" s="11"/>
      <c r="CV964" s="11"/>
      <c r="CW964" s="11"/>
      <c r="CX964" s="11"/>
      <c r="CY964" s="11"/>
      <c r="CZ964" s="11"/>
      <c r="DA964" s="11"/>
      <c r="DB964" s="11"/>
    </row>
    <row r="965" spans="1:10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  <c r="CW965" s="11"/>
      <c r="CX965" s="11"/>
      <c r="CY965" s="11"/>
      <c r="CZ965" s="11"/>
      <c r="DA965" s="11"/>
      <c r="DB965" s="11"/>
    </row>
    <row r="966" spans="1:10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  <c r="CA966" s="11"/>
      <c r="CB966" s="11"/>
      <c r="CC966" s="11"/>
      <c r="CD966" s="11"/>
      <c r="CE966" s="11"/>
      <c r="CF966" s="11"/>
      <c r="CG966" s="11"/>
      <c r="CH966" s="11"/>
      <c r="CI966" s="11"/>
      <c r="CJ966" s="11"/>
      <c r="CK966" s="11"/>
      <c r="CL966" s="11"/>
      <c r="CM966" s="11"/>
      <c r="CN966" s="11"/>
      <c r="CO966" s="11"/>
      <c r="CP966" s="11"/>
      <c r="CQ966" s="11"/>
      <c r="CR966" s="11"/>
      <c r="CS966" s="11"/>
      <c r="CT966" s="11"/>
      <c r="CU966" s="11"/>
      <c r="CV966" s="11"/>
      <c r="CW966" s="11"/>
      <c r="CX966" s="11"/>
      <c r="CY966" s="11"/>
      <c r="CZ966" s="11"/>
      <c r="DA966" s="11"/>
      <c r="DB966" s="11"/>
    </row>
    <row r="967" spans="1:10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11"/>
      <c r="CD967" s="11"/>
      <c r="CE967" s="11"/>
      <c r="CF967" s="11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  <c r="CW967" s="11"/>
      <c r="CX967" s="11"/>
      <c r="CY967" s="11"/>
      <c r="CZ967" s="11"/>
      <c r="DA967" s="11"/>
      <c r="DB967" s="11"/>
    </row>
    <row r="968" spans="1:10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CH968" s="11"/>
      <c r="CI968" s="11"/>
      <c r="CJ968" s="11"/>
      <c r="CK968" s="11"/>
      <c r="CL968" s="11"/>
      <c r="CM968" s="11"/>
      <c r="CN968" s="11"/>
      <c r="CO968" s="11"/>
      <c r="CP968" s="11"/>
      <c r="CQ968" s="11"/>
      <c r="CR968" s="11"/>
      <c r="CS968" s="11"/>
      <c r="CT968" s="11"/>
      <c r="CU968" s="11"/>
      <c r="CV968" s="11"/>
      <c r="CW968" s="11"/>
      <c r="CX968" s="11"/>
      <c r="CY968" s="11"/>
      <c r="CZ968" s="11"/>
      <c r="DA968" s="11"/>
      <c r="DB968" s="11"/>
    </row>
    <row r="969" spans="1:10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  <c r="DA969" s="11"/>
      <c r="DB969" s="11"/>
    </row>
    <row r="970" spans="1:10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  <c r="CA970" s="11"/>
      <c r="CB970" s="11"/>
      <c r="CC970" s="11"/>
      <c r="CD970" s="11"/>
      <c r="CE970" s="11"/>
      <c r="CF970" s="11"/>
      <c r="CG970" s="11"/>
      <c r="CH970" s="11"/>
      <c r="CI970" s="11"/>
      <c r="CJ970" s="11"/>
      <c r="CK970" s="11"/>
      <c r="CL970" s="11"/>
      <c r="CM970" s="11"/>
      <c r="CN970" s="11"/>
      <c r="CO970" s="11"/>
      <c r="CP970" s="11"/>
      <c r="CQ970" s="11"/>
      <c r="CR970" s="11"/>
      <c r="CS970" s="11"/>
      <c r="CT970" s="11"/>
      <c r="CU970" s="11"/>
      <c r="CV970" s="11"/>
      <c r="CW970" s="11"/>
      <c r="CX970" s="11"/>
      <c r="CY970" s="11"/>
      <c r="CZ970" s="11"/>
      <c r="DA970" s="11"/>
      <c r="DB970" s="11"/>
    </row>
    <row r="971" spans="1:10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11"/>
      <c r="CD971" s="11"/>
      <c r="CE971" s="11"/>
      <c r="CF971" s="11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  <c r="DA971" s="11"/>
      <c r="DB971" s="11"/>
    </row>
    <row r="972" spans="1:10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11"/>
      <c r="CD972" s="11"/>
      <c r="CE972" s="11"/>
      <c r="CF972" s="11"/>
      <c r="CG972" s="11"/>
      <c r="CH972" s="11"/>
      <c r="CI972" s="11"/>
      <c r="CJ972" s="11"/>
      <c r="CK972" s="11"/>
      <c r="CL972" s="11"/>
      <c r="CM972" s="11"/>
      <c r="CN972" s="11"/>
      <c r="CO972" s="11"/>
      <c r="CP972" s="11"/>
      <c r="CQ972" s="11"/>
      <c r="CR972" s="11"/>
      <c r="CS972" s="11"/>
      <c r="CT972" s="11"/>
      <c r="CU972" s="11"/>
      <c r="CV972" s="11"/>
      <c r="CW972" s="11"/>
      <c r="CX972" s="11"/>
      <c r="CY972" s="11"/>
      <c r="CZ972" s="11"/>
      <c r="DA972" s="11"/>
      <c r="DB972" s="11"/>
    </row>
    <row r="973" spans="1:10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  <c r="CA973" s="11"/>
      <c r="CB973" s="11"/>
      <c r="CC973" s="11"/>
      <c r="CD973" s="11"/>
      <c r="CE973" s="11"/>
      <c r="CF973" s="11"/>
      <c r="CG973" s="11"/>
      <c r="CH973" s="11"/>
      <c r="CI973" s="11"/>
      <c r="CJ973" s="11"/>
      <c r="CK973" s="11"/>
      <c r="CL973" s="11"/>
      <c r="CM973" s="11"/>
      <c r="CN973" s="11"/>
      <c r="CO973" s="11"/>
      <c r="CP973" s="11"/>
      <c r="CQ973" s="11"/>
      <c r="CR973" s="11"/>
      <c r="CS973" s="11"/>
      <c r="CT973" s="11"/>
      <c r="CU973" s="11"/>
      <c r="CV973" s="11"/>
      <c r="CW973" s="11"/>
      <c r="CX973" s="11"/>
      <c r="CY973" s="11"/>
      <c r="CZ973" s="11"/>
      <c r="DA973" s="11"/>
      <c r="DB973" s="11"/>
    </row>
    <row r="974" spans="1:10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  <c r="CA974" s="11"/>
      <c r="CB974" s="11"/>
      <c r="CC974" s="11"/>
      <c r="CD974" s="11"/>
      <c r="CE974" s="11"/>
      <c r="CF974" s="11"/>
      <c r="CG974" s="11"/>
      <c r="CH974" s="11"/>
      <c r="CI974" s="11"/>
      <c r="CJ974" s="11"/>
      <c r="CK974" s="11"/>
      <c r="CL974" s="11"/>
      <c r="CM974" s="11"/>
      <c r="CN974" s="11"/>
      <c r="CO974" s="11"/>
      <c r="CP974" s="11"/>
      <c r="CQ974" s="11"/>
      <c r="CR974" s="11"/>
      <c r="CS974" s="11"/>
      <c r="CT974" s="11"/>
      <c r="CU974" s="11"/>
      <c r="CV974" s="11"/>
      <c r="CW974" s="11"/>
      <c r="CX974" s="11"/>
      <c r="CY974" s="11"/>
      <c r="CZ974" s="11"/>
      <c r="DA974" s="11"/>
      <c r="DB974" s="11"/>
    </row>
    <row r="975" spans="1:10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</row>
    <row r="976" spans="1:10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11"/>
      <c r="CD976" s="11"/>
      <c r="CE976" s="11"/>
      <c r="CF976" s="11"/>
      <c r="CG976" s="11"/>
      <c r="CH976" s="11"/>
      <c r="CI976" s="11"/>
      <c r="CJ976" s="11"/>
      <c r="CK976" s="11"/>
      <c r="CL976" s="11"/>
      <c r="CM976" s="11"/>
      <c r="CN976" s="11"/>
      <c r="CO976" s="11"/>
      <c r="CP976" s="11"/>
      <c r="CQ976" s="11"/>
      <c r="CR976" s="11"/>
      <c r="CS976" s="11"/>
      <c r="CT976" s="11"/>
      <c r="CU976" s="11"/>
      <c r="CV976" s="11"/>
      <c r="CW976" s="11"/>
      <c r="CX976" s="11"/>
      <c r="CY976" s="11"/>
      <c r="CZ976" s="11"/>
      <c r="DA976" s="11"/>
      <c r="DB976" s="11"/>
    </row>
    <row r="977" spans="1:10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11"/>
      <c r="CD977" s="11"/>
      <c r="CE977" s="11"/>
      <c r="CF977" s="11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  <c r="DA977" s="11"/>
      <c r="DB977" s="11"/>
    </row>
    <row r="978" spans="1:10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  <c r="CA978" s="11"/>
      <c r="CB978" s="11"/>
      <c r="CC978" s="11"/>
      <c r="CD978" s="11"/>
      <c r="CE978" s="11"/>
      <c r="CF978" s="11"/>
      <c r="CG978" s="11"/>
      <c r="CH978" s="11"/>
      <c r="CI978" s="11"/>
      <c r="CJ978" s="11"/>
      <c r="CK978" s="11"/>
      <c r="CL978" s="11"/>
      <c r="CM978" s="11"/>
      <c r="CN978" s="11"/>
      <c r="CO978" s="11"/>
      <c r="CP978" s="11"/>
      <c r="CQ978" s="11"/>
      <c r="CR978" s="11"/>
      <c r="CS978" s="11"/>
      <c r="CT978" s="11"/>
      <c r="CU978" s="11"/>
      <c r="CV978" s="11"/>
      <c r="CW978" s="11"/>
      <c r="CX978" s="11"/>
      <c r="CY978" s="11"/>
      <c r="CZ978" s="11"/>
      <c r="DA978" s="11"/>
      <c r="DB978" s="11"/>
    </row>
    <row r="979" spans="1:10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11"/>
      <c r="CD979" s="11"/>
      <c r="CE979" s="11"/>
      <c r="CF979" s="11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  <c r="DA979" s="11"/>
      <c r="DB979" s="11"/>
    </row>
    <row r="980" spans="1:10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  <c r="CA980" s="11"/>
      <c r="CB980" s="11"/>
      <c r="CC980" s="11"/>
      <c r="CD980" s="11"/>
      <c r="CE980" s="11"/>
      <c r="CF980" s="11"/>
      <c r="CG980" s="11"/>
      <c r="CH980" s="11"/>
      <c r="CI980" s="11"/>
      <c r="CJ980" s="11"/>
      <c r="CK980" s="11"/>
      <c r="CL980" s="11"/>
      <c r="CM980" s="11"/>
      <c r="CN980" s="11"/>
      <c r="CO980" s="11"/>
      <c r="CP980" s="11"/>
      <c r="CQ980" s="11"/>
      <c r="CR980" s="11"/>
      <c r="CS980" s="11"/>
      <c r="CT980" s="11"/>
      <c r="CU980" s="11"/>
      <c r="CV980" s="11"/>
      <c r="CW980" s="11"/>
      <c r="CX980" s="11"/>
      <c r="CY980" s="11"/>
      <c r="CZ980" s="11"/>
      <c r="DA980" s="11"/>
      <c r="DB980" s="11"/>
    </row>
    <row r="981" spans="1:10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  <c r="CA981" s="11"/>
      <c r="CB981" s="11"/>
      <c r="CC981" s="11"/>
      <c r="CD981" s="11"/>
      <c r="CE981" s="11"/>
      <c r="CF981" s="11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  <c r="CW981" s="11"/>
      <c r="CX981" s="11"/>
      <c r="CY981" s="11"/>
      <c r="CZ981" s="11"/>
      <c r="DA981" s="11"/>
      <c r="DB981" s="11"/>
    </row>
    <row r="982" spans="1:10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11"/>
      <c r="CD982" s="11"/>
      <c r="CE982" s="11"/>
      <c r="CF982" s="11"/>
      <c r="CG982" s="11"/>
      <c r="CH982" s="11"/>
      <c r="CI982" s="11"/>
      <c r="CJ982" s="11"/>
      <c r="CK982" s="11"/>
      <c r="CL982" s="11"/>
      <c r="CM982" s="11"/>
      <c r="CN982" s="11"/>
      <c r="CO982" s="11"/>
      <c r="CP982" s="11"/>
      <c r="CQ982" s="11"/>
      <c r="CR982" s="11"/>
      <c r="CS982" s="11"/>
      <c r="CT982" s="11"/>
      <c r="CU982" s="11"/>
      <c r="CV982" s="11"/>
      <c r="CW982" s="11"/>
      <c r="CX982" s="11"/>
      <c r="CY982" s="11"/>
      <c r="CZ982" s="11"/>
      <c r="DA982" s="11"/>
      <c r="DB982" s="11"/>
    </row>
    <row r="983" spans="1:10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11"/>
      <c r="CD983" s="11"/>
      <c r="CE983" s="11"/>
      <c r="CF983" s="11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  <c r="CW983" s="11"/>
      <c r="CX983" s="11"/>
      <c r="CY983" s="11"/>
      <c r="CZ983" s="11"/>
      <c r="DA983" s="11"/>
      <c r="DB983" s="11"/>
    </row>
    <row r="984" spans="1:10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</row>
    <row r="985" spans="1:10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</row>
    <row r="986" spans="1:10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CH986" s="11"/>
      <c r="CI986" s="11"/>
      <c r="CJ986" s="11"/>
      <c r="CK986" s="11"/>
      <c r="CL986" s="11"/>
      <c r="CM986" s="11"/>
      <c r="CN986" s="11"/>
      <c r="CO986" s="11"/>
      <c r="CP986" s="11"/>
      <c r="CQ986" s="11"/>
      <c r="CR986" s="11"/>
      <c r="CS986" s="11"/>
      <c r="CT986" s="11"/>
      <c r="CU986" s="11"/>
      <c r="CV986" s="11"/>
      <c r="CW986" s="11"/>
      <c r="CX986" s="11"/>
      <c r="CY986" s="11"/>
      <c r="CZ986" s="11"/>
      <c r="DA986" s="11"/>
      <c r="DB986" s="11"/>
    </row>
    <row r="987" spans="1:10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11"/>
      <c r="CD987" s="11"/>
      <c r="CE987" s="11"/>
      <c r="CF987" s="11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  <c r="CW987" s="11"/>
      <c r="CX987" s="11"/>
      <c r="CY987" s="11"/>
      <c r="CZ987" s="11"/>
      <c r="DA987" s="11"/>
      <c r="DB987" s="11"/>
    </row>
    <row r="988" spans="1:10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  <c r="CA988" s="11"/>
      <c r="CB988" s="11"/>
      <c r="CC988" s="11"/>
      <c r="CD988" s="11"/>
      <c r="CE988" s="11"/>
      <c r="CF988" s="11"/>
      <c r="CG988" s="11"/>
      <c r="CH988" s="11"/>
      <c r="CI988" s="11"/>
      <c r="CJ988" s="11"/>
      <c r="CK988" s="11"/>
      <c r="CL988" s="11"/>
      <c r="CM988" s="11"/>
      <c r="CN988" s="11"/>
      <c r="CO988" s="11"/>
      <c r="CP988" s="11"/>
      <c r="CQ988" s="11"/>
      <c r="CR988" s="11"/>
      <c r="CS988" s="11"/>
      <c r="CT988" s="11"/>
      <c r="CU988" s="11"/>
      <c r="CV988" s="11"/>
      <c r="CW988" s="11"/>
      <c r="CX988" s="11"/>
      <c r="CY988" s="11"/>
      <c r="CZ988" s="11"/>
      <c r="DA988" s="11"/>
      <c r="DB988" s="11"/>
    </row>
    <row r="989" spans="1:10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  <c r="CA989" s="11"/>
      <c r="CB989" s="11"/>
      <c r="CC989" s="11"/>
      <c r="CD989" s="11"/>
      <c r="CE989" s="11"/>
      <c r="CF989" s="11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  <c r="CW989" s="11"/>
      <c r="CX989" s="11"/>
      <c r="CY989" s="11"/>
      <c r="CZ989" s="11"/>
      <c r="DA989" s="11"/>
      <c r="DB989" s="11"/>
    </row>
    <row r="990" spans="1:10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</row>
    <row r="991" spans="1:10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  <c r="CA991" s="11"/>
      <c r="CB991" s="11"/>
      <c r="CC991" s="11"/>
      <c r="CD991" s="11"/>
      <c r="CE991" s="11"/>
      <c r="CF991" s="11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  <c r="CW991" s="11"/>
      <c r="CX991" s="11"/>
      <c r="CY991" s="11"/>
      <c r="CZ991" s="11"/>
      <c r="DA991" s="11"/>
      <c r="DB991" s="11"/>
    </row>
    <row r="992" spans="1:106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11"/>
      <c r="CD992" s="11"/>
      <c r="CE992" s="11"/>
      <c r="CF992" s="11"/>
      <c r="CG992" s="11"/>
      <c r="CH992" s="11"/>
      <c r="CI992" s="11"/>
      <c r="CJ992" s="11"/>
      <c r="CK992" s="11"/>
      <c r="CL992" s="11"/>
      <c r="CM992" s="11"/>
      <c r="CN992" s="11"/>
      <c r="CO992" s="11"/>
      <c r="CP992" s="11"/>
      <c r="CQ992" s="11"/>
      <c r="CR992" s="11"/>
      <c r="CS992" s="11"/>
      <c r="CT992" s="11"/>
      <c r="CU992" s="11"/>
      <c r="CV992" s="11"/>
      <c r="CW992" s="11"/>
      <c r="CX992" s="11"/>
      <c r="CY992" s="11"/>
      <c r="CZ992" s="11"/>
      <c r="DA992" s="11"/>
      <c r="DB992" s="11"/>
    </row>
    <row r="993" spans="1:106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  <c r="CA993" s="11"/>
      <c r="CB993" s="11"/>
      <c r="CC993" s="11"/>
      <c r="CD993" s="11"/>
      <c r="CE993" s="11"/>
      <c r="CF993" s="11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  <c r="CW993" s="11"/>
      <c r="CX993" s="11"/>
      <c r="CY993" s="11"/>
      <c r="CZ993" s="11"/>
      <c r="DA993" s="11"/>
      <c r="DB993" s="11"/>
    </row>
    <row r="994" spans="1:106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11"/>
      <c r="CD994" s="11"/>
      <c r="CE994" s="11"/>
      <c r="CF994" s="11"/>
      <c r="CG994" s="11"/>
      <c r="CH994" s="11"/>
      <c r="CI994" s="11"/>
      <c r="CJ994" s="11"/>
      <c r="CK994" s="11"/>
      <c r="CL994" s="11"/>
      <c r="CM994" s="11"/>
      <c r="CN994" s="11"/>
      <c r="CO994" s="11"/>
      <c r="CP994" s="11"/>
      <c r="CQ994" s="11"/>
      <c r="CR994" s="11"/>
      <c r="CS994" s="11"/>
      <c r="CT994" s="11"/>
      <c r="CU994" s="11"/>
      <c r="CV994" s="11"/>
      <c r="CW994" s="11"/>
      <c r="CX994" s="11"/>
      <c r="CY994" s="11"/>
      <c r="CZ994" s="11"/>
      <c r="DA994" s="11"/>
      <c r="DB994" s="11"/>
    </row>
    <row r="995" spans="1:106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  <c r="CA995" s="11"/>
      <c r="CB995" s="11"/>
      <c r="CC995" s="11"/>
      <c r="CD995" s="11"/>
      <c r="CE995" s="11"/>
      <c r="CF995" s="11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  <c r="CW995" s="11"/>
      <c r="CX995" s="11"/>
      <c r="CY995" s="11"/>
      <c r="CZ995" s="11"/>
      <c r="DA995" s="11"/>
      <c r="DB995" s="11"/>
    </row>
    <row r="996" spans="1:106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  <c r="CA996" s="11"/>
      <c r="CB996" s="11"/>
      <c r="CC996" s="11"/>
      <c r="CD996" s="11"/>
      <c r="CE996" s="11"/>
      <c r="CF996" s="11"/>
      <c r="CG996" s="11"/>
      <c r="CH996" s="11"/>
      <c r="CI996" s="11"/>
      <c r="CJ996" s="11"/>
      <c r="CK996" s="11"/>
      <c r="CL996" s="11"/>
      <c r="CM996" s="11"/>
      <c r="CN996" s="11"/>
      <c r="CO996" s="11"/>
      <c r="CP996" s="11"/>
      <c r="CQ996" s="11"/>
      <c r="CR996" s="11"/>
      <c r="CS996" s="11"/>
      <c r="CT996" s="11"/>
      <c r="CU996" s="11"/>
      <c r="CV996" s="11"/>
      <c r="CW996" s="11"/>
      <c r="CX996" s="11"/>
      <c r="CY996" s="11"/>
      <c r="CZ996" s="11"/>
      <c r="DA996" s="11"/>
      <c r="DB996" s="11"/>
    </row>
    <row r="997" spans="1:106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11"/>
      <c r="CD997" s="11"/>
      <c r="CE997" s="11"/>
      <c r="CF997" s="11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  <c r="DA997" s="11"/>
      <c r="DB997" s="11"/>
    </row>
    <row r="998" spans="1:106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  <c r="CA998" s="11"/>
      <c r="CB998" s="11"/>
      <c r="CC998" s="11"/>
      <c r="CD998" s="11"/>
      <c r="CE998" s="11"/>
      <c r="CF998" s="11"/>
      <c r="CG998" s="11"/>
      <c r="CH998" s="11"/>
      <c r="CI998" s="11"/>
      <c r="CJ998" s="11"/>
      <c r="CK998" s="11"/>
      <c r="CL998" s="11"/>
      <c r="CM998" s="11"/>
      <c r="CN998" s="11"/>
      <c r="CO998" s="11"/>
      <c r="CP998" s="11"/>
      <c r="CQ998" s="11"/>
      <c r="CR998" s="11"/>
      <c r="CS998" s="11"/>
      <c r="CT998" s="11"/>
      <c r="CU998" s="11"/>
      <c r="CV998" s="11"/>
      <c r="CW998" s="11"/>
      <c r="CX998" s="11"/>
      <c r="CY998" s="11"/>
      <c r="CZ998" s="11"/>
      <c r="DA998" s="11"/>
      <c r="DB998" s="11"/>
    </row>
    <row r="999" spans="1:106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A999" s="11"/>
      <c r="CB999" s="11"/>
      <c r="CC999" s="11"/>
      <c r="CD999" s="11"/>
      <c r="CE999" s="11"/>
      <c r="CF999" s="11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  <c r="CW999" s="11"/>
      <c r="CX999" s="11"/>
      <c r="CY999" s="11"/>
      <c r="CZ999" s="11"/>
      <c r="DA999" s="11"/>
      <c r="DB999" s="11"/>
    </row>
    <row r="1000" spans="1:106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A1000" s="11"/>
      <c r="CB1000" s="11"/>
      <c r="CC1000" s="11"/>
      <c r="CD1000" s="11"/>
      <c r="CE1000" s="11"/>
      <c r="CF1000" s="11"/>
      <c r="CG1000" s="11"/>
      <c r="CH1000" s="11"/>
      <c r="CI1000" s="11"/>
      <c r="CJ1000" s="11"/>
      <c r="CK1000" s="11"/>
      <c r="CL1000" s="11"/>
      <c r="CM1000" s="11"/>
      <c r="CN1000" s="11"/>
      <c r="CO1000" s="11"/>
      <c r="CP1000" s="11"/>
      <c r="CQ1000" s="11"/>
      <c r="CR1000" s="11"/>
      <c r="CS1000" s="11"/>
      <c r="CT1000" s="11"/>
      <c r="CU1000" s="11"/>
      <c r="CV1000" s="11"/>
      <c r="CW1000" s="11"/>
      <c r="CX1000" s="11"/>
      <c r="CY1000" s="11"/>
      <c r="CZ1000" s="11"/>
      <c r="DA1000" s="11"/>
      <c r="DB1000" s="11"/>
    </row>
  </sheetData>
  <conditionalFormatting sqref="A1:DB1 A2:D31 Q2:DB31">
    <cfRule type="containsText" dxfId="33" priority="1" operator="containsText" text="מפת חום ← עמודות נערמות ← רדאר">
      <formula>NOT(ISERROR(SEARCH(("מפת חום ← עמודות נערמות ← רדאר"),(A1))))</formula>
    </cfRule>
    <cfRule type="containsText" dxfId="32" priority="2" operator="containsText" text="רדאר ← מפת חום ← עמודות נערמות">
      <formula>NOT(ISERROR(SEARCH(("רדאר ← מפת חום ← עמודות נערמות"),(A1))))</formula>
    </cfRule>
    <cfRule type="containsText" dxfId="31" priority="3" operator="containsText" text="עמודות נערמות ← רדאר ← מפת חום">
      <formula>NOT(ISERROR(SEARCH(("עמודות נערמות ← רדאר ← מפת חום"),(A1))))</formula>
    </cfRule>
  </conditionalFormatting>
  <conditionalFormatting sqref="B2:B31">
    <cfRule type="containsText" dxfId="30" priority="4" operator="containsText" text="אופטימלי ← תת-אופטימלי">
      <formula>NOT(ISERROR(SEARCH(("אופטימלי ← תת-אופטימלי"),(B2))))</formula>
    </cfRule>
    <cfRule type="containsText" dxfId="29" priority="5" operator="containsText" text="תת-אופטימלי ← אופטימלי">
      <formula>NOT(ISERROR(SEARCH(("תת-אופטימלי ← אופטימלי"),(B2))))</formula>
    </cfRule>
  </conditionalFormatting>
  <conditionalFormatting sqref="E2:P31">
    <cfRule type="containsText" dxfId="28" priority="6" operator="containsText" text="מפת חום ← עמודות נערמות ← רדאר">
      <formula>NOT(ISERROR(SEARCH(("מפת חום ← עמודות נערמות ← רדאר"),(E2))))</formula>
    </cfRule>
    <cfRule type="containsText" dxfId="27" priority="7" operator="containsText" text="רדאר ← מפת חום ← עמודות נערמות">
      <formula>NOT(ISERROR(SEARCH(("רדאר ← מפת חום ← עמודות נערמות"),(E2))))</formula>
    </cfRule>
    <cfRule type="containsText" dxfId="26" priority="8" operator="containsText" text="עמודות נערמות ← רדאר ← מפת חום">
      <formula>NOT(ISERROR(SEARCH(("עמודות נערמות ← רדאר ← מפת חום"),(E2))))</formula>
    </cfRule>
  </conditionalFormatting>
  <conditionalFormatting sqref="F2:F31 H2:H31 J2:J31 L2:L31 N2:N31 P2:P31">
    <cfRule type="containsText" dxfId="25" priority="9" operator="containsText" text="E">
      <formula>NOT(ISERROR(SEARCH(("E"),(F2))))</formula>
    </cfRule>
    <cfRule type="containsText" dxfId="24" priority="10" operator="containsText" text="H">
      <formula>NOT(ISERROR(SEARCH(("H"),(F2))))</formula>
    </cfRule>
  </conditionalFormatting>
  <conditionalFormatting sqref="Q2:Q31 AZ2:AZ31">
    <cfRule type="containsText" dxfId="23" priority="11" operator="containsText" text="OPT">
      <formula>NOT(ISERROR(SEARCH(("OPT"),(Q2))))</formula>
    </cfRule>
    <cfRule type="containsText" dxfId="22" priority="12" operator="containsText" text="SUB">
      <formula>NOT(ISERROR(SEARCH(("SUB"),(Q2))))</formula>
    </cfRule>
  </conditionalFormatting>
  <conditionalFormatting sqref="S2:S31 AD2:AD31 AO2:AO31 BB2:BB31 BM2:BM31 BX2:BX31">
    <cfRule type="containsText" dxfId="21" priority="13" operator="containsText" text="מפת חום">
      <formula>NOT(ISERROR(SEARCH(("מפת חום"),(S2))))</formula>
    </cfRule>
    <cfRule type="containsText" dxfId="20" priority="14" operator="containsText" text="רדאר">
      <formula>NOT(ISERROR(SEARCH(("רדאר"),(S2))))</formula>
    </cfRule>
    <cfRule type="containsText" dxfId="19" priority="15" operator="containsText" text="עמודות נערמות">
      <formula>NOT(ISERROR(SEARCH(("עמודות נערמות"),(S2))))</formula>
    </cfRule>
  </conditionalFormatting>
  <conditionalFormatting sqref="U2:U31 W2:W31 Y2:Y31 AA2:AA31 AC2:AC31 AF2:AF31 AH2:AH31 AJ2:AJ31 AL2:AL31 AN2:AN31 AQ2:AQ31 AS2:AS31 AU2:AU31 AW2:AW31 AY2:AY31 BD2:BD31 BF2:BF31 BH2:BH31 BJ2:BJ31 BL2:BL31 BO2:BO31 BQ2:BQ31 BS2:BS31 BU2:BU31 BW2:BW31 BZ2:BZ31 CB2:CB31 CD2:CD31 CF2:CF31 CH2:CH31">
    <cfRule type="containsText" dxfId="18" priority="16" operator="containsText" text="E">
      <formula>NOT(ISERROR(SEARCH(("E"),(U2))))</formula>
    </cfRule>
    <cfRule type="containsText" dxfId="17" priority="17" operator="containsText" text="H">
      <formula>NOT(ISERROR(SEARCH(("H"),(U2))))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000"/>
  <sheetViews>
    <sheetView rightToLeft="1" tabSelected="1" workbookViewId="0">
      <pane xSplit="13" ySplit="1" topLeftCell="O2" activePane="bottomRight" state="frozen"/>
      <selection pane="topRight" activeCell="N1" sqref="N1"/>
      <selection pane="bottomLeft" activeCell="A2" sqref="A2"/>
      <selection pane="bottomRight" activeCell="M1" sqref="M1"/>
    </sheetView>
  </sheetViews>
  <sheetFormatPr defaultColWidth="14.42578125" defaultRowHeight="15" customHeight="1" x14ac:dyDescent="0.25"/>
  <cols>
    <col min="1" max="1" width="13.5703125" customWidth="1"/>
    <col min="2" max="2" width="10" customWidth="1"/>
    <col min="3" max="7" width="13.5703125" customWidth="1"/>
    <col min="8" max="8" width="10.42578125" customWidth="1"/>
    <col min="9" max="9" width="16" customWidth="1"/>
    <col min="10" max="10" width="13.140625" customWidth="1"/>
    <col min="11" max="11" width="14.85546875" customWidth="1"/>
    <col min="12" max="13" width="19.7109375" customWidth="1"/>
    <col min="14" max="14" width="41.140625" customWidth="1"/>
    <col min="15" max="15" width="38" customWidth="1"/>
    <col min="16" max="16" width="13.7109375" customWidth="1"/>
    <col min="17" max="17" width="41.7109375" customWidth="1"/>
    <col min="18" max="18" width="29.7109375" customWidth="1"/>
    <col min="19" max="21" width="7.42578125" customWidth="1"/>
    <col min="22" max="22" width="8.140625" customWidth="1"/>
    <col min="23" max="23" width="11.85546875" customWidth="1"/>
    <col min="24" max="25" width="12.7109375" customWidth="1"/>
    <col min="26" max="26" width="14.140625" customWidth="1"/>
    <col min="27" max="27" width="31.7109375" customWidth="1"/>
    <col min="28" max="39" width="9.140625" customWidth="1"/>
    <col min="40" max="41" width="31.140625" customWidth="1"/>
    <col min="42" max="44" width="9.140625" customWidth="1"/>
  </cols>
  <sheetData>
    <row r="1" spans="1:44" x14ac:dyDescent="0.25">
      <c r="A1" s="40" t="s">
        <v>215</v>
      </c>
      <c r="B1" s="41" t="s">
        <v>216</v>
      </c>
      <c r="C1" s="41" t="s">
        <v>217</v>
      </c>
      <c r="D1" s="41" t="s">
        <v>218</v>
      </c>
      <c r="E1" s="41" t="s">
        <v>219</v>
      </c>
      <c r="F1" s="41" t="s">
        <v>220</v>
      </c>
      <c r="G1" s="41" t="s">
        <v>221</v>
      </c>
      <c r="H1" s="41" t="s">
        <v>222</v>
      </c>
      <c r="I1" s="41" t="s">
        <v>223</v>
      </c>
      <c r="J1" s="41" t="s">
        <v>224</v>
      </c>
      <c r="K1" s="41" t="s">
        <v>225</v>
      </c>
      <c r="L1" s="41" t="s">
        <v>226</v>
      </c>
      <c r="M1" s="41" t="s">
        <v>227</v>
      </c>
      <c r="N1" s="41" t="s">
        <v>228</v>
      </c>
      <c r="O1" s="41" t="s">
        <v>229</v>
      </c>
      <c r="P1" s="41" t="s">
        <v>230</v>
      </c>
      <c r="Q1" s="41" t="s">
        <v>231</v>
      </c>
      <c r="R1" s="41" t="s">
        <v>232</v>
      </c>
      <c r="S1" s="41" t="s">
        <v>233</v>
      </c>
      <c r="T1" s="41" t="s">
        <v>234</v>
      </c>
      <c r="U1" s="41" t="s">
        <v>235</v>
      </c>
      <c r="V1" s="41" t="s">
        <v>236</v>
      </c>
      <c r="W1" s="41" t="s">
        <v>237</v>
      </c>
      <c r="X1" s="41" t="s">
        <v>238</v>
      </c>
      <c r="Y1" s="41" t="s">
        <v>239</v>
      </c>
      <c r="Z1" s="41" t="s">
        <v>240</v>
      </c>
      <c r="AA1" s="41" t="s">
        <v>241</v>
      </c>
      <c r="AB1" s="42" t="s">
        <v>242</v>
      </c>
      <c r="AC1" s="28"/>
      <c r="AD1" s="28"/>
      <c r="AE1" s="28"/>
      <c r="AF1" s="28"/>
      <c r="AG1" s="28"/>
      <c r="AH1" s="28"/>
      <c r="AI1" s="28"/>
      <c r="AJ1" s="29"/>
      <c r="AK1" s="29"/>
      <c r="AL1" s="29"/>
      <c r="AM1" s="29"/>
      <c r="AN1" s="29" t="s">
        <v>229</v>
      </c>
      <c r="AO1" s="29" t="s">
        <v>230</v>
      </c>
      <c r="AP1" s="29" t="s">
        <v>231</v>
      </c>
      <c r="AQ1" s="29" t="s">
        <v>232</v>
      </c>
      <c r="AR1" s="29" t="s">
        <v>233</v>
      </c>
    </row>
    <row r="2" spans="1:44" x14ac:dyDescent="0.25">
      <c r="A2" s="36" t="s">
        <v>243</v>
      </c>
      <c r="B2" s="26" t="s">
        <v>244</v>
      </c>
      <c r="C2" s="26" t="str">
        <f t="shared" ref="C2:C34" si="0">A2&amp;"_H"</f>
        <v>SCN_001_H</v>
      </c>
      <c r="D2" s="26" t="str">
        <f t="shared" ref="D2:D34" si="1">A2&amp;"_R"</f>
        <v>SCN_001_R</v>
      </c>
      <c r="E2" s="26" t="str">
        <f t="shared" ref="E2:E34" si="2">A2&amp;"_S"</f>
        <v>SCN_001_S</v>
      </c>
      <c r="F2" s="26">
        <v>1</v>
      </c>
      <c r="G2" s="26">
        <v>1</v>
      </c>
      <c r="H2" s="26">
        <v>1</v>
      </c>
      <c r="I2" s="26" t="s">
        <v>245</v>
      </c>
      <c r="J2" s="26" t="s">
        <v>246</v>
      </c>
      <c r="K2" s="26" t="s">
        <v>91</v>
      </c>
      <c r="L2" s="46" t="s">
        <v>383</v>
      </c>
      <c r="M2" s="26" t="s">
        <v>384</v>
      </c>
      <c r="N2" s="30" t="s">
        <v>247</v>
      </c>
      <c r="O2" s="30" t="s">
        <v>248</v>
      </c>
      <c r="P2" s="27" t="s">
        <v>249</v>
      </c>
      <c r="Q2" s="30" t="s">
        <v>250</v>
      </c>
      <c r="R2" s="30" t="s">
        <v>248</v>
      </c>
      <c r="S2" s="27" t="s">
        <v>251</v>
      </c>
      <c r="T2" s="26"/>
      <c r="U2" s="26"/>
      <c r="V2" s="26"/>
      <c r="W2" s="26" t="s">
        <v>252</v>
      </c>
      <c r="X2" s="26" t="s">
        <v>253</v>
      </c>
      <c r="Y2" s="26"/>
      <c r="Z2" s="26"/>
      <c r="AA2" s="26" t="s">
        <v>254</v>
      </c>
      <c r="AB2" s="38" t="b">
        <v>1</v>
      </c>
      <c r="AC2" s="27"/>
      <c r="AD2" s="27"/>
      <c r="AE2" s="43" t="str">
        <f t="shared" ref="AE2:AE33" ca="1" si="3">IF(L2="א'",IF(RANDBETWEEN(0,1)=0,"ב'","ג'"),IF(M2="ב'",IF(RANDBETWEEN(0,1)=0,"א'","ג'"),IF(RANDBETWEEN(0,1)=0,"א'","ב'")))</f>
        <v>ג'</v>
      </c>
      <c r="AF2" s="27"/>
      <c r="AG2" s="27"/>
      <c r="AH2" s="31">
        <f>COUNTIF('קטלוג תרחישים'!$I$2:$I$34,"RTL")</f>
        <v>16</v>
      </c>
      <c r="AI2" s="31" t="s">
        <v>245</v>
      </c>
      <c r="AJ2" s="27"/>
      <c r="AK2" s="27"/>
      <c r="AL2" s="27"/>
      <c r="AM2" s="27"/>
      <c r="AN2" s="27"/>
      <c r="AO2" s="27"/>
      <c r="AP2" s="27"/>
      <c r="AQ2" s="27"/>
      <c r="AR2" s="27"/>
    </row>
    <row r="3" spans="1:44" x14ac:dyDescent="0.25">
      <c r="A3" s="36" t="s">
        <v>255</v>
      </c>
      <c r="B3" s="26" t="s">
        <v>256</v>
      </c>
      <c r="C3" s="26" t="str">
        <f t="shared" si="0"/>
        <v>SCN_002_H</v>
      </c>
      <c r="D3" s="26" t="str">
        <f t="shared" si="1"/>
        <v>SCN_002_R</v>
      </c>
      <c r="E3" s="26" t="str">
        <f t="shared" si="2"/>
        <v>SCN_002_S</v>
      </c>
      <c r="F3" s="26">
        <v>2</v>
      </c>
      <c r="G3" s="26">
        <v>1</v>
      </c>
      <c r="H3" s="26">
        <v>1</v>
      </c>
      <c r="I3" s="26" t="s">
        <v>257</v>
      </c>
      <c r="J3" s="26" t="s">
        <v>246</v>
      </c>
      <c r="K3" s="26" t="s">
        <v>91</v>
      </c>
      <c r="L3" s="46" t="s">
        <v>383</v>
      </c>
      <c r="M3" s="26" t="s">
        <v>386</v>
      </c>
      <c r="N3" s="30" t="s">
        <v>258</v>
      </c>
      <c r="O3" s="30" t="s">
        <v>248</v>
      </c>
      <c r="P3" s="27" t="s">
        <v>249</v>
      </c>
      <c r="Q3" s="30" t="s">
        <v>250</v>
      </c>
      <c r="R3" s="30" t="s">
        <v>248</v>
      </c>
      <c r="S3" s="27" t="s">
        <v>259</v>
      </c>
      <c r="T3" s="26"/>
      <c r="U3" s="26"/>
      <c r="V3" s="26"/>
      <c r="W3" s="26" t="s">
        <v>252</v>
      </c>
      <c r="X3" s="26" t="s">
        <v>260</v>
      </c>
      <c r="Y3" s="26"/>
      <c r="Z3" s="26"/>
      <c r="AA3" s="26" t="s">
        <v>261</v>
      </c>
      <c r="AB3" s="38" t="b">
        <v>1</v>
      </c>
      <c r="AC3" s="27"/>
      <c r="AD3" s="27"/>
      <c r="AE3" s="43" t="str">
        <f t="shared" ca="1" si="3"/>
        <v>ב'</v>
      </c>
      <c r="AF3" s="27"/>
      <c r="AG3" s="27"/>
      <c r="AH3" s="31">
        <f>COUNTIF('קטלוג תרחישים'!$I$2:$I$34,"LTR")</f>
        <v>17</v>
      </c>
      <c r="AI3" s="31" t="s">
        <v>257</v>
      </c>
      <c r="AJ3" s="27"/>
      <c r="AK3" s="27"/>
      <c r="AL3" s="27"/>
      <c r="AM3" s="27"/>
      <c r="AN3" s="27"/>
      <c r="AO3" s="27"/>
      <c r="AP3" s="27"/>
      <c r="AQ3" s="27"/>
      <c r="AR3" s="27"/>
    </row>
    <row r="4" spans="1:44" x14ac:dyDescent="0.25">
      <c r="A4" s="36" t="s">
        <v>262</v>
      </c>
      <c r="B4" s="26" t="s">
        <v>263</v>
      </c>
      <c r="C4" s="26" t="str">
        <f t="shared" si="0"/>
        <v>SCN_003_H</v>
      </c>
      <c r="D4" s="26" t="str">
        <f t="shared" si="1"/>
        <v>SCN_003_R</v>
      </c>
      <c r="E4" s="26" t="str">
        <f t="shared" si="2"/>
        <v>SCN_003_S</v>
      </c>
      <c r="F4" s="26">
        <v>3</v>
      </c>
      <c r="G4" s="26">
        <v>2</v>
      </c>
      <c r="H4" s="26">
        <v>1</v>
      </c>
      <c r="I4" s="26" t="s">
        <v>257</v>
      </c>
      <c r="J4" s="26" t="s">
        <v>246</v>
      </c>
      <c r="K4" s="26" t="s">
        <v>91</v>
      </c>
      <c r="L4" s="46" t="s">
        <v>384</v>
      </c>
      <c r="M4" s="26" t="s">
        <v>386</v>
      </c>
      <c r="N4" s="30" t="s">
        <v>258</v>
      </c>
      <c r="O4" s="30" t="s">
        <v>248</v>
      </c>
      <c r="P4" s="27" t="s">
        <v>259</v>
      </c>
      <c r="Q4" s="30" t="s">
        <v>264</v>
      </c>
      <c r="R4" s="30" t="s">
        <v>248</v>
      </c>
      <c r="S4" s="27" t="s">
        <v>251</v>
      </c>
      <c r="T4" s="26"/>
      <c r="U4" s="26"/>
      <c r="V4" s="26"/>
      <c r="W4" s="26" t="s">
        <v>252</v>
      </c>
      <c r="X4" s="26" t="s">
        <v>265</v>
      </c>
      <c r="Y4" s="26"/>
      <c r="Z4" s="26"/>
      <c r="AA4" s="26" t="s">
        <v>266</v>
      </c>
      <c r="AB4" s="38" t="b">
        <v>1</v>
      </c>
      <c r="AC4" s="27"/>
      <c r="AD4" s="27"/>
      <c r="AE4" s="43" t="str">
        <f t="shared" ca="1" si="3"/>
        <v>ב'</v>
      </c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</row>
    <row r="5" spans="1:44" x14ac:dyDescent="0.25">
      <c r="A5" s="36" t="s">
        <v>267</v>
      </c>
      <c r="B5" s="26" t="s">
        <v>268</v>
      </c>
      <c r="C5" s="26" t="str">
        <f t="shared" si="0"/>
        <v>SCN_004_H</v>
      </c>
      <c r="D5" s="26" t="str">
        <f t="shared" si="1"/>
        <v>SCN_004_R</v>
      </c>
      <c r="E5" s="26" t="str">
        <f t="shared" si="2"/>
        <v>SCN_004_S</v>
      </c>
      <c r="F5" s="26">
        <v>2</v>
      </c>
      <c r="G5" s="26">
        <v>2</v>
      </c>
      <c r="H5" s="26">
        <v>2</v>
      </c>
      <c r="I5" s="26" t="s">
        <v>245</v>
      </c>
      <c r="J5" s="26" t="s">
        <v>269</v>
      </c>
      <c r="K5" s="26" t="s">
        <v>91</v>
      </c>
      <c r="L5" s="46" t="s">
        <v>386</v>
      </c>
      <c r="M5" s="26" t="s">
        <v>384</v>
      </c>
      <c r="N5" s="30" t="s">
        <v>270</v>
      </c>
      <c r="O5" s="30" t="s">
        <v>248</v>
      </c>
      <c r="P5" s="27" t="s">
        <v>271</v>
      </c>
      <c r="Q5" s="30" t="s">
        <v>264</v>
      </c>
      <c r="R5" s="30" t="s">
        <v>248</v>
      </c>
      <c r="S5" s="27" t="s">
        <v>251</v>
      </c>
      <c r="T5" s="26"/>
      <c r="U5" s="26"/>
      <c r="V5" s="26"/>
      <c r="W5" s="26" t="s">
        <v>252</v>
      </c>
      <c r="X5" s="26" t="s">
        <v>260</v>
      </c>
      <c r="Y5" s="26"/>
      <c r="Z5" s="26"/>
      <c r="AA5" s="26" t="s">
        <v>261</v>
      </c>
      <c r="AB5" s="38" t="b">
        <v>1</v>
      </c>
      <c r="AC5" s="27"/>
      <c r="AD5" s="27"/>
      <c r="AE5" s="43" t="str">
        <f t="shared" ca="1" si="3"/>
        <v>ג'</v>
      </c>
      <c r="AF5" s="27"/>
      <c r="AG5" s="27"/>
      <c r="AH5" s="27">
        <f>AVERAGE('קטלוג תרחישים'!$H$2:$H$34)</f>
        <v>1.5757575757575757</v>
      </c>
      <c r="AI5" s="27" t="s">
        <v>222</v>
      </c>
      <c r="AJ5" s="27"/>
      <c r="AK5" s="27"/>
      <c r="AL5" s="27"/>
      <c r="AM5" s="27"/>
      <c r="AN5" s="27"/>
      <c r="AO5" s="27"/>
      <c r="AP5" s="27"/>
      <c r="AQ5" s="27"/>
      <c r="AR5" s="27"/>
    </row>
    <row r="6" spans="1:44" x14ac:dyDescent="0.25">
      <c r="A6" s="36" t="s">
        <v>272</v>
      </c>
      <c r="B6" s="26" t="s">
        <v>273</v>
      </c>
      <c r="C6" s="26" t="str">
        <f t="shared" si="0"/>
        <v>SCN_005_H</v>
      </c>
      <c r="D6" s="26" t="str">
        <f t="shared" si="1"/>
        <v>SCN_005_R</v>
      </c>
      <c r="E6" s="26" t="str">
        <f t="shared" si="2"/>
        <v>SCN_005_S</v>
      </c>
      <c r="F6" s="26">
        <v>2</v>
      </c>
      <c r="G6" s="26">
        <v>1</v>
      </c>
      <c r="H6" s="26">
        <v>3</v>
      </c>
      <c r="I6" s="26" t="s">
        <v>245</v>
      </c>
      <c r="J6" s="26" t="s">
        <v>269</v>
      </c>
      <c r="K6" s="26" t="s">
        <v>91</v>
      </c>
      <c r="L6" s="46" t="s">
        <v>386</v>
      </c>
      <c r="M6" s="26" t="s">
        <v>383</v>
      </c>
      <c r="N6" s="30" t="s">
        <v>270</v>
      </c>
      <c r="O6" s="30" t="s">
        <v>248</v>
      </c>
      <c r="P6" s="27" t="s">
        <v>251</v>
      </c>
      <c r="Q6" s="30" t="s">
        <v>274</v>
      </c>
      <c r="R6" s="30" t="s">
        <v>248</v>
      </c>
      <c r="S6" s="27" t="s">
        <v>259</v>
      </c>
      <c r="T6" s="26"/>
      <c r="U6" s="26"/>
      <c r="V6" s="26"/>
      <c r="W6" s="26" t="s">
        <v>252</v>
      </c>
      <c r="X6" s="26" t="s">
        <v>260</v>
      </c>
      <c r="Y6" s="26"/>
      <c r="Z6" s="26"/>
      <c r="AA6" s="26" t="s">
        <v>261</v>
      </c>
      <c r="AB6" s="38" t="b">
        <v>1</v>
      </c>
      <c r="AC6" s="27"/>
      <c r="AD6" s="27"/>
      <c r="AE6" s="43" t="str">
        <f t="shared" ca="1" si="3"/>
        <v>א'</v>
      </c>
      <c r="AF6" s="27"/>
      <c r="AG6" s="27"/>
      <c r="AH6" s="27">
        <f>AVERAGE('קטלוג תרחישים'!$G$2:$G$34)</f>
        <v>1.393939393939394</v>
      </c>
      <c r="AI6" s="27" t="s">
        <v>221</v>
      </c>
      <c r="AJ6" s="27"/>
      <c r="AK6" s="27"/>
      <c r="AL6" s="27"/>
      <c r="AM6" s="27"/>
      <c r="AN6" s="27"/>
      <c r="AO6" s="27"/>
      <c r="AP6" s="27"/>
      <c r="AQ6" s="27"/>
      <c r="AR6" s="27"/>
    </row>
    <row r="7" spans="1:44" x14ac:dyDescent="0.25">
      <c r="A7" s="36" t="s">
        <v>275</v>
      </c>
      <c r="B7" s="26" t="s">
        <v>276</v>
      </c>
      <c r="C7" s="26" t="str">
        <f t="shared" si="0"/>
        <v>SCN_006_H</v>
      </c>
      <c r="D7" s="26" t="str">
        <f t="shared" si="1"/>
        <v>SCN_006_R</v>
      </c>
      <c r="E7" s="26" t="str">
        <f t="shared" si="2"/>
        <v>SCN_006_S</v>
      </c>
      <c r="F7" s="26">
        <v>2</v>
      </c>
      <c r="G7" s="26">
        <v>1</v>
      </c>
      <c r="H7" s="26">
        <v>1</v>
      </c>
      <c r="I7" s="26" t="s">
        <v>245</v>
      </c>
      <c r="J7" s="26" t="s">
        <v>269</v>
      </c>
      <c r="K7" s="26" t="s">
        <v>100</v>
      </c>
      <c r="L7" s="48" t="s">
        <v>386</v>
      </c>
      <c r="M7" s="26" t="s">
        <v>384</v>
      </c>
      <c r="N7" s="30" t="s">
        <v>247</v>
      </c>
      <c r="O7" s="30" t="s">
        <v>248</v>
      </c>
      <c r="P7" s="27" t="s">
        <v>277</v>
      </c>
      <c r="Q7" s="30" t="s">
        <v>274</v>
      </c>
      <c r="R7" s="30" t="s">
        <v>248</v>
      </c>
      <c r="S7" s="32" t="s">
        <v>271</v>
      </c>
      <c r="T7" s="26"/>
      <c r="U7" s="26"/>
      <c r="V7" s="26"/>
      <c r="W7" s="26" t="s">
        <v>252</v>
      </c>
      <c r="X7" s="26" t="s">
        <v>253</v>
      </c>
      <c r="Y7" s="26">
        <v>1</v>
      </c>
      <c r="Z7" s="26" t="s">
        <v>265</v>
      </c>
      <c r="AA7" s="26" t="s">
        <v>278</v>
      </c>
      <c r="AB7" s="38" t="b">
        <v>1</v>
      </c>
      <c r="AC7" s="27"/>
      <c r="AD7" s="27"/>
      <c r="AE7" s="43" t="str">
        <f t="shared" ca="1" si="3"/>
        <v>ג'</v>
      </c>
      <c r="AF7" s="49" t="s">
        <v>387</v>
      </c>
      <c r="AG7" s="27"/>
      <c r="AH7" s="27">
        <f>AVERAGE('קטלוג תרחישים'!$F$2:$F$34)</f>
        <v>1.9090909090909092</v>
      </c>
      <c r="AI7" s="27" t="s">
        <v>279</v>
      </c>
      <c r="AJ7" s="27"/>
      <c r="AK7" s="27"/>
      <c r="AL7" s="27"/>
      <c r="AM7" s="27"/>
      <c r="AN7" s="27"/>
      <c r="AO7" s="27"/>
      <c r="AP7" s="27"/>
      <c r="AQ7" s="27"/>
      <c r="AR7" s="27"/>
    </row>
    <row r="8" spans="1:44" x14ac:dyDescent="0.25">
      <c r="A8" s="36" t="s">
        <v>280</v>
      </c>
      <c r="B8" s="26" t="s">
        <v>281</v>
      </c>
      <c r="C8" s="26" t="str">
        <f t="shared" si="0"/>
        <v>SCN_007_H</v>
      </c>
      <c r="D8" s="26" t="str">
        <f t="shared" si="1"/>
        <v>SCN_007_R</v>
      </c>
      <c r="E8" s="26" t="str">
        <f t="shared" si="2"/>
        <v>SCN_007_S</v>
      </c>
      <c r="F8" s="26">
        <v>2</v>
      </c>
      <c r="G8" s="26">
        <v>1</v>
      </c>
      <c r="H8" s="26">
        <v>3</v>
      </c>
      <c r="I8" s="26" t="s">
        <v>257</v>
      </c>
      <c r="J8" s="26" t="s">
        <v>269</v>
      </c>
      <c r="K8" s="26" t="s">
        <v>91</v>
      </c>
      <c r="L8" s="46" t="s">
        <v>384</v>
      </c>
      <c r="M8" s="26" t="s">
        <v>383</v>
      </c>
      <c r="N8" s="30" t="s">
        <v>247</v>
      </c>
      <c r="O8" s="30" t="s">
        <v>248</v>
      </c>
      <c r="P8" s="27" t="s">
        <v>249</v>
      </c>
      <c r="Q8" s="30" t="s">
        <v>250</v>
      </c>
      <c r="R8" s="30" t="s">
        <v>248</v>
      </c>
      <c r="S8" s="27" t="s">
        <v>282</v>
      </c>
      <c r="T8" s="26"/>
      <c r="U8" s="26"/>
      <c r="V8" s="26"/>
      <c r="W8" s="26" t="s">
        <v>252</v>
      </c>
      <c r="X8" s="26" t="s">
        <v>265</v>
      </c>
      <c r="Y8" s="26"/>
      <c r="Z8" s="26"/>
      <c r="AA8" s="26" t="s">
        <v>266</v>
      </c>
      <c r="AB8" s="38" t="b">
        <v>1</v>
      </c>
      <c r="AC8" s="27"/>
      <c r="AD8" s="27"/>
      <c r="AE8" s="43" t="str">
        <f t="shared" ca="1" si="3"/>
        <v>ב'</v>
      </c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</row>
    <row r="9" spans="1:44" x14ac:dyDescent="0.25">
      <c r="A9" s="36" t="s">
        <v>283</v>
      </c>
      <c r="B9" s="26" t="s">
        <v>284</v>
      </c>
      <c r="C9" s="26" t="str">
        <f t="shared" si="0"/>
        <v>SCN_008_H</v>
      </c>
      <c r="D9" s="26" t="str">
        <f t="shared" si="1"/>
        <v>SCN_008_R</v>
      </c>
      <c r="E9" s="26" t="str">
        <f t="shared" si="2"/>
        <v>SCN_008_S</v>
      </c>
      <c r="F9" s="26">
        <v>1</v>
      </c>
      <c r="G9" s="26">
        <v>2</v>
      </c>
      <c r="H9" s="26">
        <v>1</v>
      </c>
      <c r="I9" s="26" t="s">
        <v>245</v>
      </c>
      <c r="J9" s="26" t="s">
        <v>269</v>
      </c>
      <c r="K9" s="26" t="s">
        <v>100</v>
      </c>
      <c r="L9" s="46" t="s">
        <v>383</v>
      </c>
      <c r="M9" s="26" t="s">
        <v>386</v>
      </c>
      <c r="N9" s="30" t="s">
        <v>258</v>
      </c>
      <c r="O9" s="30" t="s">
        <v>248</v>
      </c>
      <c r="P9" s="27" t="s">
        <v>251</v>
      </c>
      <c r="Q9" s="30" t="s">
        <v>250</v>
      </c>
      <c r="R9" s="30" t="s">
        <v>248</v>
      </c>
      <c r="S9" s="27" t="s">
        <v>249</v>
      </c>
      <c r="T9" s="26"/>
      <c r="U9" s="26"/>
      <c r="V9" s="26"/>
      <c r="W9" s="26" t="s">
        <v>252</v>
      </c>
      <c r="X9" s="26" t="s">
        <v>260</v>
      </c>
      <c r="Y9" s="26">
        <v>2</v>
      </c>
      <c r="Z9" s="26" t="s">
        <v>253</v>
      </c>
      <c r="AA9" s="26" t="s">
        <v>285</v>
      </c>
      <c r="AB9" s="38" t="b">
        <v>1</v>
      </c>
      <c r="AC9" s="27"/>
      <c r="AD9" s="27"/>
      <c r="AE9" s="43" t="str">
        <f t="shared" ca="1" si="3"/>
        <v>ג'</v>
      </c>
      <c r="AF9" s="27"/>
      <c r="AG9" s="27"/>
      <c r="AH9" s="27">
        <f>COUNTIF('קטלוג תרחישים'!$AB$2:$AB$34,TRUE)</f>
        <v>33</v>
      </c>
      <c r="AI9" s="27" t="s">
        <v>286</v>
      </c>
      <c r="AJ9" s="27"/>
      <c r="AK9" s="27"/>
      <c r="AL9" s="27"/>
      <c r="AM9" s="27"/>
      <c r="AN9" s="27"/>
      <c r="AO9" s="27"/>
      <c r="AP9" s="27"/>
      <c r="AQ9" s="27"/>
      <c r="AR9" s="27"/>
    </row>
    <row r="10" spans="1:44" x14ac:dyDescent="0.25">
      <c r="A10" s="36" t="s">
        <v>287</v>
      </c>
      <c r="B10" s="26" t="s">
        <v>288</v>
      </c>
      <c r="C10" s="26" t="str">
        <f t="shared" si="0"/>
        <v>SCN_009_H</v>
      </c>
      <c r="D10" s="26" t="str">
        <f t="shared" si="1"/>
        <v>SCN_009_R</v>
      </c>
      <c r="E10" s="26" t="str">
        <f t="shared" si="2"/>
        <v>SCN_009_S</v>
      </c>
      <c r="F10" s="26">
        <v>2</v>
      </c>
      <c r="G10" s="26">
        <v>2</v>
      </c>
      <c r="H10" s="26">
        <v>2</v>
      </c>
      <c r="I10" s="26" t="s">
        <v>257</v>
      </c>
      <c r="J10" s="26" t="s">
        <v>269</v>
      </c>
      <c r="K10" s="26" t="s">
        <v>91</v>
      </c>
      <c r="L10" s="46" t="s">
        <v>386</v>
      </c>
      <c r="M10" s="26" t="s">
        <v>384</v>
      </c>
      <c r="N10" s="30" t="s">
        <v>258</v>
      </c>
      <c r="O10" s="30" t="s">
        <v>248</v>
      </c>
      <c r="P10" s="27" t="s">
        <v>249</v>
      </c>
      <c r="Q10" s="30" t="s">
        <v>264</v>
      </c>
      <c r="R10" s="30" t="s">
        <v>248</v>
      </c>
      <c r="S10" s="27" t="s">
        <v>251</v>
      </c>
      <c r="T10" s="26"/>
      <c r="U10" s="26"/>
      <c r="V10" s="26"/>
      <c r="W10" s="26" t="s">
        <v>252</v>
      </c>
      <c r="X10" s="26" t="s">
        <v>253</v>
      </c>
      <c r="Y10" s="26"/>
      <c r="Z10" s="26"/>
      <c r="AA10" s="26" t="s">
        <v>254</v>
      </c>
      <c r="AB10" s="38" t="b">
        <v>1</v>
      </c>
      <c r="AC10" s="27"/>
      <c r="AD10" s="27"/>
      <c r="AE10" s="43" t="str">
        <f t="shared" ca="1" si="3"/>
        <v>א'</v>
      </c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</row>
    <row r="11" spans="1:44" x14ac:dyDescent="0.25">
      <c r="A11" s="36" t="s">
        <v>289</v>
      </c>
      <c r="B11" s="26" t="s">
        <v>290</v>
      </c>
      <c r="C11" s="26" t="str">
        <f t="shared" si="0"/>
        <v>SCN_010_H</v>
      </c>
      <c r="D11" s="26" t="str">
        <f t="shared" si="1"/>
        <v>SCN_010_R</v>
      </c>
      <c r="E11" s="26" t="str">
        <f t="shared" si="2"/>
        <v>SCN_010_S</v>
      </c>
      <c r="F11" s="26">
        <v>2</v>
      </c>
      <c r="G11" s="26">
        <v>1</v>
      </c>
      <c r="H11" s="26">
        <v>3</v>
      </c>
      <c r="I11" s="26" t="s">
        <v>245</v>
      </c>
      <c r="J11" s="26" t="s">
        <v>269</v>
      </c>
      <c r="K11" s="26" t="s">
        <v>100</v>
      </c>
      <c r="L11" s="46" t="s">
        <v>386</v>
      </c>
      <c r="M11" s="26" t="s">
        <v>384</v>
      </c>
      <c r="N11" s="30" t="s">
        <v>270</v>
      </c>
      <c r="O11" s="30" t="s">
        <v>248</v>
      </c>
      <c r="P11" s="27" t="s">
        <v>259</v>
      </c>
      <c r="Q11" s="30" t="s">
        <v>264</v>
      </c>
      <c r="R11" s="30" t="s">
        <v>248</v>
      </c>
      <c r="S11" s="27" t="s">
        <v>271</v>
      </c>
      <c r="T11" s="26"/>
      <c r="U11" s="26"/>
      <c r="V11" s="26"/>
      <c r="W11" s="26" t="s">
        <v>252</v>
      </c>
      <c r="X11" s="26" t="s">
        <v>265</v>
      </c>
      <c r="Y11" s="26">
        <v>3</v>
      </c>
      <c r="Z11" s="26" t="s">
        <v>253</v>
      </c>
      <c r="AA11" s="26" t="s">
        <v>291</v>
      </c>
      <c r="AB11" s="38" t="b">
        <v>1</v>
      </c>
      <c r="AC11" s="27"/>
      <c r="AD11" s="27"/>
      <c r="AE11" s="43" t="str">
        <f t="shared" ca="1" si="3"/>
        <v>א'</v>
      </c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</row>
    <row r="12" spans="1:44" x14ac:dyDescent="0.25">
      <c r="A12" s="36" t="s">
        <v>292</v>
      </c>
      <c r="B12" s="26" t="s">
        <v>293</v>
      </c>
      <c r="C12" s="26" t="str">
        <f t="shared" si="0"/>
        <v>SCN_011_H</v>
      </c>
      <c r="D12" s="26" t="str">
        <f t="shared" si="1"/>
        <v>SCN_011_R</v>
      </c>
      <c r="E12" s="26" t="str">
        <f t="shared" si="2"/>
        <v>SCN_011_S</v>
      </c>
      <c r="F12" s="26">
        <v>2</v>
      </c>
      <c r="G12" s="26">
        <v>1</v>
      </c>
      <c r="H12" s="26">
        <v>2</v>
      </c>
      <c r="I12" s="26" t="s">
        <v>245</v>
      </c>
      <c r="J12" s="26" t="s">
        <v>269</v>
      </c>
      <c r="K12" s="26" t="s">
        <v>91</v>
      </c>
      <c r="L12" s="46" t="s">
        <v>384</v>
      </c>
      <c r="M12" s="26" t="s">
        <v>383</v>
      </c>
      <c r="N12" s="30" t="s">
        <v>270</v>
      </c>
      <c r="O12" s="30" t="s">
        <v>248</v>
      </c>
      <c r="P12" s="27" t="s">
        <v>251</v>
      </c>
      <c r="Q12" s="30" t="s">
        <v>274</v>
      </c>
      <c r="R12" s="30" t="s">
        <v>248</v>
      </c>
      <c r="S12" s="27" t="s">
        <v>259</v>
      </c>
      <c r="T12" s="26"/>
      <c r="U12" s="26"/>
      <c r="V12" s="26"/>
      <c r="W12" s="26" t="s">
        <v>252</v>
      </c>
      <c r="X12" s="26" t="s">
        <v>260</v>
      </c>
      <c r="Y12" s="26"/>
      <c r="Z12" s="26"/>
      <c r="AA12" s="26" t="s">
        <v>261</v>
      </c>
      <c r="AB12" s="38" t="b">
        <v>1</v>
      </c>
      <c r="AC12" s="27"/>
      <c r="AD12" s="27"/>
      <c r="AE12" s="43" t="str">
        <f t="shared" ca="1" si="3"/>
        <v>א'</v>
      </c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</row>
    <row r="13" spans="1:44" x14ac:dyDescent="0.25">
      <c r="A13" s="36" t="s">
        <v>294</v>
      </c>
      <c r="B13" s="26" t="s">
        <v>295</v>
      </c>
      <c r="C13" s="26" t="str">
        <f t="shared" si="0"/>
        <v>SCN_012_H</v>
      </c>
      <c r="D13" s="26" t="str">
        <f t="shared" si="1"/>
        <v>SCN_012_R</v>
      </c>
      <c r="E13" s="26" t="str">
        <f t="shared" si="2"/>
        <v>SCN_012_S</v>
      </c>
      <c r="F13" s="26">
        <v>2</v>
      </c>
      <c r="G13" s="26">
        <v>2</v>
      </c>
      <c r="H13" s="26">
        <v>1</v>
      </c>
      <c r="I13" s="26" t="s">
        <v>257</v>
      </c>
      <c r="J13" s="26" t="s">
        <v>269</v>
      </c>
      <c r="K13" s="26" t="s">
        <v>100</v>
      </c>
      <c r="L13" s="46" t="s">
        <v>384</v>
      </c>
      <c r="M13" s="26" t="s">
        <v>383</v>
      </c>
      <c r="N13" s="30" t="s">
        <v>247</v>
      </c>
      <c r="O13" s="30" t="s">
        <v>248</v>
      </c>
      <c r="P13" s="27" t="s">
        <v>271</v>
      </c>
      <c r="Q13" s="30" t="s">
        <v>274</v>
      </c>
      <c r="R13" s="30" t="s">
        <v>248</v>
      </c>
      <c r="S13" s="27" t="s">
        <v>251</v>
      </c>
      <c r="T13" s="26"/>
      <c r="U13" s="26"/>
      <c r="V13" s="26"/>
      <c r="W13" s="26" t="s">
        <v>252</v>
      </c>
      <c r="X13" s="26" t="s">
        <v>260</v>
      </c>
      <c r="Y13" s="26">
        <v>2</v>
      </c>
      <c r="Z13" s="26" t="s">
        <v>265</v>
      </c>
      <c r="AA13" s="26" t="s">
        <v>296</v>
      </c>
      <c r="AB13" s="38" t="b">
        <v>1</v>
      </c>
      <c r="AC13" s="27"/>
      <c r="AD13" s="27"/>
      <c r="AE13" s="43" t="str">
        <f t="shared" ca="1" si="3"/>
        <v>ב'</v>
      </c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</row>
    <row r="14" spans="1:44" x14ac:dyDescent="0.25">
      <c r="A14" s="36" t="s">
        <v>297</v>
      </c>
      <c r="B14" s="26" t="s">
        <v>298</v>
      </c>
      <c r="C14" s="26" t="str">
        <f t="shared" si="0"/>
        <v>SCN_013_H</v>
      </c>
      <c r="D14" s="26" t="str">
        <f t="shared" si="1"/>
        <v>SCN_013_R</v>
      </c>
      <c r="E14" s="26" t="str">
        <f t="shared" si="2"/>
        <v>SCN_013_S</v>
      </c>
      <c r="F14" s="26">
        <v>2</v>
      </c>
      <c r="G14" s="26">
        <v>1</v>
      </c>
      <c r="H14" s="26">
        <v>2</v>
      </c>
      <c r="I14" s="26" t="s">
        <v>245</v>
      </c>
      <c r="J14" s="26" t="s">
        <v>269</v>
      </c>
      <c r="K14" s="26" t="s">
        <v>100</v>
      </c>
      <c r="L14" s="46" t="s">
        <v>384</v>
      </c>
      <c r="M14" s="26" t="s">
        <v>383</v>
      </c>
      <c r="N14" s="30" t="s">
        <v>247</v>
      </c>
      <c r="O14" s="30" t="s">
        <v>248</v>
      </c>
      <c r="P14" s="27" t="s">
        <v>259</v>
      </c>
      <c r="Q14" s="30" t="s">
        <v>250</v>
      </c>
      <c r="R14" s="30" t="s">
        <v>248</v>
      </c>
      <c r="S14" s="32" t="s">
        <v>282</v>
      </c>
      <c r="T14" s="26"/>
      <c r="U14" s="26"/>
      <c r="V14" s="26"/>
      <c r="W14" s="26" t="s">
        <v>252</v>
      </c>
      <c r="X14" s="26" t="s">
        <v>253</v>
      </c>
      <c r="Y14" s="26">
        <v>2</v>
      </c>
      <c r="Z14" s="26" t="s">
        <v>260</v>
      </c>
      <c r="AA14" s="26" t="s">
        <v>299</v>
      </c>
      <c r="AB14" s="38" t="b">
        <v>1</v>
      </c>
      <c r="AC14" s="27"/>
      <c r="AD14" s="27"/>
      <c r="AE14" s="43" t="str">
        <f t="shared" ca="1" si="3"/>
        <v>א'</v>
      </c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</row>
    <row r="15" spans="1:44" x14ac:dyDescent="0.25">
      <c r="A15" s="36" t="s">
        <v>300</v>
      </c>
      <c r="B15" s="26" t="s">
        <v>301</v>
      </c>
      <c r="C15" s="26" t="str">
        <f t="shared" si="0"/>
        <v>SCN_014_H</v>
      </c>
      <c r="D15" s="26" t="str">
        <f t="shared" si="1"/>
        <v>SCN_014_R</v>
      </c>
      <c r="E15" s="26" t="str">
        <f t="shared" si="2"/>
        <v>SCN_014_S</v>
      </c>
      <c r="F15" s="26">
        <v>3</v>
      </c>
      <c r="G15" s="26">
        <v>1</v>
      </c>
      <c r="H15" s="26">
        <v>2</v>
      </c>
      <c r="I15" s="26" t="s">
        <v>257</v>
      </c>
      <c r="J15" s="26" t="s">
        <v>269</v>
      </c>
      <c r="K15" s="26" t="s">
        <v>91</v>
      </c>
      <c r="L15" s="46" t="s">
        <v>383</v>
      </c>
      <c r="M15" s="26" t="s">
        <v>384</v>
      </c>
      <c r="N15" s="30" t="s">
        <v>258</v>
      </c>
      <c r="O15" s="30" t="s">
        <v>248</v>
      </c>
      <c r="P15" s="27" t="s">
        <v>259</v>
      </c>
      <c r="Q15" s="30" t="s">
        <v>250</v>
      </c>
      <c r="R15" s="30" t="s">
        <v>248</v>
      </c>
      <c r="S15" s="27" t="s">
        <v>251</v>
      </c>
      <c r="T15" s="26"/>
      <c r="U15" s="26"/>
      <c r="V15" s="26"/>
      <c r="W15" s="26" t="s">
        <v>252</v>
      </c>
      <c r="X15" s="26" t="s">
        <v>265</v>
      </c>
      <c r="Y15" s="26"/>
      <c r="Z15" s="26"/>
      <c r="AA15" s="26" t="s">
        <v>266</v>
      </c>
      <c r="AB15" s="38" t="b">
        <v>1</v>
      </c>
      <c r="AC15" s="27"/>
      <c r="AD15" s="27"/>
      <c r="AE15" s="43" t="str">
        <f t="shared" ca="1" si="3"/>
        <v>ב'</v>
      </c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</row>
    <row r="16" spans="1:44" x14ac:dyDescent="0.25">
      <c r="A16" s="36" t="s">
        <v>302</v>
      </c>
      <c r="B16" s="26" t="s">
        <v>303</v>
      </c>
      <c r="C16" s="26" t="str">
        <f t="shared" si="0"/>
        <v>SCN_015_H</v>
      </c>
      <c r="D16" s="26" t="str">
        <f t="shared" si="1"/>
        <v>SCN_015_R</v>
      </c>
      <c r="E16" s="26" t="str">
        <f t="shared" si="2"/>
        <v>SCN_015_S</v>
      </c>
      <c r="F16" s="26">
        <v>2</v>
      </c>
      <c r="G16" s="26">
        <v>2</v>
      </c>
      <c r="H16" s="26">
        <v>1</v>
      </c>
      <c r="I16" s="26" t="s">
        <v>257</v>
      </c>
      <c r="J16" s="26" t="s">
        <v>269</v>
      </c>
      <c r="K16" s="26" t="s">
        <v>91</v>
      </c>
      <c r="L16" s="47" t="s">
        <v>386</v>
      </c>
      <c r="M16" s="26" t="s">
        <v>384</v>
      </c>
      <c r="N16" s="30" t="s">
        <v>258</v>
      </c>
      <c r="O16" s="30" t="s">
        <v>248</v>
      </c>
      <c r="P16" s="27" t="s">
        <v>259</v>
      </c>
      <c r="Q16" s="30" t="s">
        <v>264</v>
      </c>
      <c r="R16" s="30" t="s">
        <v>248</v>
      </c>
      <c r="S16" s="27" t="s">
        <v>259</v>
      </c>
      <c r="T16" s="26"/>
      <c r="U16" s="26"/>
      <c r="V16" s="26"/>
      <c r="W16" s="26" t="s">
        <v>252</v>
      </c>
      <c r="X16" s="26" t="s">
        <v>265</v>
      </c>
      <c r="Y16" s="26"/>
      <c r="Z16" s="26"/>
      <c r="AA16" s="26" t="s">
        <v>266</v>
      </c>
      <c r="AB16" s="38" t="b">
        <v>1</v>
      </c>
      <c r="AC16" s="27"/>
      <c r="AD16" s="27"/>
      <c r="AE16" s="43" t="str">
        <f t="shared" ca="1" si="3"/>
        <v>ג'</v>
      </c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</row>
    <row r="17" spans="1:44" x14ac:dyDescent="0.25">
      <c r="A17" s="36" t="s">
        <v>304</v>
      </c>
      <c r="B17" s="26" t="s">
        <v>305</v>
      </c>
      <c r="C17" s="26" t="str">
        <f t="shared" si="0"/>
        <v>SCN_016_H</v>
      </c>
      <c r="D17" s="26" t="str">
        <f t="shared" si="1"/>
        <v>SCN_016_R</v>
      </c>
      <c r="E17" s="26" t="str">
        <f t="shared" si="2"/>
        <v>SCN_016_S</v>
      </c>
      <c r="F17" s="26">
        <v>2</v>
      </c>
      <c r="G17" s="26">
        <v>2</v>
      </c>
      <c r="H17" s="26">
        <v>2</v>
      </c>
      <c r="I17" s="26" t="s">
        <v>245</v>
      </c>
      <c r="J17" s="26" t="s">
        <v>269</v>
      </c>
      <c r="K17" s="26" t="s">
        <v>100</v>
      </c>
      <c r="L17" s="46" t="s">
        <v>384</v>
      </c>
      <c r="M17" s="26" t="s">
        <v>386</v>
      </c>
      <c r="N17" s="30" t="s">
        <v>270</v>
      </c>
      <c r="O17" s="30" t="s">
        <v>248</v>
      </c>
      <c r="P17" s="27" t="s">
        <v>282</v>
      </c>
      <c r="Q17" s="30" t="s">
        <v>264</v>
      </c>
      <c r="R17" s="30" t="s">
        <v>248</v>
      </c>
      <c r="S17" s="27" t="s">
        <v>251</v>
      </c>
      <c r="T17" s="26"/>
      <c r="U17" s="26"/>
      <c r="V17" s="26"/>
      <c r="W17" s="26" t="s">
        <v>252</v>
      </c>
      <c r="X17" s="26" t="s">
        <v>260</v>
      </c>
      <c r="Y17" s="26">
        <v>2</v>
      </c>
      <c r="Z17" s="26" t="s">
        <v>253</v>
      </c>
      <c r="AA17" s="26" t="s">
        <v>285</v>
      </c>
      <c r="AB17" s="38" t="b">
        <v>1</v>
      </c>
      <c r="AC17" s="27"/>
      <c r="AD17" s="27"/>
      <c r="AE17" s="43" t="str">
        <f t="shared" ca="1" si="3"/>
        <v>א'</v>
      </c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</row>
    <row r="18" spans="1:44" x14ac:dyDescent="0.25">
      <c r="A18" s="36" t="s">
        <v>306</v>
      </c>
      <c r="B18" s="26" t="s">
        <v>307</v>
      </c>
      <c r="C18" s="26" t="str">
        <f t="shared" si="0"/>
        <v>SCN_017_H</v>
      </c>
      <c r="D18" s="26" t="str">
        <f t="shared" si="1"/>
        <v>SCN_017_R</v>
      </c>
      <c r="E18" s="26" t="str">
        <f t="shared" si="2"/>
        <v>SCN_017_S</v>
      </c>
      <c r="F18" s="26">
        <v>3</v>
      </c>
      <c r="G18" s="26">
        <v>1</v>
      </c>
      <c r="H18" s="26">
        <v>2</v>
      </c>
      <c r="I18" s="26" t="s">
        <v>245</v>
      </c>
      <c r="J18" s="26" t="s">
        <v>269</v>
      </c>
      <c r="K18" s="26" t="s">
        <v>91</v>
      </c>
      <c r="L18" s="47" t="s">
        <v>386</v>
      </c>
      <c r="M18" s="26" t="s">
        <v>383</v>
      </c>
      <c r="N18" s="30" t="s">
        <v>270</v>
      </c>
      <c r="O18" s="30" t="s">
        <v>248</v>
      </c>
      <c r="P18" s="27" t="s">
        <v>251</v>
      </c>
      <c r="Q18" s="30" t="s">
        <v>274</v>
      </c>
      <c r="R18" s="30" t="s">
        <v>248</v>
      </c>
      <c r="S18" s="32" t="s">
        <v>271</v>
      </c>
      <c r="T18" s="26"/>
      <c r="U18" s="26"/>
      <c r="V18" s="26"/>
      <c r="W18" s="26" t="s">
        <v>252</v>
      </c>
      <c r="X18" s="26" t="s">
        <v>260</v>
      </c>
      <c r="Y18" s="26"/>
      <c r="Z18" s="26"/>
      <c r="AA18" s="26" t="s">
        <v>261</v>
      </c>
      <c r="AB18" s="38" t="b">
        <v>1</v>
      </c>
      <c r="AC18" s="27"/>
      <c r="AD18" s="27"/>
      <c r="AE18" s="43" t="str">
        <f t="shared" ca="1" si="3"/>
        <v>א'</v>
      </c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</row>
    <row r="19" spans="1:44" x14ac:dyDescent="0.25">
      <c r="A19" s="36" t="s">
        <v>308</v>
      </c>
      <c r="B19" s="26" t="s">
        <v>309</v>
      </c>
      <c r="C19" s="26" t="str">
        <f t="shared" si="0"/>
        <v>SCN_018_H</v>
      </c>
      <c r="D19" s="26" t="str">
        <f t="shared" si="1"/>
        <v>SCN_018_R</v>
      </c>
      <c r="E19" s="26" t="str">
        <f t="shared" si="2"/>
        <v>SCN_018_S</v>
      </c>
      <c r="F19" s="26">
        <v>2</v>
      </c>
      <c r="G19" s="26">
        <v>2</v>
      </c>
      <c r="H19" s="26">
        <v>3</v>
      </c>
      <c r="I19" s="26" t="s">
        <v>245</v>
      </c>
      <c r="J19" s="26" t="s">
        <v>269</v>
      </c>
      <c r="K19" s="26" t="s">
        <v>100</v>
      </c>
      <c r="L19" s="47" t="s">
        <v>383</v>
      </c>
      <c r="M19" s="26" t="s">
        <v>384</v>
      </c>
      <c r="N19" s="30" t="s">
        <v>247</v>
      </c>
      <c r="O19" s="30" t="s">
        <v>248</v>
      </c>
      <c r="P19" s="27" t="s">
        <v>249</v>
      </c>
      <c r="Q19" s="30" t="s">
        <v>274</v>
      </c>
      <c r="R19" s="30" t="s">
        <v>248</v>
      </c>
      <c r="S19" s="27" t="s">
        <v>259</v>
      </c>
      <c r="T19" s="26"/>
      <c r="U19" s="26"/>
      <c r="V19" s="26"/>
      <c r="W19" s="26" t="s">
        <v>252</v>
      </c>
      <c r="X19" s="26" t="s">
        <v>265</v>
      </c>
      <c r="Y19" s="26">
        <v>3</v>
      </c>
      <c r="Z19" s="26" t="s">
        <v>260</v>
      </c>
      <c r="AA19" s="26" t="s">
        <v>310</v>
      </c>
      <c r="AB19" s="38" t="b">
        <v>1</v>
      </c>
      <c r="AC19" s="27"/>
      <c r="AD19" s="27"/>
      <c r="AE19" s="43" t="str">
        <f t="shared" ca="1" si="3"/>
        <v>ג'</v>
      </c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</row>
    <row r="20" spans="1:44" x14ac:dyDescent="0.25">
      <c r="A20" s="36" t="s">
        <v>311</v>
      </c>
      <c r="B20" s="26" t="s">
        <v>312</v>
      </c>
      <c r="C20" s="26" t="str">
        <f t="shared" si="0"/>
        <v>SCN_019_H</v>
      </c>
      <c r="D20" s="26" t="str">
        <f t="shared" si="1"/>
        <v>SCN_019_R</v>
      </c>
      <c r="E20" s="26" t="str">
        <f t="shared" si="2"/>
        <v>SCN_019_S</v>
      </c>
      <c r="F20" s="26">
        <v>2</v>
      </c>
      <c r="G20" s="26">
        <v>2</v>
      </c>
      <c r="H20" s="26">
        <v>0</v>
      </c>
      <c r="I20" s="26" t="s">
        <v>245</v>
      </c>
      <c r="J20" s="26" t="s">
        <v>269</v>
      </c>
      <c r="K20" s="26" t="s">
        <v>91</v>
      </c>
      <c r="L20" s="47" t="s">
        <v>386</v>
      </c>
      <c r="M20" s="26" t="s">
        <v>383</v>
      </c>
      <c r="N20" s="30" t="s">
        <v>247</v>
      </c>
      <c r="O20" s="30" t="s">
        <v>248</v>
      </c>
      <c r="P20" s="27" t="s">
        <v>249</v>
      </c>
      <c r="Q20" s="30" t="s">
        <v>250</v>
      </c>
      <c r="R20" s="30" t="s">
        <v>248</v>
      </c>
      <c r="S20" s="27" t="s">
        <v>282</v>
      </c>
      <c r="T20" s="26"/>
      <c r="U20" s="26"/>
      <c r="V20" s="26"/>
      <c r="W20" s="26" t="s">
        <v>252</v>
      </c>
      <c r="X20" s="26" t="s">
        <v>265</v>
      </c>
      <c r="Y20" s="26"/>
      <c r="Z20" s="26"/>
      <c r="AA20" s="26" t="s">
        <v>266</v>
      </c>
      <c r="AB20" s="38" t="b">
        <v>1</v>
      </c>
      <c r="AC20" s="27"/>
      <c r="AD20" s="27"/>
      <c r="AE20" s="43" t="str">
        <f t="shared" ca="1" si="3"/>
        <v>ב'</v>
      </c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</row>
    <row r="21" spans="1:44" ht="15.75" customHeight="1" x14ac:dyDescent="0.25">
      <c r="A21" s="36" t="s">
        <v>313</v>
      </c>
      <c r="B21" s="26" t="s">
        <v>314</v>
      </c>
      <c r="C21" s="26" t="str">
        <f t="shared" si="0"/>
        <v>SCN_020_H</v>
      </c>
      <c r="D21" s="26" t="str">
        <f t="shared" si="1"/>
        <v>SCN_020_R</v>
      </c>
      <c r="E21" s="26" t="str">
        <f t="shared" si="2"/>
        <v>SCN_020_S</v>
      </c>
      <c r="F21" s="26">
        <v>2</v>
      </c>
      <c r="G21" s="26">
        <v>2</v>
      </c>
      <c r="H21" s="26">
        <v>0</v>
      </c>
      <c r="I21" s="26" t="s">
        <v>245</v>
      </c>
      <c r="J21" s="26" t="s">
        <v>269</v>
      </c>
      <c r="K21" s="26" t="s">
        <v>100</v>
      </c>
      <c r="L21" s="47" t="s">
        <v>386</v>
      </c>
      <c r="M21" s="26" t="s">
        <v>384</v>
      </c>
      <c r="N21" s="30" t="s">
        <v>258</v>
      </c>
      <c r="O21" s="30" t="s">
        <v>248</v>
      </c>
      <c r="P21" s="27" t="s">
        <v>249</v>
      </c>
      <c r="Q21" s="30" t="s">
        <v>250</v>
      </c>
      <c r="R21" s="30" t="s">
        <v>248</v>
      </c>
      <c r="S21" s="27" t="s">
        <v>249</v>
      </c>
      <c r="T21" s="26"/>
      <c r="U21" s="26"/>
      <c r="V21" s="26"/>
      <c r="W21" s="26" t="s">
        <v>252</v>
      </c>
      <c r="X21" s="26" t="s">
        <v>265</v>
      </c>
      <c r="Y21" s="26">
        <v>2</v>
      </c>
      <c r="Z21" s="26" t="s">
        <v>253</v>
      </c>
      <c r="AA21" s="26" t="s">
        <v>315</v>
      </c>
      <c r="AB21" s="38" t="b">
        <v>1</v>
      </c>
      <c r="AC21" s="27"/>
      <c r="AD21" s="27"/>
      <c r="AE21" s="43" t="str">
        <f t="shared" ca="1" si="3"/>
        <v>א'</v>
      </c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</row>
    <row r="22" spans="1:44" ht="15.75" customHeight="1" x14ac:dyDescent="0.25">
      <c r="A22" s="36" t="s">
        <v>316</v>
      </c>
      <c r="B22" s="26" t="s">
        <v>317</v>
      </c>
      <c r="C22" s="26" t="str">
        <f t="shared" si="0"/>
        <v>SCN_021_H</v>
      </c>
      <c r="D22" s="26" t="str">
        <f t="shared" si="1"/>
        <v>SCN_021_R</v>
      </c>
      <c r="E22" s="26" t="str">
        <f t="shared" si="2"/>
        <v>SCN_021_S</v>
      </c>
      <c r="F22" s="26">
        <v>1</v>
      </c>
      <c r="G22" s="26">
        <v>1</v>
      </c>
      <c r="H22" s="26">
        <v>3</v>
      </c>
      <c r="I22" s="26" t="s">
        <v>245</v>
      </c>
      <c r="J22" s="26" t="s">
        <v>269</v>
      </c>
      <c r="K22" s="26" t="s">
        <v>91</v>
      </c>
      <c r="L22" s="46" t="s">
        <v>384</v>
      </c>
      <c r="M22" s="26" t="s">
        <v>386</v>
      </c>
      <c r="N22" s="30" t="s">
        <v>258</v>
      </c>
      <c r="O22" s="30" t="s">
        <v>248</v>
      </c>
      <c r="P22" s="27" t="s">
        <v>259</v>
      </c>
      <c r="Q22" s="30" t="s">
        <v>264</v>
      </c>
      <c r="R22" s="30" t="s">
        <v>248</v>
      </c>
      <c r="S22" s="27" t="s">
        <v>251</v>
      </c>
      <c r="T22" s="26"/>
      <c r="U22" s="26"/>
      <c r="V22" s="26"/>
      <c r="W22" s="26" t="s">
        <v>252</v>
      </c>
      <c r="X22" s="26" t="s">
        <v>253</v>
      </c>
      <c r="Y22" s="26"/>
      <c r="Z22" s="26"/>
      <c r="AA22" s="26" t="s">
        <v>254</v>
      </c>
      <c r="AB22" s="38" t="b">
        <v>1</v>
      </c>
      <c r="AC22" s="27"/>
      <c r="AD22" s="27"/>
      <c r="AE22" s="43" t="str">
        <f t="shared" ca="1" si="3"/>
        <v>א'</v>
      </c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</row>
    <row r="23" spans="1:44" ht="15.75" customHeight="1" x14ac:dyDescent="0.25">
      <c r="A23" s="36" t="s">
        <v>318</v>
      </c>
      <c r="B23" s="26" t="s">
        <v>319</v>
      </c>
      <c r="C23" s="26" t="str">
        <f t="shared" si="0"/>
        <v>SCN_022_H</v>
      </c>
      <c r="D23" s="26" t="str">
        <f t="shared" si="1"/>
        <v>SCN_022_R</v>
      </c>
      <c r="E23" s="26" t="str">
        <f t="shared" si="2"/>
        <v>SCN_022_S</v>
      </c>
      <c r="F23" s="26">
        <v>2</v>
      </c>
      <c r="G23" s="26">
        <v>1</v>
      </c>
      <c r="H23" s="26">
        <v>2</v>
      </c>
      <c r="I23" s="26" t="s">
        <v>257</v>
      </c>
      <c r="J23" s="26" t="s">
        <v>269</v>
      </c>
      <c r="K23" s="26" t="s">
        <v>100</v>
      </c>
      <c r="L23" s="46" t="s">
        <v>383</v>
      </c>
      <c r="M23" s="26" t="s">
        <v>384</v>
      </c>
      <c r="N23" s="30" t="s">
        <v>270</v>
      </c>
      <c r="O23" s="30" t="s">
        <v>248</v>
      </c>
      <c r="P23" s="27" t="s">
        <v>251</v>
      </c>
      <c r="Q23" s="30" t="s">
        <v>264</v>
      </c>
      <c r="R23" s="30" t="s">
        <v>248</v>
      </c>
      <c r="S23" s="27" t="s">
        <v>251</v>
      </c>
      <c r="T23" s="26"/>
      <c r="U23" s="26"/>
      <c r="V23" s="26"/>
      <c r="W23" s="26" t="s">
        <v>252</v>
      </c>
      <c r="X23" s="26" t="s">
        <v>253</v>
      </c>
      <c r="Y23" s="26">
        <v>3</v>
      </c>
      <c r="Z23" s="26" t="s">
        <v>260</v>
      </c>
      <c r="AA23" s="26" t="s">
        <v>320</v>
      </c>
      <c r="AB23" s="38" t="b">
        <v>1</v>
      </c>
      <c r="AC23" s="27"/>
      <c r="AD23" s="27"/>
      <c r="AE23" s="43" t="str">
        <f t="shared" ca="1" si="3"/>
        <v>ב'</v>
      </c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</row>
    <row r="24" spans="1:44" ht="15.75" customHeight="1" x14ac:dyDescent="0.25">
      <c r="A24" s="36" t="s">
        <v>321</v>
      </c>
      <c r="B24" s="26" t="s">
        <v>322</v>
      </c>
      <c r="C24" s="26" t="str">
        <f t="shared" si="0"/>
        <v>SCN_023_H</v>
      </c>
      <c r="D24" s="26" t="str">
        <f t="shared" si="1"/>
        <v>SCN_023_R</v>
      </c>
      <c r="E24" s="26" t="str">
        <f t="shared" si="2"/>
        <v>SCN_023_S</v>
      </c>
      <c r="F24" s="26">
        <v>1</v>
      </c>
      <c r="G24" s="26">
        <v>0</v>
      </c>
      <c r="H24" s="26">
        <v>2</v>
      </c>
      <c r="I24" s="26" t="s">
        <v>257</v>
      </c>
      <c r="J24" s="26" t="s">
        <v>269</v>
      </c>
      <c r="K24" s="26" t="s">
        <v>91</v>
      </c>
      <c r="L24" s="47" t="s">
        <v>386</v>
      </c>
      <c r="M24" s="26" t="s">
        <v>383</v>
      </c>
      <c r="N24" s="30" t="s">
        <v>270</v>
      </c>
      <c r="O24" s="30" t="s">
        <v>248</v>
      </c>
      <c r="P24" s="27" t="s">
        <v>259</v>
      </c>
      <c r="Q24" s="30" t="s">
        <v>274</v>
      </c>
      <c r="R24" s="30" t="s">
        <v>248</v>
      </c>
      <c r="S24" s="27" t="s">
        <v>249</v>
      </c>
      <c r="T24" s="26"/>
      <c r="U24" s="26"/>
      <c r="V24" s="26"/>
      <c r="W24" s="26" t="s">
        <v>252</v>
      </c>
      <c r="X24" s="26" t="s">
        <v>260</v>
      </c>
      <c r="Y24" s="26"/>
      <c r="Z24" s="26"/>
      <c r="AA24" s="26" t="s">
        <v>261</v>
      </c>
      <c r="AB24" s="38" t="b">
        <v>1</v>
      </c>
      <c r="AC24" s="27"/>
      <c r="AD24" s="27"/>
      <c r="AE24" s="43" t="str">
        <f t="shared" ca="1" si="3"/>
        <v>א'</v>
      </c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</row>
    <row r="25" spans="1:44" ht="15.75" customHeight="1" x14ac:dyDescent="0.25">
      <c r="A25" s="36" t="s">
        <v>323</v>
      </c>
      <c r="B25" s="26" t="s">
        <v>324</v>
      </c>
      <c r="C25" s="26" t="str">
        <f t="shared" si="0"/>
        <v>SCN_024_H</v>
      </c>
      <c r="D25" s="26" t="str">
        <f t="shared" si="1"/>
        <v>SCN_024_R</v>
      </c>
      <c r="E25" s="26" t="str">
        <f t="shared" si="2"/>
        <v>SCN_024_S</v>
      </c>
      <c r="F25" s="26">
        <v>2</v>
      </c>
      <c r="G25" s="26">
        <v>0</v>
      </c>
      <c r="H25" s="26">
        <v>2</v>
      </c>
      <c r="I25" s="26" t="s">
        <v>257</v>
      </c>
      <c r="J25" s="26" t="s">
        <v>269</v>
      </c>
      <c r="K25" s="26" t="s">
        <v>100</v>
      </c>
      <c r="L25" s="47" t="s">
        <v>384</v>
      </c>
      <c r="M25" s="26" t="s">
        <v>386</v>
      </c>
      <c r="N25" s="30" t="s">
        <v>247</v>
      </c>
      <c r="O25" s="30" t="s">
        <v>248</v>
      </c>
      <c r="P25" s="27" t="s">
        <v>259</v>
      </c>
      <c r="Q25" s="30" t="s">
        <v>274</v>
      </c>
      <c r="R25" s="30" t="s">
        <v>248</v>
      </c>
      <c r="S25" s="27" t="s">
        <v>271</v>
      </c>
      <c r="T25" s="26"/>
      <c r="U25" s="26"/>
      <c r="V25" s="26"/>
      <c r="W25" s="26" t="s">
        <v>252</v>
      </c>
      <c r="X25" s="26" t="s">
        <v>260</v>
      </c>
      <c r="Y25" s="26">
        <v>1</v>
      </c>
      <c r="Z25" s="26" t="s">
        <v>253</v>
      </c>
      <c r="AA25" s="26" t="s">
        <v>325</v>
      </c>
      <c r="AB25" s="38" t="b">
        <v>1</v>
      </c>
      <c r="AC25" s="27"/>
      <c r="AD25" s="27"/>
      <c r="AE25" s="43" t="str">
        <f t="shared" ca="1" si="3"/>
        <v>ב'</v>
      </c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</row>
    <row r="26" spans="1:44" ht="15.75" customHeight="1" x14ac:dyDescent="0.25">
      <c r="A26" s="36" t="s">
        <v>326</v>
      </c>
      <c r="B26" s="26" t="s">
        <v>327</v>
      </c>
      <c r="C26" s="26" t="str">
        <f t="shared" si="0"/>
        <v>SCN_025_H</v>
      </c>
      <c r="D26" s="26" t="str">
        <f t="shared" si="1"/>
        <v>SCN_025_R</v>
      </c>
      <c r="E26" s="26" t="str">
        <f t="shared" si="2"/>
        <v>SCN_025_S</v>
      </c>
      <c r="F26" s="26">
        <v>1</v>
      </c>
      <c r="G26" s="26">
        <v>2</v>
      </c>
      <c r="H26" s="26">
        <v>2</v>
      </c>
      <c r="I26" s="26" t="s">
        <v>257</v>
      </c>
      <c r="J26" s="26" t="s">
        <v>269</v>
      </c>
      <c r="K26" s="26" t="s">
        <v>91</v>
      </c>
      <c r="L26" s="47" t="s">
        <v>386</v>
      </c>
      <c r="M26" s="26" t="s">
        <v>383</v>
      </c>
      <c r="N26" s="30" t="s">
        <v>247</v>
      </c>
      <c r="O26" s="30" t="s">
        <v>248</v>
      </c>
      <c r="P26" s="27" t="s">
        <v>249</v>
      </c>
      <c r="Q26" s="30" t="s">
        <v>250</v>
      </c>
      <c r="R26" s="30" t="s">
        <v>248</v>
      </c>
      <c r="S26" s="27" t="s">
        <v>249</v>
      </c>
      <c r="T26" s="26"/>
      <c r="U26" s="26"/>
      <c r="V26" s="26"/>
      <c r="W26" s="26" t="s">
        <v>252</v>
      </c>
      <c r="X26" s="26" t="s">
        <v>253</v>
      </c>
      <c r="Y26" s="26"/>
      <c r="Z26" s="26"/>
      <c r="AA26" s="26" t="s">
        <v>254</v>
      </c>
      <c r="AB26" s="38" t="b">
        <v>1</v>
      </c>
      <c r="AC26" s="27"/>
      <c r="AD26" s="27"/>
      <c r="AE26" s="43" t="str">
        <f t="shared" ca="1" si="3"/>
        <v>ב'</v>
      </c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</row>
    <row r="27" spans="1:44" ht="15.75" customHeight="1" x14ac:dyDescent="0.25">
      <c r="A27" s="36" t="s">
        <v>328</v>
      </c>
      <c r="B27" s="26" t="s">
        <v>329</v>
      </c>
      <c r="C27" s="26" t="str">
        <f t="shared" si="0"/>
        <v>SCN_026_H</v>
      </c>
      <c r="D27" s="26" t="str">
        <f t="shared" si="1"/>
        <v>SCN_026_R</v>
      </c>
      <c r="E27" s="26" t="str">
        <f t="shared" si="2"/>
        <v>SCN_026_S</v>
      </c>
      <c r="F27" s="26">
        <v>2</v>
      </c>
      <c r="G27" s="26">
        <v>1</v>
      </c>
      <c r="H27" s="26">
        <v>0</v>
      </c>
      <c r="I27" s="26" t="s">
        <v>245</v>
      </c>
      <c r="J27" s="26" t="s">
        <v>269</v>
      </c>
      <c r="K27" s="26" t="s">
        <v>100</v>
      </c>
      <c r="L27" s="47" t="s">
        <v>386</v>
      </c>
      <c r="M27" s="26" t="s">
        <v>384</v>
      </c>
      <c r="N27" s="30" t="s">
        <v>258</v>
      </c>
      <c r="O27" s="30" t="s">
        <v>248</v>
      </c>
      <c r="P27" s="27" t="s">
        <v>259</v>
      </c>
      <c r="Q27" s="30" t="s">
        <v>250</v>
      </c>
      <c r="R27" s="30" t="s">
        <v>248</v>
      </c>
      <c r="S27" s="27" t="s">
        <v>249</v>
      </c>
      <c r="T27" s="26"/>
      <c r="U27" s="26"/>
      <c r="V27" s="26"/>
      <c r="W27" s="26" t="s">
        <v>252</v>
      </c>
      <c r="X27" s="26" t="s">
        <v>265</v>
      </c>
      <c r="Y27" s="26">
        <v>3</v>
      </c>
      <c r="Z27" s="26" t="s">
        <v>253</v>
      </c>
      <c r="AA27" s="26" t="s">
        <v>291</v>
      </c>
      <c r="AB27" s="38" t="b">
        <v>1</v>
      </c>
      <c r="AC27" s="27"/>
      <c r="AD27" s="27"/>
      <c r="AE27" s="43" t="str">
        <f t="shared" ca="1" si="3"/>
        <v>א'</v>
      </c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</row>
    <row r="28" spans="1:44" ht="15.75" customHeight="1" x14ac:dyDescent="0.25">
      <c r="A28" s="36" t="s">
        <v>330</v>
      </c>
      <c r="B28" s="26" t="s">
        <v>331</v>
      </c>
      <c r="C28" s="26" t="str">
        <f t="shared" si="0"/>
        <v>SCN_027_H</v>
      </c>
      <c r="D28" s="26" t="str">
        <f t="shared" si="1"/>
        <v>SCN_027_R</v>
      </c>
      <c r="E28" s="26" t="str">
        <f t="shared" si="2"/>
        <v>SCN_027_S</v>
      </c>
      <c r="F28" s="26">
        <v>2</v>
      </c>
      <c r="G28" s="26">
        <v>1</v>
      </c>
      <c r="H28" s="26">
        <v>3</v>
      </c>
      <c r="I28" s="26" t="s">
        <v>257</v>
      </c>
      <c r="J28" s="26" t="s">
        <v>269</v>
      </c>
      <c r="K28" s="26" t="s">
        <v>91</v>
      </c>
      <c r="L28" s="47" t="s">
        <v>384</v>
      </c>
      <c r="M28" s="26" t="s">
        <v>386</v>
      </c>
      <c r="N28" s="30" t="s">
        <v>258</v>
      </c>
      <c r="O28" s="30" t="s">
        <v>248</v>
      </c>
      <c r="P28" s="27" t="s">
        <v>249</v>
      </c>
      <c r="Q28" s="30" t="s">
        <v>264</v>
      </c>
      <c r="R28" s="30" t="s">
        <v>248</v>
      </c>
      <c r="S28" s="27" t="s">
        <v>259</v>
      </c>
      <c r="T28" s="26"/>
      <c r="U28" s="26"/>
      <c r="V28" s="26"/>
      <c r="W28" s="26" t="s">
        <v>252</v>
      </c>
      <c r="X28" s="26" t="s">
        <v>265</v>
      </c>
      <c r="Y28" s="26"/>
      <c r="Z28" s="26"/>
      <c r="AA28" s="26" t="s">
        <v>266</v>
      </c>
      <c r="AB28" s="38" t="b">
        <v>1</v>
      </c>
      <c r="AC28" s="27"/>
      <c r="AD28" s="27"/>
      <c r="AE28" s="43" t="str">
        <f t="shared" ca="1" si="3"/>
        <v>א'</v>
      </c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</row>
    <row r="29" spans="1:44" ht="15.75" customHeight="1" x14ac:dyDescent="0.25">
      <c r="A29" s="36" t="s">
        <v>332</v>
      </c>
      <c r="B29" s="26" t="s">
        <v>333</v>
      </c>
      <c r="C29" s="26" t="str">
        <f t="shared" si="0"/>
        <v>SCN_028_H</v>
      </c>
      <c r="D29" s="26" t="str">
        <f t="shared" si="1"/>
        <v>SCN_028_R</v>
      </c>
      <c r="E29" s="26" t="str">
        <f t="shared" si="2"/>
        <v>SCN_028_S</v>
      </c>
      <c r="F29" s="26">
        <v>2</v>
      </c>
      <c r="G29" s="26">
        <v>1</v>
      </c>
      <c r="H29" s="26">
        <v>1</v>
      </c>
      <c r="I29" s="26" t="s">
        <v>257</v>
      </c>
      <c r="J29" s="26" t="s">
        <v>269</v>
      </c>
      <c r="K29" s="26" t="s">
        <v>100</v>
      </c>
      <c r="L29" s="47" t="s">
        <v>386</v>
      </c>
      <c r="M29" s="26" t="s">
        <v>383</v>
      </c>
      <c r="N29" s="30" t="s">
        <v>270</v>
      </c>
      <c r="O29" s="30" t="s">
        <v>248</v>
      </c>
      <c r="P29" s="27" t="s">
        <v>277</v>
      </c>
      <c r="Q29" s="30" t="s">
        <v>264</v>
      </c>
      <c r="R29" s="30" t="s">
        <v>248</v>
      </c>
      <c r="S29" s="27" t="s">
        <v>251</v>
      </c>
      <c r="T29" s="26"/>
      <c r="U29" s="26"/>
      <c r="V29" s="26"/>
      <c r="W29" s="26" t="s">
        <v>252</v>
      </c>
      <c r="X29" s="26" t="s">
        <v>260</v>
      </c>
      <c r="Y29" s="26">
        <v>3</v>
      </c>
      <c r="Z29" s="26" t="s">
        <v>265</v>
      </c>
      <c r="AA29" s="26" t="s">
        <v>334</v>
      </c>
      <c r="AB29" s="38" t="b">
        <v>1</v>
      </c>
      <c r="AC29" s="27"/>
      <c r="AD29" s="27"/>
      <c r="AE29" s="43" t="str">
        <f t="shared" ca="1" si="3"/>
        <v>א'</v>
      </c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</row>
    <row r="30" spans="1:44" ht="15.75" customHeight="1" x14ac:dyDescent="0.25">
      <c r="A30" s="36" t="s">
        <v>335</v>
      </c>
      <c r="B30" s="26" t="s">
        <v>336</v>
      </c>
      <c r="C30" s="26" t="str">
        <f t="shared" si="0"/>
        <v>SCN_029_H</v>
      </c>
      <c r="D30" s="26" t="str">
        <f t="shared" si="1"/>
        <v>SCN_029_R</v>
      </c>
      <c r="E30" s="26" t="str">
        <f t="shared" si="2"/>
        <v>SCN_029_S</v>
      </c>
      <c r="F30" s="26">
        <v>2</v>
      </c>
      <c r="G30" s="26">
        <v>2</v>
      </c>
      <c r="H30" s="26">
        <v>1</v>
      </c>
      <c r="I30" s="26" t="s">
        <v>257</v>
      </c>
      <c r="J30" s="26" t="s">
        <v>269</v>
      </c>
      <c r="K30" s="26" t="s">
        <v>100</v>
      </c>
      <c r="L30" s="47" t="s">
        <v>383</v>
      </c>
      <c r="M30" s="26" t="s">
        <v>386</v>
      </c>
      <c r="N30" s="30" t="s">
        <v>270</v>
      </c>
      <c r="O30" s="30" t="s">
        <v>248</v>
      </c>
      <c r="P30" s="27" t="s">
        <v>277</v>
      </c>
      <c r="Q30" s="30" t="s">
        <v>274</v>
      </c>
      <c r="R30" s="30" t="s">
        <v>248</v>
      </c>
      <c r="S30" s="27" t="s">
        <v>249</v>
      </c>
      <c r="T30" s="26"/>
      <c r="U30" s="26"/>
      <c r="V30" s="26"/>
      <c r="W30" s="26" t="s">
        <v>252</v>
      </c>
      <c r="X30" s="26" t="s">
        <v>253</v>
      </c>
      <c r="Y30" s="26">
        <v>1</v>
      </c>
      <c r="Z30" s="26" t="s">
        <v>260</v>
      </c>
      <c r="AA30" s="26" t="s">
        <v>337</v>
      </c>
      <c r="AB30" s="38" t="b">
        <v>1</v>
      </c>
      <c r="AC30" s="27"/>
      <c r="AD30" s="27"/>
      <c r="AE30" s="43" t="str">
        <f t="shared" ca="1" si="3"/>
        <v>ב'</v>
      </c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</row>
    <row r="31" spans="1:44" ht="15.75" customHeight="1" x14ac:dyDescent="0.25">
      <c r="A31" s="36" t="s">
        <v>338</v>
      </c>
      <c r="B31" s="26" t="s">
        <v>339</v>
      </c>
      <c r="C31" s="26" t="str">
        <f t="shared" si="0"/>
        <v>SCN_030_H</v>
      </c>
      <c r="D31" s="26" t="str">
        <f t="shared" si="1"/>
        <v>SCN_030_R</v>
      </c>
      <c r="E31" s="26" t="str">
        <f t="shared" si="2"/>
        <v>SCN_030_S</v>
      </c>
      <c r="F31" s="26">
        <v>1</v>
      </c>
      <c r="G31" s="26">
        <v>3</v>
      </c>
      <c r="H31" s="26">
        <v>0</v>
      </c>
      <c r="I31" s="26" t="s">
        <v>257</v>
      </c>
      <c r="J31" s="26" t="s">
        <v>269</v>
      </c>
      <c r="K31" s="26" t="s">
        <v>91</v>
      </c>
      <c r="L31" s="47" t="s">
        <v>383</v>
      </c>
      <c r="M31" s="26" t="s">
        <v>384</v>
      </c>
      <c r="N31" s="30" t="s">
        <v>247</v>
      </c>
      <c r="O31" s="30" t="s">
        <v>248</v>
      </c>
      <c r="P31" s="27" t="s">
        <v>282</v>
      </c>
      <c r="Q31" s="30" t="s">
        <v>274</v>
      </c>
      <c r="R31" s="30" t="s">
        <v>248</v>
      </c>
      <c r="S31" s="27" t="s">
        <v>282</v>
      </c>
      <c r="T31" s="26"/>
      <c r="U31" s="26"/>
      <c r="V31" s="26"/>
      <c r="W31" s="26" t="s">
        <v>252</v>
      </c>
      <c r="X31" s="26" t="s">
        <v>265</v>
      </c>
      <c r="Y31" s="26"/>
      <c r="Z31" s="26"/>
      <c r="AA31" s="26" t="s">
        <v>266</v>
      </c>
      <c r="AB31" s="38" t="b">
        <v>1</v>
      </c>
      <c r="AC31" s="27"/>
      <c r="AD31" s="27"/>
      <c r="AE31" s="43" t="str">
        <f t="shared" ca="1" si="3"/>
        <v>ב'</v>
      </c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</row>
    <row r="32" spans="1:44" ht="15.75" customHeight="1" x14ac:dyDescent="0.25">
      <c r="A32" s="36" t="s">
        <v>340</v>
      </c>
      <c r="B32" s="26" t="s">
        <v>341</v>
      </c>
      <c r="C32" s="26" t="str">
        <f t="shared" si="0"/>
        <v>SCN_031_H</v>
      </c>
      <c r="D32" s="26" t="str">
        <f t="shared" si="1"/>
        <v>SCN_031_R</v>
      </c>
      <c r="E32" s="26" t="str">
        <f t="shared" si="2"/>
        <v>SCN_031_S</v>
      </c>
      <c r="F32" s="26">
        <v>1</v>
      </c>
      <c r="G32" s="26">
        <v>1</v>
      </c>
      <c r="H32" s="26">
        <v>1</v>
      </c>
      <c r="I32" s="26" t="s">
        <v>245</v>
      </c>
      <c r="J32" s="26" t="s">
        <v>246</v>
      </c>
      <c r="K32" s="26" t="s">
        <v>100</v>
      </c>
      <c r="L32" s="47" t="s">
        <v>383</v>
      </c>
      <c r="M32" s="26" t="s">
        <v>386</v>
      </c>
      <c r="N32" s="30" t="s">
        <v>247</v>
      </c>
      <c r="O32" s="30" t="s">
        <v>248</v>
      </c>
      <c r="P32" s="27" t="s">
        <v>271</v>
      </c>
      <c r="Q32" s="30" t="s">
        <v>250</v>
      </c>
      <c r="R32" s="30" t="s">
        <v>248</v>
      </c>
      <c r="S32" s="27" t="s">
        <v>259</v>
      </c>
      <c r="T32" s="26"/>
      <c r="U32" s="26"/>
      <c r="V32" s="26"/>
      <c r="W32" s="26" t="s">
        <v>252</v>
      </c>
      <c r="X32" s="26" t="s">
        <v>260</v>
      </c>
      <c r="Y32" s="26">
        <v>2</v>
      </c>
      <c r="Z32" s="26" t="s">
        <v>265</v>
      </c>
      <c r="AA32" s="26" t="s">
        <v>296</v>
      </c>
      <c r="AB32" s="38" t="b">
        <v>1</v>
      </c>
      <c r="AC32" s="27"/>
      <c r="AD32" s="27"/>
      <c r="AE32" s="43" t="str">
        <f t="shared" ca="1" si="3"/>
        <v>ג'</v>
      </c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</row>
    <row r="33" spans="1:44" ht="15.75" customHeight="1" x14ac:dyDescent="0.25">
      <c r="A33" s="36" t="s">
        <v>342</v>
      </c>
      <c r="B33" s="26" t="s">
        <v>256</v>
      </c>
      <c r="C33" s="26" t="str">
        <f t="shared" si="0"/>
        <v>SCN_032_H</v>
      </c>
      <c r="D33" s="26" t="str">
        <f t="shared" si="1"/>
        <v>SCN_032_R</v>
      </c>
      <c r="E33" s="26" t="str">
        <f t="shared" si="2"/>
        <v>SCN_032_S</v>
      </c>
      <c r="F33" s="26">
        <v>2</v>
      </c>
      <c r="G33" s="26">
        <v>1</v>
      </c>
      <c r="H33" s="26">
        <v>1</v>
      </c>
      <c r="I33" s="26" t="s">
        <v>257</v>
      </c>
      <c r="J33" s="26" t="s">
        <v>246</v>
      </c>
      <c r="K33" s="26" t="s">
        <v>100</v>
      </c>
      <c r="L33" s="47" t="s">
        <v>383</v>
      </c>
      <c r="M33" s="26" t="s">
        <v>384</v>
      </c>
      <c r="N33" s="33" t="s">
        <v>258</v>
      </c>
      <c r="O33" s="33" t="s">
        <v>248</v>
      </c>
      <c r="P33" s="34" t="s">
        <v>251</v>
      </c>
      <c r="Q33" s="33" t="s">
        <v>250</v>
      </c>
      <c r="R33" s="33" t="s">
        <v>248</v>
      </c>
      <c r="S33" s="34" t="s">
        <v>249</v>
      </c>
      <c r="T33" s="26"/>
      <c r="U33" s="26"/>
      <c r="V33" s="26"/>
      <c r="W33" s="26" t="s">
        <v>252</v>
      </c>
      <c r="X33" s="26" t="s">
        <v>253</v>
      </c>
      <c r="Y33" s="26">
        <v>2</v>
      </c>
      <c r="Z33" s="26" t="s">
        <v>260</v>
      </c>
      <c r="AA33" s="26" t="s">
        <v>299</v>
      </c>
      <c r="AB33" s="38" t="b">
        <v>1</v>
      </c>
      <c r="AC33" s="27"/>
      <c r="AD33" s="27"/>
      <c r="AE33" s="43" t="str">
        <f t="shared" ca="1" si="3"/>
        <v>ב'</v>
      </c>
      <c r="AF33" s="27"/>
      <c r="AG33" s="27"/>
      <c r="AH33" s="27"/>
      <c r="AI33" s="27"/>
      <c r="AJ33" s="27"/>
      <c r="AK33" s="27"/>
      <c r="AL33" s="27"/>
      <c r="AM33" s="34"/>
      <c r="AN33" s="34"/>
      <c r="AO33" s="34"/>
      <c r="AP33" s="34"/>
      <c r="AQ33" s="34"/>
      <c r="AR33" s="34"/>
    </row>
    <row r="34" spans="1:44" ht="15.75" customHeight="1" x14ac:dyDescent="0.25">
      <c r="A34" s="37" t="s">
        <v>343</v>
      </c>
      <c r="B34" s="35" t="s">
        <v>263</v>
      </c>
      <c r="C34" s="35" t="str">
        <f t="shared" si="0"/>
        <v>SCN_033_H</v>
      </c>
      <c r="D34" s="35" t="str">
        <f t="shared" si="1"/>
        <v>SCN_033_R</v>
      </c>
      <c r="E34" s="35" t="str">
        <f t="shared" si="2"/>
        <v>SCN_033_S</v>
      </c>
      <c r="F34" s="35">
        <v>3</v>
      </c>
      <c r="G34" s="35">
        <v>2</v>
      </c>
      <c r="H34" s="35">
        <v>1</v>
      </c>
      <c r="I34" s="35" t="s">
        <v>257</v>
      </c>
      <c r="J34" s="35" t="s">
        <v>246</v>
      </c>
      <c r="K34" s="26" t="s">
        <v>100</v>
      </c>
      <c r="L34" s="50" t="s">
        <v>384</v>
      </c>
      <c r="M34" s="26" t="s">
        <v>383</v>
      </c>
      <c r="N34" s="33" t="s">
        <v>258</v>
      </c>
      <c r="O34" s="33" t="s">
        <v>248</v>
      </c>
      <c r="P34" s="34" t="s">
        <v>259</v>
      </c>
      <c r="Q34" s="33" t="s">
        <v>264</v>
      </c>
      <c r="R34" s="33" t="s">
        <v>248</v>
      </c>
      <c r="S34" s="34" t="s">
        <v>251</v>
      </c>
      <c r="T34" s="35"/>
      <c r="U34" s="35"/>
      <c r="V34" s="35"/>
      <c r="W34" s="35" t="s">
        <v>252</v>
      </c>
      <c r="X34" s="26" t="s">
        <v>265</v>
      </c>
      <c r="Y34" s="26">
        <v>2</v>
      </c>
      <c r="Z34" s="26" t="s">
        <v>253</v>
      </c>
      <c r="AA34" s="26" t="s">
        <v>315</v>
      </c>
      <c r="AB34" s="39" t="b">
        <v>1</v>
      </c>
      <c r="AC34" s="27"/>
      <c r="AD34" s="27"/>
      <c r="AE34" s="43" t="str">
        <f ca="1">IF(L34="א'",IF(RANDBETWEEN(0,1)=0,"ב'","ג'"),IF(M34="ב'",IF(RANDBETWEEN(0,1)=0,"א'","ג'"),IF(RANDBETWEEN(0,1)=0,"א'","ב'")))</f>
        <v>א'</v>
      </c>
      <c r="AF34" s="27"/>
      <c r="AG34" s="27"/>
      <c r="AH34" s="27"/>
      <c r="AI34" s="27"/>
      <c r="AJ34" s="27"/>
      <c r="AK34" s="27"/>
      <c r="AL34" s="27"/>
      <c r="AM34" s="34"/>
      <c r="AN34" s="34"/>
      <c r="AO34" s="34"/>
      <c r="AP34" s="34"/>
      <c r="AQ34" s="34"/>
      <c r="AR34" s="34"/>
    </row>
    <row r="35" spans="1:44" ht="15.75" customHeight="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34"/>
      <c r="AN35" s="34"/>
      <c r="AO35" s="34"/>
      <c r="AP35" s="34"/>
      <c r="AQ35" s="34"/>
      <c r="AR35" s="34"/>
    </row>
    <row r="36" spans="1:44" ht="15.75" customHeight="1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</row>
    <row r="37" spans="1:44" ht="15.75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</row>
    <row r="38" spans="1:44" ht="15.75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</row>
    <row r="39" spans="1:44" ht="15.75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</row>
    <row r="40" spans="1:44" ht="15.75" customHeight="1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</row>
    <row r="41" spans="1:44" ht="15.75" customHeight="1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</row>
    <row r="42" spans="1:44" ht="15.75" customHeight="1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</row>
    <row r="43" spans="1:44" ht="15.75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</row>
    <row r="44" spans="1:44" ht="15.75" customHeight="1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</row>
    <row r="45" spans="1:44" ht="15.75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</row>
    <row r="46" spans="1:44" ht="15.75" customHeight="1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</row>
    <row r="47" spans="1:44" ht="15.75" customHeight="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</row>
    <row r="48" spans="1:44" ht="15.75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</row>
    <row r="49" spans="1:44" ht="15.75" customHeight="1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</row>
    <row r="50" spans="1:44" ht="15.75" customHeight="1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</row>
    <row r="51" spans="1:44" ht="15.75" customHeight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</row>
    <row r="52" spans="1:44" ht="15.75" customHeight="1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</row>
    <row r="53" spans="1:44" ht="15.75" customHeight="1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</row>
    <row r="54" spans="1:44" ht="15.75" customHeight="1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</row>
    <row r="55" spans="1:44" ht="15.75" customHeight="1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</row>
    <row r="56" spans="1:44" ht="15.75" customHeight="1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</row>
    <row r="57" spans="1:44" ht="15.75" customHeight="1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</row>
    <row r="58" spans="1:44" ht="15.75" customHeight="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</row>
    <row r="59" spans="1:44" ht="15.75" customHeight="1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</row>
    <row r="60" spans="1:44" ht="15.75" customHeight="1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</row>
    <row r="61" spans="1:44" ht="15.75" customHeight="1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</row>
    <row r="62" spans="1:44" ht="15.75" customHeight="1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</row>
    <row r="63" spans="1:44" ht="15.75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</row>
    <row r="64" spans="1:44" ht="15.75" customHeight="1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</row>
    <row r="65" spans="1:44" ht="15.75" customHeigh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</row>
    <row r="66" spans="1:44" ht="15.75" customHeight="1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</row>
    <row r="67" spans="1:44" ht="15.75" customHeight="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</row>
    <row r="68" spans="1:44" ht="15.75" customHeigh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</row>
    <row r="69" spans="1:44" ht="15.75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</row>
    <row r="70" spans="1:44" ht="15.75" customHeigh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</row>
    <row r="71" spans="1:44" ht="15.75" customHeigh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</row>
    <row r="72" spans="1:44" ht="15.75" customHeigh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</row>
    <row r="73" spans="1:44" ht="15.75" customHeigh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</row>
    <row r="74" spans="1:44" ht="15.75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</row>
    <row r="75" spans="1:44" ht="15.75" customHeigh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</row>
    <row r="76" spans="1:44" ht="15.75" customHeigh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</row>
    <row r="77" spans="1:44" ht="15.75" customHeigh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</row>
    <row r="78" spans="1:44" ht="15.7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</row>
    <row r="79" spans="1:44" ht="15.75" customHeigh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</row>
    <row r="80" spans="1:44" ht="15.75" customHeigh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</row>
    <row r="81" spans="1:44" ht="15.75" customHeigh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</row>
    <row r="82" spans="1:44" ht="15.75" customHeigh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</row>
    <row r="83" spans="1:44" ht="15.75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</row>
    <row r="84" spans="1:44" ht="15.75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</row>
    <row r="85" spans="1:44" ht="15.7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</row>
    <row r="86" spans="1:44" ht="15.75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</row>
    <row r="87" spans="1:44" ht="15.7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</row>
    <row r="88" spans="1:44" ht="15.7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</row>
    <row r="89" spans="1:44" ht="15.7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</row>
    <row r="90" spans="1:44" ht="15.75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</row>
    <row r="91" spans="1:44" ht="15.7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</row>
    <row r="92" spans="1:44" ht="15.7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</row>
    <row r="93" spans="1:44" ht="15.75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</row>
    <row r="94" spans="1:44" ht="15.75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</row>
    <row r="95" spans="1:44" ht="15.75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</row>
    <row r="96" spans="1:44" ht="15.7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</row>
    <row r="97" spans="1:44" ht="15.75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</row>
    <row r="98" spans="1:44" ht="15.7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</row>
    <row r="99" spans="1:44" ht="15.7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</row>
    <row r="100" spans="1:44" ht="15.7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</row>
    <row r="101" spans="1:44" ht="15.75" customHeigh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</row>
    <row r="102" spans="1:44" ht="15.75" customHeigh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</row>
    <row r="103" spans="1:44" ht="15.75" customHeight="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</row>
    <row r="104" spans="1:44" ht="15.75" customHeight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</row>
    <row r="105" spans="1:44" ht="15.75" customHeight="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</row>
    <row r="106" spans="1:44" ht="15.75" customHeight="1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</row>
    <row r="107" spans="1:44" ht="15.75" customHeight="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</row>
    <row r="108" spans="1:44" ht="15.75" customHeight="1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</row>
    <row r="109" spans="1:44" ht="15.75" customHeight="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</row>
    <row r="110" spans="1:44" ht="15.75" customHeigh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</row>
    <row r="111" spans="1:44" ht="15.75" customHeigh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</row>
    <row r="112" spans="1:44" ht="15.75" customHeigh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</row>
    <row r="113" spans="1:44" ht="15.75" customHeigh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</row>
    <row r="114" spans="1:44" ht="15.75" customHeigh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</row>
    <row r="115" spans="1:44" ht="15.75" customHeigh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</row>
    <row r="116" spans="1:44" ht="15.75" customHeigh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</row>
    <row r="117" spans="1:44" ht="15.75" customHeigh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</row>
    <row r="118" spans="1:44" ht="15.75" customHeigh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</row>
    <row r="119" spans="1:44" ht="15.75" customHeigh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</row>
    <row r="120" spans="1:44" ht="15.75" customHeight="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</row>
    <row r="121" spans="1:44" ht="15.75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</row>
    <row r="122" spans="1:44" ht="15.75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</row>
    <row r="123" spans="1:44" ht="15.75" customHeigh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</row>
    <row r="124" spans="1:44" ht="15.75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</row>
    <row r="125" spans="1:44" ht="15.75" customHeigh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</row>
    <row r="126" spans="1:44" ht="15.75" customHeigh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</row>
    <row r="127" spans="1:44" ht="15.75" customHeigh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</row>
    <row r="128" spans="1:44" ht="15.75" customHeigh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</row>
    <row r="129" spans="1:44" ht="15.75" customHeigh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</row>
    <row r="130" spans="1:44" ht="15.75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</row>
    <row r="131" spans="1:44" ht="15.75" customHeigh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</row>
    <row r="132" spans="1:44" ht="15.75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</row>
    <row r="133" spans="1:44" ht="15.75" customHeigh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</row>
    <row r="134" spans="1:44" ht="15.75" customHeigh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</row>
    <row r="135" spans="1:44" ht="15.75" customHeigh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</row>
    <row r="136" spans="1:44" ht="15.75" customHeigh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</row>
    <row r="137" spans="1:44" ht="15.75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</row>
    <row r="138" spans="1:44" ht="15.7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</row>
    <row r="139" spans="1:44" ht="15.75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</row>
    <row r="140" spans="1:44" ht="15.75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</row>
    <row r="141" spans="1:44" ht="15.75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</row>
    <row r="142" spans="1:44" ht="15.75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</row>
    <row r="143" spans="1:44" ht="15.75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</row>
    <row r="144" spans="1:44" ht="15.75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</row>
    <row r="145" spans="1:44" ht="15.75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</row>
    <row r="146" spans="1:44" ht="15.75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</row>
    <row r="147" spans="1:44" ht="15.75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</row>
    <row r="148" spans="1:44" ht="15.75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</row>
    <row r="149" spans="1:44" ht="15.75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</row>
    <row r="150" spans="1:44" ht="15.75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</row>
    <row r="151" spans="1:44" ht="15.75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</row>
    <row r="152" spans="1:44" ht="15.75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</row>
    <row r="153" spans="1:44" ht="15.75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</row>
    <row r="154" spans="1:44" ht="15.75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</row>
    <row r="155" spans="1:44" ht="15.75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</row>
    <row r="156" spans="1:44" ht="15.75" customHeigh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</row>
    <row r="157" spans="1:44" ht="15.75" customHeigh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</row>
    <row r="158" spans="1:44" ht="15.75" customHeigh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</row>
    <row r="159" spans="1:44" ht="15.75" customHeigh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</row>
    <row r="160" spans="1:44" ht="15.75" customHeigh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</row>
    <row r="161" spans="1:44" ht="15.75" customHeigh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</row>
    <row r="162" spans="1:44" ht="15.75" customHeigh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</row>
    <row r="163" spans="1:44" ht="15.75" customHeigh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</row>
    <row r="164" spans="1:44" ht="15.75" customHeigh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</row>
    <row r="165" spans="1:44" ht="15.75" customHeigh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</row>
    <row r="166" spans="1:44" ht="15.75" customHeigh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</row>
    <row r="167" spans="1:44" ht="15.75" customHeigh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</row>
    <row r="168" spans="1:44" ht="15.75" customHeigh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</row>
    <row r="169" spans="1:44" ht="15.75" customHeigh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</row>
    <row r="170" spans="1:44" ht="15.75" customHeigh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</row>
    <row r="171" spans="1:44" ht="15.75" customHeigh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</row>
    <row r="172" spans="1:44" ht="15.75" customHeigh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</row>
    <row r="173" spans="1:44" ht="15.75" customHeigh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</row>
    <row r="174" spans="1:44" ht="15.75" customHeigh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</row>
    <row r="175" spans="1:44" ht="15.75" customHeigh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</row>
    <row r="176" spans="1:44" ht="15.75" customHeigh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</row>
    <row r="177" spans="1:44" ht="15.7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</row>
    <row r="178" spans="1:44" ht="15.75" customHeigh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</row>
    <row r="179" spans="1:44" ht="15.75" customHeigh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</row>
    <row r="180" spans="1:44" ht="15.75" customHeigh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</row>
    <row r="181" spans="1:44" ht="15.75" customHeigh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</row>
    <row r="182" spans="1:44" ht="15.75" customHeigh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</row>
    <row r="183" spans="1:44" ht="15.75" customHeigh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</row>
    <row r="184" spans="1:44" ht="15.75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</row>
    <row r="185" spans="1:44" ht="15.7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</row>
    <row r="186" spans="1:44" ht="15.75" customHeigh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</row>
    <row r="187" spans="1:44" ht="15.75" customHeigh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</row>
    <row r="188" spans="1:44" ht="15.75" customHeigh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</row>
    <row r="189" spans="1:44" ht="15.75" customHeigh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</row>
    <row r="190" spans="1:44" ht="15.75" customHeigh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</row>
    <row r="191" spans="1:44" ht="15.75" customHeigh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</row>
    <row r="192" spans="1:44" ht="15.75" customHeigh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</row>
    <row r="193" spans="1:44" ht="15.75" customHeigh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</row>
    <row r="194" spans="1:44" ht="15.75" customHeigh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</row>
    <row r="195" spans="1:44" ht="15.75" customHeigh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</row>
    <row r="196" spans="1:44" ht="15.75" customHeigh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</row>
    <row r="197" spans="1:44" ht="15.75" customHeigh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</row>
    <row r="198" spans="1:44" ht="15.75" customHeigh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</row>
    <row r="199" spans="1:44" ht="15.75" customHeigh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</row>
    <row r="200" spans="1:44" ht="15.75" customHeigh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</row>
    <row r="201" spans="1:44" ht="15.75" customHeigh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</row>
    <row r="202" spans="1:44" ht="15.75" customHeigh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</row>
    <row r="203" spans="1:44" ht="15.75" customHeigh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</row>
    <row r="204" spans="1:44" ht="15.75" customHeigh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</row>
    <row r="205" spans="1:44" ht="15.75" customHeigh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</row>
    <row r="206" spans="1:44" ht="15.75" customHeigh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</row>
    <row r="207" spans="1:44" ht="15.75" customHeigh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</row>
    <row r="208" spans="1:44" ht="15.75" customHeigh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</row>
    <row r="209" spans="1:44" ht="15.75" customHeigh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</row>
    <row r="210" spans="1:44" ht="15.75" customHeigh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</row>
    <row r="211" spans="1:44" ht="15.75" customHeigh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</row>
    <row r="212" spans="1:44" ht="15.75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</row>
    <row r="213" spans="1:44" ht="15.75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</row>
    <row r="214" spans="1:44" ht="15.75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</row>
    <row r="215" spans="1:44" ht="15.75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</row>
    <row r="216" spans="1:44" ht="15.75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</row>
    <row r="217" spans="1:44" ht="15.75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</row>
    <row r="218" spans="1:44" ht="15.75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</row>
    <row r="219" spans="1:44" ht="15.75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</row>
    <row r="220" spans="1:44" ht="15.75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</row>
    <row r="221" spans="1:44" ht="15.75" customHeigh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</row>
    <row r="222" spans="1:44" ht="15.75" customHeigh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</row>
    <row r="223" spans="1:44" ht="15.75" customHeight="1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</row>
    <row r="224" spans="1:44" ht="15.75" customHeight="1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</row>
    <row r="225" spans="1:44" ht="15.75" customHeight="1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</row>
    <row r="226" spans="1:44" ht="15.75" customHeight="1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</row>
    <row r="227" spans="1:44" ht="15.75" customHeight="1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</row>
    <row r="228" spans="1:44" ht="15.75" customHeight="1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</row>
    <row r="229" spans="1:44" ht="15.75" customHeight="1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</row>
    <row r="230" spans="1:44" ht="15.75" customHeight="1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</row>
    <row r="231" spans="1:44" ht="15.75" customHeight="1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</row>
    <row r="232" spans="1:44" ht="15.75" customHeight="1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</row>
    <row r="233" spans="1:44" ht="15.75" customHeight="1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</row>
    <row r="234" spans="1:44" ht="15.75" customHeight="1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</row>
    <row r="235" spans="1:44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</row>
    <row r="236" spans="1:44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</row>
    <row r="237" spans="1:44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</row>
    <row r="238" spans="1:44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</row>
    <row r="239" spans="1:44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</row>
    <row r="240" spans="1:44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</row>
    <row r="241" spans="1:44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</row>
    <row r="242" spans="1:44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</row>
    <row r="243" spans="1:44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</row>
    <row r="244" spans="1:44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</row>
    <row r="245" spans="1:44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</row>
    <row r="246" spans="1:44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</row>
    <row r="247" spans="1:44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</row>
    <row r="248" spans="1:44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</row>
    <row r="249" spans="1:44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</row>
    <row r="250" spans="1:44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</row>
    <row r="251" spans="1:44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</row>
    <row r="252" spans="1:44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</row>
    <row r="253" spans="1:44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</row>
    <row r="254" spans="1:44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</row>
    <row r="255" spans="1:44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</row>
    <row r="256" spans="1:44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</row>
    <row r="257" spans="1:44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</row>
    <row r="258" spans="1:44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</row>
    <row r="259" spans="1:44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</row>
    <row r="260" spans="1:44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</row>
    <row r="261" spans="1:44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</row>
    <row r="262" spans="1:44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</row>
    <row r="263" spans="1:44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</row>
    <row r="264" spans="1:44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</row>
    <row r="265" spans="1:44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</row>
    <row r="266" spans="1:44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</row>
    <row r="267" spans="1:44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</row>
    <row r="268" spans="1:44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</row>
    <row r="269" spans="1:44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</row>
    <row r="270" spans="1:44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</row>
    <row r="271" spans="1:44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</row>
    <row r="272" spans="1:44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</row>
    <row r="273" spans="1:44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</row>
    <row r="274" spans="1:44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</row>
    <row r="275" spans="1:44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</row>
    <row r="276" spans="1:44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</row>
    <row r="277" spans="1:44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</row>
    <row r="278" spans="1:44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</row>
    <row r="279" spans="1:44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</row>
    <row r="280" spans="1:44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</row>
    <row r="281" spans="1:44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</row>
    <row r="282" spans="1:44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</row>
    <row r="283" spans="1:44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</row>
    <row r="284" spans="1:44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</row>
    <row r="285" spans="1:44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</row>
    <row r="286" spans="1:44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</row>
    <row r="287" spans="1:44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</row>
    <row r="288" spans="1:44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</row>
    <row r="289" spans="1:44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</row>
    <row r="290" spans="1:44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</row>
    <row r="291" spans="1:44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</row>
    <row r="292" spans="1:44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</row>
    <row r="293" spans="1:44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</row>
    <row r="294" spans="1:44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</row>
    <row r="295" spans="1:44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</row>
    <row r="296" spans="1:44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</row>
    <row r="297" spans="1:44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</row>
    <row r="298" spans="1:44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</row>
    <row r="299" spans="1:44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</row>
    <row r="300" spans="1:44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</row>
    <row r="301" spans="1:44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</row>
    <row r="302" spans="1:44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</row>
    <row r="303" spans="1:44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</row>
    <row r="304" spans="1:44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</row>
    <row r="305" spans="1:44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</row>
    <row r="306" spans="1:44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</row>
    <row r="307" spans="1:44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</row>
    <row r="308" spans="1:44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</row>
    <row r="309" spans="1:44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</row>
    <row r="310" spans="1:44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</row>
    <row r="311" spans="1:44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</row>
    <row r="312" spans="1:44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</row>
    <row r="313" spans="1:44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</row>
    <row r="314" spans="1:44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</row>
    <row r="315" spans="1:44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</row>
    <row r="316" spans="1:44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</row>
    <row r="317" spans="1:44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</row>
    <row r="318" spans="1:44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</row>
    <row r="319" spans="1:44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</row>
    <row r="320" spans="1:44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</row>
    <row r="321" spans="1:44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</row>
    <row r="322" spans="1:44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</row>
    <row r="323" spans="1:44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</row>
    <row r="324" spans="1:44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</row>
    <row r="325" spans="1:44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</row>
    <row r="326" spans="1:44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</row>
    <row r="327" spans="1:44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</row>
    <row r="328" spans="1:44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</row>
    <row r="329" spans="1:44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</row>
    <row r="330" spans="1:44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</row>
    <row r="331" spans="1:44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</row>
    <row r="332" spans="1:44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</row>
    <row r="333" spans="1:44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</row>
    <row r="334" spans="1:44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</row>
    <row r="335" spans="1:44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</row>
    <row r="336" spans="1:44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</row>
    <row r="337" spans="1:44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</row>
    <row r="338" spans="1:44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</row>
    <row r="339" spans="1:44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</row>
    <row r="340" spans="1:44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</row>
    <row r="341" spans="1:44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</row>
    <row r="342" spans="1:44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</row>
    <row r="343" spans="1:44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</row>
    <row r="344" spans="1:44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</row>
    <row r="345" spans="1:44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</row>
    <row r="346" spans="1:44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</row>
    <row r="347" spans="1:44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</row>
    <row r="348" spans="1:44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</row>
    <row r="349" spans="1:44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</row>
    <row r="350" spans="1:44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</row>
    <row r="351" spans="1:44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</row>
    <row r="352" spans="1:44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</row>
    <row r="353" spans="1:44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</row>
    <row r="354" spans="1:44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</row>
    <row r="355" spans="1:44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</row>
    <row r="356" spans="1:44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</row>
    <row r="357" spans="1:44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</row>
    <row r="358" spans="1:44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</row>
    <row r="359" spans="1:44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</row>
    <row r="360" spans="1:44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</row>
    <row r="361" spans="1:44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</row>
    <row r="362" spans="1:44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</row>
    <row r="363" spans="1:44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</row>
    <row r="364" spans="1:44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</row>
    <row r="365" spans="1:44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</row>
    <row r="366" spans="1:44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</row>
    <row r="367" spans="1:44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</row>
    <row r="368" spans="1:44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</row>
    <row r="369" spans="1:44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</row>
    <row r="370" spans="1:44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</row>
    <row r="371" spans="1:44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</row>
    <row r="372" spans="1:44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</row>
    <row r="373" spans="1:44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</row>
    <row r="374" spans="1:44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</row>
    <row r="375" spans="1:44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</row>
    <row r="376" spans="1:44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</row>
    <row r="377" spans="1:44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</row>
    <row r="378" spans="1:44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</row>
    <row r="379" spans="1:44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</row>
    <row r="380" spans="1:44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</row>
    <row r="381" spans="1:44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</row>
    <row r="382" spans="1:44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</row>
    <row r="383" spans="1:44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</row>
    <row r="384" spans="1:44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</row>
    <row r="385" spans="1:44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</row>
    <row r="386" spans="1:44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</row>
    <row r="387" spans="1:44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</row>
    <row r="388" spans="1:44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</row>
    <row r="389" spans="1:44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</row>
    <row r="390" spans="1:44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</row>
    <row r="391" spans="1:44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</row>
    <row r="392" spans="1:44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</row>
    <row r="393" spans="1:44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</row>
    <row r="394" spans="1:44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</row>
    <row r="395" spans="1:44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</row>
    <row r="396" spans="1:44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</row>
    <row r="397" spans="1:44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</row>
    <row r="398" spans="1:44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</row>
    <row r="399" spans="1:44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</row>
    <row r="400" spans="1:44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</row>
    <row r="401" spans="1:44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</row>
    <row r="402" spans="1:44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</row>
    <row r="403" spans="1:44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</row>
    <row r="404" spans="1:44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</row>
    <row r="405" spans="1:44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</row>
    <row r="406" spans="1:44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</row>
    <row r="407" spans="1:44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</row>
    <row r="408" spans="1:44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</row>
    <row r="409" spans="1:44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</row>
    <row r="410" spans="1:44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</row>
    <row r="411" spans="1:44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</row>
    <row r="412" spans="1:44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</row>
    <row r="413" spans="1:44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</row>
    <row r="414" spans="1:44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</row>
    <row r="415" spans="1:44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</row>
    <row r="416" spans="1:44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</row>
    <row r="417" spans="1:44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</row>
    <row r="418" spans="1:44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</row>
    <row r="419" spans="1:44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</row>
    <row r="420" spans="1:44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</row>
    <row r="421" spans="1:44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</row>
    <row r="422" spans="1:44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</row>
    <row r="423" spans="1:44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</row>
    <row r="424" spans="1:44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</row>
    <row r="425" spans="1:44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</row>
    <row r="426" spans="1:44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</row>
    <row r="427" spans="1:44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</row>
    <row r="428" spans="1:44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</row>
    <row r="429" spans="1:44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</row>
    <row r="430" spans="1:44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</row>
    <row r="431" spans="1:44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</row>
    <row r="432" spans="1:44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</row>
    <row r="433" spans="1:44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</row>
    <row r="434" spans="1:44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</row>
    <row r="435" spans="1:44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</row>
    <row r="436" spans="1:44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</row>
    <row r="437" spans="1:44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</row>
    <row r="438" spans="1:44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</row>
    <row r="439" spans="1:44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</row>
    <row r="440" spans="1:44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</row>
    <row r="441" spans="1:44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</row>
    <row r="442" spans="1:44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</row>
    <row r="443" spans="1:44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</row>
    <row r="444" spans="1:44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</row>
    <row r="445" spans="1:44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</row>
    <row r="446" spans="1:44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</row>
    <row r="447" spans="1:44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</row>
    <row r="448" spans="1:44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</row>
    <row r="449" spans="1:44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</row>
    <row r="450" spans="1:44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</row>
    <row r="451" spans="1:44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</row>
    <row r="452" spans="1:44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</row>
    <row r="453" spans="1:44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</row>
    <row r="454" spans="1:44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</row>
    <row r="455" spans="1:44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</row>
    <row r="456" spans="1:44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</row>
    <row r="457" spans="1:44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</row>
    <row r="458" spans="1:44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</row>
    <row r="459" spans="1:44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</row>
    <row r="460" spans="1:44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</row>
    <row r="461" spans="1:44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</row>
    <row r="462" spans="1:44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</row>
    <row r="463" spans="1:44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</row>
    <row r="464" spans="1:44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</row>
    <row r="465" spans="1:44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</row>
    <row r="466" spans="1:44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</row>
    <row r="467" spans="1:44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</row>
    <row r="468" spans="1:44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</row>
    <row r="469" spans="1:44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</row>
    <row r="470" spans="1:44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</row>
    <row r="471" spans="1:44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</row>
    <row r="472" spans="1:44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</row>
    <row r="473" spans="1:44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</row>
    <row r="474" spans="1:44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</row>
    <row r="475" spans="1:44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</row>
    <row r="476" spans="1:44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</row>
    <row r="477" spans="1:44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</row>
    <row r="478" spans="1:44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</row>
    <row r="479" spans="1:44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</row>
    <row r="480" spans="1:44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</row>
    <row r="481" spans="1:44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</row>
    <row r="482" spans="1:44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</row>
    <row r="483" spans="1:44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</row>
    <row r="484" spans="1:44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</row>
    <row r="485" spans="1:44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</row>
    <row r="486" spans="1:44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</row>
    <row r="487" spans="1:44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</row>
    <row r="488" spans="1:44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</row>
    <row r="489" spans="1:44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</row>
    <row r="490" spans="1:44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</row>
    <row r="491" spans="1:44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</row>
    <row r="492" spans="1:44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</row>
    <row r="493" spans="1:44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</row>
    <row r="494" spans="1:44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</row>
    <row r="495" spans="1:44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</row>
    <row r="496" spans="1:44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</row>
    <row r="497" spans="1:44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</row>
    <row r="498" spans="1:44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</row>
    <row r="499" spans="1:44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</row>
    <row r="500" spans="1:44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</row>
    <row r="501" spans="1:44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</row>
    <row r="502" spans="1:44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</row>
    <row r="503" spans="1:44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</row>
    <row r="504" spans="1:44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</row>
    <row r="505" spans="1:44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</row>
    <row r="506" spans="1:44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</row>
    <row r="507" spans="1:44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</row>
    <row r="508" spans="1:44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</row>
    <row r="509" spans="1:44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</row>
    <row r="510" spans="1:44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</row>
    <row r="511" spans="1:44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</row>
    <row r="512" spans="1:44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</row>
    <row r="513" spans="1:44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</row>
    <row r="514" spans="1:44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</row>
    <row r="515" spans="1:44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</row>
    <row r="516" spans="1:44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</row>
    <row r="517" spans="1:44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</row>
    <row r="518" spans="1:44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</row>
    <row r="519" spans="1:44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</row>
    <row r="520" spans="1:44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</row>
    <row r="521" spans="1:44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</row>
    <row r="522" spans="1:44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</row>
    <row r="523" spans="1:44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</row>
    <row r="524" spans="1:44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</row>
    <row r="525" spans="1:44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</row>
    <row r="526" spans="1:44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</row>
    <row r="527" spans="1:44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</row>
    <row r="528" spans="1:44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</row>
    <row r="529" spans="1:44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</row>
    <row r="530" spans="1:44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</row>
    <row r="531" spans="1:44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</row>
    <row r="532" spans="1:44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</row>
    <row r="533" spans="1:44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</row>
    <row r="534" spans="1:44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</row>
    <row r="535" spans="1:44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</row>
    <row r="536" spans="1:44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</row>
    <row r="537" spans="1:44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</row>
    <row r="538" spans="1:44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</row>
    <row r="539" spans="1:44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</row>
    <row r="540" spans="1:44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</row>
    <row r="541" spans="1:44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</row>
    <row r="542" spans="1:44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</row>
    <row r="543" spans="1:44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</row>
    <row r="544" spans="1:44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</row>
    <row r="545" spans="1:44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</row>
    <row r="546" spans="1:44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</row>
    <row r="547" spans="1:44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</row>
    <row r="548" spans="1:44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</row>
    <row r="549" spans="1:44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</row>
    <row r="550" spans="1:44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</row>
    <row r="551" spans="1:44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</row>
    <row r="552" spans="1:44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</row>
    <row r="553" spans="1:44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</row>
    <row r="554" spans="1:44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</row>
    <row r="555" spans="1:44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</row>
    <row r="556" spans="1:44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</row>
    <row r="557" spans="1:44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</row>
    <row r="558" spans="1:44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</row>
    <row r="559" spans="1:44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</row>
    <row r="560" spans="1:44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</row>
    <row r="561" spans="1:44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</row>
    <row r="562" spans="1:44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</row>
    <row r="563" spans="1:44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</row>
    <row r="564" spans="1:44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</row>
    <row r="565" spans="1:44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</row>
    <row r="566" spans="1:44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</row>
    <row r="567" spans="1:44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</row>
    <row r="568" spans="1:44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</row>
    <row r="569" spans="1:44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</row>
    <row r="570" spans="1:44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</row>
    <row r="571" spans="1:44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</row>
    <row r="572" spans="1:44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</row>
    <row r="573" spans="1:44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</row>
    <row r="574" spans="1:44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</row>
    <row r="575" spans="1:44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</row>
    <row r="576" spans="1:44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</row>
    <row r="577" spans="1:44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</row>
    <row r="578" spans="1:44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</row>
    <row r="579" spans="1:44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</row>
    <row r="580" spans="1:44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</row>
    <row r="581" spans="1:44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</row>
    <row r="582" spans="1:44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</row>
    <row r="583" spans="1:44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</row>
    <row r="584" spans="1:44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</row>
    <row r="585" spans="1:44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</row>
    <row r="586" spans="1:44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</row>
    <row r="587" spans="1:44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</row>
    <row r="588" spans="1:44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</row>
    <row r="589" spans="1:44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</row>
    <row r="590" spans="1:44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</row>
    <row r="591" spans="1:44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</row>
    <row r="592" spans="1:44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</row>
    <row r="593" spans="1:44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</row>
    <row r="594" spans="1:44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</row>
    <row r="595" spans="1:44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</row>
    <row r="596" spans="1:44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</row>
    <row r="597" spans="1:44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</row>
    <row r="598" spans="1:44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</row>
    <row r="599" spans="1:44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</row>
    <row r="600" spans="1:44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</row>
    <row r="601" spans="1:44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</row>
    <row r="602" spans="1:44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</row>
    <row r="603" spans="1:44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</row>
    <row r="604" spans="1:44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</row>
    <row r="605" spans="1:44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</row>
    <row r="606" spans="1:44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</row>
    <row r="607" spans="1:44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</row>
    <row r="608" spans="1:44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</row>
    <row r="609" spans="1:44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</row>
    <row r="610" spans="1:44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</row>
    <row r="611" spans="1:44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</row>
    <row r="612" spans="1:44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</row>
    <row r="613" spans="1:44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</row>
    <row r="614" spans="1:44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</row>
    <row r="615" spans="1:44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</row>
    <row r="616" spans="1:44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</row>
    <row r="617" spans="1:44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</row>
    <row r="618" spans="1:44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</row>
    <row r="619" spans="1:44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</row>
    <row r="620" spans="1:44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</row>
    <row r="621" spans="1:44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</row>
    <row r="622" spans="1:44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</row>
    <row r="623" spans="1:44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</row>
    <row r="624" spans="1:44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</row>
    <row r="625" spans="1:44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</row>
    <row r="626" spans="1:44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</row>
    <row r="627" spans="1:44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</row>
    <row r="628" spans="1:44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</row>
    <row r="629" spans="1:44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</row>
    <row r="630" spans="1:44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</row>
    <row r="631" spans="1:44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</row>
    <row r="632" spans="1:44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</row>
    <row r="633" spans="1:44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</row>
    <row r="634" spans="1:44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</row>
    <row r="635" spans="1:44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</row>
    <row r="636" spans="1:44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</row>
    <row r="637" spans="1:44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</row>
    <row r="638" spans="1:44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</row>
    <row r="639" spans="1:44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</row>
    <row r="640" spans="1:44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</row>
    <row r="641" spans="1:44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</row>
    <row r="642" spans="1:44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</row>
    <row r="643" spans="1:44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</row>
    <row r="644" spans="1:44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</row>
    <row r="645" spans="1:44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</row>
    <row r="646" spans="1:44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</row>
    <row r="647" spans="1:44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</row>
    <row r="648" spans="1:44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</row>
    <row r="649" spans="1:44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</row>
    <row r="650" spans="1:44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</row>
    <row r="651" spans="1:44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</row>
    <row r="652" spans="1:44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</row>
    <row r="653" spans="1:44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</row>
    <row r="654" spans="1:44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</row>
    <row r="655" spans="1:44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</row>
    <row r="656" spans="1:44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</row>
    <row r="657" spans="1:44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</row>
    <row r="658" spans="1:44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</row>
    <row r="659" spans="1:44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</row>
    <row r="660" spans="1:44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</row>
    <row r="661" spans="1:44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</row>
    <row r="662" spans="1:44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</row>
    <row r="663" spans="1:44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</row>
    <row r="664" spans="1:44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</row>
    <row r="665" spans="1:44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</row>
    <row r="666" spans="1:44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</row>
    <row r="667" spans="1:44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</row>
    <row r="668" spans="1:44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</row>
    <row r="669" spans="1:44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</row>
    <row r="670" spans="1:44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</row>
    <row r="671" spans="1:44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</row>
    <row r="672" spans="1:44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</row>
    <row r="673" spans="1:44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</row>
    <row r="674" spans="1:44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</row>
    <row r="675" spans="1:44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</row>
    <row r="676" spans="1:44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</row>
    <row r="677" spans="1:44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</row>
    <row r="678" spans="1:44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</row>
    <row r="679" spans="1:44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</row>
    <row r="680" spans="1:44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</row>
    <row r="681" spans="1:44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</row>
    <row r="682" spans="1:44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</row>
    <row r="683" spans="1:44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</row>
    <row r="684" spans="1:44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</row>
    <row r="685" spans="1:44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</row>
    <row r="686" spans="1:44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</row>
    <row r="687" spans="1:44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</row>
    <row r="688" spans="1:44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</row>
    <row r="689" spans="1:44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</row>
    <row r="690" spans="1:44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</row>
    <row r="691" spans="1:44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</row>
    <row r="692" spans="1:44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</row>
    <row r="693" spans="1:44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</row>
    <row r="694" spans="1:44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</row>
    <row r="695" spans="1:44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</row>
    <row r="696" spans="1:44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</row>
    <row r="697" spans="1:44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</row>
    <row r="698" spans="1:44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</row>
    <row r="699" spans="1:44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</row>
    <row r="700" spans="1:44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</row>
    <row r="701" spans="1:44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</row>
    <row r="702" spans="1:44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</row>
    <row r="703" spans="1:44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</row>
    <row r="704" spans="1:44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</row>
    <row r="705" spans="1:44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</row>
    <row r="706" spans="1:44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</row>
    <row r="707" spans="1:44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</row>
    <row r="708" spans="1:44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</row>
    <row r="709" spans="1:44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</row>
    <row r="710" spans="1:44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</row>
    <row r="711" spans="1:44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</row>
    <row r="712" spans="1:44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</row>
    <row r="713" spans="1:44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</row>
    <row r="714" spans="1:44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</row>
    <row r="715" spans="1:44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</row>
    <row r="716" spans="1:44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</row>
    <row r="717" spans="1:44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</row>
    <row r="718" spans="1:44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</row>
    <row r="719" spans="1:44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</row>
    <row r="720" spans="1:44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</row>
    <row r="721" spans="1:44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</row>
    <row r="722" spans="1:44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</row>
    <row r="723" spans="1:44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</row>
    <row r="724" spans="1:44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</row>
    <row r="725" spans="1:44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</row>
    <row r="726" spans="1:44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</row>
    <row r="727" spans="1:44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</row>
    <row r="728" spans="1:44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</row>
    <row r="729" spans="1:44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</row>
    <row r="730" spans="1:44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</row>
    <row r="731" spans="1:44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</row>
    <row r="732" spans="1:44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</row>
    <row r="733" spans="1:44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</row>
    <row r="734" spans="1:44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</row>
    <row r="735" spans="1:44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</row>
    <row r="736" spans="1:44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</row>
    <row r="737" spans="1:44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</row>
    <row r="738" spans="1:44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</row>
    <row r="739" spans="1:44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</row>
    <row r="740" spans="1:44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</row>
    <row r="741" spans="1:44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</row>
    <row r="742" spans="1:44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</row>
    <row r="743" spans="1:44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</row>
    <row r="744" spans="1:44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</row>
    <row r="745" spans="1:44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</row>
    <row r="746" spans="1:44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</row>
    <row r="747" spans="1:44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</row>
    <row r="748" spans="1:44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</row>
    <row r="749" spans="1:44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</row>
    <row r="750" spans="1:44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</row>
    <row r="751" spans="1:44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</row>
    <row r="752" spans="1:44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</row>
    <row r="753" spans="1:44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</row>
    <row r="754" spans="1:44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</row>
    <row r="755" spans="1:44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</row>
    <row r="756" spans="1:44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</row>
    <row r="757" spans="1:44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</row>
    <row r="758" spans="1:44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</row>
    <row r="759" spans="1:44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</row>
    <row r="760" spans="1:44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</row>
    <row r="761" spans="1:44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</row>
    <row r="762" spans="1:44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</row>
    <row r="763" spans="1:44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</row>
    <row r="764" spans="1:44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</row>
    <row r="765" spans="1:44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</row>
    <row r="766" spans="1:44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</row>
    <row r="767" spans="1:44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</row>
    <row r="768" spans="1:44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</row>
    <row r="769" spans="1:44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</row>
    <row r="770" spans="1:44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</row>
    <row r="771" spans="1:44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</row>
    <row r="772" spans="1:44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</row>
    <row r="773" spans="1:44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</row>
    <row r="774" spans="1:44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</row>
    <row r="775" spans="1:44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</row>
    <row r="776" spans="1:44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</row>
    <row r="777" spans="1:44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</row>
    <row r="778" spans="1:44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</row>
    <row r="779" spans="1:44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</row>
    <row r="780" spans="1:44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</row>
    <row r="781" spans="1:44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</row>
    <row r="782" spans="1:44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</row>
    <row r="783" spans="1:44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</row>
    <row r="784" spans="1:44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</row>
    <row r="785" spans="1:44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</row>
    <row r="786" spans="1:44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</row>
    <row r="787" spans="1:44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</row>
    <row r="788" spans="1:44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</row>
    <row r="789" spans="1:44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</row>
    <row r="790" spans="1:44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</row>
    <row r="791" spans="1:44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</row>
    <row r="792" spans="1:44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</row>
    <row r="793" spans="1:44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</row>
    <row r="794" spans="1:44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</row>
    <row r="795" spans="1:44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</row>
    <row r="796" spans="1:44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</row>
    <row r="797" spans="1:44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</row>
    <row r="798" spans="1:44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</row>
    <row r="799" spans="1:44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</row>
    <row r="800" spans="1:44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</row>
    <row r="801" spans="1:44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</row>
    <row r="802" spans="1:44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</row>
    <row r="803" spans="1:44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</row>
    <row r="804" spans="1:44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</row>
    <row r="805" spans="1:44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</row>
    <row r="806" spans="1:44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</row>
    <row r="807" spans="1:44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</row>
    <row r="808" spans="1:44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</row>
    <row r="809" spans="1:44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</row>
    <row r="810" spans="1:44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</row>
    <row r="811" spans="1:44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</row>
    <row r="812" spans="1:44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</row>
    <row r="813" spans="1:44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</row>
    <row r="814" spans="1:44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</row>
    <row r="815" spans="1:44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</row>
    <row r="816" spans="1:44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</row>
    <row r="817" spans="1:44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</row>
    <row r="818" spans="1:44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</row>
    <row r="819" spans="1:44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</row>
    <row r="820" spans="1:44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</row>
    <row r="821" spans="1:44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</row>
    <row r="822" spans="1:44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</row>
    <row r="823" spans="1:44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</row>
    <row r="824" spans="1:44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</row>
    <row r="825" spans="1:44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</row>
    <row r="826" spans="1:44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</row>
    <row r="827" spans="1:44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</row>
    <row r="828" spans="1:44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</row>
    <row r="829" spans="1:44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</row>
    <row r="830" spans="1:44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</row>
    <row r="831" spans="1:44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</row>
    <row r="832" spans="1:44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</row>
    <row r="833" spans="1:44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</row>
    <row r="834" spans="1:44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</row>
    <row r="835" spans="1:44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</row>
    <row r="836" spans="1:44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</row>
    <row r="837" spans="1:44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</row>
    <row r="838" spans="1:44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</row>
    <row r="839" spans="1:44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</row>
    <row r="840" spans="1:44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</row>
    <row r="841" spans="1:44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</row>
    <row r="842" spans="1:44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</row>
    <row r="843" spans="1:44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</row>
    <row r="844" spans="1:44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</row>
    <row r="845" spans="1:44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</row>
    <row r="846" spans="1:44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</row>
    <row r="847" spans="1:44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</row>
    <row r="848" spans="1:44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</row>
    <row r="849" spans="1:44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</row>
    <row r="850" spans="1:44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</row>
    <row r="851" spans="1:44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</row>
    <row r="852" spans="1:44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</row>
    <row r="853" spans="1:44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</row>
    <row r="854" spans="1:44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</row>
    <row r="855" spans="1:44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</row>
    <row r="856" spans="1:44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</row>
    <row r="857" spans="1:44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</row>
    <row r="858" spans="1:44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</row>
    <row r="859" spans="1:44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</row>
    <row r="860" spans="1:44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</row>
    <row r="861" spans="1:44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</row>
    <row r="862" spans="1:44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</row>
    <row r="863" spans="1:44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</row>
    <row r="864" spans="1:44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</row>
    <row r="865" spans="1:44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</row>
    <row r="866" spans="1:44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</row>
    <row r="867" spans="1:44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</row>
    <row r="868" spans="1:44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</row>
    <row r="869" spans="1:44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</row>
    <row r="870" spans="1:44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</row>
    <row r="871" spans="1:44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</row>
    <row r="872" spans="1:44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</row>
    <row r="873" spans="1:44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</row>
    <row r="874" spans="1:44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</row>
    <row r="875" spans="1:44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</row>
    <row r="876" spans="1:44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</row>
    <row r="877" spans="1:44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</row>
    <row r="878" spans="1:44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</row>
    <row r="879" spans="1:44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</row>
    <row r="880" spans="1:44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</row>
    <row r="881" spans="1:44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</row>
    <row r="882" spans="1:44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</row>
    <row r="883" spans="1:44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</row>
    <row r="884" spans="1:44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</row>
    <row r="885" spans="1:44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</row>
    <row r="886" spans="1:44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</row>
    <row r="887" spans="1:44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</row>
    <row r="888" spans="1:44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</row>
    <row r="889" spans="1:44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</row>
    <row r="890" spans="1:44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</row>
    <row r="891" spans="1:44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</row>
    <row r="892" spans="1:44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</row>
    <row r="893" spans="1:44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</row>
    <row r="894" spans="1:44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</row>
    <row r="895" spans="1:44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</row>
    <row r="896" spans="1:44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</row>
    <row r="897" spans="1:44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</row>
    <row r="898" spans="1:44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</row>
    <row r="899" spans="1:44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</row>
    <row r="900" spans="1:44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</row>
    <row r="901" spans="1:44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</row>
    <row r="902" spans="1:44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</row>
    <row r="903" spans="1:44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</row>
    <row r="904" spans="1:44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</row>
    <row r="905" spans="1:44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</row>
    <row r="906" spans="1:44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</row>
    <row r="907" spans="1:44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</row>
    <row r="908" spans="1:44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</row>
    <row r="909" spans="1:44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</row>
    <row r="910" spans="1:44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</row>
    <row r="911" spans="1:44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</row>
    <row r="912" spans="1:44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</row>
    <row r="913" spans="1:44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</row>
    <row r="914" spans="1:44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</row>
    <row r="915" spans="1:44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</row>
    <row r="916" spans="1:44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</row>
    <row r="917" spans="1:44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</row>
    <row r="918" spans="1:44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</row>
    <row r="919" spans="1:44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</row>
    <row r="920" spans="1:44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</row>
    <row r="921" spans="1:44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</row>
    <row r="922" spans="1:44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</row>
    <row r="923" spans="1:44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</row>
    <row r="924" spans="1:44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</row>
    <row r="925" spans="1:44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</row>
    <row r="926" spans="1:44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</row>
    <row r="927" spans="1:44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</row>
    <row r="928" spans="1:44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</row>
    <row r="929" spans="1:44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</row>
    <row r="930" spans="1:44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</row>
    <row r="931" spans="1:44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</row>
    <row r="932" spans="1:44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</row>
    <row r="933" spans="1:44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</row>
    <row r="934" spans="1:44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</row>
    <row r="935" spans="1:44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</row>
    <row r="936" spans="1:44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</row>
    <row r="937" spans="1:44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</row>
    <row r="938" spans="1:44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</row>
    <row r="939" spans="1:44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</row>
    <row r="940" spans="1:44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</row>
    <row r="941" spans="1:44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</row>
    <row r="942" spans="1:44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</row>
    <row r="943" spans="1:44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</row>
    <row r="944" spans="1:44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</row>
    <row r="945" spans="1:44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</row>
    <row r="946" spans="1:44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</row>
    <row r="947" spans="1:44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</row>
    <row r="948" spans="1:44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</row>
    <row r="949" spans="1:44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</row>
    <row r="950" spans="1:44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</row>
    <row r="951" spans="1:44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</row>
    <row r="952" spans="1:44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</row>
    <row r="953" spans="1:44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</row>
    <row r="954" spans="1:44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</row>
    <row r="955" spans="1:44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</row>
    <row r="956" spans="1:44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</row>
    <row r="957" spans="1:44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</row>
    <row r="958" spans="1:44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</row>
    <row r="959" spans="1:44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</row>
    <row r="960" spans="1:44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</row>
    <row r="961" spans="1:44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</row>
    <row r="962" spans="1:44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</row>
    <row r="963" spans="1:44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</row>
    <row r="964" spans="1:44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</row>
    <row r="965" spans="1:44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</row>
    <row r="966" spans="1:44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</row>
    <row r="967" spans="1:44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</row>
    <row r="968" spans="1:44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</row>
    <row r="969" spans="1:44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</row>
    <row r="970" spans="1:44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</row>
    <row r="971" spans="1:44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</row>
    <row r="972" spans="1:44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</row>
    <row r="973" spans="1:44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</row>
    <row r="974" spans="1:44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</row>
    <row r="975" spans="1:44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</row>
    <row r="976" spans="1:44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</row>
    <row r="977" spans="1:44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</row>
    <row r="978" spans="1:44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</row>
    <row r="979" spans="1:44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</row>
    <row r="980" spans="1:44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</row>
    <row r="981" spans="1:44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</row>
    <row r="982" spans="1:44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</row>
    <row r="983" spans="1:44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</row>
    <row r="984" spans="1:44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</row>
    <row r="985" spans="1:44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</row>
    <row r="986" spans="1:44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</row>
    <row r="987" spans="1:44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</row>
    <row r="988" spans="1:44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</row>
    <row r="989" spans="1:44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</row>
    <row r="990" spans="1:44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</row>
    <row r="991" spans="1:44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</row>
    <row r="992" spans="1:44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</row>
    <row r="993" spans="1:44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</row>
    <row r="994" spans="1:44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</row>
    <row r="995" spans="1:44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</row>
    <row r="996" spans="1:44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</row>
    <row r="997" spans="1:44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</row>
    <row r="998" spans="1:44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</row>
    <row r="999" spans="1:44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</row>
    <row r="1000" spans="1:44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</row>
  </sheetData>
  <phoneticPr fontId="11" type="noConversion"/>
  <conditionalFormatting sqref="I2:I34">
    <cfRule type="containsText" dxfId="16" priority="1" operator="containsText" text="LTR">
      <formula>NOT(ISERROR(SEARCH(("LTR"),(I2))))</formula>
    </cfRule>
    <cfRule type="containsText" dxfId="15" priority="2" operator="containsText" text="RTL">
      <formula>NOT(ISERROR(SEARCH(("RTL"),(I2))))</formula>
    </cfRule>
  </conditionalFormatting>
  <conditionalFormatting sqref="K2:K34">
    <cfRule type="containsText" dxfId="14" priority="3" operator="containsText" text="E">
      <formula>NOT(ISERROR(SEARCH(("E"),(K2))))</formula>
    </cfRule>
    <cfRule type="containsText" dxfId="13" priority="4" operator="containsText" text="H">
      <formula>NOT(ISERROR(SEARCH(("H"),(K2))))</formula>
    </cfRule>
  </conditionalFormatting>
  <conditionalFormatting sqref="K7">
    <cfRule type="containsText" dxfId="12" priority="5" operator="containsText" text="מפת חום ← עמודות נערמות ← רדאר">
      <formula>NOT(ISERROR(SEARCH(("מפת חום ← עמודות נערמות ← רדאר"),(K7))))</formula>
    </cfRule>
    <cfRule type="containsText" dxfId="11" priority="6" operator="containsText" text="רדאר ← מפת חום ← עמודות נערמות">
      <formula>NOT(ISERROR(SEARCH(("רדאר ← מפת חום ← עמודות נערמות"),(K7))))</formula>
    </cfRule>
    <cfRule type="containsText" dxfId="10" priority="7" operator="containsText" text="עמודות נערמות ← רדאר ← מפת חום">
      <formula>NOT(ISERROR(SEARCH(("עמודות נערמות ← רדאר ← מפת חום"),(K7))))</formula>
    </cfRule>
  </conditionalFormatting>
  <conditionalFormatting sqref="P2:P34 S2:S34">
    <cfRule type="containsText" dxfId="9" priority="8" operator="containsText" text=", ,">
      <formula>NOT(ISERROR(SEARCH((", ,"),(P2))))</formula>
    </cfRule>
  </conditionalFormatting>
  <dataValidations disablePrompts="1" count="1">
    <dataValidation type="list" allowBlank="1" showErrorMessage="1" sqref="I2:I34" xr:uid="{00000000-0002-0000-0100-000000000000}">
      <formula1>"RTL,LTR"</formula1>
    </dataValidation>
  </dataValidation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rightToLeft="1" workbookViewId="0"/>
  </sheetViews>
  <sheetFormatPr defaultColWidth="14.42578125" defaultRowHeight="15" customHeight="1" x14ac:dyDescent="0.25"/>
  <cols>
    <col min="1" max="1" width="16" customWidth="1"/>
    <col min="2" max="2" width="10" customWidth="1"/>
    <col min="3" max="3" width="33" customWidth="1"/>
    <col min="4" max="6" width="20" customWidth="1"/>
    <col min="7" max="7" width="12" customWidth="1"/>
    <col min="8" max="8" width="10" customWidth="1"/>
    <col min="9" max="9" width="11" customWidth="1"/>
  </cols>
  <sheetData>
    <row r="1" spans="1:26" ht="14.25" customHeight="1" x14ac:dyDescent="0.25">
      <c r="A1" s="12" t="s">
        <v>0</v>
      </c>
      <c r="B1" s="12" t="s">
        <v>344</v>
      </c>
      <c r="C1" s="12" t="s">
        <v>345</v>
      </c>
      <c r="D1" s="12" t="s">
        <v>346</v>
      </c>
      <c r="E1" s="12" t="s">
        <v>347</v>
      </c>
      <c r="F1" s="12" t="s">
        <v>348</v>
      </c>
      <c r="G1" s="12" t="s">
        <v>349</v>
      </c>
      <c r="H1" s="12" t="s">
        <v>350</v>
      </c>
      <c r="I1" s="12" t="s">
        <v>351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8.5" customHeight="1" x14ac:dyDescent="0.25">
      <c r="A2" s="13" t="s">
        <v>86</v>
      </c>
      <c r="B2" s="14" t="s">
        <v>352</v>
      </c>
      <c r="C2" s="15" t="s">
        <v>353</v>
      </c>
      <c r="D2" s="16" t="s">
        <v>354</v>
      </c>
      <c r="E2" s="17" t="s">
        <v>105</v>
      </c>
      <c r="F2" s="18" t="s">
        <v>111</v>
      </c>
      <c r="G2" s="13">
        <v>1</v>
      </c>
      <c r="H2" s="13">
        <v>2</v>
      </c>
      <c r="I2" s="13">
        <v>3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28.5" customHeight="1" x14ac:dyDescent="0.25">
      <c r="A3" s="13" t="s">
        <v>130</v>
      </c>
      <c r="B3" s="14" t="s">
        <v>352</v>
      </c>
      <c r="C3" s="15" t="s">
        <v>355</v>
      </c>
      <c r="D3" s="17" t="s">
        <v>105</v>
      </c>
      <c r="E3" s="18" t="s">
        <v>111</v>
      </c>
      <c r="F3" s="16" t="s">
        <v>354</v>
      </c>
      <c r="G3" s="13">
        <v>1</v>
      </c>
      <c r="H3" s="13">
        <v>2</v>
      </c>
      <c r="I3" s="13">
        <v>3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28.5" customHeight="1" x14ac:dyDescent="0.25">
      <c r="A4" s="13" t="s">
        <v>133</v>
      </c>
      <c r="B4" s="14" t="s">
        <v>352</v>
      </c>
      <c r="C4" s="15" t="s">
        <v>356</v>
      </c>
      <c r="D4" s="18" t="s">
        <v>111</v>
      </c>
      <c r="E4" s="16" t="s">
        <v>354</v>
      </c>
      <c r="F4" s="17" t="s">
        <v>105</v>
      </c>
      <c r="G4" s="13">
        <v>1</v>
      </c>
      <c r="H4" s="13">
        <v>2</v>
      </c>
      <c r="I4" s="13">
        <v>3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28.5" customHeight="1" x14ac:dyDescent="0.25">
      <c r="A5" s="13" t="s">
        <v>134</v>
      </c>
      <c r="B5" s="14" t="s">
        <v>352</v>
      </c>
      <c r="C5" s="15" t="s">
        <v>353</v>
      </c>
      <c r="D5" s="16" t="s">
        <v>354</v>
      </c>
      <c r="E5" s="17" t="s">
        <v>105</v>
      </c>
      <c r="F5" s="18" t="s">
        <v>111</v>
      </c>
      <c r="G5" s="13">
        <v>1</v>
      </c>
      <c r="H5" s="13">
        <v>2</v>
      </c>
      <c r="I5" s="13">
        <v>3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28.5" customHeight="1" x14ac:dyDescent="0.25">
      <c r="A6" s="13" t="s">
        <v>135</v>
      </c>
      <c r="B6" s="14" t="s">
        <v>352</v>
      </c>
      <c r="C6" s="15" t="s">
        <v>355</v>
      </c>
      <c r="D6" s="17" t="s">
        <v>105</v>
      </c>
      <c r="E6" s="18" t="s">
        <v>111</v>
      </c>
      <c r="F6" s="16" t="s">
        <v>354</v>
      </c>
      <c r="G6" s="13">
        <v>1</v>
      </c>
      <c r="H6" s="13">
        <v>2</v>
      </c>
      <c r="I6" s="13">
        <v>3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28.5" customHeight="1" x14ac:dyDescent="0.25">
      <c r="A7" s="13" t="s">
        <v>136</v>
      </c>
      <c r="B7" s="14" t="s">
        <v>352</v>
      </c>
      <c r="C7" s="15" t="s">
        <v>356</v>
      </c>
      <c r="D7" s="18" t="s">
        <v>111</v>
      </c>
      <c r="E7" s="16" t="s">
        <v>354</v>
      </c>
      <c r="F7" s="17" t="s">
        <v>105</v>
      </c>
      <c r="G7" s="13">
        <v>1</v>
      </c>
      <c r="H7" s="13">
        <v>2</v>
      </c>
      <c r="I7" s="13">
        <v>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8.5" customHeight="1" x14ac:dyDescent="0.25">
      <c r="A8" s="13" t="s">
        <v>137</v>
      </c>
      <c r="B8" s="14" t="s">
        <v>352</v>
      </c>
      <c r="C8" s="15" t="s">
        <v>353</v>
      </c>
      <c r="D8" s="16" t="s">
        <v>354</v>
      </c>
      <c r="E8" s="17" t="s">
        <v>105</v>
      </c>
      <c r="F8" s="18" t="s">
        <v>111</v>
      </c>
      <c r="G8" s="13">
        <v>1</v>
      </c>
      <c r="H8" s="13">
        <v>2</v>
      </c>
      <c r="I8" s="13">
        <v>3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8.5" customHeight="1" x14ac:dyDescent="0.25">
      <c r="A9" s="13" t="s">
        <v>138</v>
      </c>
      <c r="B9" s="14" t="s">
        <v>352</v>
      </c>
      <c r="C9" s="15" t="s">
        <v>355</v>
      </c>
      <c r="D9" s="17" t="s">
        <v>105</v>
      </c>
      <c r="E9" s="18" t="s">
        <v>111</v>
      </c>
      <c r="F9" s="16" t="s">
        <v>354</v>
      </c>
      <c r="G9" s="13">
        <v>1</v>
      </c>
      <c r="H9" s="13">
        <v>2</v>
      </c>
      <c r="I9" s="13">
        <v>3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8.5" customHeight="1" x14ac:dyDescent="0.25">
      <c r="A10" s="13" t="s">
        <v>139</v>
      </c>
      <c r="B10" s="14" t="s">
        <v>352</v>
      </c>
      <c r="C10" s="15" t="s">
        <v>356</v>
      </c>
      <c r="D10" s="18" t="s">
        <v>111</v>
      </c>
      <c r="E10" s="16" t="s">
        <v>354</v>
      </c>
      <c r="F10" s="17" t="s">
        <v>105</v>
      </c>
      <c r="G10" s="13">
        <v>1</v>
      </c>
      <c r="H10" s="13">
        <v>2</v>
      </c>
      <c r="I10" s="13">
        <v>3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8.5" customHeight="1" x14ac:dyDescent="0.25">
      <c r="A11" s="13" t="s">
        <v>140</v>
      </c>
      <c r="B11" s="14" t="s">
        <v>352</v>
      </c>
      <c r="C11" s="15" t="s">
        <v>353</v>
      </c>
      <c r="D11" s="16" t="s">
        <v>354</v>
      </c>
      <c r="E11" s="17" t="s">
        <v>105</v>
      </c>
      <c r="F11" s="18" t="s">
        <v>111</v>
      </c>
      <c r="G11" s="13">
        <v>1</v>
      </c>
      <c r="H11" s="13">
        <v>2</v>
      </c>
      <c r="I11" s="13">
        <v>3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8.5" customHeight="1" x14ac:dyDescent="0.25">
      <c r="A12" s="13" t="s">
        <v>141</v>
      </c>
      <c r="B12" s="19" t="s">
        <v>357</v>
      </c>
      <c r="C12" s="15" t="s">
        <v>355</v>
      </c>
      <c r="D12" s="17" t="s">
        <v>105</v>
      </c>
      <c r="E12" s="18" t="s">
        <v>111</v>
      </c>
      <c r="F12" s="16" t="s">
        <v>354</v>
      </c>
      <c r="G12" s="13">
        <v>2</v>
      </c>
      <c r="H12" s="13">
        <v>3</v>
      </c>
      <c r="I12" s="13">
        <v>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8.5" customHeight="1" x14ac:dyDescent="0.25">
      <c r="A13" s="13" t="s">
        <v>169</v>
      </c>
      <c r="B13" s="19" t="s">
        <v>357</v>
      </c>
      <c r="C13" s="15" t="s">
        <v>356</v>
      </c>
      <c r="D13" s="18" t="s">
        <v>111</v>
      </c>
      <c r="E13" s="16" t="s">
        <v>354</v>
      </c>
      <c r="F13" s="17" t="s">
        <v>105</v>
      </c>
      <c r="G13" s="13">
        <v>2</v>
      </c>
      <c r="H13" s="13">
        <v>3</v>
      </c>
      <c r="I13" s="13">
        <v>1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8.5" customHeight="1" x14ac:dyDescent="0.25">
      <c r="A14" s="13" t="s">
        <v>170</v>
      </c>
      <c r="B14" s="19" t="s">
        <v>357</v>
      </c>
      <c r="C14" s="15" t="s">
        <v>353</v>
      </c>
      <c r="D14" s="16" t="s">
        <v>354</v>
      </c>
      <c r="E14" s="17" t="s">
        <v>105</v>
      </c>
      <c r="F14" s="18" t="s">
        <v>111</v>
      </c>
      <c r="G14" s="13">
        <v>2</v>
      </c>
      <c r="H14" s="13">
        <v>3</v>
      </c>
      <c r="I14" s="13">
        <v>1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8.5" customHeight="1" x14ac:dyDescent="0.25">
      <c r="A15" s="13" t="s">
        <v>171</v>
      </c>
      <c r="B15" s="19" t="s">
        <v>357</v>
      </c>
      <c r="C15" s="15" t="s">
        <v>355</v>
      </c>
      <c r="D15" s="17" t="s">
        <v>105</v>
      </c>
      <c r="E15" s="18" t="s">
        <v>111</v>
      </c>
      <c r="F15" s="16" t="s">
        <v>354</v>
      </c>
      <c r="G15" s="13">
        <v>2</v>
      </c>
      <c r="H15" s="13">
        <v>3</v>
      </c>
      <c r="I15" s="13">
        <v>1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8.5" customHeight="1" x14ac:dyDescent="0.25">
      <c r="A16" s="13" t="s">
        <v>172</v>
      </c>
      <c r="B16" s="19" t="s">
        <v>357</v>
      </c>
      <c r="C16" s="15" t="s">
        <v>356</v>
      </c>
      <c r="D16" s="18" t="s">
        <v>111</v>
      </c>
      <c r="E16" s="16" t="s">
        <v>354</v>
      </c>
      <c r="F16" s="17" t="s">
        <v>105</v>
      </c>
      <c r="G16" s="13">
        <v>2</v>
      </c>
      <c r="H16" s="13">
        <v>3</v>
      </c>
      <c r="I16" s="13">
        <v>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8.5" customHeight="1" x14ac:dyDescent="0.25">
      <c r="A17" s="13" t="s">
        <v>173</v>
      </c>
      <c r="B17" s="19" t="s">
        <v>357</v>
      </c>
      <c r="C17" s="15" t="s">
        <v>353</v>
      </c>
      <c r="D17" s="16" t="s">
        <v>354</v>
      </c>
      <c r="E17" s="17" t="s">
        <v>105</v>
      </c>
      <c r="F17" s="18" t="s">
        <v>111</v>
      </c>
      <c r="G17" s="13">
        <v>2</v>
      </c>
      <c r="H17" s="13">
        <v>3</v>
      </c>
      <c r="I17" s="13">
        <v>1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8.5" customHeight="1" x14ac:dyDescent="0.25">
      <c r="A18" s="13" t="s">
        <v>174</v>
      </c>
      <c r="B18" s="19" t="s">
        <v>357</v>
      </c>
      <c r="C18" s="15" t="s">
        <v>355</v>
      </c>
      <c r="D18" s="17" t="s">
        <v>105</v>
      </c>
      <c r="E18" s="18" t="s">
        <v>111</v>
      </c>
      <c r="F18" s="16" t="s">
        <v>354</v>
      </c>
      <c r="G18" s="13">
        <v>2</v>
      </c>
      <c r="H18" s="13">
        <v>3</v>
      </c>
      <c r="I18" s="13">
        <v>1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8.5" customHeight="1" x14ac:dyDescent="0.25">
      <c r="A19" s="13" t="s">
        <v>175</v>
      </c>
      <c r="B19" s="19" t="s">
        <v>357</v>
      </c>
      <c r="C19" s="15" t="s">
        <v>356</v>
      </c>
      <c r="D19" s="18" t="s">
        <v>111</v>
      </c>
      <c r="E19" s="16" t="s">
        <v>354</v>
      </c>
      <c r="F19" s="17" t="s">
        <v>105</v>
      </c>
      <c r="G19" s="13">
        <v>2</v>
      </c>
      <c r="H19" s="13">
        <v>3</v>
      </c>
      <c r="I19" s="13">
        <v>1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8.5" customHeight="1" x14ac:dyDescent="0.25">
      <c r="A20" s="13" t="s">
        <v>176</v>
      </c>
      <c r="B20" s="19" t="s">
        <v>357</v>
      </c>
      <c r="C20" s="15" t="s">
        <v>353</v>
      </c>
      <c r="D20" s="16" t="s">
        <v>354</v>
      </c>
      <c r="E20" s="17" t="s">
        <v>105</v>
      </c>
      <c r="F20" s="18" t="s">
        <v>111</v>
      </c>
      <c r="G20" s="13">
        <v>2</v>
      </c>
      <c r="H20" s="13">
        <v>3</v>
      </c>
      <c r="I20" s="13">
        <v>1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25">
      <c r="A21" s="13" t="s">
        <v>177</v>
      </c>
      <c r="B21" s="19" t="s">
        <v>357</v>
      </c>
      <c r="C21" s="15" t="s">
        <v>355</v>
      </c>
      <c r="D21" s="17" t="s">
        <v>105</v>
      </c>
      <c r="E21" s="18" t="s">
        <v>111</v>
      </c>
      <c r="F21" s="16" t="s">
        <v>354</v>
      </c>
      <c r="G21" s="13">
        <v>2</v>
      </c>
      <c r="H21" s="13">
        <v>3</v>
      </c>
      <c r="I21" s="13">
        <v>1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25">
      <c r="A22" s="13" t="s">
        <v>178</v>
      </c>
      <c r="B22" s="20" t="s">
        <v>358</v>
      </c>
      <c r="C22" s="15" t="s">
        <v>356</v>
      </c>
      <c r="D22" s="18" t="s">
        <v>111</v>
      </c>
      <c r="E22" s="16" t="s">
        <v>354</v>
      </c>
      <c r="F22" s="17" t="s">
        <v>105</v>
      </c>
      <c r="G22" s="13">
        <v>3</v>
      </c>
      <c r="H22" s="13">
        <v>1</v>
      </c>
      <c r="I22" s="13">
        <v>2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25">
      <c r="A23" s="13" t="s">
        <v>206</v>
      </c>
      <c r="B23" s="20" t="s">
        <v>358</v>
      </c>
      <c r="C23" s="15" t="s">
        <v>353</v>
      </c>
      <c r="D23" s="16" t="s">
        <v>354</v>
      </c>
      <c r="E23" s="17" t="s">
        <v>105</v>
      </c>
      <c r="F23" s="18" t="s">
        <v>111</v>
      </c>
      <c r="G23" s="13">
        <v>3</v>
      </c>
      <c r="H23" s="13">
        <v>1</v>
      </c>
      <c r="I23" s="13">
        <v>2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25">
      <c r="A24" s="13" t="s">
        <v>207</v>
      </c>
      <c r="B24" s="20" t="s">
        <v>358</v>
      </c>
      <c r="C24" s="15" t="s">
        <v>355</v>
      </c>
      <c r="D24" s="17" t="s">
        <v>105</v>
      </c>
      <c r="E24" s="18" t="s">
        <v>111</v>
      </c>
      <c r="F24" s="16" t="s">
        <v>354</v>
      </c>
      <c r="G24" s="13">
        <v>3</v>
      </c>
      <c r="H24" s="13">
        <v>1</v>
      </c>
      <c r="I24" s="13">
        <v>2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25">
      <c r="A25" s="13" t="s">
        <v>208</v>
      </c>
      <c r="B25" s="20" t="s">
        <v>358</v>
      </c>
      <c r="C25" s="15" t="s">
        <v>356</v>
      </c>
      <c r="D25" s="18" t="s">
        <v>111</v>
      </c>
      <c r="E25" s="16" t="s">
        <v>354</v>
      </c>
      <c r="F25" s="17" t="s">
        <v>105</v>
      </c>
      <c r="G25" s="13">
        <v>3</v>
      </c>
      <c r="H25" s="13">
        <v>1</v>
      </c>
      <c r="I25" s="13">
        <v>2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25">
      <c r="A26" s="13" t="s">
        <v>209</v>
      </c>
      <c r="B26" s="20" t="s">
        <v>358</v>
      </c>
      <c r="C26" s="15" t="s">
        <v>353</v>
      </c>
      <c r="D26" s="16" t="s">
        <v>354</v>
      </c>
      <c r="E26" s="17" t="s">
        <v>105</v>
      </c>
      <c r="F26" s="18" t="s">
        <v>111</v>
      </c>
      <c r="G26" s="13">
        <v>3</v>
      </c>
      <c r="H26" s="13">
        <v>1</v>
      </c>
      <c r="I26" s="13">
        <v>2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25">
      <c r="A27" s="13" t="s">
        <v>210</v>
      </c>
      <c r="B27" s="20" t="s">
        <v>358</v>
      </c>
      <c r="C27" s="15" t="s">
        <v>355</v>
      </c>
      <c r="D27" s="17" t="s">
        <v>105</v>
      </c>
      <c r="E27" s="18" t="s">
        <v>111</v>
      </c>
      <c r="F27" s="16" t="s">
        <v>354</v>
      </c>
      <c r="G27" s="13">
        <v>3</v>
      </c>
      <c r="H27" s="13">
        <v>1</v>
      </c>
      <c r="I27" s="13">
        <v>2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25">
      <c r="A28" s="13" t="s">
        <v>211</v>
      </c>
      <c r="B28" s="20" t="s">
        <v>358</v>
      </c>
      <c r="C28" s="15" t="s">
        <v>356</v>
      </c>
      <c r="D28" s="18" t="s">
        <v>111</v>
      </c>
      <c r="E28" s="16" t="s">
        <v>354</v>
      </c>
      <c r="F28" s="17" t="s">
        <v>105</v>
      </c>
      <c r="G28" s="13">
        <v>3</v>
      </c>
      <c r="H28" s="13">
        <v>1</v>
      </c>
      <c r="I28" s="13">
        <v>2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25">
      <c r="A29" s="13" t="s">
        <v>212</v>
      </c>
      <c r="B29" s="20" t="s">
        <v>358</v>
      </c>
      <c r="C29" s="15" t="s">
        <v>353</v>
      </c>
      <c r="D29" s="16" t="s">
        <v>354</v>
      </c>
      <c r="E29" s="17" t="s">
        <v>105</v>
      </c>
      <c r="F29" s="18" t="s">
        <v>111</v>
      </c>
      <c r="G29" s="13">
        <v>3</v>
      </c>
      <c r="H29" s="13">
        <v>1</v>
      </c>
      <c r="I29" s="13">
        <v>2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25">
      <c r="A30" s="13" t="s">
        <v>213</v>
      </c>
      <c r="B30" s="20" t="s">
        <v>358</v>
      </c>
      <c r="C30" s="15" t="s">
        <v>355</v>
      </c>
      <c r="D30" s="17" t="s">
        <v>105</v>
      </c>
      <c r="E30" s="18" t="s">
        <v>111</v>
      </c>
      <c r="F30" s="16" t="s">
        <v>354</v>
      </c>
      <c r="G30" s="13">
        <v>3</v>
      </c>
      <c r="H30" s="13">
        <v>1</v>
      </c>
      <c r="I30" s="13">
        <v>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25">
      <c r="A31" s="13" t="s">
        <v>214</v>
      </c>
      <c r="B31" s="20" t="s">
        <v>358</v>
      </c>
      <c r="C31" s="15" t="s">
        <v>356</v>
      </c>
      <c r="D31" s="18" t="s">
        <v>111</v>
      </c>
      <c r="E31" s="16" t="s">
        <v>354</v>
      </c>
      <c r="F31" s="17" t="s">
        <v>105</v>
      </c>
      <c r="G31" s="13">
        <v>3</v>
      </c>
      <c r="H31" s="13">
        <v>1</v>
      </c>
      <c r="I31" s="13">
        <v>2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rightToLeft="1" workbookViewId="0">
      <pane ySplit="1" topLeftCell="A2" activePane="bottomLeft" state="frozen"/>
      <selection pane="bottomLeft" activeCell="J1" sqref="J1"/>
    </sheetView>
  </sheetViews>
  <sheetFormatPr defaultColWidth="14.42578125" defaultRowHeight="15" customHeight="1" x14ac:dyDescent="0.25"/>
  <cols>
    <col min="1" max="1" width="11.28515625" customWidth="1"/>
    <col min="2" max="2" width="8" customWidth="1"/>
    <col min="3" max="4" width="10" customWidth="1"/>
    <col min="5" max="5" width="16" customWidth="1"/>
    <col min="6" max="7" width="10" customWidth="1"/>
    <col min="8" max="8" width="14" customWidth="1"/>
    <col min="9" max="10" width="10" customWidth="1"/>
    <col min="11" max="11" width="18" customWidth="1"/>
    <col min="12" max="12" width="22" customWidth="1"/>
    <col min="13" max="26" width="8.7109375" customWidth="1"/>
  </cols>
  <sheetData>
    <row r="1" spans="1:26" ht="30" customHeight="1" x14ac:dyDescent="0.25">
      <c r="A1" s="21" t="s">
        <v>0</v>
      </c>
      <c r="B1" s="21" t="s">
        <v>359</v>
      </c>
      <c r="C1" s="21" t="s">
        <v>360</v>
      </c>
      <c r="D1" s="21" t="s">
        <v>361</v>
      </c>
      <c r="E1" s="21" t="s">
        <v>362</v>
      </c>
      <c r="F1" s="21" t="s">
        <v>363</v>
      </c>
      <c r="G1" s="21" t="s">
        <v>364</v>
      </c>
      <c r="H1" s="21" t="s">
        <v>365</v>
      </c>
      <c r="I1" s="21" t="s">
        <v>366</v>
      </c>
      <c r="J1" s="21" t="s">
        <v>367</v>
      </c>
      <c r="K1" s="21" t="s">
        <v>368</v>
      </c>
      <c r="L1" s="21" t="s">
        <v>369</v>
      </c>
      <c r="M1" s="10"/>
      <c r="N1" s="10"/>
      <c r="O1" s="10" t="s">
        <v>382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6" t="s">
        <v>86</v>
      </c>
      <c r="B2" s="6">
        <v>1</v>
      </c>
      <c r="C2" s="6" t="s">
        <v>370</v>
      </c>
      <c r="D2" s="6"/>
      <c r="E2" s="6" t="s">
        <v>98</v>
      </c>
      <c r="F2" s="6"/>
      <c r="G2" s="6"/>
      <c r="H2" s="8" t="s">
        <v>90</v>
      </c>
      <c r="I2" s="6" t="s">
        <v>91</v>
      </c>
      <c r="J2" s="6" t="s">
        <v>371</v>
      </c>
      <c r="K2" s="6" t="s">
        <v>383</v>
      </c>
      <c r="L2" s="6" t="str">
        <f>IF(J2="כן", K2, VLOOKUP(LEFT(H2, 7), 'קטלוג תרחישים'!$A:$M, 13, FALSE))</f>
        <v>א'</v>
      </c>
      <c r="M2" s="10"/>
      <c r="N2" s="23" t="s">
        <v>352</v>
      </c>
      <c r="O2" s="10" t="str" cm="1">
        <f t="array" ref="O2">_xlfn.IFS(N2="A","א'", N2="B", "ב'", N2= "C", "ג'")</f>
        <v>א'</v>
      </c>
      <c r="P2" s="10">
        <f>IF(Table_2[[#This Row],[Correct_Answer]]=Table_2[[#This Row],[System_Recommendation]],1,0)</f>
        <v>1</v>
      </c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6" t="s">
        <v>86</v>
      </c>
      <c r="B3" s="6">
        <v>2</v>
      </c>
      <c r="C3" s="6" t="s">
        <v>370</v>
      </c>
      <c r="D3" s="6"/>
      <c r="E3" s="6" t="s">
        <v>98</v>
      </c>
      <c r="F3" s="6"/>
      <c r="G3" s="6"/>
      <c r="H3" s="8" t="s">
        <v>92</v>
      </c>
      <c r="I3" s="6" t="s">
        <v>91</v>
      </c>
      <c r="J3" s="6" t="s">
        <v>371</v>
      </c>
      <c r="K3" s="6" t="s">
        <v>383</v>
      </c>
      <c r="L3" s="6" t="str">
        <f>IF(J3="כן", K3, VLOOKUP(LEFT(H3, 7), 'קטלוג תרחישים'!$A:$M, 13, FALSE))</f>
        <v>א'</v>
      </c>
      <c r="M3" s="10"/>
      <c r="N3" s="24" t="s">
        <v>352</v>
      </c>
      <c r="O3" s="10" t="str" cm="1">
        <f t="array" ref="O3">_xlfn.IFS(N3="A","א'", N3="B", "ב'", N3= "C", "ג'")</f>
        <v>א'</v>
      </c>
      <c r="P3" s="10">
        <f>IF(Table_2[[#This Row],[Correct_Answer]]=Table_2[[#This Row],[System_Recommendation]],1,0)</f>
        <v>1</v>
      </c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6" t="s">
        <v>86</v>
      </c>
      <c r="B4" s="6">
        <v>3</v>
      </c>
      <c r="C4" s="6" t="s">
        <v>370</v>
      </c>
      <c r="D4" s="6"/>
      <c r="E4" s="6" t="s">
        <v>105</v>
      </c>
      <c r="F4" s="6"/>
      <c r="G4" s="6"/>
      <c r="H4" s="8" t="s">
        <v>93</v>
      </c>
      <c r="I4" s="6" t="s">
        <v>91</v>
      </c>
      <c r="J4" s="6" t="s">
        <v>371</v>
      </c>
      <c r="K4" s="6" t="s">
        <v>383</v>
      </c>
      <c r="L4" s="6" t="str">
        <f>IF(J4="כן", K4, VLOOKUP(LEFT(H4, 7), 'קטלוג תרחישים'!$A:$M, 13, FALSE))</f>
        <v>א'</v>
      </c>
      <c r="M4" s="10"/>
      <c r="N4" s="23" t="s">
        <v>357</v>
      </c>
      <c r="O4" s="10" t="str" cm="1">
        <f t="array" ref="O4">_xlfn.IFS(N4="A","א'", N4="B", "ב'", N4= "C", "ג'")</f>
        <v>ב'</v>
      </c>
      <c r="P4" s="10">
        <f>IF(Table_2[[#This Row],[Correct_Answer]]=Table_2[[#This Row],[System_Recommendation]],1,0)</f>
        <v>1</v>
      </c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6" t="s">
        <v>86</v>
      </c>
      <c r="B5" s="6">
        <v>4</v>
      </c>
      <c r="C5" s="6" t="s">
        <v>370</v>
      </c>
      <c r="D5" s="6"/>
      <c r="E5" s="6" t="s">
        <v>105</v>
      </c>
      <c r="F5" s="6"/>
      <c r="G5" s="6"/>
      <c r="H5" s="8" t="s">
        <v>94</v>
      </c>
      <c r="I5" s="6" t="s">
        <v>91</v>
      </c>
      <c r="J5" s="6" t="s">
        <v>371</v>
      </c>
      <c r="K5" s="6" t="s">
        <v>384</v>
      </c>
      <c r="L5" s="6" t="str">
        <f>IF(J5="כן", K5, VLOOKUP(LEFT(H5, 7), 'קטלוג תרחישים'!$A:$M, 13, FALSE))</f>
        <v>ב'</v>
      </c>
      <c r="M5" s="10"/>
      <c r="N5" s="24" t="s">
        <v>358</v>
      </c>
      <c r="O5" s="10" t="str" cm="1">
        <f t="array" ref="O5">_xlfn.IFS(N5="A","א'", N5="B", "ב'", N5= "C", "ג'")</f>
        <v>ג'</v>
      </c>
      <c r="P5" s="10">
        <f>IF(Table_2[[#This Row],[Correct_Answer]]=Table_2[[#This Row],[System_Recommendation]],1,0)</f>
        <v>1</v>
      </c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6" t="s">
        <v>86</v>
      </c>
      <c r="B6" s="6">
        <v>5</v>
      </c>
      <c r="C6" s="6" t="s">
        <v>370</v>
      </c>
      <c r="D6" s="6"/>
      <c r="E6" s="6" t="s">
        <v>111</v>
      </c>
      <c r="F6" s="6"/>
      <c r="G6" s="6"/>
      <c r="H6" s="8" t="s">
        <v>95</v>
      </c>
      <c r="I6" s="6" t="s">
        <v>91</v>
      </c>
      <c r="J6" s="6" t="s">
        <v>371</v>
      </c>
      <c r="K6" s="6" t="s">
        <v>384</v>
      </c>
      <c r="L6" s="6" t="str">
        <f>IF(J6="כן", K6, VLOOKUP(LEFT(H6, 7), 'קטלוג תרחישים'!$A:$M, 13, FALSE))</f>
        <v>ב'</v>
      </c>
      <c r="M6" s="10"/>
      <c r="N6" s="23" t="s">
        <v>358</v>
      </c>
      <c r="O6" s="10" t="str" cm="1">
        <f t="array" ref="O6">_xlfn.IFS(N6="A","א'", N6="B", "ב'", N6= "C", "ג'")</f>
        <v>ג'</v>
      </c>
      <c r="P6" s="10">
        <f>IF(Table_2[[#This Row],[Correct_Answer]]=Table_2[[#This Row],[System_Recommendation]],1,0)</f>
        <v>1</v>
      </c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6" t="s">
        <v>86</v>
      </c>
      <c r="B7" s="6">
        <v>6</v>
      </c>
      <c r="C7" s="6" t="s">
        <v>370</v>
      </c>
      <c r="D7" s="6"/>
      <c r="E7" s="6" t="s">
        <v>111</v>
      </c>
      <c r="F7" s="6"/>
      <c r="G7" s="6"/>
      <c r="H7" s="8" t="s">
        <v>96</v>
      </c>
      <c r="I7" s="6" t="s">
        <v>91</v>
      </c>
      <c r="J7" s="6" t="s">
        <v>371</v>
      </c>
      <c r="K7" s="6" t="s">
        <v>385</v>
      </c>
      <c r="L7" s="6" t="str">
        <f>IF(J7="כן", K7, VLOOKUP(LEFT(H7, 7), 'קטלוג תרחישים'!$A:$M, 13, FALSE))</f>
        <v>ג</v>
      </c>
      <c r="M7" s="10"/>
      <c r="N7" s="24" t="s">
        <v>358</v>
      </c>
      <c r="O7" s="10" t="str" cm="1">
        <f t="array" ref="O7">_xlfn.IFS(N7="A","א'", N7="B", "ב'", N7= "C", "ג'")</f>
        <v>ג'</v>
      </c>
      <c r="P7" s="10">
        <f>IF(Table_2[[#This Row],[Correct_Answer]]=Table_2[[#This Row],[System_Recommendation]],1,0)</f>
        <v>1</v>
      </c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6" t="s">
        <v>86</v>
      </c>
      <c r="B8" s="6">
        <v>7</v>
      </c>
      <c r="C8" s="6" t="s">
        <v>372</v>
      </c>
      <c r="D8" s="6">
        <v>1</v>
      </c>
      <c r="E8" s="6" t="s">
        <v>98</v>
      </c>
      <c r="F8" s="6" t="s">
        <v>373</v>
      </c>
      <c r="G8" s="6" t="s">
        <v>97</v>
      </c>
      <c r="H8" s="6" t="s">
        <v>99</v>
      </c>
      <c r="I8" s="6" t="s">
        <v>100</v>
      </c>
      <c r="J8" s="6" t="s">
        <v>371</v>
      </c>
      <c r="K8" s="6" t="s">
        <v>385</v>
      </c>
      <c r="L8" s="6" t="str">
        <f>IF(J8="כן", K8, VLOOKUP(LEFT(H8, 7), 'קטלוג תרחישים'!$A:$M, 13, FALSE))</f>
        <v>ג</v>
      </c>
      <c r="M8" s="10"/>
      <c r="N8" s="23" t="s">
        <v>357</v>
      </c>
      <c r="O8" s="10" t="str" cm="1">
        <f t="array" ref="O8">_xlfn.IFS(N8="A","א'", N8="B", "ב'", N8= "C", "ג'")</f>
        <v>ב'</v>
      </c>
      <c r="P8" s="10">
        <f>IF(Table_2[[#This Row],[Correct_Answer]]=Table_2[[#This Row],[System_Recommendation]],1,0)</f>
        <v>1</v>
      </c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25">
      <c r="A9" s="6" t="s">
        <v>86</v>
      </c>
      <c r="B9" s="6">
        <v>8</v>
      </c>
      <c r="C9" s="6" t="s">
        <v>372</v>
      </c>
      <c r="D9" s="6">
        <v>1</v>
      </c>
      <c r="E9" s="6" t="s">
        <v>98</v>
      </c>
      <c r="F9" s="6" t="s">
        <v>373</v>
      </c>
      <c r="G9" s="6" t="s">
        <v>97</v>
      </c>
      <c r="H9" s="6" t="s">
        <v>101</v>
      </c>
      <c r="I9" s="6" t="s">
        <v>91</v>
      </c>
      <c r="J9" s="6" t="s">
        <v>371</v>
      </c>
      <c r="K9" s="6" t="s">
        <v>385</v>
      </c>
      <c r="L9" s="6" t="str">
        <f>IF(J9="כן", K9, VLOOKUP(LEFT(H9, 7), 'קטלוג תרחישים'!$A:$M, 13, FALSE))</f>
        <v>ג</v>
      </c>
      <c r="M9" s="10"/>
      <c r="N9" s="24" t="s">
        <v>352</v>
      </c>
      <c r="O9" s="10" t="str" cm="1">
        <f t="array" ref="O9">_xlfn.IFS(N9="A","א'", N9="B", "ב'", N9= "C", "ג'")</f>
        <v>א'</v>
      </c>
      <c r="P9" s="10">
        <f>IF(Table_2[[#This Row],[Correct_Answer]]=Table_2[[#This Row],[System_Recommendation]],1,0)</f>
        <v>1</v>
      </c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6" t="s">
        <v>86</v>
      </c>
      <c r="B10" s="6">
        <v>9</v>
      </c>
      <c r="C10" s="6" t="s">
        <v>372</v>
      </c>
      <c r="D10" s="6">
        <v>1</v>
      </c>
      <c r="E10" s="6" t="s">
        <v>98</v>
      </c>
      <c r="F10" s="6" t="s">
        <v>373</v>
      </c>
      <c r="G10" s="6" t="s">
        <v>97</v>
      </c>
      <c r="H10" s="6" t="s">
        <v>102</v>
      </c>
      <c r="I10" s="6" t="s">
        <v>100</v>
      </c>
      <c r="J10" s="6" t="s">
        <v>371</v>
      </c>
      <c r="K10" s="6" t="s">
        <v>385</v>
      </c>
      <c r="L10" s="6" t="str">
        <f>IF(J10="כן", K10, VLOOKUP(LEFT(H10, 7), 'קטלוג תרחישים'!$A:$M, 13, FALSE))</f>
        <v>ג</v>
      </c>
      <c r="M10" s="10"/>
      <c r="N10" s="23" t="s">
        <v>358</v>
      </c>
      <c r="O10" s="10" t="str" cm="1">
        <f t="array" ref="O10">_xlfn.IFS(N10="A","א'", N10="B", "ב'", N10= "C", "ג'")</f>
        <v>ג'</v>
      </c>
      <c r="P10" s="10">
        <f>IF(Table_2[[#This Row],[Correct_Answer]]=Table_2[[#This Row],[System_Recommendation]],1,0)</f>
        <v>1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25">
      <c r="A11" s="6" t="s">
        <v>86</v>
      </c>
      <c r="B11" s="6">
        <v>10</v>
      </c>
      <c r="C11" s="6" t="s">
        <v>372</v>
      </c>
      <c r="D11" s="6">
        <v>1</v>
      </c>
      <c r="E11" s="6" t="s">
        <v>98</v>
      </c>
      <c r="F11" s="6" t="s">
        <v>373</v>
      </c>
      <c r="G11" s="6" t="s">
        <v>97</v>
      </c>
      <c r="H11" s="6" t="s">
        <v>103</v>
      </c>
      <c r="I11" s="6" t="s">
        <v>91</v>
      </c>
      <c r="J11" s="6" t="s">
        <v>374</v>
      </c>
      <c r="K11" s="6" t="s">
        <v>384</v>
      </c>
      <c r="L11" s="6" t="str">
        <f>IF(J11="כן", K11, VLOOKUP(LEFT(H11, 7), 'קטלוג תרחישים'!$A:$M, 13, FALSE))</f>
        <v>ג'</v>
      </c>
      <c r="M11" s="10"/>
      <c r="N11" s="24" t="s">
        <v>358</v>
      </c>
      <c r="O11" s="10" t="str" cm="1">
        <f t="array" ref="O11">_xlfn.IFS(N11="A","א'", N11="B", "ב'", N11= "C", "ג'")</f>
        <v>ג'</v>
      </c>
      <c r="P11" s="10">
        <f>IF(Table_2[[#This Row],[Correct_Answer]]=Table_2[[#This Row],[System_Recommendation]],1,0)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6" t="s">
        <v>86</v>
      </c>
      <c r="B12" s="6">
        <v>11</v>
      </c>
      <c r="C12" s="6" t="s">
        <v>372</v>
      </c>
      <c r="D12" s="6">
        <v>1</v>
      </c>
      <c r="E12" s="6" t="s">
        <v>98</v>
      </c>
      <c r="F12" s="6" t="s">
        <v>373</v>
      </c>
      <c r="G12" s="6" t="s">
        <v>97</v>
      </c>
      <c r="H12" s="6" t="s">
        <v>104</v>
      </c>
      <c r="I12" s="6" t="s">
        <v>100</v>
      </c>
      <c r="J12" s="6" t="s">
        <v>371</v>
      </c>
      <c r="K12" s="6" t="s">
        <v>383</v>
      </c>
      <c r="L12" s="6" t="str">
        <f>IF(J12="כן", K12, VLOOKUP(LEFT(H12, 7), 'קטלוג תרחישים'!$A:$M, 13, FALSE))</f>
        <v>א'</v>
      </c>
      <c r="M12" s="10"/>
      <c r="N12" s="23" t="s">
        <v>357</v>
      </c>
      <c r="O12" s="10" t="str" cm="1">
        <f t="array" ref="O12">_xlfn.IFS(N12="A","א'", N12="B", "ב'", N12= "C", "ג'")</f>
        <v>ב'</v>
      </c>
      <c r="P12" s="10">
        <f>IF(Table_2[[#This Row],[Correct_Answer]]=Table_2[[#This Row],[System_Recommendation]],1,0)</f>
        <v>1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6" t="s">
        <v>86</v>
      </c>
      <c r="B13" s="6">
        <v>12</v>
      </c>
      <c r="C13" s="6" t="s">
        <v>372</v>
      </c>
      <c r="D13" s="6">
        <v>2</v>
      </c>
      <c r="E13" s="6" t="s">
        <v>105</v>
      </c>
      <c r="F13" s="6" t="s">
        <v>373</v>
      </c>
      <c r="G13" s="6" t="s">
        <v>97</v>
      </c>
      <c r="H13" s="6" t="s">
        <v>106</v>
      </c>
      <c r="I13" s="6" t="s">
        <v>91</v>
      </c>
      <c r="J13" s="6" t="s">
        <v>374</v>
      </c>
      <c r="K13" s="6" t="s">
        <v>385</v>
      </c>
      <c r="L13" s="6" t="str">
        <f>IF(J13="כן", K13, VLOOKUP(LEFT(H13, 7), 'קטלוג תרחישים'!$A:$M, 13, FALSE))</f>
        <v>ב'</v>
      </c>
      <c r="M13" s="10"/>
      <c r="N13" s="24" t="s">
        <v>357</v>
      </c>
      <c r="O13" s="10" t="str" cm="1">
        <f t="array" ref="O13">_xlfn.IFS(N13="A","א'", N13="B", "ב'", N13= "C", "ג'")</f>
        <v>ב'</v>
      </c>
      <c r="P13" s="10">
        <f>IF(Table_2[[#This Row],[Correct_Answer]]=Table_2[[#This Row],[System_Recommendation]],1,0)</f>
        <v>0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6" t="s">
        <v>86</v>
      </c>
      <c r="B14" s="6">
        <v>13</v>
      </c>
      <c r="C14" s="6" t="s">
        <v>372</v>
      </c>
      <c r="D14" s="6">
        <v>2</v>
      </c>
      <c r="E14" s="6" t="s">
        <v>105</v>
      </c>
      <c r="F14" s="6" t="s">
        <v>373</v>
      </c>
      <c r="G14" s="6" t="s">
        <v>97</v>
      </c>
      <c r="H14" s="6" t="s">
        <v>107</v>
      </c>
      <c r="I14" s="6" t="s">
        <v>100</v>
      </c>
      <c r="J14" s="6" t="s">
        <v>371</v>
      </c>
      <c r="K14" s="6" t="s">
        <v>385</v>
      </c>
      <c r="L14" s="6" t="str">
        <f>IF(J14="כן", K14, VLOOKUP(LEFT(H14, 7), 'קטלוג תרחישים'!$A:$M, 13, FALSE))</f>
        <v>ג</v>
      </c>
      <c r="M14" s="10"/>
      <c r="N14" s="23" t="s">
        <v>357</v>
      </c>
      <c r="O14" s="10" t="str" cm="1">
        <f t="array" ref="O14">_xlfn.IFS(N14="A","א'", N14="B", "ב'", N14= "C", "ג'")</f>
        <v>ב'</v>
      </c>
      <c r="P14" s="10">
        <f>IF(Table_2[[#This Row],[Correct_Answer]]=Table_2[[#This Row],[System_Recommendation]],1,0)</f>
        <v>1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6" t="s">
        <v>86</v>
      </c>
      <c r="B15" s="6">
        <v>14</v>
      </c>
      <c r="C15" s="6" t="s">
        <v>372</v>
      </c>
      <c r="D15" s="6">
        <v>2</v>
      </c>
      <c r="E15" s="6" t="s">
        <v>105</v>
      </c>
      <c r="F15" s="6" t="s">
        <v>373</v>
      </c>
      <c r="G15" s="6" t="s">
        <v>97</v>
      </c>
      <c r="H15" s="6" t="s">
        <v>108</v>
      </c>
      <c r="I15" s="6" t="s">
        <v>91</v>
      </c>
      <c r="J15" s="6" t="s">
        <v>371</v>
      </c>
      <c r="K15" s="6" t="s">
        <v>384</v>
      </c>
      <c r="L15" s="6" t="str">
        <f>IF(J15="כן", K15, VLOOKUP(LEFT(H15, 7), 'קטלוג תרחישים'!$A:$M, 13, FALSE))</f>
        <v>ב'</v>
      </c>
      <c r="M15" s="10"/>
      <c r="N15" s="24" t="s">
        <v>352</v>
      </c>
      <c r="O15" s="10" t="str" cm="1">
        <f t="array" ref="O15">_xlfn.IFS(N15="A","א'", N15="B", "ב'", N15= "C", "ג'")</f>
        <v>א'</v>
      </c>
      <c r="P15" s="10">
        <f>IF(Table_2[[#This Row],[Correct_Answer]]=Table_2[[#This Row],[System_Recommendation]],1,0)</f>
        <v>1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6" t="s">
        <v>86</v>
      </c>
      <c r="B16" s="6">
        <v>15</v>
      </c>
      <c r="C16" s="6" t="s">
        <v>372</v>
      </c>
      <c r="D16" s="6">
        <v>2</v>
      </c>
      <c r="E16" s="6" t="s">
        <v>105</v>
      </c>
      <c r="F16" s="6" t="s">
        <v>373</v>
      </c>
      <c r="G16" s="6" t="s">
        <v>97</v>
      </c>
      <c r="H16" s="6" t="s">
        <v>109</v>
      </c>
      <c r="I16" s="6" t="s">
        <v>100</v>
      </c>
      <c r="J16" s="6" t="s">
        <v>371</v>
      </c>
      <c r="K16" s="6" t="s">
        <v>384</v>
      </c>
      <c r="L16" s="6" t="str">
        <f>IF(J16="כן", K16, VLOOKUP(LEFT(H16, 7), 'קטלוג תרחישים'!$A:$M, 13, FALSE))</f>
        <v>ב'</v>
      </c>
      <c r="M16" s="10"/>
      <c r="N16" s="23" t="s">
        <v>358</v>
      </c>
      <c r="O16" s="10" t="str" cm="1">
        <f t="array" ref="O16">_xlfn.IFS(N16="A","א'", N16="B", "ב'", N16= "C", "ג'")</f>
        <v>ג'</v>
      </c>
      <c r="P16" s="10">
        <f>IF(Table_2[[#This Row],[Correct_Answer]]=Table_2[[#This Row],[System_Recommendation]],1,0)</f>
        <v>1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6" t="s">
        <v>86</v>
      </c>
      <c r="B17" s="6">
        <v>16</v>
      </c>
      <c r="C17" s="6" t="s">
        <v>372</v>
      </c>
      <c r="D17" s="6">
        <v>2</v>
      </c>
      <c r="E17" s="6" t="s">
        <v>105</v>
      </c>
      <c r="F17" s="6" t="s">
        <v>373</v>
      </c>
      <c r="G17" s="6" t="s">
        <v>97</v>
      </c>
      <c r="H17" s="6" t="s">
        <v>110</v>
      </c>
      <c r="I17" s="6" t="s">
        <v>91</v>
      </c>
      <c r="J17" s="6" t="s">
        <v>371</v>
      </c>
      <c r="K17" s="6" t="s">
        <v>384</v>
      </c>
      <c r="L17" s="6" t="str">
        <f>IF(J17="כן", K17, VLOOKUP(LEFT(H17, 7), 'קטלוג תרחישים'!$A:$M, 13, FALSE))</f>
        <v>ב'</v>
      </c>
      <c r="M17" s="10"/>
      <c r="N17" s="24" t="s">
        <v>357</v>
      </c>
      <c r="O17" s="10" t="str" cm="1">
        <f t="array" ref="O17">_xlfn.IFS(N17="A","א'", N17="B", "ב'", N17= "C", "ג'")</f>
        <v>ב'</v>
      </c>
      <c r="P17" s="10">
        <f>IF(Table_2[[#This Row],[Correct_Answer]]=Table_2[[#This Row],[System_Recommendation]],1,0)</f>
        <v>1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6" t="s">
        <v>86</v>
      </c>
      <c r="B18" s="6">
        <v>17</v>
      </c>
      <c r="C18" s="6" t="s">
        <v>372</v>
      </c>
      <c r="D18" s="6">
        <v>3</v>
      </c>
      <c r="E18" s="6" t="s">
        <v>111</v>
      </c>
      <c r="F18" s="6" t="s">
        <v>373</v>
      </c>
      <c r="G18" s="6" t="s">
        <v>97</v>
      </c>
      <c r="H18" s="6" t="s">
        <v>112</v>
      </c>
      <c r="I18" s="6" t="s">
        <v>91</v>
      </c>
      <c r="J18" s="6" t="s">
        <v>371</v>
      </c>
      <c r="K18" s="6" t="s">
        <v>383</v>
      </c>
      <c r="L18" s="6" t="str">
        <f>IF(J18="כן", K18, VLOOKUP(LEFT(H18, 7), 'קטלוג תרחישים'!$A:$M, 13, FALSE))</f>
        <v>א'</v>
      </c>
      <c r="M18" s="10"/>
      <c r="N18" s="23" t="s">
        <v>358</v>
      </c>
      <c r="O18" s="10" t="str" cm="1">
        <f t="array" ref="O18">_xlfn.IFS(N18="A","א'", N18="B", "ב'", N18= "C", "ג'")</f>
        <v>ג'</v>
      </c>
      <c r="P18" s="10">
        <f>IF(Table_2[[#This Row],[Correct_Answer]]=Table_2[[#This Row],[System_Recommendation]],1,0)</f>
        <v>1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6" t="s">
        <v>86</v>
      </c>
      <c r="B19" s="6">
        <v>18</v>
      </c>
      <c r="C19" s="6" t="s">
        <v>372</v>
      </c>
      <c r="D19" s="6">
        <v>3</v>
      </c>
      <c r="E19" s="6" t="s">
        <v>111</v>
      </c>
      <c r="F19" s="6" t="s">
        <v>373</v>
      </c>
      <c r="G19" s="6" t="s">
        <v>97</v>
      </c>
      <c r="H19" s="6" t="s">
        <v>113</v>
      </c>
      <c r="I19" s="6" t="s">
        <v>100</v>
      </c>
      <c r="J19" s="6" t="s">
        <v>371</v>
      </c>
      <c r="K19" s="6" t="s">
        <v>385</v>
      </c>
      <c r="L19" s="6" t="str">
        <f>IF(J19="כן", K19, VLOOKUP(LEFT(H19, 7), 'קטלוג תרחישים'!$A:$M, 13, FALSE))</f>
        <v>ג</v>
      </c>
      <c r="M19" s="10"/>
      <c r="N19" s="24" t="s">
        <v>352</v>
      </c>
      <c r="O19" s="10" t="str" cm="1">
        <f t="array" ref="O19">_xlfn.IFS(N19="A","א'", N19="B", "ב'", N19= "C", "ג'")</f>
        <v>א'</v>
      </c>
      <c r="P19" s="10">
        <f>IF(Table_2[[#This Row],[Correct_Answer]]=Table_2[[#This Row],[System_Recommendation]],1,0)</f>
        <v>1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6" t="s">
        <v>86</v>
      </c>
      <c r="B20" s="6">
        <v>19</v>
      </c>
      <c r="C20" s="6" t="s">
        <v>372</v>
      </c>
      <c r="D20" s="6">
        <v>3</v>
      </c>
      <c r="E20" s="6" t="s">
        <v>111</v>
      </c>
      <c r="F20" s="6" t="s">
        <v>373</v>
      </c>
      <c r="G20" s="6" t="s">
        <v>97</v>
      </c>
      <c r="H20" s="6" t="s">
        <v>114</v>
      </c>
      <c r="I20" s="6" t="s">
        <v>91</v>
      </c>
      <c r="J20" s="6" t="s">
        <v>374</v>
      </c>
      <c r="K20" s="6" t="s">
        <v>384</v>
      </c>
      <c r="L20" s="6" t="str">
        <f>IF(J20="כן", K20, VLOOKUP(LEFT(H20, 7), 'קטלוג תרחישים'!$A:$M, 13, FALSE))</f>
        <v>ב'</v>
      </c>
      <c r="M20" s="10"/>
      <c r="N20" s="23" t="s">
        <v>358</v>
      </c>
      <c r="O20" s="10" t="str" cm="1">
        <f t="array" ref="O20">_xlfn.IFS(N20="A","א'", N20="B", "ב'", N20= "C", "ג'")</f>
        <v>ג'</v>
      </c>
      <c r="P20" s="10">
        <f>IF(Table_2[[#This Row],[Correct_Answer]]=Table_2[[#This Row],[System_Recommendation]],1,0)</f>
        <v>1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5">
      <c r="A21" s="6" t="s">
        <v>86</v>
      </c>
      <c r="B21" s="6">
        <v>20</v>
      </c>
      <c r="C21" s="6" t="s">
        <v>372</v>
      </c>
      <c r="D21" s="6">
        <v>3</v>
      </c>
      <c r="E21" s="6" t="s">
        <v>111</v>
      </c>
      <c r="F21" s="6" t="s">
        <v>373</v>
      </c>
      <c r="G21" s="6" t="s">
        <v>97</v>
      </c>
      <c r="H21" s="6" t="s">
        <v>115</v>
      </c>
      <c r="I21" s="6" t="s">
        <v>100</v>
      </c>
      <c r="J21" s="6" t="s">
        <v>371</v>
      </c>
      <c r="K21" s="6" t="s">
        <v>385</v>
      </c>
      <c r="L21" s="6" t="str">
        <f>IF(J21="כן", K21, VLOOKUP(LEFT(H21, 7), 'קטלוג תרחישים'!$A:$M, 13, FALSE))</f>
        <v>ג</v>
      </c>
      <c r="M21" s="10"/>
      <c r="N21" s="24" t="s">
        <v>358</v>
      </c>
      <c r="O21" s="10" t="str" cm="1">
        <f t="array" ref="O21">_xlfn.IFS(N21="A","א'", N21="B", "ב'", N21= "C", "ג'")</f>
        <v>ג'</v>
      </c>
      <c r="P21" s="10">
        <f>IF(Table_2[[#This Row],[Correct_Answer]]=Table_2[[#This Row],[System_Recommendation]],1,0)</f>
        <v>1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25">
      <c r="A22" s="6" t="s">
        <v>86</v>
      </c>
      <c r="B22" s="6">
        <v>21</v>
      </c>
      <c r="C22" s="6" t="s">
        <v>372</v>
      </c>
      <c r="D22" s="6">
        <v>3</v>
      </c>
      <c r="E22" s="6" t="s">
        <v>111</v>
      </c>
      <c r="F22" s="6" t="s">
        <v>373</v>
      </c>
      <c r="G22" s="6" t="s">
        <v>97</v>
      </c>
      <c r="H22" s="6" t="s">
        <v>116</v>
      </c>
      <c r="I22" s="6" t="s">
        <v>91</v>
      </c>
      <c r="J22" s="6" t="s">
        <v>371</v>
      </c>
      <c r="K22" s="6" t="s">
        <v>383</v>
      </c>
      <c r="L22" s="6" t="str">
        <f>IF(J22="כן", K22, VLOOKUP(LEFT(H22, 7), 'קטלוג תרחישים'!$A:$M, 13, FALSE))</f>
        <v>א'</v>
      </c>
      <c r="M22" s="10"/>
      <c r="N22" s="23" t="s">
        <v>357</v>
      </c>
      <c r="O22" s="10" t="str" cm="1">
        <f t="array" ref="O22">_xlfn.IFS(N22="A","א'", N22="B", "ב'", N22= "C", "ג'")</f>
        <v>ב'</v>
      </c>
      <c r="P22" s="10">
        <f>IF(Table_2[[#This Row],[Correct_Answer]]=Table_2[[#This Row],[System_Recommendation]],1,0)</f>
        <v>1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25">
      <c r="A23" s="6" t="s">
        <v>86</v>
      </c>
      <c r="B23" s="6">
        <v>22</v>
      </c>
      <c r="C23" s="6" t="s">
        <v>372</v>
      </c>
      <c r="D23" s="6">
        <v>1</v>
      </c>
      <c r="E23" s="6" t="s">
        <v>105</v>
      </c>
      <c r="F23" s="6" t="s">
        <v>375</v>
      </c>
      <c r="G23" s="6" t="s">
        <v>117</v>
      </c>
      <c r="H23" s="6" t="s">
        <v>118</v>
      </c>
      <c r="I23" s="6" t="s">
        <v>91</v>
      </c>
      <c r="J23" s="6" t="s">
        <v>371</v>
      </c>
      <c r="K23" s="6" t="s">
        <v>385</v>
      </c>
      <c r="L23" s="6" t="str">
        <f>IF(J23="כן", K23, VLOOKUP(LEFT(H23, 7), 'קטלוג תרחישים'!$A:$M, 13, FALSE))</f>
        <v>ג</v>
      </c>
      <c r="M23" s="10"/>
      <c r="N23" s="24" t="s">
        <v>352</v>
      </c>
      <c r="O23" s="10" t="str" cm="1">
        <f t="array" ref="O23">_xlfn.IFS(N23="A","א'", N23="B", "ב'", N23= "C", "ג'")</f>
        <v>א'</v>
      </c>
      <c r="P23" s="10">
        <f>IF(Table_2[[#This Row],[Correct_Answer]]=Table_2[[#This Row],[System_Recommendation]],1,0)</f>
        <v>1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25">
      <c r="A24" s="6" t="s">
        <v>86</v>
      </c>
      <c r="B24" s="6">
        <v>23</v>
      </c>
      <c r="C24" s="6" t="s">
        <v>372</v>
      </c>
      <c r="D24" s="6">
        <v>1</v>
      </c>
      <c r="E24" s="6" t="s">
        <v>105</v>
      </c>
      <c r="F24" s="6" t="s">
        <v>375</v>
      </c>
      <c r="G24" s="6" t="s">
        <v>117</v>
      </c>
      <c r="H24" s="6" t="s">
        <v>119</v>
      </c>
      <c r="I24" s="6" t="s">
        <v>100</v>
      </c>
      <c r="J24" s="6" t="s">
        <v>374</v>
      </c>
      <c r="K24" s="6" t="s">
        <v>385</v>
      </c>
      <c r="L24" s="6" t="str">
        <f>IF(J24="כן", K24, VLOOKUP(LEFT(H24, 7), 'קטלוג תרחישים'!$A:$M, 13, FALSE))</f>
        <v>ב'</v>
      </c>
      <c r="M24" s="10"/>
      <c r="N24" s="23" t="s">
        <v>358</v>
      </c>
      <c r="O24" s="10" t="str" cm="1">
        <f t="array" ref="O24">_xlfn.IFS(N24="A","א'", N24="B", "ב'", N24= "C", "ג'")</f>
        <v>ג'</v>
      </c>
      <c r="P24" s="10">
        <f>IF(Table_2[[#This Row],[Correct_Answer]]=Table_2[[#This Row],[System_Recommendation]],1,0)</f>
        <v>0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5">
      <c r="A25" s="6" t="s">
        <v>86</v>
      </c>
      <c r="B25" s="6">
        <v>24</v>
      </c>
      <c r="C25" s="6" t="s">
        <v>372</v>
      </c>
      <c r="D25" s="6">
        <v>1</v>
      </c>
      <c r="E25" s="6" t="s">
        <v>105</v>
      </c>
      <c r="F25" s="6" t="s">
        <v>375</v>
      </c>
      <c r="G25" s="6" t="s">
        <v>117</v>
      </c>
      <c r="H25" s="6" t="s">
        <v>120</v>
      </c>
      <c r="I25" s="6" t="s">
        <v>91</v>
      </c>
      <c r="J25" s="6" t="s">
        <v>374</v>
      </c>
      <c r="K25" s="6" t="s">
        <v>384</v>
      </c>
      <c r="L25" s="6" t="str">
        <f>IF(J25="כן", K25, VLOOKUP(LEFT(H25, 7), 'קטלוג תרחישים'!$A:$M, 13, FALSE))</f>
        <v>א'</v>
      </c>
      <c r="M25" s="10"/>
      <c r="N25" s="24" t="s">
        <v>357</v>
      </c>
      <c r="O25" s="10" t="str" cm="1">
        <f t="array" ref="O25">_xlfn.IFS(N25="A","א'", N25="B", "ב'", N25= "C", "ג'")</f>
        <v>ב'</v>
      </c>
      <c r="P25" s="10">
        <f>IF(Table_2[[#This Row],[Correct_Answer]]=Table_2[[#This Row],[System_Recommendation]],1,0)</f>
        <v>0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5">
      <c r="A26" s="6" t="s">
        <v>86</v>
      </c>
      <c r="B26" s="6">
        <v>25</v>
      </c>
      <c r="C26" s="6" t="s">
        <v>372</v>
      </c>
      <c r="D26" s="6">
        <v>1</v>
      </c>
      <c r="E26" s="6" t="s">
        <v>105</v>
      </c>
      <c r="F26" s="6" t="s">
        <v>375</v>
      </c>
      <c r="G26" s="6" t="s">
        <v>117</v>
      </c>
      <c r="H26" s="6" t="s">
        <v>121</v>
      </c>
      <c r="I26" s="6" t="s">
        <v>100</v>
      </c>
      <c r="J26" s="6" t="s">
        <v>371</v>
      </c>
      <c r="K26" s="6" t="s">
        <v>383</v>
      </c>
      <c r="L26" s="6" t="str">
        <f>IF(J26="כן", K26, VLOOKUP(LEFT(H26, 7), 'קטלוג תרחישים'!$A:$M, 13, FALSE))</f>
        <v>א'</v>
      </c>
      <c r="M26" s="10"/>
      <c r="N26" s="23" t="s">
        <v>358</v>
      </c>
      <c r="O26" s="10" t="str" cm="1">
        <f t="array" ref="O26">_xlfn.IFS(N26="A","א'", N26="B", "ב'", N26= "C", "ג'")</f>
        <v>ג'</v>
      </c>
      <c r="P26" s="10">
        <f>IF(Table_2[[#This Row],[Correct_Answer]]=Table_2[[#This Row],[System_Recommendation]],1,0)</f>
        <v>1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5">
      <c r="A27" s="6" t="s">
        <v>86</v>
      </c>
      <c r="B27" s="6">
        <v>26</v>
      </c>
      <c r="C27" s="6" t="s">
        <v>372</v>
      </c>
      <c r="D27" s="6">
        <v>2</v>
      </c>
      <c r="E27" s="6" t="s">
        <v>111</v>
      </c>
      <c r="F27" s="6" t="s">
        <v>375</v>
      </c>
      <c r="G27" s="6" t="s">
        <v>117</v>
      </c>
      <c r="H27" s="6" t="s">
        <v>122</v>
      </c>
      <c r="I27" s="6" t="s">
        <v>91</v>
      </c>
      <c r="J27" s="6" t="s">
        <v>374</v>
      </c>
      <c r="K27" s="6" t="s">
        <v>385</v>
      </c>
      <c r="L27" s="6" t="str">
        <f>IF(J27="כן", K27, VLOOKUP(LEFT(H27, 7), 'קטלוג תרחישים'!$A:$M, 13, FALSE))</f>
        <v>א'</v>
      </c>
      <c r="M27" s="10"/>
      <c r="N27" s="24" t="s">
        <v>358</v>
      </c>
      <c r="O27" s="10" t="str" cm="1">
        <f t="array" ref="O27">_xlfn.IFS(N27="A","א'", N27="B", "ב'", N27= "C", "ג'")</f>
        <v>ג'</v>
      </c>
      <c r="P27" s="10">
        <f>IF(Table_2[[#This Row],[Correct_Answer]]=Table_2[[#This Row],[System_Recommendation]],1,0)</f>
        <v>0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25">
      <c r="A28" s="6" t="s">
        <v>86</v>
      </c>
      <c r="B28" s="6">
        <v>27</v>
      </c>
      <c r="C28" s="6" t="s">
        <v>372</v>
      </c>
      <c r="D28" s="6">
        <v>2</v>
      </c>
      <c r="E28" s="6" t="s">
        <v>111</v>
      </c>
      <c r="F28" s="6" t="s">
        <v>375</v>
      </c>
      <c r="G28" s="6" t="s">
        <v>117</v>
      </c>
      <c r="H28" s="6" t="s">
        <v>123</v>
      </c>
      <c r="I28" s="6" t="s">
        <v>100</v>
      </c>
      <c r="J28" s="6" t="s">
        <v>371</v>
      </c>
      <c r="K28" s="6" t="s">
        <v>384</v>
      </c>
      <c r="L28" s="6" t="str">
        <f>IF(J28="כן", K28, VLOOKUP(LEFT(H28, 7), 'קטלוג תרחישים'!$A:$M, 13, FALSE))</f>
        <v>ב'</v>
      </c>
      <c r="M28" s="10"/>
      <c r="N28" s="23" t="s">
        <v>357</v>
      </c>
      <c r="O28" s="10" t="str" cm="1">
        <f t="array" ref="O28">_xlfn.IFS(N28="A","א'", N28="B", "ב'", N28= "C", "ג'")</f>
        <v>ב'</v>
      </c>
      <c r="P28" s="10">
        <f>IF(Table_2[[#This Row],[Correct_Answer]]=Table_2[[#This Row],[System_Recommendation]],1,0)</f>
        <v>1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A29" s="6" t="s">
        <v>86</v>
      </c>
      <c r="B29" s="6">
        <v>28</v>
      </c>
      <c r="C29" s="6" t="s">
        <v>372</v>
      </c>
      <c r="D29" s="6">
        <v>2</v>
      </c>
      <c r="E29" s="6" t="s">
        <v>111</v>
      </c>
      <c r="F29" s="6" t="s">
        <v>375</v>
      </c>
      <c r="G29" s="6" t="s">
        <v>117</v>
      </c>
      <c r="H29" s="6" t="s">
        <v>124</v>
      </c>
      <c r="I29" s="6" t="s">
        <v>91</v>
      </c>
      <c r="J29" s="6" t="s">
        <v>371</v>
      </c>
      <c r="K29" s="6" t="s">
        <v>385</v>
      </c>
      <c r="L29" s="6" t="str">
        <f>IF(J29="כן", K29, VLOOKUP(LEFT(H29, 7), 'קטלוג תרחישים'!$A:$M, 13, FALSE))</f>
        <v>ג</v>
      </c>
      <c r="M29" s="10"/>
      <c r="N29" s="24" t="s">
        <v>358</v>
      </c>
      <c r="O29" s="10" t="str" cm="1">
        <f t="array" ref="O29">_xlfn.IFS(N29="A","א'", N29="B", "ב'", N29= "C", "ג'")</f>
        <v>ג'</v>
      </c>
      <c r="P29" s="10">
        <f>IF(Table_2[[#This Row],[Correct_Answer]]=Table_2[[#This Row],[System_Recommendation]],1,0)</f>
        <v>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5">
      <c r="A30" s="6" t="s">
        <v>86</v>
      </c>
      <c r="B30" s="6">
        <v>29</v>
      </c>
      <c r="C30" s="6" t="s">
        <v>372</v>
      </c>
      <c r="D30" s="6">
        <v>2</v>
      </c>
      <c r="E30" s="6" t="s">
        <v>111</v>
      </c>
      <c r="F30" s="6" t="s">
        <v>375</v>
      </c>
      <c r="G30" s="6" t="s">
        <v>117</v>
      </c>
      <c r="H30" s="6" t="s">
        <v>125</v>
      </c>
      <c r="I30" s="6" t="s">
        <v>100</v>
      </c>
      <c r="J30" s="6" t="s">
        <v>374</v>
      </c>
      <c r="K30" s="6" t="s">
        <v>385</v>
      </c>
      <c r="L30" s="6" t="str">
        <f>IF(J30="כן", K30, VLOOKUP(LEFT(H30, 7), 'קטלוג תרחישים'!$A:$M, 13, FALSE))</f>
        <v>ב'</v>
      </c>
      <c r="M30" s="10"/>
      <c r="N30" s="23" t="s">
        <v>352</v>
      </c>
      <c r="O30" s="10" t="str" cm="1">
        <f t="array" ref="O30">_xlfn.IFS(N30="A","א'", N30="B", "ב'", N30= "C", "ג'")</f>
        <v>א'</v>
      </c>
      <c r="P30" s="10">
        <f>IF(Table_2[[#This Row],[Correct_Answer]]=Table_2[[#This Row],[System_Recommendation]],1,0)</f>
        <v>0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25">
      <c r="A31" s="6" t="s">
        <v>86</v>
      </c>
      <c r="B31" s="6">
        <v>30</v>
      </c>
      <c r="C31" s="6" t="s">
        <v>372</v>
      </c>
      <c r="D31" s="6">
        <v>3</v>
      </c>
      <c r="E31" s="6" t="s">
        <v>98</v>
      </c>
      <c r="F31" s="6" t="s">
        <v>375</v>
      </c>
      <c r="G31" s="6" t="s">
        <v>117</v>
      </c>
      <c r="H31" s="6" t="s">
        <v>126</v>
      </c>
      <c r="I31" s="6" t="s">
        <v>91</v>
      </c>
      <c r="J31" s="6" t="s">
        <v>374</v>
      </c>
      <c r="K31" s="6" t="s">
        <v>384</v>
      </c>
      <c r="L31" s="6" t="str">
        <f>IF(J31="כן", K31, VLOOKUP(LEFT(H31, 7), 'קטלוג תרחישים'!$A:$M, 13, FALSE))</f>
        <v>א'</v>
      </c>
      <c r="M31" s="10"/>
      <c r="N31" s="24" t="s">
        <v>352</v>
      </c>
      <c r="O31" s="10" t="str" cm="1">
        <f t="array" ref="O31">_xlfn.IFS(N31="A","א'", N31="B", "ב'", N31= "C", "ג'")</f>
        <v>א'</v>
      </c>
      <c r="P31" s="10">
        <f>IF(Table_2[[#This Row],[Correct_Answer]]=Table_2[[#This Row],[System_Recommendation]],1,0)</f>
        <v>0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25">
      <c r="A32" s="6" t="s">
        <v>86</v>
      </c>
      <c r="B32" s="6">
        <v>31</v>
      </c>
      <c r="C32" s="6" t="s">
        <v>372</v>
      </c>
      <c r="D32" s="6">
        <v>3</v>
      </c>
      <c r="E32" s="6" t="s">
        <v>98</v>
      </c>
      <c r="F32" s="6" t="s">
        <v>375</v>
      </c>
      <c r="G32" s="6" t="s">
        <v>117</v>
      </c>
      <c r="H32" s="6" t="s">
        <v>127</v>
      </c>
      <c r="I32" s="6" t="s">
        <v>100</v>
      </c>
      <c r="J32" s="6" t="s">
        <v>374</v>
      </c>
      <c r="K32" s="6" t="s">
        <v>385</v>
      </c>
      <c r="L32" s="6" t="str">
        <f>IF(J32="כן", K32, VLOOKUP(LEFT(H32, 7), 'קטלוג תרחישים'!$A:$M, 13, FALSE))</f>
        <v>ג'</v>
      </c>
      <c r="M32" s="10"/>
      <c r="N32" s="23" t="s">
        <v>352</v>
      </c>
      <c r="O32" s="10" t="str" cm="1">
        <f t="array" ref="O32">_xlfn.IFS(N32="A","א'", N32="B", "ב'", N32= "C", "ג'")</f>
        <v>א'</v>
      </c>
      <c r="P32" s="10">
        <f>IF(Table_2[[#This Row],[Correct_Answer]]=Table_2[[#This Row],[System_Recommendation]],1,0)</f>
        <v>0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5">
      <c r="A33" s="6" t="s">
        <v>86</v>
      </c>
      <c r="B33" s="6">
        <v>32</v>
      </c>
      <c r="C33" s="6" t="s">
        <v>372</v>
      </c>
      <c r="D33" s="6">
        <v>3</v>
      </c>
      <c r="E33" s="6" t="s">
        <v>98</v>
      </c>
      <c r="F33" s="6" t="s">
        <v>375</v>
      </c>
      <c r="G33" s="6" t="s">
        <v>117</v>
      </c>
      <c r="H33" s="6" t="s">
        <v>128</v>
      </c>
      <c r="I33" s="6" t="s">
        <v>91</v>
      </c>
      <c r="J33" s="6" t="s">
        <v>371</v>
      </c>
      <c r="K33" s="6" t="s">
        <v>383</v>
      </c>
      <c r="L33" s="6" t="str">
        <f>IF(J33="כן", K33, VLOOKUP(LEFT(H33, 7), 'קטלוג תרחישים'!$A:$M, 13, FALSE))</f>
        <v>א'</v>
      </c>
      <c r="M33" s="10"/>
      <c r="N33" s="24" t="s">
        <v>357</v>
      </c>
      <c r="O33" s="10" t="str" cm="1">
        <f t="array" ref="O33">_xlfn.IFS(N33="A","א'", N33="B", "ב'", N33= "C", "ג'")</f>
        <v>ב'</v>
      </c>
      <c r="P33" s="10">
        <f>IF(Table_2[[#This Row],[Correct_Answer]]=Table_2[[#This Row],[System_Recommendation]],1,0)</f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25">
      <c r="A34" s="6" t="s">
        <v>86</v>
      </c>
      <c r="B34" s="6">
        <v>33</v>
      </c>
      <c r="C34" s="6" t="s">
        <v>372</v>
      </c>
      <c r="D34" s="6">
        <v>3</v>
      </c>
      <c r="E34" s="6" t="s">
        <v>98</v>
      </c>
      <c r="F34" s="6" t="s">
        <v>375</v>
      </c>
      <c r="G34" s="6" t="s">
        <v>117</v>
      </c>
      <c r="H34" s="6" t="s">
        <v>129</v>
      </c>
      <c r="I34" s="6" t="s">
        <v>100</v>
      </c>
      <c r="J34" s="6" t="s">
        <v>371</v>
      </c>
      <c r="K34" s="6" t="s">
        <v>383</v>
      </c>
      <c r="L34" s="6" t="str">
        <f>IF(J34="כן", K34, VLOOKUP(LEFT(H34, 7), 'קטלוג תרחישים'!$A:$M, 13, FALSE))</f>
        <v>א'</v>
      </c>
      <c r="M34" s="10"/>
      <c r="N34" s="23" t="s">
        <v>358</v>
      </c>
      <c r="O34" s="10" t="str" cm="1">
        <f t="array" ref="O34">_xlfn.IFS(N34="A","א'", N34="B", "ב'", N34= "C", "ג'")</f>
        <v>ג'</v>
      </c>
      <c r="P34" s="10">
        <f>IF(Table_2[[#This Row],[Correct_Answer]]=Table_2[[#This Row],[System_Recommendation]],1,0)</f>
        <v>1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25">
      <c r="A35" s="6" t="s">
        <v>130</v>
      </c>
      <c r="B35" s="6">
        <v>1</v>
      </c>
      <c r="C35" s="6" t="s">
        <v>370</v>
      </c>
      <c r="D35" s="6"/>
      <c r="E35" s="6" t="s">
        <v>98</v>
      </c>
      <c r="F35" s="6"/>
      <c r="G35" s="6"/>
      <c r="H35" s="8" t="s">
        <v>90</v>
      </c>
      <c r="I35" s="6" t="s">
        <v>91</v>
      </c>
      <c r="J35" s="6" t="s">
        <v>371</v>
      </c>
      <c r="K35" s="6" t="s">
        <v>385</v>
      </c>
      <c r="L35" s="6" t="str">
        <f>IF(J35="כן", K35, VLOOKUP(LEFT(H35, 7), 'קטלוג תרחישים'!$A:$M, 13, FALSE))</f>
        <v>ג</v>
      </c>
      <c r="M35" s="10"/>
      <c r="N35" s="24" t="s">
        <v>358</v>
      </c>
      <c r="O35" s="10" t="str" cm="1">
        <f t="array" ref="O35">_xlfn.IFS(N35="A","א'", N35="B", "ב'", N35= "C", "ג'")</f>
        <v>ג'</v>
      </c>
      <c r="P35" s="10">
        <f>IF(Table_2[[#This Row],[Correct_Answer]]=Table_2[[#This Row],[System_Recommendation]],1,0)</f>
        <v>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25">
      <c r="A36" s="6" t="s">
        <v>130</v>
      </c>
      <c r="B36" s="6">
        <v>2</v>
      </c>
      <c r="C36" s="6" t="s">
        <v>370</v>
      </c>
      <c r="D36" s="6"/>
      <c r="E36" s="6" t="s">
        <v>98</v>
      </c>
      <c r="F36" s="6"/>
      <c r="G36" s="6"/>
      <c r="H36" s="8" t="s">
        <v>92</v>
      </c>
      <c r="I36" s="6" t="s">
        <v>91</v>
      </c>
      <c r="J36" s="6" t="s">
        <v>371</v>
      </c>
      <c r="K36" s="6" t="s">
        <v>383</v>
      </c>
      <c r="L36" s="6" t="str">
        <f>IF(J36="כן", K36, VLOOKUP(LEFT(H36, 7), 'קטלוג תרחישים'!$A:$M, 13, FALSE))</f>
        <v>א'</v>
      </c>
      <c r="M36" s="10"/>
      <c r="N36" s="23" t="s">
        <v>352</v>
      </c>
      <c r="O36" s="10" t="str" cm="1">
        <f t="array" ref="O36">_xlfn.IFS(N36="A","א'", N36="B", "ב'", N36= "C", "ג'")</f>
        <v>א'</v>
      </c>
      <c r="P36" s="10">
        <f>IF(Table_2[[#This Row],[Correct_Answer]]=Table_2[[#This Row],[System_Recommendation]],1,0)</f>
        <v>1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5">
      <c r="A37" s="6" t="s">
        <v>130</v>
      </c>
      <c r="B37" s="6">
        <v>3</v>
      </c>
      <c r="C37" s="6" t="s">
        <v>370</v>
      </c>
      <c r="D37" s="6"/>
      <c r="E37" s="6" t="s">
        <v>105</v>
      </c>
      <c r="F37" s="6"/>
      <c r="G37" s="6"/>
      <c r="H37" s="8" t="s">
        <v>93</v>
      </c>
      <c r="I37" s="6" t="s">
        <v>91</v>
      </c>
      <c r="J37" s="6" t="s">
        <v>371</v>
      </c>
      <c r="K37" s="6" t="s">
        <v>383</v>
      </c>
      <c r="L37" s="6" t="str">
        <f>IF(J37="כן", K37, VLOOKUP(LEFT(H37, 7), 'קטלוג תרחישים'!$A:$M, 13, FALSE))</f>
        <v>א'</v>
      </c>
      <c r="M37" s="10"/>
      <c r="N37" s="24" t="s">
        <v>352</v>
      </c>
      <c r="O37" s="10" t="str" cm="1">
        <f t="array" ref="O37">_xlfn.IFS(N37="A","א'", N37="B", "ב'", N37= "C", "ג'")</f>
        <v>א'</v>
      </c>
      <c r="P37" s="10">
        <f>IF(Table_2[[#This Row],[Correct_Answer]]=Table_2[[#This Row],[System_Recommendation]],1,0)</f>
        <v>1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25">
      <c r="A38" s="6" t="s">
        <v>130</v>
      </c>
      <c r="B38" s="6">
        <v>4</v>
      </c>
      <c r="C38" s="6" t="s">
        <v>370</v>
      </c>
      <c r="D38" s="6"/>
      <c r="E38" s="6" t="s">
        <v>105</v>
      </c>
      <c r="F38" s="6"/>
      <c r="G38" s="6"/>
      <c r="H38" s="8" t="s">
        <v>94</v>
      </c>
      <c r="I38" s="6" t="s">
        <v>91</v>
      </c>
      <c r="J38" s="6" t="s">
        <v>371</v>
      </c>
      <c r="K38" s="6" t="s">
        <v>383</v>
      </c>
      <c r="L38" s="6" t="str">
        <f>IF(J38="כן", K38, VLOOKUP(LEFT(H38, 7), 'קטלוג תרחישים'!$A:$M, 13, FALSE))</f>
        <v>א'</v>
      </c>
      <c r="M38" s="10"/>
      <c r="N38" s="23" t="s">
        <v>352</v>
      </c>
      <c r="O38" s="10" t="str" cm="1">
        <f t="array" ref="O38">_xlfn.IFS(N38="A","א'", N38="B", "ב'", N38= "C", "ג'")</f>
        <v>א'</v>
      </c>
      <c r="P38" s="10">
        <f>IF(Table_2[[#This Row],[Correct_Answer]]=Table_2[[#This Row],[System_Recommendation]],1,0)</f>
        <v>1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5">
      <c r="A39" s="6" t="s">
        <v>130</v>
      </c>
      <c r="B39" s="6">
        <v>5</v>
      </c>
      <c r="C39" s="6" t="s">
        <v>370</v>
      </c>
      <c r="D39" s="6"/>
      <c r="E39" s="6" t="s">
        <v>111</v>
      </c>
      <c r="F39" s="6"/>
      <c r="G39" s="6"/>
      <c r="H39" s="8" t="s">
        <v>95</v>
      </c>
      <c r="I39" s="6" t="s">
        <v>91</v>
      </c>
      <c r="J39" s="6" t="s">
        <v>371</v>
      </c>
      <c r="K39" s="6" t="s">
        <v>384</v>
      </c>
      <c r="L39" s="6" t="str">
        <f>IF(J39="כן", K39, VLOOKUP(LEFT(H39, 7), 'קטלוג תרחישים'!$A:$M, 13, FALSE))</f>
        <v>ב'</v>
      </c>
      <c r="M39" s="10"/>
      <c r="N39" s="24" t="s">
        <v>357</v>
      </c>
      <c r="O39" s="10" t="str" cm="1">
        <f t="array" ref="O39">_xlfn.IFS(N39="A","א'", N39="B", "ב'", N39= "C", "ג'")</f>
        <v>ב'</v>
      </c>
      <c r="P39" s="10">
        <f>IF(Table_2[[#This Row],[Correct_Answer]]=Table_2[[#This Row],[System_Recommendation]],1,0)</f>
        <v>1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25">
      <c r="A40" s="6" t="s">
        <v>130</v>
      </c>
      <c r="B40" s="6">
        <v>6</v>
      </c>
      <c r="C40" s="6" t="s">
        <v>370</v>
      </c>
      <c r="D40" s="6"/>
      <c r="E40" s="6" t="s">
        <v>111</v>
      </c>
      <c r="F40" s="6"/>
      <c r="G40" s="6"/>
      <c r="H40" s="8" t="s">
        <v>96</v>
      </c>
      <c r="I40" s="6" t="s">
        <v>91</v>
      </c>
      <c r="J40" s="6" t="s">
        <v>371</v>
      </c>
      <c r="K40" s="6" t="s">
        <v>384</v>
      </c>
      <c r="L40" s="6" t="str">
        <f>IF(J40="כן", K40, VLOOKUP(LEFT(H40, 7), 'קטלוג תרחישים'!$A:$M, 13, FALSE))</f>
        <v>ב'</v>
      </c>
      <c r="M40" s="10"/>
      <c r="N40" s="23" t="s">
        <v>357</v>
      </c>
      <c r="O40" s="10" t="str" cm="1">
        <f t="array" ref="O40">_xlfn.IFS(N40="A","א'", N40="B", "ב'", N40= "C", "ג'")</f>
        <v>ב'</v>
      </c>
      <c r="P40" s="10">
        <f>IF(Table_2[[#This Row],[Correct_Answer]]=Table_2[[#This Row],[System_Recommendation]],1,0)</f>
        <v>1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25">
      <c r="A41" s="6" t="s">
        <v>130</v>
      </c>
      <c r="B41" s="6">
        <v>7</v>
      </c>
      <c r="C41" s="6" t="s">
        <v>372</v>
      </c>
      <c r="D41" s="6">
        <v>1</v>
      </c>
      <c r="E41" s="6" t="s">
        <v>111</v>
      </c>
      <c r="F41" s="6" t="s">
        <v>373</v>
      </c>
      <c r="G41" s="6" t="s">
        <v>117</v>
      </c>
      <c r="H41" s="6" t="s">
        <v>122</v>
      </c>
      <c r="I41" s="6" t="s">
        <v>91</v>
      </c>
      <c r="J41" s="6" t="s">
        <v>371</v>
      </c>
      <c r="K41" s="6" t="s">
        <v>385</v>
      </c>
      <c r="L41" s="6" t="str">
        <f>IF(J41="כן", K41, VLOOKUP(LEFT(H41, 7), 'קטלוג תרחישים'!$A:$M, 13, FALSE))</f>
        <v>ג</v>
      </c>
      <c r="M41" s="10"/>
      <c r="N41" s="24" t="s">
        <v>358</v>
      </c>
      <c r="O41" s="10" t="str" cm="1">
        <f t="array" ref="O41">_xlfn.IFS(N41="A","א'", N41="B", "ב'", N41= "C", "ג'")</f>
        <v>ג'</v>
      </c>
      <c r="P41" s="10">
        <f>IF(Table_2[[#This Row],[Correct_Answer]]=Table_2[[#This Row],[System_Recommendation]],1,0)</f>
        <v>1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25">
      <c r="A42" s="6" t="s">
        <v>130</v>
      </c>
      <c r="B42" s="6">
        <v>8</v>
      </c>
      <c r="C42" s="6" t="s">
        <v>372</v>
      </c>
      <c r="D42" s="6">
        <v>1</v>
      </c>
      <c r="E42" s="6" t="s">
        <v>111</v>
      </c>
      <c r="F42" s="6" t="s">
        <v>373</v>
      </c>
      <c r="G42" s="6" t="s">
        <v>117</v>
      </c>
      <c r="H42" s="6" t="s">
        <v>125</v>
      </c>
      <c r="I42" s="6" t="s">
        <v>100</v>
      </c>
      <c r="J42" s="6" t="s">
        <v>374</v>
      </c>
      <c r="K42" s="6" t="s">
        <v>385</v>
      </c>
      <c r="L42" s="6" t="str">
        <f>IF(J42="כן", K42, VLOOKUP(LEFT(H42, 7), 'קטלוג תרחישים'!$A:$M, 13, FALSE))</f>
        <v>ב'</v>
      </c>
      <c r="M42" s="10"/>
      <c r="N42" s="23" t="s">
        <v>358</v>
      </c>
      <c r="O42" s="10" t="str" cm="1">
        <f t="array" ref="O42">_xlfn.IFS(N42="A","א'", N42="B", "ב'", N42= "C", "ג'")</f>
        <v>ג'</v>
      </c>
      <c r="P42" s="10">
        <f>IF(Table_2[[#This Row],[Correct_Answer]]=Table_2[[#This Row],[System_Recommendation]],1,0)</f>
        <v>0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25">
      <c r="A43" s="6" t="s">
        <v>130</v>
      </c>
      <c r="B43" s="6">
        <v>9</v>
      </c>
      <c r="C43" s="6" t="s">
        <v>372</v>
      </c>
      <c r="D43" s="6">
        <v>1</v>
      </c>
      <c r="E43" s="6" t="s">
        <v>111</v>
      </c>
      <c r="F43" s="6" t="s">
        <v>373</v>
      </c>
      <c r="G43" s="6" t="s">
        <v>117</v>
      </c>
      <c r="H43" s="6" t="s">
        <v>124</v>
      </c>
      <c r="I43" s="6" t="s">
        <v>91</v>
      </c>
      <c r="J43" s="6" t="s">
        <v>374</v>
      </c>
      <c r="K43" s="6" t="s">
        <v>385</v>
      </c>
      <c r="L43" s="6" t="str">
        <f>IF(J43="כן", K43, VLOOKUP(LEFT(H43, 7), 'קטלוג תרחישים'!$A:$M, 13, FALSE))</f>
        <v>א'</v>
      </c>
      <c r="M43" s="10"/>
      <c r="N43" s="24" t="s">
        <v>358</v>
      </c>
      <c r="O43" s="10" t="str" cm="1">
        <f t="array" ref="O43">_xlfn.IFS(N43="A","א'", N43="B", "ב'", N43= "C", "ג'")</f>
        <v>ג'</v>
      </c>
      <c r="P43" s="10">
        <f>IF(Table_2[[#This Row],[Correct_Answer]]=Table_2[[#This Row],[System_Recommendation]],1,0)</f>
        <v>0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25">
      <c r="A44" s="6" t="s">
        <v>130</v>
      </c>
      <c r="B44" s="6">
        <v>10</v>
      </c>
      <c r="C44" s="6" t="s">
        <v>372</v>
      </c>
      <c r="D44" s="6">
        <v>1</v>
      </c>
      <c r="E44" s="6" t="s">
        <v>111</v>
      </c>
      <c r="F44" s="6" t="s">
        <v>373</v>
      </c>
      <c r="G44" s="6" t="s">
        <v>117</v>
      </c>
      <c r="H44" s="6" t="s">
        <v>123</v>
      </c>
      <c r="I44" s="6" t="s">
        <v>100</v>
      </c>
      <c r="J44" s="6" t="s">
        <v>371</v>
      </c>
      <c r="K44" s="6" t="s">
        <v>384</v>
      </c>
      <c r="L44" s="6" t="str">
        <f>IF(J44="כן", K44, VLOOKUP(LEFT(H44, 7), 'קטלוג תרחישים'!$A:$M, 13, FALSE))</f>
        <v>ב'</v>
      </c>
      <c r="M44" s="10"/>
      <c r="N44" s="23" t="s">
        <v>357</v>
      </c>
      <c r="O44" s="10" t="str" cm="1">
        <f t="array" ref="O44">_xlfn.IFS(N44="A","א'", N44="B", "ב'", N44= "C", "ג'")</f>
        <v>ב'</v>
      </c>
      <c r="P44" s="10">
        <f>IF(Table_2[[#This Row],[Correct_Answer]]=Table_2[[#This Row],[System_Recommendation]],1,0)</f>
        <v>1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5">
      <c r="A45" s="6" t="s">
        <v>130</v>
      </c>
      <c r="B45" s="6">
        <v>11</v>
      </c>
      <c r="C45" s="6" t="s">
        <v>372</v>
      </c>
      <c r="D45" s="6">
        <v>2</v>
      </c>
      <c r="E45" s="6" t="s">
        <v>98</v>
      </c>
      <c r="F45" s="6" t="s">
        <v>373</v>
      </c>
      <c r="G45" s="6" t="s">
        <v>117</v>
      </c>
      <c r="H45" s="6" t="s">
        <v>126</v>
      </c>
      <c r="I45" s="6" t="s">
        <v>91</v>
      </c>
      <c r="J45" s="6" t="s">
        <v>371</v>
      </c>
      <c r="K45" s="6" t="s">
        <v>383</v>
      </c>
      <c r="L45" s="6" t="str">
        <f>IF(J45="כן", K45, VLOOKUP(LEFT(H45, 7), 'קטלוג תרחישים'!$A:$M, 13, FALSE))</f>
        <v>א'</v>
      </c>
      <c r="M45" s="10"/>
      <c r="N45" s="24" t="s">
        <v>352</v>
      </c>
      <c r="O45" s="10" t="str" cm="1">
        <f t="array" ref="O45">_xlfn.IFS(N45="A","א'", N45="B", "ב'", N45= "C", "ג'")</f>
        <v>א'</v>
      </c>
      <c r="P45" s="10">
        <f>IF(Table_2[[#This Row],[Correct_Answer]]=Table_2[[#This Row],[System_Recommendation]],1,0)</f>
        <v>1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6" t="s">
        <v>130</v>
      </c>
      <c r="B46" s="6">
        <v>12</v>
      </c>
      <c r="C46" s="6" t="s">
        <v>372</v>
      </c>
      <c r="D46" s="6">
        <v>2</v>
      </c>
      <c r="E46" s="6" t="s">
        <v>98</v>
      </c>
      <c r="F46" s="6" t="s">
        <v>373</v>
      </c>
      <c r="G46" s="6" t="s">
        <v>117</v>
      </c>
      <c r="H46" s="6" t="s">
        <v>129</v>
      </c>
      <c r="I46" s="6" t="s">
        <v>100</v>
      </c>
      <c r="J46" s="6" t="s">
        <v>371</v>
      </c>
      <c r="K46" s="6" t="s">
        <v>385</v>
      </c>
      <c r="L46" s="6" t="str">
        <f>IF(J46="כן", K46, VLOOKUP(LEFT(H46, 7), 'קטלוג תרחישים'!$A:$M, 13, FALSE))</f>
        <v>ג</v>
      </c>
      <c r="M46" s="10"/>
      <c r="N46" s="23" t="s">
        <v>358</v>
      </c>
      <c r="O46" s="10" t="str" cm="1">
        <f t="array" ref="O46">_xlfn.IFS(N46="A","א'", N46="B", "ב'", N46= "C", "ג'")</f>
        <v>ג'</v>
      </c>
      <c r="P46" s="10">
        <f>IF(Table_2[[#This Row],[Correct_Answer]]=Table_2[[#This Row],[System_Recommendation]],1,0)</f>
        <v>1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6" t="s">
        <v>130</v>
      </c>
      <c r="B47" s="6">
        <v>13</v>
      </c>
      <c r="C47" s="6" t="s">
        <v>372</v>
      </c>
      <c r="D47" s="6">
        <v>2</v>
      </c>
      <c r="E47" s="6" t="s">
        <v>98</v>
      </c>
      <c r="F47" s="6" t="s">
        <v>373</v>
      </c>
      <c r="G47" s="6" t="s">
        <v>117</v>
      </c>
      <c r="H47" s="6" t="s">
        <v>128</v>
      </c>
      <c r="I47" s="6" t="s">
        <v>91</v>
      </c>
      <c r="J47" s="6" t="s">
        <v>374</v>
      </c>
      <c r="K47" s="6" t="s">
        <v>385</v>
      </c>
      <c r="L47" s="6" t="str">
        <f>IF(J47="כן", K47, VLOOKUP(LEFT(H47, 7), 'קטלוג תרחישים'!$A:$M, 13, FALSE))</f>
        <v>ג'</v>
      </c>
      <c r="M47" s="10"/>
      <c r="N47" s="24" t="s">
        <v>358</v>
      </c>
      <c r="O47" s="10" t="str" cm="1">
        <f t="array" ref="O47">_xlfn.IFS(N47="A","א'", N47="B", "ב'", N47= "C", "ג'")</f>
        <v>ג'</v>
      </c>
      <c r="P47" s="10">
        <f>IF(Table_2[[#This Row],[Correct_Answer]]=Table_2[[#This Row],[System_Recommendation]],1,0)</f>
        <v>0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6" t="s">
        <v>130</v>
      </c>
      <c r="B48" s="6">
        <v>14</v>
      </c>
      <c r="C48" s="6" t="s">
        <v>372</v>
      </c>
      <c r="D48" s="6">
        <v>2</v>
      </c>
      <c r="E48" s="6" t="s">
        <v>98</v>
      </c>
      <c r="F48" s="6" t="s">
        <v>373</v>
      </c>
      <c r="G48" s="6" t="s">
        <v>117</v>
      </c>
      <c r="H48" s="6" t="s">
        <v>127</v>
      </c>
      <c r="I48" s="6" t="s">
        <v>100</v>
      </c>
      <c r="J48" s="6" t="s">
        <v>374</v>
      </c>
      <c r="K48" s="6" t="s">
        <v>384</v>
      </c>
      <c r="L48" s="6" t="str">
        <f>IF(J48="כן", K48, VLOOKUP(LEFT(H48, 7), 'קטלוג תרחישים'!$A:$M, 13, FALSE))</f>
        <v>ג'</v>
      </c>
      <c r="M48" s="10"/>
      <c r="N48" s="23" t="s">
        <v>357</v>
      </c>
      <c r="O48" s="10" t="str" cm="1">
        <f t="array" ref="O48">_xlfn.IFS(N48="A","א'", N48="B", "ב'", N48= "C", "ג'")</f>
        <v>ב'</v>
      </c>
      <c r="P48" s="10">
        <f>IF(Table_2[[#This Row],[Correct_Answer]]=Table_2[[#This Row],[System_Recommendation]],1,0)</f>
        <v>0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6" t="s">
        <v>130</v>
      </c>
      <c r="B49" s="6">
        <v>15</v>
      </c>
      <c r="C49" s="6" t="s">
        <v>372</v>
      </c>
      <c r="D49" s="6">
        <v>3</v>
      </c>
      <c r="E49" s="6" t="s">
        <v>105</v>
      </c>
      <c r="F49" s="6" t="s">
        <v>373</v>
      </c>
      <c r="G49" s="6" t="s">
        <v>117</v>
      </c>
      <c r="H49" s="6" t="s">
        <v>118</v>
      </c>
      <c r="I49" s="6" t="s">
        <v>91</v>
      </c>
      <c r="J49" s="6" t="s">
        <v>371</v>
      </c>
      <c r="K49" s="6" t="s">
        <v>384</v>
      </c>
      <c r="L49" s="6" t="str">
        <f>IF(J49="כן", K49, VLOOKUP(LEFT(H49, 7), 'קטלוג תרחישים'!$A:$M, 13, FALSE))</f>
        <v>ב'</v>
      </c>
      <c r="M49" s="10"/>
      <c r="N49" s="24" t="s">
        <v>357</v>
      </c>
      <c r="O49" s="10" t="str" cm="1">
        <f t="array" ref="O49">_xlfn.IFS(N49="A","א'", N49="B", "ב'", N49= "C", "ג'")</f>
        <v>ב'</v>
      </c>
      <c r="P49" s="10">
        <f>IF(Table_2[[#This Row],[Correct_Answer]]=Table_2[[#This Row],[System_Recommendation]],1,0)</f>
        <v>1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6" t="s">
        <v>130</v>
      </c>
      <c r="B50" s="6">
        <v>16</v>
      </c>
      <c r="C50" s="6" t="s">
        <v>372</v>
      </c>
      <c r="D50" s="6">
        <v>3</v>
      </c>
      <c r="E50" s="6" t="s">
        <v>105</v>
      </c>
      <c r="F50" s="6" t="s">
        <v>373</v>
      </c>
      <c r="G50" s="6" t="s">
        <v>117</v>
      </c>
      <c r="H50" s="6" t="s">
        <v>119</v>
      </c>
      <c r="I50" s="6" t="s">
        <v>100</v>
      </c>
      <c r="J50" s="6" t="s">
        <v>371</v>
      </c>
      <c r="K50" s="6" t="s">
        <v>384</v>
      </c>
      <c r="L50" s="6" t="str">
        <f>IF(J50="כן", K50, VLOOKUP(LEFT(H50, 7), 'קטלוג תרחישים'!$A:$M, 13, FALSE))</f>
        <v>ב'</v>
      </c>
      <c r="M50" s="10"/>
      <c r="N50" s="23" t="s">
        <v>357</v>
      </c>
      <c r="O50" s="10" t="str" cm="1">
        <f t="array" ref="O50">_xlfn.IFS(N50="A","א'", N50="B", "ב'", N50= "C", "ג'")</f>
        <v>ב'</v>
      </c>
      <c r="P50" s="10">
        <f>IF(Table_2[[#This Row],[Correct_Answer]]=Table_2[[#This Row],[System_Recommendation]],1,0)</f>
        <v>1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6" t="s">
        <v>130</v>
      </c>
      <c r="B51" s="6">
        <v>17</v>
      </c>
      <c r="C51" s="6" t="s">
        <v>372</v>
      </c>
      <c r="D51" s="6">
        <v>3</v>
      </c>
      <c r="E51" s="6" t="s">
        <v>105</v>
      </c>
      <c r="F51" s="6" t="s">
        <v>373</v>
      </c>
      <c r="G51" s="6" t="s">
        <v>117</v>
      </c>
      <c r="H51" s="6" t="s">
        <v>120</v>
      </c>
      <c r="I51" s="6" t="s">
        <v>91</v>
      </c>
      <c r="J51" s="6" t="s">
        <v>374</v>
      </c>
      <c r="K51" s="6" t="s">
        <v>383</v>
      </c>
      <c r="L51" s="6" t="str">
        <f>IF(J51="כן", K51, VLOOKUP(LEFT(H51, 7), 'קטלוג תרחישים'!$A:$M, 13, FALSE))</f>
        <v>א'</v>
      </c>
      <c r="M51" s="10"/>
      <c r="N51" s="24" t="s">
        <v>352</v>
      </c>
      <c r="O51" s="10" t="str" cm="1">
        <f t="array" ref="O51">_xlfn.IFS(N51="A","א'", N51="B", "ב'", N51= "C", "ג'")</f>
        <v>א'</v>
      </c>
      <c r="P51" s="10">
        <f>IF(Table_2[[#This Row],[Correct_Answer]]=Table_2[[#This Row],[System_Recommendation]],1,0)</f>
        <v>1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6" t="s">
        <v>130</v>
      </c>
      <c r="B52" s="6">
        <v>18</v>
      </c>
      <c r="C52" s="6" t="s">
        <v>372</v>
      </c>
      <c r="D52" s="6">
        <v>3</v>
      </c>
      <c r="E52" s="6" t="s">
        <v>105</v>
      </c>
      <c r="F52" s="6" t="s">
        <v>373</v>
      </c>
      <c r="G52" s="6" t="s">
        <v>117</v>
      </c>
      <c r="H52" s="6" t="s">
        <v>121</v>
      </c>
      <c r="I52" s="6" t="s">
        <v>100</v>
      </c>
      <c r="J52" s="6" t="s">
        <v>374</v>
      </c>
      <c r="K52" s="6" t="s">
        <v>385</v>
      </c>
      <c r="L52" s="6" t="str">
        <f>IF(J52="כן", K52, VLOOKUP(LEFT(H52, 7), 'קטלוג תרחישים'!$A:$M, 13, FALSE))</f>
        <v>ב'</v>
      </c>
      <c r="M52" s="10"/>
      <c r="N52" s="23" t="s">
        <v>358</v>
      </c>
      <c r="O52" s="10" t="str" cm="1">
        <f t="array" ref="O52">_xlfn.IFS(N52="A","א'", N52="B", "ב'", N52= "C", "ג'")</f>
        <v>ג'</v>
      </c>
      <c r="P52" s="10">
        <f>IF(Table_2[[#This Row],[Correct_Answer]]=Table_2[[#This Row],[System_Recommendation]],1,0)</f>
        <v>0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6" t="s">
        <v>130</v>
      </c>
      <c r="B53" s="6">
        <v>19</v>
      </c>
      <c r="C53" s="6" t="s">
        <v>372</v>
      </c>
      <c r="D53" s="6">
        <v>1</v>
      </c>
      <c r="E53" s="6" t="s">
        <v>105</v>
      </c>
      <c r="F53" s="6" t="s">
        <v>375</v>
      </c>
      <c r="G53" s="6" t="s">
        <v>97</v>
      </c>
      <c r="H53" s="6" t="s">
        <v>110</v>
      </c>
      <c r="I53" s="6" t="s">
        <v>91</v>
      </c>
      <c r="J53" s="6" t="s">
        <v>371</v>
      </c>
      <c r="K53" s="6" t="s">
        <v>384</v>
      </c>
      <c r="L53" s="6" t="str">
        <f>IF(J53="כן", K53, VLOOKUP(LEFT(H53, 7), 'קטלוג תרחישים'!$A:$M, 13, FALSE))</f>
        <v>ב'</v>
      </c>
      <c r="M53" s="10"/>
      <c r="N53" s="24" t="s">
        <v>357</v>
      </c>
      <c r="O53" s="10" t="str" cm="1">
        <f t="array" ref="O53">_xlfn.IFS(N53="A","א'", N53="B", "ב'", N53= "C", "ג'")</f>
        <v>ב'</v>
      </c>
      <c r="P53" s="10">
        <f>IF(Table_2[[#This Row],[Correct_Answer]]=Table_2[[#This Row],[System_Recommendation]],1,0)</f>
        <v>1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6" t="s">
        <v>130</v>
      </c>
      <c r="B54" s="6">
        <v>20</v>
      </c>
      <c r="C54" s="6" t="s">
        <v>372</v>
      </c>
      <c r="D54" s="6">
        <v>1</v>
      </c>
      <c r="E54" s="6" t="s">
        <v>105</v>
      </c>
      <c r="F54" s="6" t="s">
        <v>375</v>
      </c>
      <c r="G54" s="6" t="s">
        <v>97</v>
      </c>
      <c r="H54" s="6" t="s">
        <v>109</v>
      </c>
      <c r="I54" s="6" t="s">
        <v>100</v>
      </c>
      <c r="J54" s="6" t="s">
        <v>371</v>
      </c>
      <c r="K54" s="6" t="s">
        <v>385</v>
      </c>
      <c r="L54" s="6" t="str">
        <f>IF(J54="כן", K54, VLOOKUP(LEFT(H54, 7), 'קטלוג תרחישים'!$A:$M, 13, FALSE))</f>
        <v>ג</v>
      </c>
      <c r="M54" s="10"/>
      <c r="N54" s="23" t="s">
        <v>358</v>
      </c>
      <c r="O54" s="10" t="str" cm="1">
        <f t="array" ref="O54">_xlfn.IFS(N54="A","א'", N54="B", "ב'", N54= "C", "ג'")</f>
        <v>ג'</v>
      </c>
      <c r="P54" s="10">
        <f>IF(Table_2[[#This Row],[Correct_Answer]]=Table_2[[#This Row],[System_Recommendation]],1,0)</f>
        <v>1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6" t="s">
        <v>130</v>
      </c>
      <c r="B55" s="6">
        <v>21</v>
      </c>
      <c r="C55" s="6" t="s">
        <v>372</v>
      </c>
      <c r="D55" s="6">
        <v>1</v>
      </c>
      <c r="E55" s="6" t="s">
        <v>105</v>
      </c>
      <c r="F55" s="6" t="s">
        <v>375</v>
      </c>
      <c r="G55" s="6" t="s">
        <v>97</v>
      </c>
      <c r="H55" s="6" t="s">
        <v>106</v>
      </c>
      <c r="I55" s="6" t="s">
        <v>91</v>
      </c>
      <c r="J55" s="6" t="s">
        <v>371</v>
      </c>
      <c r="K55" s="6" t="s">
        <v>383</v>
      </c>
      <c r="L55" s="6" t="str">
        <f>IF(J55="כן", K55, VLOOKUP(LEFT(H55, 7), 'קטלוג תרחישים'!$A:$M, 13, FALSE))</f>
        <v>א'</v>
      </c>
      <c r="M55" s="10"/>
      <c r="N55" s="24" t="s">
        <v>352</v>
      </c>
      <c r="O55" s="10" t="str" cm="1">
        <f t="array" ref="O55">_xlfn.IFS(N55="A","א'", N55="B", "ב'", N55= "C", "ג'")</f>
        <v>א'</v>
      </c>
      <c r="P55" s="10">
        <f>IF(Table_2[[#This Row],[Correct_Answer]]=Table_2[[#This Row],[System_Recommendation]],1,0)</f>
        <v>1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6" t="s">
        <v>130</v>
      </c>
      <c r="B56" s="6">
        <v>22</v>
      </c>
      <c r="C56" s="6" t="s">
        <v>372</v>
      </c>
      <c r="D56" s="6">
        <v>1</v>
      </c>
      <c r="E56" s="6" t="s">
        <v>105</v>
      </c>
      <c r="F56" s="6" t="s">
        <v>375</v>
      </c>
      <c r="G56" s="6" t="s">
        <v>97</v>
      </c>
      <c r="H56" s="6" t="s">
        <v>107</v>
      </c>
      <c r="I56" s="6" t="s">
        <v>100</v>
      </c>
      <c r="J56" s="6" t="s">
        <v>374</v>
      </c>
      <c r="K56" s="6" t="s">
        <v>385</v>
      </c>
      <c r="L56" s="6" t="str">
        <f>IF(J56="כן", K56, VLOOKUP(LEFT(H56, 7), 'קטלוג תרחישים'!$A:$M, 13, FALSE))</f>
        <v>ג'</v>
      </c>
      <c r="M56" s="10"/>
      <c r="N56" s="23" t="s">
        <v>358</v>
      </c>
      <c r="O56" s="10" t="str" cm="1">
        <f t="array" ref="O56">_xlfn.IFS(N56="A","א'", N56="B", "ב'", N56= "C", "ג'")</f>
        <v>ג'</v>
      </c>
      <c r="P56" s="10">
        <f>IF(Table_2[[#This Row],[Correct_Answer]]=Table_2[[#This Row],[System_Recommendation]],1,0)</f>
        <v>0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6" t="s">
        <v>130</v>
      </c>
      <c r="B57" s="6">
        <v>23</v>
      </c>
      <c r="C57" s="6" t="s">
        <v>372</v>
      </c>
      <c r="D57" s="6">
        <v>1</v>
      </c>
      <c r="E57" s="6" t="s">
        <v>105</v>
      </c>
      <c r="F57" s="6" t="s">
        <v>375</v>
      </c>
      <c r="G57" s="6" t="s">
        <v>97</v>
      </c>
      <c r="H57" s="6" t="s">
        <v>108</v>
      </c>
      <c r="I57" s="6" t="s">
        <v>91</v>
      </c>
      <c r="J57" s="6" t="s">
        <v>371</v>
      </c>
      <c r="K57" s="6" t="s">
        <v>385</v>
      </c>
      <c r="L57" s="6" t="str">
        <f>IF(J57="כן", K57, VLOOKUP(LEFT(H57, 7), 'קטלוג תרחישים'!$A:$M, 13, FALSE))</f>
        <v>ג</v>
      </c>
      <c r="M57" s="10"/>
      <c r="N57" s="24" t="s">
        <v>358</v>
      </c>
      <c r="O57" s="10" t="str" cm="1">
        <f t="array" ref="O57">_xlfn.IFS(N57="A","א'", N57="B", "ב'", N57= "C", "ג'")</f>
        <v>ג'</v>
      </c>
      <c r="P57" s="10">
        <f>IF(Table_2[[#This Row],[Correct_Answer]]=Table_2[[#This Row],[System_Recommendation]],1,0)</f>
        <v>1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6" t="s">
        <v>130</v>
      </c>
      <c r="B58" s="6">
        <v>24</v>
      </c>
      <c r="C58" s="6" t="s">
        <v>372</v>
      </c>
      <c r="D58" s="6">
        <v>2</v>
      </c>
      <c r="E58" s="6" t="s">
        <v>111</v>
      </c>
      <c r="F58" s="6" t="s">
        <v>375</v>
      </c>
      <c r="G58" s="6" t="s">
        <v>97</v>
      </c>
      <c r="H58" s="6" t="s">
        <v>112</v>
      </c>
      <c r="I58" s="6" t="s">
        <v>91</v>
      </c>
      <c r="J58" s="6" t="s">
        <v>371</v>
      </c>
      <c r="K58" s="6" t="s">
        <v>384</v>
      </c>
      <c r="L58" s="6" t="str">
        <f>IF(J58="כן", K58, VLOOKUP(LEFT(H58, 7), 'קטלוג תרחישים'!$A:$M, 13, FALSE))</f>
        <v>ב'</v>
      </c>
      <c r="M58" s="10"/>
      <c r="N58" s="23" t="s">
        <v>357</v>
      </c>
      <c r="O58" s="10" t="str" cm="1">
        <f t="array" ref="O58">_xlfn.IFS(N58="A","א'", N58="B", "ב'", N58= "C", "ג'")</f>
        <v>ב'</v>
      </c>
      <c r="P58" s="10">
        <f>IF(Table_2[[#This Row],[Correct_Answer]]=Table_2[[#This Row],[System_Recommendation]],1,0)</f>
        <v>1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6" t="s">
        <v>130</v>
      </c>
      <c r="B59" s="6">
        <v>25</v>
      </c>
      <c r="C59" s="6" t="s">
        <v>372</v>
      </c>
      <c r="D59" s="6">
        <v>2</v>
      </c>
      <c r="E59" s="6" t="s">
        <v>111</v>
      </c>
      <c r="F59" s="6" t="s">
        <v>375</v>
      </c>
      <c r="G59" s="6" t="s">
        <v>97</v>
      </c>
      <c r="H59" s="6" t="s">
        <v>113</v>
      </c>
      <c r="I59" s="6" t="s">
        <v>100</v>
      </c>
      <c r="J59" s="6" t="s">
        <v>374</v>
      </c>
      <c r="K59" s="6" t="s">
        <v>383</v>
      </c>
      <c r="L59" s="6" t="str">
        <f>IF(J59="כן", K59, VLOOKUP(LEFT(H59, 7), 'קטלוג תרחישים'!$A:$M, 13, FALSE))</f>
        <v>ב'</v>
      </c>
      <c r="M59" s="10"/>
      <c r="N59" s="24" t="s">
        <v>352</v>
      </c>
      <c r="O59" s="10" t="str" cm="1">
        <f t="array" ref="O59">_xlfn.IFS(N59="A","א'", N59="B", "ב'", N59= "C", "ג'")</f>
        <v>א'</v>
      </c>
      <c r="P59" s="10">
        <f>IF(Table_2[[#This Row],[Correct_Answer]]=Table_2[[#This Row],[System_Recommendation]],1,0)</f>
        <v>0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6" t="s">
        <v>130</v>
      </c>
      <c r="B60" s="6">
        <v>26</v>
      </c>
      <c r="C60" s="6" t="s">
        <v>372</v>
      </c>
      <c r="D60" s="6">
        <v>2</v>
      </c>
      <c r="E60" s="6" t="s">
        <v>111</v>
      </c>
      <c r="F60" s="6" t="s">
        <v>375</v>
      </c>
      <c r="G60" s="6" t="s">
        <v>97</v>
      </c>
      <c r="H60" s="6" t="s">
        <v>114</v>
      </c>
      <c r="I60" s="6" t="s">
        <v>91</v>
      </c>
      <c r="J60" s="6" t="s">
        <v>371</v>
      </c>
      <c r="K60" s="6" t="s">
        <v>385</v>
      </c>
      <c r="L60" s="6" t="str">
        <f>IF(J60="כן", K60, VLOOKUP(LEFT(H60, 7), 'קטלוג תרחישים'!$A:$M, 13, FALSE))</f>
        <v>ג</v>
      </c>
      <c r="M60" s="10"/>
      <c r="N60" s="23" t="s">
        <v>358</v>
      </c>
      <c r="O60" s="10" t="str" cm="1">
        <f t="array" ref="O60">_xlfn.IFS(N60="A","א'", N60="B", "ב'", N60= "C", "ג'")</f>
        <v>ג'</v>
      </c>
      <c r="P60" s="10">
        <f>IF(Table_2[[#This Row],[Correct_Answer]]=Table_2[[#This Row],[System_Recommendation]],1,0)</f>
        <v>1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6" t="s">
        <v>130</v>
      </c>
      <c r="B61" s="6">
        <v>27</v>
      </c>
      <c r="C61" s="6" t="s">
        <v>372</v>
      </c>
      <c r="D61" s="6">
        <v>2</v>
      </c>
      <c r="E61" s="6" t="s">
        <v>111</v>
      </c>
      <c r="F61" s="6" t="s">
        <v>375</v>
      </c>
      <c r="G61" s="6" t="s">
        <v>97</v>
      </c>
      <c r="H61" s="6" t="s">
        <v>115</v>
      </c>
      <c r="I61" s="6" t="s">
        <v>100</v>
      </c>
      <c r="J61" s="6" t="s">
        <v>371</v>
      </c>
      <c r="K61" s="6" t="s">
        <v>384</v>
      </c>
      <c r="L61" s="6" t="str">
        <f>IF(J61="כן", K61, VLOOKUP(LEFT(H61, 7), 'קטלוג תרחישים'!$A:$M, 13, FALSE))</f>
        <v>ב'</v>
      </c>
      <c r="M61" s="10"/>
      <c r="N61" s="24" t="s">
        <v>357</v>
      </c>
      <c r="O61" s="10" t="str" cm="1">
        <f t="array" ref="O61">_xlfn.IFS(N61="A","א'", N61="B", "ב'", N61= "C", "ג'")</f>
        <v>ב'</v>
      </c>
      <c r="P61" s="10">
        <f>IF(Table_2[[#This Row],[Correct_Answer]]=Table_2[[#This Row],[System_Recommendation]],1,0)</f>
        <v>1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6" t="s">
        <v>130</v>
      </c>
      <c r="B62" s="6">
        <v>28</v>
      </c>
      <c r="C62" s="6" t="s">
        <v>372</v>
      </c>
      <c r="D62" s="6">
        <v>2</v>
      </c>
      <c r="E62" s="6" t="s">
        <v>111</v>
      </c>
      <c r="F62" s="6" t="s">
        <v>375</v>
      </c>
      <c r="G62" s="6" t="s">
        <v>97</v>
      </c>
      <c r="H62" s="6" t="s">
        <v>116</v>
      </c>
      <c r="I62" s="6" t="s">
        <v>91</v>
      </c>
      <c r="J62" s="6" t="s">
        <v>371</v>
      </c>
      <c r="K62" s="6" t="s">
        <v>385</v>
      </c>
      <c r="L62" s="6" t="str">
        <f>IF(J62="כן", K62, VLOOKUP(LEFT(H62, 7), 'קטלוג תרחישים'!$A:$M, 13, FALSE))</f>
        <v>ג</v>
      </c>
      <c r="M62" s="10"/>
      <c r="N62" s="23" t="s">
        <v>358</v>
      </c>
      <c r="O62" s="10" t="str" cm="1">
        <f t="array" ref="O62">_xlfn.IFS(N62="A","א'", N62="B", "ב'", N62= "C", "ג'")</f>
        <v>ג'</v>
      </c>
      <c r="P62" s="10">
        <f>IF(Table_2[[#This Row],[Correct_Answer]]=Table_2[[#This Row],[System_Recommendation]],1,0)</f>
        <v>1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6" t="s">
        <v>130</v>
      </c>
      <c r="B63" s="6">
        <v>29</v>
      </c>
      <c r="C63" s="6" t="s">
        <v>372</v>
      </c>
      <c r="D63" s="6">
        <v>3</v>
      </c>
      <c r="E63" s="6" t="s">
        <v>98</v>
      </c>
      <c r="F63" s="6" t="s">
        <v>375</v>
      </c>
      <c r="G63" s="6" t="s">
        <v>97</v>
      </c>
      <c r="H63" s="6" t="s">
        <v>104</v>
      </c>
      <c r="I63" s="6" t="s">
        <v>100</v>
      </c>
      <c r="J63" s="6" t="s">
        <v>371</v>
      </c>
      <c r="K63" s="6" t="s">
        <v>385</v>
      </c>
      <c r="L63" s="6" t="str">
        <f>IF(J63="כן", K63, VLOOKUP(LEFT(H63, 7), 'קטלוג תרחישים'!$A:$M, 13, FALSE))</f>
        <v>ג</v>
      </c>
      <c r="M63" s="10"/>
      <c r="N63" s="24" t="s">
        <v>358</v>
      </c>
      <c r="O63" s="10" t="str" cm="1">
        <f t="array" ref="O63">_xlfn.IFS(N63="A","א'", N63="B", "ב'", N63= "C", "ג'")</f>
        <v>ג'</v>
      </c>
      <c r="P63" s="10">
        <f>IF(Table_2[[#This Row],[Correct_Answer]]=Table_2[[#This Row],[System_Recommendation]],1,0)</f>
        <v>1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6" t="s">
        <v>130</v>
      </c>
      <c r="B64" s="6">
        <v>30</v>
      </c>
      <c r="C64" s="6" t="s">
        <v>372</v>
      </c>
      <c r="D64" s="6">
        <v>3</v>
      </c>
      <c r="E64" s="6" t="s">
        <v>98</v>
      </c>
      <c r="F64" s="6" t="s">
        <v>375</v>
      </c>
      <c r="G64" s="6" t="s">
        <v>97</v>
      </c>
      <c r="H64" s="6" t="s">
        <v>103</v>
      </c>
      <c r="I64" s="6" t="s">
        <v>91</v>
      </c>
      <c r="J64" s="6" t="s">
        <v>371</v>
      </c>
      <c r="K64" s="6" t="s">
        <v>384</v>
      </c>
      <c r="L64" s="6" t="str">
        <f>IF(J64="כן", K64, VLOOKUP(LEFT(H64, 7), 'קטלוג תרחישים'!$A:$M, 13, FALSE))</f>
        <v>ב'</v>
      </c>
      <c r="M64" s="10"/>
      <c r="N64" s="23" t="s">
        <v>357</v>
      </c>
      <c r="O64" s="10" t="str" cm="1">
        <f t="array" ref="O64">_xlfn.IFS(N64="A","א'", N64="B", "ב'", N64= "C", "ג'")</f>
        <v>ב'</v>
      </c>
      <c r="P64" s="10">
        <f>IF(Table_2[[#This Row],[Correct_Answer]]=Table_2[[#This Row],[System_Recommendation]],1,0)</f>
        <v>1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6" t="s">
        <v>130</v>
      </c>
      <c r="B65" s="6">
        <v>31</v>
      </c>
      <c r="C65" s="6" t="s">
        <v>372</v>
      </c>
      <c r="D65" s="6">
        <v>3</v>
      </c>
      <c r="E65" s="6" t="s">
        <v>98</v>
      </c>
      <c r="F65" s="6" t="s">
        <v>375</v>
      </c>
      <c r="G65" s="6" t="s">
        <v>97</v>
      </c>
      <c r="H65" s="6" t="s">
        <v>102</v>
      </c>
      <c r="I65" s="6" t="s">
        <v>100</v>
      </c>
      <c r="J65" s="6" t="s">
        <v>371</v>
      </c>
      <c r="K65" s="6" t="s">
        <v>385</v>
      </c>
      <c r="L65" s="6" t="str">
        <f>IF(J65="כן", K65, VLOOKUP(LEFT(H65, 7), 'קטלוג תרחישים'!$A:$M, 13, FALSE))</f>
        <v>ג</v>
      </c>
      <c r="M65" s="10"/>
      <c r="N65" s="24" t="s">
        <v>358</v>
      </c>
      <c r="O65" s="10" t="str" cm="1">
        <f t="array" ref="O65">_xlfn.IFS(N65="A","א'", N65="B", "ב'", N65= "C", "ג'")</f>
        <v>ג'</v>
      </c>
      <c r="P65" s="10">
        <f>IF(Table_2[[#This Row],[Correct_Answer]]=Table_2[[#This Row],[System_Recommendation]],1,0)</f>
        <v>1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6" t="s">
        <v>130</v>
      </c>
      <c r="B66" s="6">
        <v>32</v>
      </c>
      <c r="C66" s="6" t="s">
        <v>372</v>
      </c>
      <c r="D66" s="6">
        <v>3</v>
      </c>
      <c r="E66" s="6" t="s">
        <v>98</v>
      </c>
      <c r="F66" s="6" t="s">
        <v>375</v>
      </c>
      <c r="G66" s="6" t="s">
        <v>97</v>
      </c>
      <c r="H66" s="6" t="s">
        <v>101</v>
      </c>
      <c r="I66" s="6" t="s">
        <v>91</v>
      </c>
      <c r="J66" s="6" t="s">
        <v>371</v>
      </c>
      <c r="K66" s="6" t="s">
        <v>383</v>
      </c>
      <c r="L66" s="6" t="str">
        <f>IF(J66="כן", K66, VLOOKUP(LEFT(H66, 7), 'קטלוג תרחישים'!$A:$M, 13, FALSE))</f>
        <v>א'</v>
      </c>
      <c r="M66" s="10"/>
      <c r="N66" s="23" t="s">
        <v>352</v>
      </c>
      <c r="O66" s="10" t="str" cm="1">
        <f t="array" ref="O66">_xlfn.IFS(N66="A","א'", N66="B", "ב'", N66= "C", "ג'")</f>
        <v>א'</v>
      </c>
      <c r="P66" s="10">
        <f>IF(Table_2[[#This Row],[Correct_Answer]]=Table_2[[#This Row],[System_Recommendation]],1,0)</f>
        <v>1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6" t="s">
        <v>130</v>
      </c>
      <c r="B67" s="6">
        <v>33</v>
      </c>
      <c r="C67" s="6" t="s">
        <v>372</v>
      </c>
      <c r="D67" s="6">
        <v>3</v>
      </c>
      <c r="E67" s="6" t="s">
        <v>98</v>
      </c>
      <c r="F67" s="6" t="s">
        <v>375</v>
      </c>
      <c r="G67" s="6" t="s">
        <v>97</v>
      </c>
      <c r="H67" s="6" t="s">
        <v>99</v>
      </c>
      <c r="I67" s="6" t="s">
        <v>100</v>
      </c>
      <c r="J67" s="6" t="s">
        <v>374</v>
      </c>
      <c r="K67" s="6" t="s">
        <v>383</v>
      </c>
      <c r="L67" s="6" t="str">
        <f>IF(J67="כן", K67, VLOOKUP(LEFT(H67, 7), 'קטלוג תרחישים'!$A:$M, 13, FALSE))</f>
        <v>א'</v>
      </c>
      <c r="M67" s="10"/>
      <c r="N67" s="24" t="s">
        <v>352</v>
      </c>
      <c r="O67" s="10" t="str" cm="1">
        <f t="array" ref="O67">_xlfn.IFS(N67="A","א'", N67="B", "ב'", N67= "C", "ג'")</f>
        <v>א'</v>
      </c>
      <c r="P67" s="10">
        <f>IF(Table_2[[#This Row],[Correct_Answer]]=Table_2[[#This Row],[System_Recommendation]],1,0)</f>
        <v>1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6" t="s">
        <v>133</v>
      </c>
      <c r="B68" s="6">
        <v>1</v>
      </c>
      <c r="C68" s="6" t="s">
        <v>370</v>
      </c>
      <c r="D68" s="6"/>
      <c r="E68" s="6" t="s">
        <v>98</v>
      </c>
      <c r="F68" s="6"/>
      <c r="G68" s="6"/>
      <c r="H68" s="8" t="s">
        <v>90</v>
      </c>
      <c r="I68" s="6" t="s">
        <v>91</v>
      </c>
      <c r="J68" s="6" t="s">
        <v>371</v>
      </c>
      <c r="K68" s="6" t="s">
        <v>385</v>
      </c>
      <c r="L68" s="6" t="str">
        <f>IF(J68="כן", K68, VLOOKUP(LEFT(H68, 7), 'קטלוג תרחישים'!$A:$M, 13, FALSE))</f>
        <v>ג</v>
      </c>
      <c r="M68" s="10"/>
      <c r="N68" s="23" t="s">
        <v>358</v>
      </c>
      <c r="O68" s="10" t="str" cm="1">
        <f t="array" ref="O68">_xlfn.IFS(N68="A","א'", N68="B", "ב'", N68= "C", "ג'")</f>
        <v>ג'</v>
      </c>
      <c r="P68" s="10">
        <f>IF(Table_2[[#This Row],[Correct_Answer]]=Table_2[[#This Row],[System_Recommendation]],1,0)</f>
        <v>1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6" t="s">
        <v>133</v>
      </c>
      <c r="B69" s="6">
        <v>2</v>
      </c>
      <c r="C69" s="6" t="s">
        <v>370</v>
      </c>
      <c r="D69" s="6"/>
      <c r="E69" s="6" t="s">
        <v>98</v>
      </c>
      <c r="F69" s="6"/>
      <c r="G69" s="6"/>
      <c r="H69" s="8" t="s">
        <v>92</v>
      </c>
      <c r="I69" s="6" t="s">
        <v>91</v>
      </c>
      <c r="J69" s="6" t="s">
        <v>371</v>
      </c>
      <c r="K69" s="6" t="s">
        <v>385</v>
      </c>
      <c r="L69" s="6" t="str">
        <f>IF(J69="כן", K69, VLOOKUP(LEFT(H69, 7), 'קטלוג תרחישים'!$A:$M, 13, FALSE))</f>
        <v>ג</v>
      </c>
      <c r="M69" s="10"/>
      <c r="N69" s="24" t="s">
        <v>358</v>
      </c>
      <c r="O69" s="10" t="str" cm="1">
        <f t="array" ref="O69">_xlfn.IFS(N69="A","א'", N69="B", "ב'", N69= "C", "ג'")</f>
        <v>ג'</v>
      </c>
      <c r="P69" s="10">
        <f>IF(Table_2[[#This Row],[Correct_Answer]]=Table_2[[#This Row],[System_Recommendation]],1,0)</f>
        <v>1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6" t="s">
        <v>133</v>
      </c>
      <c r="B70" s="6">
        <v>3</v>
      </c>
      <c r="C70" s="6" t="s">
        <v>370</v>
      </c>
      <c r="D70" s="6"/>
      <c r="E70" s="6" t="s">
        <v>105</v>
      </c>
      <c r="F70" s="6"/>
      <c r="G70" s="6"/>
      <c r="H70" s="8" t="s">
        <v>93</v>
      </c>
      <c r="I70" s="6" t="s">
        <v>91</v>
      </c>
      <c r="J70" s="6" t="s">
        <v>371</v>
      </c>
      <c r="K70" s="6" t="s">
        <v>383</v>
      </c>
      <c r="L70" s="6" t="str">
        <f>IF(J70="כן", K70, VLOOKUP(LEFT(H70, 7), 'קטלוג תרחישים'!$A:$M, 13, FALSE))</f>
        <v>א'</v>
      </c>
      <c r="M70" s="10"/>
      <c r="N70" s="23" t="s">
        <v>352</v>
      </c>
      <c r="O70" s="10" t="str" cm="1">
        <f t="array" ref="O70">_xlfn.IFS(N70="A","א'", N70="B", "ב'", N70= "C", "ג'")</f>
        <v>א'</v>
      </c>
      <c r="P70" s="10">
        <f>IF(Table_2[[#This Row],[Correct_Answer]]=Table_2[[#This Row],[System_Recommendation]],1,0)</f>
        <v>1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6" t="s">
        <v>133</v>
      </c>
      <c r="B71" s="6">
        <v>4</v>
      </c>
      <c r="C71" s="6" t="s">
        <v>370</v>
      </c>
      <c r="D71" s="6"/>
      <c r="E71" s="6" t="s">
        <v>105</v>
      </c>
      <c r="F71" s="6"/>
      <c r="G71" s="6"/>
      <c r="H71" s="8" t="s">
        <v>94</v>
      </c>
      <c r="I71" s="6" t="s">
        <v>91</v>
      </c>
      <c r="J71" s="6" t="s">
        <v>371</v>
      </c>
      <c r="K71" s="6" t="s">
        <v>383</v>
      </c>
      <c r="L71" s="6" t="str">
        <f>IF(J71="כן", K71, VLOOKUP(LEFT(H71, 7), 'קטלוג תרחישים'!$A:$M, 13, FALSE))</f>
        <v>א'</v>
      </c>
      <c r="M71" s="10"/>
      <c r="N71" s="24" t="s">
        <v>352</v>
      </c>
      <c r="O71" s="10" t="str" cm="1">
        <f t="array" ref="O71">_xlfn.IFS(N71="A","א'", N71="B", "ב'", N71= "C", "ג'")</f>
        <v>א'</v>
      </c>
      <c r="P71" s="10">
        <f>IF(Table_2[[#This Row],[Correct_Answer]]=Table_2[[#This Row],[System_Recommendation]],1,0)</f>
        <v>1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6" t="s">
        <v>133</v>
      </c>
      <c r="B72" s="6">
        <v>5</v>
      </c>
      <c r="C72" s="6" t="s">
        <v>370</v>
      </c>
      <c r="D72" s="6"/>
      <c r="E72" s="6" t="s">
        <v>111</v>
      </c>
      <c r="F72" s="6"/>
      <c r="G72" s="6"/>
      <c r="H72" s="8" t="s">
        <v>95</v>
      </c>
      <c r="I72" s="6" t="s">
        <v>91</v>
      </c>
      <c r="J72" s="6" t="s">
        <v>371</v>
      </c>
      <c r="K72" s="6" t="s">
        <v>383</v>
      </c>
      <c r="L72" s="6" t="str">
        <f>IF(J72="כן", K72, VLOOKUP(LEFT(H72, 7), 'קטלוג תרחישים'!$A:$M, 13, FALSE))</f>
        <v>א'</v>
      </c>
      <c r="M72" s="10"/>
      <c r="N72" s="23" t="s">
        <v>352</v>
      </c>
      <c r="O72" s="10" t="str" cm="1">
        <f t="array" ref="O72">_xlfn.IFS(N72="A","א'", N72="B", "ב'", N72= "C", "ג'")</f>
        <v>א'</v>
      </c>
      <c r="P72" s="10">
        <f>IF(Table_2[[#This Row],[Correct_Answer]]=Table_2[[#This Row],[System_Recommendation]],1,0)</f>
        <v>1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6" t="s">
        <v>133</v>
      </c>
      <c r="B73" s="6">
        <v>6</v>
      </c>
      <c r="C73" s="6" t="s">
        <v>370</v>
      </c>
      <c r="D73" s="6"/>
      <c r="E73" s="6" t="s">
        <v>111</v>
      </c>
      <c r="F73" s="6"/>
      <c r="G73" s="6"/>
      <c r="H73" s="8" t="s">
        <v>96</v>
      </c>
      <c r="I73" s="6" t="s">
        <v>91</v>
      </c>
      <c r="J73" s="6" t="s">
        <v>371</v>
      </c>
      <c r="K73" s="6" t="s">
        <v>384</v>
      </c>
      <c r="L73" s="6" t="str">
        <f>IF(J73="כן", K73, VLOOKUP(LEFT(H73, 7), 'קטלוג תרחישים'!$A:$M, 13, FALSE))</f>
        <v>ב'</v>
      </c>
      <c r="M73" s="10"/>
      <c r="N73" s="24" t="s">
        <v>357</v>
      </c>
      <c r="O73" s="10" t="str" cm="1">
        <f t="array" ref="O73">_xlfn.IFS(N73="A","א'", N73="B", "ב'", N73= "C", "ג'")</f>
        <v>ב'</v>
      </c>
      <c r="P73" s="10">
        <f>IF(Table_2[[#This Row],[Correct_Answer]]=Table_2[[#This Row],[System_Recommendation]],1,0)</f>
        <v>1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6" t="s">
        <v>133</v>
      </c>
      <c r="B74" s="6">
        <v>7</v>
      </c>
      <c r="C74" s="6" t="s">
        <v>372</v>
      </c>
      <c r="D74" s="6">
        <v>1</v>
      </c>
      <c r="E74" s="6" t="s">
        <v>111</v>
      </c>
      <c r="F74" s="6" t="s">
        <v>373</v>
      </c>
      <c r="G74" s="6" t="s">
        <v>97</v>
      </c>
      <c r="H74" s="6" t="s">
        <v>116</v>
      </c>
      <c r="I74" s="6" t="s">
        <v>91</v>
      </c>
      <c r="J74" s="6" t="s">
        <v>371</v>
      </c>
      <c r="K74" s="6" t="s">
        <v>384</v>
      </c>
      <c r="L74" s="6" t="str">
        <f>IF(J74="כן", K74, VLOOKUP(LEFT(H74, 7), 'קטלוג תרחישים'!$A:$M, 13, FALSE))</f>
        <v>ב'</v>
      </c>
      <c r="M74" s="10"/>
      <c r="N74" s="23" t="s">
        <v>357</v>
      </c>
      <c r="O74" s="10" t="str" cm="1">
        <f t="array" ref="O74">_xlfn.IFS(N74="A","א'", N74="B", "ב'", N74= "C", "ג'")</f>
        <v>ב'</v>
      </c>
      <c r="P74" s="10">
        <f>IF(Table_2[[#This Row],[Correct_Answer]]=Table_2[[#This Row],[System_Recommendation]],1,0)</f>
        <v>1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6" t="s">
        <v>133</v>
      </c>
      <c r="B75" s="6">
        <v>8</v>
      </c>
      <c r="C75" s="6" t="s">
        <v>372</v>
      </c>
      <c r="D75" s="6">
        <v>1</v>
      </c>
      <c r="E75" s="6" t="s">
        <v>111</v>
      </c>
      <c r="F75" s="6" t="s">
        <v>373</v>
      </c>
      <c r="G75" s="6" t="s">
        <v>97</v>
      </c>
      <c r="H75" s="6" t="s">
        <v>115</v>
      </c>
      <c r="I75" s="6" t="s">
        <v>100</v>
      </c>
      <c r="J75" s="6" t="s">
        <v>371</v>
      </c>
      <c r="K75" s="6" t="s">
        <v>385</v>
      </c>
      <c r="L75" s="6" t="str">
        <f>IF(J75="כן", K75, VLOOKUP(LEFT(H75, 7), 'קטלוג תרחישים'!$A:$M, 13, FALSE))</f>
        <v>ג</v>
      </c>
      <c r="M75" s="10"/>
      <c r="N75" s="24" t="s">
        <v>358</v>
      </c>
      <c r="O75" s="10" t="str" cm="1">
        <f t="array" ref="O75">_xlfn.IFS(N75="A","א'", N75="B", "ב'", N75= "C", "ג'")</f>
        <v>ג'</v>
      </c>
      <c r="P75" s="10">
        <f>IF(Table_2[[#This Row],[Correct_Answer]]=Table_2[[#This Row],[System_Recommendation]],1,0)</f>
        <v>1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6" t="s">
        <v>133</v>
      </c>
      <c r="B76" s="6">
        <v>9</v>
      </c>
      <c r="C76" s="6" t="s">
        <v>372</v>
      </c>
      <c r="D76" s="6">
        <v>1</v>
      </c>
      <c r="E76" s="6" t="s">
        <v>111</v>
      </c>
      <c r="F76" s="6" t="s">
        <v>373</v>
      </c>
      <c r="G76" s="6" t="s">
        <v>97</v>
      </c>
      <c r="H76" s="6" t="s">
        <v>114</v>
      </c>
      <c r="I76" s="6" t="s">
        <v>91</v>
      </c>
      <c r="J76" s="6" t="s">
        <v>371</v>
      </c>
      <c r="K76" s="6" t="s">
        <v>385</v>
      </c>
      <c r="L76" s="6" t="str">
        <f>IF(J76="כן", K76, VLOOKUP(LEFT(H76, 7), 'קטלוג תרחישים'!$A:$M, 13, FALSE))</f>
        <v>ג</v>
      </c>
      <c r="M76" s="10"/>
      <c r="N76" s="23" t="s">
        <v>358</v>
      </c>
      <c r="O76" s="10" t="str" cm="1">
        <f t="array" ref="O76">_xlfn.IFS(N76="A","א'", N76="B", "ב'", N76= "C", "ג'")</f>
        <v>ג'</v>
      </c>
      <c r="P76" s="10">
        <f>IF(Table_2[[#This Row],[Correct_Answer]]=Table_2[[#This Row],[System_Recommendation]],1,0)</f>
        <v>1</v>
      </c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6" t="s">
        <v>133</v>
      </c>
      <c r="B77" s="6">
        <v>10</v>
      </c>
      <c r="C77" s="6" t="s">
        <v>372</v>
      </c>
      <c r="D77" s="6">
        <v>1</v>
      </c>
      <c r="E77" s="6" t="s">
        <v>111</v>
      </c>
      <c r="F77" s="6" t="s">
        <v>373</v>
      </c>
      <c r="G77" s="6" t="s">
        <v>97</v>
      </c>
      <c r="H77" s="6" t="s">
        <v>113</v>
      </c>
      <c r="I77" s="6" t="s">
        <v>100</v>
      </c>
      <c r="J77" s="6" t="s">
        <v>371</v>
      </c>
      <c r="K77" s="6" t="s">
        <v>384</v>
      </c>
      <c r="L77" s="6" t="str">
        <f>IF(J77="כן", K77, VLOOKUP(LEFT(H77, 7), 'קטלוג תרחישים'!$A:$M, 13, FALSE))</f>
        <v>ב'</v>
      </c>
      <c r="M77" s="10"/>
      <c r="N77" s="24" t="s">
        <v>357</v>
      </c>
      <c r="O77" s="10" t="str" cm="1">
        <f t="array" ref="O77">_xlfn.IFS(N77="A","א'", N77="B", "ב'", N77= "C", "ג'")</f>
        <v>ב'</v>
      </c>
      <c r="P77" s="10">
        <f>IF(Table_2[[#This Row],[Correct_Answer]]=Table_2[[#This Row],[System_Recommendation]],1,0)</f>
        <v>1</v>
      </c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6" t="s">
        <v>133</v>
      </c>
      <c r="B78" s="6">
        <v>11</v>
      </c>
      <c r="C78" s="6" t="s">
        <v>372</v>
      </c>
      <c r="D78" s="6">
        <v>1</v>
      </c>
      <c r="E78" s="6" t="s">
        <v>111</v>
      </c>
      <c r="F78" s="6" t="s">
        <v>373</v>
      </c>
      <c r="G78" s="6" t="s">
        <v>97</v>
      </c>
      <c r="H78" s="6" t="s">
        <v>112</v>
      </c>
      <c r="I78" s="6" t="s">
        <v>91</v>
      </c>
      <c r="J78" s="6" t="s">
        <v>374</v>
      </c>
      <c r="K78" s="6" t="s">
        <v>383</v>
      </c>
      <c r="L78" s="6" t="str">
        <f>IF(J78="כן", K78, VLOOKUP(LEFT(H78, 7), 'קטלוג תרחישים'!$A:$M, 13, FALSE))</f>
        <v>א'</v>
      </c>
      <c r="M78" s="10"/>
      <c r="N78" s="23" t="s">
        <v>352</v>
      </c>
      <c r="O78" s="10" t="str" cm="1">
        <f t="array" ref="O78">_xlfn.IFS(N78="A","א'", N78="B", "ב'", N78= "C", "ג'")</f>
        <v>א'</v>
      </c>
      <c r="P78" s="10">
        <f>IF(Table_2[[#This Row],[Correct_Answer]]=Table_2[[#This Row],[System_Recommendation]],1,0)</f>
        <v>1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6" t="s">
        <v>133</v>
      </c>
      <c r="B79" s="6">
        <v>12</v>
      </c>
      <c r="C79" s="6" t="s">
        <v>372</v>
      </c>
      <c r="D79" s="6">
        <v>2</v>
      </c>
      <c r="E79" s="6" t="s">
        <v>98</v>
      </c>
      <c r="F79" s="6" t="s">
        <v>373</v>
      </c>
      <c r="G79" s="6" t="s">
        <v>97</v>
      </c>
      <c r="H79" s="6" t="s">
        <v>104</v>
      </c>
      <c r="I79" s="6" t="s">
        <v>100</v>
      </c>
      <c r="J79" s="6" t="s">
        <v>371</v>
      </c>
      <c r="K79" s="6" t="s">
        <v>385</v>
      </c>
      <c r="L79" s="6" t="str">
        <f>IF(J79="כן", K79, VLOOKUP(LEFT(H79, 7), 'קטלוג תרחישים'!$A:$M, 13, FALSE))</f>
        <v>ג</v>
      </c>
      <c r="M79" s="10"/>
      <c r="N79" s="24" t="s">
        <v>358</v>
      </c>
      <c r="O79" s="10" t="str" cm="1">
        <f t="array" ref="O79">_xlfn.IFS(N79="A","א'", N79="B", "ב'", N79= "C", "ג'")</f>
        <v>ג'</v>
      </c>
      <c r="P79" s="10">
        <f>IF(Table_2[[#This Row],[Correct_Answer]]=Table_2[[#This Row],[System_Recommendation]],1,0)</f>
        <v>1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6" t="s">
        <v>133</v>
      </c>
      <c r="B80" s="6">
        <v>13</v>
      </c>
      <c r="C80" s="6" t="s">
        <v>372</v>
      </c>
      <c r="D80" s="6">
        <v>2</v>
      </c>
      <c r="E80" s="6" t="s">
        <v>98</v>
      </c>
      <c r="F80" s="6" t="s">
        <v>373</v>
      </c>
      <c r="G80" s="6" t="s">
        <v>97</v>
      </c>
      <c r="H80" s="6" t="s">
        <v>103</v>
      </c>
      <c r="I80" s="6" t="s">
        <v>91</v>
      </c>
      <c r="J80" s="6" t="s">
        <v>371</v>
      </c>
      <c r="K80" s="6" t="s">
        <v>385</v>
      </c>
      <c r="L80" s="6" t="str">
        <f>IF(J80="כן", K80, VLOOKUP(LEFT(H80, 7), 'קטלוג תרחישים'!$A:$M, 13, FALSE))</f>
        <v>ג</v>
      </c>
      <c r="M80" s="10"/>
      <c r="N80" s="23" t="s">
        <v>358</v>
      </c>
      <c r="O80" s="10" t="str" cm="1">
        <f t="array" ref="O80">_xlfn.IFS(N80="A","א'", N80="B", "ב'", N80= "C", "ג'")</f>
        <v>ג'</v>
      </c>
      <c r="P80" s="10">
        <f>IF(Table_2[[#This Row],[Correct_Answer]]=Table_2[[#This Row],[System_Recommendation]],1,0)</f>
        <v>1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6" t="s">
        <v>133</v>
      </c>
      <c r="B81" s="6">
        <v>14</v>
      </c>
      <c r="C81" s="6" t="s">
        <v>372</v>
      </c>
      <c r="D81" s="6">
        <v>2</v>
      </c>
      <c r="E81" s="6" t="s">
        <v>98</v>
      </c>
      <c r="F81" s="6" t="s">
        <v>373</v>
      </c>
      <c r="G81" s="6" t="s">
        <v>97</v>
      </c>
      <c r="H81" s="6" t="s">
        <v>102</v>
      </c>
      <c r="I81" s="6" t="s">
        <v>100</v>
      </c>
      <c r="J81" s="6" t="s">
        <v>371</v>
      </c>
      <c r="K81" s="6" t="s">
        <v>384</v>
      </c>
      <c r="L81" s="6" t="str">
        <f>IF(J81="כן", K81, VLOOKUP(LEFT(H81, 7), 'קטלוג תרחישים'!$A:$M, 13, FALSE))</f>
        <v>ב'</v>
      </c>
      <c r="M81" s="10"/>
      <c r="N81" s="24" t="s">
        <v>357</v>
      </c>
      <c r="O81" s="10" t="str" cm="1">
        <f t="array" ref="O81">_xlfn.IFS(N81="A","א'", N81="B", "ב'", N81= "C", "ג'")</f>
        <v>ב'</v>
      </c>
      <c r="P81" s="10">
        <f>IF(Table_2[[#This Row],[Correct_Answer]]=Table_2[[#This Row],[System_Recommendation]],1,0)</f>
        <v>1</v>
      </c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6" t="s">
        <v>133</v>
      </c>
      <c r="B82" s="6">
        <v>15</v>
      </c>
      <c r="C82" s="6" t="s">
        <v>372</v>
      </c>
      <c r="D82" s="6">
        <v>2</v>
      </c>
      <c r="E82" s="6" t="s">
        <v>98</v>
      </c>
      <c r="F82" s="6" t="s">
        <v>373</v>
      </c>
      <c r="G82" s="6" t="s">
        <v>97</v>
      </c>
      <c r="H82" s="6" t="s">
        <v>101</v>
      </c>
      <c r="I82" s="6" t="s">
        <v>91</v>
      </c>
      <c r="J82" s="6" t="s">
        <v>374</v>
      </c>
      <c r="K82" s="6" t="s">
        <v>384</v>
      </c>
      <c r="L82" s="6" t="str">
        <f>IF(J82="כן", K82, VLOOKUP(LEFT(H82, 7), 'קטלוג תרחישים'!$A:$M, 13, FALSE))</f>
        <v>ב'</v>
      </c>
      <c r="M82" s="10"/>
      <c r="N82" s="23" t="s">
        <v>357</v>
      </c>
      <c r="O82" s="10" t="str" cm="1">
        <f t="array" ref="O82">_xlfn.IFS(N82="A","א'", N82="B", "ב'", N82= "C", "ג'")</f>
        <v>ב'</v>
      </c>
      <c r="P82" s="10">
        <f>IF(Table_2[[#This Row],[Correct_Answer]]=Table_2[[#This Row],[System_Recommendation]],1,0)</f>
        <v>1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6" t="s">
        <v>133</v>
      </c>
      <c r="B83" s="6">
        <v>16</v>
      </c>
      <c r="C83" s="6" t="s">
        <v>372</v>
      </c>
      <c r="D83" s="6">
        <v>2</v>
      </c>
      <c r="E83" s="6" t="s">
        <v>98</v>
      </c>
      <c r="F83" s="6" t="s">
        <v>373</v>
      </c>
      <c r="G83" s="6" t="s">
        <v>97</v>
      </c>
      <c r="H83" s="6" t="s">
        <v>99</v>
      </c>
      <c r="I83" s="6" t="s">
        <v>100</v>
      </c>
      <c r="J83" s="6" t="s">
        <v>371</v>
      </c>
      <c r="K83" s="6" t="s">
        <v>384</v>
      </c>
      <c r="L83" s="6" t="str">
        <f>IF(J83="כן", K83, VLOOKUP(LEFT(H83, 7), 'קטלוג תרחישים'!$A:$M, 13, FALSE))</f>
        <v>ב'</v>
      </c>
      <c r="M83" s="10"/>
      <c r="N83" s="24" t="s">
        <v>357</v>
      </c>
      <c r="O83" s="10" t="str" cm="1">
        <f t="array" ref="O83">_xlfn.IFS(N83="A","א'", N83="B", "ב'", N83= "C", "ג'")</f>
        <v>ב'</v>
      </c>
      <c r="P83" s="10">
        <f>IF(Table_2[[#This Row],[Correct_Answer]]=Table_2[[#This Row],[System_Recommendation]],1,0)</f>
        <v>1</v>
      </c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6" t="s">
        <v>133</v>
      </c>
      <c r="B84" s="6">
        <v>17</v>
      </c>
      <c r="C84" s="6" t="s">
        <v>372</v>
      </c>
      <c r="D84" s="6">
        <v>3</v>
      </c>
      <c r="E84" s="6" t="s">
        <v>105</v>
      </c>
      <c r="F84" s="6" t="s">
        <v>373</v>
      </c>
      <c r="G84" s="6" t="s">
        <v>97</v>
      </c>
      <c r="H84" s="6" t="s">
        <v>106</v>
      </c>
      <c r="I84" s="6" t="s">
        <v>91</v>
      </c>
      <c r="J84" s="6" t="s">
        <v>371</v>
      </c>
      <c r="K84" s="6" t="s">
        <v>383</v>
      </c>
      <c r="L84" s="6" t="str">
        <f>IF(J84="כן", K84, VLOOKUP(LEFT(H84, 7), 'קטלוג תרחישים'!$A:$M, 13, FALSE))</f>
        <v>א'</v>
      </c>
      <c r="M84" s="10"/>
      <c r="N84" s="23" t="s">
        <v>352</v>
      </c>
      <c r="O84" s="10" t="str" cm="1">
        <f t="array" ref="O84">_xlfn.IFS(N84="A","א'", N84="B", "ב'", N84= "C", "ג'")</f>
        <v>א'</v>
      </c>
      <c r="P84" s="10">
        <f>IF(Table_2[[#This Row],[Correct_Answer]]=Table_2[[#This Row],[System_Recommendation]],1,0)</f>
        <v>1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6" t="s">
        <v>133</v>
      </c>
      <c r="B85" s="6">
        <v>18</v>
      </c>
      <c r="C85" s="6" t="s">
        <v>372</v>
      </c>
      <c r="D85" s="6">
        <v>3</v>
      </c>
      <c r="E85" s="6" t="s">
        <v>105</v>
      </c>
      <c r="F85" s="6" t="s">
        <v>373</v>
      </c>
      <c r="G85" s="6" t="s">
        <v>97</v>
      </c>
      <c r="H85" s="6" t="s">
        <v>107</v>
      </c>
      <c r="I85" s="6" t="s">
        <v>100</v>
      </c>
      <c r="J85" s="6" t="s">
        <v>371</v>
      </c>
      <c r="K85" s="6" t="s">
        <v>385</v>
      </c>
      <c r="L85" s="6" t="str">
        <f>IF(J85="כן", K85, VLOOKUP(LEFT(H85, 7), 'קטלוג תרחישים'!$A:$M, 13, FALSE))</f>
        <v>ג</v>
      </c>
      <c r="M85" s="10"/>
      <c r="N85" s="24" t="s">
        <v>358</v>
      </c>
      <c r="O85" s="10" t="str" cm="1">
        <f t="array" ref="O85">_xlfn.IFS(N85="A","א'", N85="B", "ב'", N85= "C", "ג'")</f>
        <v>ג'</v>
      </c>
      <c r="P85" s="10">
        <f>IF(Table_2[[#This Row],[Correct_Answer]]=Table_2[[#This Row],[System_Recommendation]],1,0)</f>
        <v>1</v>
      </c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6" t="s">
        <v>133</v>
      </c>
      <c r="B86" s="6">
        <v>19</v>
      </c>
      <c r="C86" s="6" t="s">
        <v>372</v>
      </c>
      <c r="D86" s="6">
        <v>3</v>
      </c>
      <c r="E86" s="6" t="s">
        <v>105</v>
      </c>
      <c r="F86" s="6" t="s">
        <v>373</v>
      </c>
      <c r="G86" s="6" t="s">
        <v>97</v>
      </c>
      <c r="H86" s="6" t="s">
        <v>110</v>
      </c>
      <c r="I86" s="6" t="s">
        <v>91</v>
      </c>
      <c r="J86" s="6" t="s">
        <v>371</v>
      </c>
      <c r="K86" s="6" t="s">
        <v>384</v>
      </c>
      <c r="L86" s="6" t="str">
        <f>IF(J86="כן", K86, VLOOKUP(LEFT(H86, 7), 'קטלוג תרחישים'!$A:$M, 13, FALSE))</f>
        <v>ב'</v>
      </c>
      <c r="M86" s="10"/>
      <c r="N86" s="23" t="s">
        <v>357</v>
      </c>
      <c r="O86" s="10" t="str" cm="1">
        <f t="array" ref="O86">_xlfn.IFS(N86="A","א'", N86="B", "ב'", N86= "C", "ג'")</f>
        <v>ב'</v>
      </c>
      <c r="P86" s="10">
        <f>IF(Table_2[[#This Row],[Correct_Answer]]=Table_2[[#This Row],[System_Recommendation]],1,0)</f>
        <v>1</v>
      </c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6" t="s">
        <v>133</v>
      </c>
      <c r="B87" s="6">
        <v>20</v>
      </c>
      <c r="C87" s="6" t="s">
        <v>372</v>
      </c>
      <c r="D87" s="6">
        <v>3</v>
      </c>
      <c r="E87" s="6" t="s">
        <v>105</v>
      </c>
      <c r="F87" s="6" t="s">
        <v>373</v>
      </c>
      <c r="G87" s="6" t="s">
        <v>97</v>
      </c>
      <c r="H87" s="6" t="s">
        <v>109</v>
      </c>
      <c r="I87" s="6" t="s">
        <v>100</v>
      </c>
      <c r="J87" s="6" t="s">
        <v>371</v>
      </c>
      <c r="K87" s="6" t="s">
        <v>385</v>
      </c>
      <c r="L87" s="6" t="str">
        <f>IF(J87="כן", K87, VLOOKUP(LEFT(H87, 7), 'קטלוג תרחישים'!$A:$M, 13, FALSE))</f>
        <v>ג</v>
      </c>
      <c r="M87" s="10"/>
      <c r="N87" s="24" t="s">
        <v>358</v>
      </c>
      <c r="O87" s="10" t="str" cm="1">
        <f t="array" ref="O87">_xlfn.IFS(N87="A","א'", N87="B", "ב'", N87= "C", "ג'")</f>
        <v>ג'</v>
      </c>
      <c r="P87" s="10">
        <f>IF(Table_2[[#This Row],[Correct_Answer]]=Table_2[[#This Row],[System_Recommendation]],1,0)</f>
        <v>1</v>
      </c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6" t="s">
        <v>133</v>
      </c>
      <c r="B88" s="6">
        <v>21</v>
      </c>
      <c r="C88" s="6" t="s">
        <v>372</v>
      </c>
      <c r="D88" s="6">
        <v>3</v>
      </c>
      <c r="E88" s="6" t="s">
        <v>105</v>
      </c>
      <c r="F88" s="6" t="s">
        <v>373</v>
      </c>
      <c r="G88" s="6" t="s">
        <v>97</v>
      </c>
      <c r="H88" s="6" t="s">
        <v>108</v>
      </c>
      <c r="I88" s="6" t="s">
        <v>91</v>
      </c>
      <c r="J88" s="6" t="s">
        <v>374</v>
      </c>
      <c r="K88" s="6" t="s">
        <v>383</v>
      </c>
      <c r="L88" s="6" t="str">
        <f>IF(J88="כן", K88, VLOOKUP(LEFT(H88, 7), 'קטלוג תרחישים'!$A:$M, 13, FALSE))</f>
        <v>א'</v>
      </c>
      <c r="M88" s="10"/>
      <c r="N88" s="23" t="s">
        <v>352</v>
      </c>
      <c r="O88" s="10" t="str" cm="1">
        <f t="array" ref="O88">_xlfn.IFS(N88="A","א'", N88="B", "ב'", N88= "C", "ג'")</f>
        <v>א'</v>
      </c>
      <c r="P88" s="10">
        <f>IF(Table_2[[#This Row],[Correct_Answer]]=Table_2[[#This Row],[System_Recommendation]],1,0)</f>
        <v>1</v>
      </c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6" t="s">
        <v>133</v>
      </c>
      <c r="B89" s="6">
        <v>22</v>
      </c>
      <c r="C89" s="6" t="s">
        <v>372</v>
      </c>
      <c r="D89" s="6">
        <v>1</v>
      </c>
      <c r="E89" s="6" t="s">
        <v>98</v>
      </c>
      <c r="F89" s="6" t="s">
        <v>375</v>
      </c>
      <c r="G89" s="6" t="s">
        <v>117</v>
      </c>
      <c r="H89" s="6" t="s">
        <v>126</v>
      </c>
      <c r="I89" s="6" t="s">
        <v>91</v>
      </c>
      <c r="J89" s="6" t="s">
        <v>371</v>
      </c>
      <c r="K89" s="6" t="s">
        <v>385</v>
      </c>
      <c r="L89" s="6" t="str">
        <f>IF(J89="כן", K89, VLOOKUP(LEFT(H89, 7), 'קטלוג תרחישים'!$A:$M, 13, FALSE))</f>
        <v>ג</v>
      </c>
      <c r="M89" s="10"/>
      <c r="N89" s="24" t="s">
        <v>358</v>
      </c>
      <c r="O89" s="10" t="str" cm="1">
        <f t="array" ref="O89">_xlfn.IFS(N89="A","א'", N89="B", "ב'", N89= "C", "ג'")</f>
        <v>ג'</v>
      </c>
      <c r="P89" s="10">
        <f>IF(Table_2[[#This Row],[Correct_Answer]]=Table_2[[#This Row],[System_Recommendation]],1,0)</f>
        <v>1</v>
      </c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6" t="s">
        <v>133</v>
      </c>
      <c r="B90" s="6">
        <v>23</v>
      </c>
      <c r="C90" s="6" t="s">
        <v>372</v>
      </c>
      <c r="D90" s="6">
        <v>1</v>
      </c>
      <c r="E90" s="6" t="s">
        <v>98</v>
      </c>
      <c r="F90" s="6" t="s">
        <v>375</v>
      </c>
      <c r="G90" s="6" t="s">
        <v>117</v>
      </c>
      <c r="H90" s="6" t="s">
        <v>129</v>
      </c>
      <c r="I90" s="6" t="s">
        <v>100</v>
      </c>
      <c r="J90" s="6" t="s">
        <v>374</v>
      </c>
      <c r="K90" s="6" t="s">
        <v>385</v>
      </c>
      <c r="L90" s="6" t="str">
        <f>IF(J90="כן", K90, VLOOKUP(LEFT(H90, 7), 'קטלוג תרחישים'!$A:$M, 13, FALSE))</f>
        <v>ב'</v>
      </c>
      <c r="M90" s="10"/>
      <c r="N90" s="23" t="s">
        <v>358</v>
      </c>
      <c r="O90" s="10" t="str" cm="1">
        <f t="array" ref="O90">_xlfn.IFS(N90="A","א'", N90="B", "ב'", N90= "C", "ג'")</f>
        <v>ג'</v>
      </c>
      <c r="P90" s="10">
        <f>IF(Table_2[[#This Row],[Correct_Answer]]=Table_2[[#This Row],[System_Recommendation]],1,0)</f>
        <v>0</v>
      </c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6" t="s">
        <v>133</v>
      </c>
      <c r="B91" s="6">
        <v>24</v>
      </c>
      <c r="C91" s="6" t="s">
        <v>372</v>
      </c>
      <c r="D91" s="6">
        <v>1</v>
      </c>
      <c r="E91" s="6" t="s">
        <v>98</v>
      </c>
      <c r="F91" s="6" t="s">
        <v>375</v>
      </c>
      <c r="G91" s="6" t="s">
        <v>117</v>
      </c>
      <c r="H91" s="6" t="s">
        <v>128</v>
      </c>
      <c r="I91" s="6" t="s">
        <v>91</v>
      </c>
      <c r="J91" s="6" t="s">
        <v>374</v>
      </c>
      <c r="K91" s="6" t="s">
        <v>384</v>
      </c>
      <c r="L91" s="6" t="str">
        <f>IF(J91="כן", K91, VLOOKUP(LEFT(H91, 7), 'קטלוג תרחישים'!$A:$M, 13, FALSE))</f>
        <v>ג'</v>
      </c>
      <c r="M91" s="10"/>
      <c r="N91" s="24" t="s">
        <v>357</v>
      </c>
      <c r="O91" s="10" t="str" cm="1">
        <f t="array" ref="O91">_xlfn.IFS(N91="A","א'", N91="B", "ב'", N91= "C", "ג'")</f>
        <v>ב'</v>
      </c>
      <c r="P91" s="10">
        <f>IF(Table_2[[#This Row],[Correct_Answer]]=Table_2[[#This Row],[System_Recommendation]],1,0)</f>
        <v>0</v>
      </c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6" t="s">
        <v>133</v>
      </c>
      <c r="B92" s="6">
        <v>25</v>
      </c>
      <c r="C92" s="6" t="s">
        <v>372</v>
      </c>
      <c r="D92" s="6">
        <v>1</v>
      </c>
      <c r="E92" s="6" t="s">
        <v>98</v>
      </c>
      <c r="F92" s="6" t="s">
        <v>375</v>
      </c>
      <c r="G92" s="6" t="s">
        <v>117</v>
      </c>
      <c r="H92" s="6" t="s">
        <v>127</v>
      </c>
      <c r="I92" s="6" t="s">
        <v>100</v>
      </c>
      <c r="J92" s="6" t="s">
        <v>371</v>
      </c>
      <c r="K92" s="6" t="s">
        <v>383</v>
      </c>
      <c r="L92" s="6" t="str">
        <f>IF(J92="כן", K92, VLOOKUP(LEFT(H92, 7), 'קטלוג תרחישים'!$A:$M, 13, FALSE))</f>
        <v>א'</v>
      </c>
      <c r="M92" s="10"/>
      <c r="N92" s="23" t="s">
        <v>352</v>
      </c>
      <c r="O92" s="10" t="str" cm="1">
        <f t="array" ref="O92">_xlfn.IFS(N92="A","א'", N92="B", "ב'", N92= "C", "ג'")</f>
        <v>א'</v>
      </c>
      <c r="P92" s="10">
        <f>IF(Table_2[[#This Row],[Correct_Answer]]=Table_2[[#This Row],[System_Recommendation]],1,0)</f>
        <v>1</v>
      </c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6" t="s">
        <v>133</v>
      </c>
      <c r="B93" s="6">
        <v>26</v>
      </c>
      <c r="C93" s="6" t="s">
        <v>372</v>
      </c>
      <c r="D93" s="6">
        <v>2</v>
      </c>
      <c r="E93" s="6" t="s">
        <v>105</v>
      </c>
      <c r="F93" s="6" t="s">
        <v>375</v>
      </c>
      <c r="G93" s="6" t="s">
        <v>117</v>
      </c>
      <c r="H93" s="6" t="s">
        <v>120</v>
      </c>
      <c r="I93" s="6" t="s">
        <v>91</v>
      </c>
      <c r="J93" s="6" t="s">
        <v>371</v>
      </c>
      <c r="K93" s="6" t="s">
        <v>385</v>
      </c>
      <c r="L93" s="6" t="str">
        <f>IF(J93="כן", K93, VLOOKUP(LEFT(H93, 7), 'קטלוג תרחישים'!$A:$M, 13, FALSE))</f>
        <v>ג</v>
      </c>
      <c r="M93" s="10"/>
      <c r="N93" s="24" t="s">
        <v>358</v>
      </c>
      <c r="O93" s="10" t="str" cm="1">
        <f t="array" ref="O93">_xlfn.IFS(N93="A","א'", N93="B", "ב'", N93= "C", "ג'")</f>
        <v>ג'</v>
      </c>
      <c r="P93" s="10">
        <f>IF(Table_2[[#This Row],[Correct_Answer]]=Table_2[[#This Row],[System_Recommendation]],1,0)</f>
        <v>1</v>
      </c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6" t="s">
        <v>133</v>
      </c>
      <c r="B94" s="6">
        <v>27</v>
      </c>
      <c r="C94" s="6" t="s">
        <v>372</v>
      </c>
      <c r="D94" s="6">
        <v>2</v>
      </c>
      <c r="E94" s="6" t="s">
        <v>105</v>
      </c>
      <c r="F94" s="6" t="s">
        <v>375</v>
      </c>
      <c r="G94" s="6" t="s">
        <v>117</v>
      </c>
      <c r="H94" s="6" t="s">
        <v>121</v>
      </c>
      <c r="I94" s="6" t="s">
        <v>100</v>
      </c>
      <c r="J94" s="6" t="s">
        <v>374</v>
      </c>
      <c r="K94" s="6" t="s">
        <v>384</v>
      </c>
      <c r="L94" s="6" t="str">
        <f>IF(J94="כן", K94, VLOOKUP(LEFT(H94, 7), 'קטלוג תרחישים'!$A:$M, 13, FALSE))</f>
        <v>ב'</v>
      </c>
      <c r="M94" s="10"/>
      <c r="N94" s="23" t="s">
        <v>357</v>
      </c>
      <c r="O94" s="10" t="str" cm="1">
        <f t="array" ref="O94">_xlfn.IFS(N94="A","א'", N94="B", "ב'", N94= "C", "ג'")</f>
        <v>ב'</v>
      </c>
      <c r="P94" s="10">
        <f>IF(Table_2[[#This Row],[Correct_Answer]]=Table_2[[#This Row],[System_Recommendation]],1,0)</f>
        <v>1</v>
      </c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6" t="s">
        <v>133</v>
      </c>
      <c r="B95" s="6">
        <v>28</v>
      </c>
      <c r="C95" s="6" t="s">
        <v>372</v>
      </c>
      <c r="D95" s="6">
        <v>2</v>
      </c>
      <c r="E95" s="6" t="s">
        <v>105</v>
      </c>
      <c r="F95" s="6" t="s">
        <v>375</v>
      </c>
      <c r="G95" s="6" t="s">
        <v>117</v>
      </c>
      <c r="H95" s="6" t="s">
        <v>118</v>
      </c>
      <c r="I95" s="6" t="s">
        <v>91</v>
      </c>
      <c r="J95" s="6" t="s">
        <v>374</v>
      </c>
      <c r="K95" s="6" t="s">
        <v>385</v>
      </c>
      <c r="L95" s="6" t="str">
        <f>IF(J95="כן", K95, VLOOKUP(LEFT(H95, 7), 'קטלוג תרחישים'!$A:$M, 13, FALSE))</f>
        <v>ב'</v>
      </c>
      <c r="M95" s="10"/>
      <c r="N95" s="24" t="s">
        <v>358</v>
      </c>
      <c r="O95" s="10" t="str" cm="1">
        <f t="array" ref="O95">_xlfn.IFS(N95="A","א'", N95="B", "ב'", N95= "C", "ג'")</f>
        <v>ג'</v>
      </c>
      <c r="P95" s="10">
        <f>IF(Table_2[[#This Row],[Correct_Answer]]=Table_2[[#This Row],[System_Recommendation]],1,0)</f>
        <v>0</v>
      </c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6" t="s">
        <v>133</v>
      </c>
      <c r="B96" s="6">
        <v>29</v>
      </c>
      <c r="C96" s="6" t="s">
        <v>372</v>
      </c>
      <c r="D96" s="6">
        <v>2</v>
      </c>
      <c r="E96" s="6" t="s">
        <v>105</v>
      </c>
      <c r="F96" s="6" t="s">
        <v>375</v>
      </c>
      <c r="G96" s="6" t="s">
        <v>117</v>
      </c>
      <c r="H96" s="6" t="s">
        <v>119</v>
      </c>
      <c r="I96" s="6" t="s">
        <v>100</v>
      </c>
      <c r="J96" s="6" t="s">
        <v>371</v>
      </c>
      <c r="K96" s="6" t="s">
        <v>385</v>
      </c>
      <c r="L96" s="6" t="str">
        <f>IF(J96="כן", K96, VLOOKUP(LEFT(H96, 7), 'קטלוג תרחישים'!$A:$M, 13, FALSE))</f>
        <v>ג</v>
      </c>
      <c r="M96" s="10"/>
      <c r="N96" s="23" t="s">
        <v>358</v>
      </c>
      <c r="O96" s="10" t="str" cm="1">
        <f t="array" ref="O96">_xlfn.IFS(N96="A","א'", N96="B", "ב'", N96= "C", "ג'")</f>
        <v>ג'</v>
      </c>
      <c r="P96" s="10">
        <f>IF(Table_2[[#This Row],[Correct_Answer]]=Table_2[[#This Row],[System_Recommendation]],1,0)</f>
        <v>1</v>
      </c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6" t="s">
        <v>133</v>
      </c>
      <c r="B97" s="6">
        <v>30</v>
      </c>
      <c r="C97" s="6" t="s">
        <v>372</v>
      </c>
      <c r="D97" s="6">
        <v>3</v>
      </c>
      <c r="E97" s="6" t="s">
        <v>111</v>
      </c>
      <c r="F97" s="6" t="s">
        <v>375</v>
      </c>
      <c r="G97" s="6" t="s">
        <v>117</v>
      </c>
      <c r="H97" s="6" t="s">
        <v>122</v>
      </c>
      <c r="I97" s="6" t="s">
        <v>91</v>
      </c>
      <c r="J97" s="6" t="s">
        <v>371</v>
      </c>
      <c r="K97" s="6" t="s">
        <v>384</v>
      </c>
      <c r="L97" s="6" t="str">
        <f>IF(J97="כן", K97, VLOOKUP(LEFT(H97, 7), 'קטלוג תרחישים'!$A:$M, 13, FALSE))</f>
        <v>ב'</v>
      </c>
      <c r="M97" s="10"/>
      <c r="N97" s="24" t="s">
        <v>357</v>
      </c>
      <c r="O97" s="10" t="str" cm="1">
        <f t="array" ref="O97">_xlfn.IFS(N97="A","א'", N97="B", "ב'", N97= "C", "ג'")</f>
        <v>ב'</v>
      </c>
      <c r="P97" s="10">
        <f>IF(Table_2[[#This Row],[Correct_Answer]]=Table_2[[#This Row],[System_Recommendation]],1,0)</f>
        <v>1</v>
      </c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6" t="s">
        <v>133</v>
      </c>
      <c r="B98" s="6">
        <v>31</v>
      </c>
      <c r="C98" s="6" t="s">
        <v>372</v>
      </c>
      <c r="D98" s="6">
        <v>3</v>
      </c>
      <c r="E98" s="6" t="s">
        <v>111</v>
      </c>
      <c r="F98" s="6" t="s">
        <v>375</v>
      </c>
      <c r="G98" s="6" t="s">
        <v>117</v>
      </c>
      <c r="H98" s="6" t="s">
        <v>125</v>
      </c>
      <c r="I98" s="6" t="s">
        <v>100</v>
      </c>
      <c r="J98" s="6" t="s">
        <v>371</v>
      </c>
      <c r="K98" s="6" t="s">
        <v>385</v>
      </c>
      <c r="L98" s="6" t="str">
        <f>IF(J98="כן", K98, VLOOKUP(LEFT(H98, 7), 'קטלוג תרחישים'!$A:$M, 13, FALSE))</f>
        <v>ג</v>
      </c>
      <c r="M98" s="10"/>
      <c r="N98" s="23" t="s">
        <v>358</v>
      </c>
      <c r="O98" s="10" t="str" cm="1">
        <f t="array" ref="O98">_xlfn.IFS(N98="A","א'", N98="B", "ב'", N98= "C", "ג'")</f>
        <v>ג'</v>
      </c>
      <c r="P98" s="10">
        <f>IF(Table_2[[#This Row],[Correct_Answer]]=Table_2[[#This Row],[System_Recommendation]],1,0)</f>
        <v>1</v>
      </c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6" t="s">
        <v>133</v>
      </c>
      <c r="B99" s="6">
        <v>32</v>
      </c>
      <c r="C99" s="6" t="s">
        <v>372</v>
      </c>
      <c r="D99" s="6">
        <v>3</v>
      </c>
      <c r="E99" s="6" t="s">
        <v>111</v>
      </c>
      <c r="F99" s="6" t="s">
        <v>375</v>
      </c>
      <c r="G99" s="6" t="s">
        <v>117</v>
      </c>
      <c r="H99" s="6" t="s">
        <v>124</v>
      </c>
      <c r="I99" s="6" t="s">
        <v>91</v>
      </c>
      <c r="J99" s="6" t="s">
        <v>374</v>
      </c>
      <c r="K99" s="6" t="s">
        <v>383</v>
      </c>
      <c r="L99" s="6" t="str">
        <f>IF(J99="כן", K99, VLOOKUP(LEFT(H99, 7), 'קטלוג תרחישים'!$A:$M, 13, FALSE))</f>
        <v>א'</v>
      </c>
      <c r="M99" s="10"/>
      <c r="N99" s="24" t="s">
        <v>352</v>
      </c>
      <c r="O99" s="10" t="str" cm="1">
        <f t="array" ref="O99">_xlfn.IFS(N99="A","א'", N99="B", "ב'", N99= "C", "ג'")</f>
        <v>א'</v>
      </c>
      <c r="P99" s="10">
        <f>IF(Table_2[[#This Row],[Correct_Answer]]=Table_2[[#This Row],[System_Recommendation]],1,0)</f>
        <v>1</v>
      </c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6" t="s">
        <v>133</v>
      </c>
      <c r="B100" s="6">
        <v>33</v>
      </c>
      <c r="C100" s="6" t="s">
        <v>372</v>
      </c>
      <c r="D100" s="6">
        <v>3</v>
      </c>
      <c r="E100" s="6" t="s">
        <v>111</v>
      </c>
      <c r="F100" s="6" t="s">
        <v>375</v>
      </c>
      <c r="G100" s="6" t="s">
        <v>117</v>
      </c>
      <c r="H100" s="6" t="s">
        <v>123</v>
      </c>
      <c r="I100" s="6" t="s">
        <v>100</v>
      </c>
      <c r="J100" s="6" t="s">
        <v>374</v>
      </c>
      <c r="K100" s="6" t="s">
        <v>383</v>
      </c>
      <c r="L100" s="6" t="str">
        <f>IF(J100="כן", K100, VLOOKUP(LEFT(H100, 7), 'קטלוג תרחישים'!$A:$M, 13, FALSE))</f>
        <v>א'</v>
      </c>
      <c r="M100" s="10"/>
      <c r="N100" s="23" t="s">
        <v>352</v>
      </c>
      <c r="O100" s="10" t="str" cm="1">
        <f t="array" ref="O100">_xlfn.IFS(N100="A","א'", N100="B", "ב'", N100= "C", "ג'")</f>
        <v>א'</v>
      </c>
      <c r="P100" s="10">
        <f>IF(Table_2[[#This Row],[Correct_Answer]]=Table_2[[#This Row],[System_Recommendation]],1,0)</f>
        <v>1</v>
      </c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6" t="s">
        <v>134</v>
      </c>
      <c r="B101" s="6">
        <v>1</v>
      </c>
      <c r="C101" s="6" t="s">
        <v>370</v>
      </c>
      <c r="D101" s="6"/>
      <c r="E101" s="6" t="s">
        <v>98</v>
      </c>
      <c r="F101" s="6"/>
      <c r="G101" s="6"/>
      <c r="H101" s="8" t="s">
        <v>90</v>
      </c>
      <c r="I101" s="6" t="s">
        <v>91</v>
      </c>
      <c r="J101" s="6" t="s">
        <v>371</v>
      </c>
      <c r="K101" s="6" t="s">
        <v>385</v>
      </c>
      <c r="L101" s="6" t="str">
        <f>IF(J101="כן", K101, VLOOKUP(LEFT(H101, 7), 'קטלוג תרחישים'!$A:$M, 13, FALSE))</f>
        <v>ג</v>
      </c>
      <c r="M101" s="10"/>
      <c r="N101" s="24" t="s">
        <v>358</v>
      </c>
      <c r="O101" s="10" t="str" cm="1">
        <f t="array" ref="O101">_xlfn.IFS(N101="A","א'", N101="B", "ב'", N101= "C", "ג'")</f>
        <v>ג'</v>
      </c>
      <c r="P101" s="10">
        <f>IF(Table_2[[#This Row],[Correct_Answer]]=Table_2[[#This Row],[System_Recommendation]],1,0)</f>
        <v>1</v>
      </c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6" t="s">
        <v>134</v>
      </c>
      <c r="B102" s="6">
        <v>2</v>
      </c>
      <c r="C102" s="6" t="s">
        <v>370</v>
      </c>
      <c r="D102" s="6"/>
      <c r="E102" s="6" t="s">
        <v>98</v>
      </c>
      <c r="F102" s="6"/>
      <c r="G102" s="6"/>
      <c r="H102" s="8" t="s">
        <v>92</v>
      </c>
      <c r="I102" s="6" t="s">
        <v>91</v>
      </c>
      <c r="J102" s="6" t="s">
        <v>371</v>
      </c>
      <c r="K102" s="6" t="s">
        <v>385</v>
      </c>
      <c r="L102" s="6" t="str">
        <f>IF(J102="כן", K102, VLOOKUP(LEFT(H102, 7), 'קטלוג תרחישים'!$A:$M, 13, FALSE))</f>
        <v>ג</v>
      </c>
      <c r="M102" s="10"/>
      <c r="N102" s="23" t="s">
        <v>358</v>
      </c>
      <c r="O102" s="10" t="str" cm="1">
        <f t="array" ref="O102">_xlfn.IFS(N102="A","א'", N102="B", "ב'", N102= "C", "ג'")</f>
        <v>ג'</v>
      </c>
      <c r="P102" s="10">
        <f>IF(Table_2[[#This Row],[Correct_Answer]]=Table_2[[#This Row],[System_Recommendation]],1,0)</f>
        <v>1</v>
      </c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6" t="s">
        <v>134</v>
      </c>
      <c r="B103" s="6">
        <v>3</v>
      </c>
      <c r="C103" s="6" t="s">
        <v>370</v>
      </c>
      <c r="D103" s="6"/>
      <c r="E103" s="6" t="s">
        <v>105</v>
      </c>
      <c r="F103" s="6"/>
      <c r="G103" s="6"/>
      <c r="H103" s="8" t="s">
        <v>93</v>
      </c>
      <c r="I103" s="6" t="s">
        <v>91</v>
      </c>
      <c r="J103" s="6" t="s">
        <v>371</v>
      </c>
      <c r="K103" s="6" t="s">
        <v>385</v>
      </c>
      <c r="L103" s="6" t="str">
        <f>IF(J103="כן", K103, VLOOKUP(LEFT(H103, 7), 'קטלוג תרחישים'!$A:$M, 13, FALSE))</f>
        <v>ג</v>
      </c>
      <c r="M103" s="10"/>
      <c r="N103" s="24" t="s">
        <v>358</v>
      </c>
      <c r="O103" s="10" t="str" cm="1">
        <f t="array" ref="O103">_xlfn.IFS(N103="A","א'", N103="B", "ב'", N103= "C", "ג'")</f>
        <v>ג'</v>
      </c>
      <c r="P103" s="10">
        <f>IF(Table_2[[#This Row],[Correct_Answer]]=Table_2[[#This Row],[System_Recommendation]],1,0)</f>
        <v>1</v>
      </c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6" t="s">
        <v>134</v>
      </c>
      <c r="B104" s="6">
        <v>4</v>
      </c>
      <c r="C104" s="6" t="s">
        <v>370</v>
      </c>
      <c r="D104" s="6"/>
      <c r="E104" s="6" t="s">
        <v>105</v>
      </c>
      <c r="F104" s="6"/>
      <c r="G104" s="6"/>
      <c r="H104" s="8" t="s">
        <v>94</v>
      </c>
      <c r="I104" s="6" t="s">
        <v>91</v>
      </c>
      <c r="J104" s="6" t="s">
        <v>371</v>
      </c>
      <c r="K104" s="6" t="s">
        <v>383</v>
      </c>
      <c r="L104" s="6" t="str">
        <f>IF(J104="כן", K104, VLOOKUP(LEFT(H104, 7), 'קטלוג תרחישים'!$A:$M, 13, FALSE))</f>
        <v>א'</v>
      </c>
      <c r="M104" s="10"/>
      <c r="N104" s="23" t="s">
        <v>352</v>
      </c>
      <c r="O104" s="10" t="str" cm="1">
        <f t="array" ref="O104">_xlfn.IFS(N104="A","א'", N104="B", "ב'", N104= "C", "ג'")</f>
        <v>א'</v>
      </c>
      <c r="P104" s="10">
        <f>IF(Table_2[[#This Row],[Correct_Answer]]=Table_2[[#This Row],[System_Recommendation]],1,0)</f>
        <v>1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6" t="s">
        <v>134</v>
      </c>
      <c r="B105" s="6">
        <v>5</v>
      </c>
      <c r="C105" s="6" t="s">
        <v>370</v>
      </c>
      <c r="D105" s="6"/>
      <c r="E105" s="6" t="s">
        <v>111</v>
      </c>
      <c r="F105" s="6"/>
      <c r="G105" s="6"/>
      <c r="H105" s="8" t="s">
        <v>95</v>
      </c>
      <c r="I105" s="6" t="s">
        <v>91</v>
      </c>
      <c r="J105" s="6" t="s">
        <v>371</v>
      </c>
      <c r="K105" s="6" t="s">
        <v>383</v>
      </c>
      <c r="L105" s="6" t="str">
        <f>IF(J105="כן", K105, VLOOKUP(LEFT(H105, 7), 'קטלוג תרחישים'!$A:$M, 13, FALSE))</f>
        <v>א'</v>
      </c>
      <c r="M105" s="10"/>
      <c r="N105" s="24" t="s">
        <v>352</v>
      </c>
      <c r="O105" s="10" t="str" cm="1">
        <f t="array" ref="O105">_xlfn.IFS(N105="A","א'", N105="B", "ב'", N105= "C", "ג'")</f>
        <v>א'</v>
      </c>
      <c r="P105" s="10">
        <f>IF(Table_2[[#This Row],[Correct_Answer]]=Table_2[[#This Row],[System_Recommendation]],1,0)</f>
        <v>1</v>
      </c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6" t="s">
        <v>134</v>
      </c>
      <c r="B106" s="6">
        <v>6</v>
      </c>
      <c r="C106" s="6" t="s">
        <v>370</v>
      </c>
      <c r="D106" s="6"/>
      <c r="E106" s="6" t="s">
        <v>111</v>
      </c>
      <c r="F106" s="6"/>
      <c r="G106" s="6"/>
      <c r="H106" s="8" t="s">
        <v>96</v>
      </c>
      <c r="I106" s="6" t="s">
        <v>91</v>
      </c>
      <c r="J106" s="6" t="s">
        <v>371</v>
      </c>
      <c r="K106" s="6" t="s">
        <v>383</v>
      </c>
      <c r="L106" s="6" t="str">
        <f>IF(J106="כן", K106, VLOOKUP(LEFT(H106, 7), 'קטלוג תרחישים'!$A:$M, 13, FALSE))</f>
        <v>א'</v>
      </c>
      <c r="M106" s="10"/>
      <c r="N106" s="23" t="s">
        <v>352</v>
      </c>
      <c r="O106" s="10" t="str" cm="1">
        <f t="array" ref="O106">_xlfn.IFS(N106="A","א'", N106="B", "ב'", N106= "C", "ג'")</f>
        <v>א'</v>
      </c>
      <c r="P106" s="10">
        <f>IF(Table_2[[#This Row],[Correct_Answer]]=Table_2[[#This Row],[System_Recommendation]],1,0)</f>
        <v>1</v>
      </c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6" t="s">
        <v>134</v>
      </c>
      <c r="B107" s="6">
        <v>7</v>
      </c>
      <c r="C107" s="6" t="s">
        <v>372</v>
      </c>
      <c r="D107" s="6">
        <v>1</v>
      </c>
      <c r="E107" s="6" t="s">
        <v>105</v>
      </c>
      <c r="F107" s="6" t="s">
        <v>373</v>
      </c>
      <c r="G107" s="6" t="s">
        <v>117</v>
      </c>
      <c r="H107" s="6" t="s">
        <v>120</v>
      </c>
      <c r="I107" s="6" t="s">
        <v>91</v>
      </c>
      <c r="J107" s="6" t="s">
        <v>371</v>
      </c>
      <c r="K107" s="6" t="s">
        <v>384</v>
      </c>
      <c r="L107" s="6" t="str">
        <f>IF(J107="כן", K107, VLOOKUP(LEFT(H107, 7), 'קטלוג תרחישים'!$A:$M, 13, FALSE))</f>
        <v>ב'</v>
      </c>
      <c r="M107" s="10"/>
      <c r="N107" s="24" t="s">
        <v>357</v>
      </c>
      <c r="O107" s="10" t="str" cm="1">
        <f t="array" ref="O107">_xlfn.IFS(N107="A","א'", N107="B", "ב'", N107= "C", "ג'")</f>
        <v>ב'</v>
      </c>
      <c r="P107" s="10">
        <f>IF(Table_2[[#This Row],[Correct_Answer]]=Table_2[[#This Row],[System_Recommendation]],1,0)</f>
        <v>1</v>
      </c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6" t="s">
        <v>134</v>
      </c>
      <c r="B108" s="6">
        <v>8</v>
      </c>
      <c r="C108" s="6" t="s">
        <v>372</v>
      </c>
      <c r="D108" s="6">
        <v>1</v>
      </c>
      <c r="E108" s="6" t="s">
        <v>105</v>
      </c>
      <c r="F108" s="6" t="s">
        <v>373</v>
      </c>
      <c r="G108" s="6" t="s">
        <v>117</v>
      </c>
      <c r="H108" s="6" t="s">
        <v>121</v>
      </c>
      <c r="I108" s="6" t="s">
        <v>100</v>
      </c>
      <c r="J108" s="6" t="s">
        <v>371</v>
      </c>
      <c r="K108" s="6" t="s">
        <v>384</v>
      </c>
      <c r="L108" s="6" t="str">
        <f>IF(J108="כן", K108, VLOOKUP(LEFT(H108, 7), 'קטלוג תרחישים'!$A:$M, 13, FALSE))</f>
        <v>ב'</v>
      </c>
      <c r="M108" s="10"/>
      <c r="N108" s="23" t="s">
        <v>357</v>
      </c>
      <c r="O108" s="10" t="str" cm="1">
        <f t="array" ref="O108">_xlfn.IFS(N108="A","א'", N108="B", "ב'", N108= "C", "ג'")</f>
        <v>ב'</v>
      </c>
      <c r="P108" s="10">
        <f>IF(Table_2[[#This Row],[Correct_Answer]]=Table_2[[#This Row],[System_Recommendation]],1,0)</f>
        <v>1</v>
      </c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6" t="s">
        <v>134</v>
      </c>
      <c r="B109" s="6">
        <v>9</v>
      </c>
      <c r="C109" s="6" t="s">
        <v>372</v>
      </c>
      <c r="D109" s="6">
        <v>1</v>
      </c>
      <c r="E109" s="6" t="s">
        <v>105</v>
      </c>
      <c r="F109" s="6" t="s">
        <v>373</v>
      </c>
      <c r="G109" s="6" t="s">
        <v>117</v>
      </c>
      <c r="H109" s="6" t="s">
        <v>118</v>
      </c>
      <c r="I109" s="6" t="s">
        <v>91</v>
      </c>
      <c r="J109" s="6" t="s">
        <v>374</v>
      </c>
      <c r="K109" s="6" t="s">
        <v>385</v>
      </c>
      <c r="L109" s="6" t="str">
        <f>IF(J109="כן", K109, VLOOKUP(LEFT(H109, 7), 'קטלוג תרחישים'!$A:$M, 13, FALSE))</f>
        <v>ב'</v>
      </c>
      <c r="M109" s="10"/>
      <c r="N109" s="24" t="s">
        <v>358</v>
      </c>
      <c r="O109" s="10" t="str" cm="1">
        <f t="array" ref="O109">_xlfn.IFS(N109="A","א'", N109="B", "ב'", N109= "C", "ג'")</f>
        <v>ג'</v>
      </c>
      <c r="P109" s="10">
        <f>IF(Table_2[[#This Row],[Correct_Answer]]=Table_2[[#This Row],[System_Recommendation]],1,0)</f>
        <v>0</v>
      </c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6" t="s">
        <v>134</v>
      </c>
      <c r="B110" s="6">
        <v>10</v>
      </c>
      <c r="C110" s="6" t="s">
        <v>372</v>
      </c>
      <c r="D110" s="6">
        <v>1</v>
      </c>
      <c r="E110" s="6" t="s">
        <v>105</v>
      </c>
      <c r="F110" s="6" t="s">
        <v>373</v>
      </c>
      <c r="G110" s="6" t="s">
        <v>117</v>
      </c>
      <c r="H110" s="6" t="s">
        <v>119</v>
      </c>
      <c r="I110" s="6" t="s">
        <v>100</v>
      </c>
      <c r="J110" s="6" t="s">
        <v>374</v>
      </c>
      <c r="K110" s="6" t="s">
        <v>384</v>
      </c>
      <c r="L110" s="6" t="str">
        <f>IF(J110="כן", K110, VLOOKUP(LEFT(H110, 7), 'קטלוג תרחישים'!$A:$M, 13, FALSE))</f>
        <v>ב'</v>
      </c>
      <c r="M110" s="10"/>
      <c r="N110" s="23" t="s">
        <v>357</v>
      </c>
      <c r="O110" s="10" t="str" cm="1">
        <f t="array" ref="O110">_xlfn.IFS(N110="A","א'", N110="B", "ב'", N110= "C", "ג'")</f>
        <v>ב'</v>
      </c>
      <c r="P110" s="10">
        <f>IF(Table_2[[#This Row],[Correct_Answer]]=Table_2[[#This Row],[System_Recommendation]],1,0)</f>
        <v>1</v>
      </c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6" t="s">
        <v>134</v>
      </c>
      <c r="B111" s="6">
        <v>11</v>
      </c>
      <c r="C111" s="6" t="s">
        <v>372</v>
      </c>
      <c r="D111" s="6">
        <v>2</v>
      </c>
      <c r="E111" s="6" t="s">
        <v>111</v>
      </c>
      <c r="F111" s="6" t="s">
        <v>373</v>
      </c>
      <c r="G111" s="6" t="s">
        <v>117</v>
      </c>
      <c r="H111" s="6" t="s">
        <v>124</v>
      </c>
      <c r="I111" s="6" t="s">
        <v>91</v>
      </c>
      <c r="J111" s="6" t="s">
        <v>371</v>
      </c>
      <c r="K111" s="6" t="s">
        <v>383</v>
      </c>
      <c r="L111" s="6" t="str">
        <f>IF(J111="כן", K111, VLOOKUP(LEFT(H111, 7), 'קטלוג תרחישים'!$A:$M, 13, FALSE))</f>
        <v>א'</v>
      </c>
      <c r="M111" s="10"/>
      <c r="N111" s="24" t="s">
        <v>352</v>
      </c>
      <c r="O111" s="10" t="str" cm="1">
        <f t="array" ref="O111">_xlfn.IFS(N111="A","א'", N111="B", "ב'", N111= "C", "ג'")</f>
        <v>א'</v>
      </c>
      <c r="P111" s="10">
        <f>IF(Table_2[[#This Row],[Correct_Answer]]=Table_2[[#This Row],[System_Recommendation]],1,0)</f>
        <v>1</v>
      </c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6" t="s">
        <v>134</v>
      </c>
      <c r="B112" s="6">
        <v>12</v>
      </c>
      <c r="C112" s="6" t="s">
        <v>372</v>
      </c>
      <c r="D112" s="6">
        <v>2</v>
      </c>
      <c r="E112" s="6" t="s">
        <v>111</v>
      </c>
      <c r="F112" s="6" t="s">
        <v>373</v>
      </c>
      <c r="G112" s="6" t="s">
        <v>117</v>
      </c>
      <c r="H112" s="6" t="s">
        <v>125</v>
      </c>
      <c r="I112" s="6" t="s">
        <v>100</v>
      </c>
      <c r="J112" s="6" t="s">
        <v>371</v>
      </c>
      <c r="K112" s="6" t="s">
        <v>385</v>
      </c>
      <c r="L112" s="6" t="str">
        <f>IF(J112="כן", K112, VLOOKUP(LEFT(H112, 7), 'קטלוג תרחישים'!$A:$M, 13, FALSE))</f>
        <v>ג</v>
      </c>
      <c r="M112" s="10"/>
      <c r="N112" s="23" t="s">
        <v>358</v>
      </c>
      <c r="O112" s="10" t="str" cm="1">
        <f t="array" ref="O112">_xlfn.IFS(N112="A","א'", N112="B", "ב'", N112= "C", "ג'")</f>
        <v>ג'</v>
      </c>
      <c r="P112" s="10">
        <f>IF(Table_2[[#This Row],[Correct_Answer]]=Table_2[[#This Row],[System_Recommendation]],1,0)</f>
        <v>1</v>
      </c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6" t="s">
        <v>134</v>
      </c>
      <c r="B113" s="6">
        <v>13</v>
      </c>
      <c r="C113" s="6" t="s">
        <v>372</v>
      </c>
      <c r="D113" s="6">
        <v>2</v>
      </c>
      <c r="E113" s="6" t="s">
        <v>111</v>
      </c>
      <c r="F113" s="6" t="s">
        <v>373</v>
      </c>
      <c r="G113" s="6" t="s">
        <v>117</v>
      </c>
      <c r="H113" s="6" t="s">
        <v>122</v>
      </c>
      <c r="I113" s="6" t="s">
        <v>91</v>
      </c>
      <c r="J113" s="6" t="s">
        <v>374</v>
      </c>
      <c r="K113" s="6" t="s">
        <v>385</v>
      </c>
      <c r="L113" s="6" t="str">
        <f>IF(J113="כן", K113, VLOOKUP(LEFT(H113, 7), 'קטלוג תרחישים'!$A:$M, 13, FALSE))</f>
        <v>א'</v>
      </c>
      <c r="M113" s="10"/>
      <c r="N113" s="24" t="s">
        <v>358</v>
      </c>
      <c r="O113" s="10" t="str" cm="1">
        <f t="array" ref="O113">_xlfn.IFS(N113="A","א'", N113="B", "ב'", N113= "C", "ג'")</f>
        <v>ג'</v>
      </c>
      <c r="P113" s="10">
        <f>IF(Table_2[[#This Row],[Correct_Answer]]=Table_2[[#This Row],[System_Recommendation]],1,0)</f>
        <v>0</v>
      </c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6" t="s">
        <v>134</v>
      </c>
      <c r="B114" s="6">
        <v>14</v>
      </c>
      <c r="C114" s="6" t="s">
        <v>372</v>
      </c>
      <c r="D114" s="6">
        <v>2</v>
      </c>
      <c r="E114" s="6" t="s">
        <v>111</v>
      </c>
      <c r="F114" s="6" t="s">
        <v>373</v>
      </c>
      <c r="G114" s="6" t="s">
        <v>117</v>
      </c>
      <c r="H114" s="6" t="s">
        <v>123</v>
      </c>
      <c r="I114" s="6" t="s">
        <v>100</v>
      </c>
      <c r="J114" s="6" t="s">
        <v>374</v>
      </c>
      <c r="K114" s="6" t="s">
        <v>384</v>
      </c>
      <c r="L114" s="6" t="str">
        <f>IF(J114="כן", K114, VLOOKUP(LEFT(H114, 7), 'קטלוג תרחישים'!$A:$M, 13, FALSE))</f>
        <v>א'</v>
      </c>
      <c r="M114" s="10"/>
      <c r="N114" s="23" t="s">
        <v>357</v>
      </c>
      <c r="O114" s="10" t="str" cm="1">
        <f t="array" ref="O114">_xlfn.IFS(N114="A","א'", N114="B", "ב'", N114= "C", "ג'")</f>
        <v>ב'</v>
      </c>
      <c r="P114" s="10">
        <f>IF(Table_2[[#This Row],[Correct_Answer]]=Table_2[[#This Row],[System_Recommendation]],1,0)</f>
        <v>0</v>
      </c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6" t="s">
        <v>134</v>
      </c>
      <c r="B115" s="6">
        <v>15</v>
      </c>
      <c r="C115" s="6" t="s">
        <v>372</v>
      </c>
      <c r="D115" s="6">
        <v>3</v>
      </c>
      <c r="E115" s="6" t="s">
        <v>98</v>
      </c>
      <c r="F115" s="6" t="s">
        <v>373</v>
      </c>
      <c r="G115" s="6" t="s">
        <v>117</v>
      </c>
      <c r="H115" s="6" t="s">
        <v>126</v>
      </c>
      <c r="I115" s="6" t="s">
        <v>91</v>
      </c>
      <c r="J115" s="6" t="s">
        <v>374</v>
      </c>
      <c r="K115" s="6" t="s">
        <v>384</v>
      </c>
      <c r="L115" s="6" t="str">
        <f>IF(J115="כן", K115, VLOOKUP(LEFT(H115, 7), 'קטלוג תרחישים'!$A:$M, 13, FALSE))</f>
        <v>א'</v>
      </c>
      <c r="M115" s="10"/>
      <c r="N115" s="24" t="s">
        <v>357</v>
      </c>
      <c r="O115" s="10" t="str" cm="1">
        <f t="array" ref="O115">_xlfn.IFS(N115="A","א'", N115="B", "ב'", N115= "C", "ג'")</f>
        <v>ב'</v>
      </c>
      <c r="P115" s="10">
        <f>IF(Table_2[[#This Row],[Correct_Answer]]=Table_2[[#This Row],[System_Recommendation]],1,0)</f>
        <v>0</v>
      </c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6" t="s">
        <v>134</v>
      </c>
      <c r="B116" s="6">
        <v>16</v>
      </c>
      <c r="C116" s="6" t="s">
        <v>372</v>
      </c>
      <c r="D116" s="6">
        <v>3</v>
      </c>
      <c r="E116" s="6" t="s">
        <v>98</v>
      </c>
      <c r="F116" s="6" t="s">
        <v>373</v>
      </c>
      <c r="G116" s="6" t="s">
        <v>117</v>
      </c>
      <c r="H116" s="6" t="s">
        <v>129</v>
      </c>
      <c r="I116" s="6" t="s">
        <v>100</v>
      </c>
      <c r="J116" s="6" t="s">
        <v>374</v>
      </c>
      <c r="K116" s="6" t="s">
        <v>384</v>
      </c>
      <c r="L116" s="6" t="str">
        <f>IF(J116="כן", K116, VLOOKUP(LEFT(H116, 7), 'קטלוג תרחישים'!$A:$M, 13, FALSE))</f>
        <v>ב'</v>
      </c>
      <c r="M116" s="10"/>
      <c r="N116" s="23" t="s">
        <v>357</v>
      </c>
      <c r="O116" s="10" t="str" cm="1">
        <f t="array" ref="O116">_xlfn.IFS(N116="A","א'", N116="B", "ב'", N116= "C", "ג'")</f>
        <v>ב'</v>
      </c>
      <c r="P116" s="10">
        <f>IF(Table_2[[#This Row],[Correct_Answer]]=Table_2[[#This Row],[System_Recommendation]],1,0)</f>
        <v>1</v>
      </c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6" t="s">
        <v>134</v>
      </c>
      <c r="B117" s="6">
        <v>17</v>
      </c>
      <c r="C117" s="6" t="s">
        <v>372</v>
      </c>
      <c r="D117" s="6">
        <v>3</v>
      </c>
      <c r="E117" s="6" t="s">
        <v>98</v>
      </c>
      <c r="F117" s="6" t="s">
        <v>373</v>
      </c>
      <c r="G117" s="6" t="s">
        <v>117</v>
      </c>
      <c r="H117" s="6" t="s">
        <v>128</v>
      </c>
      <c r="I117" s="6" t="s">
        <v>91</v>
      </c>
      <c r="J117" s="6" t="s">
        <v>371</v>
      </c>
      <c r="K117" s="6" t="s">
        <v>383</v>
      </c>
      <c r="L117" s="6" t="str">
        <f>IF(J117="כן", K117, VLOOKUP(LEFT(H117, 7), 'קטלוג תרחישים'!$A:$M, 13, FALSE))</f>
        <v>א'</v>
      </c>
      <c r="M117" s="10"/>
      <c r="N117" s="24" t="s">
        <v>352</v>
      </c>
      <c r="O117" s="10" t="str" cm="1">
        <f t="array" ref="O117">_xlfn.IFS(N117="A","א'", N117="B", "ב'", N117= "C", "ג'")</f>
        <v>א'</v>
      </c>
      <c r="P117" s="10">
        <f>IF(Table_2[[#This Row],[Correct_Answer]]=Table_2[[#This Row],[System_Recommendation]],1,0)</f>
        <v>1</v>
      </c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6" t="s">
        <v>134</v>
      </c>
      <c r="B118" s="6">
        <v>18</v>
      </c>
      <c r="C118" s="6" t="s">
        <v>372</v>
      </c>
      <c r="D118" s="6">
        <v>3</v>
      </c>
      <c r="E118" s="6" t="s">
        <v>98</v>
      </c>
      <c r="F118" s="6" t="s">
        <v>373</v>
      </c>
      <c r="G118" s="6" t="s">
        <v>117</v>
      </c>
      <c r="H118" s="6" t="s">
        <v>127</v>
      </c>
      <c r="I118" s="6" t="s">
        <v>100</v>
      </c>
      <c r="J118" s="6" t="s">
        <v>371</v>
      </c>
      <c r="K118" s="6" t="s">
        <v>385</v>
      </c>
      <c r="L118" s="6" t="str">
        <f>IF(J118="כן", K118, VLOOKUP(LEFT(H118, 7), 'קטלוג תרחישים'!$A:$M, 13, FALSE))</f>
        <v>ג</v>
      </c>
      <c r="M118" s="10"/>
      <c r="N118" s="23" t="s">
        <v>358</v>
      </c>
      <c r="O118" s="10" t="str" cm="1">
        <f t="array" ref="O118">_xlfn.IFS(N118="A","א'", N118="B", "ב'", N118= "C", "ג'")</f>
        <v>ג'</v>
      </c>
      <c r="P118" s="10">
        <f>IF(Table_2[[#This Row],[Correct_Answer]]=Table_2[[#This Row],[System_Recommendation]],1,0)</f>
        <v>1</v>
      </c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6" t="s">
        <v>134</v>
      </c>
      <c r="B119" s="6">
        <v>19</v>
      </c>
      <c r="C119" s="6" t="s">
        <v>372</v>
      </c>
      <c r="D119" s="6">
        <v>1</v>
      </c>
      <c r="E119" s="6" t="s">
        <v>98</v>
      </c>
      <c r="F119" s="6" t="s">
        <v>375</v>
      </c>
      <c r="G119" s="6" t="s">
        <v>97</v>
      </c>
      <c r="H119" s="6" t="s">
        <v>102</v>
      </c>
      <c r="I119" s="6" t="s">
        <v>100</v>
      </c>
      <c r="J119" s="6" t="s">
        <v>371</v>
      </c>
      <c r="K119" s="6" t="s">
        <v>384</v>
      </c>
      <c r="L119" s="6" t="str">
        <f>IF(J119="כן", K119, VLOOKUP(LEFT(H119, 7), 'קטלוג תרחישים'!$A:$M, 13, FALSE))</f>
        <v>ב'</v>
      </c>
      <c r="M119" s="10"/>
      <c r="N119" s="24" t="s">
        <v>357</v>
      </c>
      <c r="O119" s="10" t="str" cm="1">
        <f t="array" ref="O119">_xlfn.IFS(N119="A","א'", N119="B", "ב'", N119= "C", "ג'")</f>
        <v>ב'</v>
      </c>
      <c r="P119" s="10">
        <f>IF(Table_2[[#This Row],[Correct_Answer]]=Table_2[[#This Row],[System_Recommendation]],1,0)</f>
        <v>1</v>
      </c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6" t="s">
        <v>134</v>
      </c>
      <c r="B120" s="6">
        <v>20</v>
      </c>
      <c r="C120" s="6" t="s">
        <v>372</v>
      </c>
      <c r="D120" s="6">
        <v>1</v>
      </c>
      <c r="E120" s="6" t="s">
        <v>98</v>
      </c>
      <c r="F120" s="6" t="s">
        <v>375</v>
      </c>
      <c r="G120" s="6" t="s">
        <v>97</v>
      </c>
      <c r="H120" s="6" t="s">
        <v>101</v>
      </c>
      <c r="I120" s="6" t="s">
        <v>91</v>
      </c>
      <c r="J120" s="6" t="s">
        <v>371</v>
      </c>
      <c r="K120" s="6" t="s">
        <v>385</v>
      </c>
      <c r="L120" s="6" t="str">
        <f>IF(J120="כן", K120, VLOOKUP(LEFT(H120, 7), 'קטלוג תרחישים'!$A:$M, 13, FALSE))</f>
        <v>ג</v>
      </c>
      <c r="M120" s="10"/>
      <c r="N120" s="23" t="s">
        <v>358</v>
      </c>
      <c r="O120" s="10" t="str" cm="1">
        <f t="array" ref="O120">_xlfn.IFS(N120="A","א'", N120="B", "ב'", N120= "C", "ג'")</f>
        <v>ג'</v>
      </c>
      <c r="P120" s="10">
        <f>IF(Table_2[[#This Row],[Correct_Answer]]=Table_2[[#This Row],[System_Recommendation]],1,0)</f>
        <v>1</v>
      </c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6" t="s">
        <v>134</v>
      </c>
      <c r="B121" s="6">
        <v>21</v>
      </c>
      <c r="C121" s="6" t="s">
        <v>372</v>
      </c>
      <c r="D121" s="6">
        <v>1</v>
      </c>
      <c r="E121" s="6" t="s">
        <v>98</v>
      </c>
      <c r="F121" s="6" t="s">
        <v>375</v>
      </c>
      <c r="G121" s="6" t="s">
        <v>97</v>
      </c>
      <c r="H121" s="6" t="s">
        <v>104</v>
      </c>
      <c r="I121" s="6" t="s">
        <v>100</v>
      </c>
      <c r="J121" s="6" t="s">
        <v>374</v>
      </c>
      <c r="K121" s="6" t="s">
        <v>383</v>
      </c>
      <c r="L121" s="6" t="str">
        <f>IF(J121="כן", K121, VLOOKUP(LEFT(H121, 7), 'קטלוג תרחישים'!$A:$M, 13, FALSE))</f>
        <v>ג'</v>
      </c>
      <c r="M121" s="10"/>
      <c r="N121" s="24" t="s">
        <v>352</v>
      </c>
      <c r="O121" s="10" t="str" cm="1">
        <f t="array" ref="O121">_xlfn.IFS(N121="A","א'", N121="B", "ב'", N121= "C", "ג'")</f>
        <v>א'</v>
      </c>
      <c r="P121" s="10">
        <f>IF(Table_2[[#This Row],[Correct_Answer]]=Table_2[[#This Row],[System_Recommendation]],1,0)</f>
        <v>0</v>
      </c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6" t="s">
        <v>134</v>
      </c>
      <c r="B122" s="6">
        <v>22</v>
      </c>
      <c r="C122" s="6" t="s">
        <v>372</v>
      </c>
      <c r="D122" s="6">
        <v>1</v>
      </c>
      <c r="E122" s="6" t="s">
        <v>98</v>
      </c>
      <c r="F122" s="6" t="s">
        <v>375</v>
      </c>
      <c r="G122" s="6" t="s">
        <v>97</v>
      </c>
      <c r="H122" s="6" t="s">
        <v>103</v>
      </c>
      <c r="I122" s="6" t="s">
        <v>91</v>
      </c>
      <c r="J122" s="6" t="s">
        <v>371</v>
      </c>
      <c r="K122" s="6" t="s">
        <v>385</v>
      </c>
      <c r="L122" s="6" t="str">
        <f>IF(J122="כן", K122, VLOOKUP(LEFT(H122, 7), 'קטלוג תרחישים'!$A:$M, 13, FALSE))</f>
        <v>ג</v>
      </c>
      <c r="M122" s="10"/>
      <c r="N122" s="23" t="s">
        <v>358</v>
      </c>
      <c r="O122" s="10" t="str" cm="1">
        <f t="array" ref="O122">_xlfn.IFS(N122="A","א'", N122="B", "ב'", N122= "C", "ג'")</f>
        <v>ג'</v>
      </c>
      <c r="P122" s="10">
        <f>IF(Table_2[[#This Row],[Correct_Answer]]=Table_2[[#This Row],[System_Recommendation]],1,0)</f>
        <v>1</v>
      </c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6" t="s">
        <v>134</v>
      </c>
      <c r="B123" s="6">
        <v>23</v>
      </c>
      <c r="C123" s="6" t="s">
        <v>372</v>
      </c>
      <c r="D123" s="6">
        <v>1</v>
      </c>
      <c r="E123" s="6" t="s">
        <v>98</v>
      </c>
      <c r="F123" s="6" t="s">
        <v>375</v>
      </c>
      <c r="G123" s="6" t="s">
        <v>97</v>
      </c>
      <c r="H123" s="6" t="s">
        <v>99</v>
      </c>
      <c r="I123" s="6" t="s">
        <v>100</v>
      </c>
      <c r="J123" s="6" t="s">
        <v>371</v>
      </c>
      <c r="K123" s="6" t="s">
        <v>385</v>
      </c>
      <c r="L123" s="6" t="str">
        <f>IF(J123="כן", K123, VLOOKUP(LEFT(H123, 7), 'קטלוג תרחישים'!$A:$M, 13, FALSE))</f>
        <v>ג</v>
      </c>
      <c r="M123" s="10"/>
      <c r="N123" s="24" t="s">
        <v>358</v>
      </c>
      <c r="O123" s="10" t="str" cm="1">
        <f t="array" ref="O123">_xlfn.IFS(N123="A","א'", N123="B", "ב'", N123= "C", "ג'")</f>
        <v>ג'</v>
      </c>
      <c r="P123" s="10">
        <f>IF(Table_2[[#This Row],[Correct_Answer]]=Table_2[[#This Row],[System_Recommendation]],1,0)</f>
        <v>1</v>
      </c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6" t="s">
        <v>134</v>
      </c>
      <c r="B124" s="6">
        <v>24</v>
      </c>
      <c r="C124" s="6" t="s">
        <v>372</v>
      </c>
      <c r="D124" s="6">
        <v>2</v>
      </c>
      <c r="E124" s="6" t="s">
        <v>105</v>
      </c>
      <c r="F124" s="6" t="s">
        <v>375</v>
      </c>
      <c r="G124" s="6" t="s">
        <v>97</v>
      </c>
      <c r="H124" s="6" t="s">
        <v>106</v>
      </c>
      <c r="I124" s="6" t="s">
        <v>91</v>
      </c>
      <c r="J124" s="6" t="s">
        <v>371</v>
      </c>
      <c r="K124" s="6" t="s">
        <v>384</v>
      </c>
      <c r="L124" s="6" t="str">
        <f>IF(J124="כן", K124, VLOOKUP(LEFT(H124, 7), 'קטלוג תרחישים'!$A:$M, 13, FALSE))</f>
        <v>ב'</v>
      </c>
      <c r="M124" s="10"/>
      <c r="N124" s="23" t="s">
        <v>357</v>
      </c>
      <c r="O124" s="10" t="str" cm="1">
        <f t="array" ref="O124">_xlfn.IFS(N124="A","א'", N124="B", "ב'", N124= "C", "ג'")</f>
        <v>ב'</v>
      </c>
      <c r="P124" s="10">
        <f>IF(Table_2[[#This Row],[Correct_Answer]]=Table_2[[#This Row],[System_Recommendation]],1,0)</f>
        <v>1</v>
      </c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6" t="s">
        <v>134</v>
      </c>
      <c r="B125" s="6">
        <v>25</v>
      </c>
      <c r="C125" s="6" t="s">
        <v>372</v>
      </c>
      <c r="D125" s="6">
        <v>2</v>
      </c>
      <c r="E125" s="6" t="s">
        <v>105</v>
      </c>
      <c r="F125" s="6" t="s">
        <v>375</v>
      </c>
      <c r="G125" s="6" t="s">
        <v>97</v>
      </c>
      <c r="H125" s="6" t="s">
        <v>109</v>
      </c>
      <c r="I125" s="6" t="s">
        <v>100</v>
      </c>
      <c r="J125" s="6" t="s">
        <v>371</v>
      </c>
      <c r="K125" s="6" t="s">
        <v>383</v>
      </c>
      <c r="L125" s="6" t="str">
        <f>IF(J125="כן", K125, VLOOKUP(LEFT(H125, 7), 'קטלוג תרחישים'!$A:$M, 13, FALSE))</f>
        <v>א'</v>
      </c>
      <c r="M125" s="10"/>
      <c r="N125" s="24" t="s">
        <v>352</v>
      </c>
      <c r="O125" s="10" t="str" cm="1">
        <f t="array" ref="O125">_xlfn.IFS(N125="A","א'", N125="B", "ב'", N125= "C", "ג'")</f>
        <v>א'</v>
      </c>
      <c r="P125" s="10">
        <f>IF(Table_2[[#This Row],[Correct_Answer]]=Table_2[[#This Row],[System_Recommendation]],1,0)</f>
        <v>1</v>
      </c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6" t="s">
        <v>134</v>
      </c>
      <c r="B126" s="6">
        <v>26</v>
      </c>
      <c r="C126" s="6" t="s">
        <v>372</v>
      </c>
      <c r="D126" s="6">
        <v>2</v>
      </c>
      <c r="E126" s="6" t="s">
        <v>105</v>
      </c>
      <c r="F126" s="6" t="s">
        <v>375</v>
      </c>
      <c r="G126" s="6" t="s">
        <v>97</v>
      </c>
      <c r="H126" s="6" t="s">
        <v>108</v>
      </c>
      <c r="I126" s="6" t="s">
        <v>91</v>
      </c>
      <c r="J126" s="6" t="s">
        <v>371</v>
      </c>
      <c r="K126" s="6" t="s">
        <v>385</v>
      </c>
      <c r="L126" s="6" t="str">
        <f>IF(J126="כן", K126, VLOOKUP(LEFT(H126, 7), 'קטלוג תרחישים'!$A:$M, 13, FALSE))</f>
        <v>ג</v>
      </c>
      <c r="M126" s="10"/>
      <c r="N126" s="23" t="s">
        <v>358</v>
      </c>
      <c r="O126" s="10" t="str" cm="1">
        <f t="array" ref="O126">_xlfn.IFS(N126="A","א'", N126="B", "ב'", N126= "C", "ג'")</f>
        <v>ג'</v>
      </c>
      <c r="P126" s="10">
        <f>IF(Table_2[[#This Row],[Correct_Answer]]=Table_2[[#This Row],[System_Recommendation]],1,0)</f>
        <v>1</v>
      </c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6" t="s">
        <v>134</v>
      </c>
      <c r="B127" s="6">
        <v>27</v>
      </c>
      <c r="C127" s="6" t="s">
        <v>372</v>
      </c>
      <c r="D127" s="6">
        <v>2</v>
      </c>
      <c r="E127" s="6" t="s">
        <v>105</v>
      </c>
      <c r="F127" s="6" t="s">
        <v>375</v>
      </c>
      <c r="G127" s="6" t="s">
        <v>97</v>
      </c>
      <c r="H127" s="6" t="s">
        <v>107</v>
      </c>
      <c r="I127" s="6" t="s">
        <v>100</v>
      </c>
      <c r="J127" s="6" t="s">
        <v>371</v>
      </c>
      <c r="K127" s="6" t="s">
        <v>384</v>
      </c>
      <c r="L127" s="6" t="str">
        <f>IF(J127="כן", K127, VLOOKUP(LEFT(H127, 7), 'קטלוג תרחישים'!$A:$M, 13, FALSE))</f>
        <v>ב'</v>
      </c>
      <c r="M127" s="10"/>
      <c r="N127" s="24" t="s">
        <v>357</v>
      </c>
      <c r="O127" s="10" t="str" cm="1">
        <f t="array" ref="O127">_xlfn.IFS(N127="A","א'", N127="B", "ב'", N127= "C", "ג'")</f>
        <v>ב'</v>
      </c>
      <c r="P127" s="10">
        <f>IF(Table_2[[#This Row],[Correct_Answer]]=Table_2[[#This Row],[System_Recommendation]],1,0)</f>
        <v>1</v>
      </c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6" t="s">
        <v>134</v>
      </c>
      <c r="B128" s="6">
        <v>28</v>
      </c>
      <c r="C128" s="6" t="s">
        <v>372</v>
      </c>
      <c r="D128" s="6">
        <v>2</v>
      </c>
      <c r="E128" s="6" t="s">
        <v>105</v>
      </c>
      <c r="F128" s="6" t="s">
        <v>375</v>
      </c>
      <c r="G128" s="6" t="s">
        <v>97</v>
      </c>
      <c r="H128" s="6" t="s">
        <v>110</v>
      </c>
      <c r="I128" s="6" t="s">
        <v>91</v>
      </c>
      <c r="J128" s="6" t="s">
        <v>374</v>
      </c>
      <c r="K128" s="6" t="s">
        <v>385</v>
      </c>
      <c r="L128" s="6" t="str">
        <f>IF(J128="כן", K128, VLOOKUP(LEFT(H128, 7), 'קטלוג תרחישים'!$A:$M, 13, FALSE))</f>
        <v>א'</v>
      </c>
      <c r="M128" s="10"/>
      <c r="N128" s="23" t="s">
        <v>358</v>
      </c>
      <c r="O128" s="10" t="str" cm="1">
        <f t="array" ref="O128">_xlfn.IFS(N128="A","א'", N128="B", "ב'", N128= "C", "ג'")</f>
        <v>ג'</v>
      </c>
      <c r="P128" s="10">
        <f>IF(Table_2[[#This Row],[Correct_Answer]]=Table_2[[#This Row],[System_Recommendation]],1,0)</f>
        <v>0</v>
      </c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6" t="s">
        <v>134</v>
      </c>
      <c r="B129" s="6">
        <v>29</v>
      </c>
      <c r="C129" s="6" t="s">
        <v>372</v>
      </c>
      <c r="D129" s="6">
        <v>3</v>
      </c>
      <c r="E129" s="6" t="s">
        <v>111</v>
      </c>
      <c r="F129" s="6" t="s">
        <v>375</v>
      </c>
      <c r="G129" s="6" t="s">
        <v>97</v>
      </c>
      <c r="H129" s="6" t="s">
        <v>116</v>
      </c>
      <c r="I129" s="6" t="s">
        <v>91</v>
      </c>
      <c r="J129" s="6" t="s">
        <v>371</v>
      </c>
      <c r="K129" s="6" t="s">
        <v>385</v>
      </c>
      <c r="L129" s="6" t="str">
        <f>IF(J129="כן", K129, VLOOKUP(LEFT(H129, 7), 'קטלוג תרחישים'!$A:$M, 13, FALSE))</f>
        <v>ג</v>
      </c>
      <c r="M129" s="10"/>
      <c r="N129" s="24" t="s">
        <v>358</v>
      </c>
      <c r="O129" s="10" t="str" cm="1">
        <f t="array" ref="O129">_xlfn.IFS(N129="A","א'", N129="B", "ב'", N129= "C", "ג'")</f>
        <v>ג'</v>
      </c>
      <c r="P129" s="10">
        <f>IF(Table_2[[#This Row],[Correct_Answer]]=Table_2[[#This Row],[System_Recommendation]],1,0)</f>
        <v>1</v>
      </c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6" t="s">
        <v>134</v>
      </c>
      <c r="B130" s="6">
        <v>30</v>
      </c>
      <c r="C130" s="6" t="s">
        <v>372</v>
      </c>
      <c r="D130" s="6">
        <v>3</v>
      </c>
      <c r="E130" s="6" t="s">
        <v>111</v>
      </c>
      <c r="F130" s="6" t="s">
        <v>375</v>
      </c>
      <c r="G130" s="6" t="s">
        <v>97</v>
      </c>
      <c r="H130" s="6" t="s">
        <v>113</v>
      </c>
      <c r="I130" s="6" t="s">
        <v>100</v>
      </c>
      <c r="J130" s="6" t="s">
        <v>371</v>
      </c>
      <c r="K130" s="6" t="s">
        <v>384</v>
      </c>
      <c r="L130" s="6" t="str">
        <f>IF(J130="כן", K130, VLOOKUP(LEFT(H130, 7), 'קטלוג תרחישים'!$A:$M, 13, FALSE))</f>
        <v>ב'</v>
      </c>
      <c r="M130" s="10"/>
      <c r="N130" s="23" t="s">
        <v>357</v>
      </c>
      <c r="O130" s="10" t="str" cm="1">
        <f t="array" ref="O130">_xlfn.IFS(N130="A","א'", N130="B", "ב'", N130= "C", "ג'")</f>
        <v>ב'</v>
      </c>
      <c r="P130" s="10">
        <f>IF(Table_2[[#This Row],[Correct_Answer]]=Table_2[[#This Row],[System_Recommendation]],1,0)</f>
        <v>1</v>
      </c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6" t="s">
        <v>134</v>
      </c>
      <c r="B131" s="6">
        <v>31</v>
      </c>
      <c r="C131" s="6" t="s">
        <v>372</v>
      </c>
      <c r="D131" s="6">
        <v>3</v>
      </c>
      <c r="E131" s="6" t="s">
        <v>111</v>
      </c>
      <c r="F131" s="6" t="s">
        <v>375</v>
      </c>
      <c r="G131" s="6" t="s">
        <v>97</v>
      </c>
      <c r="H131" s="6" t="s">
        <v>114</v>
      </c>
      <c r="I131" s="6" t="s">
        <v>91</v>
      </c>
      <c r="J131" s="6" t="s">
        <v>371</v>
      </c>
      <c r="K131" s="6" t="s">
        <v>385</v>
      </c>
      <c r="L131" s="6" t="str">
        <f>IF(J131="כן", K131, VLOOKUP(LEFT(H131, 7), 'קטלוג תרחישים'!$A:$M, 13, FALSE))</f>
        <v>ג</v>
      </c>
      <c r="M131" s="10"/>
      <c r="N131" s="24" t="s">
        <v>358</v>
      </c>
      <c r="O131" s="10" t="str" cm="1">
        <f t="array" ref="O131">_xlfn.IFS(N131="A","א'", N131="B", "ב'", N131= "C", "ג'")</f>
        <v>ג'</v>
      </c>
      <c r="P131" s="10">
        <f>IF(Table_2[[#This Row],[Correct_Answer]]=Table_2[[#This Row],[System_Recommendation]],1,0)</f>
        <v>1</v>
      </c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6" t="s">
        <v>134</v>
      </c>
      <c r="B132" s="6">
        <v>32</v>
      </c>
      <c r="C132" s="6" t="s">
        <v>372</v>
      </c>
      <c r="D132" s="6">
        <v>3</v>
      </c>
      <c r="E132" s="6" t="s">
        <v>111</v>
      </c>
      <c r="F132" s="6" t="s">
        <v>375</v>
      </c>
      <c r="G132" s="6" t="s">
        <v>97</v>
      </c>
      <c r="H132" s="6" t="s">
        <v>115</v>
      </c>
      <c r="I132" s="6" t="s">
        <v>100</v>
      </c>
      <c r="J132" s="6" t="s">
        <v>374</v>
      </c>
      <c r="K132" s="6" t="s">
        <v>383</v>
      </c>
      <c r="L132" s="6" t="str">
        <f>IF(J132="כן", K132, VLOOKUP(LEFT(H132, 7), 'קטלוג תרחישים'!$A:$M, 13, FALSE))</f>
        <v>ג'</v>
      </c>
      <c r="M132" s="10"/>
      <c r="N132" s="23" t="s">
        <v>352</v>
      </c>
      <c r="O132" s="10" t="str" cm="1">
        <f t="array" ref="O132">_xlfn.IFS(N132="A","א'", N132="B", "ב'", N132= "C", "ג'")</f>
        <v>א'</v>
      </c>
      <c r="P132" s="10">
        <f>IF(Table_2[[#This Row],[Correct_Answer]]=Table_2[[#This Row],[System_Recommendation]],1,0)</f>
        <v>0</v>
      </c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6" t="s">
        <v>134</v>
      </c>
      <c r="B133" s="6">
        <v>33</v>
      </c>
      <c r="C133" s="6" t="s">
        <v>372</v>
      </c>
      <c r="D133" s="6">
        <v>3</v>
      </c>
      <c r="E133" s="6" t="s">
        <v>111</v>
      </c>
      <c r="F133" s="6" t="s">
        <v>375</v>
      </c>
      <c r="G133" s="6" t="s">
        <v>97</v>
      </c>
      <c r="H133" s="6" t="s">
        <v>112</v>
      </c>
      <c r="I133" s="6" t="s">
        <v>91</v>
      </c>
      <c r="J133" s="6" t="s">
        <v>371</v>
      </c>
      <c r="K133" s="6" t="s">
        <v>383</v>
      </c>
      <c r="L133" s="6" t="str">
        <f>IF(J133="כן", K133, VLOOKUP(LEFT(H133, 7), 'קטלוג תרחישים'!$A:$M, 13, FALSE))</f>
        <v>א'</v>
      </c>
      <c r="M133" s="10"/>
      <c r="N133" s="24" t="s">
        <v>352</v>
      </c>
      <c r="O133" s="10" t="str" cm="1">
        <f t="array" ref="O133">_xlfn.IFS(N133="A","א'", N133="B", "ב'", N133= "C", "ג'")</f>
        <v>א'</v>
      </c>
      <c r="P133" s="10">
        <f>IF(Table_2[[#This Row],[Correct_Answer]]=Table_2[[#This Row],[System_Recommendation]],1,0)</f>
        <v>1</v>
      </c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6" t="s">
        <v>135</v>
      </c>
      <c r="B134" s="6">
        <v>1</v>
      </c>
      <c r="C134" s="6" t="s">
        <v>370</v>
      </c>
      <c r="D134" s="6"/>
      <c r="E134" s="6" t="s">
        <v>98</v>
      </c>
      <c r="F134" s="6"/>
      <c r="G134" s="6"/>
      <c r="H134" s="8" t="s">
        <v>90</v>
      </c>
      <c r="I134" s="6" t="s">
        <v>91</v>
      </c>
      <c r="J134" s="6" t="s">
        <v>371</v>
      </c>
      <c r="K134" s="6" t="s">
        <v>385</v>
      </c>
      <c r="L134" s="6" t="str">
        <f>IF(J134="כן", K134, VLOOKUP(LEFT(H134, 7), 'קטלוג תרחישים'!$A:$M, 13, FALSE))</f>
        <v>ג</v>
      </c>
      <c r="M134" s="10"/>
      <c r="N134" s="23" t="s">
        <v>358</v>
      </c>
      <c r="O134" s="10" t="str" cm="1">
        <f t="array" ref="O134">_xlfn.IFS(N134="A","א'", N134="B", "ב'", N134= "C", "ג'")</f>
        <v>ג'</v>
      </c>
      <c r="P134" s="10">
        <f>IF(Table_2[[#This Row],[Correct_Answer]]=Table_2[[#This Row],[System_Recommendation]],1,0)</f>
        <v>1</v>
      </c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6" t="s">
        <v>135</v>
      </c>
      <c r="B135" s="6">
        <v>2</v>
      </c>
      <c r="C135" s="6" t="s">
        <v>370</v>
      </c>
      <c r="D135" s="6"/>
      <c r="E135" s="6" t="s">
        <v>98</v>
      </c>
      <c r="F135" s="6"/>
      <c r="G135" s="6"/>
      <c r="H135" s="8" t="s">
        <v>92</v>
      </c>
      <c r="I135" s="6" t="s">
        <v>91</v>
      </c>
      <c r="J135" s="6" t="s">
        <v>371</v>
      </c>
      <c r="K135" s="6" t="s">
        <v>385</v>
      </c>
      <c r="L135" s="6" t="str">
        <f>IF(J135="כן", K135, VLOOKUP(LEFT(H135, 7), 'קטלוג תרחישים'!$A:$M, 13, FALSE))</f>
        <v>ג</v>
      </c>
      <c r="M135" s="10"/>
      <c r="N135" s="24" t="s">
        <v>358</v>
      </c>
      <c r="O135" s="10" t="str" cm="1">
        <f t="array" ref="O135">_xlfn.IFS(N135="A","א'", N135="B", "ב'", N135= "C", "ג'")</f>
        <v>ג'</v>
      </c>
      <c r="P135" s="10">
        <f>IF(Table_2[[#This Row],[Correct_Answer]]=Table_2[[#This Row],[System_Recommendation]],1,0)</f>
        <v>1</v>
      </c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6" t="s">
        <v>135</v>
      </c>
      <c r="B136" s="6">
        <v>3</v>
      </c>
      <c r="C136" s="6" t="s">
        <v>370</v>
      </c>
      <c r="D136" s="6"/>
      <c r="E136" s="6" t="s">
        <v>105</v>
      </c>
      <c r="F136" s="6"/>
      <c r="G136" s="6"/>
      <c r="H136" s="8" t="s">
        <v>93</v>
      </c>
      <c r="I136" s="6" t="s">
        <v>91</v>
      </c>
      <c r="J136" s="6" t="s">
        <v>371</v>
      </c>
      <c r="K136" s="6" t="s">
        <v>385</v>
      </c>
      <c r="L136" s="6" t="str">
        <f>IF(J136="כן", K136, VLOOKUP(LEFT(H136, 7), 'קטלוג תרחישים'!$A:$M, 13, FALSE))</f>
        <v>ג</v>
      </c>
      <c r="M136" s="10"/>
      <c r="N136" s="23" t="s">
        <v>358</v>
      </c>
      <c r="O136" s="10" t="str" cm="1">
        <f t="array" ref="O136">_xlfn.IFS(N136="A","א'", N136="B", "ב'", N136= "C", "ג'")</f>
        <v>ג'</v>
      </c>
      <c r="P136" s="10">
        <f>IF(Table_2[[#This Row],[Correct_Answer]]=Table_2[[#This Row],[System_Recommendation]],1,0)</f>
        <v>1</v>
      </c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6" t="s">
        <v>135</v>
      </c>
      <c r="B137" s="6">
        <v>4</v>
      </c>
      <c r="C137" s="6" t="s">
        <v>370</v>
      </c>
      <c r="D137" s="6"/>
      <c r="E137" s="6" t="s">
        <v>105</v>
      </c>
      <c r="F137" s="6"/>
      <c r="G137" s="6"/>
      <c r="H137" s="8" t="s">
        <v>94</v>
      </c>
      <c r="I137" s="6" t="s">
        <v>91</v>
      </c>
      <c r="J137" s="6" t="s">
        <v>371</v>
      </c>
      <c r="K137" s="6" t="s">
        <v>384</v>
      </c>
      <c r="L137" s="6" t="str">
        <f>IF(J137="כן", K137, VLOOKUP(LEFT(H137, 7), 'קטלוג תרחישים'!$A:$M, 13, FALSE))</f>
        <v>ב'</v>
      </c>
      <c r="M137" s="10"/>
      <c r="N137" s="24" t="s">
        <v>357</v>
      </c>
      <c r="O137" s="10" t="str" cm="1">
        <f t="array" ref="O137">_xlfn.IFS(N137="A","א'", N137="B", "ב'", N137= "C", "ג'")</f>
        <v>ב'</v>
      </c>
      <c r="P137" s="10">
        <f>IF(Table_2[[#This Row],[Correct_Answer]]=Table_2[[#This Row],[System_Recommendation]],1,0)</f>
        <v>1</v>
      </c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6" t="s">
        <v>135</v>
      </c>
      <c r="B138" s="6">
        <v>5</v>
      </c>
      <c r="C138" s="6" t="s">
        <v>370</v>
      </c>
      <c r="D138" s="6"/>
      <c r="E138" s="6" t="s">
        <v>111</v>
      </c>
      <c r="F138" s="6"/>
      <c r="G138" s="6"/>
      <c r="H138" s="8" t="s">
        <v>95</v>
      </c>
      <c r="I138" s="6" t="s">
        <v>91</v>
      </c>
      <c r="J138" s="6" t="s">
        <v>371</v>
      </c>
      <c r="K138" s="6" t="s">
        <v>383</v>
      </c>
      <c r="L138" s="6" t="str">
        <f>IF(J138="כן", K138, VLOOKUP(LEFT(H138, 7), 'קטלוג תרחישים'!$A:$M, 13, FALSE))</f>
        <v>א'</v>
      </c>
      <c r="M138" s="10"/>
      <c r="N138" s="23" t="s">
        <v>352</v>
      </c>
      <c r="O138" s="10" t="str" cm="1">
        <f t="array" ref="O138">_xlfn.IFS(N138="A","א'", N138="B", "ב'", N138= "C", "ג'")</f>
        <v>א'</v>
      </c>
      <c r="P138" s="10">
        <f>IF(Table_2[[#This Row],[Correct_Answer]]=Table_2[[#This Row],[System_Recommendation]],1,0)</f>
        <v>1</v>
      </c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6" t="s">
        <v>135</v>
      </c>
      <c r="B139" s="6">
        <v>6</v>
      </c>
      <c r="C139" s="6" t="s">
        <v>370</v>
      </c>
      <c r="D139" s="6"/>
      <c r="E139" s="6" t="s">
        <v>111</v>
      </c>
      <c r="F139" s="6"/>
      <c r="G139" s="6"/>
      <c r="H139" s="8" t="s">
        <v>96</v>
      </c>
      <c r="I139" s="6" t="s">
        <v>91</v>
      </c>
      <c r="J139" s="6" t="s">
        <v>371</v>
      </c>
      <c r="K139" s="6" t="s">
        <v>383</v>
      </c>
      <c r="L139" s="6" t="str">
        <f>IF(J139="כן", K139, VLOOKUP(LEFT(H139, 7), 'קטלוג תרחישים'!$A:$M, 13, FALSE))</f>
        <v>א'</v>
      </c>
      <c r="M139" s="10"/>
      <c r="N139" s="24" t="s">
        <v>352</v>
      </c>
      <c r="O139" s="10" t="str" cm="1">
        <f t="array" ref="O139">_xlfn.IFS(N139="A","א'", N139="B", "ב'", N139= "C", "ג'")</f>
        <v>א'</v>
      </c>
      <c r="P139" s="10">
        <f>IF(Table_2[[#This Row],[Correct_Answer]]=Table_2[[#This Row],[System_Recommendation]],1,0)</f>
        <v>1</v>
      </c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6" t="s">
        <v>135</v>
      </c>
      <c r="B140" s="6">
        <v>7</v>
      </c>
      <c r="C140" s="6" t="s">
        <v>372</v>
      </c>
      <c r="D140" s="6">
        <v>1</v>
      </c>
      <c r="E140" s="6" t="s">
        <v>105</v>
      </c>
      <c r="F140" s="6" t="s">
        <v>373</v>
      </c>
      <c r="G140" s="6" t="s">
        <v>97</v>
      </c>
      <c r="H140" s="6" t="s">
        <v>108</v>
      </c>
      <c r="I140" s="6" t="s">
        <v>91</v>
      </c>
      <c r="J140" s="6" t="s">
        <v>371</v>
      </c>
      <c r="K140" s="6" t="s">
        <v>383</v>
      </c>
      <c r="L140" s="6" t="str">
        <f>IF(J140="כן", K140, VLOOKUP(LEFT(H140, 7), 'קטלוג תרחישים'!$A:$M, 13, FALSE))</f>
        <v>א'</v>
      </c>
      <c r="M140" s="10"/>
      <c r="N140" s="23" t="s">
        <v>352</v>
      </c>
      <c r="O140" s="10" t="str" cm="1">
        <f t="array" ref="O140">_xlfn.IFS(N140="A","א'", N140="B", "ב'", N140= "C", "ג'")</f>
        <v>א'</v>
      </c>
      <c r="P140" s="10">
        <f>IF(Table_2[[#This Row],[Correct_Answer]]=Table_2[[#This Row],[System_Recommendation]],1,0)</f>
        <v>1</v>
      </c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6" t="s">
        <v>135</v>
      </c>
      <c r="B141" s="6">
        <v>8</v>
      </c>
      <c r="C141" s="6" t="s">
        <v>372</v>
      </c>
      <c r="D141" s="6">
        <v>1</v>
      </c>
      <c r="E141" s="6" t="s">
        <v>105</v>
      </c>
      <c r="F141" s="6" t="s">
        <v>373</v>
      </c>
      <c r="G141" s="6" t="s">
        <v>97</v>
      </c>
      <c r="H141" s="6" t="s">
        <v>107</v>
      </c>
      <c r="I141" s="6" t="s">
        <v>100</v>
      </c>
      <c r="J141" s="6" t="s">
        <v>371</v>
      </c>
      <c r="K141" s="6" t="s">
        <v>384</v>
      </c>
      <c r="L141" s="6" t="str">
        <f>IF(J141="כן", K141, VLOOKUP(LEFT(H141, 7), 'קטלוג תרחישים'!$A:$M, 13, FALSE))</f>
        <v>ב'</v>
      </c>
      <c r="M141" s="10"/>
      <c r="N141" s="24" t="s">
        <v>357</v>
      </c>
      <c r="O141" s="10" t="str" cm="1">
        <f t="array" ref="O141">_xlfn.IFS(N141="A","א'", N141="B", "ב'", N141= "C", "ג'")</f>
        <v>ב'</v>
      </c>
      <c r="P141" s="10">
        <f>IF(Table_2[[#This Row],[Correct_Answer]]=Table_2[[#This Row],[System_Recommendation]],1,0)</f>
        <v>1</v>
      </c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6" t="s">
        <v>135</v>
      </c>
      <c r="B142" s="6">
        <v>9</v>
      </c>
      <c r="C142" s="6" t="s">
        <v>372</v>
      </c>
      <c r="D142" s="6">
        <v>1</v>
      </c>
      <c r="E142" s="6" t="s">
        <v>105</v>
      </c>
      <c r="F142" s="6" t="s">
        <v>373</v>
      </c>
      <c r="G142" s="6" t="s">
        <v>97</v>
      </c>
      <c r="H142" s="6" t="s">
        <v>110</v>
      </c>
      <c r="I142" s="6" t="s">
        <v>91</v>
      </c>
      <c r="J142" s="6" t="s">
        <v>371</v>
      </c>
      <c r="K142" s="6" t="s">
        <v>384</v>
      </c>
      <c r="L142" s="6" t="str">
        <f>IF(J142="כן", K142, VLOOKUP(LEFT(H142, 7), 'קטלוג תרחישים'!$A:$M, 13, FALSE))</f>
        <v>ב'</v>
      </c>
      <c r="M142" s="10"/>
      <c r="N142" s="23" t="s">
        <v>357</v>
      </c>
      <c r="O142" s="10" t="str" cm="1">
        <f t="array" ref="O142">_xlfn.IFS(N142="A","א'", N142="B", "ב'", N142= "C", "ג'")</f>
        <v>ב'</v>
      </c>
      <c r="P142" s="10">
        <f>IF(Table_2[[#This Row],[Correct_Answer]]=Table_2[[#This Row],[System_Recommendation]],1,0)</f>
        <v>1</v>
      </c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6" t="s">
        <v>135</v>
      </c>
      <c r="B143" s="6">
        <v>10</v>
      </c>
      <c r="C143" s="6" t="s">
        <v>372</v>
      </c>
      <c r="D143" s="6">
        <v>1</v>
      </c>
      <c r="E143" s="6" t="s">
        <v>105</v>
      </c>
      <c r="F143" s="6" t="s">
        <v>373</v>
      </c>
      <c r="G143" s="6" t="s">
        <v>97</v>
      </c>
      <c r="H143" s="6" t="s">
        <v>109</v>
      </c>
      <c r="I143" s="6" t="s">
        <v>100</v>
      </c>
      <c r="J143" s="6" t="s">
        <v>374</v>
      </c>
      <c r="K143" s="6" t="s">
        <v>385</v>
      </c>
      <c r="L143" s="6" t="str">
        <f>IF(J143="כן", K143, VLOOKUP(LEFT(H143, 7), 'קטלוג תרחישים'!$A:$M, 13, FALSE))</f>
        <v>א'</v>
      </c>
      <c r="M143" s="10"/>
      <c r="N143" s="24" t="s">
        <v>358</v>
      </c>
      <c r="O143" s="10" t="str" cm="1">
        <f t="array" ref="O143">_xlfn.IFS(N143="A","א'", N143="B", "ב'", N143= "C", "ג'")</f>
        <v>ג'</v>
      </c>
      <c r="P143" s="10">
        <f>IF(Table_2[[#This Row],[Correct_Answer]]=Table_2[[#This Row],[System_Recommendation]],1,0)</f>
        <v>0</v>
      </c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6" t="s">
        <v>135</v>
      </c>
      <c r="B144" s="6">
        <v>11</v>
      </c>
      <c r="C144" s="6" t="s">
        <v>372</v>
      </c>
      <c r="D144" s="6">
        <v>1</v>
      </c>
      <c r="E144" s="6" t="s">
        <v>105</v>
      </c>
      <c r="F144" s="6" t="s">
        <v>373</v>
      </c>
      <c r="G144" s="6" t="s">
        <v>97</v>
      </c>
      <c r="H144" s="6" t="s">
        <v>106</v>
      </c>
      <c r="I144" s="6" t="s">
        <v>91</v>
      </c>
      <c r="J144" s="6" t="s">
        <v>371</v>
      </c>
      <c r="K144" s="6" t="s">
        <v>383</v>
      </c>
      <c r="L144" s="6" t="str">
        <f>IF(J144="כן", K144, VLOOKUP(LEFT(H144, 7), 'קטלוג תרחישים'!$A:$M, 13, FALSE))</f>
        <v>א'</v>
      </c>
      <c r="M144" s="10"/>
      <c r="N144" s="23" t="s">
        <v>352</v>
      </c>
      <c r="O144" s="10" t="str" cm="1">
        <f t="array" ref="O144">_xlfn.IFS(N144="A","א'", N144="B", "ב'", N144= "C", "ג'")</f>
        <v>א'</v>
      </c>
      <c r="P144" s="10">
        <f>IF(Table_2[[#This Row],[Correct_Answer]]=Table_2[[#This Row],[System_Recommendation]],1,0)</f>
        <v>1</v>
      </c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6" t="s">
        <v>135</v>
      </c>
      <c r="B145" s="6">
        <v>12</v>
      </c>
      <c r="C145" s="6" t="s">
        <v>372</v>
      </c>
      <c r="D145" s="6">
        <v>2</v>
      </c>
      <c r="E145" s="6" t="s">
        <v>111</v>
      </c>
      <c r="F145" s="6" t="s">
        <v>373</v>
      </c>
      <c r="G145" s="6" t="s">
        <v>97</v>
      </c>
      <c r="H145" s="6" t="s">
        <v>112</v>
      </c>
      <c r="I145" s="6" t="s">
        <v>91</v>
      </c>
      <c r="J145" s="6" t="s">
        <v>371</v>
      </c>
      <c r="K145" s="6" t="s">
        <v>385</v>
      </c>
      <c r="L145" s="6" t="str">
        <f>IF(J145="כן", K145, VLOOKUP(LEFT(H145, 7), 'קטלוג תרחישים'!$A:$M, 13, FALSE))</f>
        <v>ג</v>
      </c>
      <c r="M145" s="10"/>
      <c r="N145" s="24" t="s">
        <v>358</v>
      </c>
      <c r="O145" s="10" t="str" cm="1">
        <f t="array" ref="O145">_xlfn.IFS(N145="A","א'", N145="B", "ב'", N145= "C", "ג'")</f>
        <v>ג'</v>
      </c>
      <c r="P145" s="10">
        <f>IF(Table_2[[#This Row],[Correct_Answer]]=Table_2[[#This Row],[System_Recommendation]],1,0)</f>
        <v>1</v>
      </c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6" t="s">
        <v>135</v>
      </c>
      <c r="B146" s="6">
        <v>13</v>
      </c>
      <c r="C146" s="6" t="s">
        <v>372</v>
      </c>
      <c r="D146" s="6">
        <v>2</v>
      </c>
      <c r="E146" s="6" t="s">
        <v>111</v>
      </c>
      <c r="F146" s="6" t="s">
        <v>373</v>
      </c>
      <c r="G146" s="6" t="s">
        <v>97</v>
      </c>
      <c r="H146" s="6" t="s">
        <v>115</v>
      </c>
      <c r="I146" s="6" t="s">
        <v>100</v>
      </c>
      <c r="J146" s="6" t="s">
        <v>371</v>
      </c>
      <c r="K146" s="6" t="s">
        <v>385</v>
      </c>
      <c r="L146" s="6" t="str">
        <f>IF(J146="כן", K146, VLOOKUP(LEFT(H146, 7), 'קטלוג תרחישים'!$A:$M, 13, FALSE))</f>
        <v>ג</v>
      </c>
      <c r="M146" s="10"/>
      <c r="N146" s="23" t="s">
        <v>358</v>
      </c>
      <c r="O146" s="10" t="str" cm="1">
        <f t="array" ref="O146">_xlfn.IFS(N146="A","א'", N146="B", "ב'", N146= "C", "ג'")</f>
        <v>ג'</v>
      </c>
      <c r="P146" s="10">
        <f>IF(Table_2[[#This Row],[Correct_Answer]]=Table_2[[#This Row],[System_Recommendation]],1,0)</f>
        <v>1</v>
      </c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6" t="s">
        <v>135</v>
      </c>
      <c r="B147" s="6">
        <v>14</v>
      </c>
      <c r="C147" s="6" t="s">
        <v>372</v>
      </c>
      <c r="D147" s="6">
        <v>2</v>
      </c>
      <c r="E147" s="6" t="s">
        <v>111</v>
      </c>
      <c r="F147" s="6" t="s">
        <v>373</v>
      </c>
      <c r="G147" s="6" t="s">
        <v>97</v>
      </c>
      <c r="H147" s="6" t="s">
        <v>116</v>
      </c>
      <c r="I147" s="6" t="s">
        <v>91</v>
      </c>
      <c r="J147" s="6" t="s">
        <v>374</v>
      </c>
      <c r="K147" s="6" t="s">
        <v>384</v>
      </c>
      <c r="L147" s="6" t="str">
        <f>IF(J147="כן", K147, VLOOKUP(LEFT(H147, 7), 'קטלוג תרחישים'!$A:$M, 13, FALSE))</f>
        <v>ב'</v>
      </c>
      <c r="M147" s="10"/>
      <c r="N147" s="24" t="s">
        <v>357</v>
      </c>
      <c r="O147" s="10" t="str" cm="1">
        <f t="array" ref="O147">_xlfn.IFS(N147="A","א'", N147="B", "ב'", N147= "C", "ג'")</f>
        <v>ב'</v>
      </c>
      <c r="P147" s="10">
        <f>IF(Table_2[[#This Row],[Correct_Answer]]=Table_2[[#This Row],[System_Recommendation]],1,0)</f>
        <v>1</v>
      </c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6" t="s">
        <v>135</v>
      </c>
      <c r="B148" s="6">
        <v>15</v>
      </c>
      <c r="C148" s="6" t="s">
        <v>372</v>
      </c>
      <c r="D148" s="6">
        <v>2</v>
      </c>
      <c r="E148" s="6" t="s">
        <v>111</v>
      </c>
      <c r="F148" s="6" t="s">
        <v>373</v>
      </c>
      <c r="G148" s="6" t="s">
        <v>97</v>
      </c>
      <c r="H148" s="6" t="s">
        <v>113</v>
      </c>
      <c r="I148" s="6" t="s">
        <v>100</v>
      </c>
      <c r="J148" s="6" t="s">
        <v>371</v>
      </c>
      <c r="K148" s="6" t="s">
        <v>384</v>
      </c>
      <c r="L148" s="6" t="str">
        <f>IF(J148="כן", K148, VLOOKUP(LEFT(H148, 7), 'קטלוג תרחישים'!$A:$M, 13, FALSE))</f>
        <v>ב'</v>
      </c>
      <c r="M148" s="10"/>
      <c r="N148" s="23" t="s">
        <v>357</v>
      </c>
      <c r="O148" s="10" t="str" cm="1">
        <f t="array" ref="O148">_xlfn.IFS(N148="A","א'", N148="B", "ב'", N148= "C", "ג'")</f>
        <v>ב'</v>
      </c>
      <c r="P148" s="10">
        <f>IF(Table_2[[#This Row],[Correct_Answer]]=Table_2[[#This Row],[System_Recommendation]],1,0)</f>
        <v>1</v>
      </c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6" t="s">
        <v>135</v>
      </c>
      <c r="B149" s="6">
        <v>16</v>
      </c>
      <c r="C149" s="6" t="s">
        <v>372</v>
      </c>
      <c r="D149" s="6">
        <v>2</v>
      </c>
      <c r="E149" s="6" t="s">
        <v>111</v>
      </c>
      <c r="F149" s="6" t="s">
        <v>373</v>
      </c>
      <c r="G149" s="6" t="s">
        <v>97</v>
      </c>
      <c r="H149" s="6" t="s">
        <v>114</v>
      </c>
      <c r="I149" s="6" t="s">
        <v>91</v>
      </c>
      <c r="J149" s="6" t="s">
        <v>371</v>
      </c>
      <c r="K149" s="6" t="s">
        <v>384</v>
      </c>
      <c r="L149" s="6" t="str">
        <f>IF(J149="כן", K149, VLOOKUP(LEFT(H149, 7), 'קטלוג תרחישים'!$A:$M, 13, FALSE))</f>
        <v>ב'</v>
      </c>
      <c r="M149" s="10"/>
      <c r="N149" s="24" t="s">
        <v>357</v>
      </c>
      <c r="O149" s="10" t="str" cm="1">
        <f t="array" ref="O149">_xlfn.IFS(N149="A","א'", N149="B", "ב'", N149= "C", "ג'")</f>
        <v>ב'</v>
      </c>
      <c r="P149" s="10">
        <f>IF(Table_2[[#This Row],[Correct_Answer]]=Table_2[[#This Row],[System_Recommendation]],1,0)</f>
        <v>1</v>
      </c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6" t="s">
        <v>135</v>
      </c>
      <c r="B150" s="6">
        <v>17</v>
      </c>
      <c r="C150" s="6" t="s">
        <v>372</v>
      </c>
      <c r="D150" s="6">
        <v>3</v>
      </c>
      <c r="E150" s="6" t="s">
        <v>98</v>
      </c>
      <c r="F150" s="6" t="s">
        <v>373</v>
      </c>
      <c r="G150" s="6" t="s">
        <v>97</v>
      </c>
      <c r="H150" s="6" t="s">
        <v>104</v>
      </c>
      <c r="I150" s="6" t="s">
        <v>100</v>
      </c>
      <c r="J150" s="6" t="s">
        <v>371</v>
      </c>
      <c r="K150" s="6" t="s">
        <v>383</v>
      </c>
      <c r="L150" s="6" t="str">
        <f>IF(J150="כן", K150, VLOOKUP(LEFT(H150, 7), 'קטלוג תרחישים'!$A:$M, 13, FALSE))</f>
        <v>א'</v>
      </c>
      <c r="M150" s="10"/>
      <c r="N150" s="23" t="s">
        <v>352</v>
      </c>
      <c r="O150" s="10" t="str" cm="1">
        <f t="array" ref="O150">_xlfn.IFS(N150="A","א'", N150="B", "ב'", N150= "C", "ג'")</f>
        <v>א'</v>
      </c>
      <c r="P150" s="10">
        <f>IF(Table_2[[#This Row],[Correct_Answer]]=Table_2[[#This Row],[System_Recommendation]],1,0)</f>
        <v>1</v>
      </c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6" t="s">
        <v>135</v>
      </c>
      <c r="B151" s="6">
        <v>18</v>
      </c>
      <c r="C151" s="6" t="s">
        <v>372</v>
      </c>
      <c r="D151" s="6">
        <v>3</v>
      </c>
      <c r="E151" s="6" t="s">
        <v>98</v>
      </c>
      <c r="F151" s="6" t="s">
        <v>373</v>
      </c>
      <c r="G151" s="6" t="s">
        <v>97</v>
      </c>
      <c r="H151" s="6" t="s">
        <v>103</v>
      </c>
      <c r="I151" s="6" t="s">
        <v>91</v>
      </c>
      <c r="J151" s="6" t="s">
        <v>371</v>
      </c>
      <c r="K151" s="6" t="s">
        <v>385</v>
      </c>
      <c r="L151" s="6" t="str">
        <f>IF(J151="כן", K151, VLOOKUP(LEFT(H151, 7), 'קטלוג תרחישים'!$A:$M, 13, FALSE))</f>
        <v>ג</v>
      </c>
      <c r="M151" s="10"/>
      <c r="N151" s="24" t="s">
        <v>358</v>
      </c>
      <c r="O151" s="10" t="str" cm="1">
        <f t="array" ref="O151">_xlfn.IFS(N151="A","א'", N151="B", "ב'", N151= "C", "ג'")</f>
        <v>ג'</v>
      </c>
      <c r="P151" s="10">
        <f>IF(Table_2[[#This Row],[Correct_Answer]]=Table_2[[#This Row],[System_Recommendation]],1,0)</f>
        <v>1</v>
      </c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6" t="s">
        <v>135</v>
      </c>
      <c r="B152" s="6">
        <v>19</v>
      </c>
      <c r="C152" s="6" t="s">
        <v>372</v>
      </c>
      <c r="D152" s="6">
        <v>3</v>
      </c>
      <c r="E152" s="6" t="s">
        <v>98</v>
      </c>
      <c r="F152" s="6" t="s">
        <v>373</v>
      </c>
      <c r="G152" s="6" t="s">
        <v>97</v>
      </c>
      <c r="H152" s="6" t="s">
        <v>99</v>
      </c>
      <c r="I152" s="6" t="s">
        <v>100</v>
      </c>
      <c r="J152" s="6" t="s">
        <v>371</v>
      </c>
      <c r="K152" s="6" t="s">
        <v>384</v>
      </c>
      <c r="L152" s="6" t="str">
        <f>IF(J152="כן", K152, VLOOKUP(LEFT(H152, 7), 'קטלוג תרחישים'!$A:$M, 13, FALSE))</f>
        <v>ב'</v>
      </c>
      <c r="M152" s="10"/>
      <c r="N152" s="23" t="s">
        <v>357</v>
      </c>
      <c r="O152" s="10" t="str" cm="1">
        <f t="array" ref="O152">_xlfn.IFS(N152="A","א'", N152="B", "ב'", N152= "C", "ג'")</f>
        <v>ב'</v>
      </c>
      <c r="P152" s="10">
        <f>IF(Table_2[[#This Row],[Correct_Answer]]=Table_2[[#This Row],[System_Recommendation]],1,0)</f>
        <v>1</v>
      </c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6" t="s">
        <v>135</v>
      </c>
      <c r="B153" s="6">
        <v>20</v>
      </c>
      <c r="C153" s="6" t="s">
        <v>372</v>
      </c>
      <c r="D153" s="6">
        <v>3</v>
      </c>
      <c r="E153" s="6" t="s">
        <v>98</v>
      </c>
      <c r="F153" s="6" t="s">
        <v>373</v>
      </c>
      <c r="G153" s="6" t="s">
        <v>97</v>
      </c>
      <c r="H153" s="6" t="s">
        <v>101</v>
      </c>
      <c r="I153" s="6" t="s">
        <v>91</v>
      </c>
      <c r="J153" s="6" t="s">
        <v>371</v>
      </c>
      <c r="K153" s="6" t="s">
        <v>385</v>
      </c>
      <c r="L153" s="6" t="str">
        <f>IF(J153="כן", K153, VLOOKUP(LEFT(H153, 7), 'קטלוג תרחישים'!$A:$M, 13, FALSE))</f>
        <v>ג</v>
      </c>
      <c r="M153" s="10"/>
      <c r="N153" s="24" t="s">
        <v>358</v>
      </c>
      <c r="O153" s="10" t="str" cm="1">
        <f t="array" ref="O153">_xlfn.IFS(N153="A","א'", N153="B", "ב'", N153= "C", "ג'")</f>
        <v>ג'</v>
      </c>
      <c r="P153" s="10">
        <f>IF(Table_2[[#This Row],[Correct_Answer]]=Table_2[[#This Row],[System_Recommendation]],1,0)</f>
        <v>1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6" t="s">
        <v>135</v>
      </c>
      <c r="B154" s="6">
        <v>21</v>
      </c>
      <c r="C154" s="6" t="s">
        <v>372</v>
      </c>
      <c r="D154" s="6">
        <v>3</v>
      </c>
      <c r="E154" s="6" t="s">
        <v>98</v>
      </c>
      <c r="F154" s="6" t="s">
        <v>373</v>
      </c>
      <c r="G154" s="6" t="s">
        <v>97</v>
      </c>
      <c r="H154" s="6" t="s">
        <v>102</v>
      </c>
      <c r="I154" s="6" t="s">
        <v>100</v>
      </c>
      <c r="J154" s="6" t="s">
        <v>374</v>
      </c>
      <c r="K154" s="6" t="s">
        <v>383</v>
      </c>
      <c r="L154" s="6" t="str">
        <f>IF(J154="כן", K154, VLOOKUP(LEFT(H154, 7), 'קטלוג תרחישים'!$A:$M, 13, FALSE))</f>
        <v>ב'</v>
      </c>
      <c r="M154" s="10"/>
      <c r="N154" s="23" t="s">
        <v>352</v>
      </c>
      <c r="O154" s="10" t="str" cm="1">
        <f t="array" ref="O154">_xlfn.IFS(N154="A","א'", N154="B", "ב'", N154= "C", "ג'")</f>
        <v>א'</v>
      </c>
      <c r="P154" s="10">
        <f>IF(Table_2[[#This Row],[Correct_Answer]]=Table_2[[#This Row],[System_Recommendation]],1,0)</f>
        <v>0</v>
      </c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6" t="s">
        <v>135</v>
      </c>
      <c r="B155" s="6">
        <v>22</v>
      </c>
      <c r="C155" s="6" t="s">
        <v>372</v>
      </c>
      <c r="D155" s="6">
        <v>1</v>
      </c>
      <c r="E155" s="6" t="s">
        <v>111</v>
      </c>
      <c r="F155" s="6" t="s">
        <v>375</v>
      </c>
      <c r="G155" s="6" t="s">
        <v>117</v>
      </c>
      <c r="H155" s="6" t="s">
        <v>122</v>
      </c>
      <c r="I155" s="6" t="s">
        <v>91</v>
      </c>
      <c r="J155" s="6" t="s">
        <v>374</v>
      </c>
      <c r="K155" s="6" t="s">
        <v>385</v>
      </c>
      <c r="L155" s="6" t="str">
        <f>IF(J155="כן", K155, VLOOKUP(LEFT(H155, 7), 'קטלוג תרחישים'!$A:$M, 13, FALSE))</f>
        <v>א'</v>
      </c>
      <c r="M155" s="10"/>
      <c r="N155" s="24" t="s">
        <v>358</v>
      </c>
      <c r="O155" s="10" t="str" cm="1">
        <f t="array" ref="O155">_xlfn.IFS(N155="A","א'", N155="B", "ב'", N155= "C", "ג'")</f>
        <v>ג'</v>
      </c>
      <c r="P155" s="10">
        <f>IF(Table_2[[#This Row],[Correct_Answer]]=Table_2[[#This Row],[System_Recommendation]],1,0)</f>
        <v>0</v>
      </c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6" t="s">
        <v>135</v>
      </c>
      <c r="B156" s="6">
        <v>23</v>
      </c>
      <c r="C156" s="6" t="s">
        <v>372</v>
      </c>
      <c r="D156" s="6">
        <v>1</v>
      </c>
      <c r="E156" s="6" t="s">
        <v>111</v>
      </c>
      <c r="F156" s="6" t="s">
        <v>375</v>
      </c>
      <c r="G156" s="6" t="s">
        <v>117</v>
      </c>
      <c r="H156" s="6" t="s">
        <v>125</v>
      </c>
      <c r="I156" s="6" t="s">
        <v>100</v>
      </c>
      <c r="J156" s="6" t="s">
        <v>374</v>
      </c>
      <c r="K156" s="6" t="s">
        <v>385</v>
      </c>
      <c r="L156" s="6" t="str">
        <f>IF(J156="כן", K156, VLOOKUP(LEFT(H156, 7), 'קטלוג תרחישים'!$A:$M, 13, FALSE))</f>
        <v>ב'</v>
      </c>
      <c r="M156" s="10"/>
      <c r="N156" s="23" t="s">
        <v>358</v>
      </c>
      <c r="O156" s="10" t="str" cm="1">
        <f t="array" ref="O156">_xlfn.IFS(N156="A","א'", N156="B", "ב'", N156= "C", "ג'")</f>
        <v>ג'</v>
      </c>
      <c r="P156" s="10">
        <f>IF(Table_2[[#This Row],[Correct_Answer]]=Table_2[[#This Row],[System_Recommendation]],1,0)</f>
        <v>0</v>
      </c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6" t="s">
        <v>135</v>
      </c>
      <c r="B157" s="6">
        <v>24</v>
      </c>
      <c r="C157" s="6" t="s">
        <v>372</v>
      </c>
      <c r="D157" s="6">
        <v>1</v>
      </c>
      <c r="E157" s="6" t="s">
        <v>111</v>
      </c>
      <c r="F157" s="6" t="s">
        <v>375</v>
      </c>
      <c r="G157" s="6" t="s">
        <v>117</v>
      </c>
      <c r="H157" s="6" t="s">
        <v>124</v>
      </c>
      <c r="I157" s="6" t="s">
        <v>91</v>
      </c>
      <c r="J157" s="6" t="s">
        <v>371</v>
      </c>
      <c r="K157" s="6" t="s">
        <v>384</v>
      </c>
      <c r="L157" s="6" t="str">
        <f>IF(J157="כן", K157, VLOOKUP(LEFT(H157, 7), 'קטלוג תרחישים'!$A:$M, 13, FALSE))</f>
        <v>ב'</v>
      </c>
      <c r="M157" s="10"/>
      <c r="N157" s="24" t="s">
        <v>357</v>
      </c>
      <c r="O157" s="10" t="str" cm="1">
        <f t="array" ref="O157">_xlfn.IFS(N157="A","א'", N157="B", "ב'", N157= "C", "ג'")</f>
        <v>ב'</v>
      </c>
      <c r="P157" s="10">
        <f>IF(Table_2[[#This Row],[Correct_Answer]]=Table_2[[#This Row],[System_Recommendation]],1,0)</f>
        <v>1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6" t="s">
        <v>135</v>
      </c>
      <c r="B158" s="6">
        <v>25</v>
      </c>
      <c r="C158" s="6" t="s">
        <v>372</v>
      </c>
      <c r="D158" s="6">
        <v>1</v>
      </c>
      <c r="E158" s="6" t="s">
        <v>111</v>
      </c>
      <c r="F158" s="6" t="s">
        <v>375</v>
      </c>
      <c r="G158" s="6" t="s">
        <v>117</v>
      </c>
      <c r="H158" s="6" t="s">
        <v>123</v>
      </c>
      <c r="I158" s="6" t="s">
        <v>100</v>
      </c>
      <c r="J158" s="6" t="s">
        <v>371</v>
      </c>
      <c r="K158" s="6" t="s">
        <v>383</v>
      </c>
      <c r="L158" s="6" t="str">
        <f>IF(J158="כן", K158, VLOOKUP(LEFT(H158, 7), 'קטלוג תרחישים'!$A:$M, 13, FALSE))</f>
        <v>א'</v>
      </c>
      <c r="M158" s="10"/>
      <c r="N158" s="23" t="s">
        <v>352</v>
      </c>
      <c r="O158" s="10" t="str" cm="1">
        <f t="array" ref="O158">_xlfn.IFS(N158="A","א'", N158="B", "ב'", N158= "C", "ג'")</f>
        <v>א'</v>
      </c>
      <c r="P158" s="10">
        <f>IF(Table_2[[#This Row],[Correct_Answer]]=Table_2[[#This Row],[System_Recommendation]],1,0)</f>
        <v>1</v>
      </c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6" t="s">
        <v>135</v>
      </c>
      <c r="B159" s="6">
        <v>26</v>
      </c>
      <c r="C159" s="6" t="s">
        <v>372</v>
      </c>
      <c r="D159" s="6">
        <v>2</v>
      </c>
      <c r="E159" s="6" t="s">
        <v>98</v>
      </c>
      <c r="F159" s="6" t="s">
        <v>375</v>
      </c>
      <c r="G159" s="6" t="s">
        <v>117</v>
      </c>
      <c r="H159" s="6" t="s">
        <v>126</v>
      </c>
      <c r="I159" s="6" t="s">
        <v>91</v>
      </c>
      <c r="J159" s="6" t="s">
        <v>374</v>
      </c>
      <c r="K159" s="6" t="s">
        <v>385</v>
      </c>
      <c r="L159" s="6" t="str">
        <f>IF(J159="כן", K159, VLOOKUP(LEFT(H159, 7), 'קטלוג תרחישים'!$A:$M, 13, FALSE))</f>
        <v>א'</v>
      </c>
      <c r="M159" s="10"/>
      <c r="N159" s="24" t="s">
        <v>358</v>
      </c>
      <c r="O159" s="10" t="str" cm="1">
        <f t="array" ref="O159">_xlfn.IFS(N159="A","א'", N159="B", "ב'", N159= "C", "ג'")</f>
        <v>ג'</v>
      </c>
      <c r="P159" s="10">
        <f>IF(Table_2[[#This Row],[Correct_Answer]]=Table_2[[#This Row],[System_Recommendation]],1,0)</f>
        <v>0</v>
      </c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6" t="s">
        <v>135</v>
      </c>
      <c r="B160" s="6">
        <v>27</v>
      </c>
      <c r="C160" s="6" t="s">
        <v>372</v>
      </c>
      <c r="D160" s="6">
        <v>2</v>
      </c>
      <c r="E160" s="6" t="s">
        <v>98</v>
      </c>
      <c r="F160" s="6" t="s">
        <v>375</v>
      </c>
      <c r="G160" s="6" t="s">
        <v>117</v>
      </c>
      <c r="H160" s="6" t="s">
        <v>127</v>
      </c>
      <c r="I160" s="6" t="s">
        <v>100</v>
      </c>
      <c r="J160" s="6" t="s">
        <v>374</v>
      </c>
      <c r="K160" s="6" t="s">
        <v>384</v>
      </c>
      <c r="L160" s="6" t="str">
        <f>IF(J160="כן", K160, VLOOKUP(LEFT(H160, 7), 'קטלוג תרחישים'!$A:$M, 13, FALSE))</f>
        <v>ג'</v>
      </c>
      <c r="M160" s="10"/>
      <c r="N160" s="23" t="s">
        <v>357</v>
      </c>
      <c r="O160" s="10" t="str" cm="1">
        <f t="array" ref="O160">_xlfn.IFS(N160="A","א'", N160="B", "ב'", N160= "C", "ג'")</f>
        <v>ב'</v>
      </c>
      <c r="P160" s="10">
        <f>IF(Table_2[[#This Row],[Correct_Answer]]=Table_2[[#This Row],[System_Recommendation]],1,0)</f>
        <v>0</v>
      </c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6" t="s">
        <v>135</v>
      </c>
      <c r="B161" s="6">
        <v>28</v>
      </c>
      <c r="C161" s="6" t="s">
        <v>372</v>
      </c>
      <c r="D161" s="6">
        <v>2</v>
      </c>
      <c r="E161" s="6" t="s">
        <v>98</v>
      </c>
      <c r="F161" s="6" t="s">
        <v>375</v>
      </c>
      <c r="G161" s="6" t="s">
        <v>117</v>
      </c>
      <c r="H161" s="6" t="s">
        <v>128</v>
      </c>
      <c r="I161" s="6" t="s">
        <v>91</v>
      </c>
      <c r="J161" s="6" t="s">
        <v>371</v>
      </c>
      <c r="K161" s="6" t="s">
        <v>385</v>
      </c>
      <c r="L161" s="6" t="str">
        <f>IF(J161="כן", K161, VLOOKUP(LEFT(H161, 7), 'קטלוג תרחישים'!$A:$M, 13, FALSE))</f>
        <v>ג</v>
      </c>
      <c r="M161" s="10"/>
      <c r="N161" s="24" t="s">
        <v>358</v>
      </c>
      <c r="O161" s="10" t="str" cm="1">
        <f t="array" ref="O161">_xlfn.IFS(N161="A","א'", N161="B", "ב'", N161= "C", "ג'")</f>
        <v>ג'</v>
      </c>
      <c r="P161" s="10">
        <f>IF(Table_2[[#This Row],[Correct_Answer]]=Table_2[[#This Row],[System_Recommendation]],1,0)</f>
        <v>1</v>
      </c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6" t="s">
        <v>135</v>
      </c>
      <c r="B162" s="6">
        <v>29</v>
      </c>
      <c r="C162" s="6" t="s">
        <v>372</v>
      </c>
      <c r="D162" s="6">
        <v>2</v>
      </c>
      <c r="E162" s="6" t="s">
        <v>98</v>
      </c>
      <c r="F162" s="6" t="s">
        <v>375</v>
      </c>
      <c r="G162" s="6" t="s">
        <v>117</v>
      </c>
      <c r="H162" s="6" t="s">
        <v>129</v>
      </c>
      <c r="I162" s="6" t="s">
        <v>100</v>
      </c>
      <c r="J162" s="6" t="s">
        <v>371</v>
      </c>
      <c r="K162" s="6" t="s">
        <v>385</v>
      </c>
      <c r="L162" s="6" t="str">
        <f>IF(J162="כן", K162, VLOOKUP(LEFT(H162, 7), 'קטלוג תרחישים'!$A:$M, 13, FALSE))</f>
        <v>ג</v>
      </c>
      <c r="M162" s="10"/>
      <c r="N162" s="23" t="s">
        <v>358</v>
      </c>
      <c r="O162" s="10" t="str" cm="1">
        <f t="array" ref="O162">_xlfn.IFS(N162="A","א'", N162="B", "ב'", N162= "C", "ג'")</f>
        <v>ג'</v>
      </c>
      <c r="P162" s="10">
        <f>IF(Table_2[[#This Row],[Correct_Answer]]=Table_2[[#This Row],[System_Recommendation]],1,0)</f>
        <v>1</v>
      </c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6" t="s">
        <v>135</v>
      </c>
      <c r="B163" s="6">
        <v>30</v>
      </c>
      <c r="C163" s="6" t="s">
        <v>372</v>
      </c>
      <c r="D163" s="6">
        <v>3</v>
      </c>
      <c r="E163" s="6" t="s">
        <v>105</v>
      </c>
      <c r="F163" s="6" t="s">
        <v>375</v>
      </c>
      <c r="G163" s="6" t="s">
        <v>117</v>
      </c>
      <c r="H163" s="6" t="s">
        <v>118</v>
      </c>
      <c r="I163" s="6" t="s">
        <v>91</v>
      </c>
      <c r="J163" s="6" t="s">
        <v>371</v>
      </c>
      <c r="K163" s="6" t="s">
        <v>384</v>
      </c>
      <c r="L163" s="6" t="str">
        <f>IF(J163="כן", K163, VLOOKUP(LEFT(H163, 7), 'קטלוג תרחישים'!$A:$M, 13, FALSE))</f>
        <v>ב'</v>
      </c>
      <c r="M163" s="10"/>
      <c r="N163" s="24" t="s">
        <v>357</v>
      </c>
      <c r="O163" s="10" t="str" cm="1">
        <f t="array" ref="O163">_xlfn.IFS(N163="A","א'", N163="B", "ב'", N163= "C", "ג'")</f>
        <v>ב'</v>
      </c>
      <c r="P163" s="10">
        <f>IF(Table_2[[#This Row],[Correct_Answer]]=Table_2[[#This Row],[System_Recommendation]],1,0)</f>
        <v>1</v>
      </c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6" t="s">
        <v>135</v>
      </c>
      <c r="B164" s="6">
        <v>31</v>
      </c>
      <c r="C164" s="6" t="s">
        <v>372</v>
      </c>
      <c r="D164" s="6">
        <v>3</v>
      </c>
      <c r="E164" s="6" t="s">
        <v>105</v>
      </c>
      <c r="F164" s="6" t="s">
        <v>375</v>
      </c>
      <c r="G164" s="6" t="s">
        <v>117</v>
      </c>
      <c r="H164" s="6" t="s">
        <v>119</v>
      </c>
      <c r="I164" s="6" t="s">
        <v>100</v>
      </c>
      <c r="J164" s="6" t="s">
        <v>374</v>
      </c>
      <c r="K164" s="6" t="s">
        <v>385</v>
      </c>
      <c r="L164" s="6" t="str">
        <f>IF(J164="כן", K164, VLOOKUP(LEFT(H164, 7), 'קטלוג תרחישים'!$A:$M, 13, FALSE))</f>
        <v>ב'</v>
      </c>
      <c r="M164" s="10"/>
      <c r="N164" s="23" t="s">
        <v>358</v>
      </c>
      <c r="O164" s="10" t="str" cm="1">
        <f t="array" ref="O164">_xlfn.IFS(N164="A","א'", N164="B", "ב'", N164= "C", "ג'")</f>
        <v>ג'</v>
      </c>
      <c r="P164" s="10">
        <f>IF(Table_2[[#This Row],[Correct_Answer]]=Table_2[[#This Row],[System_Recommendation]],1,0)</f>
        <v>0</v>
      </c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6" t="s">
        <v>135</v>
      </c>
      <c r="B165" s="6">
        <v>32</v>
      </c>
      <c r="C165" s="6" t="s">
        <v>372</v>
      </c>
      <c r="D165" s="6">
        <v>3</v>
      </c>
      <c r="E165" s="6" t="s">
        <v>105</v>
      </c>
      <c r="F165" s="6" t="s">
        <v>375</v>
      </c>
      <c r="G165" s="6" t="s">
        <v>117</v>
      </c>
      <c r="H165" s="6" t="s">
        <v>120</v>
      </c>
      <c r="I165" s="6" t="s">
        <v>91</v>
      </c>
      <c r="J165" s="6" t="s">
        <v>374</v>
      </c>
      <c r="K165" s="6" t="s">
        <v>383</v>
      </c>
      <c r="L165" s="6" t="str">
        <f>IF(J165="כן", K165, VLOOKUP(LEFT(H165, 7), 'קטלוג תרחישים'!$A:$M, 13, FALSE))</f>
        <v>א'</v>
      </c>
      <c r="M165" s="10"/>
      <c r="N165" s="24" t="s">
        <v>352</v>
      </c>
      <c r="O165" s="10" t="str" cm="1">
        <f t="array" ref="O165">_xlfn.IFS(N165="A","א'", N165="B", "ב'", N165= "C", "ג'")</f>
        <v>א'</v>
      </c>
      <c r="P165" s="10">
        <f>IF(Table_2[[#This Row],[Correct_Answer]]=Table_2[[#This Row],[System_Recommendation]],1,0)</f>
        <v>1</v>
      </c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6" t="s">
        <v>135</v>
      </c>
      <c r="B166" s="6">
        <v>33</v>
      </c>
      <c r="C166" s="6" t="s">
        <v>372</v>
      </c>
      <c r="D166" s="6">
        <v>3</v>
      </c>
      <c r="E166" s="6" t="s">
        <v>105</v>
      </c>
      <c r="F166" s="6" t="s">
        <v>375</v>
      </c>
      <c r="G166" s="6" t="s">
        <v>117</v>
      </c>
      <c r="H166" s="6" t="s">
        <v>121</v>
      </c>
      <c r="I166" s="6" t="s">
        <v>100</v>
      </c>
      <c r="J166" s="6" t="s">
        <v>371</v>
      </c>
      <c r="K166" s="6" t="s">
        <v>383</v>
      </c>
      <c r="L166" s="6" t="str">
        <f>IF(J166="כן", K166, VLOOKUP(LEFT(H166, 7), 'קטלוג תרחישים'!$A:$M, 13, FALSE))</f>
        <v>א'</v>
      </c>
      <c r="M166" s="10"/>
      <c r="N166" s="23" t="s">
        <v>352</v>
      </c>
      <c r="O166" s="10" t="str" cm="1">
        <f t="array" ref="O166">_xlfn.IFS(N166="A","א'", N166="B", "ב'", N166= "C", "ג'")</f>
        <v>א'</v>
      </c>
      <c r="P166" s="10">
        <f>IF(Table_2[[#This Row],[Correct_Answer]]=Table_2[[#This Row],[System_Recommendation]],1,0)</f>
        <v>1</v>
      </c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6" t="s">
        <v>136</v>
      </c>
      <c r="B167" s="6">
        <v>1</v>
      </c>
      <c r="C167" s="6" t="s">
        <v>370</v>
      </c>
      <c r="D167" s="6"/>
      <c r="E167" s="6" t="s">
        <v>98</v>
      </c>
      <c r="F167" s="6"/>
      <c r="G167" s="6"/>
      <c r="H167" s="8" t="s">
        <v>90</v>
      </c>
      <c r="I167" s="6" t="s">
        <v>91</v>
      </c>
      <c r="J167" s="6" t="s">
        <v>371</v>
      </c>
      <c r="K167" s="6" t="s">
        <v>385</v>
      </c>
      <c r="L167" s="6" t="str">
        <f>IF(J167="כן", K167, VLOOKUP(LEFT(H167, 7), 'קטלוג תרחישים'!$A:$M, 13, FALSE))</f>
        <v>ג</v>
      </c>
      <c r="M167" s="10"/>
      <c r="N167" s="24" t="s">
        <v>358</v>
      </c>
      <c r="O167" s="10" t="str" cm="1">
        <f t="array" ref="O167">_xlfn.IFS(N167="A","א'", N167="B", "ב'", N167= "C", "ג'")</f>
        <v>ג'</v>
      </c>
      <c r="P167" s="10">
        <f>IF(Table_2[[#This Row],[Correct_Answer]]=Table_2[[#This Row],[System_Recommendation]],1,0)</f>
        <v>1</v>
      </c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6" t="s">
        <v>136</v>
      </c>
      <c r="B168" s="6">
        <v>2</v>
      </c>
      <c r="C168" s="6" t="s">
        <v>370</v>
      </c>
      <c r="D168" s="6"/>
      <c r="E168" s="6" t="s">
        <v>98</v>
      </c>
      <c r="F168" s="6"/>
      <c r="G168" s="6"/>
      <c r="H168" s="8" t="s">
        <v>92</v>
      </c>
      <c r="I168" s="6" t="s">
        <v>91</v>
      </c>
      <c r="J168" s="6" t="s">
        <v>371</v>
      </c>
      <c r="K168" s="6" t="s">
        <v>385</v>
      </c>
      <c r="L168" s="6" t="str">
        <f>IF(J168="כן", K168, VLOOKUP(LEFT(H168, 7), 'קטלוג תרחישים'!$A:$M, 13, FALSE))</f>
        <v>ג</v>
      </c>
      <c r="M168" s="10"/>
      <c r="N168" s="23" t="s">
        <v>358</v>
      </c>
      <c r="O168" s="10" t="str" cm="1">
        <f t="array" ref="O168">_xlfn.IFS(N168="A","א'", N168="B", "ב'", N168= "C", "ג'")</f>
        <v>ג'</v>
      </c>
      <c r="P168" s="10">
        <f>IF(Table_2[[#This Row],[Correct_Answer]]=Table_2[[#This Row],[System_Recommendation]],1,0)</f>
        <v>1</v>
      </c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6" t="s">
        <v>136</v>
      </c>
      <c r="B169" s="6">
        <v>3</v>
      </c>
      <c r="C169" s="6" t="s">
        <v>370</v>
      </c>
      <c r="D169" s="6"/>
      <c r="E169" s="6" t="s">
        <v>105</v>
      </c>
      <c r="F169" s="6"/>
      <c r="G169" s="6"/>
      <c r="H169" s="8" t="s">
        <v>93</v>
      </c>
      <c r="I169" s="6" t="s">
        <v>91</v>
      </c>
      <c r="J169" s="6" t="s">
        <v>371</v>
      </c>
      <c r="K169" s="6" t="s">
        <v>385</v>
      </c>
      <c r="L169" s="6" t="str">
        <f>IF(J169="כן", K169, VLOOKUP(LEFT(H169, 7), 'קטלוג תרחישים'!$A:$M, 13, FALSE))</f>
        <v>ג</v>
      </c>
      <c r="M169" s="10"/>
      <c r="N169" s="24" t="s">
        <v>358</v>
      </c>
      <c r="O169" s="10" t="str" cm="1">
        <f t="array" ref="O169">_xlfn.IFS(N169="A","א'", N169="B", "ב'", N169= "C", "ג'")</f>
        <v>ג'</v>
      </c>
      <c r="P169" s="10">
        <f>IF(Table_2[[#This Row],[Correct_Answer]]=Table_2[[#This Row],[System_Recommendation]],1,0)</f>
        <v>1</v>
      </c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6" t="s">
        <v>136</v>
      </c>
      <c r="B170" s="6">
        <v>4</v>
      </c>
      <c r="C170" s="6" t="s">
        <v>370</v>
      </c>
      <c r="D170" s="6"/>
      <c r="E170" s="6" t="s">
        <v>105</v>
      </c>
      <c r="F170" s="6"/>
      <c r="G170" s="6"/>
      <c r="H170" s="8" t="s">
        <v>94</v>
      </c>
      <c r="I170" s="6" t="s">
        <v>91</v>
      </c>
      <c r="J170" s="6" t="s">
        <v>371</v>
      </c>
      <c r="K170" s="6" t="s">
        <v>384</v>
      </c>
      <c r="L170" s="6" t="str">
        <f>IF(J170="כן", K170, VLOOKUP(LEFT(H170, 7), 'קטלוג תרחישים'!$A:$M, 13, FALSE))</f>
        <v>ב'</v>
      </c>
      <c r="M170" s="10"/>
      <c r="N170" s="23" t="s">
        <v>357</v>
      </c>
      <c r="O170" s="10" t="str" cm="1">
        <f t="array" ref="O170">_xlfn.IFS(N170="A","א'", N170="B", "ב'", N170= "C", "ג'")</f>
        <v>ב'</v>
      </c>
      <c r="P170" s="10">
        <f>IF(Table_2[[#This Row],[Correct_Answer]]=Table_2[[#This Row],[System_Recommendation]],1,0)</f>
        <v>1</v>
      </c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6" t="s">
        <v>136</v>
      </c>
      <c r="B171" s="6">
        <v>5</v>
      </c>
      <c r="C171" s="6" t="s">
        <v>370</v>
      </c>
      <c r="D171" s="6"/>
      <c r="E171" s="6" t="s">
        <v>111</v>
      </c>
      <c r="F171" s="6"/>
      <c r="G171" s="6"/>
      <c r="H171" s="8" t="s">
        <v>95</v>
      </c>
      <c r="I171" s="6" t="s">
        <v>91</v>
      </c>
      <c r="J171" s="6" t="s">
        <v>371</v>
      </c>
      <c r="K171" s="6" t="s">
        <v>383</v>
      </c>
      <c r="L171" s="6" t="str">
        <f>IF(J171="כן", K171, VLOOKUP(LEFT(H171, 7), 'קטלוג תרחישים'!$A:$M, 13, FALSE))</f>
        <v>א'</v>
      </c>
      <c r="M171" s="10"/>
      <c r="N171" s="24" t="s">
        <v>352</v>
      </c>
      <c r="O171" s="10" t="str" cm="1">
        <f t="array" ref="O171">_xlfn.IFS(N171="A","א'", N171="B", "ב'", N171= "C", "ג'")</f>
        <v>א'</v>
      </c>
      <c r="P171" s="10">
        <f>IF(Table_2[[#This Row],[Correct_Answer]]=Table_2[[#This Row],[System_Recommendation]],1,0)</f>
        <v>1</v>
      </c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6" t="s">
        <v>136</v>
      </c>
      <c r="B172" s="6">
        <v>6</v>
      </c>
      <c r="C172" s="6" t="s">
        <v>370</v>
      </c>
      <c r="D172" s="6"/>
      <c r="E172" s="6" t="s">
        <v>111</v>
      </c>
      <c r="F172" s="6"/>
      <c r="G172" s="6"/>
      <c r="H172" s="8" t="s">
        <v>96</v>
      </c>
      <c r="I172" s="6" t="s">
        <v>91</v>
      </c>
      <c r="J172" s="6" t="s">
        <v>371</v>
      </c>
      <c r="K172" s="6" t="s">
        <v>383</v>
      </c>
      <c r="L172" s="6" t="str">
        <f>IF(J172="כן", K172, VLOOKUP(LEFT(H172, 7), 'קטלוג תרחישים'!$A:$M, 13, FALSE))</f>
        <v>א'</v>
      </c>
      <c r="M172" s="10"/>
      <c r="N172" s="23" t="s">
        <v>352</v>
      </c>
      <c r="O172" s="10" t="str" cm="1">
        <f t="array" ref="O172">_xlfn.IFS(N172="A","א'", N172="B", "ב'", N172= "C", "ג'")</f>
        <v>א'</v>
      </c>
      <c r="P172" s="10">
        <f>IF(Table_2[[#This Row],[Correct_Answer]]=Table_2[[#This Row],[System_Recommendation]],1,0)</f>
        <v>1</v>
      </c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6" t="s">
        <v>136</v>
      </c>
      <c r="B173" s="6">
        <v>7</v>
      </c>
      <c r="C173" s="6" t="s">
        <v>372</v>
      </c>
      <c r="D173" s="6">
        <v>1</v>
      </c>
      <c r="E173" s="6" t="s">
        <v>98</v>
      </c>
      <c r="F173" s="6" t="s">
        <v>373</v>
      </c>
      <c r="G173" s="6" t="s">
        <v>117</v>
      </c>
      <c r="H173" s="6" t="s">
        <v>128</v>
      </c>
      <c r="I173" s="6" t="s">
        <v>91</v>
      </c>
      <c r="J173" s="6" t="s">
        <v>374</v>
      </c>
      <c r="K173" s="6" t="s">
        <v>383</v>
      </c>
      <c r="L173" s="6" t="str">
        <f>IF(J173="כן", K173, VLOOKUP(LEFT(H173, 7), 'קטלוג תרחישים'!$A:$M, 13, FALSE))</f>
        <v>ג'</v>
      </c>
      <c r="M173" s="10"/>
      <c r="N173" s="24" t="s">
        <v>352</v>
      </c>
      <c r="O173" s="10" t="str" cm="1">
        <f t="array" ref="O173">_xlfn.IFS(N173="A","א'", N173="B", "ב'", N173= "C", "ג'")</f>
        <v>א'</v>
      </c>
      <c r="P173" s="10">
        <f>IF(Table_2[[#This Row],[Correct_Answer]]=Table_2[[#This Row],[System_Recommendation]],1,0)</f>
        <v>0</v>
      </c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6" t="s">
        <v>136</v>
      </c>
      <c r="B174" s="6">
        <v>8</v>
      </c>
      <c r="C174" s="6" t="s">
        <v>372</v>
      </c>
      <c r="D174" s="6">
        <v>1</v>
      </c>
      <c r="E174" s="6" t="s">
        <v>98</v>
      </c>
      <c r="F174" s="6" t="s">
        <v>373</v>
      </c>
      <c r="G174" s="6" t="s">
        <v>117</v>
      </c>
      <c r="H174" s="6" t="s">
        <v>129</v>
      </c>
      <c r="I174" s="6" t="s">
        <v>100</v>
      </c>
      <c r="J174" s="6" t="s">
        <v>371</v>
      </c>
      <c r="K174" s="6" t="s">
        <v>383</v>
      </c>
      <c r="L174" s="6" t="str">
        <f>IF(J174="כן", K174, VLOOKUP(LEFT(H174, 7), 'קטלוג תרחישים'!$A:$M, 13, FALSE))</f>
        <v>א'</v>
      </c>
      <c r="M174" s="10"/>
      <c r="N174" s="23" t="s">
        <v>352</v>
      </c>
      <c r="O174" s="10" t="str" cm="1">
        <f t="array" ref="O174">_xlfn.IFS(N174="A","א'", N174="B", "ב'", N174= "C", "ג'")</f>
        <v>א'</v>
      </c>
      <c r="P174" s="10">
        <f>IF(Table_2[[#This Row],[Correct_Answer]]=Table_2[[#This Row],[System_Recommendation]],1,0)</f>
        <v>1</v>
      </c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6" t="s">
        <v>136</v>
      </c>
      <c r="B175" s="6">
        <v>9</v>
      </c>
      <c r="C175" s="6" t="s">
        <v>372</v>
      </c>
      <c r="D175" s="6">
        <v>1</v>
      </c>
      <c r="E175" s="6" t="s">
        <v>98</v>
      </c>
      <c r="F175" s="6" t="s">
        <v>373</v>
      </c>
      <c r="G175" s="6" t="s">
        <v>117</v>
      </c>
      <c r="H175" s="6" t="s">
        <v>126</v>
      </c>
      <c r="I175" s="6" t="s">
        <v>91</v>
      </c>
      <c r="J175" s="6" t="s">
        <v>371</v>
      </c>
      <c r="K175" s="6" t="s">
        <v>384</v>
      </c>
      <c r="L175" s="6" t="str">
        <f>IF(J175="כן", K175, VLOOKUP(LEFT(H175, 7), 'קטלוג תרחישים'!$A:$M, 13, FALSE))</f>
        <v>ב'</v>
      </c>
      <c r="M175" s="10"/>
      <c r="N175" s="24" t="s">
        <v>357</v>
      </c>
      <c r="O175" s="10" t="str" cm="1">
        <f t="array" ref="O175">_xlfn.IFS(N175="A","א'", N175="B", "ב'", N175= "C", "ג'")</f>
        <v>ב'</v>
      </c>
      <c r="P175" s="10">
        <f>IF(Table_2[[#This Row],[Correct_Answer]]=Table_2[[#This Row],[System_Recommendation]],1,0)</f>
        <v>1</v>
      </c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6" t="s">
        <v>136</v>
      </c>
      <c r="B176" s="6">
        <v>10</v>
      </c>
      <c r="C176" s="6" t="s">
        <v>372</v>
      </c>
      <c r="D176" s="6">
        <v>1</v>
      </c>
      <c r="E176" s="6" t="s">
        <v>98</v>
      </c>
      <c r="F176" s="6" t="s">
        <v>373</v>
      </c>
      <c r="G176" s="6" t="s">
        <v>117</v>
      </c>
      <c r="H176" s="6" t="s">
        <v>127</v>
      </c>
      <c r="I176" s="6" t="s">
        <v>100</v>
      </c>
      <c r="J176" s="6" t="s">
        <v>374</v>
      </c>
      <c r="K176" s="6" t="s">
        <v>384</v>
      </c>
      <c r="L176" s="6" t="str">
        <f>IF(J176="כן", K176, VLOOKUP(LEFT(H176, 7), 'קטלוג תרחישים'!$A:$M, 13, FALSE))</f>
        <v>ג'</v>
      </c>
      <c r="M176" s="10"/>
      <c r="N176" s="23" t="s">
        <v>357</v>
      </c>
      <c r="O176" s="10" t="str" cm="1">
        <f t="array" ref="O176">_xlfn.IFS(N176="A","א'", N176="B", "ב'", N176= "C", "ג'")</f>
        <v>ב'</v>
      </c>
      <c r="P176" s="10">
        <f>IF(Table_2[[#This Row],[Correct_Answer]]=Table_2[[#This Row],[System_Recommendation]],1,0)</f>
        <v>0</v>
      </c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6" t="s">
        <v>136</v>
      </c>
      <c r="B177" s="6">
        <v>11</v>
      </c>
      <c r="C177" s="6" t="s">
        <v>372</v>
      </c>
      <c r="D177" s="6">
        <v>2</v>
      </c>
      <c r="E177" s="6" t="s">
        <v>105</v>
      </c>
      <c r="F177" s="6" t="s">
        <v>373</v>
      </c>
      <c r="G177" s="6" t="s">
        <v>117</v>
      </c>
      <c r="H177" s="6" t="s">
        <v>120</v>
      </c>
      <c r="I177" s="6" t="s">
        <v>91</v>
      </c>
      <c r="J177" s="6" t="s">
        <v>374</v>
      </c>
      <c r="K177" s="6" t="s">
        <v>385</v>
      </c>
      <c r="L177" s="6" t="str">
        <f>IF(J177="כן", K177, VLOOKUP(LEFT(H177, 7), 'קטלוג תרחישים'!$A:$M, 13, FALSE))</f>
        <v>א'</v>
      </c>
      <c r="M177" s="10"/>
      <c r="N177" s="24" t="s">
        <v>358</v>
      </c>
      <c r="O177" s="10" t="str" cm="1">
        <f t="array" ref="O177">_xlfn.IFS(N177="A","א'", N177="B", "ב'", N177= "C", "ג'")</f>
        <v>ג'</v>
      </c>
      <c r="P177" s="10">
        <f>IF(Table_2[[#This Row],[Correct_Answer]]=Table_2[[#This Row],[System_Recommendation]],1,0)</f>
        <v>0</v>
      </c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6" t="s">
        <v>136</v>
      </c>
      <c r="B178" s="6">
        <v>12</v>
      </c>
      <c r="C178" s="6" t="s">
        <v>372</v>
      </c>
      <c r="D178" s="6">
        <v>2</v>
      </c>
      <c r="E178" s="6" t="s">
        <v>105</v>
      </c>
      <c r="F178" s="6" t="s">
        <v>373</v>
      </c>
      <c r="G178" s="6" t="s">
        <v>117</v>
      </c>
      <c r="H178" s="6" t="s">
        <v>121</v>
      </c>
      <c r="I178" s="6" t="s">
        <v>100</v>
      </c>
      <c r="J178" s="6" t="s">
        <v>374</v>
      </c>
      <c r="K178" s="6" t="s">
        <v>385</v>
      </c>
      <c r="L178" s="6" t="str">
        <f>IF(J178="כן", K178, VLOOKUP(LEFT(H178, 7), 'קטלוג תרחישים'!$A:$M, 13, FALSE))</f>
        <v>ב'</v>
      </c>
      <c r="M178" s="10"/>
      <c r="N178" s="23" t="s">
        <v>358</v>
      </c>
      <c r="O178" s="10" t="str" cm="1">
        <f t="array" ref="O178">_xlfn.IFS(N178="A","א'", N178="B", "ב'", N178= "C", "ג'")</f>
        <v>ג'</v>
      </c>
      <c r="P178" s="10">
        <f>IF(Table_2[[#This Row],[Correct_Answer]]=Table_2[[#This Row],[System_Recommendation]],1,0)</f>
        <v>0</v>
      </c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6" t="s">
        <v>136</v>
      </c>
      <c r="B179" s="6">
        <v>13</v>
      </c>
      <c r="C179" s="6" t="s">
        <v>372</v>
      </c>
      <c r="D179" s="6">
        <v>2</v>
      </c>
      <c r="E179" s="6" t="s">
        <v>105</v>
      </c>
      <c r="F179" s="6" t="s">
        <v>373</v>
      </c>
      <c r="G179" s="6" t="s">
        <v>117</v>
      </c>
      <c r="H179" s="6" t="s">
        <v>118</v>
      </c>
      <c r="I179" s="6" t="s">
        <v>91</v>
      </c>
      <c r="J179" s="6" t="s">
        <v>371</v>
      </c>
      <c r="K179" s="6" t="s">
        <v>385</v>
      </c>
      <c r="L179" s="6" t="str">
        <f>IF(J179="כן", K179, VLOOKUP(LEFT(H179, 7), 'קטלוג תרחישים'!$A:$M, 13, FALSE))</f>
        <v>ג</v>
      </c>
      <c r="M179" s="10"/>
      <c r="N179" s="24" t="s">
        <v>358</v>
      </c>
      <c r="O179" s="10" t="str" cm="1">
        <f t="array" ref="O179">_xlfn.IFS(N179="A","א'", N179="B", "ב'", N179= "C", "ג'")</f>
        <v>ג'</v>
      </c>
      <c r="P179" s="10">
        <f>IF(Table_2[[#This Row],[Correct_Answer]]=Table_2[[#This Row],[System_Recommendation]],1,0)</f>
        <v>1</v>
      </c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6" t="s">
        <v>136</v>
      </c>
      <c r="B180" s="6">
        <v>14</v>
      </c>
      <c r="C180" s="6" t="s">
        <v>372</v>
      </c>
      <c r="D180" s="6">
        <v>2</v>
      </c>
      <c r="E180" s="6" t="s">
        <v>105</v>
      </c>
      <c r="F180" s="6" t="s">
        <v>373</v>
      </c>
      <c r="G180" s="6" t="s">
        <v>117</v>
      </c>
      <c r="H180" s="6" t="s">
        <v>119</v>
      </c>
      <c r="I180" s="6" t="s">
        <v>100</v>
      </c>
      <c r="J180" s="6" t="s">
        <v>371</v>
      </c>
      <c r="K180" s="6" t="s">
        <v>384</v>
      </c>
      <c r="L180" s="6" t="str">
        <f>IF(J180="כן", K180, VLOOKUP(LEFT(H180, 7), 'קטלוג תרחישים'!$A:$M, 13, FALSE))</f>
        <v>ב'</v>
      </c>
      <c r="M180" s="10"/>
      <c r="N180" s="23" t="s">
        <v>357</v>
      </c>
      <c r="O180" s="10" t="str" cm="1">
        <f t="array" ref="O180">_xlfn.IFS(N180="A","א'", N180="B", "ב'", N180= "C", "ג'")</f>
        <v>ב'</v>
      </c>
      <c r="P180" s="10">
        <f>IF(Table_2[[#This Row],[Correct_Answer]]=Table_2[[#This Row],[System_Recommendation]],1,0)</f>
        <v>1</v>
      </c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6" t="s">
        <v>136</v>
      </c>
      <c r="B181" s="6">
        <v>15</v>
      </c>
      <c r="C181" s="6" t="s">
        <v>372</v>
      </c>
      <c r="D181" s="6">
        <v>3</v>
      </c>
      <c r="E181" s="6" t="s">
        <v>111</v>
      </c>
      <c r="F181" s="6" t="s">
        <v>373</v>
      </c>
      <c r="G181" s="6" t="s">
        <v>117</v>
      </c>
      <c r="H181" s="6" t="s">
        <v>122</v>
      </c>
      <c r="I181" s="6" t="s">
        <v>91</v>
      </c>
      <c r="J181" s="6" t="s">
        <v>371</v>
      </c>
      <c r="K181" s="6" t="s">
        <v>384</v>
      </c>
      <c r="L181" s="6" t="str">
        <f>IF(J181="כן", K181, VLOOKUP(LEFT(H181, 7), 'קטלוג תרחישים'!$A:$M, 13, FALSE))</f>
        <v>ב'</v>
      </c>
      <c r="M181" s="10"/>
      <c r="N181" s="24" t="s">
        <v>357</v>
      </c>
      <c r="O181" s="10" t="str" cm="1">
        <f t="array" ref="O181">_xlfn.IFS(N181="A","א'", N181="B", "ב'", N181= "C", "ג'")</f>
        <v>ב'</v>
      </c>
      <c r="P181" s="10">
        <f>IF(Table_2[[#This Row],[Correct_Answer]]=Table_2[[#This Row],[System_Recommendation]],1,0)</f>
        <v>1</v>
      </c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6" t="s">
        <v>136</v>
      </c>
      <c r="B182" s="6">
        <v>16</v>
      </c>
      <c r="C182" s="6" t="s">
        <v>372</v>
      </c>
      <c r="D182" s="6">
        <v>3</v>
      </c>
      <c r="E182" s="6" t="s">
        <v>111</v>
      </c>
      <c r="F182" s="6" t="s">
        <v>373</v>
      </c>
      <c r="G182" s="6" t="s">
        <v>117</v>
      </c>
      <c r="H182" s="6" t="s">
        <v>125</v>
      </c>
      <c r="I182" s="6" t="s">
        <v>100</v>
      </c>
      <c r="J182" s="6" t="s">
        <v>374</v>
      </c>
      <c r="K182" s="6" t="s">
        <v>384</v>
      </c>
      <c r="L182" s="6" t="str">
        <f>IF(J182="כן", K182, VLOOKUP(LEFT(H182, 7), 'קטלוג תרחישים'!$A:$M, 13, FALSE))</f>
        <v>ב'</v>
      </c>
      <c r="M182" s="10"/>
      <c r="N182" s="23" t="s">
        <v>357</v>
      </c>
      <c r="O182" s="10" t="str" cm="1">
        <f t="array" ref="O182">_xlfn.IFS(N182="A","א'", N182="B", "ב'", N182= "C", "ג'")</f>
        <v>ב'</v>
      </c>
      <c r="P182" s="10">
        <f>IF(Table_2[[#This Row],[Correct_Answer]]=Table_2[[#This Row],[System_Recommendation]],1,0)</f>
        <v>1</v>
      </c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6" t="s">
        <v>136</v>
      </c>
      <c r="B183" s="6">
        <v>17</v>
      </c>
      <c r="C183" s="6" t="s">
        <v>372</v>
      </c>
      <c r="D183" s="6">
        <v>3</v>
      </c>
      <c r="E183" s="6" t="s">
        <v>111</v>
      </c>
      <c r="F183" s="6" t="s">
        <v>373</v>
      </c>
      <c r="G183" s="6" t="s">
        <v>117</v>
      </c>
      <c r="H183" s="6" t="s">
        <v>124</v>
      </c>
      <c r="I183" s="6" t="s">
        <v>91</v>
      </c>
      <c r="J183" s="6" t="s">
        <v>374</v>
      </c>
      <c r="K183" s="6" t="s">
        <v>383</v>
      </c>
      <c r="L183" s="6" t="str">
        <f>IF(J183="כן", K183, VLOOKUP(LEFT(H183, 7), 'קטלוג תרחישים'!$A:$M, 13, FALSE))</f>
        <v>א'</v>
      </c>
      <c r="M183" s="10"/>
      <c r="N183" s="24" t="s">
        <v>352</v>
      </c>
      <c r="O183" s="10" t="str" cm="1">
        <f t="array" ref="O183">_xlfn.IFS(N183="A","א'", N183="B", "ב'", N183= "C", "ג'")</f>
        <v>א'</v>
      </c>
      <c r="P183" s="10">
        <f>IF(Table_2[[#This Row],[Correct_Answer]]=Table_2[[#This Row],[System_Recommendation]],1,0)</f>
        <v>1</v>
      </c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6" t="s">
        <v>136</v>
      </c>
      <c r="B184" s="6">
        <v>18</v>
      </c>
      <c r="C184" s="6" t="s">
        <v>372</v>
      </c>
      <c r="D184" s="6">
        <v>3</v>
      </c>
      <c r="E184" s="6" t="s">
        <v>111</v>
      </c>
      <c r="F184" s="6" t="s">
        <v>373</v>
      </c>
      <c r="G184" s="6" t="s">
        <v>117</v>
      </c>
      <c r="H184" s="6" t="s">
        <v>123</v>
      </c>
      <c r="I184" s="6" t="s">
        <v>100</v>
      </c>
      <c r="J184" s="6" t="s">
        <v>371</v>
      </c>
      <c r="K184" s="6" t="s">
        <v>385</v>
      </c>
      <c r="L184" s="6" t="str">
        <f>IF(J184="כן", K184, VLOOKUP(LEFT(H184, 7), 'קטלוג תרחישים'!$A:$M, 13, FALSE))</f>
        <v>ג</v>
      </c>
      <c r="M184" s="10"/>
      <c r="N184" s="23" t="s">
        <v>358</v>
      </c>
      <c r="O184" s="10" t="str" cm="1">
        <f t="array" ref="O184">_xlfn.IFS(N184="A","א'", N184="B", "ב'", N184= "C", "ג'")</f>
        <v>ג'</v>
      </c>
      <c r="P184" s="10">
        <f>IF(Table_2[[#This Row],[Correct_Answer]]=Table_2[[#This Row],[System_Recommendation]],1,0)</f>
        <v>1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6" t="s">
        <v>136</v>
      </c>
      <c r="B185" s="6">
        <v>19</v>
      </c>
      <c r="C185" s="6" t="s">
        <v>372</v>
      </c>
      <c r="D185" s="6">
        <v>1</v>
      </c>
      <c r="E185" s="6" t="s">
        <v>111</v>
      </c>
      <c r="F185" s="6" t="s">
        <v>375</v>
      </c>
      <c r="G185" s="6" t="s">
        <v>97</v>
      </c>
      <c r="H185" s="6" t="s">
        <v>116</v>
      </c>
      <c r="I185" s="6" t="s">
        <v>91</v>
      </c>
      <c r="J185" s="6" t="s">
        <v>371</v>
      </c>
      <c r="K185" s="6" t="s">
        <v>384</v>
      </c>
      <c r="L185" s="6" t="str">
        <f>IF(J185="כן", K185, VLOOKUP(LEFT(H185, 7), 'קטלוג תרחישים'!$A:$M, 13, FALSE))</f>
        <v>ב'</v>
      </c>
      <c r="M185" s="10"/>
      <c r="N185" s="24" t="s">
        <v>357</v>
      </c>
      <c r="O185" s="10" t="str" cm="1">
        <f t="array" ref="O185">_xlfn.IFS(N185="A","א'", N185="B", "ב'", N185= "C", "ג'")</f>
        <v>ב'</v>
      </c>
      <c r="P185" s="10">
        <f>IF(Table_2[[#This Row],[Correct_Answer]]=Table_2[[#This Row],[System_Recommendation]],1,0)</f>
        <v>1</v>
      </c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6" t="s">
        <v>136</v>
      </c>
      <c r="B186" s="6">
        <v>20</v>
      </c>
      <c r="C186" s="6" t="s">
        <v>372</v>
      </c>
      <c r="D186" s="6">
        <v>1</v>
      </c>
      <c r="E186" s="6" t="s">
        <v>111</v>
      </c>
      <c r="F186" s="6" t="s">
        <v>375</v>
      </c>
      <c r="G186" s="6" t="s">
        <v>97</v>
      </c>
      <c r="H186" s="6" t="s">
        <v>113</v>
      </c>
      <c r="I186" s="6" t="s">
        <v>100</v>
      </c>
      <c r="J186" s="6" t="s">
        <v>371</v>
      </c>
      <c r="K186" s="6" t="s">
        <v>385</v>
      </c>
      <c r="L186" s="6" t="str">
        <f>IF(J186="כן", K186, VLOOKUP(LEFT(H186, 7), 'קטלוג תרחישים'!$A:$M, 13, FALSE))</f>
        <v>ג</v>
      </c>
      <c r="M186" s="10"/>
      <c r="N186" s="23" t="s">
        <v>358</v>
      </c>
      <c r="O186" s="10" t="str" cm="1">
        <f t="array" ref="O186">_xlfn.IFS(N186="A","א'", N186="B", "ב'", N186= "C", "ג'")</f>
        <v>ג'</v>
      </c>
      <c r="P186" s="10">
        <f>IF(Table_2[[#This Row],[Correct_Answer]]=Table_2[[#This Row],[System_Recommendation]],1,0)</f>
        <v>1</v>
      </c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6" t="s">
        <v>136</v>
      </c>
      <c r="B187" s="6">
        <v>21</v>
      </c>
      <c r="C187" s="6" t="s">
        <v>372</v>
      </c>
      <c r="D187" s="6">
        <v>1</v>
      </c>
      <c r="E187" s="6" t="s">
        <v>111</v>
      </c>
      <c r="F187" s="6" t="s">
        <v>375</v>
      </c>
      <c r="G187" s="6" t="s">
        <v>97</v>
      </c>
      <c r="H187" s="6" t="s">
        <v>114</v>
      </c>
      <c r="I187" s="6" t="s">
        <v>91</v>
      </c>
      <c r="J187" s="6" t="s">
        <v>374</v>
      </c>
      <c r="K187" s="6" t="s">
        <v>383</v>
      </c>
      <c r="L187" s="6" t="str">
        <f>IF(J187="כן", K187, VLOOKUP(LEFT(H187, 7), 'קטלוג תרחישים'!$A:$M, 13, FALSE))</f>
        <v>ב'</v>
      </c>
      <c r="M187" s="10"/>
      <c r="N187" s="24" t="s">
        <v>352</v>
      </c>
      <c r="O187" s="10" t="str" cm="1">
        <f t="array" ref="O187">_xlfn.IFS(N187="A","א'", N187="B", "ב'", N187= "C", "ג'")</f>
        <v>א'</v>
      </c>
      <c r="P187" s="10">
        <f>IF(Table_2[[#This Row],[Correct_Answer]]=Table_2[[#This Row],[System_Recommendation]],1,0)</f>
        <v>0</v>
      </c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6" t="s">
        <v>136</v>
      </c>
      <c r="B188" s="6">
        <v>22</v>
      </c>
      <c r="C188" s="6" t="s">
        <v>372</v>
      </c>
      <c r="D188" s="6">
        <v>1</v>
      </c>
      <c r="E188" s="6" t="s">
        <v>111</v>
      </c>
      <c r="F188" s="6" t="s">
        <v>375</v>
      </c>
      <c r="G188" s="6" t="s">
        <v>97</v>
      </c>
      <c r="H188" s="6" t="s">
        <v>115</v>
      </c>
      <c r="I188" s="6" t="s">
        <v>100</v>
      </c>
      <c r="J188" s="6" t="s">
        <v>371</v>
      </c>
      <c r="K188" s="6" t="s">
        <v>385</v>
      </c>
      <c r="L188" s="6" t="str">
        <f>IF(J188="כן", K188, VLOOKUP(LEFT(H188, 7), 'קטלוג תרחישים'!$A:$M, 13, FALSE))</f>
        <v>ג</v>
      </c>
      <c r="M188" s="10"/>
      <c r="N188" s="23" t="s">
        <v>358</v>
      </c>
      <c r="O188" s="10" t="str" cm="1">
        <f t="array" ref="O188">_xlfn.IFS(N188="A","א'", N188="B", "ב'", N188= "C", "ג'")</f>
        <v>ג'</v>
      </c>
      <c r="P188" s="10">
        <f>IF(Table_2[[#This Row],[Correct_Answer]]=Table_2[[#This Row],[System_Recommendation]],1,0)</f>
        <v>1</v>
      </c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6" t="s">
        <v>136</v>
      </c>
      <c r="B189" s="6">
        <v>23</v>
      </c>
      <c r="C189" s="6" t="s">
        <v>372</v>
      </c>
      <c r="D189" s="6">
        <v>1</v>
      </c>
      <c r="E189" s="6" t="s">
        <v>111</v>
      </c>
      <c r="F189" s="6" t="s">
        <v>375</v>
      </c>
      <c r="G189" s="6" t="s">
        <v>97</v>
      </c>
      <c r="H189" s="6" t="s">
        <v>112</v>
      </c>
      <c r="I189" s="6" t="s">
        <v>91</v>
      </c>
      <c r="J189" s="6" t="s">
        <v>371</v>
      </c>
      <c r="K189" s="6" t="s">
        <v>385</v>
      </c>
      <c r="L189" s="6" t="str">
        <f>IF(J189="כן", K189, VLOOKUP(LEFT(H189, 7), 'קטלוג תרחישים'!$A:$M, 13, FALSE))</f>
        <v>ג</v>
      </c>
      <c r="M189" s="10"/>
      <c r="N189" s="24" t="s">
        <v>358</v>
      </c>
      <c r="O189" s="10" t="str" cm="1">
        <f t="array" ref="O189">_xlfn.IFS(N189="A","א'", N189="B", "ב'", N189= "C", "ג'")</f>
        <v>ג'</v>
      </c>
      <c r="P189" s="10">
        <f>IF(Table_2[[#This Row],[Correct_Answer]]=Table_2[[#This Row],[System_Recommendation]],1,0)</f>
        <v>1</v>
      </c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6" t="s">
        <v>136</v>
      </c>
      <c r="B190" s="6">
        <v>24</v>
      </c>
      <c r="C190" s="6" t="s">
        <v>372</v>
      </c>
      <c r="D190" s="6">
        <v>2</v>
      </c>
      <c r="E190" s="6" t="s">
        <v>98</v>
      </c>
      <c r="F190" s="6" t="s">
        <v>375</v>
      </c>
      <c r="G190" s="6" t="s">
        <v>97</v>
      </c>
      <c r="H190" s="6" t="s">
        <v>102</v>
      </c>
      <c r="I190" s="6" t="s">
        <v>100</v>
      </c>
      <c r="J190" s="6" t="s">
        <v>371</v>
      </c>
      <c r="K190" s="6" t="s">
        <v>384</v>
      </c>
      <c r="L190" s="6" t="str">
        <f>IF(J190="כן", K190, VLOOKUP(LEFT(H190, 7), 'קטלוג תרחישים'!$A:$M, 13, FALSE))</f>
        <v>ב'</v>
      </c>
      <c r="M190" s="10"/>
      <c r="N190" s="23" t="s">
        <v>357</v>
      </c>
      <c r="O190" s="10" t="str" cm="1">
        <f t="array" ref="O190">_xlfn.IFS(N190="A","א'", N190="B", "ב'", N190= "C", "ג'")</f>
        <v>ב'</v>
      </c>
      <c r="P190" s="10">
        <f>IF(Table_2[[#This Row],[Correct_Answer]]=Table_2[[#This Row],[System_Recommendation]],1,0)</f>
        <v>1</v>
      </c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6" t="s">
        <v>136</v>
      </c>
      <c r="B191" s="6">
        <v>25</v>
      </c>
      <c r="C191" s="6" t="s">
        <v>372</v>
      </c>
      <c r="D191" s="6">
        <v>2</v>
      </c>
      <c r="E191" s="6" t="s">
        <v>98</v>
      </c>
      <c r="F191" s="6" t="s">
        <v>375</v>
      </c>
      <c r="G191" s="6" t="s">
        <v>97</v>
      </c>
      <c r="H191" s="6" t="s">
        <v>103</v>
      </c>
      <c r="I191" s="6" t="s">
        <v>91</v>
      </c>
      <c r="J191" s="6" t="s">
        <v>374</v>
      </c>
      <c r="K191" s="6" t="s">
        <v>383</v>
      </c>
      <c r="L191" s="6" t="str">
        <f>IF(J191="כן", K191, VLOOKUP(LEFT(H191, 7), 'קטלוג תרחישים'!$A:$M, 13, FALSE))</f>
        <v>ג'</v>
      </c>
      <c r="M191" s="10"/>
      <c r="N191" s="24" t="s">
        <v>352</v>
      </c>
      <c r="O191" s="10" t="str" cm="1">
        <f t="array" ref="O191">_xlfn.IFS(N191="A","א'", N191="B", "ב'", N191= "C", "ג'")</f>
        <v>א'</v>
      </c>
      <c r="P191" s="10">
        <f>IF(Table_2[[#This Row],[Correct_Answer]]=Table_2[[#This Row],[System_Recommendation]],1,0)</f>
        <v>0</v>
      </c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6" t="s">
        <v>136</v>
      </c>
      <c r="B192" s="6">
        <v>26</v>
      </c>
      <c r="C192" s="6" t="s">
        <v>372</v>
      </c>
      <c r="D192" s="6">
        <v>2</v>
      </c>
      <c r="E192" s="6" t="s">
        <v>98</v>
      </c>
      <c r="F192" s="6" t="s">
        <v>375</v>
      </c>
      <c r="G192" s="6" t="s">
        <v>97</v>
      </c>
      <c r="H192" s="6" t="s">
        <v>104</v>
      </c>
      <c r="I192" s="6" t="s">
        <v>100</v>
      </c>
      <c r="J192" s="6" t="s">
        <v>371</v>
      </c>
      <c r="K192" s="6" t="s">
        <v>385</v>
      </c>
      <c r="L192" s="6" t="str">
        <f>IF(J192="כן", K192, VLOOKUP(LEFT(H192, 7), 'קטלוג תרחישים'!$A:$M, 13, FALSE))</f>
        <v>ג</v>
      </c>
      <c r="M192" s="10"/>
      <c r="N192" s="23" t="s">
        <v>358</v>
      </c>
      <c r="O192" s="10" t="str" cm="1">
        <f t="array" ref="O192">_xlfn.IFS(N192="A","א'", N192="B", "ב'", N192= "C", "ג'")</f>
        <v>ג'</v>
      </c>
      <c r="P192" s="10">
        <f>IF(Table_2[[#This Row],[Correct_Answer]]=Table_2[[#This Row],[System_Recommendation]],1,0)</f>
        <v>1</v>
      </c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6" t="s">
        <v>136</v>
      </c>
      <c r="B193" s="6">
        <v>27</v>
      </c>
      <c r="C193" s="6" t="s">
        <v>372</v>
      </c>
      <c r="D193" s="6">
        <v>2</v>
      </c>
      <c r="E193" s="6" t="s">
        <v>98</v>
      </c>
      <c r="F193" s="6" t="s">
        <v>375</v>
      </c>
      <c r="G193" s="6" t="s">
        <v>97</v>
      </c>
      <c r="H193" s="6" t="s">
        <v>101</v>
      </c>
      <c r="I193" s="6" t="s">
        <v>91</v>
      </c>
      <c r="J193" s="6" t="s">
        <v>371</v>
      </c>
      <c r="K193" s="6" t="s">
        <v>384</v>
      </c>
      <c r="L193" s="6" t="str">
        <f>IF(J193="כן", K193, VLOOKUP(LEFT(H193, 7), 'קטלוג תרחישים'!$A:$M, 13, FALSE))</f>
        <v>ב'</v>
      </c>
      <c r="M193" s="10"/>
      <c r="N193" s="24" t="s">
        <v>357</v>
      </c>
      <c r="O193" s="10" t="str" cm="1">
        <f t="array" ref="O193">_xlfn.IFS(N193="A","א'", N193="B", "ב'", N193= "C", "ג'")</f>
        <v>ב'</v>
      </c>
      <c r="P193" s="10">
        <f>IF(Table_2[[#This Row],[Correct_Answer]]=Table_2[[#This Row],[System_Recommendation]],1,0)</f>
        <v>1</v>
      </c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6" t="s">
        <v>136</v>
      </c>
      <c r="B194" s="6">
        <v>28</v>
      </c>
      <c r="C194" s="6" t="s">
        <v>372</v>
      </c>
      <c r="D194" s="6">
        <v>2</v>
      </c>
      <c r="E194" s="6" t="s">
        <v>98</v>
      </c>
      <c r="F194" s="6" t="s">
        <v>375</v>
      </c>
      <c r="G194" s="6" t="s">
        <v>97</v>
      </c>
      <c r="H194" s="6" t="s">
        <v>99</v>
      </c>
      <c r="I194" s="6" t="s">
        <v>100</v>
      </c>
      <c r="J194" s="6" t="s">
        <v>371</v>
      </c>
      <c r="K194" s="6" t="s">
        <v>385</v>
      </c>
      <c r="L194" s="6" t="str">
        <f>IF(J194="כן", K194, VLOOKUP(LEFT(H194, 7), 'קטלוג תרחישים'!$A:$M, 13, FALSE))</f>
        <v>ג</v>
      </c>
      <c r="M194" s="10"/>
      <c r="N194" s="23" t="s">
        <v>358</v>
      </c>
      <c r="O194" s="10" t="str" cm="1">
        <f t="array" ref="O194">_xlfn.IFS(N194="A","א'", N194="B", "ב'", N194= "C", "ג'")</f>
        <v>ג'</v>
      </c>
      <c r="P194" s="10">
        <f>IF(Table_2[[#This Row],[Correct_Answer]]=Table_2[[#This Row],[System_Recommendation]],1,0)</f>
        <v>1</v>
      </c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6" t="s">
        <v>136</v>
      </c>
      <c r="B195" s="6">
        <v>29</v>
      </c>
      <c r="C195" s="6" t="s">
        <v>372</v>
      </c>
      <c r="D195" s="6">
        <v>3</v>
      </c>
      <c r="E195" s="6" t="s">
        <v>105</v>
      </c>
      <c r="F195" s="6" t="s">
        <v>375</v>
      </c>
      <c r="G195" s="6" t="s">
        <v>97</v>
      </c>
      <c r="H195" s="6" t="s">
        <v>108</v>
      </c>
      <c r="I195" s="6" t="s">
        <v>91</v>
      </c>
      <c r="J195" s="6" t="s">
        <v>371</v>
      </c>
      <c r="K195" s="6" t="s">
        <v>385</v>
      </c>
      <c r="L195" s="6" t="str">
        <f>IF(J195="כן", K195, VLOOKUP(LEFT(H195, 7), 'קטלוג תרחישים'!$A:$M, 13, FALSE))</f>
        <v>ג</v>
      </c>
      <c r="M195" s="10"/>
      <c r="N195" s="24" t="s">
        <v>358</v>
      </c>
      <c r="O195" s="10" t="str" cm="1">
        <f t="array" ref="O195">_xlfn.IFS(N195="A","א'", N195="B", "ב'", N195= "C", "ג'")</f>
        <v>ג'</v>
      </c>
      <c r="P195" s="10">
        <f>IF(Table_2[[#This Row],[Correct_Answer]]=Table_2[[#This Row],[System_Recommendation]],1,0)</f>
        <v>1</v>
      </c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6" t="s">
        <v>136</v>
      </c>
      <c r="B196" s="6">
        <v>30</v>
      </c>
      <c r="C196" s="6" t="s">
        <v>372</v>
      </c>
      <c r="D196" s="6">
        <v>3</v>
      </c>
      <c r="E196" s="6" t="s">
        <v>105</v>
      </c>
      <c r="F196" s="6" t="s">
        <v>375</v>
      </c>
      <c r="G196" s="6" t="s">
        <v>97</v>
      </c>
      <c r="H196" s="6" t="s">
        <v>107</v>
      </c>
      <c r="I196" s="6" t="s">
        <v>100</v>
      </c>
      <c r="J196" s="6" t="s">
        <v>371</v>
      </c>
      <c r="K196" s="6" t="s">
        <v>384</v>
      </c>
      <c r="L196" s="6" t="str">
        <f>IF(J196="כן", K196, VLOOKUP(LEFT(H196, 7), 'קטלוג תרחישים'!$A:$M, 13, FALSE))</f>
        <v>ב'</v>
      </c>
      <c r="M196" s="10"/>
      <c r="N196" s="23" t="s">
        <v>357</v>
      </c>
      <c r="O196" s="10" t="str" cm="1">
        <f t="array" ref="O196">_xlfn.IFS(N196="A","א'", N196="B", "ב'", N196= "C", "ג'")</f>
        <v>ב'</v>
      </c>
      <c r="P196" s="10">
        <f>IF(Table_2[[#This Row],[Correct_Answer]]=Table_2[[#This Row],[System_Recommendation]],1,0)</f>
        <v>1</v>
      </c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6" t="s">
        <v>136</v>
      </c>
      <c r="B197" s="6">
        <v>31</v>
      </c>
      <c r="C197" s="6" t="s">
        <v>372</v>
      </c>
      <c r="D197" s="6">
        <v>3</v>
      </c>
      <c r="E197" s="6" t="s">
        <v>105</v>
      </c>
      <c r="F197" s="6" t="s">
        <v>375</v>
      </c>
      <c r="G197" s="6" t="s">
        <v>97</v>
      </c>
      <c r="H197" s="6" t="s">
        <v>106</v>
      </c>
      <c r="I197" s="6" t="s">
        <v>91</v>
      </c>
      <c r="J197" s="6" t="s">
        <v>374</v>
      </c>
      <c r="K197" s="6" t="s">
        <v>385</v>
      </c>
      <c r="L197" s="6" t="str">
        <f>IF(J197="כן", K197, VLOOKUP(LEFT(H197, 7), 'קטלוג תרחישים'!$A:$M, 13, FALSE))</f>
        <v>ב'</v>
      </c>
      <c r="M197" s="10"/>
      <c r="N197" s="24" t="s">
        <v>358</v>
      </c>
      <c r="O197" s="10" t="str" cm="1">
        <f t="array" ref="O197">_xlfn.IFS(N197="A","א'", N197="B", "ב'", N197= "C", "ג'")</f>
        <v>ג'</v>
      </c>
      <c r="P197" s="10">
        <f>IF(Table_2[[#This Row],[Correct_Answer]]=Table_2[[#This Row],[System_Recommendation]],1,0)</f>
        <v>0</v>
      </c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6" t="s">
        <v>136</v>
      </c>
      <c r="B198" s="6">
        <v>32</v>
      </c>
      <c r="C198" s="6" t="s">
        <v>372</v>
      </c>
      <c r="D198" s="6">
        <v>3</v>
      </c>
      <c r="E198" s="6" t="s">
        <v>105</v>
      </c>
      <c r="F198" s="6" t="s">
        <v>375</v>
      </c>
      <c r="G198" s="6" t="s">
        <v>97</v>
      </c>
      <c r="H198" s="6" t="s">
        <v>109</v>
      </c>
      <c r="I198" s="6" t="s">
        <v>100</v>
      </c>
      <c r="J198" s="6" t="s">
        <v>371</v>
      </c>
      <c r="K198" s="6" t="s">
        <v>383</v>
      </c>
      <c r="L198" s="6" t="str">
        <f>IF(J198="כן", K198, VLOOKUP(LEFT(H198, 7), 'קטלוג תרחישים'!$A:$M, 13, FALSE))</f>
        <v>א'</v>
      </c>
      <c r="M198" s="10"/>
      <c r="N198" s="23" t="s">
        <v>352</v>
      </c>
      <c r="O198" s="10" t="str" cm="1">
        <f t="array" ref="O198">_xlfn.IFS(N198="A","א'", N198="B", "ב'", N198= "C", "ג'")</f>
        <v>א'</v>
      </c>
      <c r="P198" s="10">
        <f>IF(Table_2[[#This Row],[Correct_Answer]]=Table_2[[#This Row],[System_Recommendation]],1,0)</f>
        <v>1</v>
      </c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6" t="s">
        <v>136</v>
      </c>
      <c r="B199" s="6">
        <v>33</v>
      </c>
      <c r="C199" s="6" t="s">
        <v>372</v>
      </c>
      <c r="D199" s="6">
        <v>3</v>
      </c>
      <c r="E199" s="6" t="s">
        <v>105</v>
      </c>
      <c r="F199" s="6" t="s">
        <v>375</v>
      </c>
      <c r="G199" s="6" t="s">
        <v>97</v>
      </c>
      <c r="H199" s="6" t="s">
        <v>110</v>
      </c>
      <c r="I199" s="6" t="s">
        <v>91</v>
      </c>
      <c r="J199" s="6" t="s">
        <v>371</v>
      </c>
      <c r="K199" s="6" t="s">
        <v>383</v>
      </c>
      <c r="L199" s="6" t="str">
        <f>IF(J199="כן", K199, VLOOKUP(LEFT(H199, 7), 'קטלוג תרחישים'!$A:$M, 13, FALSE))</f>
        <v>א'</v>
      </c>
      <c r="M199" s="10"/>
      <c r="N199" s="24" t="s">
        <v>352</v>
      </c>
      <c r="O199" s="10" t="str" cm="1">
        <f t="array" ref="O199">_xlfn.IFS(N199="A","א'", N199="B", "ב'", N199= "C", "ג'")</f>
        <v>א'</v>
      </c>
      <c r="P199" s="10">
        <f>IF(Table_2[[#This Row],[Correct_Answer]]=Table_2[[#This Row],[System_Recommendation]],1,0)</f>
        <v>1</v>
      </c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6" t="s">
        <v>137</v>
      </c>
      <c r="B200" s="6">
        <v>1</v>
      </c>
      <c r="C200" s="6" t="s">
        <v>370</v>
      </c>
      <c r="D200" s="6"/>
      <c r="E200" s="6" t="s">
        <v>98</v>
      </c>
      <c r="F200" s="6"/>
      <c r="G200" s="6"/>
      <c r="H200" s="8" t="s">
        <v>90</v>
      </c>
      <c r="I200" s="6" t="s">
        <v>91</v>
      </c>
      <c r="J200" s="6" t="s">
        <v>371</v>
      </c>
      <c r="K200" s="6" t="s">
        <v>385</v>
      </c>
      <c r="L200" s="6" t="str">
        <f>IF(J200="כן", K200, VLOOKUP(LEFT(H200, 7), 'קטלוג תרחישים'!$A:$M, 13, FALSE))</f>
        <v>ג</v>
      </c>
      <c r="M200" s="10"/>
      <c r="N200" s="23" t="s">
        <v>358</v>
      </c>
      <c r="O200" s="10" t="str" cm="1">
        <f t="array" ref="O200">_xlfn.IFS(N200="A","א'", N200="B", "ב'", N200= "C", "ג'")</f>
        <v>ג'</v>
      </c>
      <c r="P200" s="10">
        <f>IF(Table_2[[#This Row],[Correct_Answer]]=Table_2[[#This Row],[System_Recommendation]],1,0)</f>
        <v>1</v>
      </c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6" t="s">
        <v>137</v>
      </c>
      <c r="B201" s="6">
        <v>2</v>
      </c>
      <c r="C201" s="6" t="s">
        <v>370</v>
      </c>
      <c r="D201" s="6"/>
      <c r="E201" s="6" t="s">
        <v>98</v>
      </c>
      <c r="F201" s="6"/>
      <c r="G201" s="6"/>
      <c r="H201" s="8" t="s">
        <v>92</v>
      </c>
      <c r="I201" s="6" t="s">
        <v>91</v>
      </c>
      <c r="J201" s="6" t="s">
        <v>371</v>
      </c>
      <c r="K201" s="6" t="s">
        <v>385</v>
      </c>
      <c r="L201" s="6" t="str">
        <f>IF(J201="כן", K201, VLOOKUP(LEFT(H201, 7), 'קטלוג תרחישים'!$A:$M, 13, FALSE))</f>
        <v>ג</v>
      </c>
      <c r="M201" s="10"/>
      <c r="N201" s="24" t="s">
        <v>358</v>
      </c>
      <c r="O201" s="10" t="str" cm="1">
        <f t="array" ref="O201">_xlfn.IFS(N201="A","א'", N201="B", "ב'", N201= "C", "ג'")</f>
        <v>ג'</v>
      </c>
      <c r="P201" s="10">
        <f>IF(Table_2[[#This Row],[Correct_Answer]]=Table_2[[#This Row],[System_Recommendation]],1,0)</f>
        <v>1</v>
      </c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6" t="s">
        <v>137</v>
      </c>
      <c r="B202" s="6">
        <v>3</v>
      </c>
      <c r="C202" s="6" t="s">
        <v>370</v>
      </c>
      <c r="D202" s="6"/>
      <c r="E202" s="6" t="s">
        <v>105</v>
      </c>
      <c r="F202" s="6"/>
      <c r="G202" s="6"/>
      <c r="H202" s="8" t="s">
        <v>93</v>
      </c>
      <c r="I202" s="6" t="s">
        <v>91</v>
      </c>
      <c r="J202" s="6" t="s">
        <v>371</v>
      </c>
      <c r="K202" s="6" t="s">
        <v>385</v>
      </c>
      <c r="L202" s="6" t="str">
        <f>IF(J202="כן", K202, VLOOKUP(LEFT(H202, 7), 'קטלוג תרחישים'!$A:$M, 13, FALSE))</f>
        <v>ג</v>
      </c>
      <c r="M202" s="10"/>
      <c r="N202" s="23" t="s">
        <v>358</v>
      </c>
      <c r="O202" s="10" t="str" cm="1">
        <f t="array" ref="O202">_xlfn.IFS(N202="A","א'", N202="B", "ב'", N202= "C", "ג'")</f>
        <v>ג'</v>
      </c>
      <c r="P202" s="10">
        <f>IF(Table_2[[#This Row],[Correct_Answer]]=Table_2[[#This Row],[System_Recommendation]],1,0)</f>
        <v>1</v>
      </c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6" t="s">
        <v>137</v>
      </c>
      <c r="B203" s="6">
        <v>4</v>
      </c>
      <c r="C203" s="6" t="s">
        <v>370</v>
      </c>
      <c r="D203" s="6"/>
      <c r="E203" s="6" t="s">
        <v>105</v>
      </c>
      <c r="F203" s="6"/>
      <c r="G203" s="6"/>
      <c r="H203" s="8" t="s">
        <v>94</v>
      </c>
      <c r="I203" s="6" t="s">
        <v>91</v>
      </c>
      <c r="J203" s="6" t="s">
        <v>371</v>
      </c>
      <c r="K203" s="6" t="s">
        <v>384</v>
      </c>
      <c r="L203" s="6" t="str">
        <f>IF(J203="כן", K203, VLOOKUP(LEFT(H203, 7), 'קטלוג תרחישים'!$A:$M, 13, FALSE))</f>
        <v>ב'</v>
      </c>
      <c r="M203" s="10"/>
      <c r="N203" s="24" t="s">
        <v>357</v>
      </c>
      <c r="O203" s="10" t="str" cm="1">
        <f t="array" ref="O203">_xlfn.IFS(N203="A","א'", N203="B", "ב'", N203= "C", "ג'")</f>
        <v>ב'</v>
      </c>
      <c r="P203" s="10">
        <f>IF(Table_2[[#This Row],[Correct_Answer]]=Table_2[[#This Row],[System_Recommendation]],1,0)</f>
        <v>1</v>
      </c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6" t="s">
        <v>137</v>
      </c>
      <c r="B204" s="6">
        <v>5</v>
      </c>
      <c r="C204" s="6" t="s">
        <v>370</v>
      </c>
      <c r="D204" s="6"/>
      <c r="E204" s="6" t="s">
        <v>111</v>
      </c>
      <c r="F204" s="6"/>
      <c r="G204" s="6"/>
      <c r="H204" s="8" t="s">
        <v>95</v>
      </c>
      <c r="I204" s="6" t="s">
        <v>91</v>
      </c>
      <c r="J204" s="6" t="s">
        <v>371</v>
      </c>
      <c r="K204" s="6" t="s">
        <v>383</v>
      </c>
      <c r="L204" s="6" t="str">
        <f>IF(J204="כן", K204, VLOOKUP(LEFT(H204, 7), 'קטלוג תרחישים'!$A:$M, 13, FALSE))</f>
        <v>א'</v>
      </c>
      <c r="M204" s="10"/>
      <c r="N204" s="23" t="s">
        <v>352</v>
      </c>
      <c r="O204" s="10" t="str" cm="1">
        <f t="array" ref="O204">_xlfn.IFS(N204="A","א'", N204="B", "ב'", N204= "C", "ג'")</f>
        <v>א'</v>
      </c>
      <c r="P204" s="10">
        <f>IF(Table_2[[#This Row],[Correct_Answer]]=Table_2[[#This Row],[System_Recommendation]],1,0)</f>
        <v>1</v>
      </c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6" t="s">
        <v>137</v>
      </c>
      <c r="B205" s="6">
        <v>6</v>
      </c>
      <c r="C205" s="6" t="s">
        <v>370</v>
      </c>
      <c r="D205" s="6"/>
      <c r="E205" s="6" t="s">
        <v>111</v>
      </c>
      <c r="F205" s="6"/>
      <c r="G205" s="6"/>
      <c r="H205" s="8" t="s">
        <v>96</v>
      </c>
      <c r="I205" s="6" t="s">
        <v>91</v>
      </c>
      <c r="J205" s="6" t="s">
        <v>371</v>
      </c>
      <c r="K205" s="6" t="s">
        <v>385</v>
      </c>
      <c r="L205" s="6" t="str">
        <f>IF(J205="כן", K205, VLOOKUP(LEFT(H205, 7), 'קטלוג תרחישים'!$A:$M, 13, FALSE))</f>
        <v>ג</v>
      </c>
      <c r="M205" s="10"/>
      <c r="N205" s="24" t="s">
        <v>358</v>
      </c>
      <c r="O205" s="10" t="str" cm="1">
        <f t="array" ref="O205">_xlfn.IFS(N205="A","א'", N205="B", "ב'", N205= "C", "ג'")</f>
        <v>ג'</v>
      </c>
      <c r="P205" s="10">
        <f>IF(Table_2[[#This Row],[Correct_Answer]]=Table_2[[#This Row],[System_Recommendation]],1,0)</f>
        <v>1</v>
      </c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6" t="s">
        <v>137</v>
      </c>
      <c r="B206" s="6">
        <v>7</v>
      </c>
      <c r="C206" s="6" t="s">
        <v>372</v>
      </c>
      <c r="D206" s="6">
        <v>1</v>
      </c>
      <c r="E206" s="6" t="s">
        <v>98</v>
      </c>
      <c r="F206" s="6" t="s">
        <v>373</v>
      </c>
      <c r="G206" s="6" t="s">
        <v>97</v>
      </c>
      <c r="H206" s="6" t="s">
        <v>102</v>
      </c>
      <c r="I206" s="6" t="s">
        <v>100</v>
      </c>
      <c r="J206" s="6" t="s">
        <v>371</v>
      </c>
      <c r="K206" s="6" t="s">
        <v>383</v>
      </c>
      <c r="L206" s="6" t="str">
        <f>IF(J206="כן", K206, VLOOKUP(LEFT(H206, 7), 'קטלוג תרחישים'!$A:$M, 13, FALSE))</f>
        <v>א'</v>
      </c>
      <c r="M206" s="10"/>
      <c r="N206" s="23" t="s">
        <v>352</v>
      </c>
      <c r="O206" s="10" t="str" cm="1">
        <f t="array" ref="O206">_xlfn.IFS(N206="A","א'", N206="B", "ב'", N206= "C", "ג'")</f>
        <v>א'</v>
      </c>
      <c r="P206" s="10">
        <f>IF(Table_2[[#This Row],[Correct_Answer]]=Table_2[[#This Row],[System_Recommendation]],1,0)</f>
        <v>1</v>
      </c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6" t="s">
        <v>137</v>
      </c>
      <c r="B207" s="6">
        <v>8</v>
      </c>
      <c r="C207" s="6" t="s">
        <v>372</v>
      </c>
      <c r="D207" s="6">
        <v>1</v>
      </c>
      <c r="E207" s="6" t="s">
        <v>98</v>
      </c>
      <c r="F207" s="6" t="s">
        <v>373</v>
      </c>
      <c r="G207" s="6" t="s">
        <v>97</v>
      </c>
      <c r="H207" s="6" t="s">
        <v>101</v>
      </c>
      <c r="I207" s="6" t="s">
        <v>91</v>
      </c>
      <c r="J207" s="6" t="s">
        <v>371</v>
      </c>
      <c r="K207" s="6" t="s">
        <v>383</v>
      </c>
      <c r="L207" s="6" t="str">
        <f>IF(J207="כן", K207, VLOOKUP(LEFT(H207, 7), 'קטלוג תרחישים'!$A:$M, 13, FALSE))</f>
        <v>א'</v>
      </c>
      <c r="M207" s="10"/>
      <c r="N207" s="24" t="s">
        <v>352</v>
      </c>
      <c r="O207" s="10" t="str" cm="1">
        <f t="array" ref="O207">_xlfn.IFS(N207="A","א'", N207="B", "ב'", N207= "C", "ג'")</f>
        <v>א'</v>
      </c>
      <c r="P207" s="10">
        <f>IF(Table_2[[#This Row],[Correct_Answer]]=Table_2[[#This Row],[System_Recommendation]],1,0)</f>
        <v>1</v>
      </c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6" t="s">
        <v>137</v>
      </c>
      <c r="B208" s="6">
        <v>9</v>
      </c>
      <c r="C208" s="6" t="s">
        <v>372</v>
      </c>
      <c r="D208" s="6">
        <v>1</v>
      </c>
      <c r="E208" s="6" t="s">
        <v>98</v>
      </c>
      <c r="F208" s="6" t="s">
        <v>373</v>
      </c>
      <c r="G208" s="6" t="s">
        <v>97</v>
      </c>
      <c r="H208" s="6" t="s">
        <v>104</v>
      </c>
      <c r="I208" s="6" t="s">
        <v>100</v>
      </c>
      <c r="J208" s="6" t="s">
        <v>371</v>
      </c>
      <c r="K208" s="6" t="s">
        <v>383</v>
      </c>
      <c r="L208" s="6" t="str">
        <f>IF(J208="כן", K208, VLOOKUP(LEFT(H208, 7), 'קטלוג תרחישים'!$A:$M, 13, FALSE))</f>
        <v>א'</v>
      </c>
      <c r="M208" s="10"/>
      <c r="N208" s="23" t="s">
        <v>352</v>
      </c>
      <c r="O208" s="10" t="str" cm="1">
        <f t="array" ref="O208">_xlfn.IFS(N208="A","א'", N208="B", "ב'", N208= "C", "ג'")</f>
        <v>א'</v>
      </c>
      <c r="P208" s="10">
        <f>IF(Table_2[[#This Row],[Correct_Answer]]=Table_2[[#This Row],[System_Recommendation]],1,0)</f>
        <v>1</v>
      </c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6" t="s">
        <v>137</v>
      </c>
      <c r="B209" s="6">
        <v>10</v>
      </c>
      <c r="C209" s="6" t="s">
        <v>372</v>
      </c>
      <c r="D209" s="6">
        <v>1</v>
      </c>
      <c r="E209" s="6" t="s">
        <v>98</v>
      </c>
      <c r="F209" s="6" t="s">
        <v>373</v>
      </c>
      <c r="G209" s="6" t="s">
        <v>97</v>
      </c>
      <c r="H209" s="6" t="s">
        <v>103</v>
      </c>
      <c r="I209" s="6" t="s">
        <v>91</v>
      </c>
      <c r="J209" s="6" t="s">
        <v>371</v>
      </c>
      <c r="K209" s="6" t="s">
        <v>384</v>
      </c>
      <c r="L209" s="6" t="str">
        <f>IF(J209="כן", K209, VLOOKUP(LEFT(H209, 7), 'קטלוג תרחישים'!$A:$M, 13, FALSE))</f>
        <v>ב'</v>
      </c>
      <c r="M209" s="10"/>
      <c r="N209" s="24" t="s">
        <v>357</v>
      </c>
      <c r="O209" s="10" t="str" cm="1">
        <f t="array" ref="O209">_xlfn.IFS(N209="A","א'", N209="B", "ב'", N209= "C", "ג'")</f>
        <v>ב'</v>
      </c>
      <c r="P209" s="10">
        <f>IF(Table_2[[#This Row],[Correct_Answer]]=Table_2[[#This Row],[System_Recommendation]],1,0)</f>
        <v>1</v>
      </c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6" t="s">
        <v>137</v>
      </c>
      <c r="B210" s="6">
        <v>11</v>
      </c>
      <c r="C210" s="6" t="s">
        <v>372</v>
      </c>
      <c r="D210" s="6">
        <v>1</v>
      </c>
      <c r="E210" s="6" t="s">
        <v>98</v>
      </c>
      <c r="F210" s="6" t="s">
        <v>373</v>
      </c>
      <c r="G210" s="6" t="s">
        <v>97</v>
      </c>
      <c r="H210" s="6" t="s">
        <v>99</v>
      </c>
      <c r="I210" s="6" t="s">
        <v>100</v>
      </c>
      <c r="J210" s="6" t="s">
        <v>374</v>
      </c>
      <c r="K210" s="6" t="s">
        <v>384</v>
      </c>
      <c r="L210" s="6" t="str">
        <f>IF(J210="כן", K210, VLOOKUP(LEFT(H210, 7), 'קטלוג תרחישים'!$A:$M, 13, FALSE))</f>
        <v>א'</v>
      </c>
      <c r="M210" s="10"/>
      <c r="N210" s="23" t="s">
        <v>357</v>
      </c>
      <c r="O210" s="10" t="str" cm="1">
        <f t="array" ref="O210">_xlfn.IFS(N210="A","א'", N210="B", "ב'", N210= "C", "ג'")</f>
        <v>ב'</v>
      </c>
      <c r="P210" s="10">
        <f>IF(Table_2[[#This Row],[Correct_Answer]]=Table_2[[#This Row],[System_Recommendation]],1,0)</f>
        <v>0</v>
      </c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6" t="s">
        <v>137</v>
      </c>
      <c r="B211" s="6">
        <v>12</v>
      </c>
      <c r="C211" s="6" t="s">
        <v>372</v>
      </c>
      <c r="D211" s="6">
        <v>2</v>
      </c>
      <c r="E211" s="6" t="s">
        <v>105</v>
      </c>
      <c r="F211" s="6" t="s">
        <v>373</v>
      </c>
      <c r="G211" s="6" t="s">
        <v>97</v>
      </c>
      <c r="H211" s="6" t="s">
        <v>108</v>
      </c>
      <c r="I211" s="6" t="s">
        <v>91</v>
      </c>
      <c r="J211" s="6" t="s">
        <v>371</v>
      </c>
      <c r="K211" s="6" t="s">
        <v>385</v>
      </c>
      <c r="L211" s="6" t="str">
        <f>IF(J211="כן", K211, VLOOKUP(LEFT(H211, 7), 'קטלוג תרחישים'!$A:$M, 13, FALSE))</f>
        <v>ג</v>
      </c>
      <c r="M211" s="10"/>
      <c r="N211" s="24" t="s">
        <v>358</v>
      </c>
      <c r="O211" s="10" t="str" cm="1">
        <f t="array" ref="O211">_xlfn.IFS(N211="A","א'", N211="B", "ב'", N211= "C", "ג'")</f>
        <v>ג'</v>
      </c>
      <c r="P211" s="10">
        <f>IF(Table_2[[#This Row],[Correct_Answer]]=Table_2[[#This Row],[System_Recommendation]],1,0)</f>
        <v>1</v>
      </c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6" t="s">
        <v>137</v>
      </c>
      <c r="B212" s="6">
        <v>13</v>
      </c>
      <c r="C212" s="6" t="s">
        <v>372</v>
      </c>
      <c r="D212" s="6">
        <v>2</v>
      </c>
      <c r="E212" s="6" t="s">
        <v>105</v>
      </c>
      <c r="F212" s="6" t="s">
        <v>373</v>
      </c>
      <c r="G212" s="6" t="s">
        <v>97</v>
      </c>
      <c r="H212" s="6" t="s">
        <v>109</v>
      </c>
      <c r="I212" s="6" t="s">
        <v>100</v>
      </c>
      <c r="J212" s="6" t="s">
        <v>371</v>
      </c>
      <c r="K212" s="6" t="s">
        <v>385</v>
      </c>
      <c r="L212" s="6" t="str">
        <f>IF(J212="כן", K212, VLOOKUP(LEFT(H212, 7), 'קטלוג תרחישים'!$A:$M, 13, FALSE))</f>
        <v>ג</v>
      </c>
      <c r="M212" s="10"/>
      <c r="N212" s="23" t="s">
        <v>358</v>
      </c>
      <c r="O212" s="10" t="str" cm="1">
        <f t="array" ref="O212">_xlfn.IFS(N212="A","א'", N212="B", "ב'", N212= "C", "ג'")</f>
        <v>ג'</v>
      </c>
      <c r="P212" s="10">
        <f>IF(Table_2[[#This Row],[Correct_Answer]]=Table_2[[#This Row],[System_Recommendation]],1,0)</f>
        <v>1</v>
      </c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6" t="s">
        <v>137</v>
      </c>
      <c r="B213" s="6">
        <v>14</v>
      </c>
      <c r="C213" s="6" t="s">
        <v>372</v>
      </c>
      <c r="D213" s="6">
        <v>2</v>
      </c>
      <c r="E213" s="6" t="s">
        <v>105</v>
      </c>
      <c r="F213" s="6" t="s">
        <v>373</v>
      </c>
      <c r="G213" s="6" t="s">
        <v>97</v>
      </c>
      <c r="H213" s="6" t="s">
        <v>110</v>
      </c>
      <c r="I213" s="6" t="s">
        <v>91</v>
      </c>
      <c r="J213" s="6" t="s">
        <v>371</v>
      </c>
      <c r="K213" s="6" t="s">
        <v>384</v>
      </c>
      <c r="L213" s="6" t="str">
        <f>IF(J213="כן", K213, VLOOKUP(LEFT(H213, 7), 'קטלוג תרחישים'!$A:$M, 13, FALSE))</f>
        <v>ב'</v>
      </c>
      <c r="M213" s="10"/>
      <c r="N213" s="24" t="s">
        <v>357</v>
      </c>
      <c r="O213" s="10" t="str" cm="1">
        <f t="array" ref="O213">_xlfn.IFS(N213="A","א'", N213="B", "ב'", N213= "C", "ג'")</f>
        <v>ב'</v>
      </c>
      <c r="P213" s="10">
        <f>IF(Table_2[[#This Row],[Correct_Answer]]=Table_2[[#This Row],[System_Recommendation]],1,0)</f>
        <v>1</v>
      </c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6" t="s">
        <v>137</v>
      </c>
      <c r="B214" s="6">
        <v>15</v>
      </c>
      <c r="C214" s="6" t="s">
        <v>372</v>
      </c>
      <c r="D214" s="6">
        <v>2</v>
      </c>
      <c r="E214" s="6" t="s">
        <v>105</v>
      </c>
      <c r="F214" s="6" t="s">
        <v>373</v>
      </c>
      <c r="G214" s="6" t="s">
        <v>97</v>
      </c>
      <c r="H214" s="6" t="s">
        <v>107</v>
      </c>
      <c r="I214" s="6" t="s">
        <v>100</v>
      </c>
      <c r="J214" s="6" t="s">
        <v>374</v>
      </c>
      <c r="K214" s="6" t="s">
        <v>384</v>
      </c>
      <c r="L214" s="6" t="str">
        <f>IF(J214="כן", K214, VLOOKUP(LEFT(H214, 7), 'קטלוג תרחישים'!$A:$M, 13, FALSE))</f>
        <v>ג'</v>
      </c>
      <c r="M214" s="10"/>
      <c r="N214" s="23" t="s">
        <v>357</v>
      </c>
      <c r="O214" s="10" t="str" cm="1">
        <f t="array" ref="O214">_xlfn.IFS(N214="A","א'", N214="B", "ב'", N214= "C", "ג'")</f>
        <v>ב'</v>
      </c>
      <c r="P214" s="10">
        <f>IF(Table_2[[#This Row],[Correct_Answer]]=Table_2[[#This Row],[System_Recommendation]],1,0)</f>
        <v>0</v>
      </c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6" t="s">
        <v>137</v>
      </c>
      <c r="B215" s="6">
        <v>16</v>
      </c>
      <c r="C215" s="6" t="s">
        <v>372</v>
      </c>
      <c r="D215" s="6">
        <v>2</v>
      </c>
      <c r="E215" s="6" t="s">
        <v>105</v>
      </c>
      <c r="F215" s="6" t="s">
        <v>373</v>
      </c>
      <c r="G215" s="6" t="s">
        <v>97</v>
      </c>
      <c r="H215" s="6" t="s">
        <v>106</v>
      </c>
      <c r="I215" s="6" t="s">
        <v>91</v>
      </c>
      <c r="J215" s="6" t="s">
        <v>371</v>
      </c>
      <c r="K215" s="6" t="s">
        <v>384</v>
      </c>
      <c r="L215" s="6" t="str">
        <f>IF(J215="כן", K215, VLOOKUP(LEFT(H215, 7), 'קטלוג תרחישים'!$A:$M, 13, FALSE))</f>
        <v>ב'</v>
      </c>
      <c r="M215" s="10"/>
      <c r="N215" s="24" t="s">
        <v>357</v>
      </c>
      <c r="O215" s="10" t="str" cm="1">
        <f t="array" ref="O215">_xlfn.IFS(N215="A","א'", N215="B", "ב'", N215= "C", "ג'")</f>
        <v>ב'</v>
      </c>
      <c r="P215" s="10">
        <f>IF(Table_2[[#This Row],[Correct_Answer]]=Table_2[[#This Row],[System_Recommendation]],1,0)</f>
        <v>1</v>
      </c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6" t="s">
        <v>137</v>
      </c>
      <c r="B216" s="6">
        <v>17</v>
      </c>
      <c r="C216" s="6" t="s">
        <v>372</v>
      </c>
      <c r="D216" s="6">
        <v>3</v>
      </c>
      <c r="E216" s="6" t="s">
        <v>111</v>
      </c>
      <c r="F216" s="6" t="s">
        <v>373</v>
      </c>
      <c r="G216" s="6" t="s">
        <v>97</v>
      </c>
      <c r="H216" s="6" t="s">
        <v>114</v>
      </c>
      <c r="I216" s="6" t="s">
        <v>91</v>
      </c>
      <c r="J216" s="6" t="s">
        <v>371</v>
      </c>
      <c r="K216" s="6" t="s">
        <v>383</v>
      </c>
      <c r="L216" s="6" t="str">
        <f>IF(J216="כן", K216, VLOOKUP(LEFT(H216, 7), 'קטלוג תרחישים'!$A:$M, 13, FALSE))</f>
        <v>א'</v>
      </c>
      <c r="M216" s="10"/>
      <c r="N216" s="23" t="s">
        <v>352</v>
      </c>
      <c r="O216" s="10" t="str" cm="1">
        <f t="array" ref="O216">_xlfn.IFS(N216="A","א'", N216="B", "ב'", N216= "C", "ג'")</f>
        <v>א'</v>
      </c>
      <c r="P216" s="10">
        <f>IF(Table_2[[#This Row],[Correct_Answer]]=Table_2[[#This Row],[System_Recommendation]],1,0)</f>
        <v>1</v>
      </c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6" t="s">
        <v>137</v>
      </c>
      <c r="B217" s="6">
        <v>18</v>
      </c>
      <c r="C217" s="6" t="s">
        <v>372</v>
      </c>
      <c r="D217" s="6">
        <v>3</v>
      </c>
      <c r="E217" s="6" t="s">
        <v>111</v>
      </c>
      <c r="F217" s="6" t="s">
        <v>373</v>
      </c>
      <c r="G217" s="6" t="s">
        <v>97</v>
      </c>
      <c r="H217" s="6" t="s">
        <v>113</v>
      </c>
      <c r="I217" s="6" t="s">
        <v>100</v>
      </c>
      <c r="J217" s="6" t="s">
        <v>374</v>
      </c>
      <c r="K217" s="6" t="s">
        <v>385</v>
      </c>
      <c r="L217" s="6" t="str">
        <f>IF(J217="כן", K217, VLOOKUP(LEFT(H217, 7), 'קטלוג תרחישים'!$A:$M, 13, FALSE))</f>
        <v>ב'</v>
      </c>
      <c r="M217" s="10"/>
      <c r="N217" s="24" t="s">
        <v>358</v>
      </c>
      <c r="O217" s="10" t="str" cm="1">
        <f t="array" ref="O217">_xlfn.IFS(N217="A","א'", N217="B", "ב'", N217= "C", "ג'")</f>
        <v>ג'</v>
      </c>
      <c r="P217" s="10">
        <f>IF(Table_2[[#This Row],[Correct_Answer]]=Table_2[[#This Row],[System_Recommendation]],1,0)</f>
        <v>0</v>
      </c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6" t="s">
        <v>137</v>
      </c>
      <c r="B218" s="6">
        <v>19</v>
      </c>
      <c r="C218" s="6" t="s">
        <v>372</v>
      </c>
      <c r="D218" s="6">
        <v>3</v>
      </c>
      <c r="E218" s="6" t="s">
        <v>111</v>
      </c>
      <c r="F218" s="6" t="s">
        <v>373</v>
      </c>
      <c r="G218" s="6" t="s">
        <v>97</v>
      </c>
      <c r="H218" s="6" t="s">
        <v>112</v>
      </c>
      <c r="I218" s="6" t="s">
        <v>91</v>
      </c>
      <c r="J218" s="6" t="s">
        <v>371</v>
      </c>
      <c r="K218" s="6" t="s">
        <v>384</v>
      </c>
      <c r="L218" s="6" t="str">
        <f>IF(J218="כן", K218, VLOOKUP(LEFT(H218, 7), 'קטלוג תרחישים'!$A:$M, 13, FALSE))</f>
        <v>ב'</v>
      </c>
      <c r="M218" s="10"/>
      <c r="N218" s="23" t="s">
        <v>357</v>
      </c>
      <c r="O218" s="10" t="str" cm="1">
        <f t="array" ref="O218">_xlfn.IFS(N218="A","א'", N218="B", "ב'", N218= "C", "ג'")</f>
        <v>ב'</v>
      </c>
      <c r="P218" s="10">
        <f>IF(Table_2[[#This Row],[Correct_Answer]]=Table_2[[#This Row],[System_Recommendation]],1,0)</f>
        <v>1</v>
      </c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6" t="s">
        <v>137</v>
      </c>
      <c r="B219" s="6">
        <v>20</v>
      </c>
      <c r="C219" s="6" t="s">
        <v>372</v>
      </c>
      <c r="D219" s="6">
        <v>3</v>
      </c>
      <c r="E219" s="6" t="s">
        <v>111</v>
      </c>
      <c r="F219" s="6" t="s">
        <v>373</v>
      </c>
      <c r="G219" s="6" t="s">
        <v>97</v>
      </c>
      <c r="H219" s="6" t="s">
        <v>115</v>
      </c>
      <c r="I219" s="6" t="s">
        <v>100</v>
      </c>
      <c r="J219" s="6" t="s">
        <v>371</v>
      </c>
      <c r="K219" s="6" t="s">
        <v>385</v>
      </c>
      <c r="L219" s="6" t="str">
        <f>IF(J219="כן", K219, VLOOKUP(LEFT(H219, 7), 'קטלוג תרחישים'!$A:$M, 13, FALSE))</f>
        <v>ג</v>
      </c>
      <c r="M219" s="10"/>
      <c r="N219" s="24" t="s">
        <v>358</v>
      </c>
      <c r="O219" s="10" t="str" cm="1">
        <f t="array" ref="O219">_xlfn.IFS(N219="A","א'", N219="B", "ב'", N219= "C", "ג'")</f>
        <v>ג'</v>
      </c>
      <c r="P219" s="10">
        <f>IF(Table_2[[#This Row],[Correct_Answer]]=Table_2[[#This Row],[System_Recommendation]],1,0)</f>
        <v>1</v>
      </c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6" t="s">
        <v>137</v>
      </c>
      <c r="B220" s="6">
        <v>21</v>
      </c>
      <c r="C220" s="6" t="s">
        <v>372</v>
      </c>
      <c r="D220" s="6">
        <v>3</v>
      </c>
      <c r="E220" s="6" t="s">
        <v>111</v>
      </c>
      <c r="F220" s="6" t="s">
        <v>373</v>
      </c>
      <c r="G220" s="6" t="s">
        <v>97</v>
      </c>
      <c r="H220" s="6" t="s">
        <v>116</v>
      </c>
      <c r="I220" s="6" t="s">
        <v>91</v>
      </c>
      <c r="J220" s="6" t="s">
        <v>371</v>
      </c>
      <c r="K220" s="6" t="s">
        <v>383</v>
      </c>
      <c r="L220" s="6" t="str">
        <f>IF(J220="כן", K220, VLOOKUP(LEFT(H220, 7), 'קטלוג תרחישים'!$A:$M, 13, FALSE))</f>
        <v>א'</v>
      </c>
      <c r="M220" s="10"/>
      <c r="N220" s="23" t="s">
        <v>352</v>
      </c>
      <c r="O220" s="10" t="str" cm="1">
        <f t="array" ref="O220">_xlfn.IFS(N220="A","א'", N220="B", "ב'", N220= "C", "ג'")</f>
        <v>א'</v>
      </c>
      <c r="P220" s="10">
        <f>IF(Table_2[[#This Row],[Correct_Answer]]=Table_2[[#This Row],[System_Recommendation]],1,0)</f>
        <v>1</v>
      </c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6" t="s">
        <v>137</v>
      </c>
      <c r="B221" s="6">
        <v>22</v>
      </c>
      <c r="C221" s="6" t="s">
        <v>372</v>
      </c>
      <c r="D221" s="6">
        <v>1</v>
      </c>
      <c r="E221" s="6" t="s">
        <v>105</v>
      </c>
      <c r="F221" s="6" t="s">
        <v>375</v>
      </c>
      <c r="G221" s="6" t="s">
        <v>117</v>
      </c>
      <c r="H221" s="6" t="s">
        <v>118</v>
      </c>
      <c r="I221" s="6" t="s">
        <v>91</v>
      </c>
      <c r="J221" s="6" t="s">
        <v>374</v>
      </c>
      <c r="K221" s="6" t="s">
        <v>385</v>
      </c>
      <c r="L221" s="6" t="str">
        <f>IF(J221="כן", K221, VLOOKUP(LEFT(H221, 7), 'קטלוג תרחישים'!$A:$M, 13, FALSE))</f>
        <v>ב'</v>
      </c>
      <c r="M221" s="10"/>
      <c r="N221" s="24" t="s">
        <v>358</v>
      </c>
      <c r="O221" s="10" t="str" cm="1">
        <f t="array" ref="O221">_xlfn.IFS(N221="A","א'", N221="B", "ב'", N221= "C", "ג'")</f>
        <v>ג'</v>
      </c>
      <c r="P221" s="10">
        <f>IF(Table_2[[#This Row],[Correct_Answer]]=Table_2[[#This Row],[System_Recommendation]],1,0)</f>
        <v>0</v>
      </c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6" t="s">
        <v>137</v>
      </c>
      <c r="B222" s="6">
        <v>23</v>
      </c>
      <c r="C222" s="6" t="s">
        <v>372</v>
      </c>
      <c r="D222" s="6">
        <v>1</v>
      </c>
      <c r="E222" s="6" t="s">
        <v>105</v>
      </c>
      <c r="F222" s="6" t="s">
        <v>375</v>
      </c>
      <c r="G222" s="6" t="s">
        <v>117</v>
      </c>
      <c r="H222" s="6" t="s">
        <v>119</v>
      </c>
      <c r="I222" s="6" t="s">
        <v>100</v>
      </c>
      <c r="J222" s="6" t="s">
        <v>371</v>
      </c>
      <c r="K222" s="6" t="s">
        <v>385</v>
      </c>
      <c r="L222" s="6" t="str">
        <f>IF(J222="כן", K222, VLOOKUP(LEFT(H222, 7), 'קטלוג תרחישים'!$A:$M, 13, FALSE))</f>
        <v>ג</v>
      </c>
      <c r="M222" s="10"/>
      <c r="N222" s="23" t="s">
        <v>358</v>
      </c>
      <c r="O222" s="10" t="str" cm="1">
        <f t="array" ref="O222">_xlfn.IFS(N222="A","א'", N222="B", "ב'", N222= "C", "ג'")</f>
        <v>ג'</v>
      </c>
      <c r="P222" s="10">
        <f>IF(Table_2[[#This Row],[Correct_Answer]]=Table_2[[#This Row],[System_Recommendation]],1,0)</f>
        <v>1</v>
      </c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6" t="s">
        <v>137</v>
      </c>
      <c r="B223" s="6">
        <v>24</v>
      </c>
      <c r="C223" s="6" t="s">
        <v>372</v>
      </c>
      <c r="D223" s="6">
        <v>1</v>
      </c>
      <c r="E223" s="6" t="s">
        <v>105</v>
      </c>
      <c r="F223" s="6" t="s">
        <v>375</v>
      </c>
      <c r="G223" s="6" t="s">
        <v>117</v>
      </c>
      <c r="H223" s="6" t="s">
        <v>120</v>
      </c>
      <c r="I223" s="6" t="s">
        <v>91</v>
      </c>
      <c r="J223" s="6" t="s">
        <v>371</v>
      </c>
      <c r="K223" s="6" t="s">
        <v>384</v>
      </c>
      <c r="L223" s="6" t="str">
        <f>IF(J223="כן", K223, VLOOKUP(LEFT(H223, 7), 'קטלוג תרחישים'!$A:$M, 13, FALSE))</f>
        <v>ב'</v>
      </c>
      <c r="M223" s="10"/>
      <c r="N223" s="24" t="s">
        <v>357</v>
      </c>
      <c r="O223" s="10" t="str" cm="1">
        <f t="array" ref="O223">_xlfn.IFS(N223="A","א'", N223="B", "ב'", N223= "C", "ג'")</f>
        <v>ב'</v>
      </c>
      <c r="P223" s="10">
        <f>IF(Table_2[[#This Row],[Correct_Answer]]=Table_2[[#This Row],[System_Recommendation]],1,0)</f>
        <v>1</v>
      </c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6" t="s">
        <v>137</v>
      </c>
      <c r="B224" s="6">
        <v>25</v>
      </c>
      <c r="C224" s="6" t="s">
        <v>372</v>
      </c>
      <c r="D224" s="6">
        <v>1</v>
      </c>
      <c r="E224" s="6" t="s">
        <v>105</v>
      </c>
      <c r="F224" s="6" t="s">
        <v>375</v>
      </c>
      <c r="G224" s="6" t="s">
        <v>117</v>
      </c>
      <c r="H224" s="6" t="s">
        <v>121</v>
      </c>
      <c r="I224" s="6" t="s">
        <v>100</v>
      </c>
      <c r="J224" s="6" t="s">
        <v>374</v>
      </c>
      <c r="K224" s="6" t="s">
        <v>383</v>
      </c>
      <c r="L224" s="6" t="str">
        <f>IF(J224="כן", K224, VLOOKUP(LEFT(H224, 7), 'קטלוג תרחישים'!$A:$M, 13, FALSE))</f>
        <v>ב'</v>
      </c>
      <c r="M224" s="10"/>
      <c r="N224" s="23" t="s">
        <v>352</v>
      </c>
      <c r="O224" s="10" t="str" cm="1">
        <f t="array" ref="O224">_xlfn.IFS(N224="A","א'", N224="B", "ב'", N224= "C", "ג'")</f>
        <v>א'</v>
      </c>
      <c r="P224" s="10">
        <f>IF(Table_2[[#This Row],[Correct_Answer]]=Table_2[[#This Row],[System_Recommendation]],1,0)</f>
        <v>0</v>
      </c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6" t="s">
        <v>137</v>
      </c>
      <c r="B225" s="6">
        <v>26</v>
      </c>
      <c r="C225" s="6" t="s">
        <v>372</v>
      </c>
      <c r="D225" s="6">
        <v>2</v>
      </c>
      <c r="E225" s="6" t="s">
        <v>111</v>
      </c>
      <c r="F225" s="6" t="s">
        <v>375</v>
      </c>
      <c r="G225" s="6" t="s">
        <v>117</v>
      </c>
      <c r="H225" s="6" t="s">
        <v>122</v>
      </c>
      <c r="I225" s="6" t="s">
        <v>91</v>
      </c>
      <c r="J225" s="6" t="s">
        <v>371</v>
      </c>
      <c r="K225" s="6" t="s">
        <v>385</v>
      </c>
      <c r="L225" s="6" t="str">
        <f>IF(J225="כן", K225, VLOOKUP(LEFT(H225, 7), 'קטלוג תרחישים'!$A:$M, 13, FALSE))</f>
        <v>ג</v>
      </c>
      <c r="M225" s="10"/>
      <c r="N225" s="24" t="s">
        <v>358</v>
      </c>
      <c r="O225" s="10" t="str" cm="1">
        <f t="array" ref="O225">_xlfn.IFS(N225="A","א'", N225="B", "ב'", N225= "C", "ג'")</f>
        <v>ג'</v>
      </c>
      <c r="P225" s="10">
        <f>IF(Table_2[[#This Row],[Correct_Answer]]=Table_2[[#This Row],[System_Recommendation]],1,0)</f>
        <v>1</v>
      </c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6" t="s">
        <v>137</v>
      </c>
      <c r="B226" s="6">
        <v>27</v>
      </c>
      <c r="C226" s="6" t="s">
        <v>372</v>
      </c>
      <c r="D226" s="6">
        <v>2</v>
      </c>
      <c r="E226" s="6" t="s">
        <v>111</v>
      </c>
      <c r="F226" s="6" t="s">
        <v>375</v>
      </c>
      <c r="G226" s="6" t="s">
        <v>117</v>
      </c>
      <c r="H226" s="6" t="s">
        <v>125</v>
      </c>
      <c r="I226" s="6" t="s">
        <v>100</v>
      </c>
      <c r="J226" s="6" t="s">
        <v>371</v>
      </c>
      <c r="K226" s="6" t="s">
        <v>384</v>
      </c>
      <c r="L226" s="6" t="str">
        <f>IF(J226="כן", K226, VLOOKUP(LEFT(H226, 7), 'קטלוג תרחישים'!$A:$M, 13, FALSE))</f>
        <v>ב'</v>
      </c>
      <c r="M226" s="10"/>
      <c r="N226" s="23" t="s">
        <v>357</v>
      </c>
      <c r="O226" s="10" t="str" cm="1">
        <f t="array" ref="O226">_xlfn.IFS(N226="A","א'", N226="B", "ב'", N226= "C", "ג'")</f>
        <v>ב'</v>
      </c>
      <c r="P226" s="10">
        <f>IF(Table_2[[#This Row],[Correct_Answer]]=Table_2[[#This Row],[System_Recommendation]],1,0)</f>
        <v>1</v>
      </c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6" t="s">
        <v>137</v>
      </c>
      <c r="B227" s="6">
        <v>28</v>
      </c>
      <c r="C227" s="6" t="s">
        <v>372</v>
      </c>
      <c r="D227" s="6">
        <v>2</v>
      </c>
      <c r="E227" s="6" t="s">
        <v>111</v>
      </c>
      <c r="F227" s="6" t="s">
        <v>375</v>
      </c>
      <c r="G227" s="6" t="s">
        <v>117</v>
      </c>
      <c r="H227" s="6" t="s">
        <v>124</v>
      </c>
      <c r="I227" s="6" t="s">
        <v>91</v>
      </c>
      <c r="J227" s="6" t="s">
        <v>374</v>
      </c>
      <c r="K227" s="6" t="s">
        <v>385</v>
      </c>
      <c r="L227" s="6" t="str">
        <f>IF(J227="כן", K227, VLOOKUP(LEFT(H227, 7), 'קטלוג תרחישים'!$A:$M, 13, FALSE))</f>
        <v>א'</v>
      </c>
      <c r="M227" s="10"/>
      <c r="N227" s="24" t="s">
        <v>358</v>
      </c>
      <c r="O227" s="10" t="str" cm="1">
        <f t="array" ref="O227">_xlfn.IFS(N227="A","א'", N227="B", "ב'", N227= "C", "ג'")</f>
        <v>ג'</v>
      </c>
      <c r="P227" s="10">
        <f>IF(Table_2[[#This Row],[Correct_Answer]]=Table_2[[#This Row],[System_Recommendation]],1,0)</f>
        <v>0</v>
      </c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6" t="s">
        <v>137</v>
      </c>
      <c r="B228" s="6">
        <v>29</v>
      </c>
      <c r="C228" s="6" t="s">
        <v>372</v>
      </c>
      <c r="D228" s="6">
        <v>2</v>
      </c>
      <c r="E228" s="6" t="s">
        <v>111</v>
      </c>
      <c r="F228" s="6" t="s">
        <v>375</v>
      </c>
      <c r="G228" s="6" t="s">
        <v>117</v>
      </c>
      <c r="H228" s="6" t="s">
        <v>123</v>
      </c>
      <c r="I228" s="6" t="s">
        <v>100</v>
      </c>
      <c r="J228" s="6" t="s">
        <v>374</v>
      </c>
      <c r="K228" s="6" t="s">
        <v>385</v>
      </c>
      <c r="L228" s="6" t="str">
        <f>IF(J228="כן", K228, VLOOKUP(LEFT(H228, 7), 'קטלוג תרחישים'!$A:$M, 13, FALSE))</f>
        <v>א'</v>
      </c>
      <c r="M228" s="10"/>
      <c r="N228" s="23" t="s">
        <v>358</v>
      </c>
      <c r="O228" s="10" t="str" cm="1">
        <f t="array" ref="O228">_xlfn.IFS(N228="A","א'", N228="B", "ב'", N228= "C", "ג'")</f>
        <v>ג'</v>
      </c>
      <c r="P228" s="10">
        <f>IF(Table_2[[#This Row],[Correct_Answer]]=Table_2[[#This Row],[System_Recommendation]],1,0)</f>
        <v>0</v>
      </c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6" t="s">
        <v>137</v>
      </c>
      <c r="B229" s="6">
        <v>30</v>
      </c>
      <c r="C229" s="6" t="s">
        <v>372</v>
      </c>
      <c r="D229" s="6">
        <v>3</v>
      </c>
      <c r="E229" s="6" t="s">
        <v>98</v>
      </c>
      <c r="F229" s="6" t="s">
        <v>375</v>
      </c>
      <c r="G229" s="6" t="s">
        <v>117</v>
      </c>
      <c r="H229" s="6" t="s">
        <v>128</v>
      </c>
      <c r="I229" s="6" t="s">
        <v>91</v>
      </c>
      <c r="J229" s="6" t="s">
        <v>374</v>
      </c>
      <c r="K229" s="6" t="s">
        <v>384</v>
      </c>
      <c r="L229" s="6" t="str">
        <f>IF(J229="כן", K229, VLOOKUP(LEFT(H229, 7), 'קטלוג תרחישים'!$A:$M, 13, FALSE))</f>
        <v>ג'</v>
      </c>
      <c r="M229" s="10"/>
      <c r="N229" s="24" t="s">
        <v>357</v>
      </c>
      <c r="O229" s="10" t="str" cm="1">
        <f t="array" ref="O229">_xlfn.IFS(N229="A","א'", N229="B", "ב'", N229= "C", "ג'")</f>
        <v>ב'</v>
      </c>
      <c r="P229" s="10">
        <f>IF(Table_2[[#This Row],[Correct_Answer]]=Table_2[[#This Row],[System_Recommendation]],1,0)</f>
        <v>0</v>
      </c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6" t="s">
        <v>137</v>
      </c>
      <c r="B230" s="6">
        <v>31</v>
      </c>
      <c r="C230" s="6" t="s">
        <v>372</v>
      </c>
      <c r="D230" s="6">
        <v>3</v>
      </c>
      <c r="E230" s="6" t="s">
        <v>98</v>
      </c>
      <c r="F230" s="6" t="s">
        <v>375</v>
      </c>
      <c r="G230" s="6" t="s">
        <v>117</v>
      </c>
      <c r="H230" s="6" t="s">
        <v>127</v>
      </c>
      <c r="I230" s="6" t="s">
        <v>100</v>
      </c>
      <c r="J230" s="6" t="s">
        <v>371</v>
      </c>
      <c r="K230" s="6" t="s">
        <v>385</v>
      </c>
      <c r="L230" s="6" t="str">
        <f>IF(J230="כן", K230, VLOOKUP(LEFT(H230, 7), 'קטלוג תרחישים'!$A:$M, 13, FALSE))</f>
        <v>ג</v>
      </c>
      <c r="M230" s="10"/>
      <c r="N230" s="23" t="s">
        <v>358</v>
      </c>
      <c r="O230" s="10" t="str" cm="1">
        <f t="array" ref="O230">_xlfn.IFS(N230="A","א'", N230="B", "ב'", N230= "C", "ג'")</f>
        <v>ג'</v>
      </c>
      <c r="P230" s="10">
        <f>IF(Table_2[[#This Row],[Correct_Answer]]=Table_2[[#This Row],[System_Recommendation]],1,0)</f>
        <v>1</v>
      </c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6" t="s">
        <v>137</v>
      </c>
      <c r="B231" s="6">
        <v>32</v>
      </c>
      <c r="C231" s="6" t="s">
        <v>372</v>
      </c>
      <c r="D231" s="6">
        <v>3</v>
      </c>
      <c r="E231" s="6" t="s">
        <v>98</v>
      </c>
      <c r="F231" s="6" t="s">
        <v>375</v>
      </c>
      <c r="G231" s="6" t="s">
        <v>117</v>
      </c>
      <c r="H231" s="6" t="s">
        <v>126</v>
      </c>
      <c r="I231" s="6" t="s">
        <v>91</v>
      </c>
      <c r="J231" s="6" t="s">
        <v>371</v>
      </c>
      <c r="K231" s="6" t="s">
        <v>383</v>
      </c>
      <c r="L231" s="6" t="str">
        <f>IF(J231="כן", K231, VLOOKUP(LEFT(H231, 7), 'קטלוג תרחישים'!$A:$M, 13, FALSE))</f>
        <v>א'</v>
      </c>
      <c r="M231" s="10"/>
      <c r="N231" s="24" t="s">
        <v>352</v>
      </c>
      <c r="O231" s="10" t="str" cm="1">
        <f t="array" ref="O231">_xlfn.IFS(N231="A","א'", N231="B", "ב'", N231= "C", "ג'")</f>
        <v>א'</v>
      </c>
      <c r="P231" s="10">
        <f>IF(Table_2[[#This Row],[Correct_Answer]]=Table_2[[#This Row],[System_Recommendation]],1,0)</f>
        <v>1</v>
      </c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6" t="s">
        <v>137</v>
      </c>
      <c r="B232" s="6">
        <v>33</v>
      </c>
      <c r="C232" s="6" t="s">
        <v>372</v>
      </c>
      <c r="D232" s="6">
        <v>3</v>
      </c>
      <c r="E232" s="6" t="s">
        <v>98</v>
      </c>
      <c r="F232" s="6" t="s">
        <v>375</v>
      </c>
      <c r="G232" s="6" t="s">
        <v>117</v>
      </c>
      <c r="H232" s="6" t="s">
        <v>129</v>
      </c>
      <c r="I232" s="6" t="s">
        <v>100</v>
      </c>
      <c r="J232" s="6" t="s">
        <v>374</v>
      </c>
      <c r="K232" s="6" t="s">
        <v>383</v>
      </c>
      <c r="L232" s="6" t="str">
        <f>IF(J232="כן", K232, VLOOKUP(LEFT(H232, 7), 'קטלוג תרחישים'!$A:$M, 13, FALSE))</f>
        <v>ב'</v>
      </c>
      <c r="M232" s="10"/>
      <c r="N232" s="23" t="s">
        <v>352</v>
      </c>
      <c r="O232" s="10" t="str" cm="1">
        <f t="array" ref="O232">_xlfn.IFS(N232="A","א'", N232="B", "ב'", N232= "C", "ג'")</f>
        <v>א'</v>
      </c>
      <c r="P232" s="10">
        <f>IF(Table_2[[#This Row],[Correct_Answer]]=Table_2[[#This Row],[System_Recommendation]],1,0)</f>
        <v>0</v>
      </c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6" t="s">
        <v>138</v>
      </c>
      <c r="B233" s="6">
        <v>1</v>
      </c>
      <c r="C233" s="6" t="s">
        <v>370</v>
      </c>
      <c r="D233" s="6"/>
      <c r="E233" s="6" t="s">
        <v>98</v>
      </c>
      <c r="F233" s="6"/>
      <c r="G233" s="6"/>
      <c r="H233" s="8" t="s">
        <v>90</v>
      </c>
      <c r="I233" s="6" t="s">
        <v>91</v>
      </c>
      <c r="J233" s="6" t="s">
        <v>371</v>
      </c>
      <c r="K233" s="6" t="s">
        <v>385</v>
      </c>
      <c r="L233" s="6" t="str">
        <f>IF(J233="כן", K233, VLOOKUP(LEFT(H233, 7), 'קטלוג תרחישים'!$A:$M, 13, FALSE))</f>
        <v>ג</v>
      </c>
      <c r="M233" s="10"/>
      <c r="N233" s="24" t="s">
        <v>358</v>
      </c>
      <c r="O233" s="10" t="str" cm="1">
        <f t="array" ref="O233">_xlfn.IFS(N233="A","א'", N233="B", "ב'", N233= "C", "ג'")</f>
        <v>ג'</v>
      </c>
      <c r="P233" s="10">
        <f>IF(Table_2[[#This Row],[Correct_Answer]]=Table_2[[#This Row],[System_Recommendation]],1,0)</f>
        <v>1</v>
      </c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6" t="s">
        <v>138</v>
      </c>
      <c r="B234" s="6">
        <v>2</v>
      </c>
      <c r="C234" s="6" t="s">
        <v>370</v>
      </c>
      <c r="D234" s="6"/>
      <c r="E234" s="6" t="s">
        <v>98</v>
      </c>
      <c r="F234" s="6"/>
      <c r="G234" s="6"/>
      <c r="H234" s="8" t="s">
        <v>92</v>
      </c>
      <c r="I234" s="6" t="s">
        <v>91</v>
      </c>
      <c r="J234" s="6" t="s">
        <v>371</v>
      </c>
      <c r="K234" s="6" t="s">
        <v>385</v>
      </c>
      <c r="L234" s="6" t="str">
        <f>IF(J234="כן", K234, VLOOKUP(LEFT(H234, 7), 'קטלוג תרחישים'!$A:$M, 13, FALSE))</f>
        <v>ג</v>
      </c>
      <c r="M234" s="10"/>
      <c r="N234" s="23" t="s">
        <v>358</v>
      </c>
      <c r="O234" s="10" t="str" cm="1">
        <f t="array" ref="O234">_xlfn.IFS(N234="A","א'", N234="B", "ב'", N234= "C", "ג'")</f>
        <v>ג'</v>
      </c>
      <c r="P234" s="10">
        <f>IF(Table_2[[#This Row],[Correct_Answer]]=Table_2[[#This Row],[System_Recommendation]],1,0)</f>
        <v>1</v>
      </c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6" t="s">
        <v>138</v>
      </c>
      <c r="B235" s="6">
        <v>3</v>
      </c>
      <c r="C235" s="6" t="s">
        <v>370</v>
      </c>
      <c r="D235" s="6"/>
      <c r="E235" s="6" t="s">
        <v>105</v>
      </c>
      <c r="F235" s="6"/>
      <c r="G235" s="6"/>
      <c r="H235" s="8" t="s">
        <v>93</v>
      </c>
      <c r="I235" s="6" t="s">
        <v>91</v>
      </c>
      <c r="J235" s="6" t="s">
        <v>371</v>
      </c>
      <c r="K235" s="6" t="s">
        <v>385</v>
      </c>
      <c r="L235" s="6" t="str">
        <f>IF(J235="כן", K235, VLOOKUP(LEFT(H235, 7), 'קטלוג תרחישים'!$A:$M, 13, FALSE))</f>
        <v>ג</v>
      </c>
      <c r="M235" s="10"/>
      <c r="N235" s="24" t="s">
        <v>358</v>
      </c>
      <c r="O235" s="10" t="str" cm="1">
        <f t="array" ref="O235">_xlfn.IFS(N235="A","א'", N235="B", "ב'", N235= "C", "ג'")</f>
        <v>ג'</v>
      </c>
      <c r="P235" s="10">
        <f>IF(Table_2[[#This Row],[Correct_Answer]]=Table_2[[#This Row],[System_Recommendation]],1,0)</f>
        <v>1</v>
      </c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6" t="s">
        <v>138</v>
      </c>
      <c r="B236" s="6">
        <v>4</v>
      </c>
      <c r="C236" s="6" t="s">
        <v>370</v>
      </c>
      <c r="D236" s="6"/>
      <c r="E236" s="6" t="s">
        <v>105</v>
      </c>
      <c r="F236" s="6"/>
      <c r="G236" s="6"/>
      <c r="H236" s="8" t="s">
        <v>94</v>
      </c>
      <c r="I236" s="6" t="s">
        <v>91</v>
      </c>
      <c r="J236" s="6" t="s">
        <v>371</v>
      </c>
      <c r="K236" s="6" t="s">
        <v>384</v>
      </c>
      <c r="L236" s="6" t="str">
        <f>IF(J236="כן", K236, VLOOKUP(LEFT(H236, 7), 'קטלוג תרחישים'!$A:$M, 13, FALSE))</f>
        <v>ב'</v>
      </c>
      <c r="M236" s="10"/>
      <c r="N236" s="23" t="s">
        <v>357</v>
      </c>
      <c r="O236" s="10" t="str" cm="1">
        <f t="array" ref="O236">_xlfn.IFS(N236="A","א'", N236="B", "ב'", N236= "C", "ג'")</f>
        <v>ב'</v>
      </c>
      <c r="P236" s="10">
        <f>IF(Table_2[[#This Row],[Correct_Answer]]=Table_2[[#This Row],[System_Recommendation]],1,0)</f>
        <v>1</v>
      </c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6" t="s">
        <v>138</v>
      </c>
      <c r="B237" s="6">
        <v>5</v>
      </c>
      <c r="C237" s="6" t="s">
        <v>370</v>
      </c>
      <c r="D237" s="6"/>
      <c r="E237" s="6" t="s">
        <v>111</v>
      </c>
      <c r="F237" s="6"/>
      <c r="G237" s="6"/>
      <c r="H237" s="8" t="s">
        <v>95</v>
      </c>
      <c r="I237" s="6" t="s">
        <v>91</v>
      </c>
      <c r="J237" s="6" t="s">
        <v>371</v>
      </c>
      <c r="K237" s="6" t="s">
        <v>383</v>
      </c>
      <c r="L237" s="6" t="str">
        <f>IF(J237="כן", K237, VLOOKUP(LEFT(H237, 7), 'קטלוג תרחישים'!$A:$M, 13, FALSE))</f>
        <v>א'</v>
      </c>
      <c r="M237" s="10"/>
      <c r="N237" s="24" t="s">
        <v>352</v>
      </c>
      <c r="O237" s="10" t="str" cm="1">
        <f t="array" ref="O237">_xlfn.IFS(N237="A","א'", N237="B", "ב'", N237= "C", "ג'")</f>
        <v>א'</v>
      </c>
      <c r="P237" s="10">
        <f>IF(Table_2[[#This Row],[Correct_Answer]]=Table_2[[#This Row],[System_Recommendation]],1,0)</f>
        <v>1</v>
      </c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6" t="s">
        <v>138</v>
      </c>
      <c r="B238" s="6">
        <v>6</v>
      </c>
      <c r="C238" s="6" t="s">
        <v>370</v>
      </c>
      <c r="D238" s="6"/>
      <c r="E238" s="6" t="s">
        <v>111</v>
      </c>
      <c r="F238" s="6"/>
      <c r="G238" s="6"/>
      <c r="H238" s="8" t="s">
        <v>96</v>
      </c>
      <c r="I238" s="6" t="s">
        <v>91</v>
      </c>
      <c r="J238" s="6" t="s">
        <v>371</v>
      </c>
      <c r="K238" s="6" t="s">
        <v>385</v>
      </c>
      <c r="L238" s="6" t="str">
        <f>IF(J238="כן", K238, VLOOKUP(LEFT(H238, 7), 'קטלוג תרחישים'!$A:$M, 13, FALSE))</f>
        <v>ג</v>
      </c>
      <c r="M238" s="10"/>
      <c r="N238" s="23" t="s">
        <v>358</v>
      </c>
      <c r="O238" s="10" t="str" cm="1">
        <f t="array" ref="O238">_xlfn.IFS(N238="A","א'", N238="B", "ב'", N238= "C", "ג'")</f>
        <v>ג'</v>
      </c>
      <c r="P238" s="10">
        <f>IF(Table_2[[#This Row],[Correct_Answer]]=Table_2[[#This Row],[System_Recommendation]],1,0)</f>
        <v>1</v>
      </c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6" t="s">
        <v>138</v>
      </c>
      <c r="B239" s="6">
        <v>7</v>
      </c>
      <c r="C239" s="6" t="s">
        <v>372</v>
      </c>
      <c r="D239" s="6">
        <v>1</v>
      </c>
      <c r="E239" s="6" t="s">
        <v>111</v>
      </c>
      <c r="F239" s="6" t="s">
        <v>373</v>
      </c>
      <c r="G239" s="6" t="s">
        <v>117</v>
      </c>
      <c r="H239" s="6" t="s">
        <v>124</v>
      </c>
      <c r="I239" s="6" t="s">
        <v>91</v>
      </c>
      <c r="J239" s="6" t="s">
        <v>371</v>
      </c>
      <c r="K239" s="6" t="s">
        <v>385</v>
      </c>
      <c r="L239" s="6" t="str">
        <f>IF(J239="כן", K239, VLOOKUP(LEFT(H239, 7), 'קטלוג תרחישים'!$A:$M, 13, FALSE))</f>
        <v>ג</v>
      </c>
      <c r="M239" s="10"/>
      <c r="N239" s="24" t="s">
        <v>358</v>
      </c>
      <c r="O239" s="10" t="str" cm="1">
        <f t="array" ref="O239">_xlfn.IFS(N239="A","א'", N239="B", "ב'", N239= "C", "ג'")</f>
        <v>ג'</v>
      </c>
      <c r="P239" s="10">
        <f>IF(Table_2[[#This Row],[Correct_Answer]]=Table_2[[#This Row],[System_Recommendation]],1,0)</f>
        <v>1</v>
      </c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6" t="s">
        <v>138</v>
      </c>
      <c r="B240" s="6">
        <v>8</v>
      </c>
      <c r="C240" s="6" t="s">
        <v>372</v>
      </c>
      <c r="D240" s="6">
        <v>1</v>
      </c>
      <c r="E240" s="6" t="s">
        <v>111</v>
      </c>
      <c r="F240" s="6" t="s">
        <v>373</v>
      </c>
      <c r="G240" s="6" t="s">
        <v>117</v>
      </c>
      <c r="H240" s="6" t="s">
        <v>125</v>
      </c>
      <c r="I240" s="6" t="s">
        <v>100</v>
      </c>
      <c r="J240" s="6" t="s">
        <v>371</v>
      </c>
      <c r="K240" s="6" t="s">
        <v>383</v>
      </c>
      <c r="L240" s="6" t="str">
        <f>IF(J240="כן", K240, VLOOKUP(LEFT(H240, 7), 'קטלוג תרחישים'!$A:$M, 13, FALSE))</f>
        <v>א'</v>
      </c>
      <c r="M240" s="10"/>
      <c r="N240" s="23" t="s">
        <v>352</v>
      </c>
      <c r="O240" s="10" t="str" cm="1">
        <f t="array" ref="O240">_xlfn.IFS(N240="A","א'", N240="B", "ב'", N240= "C", "ג'")</f>
        <v>א'</v>
      </c>
      <c r="P240" s="10">
        <f>IF(Table_2[[#This Row],[Correct_Answer]]=Table_2[[#This Row],[System_Recommendation]],1,0)</f>
        <v>1</v>
      </c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6" t="s">
        <v>138</v>
      </c>
      <c r="B241" s="6">
        <v>9</v>
      </c>
      <c r="C241" s="6" t="s">
        <v>372</v>
      </c>
      <c r="D241" s="6">
        <v>1</v>
      </c>
      <c r="E241" s="6" t="s">
        <v>111</v>
      </c>
      <c r="F241" s="6" t="s">
        <v>373</v>
      </c>
      <c r="G241" s="6" t="s">
        <v>117</v>
      </c>
      <c r="H241" s="6" t="s">
        <v>122</v>
      </c>
      <c r="I241" s="6" t="s">
        <v>91</v>
      </c>
      <c r="J241" s="6" t="s">
        <v>374</v>
      </c>
      <c r="K241" s="6" t="s">
        <v>383</v>
      </c>
      <c r="L241" s="6" t="str">
        <f>IF(J241="כן", K241, VLOOKUP(LEFT(H241, 7), 'קטלוג תרחישים'!$A:$M, 13, FALSE))</f>
        <v>א'</v>
      </c>
      <c r="M241" s="10"/>
      <c r="N241" s="24" t="s">
        <v>352</v>
      </c>
      <c r="O241" s="10" t="str" cm="1">
        <f t="array" ref="O241">_xlfn.IFS(N241="A","א'", N241="B", "ב'", N241= "C", "ג'")</f>
        <v>א'</v>
      </c>
      <c r="P241" s="10">
        <f>IF(Table_2[[#This Row],[Correct_Answer]]=Table_2[[#This Row],[System_Recommendation]],1,0)</f>
        <v>1</v>
      </c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6" t="s">
        <v>138</v>
      </c>
      <c r="B242" s="6">
        <v>10</v>
      </c>
      <c r="C242" s="6" t="s">
        <v>372</v>
      </c>
      <c r="D242" s="6">
        <v>1</v>
      </c>
      <c r="E242" s="6" t="s">
        <v>111</v>
      </c>
      <c r="F242" s="6" t="s">
        <v>373</v>
      </c>
      <c r="G242" s="6" t="s">
        <v>117</v>
      </c>
      <c r="H242" s="6" t="s">
        <v>123</v>
      </c>
      <c r="I242" s="6" t="s">
        <v>100</v>
      </c>
      <c r="J242" s="6" t="s">
        <v>374</v>
      </c>
      <c r="K242" s="6" t="s">
        <v>383</v>
      </c>
      <c r="L242" s="6" t="str">
        <f>IF(J242="כן", K242, VLOOKUP(LEFT(H242, 7), 'קטלוג תרחישים'!$A:$M, 13, FALSE))</f>
        <v>א'</v>
      </c>
      <c r="M242" s="10"/>
      <c r="N242" s="23" t="s">
        <v>352</v>
      </c>
      <c r="O242" s="10" t="str" cm="1">
        <f t="array" ref="O242">_xlfn.IFS(N242="A","א'", N242="B", "ב'", N242= "C", "ג'")</f>
        <v>א'</v>
      </c>
      <c r="P242" s="10">
        <f>IF(Table_2[[#This Row],[Correct_Answer]]=Table_2[[#This Row],[System_Recommendation]],1,0)</f>
        <v>1</v>
      </c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6" t="s">
        <v>138</v>
      </c>
      <c r="B243" s="6">
        <v>11</v>
      </c>
      <c r="C243" s="6" t="s">
        <v>372</v>
      </c>
      <c r="D243" s="6">
        <v>2</v>
      </c>
      <c r="E243" s="6" t="s">
        <v>98</v>
      </c>
      <c r="F243" s="6" t="s">
        <v>373</v>
      </c>
      <c r="G243" s="6" t="s">
        <v>117</v>
      </c>
      <c r="H243" s="6" t="s">
        <v>126</v>
      </c>
      <c r="I243" s="6" t="s">
        <v>91</v>
      </c>
      <c r="J243" s="6" t="s">
        <v>374</v>
      </c>
      <c r="K243" s="6" t="s">
        <v>384</v>
      </c>
      <c r="L243" s="6" t="str">
        <f>IF(J243="כן", K243, VLOOKUP(LEFT(H243, 7), 'קטלוג תרחישים'!$A:$M, 13, FALSE))</f>
        <v>א'</v>
      </c>
      <c r="M243" s="10"/>
      <c r="N243" s="24" t="s">
        <v>357</v>
      </c>
      <c r="O243" s="10" t="str" cm="1">
        <f t="array" ref="O243">_xlfn.IFS(N243="A","א'", N243="B", "ב'", N243= "C", "ג'")</f>
        <v>ב'</v>
      </c>
      <c r="P243" s="10">
        <f>IF(Table_2[[#This Row],[Correct_Answer]]=Table_2[[#This Row],[System_Recommendation]],1,0)</f>
        <v>0</v>
      </c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6" t="s">
        <v>138</v>
      </c>
      <c r="B244" s="6">
        <v>12</v>
      </c>
      <c r="C244" s="6" t="s">
        <v>372</v>
      </c>
      <c r="D244" s="6">
        <v>2</v>
      </c>
      <c r="E244" s="6" t="s">
        <v>98</v>
      </c>
      <c r="F244" s="6" t="s">
        <v>373</v>
      </c>
      <c r="G244" s="6" t="s">
        <v>117</v>
      </c>
      <c r="H244" s="6" t="s">
        <v>127</v>
      </c>
      <c r="I244" s="6" t="s">
        <v>100</v>
      </c>
      <c r="J244" s="6" t="s">
        <v>371</v>
      </c>
      <c r="K244" s="6" t="s">
        <v>384</v>
      </c>
      <c r="L244" s="6" t="str">
        <f>IF(J244="כן", K244, VLOOKUP(LEFT(H244, 7), 'קטלוג תרחישים'!$A:$M, 13, FALSE))</f>
        <v>ב'</v>
      </c>
      <c r="M244" s="10"/>
      <c r="N244" s="23" t="s">
        <v>357</v>
      </c>
      <c r="O244" s="10" t="str" cm="1">
        <f t="array" ref="O244">_xlfn.IFS(N244="A","א'", N244="B", "ב'", N244= "C", "ג'")</f>
        <v>ב'</v>
      </c>
      <c r="P244" s="10">
        <f>IF(Table_2[[#This Row],[Correct_Answer]]=Table_2[[#This Row],[System_Recommendation]],1,0)</f>
        <v>1</v>
      </c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6" t="s">
        <v>138</v>
      </c>
      <c r="B245" s="6">
        <v>13</v>
      </c>
      <c r="C245" s="6" t="s">
        <v>372</v>
      </c>
      <c r="D245" s="6">
        <v>2</v>
      </c>
      <c r="E245" s="6" t="s">
        <v>98</v>
      </c>
      <c r="F245" s="6" t="s">
        <v>373</v>
      </c>
      <c r="G245" s="6" t="s">
        <v>117</v>
      </c>
      <c r="H245" s="6" t="s">
        <v>128</v>
      </c>
      <c r="I245" s="6" t="s">
        <v>91</v>
      </c>
      <c r="J245" s="6" t="s">
        <v>371</v>
      </c>
      <c r="K245" s="6" t="s">
        <v>385</v>
      </c>
      <c r="L245" s="6" t="str">
        <f>IF(J245="כן", K245, VLOOKUP(LEFT(H245, 7), 'קטלוג תרחישים'!$A:$M, 13, FALSE))</f>
        <v>ג</v>
      </c>
      <c r="M245" s="10"/>
      <c r="N245" s="24" t="s">
        <v>358</v>
      </c>
      <c r="O245" s="10" t="str" cm="1">
        <f t="array" ref="O245">_xlfn.IFS(N245="A","א'", N245="B", "ב'", N245= "C", "ג'")</f>
        <v>ג'</v>
      </c>
      <c r="P245" s="10">
        <f>IF(Table_2[[#This Row],[Correct_Answer]]=Table_2[[#This Row],[System_Recommendation]],1,0)</f>
        <v>1</v>
      </c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6" t="s">
        <v>138</v>
      </c>
      <c r="B246" s="6">
        <v>14</v>
      </c>
      <c r="C246" s="6" t="s">
        <v>372</v>
      </c>
      <c r="D246" s="6">
        <v>2</v>
      </c>
      <c r="E246" s="6" t="s">
        <v>98</v>
      </c>
      <c r="F246" s="6" t="s">
        <v>373</v>
      </c>
      <c r="G246" s="6" t="s">
        <v>117</v>
      </c>
      <c r="H246" s="6" t="s">
        <v>129</v>
      </c>
      <c r="I246" s="6" t="s">
        <v>100</v>
      </c>
      <c r="J246" s="6" t="s">
        <v>374</v>
      </c>
      <c r="K246" s="6" t="s">
        <v>384</v>
      </c>
      <c r="L246" s="6" t="str">
        <f>IF(J246="כן", K246, VLOOKUP(LEFT(H246, 7), 'קטלוג תרחישים'!$A:$M, 13, FALSE))</f>
        <v>ב'</v>
      </c>
      <c r="M246" s="10"/>
      <c r="N246" s="23" t="s">
        <v>357</v>
      </c>
      <c r="O246" s="10" t="str" cm="1">
        <f t="array" ref="O246">_xlfn.IFS(N246="A","א'", N246="B", "ב'", N246= "C", "ג'")</f>
        <v>ב'</v>
      </c>
      <c r="P246" s="10">
        <f>IF(Table_2[[#This Row],[Correct_Answer]]=Table_2[[#This Row],[System_Recommendation]],1,0)</f>
        <v>1</v>
      </c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6" t="s">
        <v>138</v>
      </c>
      <c r="B247" s="6">
        <v>15</v>
      </c>
      <c r="C247" s="6" t="s">
        <v>372</v>
      </c>
      <c r="D247" s="6">
        <v>3</v>
      </c>
      <c r="E247" s="6" t="s">
        <v>105</v>
      </c>
      <c r="F247" s="6" t="s">
        <v>373</v>
      </c>
      <c r="G247" s="6" t="s">
        <v>117</v>
      </c>
      <c r="H247" s="6" t="s">
        <v>120</v>
      </c>
      <c r="I247" s="6" t="s">
        <v>91</v>
      </c>
      <c r="J247" s="6" t="s">
        <v>371</v>
      </c>
      <c r="K247" s="6" t="s">
        <v>384</v>
      </c>
      <c r="L247" s="6" t="str">
        <f>IF(J247="כן", K247, VLOOKUP(LEFT(H247, 7), 'קטלוג תרחישים'!$A:$M, 13, FALSE))</f>
        <v>ב'</v>
      </c>
      <c r="M247" s="10"/>
      <c r="N247" s="24" t="s">
        <v>357</v>
      </c>
      <c r="O247" s="10" t="str" cm="1">
        <f t="array" ref="O247">_xlfn.IFS(N247="A","א'", N247="B", "ב'", N247= "C", "ג'")</f>
        <v>ב'</v>
      </c>
      <c r="P247" s="10">
        <f>IF(Table_2[[#This Row],[Correct_Answer]]=Table_2[[#This Row],[System_Recommendation]],1,0)</f>
        <v>1</v>
      </c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6" t="s">
        <v>138</v>
      </c>
      <c r="B248" s="6">
        <v>16</v>
      </c>
      <c r="C248" s="6" t="s">
        <v>372</v>
      </c>
      <c r="D248" s="6">
        <v>3</v>
      </c>
      <c r="E248" s="6" t="s">
        <v>105</v>
      </c>
      <c r="F248" s="6" t="s">
        <v>373</v>
      </c>
      <c r="G248" s="6" t="s">
        <v>117</v>
      </c>
      <c r="H248" s="6" t="s">
        <v>119</v>
      </c>
      <c r="I248" s="6" t="s">
        <v>100</v>
      </c>
      <c r="J248" s="6" t="s">
        <v>374</v>
      </c>
      <c r="K248" s="6" t="s">
        <v>384</v>
      </c>
      <c r="L248" s="6" t="str">
        <f>IF(J248="כן", K248, VLOOKUP(LEFT(H248, 7), 'קטלוג תרחישים'!$A:$M, 13, FALSE))</f>
        <v>ב'</v>
      </c>
      <c r="M248" s="10"/>
      <c r="N248" s="23" t="s">
        <v>357</v>
      </c>
      <c r="O248" s="10" t="str" cm="1">
        <f t="array" ref="O248">_xlfn.IFS(N248="A","א'", N248="B", "ב'", N248= "C", "ג'")</f>
        <v>ב'</v>
      </c>
      <c r="P248" s="10">
        <f>IF(Table_2[[#This Row],[Correct_Answer]]=Table_2[[#This Row],[System_Recommendation]],1,0)</f>
        <v>1</v>
      </c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6" t="s">
        <v>138</v>
      </c>
      <c r="B249" s="6">
        <v>17</v>
      </c>
      <c r="C249" s="6" t="s">
        <v>372</v>
      </c>
      <c r="D249" s="6">
        <v>3</v>
      </c>
      <c r="E249" s="6" t="s">
        <v>105</v>
      </c>
      <c r="F249" s="6" t="s">
        <v>373</v>
      </c>
      <c r="G249" s="6" t="s">
        <v>117</v>
      </c>
      <c r="H249" s="6" t="s">
        <v>118</v>
      </c>
      <c r="I249" s="6" t="s">
        <v>91</v>
      </c>
      <c r="J249" s="6" t="s">
        <v>374</v>
      </c>
      <c r="K249" s="6" t="s">
        <v>383</v>
      </c>
      <c r="L249" s="6" t="str">
        <f>IF(J249="כן", K249, VLOOKUP(LEFT(H249, 7), 'קטלוג תרחישים'!$A:$M, 13, FALSE))</f>
        <v>ב'</v>
      </c>
      <c r="M249" s="10"/>
      <c r="N249" s="24" t="s">
        <v>352</v>
      </c>
      <c r="O249" s="10" t="str" cm="1">
        <f t="array" ref="O249">_xlfn.IFS(N249="A","א'", N249="B", "ב'", N249= "C", "ג'")</f>
        <v>א'</v>
      </c>
      <c r="P249" s="10">
        <f>IF(Table_2[[#This Row],[Correct_Answer]]=Table_2[[#This Row],[System_Recommendation]],1,0)</f>
        <v>0</v>
      </c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6" t="s">
        <v>138</v>
      </c>
      <c r="B250" s="6">
        <v>18</v>
      </c>
      <c r="C250" s="6" t="s">
        <v>372</v>
      </c>
      <c r="D250" s="6">
        <v>3</v>
      </c>
      <c r="E250" s="6" t="s">
        <v>105</v>
      </c>
      <c r="F250" s="6" t="s">
        <v>373</v>
      </c>
      <c r="G250" s="6" t="s">
        <v>117</v>
      </c>
      <c r="H250" s="6" t="s">
        <v>121</v>
      </c>
      <c r="I250" s="6" t="s">
        <v>100</v>
      </c>
      <c r="J250" s="6" t="s">
        <v>371</v>
      </c>
      <c r="K250" s="6" t="s">
        <v>385</v>
      </c>
      <c r="L250" s="6" t="str">
        <f>IF(J250="כן", K250, VLOOKUP(LEFT(H250, 7), 'קטלוג תרחישים'!$A:$M, 13, FALSE))</f>
        <v>ג</v>
      </c>
      <c r="M250" s="10"/>
      <c r="N250" s="23" t="s">
        <v>358</v>
      </c>
      <c r="O250" s="10" t="str" cm="1">
        <f t="array" ref="O250">_xlfn.IFS(N250="A","א'", N250="B", "ב'", N250= "C", "ג'")</f>
        <v>ג'</v>
      </c>
      <c r="P250" s="10">
        <f>IF(Table_2[[#This Row],[Correct_Answer]]=Table_2[[#This Row],[System_Recommendation]],1,0)</f>
        <v>1</v>
      </c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6" t="s">
        <v>138</v>
      </c>
      <c r="B251" s="6">
        <v>19</v>
      </c>
      <c r="C251" s="6" t="s">
        <v>372</v>
      </c>
      <c r="D251" s="6">
        <v>1</v>
      </c>
      <c r="E251" s="6" t="s">
        <v>105</v>
      </c>
      <c r="F251" s="6" t="s">
        <v>375</v>
      </c>
      <c r="G251" s="6" t="s">
        <v>97</v>
      </c>
      <c r="H251" s="6" t="s">
        <v>106</v>
      </c>
      <c r="I251" s="6" t="s">
        <v>91</v>
      </c>
      <c r="J251" s="6" t="s">
        <v>371</v>
      </c>
      <c r="K251" s="6" t="s">
        <v>384</v>
      </c>
      <c r="L251" s="6" t="str">
        <f>IF(J251="כן", K251, VLOOKUP(LEFT(H251, 7), 'קטלוג תרחישים'!$A:$M, 13, FALSE))</f>
        <v>ב'</v>
      </c>
      <c r="M251" s="10"/>
      <c r="N251" s="24" t="s">
        <v>357</v>
      </c>
      <c r="O251" s="10" t="str" cm="1">
        <f t="array" ref="O251">_xlfn.IFS(N251="A","א'", N251="B", "ב'", N251= "C", "ג'")</f>
        <v>ב'</v>
      </c>
      <c r="P251" s="10">
        <f>IF(Table_2[[#This Row],[Correct_Answer]]=Table_2[[#This Row],[System_Recommendation]],1,0)</f>
        <v>1</v>
      </c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6" t="s">
        <v>138</v>
      </c>
      <c r="B252" s="6">
        <v>20</v>
      </c>
      <c r="C252" s="6" t="s">
        <v>372</v>
      </c>
      <c r="D252" s="6">
        <v>1</v>
      </c>
      <c r="E252" s="6" t="s">
        <v>105</v>
      </c>
      <c r="F252" s="6" t="s">
        <v>375</v>
      </c>
      <c r="G252" s="6" t="s">
        <v>97</v>
      </c>
      <c r="H252" s="6" t="s">
        <v>109</v>
      </c>
      <c r="I252" s="6" t="s">
        <v>100</v>
      </c>
      <c r="J252" s="6" t="s">
        <v>371</v>
      </c>
      <c r="K252" s="6" t="s">
        <v>385</v>
      </c>
      <c r="L252" s="6" t="str">
        <f>IF(J252="כן", K252, VLOOKUP(LEFT(H252, 7), 'קטלוג תרחישים'!$A:$M, 13, FALSE))</f>
        <v>ג</v>
      </c>
      <c r="M252" s="10"/>
      <c r="N252" s="23" t="s">
        <v>358</v>
      </c>
      <c r="O252" s="10" t="str" cm="1">
        <f t="array" ref="O252">_xlfn.IFS(N252="A","א'", N252="B", "ב'", N252= "C", "ג'")</f>
        <v>ג'</v>
      </c>
      <c r="P252" s="10">
        <f>IF(Table_2[[#This Row],[Correct_Answer]]=Table_2[[#This Row],[System_Recommendation]],1,0)</f>
        <v>1</v>
      </c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6" t="s">
        <v>138</v>
      </c>
      <c r="B253" s="6">
        <v>21</v>
      </c>
      <c r="C253" s="6" t="s">
        <v>372</v>
      </c>
      <c r="D253" s="6">
        <v>1</v>
      </c>
      <c r="E253" s="6" t="s">
        <v>105</v>
      </c>
      <c r="F253" s="6" t="s">
        <v>375</v>
      </c>
      <c r="G253" s="6" t="s">
        <v>97</v>
      </c>
      <c r="H253" s="6" t="s">
        <v>110</v>
      </c>
      <c r="I253" s="6" t="s">
        <v>91</v>
      </c>
      <c r="J253" s="6" t="s">
        <v>371</v>
      </c>
      <c r="K253" s="6" t="s">
        <v>383</v>
      </c>
      <c r="L253" s="6" t="str">
        <f>IF(J253="כן", K253, VLOOKUP(LEFT(H253, 7), 'קטלוג תרחישים'!$A:$M, 13, FALSE))</f>
        <v>א'</v>
      </c>
      <c r="M253" s="10"/>
      <c r="N253" s="24" t="s">
        <v>352</v>
      </c>
      <c r="O253" s="10" t="str" cm="1">
        <f t="array" ref="O253">_xlfn.IFS(N253="A","א'", N253="B", "ב'", N253= "C", "ג'")</f>
        <v>א'</v>
      </c>
      <c r="P253" s="10">
        <f>IF(Table_2[[#This Row],[Correct_Answer]]=Table_2[[#This Row],[System_Recommendation]],1,0)</f>
        <v>1</v>
      </c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6" t="s">
        <v>138</v>
      </c>
      <c r="B254" s="6">
        <v>22</v>
      </c>
      <c r="C254" s="6" t="s">
        <v>372</v>
      </c>
      <c r="D254" s="6">
        <v>1</v>
      </c>
      <c r="E254" s="6" t="s">
        <v>105</v>
      </c>
      <c r="F254" s="6" t="s">
        <v>375</v>
      </c>
      <c r="G254" s="6" t="s">
        <v>97</v>
      </c>
      <c r="H254" s="6" t="s">
        <v>107</v>
      </c>
      <c r="I254" s="6" t="s">
        <v>100</v>
      </c>
      <c r="J254" s="6" t="s">
        <v>371</v>
      </c>
      <c r="K254" s="6" t="s">
        <v>385</v>
      </c>
      <c r="L254" s="6" t="str">
        <f>IF(J254="כן", K254, VLOOKUP(LEFT(H254, 7), 'קטלוג תרחישים'!$A:$M, 13, FALSE))</f>
        <v>ג</v>
      </c>
      <c r="M254" s="10"/>
      <c r="N254" s="23" t="s">
        <v>358</v>
      </c>
      <c r="O254" s="10" t="str" cm="1">
        <f t="array" ref="O254">_xlfn.IFS(N254="A","א'", N254="B", "ב'", N254= "C", "ג'")</f>
        <v>ג'</v>
      </c>
      <c r="P254" s="10">
        <f>IF(Table_2[[#This Row],[Correct_Answer]]=Table_2[[#This Row],[System_Recommendation]],1,0)</f>
        <v>1</v>
      </c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6" t="s">
        <v>138</v>
      </c>
      <c r="B255" s="6">
        <v>23</v>
      </c>
      <c r="C255" s="6" t="s">
        <v>372</v>
      </c>
      <c r="D255" s="6">
        <v>1</v>
      </c>
      <c r="E255" s="6" t="s">
        <v>105</v>
      </c>
      <c r="F255" s="6" t="s">
        <v>375</v>
      </c>
      <c r="G255" s="6" t="s">
        <v>97</v>
      </c>
      <c r="H255" s="6" t="s">
        <v>108</v>
      </c>
      <c r="I255" s="6" t="s">
        <v>91</v>
      </c>
      <c r="J255" s="6" t="s">
        <v>374</v>
      </c>
      <c r="K255" s="6" t="s">
        <v>385</v>
      </c>
      <c r="L255" s="6" t="str">
        <f>IF(J255="כן", K255, VLOOKUP(LEFT(H255, 7), 'קטלוג תרחישים'!$A:$M, 13, FALSE))</f>
        <v>א'</v>
      </c>
      <c r="M255" s="10"/>
      <c r="N255" s="24" t="s">
        <v>358</v>
      </c>
      <c r="O255" s="10" t="str" cm="1">
        <f t="array" ref="O255">_xlfn.IFS(N255="A","א'", N255="B", "ב'", N255= "C", "ג'")</f>
        <v>ג'</v>
      </c>
      <c r="P255" s="10">
        <f>IF(Table_2[[#This Row],[Correct_Answer]]=Table_2[[#This Row],[System_Recommendation]],1,0)</f>
        <v>0</v>
      </c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6" t="s">
        <v>138</v>
      </c>
      <c r="B256" s="6">
        <v>24</v>
      </c>
      <c r="C256" s="6" t="s">
        <v>372</v>
      </c>
      <c r="D256" s="6">
        <v>2</v>
      </c>
      <c r="E256" s="6" t="s">
        <v>111</v>
      </c>
      <c r="F256" s="6" t="s">
        <v>375</v>
      </c>
      <c r="G256" s="6" t="s">
        <v>97</v>
      </c>
      <c r="H256" s="6" t="s">
        <v>114</v>
      </c>
      <c r="I256" s="6" t="s">
        <v>91</v>
      </c>
      <c r="J256" s="6" t="s">
        <v>371</v>
      </c>
      <c r="K256" s="6" t="s">
        <v>384</v>
      </c>
      <c r="L256" s="6" t="str">
        <f>IF(J256="כן", K256, VLOOKUP(LEFT(H256, 7), 'קטלוג תרחישים'!$A:$M, 13, FALSE))</f>
        <v>ב'</v>
      </c>
      <c r="M256" s="10"/>
      <c r="N256" s="23" t="s">
        <v>357</v>
      </c>
      <c r="O256" s="10" t="str" cm="1">
        <f t="array" ref="O256">_xlfn.IFS(N256="A","א'", N256="B", "ב'", N256= "C", "ג'")</f>
        <v>ב'</v>
      </c>
      <c r="P256" s="10">
        <f>IF(Table_2[[#This Row],[Correct_Answer]]=Table_2[[#This Row],[System_Recommendation]],1,0)</f>
        <v>1</v>
      </c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6" t="s">
        <v>138</v>
      </c>
      <c r="B257" s="6">
        <v>25</v>
      </c>
      <c r="C257" s="6" t="s">
        <v>372</v>
      </c>
      <c r="D257" s="6">
        <v>2</v>
      </c>
      <c r="E257" s="6" t="s">
        <v>111</v>
      </c>
      <c r="F257" s="6" t="s">
        <v>375</v>
      </c>
      <c r="G257" s="6" t="s">
        <v>97</v>
      </c>
      <c r="H257" s="6" t="s">
        <v>115</v>
      </c>
      <c r="I257" s="6" t="s">
        <v>100</v>
      </c>
      <c r="J257" s="6" t="s">
        <v>371</v>
      </c>
      <c r="K257" s="6" t="s">
        <v>383</v>
      </c>
      <c r="L257" s="6" t="str">
        <f>IF(J257="כן", K257, VLOOKUP(LEFT(H257, 7), 'קטלוג תרחישים'!$A:$M, 13, FALSE))</f>
        <v>א'</v>
      </c>
      <c r="M257" s="10"/>
      <c r="N257" s="24" t="s">
        <v>352</v>
      </c>
      <c r="O257" s="10" t="str" cm="1">
        <f t="array" ref="O257">_xlfn.IFS(N257="A","א'", N257="B", "ב'", N257= "C", "ג'")</f>
        <v>א'</v>
      </c>
      <c r="P257" s="10">
        <f>IF(Table_2[[#This Row],[Correct_Answer]]=Table_2[[#This Row],[System_Recommendation]],1,0)</f>
        <v>1</v>
      </c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6" t="s">
        <v>138</v>
      </c>
      <c r="B258" s="6">
        <v>26</v>
      </c>
      <c r="C258" s="6" t="s">
        <v>372</v>
      </c>
      <c r="D258" s="6">
        <v>2</v>
      </c>
      <c r="E258" s="6" t="s">
        <v>111</v>
      </c>
      <c r="F258" s="6" t="s">
        <v>375</v>
      </c>
      <c r="G258" s="6" t="s">
        <v>97</v>
      </c>
      <c r="H258" s="6" t="s">
        <v>116</v>
      </c>
      <c r="I258" s="6" t="s">
        <v>91</v>
      </c>
      <c r="J258" s="6" t="s">
        <v>371</v>
      </c>
      <c r="K258" s="6" t="s">
        <v>385</v>
      </c>
      <c r="L258" s="6" t="str">
        <f>IF(J258="כן", K258, VLOOKUP(LEFT(H258, 7), 'קטלוג תרחישים'!$A:$M, 13, FALSE))</f>
        <v>ג</v>
      </c>
      <c r="M258" s="10"/>
      <c r="N258" s="23" t="s">
        <v>358</v>
      </c>
      <c r="O258" s="10" t="str" cm="1">
        <f t="array" ref="O258">_xlfn.IFS(N258="A","א'", N258="B", "ב'", N258= "C", "ג'")</f>
        <v>ג'</v>
      </c>
      <c r="P258" s="10">
        <f>IF(Table_2[[#This Row],[Correct_Answer]]=Table_2[[#This Row],[System_Recommendation]],1,0)</f>
        <v>1</v>
      </c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6" t="s">
        <v>138</v>
      </c>
      <c r="B259" s="6">
        <v>27</v>
      </c>
      <c r="C259" s="6" t="s">
        <v>372</v>
      </c>
      <c r="D259" s="6">
        <v>2</v>
      </c>
      <c r="E259" s="6" t="s">
        <v>111</v>
      </c>
      <c r="F259" s="6" t="s">
        <v>375</v>
      </c>
      <c r="G259" s="6" t="s">
        <v>97</v>
      </c>
      <c r="H259" s="6" t="s">
        <v>113</v>
      </c>
      <c r="I259" s="6" t="s">
        <v>100</v>
      </c>
      <c r="J259" s="6" t="s">
        <v>371</v>
      </c>
      <c r="K259" s="6" t="s">
        <v>384</v>
      </c>
      <c r="L259" s="6" t="str">
        <f>IF(J259="כן", K259, VLOOKUP(LEFT(H259, 7), 'קטלוג תרחישים'!$A:$M, 13, FALSE))</f>
        <v>ב'</v>
      </c>
      <c r="M259" s="10"/>
      <c r="N259" s="24" t="s">
        <v>357</v>
      </c>
      <c r="O259" s="10" t="str" cm="1">
        <f t="array" ref="O259">_xlfn.IFS(N259="A","א'", N259="B", "ב'", N259= "C", "ג'")</f>
        <v>ב'</v>
      </c>
      <c r="P259" s="10">
        <f>IF(Table_2[[#This Row],[Correct_Answer]]=Table_2[[#This Row],[System_Recommendation]],1,0)</f>
        <v>1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6" t="s">
        <v>138</v>
      </c>
      <c r="B260" s="6">
        <v>28</v>
      </c>
      <c r="C260" s="6" t="s">
        <v>372</v>
      </c>
      <c r="D260" s="6">
        <v>2</v>
      </c>
      <c r="E260" s="6" t="s">
        <v>111</v>
      </c>
      <c r="F260" s="6" t="s">
        <v>375</v>
      </c>
      <c r="G260" s="6" t="s">
        <v>97</v>
      </c>
      <c r="H260" s="6" t="s">
        <v>112</v>
      </c>
      <c r="I260" s="6" t="s">
        <v>91</v>
      </c>
      <c r="J260" s="6" t="s">
        <v>374</v>
      </c>
      <c r="K260" s="6" t="s">
        <v>385</v>
      </c>
      <c r="L260" s="6" t="str">
        <f>IF(J260="כן", K260, VLOOKUP(LEFT(H260, 7), 'קטלוג תרחישים'!$A:$M, 13, FALSE))</f>
        <v>א'</v>
      </c>
      <c r="M260" s="10"/>
      <c r="N260" s="23" t="s">
        <v>358</v>
      </c>
      <c r="O260" s="10" t="str" cm="1">
        <f t="array" ref="O260">_xlfn.IFS(N260="A","א'", N260="B", "ב'", N260= "C", "ג'")</f>
        <v>ג'</v>
      </c>
      <c r="P260" s="10">
        <f>IF(Table_2[[#This Row],[Correct_Answer]]=Table_2[[#This Row],[System_Recommendation]],1,0)</f>
        <v>0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6" t="s">
        <v>138</v>
      </c>
      <c r="B261" s="6">
        <v>29</v>
      </c>
      <c r="C261" s="6" t="s">
        <v>372</v>
      </c>
      <c r="D261" s="6">
        <v>3</v>
      </c>
      <c r="E261" s="6" t="s">
        <v>98</v>
      </c>
      <c r="F261" s="6" t="s">
        <v>375</v>
      </c>
      <c r="G261" s="6" t="s">
        <v>97</v>
      </c>
      <c r="H261" s="6" t="s">
        <v>102</v>
      </c>
      <c r="I261" s="6" t="s">
        <v>100</v>
      </c>
      <c r="J261" s="6" t="s">
        <v>371</v>
      </c>
      <c r="K261" s="6" t="s">
        <v>385</v>
      </c>
      <c r="L261" s="6" t="str">
        <f>IF(J261="כן", K261, VLOOKUP(LEFT(H261, 7), 'קטלוג תרחישים'!$A:$M, 13, FALSE))</f>
        <v>ג</v>
      </c>
      <c r="M261" s="10"/>
      <c r="N261" s="24" t="s">
        <v>358</v>
      </c>
      <c r="O261" s="10" t="str" cm="1">
        <f t="array" ref="O261">_xlfn.IFS(N261="A","א'", N261="B", "ב'", N261= "C", "ג'")</f>
        <v>ג'</v>
      </c>
      <c r="P261" s="10">
        <f>IF(Table_2[[#This Row],[Correct_Answer]]=Table_2[[#This Row],[System_Recommendation]],1,0)</f>
        <v>1</v>
      </c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6" t="s">
        <v>138</v>
      </c>
      <c r="B262" s="6">
        <v>30</v>
      </c>
      <c r="C262" s="6" t="s">
        <v>372</v>
      </c>
      <c r="D262" s="6">
        <v>3</v>
      </c>
      <c r="E262" s="6" t="s">
        <v>98</v>
      </c>
      <c r="F262" s="6" t="s">
        <v>375</v>
      </c>
      <c r="G262" s="6" t="s">
        <v>97</v>
      </c>
      <c r="H262" s="6" t="s">
        <v>103</v>
      </c>
      <c r="I262" s="6" t="s">
        <v>91</v>
      </c>
      <c r="J262" s="6" t="s">
        <v>371</v>
      </c>
      <c r="K262" s="6" t="s">
        <v>384</v>
      </c>
      <c r="L262" s="6" t="str">
        <f>IF(J262="כן", K262, VLOOKUP(LEFT(H262, 7), 'קטלוג תרחישים'!$A:$M, 13, FALSE))</f>
        <v>ב'</v>
      </c>
      <c r="M262" s="10"/>
      <c r="N262" s="23" t="s">
        <v>357</v>
      </c>
      <c r="O262" s="10" t="str" cm="1">
        <f t="array" ref="O262">_xlfn.IFS(N262="A","א'", N262="B", "ב'", N262= "C", "ג'")</f>
        <v>ב'</v>
      </c>
      <c r="P262" s="10">
        <f>IF(Table_2[[#This Row],[Correct_Answer]]=Table_2[[#This Row],[System_Recommendation]],1,0)</f>
        <v>1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6" t="s">
        <v>138</v>
      </c>
      <c r="B263" s="6">
        <v>31</v>
      </c>
      <c r="C263" s="6" t="s">
        <v>372</v>
      </c>
      <c r="D263" s="6">
        <v>3</v>
      </c>
      <c r="E263" s="6" t="s">
        <v>98</v>
      </c>
      <c r="F263" s="6" t="s">
        <v>375</v>
      </c>
      <c r="G263" s="6" t="s">
        <v>97</v>
      </c>
      <c r="H263" s="6" t="s">
        <v>104</v>
      </c>
      <c r="I263" s="6" t="s">
        <v>100</v>
      </c>
      <c r="J263" s="6" t="s">
        <v>371</v>
      </c>
      <c r="K263" s="6" t="s">
        <v>385</v>
      </c>
      <c r="L263" s="6" t="str">
        <f>IF(J263="כן", K263, VLOOKUP(LEFT(H263, 7), 'קטלוג תרחישים'!$A:$M, 13, FALSE))</f>
        <v>ג</v>
      </c>
      <c r="M263" s="10"/>
      <c r="N263" s="24" t="s">
        <v>358</v>
      </c>
      <c r="O263" s="10" t="str" cm="1">
        <f t="array" ref="O263">_xlfn.IFS(N263="A","א'", N263="B", "ב'", N263= "C", "ג'")</f>
        <v>ג'</v>
      </c>
      <c r="P263" s="10">
        <f>IF(Table_2[[#This Row],[Correct_Answer]]=Table_2[[#This Row],[System_Recommendation]],1,0)</f>
        <v>1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6" t="s">
        <v>138</v>
      </c>
      <c r="B264" s="6">
        <v>32</v>
      </c>
      <c r="C264" s="6" t="s">
        <v>372</v>
      </c>
      <c r="D264" s="6">
        <v>3</v>
      </c>
      <c r="E264" s="6" t="s">
        <v>98</v>
      </c>
      <c r="F264" s="6" t="s">
        <v>375</v>
      </c>
      <c r="G264" s="6" t="s">
        <v>97</v>
      </c>
      <c r="H264" s="6" t="s">
        <v>101</v>
      </c>
      <c r="I264" s="6" t="s">
        <v>91</v>
      </c>
      <c r="J264" s="6" t="s">
        <v>374</v>
      </c>
      <c r="K264" s="6" t="s">
        <v>383</v>
      </c>
      <c r="L264" s="6" t="str">
        <f>IF(J264="כן", K264, VLOOKUP(LEFT(H264, 7), 'קטלוג תרחישים'!$A:$M, 13, FALSE))</f>
        <v>ב'</v>
      </c>
      <c r="M264" s="10"/>
      <c r="N264" s="23" t="s">
        <v>352</v>
      </c>
      <c r="O264" s="10" t="str" cm="1">
        <f t="array" ref="O264">_xlfn.IFS(N264="A","א'", N264="B", "ב'", N264= "C", "ג'")</f>
        <v>א'</v>
      </c>
      <c r="P264" s="10">
        <f>IF(Table_2[[#This Row],[Correct_Answer]]=Table_2[[#This Row],[System_Recommendation]],1,0)</f>
        <v>0</v>
      </c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6" t="s">
        <v>138</v>
      </c>
      <c r="B265" s="6">
        <v>33</v>
      </c>
      <c r="C265" s="6" t="s">
        <v>372</v>
      </c>
      <c r="D265" s="6">
        <v>3</v>
      </c>
      <c r="E265" s="6" t="s">
        <v>98</v>
      </c>
      <c r="F265" s="6" t="s">
        <v>375</v>
      </c>
      <c r="G265" s="6" t="s">
        <v>97</v>
      </c>
      <c r="H265" s="6" t="s">
        <v>99</v>
      </c>
      <c r="I265" s="6" t="s">
        <v>100</v>
      </c>
      <c r="J265" s="6" t="s">
        <v>371</v>
      </c>
      <c r="K265" s="6" t="s">
        <v>383</v>
      </c>
      <c r="L265" s="6" t="str">
        <f>IF(J265="כן", K265, VLOOKUP(LEFT(H265, 7), 'קטלוג תרחישים'!$A:$M, 13, FALSE))</f>
        <v>א'</v>
      </c>
      <c r="M265" s="10"/>
      <c r="N265" s="24" t="s">
        <v>352</v>
      </c>
      <c r="O265" s="10" t="str" cm="1">
        <f t="array" ref="O265">_xlfn.IFS(N265="A","א'", N265="B", "ב'", N265= "C", "ג'")</f>
        <v>א'</v>
      </c>
      <c r="P265" s="10">
        <f>IF(Table_2[[#This Row],[Correct_Answer]]=Table_2[[#This Row],[System_Recommendation]],1,0)</f>
        <v>1</v>
      </c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6" t="s">
        <v>139</v>
      </c>
      <c r="B266" s="6">
        <v>1</v>
      </c>
      <c r="C266" s="6" t="s">
        <v>370</v>
      </c>
      <c r="D266" s="6"/>
      <c r="E266" s="6" t="s">
        <v>98</v>
      </c>
      <c r="F266" s="6"/>
      <c r="G266" s="6"/>
      <c r="H266" s="8" t="s">
        <v>90</v>
      </c>
      <c r="I266" s="6" t="s">
        <v>91</v>
      </c>
      <c r="J266" s="6" t="s">
        <v>371</v>
      </c>
      <c r="K266" s="6" t="s">
        <v>385</v>
      </c>
      <c r="L266" s="6" t="str">
        <f>IF(J266="כן", K266, VLOOKUP(LEFT(H266, 7), 'קטלוג תרחישים'!$A:$M, 13, FALSE))</f>
        <v>ג</v>
      </c>
      <c r="M266" s="10"/>
      <c r="N266" s="23" t="s">
        <v>358</v>
      </c>
      <c r="O266" s="10" t="str" cm="1">
        <f t="array" ref="O266">_xlfn.IFS(N266="A","א'", N266="B", "ב'", N266= "C", "ג'")</f>
        <v>ג'</v>
      </c>
      <c r="P266" s="10">
        <f>IF(Table_2[[#This Row],[Correct_Answer]]=Table_2[[#This Row],[System_Recommendation]],1,0)</f>
        <v>1</v>
      </c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6" t="s">
        <v>139</v>
      </c>
      <c r="B267" s="6">
        <v>2</v>
      </c>
      <c r="C267" s="6" t="s">
        <v>370</v>
      </c>
      <c r="D267" s="6"/>
      <c r="E267" s="6" t="s">
        <v>98</v>
      </c>
      <c r="F267" s="6"/>
      <c r="G267" s="6"/>
      <c r="H267" s="8" t="s">
        <v>92</v>
      </c>
      <c r="I267" s="6" t="s">
        <v>91</v>
      </c>
      <c r="J267" s="6" t="s">
        <v>371</v>
      </c>
      <c r="K267" s="6" t="s">
        <v>385</v>
      </c>
      <c r="L267" s="6" t="str">
        <f>IF(J267="כן", K267, VLOOKUP(LEFT(H267, 7), 'קטלוג תרחישים'!$A:$M, 13, FALSE))</f>
        <v>ג</v>
      </c>
      <c r="M267" s="10"/>
      <c r="N267" s="24" t="s">
        <v>358</v>
      </c>
      <c r="O267" s="10" t="str" cm="1">
        <f t="array" ref="O267">_xlfn.IFS(N267="A","א'", N267="B", "ב'", N267= "C", "ג'")</f>
        <v>ג'</v>
      </c>
      <c r="P267" s="10">
        <f>IF(Table_2[[#This Row],[Correct_Answer]]=Table_2[[#This Row],[System_Recommendation]],1,0)</f>
        <v>1</v>
      </c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6" t="s">
        <v>139</v>
      </c>
      <c r="B268" s="6">
        <v>3</v>
      </c>
      <c r="C268" s="6" t="s">
        <v>370</v>
      </c>
      <c r="D268" s="6"/>
      <c r="E268" s="6" t="s">
        <v>105</v>
      </c>
      <c r="F268" s="6"/>
      <c r="G268" s="6"/>
      <c r="H268" s="8" t="s">
        <v>93</v>
      </c>
      <c r="I268" s="6" t="s">
        <v>91</v>
      </c>
      <c r="J268" s="6" t="s">
        <v>371</v>
      </c>
      <c r="K268" s="6" t="s">
        <v>385</v>
      </c>
      <c r="L268" s="6" t="str">
        <f>IF(J268="כן", K268, VLOOKUP(LEFT(H268, 7), 'קטלוג תרחישים'!$A:$M, 13, FALSE))</f>
        <v>ג</v>
      </c>
      <c r="M268" s="10"/>
      <c r="N268" s="23" t="s">
        <v>358</v>
      </c>
      <c r="O268" s="10" t="str" cm="1">
        <f t="array" ref="O268">_xlfn.IFS(N268="A","א'", N268="B", "ב'", N268= "C", "ג'")</f>
        <v>ג'</v>
      </c>
      <c r="P268" s="10">
        <f>IF(Table_2[[#This Row],[Correct_Answer]]=Table_2[[#This Row],[System_Recommendation]],1,0)</f>
        <v>1</v>
      </c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6" t="s">
        <v>139</v>
      </c>
      <c r="B269" s="6">
        <v>4</v>
      </c>
      <c r="C269" s="6" t="s">
        <v>370</v>
      </c>
      <c r="D269" s="6"/>
      <c r="E269" s="6" t="s">
        <v>105</v>
      </c>
      <c r="F269" s="6"/>
      <c r="G269" s="6"/>
      <c r="H269" s="8" t="s">
        <v>94</v>
      </c>
      <c r="I269" s="6" t="s">
        <v>91</v>
      </c>
      <c r="J269" s="6" t="s">
        <v>371</v>
      </c>
      <c r="K269" s="6" t="s">
        <v>384</v>
      </c>
      <c r="L269" s="6" t="str">
        <f>IF(J269="כן", K269, VLOOKUP(LEFT(H269, 7), 'קטלוג תרחישים'!$A:$M, 13, FALSE))</f>
        <v>ב'</v>
      </c>
      <c r="M269" s="10"/>
      <c r="N269" s="24" t="s">
        <v>357</v>
      </c>
      <c r="O269" s="10" t="str" cm="1">
        <f t="array" ref="O269">_xlfn.IFS(N269="A","א'", N269="B", "ב'", N269= "C", "ג'")</f>
        <v>ב'</v>
      </c>
      <c r="P269" s="10">
        <f>IF(Table_2[[#This Row],[Correct_Answer]]=Table_2[[#This Row],[System_Recommendation]],1,0)</f>
        <v>1</v>
      </c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6" t="s">
        <v>139</v>
      </c>
      <c r="B270" s="6">
        <v>5</v>
      </c>
      <c r="C270" s="6" t="s">
        <v>370</v>
      </c>
      <c r="D270" s="6"/>
      <c r="E270" s="6" t="s">
        <v>111</v>
      </c>
      <c r="F270" s="6"/>
      <c r="G270" s="6"/>
      <c r="H270" s="8" t="s">
        <v>95</v>
      </c>
      <c r="I270" s="6" t="s">
        <v>91</v>
      </c>
      <c r="J270" s="6" t="s">
        <v>371</v>
      </c>
      <c r="K270" s="6" t="s">
        <v>383</v>
      </c>
      <c r="L270" s="6" t="str">
        <f>IF(J270="כן", K270, VLOOKUP(LEFT(H270, 7), 'קטלוג תרחישים'!$A:$M, 13, FALSE))</f>
        <v>א'</v>
      </c>
      <c r="M270" s="10"/>
      <c r="N270" s="23" t="s">
        <v>352</v>
      </c>
      <c r="O270" s="10" t="str" cm="1">
        <f t="array" ref="O270">_xlfn.IFS(N270="A","א'", N270="B", "ב'", N270= "C", "ג'")</f>
        <v>א'</v>
      </c>
      <c r="P270" s="10">
        <f>IF(Table_2[[#This Row],[Correct_Answer]]=Table_2[[#This Row],[System_Recommendation]],1,0)</f>
        <v>1</v>
      </c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6" t="s">
        <v>139</v>
      </c>
      <c r="B271" s="6">
        <v>6</v>
      </c>
      <c r="C271" s="6" t="s">
        <v>370</v>
      </c>
      <c r="D271" s="6"/>
      <c r="E271" s="6" t="s">
        <v>111</v>
      </c>
      <c r="F271" s="6"/>
      <c r="G271" s="6"/>
      <c r="H271" s="8" t="s">
        <v>96</v>
      </c>
      <c r="I271" s="6" t="s">
        <v>91</v>
      </c>
      <c r="J271" s="6" t="s">
        <v>371</v>
      </c>
      <c r="K271" s="6" t="s">
        <v>385</v>
      </c>
      <c r="L271" s="6" t="str">
        <f>IF(J271="כן", K271, VLOOKUP(LEFT(H271, 7), 'קטלוג תרחישים'!$A:$M, 13, FALSE))</f>
        <v>ג</v>
      </c>
      <c r="M271" s="10"/>
      <c r="N271" s="24" t="s">
        <v>358</v>
      </c>
      <c r="O271" s="10" t="str" cm="1">
        <f t="array" ref="O271">_xlfn.IFS(N271="A","א'", N271="B", "ב'", N271= "C", "ג'")</f>
        <v>ג'</v>
      </c>
      <c r="P271" s="10">
        <f>IF(Table_2[[#This Row],[Correct_Answer]]=Table_2[[#This Row],[System_Recommendation]],1,0)</f>
        <v>1</v>
      </c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6" t="s">
        <v>139</v>
      </c>
      <c r="B272" s="6">
        <v>7</v>
      </c>
      <c r="C272" s="6" t="s">
        <v>372</v>
      </c>
      <c r="D272" s="6">
        <v>1</v>
      </c>
      <c r="E272" s="6" t="s">
        <v>111</v>
      </c>
      <c r="F272" s="6" t="s">
        <v>373</v>
      </c>
      <c r="G272" s="6" t="s">
        <v>97</v>
      </c>
      <c r="H272" s="6" t="s">
        <v>116</v>
      </c>
      <c r="I272" s="6" t="s">
        <v>91</v>
      </c>
      <c r="J272" s="6" t="s">
        <v>371</v>
      </c>
      <c r="K272" s="6" t="s">
        <v>385</v>
      </c>
      <c r="L272" s="6" t="str">
        <f>IF(J272="כן", K272, VLOOKUP(LEFT(H272, 7), 'קטלוג תרחישים'!$A:$M, 13, FALSE))</f>
        <v>ג</v>
      </c>
      <c r="M272" s="10"/>
      <c r="N272" s="23" t="s">
        <v>358</v>
      </c>
      <c r="O272" s="10" t="str" cm="1">
        <f t="array" ref="O272">_xlfn.IFS(N272="A","א'", N272="B", "ב'", N272= "C", "ג'")</f>
        <v>ג'</v>
      </c>
      <c r="P272" s="10">
        <f>IF(Table_2[[#This Row],[Correct_Answer]]=Table_2[[#This Row],[System_Recommendation]],1,0)</f>
        <v>1</v>
      </c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6" t="s">
        <v>139</v>
      </c>
      <c r="B273" s="6">
        <v>8</v>
      </c>
      <c r="C273" s="6" t="s">
        <v>372</v>
      </c>
      <c r="D273" s="6">
        <v>1</v>
      </c>
      <c r="E273" s="6" t="s">
        <v>111</v>
      </c>
      <c r="F273" s="6" t="s">
        <v>373</v>
      </c>
      <c r="G273" s="6" t="s">
        <v>97</v>
      </c>
      <c r="H273" s="6" t="s">
        <v>113</v>
      </c>
      <c r="I273" s="6" t="s">
        <v>100</v>
      </c>
      <c r="J273" s="6" t="s">
        <v>371</v>
      </c>
      <c r="K273" s="6" t="s">
        <v>383</v>
      </c>
      <c r="L273" s="6" t="str">
        <f>IF(J273="כן", K273, VLOOKUP(LEFT(H273, 7), 'קטלוג תרחישים'!$A:$M, 13, FALSE))</f>
        <v>א'</v>
      </c>
      <c r="M273" s="10"/>
      <c r="N273" s="24" t="s">
        <v>352</v>
      </c>
      <c r="O273" s="10" t="str" cm="1">
        <f t="array" ref="O273">_xlfn.IFS(N273="A","א'", N273="B", "ב'", N273= "C", "ג'")</f>
        <v>א'</v>
      </c>
      <c r="P273" s="10">
        <f>IF(Table_2[[#This Row],[Correct_Answer]]=Table_2[[#This Row],[System_Recommendation]],1,0)</f>
        <v>1</v>
      </c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6" t="s">
        <v>139</v>
      </c>
      <c r="B274" s="6">
        <v>9</v>
      </c>
      <c r="C274" s="6" t="s">
        <v>372</v>
      </c>
      <c r="D274" s="6">
        <v>1</v>
      </c>
      <c r="E274" s="6" t="s">
        <v>111</v>
      </c>
      <c r="F274" s="6" t="s">
        <v>373</v>
      </c>
      <c r="G274" s="6" t="s">
        <v>97</v>
      </c>
      <c r="H274" s="6" t="s">
        <v>114</v>
      </c>
      <c r="I274" s="6" t="s">
        <v>91</v>
      </c>
      <c r="J274" s="6" t="s">
        <v>371</v>
      </c>
      <c r="K274" s="6" t="s">
        <v>383</v>
      </c>
      <c r="L274" s="6" t="str">
        <f>IF(J274="כן", K274, VLOOKUP(LEFT(H274, 7), 'קטלוג תרחישים'!$A:$M, 13, FALSE))</f>
        <v>א'</v>
      </c>
      <c r="M274" s="10"/>
      <c r="N274" s="23" t="s">
        <v>352</v>
      </c>
      <c r="O274" s="10" t="str" cm="1">
        <f t="array" ref="O274">_xlfn.IFS(N274="A","א'", N274="B", "ב'", N274= "C", "ג'")</f>
        <v>א'</v>
      </c>
      <c r="P274" s="10">
        <f>IF(Table_2[[#This Row],[Correct_Answer]]=Table_2[[#This Row],[System_Recommendation]],1,0)</f>
        <v>1</v>
      </c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6" t="s">
        <v>139</v>
      </c>
      <c r="B275" s="6">
        <v>10</v>
      </c>
      <c r="C275" s="6" t="s">
        <v>372</v>
      </c>
      <c r="D275" s="6">
        <v>1</v>
      </c>
      <c r="E275" s="6" t="s">
        <v>111</v>
      </c>
      <c r="F275" s="6" t="s">
        <v>373</v>
      </c>
      <c r="G275" s="6" t="s">
        <v>97</v>
      </c>
      <c r="H275" s="6" t="s">
        <v>115</v>
      </c>
      <c r="I275" s="6" t="s">
        <v>100</v>
      </c>
      <c r="J275" s="6" t="s">
        <v>374</v>
      </c>
      <c r="K275" s="6" t="s">
        <v>383</v>
      </c>
      <c r="L275" s="6" t="str">
        <f>IF(J275="כן", K275, VLOOKUP(LEFT(H275, 7), 'קטלוג תרחישים'!$A:$M, 13, FALSE))</f>
        <v>ג'</v>
      </c>
      <c r="M275" s="10"/>
      <c r="N275" s="24" t="s">
        <v>352</v>
      </c>
      <c r="O275" s="10" t="str" cm="1">
        <f t="array" ref="O275">_xlfn.IFS(N275="A","א'", N275="B", "ב'", N275= "C", "ג'")</f>
        <v>א'</v>
      </c>
      <c r="P275" s="10">
        <f>IF(Table_2[[#This Row],[Correct_Answer]]=Table_2[[#This Row],[System_Recommendation]],1,0)</f>
        <v>0</v>
      </c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6" t="s">
        <v>139</v>
      </c>
      <c r="B276" s="6">
        <v>11</v>
      </c>
      <c r="C276" s="6" t="s">
        <v>372</v>
      </c>
      <c r="D276" s="6">
        <v>1</v>
      </c>
      <c r="E276" s="6" t="s">
        <v>111</v>
      </c>
      <c r="F276" s="6" t="s">
        <v>373</v>
      </c>
      <c r="G276" s="6" t="s">
        <v>97</v>
      </c>
      <c r="H276" s="6" t="s">
        <v>112</v>
      </c>
      <c r="I276" s="6" t="s">
        <v>91</v>
      </c>
      <c r="J276" s="6" t="s">
        <v>371</v>
      </c>
      <c r="K276" s="6" t="s">
        <v>384</v>
      </c>
      <c r="L276" s="6" t="str">
        <f>IF(J276="כן", K276, VLOOKUP(LEFT(H276, 7), 'קטלוג תרחישים'!$A:$M, 13, FALSE))</f>
        <v>ב'</v>
      </c>
      <c r="M276" s="10"/>
      <c r="N276" s="23" t="s">
        <v>357</v>
      </c>
      <c r="O276" s="10" t="str" cm="1">
        <f t="array" ref="O276">_xlfn.IFS(N276="A","א'", N276="B", "ב'", N276= "C", "ג'")</f>
        <v>ב'</v>
      </c>
      <c r="P276" s="10">
        <f>IF(Table_2[[#This Row],[Correct_Answer]]=Table_2[[#This Row],[System_Recommendation]],1,0)</f>
        <v>1</v>
      </c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6" t="s">
        <v>139</v>
      </c>
      <c r="B277" s="6">
        <v>12</v>
      </c>
      <c r="C277" s="6" t="s">
        <v>372</v>
      </c>
      <c r="D277" s="6">
        <v>2</v>
      </c>
      <c r="E277" s="6" t="s">
        <v>98</v>
      </c>
      <c r="F277" s="6" t="s">
        <v>373</v>
      </c>
      <c r="G277" s="6" t="s">
        <v>97</v>
      </c>
      <c r="H277" s="6" t="s">
        <v>102</v>
      </c>
      <c r="I277" s="6" t="s">
        <v>100</v>
      </c>
      <c r="J277" s="6" t="s">
        <v>371</v>
      </c>
      <c r="K277" s="6" t="s">
        <v>384</v>
      </c>
      <c r="L277" s="6" t="str">
        <f>IF(J277="כן", K277, VLOOKUP(LEFT(H277, 7), 'קטלוג תרחישים'!$A:$M, 13, FALSE))</f>
        <v>ב'</v>
      </c>
      <c r="M277" s="10"/>
      <c r="N277" s="24" t="s">
        <v>357</v>
      </c>
      <c r="O277" s="10" t="str" cm="1">
        <f t="array" ref="O277">_xlfn.IFS(N277="A","א'", N277="B", "ב'", N277= "C", "ג'")</f>
        <v>ב'</v>
      </c>
      <c r="P277" s="10">
        <f>IF(Table_2[[#This Row],[Correct_Answer]]=Table_2[[#This Row],[System_Recommendation]],1,0)</f>
        <v>1</v>
      </c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6" t="s">
        <v>139</v>
      </c>
      <c r="B278" s="6">
        <v>13</v>
      </c>
      <c r="C278" s="6" t="s">
        <v>372</v>
      </c>
      <c r="D278" s="6">
        <v>2</v>
      </c>
      <c r="E278" s="6" t="s">
        <v>98</v>
      </c>
      <c r="F278" s="6" t="s">
        <v>373</v>
      </c>
      <c r="G278" s="6" t="s">
        <v>97</v>
      </c>
      <c r="H278" s="6" t="s">
        <v>103</v>
      </c>
      <c r="I278" s="6" t="s">
        <v>91</v>
      </c>
      <c r="J278" s="6" t="s">
        <v>371</v>
      </c>
      <c r="K278" s="6" t="s">
        <v>385</v>
      </c>
      <c r="L278" s="6" t="str">
        <f>IF(J278="כן", K278, VLOOKUP(LEFT(H278, 7), 'קטלוג תרחישים'!$A:$M, 13, FALSE))</f>
        <v>ג</v>
      </c>
      <c r="M278" s="10"/>
      <c r="N278" s="23" t="s">
        <v>358</v>
      </c>
      <c r="O278" s="10" t="str" cm="1">
        <f t="array" ref="O278">_xlfn.IFS(N278="A","א'", N278="B", "ב'", N278= "C", "ג'")</f>
        <v>ג'</v>
      </c>
      <c r="P278" s="10">
        <f>IF(Table_2[[#This Row],[Correct_Answer]]=Table_2[[#This Row],[System_Recommendation]],1,0)</f>
        <v>1</v>
      </c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6" t="s">
        <v>139</v>
      </c>
      <c r="B279" s="6">
        <v>14</v>
      </c>
      <c r="C279" s="6" t="s">
        <v>372</v>
      </c>
      <c r="D279" s="6">
        <v>2</v>
      </c>
      <c r="E279" s="6" t="s">
        <v>98</v>
      </c>
      <c r="F279" s="6" t="s">
        <v>373</v>
      </c>
      <c r="G279" s="6" t="s">
        <v>97</v>
      </c>
      <c r="H279" s="6" t="s">
        <v>99</v>
      </c>
      <c r="I279" s="6" t="s">
        <v>100</v>
      </c>
      <c r="J279" s="6" t="s">
        <v>371</v>
      </c>
      <c r="K279" s="6" t="s">
        <v>384</v>
      </c>
      <c r="L279" s="6" t="str">
        <f>IF(J279="כן", K279, VLOOKUP(LEFT(H279, 7), 'קטלוג תרחישים'!$A:$M, 13, FALSE))</f>
        <v>ב'</v>
      </c>
      <c r="M279" s="10"/>
      <c r="N279" s="24" t="s">
        <v>357</v>
      </c>
      <c r="O279" s="10" t="str" cm="1">
        <f t="array" ref="O279">_xlfn.IFS(N279="A","א'", N279="B", "ב'", N279= "C", "ג'")</f>
        <v>ב'</v>
      </c>
      <c r="P279" s="10">
        <f>IF(Table_2[[#This Row],[Correct_Answer]]=Table_2[[#This Row],[System_Recommendation]],1,0)</f>
        <v>1</v>
      </c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6" t="s">
        <v>139</v>
      </c>
      <c r="B280" s="6">
        <v>15</v>
      </c>
      <c r="C280" s="6" t="s">
        <v>372</v>
      </c>
      <c r="D280" s="6">
        <v>2</v>
      </c>
      <c r="E280" s="6" t="s">
        <v>98</v>
      </c>
      <c r="F280" s="6" t="s">
        <v>373</v>
      </c>
      <c r="G280" s="6" t="s">
        <v>97</v>
      </c>
      <c r="H280" s="6" t="s">
        <v>101</v>
      </c>
      <c r="I280" s="6" t="s">
        <v>91</v>
      </c>
      <c r="J280" s="6" t="s">
        <v>371</v>
      </c>
      <c r="K280" s="6" t="s">
        <v>384</v>
      </c>
      <c r="L280" s="6" t="str">
        <f>IF(J280="כן", K280, VLOOKUP(LEFT(H280, 7), 'קטלוג תרחישים'!$A:$M, 13, FALSE))</f>
        <v>ב'</v>
      </c>
      <c r="M280" s="10"/>
      <c r="N280" s="23" t="s">
        <v>357</v>
      </c>
      <c r="O280" s="10" t="str" cm="1">
        <f t="array" ref="O280">_xlfn.IFS(N280="A","א'", N280="B", "ב'", N280= "C", "ג'")</f>
        <v>ב'</v>
      </c>
      <c r="P280" s="10">
        <f>IF(Table_2[[#This Row],[Correct_Answer]]=Table_2[[#This Row],[System_Recommendation]],1,0)</f>
        <v>1</v>
      </c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6" t="s">
        <v>139</v>
      </c>
      <c r="B281" s="6">
        <v>16</v>
      </c>
      <c r="C281" s="6" t="s">
        <v>372</v>
      </c>
      <c r="D281" s="6">
        <v>2</v>
      </c>
      <c r="E281" s="6" t="s">
        <v>98</v>
      </c>
      <c r="F281" s="6" t="s">
        <v>373</v>
      </c>
      <c r="G281" s="6" t="s">
        <v>97</v>
      </c>
      <c r="H281" s="6" t="s">
        <v>104</v>
      </c>
      <c r="I281" s="6" t="s">
        <v>100</v>
      </c>
      <c r="J281" s="6" t="s">
        <v>374</v>
      </c>
      <c r="K281" s="6" t="s">
        <v>384</v>
      </c>
      <c r="L281" s="6" t="str">
        <f>IF(J281="כן", K281, VLOOKUP(LEFT(H281, 7), 'קטלוג תרחישים'!$A:$M, 13, FALSE))</f>
        <v>ג'</v>
      </c>
      <c r="M281" s="10"/>
      <c r="N281" s="24" t="s">
        <v>357</v>
      </c>
      <c r="O281" s="10" t="str" cm="1">
        <f t="array" ref="O281">_xlfn.IFS(N281="A","א'", N281="B", "ב'", N281= "C", "ג'")</f>
        <v>ב'</v>
      </c>
      <c r="P281" s="10">
        <f>IF(Table_2[[#This Row],[Correct_Answer]]=Table_2[[#This Row],[System_Recommendation]],1,0)</f>
        <v>0</v>
      </c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6" t="s">
        <v>139</v>
      </c>
      <c r="B282" s="6">
        <v>17</v>
      </c>
      <c r="C282" s="6" t="s">
        <v>372</v>
      </c>
      <c r="D282" s="6">
        <v>3</v>
      </c>
      <c r="E282" s="6" t="s">
        <v>105</v>
      </c>
      <c r="F282" s="6" t="s">
        <v>373</v>
      </c>
      <c r="G282" s="6" t="s">
        <v>97</v>
      </c>
      <c r="H282" s="6" t="s">
        <v>106</v>
      </c>
      <c r="I282" s="6" t="s">
        <v>91</v>
      </c>
      <c r="J282" s="6" t="s">
        <v>371</v>
      </c>
      <c r="K282" s="6" t="s">
        <v>383</v>
      </c>
      <c r="L282" s="6" t="str">
        <f>IF(J282="כן", K282, VLOOKUP(LEFT(H282, 7), 'קטלוג תרחישים'!$A:$M, 13, FALSE))</f>
        <v>א'</v>
      </c>
      <c r="M282" s="10"/>
      <c r="N282" s="23" t="s">
        <v>352</v>
      </c>
      <c r="O282" s="10" t="str" cm="1">
        <f t="array" ref="O282">_xlfn.IFS(N282="A","א'", N282="B", "ב'", N282= "C", "ג'")</f>
        <v>א'</v>
      </c>
      <c r="P282" s="10">
        <f>IF(Table_2[[#This Row],[Correct_Answer]]=Table_2[[#This Row],[System_Recommendation]],1,0)</f>
        <v>1</v>
      </c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6" t="s">
        <v>139</v>
      </c>
      <c r="B283" s="6">
        <v>18</v>
      </c>
      <c r="C283" s="6" t="s">
        <v>372</v>
      </c>
      <c r="D283" s="6">
        <v>3</v>
      </c>
      <c r="E283" s="6" t="s">
        <v>105</v>
      </c>
      <c r="F283" s="6" t="s">
        <v>373</v>
      </c>
      <c r="G283" s="6" t="s">
        <v>97</v>
      </c>
      <c r="H283" s="6" t="s">
        <v>107</v>
      </c>
      <c r="I283" s="6" t="s">
        <v>100</v>
      </c>
      <c r="J283" s="6" t="s">
        <v>371</v>
      </c>
      <c r="K283" s="6" t="s">
        <v>385</v>
      </c>
      <c r="L283" s="6" t="str">
        <f>IF(J283="כן", K283, VLOOKUP(LEFT(H283, 7), 'קטלוג תרחישים'!$A:$M, 13, FALSE))</f>
        <v>ג</v>
      </c>
      <c r="M283" s="10"/>
      <c r="N283" s="24" t="s">
        <v>358</v>
      </c>
      <c r="O283" s="10" t="str" cm="1">
        <f t="array" ref="O283">_xlfn.IFS(N283="A","א'", N283="B", "ב'", N283= "C", "ג'")</f>
        <v>ג'</v>
      </c>
      <c r="P283" s="10">
        <f>IF(Table_2[[#This Row],[Correct_Answer]]=Table_2[[#This Row],[System_Recommendation]],1,0)</f>
        <v>1</v>
      </c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6" t="s">
        <v>139</v>
      </c>
      <c r="B284" s="6">
        <v>19</v>
      </c>
      <c r="C284" s="6" t="s">
        <v>372</v>
      </c>
      <c r="D284" s="6">
        <v>3</v>
      </c>
      <c r="E284" s="6" t="s">
        <v>105</v>
      </c>
      <c r="F284" s="6" t="s">
        <v>373</v>
      </c>
      <c r="G284" s="6" t="s">
        <v>97</v>
      </c>
      <c r="H284" s="6" t="s">
        <v>110</v>
      </c>
      <c r="I284" s="6" t="s">
        <v>91</v>
      </c>
      <c r="J284" s="6" t="s">
        <v>374</v>
      </c>
      <c r="K284" s="6" t="s">
        <v>384</v>
      </c>
      <c r="L284" s="6" t="str">
        <f>IF(J284="כן", K284, VLOOKUP(LEFT(H284, 7), 'קטלוג תרחישים'!$A:$M, 13, FALSE))</f>
        <v>א'</v>
      </c>
      <c r="M284" s="10"/>
      <c r="N284" s="23" t="s">
        <v>357</v>
      </c>
      <c r="O284" s="10" t="str" cm="1">
        <f t="array" ref="O284">_xlfn.IFS(N284="A","א'", N284="B", "ב'", N284= "C", "ג'")</f>
        <v>ב'</v>
      </c>
      <c r="P284" s="10">
        <f>IF(Table_2[[#This Row],[Correct_Answer]]=Table_2[[#This Row],[System_Recommendation]],1,0)</f>
        <v>0</v>
      </c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6" t="s">
        <v>139</v>
      </c>
      <c r="B285" s="6">
        <v>20</v>
      </c>
      <c r="C285" s="6" t="s">
        <v>372</v>
      </c>
      <c r="D285" s="6">
        <v>3</v>
      </c>
      <c r="E285" s="6" t="s">
        <v>105</v>
      </c>
      <c r="F285" s="6" t="s">
        <v>373</v>
      </c>
      <c r="G285" s="6" t="s">
        <v>97</v>
      </c>
      <c r="H285" s="6" t="s">
        <v>109</v>
      </c>
      <c r="I285" s="6" t="s">
        <v>100</v>
      </c>
      <c r="J285" s="6" t="s">
        <v>371</v>
      </c>
      <c r="K285" s="6" t="s">
        <v>385</v>
      </c>
      <c r="L285" s="6" t="str">
        <f>IF(J285="כן", K285, VLOOKUP(LEFT(H285, 7), 'קטלוג תרחישים'!$A:$M, 13, FALSE))</f>
        <v>ג</v>
      </c>
      <c r="M285" s="10"/>
      <c r="N285" s="24" t="s">
        <v>358</v>
      </c>
      <c r="O285" s="10" t="str" cm="1">
        <f t="array" ref="O285">_xlfn.IFS(N285="A","א'", N285="B", "ב'", N285= "C", "ג'")</f>
        <v>ג'</v>
      </c>
      <c r="P285" s="10">
        <f>IF(Table_2[[#This Row],[Correct_Answer]]=Table_2[[#This Row],[System_Recommendation]],1,0)</f>
        <v>1</v>
      </c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6" t="s">
        <v>139</v>
      </c>
      <c r="B286" s="6">
        <v>21</v>
      </c>
      <c r="C286" s="6" t="s">
        <v>372</v>
      </c>
      <c r="D286" s="6">
        <v>3</v>
      </c>
      <c r="E286" s="6" t="s">
        <v>105</v>
      </c>
      <c r="F286" s="6" t="s">
        <v>373</v>
      </c>
      <c r="G286" s="6" t="s">
        <v>97</v>
      </c>
      <c r="H286" s="6" t="s">
        <v>108</v>
      </c>
      <c r="I286" s="6" t="s">
        <v>91</v>
      </c>
      <c r="J286" s="6" t="s">
        <v>371</v>
      </c>
      <c r="K286" s="6" t="s">
        <v>383</v>
      </c>
      <c r="L286" s="6" t="str">
        <f>IF(J286="כן", K286, VLOOKUP(LEFT(H286, 7), 'קטלוג תרחישים'!$A:$M, 13, FALSE))</f>
        <v>א'</v>
      </c>
      <c r="M286" s="10"/>
      <c r="N286" s="23" t="s">
        <v>352</v>
      </c>
      <c r="O286" s="10" t="str" cm="1">
        <f t="array" ref="O286">_xlfn.IFS(N286="A","א'", N286="B", "ב'", N286= "C", "ג'")</f>
        <v>א'</v>
      </c>
      <c r="P286" s="10">
        <f>IF(Table_2[[#This Row],[Correct_Answer]]=Table_2[[#This Row],[System_Recommendation]],1,0)</f>
        <v>1</v>
      </c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6" t="s">
        <v>139</v>
      </c>
      <c r="B287" s="6">
        <v>22</v>
      </c>
      <c r="C287" s="6" t="s">
        <v>372</v>
      </c>
      <c r="D287" s="6">
        <v>1</v>
      </c>
      <c r="E287" s="6" t="s">
        <v>98</v>
      </c>
      <c r="F287" s="6" t="s">
        <v>375</v>
      </c>
      <c r="G287" s="6" t="s">
        <v>117</v>
      </c>
      <c r="H287" s="6" t="s">
        <v>126</v>
      </c>
      <c r="I287" s="6" t="s">
        <v>91</v>
      </c>
      <c r="J287" s="6" t="s">
        <v>374</v>
      </c>
      <c r="K287" s="6" t="s">
        <v>385</v>
      </c>
      <c r="L287" s="6" t="str">
        <f>IF(J287="כן", K287, VLOOKUP(LEFT(H287, 7), 'קטלוג תרחישים'!$A:$M, 13, FALSE))</f>
        <v>א'</v>
      </c>
      <c r="M287" s="10"/>
      <c r="N287" s="24" t="s">
        <v>358</v>
      </c>
      <c r="O287" s="10" t="str" cm="1">
        <f t="array" ref="O287">_xlfn.IFS(N287="A","א'", N287="B", "ב'", N287= "C", "ג'")</f>
        <v>ג'</v>
      </c>
      <c r="P287" s="10">
        <f>IF(Table_2[[#This Row],[Correct_Answer]]=Table_2[[#This Row],[System_Recommendation]],1,0)</f>
        <v>0</v>
      </c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6" t="s">
        <v>139</v>
      </c>
      <c r="B288" s="6">
        <v>23</v>
      </c>
      <c r="C288" s="6" t="s">
        <v>372</v>
      </c>
      <c r="D288" s="6">
        <v>1</v>
      </c>
      <c r="E288" s="6" t="s">
        <v>98</v>
      </c>
      <c r="F288" s="6" t="s">
        <v>375</v>
      </c>
      <c r="G288" s="6" t="s">
        <v>117</v>
      </c>
      <c r="H288" s="6" t="s">
        <v>129</v>
      </c>
      <c r="I288" s="6" t="s">
        <v>100</v>
      </c>
      <c r="J288" s="6" t="s">
        <v>371</v>
      </c>
      <c r="K288" s="6" t="s">
        <v>385</v>
      </c>
      <c r="L288" s="6" t="str">
        <f>IF(J288="כן", K288, VLOOKUP(LEFT(H288, 7), 'קטלוג תרחישים'!$A:$M, 13, FALSE))</f>
        <v>ג</v>
      </c>
      <c r="M288" s="10"/>
      <c r="N288" s="23" t="s">
        <v>358</v>
      </c>
      <c r="O288" s="10" t="str" cm="1">
        <f t="array" ref="O288">_xlfn.IFS(N288="A","א'", N288="B", "ב'", N288= "C", "ג'")</f>
        <v>ג'</v>
      </c>
      <c r="P288" s="10">
        <f>IF(Table_2[[#This Row],[Correct_Answer]]=Table_2[[#This Row],[System_Recommendation]],1,0)</f>
        <v>1</v>
      </c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6" t="s">
        <v>139</v>
      </c>
      <c r="B289" s="6">
        <v>24</v>
      </c>
      <c r="C289" s="6" t="s">
        <v>372</v>
      </c>
      <c r="D289" s="6">
        <v>1</v>
      </c>
      <c r="E289" s="6" t="s">
        <v>98</v>
      </c>
      <c r="F289" s="6" t="s">
        <v>375</v>
      </c>
      <c r="G289" s="6" t="s">
        <v>117</v>
      </c>
      <c r="H289" s="6" t="s">
        <v>128</v>
      </c>
      <c r="I289" s="6" t="s">
        <v>91</v>
      </c>
      <c r="J289" s="6" t="s">
        <v>371</v>
      </c>
      <c r="K289" s="6" t="s">
        <v>384</v>
      </c>
      <c r="L289" s="6" t="str">
        <f>IF(J289="כן", K289, VLOOKUP(LEFT(H289, 7), 'קטלוג תרחישים'!$A:$M, 13, FALSE))</f>
        <v>ב'</v>
      </c>
      <c r="M289" s="10"/>
      <c r="N289" s="24" t="s">
        <v>357</v>
      </c>
      <c r="O289" s="10" t="str" cm="1">
        <f t="array" ref="O289">_xlfn.IFS(N289="A","א'", N289="B", "ב'", N289= "C", "ג'")</f>
        <v>ב'</v>
      </c>
      <c r="P289" s="10">
        <f>IF(Table_2[[#This Row],[Correct_Answer]]=Table_2[[#This Row],[System_Recommendation]],1,0)</f>
        <v>1</v>
      </c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6" t="s">
        <v>139</v>
      </c>
      <c r="B290" s="6">
        <v>25</v>
      </c>
      <c r="C290" s="6" t="s">
        <v>372</v>
      </c>
      <c r="D290" s="6">
        <v>1</v>
      </c>
      <c r="E290" s="6" t="s">
        <v>98</v>
      </c>
      <c r="F290" s="6" t="s">
        <v>375</v>
      </c>
      <c r="G290" s="6" t="s">
        <v>117</v>
      </c>
      <c r="H290" s="6" t="s">
        <v>127</v>
      </c>
      <c r="I290" s="6" t="s">
        <v>100</v>
      </c>
      <c r="J290" s="6" t="s">
        <v>374</v>
      </c>
      <c r="K290" s="6" t="s">
        <v>383</v>
      </c>
      <c r="L290" s="6" t="str">
        <f>IF(J290="כן", K290, VLOOKUP(LEFT(H290, 7), 'קטלוג תרחישים'!$A:$M, 13, FALSE))</f>
        <v>ג'</v>
      </c>
      <c r="M290" s="10"/>
      <c r="N290" s="23" t="s">
        <v>352</v>
      </c>
      <c r="O290" s="10" t="str" cm="1">
        <f t="array" ref="O290">_xlfn.IFS(N290="A","א'", N290="B", "ב'", N290= "C", "ג'")</f>
        <v>א'</v>
      </c>
      <c r="P290" s="10">
        <f>IF(Table_2[[#This Row],[Correct_Answer]]=Table_2[[#This Row],[System_Recommendation]],1,0)</f>
        <v>0</v>
      </c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6" t="s">
        <v>139</v>
      </c>
      <c r="B291" s="6">
        <v>26</v>
      </c>
      <c r="C291" s="6" t="s">
        <v>372</v>
      </c>
      <c r="D291" s="6">
        <v>2</v>
      </c>
      <c r="E291" s="6" t="s">
        <v>105</v>
      </c>
      <c r="F291" s="6" t="s">
        <v>375</v>
      </c>
      <c r="G291" s="6" t="s">
        <v>117</v>
      </c>
      <c r="H291" s="6" t="s">
        <v>118</v>
      </c>
      <c r="I291" s="6" t="s">
        <v>91</v>
      </c>
      <c r="J291" s="6" t="s">
        <v>371</v>
      </c>
      <c r="K291" s="6" t="s">
        <v>385</v>
      </c>
      <c r="L291" s="6" t="str">
        <f>IF(J291="כן", K291, VLOOKUP(LEFT(H291, 7), 'קטלוג תרחישים'!$A:$M, 13, FALSE))</f>
        <v>ג</v>
      </c>
      <c r="M291" s="10"/>
      <c r="N291" s="24" t="s">
        <v>358</v>
      </c>
      <c r="O291" s="10" t="str" cm="1">
        <f t="array" ref="O291">_xlfn.IFS(N291="A","א'", N291="B", "ב'", N291= "C", "ג'")</f>
        <v>ג'</v>
      </c>
      <c r="P291" s="10">
        <f>IF(Table_2[[#This Row],[Correct_Answer]]=Table_2[[#This Row],[System_Recommendation]],1,0)</f>
        <v>1</v>
      </c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6" t="s">
        <v>139</v>
      </c>
      <c r="B292" s="6">
        <v>27</v>
      </c>
      <c r="C292" s="6" t="s">
        <v>372</v>
      </c>
      <c r="D292" s="6">
        <v>2</v>
      </c>
      <c r="E292" s="6" t="s">
        <v>105</v>
      </c>
      <c r="F292" s="6" t="s">
        <v>375</v>
      </c>
      <c r="G292" s="6" t="s">
        <v>117</v>
      </c>
      <c r="H292" s="6" t="s">
        <v>121</v>
      </c>
      <c r="I292" s="6" t="s">
        <v>100</v>
      </c>
      <c r="J292" s="6" t="s">
        <v>371</v>
      </c>
      <c r="K292" s="6" t="s">
        <v>384</v>
      </c>
      <c r="L292" s="6" t="str">
        <f>IF(J292="כן", K292, VLOOKUP(LEFT(H292, 7), 'קטלוג תרחישים'!$A:$M, 13, FALSE))</f>
        <v>ב'</v>
      </c>
      <c r="M292" s="10"/>
      <c r="N292" s="23" t="s">
        <v>357</v>
      </c>
      <c r="O292" s="10" t="str" cm="1">
        <f t="array" ref="O292">_xlfn.IFS(N292="A","א'", N292="B", "ב'", N292= "C", "ג'")</f>
        <v>ב'</v>
      </c>
      <c r="P292" s="10">
        <f>IF(Table_2[[#This Row],[Correct_Answer]]=Table_2[[#This Row],[System_Recommendation]],1,0)</f>
        <v>1</v>
      </c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6" t="s">
        <v>139</v>
      </c>
      <c r="B293" s="6">
        <v>28</v>
      </c>
      <c r="C293" s="6" t="s">
        <v>372</v>
      </c>
      <c r="D293" s="6">
        <v>2</v>
      </c>
      <c r="E293" s="6" t="s">
        <v>105</v>
      </c>
      <c r="F293" s="6" t="s">
        <v>375</v>
      </c>
      <c r="G293" s="6" t="s">
        <v>117</v>
      </c>
      <c r="H293" s="6" t="s">
        <v>120</v>
      </c>
      <c r="I293" s="6" t="s">
        <v>91</v>
      </c>
      <c r="J293" s="6" t="s">
        <v>374</v>
      </c>
      <c r="K293" s="6" t="s">
        <v>385</v>
      </c>
      <c r="L293" s="6" t="str">
        <f>IF(J293="כן", K293, VLOOKUP(LEFT(H293, 7), 'קטלוג תרחישים'!$A:$M, 13, FALSE))</f>
        <v>א'</v>
      </c>
      <c r="M293" s="10"/>
      <c r="N293" s="24" t="s">
        <v>358</v>
      </c>
      <c r="O293" s="10" t="str" cm="1">
        <f t="array" ref="O293">_xlfn.IFS(N293="A","א'", N293="B", "ב'", N293= "C", "ג'")</f>
        <v>ג'</v>
      </c>
      <c r="P293" s="10">
        <f>IF(Table_2[[#This Row],[Correct_Answer]]=Table_2[[#This Row],[System_Recommendation]],1,0)</f>
        <v>0</v>
      </c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6" t="s">
        <v>139</v>
      </c>
      <c r="B294" s="6">
        <v>29</v>
      </c>
      <c r="C294" s="6" t="s">
        <v>372</v>
      </c>
      <c r="D294" s="6">
        <v>2</v>
      </c>
      <c r="E294" s="6" t="s">
        <v>105</v>
      </c>
      <c r="F294" s="6" t="s">
        <v>375</v>
      </c>
      <c r="G294" s="6" t="s">
        <v>117</v>
      </c>
      <c r="H294" s="6" t="s">
        <v>119</v>
      </c>
      <c r="I294" s="6" t="s">
        <v>100</v>
      </c>
      <c r="J294" s="6" t="s">
        <v>374</v>
      </c>
      <c r="K294" s="6" t="s">
        <v>385</v>
      </c>
      <c r="L294" s="6" t="str">
        <f>IF(J294="כן", K294, VLOOKUP(LEFT(H294, 7), 'קטלוג תרחישים'!$A:$M, 13, FALSE))</f>
        <v>ב'</v>
      </c>
      <c r="M294" s="10"/>
      <c r="N294" s="23" t="s">
        <v>358</v>
      </c>
      <c r="O294" s="10" t="str" cm="1">
        <f t="array" ref="O294">_xlfn.IFS(N294="A","א'", N294="B", "ב'", N294= "C", "ג'")</f>
        <v>ג'</v>
      </c>
      <c r="P294" s="10">
        <f>IF(Table_2[[#This Row],[Correct_Answer]]=Table_2[[#This Row],[System_Recommendation]],1,0)</f>
        <v>0</v>
      </c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6" t="s">
        <v>139</v>
      </c>
      <c r="B295" s="6">
        <v>30</v>
      </c>
      <c r="C295" s="6" t="s">
        <v>372</v>
      </c>
      <c r="D295" s="6">
        <v>3</v>
      </c>
      <c r="E295" s="6" t="s">
        <v>111</v>
      </c>
      <c r="F295" s="6" t="s">
        <v>375</v>
      </c>
      <c r="G295" s="6" t="s">
        <v>117</v>
      </c>
      <c r="H295" s="6" t="s">
        <v>124</v>
      </c>
      <c r="I295" s="6" t="s">
        <v>91</v>
      </c>
      <c r="J295" s="6" t="s">
        <v>371</v>
      </c>
      <c r="K295" s="6" t="s">
        <v>384</v>
      </c>
      <c r="L295" s="6" t="str">
        <f>IF(J295="כן", K295, VLOOKUP(LEFT(H295, 7), 'קטלוג תרחישים'!$A:$M, 13, FALSE))</f>
        <v>ב'</v>
      </c>
      <c r="M295" s="10"/>
      <c r="N295" s="24" t="s">
        <v>357</v>
      </c>
      <c r="O295" s="10" t="str" cm="1">
        <f t="array" ref="O295">_xlfn.IFS(N295="A","א'", N295="B", "ב'", N295= "C", "ג'")</f>
        <v>ב'</v>
      </c>
      <c r="P295" s="10">
        <f>IF(Table_2[[#This Row],[Correct_Answer]]=Table_2[[#This Row],[System_Recommendation]],1,0)</f>
        <v>1</v>
      </c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6" t="s">
        <v>139</v>
      </c>
      <c r="B296" s="6">
        <v>31</v>
      </c>
      <c r="C296" s="6" t="s">
        <v>372</v>
      </c>
      <c r="D296" s="6">
        <v>3</v>
      </c>
      <c r="E296" s="6" t="s">
        <v>111</v>
      </c>
      <c r="F296" s="6" t="s">
        <v>375</v>
      </c>
      <c r="G296" s="6" t="s">
        <v>117</v>
      </c>
      <c r="H296" s="6" t="s">
        <v>123</v>
      </c>
      <c r="I296" s="6" t="s">
        <v>100</v>
      </c>
      <c r="J296" s="6" t="s">
        <v>371</v>
      </c>
      <c r="K296" s="6" t="s">
        <v>385</v>
      </c>
      <c r="L296" s="6" t="str">
        <f>IF(J296="כן", K296, VLOOKUP(LEFT(H296, 7), 'קטלוג תרחישים'!$A:$M, 13, FALSE))</f>
        <v>ג</v>
      </c>
      <c r="M296" s="10"/>
      <c r="N296" s="23" t="s">
        <v>358</v>
      </c>
      <c r="O296" s="10" t="str" cm="1">
        <f t="array" ref="O296">_xlfn.IFS(N296="A","א'", N296="B", "ב'", N296= "C", "ג'")</f>
        <v>ג'</v>
      </c>
      <c r="P296" s="10">
        <f>IF(Table_2[[#This Row],[Correct_Answer]]=Table_2[[#This Row],[System_Recommendation]],1,0)</f>
        <v>1</v>
      </c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6" t="s">
        <v>139</v>
      </c>
      <c r="B297" s="6">
        <v>32</v>
      </c>
      <c r="C297" s="6" t="s">
        <v>372</v>
      </c>
      <c r="D297" s="6">
        <v>3</v>
      </c>
      <c r="E297" s="6" t="s">
        <v>111</v>
      </c>
      <c r="F297" s="6" t="s">
        <v>375</v>
      </c>
      <c r="G297" s="6" t="s">
        <v>117</v>
      </c>
      <c r="H297" s="6" t="s">
        <v>122</v>
      </c>
      <c r="I297" s="6" t="s">
        <v>91</v>
      </c>
      <c r="J297" s="6" t="s">
        <v>374</v>
      </c>
      <c r="K297" s="6" t="s">
        <v>383</v>
      </c>
      <c r="L297" s="6" t="str">
        <f>IF(J297="כן", K297, VLOOKUP(LEFT(H297, 7), 'קטלוג תרחישים'!$A:$M, 13, FALSE))</f>
        <v>א'</v>
      </c>
      <c r="M297" s="10"/>
      <c r="N297" s="24" t="s">
        <v>352</v>
      </c>
      <c r="O297" s="10" t="str" cm="1">
        <f t="array" ref="O297">_xlfn.IFS(N297="A","א'", N297="B", "ב'", N297= "C", "ג'")</f>
        <v>א'</v>
      </c>
      <c r="P297" s="10">
        <f>IF(Table_2[[#This Row],[Correct_Answer]]=Table_2[[#This Row],[System_Recommendation]],1,0)</f>
        <v>1</v>
      </c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6" t="s">
        <v>139</v>
      </c>
      <c r="B298" s="6">
        <v>33</v>
      </c>
      <c r="C298" s="6" t="s">
        <v>372</v>
      </c>
      <c r="D298" s="6">
        <v>3</v>
      </c>
      <c r="E298" s="6" t="s">
        <v>111</v>
      </c>
      <c r="F298" s="6" t="s">
        <v>375</v>
      </c>
      <c r="G298" s="6" t="s">
        <v>117</v>
      </c>
      <c r="H298" s="6" t="s">
        <v>125</v>
      </c>
      <c r="I298" s="6" t="s">
        <v>100</v>
      </c>
      <c r="J298" s="6" t="s">
        <v>374</v>
      </c>
      <c r="K298" s="6" t="s">
        <v>383</v>
      </c>
      <c r="L298" s="6" t="str">
        <f>IF(J298="כן", K298, VLOOKUP(LEFT(H298, 7), 'קטלוג תרחישים'!$A:$M, 13, FALSE))</f>
        <v>ב'</v>
      </c>
      <c r="M298" s="10"/>
      <c r="N298" s="23" t="s">
        <v>352</v>
      </c>
      <c r="O298" s="10" t="str" cm="1">
        <f t="array" ref="O298">_xlfn.IFS(N298="A","א'", N298="B", "ב'", N298= "C", "ג'")</f>
        <v>א'</v>
      </c>
      <c r="P298" s="10">
        <f>IF(Table_2[[#This Row],[Correct_Answer]]=Table_2[[#This Row],[System_Recommendation]],1,0)</f>
        <v>0</v>
      </c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6" t="s">
        <v>140</v>
      </c>
      <c r="B299" s="6">
        <v>1</v>
      </c>
      <c r="C299" s="6" t="s">
        <v>370</v>
      </c>
      <c r="D299" s="6"/>
      <c r="E299" s="6" t="s">
        <v>98</v>
      </c>
      <c r="F299" s="6"/>
      <c r="G299" s="6"/>
      <c r="H299" s="8" t="s">
        <v>90</v>
      </c>
      <c r="I299" s="6" t="s">
        <v>91</v>
      </c>
      <c r="J299" s="6" t="s">
        <v>371</v>
      </c>
      <c r="K299" s="6" t="s">
        <v>385</v>
      </c>
      <c r="L299" s="6" t="str">
        <f>IF(J299="כן", K299, VLOOKUP(LEFT(H299, 7), 'קטלוג תרחישים'!$A:$M, 13, FALSE))</f>
        <v>ג</v>
      </c>
      <c r="M299" s="10"/>
      <c r="N299" s="24" t="s">
        <v>358</v>
      </c>
      <c r="O299" s="10" t="str" cm="1">
        <f t="array" ref="O299">_xlfn.IFS(N299="A","א'", N299="B", "ב'", N299= "C", "ג'")</f>
        <v>ג'</v>
      </c>
      <c r="P299" s="10">
        <f>IF(Table_2[[#This Row],[Correct_Answer]]=Table_2[[#This Row],[System_Recommendation]],1,0)</f>
        <v>1</v>
      </c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6" t="s">
        <v>140</v>
      </c>
      <c r="B300" s="6">
        <v>2</v>
      </c>
      <c r="C300" s="6" t="s">
        <v>370</v>
      </c>
      <c r="D300" s="6"/>
      <c r="E300" s="6" t="s">
        <v>98</v>
      </c>
      <c r="F300" s="6"/>
      <c r="G300" s="6"/>
      <c r="H300" s="8" t="s">
        <v>92</v>
      </c>
      <c r="I300" s="6" t="s">
        <v>91</v>
      </c>
      <c r="J300" s="6" t="s">
        <v>371</v>
      </c>
      <c r="K300" s="6" t="s">
        <v>385</v>
      </c>
      <c r="L300" s="6" t="str">
        <f>IF(J300="כן", K300, VLOOKUP(LEFT(H300, 7), 'קטלוג תרחישים'!$A:$M, 13, FALSE))</f>
        <v>ג</v>
      </c>
      <c r="M300" s="10"/>
      <c r="N300" s="23" t="s">
        <v>358</v>
      </c>
      <c r="O300" s="10" t="str" cm="1">
        <f t="array" ref="O300">_xlfn.IFS(N300="A","א'", N300="B", "ב'", N300= "C", "ג'")</f>
        <v>ג'</v>
      </c>
      <c r="P300" s="10">
        <f>IF(Table_2[[#This Row],[Correct_Answer]]=Table_2[[#This Row],[System_Recommendation]],1,0)</f>
        <v>1</v>
      </c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6" t="s">
        <v>140</v>
      </c>
      <c r="B301" s="6">
        <v>3</v>
      </c>
      <c r="C301" s="6" t="s">
        <v>370</v>
      </c>
      <c r="D301" s="6"/>
      <c r="E301" s="6" t="s">
        <v>105</v>
      </c>
      <c r="F301" s="6"/>
      <c r="G301" s="6"/>
      <c r="H301" s="8" t="s">
        <v>93</v>
      </c>
      <c r="I301" s="6" t="s">
        <v>91</v>
      </c>
      <c r="J301" s="6" t="s">
        <v>371</v>
      </c>
      <c r="K301" s="6" t="s">
        <v>385</v>
      </c>
      <c r="L301" s="6" t="str">
        <f>IF(J301="כן", K301, VLOOKUP(LEFT(H301, 7), 'קטלוג תרחישים'!$A:$M, 13, FALSE))</f>
        <v>ג</v>
      </c>
      <c r="M301" s="10"/>
      <c r="N301" s="24" t="s">
        <v>358</v>
      </c>
      <c r="O301" s="10" t="str" cm="1">
        <f t="array" ref="O301">_xlfn.IFS(N301="A","א'", N301="B", "ב'", N301= "C", "ג'")</f>
        <v>ג'</v>
      </c>
      <c r="P301" s="10">
        <f>IF(Table_2[[#This Row],[Correct_Answer]]=Table_2[[#This Row],[System_Recommendation]],1,0)</f>
        <v>1</v>
      </c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6" t="s">
        <v>140</v>
      </c>
      <c r="B302" s="6">
        <v>4</v>
      </c>
      <c r="C302" s="6" t="s">
        <v>370</v>
      </c>
      <c r="D302" s="6"/>
      <c r="E302" s="6" t="s">
        <v>105</v>
      </c>
      <c r="F302" s="6"/>
      <c r="G302" s="6"/>
      <c r="H302" s="8" t="s">
        <v>94</v>
      </c>
      <c r="I302" s="6" t="s">
        <v>91</v>
      </c>
      <c r="J302" s="6" t="s">
        <v>371</v>
      </c>
      <c r="K302" s="6" t="s">
        <v>384</v>
      </c>
      <c r="L302" s="6" t="str">
        <f>IF(J302="כן", K302, VLOOKUP(LEFT(H302, 7), 'קטלוג תרחישים'!$A:$M, 13, FALSE))</f>
        <v>ב'</v>
      </c>
      <c r="M302" s="10"/>
      <c r="N302" s="23" t="s">
        <v>357</v>
      </c>
      <c r="O302" s="10" t="str" cm="1">
        <f t="array" ref="O302">_xlfn.IFS(N302="A","א'", N302="B", "ב'", N302= "C", "ג'")</f>
        <v>ב'</v>
      </c>
      <c r="P302" s="10">
        <f>IF(Table_2[[#This Row],[Correct_Answer]]=Table_2[[#This Row],[System_Recommendation]],1,0)</f>
        <v>1</v>
      </c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6" t="s">
        <v>140</v>
      </c>
      <c r="B303" s="6">
        <v>5</v>
      </c>
      <c r="C303" s="6" t="s">
        <v>370</v>
      </c>
      <c r="D303" s="6"/>
      <c r="E303" s="6" t="s">
        <v>111</v>
      </c>
      <c r="F303" s="6"/>
      <c r="G303" s="6"/>
      <c r="H303" s="8" t="s">
        <v>95</v>
      </c>
      <c r="I303" s="6" t="s">
        <v>91</v>
      </c>
      <c r="J303" s="6" t="s">
        <v>371</v>
      </c>
      <c r="K303" s="6" t="s">
        <v>383</v>
      </c>
      <c r="L303" s="6" t="str">
        <f>IF(J303="כן", K303, VLOOKUP(LEFT(H303, 7), 'קטלוג תרחישים'!$A:$M, 13, FALSE))</f>
        <v>א'</v>
      </c>
      <c r="M303" s="10"/>
      <c r="N303" s="24" t="s">
        <v>352</v>
      </c>
      <c r="O303" s="10" t="str" cm="1">
        <f t="array" ref="O303">_xlfn.IFS(N303="A","א'", N303="B", "ב'", N303= "C", "ג'")</f>
        <v>א'</v>
      </c>
      <c r="P303" s="10">
        <f>IF(Table_2[[#This Row],[Correct_Answer]]=Table_2[[#This Row],[System_Recommendation]],1,0)</f>
        <v>1</v>
      </c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6" t="s">
        <v>140</v>
      </c>
      <c r="B304" s="6">
        <v>6</v>
      </c>
      <c r="C304" s="6" t="s">
        <v>370</v>
      </c>
      <c r="D304" s="6"/>
      <c r="E304" s="6" t="s">
        <v>111</v>
      </c>
      <c r="F304" s="6"/>
      <c r="G304" s="6"/>
      <c r="H304" s="8" t="s">
        <v>96</v>
      </c>
      <c r="I304" s="6" t="s">
        <v>91</v>
      </c>
      <c r="J304" s="6" t="s">
        <v>371</v>
      </c>
      <c r="K304" s="6" t="s">
        <v>385</v>
      </c>
      <c r="L304" s="6" t="str">
        <f>IF(J304="כן", K304, VLOOKUP(LEFT(H304, 7), 'קטלוג תרחישים'!$A:$M, 13, FALSE))</f>
        <v>ג</v>
      </c>
      <c r="M304" s="10"/>
      <c r="N304" s="23" t="s">
        <v>358</v>
      </c>
      <c r="O304" s="10" t="str" cm="1">
        <f t="array" ref="O304">_xlfn.IFS(N304="A","א'", N304="B", "ב'", N304= "C", "ג'")</f>
        <v>ג'</v>
      </c>
      <c r="P304" s="10">
        <f>IF(Table_2[[#This Row],[Correct_Answer]]=Table_2[[#This Row],[System_Recommendation]],1,0)</f>
        <v>1</v>
      </c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6" t="s">
        <v>140</v>
      </c>
      <c r="B305" s="6">
        <v>7</v>
      </c>
      <c r="C305" s="6" t="s">
        <v>372</v>
      </c>
      <c r="D305" s="6">
        <v>1</v>
      </c>
      <c r="E305" s="6" t="s">
        <v>105</v>
      </c>
      <c r="F305" s="6" t="s">
        <v>373</v>
      </c>
      <c r="G305" s="6" t="s">
        <v>117</v>
      </c>
      <c r="H305" s="6" t="s">
        <v>118</v>
      </c>
      <c r="I305" s="6" t="s">
        <v>91</v>
      </c>
      <c r="J305" s="6" t="s">
        <v>371</v>
      </c>
      <c r="K305" s="6" t="s">
        <v>385</v>
      </c>
      <c r="L305" s="6" t="str">
        <f>IF(J305="כן", K305, VLOOKUP(LEFT(H305, 7), 'קטלוג תרחישים'!$A:$M, 13, FALSE))</f>
        <v>ג</v>
      </c>
      <c r="M305" s="10"/>
      <c r="N305" s="24" t="s">
        <v>358</v>
      </c>
      <c r="O305" s="10" t="str" cm="1">
        <f t="array" ref="O305">_xlfn.IFS(N305="A","א'", N305="B", "ב'", N305= "C", "ג'")</f>
        <v>ג'</v>
      </c>
      <c r="P305" s="10">
        <f>IF(Table_2[[#This Row],[Correct_Answer]]=Table_2[[#This Row],[System_Recommendation]],1,0)</f>
        <v>1</v>
      </c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6" t="s">
        <v>140</v>
      </c>
      <c r="B306" s="6">
        <v>8</v>
      </c>
      <c r="C306" s="6" t="s">
        <v>372</v>
      </c>
      <c r="D306" s="6">
        <v>1</v>
      </c>
      <c r="E306" s="6" t="s">
        <v>105</v>
      </c>
      <c r="F306" s="6" t="s">
        <v>373</v>
      </c>
      <c r="G306" s="6" t="s">
        <v>117</v>
      </c>
      <c r="H306" s="6" t="s">
        <v>121</v>
      </c>
      <c r="I306" s="6" t="s">
        <v>100</v>
      </c>
      <c r="J306" s="6" t="s">
        <v>374</v>
      </c>
      <c r="K306" s="6" t="s">
        <v>384</v>
      </c>
      <c r="L306" s="6" t="str">
        <f>IF(J306="כן", K306, VLOOKUP(LEFT(H306, 7), 'קטלוג תרחישים'!$A:$M, 13, FALSE))</f>
        <v>ב'</v>
      </c>
      <c r="M306" s="10"/>
      <c r="N306" s="23" t="s">
        <v>357</v>
      </c>
      <c r="O306" s="10" t="str" cm="1">
        <f t="array" ref="O306">_xlfn.IFS(N306="A","א'", N306="B", "ב'", N306= "C", "ג'")</f>
        <v>ב'</v>
      </c>
      <c r="P306" s="10">
        <f>IF(Table_2[[#This Row],[Correct_Answer]]=Table_2[[#This Row],[System_Recommendation]],1,0)</f>
        <v>1</v>
      </c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6" t="s">
        <v>140</v>
      </c>
      <c r="B307" s="6">
        <v>9</v>
      </c>
      <c r="C307" s="6" t="s">
        <v>372</v>
      </c>
      <c r="D307" s="6">
        <v>1</v>
      </c>
      <c r="E307" s="6" t="s">
        <v>105</v>
      </c>
      <c r="F307" s="6" t="s">
        <v>373</v>
      </c>
      <c r="G307" s="6" t="s">
        <v>117</v>
      </c>
      <c r="H307" s="6" t="s">
        <v>120</v>
      </c>
      <c r="I307" s="6" t="s">
        <v>91</v>
      </c>
      <c r="J307" s="6" t="s">
        <v>374</v>
      </c>
      <c r="K307" s="6" t="s">
        <v>383</v>
      </c>
      <c r="L307" s="6" t="str">
        <f>IF(J307="כן", K307, VLOOKUP(LEFT(H307, 7), 'קטלוג תרחישים'!$A:$M, 13, FALSE))</f>
        <v>א'</v>
      </c>
      <c r="M307" s="10"/>
      <c r="N307" s="24" t="s">
        <v>352</v>
      </c>
      <c r="O307" s="10" t="str" cm="1">
        <f t="array" ref="O307">_xlfn.IFS(N307="A","א'", N307="B", "ב'", N307= "C", "ג'")</f>
        <v>א'</v>
      </c>
      <c r="P307" s="10">
        <f>IF(Table_2[[#This Row],[Correct_Answer]]=Table_2[[#This Row],[System_Recommendation]],1,0)</f>
        <v>1</v>
      </c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6" t="s">
        <v>140</v>
      </c>
      <c r="B308" s="6">
        <v>10</v>
      </c>
      <c r="C308" s="6" t="s">
        <v>372</v>
      </c>
      <c r="D308" s="6">
        <v>1</v>
      </c>
      <c r="E308" s="6" t="s">
        <v>105</v>
      </c>
      <c r="F308" s="6" t="s">
        <v>373</v>
      </c>
      <c r="G308" s="6" t="s">
        <v>117</v>
      </c>
      <c r="H308" s="6" t="s">
        <v>119</v>
      </c>
      <c r="I308" s="6" t="s">
        <v>100</v>
      </c>
      <c r="J308" s="6" t="s">
        <v>371</v>
      </c>
      <c r="K308" s="6" t="s">
        <v>383</v>
      </c>
      <c r="L308" s="6" t="str">
        <f>IF(J308="כן", K308, VLOOKUP(LEFT(H308, 7), 'קטלוג תרחישים'!$A:$M, 13, FALSE))</f>
        <v>א'</v>
      </c>
      <c r="M308" s="10"/>
      <c r="N308" s="23" t="s">
        <v>352</v>
      </c>
      <c r="O308" s="10" t="str" cm="1">
        <f t="array" ref="O308">_xlfn.IFS(N308="A","א'", N308="B", "ב'", N308= "C", "ג'")</f>
        <v>א'</v>
      </c>
      <c r="P308" s="10">
        <f>IF(Table_2[[#This Row],[Correct_Answer]]=Table_2[[#This Row],[System_Recommendation]],1,0)</f>
        <v>1</v>
      </c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6" t="s">
        <v>140</v>
      </c>
      <c r="B309" s="6">
        <v>11</v>
      </c>
      <c r="C309" s="6" t="s">
        <v>372</v>
      </c>
      <c r="D309" s="6">
        <v>2</v>
      </c>
      <c r="E309" s="6" t="s">
        <v>111</v>
      </c>
      <c r="F309" s="6" t="s">
        <v>373</v>
      </c>
      <c r="G309" s="6" t="s">
        <v>117</v>
      </c>
      <c r="H309" s="6" t="s">
        <v>124</v>
      </c>
      <c r="I309" s="6" t="s">
        <v>91</v>
      </c>
      <c r="J309" s="6" t="s">
        <v>374</v>
      </c>
      <c r="K309" s="6" t="s">
        <v>383</v>
      </c>
      <c r="L309" s="6" t="str">
        <f>IF(J309="כן", K309, VLOOKUP(LEFT(H309, 7), 'קטלוג תרחישים'!$A:$M, 13, FALSE))</f>
        <v>א'</v>
      </c>
      <c r="M309" s="10"/>
      <c r="N309" s="24" t="s">
        <v>352</v>
      </c>
      <c r="O309" s="10" t="str" cm="1">
        <f t="array" ref="O309">_xlfn.IFS(N309="A","א'", N309="B", "ב'", N309= "C", "ג'")</f>
        <v>א'</v>
      </c>
      <c r="P309" s="10">
        <f>IF(Table_2[[#This Row],[Correct_Answer]]=Table_2[[#This Row],[System_Recommendation]],1,0)</f>
        <v>1</v>
      </c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6" t="s">
        <v>140</v>
      </c>
      <c r="B310" s="6">
        <v>12</v>
      </c>
      <c r="C310" s="6" t="s">
        <v>372</v>
      </c>
      <c r="D310" s="6">
        <v>2</v>
      </c>
      <c r="E310" s="6" t="s">
        <v>111</v>
      </c>
      <c r="F310" s="6" t="s">
        <v>373</v>
      </c>
      <c r="G310" s="6" t="s">
        <v>117</v>
      </c>
      <c r="H310" s="6" t="s">
        <v>123</v>
      </c>
      <c r="I310" s="6" t="s">
        <v>100</v>
      </c>
      <c r="J310" s="6" t="s">
        <v>371</v>
      </c>
      <c r="K310" s="6" t="s">
        <v>384</v>
      </c>
      <c r="L310" s="6" t="str">
        <f>IF(J310="כן", K310, VLOOKUP(LEFT(H310, 7), 'קטלוג תרחישים'!$A:$M, 13, FALSE))</f>
        <v>ב'</v>
      </c>
      <c r="M310" s="10"/>
      <c r="N310" s="23" t="s">
        <v>357</v>
      </c>
      <c r="O310" s="10" t="str" cm="1">
        <f t="array" ref="O310">_xlfn.IFS(N310="A","א'", N310="B", "ב'", N310= "C", "ג'")</f>
        <v>ב'</v>
      </c>
      <c r="P310" s="10">
        <f>IF(Table_2[[#This Row],[Correct_Answer]]=Table_2[[#This Row],[System_Recommendation]],1,0)</f>
        <v>1</v>
      </c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6" t="s">
        <v>140</v>
      </c>
      <c r="B311" s="6">
        <v>13</v>
      </c>
      <c r="C311" s="6" t="s">
        <v>372</v>
      </c>
      <c r="D311" s="6">
        <v>2</v>
      </c>
      <c r="E311" s="6" t="s">
        <v>111</v>
      </c>
      <c r="F311" s="6" t="s">
        <v>373</v>
      </c>
      <c r="G311" s="6" t="s">
        <v>117</v>
      </c>
      <c r="H311" s="6" t="s">
        <v>122</v>
      </c>
      <c r="I311" s="6" t="s">
        <v>91</v>
      </c>
      <c r="J311" s="6" t="s">
        <v>371</v>
      </c>
      <c r="K311" s="6" t="s">
        <v>384</v>
      </c>
      <c r="L311" s="6" t="str">
        <f>IF(J311="כן", K311, VLOOKUP(LEFT(H311, 7), 'קטלוג תרחישים'!$A:$M, 13, FALSE))</f>
        <v>ב'</v>
      </c>
      <c r="M311" s="10"/>
      <c r="N311" s="24" t="s">
        <v>357</v>
      </c>
      <c r="O311" s="10" t="str" cm="1">
        <f t="array" ref="O311">_xlfn.IFS(N311="A","א'", N311="B", "ב'", N311= "C", "ג'")</f>
        <v>ב'</v>
      </c>
      <c r="P311" s="10">
        <f>IF(Table_2[[#This Row],[Correct_Answer]]=Table_2[[#This Row],[System_Recommendation]],1,0)</f>
        <v>1</v>
      </c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6" t="s">
        <v>140</v>
      </c>
      <c r="B312" s="6">
        <v>14</v>
      </c>
      <c r="C312" s="6" t="s">
        <v>372</v>
      </c>
      <c r="D312" s="6">
        <v>2</v>
      </c>
      <c r="E312" s="6" t="s">
        <v>111</v>
      </c>
      <c r="F312" s="6" t="s">
        <v>373</v>
      </c>
      <c r="G312" s="6" t="s">
        <v>117</v>
      </c>
      <c r="H312" s="6" t="s">
        <v>125</v>
      </c>
      <c r="I312" s="6" t="s">
        <v>100</v>
      </c>
      <c r="J312" s="6" t="s">
        <v>374</v>
      </c>
      <c r="K312" s="6" t="s">
        <v>385</v>
      </c>
      <c r="L312" s="6" t="str">
        <f>IF(J312="כן", K312, VLOOKUP(LEFT(H312, 7), 'קטלוג תרחישים'!$A:$M, 13, FALSE))</f>
        <v>ב'</v>
      </c>
      <c r="M312" s="10"/>
      <c r="N312" s="23" t="s">
        <v>358</v>
      </c>
      <c r="O312" s="10" t="str" cm="1">
        <f t="array" ref="O312">_xlfn.IFS(N312="A","א'", N312="B", "ב'", N312= "C", "ג'")</f>
        <v>ג'</v>
      </c>
      <c r="P312" s="10">
        <f>IF(Table_2[[#This Row],[Correct_Answer]]=Table_2[[#This Row],[System_Recommendation]],1,0)</f>
        <v>0</v>
      </c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6" t="s">
        <v>140</v>
      </c>
      <c r="B313" s="6">
        <v>15</v>
      </c>
      <c r="C313" s="6" t="s">
        <v>372</v>
      </c>
      <c r="D313" s="6">
        <v>3</v>
      </c>
      <c r="E313" s="6" t="s">
        <v>98</v>
      </c>
      <c r="F313" s="6" t="s">
        <v>373</v>
      </c>
      <c r="G313" s="6" t="s">
        <v>117</v>
      </c>
      <c r="H313" s="6" t="s">
        <v>128</v>
      </c>
      <c r="I313" s="6" t="s">
        <v>91</v>
      </c>
      <c r="J313" s="6" t="s">
        <v>374</v>
      </c>
      <c r="K313" s="6" t="s">
        <v>384</v>
      </c>
      <c r="L313" s="6" t="str">
        <f>IF(J313="כן", K313, VLOOKUP(LEFT(H313, 7), 'קטלוג תרחישים'!$A:$M, 13, FALSE))</f>
        <v>ג'</v>
      </c>
      <c r="M313" s="10"/>
      <c r="N313" s="24" t="s">
        <v>357</v>
      </c>
      <c r="O313" s="10" t="str" cm="1">
        <f t="array" ref="O313">_xlfn.IFS(N313="A","א'", N313="B", "ב'", N313= "C", "ג'")</f>
        <v>ב'</v>
      </c>
      <c r="P313" s="10">
        <f>IF(Table_2[[#This Row],[Correct_Answer]]=Table_2[[#This Row],[System_Recommendation]],1,0)</f>
        <v>0</v>
      </c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6" t="s">
        <v>140</v>
      </c>
      <c r="B314" s="6">
        <v>16</v>
      </c>
      <c r="C314" s="6" t="s">
        <v>372</v>
      </c>
      <c r="D314" s="6">
        <v>3</v>
      </c>
      <c r="E314" s="6" t="s">
        <v>98</v>
      </c>
      <c r="F314" s="6" t="s">
        <v>373</v>
      </c>
      <c r="G314" s="6" t="s">
        <v>117</v>
      </c>
      <c r="H314" s="6" t="s">
        <v>129</v>
      </c>
      <c r="I314" s="6" t="s">
        <v>100</v>
      </c>
      <c r="J314" s="6" t="s">
        <v>371</v>
      </c>
      <c r="K314" s="6" t="s">
        <v>384</v>
      </c>
      <c r="L314" s="6" t="str">
        <f>IF(J314="כן", K314, VLOOKUP(LEFT(H314, 7), 'קטלוג תרחישים'!$A:$M, 13, FALSE))</f>
        <v>ב'</v>
      </c>
      <c r="M314" s="10"/>
      <c r="N314" s="23" t="s">
        <v>357</v>
      </c>
      <c r="O314" s="10" t="str" cm="1">
        <f t="array" ref="O314">_xlfn.IFS(N314="A","א'", N314="B", "ב'", N314= "C", "ג'")</f>
        <v>ב'</v>
      </c>
      <c r="P314" s="10">
        <f>IF(Table_2[[#This Row],[Correct_Answer]]=Table_2[[#This Row],[System_Recommendation]],1,0)</f>
        <v>1</v>
      </c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6" t="s">
        <v>140</v>
      </c>
      <c r="B315" s="6">
        <v>17</v>
      </c>
      <c r="C315" s="6" t="s">
        <v>372</v>
      </c>
      <c r="D315" s="6">
        <v>3</v>
      </c>
      <c r="E315" s="6" t="s">
        <v>98</v>
      </c>
      <c r="F315" s="6" t="s">
        <v>373</v>
      </c>
      <c r="G315" s="6" t="s">
        <v>117</v>
      </c>
      <c r="H315" s="6" t="s">
        <v>126</v>
      </c>
      <c r="I315" s="6" t="s">
        <v>91</v>
      </c>
      <c r="J315" s="6" t="s">
        <v>371</v>
      </c>
      <c r="K315" s="6" t="s">
        <v>383</v>
      </c>
      <c r="L315" s="6" t="str">
        <f>IF(J315="כן", K315, VLOOKUP(LEFT(H315, 7), 'קטלוג תרחישים'!$A:$M, 13, FALSE))</f>
        <v>א'</v>
      </c>
      <c r="M315" s="10"/>
      <c r="N315" s="24" t="s">
        <v>352</v>
      </c>
      <c r="O315" s="10" t="str" cm="1">
        <f t="array" ref="O315">_xlfn.IFS(N315="A","א'", N315="B", "ב'", N315= "C", "ג'")</f>
        <v>א'</v>
      </c>
      <c r="P315" s="10">
        <f>IF(Table_2[[#This Row],[Correct_Answer]]=Table_2[[#This Row],[System_Recommendation]],1,0)</f>
        <v>1</v>
      </c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6" t="s">
        <v>140</v>
      </c>
      <c r="B316" s="6">
        <v>18</v>
      </c>
      <c r="C316" s="6" t="s">
        <v>372</v>
      </c>
      <c r="D316" s="6">
        <v>3</v>
      </c>
      <c r="E316" s="6" t="s">
        <v>98</v>
      </c>
      <c r="F316" s="6" t="s">
        <v>373</v>
      </c>
      <c r="G316" s="6" t="s">
        <v>117</v>
      </c>
      <c r="H316" s="6" t="s">
        <v>127</v>
      </c>
      <c r="I316" s="6" t="s">
        <v>100</v>
      </c>
      <c r="J316" s="6" t="s">
        <v>374</v>
      </c>
      <c r="K316" s="6" t="s">
        <v>385</v>
      </c>
      <c r="L316" s="6" t="str">
        <f>IF(J316="כן", K316, VLOOKUP(LEFT(H316, 7), 'קטלוג תרחישים'!$A:$M, 13, FALSE))</f>
        <v>ג'</v>
      </c>
      <c r="M316" s="10"/>
      <c r="N316" s="23" t="s">
        <v>358</v>
      </c>
      <c r="O316" s="10" t="str" cm="1">
        <f t="array" ref="O316">_xlfn.IFS(N316="A","א'", N316="B", "ב'", N316= "C", "ג'")</f>
        <v>ג'</v>
      </c>
      <c r="P316" s="10">
        <f>IF(Table_2[[#This Row],[Correct_Answer]]=Table_2[[#This Row],[System_Recommendation]],1,0)</f>
        <v>0</v>
      </c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6" t="s">
        <v>140</v>
      </c>
      <c r="B317" s="6">
        <v>19</v>
      </c>
      <c r="C317" s="6" t="s">
        <v>372</v>
      </c>
      <c r="D317" s="6">
        <v>1</v>
      </c>
      <c r="E317" s="6" t="s">
        <v>98</v>
      </c>
      <c r="F317" s="6" t="s">
        <v>375</v>
      </c>
      <c r="G317" s="6" t="s">
        <v>97</v>
      </c>
      <c r="H317" s="6" t="s">
        <v>99</v>
      </c>
      <c r="I317" s="6" t="s">
        <v>100</v>
      </c>
      <c r="J317" s="6" t="s">
        <v>371</v>
      </c>
      <c r="K317" s="6" t="s">
        <v>384</v>
      </c>
      <c r="L317" s="6" t="str">
        <f>IF(J317="כן", K317, VLOOKUP(LEFT(H317, 7), 'קטלוג תרחישים'!$A:$M, 13, FALSE))</f>
        <v>ב'</v>
      </c>
      <c r="M317" s="10"/>
      <c r="N317" s="24" t="s">
        <v>357</v>
      </c>
      <c r="O317" s="10" t="str" cm="1">
        <f t="array" ref="O317">_xlfn.IFS(N317="A","א'", N317="B", "ב'", N317= "C", "ג'")</f>
        <v>ב'</v>
      </c>
      <c r="P317" s="10">
        <f>IF(Table_2[[#This Row],[Correct_Answer]]=Table_2[[#This Row],[System_Recommendation]],1,0)</f>
        <v>1</v>
      </c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6" t="s">
        <v>140</v>
      </c>
      <c r="B318" s="6">
        <v>20</v>
      </c>
      <c r="C318" s="6" t="s">
        <v>372</v>
      </c>
      <c r="D318" s="6">
        <v>1</v>
      </c>
      <c r="E318" s="6" t="s">
        <v>98</v>
      </c>
      <c r="F318" s="6" t="s">
        <v>375</v>
      </c>
      <c r="G318" s="6" t="s">
        <v>97</v>
      </c>
      <c r="H318" s="6" t="s">
        <v>103</v>
      </c>
      <c r="I318" s="6" t="s">
        <v>91</v>
      </c>
      <c r="J318" s="6" t="s">
        <v>371</v>
      </c>
      <c r="K318" s="6" t="s">
        <v>385</v>
      </c>
      <c r="L318" s="6" t="str">
        <f>IF(J318="כן", K318, VLOOKUP(LEFT(H318, 7), 'קטלוג תרחישים'!$A:$M, 13, FALSE))</f>
        <v>ג</v>
      </c>
      <c r="M318" s="10"/>
      <c r="N318" s="23" t="s">
        <v>358</v>
      </c>
      <c r="O318" s="10" t="str" cm="1">
        <f t="array" ref="O318">_xlfn.IFS(N318="A","א'", N318="B", "ב'", N318= "C", "ג'")</f>
        <v>ג'</v>
      </c>
      <c r="P318" s="10">
        <f>IF(Table_2[[#This Row],[Correct_Answer]]=Table_2[[#This Row],[System_Recommendation]],1,0)</f>
        <v>1</v>
      </c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6" t="s">
        <v>140</v>
      </c>
      <c r="B319" s="6">
        <v>21</v>
      </c>
      <c r="C319" s="6" t="s">
        <v>372</v>
      </c>
      <c r="D319" s="6">
        <v>1</v>
      </c>
      <c r="E319" s="6" t="s">
        <v>98</v>
      </c>
      <c r="F319" s="6" t="s">
        <v>375</v>
      </c>
      <c r="G319" s="6" t="s">
        <v>97</v>
      </c>
      <c r="H319" s="6" t="s">
        <v>102</v>
      </c>
      <c r="I319" s="6" t="s">
        <v>100</v>
      </c>
      <c r="J319" s="6" t="s">
        <v>374</v>
      </c>
      <c r="K319" s="6" t="s">
        <v>383</v>
      </c>
      <c r="L319" s="6" t="str">
        <f>IF(J319="כן", K319, VLOOKUP(LEFT(H319, 7), 'קטלוג תרחישים'!$A:$M, 13, FALSE))</f>
        <v>ב'</v>
      </c>
      <c r="M319" s="10"/>
      <c r="N319" s="24" t="s">
        <v>352</v>
      </c>
      <c r="O319" s="10" t="str" cm="1">
        <f t="array" ref="O319">_xlfn.IFS(N319="A","א'", N319="B", "ב'", N319= "C", "ג'")</f>
        <v>א'</v>
      </c>
      <c r="P319" s="10">
        <f>IF(Table_2[[#This Row],[Correct_Answer]]=Table_2[[#This Row],[System_Recommendation]],1,0)</f>
        <v>0</v>
      </c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6" t="s">
        <v>140</v>
      </c>
      <c r="B320" s="6">
        <v>22</v>
      </c>
      <c r="C320" s="6" t="s">
        <v>372</v>
      </c>
      <c r="D320" s="6">
        <v>1</v>
      </c>
      <c r="E320" s="6" t="s">
        <v>98</v>
      </c>
      <c r="F320" s="6" t="s">
        <v>375</v>
      </c>
      <c r="G320" s="6" t="s">
        <v>97</v>
      </c>
      <c r="H320" s="6" t="s">
        <v>101</v>
      </c>
      <c r="I320" s="6" t="s">
        <v>91</v>
      </c>
      <c r="J320" s="6" t="s">
        <v>371</v>
      </c>
      <c r="K320" s="6" t="s">
        <v>385</v>
      </c>
      <c r="L320" s="6" t="str">
        <f>IF(J320="כן", K320, VLOOKUP(LEFT(H320, 7), 'קטלוג תרחישים'!$A:$M, 13, FALSE))</f>
        <v>ג</v>
      </c>
      <c r="M320" s="10"/>
      <c r="N320" s="23" t="s">
        <v>358</v>
      </c>
      <c r="O320" s="10" t="str" cm="1">
        <f t="array" ref="O320">_xlfn.IFS(N320="A","א'", N320="B", "ב'", N320= "C", "ג'")</f>
        <v>ג'</v>
      </c>
      <c r="P320" s="10">
        <f>IF(Table_2[[#This Row],[Correct_Answer]]=Table_2[[#This Row],[System_Recommendation]],1,0)</f>
        <v>1</v>
      </c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6" t="s">
        <v>140</v>
      </c>
      <c r="B321" s="6">
        <v>23</v>
      </c>
      <c r="C321" s="6" t="s">
        <v>372</v>
      </c>
      <c r="D321" s="6">
        <v>1</v>
      </c>
      <c r="E321" s="6" t="s">
        <v>98</v>
      </c>
      <c r="F321" s="6" t="s">
        <v>375</v>
      </c>
      <c r="G321" s="6" t="s">
        <v>97</v>
      </c>
      <c r="H321" s="6" t="s">
        <v>104</v>
      </c>
      <c r="I321" s="6" t="s">
        <v>100</v>
      </c>
      <c r="J321" s="6" t="s">
        <v>371</v>
      </c>
      <c r="K321" s="6" t="s">
        <v>385</v>
      </c>
      <c r="L321" s="6" t="str">
        <f>IF(J321="כן", K321, VLOOKUP(LEFT(H321, 7), 'קטלוג תרחישים'!$A:$M, 13, FALSE))</f>
        <v>ג</v>
      </c>
      <c r="M321" s="10"/>
      <c r="N321" s="24" t="s">
        <v>358</v>
      </c>
      <c r="O321" s="10" t="str" cm="1">
        <f t="array" ref="O321">_xlfn.IFS(N321="A","א'", N321="B", "ב'", N321= "C", "ג'")</f>
        <v>ג'</v>
      </c>
      <c r="P321" s="10">
        <f>IF(Table_2[[#This Row],[Correct_Answer]]=Table_2[[#This Row],[System_Recommendation]],1,0)</f>
        <v>1</v>
      </c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6" t="s">
        <v>140</v>
      </c>
      <c r="B322" s="6">
        <v>24</v>
      </c>
      <c r="C322" s="6" t="s">
        <v>372</v>
      </c>
      <c r="D322" s="6">
        <v>2</v>
      </c>
      <c r="E322" s="6" t="s">
        <v>105</v>
      </c>
      <c r="F322" s="6" t="s">
        <v>375</v>
      </c>
      <c r="G322" s="6" t="s">
        <v>97</v>
      </c>
      <c r="H322" s="6" t="s">
        <v>106</v>
      </c>
      <c r="I322" s="6" t="s">
        <v>91</v>
      </c>
      <c r="J322" s="6" t="s">
        <v>371</v>
      </c>
      <c r="K322" s="6" t="s">
        <v>384</v>
      </c>
      <c r="L322" s="6" t="str">
        <f>IF(J322="כן", K322, VLOOKUP(LEFT(H322, 7), 'קטלוג תרחישים'!$A:$M, 13, FALSE))</f>
        <v>ב'</v>
      </c>
      <c r="M322" s="10"/>
      <c r="N322" s="23" t="s">
        <v>357</v>
      </c>
      <c r="O322" s="10" t="str" cm="1">
        <f t="array" ref="O322">_xlfn.IFS(N322="A","א'", N322="B", "ב'", N322= "C", "ג'")</f>
        <v>ב'</v>
      </c>
      <c r="P322" s="10">
        <f>IF(Table_2[[#This Row],[Correct_Answer]]=Table_2[[#This Row],[System_Recommendation]],1,0)</f>
        <v>1</v>
      </c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6" t="s">
        <v>140</v>
      </c>
      <c r="B323" s="6">
        <v>25</v>
      </c>
      <c r="C323" s="6" t="s">
        <v>372</v>
      </c>
      <c r="D323" s="6">
        <v>2</v>
      </c>
      <c r="E323" s="6" t="s">
        <v>105</v>
      </c>
      <c r="F323" s="6" t="s">
        <v>375</v>
      </c>
      <c r="G323" s="6" t="s">
        <v>97</v>
      </c>
      <c r="H323" s="6" t="s">
        <v>107</v>
      </c>
      <c r="I323" s="6" t="s">
        <v>100</v>
      </c>
      <c r="J323" s="6" t="s">
        <v>371</v>
      </c>
      <c r="K323" s="6" t="s">
        <v>383</v>
      </c>
      <c r="L323" s="6" t="str">
        <f>IF(J323="כן", K323, VLOOKUP(LEFT(H323, 7), 'קטלוג תרחישים'!$A:$M, 13, FALSE))</f>
        <v>א'</v>
      </c>
      <c r="M323" s="10"/>
      <c r="N323" s="24" t="s">
        <v>352</v>
      </c>
      <c r="O323" s="10" t="str" cm="1">
        <f t="array" ref="O323">_xlfn.IFS(N323="A","א'", N323="B", "ב'", N323= "C", "ג'")</f>
        <v>א'</v>
      </c>
      <c r="P323" s="10">
        <f>IF(Table_2[[#This Row],[Correct_Answer]]=Table_2[[#This Row],[System_Recommendation]],1,0)</f>
        <v>1</v>
      </c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6" t="s">
        <v>140</v>
      </c>
      <c r="B324" s="6">
        <v>26</v>
      </c>
      <c r="C324" s="6" t="s">
        <v>372</v>
      </c>
      <c r="D324" s="6">
        <v>2</v>
      </c>
      <c r="E324" s="6" t="s">
        <v>105</v>
      </c>
      <c r="F324" s="6" t="s">
        <v>375</v>
      </c>
      <c r="G324" s="6" t="s">
        <v>97</v>
      </c>
      <c r="H324" s="6" t="s">
        <v>108</v>
      </c>
      <c r="I324" s="6" t="s">
        <v>91</v>
      </c>
      <c r="J324" s="6" t="s">
        <v>371</v>
      </c>
      <c r="K324" s="6" t="s">
        <v>385</v>
      </c>
      <c r="L324" s="6" t="str">
        <f>IF(J324="כן", K324, VLOOKUP(LEFT(H324, 7), 'קטלוג תרחישים'!$A:$M, 13, FALSE))</f>
        <v>ג</v>
      </c>
      <c r="M324" s="10"/>
      <c r="N324" s="23" t="s">
        <v>358</v>
      </c>
      <c r="O324" s="10" t="str" cm="1">
        <f t="array" ref="O324">_xlfn.IFS(N324="A","א'", N324="B", "ב'", N324= "C", "ג'")</f>
        <v>ג'</v>
      </c>
      <c r="P324" s="10">
        <f>IF(Table_2[[#This Row],[Correct_Answer]]=Table_2[[#This Row],[System_Recommendation]],1,0)</f>
        <v>1</v>
      </c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6" t="s">
        <v>140</v>
      </c>
      <c r="B325" s="6">
        <v>27</v>
      </c>
      <c r="C325" s="6" t="s">
        <v>372</v>
      </c>
      <c r="D325" s="6">
        <v>2</v>
      </c>
      <c r="E325" s="6" t="s">
        <v>105</v>
      </c>
      <c r="F325" s="6" t="s">
        <v>375</v>
      </c>
      <c r="G325" s="6" t="s">
        <v>97</v>
      </c>
      <c r="H325" s="6" t="s">
        <v>109</v>
      </c>
      <c r="I325" s="6" t="s">
        <v>100</v>
      </c>
      <c r="J325" s="6" t="s">
        <v>374</v>
      </c>
      <c r="K325" s="6" t="s">
        <v>384</v>
      </c>
      <c r="L325" s="6" t="str">
        <f>IF(J325="כן", K325, VLOOKUP(LEFT(H325, 7), 'קטלוג תרחישים'!$A:$M, 13, FALSE))</f>
        <v>א'</v>
      </c>
      <c r="M325" s="10"/>
      <c r="N325" s="24" t="s">
        <v>357</v>
      </c>
      <c r="O325" s="10" t="str" cm="1">
        <f t="array" ref="O325">_xlfn.IFS(N325="A","א'", N325="B", "ב'", N325= "C", "ג'")</f>
        <v>ב'</v>
      </c>
      <c r="P325" s="10">
        <f>IF(Table_2[[#This Row],[Correct_Answer]]=Table_2[[#This Row],[System_Recommendation]],1,0)</f>
        <v>0</v>
      </c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6" t="s">
        <v>140</v>
      </c>
      <c r="B326" s="6">
        <v>28</v>
      </c>
      <c r="C326" s="6" t="s">
        <v>372</v>
      </c>
      <c r="D326" s="6">
        <v>2</v>
      </c>
      <c r="E326" s="6" t="s">
        <v>105</v>
      </c>
      <c r="F326" s="6" t="s">
        <v>375</v>
      </c>
      <c r="G326" s="6" t="s">
        <v>97</v>
      </c>
      <c r="H326" s="6" t="s">
        <v>110</v>
      </c>
      <c r="I326" s="6" t="s">
        <v>91</v>
      </c>
      <c r="J326" s="6" t="s">
        <v>371</v>
      </c>
      <c r="K326" s="6" t="s">
        <v>385</v>
      </c>
      <c r="L326" s="6" t="str">
        <f>IF(J326="כן", K326, VLOOKUP(LEFT(H326, 7), 'קטלוג תרחישים'!$A:$M, 13, FALSE))</f>
        <v>ג</v>
      </c>
      <c r="M326" s="10"/>
      <c r="N326" s="23" t="s">
        <v>358</v>
      </c>
      <c r="O326" s="10" t="str" cm="1">
        <f t="array" ref="O326">_xlfn.IFS(N326="A","א'", N326="B", "ב'", N326= "C", "ג'")</f>
        <v>ג'</v>
      </c>
      <c r="P326" s="10">
        <f>IF(Table_2[[#This Row],[Correct_Answer]]=Table_2[[#This Row],[System_Recommendation]],1,0)</f>
        <v>1</v>
      </c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6" t="s">
        <v>140</v>
      </c>
      <c r="B327" s="6">
        <v>29</v>
      </c>
      <c r="C327" s="6" t="s">
        <v>372</v>
      </c>
      <c r="D327" s="6">
        <v>3</v>
      </c>
      <c r="E327" s="6" t="s">
        <v>111</v>
      </c>
      <c r="F327" s="6" t="s">
        <v>375</v>
      </c>
      <c r="G327" s="6" t="s">
        <v>97</v>
      </c>
      <c r="H327" s="6" t="s">
        <v>116</v>
      </c>
      <c r="I327" s="6" t="s">
        <v>91</v>
      </c>
      <c r="J327" s="6" t="s">
        <v>374</v>
      </c>
      <c r="K327" s="6" t="s">
        <v>385</v>
      </c>
      <c r="L327" s="6" t="str">
        <f>IF(J327="כן", K327, VLOOKUP(LEFT(H327, 7), 'קטלוג תרחישים'!$A:$M, 13, FALSE))</f>
        <v>ב'</v>
      </c>
      <c r="M327" s="10"/>
      <c r="N327" s="24" t="s">
        <v>358</v>
      </c>
      <c r="O327" s="10" t="str" cm="1">
        <f t="array" ref="O327">_xlfn.IFS(N327="A","א'", N327="B", "ב'", N327= "C", "ג'")</f>
        <v>ג'</v>
      </c>
      <c r="P327" s="10">
        <f>IF(Table_2[[#This Row],[Correct_Answer]]=Table_2[[#This Row],[System_Recommendation]],1,0)</f>
        <v>0</v>
      </c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6" t="s">
        <v>140</v>
      </c>
      <c r="B328" s="6">
        <v>30</v>
      </c>
      <c r="C328" s="6" t="s">
        <v>372</v>
      </c>
      <c r="D328" s="6">
        <v>3</v>
      </c>
      <c r="E328" s="6" t="s">
        <v>111</v>
      </c>
      <c r="F328" s="6" t="s">
        <v>375</v>
      </c>
      <c r="G328" s="6" t="s">
        <v>97</v>
      </c>
      <c r="H328" s="6" t="s">
        <v>115</v>
      </c>
      <c r="I328" s="6" t="s">
        <v>100</v>
      </c>
      <c r="J328" s="6" t="s">
        <v>371</v>
      </c>
      <c r="K328" s="6" t="s">
        <v>384</v>
      </c>
      <c r="L328" s="6" t="str">
        <f>IF(J328="כן", K328, VLOOKUP(LEFT(H328, 7), 'קטלוג תרחישים'!$A:$M, 13, FALSE))</f>
        <v>ב'</v>
      </c>
      <c r="M328" s="10"/>
      <c r="N328" s="23" t="s">
        <v>357</v>
      </c>
      <c r="O328" s="10" t="str" cm="1">
        <f t="array" ref="O328">_xlfn.IFS(N328="A","א'", N328="B", "ב'", N328= "C", "ג'")</f>
        <v>ב'</v>
      </c>
      <c r="P328" s="10">
        <f>IF(Table_2[[#This Row],[Correct_Answer]]=Table_2[[#This Row],[System_Recommendation]],1,0)</f>
        <v>1</v>
      </c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6" t="s">
        <v>140</v>
      </c>
      <c r="B329" s="6">
        <v>31</v>
      </c>
      <c r="C329" s="6" t="s">
        <v>372</v>
      </c>
      <c r="D329" s="6">
        <v>3</v>
      </c>
      <c r="E329" s="6" t="s">
        <v>111</v>
      </c>
      <c r="F329" s="6" t="s">
        <v>375</v>
      </c>
      <c r="G329" s="6" t="s">
        <v>97</v>
      </c>
      <c r="H329" s="6" t="s">
        <v>114</v>
      </c>
      <c r="I329" s="6" t="s">
        <v>91</v>
      </c>
      <c r="J329" s="6" t="s">
        <v>371</v>
      </c>
      <c r="K329" s="6" t="s">
        <v>385</v>
      </c>
      <c r="L329" s="6" t="str">
        <f>IF(J329="כן", K329, VLOOKUP(LEFT(H329, 7), 'קטלוג תרחישים'!$A:$M, 13, FALSE))</f>
        <v>ג</v>
      </c>
      <c r="M329" s="10"/>
      <c r="N329" s="24" t="s">
        <v>358</v>
      </c>
      <c r="O329" s="10" t="str" cm="1">
        <f t="array" ref="O329">_xlfn.IFS(N329="A","א'", N329="B", "ב'", N329= "C", "ג'")</f>
        <v>ג'</v>
      </c>
      <c r="P329" s="10">
        <f>IF(Table_2[[#This Row],[Correct_Answer]]=Table_2[[#This Row],[System_Recommendation]],1,0)</f>
        <v>1</v>
      </c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6" t="s">
        <v>140</v>
      </c>
      <c r="B330" s="6">
        <v>32</v>
      </c>
      <c r="C330" s="6" t="s">
        <v>372</v>
      </c>
      <c r="D330" s="6">
        <v>3</v>
      </c>
      <c r="E330" s="6" t="s">
        <v>111</v>
      </c>
      <c r="F330" s="6" t="s">
        <v>375</v>
      </c>
      <c r="G330" s="6" t="s">
        <v>97</v>
      </c>
      <c r="H330" s="6" t="s">
        <v>113</v>
      </c>
      <c r="I330" s="6" t="s">
        <v>100</v>
      </c>
      <c r="J330" s="6" t="s">
        <v>371</v>
      </c>
      <c r="K330" s="6" t="s">
        <v>383</v>
      </c>
      <c r="L330" s="6" t="str">
        <f>IF(J330="כן", K330, VLOOKUP(LEFT(H330, 7), 'קטלוג תרחישים'!$A:$M, 13, FALSE))</f>
        <v>א'</v>
      </c>
      <c r="M330" s="10"/>
      <c r="N330" s="23" t="s">
        <v>352</v>
      </c>
      <c r="O330" s="10" t="str" cm="1">
        <f t="array" ref="O330">_xlfn.IFS(N330="A","א'", N330="B", "ב'", N330= "C", "ג'")</f>
        <v>א'</v>
      </c>
      <c r="P330" s="10">
        <f>IF(Table_2[[#This Row],[Correct_Answer]]=Table_2[[#This Row],[System_Recommendation]],1,0)</f>
        <v>1</v>
      </c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6" t="s">
        <v>140</v>
      </c>
      <c r="B331" s="6">
        <v>33</v>
      </c>
      <c r="C331" s="6" t="s">
        <v>372</v>
      </c>
      <c r="D331" s="6">
        <v>3</v>
      </c>
      <c r="E331" s="6" t="s">
        <v>111</v>
      </c>
      <c r="F331" s="6" t="s">
        <v>375</v>
      </c>
      <c r="G331" s="6" t="s">
        <v>97</v>
      </c>
      <c r="H331" s="6" t="s">
        <v>112</v>
      </c>
      <c r="I331" s="6" t="s">
        <v>91</v>
      </c>
      <c r="J331" s="6" t="s">
        <v>371</v>
      </c>
      <c r="K331" s="6" t="s">
        <v>383</v>
      </c>
      <c r="L331" s="6" t="str">
        <f>IF(J331="כן", K331, VLOOKUP(LEFT(H331, 7), 'קטלוג תרחישים'!$A:$M, 13, FALSE))</f>
        <v>א'</v>
      </c>
      <c r="M331" s="10"/>
      <c r="N331" s="24" t="s">
        <v>352</v>
      </c>
      <c r="O331" s="10" t="str" cm="1">
        <f t="array" ref="O331">_xlfn.IFS(N331="A","א'", N331="B", "ב'", N331= "C", "ג'")</f>
        <v>א'</v>
      </c>
      <c r="P331" s="10">
        <f>IF(Table_2[[#This Row],[Correct_Answer]]=Table_2[[#This Row],[System_Recommendation]],1,0)</f>
        <v>1</v>
      </c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6" t="s">
        <v>141</v>
      </c>
      <c r="B332" s="6">
        <v>1</v>
      </c>
      <c r="C332" s="6" t="s">
        <v>370</v>
      </c>
      <c r="D332" s="6"/>
      <c r="E332" s="6" t="s">
        <v>98</v>
      </c>
      <c r="F332" s="6"/>
      <c r="G332" s="6"/>
      <c r="H332" s="8" t="s">
        <v>90</v>
      </c>
      <c r="I332" s="6" t="s">
        <v>91</v>
      </c>
      <c r="J332" s="6" t="s">
        <v>371</v>
      </c>
      <c r="K332" s="6" t="s">
        <v>385</v>
      </c>
      <c r="L332" s="6" t="str">
        <f>IF(J332="כן", K332, VLOOKUP(LEFT(H332, 7), 'קטלוג תרחישים'!$A:$M, 13, FALSE))</f>
        <v>ג</v>
      </c>
      <c r="M332" s="10"/>
      <c r="N332" s="23" t="s">
        <v>358</v>
      </c>
      <c r="O332" s="10" t="str" cm="1">
        <f t="array" ref="O332">_xlfn.IFS(N332="A","א'", N332="B", "ב'", N332= "C", "ג'")</f>
        <v>ג'</v>
      </c>
      <c r="P332" s="10">
        <f>IF(Table_2[[#This Row],[Correct_Answer]]=Table_2[[#This Row],[System_Recommendation]],1,0)</f>
        <v>1</v>
      </c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6" t="s">
        <v>141</v>
      </c>
      <c r="B333" s="6">
        <v>2</v>
      </c>
      <c r="C333" s="6" t="s">
        <v>370</v>
      </c>
      <c r="D333" s="6"/>
      <c r="E333" s="6" t="s">
        <v>98</v>
      </c>
      <c r="F333" s="6"/>
      <c r="G333" s="6"/>
      <c r="H333" s="8" t="s">
        <v>92</v>
      </c>
      <c r="I333" s="6" t="s">
        <v>91</v>
      </c>
      <c r="J333" s="6" t="s">
        <v>371</v>
      </c>
      <c r="K333" s="6" t="s">
        <v>385</v>
      </c>
      <c r="L333" s="6" t="str">
        <f>IF(J333="כן", K333, VLOOKUP(LEFT(H333, 7), 'קטלוג תרחישים'!$A:$M, 13, FALSE))</f>
        <v>ג</v>
      </c>
      <c r="M333" s="10"/>
      <c r="N333" s="24" t="s">
        <v>358</v>
      </c>
      <c r="O333" s="10" t="str" cm="1">
        <f t="array" ref="O333">_xlfn.IFS(N333="A","א'", N333="B", "ב'", N333= "C", "ג'")</f>
        <v>ג'</v>
      </c>
      <c r="P333" s="10">
        <f>IF(Table_2[[#This Row],[Correct_Answer]]=Table_2[[#This Row],[System_Recommendation]],1,0)</f>
        <v>1</v>
      </c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6" t="s">
        <v>141</v>
      </c>
      <c r="B334" s="6">
        <v>3</v>
      </c>
      <c r="C334" s="6" t="s">
        <v>370</v>
      </c>
      <c r="D334" s="6"/>
      <c r="E334" s="6" t="s">
        <v>105</v>
      </c>
      <c r="F334" s="6"/>
      <c r="G334" s="6"/>
      <c r="H334" s="8" t="s">
        <v>93</v>
      </c>
      <c r="I334" s="6" t="s">
        <v>91</v>
      </c>
      <c r="J334" s="6" t="s">
        <v>371</v>
      </c>
      <c r="K334" s="6" t="s">
        <v>385</v>
      </c>
      <c r="L334" s="6" t="str">
        <f>IF(J334="כן", K334, VLOOKUP(LEFT(H334, 7), 'קטלוג תרחישים'!$A:$M, 13, FALSE))</f>
        <v>ג</v>
      </c>
      <c r="M334" s="10"/>
      <c r="N334" s="23" t="s">
        <v>358</v>
      </c>
      <c r="O334" s="10" t="str" cm="1">
        <f t="array" ref="O334">_xlfn.IFS(N334="A","א'", N334="B", "ב'", N334= "C", "ג'")</f>
        <v>ג'</v>
      </c>
      <c r="P334" s="10">
        <f>IF(Table_2[[#This Row],[Correct_Answer]]=Table_2[[#This Row],[System_Recommendation]],1,0)</f>
        <v>1</v>
      </c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6" t="s">
        <v>141</v>
      </c>
      <c r="B335" s="6">
        <v>4</v>
      </c>
      <c r="C335" s="6" t="s">
        <v>370</v>
      </c>
      <c r="D335" s="6"/>
      <c r="E335" s="6" t="s">
        <v>105</v>
      </c>
      <c r="F335" s="6"/>
      <c r="G335" s="6"/>
      <c r="H335" s="8" t="s">
        <v>94</v>
      </c>
      <c r="I335" s="6" t="s">
        <v>91</v>
      </c>
      <c r="J335" s="6" t="s">
        <v>371</v>
      </c>
      <c r="K335" s="6" t="s">
        <v>384</v>
      </c>
      <c r="L335" s="6" t="str">
        <f>IF(J335="כן", K335, VLOOKUP(LEFT(H335, 7), 'קטלוג תרחישים'!$A:$M, 13, FALSE))</f>
        <v>ב'</v>
      </c>
      <c r="M335" s="10"/>
      <c r="N335" s="24" t="s">
        <v>357</v>
      </c>
      <c r="O335" s="10" t="str" cm="1">
        <f t="array" ref="O335">_xlfn.IFS(N335="A","א'", N335="B", "ב'", N335= "C", "ג'")</f>
        <v>ב'</v>
      </c>
      <c r="P335" s="10">
        <f>IF(Table_2[[#This Row],[Correct_Answer]]=Table_2[[#This Row],[System_Recommendation]],1,0)</f>
        <v>1</v>
      </c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6" t="s">
        <v>141</v>
      </c>
      <c r="B336" s="6">
        <v>5</v>
      </c>
      <c r="C336" s="6" t="s">
        <v>370</v>
      </c>
      <c r="D336" s="6"/>
      <c r="E336" s="6" t="s">
        <v>111</v>
      </c>
      <c r="F336" s="6"/>
      <c r="G336" s="6"/>
      <c r="H336" s="8" t="s">
        <v>95</v>
      </c>
      <c r="I336" s="6" t="s">
        <v>91</v>
      </c>
      <c r="J336" s="6" t="s">
        <v>371</v>
      </c>
      <c r="K336" s="6" t="s">
        <v>383</v>
      </c>
      <c r="L336" s="6" t="str">
        <f>IF(J336="כן", K336, VLOOKUP(LEFT(H336, 7), 'קטלוג תרחישים'!$A:$M, 13, FALSE))</f>
        <v>א'</v>
      </c>
      <c r="M336" s="10"/>
      <c r="N336" s="23" t="s">
        <v>352</v>
      </c>
      <c r="O336" s="10" t="str" cm="1">
        <f t="array" ref="O336">_xlfn.IFS(N336="A","א'", N336="B", "ב'", N336= "C", "ג'")</f>
        <v>א'</v>
      </c>
      <c r="P336" s="10">
        <f>IF(Table_2[[#This Row],[Correct_Answer]]=Table_2[[#This Row],[System_Recommendation]],1,0)</f>
        <v>1</v>
      </c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6" t="s">
        <v>141</v>
      </c>
      <c r="B337" s="6">
        <v>6</v>
      </c>
      <c r="C337" s="6" t="s">
        <v>370</v>
      </c>
      <c r="D337" s="6"/>
      <c r="E337" s="6" t="s">
        <v>111</v>
      </c>
      <c r="F337" s="6"/>
      <c r="G337" s="6"/>
      <c r="H337" s="8" t="s">
        <v>96</v>
      </c>
      <c r="I337" s="6" t="s">
        <v>91</v>
      </c>
      <c r="J337" s="6" t="s">
        <v>371</v>
      </c>
      <c r="K337" s="6" t="s">
        <v>385</v>
      </c>
      <c r="L337" s="6" t="str">
        <f>IF(J337="כן", K337, VLOOKUP(LEFT(H337, 7), 'קטלוג תרחישים'!$A:$M, 13, FALSE))</f>
        <v>ג</v>
      </c>
      <c r="M337" s="10"/>
      <c r="N337" s="24" t="s">
        <v>358</v>
      </c>
      <c r="O337" s="10" t="str" cm="1">
        <f t="array" ref="O337">_xlfn.IFS(N337="A","א'", N337="B", "ב'", N337= "C", "ג'")</f>
        <v>ג'</v>
      </c>
      <c r="P337" s="10">
        <f>IF(Table_2[[#This Row],[Correct_Answer]]=Table_2[[#This Row],[System_Recommendation]],1,0)</f>
        <v>1</v>
      </c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6" t="s">
        <v>141</v>
      </c>
      <c r="B338" s="6">
        <v>7</v>
      </c>
      <c r="C338" s="6" t="s">
        <v>372</v>
      </c>
      <c r="D338" s="6">
        <v>1</v>
      </c>
      <c r="E338" s="6" t="s">
        <v>105</v>
      </c>
      <c r="F338" s="6" t="s">
        <v>373</v>
      </c>
      <c r="G338" s="6" t="s">
        <v>97</v>
      </c>
      <c r="H338" s="6" t="s">
        <v>142</v>
      </c>
      <c r="I338" s="6" t="s">
        <v>100</v>
      </c>
      <c r="J338" s="6" t="s">
        <v>371</v>
      </c>
      <c r="K338" s="6" t="s">
        <v>385</v>
      </c>
      <c r="L338" s="6" t="str">
        <f>IF(J338="כן", K338, VLOOKUP(LEFT(H338, 7), 'קטלוג תרחישים'!$A:$M, 13, FALSE))</f>
        <v>ג</v>
      </c>
      <c r="M338" s="10"/>
      <c r="N338" s="23" t="s">
        <v>358</v>
      </c>
      <c r="O338" s="10" t="str" cm="1">
        <f t="array" ref="O338">_xlfn.IFS(N338="A","א'", N338="B", "ב'", N338= "C", "ג'")</f>
        <v>ג'</v>
      </c>
      <c r="P338" s="10">
        <f>IF(Table_2[[#This Row],[Correct_Answer]]=Table_2[[#This Row],[System_Recommendation]],1,0)</f>
        <v>1</v>
      </c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6" t="s">
        <v>141</v>
      </c>
      <c r="B339" s="6">
        <v>8</v>
      </c>
      <c r="C339" s="6" t="s">
        <v>372</v>
      </c>
      <c r="D339" s="6">
        <v>1</v>
      </c>
      <c r="E339" s="6" t="s">
        <v>105</v>
      </c>
      <c r="F339" s="6" t="s">
        <v>373</v>
      </c>
      <c r="G339" s="6" t="s">
        <v>97</v>
      </c>
      <c r="H339" s="6" t="s">
        <v>143</v>
      </c>
      <c r="I339" s="6" t="s">
        <v>91</v>
      </c>
      <c r="J339" s="6" t="s">
        <v>371</v>
      </c>
      <c r="K339" s="6" t="s">
        <v>384</v>
      </c>
      <c r="L339" s="6" t="str">
        <f>IF(J339="כן", K339, VLOOKUP(LEFT(H339, 7), 'קטלוג תרחישים'!$A:$M, 13, FALSE))</f>
        <v>ב'</v>
      </c>
      <c r="M339" s="10"/>
      <c r="N339" s="24" t="s">
        <v>357</v>
      </c>
      <c r="O339" s="10" t="str" cm="1">
        <f t="array" ref="O339">_xlfn.IFS(N339="A","א'", N339="B", "ב'", N339= "C", "ג'")</f>
        <v>ב'</v>
      </c>
      <c r="P339" s="10">
        <f>IF(Table_2[[#This Row],[Correct_Answer]]=Table_2[[#This Row],[System_Recommendation]],1,0)</f>
        <v>1</v>
      </c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6" t="s">
        <v>141</v>
      </c>
      <c r="B340" s="6">
        <v>9</v>
      </c>
      <c r="C340" s="6" t="s">
        <v>372</v>
      </c>
      <c r="D340" s="6">
        <v>1</v>
      </c>
      <c r="E340" s="6" t="s">
        <v>105</v>
      </c>
      <c r="F340" s="6" t="s">
        <v>373</v>
      </c>
      <c r="G340" s="6" t="s">
        <v>97</v>
      </c>
      <c r="H340" s="6" t="s">
        <v>144</v>
      </c>
      <c r="I340" s="6" t="s">
        <v>100</v>
      </c>
      <c r="J340" s="6" t="s">
        <v>371</v>
      </c>
      <c r="K340" s="6" t="s">
        <v>384</v>
      </c>
      <c r="L340" s="6" t="str">
        <f>IF(J340="כן", K340, VLOOKUP(LEFT(H340, 7), 'קטלוג תרחישים'!$A:$M, 13, FALSE))</f>
        <v>ב'</v>
      </c>
      <c r="M340" s="10"/>
      <c r="N340" s="23" t="s">
        <v>357</v>
      </c>
      <c r="O340" s="10" t="str" cm="1">
        <f t="array" ref="O340">_xlfn.IFS(N340="A","א'", N340="B", "ב'", N340= "C", "ג'")</f>
        <v>ב'</v>
      </c>
      <c r="P340" s="10">
        <f>IF(Table_2[[#This Row],[Correct_Answer]]=Table_2[[#This Row],[System_Recommendation]],1,0)</f>
        <v>1</v>
      </c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6" t="s">
        <v>141</v>
      </c>
      <c r="B341" s="6">
        <v>10</v>
      </c>
      <c r="C341" s="6" t="s">
        <v>372</v>
      </c>
      <c r="D341" s="6">
        <v>1</v>
      </c>
      <c r="E341" s="6" t="s">
        <v>105</v>
      </c>
      <c r="F341" s="6" t="s">
        <v>373</v>
      </c>
      <c r="G341" s="6" t="s">
        <v>97</v>
      </c>
      <c r="H341" s="6" t="s">
        <v>145</v>
      </c>
      <c r="I341" s="6" t="s">
        <v>91</v>
      </c>
      <c r="J341" s="6" t="s">
        <v>374</v>
      </c>
      <c r="K341" s="6" t="s">
        <v>383</v>
      </c>
      <c r="L341" s="6" t="str">
        <f>IF(J341="כן", K341, VLOOKUP(LEFT(H341, 7), 'קטלוג תרחישים'!$A:$M, 13, FALSE))</f>
        <v>ג'</v>
      </c>
      <c r="M341" s="10"/>
      <c r="N341" s="24" t="s">
        <v>352</v>
      </c>
      <c r="O341" s="10" t="str" cm="1">
        <f t="array" ref="O341">_xlfn.IFS(N341="A","א'", N341="B", "ב'", N341= "C", "ג'")</f>
        <v>א'</v>
      </c>
      <c r="P341" s="10">
        <f>IF(Table_2[[#This Row],[Correct_Answer]]=Table_2[[#This Row],[System_Recommendation]],1,0)</f>
        <v>0</v>
      </c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6" t="s">
        <v>141</v>
      </c>
      <c r="B342" s="6">
        <v>11</v>
      </c>
      <c r="C342" s="6" t="s">
        <v>372</v>
      </c>
      <c r="D342" s="6">
        <v>1</v>
      </c>
      <c r="E342" s="6" t="s">
        <v>105</v>
      </c>
      <c r="F342" s="6" t="s">
        <v>373</v>
      </c>
      <c r="G342" s="6" t="s">
        <v>97</v>
      </c>
      <c r="H342" s="6" t="s">
        <v>146</v>
      </c>
      <c r="I342" s="6" t="s">
        <v>100</v>
      </c>
      <c r="J342" s="6" t="s">
        <v>371</v>
      </c>
      <c r="K342" s="6" t="s">
        <v>383</v>
      </c>
      <c r="L342" s="6" t="str">
        <f>IF(J342="כן", K342, VLOOKUP(LEFT(H342, 7), 'קטלוג תרחישים'!$A:$M, 13, FALSE))</f>
        <v>א'</v>
      </c>
      <c r="M342" s="10"/>
      <c r="N342" s="23" t="s">
        <v>352</v>
      </c>
      <c r="O342" s="10" t="str" cm="1">
        <f t="array" ref="O342">_xlfn.IFS(N342="A","א'", N342="B", "ב'", N342= "C", "ג'")</f>
        <v>א'</v>
      </c>
      <c r="P342" s="10">
        <f>IF(Table_2[[#This Row],[Correct_Answer]]=Table_2[[#This Row],[System_Recommendation]],1,0)</f>
        <v>1</v>
      </c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6" t="s">
        <v>141</v>
      </c>
      <c r="B343" s="6">
        <v>12</v>
      </c>
      <c r="C343" s="6" t="s">
        <v>372</v>
      </c>
      <c r="D343" s="6">
        <v>2</v>
      </c>
      <c r="E343" s="6" t="s">
        <v>111</v>
      </c>
      <c r="F343" s="6" t="s">
        <v>373</v>
      </c>
      <c r="G343" s="6" t="s">
        <v>97</v>
      </c>
      <c r="H343" s="6" t="s">
        <v>147</v>
      </c>
      <c r="I343" s="6" t="s">
        <v>91</v>
      </c>
      <c r="J343" s="6" t="s">
        <v>371</v>
      </c>
      <c r="K343" s="6" t="s">
        <v>383</v>
      </c>
      <c r="L343" s="6" t="str">
        <f>IF(J343="כן", K343, VLOOKUP(LEFT(H343, 7), 'קטלוג תרחישים'!$A:$M, 13, FALSE))</f>
        <v>א'</v>
      </c>
      <c r="M343" s="10"/>
      <c r="N343" s="24" t="s">
        <v>352</v>
      </c>
      <c r="O343" s="10" t="str" cm="1">
        <f t="array" ref="O343">_xlfn.IFS(N343="A","א'", N343="B", "ב'", N343= "C", "ג'")</f>
        <v>א'</v>
      </c>
      <c r="P343" s="10">
        <f>IF(Table_2[[#This Row],[Correct_Answer]]=Table_2[[#This Row],[System_Recommendation]],1,0)</f>
        <v>1</v>
      </c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6" t="s">
        <v>141</v>
      </c>
      <c r="B344" s="6">
        <v>13</v>
      </c>
      <c r="C344" s="6" t="s">
        <v>372</v>
      </c>
      <c r="D344" s="6">
        <v>2</v>
      </c>
      <c r="E344" s="6" t="s">
        <v>111</v>
      </c>
      <c r="F344" s="6" t="s">
        <v>373</v>
      </c>
      <c r="G344" s="6" t="s">
        <v>97</v>
      </c>
      <c r="H344" s="6" t="s">
        <v>148</v>
      </c>
      <c r="I344" s="6" t="s">
        <v>100</v>
      </c>
      <c r="J344" s="6" t="s">
        <v>371</v>
      </c>
      <c r="K344" s="6" t="s">
        <v>384</v>
      </c>
      <c r="L344" s="6" t="str">
        <f>IF(J344="כן", K344, VLOOKUP(LEFT(H344, 7), 'קטלוג תרחישים'!$A:$M, 13, FALSE))</f>
        <v>ב'</v>
      </c>
      <c r="M344" s="10"/>
      <c r="N344" s="23" t="s">
        <v>357</v>
      </c>
      <c r="O344" s="10" t="str" cm="1">
        <f t="array" ref="O344">_xlfn.IFS(N344="A","א'", N344="B", "ב'", N344= "C", "ג'")</f>
        <v>ב'</v>
      </c>
      <c r="P344" s="10">
        <f>IF(Table_2[[#This Row],[Correct_Answer]]=Table_2[[#This Row],[System_Recommendation]],1,0)</f>
        <v>1</v>
      </c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6" t="s">
        <v>141</v>
      </c>
      <c r="B345" s="6">
        <v>14</v>
      </c>
      <c r="C345" s="6" t="s">
        <v>372</v>
      </c>
      <c r="D345" s="6">
        <v>2</v>
      </c>
      <c r="E345" s="6" t="s">
        <v>111</v>
      </c>
      <c r="F345" s="6" t="s">
        <v>373</v>
      </c>
      <c r="G345" s="6" t="s">
        <v>97</v>
      </c>
      <c r="H345" s="6" t="s">
        <v>149</v>
      </c>
      <c r="I345" s="6" t="s">
        <v>91</v>
      </c>
      <c r="J345" s="6" t="s">
        <v>371</v>
      </c>
      <c r="K345" s="6" t="s">
        <v>384</v>
      </c>
      <c r="L345" s="6" t="str">
        <f>IF(J345="כן", K345, VLOOKUP(LEFT(H345, 7), 'קטלוג תרחישים'!$A:$M, 13, FALSE))</f>
        <v>ב'</v>
      </c>
      <c r="M345" s="10"/>
      <c r="N345" s="24" t="s">
        <v>357</v>
      </c>
      <c r="O345" s="10" t="str" cm="1">
        <f t="array" ref="O345">_xlfn.IFS(N345="A","א'", N345="B", "ב'", N345= "C", "ג'")</f>
        <v>ב'</v>
      </c>
      <c r="P345" s="10">
        <f>IF(Table_2[[#This Row],[Correct_Answer]]=Table_2[[#This Row],[System_Recommendation]],1,0)</f>
        <v>1</v>
      </c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6" t="s">
        <v>141</v>
      </c>
      <c r="B346" s="6">
        <v>15</v>
      </c>
      <c r="C346" s="6" t="s">
        <v>372</v>
      </c>
      <c r="D346" s="6">
        <v>2</v>
      </c>
      <c r="E346" s="6" t="s">
        <v>111</v>
      </c>
      <c r="F346" s="6" t="s">
        <v>373</v>
      </c>
      <c r="G346" s="6" t="s">
        <v>97</v>
      </c>
      <c r="H346" s="6" t="s">
        <v>150</v>
      </c>
      <c r="I346" s="6" t="s">
        <v>100</v>
      </c>
      <c r="J346" s="6" t="s">
        <v>371</v>
      </c>
      <c r="K346" s="6" t="s">
        <v>385</v>
      </c>
      <c r="L346" s="6" t="str">
        <f>IF(J346="כן", K346, VLOOKUP(LEFT(H346, 7), 'קטלוג תרחישים'!$A:$M, 13, FALSE))</f>
        <v>ג</v>
      </c>
      <c r="M346" s="10"/>
      <c r="N346" s="23" t="s">
        <v>358</v>
      </c>
      <c r="O346" s="10" t="str" cm="1">
        <f t="array" ref="O346">_xlfn.IFS(N346="A","א'", N346="B", "ב'", N346= "C", "ג'")</f>
        <v>ג'</v>
      </c>
      <c r="P346" s="10">
        <f>IF(Table_2[[#This Row],[Correct_Answer]]=Table_2[[#This Row],[System_Recommendation]],1,0)</f>
        <v>1</v>
      </c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6" t="s">
        <v>141</v>
      </c>
      <c r="B347" s="6">
        <v>16</v>
      </c>
      <c r="C347" s="6" t="s">
        <v>372</v>
      </c>
      <c r="D347" s="6">
        <v>2</v>
      </c>
      <c r="E347" s="6" t="s">
        <v>111</v>
      </c>
      <c r="F347" s="6" t="s">
        <v>373</v>
      </c>
      <c r="G347" s="6" t="s">
        <v>97</v>
      </c>
      <c r="H347" s="6" t="s">
        <v>151</v>
      </c>
      <c r="I347" s="6" t="s">
        <v>91</v>
      </c>
      <c r="J347" s="6" t="s">
        <v>374</v>
      </c>
      <c r="K347" s="6" t="s">
        <v>384</v>
      </c>
      <c r="L347" s="6" t="str">
        <f>IF(J347="כן", K347, VLOOKUP(LEFT(H347, 7), 'קטלוג תרחישים'!$A:$M, 13, FALSE))</f>
        <v>ב'</v>
      </c>
      <c r="M347" s="10"/>
      <c r="N347" s="24" t="s">
        <v>357</v>
      </c>
      <c r="O347" s="10" t="str" cm="1">
        <f t="array" ref="O347">_xlfn.IFS(N347="A","א'", N347="B", "ב'", N347= "C", "ג'")</f>
        <v>ב'</v>
      </c>
      <c r="P347" s="10">
        <f>IF(Table_2[[#This Row],[Correct_Answer]]=Table_2[[#This Row],[System_Recommendation]],1,0)</f>
        <v>1</v>
      </c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6" t="s">
        <v>141</v>
      </c>
      <c r="B348" s="6">
        <v>17</v>
      </c>
      <c r="C348" s="6" t="s">
        <v>372</v>
      </c>
      <c r="D348" s="6">
        <v>3</v>
      </c>
      <c r="E348" s="6" t="s">
        <v>98</v>
      </c>
      <c r="F348" s="6" t="s">
        <v>373</v>
      </c>
      <c r="G348" s="6" t="s">
        <v>97</v>
      </c>
      <c r="H348" s="6" t="s">
        <v>152</v>
      </c>
      <c r="I348" s="6" t="s">
        <v>91</v>
      </c>
      <c r="J348" s="6" t="s">
        <v>371</v>
      </c>
      <c r="K348" s="6" t="s">
        <v>383</v>
      </c>
      <c r="L348" s="6" t="str">
        <f>IF(J348="כן", K348, VLOOKUP(LEFT(H348, 7), 'קטלוג תרחישים'!$A:$M, 13, FALSE))</f>
        <v>א'</v>
      </c>
      <c r="M348" s="10"/>
      <c r="N348" s="23" t="s">
        <v>352</v>
      </c>
      <c r="O348" s="10" t="str" cm="1">
        <f t="array" ref="O348">_xlfn.IFS(N348="A","א'", N348="B", "ב'", N348= "C", "ג'")</f>
        <v>א'</v>
      </c>
      <c r="P348" s="10">
        <f>IF(Table_2[[#This Row],[Correct_Answer]]=Table_2[[#This Row],[System_Recommendation]],1,0)</f>
        <v>1</v>
      </c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6" t="s">
        <v>141</v>
      </c>
      <c r="B349" s="6">
        <v>18</v>
      </c>
      <c r="C349" s="6" t="s">
        <v>372</v>
      </c>
      <c r="D349" s="6">
        <v>3</v>
      </c>
      <c r="E349" s="6" t="s">
        <v>98</v>
      </c>
      <c r="F349" s="6" t="s">
        <v>373</v>
      </c>
      <c r="G349" s="6" t="s">
        <v>97</v>
      </c>
      <c r="H349" s="6" t="s">
        <v>153</v>
      </c>
      <c r="I349" s="6" t="s">
        <v>100</v>
      </c>
      <c r="J349" s="6" t="s">
        <v>371</v>
      </c>
      <c r="K349" s="6" t="s">
        <v>385</v>
      </c>
      <c r="L349" s="6" t="str">
        <f>IF(J349="כן", K349, VLOOKUP(LEFT(H349, 7), 'קטלוג תרחישים'!$A:$M, 13, FALSE))</f>
        <v>ג</v>
      </c>
      <c r="M349" s="10"/>
      <c r="N349" s="24" t="s">
        <v>358</v>
      </c>
      <c r="O349" s="10" t="str" cm="1">
        <f t="array" ref="O349">_xlfn.IFS(N349="A","א'", N349="B", "ב'", N349= "C", "ג'")</f>
        <v>ג'</v>
      </c>
      <c r="P349" s="10">
        <f>IF(Table_2[[#This Row],[Correct_Answer]]=Table_2[[#This Row],[System_Recommendation]],1,0)</f>
        <v>1</v>
      </c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6" t="s">
        <v>141</v>
      </c>
      <c r="B350" s="6">
        <v>19</v>
      </c>
      <c r="C350" s="6" t="s">
        <v>372</v>
      </c>
      <c r="D350" s="6">
        <v>3</v>
      </c>
      <c r="E350" s="6" t="s">
        <v>98</v>
      </c>
      <c r="F350" s="6" t="s">
        <v>373</v>
      </c>
      <c r="G350" s="6" t="s">
        <v>97</v>
      </c>
      <c r="H350" s="6" t="s">
        <v>154</v>
      </c>
      <c r="I350" s="6" t="s">
        <v>91</v>
      </c>
      <c r="J350" s="6" t="s">
        <v>374</v>
      </c>
      <c r="K350" s="6" t="s">
        <v>384</v>
      </c>
      <c r="L350" s="6" t="str">
        <f>IF(J350="כן", K350, VLOOKUP(LEFT(H350, 7), 'קטלוג תרחישים'!$A:$M, 13, FALSE))</f>
        <v>ב'</v>
      </c>
      <c r="M350" s="10"/>
      <c r="N350" s="23" t="s">
        <v>357</v>
      </c>
      <c r="O350" s="10" t="str" cm="1">
        <f t="array" ref="O350">_xlfn.IFS(N350="A","א'", N350="B", "ב'", N350= "C", "ג'")</f>
        <v>ב'</v>
      </c>
      <c r="P350" s="10">
        <f>IF(Table_2[[#This Row],[Correct_Answer]]=Table_2[[#This Row],[System_Recommendation]],1,0)</f>
        <v>1</v>
      </c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6" t="s">
        <v>141</v>
      </c>
      <c r="B351" s="6">
        <v>20</v>
      </c>
      <c r="C351" s="6" t="s">
        <v>372</v>
      </c>
      <c r="D351" s="6">
        <v>3</v>
      </c>
      <c r="E351" s="6" t="s">
        <v>98</v>
      </c>
      <c r="F351" s="6" t="s">
        <v>373</v>
      </c>
      <c r="G351" s="6" t="s">
        <v>97</v>
      </c>
      <c r="H351" s="6" t="s">
        <v>155</v>
      </c>
      <c r="I351" s="6" t="s">
        <v>100</v>
      </c>
      <c r="J351" s="6" t="s">
        <v>371</v>
      </c>
      <c r="K351" s="6" t="s">
        <v>385</v>
      </c>
      <c r="L351" s="6" t="str">
        <f>IF(J351="כן", K351, VLOOKUP(LEFT(H351, 7), 'קטלוג תרחישים'!$A:$M, 13, FALSE))</f>
        <v>ג</v>
      </c>
      <c r="M351" s="10"/>
      <c r="N351" s="24" t="s">
        <v>358</v>
      </c>
      <c r="O351" s="10" t="str" cm="1">
        <f t="array" ref="O351">_xlfn.IFS(N351="A","א'", N351="B", "ב'", N351= "C", "ג'")</f>
        <v>ג'</v>
      </c>
      <c r="P351" s="10">
        <f>IF(Table_2[[#This Row],[Correct_Answer]]=Table_2[[#This Row],[System_Recommendation]],1,0)</f>
        <v>1</v>
      </c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6" t="s">
        <v>141</v>
      </c>
      <c r="B352" s="6">
        <v>21</v>
      </c>
      <c r="C352" s="6" t="s">
        <v>372</v>
      </c>
      <c r="D352" s="6">
        <v>3</v>
      </c>
      <c r="E352" s="6" t="s">
        <v>98</v>
      </c>
      <c r="F352" s="6" t="s">
        <v>373</v>
      </c>
      <c r="G352" s="6" t="s">
        <v>97</v>
      </c>
      <c r="H352" s="6" t="s">
        <v>156</v>
      </c>
      <c r="I352" s="6" t="s">
        <v>91</v>
      </c>
      <c r="J352" s="6" t="s">
        <v>371</v>
      </c>
      <c r="K352" s="6" t="s">
        <v>383</v>
      </c>
      <c r="L352" s="6" t="str">
        <f>IF(J352="כן", K352, VLOOKUP(LEFT(H352, 7), 'קטלוג תרחישים'!$A:$M, 13, FALSE))</f>
        <v>א'</v>
      </c>
      <c r="M352" s="10"/>
      <c r="N352" s="23" t="s">
        <v>352</v>
      </c>
      <c r="O352" s="10" t="str" cm="1">
        <f t="array" ref="O352">_xlfn.IFS(N352="A","א'", N352="B", "ב'", N352= "C", "ג'")</f>
        <v>א'</v>
      </c>
      <c r="P352" s="10">
        <f>IF(Table_2[[#This Row],[Correct_Answer]]=Table_2[[#This Row],[System_Recommendation]],1,0)</f>
        <v>1</v>
      </c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6" t="s">
        <v>141</v>
      </c>
      <c r="B353" s="6">
        <v>22</v>
      </c>
      <c r="C353" s="6" t="s">
        <v>372</v>
      </c>
      <c r="D353" s="6">
        <v>1</v>
      </c>
      <c r="E353" s="6" t="s">
        <v>111</v>
      </c>
      <c r="F353" s="6" t="s">
        <v>375</v>
      </c>
      <c r="G353" s="6" t="s">
        <v>117</v>
      </c>
      <c r="H353" s="6" t="s">
        <v>157</v>
      </c>
      <c r="I353" s="6" t="s">
        <v>91</v>
      </c>
      <c r="J353" s="6" t="s">
        <v>371</v>
      </c>
      <c r="K353" s="6" t="s">
        <v>385</v>
      </c>
      <c r="L353" s="6" t="str">
        <f>IF(J353="כן", K353, VLOOKUP(LEFT(H353, 7), 'קטלוג תרחישים'!$A:$M, 13, FALSE))</f>
        <v>ג</v>
      </c>
      <c r="M353" s="10"/>
      <c r="N353" s="24" t="s">
        <v>358</v>
      </c>
      <c r="O353" s="10" t="str" cm="1">
        <f t="array" ref="O353">_xlfn.IFS(N353="A","א'", N353="B", "ב'", N353= "C", "ג'")</f>
        <v>ג'</v>
      </c>
      <c r="P353" s="10">
        <f>IF(Table_2[[#This Row],[Correct_Answer]]=Table_2[[#This Row],[System_Recommendation]],1,0)</f>
        <v>1</v>
      </c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6" t="s">
        <v>141</v>
      </c>
      <c r="B354" s="6">
        <v>23</v>
      </c>
      <c r="C354" s="6" t="s">
        <v>372</v>
      </c>
      <c r="D354" s="6">
        <v>1</v>
      </c>
      <c r="E354" s="6" t="s">
        <v>111</v>
      </c>
      <c r="F354" s="6" t="s">
        <v>375</v>
      </c>
      <c r="G354" s="6" t="s">
        <v>117</v>
      </c>
      <c r="H354" s="6" t="s">
        <v>158</v>
      </c>
      <c r="I354" s="6" t="s">
        <v>100</v>
      </c>
      <c r="J354" s="6" t="s">
        <v>374</v>
      </c>
      <c r="K354" s="6" t="s">
        <v>385</v>
      </c>
      <c r="L354" s="6" t="str">
        <f>IF(J354="כן", K354, VLOOKUP(LEFT(H354, 7), 'קטלוג תרחישים'!$A:$M, 13, FALSE))</f>
        <v>ב'</v>
      </c>
      <c r="M354" s="10"/>
      <c r="N354" s="23" t="s">
        <v>358</v>
      </c>
      <c r="O354" s="10" t="str" cm="1">
        <f t="array" ref="O354">_xlfn.IFS(N354="A","א'", N354="B", "ב'", N354= "C", "ג'")</f>
        <v>ג'</v>
      </c>
      <c r="P354" s="10">
        <f>IF(Table_2[[#This Row],[Correct_Answer]]=Table_2[[#This Row],[System_Recommendation]],1,0)</f>
        <v>0</v>
      </c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6" t="s">
        <v>141</v>
      </c>
      <c r="B355" s="6">
        <v>24</v>
      </c>
      <c r="C355" s="6" t="s">
        <v>372</v>
      </c>
      <c r="D355" s="6">
        <v>1</v>
      </c>
      <c r="E355" s="6" t="s">
        <v>111</v>
      </c>
      <c r="F355" s="6" t="s">
        <v>375</v>
      </c>
      <c r="G355" s="6" t="s">
        <v>117</v>
      </c>
      <c r="H355" s="6" t="s">
        <v>159</v>
      </c>
      <c r="I355" s="6" t="s">
        <v>91</v>
      </c>
      <c r="J355" s="6" t="s">
        <v>374</v>
      </c>
      <c r="K355" s="6" t="s">
        <v>384</v>
      </c>
      <c r="L355" s="6" t="str">
        <f>IF(J355="כן", K355, VLOOKUP(LEFT(H355, 7), 'קטלוג תרחישים'!$A:$M, 13, FALSE))</f>
        <v>ב'</v>
      </c>
      <c r="M355" s="10"/>
      <c r="N355" s="24" t="s">
        <v>357</v>
      </c>
      <c r="O355" s="10" t="str" cm="1">
        <f t="array" ref="O355">_xlfn.IFS(N355="A","א'", N355="B", "ב'", N355= "C", "ג'")</f>
        <v>ב'</v>
      </c>
      <c r="P355" s="10">
        <f>IF(Table_2[[#This Row],[Correct_Answer]]=Table_2[[#This Row],[System_Recommendation]],1,0)</f>
        <v>1</v>
      </c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6" t="s">
        <v>141</v>
      </c>
      <c r="B356" s="6">
        <v>25</v>
      </c>
      <c r="C356" s="6" t="s">
        <v>372</v>
      </c>
      <c r="D356" s="6">
        <v>1</v>
      </c>
      <c r="E356" s="6" t="s">
        <v>111</v>
      </c>
      <c r="F356" s="6" t="s">
        <v>375</v>
      </c>
      <c r="G356" s="6" t="s">
        <v>117</v>
      </c>
      <c r="H356" s="6" t="s">
        <v>160</v>
      </c>
      <c r="I356" s="6" t="s">
        <v>100</v>
      </c>
      <c r="J356" s="6" t="s">
        <v>371</v>
      </c>
      <c r="K356" s="6" t="s">
        <v>383</v>
      </c>
      <c r="L356" s="6" t="str">
        <f>IF(J356="כן", K356, VLOOKUP(LEFT(H356, 7), 'קטלוג תרחישים'!$A:$M, 13, FALSE))</f>
        <v>א'</v>
      </c>
      <c r="M356" s="10"/>
      <c r="N356" s="23" t="s">
        <v>352</v>
      </c>
      <c r="O356" s="10" t="str" cm="1">
        <f t="array" ref="O356">_xlfn.IFS(N356="A","א'", N356="B", "ב'", N356= "C", "ג'")</f>
        <v>א'</v>
      </c>
      <c r="P356" s="10">
        <f>IF(Table_2[[#This Row],[Correct_Answer]]=Table_2[[#This Row],[System_Recommendation]],1,0)</f>
        <v>1</v>
      </c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6" t="s">
        <v>141</v>
      </c>
      <c r="B357" s="6">
        <v>26</v>
      </c>
      <c r="C357" s="6" t="s">
        <v>372</v>
      </c>
      <c r="D357" s="6">
        <v>2</v>
      </c>
      <c r="E357" s="6" t="s">
        <v>98</v>
      </c>
      <c r="F357" s="6" t="s">
        <v>375</v>
      </c>
      <c r="G357" s="6" t="s">
        <v>117</v>
      </c>
      <c r="H357" s="6" t="s">
        <v>161</v>
      </c>
      <c r="I357" s="6" t="s">
        <v>91</v>
      </c>
      <c r="J357" s="6" t="s">
        <v>374</v>
      </c>
      <c r="K357" s="6" t="s">
        <v>385</v>
      </c>
      <c r="L357" s="6" t="str">
        <f>IF(J357="כן", K357, VLOOKUP(LEFT(H357, 7), 'קטלוג תרחישים'!$A:$M, 13, FALSE))</f>
        <v>א'</v>
      </c>
      <c r="M357" s="10"/>
      <c r="N357" s="24" t="s">
        <v>358</v>
      </c>
      <c r="O357" s="10" t="str" cm="1">
        <f t="array" ref="O357">_xlfn.IFS(N357="A","א'", N357="B", "ב'", N357= "C", "ג'")</f>
        <v>ג'</v>
      </c>
      <c r="P357" s="10">
        <f>IF(Table_2[[#This Row],[Correct_Answer]]=Table_2[[#This Row],[System_Recommendation]],1,0)</f>
        <v>0</v>
      </c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6" t="s">
        <v>141</v>
      </c>
      <c r="B358" s="6">
        <v>27</v>
      </c>
      <c r="C358" s="6" t="s">
        <v>372</v>
      </c>
      <c r="D358" s="6">
        <v>2</v>
      </c>
      <c r="E358" s="6" t="s">
        <v>98</v>
      </c>
      <c r="F358" s="6" t="s">
        <v>375</v>
      </c>
      <c r="G358" s="6" t="s">
        <v>117</v>
      </c>
      <c r="H358" s="6" t="s">
        <v>162</v>
      </c>
      <c r="I358" s="6" t="s">
        <v>100</v>
      </c>
      <c r="J358" s="6" t="s">
        <v>371</v>
      </c>
      <c r="K358" s="6" t="s">
        <v>384</v>
      </c>
      <c r="L358" s="6" t="str">
        <f>IF(J358="כן", K358, VLOOKUP(LEFT(H358, 7), 'קטלוג תרחישים'!$A:$M, 13, FALSE))</f>
        <v>ב'</v>
      </c>
      <c r="M358" s="10"/>
      <c r="N358" s="23" t="s">
        <v>357</v>
      </c>
      <c r="O358" s="10" t="str" cm="1">
        <f t="array" ref="O358">_xlfn.IFS(N358="A","א'", N358="B", "ב'", N358= "C", "ג'")</f>
        <v>ב'</v>
      </c>
      <c r="P358" s="10">
        <f>IF(Table_2[[#This Row],[Correct_Answer]]=Table_2[[#This Row],[System_Recommendation]],1,0)</f>
        <v>1</v>
      </c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6" t="s">
        <v>141</v>
      </c>
      <c r="B359" s="6">
        <v>28</v>
      </c>
      <c r="C359" s="6" t="s">
        <v>372</v>
      </c>
      <c r="D359" s="6">
        <v>2</v>
      </c>
      <c r="E359" s="6" t="s">
        <v>98</v>
      </c>
      <c r="F359" s="6" t="s">
        <v>375</v>
      </c>
      <c r="G359" s="6" t="s">
        <v>117</v>
      </c>
      <c r="H359" s="6" t="s">
        <v>163</v>
      </c>
      <c r="I359" s="6" t="s">
        <v>91</v>
      </c>
      <c r="J359" s="6" t="s">
        <v>371</v>
      </c>
      <c r="K359" s="6" t="s">
        <v>385</v>
      </c>
      <c r="L359" s="6" t="str">
        <f>IF(J359="כן", K359, VLOOKUP(LEFT(H359, 7), 'קטלוג תרחישים'!$A:$M, 13, FALSE))</f>
        <v>ג</v>
      </c>
      <c r="M359" s="10"/>
      <c r="N359" s="24" t="s">
        <v>358</v>
      </c>
      <c r="O359" s="10" t="str" cm="1">
        <f t="array" ref="O359">_xlfn.IFS(N359="A","א'", N359="B", "ב'", N359= "C", "ג'")</f>
        <v>ג'</v>
      </c>
      <c r="P359" s="10">
        <f>IF(Table_2[[#This Row],[Correct_Answer]]=Table_2[[#This Row],[System_Recommendation]],1,0)</f>
        <v>1</v>
      </c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6" t="s">
        <v>141</v>
      </c>
      <c r="B360" s="6">
        <v>29</v>
      </c>
      <c r="C360" s="6" t="s">
        <v>372</v>
      </c>
      <c r="D360" s="6">
        <v>2</v>
      </c>
      <c r="E360" s="6" t="s">
        <v>98</v>
      </c>
      <c r="F360" s="6" t="s">
        <v>375</v>
      </c>
      <c r="G360" s="6" t="s">
        <v>117</v>
      </c>
      <c r="H360" s="6" t="s">
        <v>164</v>
      </c>
      <c r="I360" s="6" t="s">
        <v>100</v>
      </c>
      <c r="J360" s="6" t="s">
        <v>374</v>
      </c>
      <c r="K360" s="6" t="s">
        <v>385</v>
      </c>
      <c r="L360" s="6" t="str">
        <f>IF(J360="כן", K360, VLOOKUP(LEFT(H360, 7), 'קטלוג תרחישים'!$A:$M, 13, FALSE))</f>
        <v>א'</v>
      </c>
      <c r="M360" s="10"/>
      <c r="N360" s="23" t="s">
        <v>358</v>
      </c>
      <c r="O360" s="10" t="str" cm="1">
        <f t="array" ref="O360">_xlfn.IFS(N360="A","א'", N360="B", "ב'", N360= "C", "ג'")</f>
        <v>ג'</v>
      </c>
      <c r="P360" s="10">
        <f>IF(Table_2[[#This Row],[Correct_Answer]]=Table_2[[#This Row],[System_Recommendation]],1,0)</f>
        <v>0</v>
      </c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6" t="s">
        <v>141</v>
      </c>
      <c r="B361" s="6">
        <v>30</v>
      </c>
      <c r="C361" s="6" t="s">
        <v>372</v>
      </c>
      <c r="D361" s="6">
        <v>3</v>
      </c>
      <c r="E361" s="6" t="s">
        <v>105</v>
      </c>
      <c r="F361" s="6" t="s">
        <v>375</v>
      </c>
      <c r="G361" s="6" t="s">
        <v>117</v>
      </c>
      <c r="H361" s="6" t="s">
        <v>165</v>
      </c>
      <c r="I361" s="6" t="s">
        <v>91</v>
      </c>
      <c r="J361" s="6" t="s">
        <v>371</v>
      </c>
      <c r="K361" s="6" t="s">
        <v>384</v>
      </c>
      <c r="L361" s="6" t="str">
        <f>IF(J361="כן", K361, VLOOKUP(LEFT(H361, 7), 'קטלוג תרחישים'!$A:$M, 13, FALSE))</f>
        <v>ב'</v>
      </c>
      <c r="M361" s="10"/>
      <c r="N361" s="24" t="s">
        <v>357</v>
      </c>
      <c r="O361" s="10" t="str" cm="1">
        <f t="array" ref="O361">_xlfn.IFS(N361="A","א'", N361="B", "ב'", N361= "C", "ג'")</f>
        <v>ב'</v>
      </c>
      <c r="P361" s="10">
        <f>IF(Table_2[[#This Row],[Correct_Answer]]=Table_2[[#This Row],[System_Recommendation]],1,0)</f>
        <v>1</v>
      </c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6" t="s">
        <v>141</v>
      </c>
      <c r="B362" s="6">
        <v>31</v>
      </c>
      <c r="C362" s="6" t="s">
        <v>372</v>
      </c>
      <c r="D362" s="6">
        <v>3</v>
      </c>
      <c r="E362" s="6" t="s">
        <v>105</v>
      </c>
      <c r="F362" s="6" t="s">
        <v>375</v>
      </c>
      <c r="G362" s="6" t="s">
        <v>117</v>
      </c>
      <c r="H362" s="6" t="s">
        <v>166</v>
      </c>
      <c r="I362" s="6" t="s">
        <v>100</v>
      </c>
      <c r="J362" s="6" t="s">
        <v>371</v>
      </c>
      <c r="K362" s="6" t="s">
        <v>385</v>
      </c>
      <c r="L362" s="6" t="str">
        <f>IF(J362="כן", K362, VLOOKUP(LEFT(H362, 7), 'קטלוג תרחישים'!$A:$M, 13, FALSE))</f>
        <v>ג</v>
      </c>
      <c r="M362" s="10"/>
      <c r="N362" s="23" t="s">
        <v>358</v>
      </c>
      <c r="O362" s="10" t="str" cm="1">
        <f t="array" ref="O362">_xlfn.IFS(N362="A","א'", N362="B", "ב'", N362= "C", "ג'")</f>
        <v>ג'</v>
      </c>
      <c r="P362" s="10">
        <f>IF(Table_2[[#This Row],[Correct_Answer]]=Table_2[[#This Row],[System_Recommendation]],1,0)</f>
        <v>1</v>
      </c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6" t="s">
        <v>141</v>
      </c>
      <c r="B363" s="6">
        <v>32</v>
      </c>
      <c r="C363" s="6" t="s">
        <v>372</v>
      </c>
      <c r="D363" s="6">
        <v>3</v>
      </c>
      <c r="E363" s="6" t="s">
        <v>105</v>
      </c>
      <c r="F363" s="6" t="s">
        <v>375</v>
      </c>
      <c r="G363" s="6" t="s">
        <v>117</v>
      </c>
      <c r="H363" s="6" t="s">
        <v>167</v>
      </c>
      <c r="I363" s="6" t="s">
        <v>91</v>
      </c>
      <c r="J363" s="6" t="s">
        <v>374</v>
      </c>
      <c r="K363" s="6" t="s">
        <v>383</v>
      </c>
      <c r="L363" s="6" t="str">
        <f>IF(J363="כן", K363, VLOOKUP(LEFT(H363, 7), 'קטלוג תרחישים'!$A:$M, 13, FALSE))</f>
        <v>ג'</v>
      </c>
      <c r="M363" s="10"/>
      <c r="N363" s="24" t="s">
        <v>352</v>
      </c>
      <c r="O363" s="10" t="str" cm="1">
        <f t="array" ref="O363">_xlfn.IFS(N363="A","א'", N363="B", "ב'", N363= "C", "ג'")</f>
        <v>א'</v>
      </c>
      <c r="P363" s="10">
        <f>IF(Table_2[[#This Row],[Correct_Answer]]=Table_2[[#This Row],[System_Recommendation]],1,0)</f>
        <v>0</v>
      </c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6" t="s">
        <v>141</v>
      </c>
      <c r="B364" s="6">
        <v>33</v>
      </c>
      <c r="C364" s="6" t="s">
        <v>372</v>
      </c>
      <c r="D364" s="6">
        <v>3</v>
      </c>
      <c r="E364" s="6" t="s">
        <v>105</v>
      </c>
      <c r="F364" s="6" t="s">
        <v>375</v>
      </c>
      <c r="G364" s="6" t="s">
        <v>117</v>
      </c>
      <c r="H364" s="6" t="s">
        <v>168</v>
      </c>
      <c r="I364" s="6" t="s">
        <v>100</v>
      </c>
      <c r="J364" s="6" t="s">
        <v>374</v>
      </c>
      <c r="K364" s="6" t="s">
        <v>383</v>
      </c>
      <c r="L364" s="6" t="str">
        <f>IF(J364="כן", K364, VLOOKUP(LEFT(H364, 7), 'קטלוג תרחישים'!$A:$M, 13, FALSE))</f>
        <v>ב'</v>
      </c>
      <c r="M364" s="10"/>
      <c r="N364" s="23" t="s">
        <v>352</v>
      </c>
      <c r="O364" s="10" t="str" cm="1">
        <f t="array" ref="O364">_xlfn.IFS(N364="A","א'", N364="B", "ב'", N364= "C", "ג'")</f>
        <v>א'</v>
      </c>
      <c r="P364" s="10">
        <f>IF(Table_2[[#This Row],[Correct_Answer]]=Table_2[[#This Row],[System_Recommendation]],1,0)</f>
        <v>0</v>
      </c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6" t="s">
        <v>169</v>
      </c>
      <c r="B365" s="6">
        <v>1</v>
      </c>
      <c r="C365" s="6" t="s">
        <v>370</v>
      </c>
      <c r="D365" s="6"/>
      <c r="E365" s="6" t="s">
        <v>98</v>
      </c>
      <c r="F365" s="6"/>
      <c r="G365" s="6"/>
      <c r="H365" s="8" t="s">
        <v>90</v>
      </c>
      <c r="I365" s="6" t="s">
        <v>91</v>
      </c>
      <c r="J365" s="6" t="s">
        <v>371</v>
      </c>
      <c r="K365" s="6" t="s">
        <v>385</v>
      </c>
      <c r="L365" s="6" t="str">
        <f>IF(J365="כן", K365, VLOOKUP(LEFT(H365, 7), 'קטלוג תרחישים'!$A:$M, 13, FALSE))</f>
        <v>ג</v>
      </c>
      <c r="M365" s="10"/>
      <c r="N365" s="24" t="s">
        <v>358</v>
      </c>
      <c r="O365" s="10" t="str" cm="1">
        <f t="array" ref="O365">_xlfn.IFS(N365="A","א'", N365="B", "ב'", N365= "C", "ג'")</f>
        <v>ג'</v>
      </c>
      <c r="P365" s="10">
        <f>IF(Table_2[[#This Row],[Correct_Answer]]=Table_2[[#This Row],[System_Recommendation]],1,0)</f>
        <v>1</v>
      </c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6" t="s">
        <v>169</v>
      </c>
      <c r="B366" s="6">
        <v>2</v>
      </c>
      <c r="C366" s="6" t="s">
        <v>370</v>
      </c>
      <c r="D366" s="6"/>
      <c r="E366" s="6" t="s">
        <v>98</v>
      </c>
      <c r="F366" s="6"/>
      <c r="G366" s="6"/>
      <c r="H366" s="8" t="s">
        <v>92</v>
      </c>
      <c r="I366" s="6" t="s">
        <v>91</v>
      </c>
      <c r="J366" s="6" t="s">
        <v>371</v>
      </c>
      <c r="K366" s="6" t="s">
        <v>385</v>
      </c>
      <c r="L366" s="6" t="str">
        <f>IF(J366="כן", K366, VLOOKUP(LEFT(H366, 7), 'קטלוג תרחישים'!$A:$M, 13, FALSE))</f>
        <v>ג</v>
      </c>
      <c r="M366" s="10"/>
      <c r="N366" s="23" t="s">
        <v>358</v>
      </c>
      <c r="O366" s="10" t="str" cm="1">
        <f t="array" ref="O366">_xlfn.IFS(N366="A","א'", N366="B", "ב'", N366= "C", "ג'")</f>
        <v>ג'</v>
      </c>
      <c r="P366" s="10">
        <f>IF(Table_2[[#This Row],[Correct_Answer]]=Table_2[[#This Row],[System_Recommendation]],1,0)</f>
        <v>1</v>
      </c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6" t="s">
        <v>169</v>
      </c>
      <c r="B367" s="6">
        <v>3</v>
      </c>
      <c r="C367" s="6" t="s">
        <v>370</v>
      </c>
      <c r="D367" s="6"/>
      <c r="E367" s="6" t="s">
        <v>105</v>
      </c>
      <c r="F367" s="6"/>
      <c r="G367" s="6"/>
      <c r="H367" s="8" t="s">
        <v>93</v>
      </c>
      <c r="I367" s="6" t="s">
        <v>91</v>
      </c>
      <c r="J367" s="6" t="s">
        <v>371</v>
      </c>
      <c r="K367" s="6" t="s">
        <v>385</v>
      </c>
      <c r="L367" s="6" t="str">
        <f>IF(J367="כן", K367, VLOOKUP(LEFT(H367, 7), 'קטלוג תרחישים'!$A:$M, 13, FALSE))</f>
        <v>ג</v>
      </c>
      <c r="M367" s="10"/>
      <c r="N367" s="24" t="s">
        <v>358</v>
      </c>
      <c r="O367" s="10" t="str" cm="1">
        <f t="array" ref="O367">_xlfn.IFS(N367="A","א'", N367="B", "ב'", N367= "C", "ג'")</f>
        <v>ג'</v>
      </c>
      <c r="P367" s="10">
        <f>IF(Table_2[[#This Row],[Correct_Answer]]=Table_2[[#This Row],[System_Recommendation]],1,0)</f>
        <v>1</v>
      </c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6" t="s">
        <v>169</v>
      </c>
      <c r="B368" s="6">
        <v>4</v>
      </c>
      <c r="C368" s="6" t="s">
        <v>370</v>
      </c>
      <c r="D368" s="6"/>
      <c r="E368" s="6" t="s">
        <v>105</v>
      </c>
      <c r="F368" s="6"/>
      <c r="G368" s="6"/>
      <c r="H368" s="8" t="s">
        <v>94</v>
      </c>
      <c r="I368" s="6" t="s">
        <v>91</v>
      </c>
      <c r="J368" s="6" t="s">
        <v>371</v>
      </c>
      <c r="K368" s="6" t="s">
        <v>384</v>
      </c>
      <c r="L368" s="6" t="str">
        <f>IF(J368="כן", K368, VLOOKUP(LEFT(H368, 7), 'קטלוג תרחישים'!$A:$M, 13, FALSE))</f>
        <v>ב'</v>
      </c>
      <c r="M368" s="10"/>
      <c r="N368" s="23" t="s">
        <v>357</v>
      </c>
      <c r="O368" s="10" t="str" cm="1">
        <f t="array" ref="O368">_xlfn.IFS(N368="A","א'", N368="B", "ב'", N368= "C", "ג'")</f>
        <v>ב'</v>
      </c>
      <c r="P368" s="10">
        <f>IF(Table_2[[#This Row],[Correct_Answer]]=Table_2[[#This Row],[System_Recommendation]],1,0)</f>
        <v>1</v>
      </c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6" t="s">
        <v>169</v>
      </c>
      <c r="B369" s="6">
        <v>5</v>
      </c>
      <c r="C369" s="6" t="s">
        <v>370</v>
      </c>
      <c r="D369" s="6"/>
      <c r="E369" s="6" t="s">
        <v>111</v>
      </c>
      <c r="F369" s="6"/>
      <c r="G369" s="6"/>
      <c r="H369" s="8" t="s">
        <v>95</v>
      </c>
      <c r="I369" s="6" t="s">
        <v>91</v>
      </c>
      <c r="J369" s="6" t="s">
        <v>371</v>
      </c>
      <c r="K369" s="6" t="s">
        <v>383</v>
      </c>
      <c r="L369" s="6" t="str">
        <f>IF(J369="כן", K369, VLOOKUP(LEFT(H369, 7), 'קטלוג תרחישים'!$A:$M, 13, FALSE))</f>
        <v>א'</v>
      </c>
      <c r="M369" s="10"/>
      <c r="N369" s="24" t="s">
        <v>352</v>
      </c>
      <c r="O369" s="10" t="str" cm="1">
        <f t="array" ref="O369">_xlfn.IFS(N369="A","א'", N369="B", "ב'", N369= "C", "ג'")</f>
        <v>א'</v>
      </c>
      <c r="P369" s="10">
        <f>IF(Table_2[[#This Row],[Correct_Answer]]=Table_2[[#This Row],[System_Recommendation]],1,0)</f>
        <v>1</v>
      </c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6" t="s">
        <v>169</v>
      </c>
      <c r="B370" s="6">
        <v>6</v>
      </c>
      <c r="C370" s="6" t="s">
        <v>370</v>
      </c>
      <c r="D370" s="6"/>
      <c r="E370" s="6" t="s">
        <v>111</v>
      </c>
      <c r="F370" s="6"/>
      <c r="G370" s="6"/>
      <c r="H370" s="8" t="s">
        <v>96</v>
      </c>
      <c r="I370" s="6" t="s">
        <v>91</v>
      </c>
      <c r="J370" s="6" t="s">
        <v>371</v>
      </c>
      <c r="K370" s="6" t="s">
        <v>385</v>
      </c>
      <c r="L370" s="6" t="str">
        <f>IF(J370="כן", K370, VLOOKUP(LEFT(H370, 7), 'קטלוג תרחישים'!$A:$M, 13, FALSE))</f>
        <v>ג</v>
      </c>
      <c r="M370" s="10"/>
      <c r="N370" s="23" t="s">
        <v>358</v>
      </c>
      <c r="O370" s="10" t="str" cm="1">
        <f t="array" ref="O370">_xlfn.IFS(N370="A","א'", N370="B", "ב'", N370= "C", "ג'")</f>
        <v>ג'</v>
      </c>
      <c r="P370" s="10">
        <f>IF(Table_2[[#This Row],[Correct_Answer]]=Table_2[[#This Row],[System_Recommendation]],1,0)</f>
        <v>1</v>
      </c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6" t="s">
        <v>169</v>
      </c>
      <c r="B371" s="6">
        <v>7</v>
      </c>
      <c r="C371" s="6" t="s">
        <v>372</v>
      </c>
      <c r="D371" s="6">
        <v>1</v>
      </c>
      <c r="E371" s="6" t="s">
        <v>98</v>
      </c>
      <c r="F371" s="6" t="s">
        <v>373</v>
      </c>
      <c r="G371" s="6" t="s">
        <v>117</v>
      </c>
      <c r="H371" s="6" t="s">
        <v>163</v>
      </c>
      <c r="I371" s="6" t="s">
        <v>91</v>
      </c>
      <c r="J371" s="6" t="s">
        <v>374</v>
      </c>
      <c r="K371" s="6" t="s">
        <v>385</v>
      </c>
      <c r="L371" s="6" t="str">
        <f>IF(J371="כן", K371, VLOOKUP(LEFT(H371, 7), 'קטלוג תרחישים'!$A:$M, 13, FALSE))</f>
        <v>א'</v>
      </c>
      <c r="M371" s="10"/>
      <c r="N371" s="24" t="s">
        <v>358</v>
      </c>
      <c r="O371" s="10" t="str" cm="1">
        <f t="array" ref="O371">_xlfn.IFS(N371="A","א'", N371="B", "ב'", N371= "C", "ג'")</f>
        <v>ג'</v>
      </c>
      <c r="P371" s="10">
        <f>IF(Table_2[[#This Row],[Correct_Answer]]=Table_2[[#This Row],[System_Recommendation]],1,0)</f>
        <v>0</v>
      </c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6" t="s">
        <v>169</v>
      </c>
      <c r="B372" s="6">
        <v>8</v>
      </c>
      <c r="C372" s="6" t="s">
        <v>372</v>
      </c>
      <c r="D372" s="6">
        <v>1</v>
      </c>
      <c r="E372" s="6" t="s">
        <v>98</v>
      </c>
      <c r="F372" s="6" t="s">
        <v>373</v>
      </c>
      <c r="G372" s="6" t="s">
        <v>117</v>
      </c>
      <c r="H372" s="6" t="s">
        <v>162</v>
      </c>
      <c r="I372" s="6" t="s">
        <v>100</v>
      </c>
      <c r="J372" s="6" t="s">
        <v>371</v>
      </c>
      <c r="K372" s="6" t="s">
        <v>384</v>
      </c>
      <c r="L372" s="6" t="str">
        <f>IF(J372="כן", K372, VLOOKUP(LEFT(H372, 7), 'קטלוג תרחישים'!$A:$M, 13, FALSE))</f>
        <v>ב'</v>
      </c>
      <c r="M372" s="10"/>
      <c r="N372" s="23" t="s">
        <v>357</v>
      </c>
      <c r="O372" s="10" t="str" cm="1">
        <f t="array" ref="O372">_xlfn.IFS(N372="A","א'", N372="B", "ב'", N372= "C", "ג'")</f>
        <v>ב'</v>
      </c>
      <c r="P372" s="10">
        <f>IF(Table_2[[#This Row],[Correct_Answer]]=Table_2[[#This Row],[System_Recommendation]],1,0)</f>
        <v>1</v>
      </c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6" t="s">
        <v>169</v>
      </c>
      <c r="B373" s="6">
        <v>9</v>
      </c>
      <c r="C373" s="6" t="s">
        <v>372</v>
      </c>
      <c r="D373" s="6">
        <v>1</v>
      </c>
      <c r="E373" s="6" t="s">
        <v>98</v>
      </c>
      <c r="F373" s="6" t="s">
        <v>373</v>
      </c>
      <c r="G373" s="6" t="s">
        <v>117</v>
      </c>
      <c r="H373" s="6" t="s">
        <v>161</v>
      </c>
      <c r="I373" s="6" t="s">
        <v>91</v>
      </c>
      <c r="J373" s="6" t="s">
        <v>371</v>
      </c>
      <c r="K373" s="6" t="s">
        <v>384</v>
      </c>
      <c r="L373" s="6" t="str">
        <f>IF(J373="כן", K373, VLOOKUP(LEFT(H373, 7), 'קטלוג תרחישים'!$A:$M, 13, FALSE))</f>
        <v>ב'</v>
      </c>
      <c r="M373" s="10"/>
      <c r="N373" s="24" t="s">
        <v>357</v>
      </c>
      <c r="O373" s="10" t="str" cm="1">
        <f t="array" ref="O373">_xlfn.IFS(N373="A","א'", N373="B", "ב'", N373= "C", "ג'")</f>
        <v>ב'</v>
      </c>
      <c r="P373" s="10">
        <f>IF(Table_2[[#This Row],[Correct_Answer]]=Table_2[[#This Row],[System_Recommendation]],1,0)</f>
        <v>1</v>
      </c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6" t="s">
        <v>169</v>
      </c>
      <c r="B374" s="6">
        <v>10</v>
      </c>
      <c r="C374" s="6" t="s">
        <v>372</v>
      </c>
      <c r="D374" s="6">
        <v>1</v>
      </c>
      <c r="E374" s="6" t="s">
        <v>98</v>
      </c>
      <c r="F374" s="6" t="s">
        <v>373</v>
      </c>
      <c r="G374" s="6" t="s">
        <v>117</v>
      </c>
      <c r="H374" s="6" t="s">
        <v>164</v>
      </c>
      <c r="I374" s="6" t="s">
        <v>100</v>
      </c>
      <c r="J374" s="6" t="s">
        <v>374</v>
      </c>
      <c r="K374" s="6" t="s">
        <v>384</v>
      </c>
      <c r="L374" s="6" t="str">
        <f>IF(J374="כן", K374, VLOOKUP(LEFT(H374, 7), 'קטלוג תרחישים'!$A:$M, 13, FALSE))</f>
        <v>א'</v>
      </c>
      <c r="M374" s="10"/>
      <c r="N374" s="23" t="s">
        <v>357</v>
      </c>
      <c r="O374" s="10" t="str" cm="1">
        <f t="array" ref="O374">_xlfn.IFS(N374="A","א'", N374="B", "ב'", N374= "C", "ג'")</f>
        <v>ב'</v>
      </c>
      <c r="P374" s="10">
        <f>IF(Table_2[[#This Row],[Correct_Answer]]=Table_2[[#This Row],[System_Recommendation]],1,0)</f>
        <v>0</v>
      </c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6" t="s">
        <v>169</v>
      </c>
      <c r="B375" s="6">
        <v>11</v>
      </c>
      <c r="C375" s="6" t="s">
        <v>372</v>
      </c>
      <c r="D375" s="6">
        <v>2</v>
      </c>
      <c r="E375" s="6" t="s">
        <v>105</v>
      </c>
      <c r="F375" s="6" t="s">
        <v>373</v>
      </c>
      <c r="G375" s="6" t="s">
        <v>117</v>
      </c>
      <c r="H375" s="6" t="s">
        <v>167</v>
      </c>
      <c r="I375" s="6" t="s">
        <v>91</v>
      </c>
      <c r="J375" s="6" t="s">
        <v>371</v>
      </c>
      <c r="K375" s="6" t="s">
        <v>383</v>
      </c>
      <c r="L375" s="6" t="str">
        <f>IF(J375="כן", K375, VLOOKUP(LEFT(H375, 7), 'קטלוג תרחישים'!$A:$M, 13, FALSE))</f>
        <v>א'</v>
      </c>
      <c r="M375" s="10"/>
      <c r="N375" s="24" t="s">
        <v>352</v>
      </c>
      <c r="O375" s="10" t="str" cm="1">
        <f t="array" ref="O375">_xlfn.IFS(N375="A","א'", N375="B", "ב'", N375= "C", "ג'")</f>
        <v>א'</v>
      </c>
      <c r="P375" s="10">
        <f>IF(Table_2[[#This Row],[Correct_Answer]]=Table_2[[#This Row],[System_Recommendation]],1,0)</f>
        <v>1</v>
      </c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6" t="s">
        <v>169</v>
      </c>
      <c r="B376" s="6">
        <v>12</v>
      </c>
      <c r="C376" s="6" t="s">
        <v>372</v>
      </c>
      <c r="D376" s="6">
        <v>2</v>
      </c>
      <c r="E376" s="6" t="s">
        <v>105</v>
      </c>
      <c r="F376" s="6" t="s">
        <v>373</v>
      </c>
      <c r="G376" s="6" t="s">
        <v>117</v>
      </c>
      <c r="H376" s="6" t="s">
        <v>168</v>
      </c>
      <c r="I376" s="6" t="s">
        <v>100</v>
      </c>
      <c r="J376" s="6" t="s">
        <v>374</v>
      </c>
      <c r="K376" s="6" t="s">
        <v>383</v>
      </c>
      <c r="L376" s="6" t="str">
        <f>IF(J376="כן", K376, VLOOKUP(LEFT(H376, 7), 'קטלוג תרחישים'!$A:$M, 13, FALSE))</f>
        <v>ב'</v>
      </c>
      <c r="M376" s="10"/>
      <c r="N376" s="23" t="s">
        <v>352</v>
      </c>
      <c r="O376" s="10" t="str" cm="1">
        <f t="array" ref="O376">_xlfn.IFS(N376="A","א'", N376="B", "ב'", N376= "C", "ג'")</f>
        <v>א'</v>
      </c>
      <c r="P376" s="10">
        <f>IF(Table_2[[#This Row],[Correct_Answer]]=Table_2[[#This Row],[System_Recommendation]],1,0)</f>
        <v>0</v>
      </c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6" t="s">
        <v>169</v>
      </c>
      <c r="B377" s="6">
        <v>13</v>
      </c>
      <c r="C377" s="6" t="s">
        <v>372</v>
      </c>
      <c r="D377" s="6">
        <v>2</v>
      </c>
      <c r="E377" s="6" t="s">
        <v>105</v>
      </c>
      <c r="F377" s="6" t="s">
        <v>373</v>
      </c>
      <c r="G377" s="6" t="s">
        <v>117</v>
      </c>
      <c r="H377" s="6" t="s">
        <v>165</v>
      </c>
      <c r="I377" s="6" t="s">
        <v>91</v>
      </c>
      <c r="J377" s="6" t="s">
        <v>374</v>
      </c>
      <c r="K377" s="6" t="s">
        <v>383</v>
      </c>
      <c r="L377" s="6" t="str">
        <f>IF(J377="כן", K377, VLOOKUP(LEFT(H377, 7), 'קטלוג תרחישים'!$A:$M, 13, FALSE))</f>
        <v>א'</v>
      </c>
      <c r="M377" s="10"/>
      <c r="N377" s="24" t="s">
        <v>352</v>
      </c>
      <c r="O377" s="10" t="str" cm="1">
        <f t="array" ref="O377">_xlfn.IFS(N377="A","א'", N377="B", "ב'", N377= "C", "ג'")</f>
        <v>א'</v>
      </c>
      <c r="P377" s="10">
        <f>IF(Table_2[[#This Row],[Correct_Answer]]=Table_2[[#This Row],[System_Recommendation]],1,0)</f>
        <v>1</v>
      </c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6" t="s">
        <v>169</v>
      </c>
      <c r="B378" s="6">
        <v>14</v>
      </c>
      <c r="C378" s="6" t="s">
        <v>372</v>
      </c>
      <c r="D378" s="6">
        <v>2</v>
      </c>
      <c r="E378" s="6" t="s">
        <v>105</v>
      </c>
      <c r="F378" s="6" t="s">
        <v>373</v>
      </c>
      <c r="G378" s="6" t="s">
        <v>117</v>
      </c>
      <c r="H378" s="6" t="s">
        <v>166</v>
      </c>
      <c r="I378" s="6" t="s">
        <v>100</v>
      </c>
      <c r="J378" s="6" t="s">
        <v>371</v>
      </c>
      <c r="K378" s="6" t="s">
        <v>384</v>
      </c>
      <c r="L378" s="6" t="str">
        <f>IF(J378="כן", K378, VLOOKUP(LEFT(H378, 7), 'קטלוג תרחישים'!$A:$M, 13, FALSE))</f>
        <v>ב'</v>
      </c>
      <c r="M378" s="10"/>
      <c r="N378" s="23" t="s">
        <v>357</v>
      </c>
      <c r="O378" s="10" t="str" cm="1">
        <f t="array" ref="O378">_xlfn.IFS(N378="A","א'", N378="B", "ב'", N378= "C", "ג'")</f>
        <v>ב'</v>
      </c>
      <c r="P378" s="10">
        <f>IF(Table_2[[#This Row],[Correct_Answer]]=Table_2[[#This Row],[System_Recommendation]],1,0)</f>
        <v>1</v>
      </c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6" t="s">
        <v>169</v>
      </c>
      <c r="B379" s="6">
        <v>15</v>
      </c>
      <c r="C379" s="6" t="s">
        <v>372</v>
      </c>
      <c r="D379" s="6">
        <v>3</v>
      </c>
      <c r="E379" s="6" t="s">
        <v>111</v>
      </c>
      <c r="F379" s="6" t="s">
        <v>373</v>
      </c>
      <c r="G379" s="6" t="s">
        <v>117</v>
      </c>
      <c r="H379" s="6" t="s">
        <v>157</v>
      </c>
      <c r="I379" s="6" t="s">
        <v>91</v>
      </c>
      <c r="J379" s="6" t="s">
        <v>371</v>
      </c>
      <c r="K379" s="6" t="s">
        <v>384</v>
      </c>
      <c r="L379" s="6" t="str">
        <f>IF(J379="כן", K379, VLOOKUP(LEFT(H379, 7), 'קטלוג תרחישים'!$A:$M, 13, FALSE))</f>
        <v>ב'</v>
      </c>
      <c r="M379" s="10"/>
      <c r="N379" s="24" t="s">
        <v>357</v>
      </c>
      <c r="O379" s="10" t="str" cm="1">
        <f t="array" ref="O379">_xlfn.IFS(N379="A","א'", N379="B", "ב'", N379= "C", "ג'")</f>
        <v>ב'</v>
      </c>
      <c r="P379" s="10">
        <f>IF(Table_2[[#This Row],[Correct_Answer]]=Table_2[[#This Row],[System_Recommendation]],1,0)</f>
        <v>1</v>
      </c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6" t="s">
        <v>169</v>
      </c>
      <c r="B380" s="6">
        <v>16</v>
      </c>
      <c r="C380" s="6" t="s">
        <v>372</v>
      </c>
      <c r="D380" s="6">
        <v>3</v>
      </c>
      <c r="E380" s="6" t="s">
        <v>111</v>
      </c>
      <c r="F380" s="6" t="s">
        <v>373</v>
      </c>
      <c r="G380" s="6" t="s">
        <v>117</v>
      </c>
      <c r="H380" s="6" t="s">
        <v>158</v>
      </c>
      <c r="I380" s="6" t="s">
        <v>100</v>
      </c>
      <c r="J380" s="6" t="s">
        <v>371</v>
      </c>
      <c r="K380" s="6" t="s">
        <v>385</v>
      </c>
      <c r="L380" s="6" t="str">
        <f>IF(J380="כן", K380, VLOOKUP(LEFT(H380, 7), 'קטלוג תרחישים'!$A:$M, 13, FALSE))</f>
        <v>ג</v>
      </c>
      <c r="M380" s="10"/>
      <c r="N380" s="23" t="s">
        <v>358</v>
      </c>
      <c r="O380" s="10" t="str" cm="1">
        <f t="array" ref="O380">_xlfn.IFS(N380="A","א'", N380="B", "ב'", N380= "C", "ג'")</f>
        <v>ג'</v>
      </c>
      <c r="P380" s="10">
        <f>IF(Table_2[[#This Row],[Correct_Answer]]=Table_2[[#This Row],[System_Recommendation]],1,0)</f>
        <v>1</v>
      </c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6" t="s">
        <v>169</v>
      </c>
      <c r="B381" s="6">
        <v>17</v>
      </c>
      <c r="C381" s="6" t="s">
        <v>372</v>
      </c>
      <c r="D381" s="6">
        <v>3</v>
      </c>
      <c r="E381" s="6" t="s">
        <v>111</v>
      </c>
      <c r="F381" s="6" t="s">
        <v>373</v>
      </c>
      <c r="G381" s="6" t="s">
        <v>117</v>
      </c>
      <c r="H381" s="6" t="s">
        <v>159</v>
      </c>
      <c r="I381" s="6" t="s">
        <v>91</v>
      </c>
      <c r="J381" s="6" t="s">
        <v>374</v>
      </c>
      <c r="K381" s="6" t="s">
        <v>383</v>
      </c>
      <c r="L381" s="6" t="str">
        <f>IF(J381="כן", K381, VLOOKUP(LEFT(H381, 7), 'קטלוג תרחישים'!$A:$M, 13, FALSE))</f>
        <v>ב'</v>
      </c>
      <c r="M381" s="10"/>
      <c r="N381" s="24" t="s">
        <v>352</v>
      </c>
      <c r="O381" s="10" t="str" cm="1">
        <f t="array" ref="O381">_xlfn.IFS(N381="A","א'", N381="B", "ב'", N381= "C", "ג'")</f>
        <v>א'</v>
      </c>
      <c r="P381" s="10">
        <f>IF(Table_2[[#This Row],[Correct_Answer]]=Table_2[[#This Row],[System_Recommendation]],1,0)</f>
        <v>0</v>
      </c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6" t="s">
        <v>169</v>
      </c>
      <c r="B382" s="6">
        <v>18</v>
      </c>
      <c r="C382" s="6" t="s">
        <v>372</v>
      </c>
      <c r="D382" s="6">
        <v>3</v>
      </c>
      <c r="E382" s="6" t="s">
        <v>111</v>
      </c>
      <c r="F382" s="6" t="s">
        <v>373</v>
      </c>
      <c r="G382" s="6" t="s">
        <v>117</v>
      </c>
      <c r="H382" s="6" t="s">
        <v>160</v>
      </c>
      <c r="I382" s="6" t="s">
        <v>100</v>
      </c>
      <c r="J382" s="6" t="s">
        <v>374</v>
      </c>
      <c r="K382" s="6" t="s">
        <v>385</v>
      </c>
      <c r="L382" s="6" t="str">
        <f>IF(J382="כן", K382, VLOOKUP(LEFT(H382, 7), 'קטלוג תרחישים'!$A:$M, 13, FALSE))</f>
        <v>ב'</v>
      </c>
      <c r="M382" s="10"/>
      <c r="N382" s="23" t="s">
        <v>358</v>
      </c>
      <c r="O382" s="10" t="str" cm="1">
        <f t="array" ref="O382">_xlfn.IFS(N382="A","א'", N382="B", "ב'", N382= "C", "ג'")</f>
        <v>ג'</v>
      </c>
      <c r="P382" s="10">
        <f>IF(Table_2[[#This Row],[Correct_Answer]]=Table_2[[#This Row],[System_Recommendation]],1,0)</f>
        <v>0</v>
      </c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6" t="s">
        <v>169</v>
      </c>
      <c r="B383" s="6">
        <v>19</v>
      </c>
      <c r="C383" s="6" t="s">
        <v>372</v>
      </c>
      <c r="D383" s="6">
        <v>1</v>
      </c>
      <c r="E383" s="6" t="s">
        <v>111</v>
      </c>
      <c r="F383" s="6" t="s">
        <v>375</v>
      </c>
      <c r="G383" s="6" t="s">
        <v>97</v>
      </c>
      <c r="H383" s="6" t="s">
        <v>151</v>
      </c>
      <c r="I383" s="6" t="s">
        <v>91</v>
      </c>
      <c r="J383" s="6" t="s">
        <v>371</v>
      </c>
      <c r="K383" s="6" t="s">
        <v>384</v>
      </c>
      <c r="L383" s="6" t="str">
        <f>IF(J383="כן", K383, VLOOKUP(LEFT(H383, 7), 'קטלוג תרחישים'!$A:$M, 13, FALSE))</f>
        <v>ב'</v>
      </c>
      <c r="M383" s="10"/>
      <c r="N383" s="24" t="s">
        <v>357</v>
      </c>
      <c r="O383" s="10" t="str" cm="1">
        <f t="array" ref="O383">_xlfn.IFS(N383="A","א'", N383="B", "ב'", N383= "C", "ג'")</f>
        <v>ב'</v>
      </c>
      <c r="P383" s="10">
        <f>IF(Table_2[[#This Row],[Correct_Answer]]=Table_2[[#This Row],[System_Recommendation]],1,0)</f>
        <v>1</v>
      </c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6" t="s">
        <v>169</v>
      </c>
      <c r="B384" s="6">
        <v>20</v>
      </c>
      <c r="C384" s="6" t="s">
        <v>372</v>
      </c>
      <c r="D384" s="6">
        <v>1</v>
      </c>
      <c r="E384" s="6" t="s">
        <v>111</v>
      </c>
      <c r="F384" s="6" t="s">
        <v>375</v>
      </c>
      <c r="G384" s="6" t="s">
        <v>97</v>
      </c>
      <c r="H384" s="6" t="s">
        <v>148</v>
      </c>
      <c r="I384" s="6" t="s">
        <v>100</v>
      </c>
      <c r="J384" s="6" t="s">
        <v>374</v>
      </c>
      <c r="K384" s="6" t="s">
        <v>385</v>
      </c>
      <c r="L384" s="6" t="str">
        <f>IF(J384="כן", K384, VLOOKUP(LEFT(H384, 7), 'קטלוג תרחישים'!$A:$M, 13, FALSE))</f>
        <v>ג'</v>
      </c>
      <c r="M384" s="10"/>
      <c r="N384" s="23" t="s">
        <v>358</v>
      </c>
      <c r="O384" s="10" t="str" cm="1">
        <f t="array" ref="O384">_xlfn.IFS(N384="A","א'", N384="B", "ב'", N384= "C", "ג'")</f>
        <v>ג'</v>
      </c>
      <c r="P384" s="10">
        <f>IF(Table_2[[#This Row],[Correct_Answer]]=Table_2[[#This Row],[System_Recommendation]],1,0)</f>
        <v>0</v>
      </c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6" t="s">
        <v>169</v>
      </c>
      <c r="B385" s="6">
        <v>21</v>
      </c>
      <c r="C385" s="6" t="s">
        <v>372</v>
      </c>
      <c r="D385" s="6">
        <v>1</v>
      </c>
      <c r="E385" s="6" t="s">
        <v>111</v>
      </c>
      <c r="F385" s="6" t="s">
        <v>375</v>
      </c>
      <c r="G385" s="6" t="s">
        <v>97</v>
      </c>
      <c r="H385" s="6" t="s">
        <v>147</v>
      </c>
      <c r="I385" s="6" t="s">
        <v>91</v>
      </c>
      <c r="J385" s="6" t="s">
        <v>371</v>
      </c>
      <c r="K385" s="6" t="s">
        <v>383</v>
      </c>
      <c r="L385" s="6" t="str">
        <f>IF(J385="כן", K385, VLOOKUP(LEFT(H385, 7), 'קטלוג תרחישים'!$A:$M, 13, FALSE))</f>
        <v>א'</v>
      </c>
      <c r="M385" s="10"/>
      <c r="N385" s="24" t="s">
        <v>352</v>
      </c>
      <c r="O385" s="10" t="str" cm="1">
        <f t="array" ref="O385">_xlfn.IFS(N385="A","א'", N385="B", "ב'", N385= "C", "ג'")</f>
        <v>א'</v>
      </c>
      <c r="P385" s="10">
        <f>IF(Table_2[[#This Row],[Correct_Answer]]=Table_2[[#This Row],[System_Recommendation]],1,0)</f>
        <v>1</v>
      </c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6" t="s">
        <v>169</v>
      </c>
      <c r="B386" s="6">
        <v>22</v>
      </c>
      <c r="C386" s="6" t="s">
        <v>372</v>
      </c>
      <c r="D386" s="6">
        <v>1</v>
      </c>
      <c r="E386" s="6" t="s">
        <v>111</v>
      </c>
      <c r="F386" s="6" t="s">
        <v>375</v>
      </c>
      <c r="G386" s="6" t="s">
        <v>97</v>
      </c>
      <c r="H386" s="6" t="s">
        <v>150</v>
      </c>
      <c r="I386" s="6" t="s">
        <v>100</v>
      </c>
      <c r="J386" s="6" t="s">
        <v>371</v>
      </c>
      <c r="K386" s="6" t="s">
        <v>385</v>
      </c>
      <c r="L386" s="6" t="str">
        <f>IF(J386="כן", K386, VLOOKUP(LEFT(H386, 7), 'קטלוג תרחישים'!$A:$M, 13, FALSE))</f>
        <v>ג</v>
      </c>
      <c r="M386" s="10"/>
      <c r="N386" s="23" t="s">
        <v>358</v>
      </c>
      <c r="O386" s="10" t="str" cm="1">
        <f t="array" ref="O386">_xlfn.IFS(N386="A","א'", N386="B", "ב'", N386= "C", "ג'")</f>
        <v>ג'</v>
      </c>
      <c r="P386" s="10">
        <f>IF(Table_2[[#This Row],[Correct_Answer]]=Table_2[[#This Row],[System_Recommendation]],1,0)</f>
        <v>1</v>
      </c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6" t="s">
        <v>169</v>
      </c>
      <c r="B387" s="6">
        <v>23</v>
      </c>
      <c r="C387" s="6" t="s">
        <v>372</v>
      </c>
      <c r="D387" s="6">
        <v>1</v>
      </c>
      <c r="E387" s="6" t="s">
        <v>111</v>
      </c>
      <c r="F387" s="6" t="s">
        <v>375</v>
      </c>
      <c r="G387" s="6" t="s">
        <v>97</v>
      </c>
      <c r="H387" s="6" t="s">
        <v>149</v>
      </c>
      <c r="I387" s="6" t="s">
        <v>91</v>
      </c>
      <c r="J387" s="6" t="s">
        <v>371</v>
      </c>
      <c r="K387" s="6" t="s">
        <v>385</v>
      </c>
      <c r="L387" s="6" t="str">
        <f>IF(J387="כן", K387, VLOOKUP(LEFT(H387, 7), 'קטלוג תרחישים'!$A:$M, 13, FALSE))</f>
        <v>ג</v>
      </c>
      <c r="M387" s="10"/>
      <c r="N387" s="24" t="s">
        <v>358</v>
      </c>
      <c r="O387" s="10" t="str" cm="1">
        <f t="array" ref="O387">_xlfn.IFS(N387="A","א'", N387="B", "ב'", N387= "C", "ג'")</f>
        <v>ג'</v>
      </c>
      <c r="P387" s="10">
        <f>IF(Table_2[[#This Row],[Correct_Answer]]=Table_2[[#This Row],[System_Recommendation]],1,0)</f>
        <v>1</v>
      </c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6" t="s">
        <v>169</v>
      </c>
      <c r="B388" s="6">
        <v>24</v>
      </c>
      <c r="C388" s="6" t="s">
        <v>372</v>
      </c>
      <c r="D388" s="6">
        <v>2</v>
      </c>
      <c r="E388" s="6" t="s">
        <v>98</v>
      </c>
      <c r="F388" s="6" t="s">
        <v>375</v>
      </c>
      <c r="G388" s="6" t="s">
        <v>97</v>
      </c>
      <c r="H388" s="6" t="s">
        <v>154</v>
      </c>
      <c r="I388" s="6" t="s">
        <v>91</v>
      </c>
      <c r="J388" s="6" t="s">
        <v>371</v>
      </c>
      <c r="K388" s="6" t="s">
        <v>384</v>
      </c>
      <c r="L388" s="6" t="str">
        <f>IF(J388="כן", K388, VLOOKUP(LEFT(H388, 7), 'קטלוג תרחישים'!$A:$M, 13, FALSE))</f>
        <v>ב'</v>
      </c>
      <c r="M388" s="10"/>
      <c r="N388" s="23" t="s">
        <v>357</v>
      </c>
      <c r="O388" s="10" t="str" cm="1">
        <f t="array" ref="O388">_xlfn.IFS(N388="A","א'", N388="B", "ב'", N388= "C", "ג'")</f>
        <v>ב'</v>
      </c>
      <c r="P388" s="10">
        <f>IF(Table_2[[#This Row],[Correct_Answer]]=Table_2[[#This Row],[System_Recommendation]],1,0)</f>
        <v>1</v>
      </c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6" t="s">
        <v>169</v>
      </c>
      <c r="B389" s="6">
        <v>25</v>
      </c>
      <c r="C389" s="6" t="s">
        <v>372</v>
      </c>
      <c r="D389" s="6">
        <v>2</v>
      </c>
      <c r="E389" s="6" t="s">
        <v>98</v>
      </c>
      <c r="F389" s="6" t="s">
        <v>375</v>
      </c>
      <c r="G389" s="6" t="s">
        <v>97</v>
      </c>
      <c r="H389" s="6" t="s">
        <v>153</v>
      </c>
      <c r="I389" s="6" t="s">
        <v>100</v>
      </c>
      <c r="J389" s="6" t="s">
        <v>371</v>
      </c>
      <c r="K389" s="6" t="s">
        <v>383</v>
      </c>
      <c r="L389" s="6" t="str">
        <f>IF(J389="כן", K389, VLOOKUP(LEFT(H389, 7), 'קטלוג תרחישים'!$A:$M, 13, FALSE))</f>
        <v>א'</v>
      </c>
      <c r="M389" s="10"/>
      <c r="N389" s="24" t="s">
        <v>352</v>
      </c>
      <c r="O389" s="10" t="str" cm="1">
        <f t="array" ref="O389">_xlfn.IFS(N389="A","א'", N389="B", "ב'", N389= "C", "ג'")</f>
        <v>א'</v>
      </c>
      <c r="P389" s="10">
        <f>IF(Table_2[[#This Row],[Correct_Answer]]=Table_2[[#This Row],[System_Recommendation]],1,0)</f>
        <v>1</v>
      </c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6" t="s">
        <v>169</v>
      </c>
      <c r="B390" s="6">
        <v>26</v>
      </c>
      <c r="C390" s="6" t="s">
        <v>372</v>
      </c>
      <c r="D390" s="6">
        <v>2</v>
      </c>
      <c r="E390" s="6" t="s">
        <v>98</v>
      </c>
      <c r="F390" s="6" t="s">
        <v>375</v>
      </c>
      <c r="G390" s="6" t="s">
        <v>97</v>
      </c>
      <c r="H390" s="6" t="s">
        <v>152</v>
      </c>
      <c r="I390" s="6" t="s">
        <v>91</v>
      </c>
      <c r="J390" s="6" t="s">
        <v>371</v>
      </c>
      <c r="K390" s="6" t="s">
        <v>385</v>
      </c>
      <c r="L390" s="6" t="str">
        <f>IF(J390="כן", K390, VLOOKUP(LEFT(H390, 7), 'קטלוג תרחישים'!$A:$M, 13, FALSE))</f>
        <v>ג</v>
      </c>
      <c r="M390" s="10"/>
      <c r="N390" s="23" t="s">
        <v>358</v>
      </c>
      <c r="O390" s="10" t="str" cm="1">
        <f t="array" ref="O390">_xlfn.IFS(N390="A","א'", N390="B", "ב'", N390= "C", "ג'")</f>
        <v>ג'</v>
      </c>
      <c r="P390" s="10">
        <f>IF(Table_2[[#This Row],[Correct_Answer]]=Table_2[[#This Row],[System_Recommendation]],1,0)</f>
        <v>1</v>
      </c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6" t="s">
        <v>169</v>
      </c>
      <c r="B391" s="6">
        <v>27</v>
      </c>
      <c r="C391" s="6" t="s">
        <v>372</v>
      </c>
      <c r="D391" s="6">
        <v>2</v>
      </c>
      <c r="E391" s="6" t="s">
        <v>98</v>
      </c>
      <c r="F391" s="6" t="s">
        <v>375</v>
      </c>
      <c r="G391" s="6" t="s">
        <v>97</v>
      </c>
      <c r="H391" s="6" t="s">
        <v>155</v>
      </c>
      <c r="I391" s="6" t="s">
        <v>100</v>
      </c>
      <c r="J391" s="6" t="s">
        <v>374</v>
      </c>
      <c r="K391" s="6" t="s">
        <v>384</v>
      </c>
      <c r="L391" s="6" t="str">
        <f>IF(J391="כן", K391, VLOOKUP(LEFT(H391, 7), 'קטלוג תרחישים'!$A:$M, 13, FALSE))</f>
        <v>ב'</v>
      </c>
      <c r="M391" s="10"/>
      <c r="N391" s="24" t="s">
        <v>357</v>
      </c>
      <c r="O391" s="10" t="str" cm="1">
        <f t="array" ref="O391">_xlfn.IFS(N391="A","א'", N391="B", "ב'", N391= "C", "ג'")</f>
        <v>ב'</v>
      </c>
      <c r="P391" s="10">
        <f>IF(Table_2[[#This Row],[Correct_Answer]]=Table_2[[#This Row],[System_Recommendation]],1,0)</f>
        <v>1</v>
      </c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6" t="s">
        <v>169</v>
      </c>
      <c r="B392" s="6">
        <v>28</v>
      </c>
      <c r="C392" s="6" t="s">
        <v>372</v>
      </c>
      <c r="D392" s="6">
        <v>2</v>
      </c>
      <c r="E392" s="6" t="s">
        <v>98</v>
      </c>
      <c r="F392" s="6" t="s">
        <v>375</v>
      </c>
      <c r="G392" s="6" t="s">
        <v>97</v>
      </c>
      <c r="H392" s="6" t="s">
        <v>156</v>
      </c>
      <c r="I392" s="6" t="s">
        <v>91</v>
      </c>
      <c r="J392" s="6" t="s">
        <v>371</v>
      </c>
      <c r="K392" s="6" t="s">
        <v>385</v>
      </c>
      <c r="L392" s="6" t="str">
        <f>IF(J392="כן", K392, VLOOKUP(LEFT(H392, 7), 'קטלוג תרחישים'!$A:$M, 13, FALSE))</f>
        <v>ג</v>
      </c>
      <c r="M392" s="10"/>
      <c r="N392" s="23" t="s">
        <v>358</v>
      </c>
      <c r="O392" s="10" t="str" cm="1">
        <f t="array" ref="O392">_xlfn.IFS(N392="A","א'", N392="B", "ב'", N392= "C", "ג'")</f>
        <v>ג'</v>
      </c>
      <c r="P392" s="10">
        <f>IF(Table_2[[#This Row],[Correct_Answer]]=Table_2[[#This Row],[System_Recommendation]],1,0)</f>
        <v>1</v>
      </c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6" t="s">
        <v>169</v>
      </c>
      <c r="B393" s="6">
        <v>29</v>
      </c>
      <c r="C393" s="6" t="s">
        <v>372</v>
      </c>
      <c r="D393" s="6">
        <v>3</v>
      </c>
      <c r="E393" s="6" t="s">
        <v>105</v>
      </c>
      <c r="F393" s="6" t="s">
        <v>375</v>
      </c>
      <c r="G393" s="6" t="s">
        <v>97</v>
      </c>
      <c r="H393" s="6" t="s">
        <v>146</v>
      </c>
      <c r="I393" s="6" t="s">
        <v>100</v>
      </c>
      <c r="J393" s="6" t="s">
        <v>374</v>
      </c>
      <c r="K393" s="6" t="s">
        <v>385</v>
      </c>
      <c r="L393" s="6" t="str">
        <f>IF(J393="כן", K393, VLOOKUP(LEFT(H393, 7), 'קטלוג תרחישים'!$A:$M, 13, FALSE))</f>
        <v>א'</v>
      </c>
      <c r="M393" s="10"/>
      <c r="N393" s="24" t="s">
        <v>358</v>
      </c>
      <c r="O393" s="10" t="str" cm="1">
        <f t="array" ref="O393">_xlfn.IFS(N393="A","א'", N393="B", "ב'", N393= "C", "ג'")</f>
        <v>ג'</v>
      </c>
      <c r="P393" s="10">
        <f>IF(Table_2[[#This Row],[Correct_Answer]]=Table_2[[#This Row],[System_Recommendation]],1,0)</f>
        <v>0</v>
      </c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6" t="s">
        <v>169</v>
      </c>
      <c r="B394" s="6">
        <v>30</v>
      </c>
      <c r="C394" s="6" t="s">
        <v>372</v>
      </c>
      <c r="D394" s="6">
        <v>3</v>
      </c>
      <c r="E394" s="6" t="s">
        <v>105</v>
      </c>
      <c r="F394" s="6" t="s">
        <v>375</v>
      </c>
      <c r="G394" s="6" t="s">
        <v>97</v>
      </c>
      <c r="H394" s="6" t="s">
        <v>145</v>
      </c>
      <c r="I394" s="6" t="s">
        <v>91</v>
      </c>
      <c r="J394" s="6" t="s">
        <v>371</v>
      </c>
      <c r="K394" s="6" t="s">
        <v>384</v>
      </c>
      <c r="L394" s="6" t="str">
        <f>IF(J394="כן", K394, VLOOKUP(LEFT(H394, 7), 'קטלוג תרחישים'!$A:$M, 13, FALSE))</f>
        <v>ב'</v>
      </c>
      <c r="M394" s="10"/>
      <c r="N394" s="23" t="s">
        <v>357</v>
      </c>
      <c r="O394" s="10" t="str" cm="1">
        <f t="array" ref="O394">_xlfn.IFS(N394="A","א'", N394="B", "ב'", N394= "C", "ג'")</f>
        <v>ב'</v>
      </c>
      <c r="P394" s="10">
        <f>IF(Table_2[[#This Row],[Correct_Answer]]=Table_2[[#This Row],[System_Recommendation]],1,0)</f>
        <v>1</v>
      </c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6" t="s">
        <v>169</v>
      </c>
      <c r="B395" s="6">
        <v>31</v>
      </c>
      <c r="C395" s="6" t="s">
        <v>372</v>
      </c>
      <c r="D395" s="6">
        <v>3</v>
      </c>
      <c r="E395" s="6" t="s">
        <v>105</v>
      </c>
      <c r="F395" s="6" t="s">
        <v>375</v>
      </c>
      <c r="G395" s="6" t="s">
        <v>97</v>
      </c>
      <c r="H395" s="6" t="s">
        <v>144</v>
      </c>
      <c r="I395" s="6" t="s">
        <v>100</v>
      </c>
      <c r="J395" s="6" t="s">
        <v>371</v>
      </c>
      <c r="K395" s="6" t="s">
        <v>385</v>
      </c>
      <c r="L395" s="6" t="str">
        <f>IF(J395="כן", K395, VLOOKUP(LEFT(H395, 7), 'קטלוג תרחישים'!$A:$M, 13, FALSE))</f>
        <v>ג</v>
      </c>
      <c r="M395" s="10"/>
      <c r="N395" s="24" t="s">
        <v>358</v>
      </c>
      <c r="O395" s="10" t="str" cm="1">
        <f t="array" ref="O395">_xlfn.IFS(N395="A","א'", N395="B", "ב'", N395= "C", "ג'")</f>
        <v>ג'</v>
      </c>
      <c r="P395" s="10">
        <f>IF(Table_2[[#This Row],[Correct_Answer]]=Table_2[[#This Row],[System_Recommendation]],1,0)</f>
        <v>1</v>
      </c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6" t="s">
        <v>169</v>
      </c>
      <c r="B396" s="6">
        <v>32</v>
      </c>
      <c r="C396" s="6" t="s">
        <v>372</v>
      </c>
      <c r="D396" s="6">
        <v>3</v>
      </c>
      <c r="E396" s="6" t="s">
        <v>105</v>
      </c>
      <c r="F396" s="6" t="s">
        <v>375</v>
      </c>
      <c r="G396" s="6" t="s">
        <v>97</v>
      </c>
      <c r="H396" s="6" t="s">
        <v>143</v>
      </c>
      <c r="I396" s="6" t="s">
        <v>91</v>
      </c>
      <c r="J396" s="6" t="s">
        <v>371</v>
      </c>
      <c r="K396" s="6" t="s">
        <v>383</v>
      </c>
      <c r="L396" s="6" t="str">
        <f>IF(J396="כן", K396, VLOOKUP(LEFT(H396, 7), 'קטלוג תרחישים'!$A:$M, 13, FALSE))</f>
        <v>א'</v>
      </c>
      <c r="M396" s="10"/>
      <c r="N396" s="23" t="s">
        <v>352</v>
      </c>
      <c r="O396" s="10" t="str" cm="1">
        <f t="array" ref="O396">_xlfn.IFS(N396="A","א'", N396="B", "ב'", N396= "C", "ג'")</f>
        <v>א'</v>
      </c>
      <c r="P396" s="10">
        <f>IF(Table_2[[#This Row],[Correct_Answer]]=Table_2[[#This Row],[System_Recommendation]],1,0)</f>
        <v>1</v>
      </c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6" t="s">
        <v>169</v>
      </c>
      <c r="B397" s="6">
        <v>33</v>
      </c>
      <c r="C397" s="6" t="s">
        <v>372</v>
      </c>
      <c r="D397" s="6">
        <v>3</v>
      </c>
      <c r="E397" s="6" t="s">
        <v>105</v>
      </c>
      <c r="F397" s="6" t="s">
        <v>375</v>
      </c>
      <c r="G397" s="6" t="s">
        <v>97</v>
      </c>
      <c r="H397" s="6" t="s">
        <v>142</v>
      </c>
      <c r="I397" s="6" t="s">
        <v>100</v>
      </c>
      <c r="J397" s="6" t="s">
        <v>371</v>
      </c>
      <c r="K397" s="6" t="s">
        <v>383</v>
      </c>
      <c r="L397" s="6" t="str">
        <f>IF(J397="כן", K397, VLOOKUP(LEFT(H397, 7), 'קטלוג תרחישים'!$A:$M, 13, FALSE))</f>
        <v>א'</v>
      </c>
      <c r="M397" s="10"/>
      <c r="N397" s="24" t="s">
        <v>352</v>
      </c>
      <c r="O397" s="10" t="str" cm="1">
        <f t="array" ref="O397">_xlfn.IFS(N397="A","א'", N397="B", "ב'", N397= "C", "ג'")</f>
        <v>א'</v>
      </c>
      <c r="P397" s="10">
        <f>IF(Table_2[[#This Row],[Correct_Answer]]=Table_2[[#This Row],[System_Recommendation]],1,0)</f>
        <v>1</v>
      </c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6" t="s">
        <v>170</v>
      </c>
      <c r="B398" s="6">
        <v>1</v>
      </c>
      <c r="C398" s="6" t="s">
        <v>370</v>
      </c>
      <c r="D398" s="6"/>
      <c r="E398" s="6" t="s">
        <v>98</v>
      </c>
      <c r="F398" s="6"/>
      <c r="G398" s="6"/>
      <c r="H398" s="8" t="s">
        <v>90</v>
      </c>
      <c r="I398" s="6" t="s">
        <v>91</v>
      </c>
      <c r="J398" s="6" t="s">
        <v>371</v>
      </c>
      <c r="K398" s="6" t="s">
        <v>385</v>
      </c>
      <c r="L398" s="6" t="str">
        <f>IF(J398="כן", K398, VLOOKUP(LEFT(H398, 7), 'קטלוג תרחישים'!$A:$M, 13, FALSE))</f>
        <v>ג</v>
      </c>
      <c r="M398" s="10"/>
      <c r="N398" s="23" t="s">
        <v>358</v>
      </c>
      <c r="O398" s="10" t="str" cm="1">
        <f t="array" ref="O398">_xlfn.IFS(N398="A","א'", N398="B", "ב'", N398= "C", "ג'")</f>
        <v>ג'</v>
      </c>
      <c r="P398" s="10">
        <f>IF(Table_2[[#This Row],[Correct_Answer]]=Table_2[[#This Row],[System_Recommendation]],1,0)</f>
        <v>1</v>
      </c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6" t="s">
        <v>170</v>
      </c>
      <c r="B399" s="6">
        <v>2</v>
      </c>
      <c r="C399" s="6" t="s">
        <v>370</v>
      </c>
      <c r="D399" s="6"/>
      <c r="E399" s="6" t="s">
        <v>98</v>
      </c>
      <c r="F399" s="6"/>
      <c r="G399" s="6"/>
      <c r="H399" s="8" t="s">
        <v>92</v>
      </c>
      <c r="I399" s="6" t="s">
        <v>91</v>
      </c>
      <c r="J399" s="6" t="s">
        <v>371</v>
      </c>
      <c r="K399" s="6" t="s">
        <v>385</v>
      </c>
      <c r="L399" s="6" t="str">
        <f>IF(J399="כן", K399, VLOOKUP(LEFT(H399, 7), 'קטלוג תרחישים'!$A:$M, 13, FALSE))</f>
        <v>ג</v>
      </c>
      <c r="M399" s="10"/>
      <c r="N399" s="24" t="s">
        <v>358</v>
      </c>
      <c r="O399" s="10" t="str" cm="1">
        <f t="array" ref="O399">_xlfn.IFS(N399="A","א'", N399="B", "ב'", N399= "C", "ג'")</f>
        <v>ג'</v>
      </c>
      <c r="P399" s="10">
        <f>IF(Table_2[[#This Row],[Correct_Answer]]=Table_2[[#This Row],[System_Recommendation]],1,0)</f>
        <v>1</v>
      </c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6" t="s">
        <v>170</v>
      </c>
      <c r="B400" s="6">
        <v>3</v>
      </c>
      <c r="C400" s="6" t="s">
        <v>370</v>
      </c>
      <c r="D400" s="6"/>
      <c r="E400" s="6" t="s">
        <v>105</v>
      </c>
      <c r="F400" s="6"/>
      <c r="G400" s="6"/>
      <c r="H400" s="8" t="s">
        <v>93</v>
      </c>
      <c r="I400" s="6" t="s">
        <v>91</v>
      </c>
      <c r="J400" s="6" t="s">
        <v>371</v>
      </c>
      <c r="K400" s="6" t="s">
        <v>385</v>
      </c>
      <c r="L400" s="6" t="str">
        <f>IF(J400="כן", K400, VLOOKUP(LEFT(H400, 7), 'קטלוג תרחישים'!$A:$M, 13, FALSE))</f>
        <v>ג</v>
      </c>
      <c r="M400" s="10"/>
      <c r="N400" s="23" t="s">
        <v>358</v>
      </c>
      <c r="O400" s="10" t="str" cm="1">
        <f t="array" ref="O400">_xlfn.IFS(N400="A","א'", N400="B", "ב'", N400= "C", "ג'")</f>
        <v>ג'</v>
      </c>
      <c r="P400" s="10">
        <f>IF(Table_2[[#This Row],[Correct_Answer]]=Table_2[[#This Row],[System_Recommendation]],1,0)</f>
        <v>1</v>
      </c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6" t="s">
        <v>170</v>
      </c>
      <c r="B401" s="6">
        <v>4</v>
      </c>
      <c r="C401" s="6" t="s">
        <v>370</v>
      </c>
      <c r="D401" s="6"/>
      <c r="E401" s="6" t="s">
        <v>105</v>
      </c>
      <c r="F401" s="6"/>
      <c r="G401" s="6"/>
      <c r="H401" s="8" t="s">
        <v>94</v>
      </c>
      <c r="I401" s="6" t="s">
        <v>91</v>
      </c>
      <c r="J401" s="6" t="s">
        <v>371</v>
      </c>
      <c r="K401" s="6" t="s">
        <v>384</v>
      </c>
      <c r="L401" s="6" t="str">
        <f>IF(J401="כן", K401, VLOOKUP(LEFT(H401, 7), 'קטלוג תרחישים'!$A:$M, 13, FALSE))</f>
        <v>ב'</v>
      </c>
      <c r="M401" s="10"/>
      <c r="N401" s="24" t="s">
        <v>357</v>
      </c>
      <c r="O401" s="10" t="str" cm="1">
        <f t="array" ref="O401">_xlfn.IFS(N401="A","א'", N401="B", "ב'", N401= "C", "ג'")</f>
        <v>ב'</v>
      </c>
      <c r="P401" s="10">
        <f>IF(Table_2[[#This Row],[Correct_Answer]]=Table_2[[#This Row],[System_Recommendation]],1,0)</f>
        <v>1</v>
      </c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6" t="s">
        <v>170</v>
      </c>
      <c r="B402" s="6">
        <v>5</v>
      </c>
      <c r="C402" s="6" t="s">
        <v>370</v>
      </c>
      <c r="D402" s="6"/>
      <c r="E402" s="6" t="s">
        <v>111</v>
      </c>
      <c r="F402" s="6"/>
      <c r="G402" s="6"/>
      <c r="H402" s="8" t="s">
        <v>95</v>
      </c>
      <c r="I402" s="6" t="s">
        <v>91</v>
      </c>
      <c r="J402" s="6" t="s">
        <v>371</v>
      </c>
      <c r="K402" s="6" t="s">
        <v>383</v>
      </c>
      <c r="L402" s="6" t="str">
        <f>IF(J402="כן", K402, VLOOKUP(LEFT(H402, 7), 'קטלוג תרחישים'!$A:$M, 13, FALSE))</f>
        <v>א'</v>
      </c>
      <c r="M402" s="10"/>
      <c r="N402" s="23" t="s">
        <v>352</v>
      </c>
      <c r="O402" s="10" t="str" cm="1">
        <f t="array" ref="O402">_xlfn.IFS(N402="A","א'", N402="B", "ב'", N402= "C", "ג'")</f>
        <v>א'</v>
      </c>
      <c r="P402" s="10">
        <f>IF(Table_2[[#This Row],[Correct_Answer]]=Table_2[[#This Row],[System_Recommendation]],1,0)</f>
        <v>1</v>
      </c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6" t="s">
        <v>170</v>
      </c>
      <c r="B403" s="6">
        <v>6</v>
      </c>
      <c r="C403" s="6" t="s">
        <v>370</v>
      </c>
      <c r="D403" s="6"/>
      <c r="E403" s="6" t="s">
        <v>111</v>
      </c>
      <c r="F403" s="6"/>
      <c r="G403" s="6"/>
      <c r="H403" s="8" t="s">
        <v>96</v>
      </c>
      <c r="I403" s="6" t="s">
        <v>91</v>
      </c>
      <c r="J403" s="6" t="s">
        <v>371</v>
      </c>
      <c r="K403" s="6" t="s">
        <v>385</v>
      </c>
      <c r="L403" s="6" t="str">
        <f>IF(J403="כן", K403, VLOOKUP(LEFT(H403, 7), 'קטלוג תרחישים'!$A:$M, 13, FALSE))</f>
        <v>ג</v>
      </c>
      <c r="M403" s="10"/>
      <c r="N403" s="24" t="s">
        <v>358</v>
      </c>
      <c r="O403" s="10" t="str" cm="1">
        <f t="array" ref="O403">_xlfn.IFS(N403="A","א'", N403="B", "ב'", N403= "C", "ג'")</f>
        <v>ג'</v>
      </c>
      <c r="P403" s="10">
        <f>IF(Table_2[[#This Row],[Correct_Answer]]=Table_2[[#This Row],[System_Recommendation]],1,0)</f>
        <v>1</v>
      </c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6" t="s">
        <v>170</v>
      </c>
      <c r="B404" s="6">
        <v>7</v>
      </c>
      <c r="C404" s="6" t="s">
        <v>372</v>
      </c>
      <c r="D404" s="6">
        <v>1</v>
      </c>
      <c r="E404" s="6" t="s">
        <v>98</v>
      </c>
      <c r="F404" s="6" t="s">
        <v>373</v>
      </c>
      <c r="G404" s="6" t="s">
        <v>97</v>
      </c>
      <c r="H404" s="6" t="s">
        <v>152</v>
      </c>
      <c r="I404" s="6" t="s">
        <v>91</v>
      </c>
      <c r="J404" s="6" t="s">
        <v>371</v>
      </c>
      <c r="K404" s="6" t="s">
        <v>385</v>
      </c>
      <c r="L404" s="6" t="str">
        <f>IF(J404="כן", K404, VLOOKUP(LEFT(H404, 7), 'קטלוג תרחישים'!$A:$M, 13, FALSE))</f>
        <v>ג</v>
      </c>
      <c r="M404" s="10"/>
      <c r="N404" s="23" t="s">
        <v>358</v>
      </c>
      <c r="O404" s="10" t="str" cm="1">
        <f t="array" ref="O404">_xlfn.IFS(N404="A","א'", N404="B", "ב'", N404= "C", "ג'")</f>
        <v>ג'</v>
      </c>
      <c r="P404" s="10">
        <f>IF(Table_2[[#This Row],[Correct_Answer]]=Table_2[[#This Row],[System_Recommendation]],1,0)</f>
        <v>1</v>
      </c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6" t="s">
        <v>170</v>
      </c>
      <c r="B405" s="6">
        <v>8</v>
      </c>
      <c r="C405" s="6" t="s">
        <v>372</v>
      </c>
      <c r="D405" s="6">
        <v>1</v>
      </c>
      <c r="E405" s="6" t="s">
        <v>98</v>
      </c>
      <c r="F405" s="6" t="s">
        <v>373</v>
      </c>
      <c r="G405" s="6" t="s">
        <v>97</v>
      </c>
      <c r="H405" s="6" t="s">
        <v>155</v>
      </c>
      <c r="I405" s="6" t="s">
        <v>100</v>
      </c>
      <c r="J405" s="6" t="s">
        <v>371</v>
      </c>
      <c r="K405" s="6" t="s">
        <v>384</v>
      </c>
      <c r="L405" s="6" t="str">
        <f>IF(J405="כן", K405, VLOOKUP(LEFT(H405, 7), 'קטלוג תרחישים'!$A:$M, 13, FALSE))</f>
        <v>ב'</v>
      </c>
      <c r="M405" s="10"/>
      <c r="N405" s="24" t="s">
        <v>357</v>
      </c>
      <c r="O405" s="10" t="str" cm="1">
        <f t="array" ref="O405">_xlfn.IFS(N405="A","א'", N405="B", "ב'", N405= "C", "ג'")</f>
        <v>ב'</v>
      </c>
      <c r="P405" s="10">
        <f>IF(Table_2[[#This Row],[Correct_Answer]]=Table_2[[#This Row],[System_Recommendation]],1,0)</f>
        <v>1</v>
      </c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6" t="s">
        <v>170</v>
      </c>
      <c r="B406" s="6">
        <v>9</v>
      </c>
      <c r="C406" s="6" t="s">
        <v>372</v>
      </c>
      <c r="D406" s="6">
        <v>1</v>
      </c>
      <c r="E406" s="6" t="s">
        <v>98</v>
      </c>
      <c r="F406" s="6" t="s">
        <v>373</v>
      </c>
      <c r="G406" s="6" t="s">
        <v>97</v>
      </c>
      <c r="H406" s="6" t="s">
        <v>156</v>
      </c>
      <c r="I406" s="6" t="s">
        <v>91</v>
      </c>
      <c r="J406" s="6" t="s">
        <v>374</v>
      </c>
      <c r="K406" s="6" t="s">
        <v>384</v>
      </c>
      <c r="L406" s="6" t="str">
        <f>IF(J406="כן", K406, VLOOKUP(LEFT(H406, 7), 'קטלוג תרחישים'!$A:$M, 13, FALSE))</f>
        <v>א'</v>
      </c>
      <c r="M406" s="10"/>
      <c r="N406" s="23" t="s">
        <v>357</v>
      </c>
      <c r="O406" s="10" t="str" cm="1">
        <f t="array" ref="O406">_xlfn.IFS(N406="A","א'", N406="B", "ב'", N406= "C", "ג'")</f>
        <v>ב'</v>
      </c>
      <c r="P406" s="10">
        <f>IF(Table_2[[#This Row],[Correct_Answer]]=Table_2[[#This Row],[System_Recommendation]],1,0)</f>
        <v>0</v>
      </c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6" t="s">
        <v>170</v>
      </c>
      <c r="B407" s="6">
        <v>10</v>
      </c>
      <c r="C407" s="6" t="s">
        <v>372</v>
      </c>
      <c r="D407" s="6">
        <v>1</v>
      </c>
      <c r="E407" s="6" t="s">
        <v>98</v>
      </c>
      <c r="F407" s="6" t="s">
        <v>373</v>
      </c>
      <c r="G407" s="6" t="s">
        <v>97</v>
      </c>
      <c r="H407" s="6" t="s">
        <v>153</v>
      </c>
      <c r="I407" s="6" t="s">
        <v>100</v>
      </c>
      <c r="J407" s="6" t="s">
        <v>371</v>
      </c>
      <c r="K407" s="6" t="s">
        <v>384</v>
      </c>
      <c r="L407" s="6" t="str">
        <f>IF(J407="כן", K407, VLOOKUP(LEFT(H407, 7), 'קטלוג תרחישים'!$A:$M, 13, FALSE))</f>
        <v>ב'</v>
      </c>
      <c r="M407" s="10"/>
      <c r="N407" s="24" t="s">
        <v>357</v>
      </c>
      <c r="O407" s="10" t="str" cm="1">
        <f t="array" ref="O407">_xlfn.IFS(N407="A","א'", N407="B", "ב'", N407= "C", "ג'")</f>
        <v>ב'</v>
      </c>
      <c r="P407" s="10">
        <f>IF(Table_2[[#This Row],[Correct_Answer]]=Table_2[[#This Row],[System_Recommendation]],1,0)</f>
        <v>1</v>
      </c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6" t="s">
        <v>170</v>
      </c>
      <c r="B408" s="6">
        <v>11</v>
      </c>
      <c r="C408" s="6" t="s">
        <v>372</v>
      </c>
      <c r="D408" s="6">
        <v>1</v>
      </c>
      <c r="E408" s="6" t="s">
        <v>98</v>
      </c>
      <c r="F408" s="6" t="s">
        <v>373</v>
      </c>
      <c r="G408" s="6" t="s">
        <v>97</v>
      </c>
      <c r="H408" s="6" t="s">
        <v>154</v>
      </c>
      <c r="I408" s="6" t="s">
        <v>91</v>
      </c>
      <c r="J408" s="6" t="s">
        <v>371</v>
      </c>
      <c r="K408" s="6" t="s">
        <v>383</v>
      </c>
      <c r="L408" s="6" t="str">
        <f>IF(J408="כן", K408, VLOOKUP(LEFT(H408, 7), 'קטלוג תרחישים'!$A:$M, 13, FALSE))</f>
        <v>א'</v>
      </c>
      <c r="M408" s="10"/>
      <c r="N408" s="23" t="s">
        <v>352</v>
      </c>
      <c r="O408" s="10" t="str" cm="1">
        <f t="array" ref="O408">_xlfn.IFS(N408="A","א'", N408="B", "ב'", N408= "C", "ג'")</f>
        <v>א'</v>
      </c>
      <c r="P408" s="10">
        <f>IF(Table_2[[#This Row],[Correct_Answer]]=Table_2[[#This Row],[System_Recommendation]],1,0)</f>
        <v>1</v>
      </c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6" t="s">
        <v>170</v>
      </c>
      <c r="B409" s="6">
        <v>12</v>
      </c>
      <c r="C409" s="6" t="s">
        <v>372</v>
      </c>
      <c r="D409" s="6">
        <v>2</v>
      </c>
      <c r="E409" s="6" t="s">
        <v>105</v>
      </c>
      <c r="F409" s="6" t="s">
        <v>373</v>
      </c>
      <c r="G409" s="6" t="s">
        <v>97</v>
      </c>
      <c r="H409" s="6" t="s">
        <v>144</v>
      </c>
      <c r="I409" s="6" t="s">
        <v>100</v>
      </c>
      <c r="J409" s="6" t="s">
        <v>371</v>
      </c>
      <c r="K409" s="6" t="s">
        <v>383</v>
      </c>
      <c r="L409" s="6" t="str">
        <f>IF(J409="כן", K409, VLOOKUP(LEFT(H409, 7), 'קטלוג תרחישים'!$A:$M, 13, FALSE))</f>
        <v>א'</v>
      </c>
      <c r="M409" s="10"/>
      <c r="N409" s="24" t="s">
        <v>352</v>
      </c>
      <c r="O409" s="10" t="str" cm="1">
        <f t="array" ref="O409">_xlfn.IFS(N409="A","א'", N409="B", "ב'", N409= "C", "ג'")</f>
        <v>א'</v>
      </c>
      <c r="P409" s="10">
        <f>IF(Table_2[[#This Row],[Correct_Answer]]=Table_2[[#This Row],[System_Recommendation]],1,0)</f>
        <v>1</v>
      </c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6" t="s">
        <v>170</v>
      </c>
      <c r="B410" s="6">
        <v>13</v>
      </c>
      <c r="C410" s="6" t="s">
        <v>372</v>
      </c>
      <c r="D410" s="6">
        <v>2</v>
      </c>
      <c r="E410" s="6" t="s">
        <v>105</v>
      </c>
      <c r="F410" s="6" t="s">
        <v>373</v>
      </c>
      <c r="G410" s="6" t="s">
        <v>97</v>
      </c>
      <c r="H410" s="6" t="s">
        <v>143</v>
      </c>
      <c r="I410" s="6" t="s">
        <v>91</v>
      </c>
      <c r="J410" s="6" t="s">
        <v>374</v>
      </c>
      <c r="K410" s="6" t="s">
        <v>383</v>
      </c>
      <c r="L410" s="6" t="str">
        <f>IF(J410="כן", K410, VLOOKUP(LEFT(H410, 7), 'קטלוג תרחישים'!$A:$M, 13, FALSE))</f>
        <v>ב'</v>
      </c>
      <c r="M410" s="10"/>
      <c r="N410" s="23" t="s">
        <v>352</v>
      </c>
      <c r="O410" s="10" t="str" cm="1">
        <f t="array" ref="O410">_xlfn.IFS(N410="A","א'", N410="B", "ב'", N410= "C", "ג'")</f>
        <v>א'</v>
      </c>
      <c r="P410" s="10">
        <f>IF(Table_2[[#This Row],[Correct_Answer]]=Table_2[[#This Row],[System_Recommendation]],1,0)</f>
        <v>0</v>
      </c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6" t="s">
        <v>170</v>
      </c>
      <c r="B411" s="6">
        <v>14</v>
      </c>
      <c r="C411" s="6" t="s">
        <v>372</v>
      </c>
      <c r="D411" s="6">
        <v>2</v>
      </c>
      <c r="E411" s="6" t="s">
        <v>105</v>
      </c>
      <c r="F411" s="6" t="s">
        <v>373</v>
      </c>
      <c r="G411" s="6" t="s">
        <v>97</v>
      </c>
      <c r="H411" s="6" t="s">
        <v>142</v>
      </c>
      <c r="I411" s="6" t="s">
        <v>100</v>
      </c>
      <c r="J411" s="6" t="s">
        <v>371</v>
      </c>
      <c r="K411" s="6" t="s">
        <v>383</v>
      </c>
      <c r="L411" s="6" t="str">
        <f>IF(J411="כן", K411, VLOOKUP(LEFT(H411, 7), 'קטלוג תרחישים'!$A:$M, 13, FALSE))</f>
        <v>א'</v>
      </c>
      <c r="M411" s="10"/>
      <c r="N411" s="24" t="s">
        <v>352</v>
      </c>
      <c r="O411" s="10" t="str" cm="1">
        <f t="array" ref="O411">_xlfn.IFS(N411="A","א'", N411="B", "ב'", N411= "C", "ג'")</f>
        <v>א'</v>
      </c>
      <c r="P411" s="10">
        <f>IF(Table_2[[#This Row],[Correct_Answer]]=Table_2[[#This Row],[System_Recommendation]],1,0)</f>
        <v>1</v>
      </c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6" t="s">
        <v>170</v>
      </c>
      <c r="B412" s="6">
        <v>15</v>
      </c>
      <c r="C412" s="6" t="s">
        <v>372</v>
      </c>
      <c r="D412" s="6">
        <v>2</v>
      </c>
      <c r="E412" s="6" t="s">
        <v>105</v>
      </c>
      <c r="F412" s="6" t="s">
        <v>373</v>
      </c>
      <c r="G412" s="6" t="s">
        <v>97</v>
      </c>
      <c r="H412" s="6" t="s">
        <v>145</v>
      </c>
      <c r="I412" s="6" t="s">
        <v>91</v>
      </c>
      <c r="J412" s="6" t="s">
        <v>371</v>
      </c>
      <c r="K412" s="6" t="s">
        <v>384</v>
      </c>
      <c r="L412" s="6" t="str">
        <f>IF(J412="כן", K412, VLOOKUP(LEFT(H412, 7), 'קטלוג תרחישים'!$A:$M, 13, FALSE))</f>
        <v>ב'</v>
      </c>
      <c r="M412" s="10"/>
      <c r="N412" s="23" t="s">
        <v>357</v>
      </c>
      <c r="O412" s="10" t="str" cm="1">
        <f t="array" ref="O412">_xlfn.IFS(N412="A","א'", N412="B", "ב'", N412= "C", "ג'")</f>
        <v>ב'</v>
      </c>
      <c r="P412" s="10">
        <f>IF(Table_2[[#This Row],[Correct_Answer]]=Table_2[[#This Row],[System_Recommendation]],1,0)</f>
        <v>1</v>
      </c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6" t="s">
        <v>170</v>
      </c>
      <c r="B413" s="6">
        <v>16</v>
      </c>
      <c r="C413" s="6" t="s">
        <v>372</v>
      </c>
      <c r="D413" s="6">
        <v>2</v>
      </c>
      <c r="E413" s="6" t="s">
        <v>105</v>
      </c>
      <c r="F413" s="6" t="s">
        <v>373</v>
      </c>
      <c r="G413" s="6" t="s">
        <v>97</v>
      </c>
      <c r="H413" s="6" t="s">
        <v>146</v>
      </c>
      <c r="I413" s="6" t="s">
        <v>100</v>
      </c>
      <c r="J413" s="6" t="s">
        <v>371</v>
      </c>
      <c r="K413" s="6" t="s">
        <v>384</v>
      </c>
      <c r="L413" s="6" t="str">
        <f>IF(J413="כן", K413, VLOOKUP(LEFT(H413, 7), 'קטלוג תרחישים'!$A:$M, 13, FALSE))</f>
        <v>ב'</v>
      </c>
      <c r="M413" s="10"/>
      <c r="N413" s="24" t="s">
        <v>357</v>
      </c>
      <c r="O413" s="10" t="str" cm="1">
        <f t="array" ref="O413">_xlfn.IFS(N413="A","א'", N413="B", "ב'", N413= "C", "ג'")</f>
        <v>ב'</v>
      </c>
      <c r="P413" s="10">
        <f>IF(Table_2[[#This Row],[Correct_Answer]]=Table_2[[#This Row],[System_Recommendation]],1,0)</f>
        <v>1</v>
      </c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6" t="s">
        <v>170</v>
      </c>
      <c r="B414" s="6">
        <v>17</v>
      </c>
      <c r="C414" s="6" t="s">
        <v>372</v>
      </c>
      <c r="D414" s="6">
        <v>3</v>
      </c>
      <c r="E414" s="6" t="s">
        <v>111</v>
      </c>
      <c r="F414" s="6" t="s">
        <v>373</v>
      </c>
      <c r="G414" s="6" t="s">
        <v>97</v>
      </c>
      <c r="H414" s="6" t="s">
        <v>147</v>
      </c>
      <c r="I414" s="6" t="s">
        <v>91</v>
      </c>
      <c r="J414" s="6" t="s">
        <v>374</v>
      </c>
      <c r="K414" s="6" t="s">
        <v>385</v>
      </c>
      <c r="L414" s="6" t="str">
        <f>IF(J414="כן", K414, VLOOKUP(LEFT(H414, 7), 'קטלוג תרחישים'!$A:$M, 13, FALSE))</f>
        <v>א'</v>
      </c>
      <c r="M414" s="10"/>
      <c r="N414" s="23" t="s">
        <v>358</v>
      </c>
      <c r="O414" s="10" t="str" cm="1">
        <f t="array" ref="O414">_xlfn.IFS(N414="A","א'", N414="B", "ב'", N414= "C", "ג'")</f>
        <v>ג'</v>
      </c>
      <c r="P414" s="10">
        <f>IF(Table_2[[#This Row],[Correct_Answer]]=Table_2[[#This Row],[System_Recommendation]],1,0)</f>
        <v>0</v>
      </c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6" t="s">
        <v>170</v>
      </c>
      <c r="B415" s="6">
        <v>18</v>
      </c>
      <c r="C415" s="6" t="s">
        <v>372</v>
      </c>
      <c r="D415" s="6">
        <v>3</v>
      </c>
      <c r="E415" s="6" t="s">
        <v>111</v>
      </c>
      <c r="F415" s="6" t="s">
        <v>373</v>
      </c>
      <c r="G415" s="6" t="s">
        <v>97</v>
      </c>
      <c r="H415" s="6" t="s">
        <v>148</v>
      </c>
      <c r="I415" s="6" t="s">
        <v>100</v>
      </c>
      <c r="J415" s="6" t="s">
        <v>371</v>
      </c>
      <c r="K415" s="6" t="s">
        <v>385</v>
      </c>
      <c r="L415" s="6" t="str">
        <f>IF(J415="כן", K415, VLOOKUP(LEFT(H415, 7), 'קטלוג תרחישים'!$A:$M, 13, FALSE))</f>
        <v>ג</v>
      </c>
      <c r="M415" s="10"/>
      <c r="N415" s="24" t="s">
        <v>358</v>
      </c>
      <c r="O415" s="10" t="str" cm="1">
        <f t="array" ref="O415">_xlfn.IFS(N415="A","א'", N415="B", "ב'", N415= "C", "ג'")</f>
        <v>ג'</v>
      </c>
      <c r="P415" s="10">
        <f>IF(Table_2[[#This Row],[Correct_Answer]]=Table_2[[#This Row],[System_Recommendation]],1,0)</f>
        <v>1</v>
      </c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6" t="s">
        <v>170</v>
      </c>
      <c r="B416" s="6">
        <v>19</v>
      </c>
      <c r="C416" s="6" t="s">
        <v>372</v>
      </c>
      <c r="D416" s="6">
        <v>3</v>
      </c>
      <c r="E416" s="6" t="s">
        <v>111</v>
      </c>
      <c r="F416" s="6" t="s">
        <v>373</v>
      </c>
      <c r="G416" s="6" t="s">
        <v>97</v>
      </c>
      <c r="H416" s="6" t="s">
        <v>151</v>
      </c>
      <c r="I416" s="6" t="s">
        <v>91</v>
      </c>
      <c r="J416" s="6" t="s">
        <v>371</v>
      </c>
      <c r="K416" s="6" t="s">
        <v>384</v>
      </c>
      <c r="L416" s="6" t="str">
        <f>IF(J416="כן", K416, VLOOKUP(LEFT(H416, 7), 'קטלוג תרחישים'!$A:$M, 13, FALSE))</f>
        <v>ב'</v>
      </c>
      <c r="M416" s="10"/>
      <c r="N416" s="23" t="s">
        <v>357</v>
      </c>
      <c r="O416" s="10" t="str" cm="1">
        <f t="array" ref="O416">_xlfn.IFS(N416="A","א'", N416="B", "ב'", N416= "C", "ג'")</f>
        <v>ב'</v>
      </c>
      <c r="P416" s="10">
        <f>IF(Table_2[[#This Row],[Correct_Answer]]=Table_2[[#This Row],[System_Recommendation]],1,0)</f>
        <v>1</v>
      </c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6" t="s">
        <v>170</v>
      </c>
      <c r="B417" s="6">
        <v>20</v>
      </c>
      <c r="C417" s="6" t="s">
        <v>372</v>
      </c>
      <c r="D417" s="6">
        <v>3</v>
      </c>
      <c r="E417" s="6" t="s">
        <v>111</v>
      </c>
      <c r="F417" s="6" t="s">
        <v>373</v>
      </c>
      <c r="G417" s="6" t="s">
        <v>97</v>
      </c>
      <c r="H417" s="6" t="s">
        <v>150</v>
      </c>
      <c r="I417" s="6" t="s">
        <v>100</v>
      </c>
      <c r="J417" s="6" t="s">
        <v>371</v>
      </c>
      <c r="K417" s="6" t="s">
        <v>385</v>
      </c>
      <c r="L417" s="6" t="str">
        <f>IF(J417="כן", K417, VLOOKUP(LEFT(H417, 7), 'קטלוג תרחישים'!$A:$M, 13, FALSE))</f>
        <v>ג</v>
      </c>
      <c r="M417" s="10"/>
      <c r="N417" s="24" t="s">
        <v>358</v>
      </c>
      <c r="O417" s="10" t="str" cm="1">
        <f t="array" ref="O417">_xlfn.IFS(N417="A","א'", N417="B", "ב'", N417= "C", "ג'")</f>
        <v>ג'</v>
      </c>
      <c r="P417" s="10">
        <f>IF(Table_2[[#This Row],[Correct_Answer]]=Table_2[[#This Row],[System_Recommendation]],1,0)</f>
        <v>1</v>
      </c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6" t="s">
        <v>170</v>
      </c>
      <c r="B418" s="6">
        <v>21</v>
      </c>
      <c r="C418" s="6" t="s">
        <v>372</v>
      </c>
      <c r="D418" s="6">
        <v>3</v>
      </c>
      <c r="E418" s="6" t="s">
        <v>111</v>
      </c>
      <c r="F418" s="6" t="s">
        <v>373</v>
      </c>
      <c r="G418" s="6" t="s">
        <v>97</v>
      </c>
      <c r="H418" s="6" t="s">
        <v>149</v>
      </c>
      <c r="I418" s="6" t="s">
        <v>91</v>
      </c>
      <c r="J418" s="6" t="s">
        <v>371</v>
      </c>
      <c r="K418" s="6" t="s">
        <v>383</v>
      </c>
      <c r="L418" s="6" t="str">
        <f>IF(J418="כן", K418, VLOOKUP(LEFT(H418, 7), 'קטלוג תרחישים'!$A:$M, 13, FALSE))</f>
        <v>א'</v>
      </c>
      <c r="M418" s="10"/>
      <c r="N418" s="23" t="s">
        <v>352</v>
      </c>
      <c r="O418" s="10" t="str" cm="1">
        <f t="array" ref="O418">_xlfn.IFS(N418="A","א'", N418="B", "ב'", N418= "C", "ג'")</f>
        <v>א'</v>
      </c>
      <c r="P418" s="10">
        <f>IF(Table_2[[#This Row],[Correct_Answer]]=Table_2[[#This Row],[System_Recommendation]],1,0)</f>
        <v>1</v>
      </c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6" t="s">
        <v>170</v>
      </c>
      <c r="B419" s="6">
        <v>22</v>
      </c>
      <c r="C419" s="6" t="s">
        <v>372</v>
      </c>
      <c r="D419" s="6">
        <v>1</v>
      </c>
      <c r="E419" s="6" t="s">
        <v>105</v>
      </c>
      <c r="F419" s="6" t="s">
        <v>375</v>
      </c>
      <c r="G419" s="6" t="s">
        <v>117</v>
      </c>
      <c r="H419" s="6" t="s">
        <v>167</v>
      </c>
      <c r="I419" s="6" t="s">
        <v>91</v>
      </c>
      <c r="J419" s="6" t="s">
        <v>371</v>
      </c>
      <c r="K419" s="6" t="s">
        <v>385</v>
      </c>
      <c r="L419" s="6" t="str">
        <f>IF(J419="כן", K419, VLOOKUP(LEFT(H419, 7), 'קטלוג תרחישים'!$A:$M, 13, FALSE))</f>
        <v>ג</v>
      </c>
      <c r="M419" s="10"/>
      <c r="N419" s="24" t="s">
        <v>358</v>
      </c>
      <c r="O419" s="10" t="str" cm="1">
        <f t="array" ref="O419">_xlfn.IFS(N419="A","א'", N419="B", "ב'", N419= "C", "ג'")</f>
        <v>ג'</v>
      </c>
      <c r="P419" s="10">
        <f>IF(Table_2[[#This Row],[Correct_Answer]]=Table_2[[#This Row],[System_Recommendation]],1,0)</f>
        <v>1</v>
      </c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6" t="s">
        <v>170</v>
      </c>
      <c r="B420" s="6">
        <v>23</v>
      </c>
      <c r="C420" s="6" t="s">
        <v>372</v>
      </c>
      <c r="D420" s="6">
        <v>1</v>
      </c>
      <c r="E420" s="6" t="s">
        <v>105</v>
      </c>
      <c r="F420" s="6" t="s">
        <v>375</v>
      </c>
      <c r="G420" s="6" t="s">
        <v>117</v>
      </c>
      <c r="H420" s="6" t="s">
        <v>168</v>
      </c>
      <c r="I420" s="6" t="s">
        <v>100</v>
      </c>
      <c r="J420" s="6" t="s">
        <v>371</v>
      </c>
      <c r="K420" s="6" t="s">
        <v>385</v>
      </c>
      <c r="L420" s="6" t="str">
        <f>IF(J420="כן", K420, VLOOKUP(LEFT(H420, 7), 'קטלוג תרחישים'!$A:$M, 13, FALSE))</f>
        <v>ג</v>
      </c>
      <c r="M420" s="10"/>
      <c r="N420" s="23" t="s">
        <v>358</v>
      </c>
      <c r="O420" s="10" t="str" cm="1">
        <f t="array" ref="O420">_xlfn.IFS(N420="A","א'", N420="B", "ב'", N420= "C", "ג'")</f>
        <v>ג'</v>
      </c>
      <c r="P420" s="10">
        <f>IF(Table_2[[#This Row],[Correct_Answer]]=Table_2[[#This Row],[System_Recommendation]],1,0)</f>
        <v>1</v>
      </c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6" t="s">
        <v>170</v>
      </c>
      <c r="B421" s="6">
        <v>24</v>
      </c>
      <c r="C421" s="6" t="s">
        <v>372</v>
      </c>
      <c r="D421" s="6">
        <v>1</v>
      </c>
      <c r="E421" s="6" t="s">
        <v>105</v>
      </c>
      <c r="F421" s="6" t="s">
        <v>375</v>
      </c>
      <c r="G421" s="6" t="s">
        <v>117</v>
      </c>
      <c r="H421" s="6" t="s">
        <v>165</v>
      </c>
      <c r="I421" s="6" t="s">
        <v>91</v>
      </c>
      <c r="J421" s="6" t="s">
        <v>374</v>
      </c>
      <c r="K421" s="6" t="s">
        <v>384</v>
      </c>
      <c r="L421" s="6" t="str">
        <f>IF(J421="כן", K421, VLOOKUP(LEFT(H421, 7), 'קטלוג תרחישים'!$A:$M, 13, FALSE))</f>
        <v>א'</v>
      </c>
      <c r="M421" s="10"/>
      <c r="N421" s="24" t="s">
        <v>357</v>
      </c>
      <c r="O421" s="10" t="str" cm="1">
        <f t="array" ref="O421">_xlfn.IFS(N421="A","א'", N421="B", "ב'", N421= "C", "ג'")</f>
        <v>ב'</v>
      </c>
      <c r="P421" s="10">
        <f>IF(Table_2[[#This Row],[Correct_Answer]]=Table_2[[#This Row],[System_Recommendation]],1,0)</f>
        <v>0</v>
      </c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6" t="s">
        <v>170</v>
      </c>
      <c r="B422" s="6">
        <v>25</v>
      </c>
      <c r="C422" s="6" t="s">
        <v>372</v>
      </c>
      <c r="D422" s="6">
        <v>1</v>
      </c>
      <c r="E422" s="6" t="s">
        <v>105</v>
      </c>
      <c r="F422" s="6" t="s">
        <v>375</v>
      </c>
      <c r="G422" s="6" t="s">
        <v>117</v>
      </c>
      <c r="H422" s="6" t="s">
        <v>166</v>
      </c>
      <c r="I422" s="6" t="s">
        <v>100</v>
      </c>
      <c r="J422" s="6" t="s">
        <v>374</v>
      </c>
      <c r="K422" s="6" t="s">
        <v>383</v>
      </c>
      <c r="L422" s="6" t="str">
        <f>IF(J422="כן", K422, VLOOKUP(LEFT(H422, 7), 'קטלוג תרחישים'!$A:$M, 13, FALSE))</f>
        <v>ג'</v>
      </c>
      <c r="M422" s="10"/>
      <c r="N422" s="23" t="s">
        <v>352</v>
      </c>
      <c r="O422" s="10" t="str" cm="1">
        <f t="array" ref="O422">_xlfn.IFS(N422="A","א'", N422="B", "ב'", N422= "C", "ג'")</f>
        <v>א'</v>
      </c>
      <c r="P422" s="10">
        <f>IF(Table_2[[#This Row],[Correct_Answer]]=Table_2[[#This Row],[System_Recommendation]],1,0)</f>
        <v>0</v>
      </c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6" t="s">
        <v>170</v>
      </c>
      <c r="B423" s="6">
        <v>26</v>
      </c>
      <c r="C423" s="6" t="s">
        <v>372</v>
      </c>
      <c r="D423" s="6">
        <v>2</v>
      </c>
      <c r="E423" s="6" t="s">
        <v>111</v>
      </c>
      <c r="F423" s="6" t="s">
        <v>375</v>
      </c>
      <c r="G423" s="6" t="s">
        <v>117</v>
      </c>
      <c r="H423" s="6" t="s">
        <v>157</v>
      </c>
      <c r="I423" s="6" t="s">
        <v>91</v>
      </c>
      <c r="J423" s="6" t="s">
        <v>374</v>
      </c>
      <c r="K423" s="6" t="s">
        <v>385</v>
      </c>
      <c r="L423" s="6" t="str">
        <f>IF(J423="כן", K423, VLOOKUP(LEFT(H423, 7), 'קטלוג תרחישים'!$A:$M, 13, FALSE))</f>
        <v>א'</v>
      </c>
      <c r="M423" s="10"/>
      <c r="N423" s="24" t="s">
        <v>358</v>
      </c>
      <c r="O423" s="10" t="str" cm="1">
        <f t="array" ref="O423">_xlfn.IFS(N423="A","א'", N423="B", "ב'", N423= "C", "ג'")</f>
        <v>ג'</v>
      </c>
      <c r="P423" s="10">
        <f>IF(Table_2[[#This Row],[Correct_Answer]]=Table_2[[#This Row],[System_Recommendation]],1,0)</f>
        <v>0</v>
      </c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6" t="s">
        <v>170</v>
      </c>
      <c r="B424" s="6">
        <v>27</v>
      </c>
      <c r="C424" s="6" t="s">
        <v>372</v>
      </c>
      <c r="D424" s="6">
        <v>2</v>
      </c>
      <c r="E424" s="6" t="s">
        <v>111</v>
      </c>
      <c r="F424" s="6" t="s">
        <v>375</v>
      </c>
      <c r="G424" s="6" t="s">
        <v>117</v>
      </c>
      <c r="H424" s="6" t="s">
        <v>160</v>
      </c>
      <c r="I424" s="6" t="s">
        <v>100</v>
      </c>
      <c r="J424" s="6" t="s">
        <v>374</v>
      </c>
      <c r="K424" s="6" t="s">
        <v>384</v>
      </c>
      <c r="L424" s="6" t="str">
        <f>IF(J424="כן", K424, VLOOKUP(LEFT(H424, 7), 'קטלוג תרחישים'!$A:$M, 13, FALSE))</f>
        <v>ב'</v>
      </c>
      <c r="M424" s="10"/>
      <c r="N424" s="23" t="s">
        <v>357</v>
      </c>
      <c r="O424" s="10" t="str" cm="1">
        <f t="array" ref="O424">_xlfn.IFS(N424="A","א'", N424="B", "ב'", N424= "C", "ג'")</f>
        <v>ב'</v>
      </c>
      <c r="P424" s="10">
        <f>IF(Table_2[[#This Row],[Correct_Answer]]=Table_2[[#This Row],[System_Recommendation]],1,0)</f>
        <v>1</v>
      </c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6" t="s">
        <v>170</v>
      </c>
      <c r="B425" s="6">
        <v>28</v>
      </c>
      <c r="C425" s="6" t="s">
        <v>372</v>
      </c>
      <c r="D425" s="6">
        <v>2</v>
      </c>
      <c r="E425" s="6" t="s">
        <v>111</v>
      </c>
      <c r="F425" s="6" t="s">
        <v>375</v>
      </c>
      <c r="G425" s="6" t="s">
        <v>117</v>
      </c>
      <c r="H425" s="6" t="s">
        <v>159</v>
      </c>
      <c r="I425" s="6" t="s">
        <v>91</v>
      </c>
      <c r="J425" s="6" t="s">
        <v>371</v>
      </c>
      <c r="K425" s="6" t="s">
        <v>385</v>
      </c>
      <c r="L425" s="6" t="str">
        <f>IF(J425="כן", K425, VLOOKUP(LEFT(H425, 7), 'קטלוג תרחישים'!$A:$M, 13, FALSE))</f>
        <v>ג</v>
      </c>
      <c r="M425" s="10"/>
      <c r="N425" s="24" t="s">
        <v>358</v>
      </c>
      <c r="O425" s="10" t="str" cm="1">
        <f t="array" ref="O425">_xlfn.IFS(N425="A","א'", N425="B", "ב'", N425= "C", "ג'")</f>
        <v>ג'</v>
      </c>
      <c r="P425" s="10">
        <f>IF(Table_2[[#This Row],[Correct_Answer]]=Table_2[[#This Row],[System_Recommendation]],1,0)</f>
        <v>1</v>
      </c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6" t="s">
        <v>170</v>
      </c>
      <c r="B426" s="6">
        <v>29</v>
      </c>
      <c r="C426" s="6" t="s">
        <v>372</v>
      </c>
      <c r="D426" s="6">
        <v>2</v>
      </c>
      <c r="E426" s="6" t="s">
        <v>111</v>
      </c>
      <c r="F426" s="6" t="s">
        <v>375</v>
      </c>
      <c r="G426" s="6" t="s">
        <v>117</v>
      </c>
      <c r="H426" s="6" t="s">
        <v>158</v>
      </c>
      <c r="I426" s="6" t="s">
        <v>100</v>
      </c>
      <c r="J426" s="6" t="s">
        <v>371</v>
      </c>
      <c r="K426" s="6" t="s">
        <v>385</v>
      </c>
      <c r="L426" s="6" t="str">
        <f>IF(J426="כן", K426, VLOOKUP(LEFT(H426, 7), 'קטלוג תרחישים'!$A:$M, 13, FALSE))</f>
        <v>ג</v>
      </c>
      <c r="M426" s="10"/>
      <c r="N426" s="23" t="s">
        <v>358</v>
      </c>
      <c r="O426" s="10" t="str" cm="1">
        <f t="array" ref="O426">_xlfn.IFS(N426="A","א'", N426="B", "ב'", N426= "C", "ג'")</f>
        <v>ג'</v>
      </c>
      <c r="P426" s="10">
        <f>IF(Table_2[[#This Row],[Correct_Answer]]=Table_2[[#This Row],[System_Recommendation]],1,0)</f>
        <v>1</v>
      </c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6" t="s">
        <v>170</v>
      </c>
      <c r="B427" s="6">
        <v>30</v>
      </c>
      <c r="C427" s="6" t="s">
        <v>372</v>
      </c>
      <c r="D427" s="6">
        <v>3</v>
      </c>
      <c r="E427" s="6" t="s">
        <v>98</v>
      </c>
      <c r="F427" s="6" t="s">
        <v>375</v>
      </c>
      <c r="G427" s="6" t="s">
        <v>117</v>
      </c>
      <c r="H427" s="6" t="s">
        <v>163</v>
      </c>
      <c r="I427" s="6" t="s">
        <v>91</v>
      </c>
      <c r="J427" s="6" t="s">
        <v>374</v>
      </c>
      <c r="K427" s="6" t="s">
        <v>384</v>
      </c>
      <c r="L427" s="6" t="str">
        <f>IF(J427="כן", K427, VLOOKUP(LEFT(H427, 7), 'קטלוג תרחישים'!$A:$M, 13, FALSE))</f>
        <v>א'</v>
      </c>
      <c r="M427" s="10"/>
      <c r="N427" s="24" t="s">
        <v>357</v>
      </c>
      <c r="O427" s="10" t="str" cm="1">
        <f t="array" ref="O427">_xlfn.IFS(N427="A","א'", N427="B", "ב'", N427= "C", "ג'")</f>
        <v>ב'</v>
      </c>
      <c r="P427" s="10">
        <f>IF(Table_2[[#This Row],[Correct_Answer]]=Table_2[[#This Row],[System_Recommendation]],1,0)</f>
        <v>0</v>
      </c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6" t="s">
        <v>170</v>
      </c>
      <c r="B428" s="6">
        <v>31</v>
      </c>
      <c r="C428" s="6" t="s">
        <v>372</v>
      </c>
      <c r="D428" s="6">
        <v>3</v>
      </c>
      <c r="E428" s="6" t="s">
        <v>98</v>
      </c>
      <c r="F428" s="6" t="s">
        <v>375</v>
      </c>
      <c r="G428" s="6" t="s">
        <v>117</v>
      </c>
      <c r="H428" s="6" t="s">
        <v>164</v>
      </c>
      <c r="I428" s="6" t="s">
        <v>100</v>
      </c>
      <c r="J428" s="6" t="s">
        <v>371</v>
      </c>
      <c r="K428" s="6" t="s">
        <v>385</v>
      </c>
      <c r="L428" s="6" t="str">
        <f>IF(J428="כן", K428, VLOOKUP(LEFT(H428, 7), 'קטלוג תרחישים'!$A:$M, 13, FALSE))</f>
        <v>ג</v>
      </c>
      <c r="M428" s="10"/>
      <c r="N428" s="23" t="s">
        <v>358</v>
      </c>
      <c r="O428" s="10" t="str" cm="1">
        <f t="array" ref="O428">_xlfn.IFS(N428="A","א'", N428="B", "ב'", N428= "C", "ג'")</f>
        <v>ג'</v>
      </c>
      <c r="P428" s="10">
        <f>IF(Table_2[[#This Row],[Correct_Answer]]=Table_2[[#This Row],[System_Recommendation]],1,0)</f>
        <v>1</v>
      </c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6" t="s">
        <v>170</v>
      </c>
      <c r="B429" s="6">
        <v>32</v>
      </c>
      <c r="C429" s="6" t="s">
        <v>372</v>
      </c>
      <c r="D429" s="6">
        <v>3</v>
      </c>
      <c r="E429" s="6" t="s">
        <v>98</v>
      </c>
      <c r="F429" s="6" t="s">
        <v>375</v>
      </c>
      <c r="G429" s="6" t="s">
        <v>117</v>
      </c>
      <c r="H429" s="6" t="s">
        <v>161</v>
      </c>
      <c r="I429" s="6" t="s">
        <v>91</v>
      </c>
      <c r="J429" s="6" t="s">
        <v>371</v>
      </c>
      <c r="K429" s="6" t="s">
        <v>383</v>
      </c>
      <c r="L429" s="6" t="str">
        <f>IF(J429="כן", K429, VLOOKUP(LEFT(H429, 7), 'קטלוג תרחישים'!$A:$M, 13, FALSE))</f>
        <v>א'</v>
      </c>
      <c r="M429" s="10"/>
      <c r="N429" s="24" t="s">
        <v>352</v>
      </c>
      <c r="O429" s="10" t="str" cm="1">
        <f t="array" ref="O429">_xlfn.IFS(N429="A","א'", N429="B", "ב'", N429= "C", "ג'")</f>
        <v>א'</v>
      </c>
      <c r="P429" s="10">
        <f>IF(Table_2[[#This Row],[Correct_Answer]]=Table_2[[#This Row],[System_Recommendation]],1,0)</f>
        <v>1</v>
      </c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6" t="s">
        <v>170</v>
      </c>
      <c r="B430" s="6">
        <v>33</v>
      </c>
      <c r="C430" s="6" t="s">
        <v>372</v>
      </c>
      <c r="D430" s="6">
        <v>3</v>
      </c>
      <c r="E430" s="6" t="s">
        <v>98</v>
      </c>
      <c r="F430" s="6" t="s">
        <v>375</v>
      </c>
      <c r="G430" s="6" t="s">
        <v>117</v>
      </c>
      <c r="H430" s="6" t="s">
        <v>162</v>
      </c>
      <c r="I430" s="6" t="s">
        <v>100</v>
      </c>
      <c r="J430" s="6" t="s">
        <v>374</v>
      </c>
      <c r="K430" s="6" t="s">
        <v>383</v>
      </c>
      <c r="L430" s="6" t="str">
        <f>IF(J430="כן", K430, VLOOKUP(LEFT(H430, 7), 'קטלוג תרחישים'!$A:$M, 13, FALSE))</f>
        <v>ב'</v>
      </c>
      <c r="M430" s="10"/>
      <c r="N430" s="23" t="s">
        <v>352</v>
      </c>
      <c r="O430" s="10" t="str" cm="1">
        <f t="array" ref="O430">_xlfn.IFS(N430="A","א'", N430="B", "ב'", N430= "C", "ג'")</f>
        <v>א'</v>
      </c>
      <c r="P430" s="10">
        <f>IF(Table_2[[#This Row],[Correct_Answer]]=Table_2[[#This Row],[System_Recommendation]],1,0)</f>
        <v>0</v>
      </c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6" t="s">
        <v>171</v>
      </c>
      <c r="B431" s="6">
        <v>1</v>
      </c>
      <c r="C431" s="6" t="s">
        <v>370</v>
      </c>
      <c r="D431" s="6"/>
      <c r="E431" s="6" t="s">
        <v>98</v>
      </c>
      <c r="F431" s="6"/>
      <c r="G431" s="6"/>
      <c r="H431" s="8" t="s">
        <v>90</v>
      </c>
      <c r="I431" s="6" t="s">
        <v>91</v>
      </c>
      <c r="J431" s="6" t="s">
        <v>371</v>
      </c>
      <c r="K431" s="6" t="s">
        <v>385</v>
      </c>
      <c r="L431" s="6" t="str">
        <f>IF(J431="כן", K431, VLOOKUP(LEFT(H431, 7), 'קטלוג תרחישים'!$A:$M, 13, FALSE))</f>
        <v>ג</v>
      </c>
      <c r="M431" s="10"/>
      <c r="N431" s="24" t="s">
        <v>358</v>
      </c>
      <c r="O431" s="10" t="str" cm="1">
        <f t="array" ref="O431">_xlfn.IFS(N431="A","א'", N431="B", "ב'", N431= "C", "ג'")</f>
        <v>ג'</v>
      </c>
      <c r="P431" s="10">
        <f>IF(Table_2[[#This Row],[Correct_Answer]]=Table_2[[#This Row],[System_Recommendation]],1,0)</f>
        <v>1</v>
      </c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6" t="s">
        <v>171</v>
      </c>
      <c r="B432" s="6">
        <v>2</v>
      </c>
      <c r="C432" s="6" t="s">
        <v>370</v>
      </c>
      <c r="D432" s="6"/>
      <c r="E432" s="6" t="s">
        <v>98</v>
      </c>
      <c r="F432" s="6"/>
      <c r="G432" s="6"/>
      <c r="H432" s="8" t="s">
        <v>92</v>
      </c>
      <c r="I432" s="6" t="s">
        <v>91</v>
      </c>
      <c r="J432" s="6" t="s">
        <v>371</v>
      </c>
      <c r="K432" s="6" t="s">
        <v>385</v>
      </c>
      <c r="L432" s="6" t="str">
        <f>IF(J432="כן", K432, VLOOKUP(LEFT(H432, 7), 'קטלוג תרחישים'!$A:$M, 13, FALSE))</f>
        <v>ג</v>
      </c>
      <c r="M432" s="10"/>
      <c r="N432" s="23" t="s">
        <v>358</v>
      </c>
      <c r="O432" s="10" t="str" cm="1">
        <f t="array" ref="O432">_xlfn.IFS(N432="A","א'", N432="B", "ב'", N432= "C", "ג'")</f>
        <v>ג'</v>
      </c>
      <c r="P432" s="10">
        <f>IF(Table_2[[#This Row],[Correct_Answer]]=Table_2[[#This Row],[System_Recommendation]],1,0)</f>
        <v>1</v>
      </c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6" t="s">
        <v>171</v>
      </c>
      <c r="B433" s="6">
        <v>3</v>
      </c>
      <c r="C433" s="6" t="s">
        <v>370</v>
      </c>
      <c r="D433" s="6"/>
      <c r="E433" s="6" t="s">
        <v>105</v>
      </c>
      <c r="F433" s="6"/>
      <c r="G433" s="6"/>
      <c r="H433" s="8" t="s">
        <v>93</v>
      </c>
      <c r="I433" s="6" t="s">
        <v>91</v>
      </c>
      <c r="J433" s="6" t="s">
        <v>371</v>
      </c>
      <c r="K433" s="6" t="s">
        <v>385</v>
      </c>
      <c r="L433" s="6" t="str">
        <f>IF(J433="כן", K433, VLOOKUP(LEFT(H433, 7), 'קטלוג תרחישים'!$A:$M, 13, FALSE))</f>
        <v>ג</v>
      </c>
      <c r="M433" s="10"/>
      <c r="N433" s="24" t="s">
        <v>358</v>
      </c>
      <c r="O433" s="10" t="str" cm="1">
        <f t="array" ref="O433">_xlfn.IFS(N433="A","א'", N433="B", "ב'", N433= "C", "ג'")</f>
        <v>ג'</v>
      </c>
      <c r="P433" s="10">
        <f>IF(Table_2[[#This Row],[Correct_Answer]]=Table_2[[#This Row],[System_Recommendation]],1,0)</f>
        <v>1</v>
      </c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6" t="s">
        <v>171</v>
      </c>
      <c r="B434" s="6">
        <v>4</v>
      </c>
      <c r="C434" s="6" t="s">
        <v>370</v>
      </c>
      <c r="D434" s="6"/>
      <c r="E434" s="6" t="s">
        <v>105</v>
      </c>
      <c r="F434" s="6"/>
      <c r="G434" s="6"/>
      <c r="H434" s="8" t="s">
        <v>94</v>
      </c>
      <c r="I434" s="6" t="s">
        <v>91</v>
      </c>
      <c r="J434" s="6" t="s">
        <v>371</v>
      </c>
      <c r="K434" s="6" t="s">
        <v>384</v>
      </c>
      <c r="L434" s="6" t="str">
        <f>IF(J434="כן", K434, VLOOKUP(LEFT(H434, 7), 'קטלוג תרחישים'!$A:$M, 13, FALSE))</f>
        <v>ב'</v>
      </c>
      <c r="M434" s="10"/>
      <c r="N434" s="23" t="s">
        <v>357</v>
      </c>
      <c r="O434" s="10" t="str" cm="1">
        <f t="array" ref="O434">_xlfn.IFS(N434="A","א'", N434="B", "ב'", N434= "C", "ג'")</f>
        <v>ב'</v>
      </c>
      <c r="P434" s="10">
        <f>IF(Table_2[[#This Row],[Correct_Answer]]=Table_2[[#This Row],[System_Recommendation]],1,0)</f>
        <v>1</v>
      </c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6" t="s">
        <v>171</v>
      </c>
      <c r="B435" s="6">
        <v>5</v>
      </c>
      <c r="C435" s="6" t="s">
        <v>370</v>
      </c>
      <c r="D435" s="6"/>
      <c r="E435" s="6" t="s">
        <v>111</v>
      </c>
      <c r="F435" s="6"/>
      <c r="G435" s="6"/>
      <c r="H435" s="8" t="s">
        <v>95</v>
      </c>
      <c r="I435" s="6" t="s">
        <v>91</v>
      </c>
      <c r="J435" s="6" t="s">
        <v>371</v>
      </c>
      <c r="K435" s="6" t="s">
        <v>383</v>
      </c>
      <c r="L435" s="6" t="str">
        <f>IF(J435="כן", K435, VLOOKUP(LEFT(H435, 7), 'קטלוג תרחישים'!$A:$M, 13, FALSE))</f>
        <v>א'</v>
      </c>
      <c r="M435" s="10"/>
      <c r="N435" s="24" t="s">
        <v>352</v>
      </c>
      <c r="O435" s="10" t="str" cm="1">
        <f t="array" ref="O435">_xlfn.IFS(N435="A","א'", N435="B", "ב'", N435= "C", "ג'")</f>
        <v>א'</v>
      </c>
      <c r="P435" s="10">
        <f>IF(Table_2[[#This Row],[Correct_Answer]]=Table_2[[#This Row],[System_Recommendation]],1,0)</f>
        <v>1</v>
      </c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6" t="s">
        <v>171</v>
      </c>
      <c r="B436" s="6">
        <v>6</v>
      </c>
      <c r="C436" s="6" t="s">
        <v>370</v>
      </c>
      <c r="D436" s="6"/>
      <c r="E436" s="6" t="s">
        <v>111</v>
      </c>
      <c r="F436" s="6"/>
      <c r="G436" s="6"/>
      <c r="H436" s="8" t="s">
        <v>96</v>
      </c>
      <c r="I436" s="6" t="s">
        <v>91</v>
      </c>
      <c r="J436" s="6" t="s">
        <v>371</v>
      </c>
      <c r="K436" s="6" t="s">
        <v>385</v>
      </c>
      <c r="L436" s="6" t="str">
        <f>IF(J436="כן", K436, VLOOKUP(LEFT(H436, 7), 'קטלוג תרחישים'!$A:$M, 13, FALSE))</f>
        <v>ג</v>
      </c>
      <c r="M436" s="10"/>
      <c r="N436" s="23" t="s">
        <v>358</v>
      </c>
      <c r="O436" s="10" t="str" cm="1">
        <f t="array" ref="O436">_xlfn.IFS(N436="A","א'", N436="B", "ב'", N436= "C", "ג'")</f>
        <v>ג'</v>
      </c>
      <c r="P436" s="10">
        <f>IF(Table_2[[#This Row],[Correct_Answer]]=Table_2[[#This Row],[System_Recommendation]],1,0)</f>
        <v>1</v>
      </c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6" t="s">
        <v>171</v>
      </c>
      <c r="B437" s="6">
        <v>7</v>
      </c>
      <c r="C437" s="6" t="s">
        <v>372</v>
      </c>
      <c r="D437" s="6">
        <v>1</v>
      </c>
      <c r="E437" s="6" t="s">
        <v>111</v>
      </c>
      <c r="F437" s="6" t="s">
        <v>373</v>
      </c>
      <c r="G437" s="6" t="s">
        <v>117</v>
      </c>
      <c r="H437" s="6" t="s">
        <v>157</v>
      </c>
      <c r="I437" s="6" t="s">
        <v>91</v>
      </c>
      <c r="J437" s="6" t="s">
        <v>374</v>
      </c>
      <c r="K437" s="6" t="s">
        <v>385</v>
      </c>
      <c r="L437" s="6" t="str">
        <f>IF(J437="כן", K437, VLOOKUP(LEFT(H437, 7), 'קטלוג תרחישים'!$A:$M, 13, FALSE))</f>
        <v>א'</v>
      </c>
      <c r="M437" s="10"/>
      <c r="N437" s="24" t="s">
        <v>358</v>
      </c>
      <c r="O437" s="10" t="str" cm="1">
        <f t="array" ref="O437">_xlfn.IFS(N437="A","א'", N437="B", "ב'", N437= "C", "ג'")</f>
        <v>ג'</v>
      </c>
      <c r="P437" s="10">
        <f>IF(Table_2[[#This Row],[Correct_Answer]]=Table_2[[#This Row],[System_Recommendation]],1,0)</f>
        <v>0</v>
      </c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6" t="s">
        <v>171</v>
      </c>
      <c r="B438" s="6">
        <v>8</v>
      </c>
      <c r="C438" s="6" t="s">
        <v>372</v>
      </c>
      <c r="D438" s="6">
        <v>1</v>
      </c>
      <c r="E438" s="6" t="s">
        <v>111</v>
      </c>
      <c r="F438" s="6" t="s">
        <v>373</v>
      </c>
      <c r="G438" s="6" t="s">
        <v>117</v>
      </c>
      <c r="H438" s="6" t="s">
        <v>158</v>
      </c>
      <c r="I438" s="6" t="s">
        <v>100</v>
      </c>
      <c r="J438" s="6" t="s">
        <v>374</v>
      </c>
      <c r="K438" s="6" t="s">
        <v>384</v>
      </c>
      <c r="L438" s="6" t="str">
        <f>IF(J438="כן", K438, VLOOKUP(LEFT(H438, 7), 'קטלוג תרחישים'!$A:$M, 13, FALSE))</f>
        <v>ב'</v>
      </c>
      <c r="M438" s="10"/>
      <c r="N438" s="23" t="s">
        <v>357</v>
      </c>
      <c r="O438" s="10" t="str" cm="1">
        <f t="array" ref="O438">_xlfn.IFS(N438="A","א'", N438="B", "ב'", N438= "C", "ג'")</f>
        <v>ב'</v>
      </c>
      <c r="P438" s="10">
        <f>IF(Table_2[[#This Row],[Correct_Answer]]=Table_2[[#This Row],[System_Recommendation]],1,0)</f>
        <v>1</v>
      </c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6" t="s">
        <v>171</v>
      </c>
      <c r="B439" s="6">
        <v>9</v>
      </c>
      <c r="C439" s="6" t="s">
        <v>372</v>
      </c>
      <c r="D439" s="6">
        <v>1</v>
      </c>
      <c r="E439" s="6" t="s">
        <v>111</v>
      </c>
      <c r="F439" s="6" t="s">
        <v>373</v>
      </c>
      <c r="G439" s="6" t="s">
        <v>117</v>
      </c>
      <c r="H439" s="6" t="s">
        <v>159</v>
      </c>
      <c r="I439" s="6" t="s">
        <v>91</v>
      </c>
      <c r="J439" s="6" t="s">
        <v>371</v>
      </c>
      <c r="K439" s="6" t="s">
        <v>384</v>
      </c>
      <c r="L439" s="6" t="str">
        <f>IF(J439="כן", K439, VLOOKUP(LEFT(H439, 7), 'קטלוג תרחישים'!$A:$M, 13, FALSE))</f>
        <v>ב'</v>
      </c>
      <c r="M439" s="10"/>
      <c r="N439" s="24" t="s">
        <v>357</v>
      </c>
      <c r="O439" s="10" t="str" cm="1">
        <f t="array" ref="O439">_xlfn.IFS(N439="A","א'", N439="B", "ב'", N439= "C", "ג'")</f>
        <v>ב'</v>
      </c>
      <c r="P439" s="10">
        <f>IF(Table_2[[#This Row],[Correct_Answer]]=Table_2[[#This Row],[System_Recommendation]],1,0)</f>
        <v>1</v>
      </c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6" t="s">
        <v>171</v>
      </c>
      <c r="B440" s="6">
        <v>10</v>
      </c>
      <c r="C440" s="6" t="s">
        <v>372</v>
      </c>
      <c r="D440" s="6">
        <v>1</v>
      </c>
      <c r="E440" s="6" t="s">
        <v>111</v>
      </c>
      <c r="F440" s="6" t="s">
        <v>373</v>
      </c>
      <c r="G440" s="6" t="s">
        <v>117</v>
      </c>
      <c r="H440" s="6" t="s">
        <v>160</v>
      </c>
      <c r="I440" s="6" t="s">
        <v>100</v>
      </c>
      <c r="J440" s="6" t="s">
        <v>371</v>
      </c>
      <c r="K440" s="6" t="s">
        <v>384</v>
      </c>
      <c r="L440" s="6" t="str">
        <f>IF(J440="כן", K440, VLOOKUP(LEFT(H440, 7), 'קטלוג תרחישים'!$A:$M, 13, FALSE))</f>
        <v>ב'</v>
      </c>
      <c r="M440" s="10"/>
      <c r="N440" s="23" t="s">
        <v>357</v>
      </c>
      <c r="O440" s="10" t="str" cm="1">
        <f t="array" ref="O440">_xlfn.IFS(N440="A","א'", N440="B", "ב'", N440= "C", "ג'")</f>
        <v>ב'</v>
      </c>
      <c r="P440" s="10">
        <f>IF(Table_2[[#This Row],[Correct_Answer]]=Table_2[[#This Row],[System_Recommendation]],1,0)</f>
        <v>1</v>
      </c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6" t="s">
        <v>171</v>
      </c>
      <c r="B441" s="6">
        <v>11</v>
      </c>
      <c r="C441" s="6" t="s">
        <v>372</v>
      </c>
      <c r="D441" s="6">
        <v>2</v>
      </c>
      <c r="E441" s="6" t="s">
        <v>98</v>
      </c>
      <c r="F441" s="6" t="s">
        <v>373</v>
      </c>
      <c r="G441" s="6" t="s">
        <v>117</v>
      </c>
      <c r="H441" s="6" t="s">
        <v>161</v>
      </c>
      <c r="I441" s="6" t="s">
        <v>91</v>
      </c>
      <c r="J441" s="6" t="s">
        <v>374</v>
      </c>
      <c r="K441" s="6" t="s">
        <v>383</v>
      </c>
      <c r="L441" s="6" t="str">
        <f>IF(J441="כן", K441, VLOOKUP(LEFT(H441, 7), 'קטלוג תרחישים'!$A:$M, 13, FALSE))</f>
        <v>א'</v>
      </c>
      <c r="M441" s="10"/>
      <c r="N441" s="24" t="s">
        <v>352</v>
      </c>
      <c r="O441" s="10" t="str" cm="1">
        <f t="array" ref="O441">_xlfn.IFS(N441="A","א'", N441="B", "ב'", N441= "C", "ג'")</f>
        <v>א'</v>
      </c>
      <c r="P441" s="10">
        <f>IF(Table_2[[#This Row],[Correct_Answer]]=Table_2[[#This Row],[System_Recommendation]],1,0)</f>
        <v>1</v>
      </c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6" t="s">
        <v>171</v>
      </c>
      <c r="B442" s="6">
        <v>12</v>
      </c>
      <c r="C442" s="6" t="s">
        <v>372</v>
      </c>
      <c r="D442" s="6">
        <v>2</v>
      </c>
      <c r="E442" s="6" t="s">
        <v>98</v>
      </c>
      <c r="F442" s="6" t="s">
        <v>373</v>
      </c>
      <c r="G442" s="6" t="s">
        <v>117</v>
      </c>
      <c r="H442" s="6" t="s">
        <v>162</v>
      </c>
      <c r="I442" s="6" t="s">
        <v>100</v>
      </c>
      <c r="J442" s="6" t="s">
        <v>374</v>
      </c>
      <c r="K442" s="6" t="s">
        <v>385</v>
      </c>
      <c r="L442" s="6" t="str">
        <f>IF(J442="כן", K442, VLOOKUP(LEFT(H442, 7), 'קטלוג תרחישים'!$A:$M, 13, FALSE))</f>
        <v>ב'</v>
      </c>
      <c r="M442" s="10"/>
      <c r="N442" s="23" t="s">
        <v>358</v>
      </c>
      <c r="O442" s="10" t="str" cm="1">
        <f t="array" ref="O442">_xlfn.IFS(N442="A","א'", N442="B", "ב'", N442= "C", "ג'")</f>
        <v>ג'</v>
      </c>
      <c r="P442" s="10">
        <f>IF(Table_2[[#This Row],[Correct_Answer]]=Table_2[[#This Row],[System_Recommendation]],1,0)</f>
        <v>0</v>
      </c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6" t="s">
        <v>171</v>
      </c>
      <c r="B443" s="6">
        <v>13</v>
      </c>
      <c r="C443" s="6" t="s">
        <v>372</v>
      </c>
      <c r="D443" s="6">
        <v>2</v>
      </c>
      <c r="E443" s="6" t="s">
        <v>98</v>
      </c>
      <c r="F443" s="6" t="s">
        <v>373</v>
      </c>
      <c r="G443" s="6" t="s">
        <v>117</v>
      </c>
      <c r="H443" s="6" t="s">
        <v>163</v>
      </c>
      <c r="I443" s="6" t="s">
        <v>91</v>
      </c>
      <c r="J443" s="6" t="s">
        <v>371</v>
      </c>
      <c r="K443" s="6" t="s">
        <v>383</v>
      </c>
      <c r="L443" s="6" t="str">
        <f>IF(J443="כן", K443, VLOOKUP(LEFT(H443, 7), 'קטלוג תרחישים'!$A:$M, 13, FALSE))</f>
        <v>א'</v>
      </c>
      <c r="M443" s="10"/>
      <c r="N443" s="24" t="s">
        <v>352</v>
      </c>
      <c r="O443" s="10" t="str" cm="1">
        <f t="array" ref="O443">_xlfn.IFS(N443="A","א'", N443="B", "ב'", N443= "C", "ג'")</f>
        <v>א'</v>
      </c>
      <c r="P443" s="10">
        <f>IF(Table_2[[#This Row],[Correct_Answer]]=Table_2[[#This Row],[System_Recommendation]],1,0)</f>
        <v>1</v>
      </c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6" t="s">
        <v>171</v>
      </c>
      <c r="B444" s="6">
        <v>14</v>
      </c>
      <c r="C444" s="6" t="s">
        <v>372</v>
      </c>
      <c r="D444" s="6">
        <v>2</v>
      </c>
      <c r="E444" s="6" t="s">
        <v>98</v>
      </c>
      <c r="F444" s="6" t="s">
        <v>373</v>
      </c>
      <c r="G444" s="6" t="s">
        <v>117</v>
      </c>
      <c r="H444" s="6" t="s">
        <v>164</v>
      </c>
      <c r="I444" s="6" t="s">
        <v>100</v>
      </c>
      <c r="J444" s="6" t="s">
        <v>371</v>
      </c>
      <c r="K444" s="6" t="s">
        <v>383</v>
      </c>
      <c r="L444" s="6" t="str">
        <f>IF(J444="כן", K444, VLOOKUP(LEFT(H444, 7), 'קטלוג תרחישים'!$A:$M, 13, FALSE))</f>
        <v>א'</v>
      </c>
      <c r="M444" s="10"/>
      <c r="N444" s="23" t="s">
        <v>352</v>
      </c>
      <c r="O444" s="10" t="str" cm="1">
        <f t="array" ref="O444">_xlfn.IFS(N444="A","א'", N444="B", "ב'", N444= "C", "ג'")</f>
        <v>א'</v>
      </c>
      <c r="P444" s="10">
        <f>IF(Table_2[[#This Row],[Correct_Answer]]=Table_2[[#This Row],[System_Recommendation]],1,0)</f>
        <v>1</v>
      </c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6" t="s">
        <v>171</v>
      </c>
      <c r="B445" s="6">
        <v>15</v>
      </c>
      <c r="C445" s="6" t="s">
        <v>372</v>
      </c>
      <c r="D445" s="6">
        <v>3</v>
      </c>
      <c r="E445" s="6" t="s">
        <v>105</v>
      </c>
      <c r="F445" s="6" t="s">
        <v>373</v>
      </c>
      <c r="G445" s="6" t="s">
        <v>117</v>
      </c>
      <c r="H445" s="6" t="s">
        <v>167</v>
      </c>
      <c r="I445" s="6" t="s">
        <v>91</v>
      </c>
      <c r="J445" s="6" t="s">
        <v>374</v>
      </c>
      <c r="K445" s="6" t="s">
        <v>383</v>
      </c>
      <c r="L445" s="6" t="str">
        <f>IF(J445="כן", K445, VLOOKUP(LEFT(H445, 7), 'קטלוג תרחישים'!$A:$M, 13, FALSE))</f>
        <v>ג'</v>
      </c>
      <c r="M445" s="10"/>
      <c r="N445" s="24" t="s">
        <v>352</v>
      </c>
      <c r="O445" s="10" t="str" cm="1">
        <f t="array" ref="O445">_xlfn.IFS(N445="A","א'", N445="B", "ב'", N445= "C", "ג'")</f>
        <v>א'</v>
      </c>
      <c r="P445" s="10">
        <f>IF(Table_2[[#This Row],[Correct_Answer]]=Table_2[[#This Row],[System_Recommendation]],1,0)</f>
        <v>0</v>
      </c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6" t="s">
        <v>171</v>
      </c>
      <c r="B446" s="6">
        <v>16</v>
      </c>
      <c r="C446" s="6" t="s">
        <v>372</v>
      </c>
      <c r="D446" s="6">
        <v>3</v>
      </c>
      <c r="E446" s="6" t="s">
        <v>105</v>
      </c>
      <c r="F446" s="6" t="s">
        <v>373</v>
      </c>
      <c r="G446" s="6" t="s">
        <v>117</v>
      </c>
      <c r="H446" s="6" t="s">
        <v>166</v>
      </c>
      <c r="I446" s="6" t="s">
        <v>100</v>
      </c>
      <c r="J446" s="6" t="s">
        <v>374</v>
      </c>
      <c r="K446" s="6" t="s">
        <v>384</v>
      </c>
      <c r="L446" s="6" t="str">
        <f>IF(J446="כן", K446, VLOOKUP(LEFT(H446, 7), 'קטלוג תרחישים'!$A:$M, 13, FALSE))</f>
        <v>ג'</v>
      </c>
      <c r="M446" s="10"/>
      <c r="N446" s="23" t="s">
        <v>357</v>
      </c>
      <c r="O446" s="10" t="str" cm="1">
        <f t="array" ref="O446">_xlfn.IFS(N446="A","א'", N446="B", "ב'", N446= "C", "ג'")</f>
        <v>ב'</v>
      </c>
      <c r="P446" s="10">
        <f>IF(Table_2[[#This Row],[Correct_Answer]]=Table_2[[#This Row],[System_Recommendation]],1,0)</f>
        <v>0</v>
      </c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6" t="s">
        <v>171</v>
      </c>
      <c r="B447" s="6">
        <v>17</v>
      </c>
      <c r="C447" s="6" t="s">
        <v>372</v>
      </c>
      <c r="D447" s="6">
        <v>3</v>
      </c>
      <c r="E447" s="6" t="s">
        <v>105</v>
      </c>
      <c r="F447" s="6" t="s">
        <v>373</v>
      </c>
      <c r="G447" s="6" t="s">
        <v>117</v>
      </c>
      <c r="H447" s="6" t="s">
        <v>165</v>
      </c>
      <c r="I447" s="6" t="s">
        <v>91</v>
      </c>
      <c r="J447" s="6" t="s">
        <v>371</v>
      </c>
      <c r="K447" s="6" t="s">
        <v>384</v>
      </c>
      <c r="L447" s="6" t="str">
        <f>IF(J447="כן", K447, VLOOKUP(LEFT(H447, 7), 'קטלוג תרחישים'!$A:$M, 13, FALSE))</f>
        <v>ב'</v>
      </c>
      <c r="M447" s="10"/>
      <c r="N447" s="24" t="s">
        <v>357</v>
      </c>
      <c r="O447" s="10" t="str" cm="1">
        <f t="array" ref="O447">_xlfn.IFS(N447="A","א'", N447="B", "ב'", N447= "C", "ג'")</f>
        <v>ב'</v>
      </c>
      <c r="P447" s="10">
        <f>IF(Table_2[[#This Row],[Correct_Answer]]=Table_2[[#This Row],[System_Recommendation]],1,0)</f>
        <v>1</v>
      </c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6" t="s">
        <v>171</v>
      </c>
      <c r="B448" s="6">
        <v>18</v>
      </c>
      <c r="C448" s="6" t="s">
        <v>372</v>
      </c>
      <c r="D448" s="6">
        <v>3</v>
      </c>
      <c r="E448" s="6" t="s">
        <v>105</v>
      </c>
      <c r="F448" s="6" t="s">
        <v>373</v>
      </c>
      <c r="G448" s="6" t="s">
        <v>117</v>
      </c>
      <c r="H448" s="6" t="s">
        <v>168</v>
      </c>
      <c r="I448" s="6" t="s">
        <v>100</v>
      </c>
      <c r="J448" s="6" t="s">
        <v>371</v>
      </c>
      <c r="K448" s="6" t="s">
        <v>385</v>
      </c>
      <c r="L448" s="6" t="str">
        <f>IF(J448="כן", K448, VLOOKUP(LEFT(H448, 7), 'קטלוג תרחישים'!$A:$M, 13, FALSE))</f>
        <v>ג</v>
      </c>
      <c r="M448" s="10"/>
      <c r="N448" s="23" t="s">
        <v>358</v>
      </c>
      <c r="O448" s="10" t="str" cm="1">
        <f t="array" ref="O448">_xlfn.IFS(N448="A","א'", N448="B", "ב'", N448= "C", "ג'")</f>
        <v>ג'</v>
      </c>
      <c r="P448" s="10">
        <f>IF(Table_2[[#This Row],[Correct_Answer]]=Table_2[[#This Row],[System_Recommendation]],1,0)</f>
        <v>1</v>
      </c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6" t="s">
        <v>171</v>
      </c>
      <c r="B449" s="6">
        <v>19</v>
      </c>
      <c r="C449" s="6" t="s">
        <v>372</v>
      </c>
      <c r="D449" s="6">
        <v>1</v>
      </c>
      <c r="E449" s="6" t="s">
        <v>105</v>
      </c>
      <c r="F449" s="6" t="s">
        <v>375</v>
      </c>
      <c r="G449" s="6" t="s">
        <v>97</v>
      </c>
      <c r="H449" s="6" t="s">
        <v>146</v>
      </c>
      <c r="I449" s="6" t="s">
        <v>100</v>
      </c>
      <c r="J449" s="6" t="s">
        <v>371</v>
      </c>
      <c r="K449" s="6" t="s">
        <v>384</v>
      </c>
      <c r="L449" s="6" t="str">
        <f>IF(J449="כן", K449, VLOOKUP(LEFT(H449, 7), 'קטלוג תרחישים'!$A:$M, 13, FALSE))</f>
        <v>ב'</v>
      </c>
      <c r="M449" s="10"/>
      <c r="N449" s="24" t="s">
        <v>357</v>
      </c>
      <c r="O449" s="10" t="str" cm="1">
        <f t="array" ref="O449">_xlfn.IFS(N449="A","א'", N449="B", "ב'", N449= "C", "ג'")</f>
        <v>ב'</v>
      </c>
      <c r="P449" s="10">
        <f>IF(Table_2[[#This Row],[Correct_Answer]]=Table_2[[#This Row],[System_Recommendation]],1,0)</f>
        <v>1</v>
      </c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6" t="s">
        <v>171</v>
      </c>
      <c r="B450" s="6">
        <v>20</v>
      </c>
      <c r="C450" s="6" t="s">
        <v>372</v>
      </c>
      <c r="D450" s="6">
        <v>1</v>
      </c>
      <c r="E450" s="6" t="s">
        <v>105</v>
      </c>
      <c r="F450" s="6" t="s">
        <v>375</v>
      </c>
      <c r="G450" s="6" t="s">
        <v>97</v>
      </c>
      <c r="H450" s="6" t="s">
        <v>143</v>
      </c>
      <c r="I450" s="6" t="s">
        <v>91</v>
      </c>
      <c r="J450" s="6" t="s">
        <v>371</v>
      </c>
      <c r="K450" s="6" t="s">
        <v>385</v>
      </c>
      <c r="L450" s="6" t="str">
        <f>IF(J450="כן", K450, VLOOKUP(LEFT(H450, 7), 'קטלוג תרחישים'!$A:$M, 13, FALSE))</f>
        <v>ג</v>
      </c>
      <c r="M450" s="10"/>
      <c r="N450" s="23" t="s">
        <v>358</v>
      </c>
      <c r="O450" s="10" t="str" cm="1">
        <f t="array" ref="O450">_xlfn.IFS(N450="A","א'", N450="B", "ב'", N450= "C", "ג'")</f>
        <v>ג'</v>
      </c>
      <c r="P450" s="10">
        <f>IF(Table_2[[#This Row],[Correct_Answer]]=Table_2[[#This Row],[System_Recommendation]],1,0)</f>
        <v>1</v>
      </c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6" t="s">
        <v>171</v>
      </c>
      <c r="B451" s="6">
        <v>21</v>
      </c>
      <c r="C451" s="6" t="s">
        <v>372</v>
      </c>
      <c r="D451" s="6">
        <v>1</v>
      </c>
      <c r="E451" s="6" t="s">
        <v>105</v>
      </c>
      <c r="F451" s="6" t="s">
        <v>375</v>
      </c>
      <c r="G451" s="6" t="s">
        <v>97</v>
      </c>
      <c r="H451" s="6" t="s">
        <v>144</v>
      </c>
      <c r="I451" s="6" t="s">
        <v>100</v>
      </c>
      <c r="J451" s="6" t="s">
        <v>371</v>
      </c>
      <c r="K451" s="6" t="s">
        <v>383</v>
      </c>
      <c r="L451" s="6" t="str">
        <f>IF(J451="כן", K451, VLOOKUP(LEFT(H451, 7), 'קטלוג תרחישים'!$A:$M, 13, FALSE))</f>
        <v>א'</v>
      </c>
      <c r="M451" s="10"/>
      <c r="N451" s="24" t="s">
        <v>352</v>
      </c>
      <c r="O451" s="10" t="str" cm="1">
        <f t="array" ref="O451">_xlfn.IFS(N451="A","א'", N451="B", "ב'", N451= "C", "ג'")</f>
        <v>א'</v>
      </c>
      <c r="P451" s="10">
        <f>IF(Table_2[[#This Row],[Correct_Answer]]=Table_2[[#This Row],[System_Recommendation]],1,0)</f>
        <v>1</v>
      </c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6" t="s">
        <v>171</v>
      </c>
      <c r="B452" s="6">
        <v>22</v>
      </c>
      <c r="C452" s="6" t="s">
        <v>372</v>
      </c>
      <c r="D452" s="6">
        <v>1</v>
      </c>
      <c r="E452" s="6" t="s">
        <v>105</v>
      </c>
      <c r="F452" s="6" t="s">
        <v>375</v>
      </c>
      <c r="G452" s="6" t="s">
        <v>97</v>
      </c>
      <c r="H452" s="6" t="s">
        <v>145</v>
      </c>
      <c r="I452" s="6" t="s">
        <v>91</v>
      </c>
      <c r="J452" s="6" t="s">
        <v>371</v>
      </c>
      <c r="K452" s="6" t="s">
        <v>385</v>
      </c>
      <c r="L452" s="6" t="str">
        <f>IF(J452="כן", K452, VLOOKUP(LEFT(H452, 7), 'קטלוג תרחישים'!$A:$M, 13, FALSE))</f>
        <v>ג</v>
      </c>
      <c r="M452" s="10"/>
      <c r="N452" s="23" t="s">
        <v>358</v>
      </c>
      <c r="O452" s="10" t="str" cm="1">
        <f t="array" ref="O452">_xlfn.IFS(N452="A","א'", N452="B", "ב'", N452= "C", "ג'")</f>
        <v>ג'</v>
      </c>
      <c r="P452" s="10">
        <f>IF(Table_2[[#This Row],[Correct_Answer]]=Table_2[[#This Row],[System_Recommendation]],1,0)</f>
        <v>1</v>
      </c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6" t="s">
        <v>171</v>
      </c>
      <c r="B453" s="6">
        <v>23</v>
      </c>
      <c r="C453" s="6" t="s">
        <v>372</v>
      </c>
      <c r="D453" s="6">
        <v>1</v>
      </c>
      <c r="E453" s="6" t="s">
        <v>105</v>
      </c>
      <c r="F453" s="6" t="s">
        <v>375</v>
      </c>
      <c r="G453" s="6" t="s">
        <v>97</v>
      </c>
      <c r="H453" s="6" t="s">
        <v>142</v>
      </c>
      <c r="I453" s="6" t="s">
        <v>100</v>
      </c>
      <c r="J453" s="6" t="s">
        <v>374</v>
      </c>
      <c r="K453" s="6" t="s">
        <v>385</v>
      </c>
      <c r="L453" s="6" t="str">
        <f>IF(J453="כן", K453, VLOOKUP(LEFT(H453, 7), 'קטלוג תרחישים'!$A:$M, 13, FALSE))</f>
        <v>ג'</v>
      </c>
      <c r="M453" s="10"/>
      <c r="N453" s="24" t="s">
        <v>358</v>
      </c>
      <c r="O453" s="10" t="str" cm="1">
        <f t="array" ref="O453">_xlfn.IFS(N453="A","א'", N453="B", "ב'", N453= "C", "ג'")</f>
        <v>ג'</v>
      </c>
      <c r="P453" s="10">
        <f>IF(Table_2[[#This Row],[Correct_Answer]]=Table_2[[#This Row],[System_Recommendation]],1,0)</f>
        <v>0</v>
      </c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6" t="s">
        <v>171</v>
      </c>
      <c r="B454" s="6">
        <v>24</v>
      </c>
      <c r="C454" s="6" t="s">
        <v>372</v>
      </c>
      <c r="D454" s="6">
        <v>2</v>
      </c>
      <c r="E454" s="6" t="s">
        <v>111</v>
      </c>
      <c r="F454" s="6" t="s">
        <v>375</v>
      </c>
      <c r="G454" s="6" t="s">
        <v>97</v>
      </c>
      <c r="H454" s="6" t="s">
        <v>149</v>
      </c>
      <c r="I454" s="6" t="s">
        <v>91</v>
      </c>
      <c r="J454" s="6" t="s">
        <v>374</v>
      </c>
      <c r="K454" s="6" t="s">
        <v>384</v>
      </c>
      <c r="L454" s="6" t="str">
        <f>IF(J454="כן", K454, VLOOKUP(LEFT(H454, 7), 'קטלוג תרחישים'!$A:$M, 13, FALSE))</f>
        <v>א'</v>
      </c>
      <c r="M454" s="10"/>
      <c r="N454" s="23" t="s">
        <v>357</v>
      </c>
      <c r="O454" s="10" t="str" cm="1">
        <f t="array" ref="O454">_xlfn.IFS(N454="A","א'", N454="B", "ב'", N454= "C", "ג'")</f>
        <v>ב'</v>
      </c>
      <c r="P454" s="10">
        <f>IF(Table_2[[#This Row],[Correct_Answer]]=Table_2[[#This Row],[System_Recommendation]],1,0)</f>
        <v>0</v>
      </c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6" t="s">
        <v>171</v>
      </c>
      <c r="B455" s="6">
        <v>25</v>
      </c>
      <c r="C455" s="6" t="s">
        <v>372</v>
      </c>
      <c r="D455" s="6">
        <v>2</v>
      </c>
      <c r="E455" s="6" t="s">
        <v>111</v>
      </c>
      <c r="F455" s="6" t="s">
        <v>375</v>
      </c>
      <c r="G455" s="6" t="s">
        <v>97</v>
      </c>
      <c r="H455" s="6" t="s">
        <v>150</v>
      </c>
      <c r="I455" s="6" t="s">
        <v>100</v>
      </c>
      <c r="J455" s="6" t="s">
        <v>371</v>
      </c>
      <c r="K455" s="6" t="s">
        <v>383</v>
      </c>
      <c r="L455" s="6" t="str">
        <f>IF(J455="כן", K455, VLOOKUP(LEFT(H455, 7), 'קטלוג תרחישים'!$A:$M, 13, FALSE))</f>
        <v>א'</v>
      </c>
      <c r="M455" s="10"/>
      <c r="N455" s="24" t="s">
        <v>352</v>
      </c>
      <c r="O455" s="10" t="str" cm="1">
        <f t="array" ref="O455">_xlfn.IFS(N455="A","א'", N455="B", "ב'", N455= "C", "ג'")</f>
        <v>א'</v>
      </c>
      <c r="P455" s="10">
        <f>IF(Table_2[[#This Row],[Correct_Answer]]=Table_2[[#This Row],[System_Recommendation]],1,0)</f>
        <v>1</v>
      </c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6" t="s">
        <v>171</v>
      </c>
      <c r="B456" s="6">
        <v>26</v>
      </c>
      <c r="C456" s="6" t="s">
        <v>372</v>
      </c>
      <c r="D456" s="6">
        <v>2</v>
      </c>
      <c r="E456" s="6" t="s">
        <v>111</v>
      </c>
      <c r="F456" s="6" t="s">
        <v>375</v>
      </c>
      <c r="G456" s="6" t="s">
        <v>97</v>
      </c>
      <c r="H456" s="6" t="s">
        <v>151</v>
      </c>
      <c r="I456" s="6" t="s">
        <v>91</v>
      </c>
      <c r="J456" s="6" t="s">
        <v>371</v>
      </c>
      <c r="K456" s="6" t="s">
        <v>385</v>
      </c>
      <c r="L456" s="6" t="str">
        <f>IF(J456="כן", K456, VLOOKUP(LEFT(H456, 7), 'קטלוג תרחישים'!$A:$M, 13, FALSE))</f>
        <v>ג</v>
      </c>
      <c r="M456" s="10"/>
      <c r="N456" s="23" t="s">
        <v>358</v>
      </c>
      <c r="O456" s="10" t="str" cm="1">
        <f t="array" ref="O456">_xlfn.IFS(N456="A","א'", N456="B", "ב'", N456= "C", "ג'")</f>
        <v>ג'</v>
      </c>
      <c r="P456" s="10">
        <f>IF(Table_2[[#This Row],[Correct_Answer]]=Table_2[[#This Row],[System_Recommendation]],1,0)</f>
        <v>1</v>
      </c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6" t="s">
        <v>171</v>
      </c>
      <c r="B457" s="6">
        <v>27</v>
      </c>
      <c r="C457" s="6" t="s">
        <v>372</v>
      </c>
      <c r="D457" s="6">
        <v>2</v>
      </c>
      <c r="E457" s="6" t="s">
        <v>111</v>
      </c>
      <c r="F457" s="6" t="s">
        <v>375</v>
      </c>
      <c r="G457" s="6" t="s">
        <v>97</v>
      </c>
      <c r="H457" s="6" t="s">
        <v>148</v>
      </c>
      <c r="I457" s="6" t="s">
        <v>100</v>
      </c>
      <c r="J457" s="6" t="s">
        <v>371</v>
      </c>
      <c r="K457" s="6" t="s">
        <v>384</v>
      </c>
      <c r="L457" s="6" t="str">
        <f>IF(J457="כן", K457, VLOOKUP(LEFT(H457, 7), 'קטלוג תרחישים'!$A:$M, 13, FALSE))</f>
        <v>ב'</v>
      </c>
      <c r="M457" s="10"/>
      <c r="N457" s="24" t="s">
        <v>357</v>
      </c>
      <c r="O457" s="10" t="str" cm="1">
        <f t="array" ref="O457">_xlfn.IFS(N457="A","א'", N457="B", "ב'", N457= "C", "ג'")</f>
        <v>ב'</v>
      </c>
      <c r="P457" s="10">
        <f>IF(Table_2[[#This Row],[Correct_Answer]]=Table_2[[#This Row],[System_Recommendation]],1,0)</f>
        <v>1</v>
      </c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6" t="s">
        <v>171</v>
      </c>
      <c r="B458" s="6">
        <v>28</v>
      </c>
      <c r="C458" s="6" t="s">
        <v>372</v>
      </c>
      <c r="D458" s="6">
        <v>2</v>
      </c>
      <c r="E458" s="6" t="s">
        <v>111</v>
      </c>
      <c r="F458" s="6" t="s">
        <v>375</v>
      </c>
      <c r="G458" s="6" t="s">
        <v>97</v>
      </c>
      <c r="H458" s="6" t="s">
        <v>147</v>
      </c>
      <c r="I458" s="6" t="s">
        <v>91</v>
      </c>
      <c r="J458" s="6" t="s">
        <v>371</v>
      </c>
      <c r="K458" s="6" t="s">
        <v>385</v>
      </c>
      <c r="L458" s="6" t="str">
        <f>IF(J458="כן", K458, VLOOKUP(LEFT(H458, 7), 'קטלוג תרחישים'!$A:$M, 13, FALSE))</f>
        <v>ג</v>
      </c>
      <c r="M458" s="10"/>
      <c r="N458" s="23" t="s">
        <v>358</v>
      </c>
      <c r="O458" s="10" t="str" cm="1">
        <f t="array" ref="O458">_xlfn.IFS(N458="A","א'", N458="B", "ב'", N458= "C", "ג'")</f>
        <v>ג'</v>
      </c>
      <c r="P458" s="10">
        <f>IF(Table_2[[#This Row],[Correct_Answer]]=Table_2[[#This Row],[System_Recommendation]],1,0)</f>
        <v>1</v>
      </c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6" t="s">
        <v>171</v>
      </c>
      <c r="B459" s="6">
        <v>29</v>
      </c>
      <c r="C459" s="6" t="s">
        <v>372</v>
      </c>
      <c r="D459" s="6">
        <v>3</v>
      </c>
      <c r="E459" s="6" t="s">
        <v>98</v>
      </c>
      <c r="F459" s="6" t="s">
        <v>375</v>
      </c>
      <c r="G459" s="6" t="s">
        <v>97</v>
      </c>
      <c r="H459" s="6" t="s">
        <v>156</v>
      </c>
      <c r="I459" s="6" t="s">
        <v>91</v>
      </c>
      <c r="J459" s="6" t="s">
        <v>371</v>
      </c>
      <c r="K459" s="6" t="s">
        <v>385</v>
      </c>
      <c r="L459" s="6" t="str">
        <f>IF(J459="כן", K459, VLOOKUP(LEFT(H459, 7), 'קטלוג תרחישים'!$A:$M, 13, FALSE))</f>
        <v>ג</v>
      </c>
      <c r="M459" s="10"/>
      <c r="N459" s="24" t="s">
        <v>358</v>
      </c>
      <c r="O459" s="10" t="str" cm="1">
        <f t="array" ref="O459">_xlfn.IFS(N459="A","א'", N459="B", "ב'", N459= "C", "ג'")</f>
        <v>ג'</v>
      </c>
      <c r="P459" s="10">
        <f>IF(Table_2[[#This Row],[Correct_Answer]]=Table_2[[#This Row],[System_Recommendation]],1,0)</f>
        <v>1</v>
      </c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6" t="s">
        <v>171</v>
      </c>
      <c r="B460" s="6">
        <v>30</v>
      </c>
      <c r="C460" s="6" t="s">
        <v>372</v>
      </c>
      <c r="D460" s="6">
        <v>3</v>
      </c>
      <c r="E460" s="6" t="s">
        <v>98</v>
      </c>
      <c r="F460" s="6" t="s">
        <v>375</v>
      </c>
      <c r="G460" s="6" t="s">
        <v>97</v>
      </c>
      <c r="H460" s="6" t="s">
        <v>155</v>
      </c>
      <c r="I460" s="6" t="s">
        <v>100</v>
      </c>
      <c r="J460" s="6" t="s">
        <v>371</v>
      </c>
      <c r="K460" s="6" t="s">
        <v>384</v>
      </c>
      <c r="L460" s="6" t="str">
        <f>IF(J460="כן", K460, VLOOKUP(LEFT(H460, 7), 'קטלוג תרחישים'!$A:$M, 13, FALSE))</f>
        <v>ב'</v>
      </c>
      <c r="M460" s="10"/>
      <c r="N460" s="23" t="s">
        <v>357</v>
      </c>
      <c r="O460" s="10" t="str" cm="1">
        <f t="array" ref="O460">_xlfn.IFS(N460="A","א'", N460="B", "ב'", N460= "C", "ג'")</f>
        <v>ב'</v>
      </c>
      <c r="P460" s="10">
        <f>IF(Table_2[[#This Row],[Correct_Answer]]=Table_2[[#This Row],[System_Recommendation]],1,0)</f>
        <v>1</v>
      </c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6" t="s">
        <v>171</v>
      </c>
      <c r="B461" s="6">
        <v>31</v>
      </c>
      <c r="C461" s="6" t="s">
        <v>372</v>
      </c>
      <c r="D461" s="6">
        <v>3</v>
      </c>
      <c r="E461" s="6" t="s">
        <v>98</v>
      </c>
      <c r="F461" s="6" t="s">
        <v>375</v>
      </c>
      <c r="G461" s="6" t="s">
        <v>97</v>
      </c>
      <c r="H461" s="6" t="s">
        <v>154</v>
      </c>
      <c r="I461" s="6" t="s">
        <v>91</v>
      </c>
      <c r="J461" s="6" t="s">
        <v>371</v>
      </c>
      <c r="K461" s="6" t="s">
        <v>385</v>
      </c>
      <c r="L461" s="6" t="str">
        <f>IF(J461="כן", K461, VLOOKUP(LEFT(H461, 7), 'קטלוג תרחישים'!$A:$M, 13, FALSE))</f>
        <v>ג</v>
      </c>
      <c r="M461" s="10"/>
      <c r="N461" s="24" t="s">
        <v>358</v>
      </c>
      <c r="O461" s="10" t="str" cm="1">
        <f t="array" ref="O461">_xlfn.IFS(N461="A","א'", N461="B", "ב'", N461= "C", "ג'")</f>
        <v>ג'</v>
      </c>
      <c r="P461" s="10">
        <f>IF(Table_2[[#This Row],[Correct_Answer]]=Table_2[[#This Row],[System_Recommendation]],1,0)</f>
        <v>1</v>
      </c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6" t="s">
        <v>171</v>
      </c>
      <c r="B462" s="6">
        <v>32</v>
      </c>
      <c r="C462" s="6" t="s">
        <v>372</v>
      </c>
      <c r="D462" s="6">
        <v>3</v>
      </c>
      <c r="E462" s="6" t="s">
        <v>98</v>
      </c>
      <c r="F462" s="6" t="s">
        <v>375</v>
      </c>
      <c r="G462" s="6" t="s">
        <v>97</v>
      </c>
      <c r="H462" s="6" t="s">
        <v>153</v>
      </c>
      <c r="I462" s="6" t="s">
        <v>100</v>
      </c>
      <c r="J462" s="6" t="s">
        <v>374</v>
      </c>
      <c r="K462" s="6" t="s">
        <v>383</v>
      </c>
      <c r="L462" s="6" t="str">
        <f>IF(J462="כן", K462, VLOOKUP(LEFT(H462, 7), 'קטלוג תרחישים'!$A:$M, 13, FALSE))</f>
        <v>ג'</v>
      </c>
      <c r="M462" s="10"/>
      <c r="N462" s="23" t="s">
        <v>352</v>
      </c>
      <c r="O462" s="10" t="str" cm="1">
        <f t="array" ref="O462">_xlfn.IFS(N462="A","א'", N462="B", "ב'", N462= "C", "ג'")</f>
        <v>א'</v>
      </c>
      <c r="P462" s="10">
        <f>IF(Table_2[[#This Row],[Correct_Answer]]=Table_2[[#This Row],[System_Recommendation]],1,0)</f>
        <v>0</v>
      </c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6" t="s">
        <v>171</v>
      </c>
      <c r="B463" s="6">
        <v>33</v>
      </c>
      <c r="C463" s="6" t="s">
        <v>372</v>
      </c>
      <c r="D463" s="6">
        <v>3</v>
      </c>
      <c r="E463" s="6" t="s">
        <v>98</v>
      </c>
      <c r="F463" s="6" t="s">
        <v>375</v>
      </c>
      <c r="G463" s="6" t="s">
        <v>97</v>
      </c>
      <c r="H463" s="6" t="s">
        <v>152</v>
      </c>
      <c r="I463" s="6" t="s">
        <v>91</v>
      </c>
      <c r="J463" s="6" t="s">
        <v>371</v>
      </c>
      <c r="K463" s="6" t="s">
        <v>383</v>
      </c>
      <c r="L463" s="6" t="str">
        <f>IF(J463="כן", K463, VLOOKUP(LEFT(H463, 7), 'קטלוג תרחישים'!$A:$M, 13, FALSE))</f>
        <v>א'</v>
      </c>
      <c r="M463" s="10"/>
      <c r="N463" s="24" t="s">
        <v>352</v>
      </c>
      <c r="O463" s="10" t="str" cm="1">
        <f t="array" ref="O463">_xlfn.IFS(N463="A","א'", N463="B", "ב'", N463= "C", "ג'")</f>
        <v>א'</v>
      </c>
      <c r="P463" s="10">
        <f>IF(Table_2[[#This Row],[Correct_Answer]]=Table_2[[#This Row],[System_Recommendation]],1,0)</f>
        <v>1</v>
      </c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6" t="s">
        <v>172</v>
      </c>
      <c r="B464" s="6">
        <v>1</v>
      </c>
      <c r="C464" s="6" t="s">
        <v>370</v>
      </c>
      <c r="D464" s="6"/>
      <c r="E464" s="6" t="s">
        <v>98</v>
      </c>
      <c r="F464" s="6"/>
      <c r="G464" s="6"/>
      <c r="H464" s="8" t="s">
        <v>90</v>
      </c>
      <c r="I464" s="6" t="s">
        <v>91</v>
      </c>
      <c r="J464" s="6" t="s">
        <v>371</v>
      </c>
      <c r="K464" s="6" t="s">
        <v>385</v>
      </c>
      <c r="L464" s="6" t="str">
        <f>IF(J464="כן", K464, VLOOKUP(LEFT(H464, 7), 'קטלוג תרחישים'!$A:$M, 13, FALSE))</f>
        <v>ג</v>
      </c>
      <c r="M464" s="10"/>
      <c r="N464" s="23" t="s">
        <v>358</v>
      </c>
      <c r="O464" s="10" t="str" cm="1">
        <f t="array" ref="O464">_xlfn.IFS(N464="A","א'", N464="B", "ב'", N464= "C", "ג'")</f>
        <v>ג'</v>
      </c>
      <c r="P464" s="10">
        <f>IF(Table_2[[#This Row],[Correct_Answer]]=Table_2[[#This Row],[System_Recommendation]],1,0)</f>
        <v>1</v>
      </c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6" t="s">
        <v>172</v>
      </c>
      <c r="B465" s="6">
        <v>2</v>
      </c>
      <c r="C465" s="6" t="s">
        <v>370</v>
      </c>
      <c r="D465" s="6"/>
      <c r="E465" s="6" t="s">
        <v>98</v>
      </c>
      <c r="F465" s="6"/>
      <c r="G465" s="6"/>
      <c r="H465" s="8" t="s">
        <v>92</v>
      </c>
      <c r="I465" s="6" t="s">
        <v>91</v>
      </c>
      <c r="J465" s="6" t="s">
        <v>371</v>
      </c>
      <c r="K465" s="6" t="s">
        <v>385</v>
      </c>
      <c r="L465" s="6" t="str">
        <f>IF(J465="כן", K465, VLOOKUP(LEFT(H465, 7), 'קטלוג תרחישים'!$A:$M, 13, FALSE))</f>
        <v>ג</v>
      </c>
      <c r="M465" s="10"/>
      <c r="N465" s="24" t="s">
        <v>358</v>
      </c>
      <c r="O465" s="10" t="str" cm="1">
        <f t="array" ref="O465">_xlfn.IFS(N465="A","א'", N465="B", "ב'", N465= "C", "ג'")</f>
        <v>ג'</v>
      </c>
      <c r="P465" s="10">
        <f>IF(Table_2[[#This Row],[Correct_Answer]]=Table_2[[#This Row],[System_Recommendation]],1,0)</f>
        <v>1</v>
      </c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6" t="s">
        <v>172</v>
      </c>
      <c r="B466" s="6">
        <v>3</v>
      </c>
      <c r="C466" s="6" t="s">
        <v>370</v>
      </c>
      <c r="D466" s="6"/>
      <c r="E466" s="6" t="s">
        <v>105</v>
      </c>
      <c r="F466" s="6"/>
      <c r="G466" s="6"/>
      <c r="H466" s="8" t="s">
        <v>93</v>
      </c>
      <c r="I466" s="6" t="s">
        <v>91</v>
      </c>
      <c r="J466" s="6" t="s">
        <v>371</v>
      </c>
      <c r="K466" s="6" t="s">
        <v>385</v>
      </c>
      <c r="L466" s="6" t="str">
        <f>IF(J466="כן", K466, VLOOKUP(LEFT(H466, 7), 'קטלוג תרחישים'!$A:$M, 13, FALSE))</f>
        <v>ג</v>
      </c>
      <c r="M466" s="10"/>
      <c r="N466" s="23" t="s">
        <v>358</v>
      </c>
      <c r="O466" s="10" t="str" cm="1">
        <f t="array" ref="O466">_xlfn.IFS(N466="A","א'", N466="B", "ב'", N466= "C", "ג'")</f>
        <v>ג'</v>
      </c>
      <c r="P466" s="10">
        <f>IF(Table_2[[#This Row],[Correct_Answer]]=Table_2[[#This Row],[System_Recommendation]],1,0)</f>
        <v>1</v>
      </c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6" t="s">
        <v>172</v>
      </c>
      <c r="B467" s="6">
        <v>4</v>
      </c>
      <c r="C467" s="6" t="s">
        <v>370</v>
      </c>
      <c r="D467" s="6"/>
      <c r="E467" s="6" t="s">
        <v>105</v>
      </c>
      <c r="F467" s="6"/>
      <c r="G467" s="6"/>
      <c r="H467" s="8" t="s">
        <v>94</v>
      </c>
      <c r="I467" s="6" t="s">
        <v>91</v>
      </c>
      <c r="J467" s="6" t="s">
        <v>371</v>
      </c>
      <c r="K467" s="6" t="s">
        <v>384</v>
      </c>
      <c r="L467" s="6" t="str">
        <f>IF(J467="כן", K467, VLOOKUP(LEFT(H467, 7), 'קטלוג תרחישים'!$A:$M, 13, FALSE))</f>
        <v>ב'</v>
      </c>
      <c r="M467" s="10"/>
      <c r="N467" s="24" t="s">
        <v>357</v>
      </c>
      <c r="O467" s="10" t="str" cm="1">
        <f t="array" ref="O467">_xlfn.IFS(N467="A","א'", N467="B", "ב'", N467= "C", "ג'")</f>
        <v>ב'</v>
      </c>
      <c r="P467" s="10">
        <f>IF(Table_2[[#This Row],[Correct_Answer]]=Table_2[[#This Row],[System_Recommendation]],1,0)</f>
        <v>1</v>
      </c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6" t="s">
        <v>172</v>
      </c>
      <c r="B468" s="6">
        <v>5</v>
      </c>
      <c r="C468" s="6" t="s">
        <v>370</v>
      </c>
      <c r="D468" s="6"/>
      <c r="E468" s="6" t="s">
        <v>111</v>
      </c>
      <c r="F468" s="6"/>
      <c r="G468" s="6"/>
      <c r="H468" s="8" t="s">
        <v>95</v>
      </c>
      <c r="I468" s="6" t="s">
        <v>91</v>
      </c>
      <c r="J468" s="6" t="s">
        <v>371</v>
      </c>
      <c r="K468" s="6" t="s">
        <v>383</v>
      </c>
      <c r="L468" s="6" t="str">
        <f>IF(J468="כן", K468, VLOOKUP(LEFT(H468, 7), 'קטלוג תרחישים'!$A:$M, 13, FALSE))</f>
        <v>א'</v>
      </c>
      <c r="M468" s="10"/>
      <c r="N468" s="23" t="s">
        <v>352</v>
      </c>
      <c r="O468" s="10" t="str" cm="1">
        <f t="array" ref="O468">_xlfn.IFS(N468="A","א'", N468="B", "ב'", N468= "C", "ג'")</f>
        <v>א'</v>
      </c>
      <c r="P468" s="10">
        <f>IF(Table_2[[#This Row],[Correct_Answer]]=Table_2[[#This Row],[System_Recommendation]],1,0)</f>
        <v>1</v>
      </c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6" t="s">
        <v>172</v>
      </c>
      <c r="B469" s="6">
        <v>6</v>
      </c>
      <c r="C469" s="6" t="s">
        <v>370</v>
      </c>
      <c r="D469" s="6"/>
      <c r="E469" s="6" t="s">
        <v>111</v>
      </c>
      <c r="F469" s="6"/>
      <c r="G469" s="6"/>
      <c r="H469" s="8" t="s">
        <v>96</v>
      </c>
      <c r="I469" s="6" t="s">
        <v>91</v>
      </c>
      <c r="J469" s="6" t="s">
        <v>371</v>
      </c>
      <c r="K469" s="6" t="s">
        <v>385</v>
      </c>
      <c r="L469" s="6" t="str">
        <f>IF(J469="כן", K469, VLOOKUP(LEFT(H469, 7), 'קטלוג תרחישים'!$A:$M, 13, FALSE))</f>
        <v>ג</v>
      </c>
      <c r="M469" s="10"/>
      <c r="N469" s="24" t="s">
        <v>358</v>
      </c>
      <c r="O469" s="10" t="str" cm="1">
        <f t="array" ref="O469">_xlfn.IFS(N469="A","א'", N469="B", "ב'", N469= "C", "ג'")</f>
        <v>ג'</v>
      </c>
      <c r="P469" s="10">
        <f>IF(Table_2[[#This Row],[Correct_Answer]]=Table_2[[#This Row],[System_Recommendation]],1,0)</f>
        <v>1</v>
      </c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6" t="s">
        <v>172</v>
      </c>
      <c r="B470" s="6">
        <v>7</v>
      </c>
      <c r="C470" s="6" t="s">
        <v>372</v>
      </c>
      <c r="D470" s="6">
        <v>1</v>
      </c>
      <c r="E470" s="6" t="s">
        <v>111</v>
      </c>
      <c r="F470" s="6" t="s">
        <v>373</v>
      </c>
      <c r="G470" s="6" t="s">
        <v>97</v>
      </c>
      <c r="H470" s="6" t="s">
        <v>149</v>
      </c>
      <c r="I470" s="6" t="s">
        <v>91</v>
      </c>
      <c r="J470" s="6" t="s">
        <v>371</v>
      </c>
      <c r="K470" s="6" t="s">
        <v>385</v>
      </c>
      <c r="L470" s="6" t="str">
        <f>IF(J470="כן", K470, VLOOKUP(LEFT(H470, 7), 'קטלוג תרחישים'!$A:$M, 13, FALSE))</f>
        <v>ג</v>
      </c>
      <c r="M470" s="10"/>
      <c r="N470" s="23" t="s">
        <v>358</v>
      </c>
      <c r="O470" s="10" t="str" cm="1">
        <f t="array" ref="O470">_xlfn.IFS(N470="A","א'", N470="B", "ב'", N470= "C", "ג'")</f>
        <v>ג'</v>
      </c>
      <c r="P470" s="10">
        <f>IF(Table_2[[#This Row],[Correct_Answer]]=Table_2[[#This Row],[System_Recommendation]],1,0)</f>
        <v>1</v>
      </c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6" t="s">
        <v>172</v>
      </c>
      <c r="B471" s="6">
        <v>8</v>
      </c>
      <c r="C471" s="6" t="s">
        <v>372</v>
      </c>
      <c r="D471" s="6">
        <v>1</v>
      </c>
      <c r="E471" s="6" t="s">
        <v>111</v>
      </c>
      <c r="F471" s="6" t="s">
        <v>373</v>
      </c>
      <c r="G471" s="6" t="s">
        <v>97</v>
      </c>
      <c r="H471" s="6" t="s">
        <v>148</v>
      </c>
      <c r="I471" s="6" t="s">
        <v>100</v>
      </c>
      <c r="J471" s="6" t="s">
        <v>371</v>
      </c>
      <c r="K471" s="6" t="s">
        <v>384</v>
      </c>
      <c r="L471" s="6" t="str">
        <f>IF(J471="כן", K471, VLOOKUP(LEFT(H471, 7), 'קטלוג תרחישים'!$A:$M, 13, FALSE))</f>
        <v>ב'</v>
      </c>
      <c r="M471" s="10"/>
      <c r="N471" s="24" t="s">
        <v>357</v>
      </c>
      <c r="O471" s="10" t="str" cm="1">
        <f t="array" ref="O471">_xlfn.IFS(N471="A","א'", N471="B", "ב'", N471= "C", "ג'")</f>
        <v>ב'</v>
      </c>
      <c r="P471" s="10">
        <f>IF(Table_2[[#This Row],[Correct_Answer]]=Table_2[[#This Row],[System_Recommendation]],1,0)</f>
        <v>1</v>
      </c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6" t="s">
        <v>172</v>
      </c>
      <c r="B472" s="6">
        <v>9</v>
      </c>
      <c r="C472" s="6" t="s">
        <v>372</v>
      </c>
      <c r="D472" s="6">
        <v>1</v>
      </c>
      <c r="E472" s="6" t="s">
        <v>111</v>
      </c>
      <c r="F472" s="6" t="s">
        <v>373</v>
      </c>
      <c r="G472" s="6" t="s">
        <v>97</v>
      </c>
      <c r="H472" s="6" t="s">
        <v>147</v>
      </c>
      <c r="I472" s="6" t="s">
        <v>91</v>
      </c>
      <c r="J472" s="6" t="s">
        <v>371</v>
      </c>
      <c r="K472" s="6" t="s">
        <v>384</v>
      </c>
      <c r="L472" s="6" t="str">
        <f>IF(J472="כן", K472, VLOOKUP(LEFT(H472, 7), 'קטלוג תרחישים'!$A:$M, 13, FALSE))</f>
        <v>ב'</v>
      </c>
      <c r="M472" s="10"/>
      <c r="N472" s="23" t="s">
        <v>357</v>
      </c>
      <c r="O472" s="10" t="str" cm="1">
        <f t="array" ref="O472">_xlfn.IFS(N472="A","א'", N472="B", "ב'", N472= "C", "ג'")</f>
        <v>ב'</v>
      </c>
      <c r="P472" s="10">
        <f>IF(Table_2[[#This Row],[Correct_Answer]]=Table_2[[#This Row],[System_Recommendation]],1,0)</f>
        <v>1</v>
      </c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6" t="s">
        <v>172</v>
      </c>
      <c r="B473" s="6">
        <v>10</v>
      </c>
      <c r="C473" s="6" t="s">
        <v>372</v>
      </c>
      <c r="D473" s="6">
        <v>1</v>
      </c>
      <c r="E473" s="6" t="s">
        <v>111</v>
      </c>
      <c r="F473" s="6" t="s">
        <v>373</v>
      </c>
      <c r="G473" s="6" t="s">
        <v>97</v>
      </c>
      <c r="H473" s="6" t="s">
        <v>150</v>
      </c>
      <c r="I473" s="6" t="s">
        <v>100</v>
      </c>
      <c r="J473" s="6" t="s">
        <v>374</v>
      </c>
      <c r="K473" s="6" t="s">
        <v>384</v>
      </c>
      <c r="L473" s="6" t="str">
        <f>IF(J473="כן", K473, VLOOKUP(LEFT(H473, 7), 'קטלוג תרחישים'!$A:$M, 13, FALSE))</f>
        <v>א'</v>
      </c>
      <c r="M473" s="10"/>
      <c r="N473" s="24" t="s">
        <v>357</v>
      </c>
      <c r="O473" s="10" t="str" cm="1">
        <f t="array" ref="O473">_xlfn.IFS(N473="A","א'", N473="B", "ב'", N473= "C", "ג'")</f>
        <v>ב'</v>
      </c>
      <c r="P473" s="10">
        <f>IF(Table_2[[#This Row],[Correct_Answer]]=Table_2[[#This Row],[System_Recommendation]],1,0)</f>
        <v>0</v>
      </c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6" t="s">
        <v>172</v>
      </c>
      <c r="B474" s="6">
        <v>11</v>
      </c>
      <c r="C474" s="6" t="s">
        <v>372</v>
      </c>
      <c r="D474" s="6">
        <v>1</v>
      </c>
      <c r="E474" s="6" t="s">
        <v>111</v>
      </c>
      <c r="F474" s="6" t="s">
        <v>373</v>
      </c>
      <c r="G474" s="6" t="s">
        <v>97</v>
      </c>
      <c r="H474" s="6" t="s">
        <v>151</v>
      </c>
      <c r="I474" s="6" t="s">
        <v>91</v>
      </c>
      <c r="J474" s="6" t="s">
        <v>371</v>
      </c>
      <c r="K474" s="6" t="s">
        <v>383</v>
      </c>
      <c r="L474" s="6" t="str">
        <f>IF(J474="כן", K474, VLOOKUP(LEFT(H474, 7), 'קטלוג תרחישים'!$A:$M, 13, FALSE))</f>
        <v>א'</v>
      </c>
      <c r="M474" s="10"/>
      <c r="N474" s="23" t="s">
        <v>352</v>
      </c>
      <c r="O474" s="10" t="str" cm="1">
        <f t="array" ref="O474">_xlfn.IFS(N474="A","א'", N474="B", "ב'", N474= "C", "ג'")</f>
        <v>א'</v>
      </c>
      <c r="P474" s="10">
        <f>IF(Table_2[[#This Row],[Correct_Answer]]=Table_2[[#This Row],[System_Recommendation]],1,0)</f>
        <v>1</v>
      </c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6" t="s">
        <v>172</v>
      </c>
      <c r="B475" s="6">
        <v>12</v>
      </c>
      <c r="C475" s="6" t="s">
        <v>372</v>
      </c>
      <c r="D475" s="6">
        <v>2</v>
      </c>
      <c r="E475" s="6" t="s">
        <v>98</v>
      </c>
      <c r="F475" s="6" t="s">
        <v>373</v>
      </c>
      <c r="G475" s="6" t="s">
        <v>97</v>
      </c>
      <c r="H475" s="6" t="s">
        <v>154</v>
      </c>
      <c r="I475" s="6" t="s">
        <v>91</v>
      </c>
      <c r="J475" s="6" t="s">
        <v>371</v>
      </c>
      <c r="K475" s="6" t="s">
        <v>385</v>
      </c>
      <c r="L475" s="6" t="str">
        <f>IF(J475="כן", K475, VLOOKUP(LEFT(H475, 7), 'קטלוג תרחישים'!$A:$M, 13, FALSE))</f>
        <v>ג</v>
      </c>
      <c r="M475" s="10"/>
      <c r="N475" s="24" t="s">
        <v>358</v>
      </c>
      <c r="O475" s="10" t="str" cm="1">
        <f t="array" ref="O475">_xlfn.IFS(N475="A","א'", N475="B", "ב'", N475= "C", "ג'")</f>
        <v>ג'</v>
      </c>
      <c r="P475" s="10">
        <f>IF(Table_2[[#This Row],[Correct_Answer]]=Table_2[[#This Row],[System_Recommendation]],1,0)</f>
        <v>1</v>
      </c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6" t="s">
        <v>172</v>
      </c>
      <c r="B476" s="6">
        <v>13</v>
      </c>
      <c r="C476" s="6" t="s">
        <v>372</v>
      </c>
      <c r="D476" s="6">
        <v>2</v>
      </c>
      <c r="E476" s="6" t="s">
        <v>98</v>
      </c>
      <c r="F476" s="6" t="s">
        <v>373</v>
      </c>
      <c r="G476" s="6" t="s">
        <v>97</v>
      </c>
      <c r="H476" s="6" t="s">
        <v>155</v>
      </c>
      <c r="I476" s="6" t="s">
        <v>100</v>
      </c>
      <c r="J476" s="6" t="s">
        <v>371</v>
      </c>
      <c r="K476" s="6" t="s">
        <v>384</v>
      </c>
      <c r="L476" s="6" t="str">
        <f>IF(J476="כן", K476, VLOOKUP(LEFT(H476, 7), 'קטלוג תרחישים'!$A:$M, 13, FALSE))</f>
        <v>ב'</v>
      </c>
      <c r="M476" s="10"/>
      <c r="N476" s="23" t="s">
        <v>357</v>
      </c>
      <c r="O476" s="10" t="str" cm="1">
        <f t="array" ref="O476">_xlfn.IFS(N476="A","א'", N476="B", "ב'", N476= "C", "ג'")</f>
        <v>ב'</v>
      </c>
      <c r="P476" s="10">
        <f>IF(Table_2[[#This Row],[Correct_Answer]]=Table_2[[#This Row],[System_Recommendation]],1,0)</f>
        <v>1</v>
      </c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6" t="s">
        <v>172</v>
      </c>
      <c r="B477" s="6">
        <v>14</v>
      </c>
      <c r="C477" s="6" t="s">
        <v>372</v>
      </c>
      <c r="D477" s="6">
        <v>2</v>
      </c>
      <c r="E477" s="6" t="s">
        <v>98</v>
      </c>
      <c r="F477" s="6" t="s">
        <v>373</v>
      </c>
      <c r="G477" s="6" t="s">
        <v>97</v>
      </c>
      <c r="H477" s="6" t="s">
        <v>152</v>
      </c>
      <c r="I477" s="6" t="s">
        <v>91</v>
      </c>
      <c r="J477" s="6" t="s">
        <v>374</v>
      </c>
      <c r="K477" s="6" t="s">
        <v>383</v>
      </c>
      <c r="L477" s="6" t="str">
        <f>IF(J477="כן", K477, VLOOKUP(LEFT(H477, 7), 'קטלוג תרחישים'!$A:$M, 13, FALSE))</f>
        <v>ב'</v>
      </c>
      <c r="M477" s="10"/>
      <c r="N477" s="24" t="s">
        <v>352</v>
      </c>
      <c r="O477" s="10" t="str" cm="1">
        <f t="array" ref="O477">_xlfn.IFS(N477="A","א'", N477="B", "ב'", N477= "C", "ג'")</f>
        <v>א'</v>
      </c>
      <c r="P477" s="10">
        <f>IF(Table_2[[#This Row],[Correct_Answer]]=Table_2[[#This Row],[System_Recommendation]],1,0)</f>
        <v>0</v>
      </c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6" t="s">
        <v>172</v>
      </c>
      <c r="B478" s="6">
        <v>15</v>
      </c>
      <c r="C478" s="6" t="s">
        <v>372</v>
      </c>
      <c r="D478" s="6">
        <v>2</v>
      </c>
      <c r="E478" s="6" t="s">
        <v>98</v>
      </c>
      <c r="F478" s="6" t="s">
        <v>373</v>
      </c>
      <c r="G478" s="6" t="s">
        <v>97</v>
      </c>
      <c r="H478" s="6" t="s">
        <v>153</v>
      </c>
      <c r="I478" s="6" t="s">
        <v>100</v>
      </c>
      <c r="J478" s="6" t="s">
        <v>371</v>
      </c>
      <c r="K478" s="6" t="s">
        <v>383</v>
      </c>
      <c r="L478" s="6" t="str">
        <f>IF(J478="כן", K478, VLOOKUP(LEFT(H478, 7), 'קטלוג תרחישים'!$A:$M, 13, FALSE))</f>
        <v>א'</v>
      </c>
      <c r="M478" s="10"/>
      <c r="N478" s="23" t="s">
        <v>352</v>
      </c>
      <c r="O478" s="10" t="str" cm="1">
        <f t="array" ref="O478">_xlfn.IFS(N478="A","א'", N478="B", "ב'", N478= "C", "ג'")</f>
        <v>א'</v>
      </c>
      <c r="P478" s="10">
        <f>IF(Table_2[[#This Row],[Correct_Answer]]=Table_2[[#This Row],[System_Recommendation]],1,0)</f>
        <v>1</v>
      </c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6" t="s">
        <v>172</v>
      </c>
      <c r="B479" s="6">
        <v>16</v>
      </c>
      <c r="C479" s="6" t="s">
        <v>372</v>
      </c>
      <c r="D479" s="6">
        <v>2</v>
      </c>
      <c r="E479" s="6" t="s">
        <v>98</v>
      </c>
      <c r="F479" s="6" t="s">
        <v>373</v>
      </c>
      <c r="G479" s="6" t="s">
        <v>97</v>
      </c>
      <c r="H479" s="6" t="s">
        <v>156</v>
      </c>
      <c r="I479" s="6" t="s">
        <v>91</v>
      </c>
      <c r="J479" s="6" t="s">
        <v>371</v>
      </c>
      <c r="K479" s="6" t="s">
        <v>383</v>
      </c>
      <c r="L479" s="6" t="str">
        <f>IF(J479="כן", K479, VLOOKUP(LEFT(H479, 7), 'קטלוג תרחישים'!$A:$M, 13, FALSE))</f>
        <v>א'</v>
      </c>
      <c r="M479" s="10"/>
      <c r="N479" s="24" t="s">
        <v>352</v>
      </c>
      <c r="O479" s="10" t="str" cm="1">
        <f t="array" ref="O479">_xlfn.IFS(N479="A","א'", N479="B", "ב'", N479= "C", "ג'")</f>
        <v>א'</v>
      </c>
      <c r="P479" s="10">
        <f>IF(Table_2[[#This Row],[Correct_Answer]]=Table_2[[#This Row],[System_Recommendation]],1,0)</f>
        <v>1</v>
      </c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6" t="s">
        <v>172</v>
      </c>
      <c r="B480" s="6">
        <v>17</v>
      </c>
      <c r="C480" s="6" t="s">
        <v>372</v>
      </c>
      <c r="D480" s="6">
        <v>3</v>
      </c>
      <c r="E480" s="6" t="s">
        <v>105</v>
      </c>
      <c r="F480" s="6" t="s">
        <v>373</v>
      </c>
      <c r="G480" s="6" t="s">
        <v>97</v>
      </c>
      <c r="H480" s="6" t="s">
        <v>142</v>
      </c>
      <c r="I480" s="6" t="s">
        <v>100</v>
      </c>
      <c r="J480" s="6" t="s">
        <v>371</v>
      </c>
      <c r="K480" s="6" t="s">
        <v>384</v>
      </c>
      <c r="L480" s="6" t="str">
        <f>IF(J480="כן", K480, VLOOKUP(LEFT(H480, 7), 'קטלוג תרחישים'!$A:$M, 13, FALSE))</f>
        <v>ב'</v>
      </c>
      <c r="M480" s="10"/>
      <c r="N480" s="23" t="s">
        <v>357</v>
      </c>
      <c r="O480" s="10" t="str" cm="1">
        <f t="array" ref="O480">_xlfn.IFS(N480="A","א'", N480="B", "ב'", N480= "C", "ג'")</f>
        <v>ב'</v>
      </c>
      <c r="P480" s="10">
        <f>IF(Table_2[[#This Row],[Correct_Answer]]=Table_2[[#This Row],[System_Recommendation]],1,0)</f>
        <v>1</v>
      </c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6" t="s">
        <v>172</v>
      </c>
      <c r="B481" s="6">
        <v>18</v>
      </c>
      <c r="C481" s="6" t="s">
        <v>372</v>
      </c>
      <c r="D481" s="6">
        <v>3</v>
      </c>
      <c r="E481" s="6" t="s">
        <v>105</v>
      </c>
      <c r="F481" s="6" t="s">
        <v>373</v>
      </c>
      <c r="G481" s="6" t="s">
        <v>97</v>
      </c>
      <c r="H481" s="6" t="s">
        <v>143</v>
      </c>
      <c r="I481" s="6" t="s">
        <v>91</v>
      </c>
      <c r="J481" s="6" t="s">
        <v>371</v>
      </c>
      <c r="K481" s="6" t="s">
        <v>384</v>
      </c>
      <c r="L481" s="6" t="str">
        <f>IF(J481="כן", K481, VLOOKUP(LEFT(H481, 7), 'קטלוג תרחישים'!$A:$M, 13, FALSE))</f>
        <v>ב'</v>
      </c>
      <c r="M481" s="10"/>
      <c r="N481" s="24" t="s">
        <v>357</v>
      </c>
      <c r="O481" s="10" t="str" cm="1">
        <f t="array" ref="O481">_xlfn.IFS(N481="A","א'", N481="B", "ב'", N481= "C", "ג'")</f>
        <v>ב'</v>
      </c>
      <c r="P481" s="10">
        <f>IF(Table_2[[#This Row],[Correct_Answer]]=Table_2[[#This Row],[System_Recommendation]],1,0)</f>
        <v>1</v>
      </c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6" t="s">
        <v>172</v>
      </c>
      <c r="B482" s="6">
        <v>19</v>
      </c>
      <c r="C482" s="6" t="s">
        <v>372</v>
      </c>
      <c r="D482" s="6">
        <v>3</v>
      </c>
      <c r="E482" s="6" t="s">
        <v>105</v>
      </c>
      <c r="F482" s="6" t="s">
        <v>373</v>
      </c>
      <c r="G482" s="6" t="s">
        <v>97</v>
      </c>
      <c r="H482" s="6" t="s">
        <v>146</v>
      </c>
      <c r="I482" s="6" t="s">
        <v>100</v>
      </c>
      <c r="J482" s="6" t="s">
        <v>371</v>
      </c>
      <c r="K482" s="6" t="s">
        <v>385</v>
      </c>
      <c r="L482" s="6" t="str">
        <f>IF(J482="כן", K482, VLOOKUP(LEFT(H482, 7), 'קטלוג תרחישים'!$A:$M, 13, FALSE))</f>
        <v>ג</v>
      </c>
      <c r="M482" s="10"/>
      <c r="N482" s="23" t="s">
        <v>358</v>
      </c>
      <c r="O482" s="10" t="str" cm="1">
        <f t="array" ref="O482">_xlfn.IFS(N482="A","א'", N482="B", "ב'", N482= "C", "ג'")</f>
        <v>ג'</v>
      </c>
      <c r="P482" s="10">
        <f>IF(Table_2[[#This Row],[Correct_Answer]]=Table_2[[#This Row],[System_Recommendation]],1,0)</f>
        <v>1</v>
      </c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6" t="s">
        <v>172</v>
      </c>
      <c r="B483" s="6">
        <v>20</v>
      </c>
      <c r="C483" s="6" t="s">
        <v>372</v>
      </c>
      <c r="D483" s="6">
        <v>3</v>
      </c>
      <c r="E483" s="6" t="s">
        <v>105</v>
      </c>
      <c r="F483" s="6" t="s">
        <v>373</v>
      </c>
      <c r="G483" s="6" t="s">
        <v>97</v>
      </c>
      <c r="H483" s="6" t="s">
        <v>145</v>
      </c>
      <c r="I483" s="6" t="s">
        <v>91</v>
      </c>
      <c r="J483" s="6" t="s">
        <v>371</v>
      </c>
      <c r="K483" s="6" t="s">
        <v>385</v>
      </c>
      <c r="L483" s="6" t="str">
        <f>IF(J483="כן", K483, VLOOKUP(LEFT(H483, 7), 'קטלוג תרחישים'!$A:$M, 13, FALSE))</f>
        <v>ג</v>
      </c>
      <c r="M483" s="10"/>
      <c r="N483" s="24" t="s">
        <v>358</v>
      </c>
      <c r="O483" s="10" t="str" cm="1">
        <f t="array" ref="O483">_xlfn.IFS(N483="A","א'", N483="B", "ב'", N483= "C", "ג'")</f>
        <v>ג'</v>
      </c>
      <c r="P483" s="10">
        <f>IF(Table_2[[#This Row],[Correct_Answer]]=Table_2[[#This Row],[System_Recommendation]],1,0)</f>
        <v>1</v>
      </c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6" t="s">
        <v>172</v>
      </c>
      <c r="B484" s="6">
        <v>21</v>
      </c>
      <c r="C484" s="6" t="s">
        <v>372</v>
      </c>
      <c r="D484" s="6">
        <v>3</v>
      </c>
      <c r="E484" s="6" t="s">
        <v>105</v>
      </c>
      <c r="F484" s="6" t="s">
        <v>373</v>
      </c>
      <c r="G484" s="6" t="s">
        <v>97</v>
      </c>
      <c r="H484" s="6" t="s">
        <v>144</v>
      </c>
      <c r="I484" s="6" t="s">
        <v>100</v>
      </c>
      <c r="J484" s="6" t="s">
        <v>374</v>
      </c>
      <c r="K484" s="6" t="s">
        <v>383</v>
      </c>
      <c r="L484" s="6" t="str">
        <f>IF(J484="כן", K484, VLOOKUP(LEFT(H484, 7), 'קטלוג תרחישים'!$A:$M, 13, FALSE))</f>
        <v>ב'</v>
      </c>
      <c r="M484" s="10"/>
      <c r="N484" s="23" t="s">
        <v>352</v>
      </c>
      <c r="O484" s="10" t="str" cm="1">
        <f t="array" ref="O484">_xlfn.IFS(N484="A","א'", N484="B", "ב'", N484= "C", "ג'")</f>
        <v>א'</v>
      </c>
      <c r="P484" s="10">
        <f>IF(Table_2[[#This Row],[Correct_Answer]]=Table_2[[#This Row],[System_Recommendation]],1,0)</f>
        <v>0</v>
      </c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6" t="s">
        <v>172</v>
      </c>
      <c r="B485" s="6">
        <v>22</v>
      </c>
      <c r="C485" s="6" t="s">
        <v>372</v>
      </c>
      <c r="D485" s="6">
        <v>1</v>
      </c>
      <c r="E485" s="6" t="s">
        <v>98</v>
      </c>
      <c r="F485" s="6" t="s">
        <v>375</v>
      </c>
      <c r="G485" s="6" t="s">
        <v>117</v>
      </c>
      <c r="H485" s="6" t="s">
        <v>163</v>
      </c>
      <c r="I485" s="6" t="s">
        <v>91</v>
      </c>
      <c r="J485" s="6" t="s">
        <v>371</v>
      </c>
      <c r="K485" s="6" t="s">
        <v>385</v>
      </c>
      <c r="L485" s="6" t="str">
        <f>IF(J485="כן", K485, VLOOKUP(LEFT(H485, 7), 'קטלוג תרחישים'!$A:$M, 13, FALSE))</f>
        <v>ג</v>
      </c>
      <c r="M485" s="10"/>
      <c r="N485" s="24" t="s">
        <v>358</v>
      </c>
      <c r="O485" s="10" t="str" cm="1">
        <f t="array" ref="O485">_xlfn.IFS(N485="A","א'", N485="B", "ב'", N485= "C", "ג'")</f>
        <v>ג'</v>
      </c>
      <c r="P485" s="10">
        <f>IF(Table_2[[#This Row],[Correct_Answer]]=Table_2[[#This Row],[System_Recommendation]],1,0)</f>
        <v>1</v>
      </c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6" t="s">
        <v>172</v>
      </c>
      <c r="B486" s="6">
        <v>23</v>
      </c>
      <c r="C486" s="6" t="s">
        <v>372</v>
      </c>
      <c r="D486" s="6">
        <v>1</v>
      </c>
      <c r="E486" s="6" t="s">
        <v>98</v>
      </c>
      <c r="F486" s="6" t="s">
        <v>375</v>
      </c>
      <c r="G486" s="6" t="s">
        <v>117</v>
      </c>
      <c r="H486" s="6" t="s">
        <v>162</v>
      </c>
      <c r="I486" s="6" t="s">
        <v>100</v>
      </c>
      <c r="J486" s="6" t="s">
        <v>371</v>
      </c>
      <c r="K486" s="6" t="s">
        <v>385</v>
      </c>
      <c r="L486" s="6" t="str">
        <f>IF(J486="כן", K486, VLOOKUP(LEFT(H486, 7), 'קטלוג תרחישים'!$A:$M, 13, FALSE))</f>
        <v>ג</v>
      </c>
      <c r="M486" s="10"/>
      <c r="N486" s="23" t="s">
        <v>358</v>
      </c>
      <c r="O486" s="10" t="str" cm="1">
        <f t="array" ref="O486">_xlfn.IFS(N486="A","א'", N486="B", "ב'", N486= "C", "ג'")</f>
        <v>ג'</v>
      </c>
      <c r="P486" s="10">
        <f>IF(Table_2[[#This Row],[Correct_Answer]]=Table_2[[#This Row],[System_Recommendation]],1,0)</f>
        <v>1</v>
      </c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6" t="s">
        <v>172</v>
      </c>
      <c r="B487" s="6">
        <v>24</v>
      </c>
      <c r="C487" s="6" t="s">
        <v>372</v>
      </c>
      <c r="D487" s="6">
        <v>1</v>
      </c>
      <c r="E487" s="6" t="s">
        <v>98</v>
      </c>
      <c r="F487" s="6" t="s">
        <v>375</v>
      </c>
      <c r="G487" s="6" t="s">
        <v>117</v>
      </c>
      <c r="H487" s="6" t="s">
        <v>161</v>
      </c>
      <c r="I487" s="6" t="s">
        <v>91</v>
      </c>
      <c r="J487" s="6" t="s">
        <v>374</v>
      </c>
      <c r="K487" s="6" t="s">
        <v>384</v>
      </c>
      <c r="L487" s="6" t="str">
        <f>IF(J487="כן", K487, VLOOKUP(LEFT(H487, 7), 'קטלוג תרחישים'!$A:$M, 13, FALSE))</f>
        <v>א'</v>
      </c>
      <c r="M487" s="10"/>
      <c r="N487" s="24" t="s">
        <v>357</v>
      </c>
      <c r="O487" s="10" t="str" cm="1">
        <f t="array" ref="O487">_xlfn.IFS(N487="A","א'", N487="B", "ב'", N487= "C", "ג'")</f>
        <v>ב'</v>
      </c>
      <c r="P487" s="10">
        <f>IF(Table_2[[#This Row],[Correct_Answer]]=Table_2[[#This Row],[System_Recommendation]],1,0)</f>
        <v>0</v>
      </c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6" t="s">
        <v>172</v>
      </c>
      <c r="B488" s="6">
        <v>25</v>
      </c>
      <c r="C488" s="6" t="s">
        <v>372</v>
      </c>
      <c r="D488" s="6">
        <v>1</v>
      </c>
      <c r="E488" s="6" t="s">
        <v>98</v>
      </c>
      <c r="F488" s="6" t="s">
        <v>375</v>
      </c>
      <c r="G488" s="6" t="s">
        <v>117</v>
      </c>
      <c r="H488" s="6" t="s">
        <v>164</v>
      </c>
      <c r="I488" s="6" t="s">
        <v>100</v>
      </c>
      <c r="J488" s="6" t="s">
        <v>374</v>
      </c>
      <c r="K488" s="6" t="s">
        <v>383</v>
      </c>
      <c r="L488" s="6" t="str">
        <f>IF(J488="כן", K488, VLOOKUP(LEFT(H488, 7), 'קטלוג תרחישים'!$A:$M, 13, FALSE))</f>
        <v>א'</v>
      </c>
      <c r="M488" s="10"/>
      <c r="N488" s="23" t="s">
        <v>352</v>
      </c>
      <c r="O488" s="10" t="str" cm="1">
        <f t="array" ref="O488">_xlfn.IFS(N488="A","א'", N488="B", "ב'", N488= "C", "ג'")</f>
        <v>א'</v>
      </c>
      <c r="P488" s="10">
        <f>IF(Table_2[[#This Row],[Correct_Answer]]=Table_2[[#This Row],[System_Recommendation]],1,0)</f>
        <v>1</v>
      </c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6" t="s">
        <v>172</v>
      </c>
      <c r="B489" s="6">
        <v>26</v>
      </c>
      <c r="C489" s="6" t="s">
        <v>372</v>
      </c>
      <c r="D489" s="6">
        <v>2</v>
      </c>
      <c r="E489" s="6" t="s">
        <v>105</v>
      </c>
      <c r="F489" s="6" t="s">
        <v>375</v>
      </c>
      <c r="G489" s="6" t="s">
        <v>117</v>
      </c>
      <c r="H489" s="6" t="s">
        <v>167</v>
      </c>
      <c r="I489" s="6" t="s">
        <v>91</v>
      </c>
      <c r="J489" s="6" t="s">
        <v>374</v>
      </c>
      <c r="K489" s="6" t="s">
        <v>385</v>
      </c>
      <c r="L489" s="6" t="str">
        <f>IF(J489="כן", K489, VLOOKUP(LEFT(H489, 7), 'קטלוג תרחישים'!$A:$M, 13, FALSE))</f>
        <v>ג'</v>
      </c>
      <c r="M489" s="10"/>
      <c r="N489" s="24" t="s">
        <v>358</v>
      </c>
      <c r="O489" s="10" t="str" cm="1">
        <f t="array" ref="O489">_xlfn.IFS(N489="A","א'", N489="B", "ב'", N489= "C", "ג'")</f>
        <v>ג'</v>
      </c>
      <c r="P489" s="10">
        <f>IF(Table_2[[#This Row],[Correct_Answer]]=Table_2[[#This Row],[System_Recommendation]],1,0)</f>
        <v>0</v>
      </c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6" t="s">
        <v>172</v>
      </c>
      <c r="B490" s="6">
        <v>27</v>
      </c>
      <c r="C490" s="6" t="s">
        <v>372</v>
      </c>
      <c r="D490" s="6">
        <v>2</v>
      </c>
      <c r="E490" s="6" t="s">
        <v>105</v>
      </c>
      <c r="F490" s="6" t="s">
        <v>375</v>
      </c>
      <c r="G490" s="6" t="s">
        <v>117</v>
      </c>
      <c r="H490" s="6" t="s">
        <v>166</v>
      </c>
      <c r="I490" s="6" t="s">
        <v>100</v>
      </c>
      <c r="J490" s="6" t="s">
        <v>371</v>
      </c>
      <c r="K490" s="6" t="s">
        <v>384</v>
      </c>
      <c r="L490" s="6" t="str">
        <f>IF(J490="כן", K490, VLOOKUP(LEFT(H490, 7), 'קטלוג תרחישים'!$A:$M, 13, FALSE))</f>
        <v>ב'</v>
      </c>
      <c r="M490" s="10"/>
      <c r="N490" s="23" t="s">
        <v>357</v>
      </c>
      <c r="O490" s="10" t="str" cm="1">
        <f t="array" ref="O490">_xlfn.IFS(N490="A","א'", N490="B", "ב'", N490= "C", "ג'")</f>
        <v>ב'</v>
      </c>
      <c r="P490" s="10">
        <f>IF(Table_2[[#This Row],[Correct_Answer]]=Table_2[[#This Row],[System_Recommendation]],1,0)</f>
        <v>1</v>
      </c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6" t="s">
        <v>172</v>
      </c>
      <c r="B491" s="6">
        <v>28</v>
      </c>
      <c r="C491" s="6" t="s">
        <v>372</v>
      </c>
      <c r="D491" s="6">
        <v>2</v>
      </c>
      <c r="E491" s="6" t="s">
        <v>105</v>
      </c>
      <c r="F491" s="6" t="s">
        <v>375</v>
      </c>
      <c r="G491" s="6" t="s">
        <v>117</v>
      </c>
      <c r="H491" s="6" t="s">
        <v>165</v>
      </c>
      <c r="I491" s="6" t="s">
        <v>91</v>
      </c>
      <c r="J491" s="6" t="s">
        <v>371</v>
      </c>
      <c r="K491" s="6" t="s">
        <v>385</v>
      </c>
      <c r="L491" s="6" t="str">
        <f>IF(J491="כן", K491, VLOOKUP(LEFT(H491, 7), 'קטלוג תרחישים'!$A:$M, 13, FALSE))</f>
        <v>ג</v>
      </c>
      <c r="M491" s="10"/>
      <c r="N491" s="24" t="s">
        <v>358</v>
      </c>
      <c r="O491" s="10" t="str" cm="1">
        <f t="array" ref="O491">_xlfn.IFS(N491="A","א'", N491="B", "ב'", N491= "C", "ג'")</f>
        <v>ג'</v>
      </c>
      <c r="P491" s="10">
        <f>IF(Table_2[[#This Row],[Correct_Answer]]=Table_2[[#This Row],[System_Recommendation]],1,0)</f>
        <v>1</v>
      </c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6" t="s">
        <v>172</v>
      </c>
      <c r="B492" s="6">
        <v>29</v>
      </c>
      <c r="C492" s="6" t="s">
        <v>372</v>
      </c>
      <c r="D492" s="6">
        <v>2</v>
      </c>
      <c r="E492" s="6" t="s">
        <v>105</v>
      </c>
      <c r="F492" s="6" t="s">
        <v>375</v>
      </c>
      <c r="G492" s="6" t="s">
        <v>117</v>
      </c>
      <c r="H492" s="6" t="s">
        <v>168</v>
      </c>
      <c r="I492" s="6" t="s">
        <v>100</v>
      </c>
      <c r="J492" s="6" t="s">
        <v>374</v>
      </c>
      <c r="K492" s="6" t="s">
        <v>385</v>
      </c>
      <c r="L492" s="6" t="str">
        <f>IF(J492="כן", K492, VLOOKUP(LEFT(H492, 7), 'קטלוג תרחישים'!$A:$M, 13, FALSE))</f>
        <v>ב'</v>
      </c>
      <c r="M492" s="10"/>
      <c r="N492" s="23" t="s">
        <v>358</v>
      </c>
      <c r="O492" s="10" t="str" cm="1">
        <f t="array" ref="O492">_xlfn.IFS(N492="A","א'", N492="B", "ב'", N492= "C", "ג'")</f>
        <v>ג'</v>
      </c>
      <c r="P492" s="10">
        <f>IF(Table_2[[#This Row],[Correct_Answer]]=Table_2[[#This Row],[System_Recommendation]],1,0)</f>
        <v>0</v>
      </c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6" t="s">
        <v>172</v>
      </c>
      <c r="B493" s="6">
        <v>30</v>
      </c>
      <c r="C493" s="6" t="s">
        <v>372</v>
      </c>
      <c r="D493" s="6">
        <v>3</v>
      </c>
      <c r="E493" s="6" t="s">
        <v>111</v>
      </c>
      <c r="F493" s="6" t="s">
        <v>375</v>
      </c>
      <c r="G493" s="6" t="s">
        <v>117</v>
      </c>
      <c r="H493" s="6" t="s">
        <v>157</v>
      </c>
      <c r="I493" s="6" t="s">
        <v>91</v>
      </c>
      <c r="J493" s="6" t="s">
        <v>371</v>
      </c>
      <c r="K493" s="6" t="s">
        <v>384</v>
      </c>
      <c r="L493" s="6" t="str">
        <f>IF(J493="כן", K493, VLOOKUP(LEFT(H493, 7), 'קטלוג תרחישים'!$A:$M, 13, FALSE))</f>
        <v>ב'</v>
      </c>
      <c r="M493" s="10"/>
      <c r="N493" s="24" t="s">
        <v>357</v>
      </c>
      <c r="O493" s="10" t="str" cm="1">
        <f t="array" ref="O493">_xlfn.IFS(N493="A","א'", N493="B", "ב'", N493= "C", "ג'")</f>
        <v>ב'</v>
      </c>
      <c r="P493" s="10">
        <f>IF(Table_2[[#This Row],[Correct_Answer]]=Table_2[[#This Row],[System_Recommendation]],1,0)</f>
        <v>1</v>
      </c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6" t="s">
        <v>172</v>
      </c>
      <c r="B494" s="6">
        <v>31</v>
      </c>
      <c r="C494" s="6" t="s">
        <v>372</v>
      </c>
      <c r="D494" s="6">
        <v>3</v>
      </c>
      <c r="E494" s="6" t="s">
        <v>111</v>
      </c>
      <c r="F494" s="6" t="s">
        <v>375</v>
      </c>
      <c r="G494" s="6" t="s">
        <v>117</v>
      </c>
      <c r="H494" s="6" t="s">
        <v>158</v>
      </c>
      <c r="I494" s="6" t="s">
        <v>100</v>
      </c>
      <c r="J494" s="6" t="s">
        <v>374</v>
      </c>
      <c r="K494" s="6" t="s">
        <v>385</v>
      </c>
      <c r="L494" s="6" t="str">
        <f>IF(J494="כן", K494, VLOOKUP(LEFT(H494, 7), 'קטלוג תרחישים'!$A:$M, 13, FALSE))</f>
        <v>ב'</v>
      </c>
      <c r="M494" s="10"/>
      <c r="N494" s="23" t="s">
        <v>358</v>
      </c>
      <c r="O494" s="10" t="str" cm="1">
        <f t="array" ref="O494">_xlfn.IFS(N494="A","א'", N494="B", "ב'", N494= "C", "ג'")</f>
        <v>ג'</v>
      </c>
      <c r="P494" s="10">
        <f>IF(Table_2[[#This Row],[Correct_Answer]]=Table_2[[#This Row],[System_Recommendation]],1,0)</f>
        <v>0</v>
      </c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6" t="s">
        <v>172</v>
      </c>
      <c r="B495" s="6">
        <v>32</v>
      </c>
      <c r="C495" s="6" t="s">
        <v>372</v>
      </c>
      <c r="D495" s="6">
        <v>3</v>
      </c>
      <c r="E495" s="6" t="s">
        <v>111</v>
      </c>
      <c r="F495" s="6" t="s">
        <v>375</v>
      </c>
      <c r="G495" s="6" t="s">
        <v>117</v>
      </c>
      <c r="H495" s="6" t="s">
        <v>159</v>
      </c>
      <c r="I495" s="6" t="s">
        <v>91</v>
      </c>
      <c r="J495" s="6" t="s">
        <v>374</v>
      </c>
      <c r="K495" s="6" t="s">
        <v>383</v>
      </c>
      <c r="L495" s="6" t="str">
        <f>IF(J495="כן", K495, VLOOKUP(LEFT(H495, 7), 'קטלוג תרחישים'!$A:$M, 13, FALSE))</f>
        <v>ב'</v>
      </c>
      <c r="M495" s="10"/>
      <c r="N495" s="24" t="s">
        <v>352</v>
      </c>
      <c r="O495" s="10" t="str" cm="1">
        <f t="array" ref="O495">_xlfn.IFS(N495="A","א'", N495="B", "ב'", N495= "C", "ג'")</f>
        <v>א'</v>
      </c>
      <c r="P495" s="10">
        <f>IF(Table_2[[#This Row],[Correct_Answer]]=Table_2[[#This Row],[System_Recommendation]],1,0)</f>
        <v>0</v>
      </c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6" t="s">
        <v>172</v>
      </c>
      <c r="B496" s="6">
        <v>33</v>
      </c>
      <c r="C496" s="6" t="s">
        <v>372</v>
      </c>
      <c r="D496" s="6">
        <v>3</v>
      </c>
      <c r="E496" s="6" t="s">
        <v>111</v>
      </c>
      <c r="F496" s="6" t="s">
        <v>375</v>
      </c>
      <c r="G496" s="6" t="s">
        <v>117</v>
      </c>
      <c r="H496" s="6" t="s">
        <v>160</v>
      </c>
      <c r="I496" s="6" t="s">
        <v>100</v>
      </c>
      <c r="J496" s="6" t="s">
        <v>371</v>
      </c>
      <c r="K496" s="6" t="s">
        <v>383</v>
      </c>
      <c r="L496" s="6" t="str">
        <f>IF(J496="כן", K496, VLOOKUP(LEFT(H496, 7), 'קטלוג תרחישים'!$A:$M, 13, FALSE))</f>
        <v>א'</v>
      </c>
      <c r="M496" s="10"/>
      <c r="N496" s="23" t="s">
        <v>352</v>
      </c>
      <c r="O496" s="10" t="str" cm="1">
        <f t="array" ref="O496">_xlfn.IFS(N496="A","א'", N496="B", "ב'", N496= "C", "ג'")</f>
        <v>א'</v>
      </c>
      <c r="P496" s="10">
        <f>IF(Table_2[[#This Row],[Correct_Answer]]=Table_2[[#This Row],[System_Recommendation]],1,0)</f>
        <v>1</v>
      </c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6" t="s">
        <v>173</v>
      </c>
      <c r="B497" s="6">
        <v>1</v>
      </c>
      <c r="C497" s="6" t="s">
        <v>370</v>
      </c>
      <c r="D497" s="6"/>
      <c r="E497" s="6" t="s">
        <v>98</v>
      </c>
      <c r="F497" s="6"/>
      <c r="G497" s="6"/>
      <c r="H497" s="8" t="s">
        <v>90</v>
      </c>
      <c r="I497" s="6" t="s">
        <v>91</v>
      </c>
      <c r="J497" s="6" t="s">
        <v>371</v>
      </c>
      <c r="K497" s="6" t="s">
        <v>385</v>
      </c>
      <c r="L497" s="6" t="str">
        <f>IF(J497="כן", K497, VLOOKUP(LEFT(H497, 7), 'קטלוג תרחישים'!$A:$M, 13, FALSE))</f>
        <v>ג</v>
      </c>
      <c r="M497" s="10"/>
      <c r="N497" s="24" t="s">
        <v>358</v>
      </c>
      <c r="O497" s="10" t="str" cm="1">
        <f t="array" ref="O497">_xlfn.IFS(N497="A","א'", N497="B", "ב'", N497= "C", "ג'")</f>
        <v>ג'</v>
      </c>
      <c r="P497" s="10">
        <f>IF(Table_2[[#This Row],[Correct_Answer]]=Table_2[[#This Row],[System_Recommendation]],1,0)</f>
        <v>1</v>
      </c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6" t="s">
        <v>173</v>
      </c>
      <c r="B498" s="6">
        <v>2</v>
      </c>
      <c r="C498" s="6" t="s">
        <v>370</v>
      </c>
      <c r="D498" s="6"/>
      <c r="E498" s="6" t="s">
        <v>98</v>
      </c>
      <c r="F498" s="6"/>
      <c r="G498" s="6"/>
      <c r="H498" s="8" t="s">
        <v>92</v>
      </c>
      <c r="I498" s="6" t="s">
        <v>91</v>
      </c>
      <c r="J498" s="6" t="s">
        <v>371</v>
      </c>
      <c r="K498" s="6" t="s">
        <v>385</v>
      </c>
      <c r="L498" s="6" t="str">
        <f>IF(J498="כן", K498, VLOOKUP(LEFT(H498, 7), 'קטלוג תרחישים'!$A:$M, 13, FALSE))</f>
        <v>ג</v>
      </c>
      <c r="M498" s="10"/>
      <c r="N498" s="23" t="s">
        <v>358</v>
      </c>
      <c r="O498" s="10" t="str" cm="1">
        <f t="array" ref="O498">_xlfn.IFS(N498="A","א'", N498="B", "ב'", N498= "C", "ג'")</f>
        <v>ג'</v>
      </c>
      <c r="P498" s="10">
        <f>IF(Table_2[[#This Row],[Correct_Answer]]=Table_2[[#This Row],[System_Recommendation]],1,0)</f>
        <v>1</v>
      </c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6" t="s">
        <v>173</v>
      </c>
      <c r="B499" s="6">
        <v>3</v>
      </c>
      <c r="C499" s="6" t="s">
        <v>370</v>
      </c>
      <c r="D499" s="6"/>
      <c r="E499" s="6" t="s">
        <v>105</v>
      </c>
      <c r="F499" s="6"/>
      <c r="G499" s="6"/>
      <c r="H499" s="8" t="s">
        <v>93</v>
      </c>
      <c r="I499" s="6" t="s">
        <v>91</v>
      </c>
      <c r="J499" s="6" t="s">
        <v>371</v>
      </c>
      <c r="K499" s="6" t="s">
        <v>385</v>
      </c>
      <c r="L499" s="6" t="str">
        <f>IF(J499="כן", K499, VLOOKUP(LEFT(H499, 7), 'קטלוג תרחישים'!$A:$M, 13, FALSE))</f>
        <v>ג</v>
      </c>
      <c r="M499" s="10"/>
      <c r="N499" s="24" t="s">
        <v>358</v>
      </c>
      <c r="O499" s="10" t="str" cm="1">
        <f t="array" ref="O499">_xlfn.IFS(N499="A","א'", N499="B", "ב'", N499= "C", "ג'")</f>
        <v>ג'</v>
      </c>
      <c r="P499" s="10">
        <f>IF(Table_2[[#This Row],[Correct_Answer]]=Table_2[[#This Row],[System_Recommendation]],1,0)</f>
        <v>1</v>
      </c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6" t="s">
        <v>173</v>
      </c>
      <c r="B500" s="6">
        <v>4</v>
      </c>
      <c r="C500" s="6" t="s">
        <v>370</v>
      </c>
      <c r="D500" s="6"/>
      <c r="E500" s="6" t="s">
        <v>105</v>
      </c>
      <c r="F500" s="6"/>
      <c r="G500" s="6"/>
      <c r="H500" s="8" t="s">
        <v>94</v>
      </c>
      <c r="I500" s="6" t="s">
        <v>91</v>
      </c>
      <c r="J500" s="6" t="s">
        <v>371</v>
      </c>
      <c r="K500" s="6" t="s">
        <v>384</v>
      </c>
      <c r="L500" s="6" t="str">
        <f>IF(J500="כן", K500, VLOOKUP(LEFT(H500, 7), 'קטלוג תרחישים'!$A:$M, 13, FALSE))</f>
        <v>ב'</v>
      </c>
      <c r="M500" s="10"/>
      <c r="N500" s="23" t="s">
        <v>357</v>
      </c>
      <c r="O500" s="10" t="str" cm="1">
        <f t="array" ref="O500">_xlfn.IFS(N500="A","א'", N500="B", "ב'", N500= "C", "ג'")</f>
        <v>ב'</v>
      </c>
      <c r="P500" s="10">
        <f>IF(Table_2[[#This Row],[Correct_Answer]]=Table_2[[#This Row],[System_Recommendation]],1,0)</f>
        <v>1</v>
      </c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6" t="s">
        <v>173</v>
      </c>
      <c r="B501" s="6">
        <v>5</v>
      </c>
      <c r="C501" s="6" t="s">
        <v>370</v>
      </c>
      <c r="D501" s="6"/>
      <c r="E501" s="6" t="s">
        <v>111</v>
      </c>
      <c r="F501" s="6"/>
      <c r="G501" s="6"/>
      <c r="H501" s="8" t="s">
        <v>95</v>
      </c>
      <c r="I501" s="6" t="s">
        <v>91</v>
      </c>
      <c r="J501" s="6" t="s">
        <v>371</v>
      </c>
      <c r="K501" s="6" t="s">
        <v>383</v>
      </c>
      <c r="L501" s="6" t="str">
        <f>IF(J501="כן", K501, VLOOKUP(LEFT(H501, 7), 'קטלוג תרחישים'!$A:$M, 13, FALSE))</f>
        <v>א'</v>
      </c>
      <c r="M501" s="10"/>
      <c r="N501" s="24" t="s">
        <v>352</v>
      </c>
      <c r="O501" s="10" t="str" cm="1">
        <f t="array" ref="O501">_xlfn.IFS(N501="A","א'", N501="B", "ב'", N501= "C", "ג'")</f>
        <v>א'</v>
      </c>
      <c r="P501" s="10">
        <f>IF(Table_2[[#This Row],[Correct_Answer]]=Table_2[[#This Row],[System_Recommendation]],1,0)</f>
        <v>1</v>
      </c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6" t="s">
        <v>173</v>
      </c>
      <c r="B502" s="6">
        <v>6</v>
      </c>
      <c r="C502" s="6" t="s">
        <v>370</v>
      </c>
      <c r="D502" s="6"/>
      <c r="E502" s="6" t="s">
        <v>111</v>
      </c>
      <c r="F502" s="6"/>
      <c r="G502" s="6"/>
      <c r="H502" s="8" t="s">
        <v>96</v>
      </c>
      <c r="I502" s="6" t="s">
        <v>91</v>
      </c>
      <c r="J502" s="6" t="s">
        <v>371</v>
      </c>
      <c r="K502" s="6" t="s">
        <v>385</v>
      </c>
      <c r="L502" s="6" t="str">
        <f>IF(J502="כן", K502, VLOOKUP(LEFT(H502, 7), 'קטלוג תרחישים'!$A:$M, 13, FALSE))</f>
        <v>ג</v>
      </c>
      <c r="M502" s="10"/>
      <c r="N502" s="23" t="s">
        <v>358</v>
      </c>
      <c r="O502" s="10" t="str" cm="1">
        <f t="array" ref="O502">_xlfn.IFS(N502="A","א'", N502="B", "ב'", N502= "C", "ג'")</f>
        <v>ג'</v>
      </c>
      <c r="P502" s="10">
        <f>IF(Table_2[[#This Row],[Correct_Answer]]=Table_2[[#This Row],[System_Recommendation]],1,0)</f>
        <v>1</v>
      </c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6" t="s">
        <v>173</v>
      </c>
      <c r="B503" s="6">
        <v>7</v>
      </c>
      <c r="C503" s="6" t="s">
        <v>372</v>
      </c>
      <c r="D503" s="6">
        <v>1</v>
      </c>
      <c r="E503" s="6" t="s">
        <v>105</v>
      </c>
      <c r="F503" s="6" t="s">
        <v>373</v>
      </c>
      <c r="G503" s="6" t="s">
        <v>117</v>
      </c>
      <c r="H503" s="6" t="s">
        <v>167</v>
      </c>
      <c r="I503" s="6" t="s">
        <v>91</v>
      </c>
      <c r="J503" s="6" t="s">
        <v>371</v>
      </c>
      <c r="K503" s="6" t="s">
        <v>385</v>
      </c>
      <c r="L503" s="6" t="str">
        <f>IF(J503="כן", K503, VLOOKUP(LEFT(H503, 7), 'קטלוג תרחישים'!$A:$M, 13, FALSE))</f>
        <v>ג</v>
      </c>
      <c r="M503" s="10"/>
      <c r="N503" s="24" t="s">
        <v>358</v>
      </c>
      <c r="O503" s="10" t="str" cm="1">
        <f t="array" ref="O503">_xlfn.IFS(N503="A","א'", N503="B", "ב'", N503= "C", "ג'")</f>
        <v>ג'</v>
      </c>
      <c r="P503" s="10">
        <f>IF(Table_2[[#This Row],[Correct_Answer]]=Table_2[[#This Row],[System_Recommendation]],1,0)</f>
        <v>1</v>
      </c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6" t="s">
        <v>173</v>
      </c>
      <c r="B504" s="6">
        <v>8</v>
      </c>
      <c r="C504" s="6" t="s">
        <v>372</v>
      </c>
      <c r="D504" s="6">
        <v>1</v>
      </c>
      <c r="E504" s="6" t="s">
        <v>105</v>
      </c>
      <c r="F504" s="6" t="s">
        <v>373</v>
      </c>
      <c r="G504" s="6" t="s">
        <v>117</v>
      </c>
      <c r="H504" s="6" t="s">
        <v>166</v>
      </c>
      <c r="I504" s="6" t="s">
        <v>100</v>
      </c>
      <c r="J504" s="6" t="s">
        <v>371</v>
      </c>
      <c r="K504" s="6" t="s">
        <v>384</v>
      </c>
      <c r="L504" s="6" t="str">
        <f>IF(J504="כן", K504, VLOOKUP(LEFT(H504, 7), 'קטלוג תרחישים'!$A:$M, 13, FALSE))</f>
        <v>ב'</v>
      </c>
      <c r="M504" s="10"/>
      <c r="N504" s="23" t="s">
        <v>357</v>
      </c>
      <c r="O504" s="10" t="str" cm="1">
        <f t="array" ref="O504">_xlfn.IFS(N504="A","א'", N504="B", "ב'", N504= "C", "ג'")</f>
        <v>ב'</v>
      </c>
      <c r="P504" s="10">
        <f>IF(Table_2[[#This Row],[Correct_Answer]]=Table_2[[#This Row],[System_Recommendation]],1,0)</f>
        <v>1</v>
      </c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6" t="s">
        <v>173</v>
      </c>
      <c r="B505" s="6">
        <v>9</v>
      </c>
      <c r="C505" s="6" t="s">
        <v>372</v>
      </c>
      <c r="D505" s="6">
        <v>1</v>
      </c>
      <c r="E505" s="6" t="s">
        <v>105</v>
      </c>
      <c r="F505" s="6" t="s">
        <v>373</v>
      </c>
      <c r="G505" s="6" t="s">
        <v>117</v>
      </c>
      <c r="H505" s="6" t="s">
        <v>165</v>
      </c>
      <c r="I505" s="6" t="s">
        <v>91</v>
      </c>
      <c r="J505" s="6" t="s">
        <v>374</v>
      </c>
      <c r="K505" s="6" t="s">
        <v>384</v>
      </c>
      <c r="L505" s="6" t="str">
        <f>IF(J505="כן", K505, VLOOKUP(LEFT(H505, 7), 'קטלוג תרחישים'!$A:$M, 13, FALSE))</f>
        <v>א'</v>
      </c>
      <c r="M505" s="10"/>
      <c r="N505" s="24" t="s">
        <v>357</v>
      </c>
      <c r="O505" s="10" t="str" cm="1">
        <f t="array" ref="O505">_xlfn.IFS(N505="A","א'", N505="B", "ב'", N505= "C", "ג'")</f>
        <v>ב'</v>
      </c>
      <c r="P505" s="10">
        <f>IF(Table_2[[#This Row],[Correct_Answer]]=Table_2[[#This Row],[System_Recommendation]],1,0)</f>
        <v>0</v>
      </c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6" t="s">
        <v>173</v>
      </c>
      <c r="B506" s="6">
        <v>10</v>
      </c>
      <c r="C506" s="6" t="s">
        <v>372</v>
      </c>
      <c r="D506" s="6">
        <v>1</v>
      </c>
      <c r="E506" s="6" t="s">
        <v>105</v>
      </c>
      <c r="F506" s="6" t="s">
        <v>373</v>
      </c>
      <c r="G506" s="6" t="s">
        <v>117</v>
      </c>
      <c r="H506" s="6" t="s">
        <v>168</v>
      </c>
      <c r="I506" s="6" t="s">
        <v>100</v>
      </c>
      <c r="J506" s="6" t="s">
        <v>374</v>
      </c>
      <c r="K506" s="6" t="s">
        <v>384</v>
      </c>
      <c r="L506" s="6" t="str">
        <f>IF(J506="כן", K506, VLOOKUP(LEFT(H506, 7), 'קטלוג תרחישים'!$A:$M, 13, FALSE))</f>
        <v>ב'</v>
      </c>
      <c r="M506" s="10"/>
      <c r="N506" s="23" t="s">
        <v>357</v>
      </c>
      <c r="O506" s="10" t="str" cm="1">
        <f t="array" ref="O506">_xlfn.IFS(N506="A","א'", N506="B", "ב'", N506= "C", "ג'")</f>
        <v>ב'</v>
      </c>
      <c r="P506" s="10">
        <f>IF(Table_2[[#This Row],[Correct_Answer]]=Table_2[[#This Row],[System_Recommendation]],1,0)</f>
        <v>1</v>
      </c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6" t="s">
        <v>173</v>
      </c>
      <c r="B507" s="6">
        <v>11</v>
      </c>
      <c r="C507" s="6" t="s">
        <v>372</v>
      </c>
      <c r="D507" s="6">
        <v>2</v>
      </c>
      <c r="E507" s="6" t="s">
        <v>111</v>
      </c>
      <c r="F507" s="6" t="s">
        <v>373</v>
      </c>
      <c r="G507" s="6" t="s">
        <v>117</v>
      </c>
      <c r="H507" s="6" t="s">
        <v>157</v>
      </c>
      <c r="I507" s="6" t="s">
        <v>91</v>
      </c>
      <c r="J507" s="6" t="s">
        <v>371</v>
      </c>
      <c r="K507" s="6" t="s">
        <v>383</v>
      </c>
      <c r="L507" s="6" t="str">
        <f>IF(J507="כן", K507, VLOOKUP(LEFT(H507, 7), 'קטלוג תרחישים'!$A:$M, 13, FALSE))</f>
        <v>א'</v>
      </c>
      <c r="M507" s="10"/>
      <c r="N507" s="24" t="s">
        <v>352</v>
      </c>
      <c r="O507" s="10" t="str" cm="1">
        <f t="array" ref="O507">_xlfn.IFS(N507="A","א'", N507="B", "ב'", N507= "C", "ג'")</f>
        <v>א'</v>
      </c>
      <c r="P507" s="10">
        <f>IF(Table_2[[#This Row],[Correct_Answer]]=Table_2[[#This Row],[System_Recommendation]],1,0)</f>
        <v>1</v>
      </c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6" t="s">
        <v>173</v>
      </c>
      <c r="B508" s="6">
        <v>12</v>
      </c>
      <c r="C508" s="6" t="s">
        <v>372</v>
      </c>
      <c r="D508" s="6">
        <v>2</v>
      </c>
      <c r="E508" s="6" t="s">
        <v>111</v>
      </c>
      <c r="F508" s="6" t="s">
        <v>373</v>
      </c>
      <c r="G508" s="6" t="s">
        <v>117</v>
      </c>
      <c r="H508" s="6" t="s">
        <v>158</v>
      </c>
      <c r="I508" s="6" t="s">
        <v>100</v>
      </c>
      <c r="J508" s="6" t="s">
        <v>371</v>
      </c>
      <c r="K508" s="6" t="s">
        <v>385</v>
      </c>
      <c r="L508" s="6" t="str">
        <f>IF(J508="כן", K508, VLOOKUP(LEFT(H508, 7), 'קטלוג תרחישים'!$A:$M, 13, FALSE))</f>
        <v>ג</v>
      </c>
      <c r="M508" s="10"/>
      <c r="N508" s="23" t="s">
        <v>358</v>
      </c>
      <c r="O508" s="10" t="str" cm="1">
        <f t="array" ref="O508">_xlfn.IFS(N508="A","א'", N508="B", "ב'", N508= "C", "ג'")</f>
        <v>ג'</v>
      </c>
      <c r="P508" s="10">
        <f>IF(Table_2[[#This Row],[Correct_Answer]]=Table_2[[#This Row],[System_Recommendation]],1,0)</f>
        <v>1</v>
      </c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6" t="s">
        <v>173</v>
      </c>
      <c r="B509" s="6">
        <v>13</v>
      </c>
      <c r="C509" s="6" t="s">
        <v>372</v>
      </c>
      <c r="D509" s="6">
        <v>2</v>
      </c>
      <c r="E509" s="6" t="s">
        <v>111</v>
      </c>
      <c r="F509" s="6" t="s">
        <v>373</v>
      </c>
      <c r="G509" s="6" t="s">
        <v>117</v>
      </c>
      <c r="H509" s="6" t="s">
        <v>159</v>
      </c>
      <c r="I509" s="6" t="s">
        <v>91</v>
      </c>
      <c r="J509" s="6" t="s">
        <v>374</v>
      </c>
      <c r="K509" s="6" t="s">
        <v>384</v>
      </c>
      <c r="L509" s="6" t="str">
        <f>IF(J509="כן", K509, VLOOKUP(LEFT(H509, 7), 'קטלוג תרחישים'!$A:$M, 13, FALSE))</f>
        <v>ב'</v>
      </c>
      <c r="M509" s="10"/>
      <c r="N509" s="24" t="s">
        <v>357</v>
      </c>
      <c r="O509" s="10" t="str" cm="1">
        <f t="array" ref="O509">_xlfn.IFS(N509="A","א'", N509="B", "ב'", N509= "C", "ג'")</f>
        <v>ב'</v>
      </c>
      <c r="P509" s="10">
        <f>IF(Table_2[[#This Row],[Correct_Answer]]=Table_2[[#This Row],[System_Recommendation]],1,0)</f>
        <v>1</v>
      </c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6" t="s">
        <v>173</v>
      </c>
      <c r="B510" s="6">
        <v>14</v>
      </c>
      <c r="C510" s="6" t="s">
        <v>372</v>
      </c>
      <c r="D510" s="6">
        <v>2</v>
      </c>
      <c r="E510" s="6" t="s">
        <v>111</v>
      </c>
      <c r="F510" s="6" t="s">
        <v>373</v>
      </c>
      <c r="G510" s="6" t="s">
        <v>117</v>
      </c>
      <c r="H510" s="6" t="s">
        <v>160</v>
      </c>
      <c r="I510" s="6" t="s">
        <v>100</v>
      </c>
      <c r="J510" s="6" t="s">
        <v>374</v>
      </c>
      <c r="K510" s="6" t="s">
        <v>385</v>
      </c>
      <c r="L510" s="6" t="str">
        <f>IF(J510="כן", K510, VLOOKUP(LEFT(H510, 7), 'קטלוג תרחישים'!$A:$M, 13, FALSE))</f>
        <v>ב'</v>
      </c>
      <c r="M510" s="10"/>
      <c r="N510" s="23" t="s">
        <v>358</v>
      </c>
      <c r="O510" s="10" t="str" cm="1">
        <f t="array" ref="O510">_xlfn.IFS(N510="A","א'", N510="B", "ב'", N510= "C", "ג'")</f>
        <v>ג'</v>
      </c>
      <c r="P510" s="10">
        <f>IF(Table_2[[#This Row],[Correct_Answer]]=Table_2[[#This Row],[System_Recommendation]],1,0)</f>
        <v>0</v>
      </c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6" t="s">
        <v>173</v>
      </c>
      <c r="B511" s="6">
        <v>15</v>
      </c>
      <c r="C511" s="6" t="s">
        <v>372</v>
      </c>
      <c r="D511" s="6">
        <v>3</v>
      </c>
      <c r="E511" s="6" t="s">
        <v>98</v>
      </c>
      <c r="F511" s="6" t="s">
        <v>373</v>
      </c>
      <c r="G511" s="6" t="s">
        <v>117</v>
      </c>
      <c r="H511" s="6" t="s">
        <v>161</v>
      </c>
      <c r="I511" s="6" t="s">
        <v>91</v>
      </c>
      <c r="J511" s="6" t="s">
        <v>371</v>
      </c>
      <c r="K511" s="6" t="s">
        <v>383</v>
      </c>
      <c r="L511" s="6" t="str">
        <f>IF(J511="כן", K511, VLOOKUP(LEFT(H511, 7), 'קטלוג תרחישים'!$A:$M, 13, FALSE))</f>
        <v>א'</v>
      </c>
      <c r="M511" s="10"/>
      <c r="N511" s="24" t="s">
        <v>352</v>
      </c>
      <c r="O511" s="10" t="str" cm="1">
        <f t="array" ref="O511">_xlfn.IFS(N511="A","א'", N511="B", "ב'", N511= "C", "ג'")</f>
        <v>א'</v>
      </c>
      <c r="P511" s="10">
        <f>IF(Table_2[[#This Row],[Correct_Answer]]=Table_2[[#This Row],[System_Recommendation]],1,0)</f>
        <v>1</v>
      </c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6" t="s">
        <v>173</v>
      </c>
      <c r="B512" s="6">
        <v>16</v>
      </c>
      <c r="C512" s="6" t="s">
        <v>372</v>
      </c>
      <c r="D512" s="6">
        <v>3</v>
      </c>
      <c r="E512" s="6" t="s">
        <v>98</v>
      </c>
      <c r="F512" s="6" t="s">
        <v>373</v>
      </c>
      <c r="G512" s="6" t="s">
        <v>117</v>
      </c>
      <c r="H512" s="6" t="s">
        <v>162</v>
      </c>
      <c r="I512" s="6" t="s">
        <v>100</v>
      </c>
      <c r="J512" s="6" t="s">
        <v>371</v>
      </c>
      <c r="K512" s="6" t="s">
        <v>383</v>
      </c>
      <c r="L512" s="6" t="str">
        <f>IF(J512="כן", K512, VLOOKUP(LEFT(H512, 7), 'קטלוג תרחישים'!$A:$M, 13, FALSE))</f>
        <v>א'</v>
      </c>
      <c r="M512" s="10"/>
      <c r="N512" s="23" t="s">
        <v>352</v>
      </c>
      <c r="O512" s="10" t="str" cm="1">
        <f t="array" ref="O512">_xlfn.IFS(N512="A","א'", N512="B", "ב'", N512= "C", "ג'")</f>
        <v>א'</v>
      </c>
      <c r="P512" s="10">
        <f>IF(Table_2[[#This Row],[Correct_Answer]]=Table_2[[#This Row],[System_Recommendation]],1,0)</f>
        <v>1</v>
      </c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6" t="s">
        <v>173</v>
      </c>
      <c r="B513" s="6">
        <v>17</v>
      </c>
      <c r="C513" s="6" t="s">
        <v>372</v>
      </c>
      <c r="D513" s="6">
        <v>3</v>
      </c>
      <c r="E513" s="6" t="s">
        <v>98</v>
      </c>
      <c r="F513" s="6" t="s">
        <v>373</v>
      </c>
      <c r="G513" s="6" t="s">
        <v>117</v>
      </c>
      <c r="H513" s="6" t="s">
        <v>163</v>
      </c>
      <c r="I513" s="6" t="s">
        <v>91</v>
      </c>
      <c r="J513" s="6" t="s">
        <v>374</v>
      </c>
      <c r="K513" s="6" t="s">
        <v>383</v>
      </c>
      <c r="L513" s="6" t="str">
        <f>IF(J513="כן", K513, VLOOKUP(LEFT(H513, 7), 'קטלוג תרחישים'!$A:$M, 13, FALSE))</f>
        <v>א'</v>
      </c>
      <c r="M513" s="10"/>
      <c r="N513" s="24" t="s">
        <v>352</v>
      </c>
      <c r="O513" s="10" t="str" cm="1">
        <f t="array" ref="O513">_xlfn.IFS(N513="A","א'", N513="B", "ב'", N513= "C", "ג'")</f>
        <v>א'</v>
      </c>
      <c r="P513" s="10">
        <f>IF(Table_2[[#This Row],[Correct_Answer]]=Table_2[[#This Row],[System_Recommendation]],1,0)</f>
        <v>1</v>
      </c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6" t="s">
        <v>173</v>
      </c>
      <c r="B514" s="6">
        <v>18</v>
      </c>
      <c r="C514" s="6" t="s">
        <v>372</v>
      </c>
      <c r="D514" s="6">
        <v>3</v>
      </c>
      <c r="E514" s="6" t="s">
        <v>98</v>
      </c>
      <c r="F514" s="6" t="s">
        <v>373</v>
      </c>
      <c r="G514" s="6" t="s">
        <v>117</v>
      </c>
      <c r="H514" s="6" t="s">
        <v>164</v>
      </c>
      <c r="I514" s="6" t="s">
        <v>100</v>
      </c>
      <c r="J514" s="6" t="s">
        <v>374</v>
      </c>
      <c r="K514" s="6" t="s">
        <v>384</v>
      </c>
      <c r="L514" s="6" t="str">
        <f>IF(J514="כן", K514, VLOOKUP(LEFT(H514, 7), 'קטלוג תרחישים'!$A:$M, 13, FALSE))</f>
        <v>א'</v>
      </c>
      <c r="M514" s="10"/>
      <c r="N514" s="23" t="s">
        <v>357</v>
      </c>
      <c r="O514" s="10" t="str" cm="1">
        <f t="array" ref="O514">_xlfn.IFS(N514="A","א'", N514="B", "ב'", N514= "C", "ג'")</f>
        <v>ב'</v>
      </c>
      <c r="P514" s="10">
        <f>IF(Table_2[[#This Row],[Correct_Answer]]=Table_2[[#This Row],[System_Recommendation]],1,0)</f>
        <v>0</v>
      </c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6" t="s">
        <v>173</v>
      </c>
      <c r="B515" s="6">
        <v>19</v>
      </c>
      <c r="C515" s="6" t="s">
        <v>372</v>
      </c>
      <c r="D515" s="6">
        <v>1</v>
      </c>
      <c r="E515" s="6" t="s">
        <v>98</v>
      </c>
      <c r="F515" s="6" t="s">
        <v>375</v>
      </c>
      <c r="G515" s="6" t="s">
        <v>97</v>
      </c>
      <c r="H515" s="6" t="s">
        <v>152</v>
      </c>
      <c r="I515" s="6" t="s">
        <v>91</v>
      </c>
      <c r="J515" s="6" t="s">
        <v>371</v>
      </c>
      <c r="K515" s="6" t="s">
        <v>384</v>
      </c>
      <c r="L515" s="6" t="str">
        <f>IF(J515="כן", K515, VLOOKUP(LEFT(H515, 7), 'קטלוג תרחישים'!$A:$M, 13, FALSE))</f>
        <v>ב'</v>
      </c>
      <c r="M515" s="10"/>
      <c r="N515" s="24" t="s">
        <v>357</v>
      </c>
      <c r="O515" s="10" t="str" cm="1">
        <f t="array" ref="O515">_xlfn.IFS(N515="A","א'", N515="B", "ב'", N515= "C", "ג'")</f>
        <v>ב'</v>
      </c>
      <c r="P515" s="10">
        <f>IF(Table_2[[#This Row],[Correct_Answer]]=Table_2[[#This Row],[System_Recommendation]],1,0)</f>
        <v>1</v>
      </c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6" t="s">
        <v>173</v>
      </c>
      <c r="B516" s="6">
        <v>20</v>
      </c>
      <c r="C516" s="6" t="s">
        <v>372</v>
      </c>
      <c r="D516" s="6">
        <v>1</v>
      </c>
      <c r="E516" s="6" t="s">
        <v>98</v>
      </c>
      <c r="F516" s="6" t="s">
        <v>375</v>
      </c>
      <c r="G516" s="6" t="s">
        <v>97</v>
      </c>
      <c r="H516" s="6" t="s">
        <v>153</v>
      </c>
      <c r="I516" s="6" t="s">
        <v>100</v>
      </c>
      <c r="J516" s="6" t="s">
        <v>371</v>
      </c>
      <c r="K516" s="6" t="s">
        <v>385</v>
      </c>
      <c r="L516" s="6" t="str">
        <f>IF(J516="כן", K516, VLOOKUP(LEFT(H516, 7), 'קטלוג תרחישים'!$A:$M, 13, FALSE))</f>
        <v>ג</v>
      </c>
      <c r="M516" s="10"/>
      <c r="N516" s="23" t="s">
        <v>358</v>
      </c>
      <c r="O516" s="10" t="str" cm="1">
        <f t="array" ref="O516">_xlfn.IFS(N516="A","א'", N516="B", "ב'", N516= "C", "ג'")</f>
        <v>ג'</v>
      </c>
      <c r="P516" s="10">
        <f>IF(Table_2[[#This Row],[Correct_Answer]]=Table_2[[#This Row],[System_Recommendation]],1,0)</f>
        <v>1</v>
      </c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6" t="s">
        <v>173</v>
      </c>
      <c r="B517" s="6">
        <v>21</v>
      </c>
      <c r="C517" s="6" t="s">
        <v>372</v>
      </c>
      <c r="D517" s="6">
        <v>1</v>
      </c>
      <c r="E517" s="6" t="s">
        <v>98</v>
      </c>
      <c r="F517" s="6" t="s">
        <v>375</v>
      </c>
      <c r="G517" s="6" t="s">
        <v>97</v>
      </c>
      <c r="H517" s="6" t="s">
        <v>154</v>
      </c>
      <c r="I517" s="6" t="s">
        <v>91</v>
      </c>
      <c r="J517" s="6" t="s">
        <v>374</v>
      </c>
      <c r="K517" s="6" t="s">
        <v>383</v>
      </c>
      <c r="L517" s="6" t="str">
        <f>IF(J517="כן", K517, VLOOKUP(LEFT(H517, 7), 'קטלוג תרחישים'!$A:$M, 13, FALSE))</f>
        <v>ב'</v>
      </c>
      <c r="M517" s="10"/>
      <c r="N517" s="24" t="s">
        <v>352</v>
      </c>
      <c r="O517" s="10" t="str" cm="1">
        <f t="array" ref="O517">_xlfn.IFS(N517="A","א'", N517="B", "ב'", N517= "C", "ג'")</f>
        <v>א'</v>
      </c>
      <c r="P517" s="10">
        <f>IF(Table_2[[#This Row],[Correct_Answer]]=Table_2[[#This Row],[System_Recommendation]],1,0)</f>
        <v>0</v>
      </c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6" t="s">
        <v>173</v>
      </c>
      <c r="B518" s="6">
        <v>22</v>
      </c>
      <c r="C518" s="6" t="s">
        <v>372</v>
      </c>
      <c r="D518" s="6">
        <v>1</v>
      </c>
      <c r="E518" s="6" t="s">
        <v>98</v>
      </c>
      <c r="F518" s="6" t="s">
        <v>375</v>
      </c>
      <c r="G518" s="6" t="s">
        <v>97</v>
      </c>
      <c r="H518" s="6" t="s">
        <v>155</v>
      </c>
      <c r="I518" s="6" t="s">
        <v>100</v>
      </c>
      <c r="J518" s="6" t="s">
        <v>371</v>
      </c>
      <c r="K518" s="6" t="s">
        <v>385</v>
      </c>
      <c r="L518" s="6" t="str">
        <f>IF(J518="כן", K518, VLOOKUP(LEFT(H518, 7), 'קטלוג תרחישים'!$A:$M, 13, FALSE))</f>
        <v>ג</v>
      </c>
      <c r="M518" s="10"/>
      <c r="N518" s="23" t="s">
        <v>358</v>
      </c>
      <c r="O518" s="10" t="str" cm="1">
        <f t="array" ref="O518">_xlfn.IFS(N518="A","א'", N518="B", "ב'", N518= "C", "ג'")</f>
        <v>ג'</v>
      </c>
      <c r="P518" s="10">
        <f>IF(Table_2[[#This Row],[Correct_Answer]]=Table_2[[#This Row],[System_Recommendation]],1,0)</f>
        <v>1</v>
      </c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6" t="s">
        <v>173</v>
      </c>
      <c r="B519" s="6">
        <v>23</v>
      </c>
      <c r="C519" s="6" t="s">
        <v>372</v>
      </c>
      <c r="D519" s="6">
        <v>1</v>
      </c>
      <c r="E519" s="6" t="s">
        <v>98</v>
      </c>
      <c r="F519" s="6" t="s">
        <v>375</v>
      </c>
      <c r="G519" s="6" t="s">
        <v>97</v>
      </c>
      <c r="H519" s="6" t="s">
        <v>156</v>
      </c>
      <c r="I519" s="6" t="s">
        <v>91</v>
      </c>
      <c r="J519" s="6" t="s">
        <v>371</v>
      </c>
      <c r="K519" s="6" t="s">
        <v>385</v>
      </c>
      <c r="L519" s="6" t="str">
        <f>IF(J519="כן", K519, VLOOKUP(LEFT(H519, 7), 'קטלוג תרחישים'!$A:$M, 13, FALSE))</f>
        <v>ג</v>
      </c>
      <c r="M519" s="10"/>
      <c r="N519" s="24" t="s">
        <v>358</v>
      </c>
      <c r="O519" s="10" t="str" cm="1">
        <f t="array" ref="O519">_xlfn.IFS(N519="A","א'", N519="B", "ב'", N519= "C", "ג'")</f>
        <v>ג'</v>
      </c>
      <c r="P519" s="10">
        <f>IF(Table_2[[#This Row],[Correct_Answer]]=Table_2[[#This Row],[System_Recommendation]],1,0)</f>
        <v>1</v>
      </c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6" t="s">
        <v>173</v>
      </c>
      <c r="B520" s="6">
        <v>24</v>
      </c>
      <c r="C520" s="6" t="s">
        <v>372</v>
      </c>
      <c r="D520" s="6">
        <v>2</v>
      </c>
      <c r="E520" s="6" t="s">
        <v>105</v>
      </c>
      <c r="F520" s="6" t="s">
        <v>375</v>
      </c>
      <c r="G520" s="6" t="s">
        <v>97</v>
      </c>
      <c r="H520" s="6" t="s">
        <v>146</v>
      </c>
      <c r="I520" s="6" t="s">
        <v>100</v>
      </c>
      <c r="J520" s="6" t="s">
        <v>371</v>
      </c>
      <c r="K520" s="6" t="s">
        <v>384</v>
      </c>
      <c r="L520" s="6" t="str">
        <f>IF(J520="כן", K520, VLOOKUP(LEFT(H520, 7), 'קטלוג תרחישים'!$A:$M, 13, FALSE))</f>
        <v>ב'</v>
      </c>
      <c r="M520" s="10"/>
      <c r="N520" s="23" t="s">
        <v>357</v>
      </c>
      <c r="O520" s="10" t="str" cm="1">
        <f t="array" ref="O520">_xlfn.IFS(N520="A","א'", N520="B", "ב'", N520= "C", "ג'")</f>
        <v>ב'</v>
      </c>
      <c r="P520" s="10">
        <f>IF(Table_2[[#This Row],[Correct_Answer]]=Table_2[[#This Row],[System_Recommendation]],1,0)</f>
        <v>1</v>
      </c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6" t="s">
        <v>173</v>
      </c>
      <c r="B521" s="6">
        <v>25</v>
      </c>
      <c r="C521" s="6" t="s">
        <v>372</v>
      </c>
      <c r="D521" s="6">
        <v>2</v>
      </c>
      <c r="E521" s="6" t="s">
        <v>105</v>
      </c>
      <c r="F521" s="6" t="s">
        <v>375</v>
      </c>
      <c r="G521" s="6" t="s">
        <v>97</v>
      </c>
      <c r="H521" s="6" t="s">
        <v>145</v>
      </c>
      <c r="I521" s="6" t="s">
        <v>91</v>
      </c>
      <c r="J521" s="6" t="s">
        <v>374</v>
      </c>
      <c r="K521" s="6" t="s">
        <v>383</v>
      </c>
      <c r="L521" s="6" t="str">
        <f>IF(J521="כן", K521, VLOOKUP(LEFT(H521, 7), 'קטלוג תרחישים'!$A:$M, 13, FALSE))</f>
        <v>ג'</v>
      </c>
      <c r="M521" s="10"/>
      <c r="N521" s="24" t="s">
        <v>352</v>
      </c>
      <c r="O521" s="10" t="str" cm="1">
        <f t="array" ref="O521">_xlfn.IFS(N521="A","א'", N521="B", "ב'", N521= "C", "ג'")</f>
        <v>א'</v>
      </c>
      <c r="P521" s="10">
        <f>IF(Table_2[[#This Row],[Correct_Answer]]=Table_2[[#This Row],[System_Recommendation]],1,0)</f>
        <v>0</v>
      </c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6" t="s">
        <v>173</v>
      </c>
      <c r="B522" s="6">
        <v>26</v>
      </c>
      <c r="C522" s="6" t="s">
        <v>372</v>
      </c>
      <c r="D522" s="6">
        <v>2</v>
      </c>
      <c r="E522" s="6" t="s">
        <v>105</v>
      </c>
      <c r="F522" s="6" t="s">
        <v>375</v>
      </c>
      <c r="G522" s="6" t="s">
        <v>97</v>
      </c>
      <c r="H522" s="6" t="s">
        <v>142</v>
      </c>
      <c r="I522" s="6" t="s">
        <v>100</v>
      </c>
      <c r="J522" s="6" t="s">
        <v>371</v>
      </c>
      <c r="K522" s="6" t="s">
        <v>385</v>
      </c>
      <c r="L522" s="6" t="str">
        <f>IF(J522="כן", K522, VLOOKUP(LEFT(H522, 7), 'קטלוג תרחישים'!$A:$M, 13, FALSE))</f>
        <v>ג</v>
      </c>
      <c r="M522" s="10"/>
      <c r="N522" s="23" t="s">
        <v>358</v>
      </c>
      <c r="O522" s="10" t="str" cm="1">
        <f t="array" ref="O522">_xlfn.IFS(N522="A","א'", N522="B", "ב'", N522= "C", "ג'")</f>
        <v>ג'</v>
      </c>
      <c r="P522" s="10">
        <f>IF(Table_2[[#This Row],[Correct_Answer]]=Table_2[[#This Row],[System_Recommendation]],1,0)</f>
        <v>1</v>
      </c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6" t="s">
        <v>173</v>
      </c>
      <c r="B523" s="6">
        <v>27</v>
      </c>
      <c r="C523" s="6" t="s">
        <v>372</v>
      </c>
      <c r="D523" s="6">
        <v>2</v>
      </c>
      <c r="E523" s="6" t="s">
        <v>105</v>
      </c>
      <c r="F523" s="6" t="s">
        <v>375</v>
      </c>
      <c r="G523" s="6" t="s">
        <v>97</v>
      </c>
      <c r="H523" s="6" t="s">
        <v>143</v>
      </c>
      <c r="I523" s="6" t="s">
        <v>91</v>
      </c>
      <c r="J523" s="6" t="s">
        <v>371</v>
      </c>
      <c r="K523" s="6" t="s">
        <v>384</v>
      </c>
      <c r="L523" s="6" t="str">
        <f>IF(J523="כן", K523, VLOOKUP(LEFT(H523, 7), 'קטלוג תרחישים'!$A:$M, 13, FALSE))</f>
        <v>ב'</v>
      </c>
      <c r="M523" s="10"/>
      <c r="N523" s="24" t="s">
        <v>357</v>
      </c>
      <c r="O523" s="10" t="str" cm="1">
        <f t="array" ref="O523">_xlfn.IFS(N523="A","א'", N523="B", "ב'", N523= "C", "ג'")</f>
        <v>ב'</v>
      </c>
      <c r="P523" s="10">
        <f>IF(Table_2[[#This Row],[Correct_Answer]]=Table_2[[#This Row],[System_Recommendation]],1,0)</f>
        <v>1</v>
      </c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6" t="s">
        <v>173</v>
      </c>
      <c r="B524" s="6">
        <v>28</v>
      </c>
      <c r="C524" s="6" t="s">
        <v>372</v>
      </c>
      <c r="D524" s="6">
        <v>2</v>
      </c>
      <c r="E524" s="6" t="s">
        <v>105</v>
      </c>
      <c r="F524" s="6" t="s">
        <v>375</v>
      </c>
      <c r="G524" s="6" t="s">
        <v>97</v>
      </c>
      <c r="H524" s="6" t="s">
        <v>144</v>
      </c>
      <c r="I524" s="6" t="s">
        <v>100</v>
      </c>
      <c r="J524" s="6" t="s">
        <v>371</v>
      </c>
      <c r="K524" s="6" t="s">
        <v>385</v>
      </c>
      <c r="L524" s="6" t="str">
        <f>IF(J524="כן", K524, VLOOKUP(LEFT(H524, 7), 'קטלוג תרחישים'!$A:$M, 13, FALSE))</f>
        <v>ג</v>
      </c>
      <c r="M524" s="10"/>
      <c r="N524" s="23" t="s">
        <v>358</v>
      </c>
      <c r="O524" s="10" t="str" cm="1">
        <f t="array" ref="O524">_xlfn.IFS(N524="A","א'", N524="B", "ב'", N524= "C", "ג'")</f>
        <v>ג'</v>
      </c>
      <c r="P524" s="10">
        <f>IF(Table_2[[#This Row],[Correct_Answer]]=Table_2[[#This Row],[System_Recommendation]],1,0)</f>
        <v>1</v>
      </c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6" t="s">
        <v>173</v>
      </c>
      <c r="B525" s="6">
        <v>29</v>
      </c>
      <c r="C525" s="6" t="s">
        <v>372</v>
      </c>
      <c r="D525" s="6">
        <v>3</v>
      </c>
      <c r="E525" s="6" t="s">
        <v>111</v>
      </c>
      <c r="F525" s="6" t="s">
        <v>375</v>
      </c>
      <c r="G525" s="6" t="s">
        <v>97</v>
      </c>
      <c r="H525" s="6" t="s">
        <v>149</v>
      </c>
      <c r="I525" s="6" t="s">
        <v>91</v>
      </c>
      <c r="J525" s="6" t="s">
        <v>371</v>
      </c>
      <c r="K525" s="6" t="s">
        <v>385</v>
      </c>
      <c r="L525" s="6" t="str">
        <f>IF(J525="כן", K525, VLOOKUP(LEFT(H525, 7), 'קטלוג תרחישים'!$A:$M, 13, FALSE))</f>
        <v>ג</v>
      </c>
      <c r="M525" s="10"/>
      <c r="N525" s="24" t="s">
        <v>358</v>
      </c>
      <c r="O525" s="10" t="str" cm="1">
        <f t="array" ref="O525">_xlfn.IFS(N525="A","א'", N525="B", "ב'", N525= "C", "ג'")</f>
        <v>ג'</v>
      </c>
      <c r="P525" s="10">
        <f>IF(Table_2[[#This Row],[Correct_Answer]]=Table_2[[#This Row],[System_Recommendation]],1,0)</f>
        <v>1</v>
      </c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6" t="s">
        <v>173</v>
      </c>
      <c r="B526" s="6">
        <v>30</v>
      </c>
      <c r="C526" s="6" t="s">
        <v>372</v>
      </c>
      <c r="D526" s="6">
        <v>3</v>
      </c>
      <c r="E526" s="6" t="s">
        <v>111</v>
      </c>
      <c r="F526" s="6" t="s">
        <v>375</v>
      </c>
      <c r="G526" s="6" t="s">
        <v>97</v>
      </c>
      <c r="H526" s="6" t="s">
        <v>148</v>
      </c>
      <c r="I526" s="6" t="s">
        <v>100</v>
      </c>
      <c r="J526" s="6" t="s">
        <v>371</v>
      </c>
      <c r="K526" s="6" t="s">
        <v>384</v>
      </c>
      <c r="L526" s="6" t="str">
        <f>IF(J526="כן", K526, VLOOKUP(LEFT(H526, 7), 'קטלוג תרחישים'!$A:$M, 13, FALSE))</f>
        <v>ב'</v>
      </c>
      <c r="M526" s="10"/>
      <c r="N526" s="23" t="s">
        <v>357</v>
      </c>
      <c r="O526" s="10" t="str" cm="1">
        <f t="array" ref="O526">_xlfn.IFS(N526="A","א'", N526="B", "ב'", N526= "C", "ג'")</f>
        <v>ב'</v>
      </c>
      <c r="P526" s="10">
        <f>IF(Table_2[[#This Row],[Correct_Answer]]=Table_2[[#This Row],[System_Recommendation]],1,0)</f>
        <v>1</v>
      </c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6" t="s">
        <v>173</v>
      </c>
      <c r="B527" s="6">
        <v>31</v>
      </c>
      <c r="C527" s="6" t="s">
        <v>372</v>
      </c>
      <c r="D527" s="6">
        <v>3</v>
      </c>
      <c r="E527" s="6" t="s">
        <v>111</v>
      </c>
      <c r="F527" s="6" t="s">
        <v>375</v>
      </c>
      <c r="G527" s="6" t="s">
        <v>97</v>
      </c>
      <c r="H527" s="6" t="s">
        <v>147</v>
      </c>
      <c r="I527" s="6" t="s">
        <v>91</v>
      </c>
      <c r="J527" s="6" t="s">
        <v>371</v>
      </c>
      <c r="K527" s="6" t="s">
        <v>385</v>
      </c>
      <c r="L527" s="6" t="str">
        <f>IF(J527="כן", K527, VLOOKUP(LEFT(H527, 7), 'קטלוג תרחישים'!$A:$M, 13, FALSE))</f>
        <v>ג</v>
      </c>
      <c r="M527" s="10"/>
      <c r="N527" s="24" t="s">
        <v>358</v>
      </c>
      <c r="O527" s="10" t="str" cm="1">
        <f t="array" ref="O527">_xlfn.IFS(N527="A","א'", N527="B", "ב'", N527= "C", "ג'")</f>
        <v>ג'</v>
      </c>
      <c r="P527" s="10">
        <f>IF(Table_2[[#This Row],[Correct_Answer]]=Table_2[[#This Row],[System_Recommendation]],1,0)</f>
        <v>1</v>
      </c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6" t="s">
        <v>173</v>
      </c>
      <c r="B528" s="6">
        <v>32</v>
      </c>
      <c r="C528" s="6" t="s">
        <v>372</v>
      </c>
      <c r="D528" s="6">
        <v>3</v>
      </c>
      <c r="E528" s="6" t="s">
        <v>111</v>
      </c>
      <c r="F528" s="6" t="s">
        <v>375</v>
      </c>
      <c r="G528" s="6" t="s">
        <v>97</v>
      </c>
      <c r="H528" s="6" t="s">
        <v>150</v>
      </c>
      <c r="I528" s="6" t="s">
        <v>100</v>
      </c>
      <c r="J528" s="6" t="s">
        <v>371</v>
      </c>
      <c r="K528" s="6" t="s">
        <v>383</v>
      </c>
      <c r="L528" s="6" t="str">
        <f>IF(J528="כן", K528, VLOOKUP(LEFT(H528, 7), 'קטלוג תרחישים'!$A:$M, 13, FALSE))</f>
        <v>א'</v>
      </c>
      <c r="M528" s="10"/>
      <c r="N528" s="23" t="s">
        <v>352</v>
      </c>
      <c r="O528" s="10" t="str" cm="1">
        <f t="array" ref="O528">_xlfn.IFS(N528="A","א'", N528="B", "ב'", N528= "C", "ג'")</f>
        <v>א'</v>
      </c>
      <c r="P528" s="10">
        <f>IF(Table_2[[#This Row],[Correct_Answer]]=Table_2[[#This Row],[System_Recommendation]],1,0)</f>
        <v>1</v>
      </c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6" t="s">
        <v>173</v>
      </c>
      <c r="B529" s="6">
        <v>33</v>
      </c>
      <c r="C529" s="6" t="s">
        <v>372</v>
      </c>
      <c r="D529" s="6">
        <v>3</v>
      </c>
      <c r="E529" s="6" t="s">
        <v>111</v>
      </c>
      <c r="F529" s="6" t="s">
        <v>375</v>
      </c>
      <c r="G529" s="6" t="s">
        <v>97</v>
      </c>
      <c r="H529" s="6" t="s">
        <v>151</v>
      </c>
      <c r="I529" s="6" t="s">
        <v>91</v>
      </c>
      <c r="J529" s="6" t="s">
        <v>374</v>
      </c>
      <c r="K529" s="6" t="s">
        <v>383</v>
      </c>
      <c r="L529" s="6" t="str">
        <f>IF(J529="כן", K529, VLOOKUP(LEFT(H529, 7), 'קטלוג תרחישים'!$A:$M, 13, FALSE))</f>
        <v>ב'</v>
      </c>
      <c r="M529" s="10"/>
      <c r="N529" s="24" t="s">
        <v>352</v>
      </c>
      <c r="O529" s="10" t="str" cm="1">
        <f t="array" ref="O529">_xlfn.IFS(N529="A","א'", N529="B", "ב'", N529= "C", "ג'")</f>
        <v>א'</v>
      </c>
      <c r="P529" s="10">
        <f>IF(Table_2[[#This Row],[Correct_Answer]]=Table_2[[#This Row],[System_Recommendation]],1,0)</f>
        <v>0</v>
      </c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6" t="s">
        <v>174</v>
      </c>
      <c r="B530" s="6">
        <v>1</v>
      </c>
      <c r="C530" s="6" t="s">
        <v>370</v>
      </c>
      <c r="D530" s="6"/>
      <c r="E530" s="6" t="s">
        <v>98</v>
      </c>
      <c r="F530" s="6"/>
      <c r="G530" s="6"/>
      <c r="H530" s="8" t="s">
        <v>90</v>
      </c>
      <c r="I530" s="6" t="s">
        <v>91</v>
      </c>
      <c r="J530" s="6" t="s">
        <v>371</v>
      </c>
      <c r="K530" s="6" t="s">
        <v>385</v>
      </c>
      <c r="L530" s="6" t="str">
        <f>IF(J530="כן", K530, VLOOKUP(LEFT(H530, 7), 'קטלוג תרחישים'!$A:$M, 13, FALSE))</f>
        <v>ג</v>
      </c>
      <c r="M530" s="10"/>
      <c r="N530" s="23" t="s">
        <v>358</v>
      </c>
      <c r="O530" s="10" t="str" cm="1">
        <f t="array" ref="O530">_xlfn.IFS(N530="A","א'", N530="B", "ב'", N530= "C", "ג'")</f>
        <v>ג'</v>
      </c>
      <c r="P530" s="10">
        <f>IF(Table_2[[#This Row],[Correct_Answer]]=Table_2[[#This Row],[System_Recommendation]],1,0)</f>
        <v>1</v>
      </c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6" t="s">
        <v>174</v>
      </c>
      <c r="B531" s="6">
        <v>2</v>
      </c>
      <c r="C531" s="6" t="s">
        <v>370</v>
      </c>
      <c r="D531" s="6"/>
      <c r="E531" s="6" t="s">
        <v>98</v>
      </c>
      <c r="F531" s="6"/>
      <c r="G531" s="6"/>
      <c r="H531" s="8" t="s">
        <v>92</v>
      </c>
      <c r="I531" s="6" t="s">
        <v>91</v>
      </c>
      <c r="J531" s="6" t="s">
        <v>371</v>
      </c>
      <c r="K531" s="6" t="s">
        <v>385</v>
      </c>
      <c r="L531" s="6" t="str">
        <f>IF(J531="כן", K531, VLOOKUP(LEFT(H531, 7), 'קטלוג תרחישים'!$A:$M, 13, FALSE))</f>
        <v>ג</v>
      </c>
      <c r="M531" s="10"/>
      <c r="N531" s="24" t="s">
        <v>358</v>
      </c>
      <c r="O531" s="10" t="str" cm="1">
        <f t="array" ref="O531">_xlfn.IFS(N531="A","א'", N531="B", "ב'", N531= "C", "ג'")</f>
        <v>ג'</v>
      </c>
      <c r="P531" s="10">
        <f>IF(Table_2[[#This Row],[Correct_Answer]]=Table_2[[#This Row],[System_Recommendation]],1,0)</f>
        <v>1</v>
      </c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6" t="s">
        <v>174</v>
      </c>
      <c r="B532" s="6">
        <v>3</v>
      </c>
      <c r="C532" s="6" t="s">
        <v>370</v>
      </c>
      <c r="D532" s="6"/>
      <c r="E532" s="6" t="s">
        <v>105</v>
      </c>
      <c r="F532" s="6"/>
      <c r="G532" s="6"/>
      <c r="H532" s="8" t="s">
        <v>93</v>
      </c>
      <c r="I532" s="6" t="s">
        <v>91</v>
      </c>
      <c r="J532" s="6" t="s">
        <v>371</v>
      </c>
      <c r="K532" s="6" t="s">
        <v>385</v>
      </c>
      <c r="L532" s="6" t="str">
        <f>IF(J532="כן", K532, VLOOKUP(LEFT(H532, 7), 'קטלוג תרחישים'!$A:$M, 13, FALSE))</f>
        <v>ג</v>
      </c>
      <c r="M532" s="10"/>
      <c r="N532" s="23" t="s">
        <v>358</v>
      </c>
      <c r="O532" s="10" t="str" cm="1">
        <f t="array" ref="O532">_xlfn.IFS(N532="A","א'", N532="B", "ב'", N532= "C", "ג'")</f>
        <v>ג'</v>
      </c>
      <c r="P532" s="10">
        <f>IF(Table_2[[#This Row],[Correct_Answer]]=Table_2[[#This Row],[System_Recommendation]],1,0)</f>
        <v>1</v>
      </c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6" t="s">
        <v>174</v>
      </c>
      <c r="B533" s="6">
        <v>4</v>
      </c>
      <c r="C533" s="6" t="s">
        <v>370</v>
      </c>
      <c r="D533" s="6"/>
      <c r="E533" s="6" t="s">
        <v>105</v>
      </c>
      <c r="F533" s="6"/>
      <c r="G533" s="6"/>
      <c r="H533" s="8" t="s">
        <v>94</v>
      </c>
      <c r="I533" s="6" t="s">
        <v>91</v>
      </c>
      <c r="J533" s="6" t="s">
        <v>371</v>
      </c>
      <c r="K533" s="6" t="s">
        <v>384</v>
      </c>
      <c r="L533" s="6" t="str">
        <f>IF(J533="כן", K533, VLOOKUP(LEFT(H533, 7), 'קטלוג תרחישים'!$A:$M, 13, FALSE))</f>
        <v>ב'</v>
      </c>
      <c r="M533" s="10"/>
      <c r="N533" s="24" t="s">
        <v>357</v>
      </c>
      <c r="O533" s="10" t="str" cm="1">
        <f t="array" ref="O533">_xlfn.IFS(N533="A","א'", N533="B", "ב'", N533= "C", "ג'")</f>
        <v>ב'</v>
      </c>
      <c r="P533" s="10">
        <f>IF(Table_2[[#This Row],[Correct_Answer]]=Table_2[[#This Row],[System_Recommendation]],1,0)</f>
        <v>1</v>
      </c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6" t="s">
        <v>174</v>
      </c>
      <c r="B534" s="6">
        <v>5</v>
      </c>
      <c r="C534" s="6" t="s">
        <v>370</v>
      </c>
      <c r="D534" s="6"/>
      <c r="E534" s="6" t="s">
        <v>111</v>
      </c>
      <c r="F534" s="6"/>
      <c r="G534" s="6"/>
      <c r="H534" s="8" t="s">
        <v>95</v>
      </c>
      <c r="I534" s="6" t="s">
        <v>91</v>
      </c>
      <c r="J534" s="6" t="s">
        <v>371</v>
      </c>
      <c r="K534" s="6" t="s">
        <v>383</v>
      </c>
      <c r="L534" s="6" t="str">
        <f>IF(J534="כן", K534, VLOOKUP(LEFT(H534, 7), 'קטלוג תרחישים'!$A:$M, 13, FALSE))</f>
        <v>א'</v>
      </c>
      <c r="M534" s="10"/>
      <c r="N534" s="23" t="s">
        <v>352</v>
      </c>
      <c r="O534" s="10" t="str" cm="1">
        <f t="array" ref="O534">_xlfn.IFS(N534="A","א'", N534="B", "ב'", N534= "C", "ג'")</f>
        <v>א'</v>
      </c>
      <c r="P534" s="10">
        <f>IF(Table_2[[#This Row],[Correct_Answer]]=Table_2[[#This Row],[System_Recommendation]],1,0)</f>
        <v>1</v>
      </c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6" t="s">
        <v>174</v>
      </c>
      <c r="B535" s="6">
        <v>6</v>
      </c>
      <c r="C535" s="6" t="s">
        <v>370</v>
      </c>
      <c r="D535" s="6"/>
      <c r="E535" s="6" t="s">
        <v>111</v>
      </c>
      <c r="F535" s="6"/>
      <c r="G535" s="6"/>
      <c r="H535" s="8" t="s">
        <v>96</v>
      </c>
      <c r="I535" s="6" t="s">
        <v>91</v>
      </c>
      <c r="J535" s="6" t="s">
        <v>371</v>
      </c>
      <c r="K535" s="6" t="s">
        <v>385</v>
      </c>
      <c r="L535" s="6" t="str">
        <f>IF(J535="כן", K535, VLOOKUP(LEFT(H535, 7), 'קטלוג תרחישים'!$A:$M, 13, FALSE))</f>
        <v>ג</v>
      </c>
      <c r="M535" s="10"/>
      <c r="N535" s="24" t="s">
        <v>358</v>
      </c>
      <c r="O535" s="10" t="str" cm="1">
        <f t="array" ref="O535">_xlfn.IFS(N535="A","א'", N535="B", "ב'", N535= "C", "ג'")</f>
        <v>ג'</v>
      </c>
      <c r="P535" s="10">
        <f>IF(Table_2[[#This Row],[Correct_Answer]]=Table_2[[#This Row],[System_Recommendation]],1,0)</f>
        <v>1</v>
      </c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6" t="s">
        <v>174</v>
      </c>
      <c r="B536" s="6">
        <v>7</v>
      </c>
      <c r="C536" s="6" t="s">
        <v>372</v>
      </c>
      <c r="D536" s="6">
        <v>1</v>
      </c>
      <c r="E536" s="6" t="s">
        <v>105</v>
      </c>
      <c r="F536" s="6" t="s">
        <v>373</v>
      </c>
      <c r="G536" s="6" t="s">
        <v>97</v>
      </c>
      <c r="H536" s="6" t="s">
        <v>146</v>
      </c>
      <c r="I536" s="6" t="s">
        <v>100</v>
      </c>
      <c r="J536" s="6" t="s">
        <v>374</v>
      </c>
      <c r="K536" s="6" t="s">
        <v>385</v>
      </c>
      <c r="L536" s="6" t="str">
        <f>IF(J536="כן", K536, VLOOKUP(LEFT(H536, 7), 'קטלוג תרחישים'!$A:$M, 13, FALSE))</f>
        <v>א'</v>
      </c>
      <c r="M536" s="10"/>
      <c r="N536" s="23" t="s">
        <v>358</v>
      </c>
      <c r="O536" s="10" t="str" cm="1">
        <f t="array" ref="O536">_xlfn.IFS(N536="A","א'", N536="B", "ב'", N536= "C", "ג'")</f>
        <v>ג'</v>
      </c>
      <c r="P536" s="10">
        <f>IF(Table_2[[#This Row],[Correct_Answer]]=Table_2[[#This Row],[System_Recommendation]],1,0)</f>
        <v>0</v>
      </c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6" t="s">
        <v>174</v>
      </c>
      <c r="B537" s="6">
        <v>8</v>
      </c>
      <c r="C537" s="6" t="s">
        <v>372</v>
      </c>
      <c r="D537" s="6">
        <v>1</v>
      </c>
      <c r="E537" s="6" t="s">
        <v>105</v>
      </c>
      <c r="F537" s="6" t="s">
        <v>373</v>
      </c>
      <c r="G537" s="6" t="s">
        <v>97</v>
      </c>
      <c r="H537" s="6" t="s">
        <v>143</v>
      </c>
      <c r="I537" s="6" t="s">
        <v>91</v>
      </c>
      <c r="J537" s="6" t="s">
        <v>371</v>
      </c>
      <c r="K537" s="6" t="s">
        <v>384</v>
      </c>
      <c r="L537" s="6" t="str">
        <f>IF(J537="כן", K537, VLOOKUP(LEFT(H537, 7), 'קטלוג תרחישים'!$A:$M, 13, FALSE))</f>
        <v>ב'</v>
      </c>
      <c r="M537" s="10"/>
      <c r="N537" s="24" t="s">
        <v>357</v>
      </c>
      <c r="O537" s="10" t="str" cm="1">
        <f t="array" ref="O537">_xlfn.IFS(N537="A","א'", N537="B", "ב'", N537= "C", "ג'")</f>
        <v>ב'</v>
      </c>
      <c r="P537" s="10">
        <f>IF(Table_2[[#This Row],[Correct_Answer]]=Table_2[[#This Row],[System_Recommendation]],1,0)</f>
        <v>1</v>
      </c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6" t="s">
        <v>174</v>
      </c>
      <c r="B538" s="6">
        <v>9</v>
      </c>
      <c r="C538" s="6" t="s">
        <v>372</v>
      </c>
      <c r="D538" s="6">
        <v>1</v>
      </c>
      <c r="E538" s="6" t="s">
        <v>105</v>
      </c>
      <c r="F538" s="6" t="s">
        <v>373</v>
      </c>
      <c r="G538" s="6" t="s">
        <v>97</v>
      </c>
      <c r="H538" s="6" t="s">
        <v>144</v>
      </c>
      <c r="I538" s="6" t="s">
        <v>100</v>
      </c>
      <c r="J538" s="6" t="s">
        <v>371</v>
      </c>
      <c r="K538" s="6" t="s">
        <v>384</v>
      </c>
      <c r="L538" s="6" t="str">
        <f>IF(J538="כן", K538, VLOOKUP(LEFT(H538, 7), 'קטלוג תרחישים'!$A:$M, 13, FALSE))</f>
        <v>ב'</v>
      </c>
      <c r="M538" s="10"/>
      <c r="N538" s="23" t="s">
        <v>357</v>
      </c>
      <c r="O538" s="10" t="str" cm="1">
        <f t="array" ref="O538">_xlfn.IFS(N538="A","א'", N538="B", "ב'", N538= "C", "ג'")</f>
        <v>ב'</v>
      </c>
      <c r="P538" s="10">
        <f>IF(Table_2[[#This Row],[Correct_Answer]]=Table_2[[#This Row],[System_Recommendation]],1,0)</f>
        <v>1</v>
      </c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6" t="s">
        <v>174</v>
      </c>
      <c r="B539" s="6">
        <v>10</v>
      </c>
      <c r="C539" s="6" t="s">
        <v>372</v>
      </c>
      <c r="D539" s="6">
        <v>1</v>
      </c>
      <c r="E539" s="6" t="s">
        <v>105</v>
      </c>
      <c r="F539" s="6" t="s">
        <v>373</v>
      </c>
      <c r="G539" s="6" t="s">
        <v>97</v>
      </c>
      <c r="H539" s="6" t="s">
        <v>145</v>
      </c>
      <c r="I539" s="6" t="s">
        <v>91</v>
      </c>
      <c r="J539" s="6" t="s">
        <v>371</v>
      </c>
      <c r="K539" s="6" t="s">
        <v>384</v>
      </c>
      <c r="L539" s="6" t="str">
        <f>IF(J539="כן", K539, VLOOKUP(LEFT(H539, 7), 'קטלוג תרחישים'!$A:$M, 13, FALSE))</f>
        <v>ב'</v>
      </c>
      <c r="M539" s="10"/>
      <c r="N539" s="24" t="s">
        <v>357</v>
      </c>
      <c r="O539" s="10" t="str" cm="1">
        <f t="array" ref="O539">_xlfn.IFS(N539="A","א'", N539="B", "ב'", N539= "C", "ג'")</f>
        <v>ב'</v>
      </c>
      <c r="P539" s="10">
        <f>IF(Table_2[[#This Row],[Correct_Answer]]=Table_2[[#This Row],[System_Recommendation]],1,0)</f>
        <v>1</v>
      </c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6" t="s">
        <v>174</v>
      </c>
      <c r="B540" s="6">
        <v>11</v>
      </c>
      <c r="C540" s="6" t="s">
        <v>372</v>
      </c>
      <c r="D540" s="6">
        <v>1</v>
      </c>
      <c r="E540" s="6" t="s">
        <v>105</v>
      </c>
      <c r="F540" s="6" t="s">
        <v>373</v>
      </c>
      <c r="G540" s="6" t="s">
        <v>97</v>
      </c>
      <c r="H540" s="6" t="s">
        <v>142</v>
      </c>
      <c r="I540" s="6" t="s">
        <v>100</v>
      </c>
      <c r="J540" s="6" t="s">
        <v>371</v>
      </c>
      <c r="K540" s="6" t="s">
        <v>383</v>
      </c>
      <c r="L540" s="6" t="str">
        <f>IF(J540="כן", K540, VLOOKUP(LEFT(H540, 7), 'קטלוג תרחישים'!$A:$M, 13, FALSE))</f>
        <v>א'</v>
      </c>
      <c r="M540" s="10"/>
      <c r="N540" s="23" t="s">
        <v>352</v>
      </c>
      <c r="O540" s="10" t="str" cm="1">
        <f t="array" ref="O540">_xlfn.IFS(N540="A","א'", N540="B", "ב'", N540= "C", "ג'")</f>
        <v>א'</v>
      </c>
      <c r="P540" s="10">
        <f>IF(Table_2[[#This Row],[Correct_Answer]]=Table_2[[#This Row],[System_Recommendation]],1,0)</f>
        <v>1</v>
      </c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6" t="s">
        <v>174</v>
      </c>
      <c r="B541" s="6">
        <v>12</v>
      </c>
      <c r="C541" s="6" t="s">
        <v>372</v>
      </c>
      <c r="D541" s="6">
        <v>2</v>
      </c>
      <c r="E541" s="6" t="s">
        <v>111</v>
      </c>
      <c r="F541" s="6" t="s">
        <v>373</v>
      </c>
      <c r="G541" s="6" t="s">
        <v>97</v>
      </c>
      <c r="H541" s="6" t="s">
        <v>149</v>
      </c>
      <c r="I541" s="6" t="s">
        <v>91</v>
      </c>
      <c r="J541" s="6" t="s">
        <v>371</v>
      </c>
      <c r="K541" s="6" t="s">
        <v>385</v>
      </c>
      <c r="L541" s="6" t="str">
        <f>IF(J541="כן", K541, VLOOKUP(LEFT(H541, 7), 'קטלוג תרחישים'!$A:$M, 13, FALSE))</f>
        <v>ג</v>
      </c>
      <c r="M541" s="10"/>
      <c r="N541" s="24" t="s">
        <v>358</v>
      </c>
      <c r="O541" s="10" t="str" cm="1">
        <f t="array" ref="O541">_xlfn.IFS(N541="A","א'", N541="B", "ב'", N541= "C", "ג'")</f>
        <v>ג'</v>
      </c>
      <c r="P541" s="10">
        <f>IF(Table_2[[#This Row],[Correct_Answer]]=Table_2[[#This Row],[System_Recommendation]],1,0)</f>
        <v>1</v>
      </c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6" t="s">
        <v>174</v>
      </c>
      <c r="B542" s="6">
        <v>13</v>
      </c>
      <c r="C542" s="6" t="s">
        <v>372</v>
      </c>
      <c r="D542" s="6">
        <v>2</v>
      </c>
      <c r="E542" s="6" t="s">
        <v>111</v>
      </c>
      <c r="F542" s="6" t="s">
        <v>373</v>
      </c>
      <c r="G542" s="6" t="s">
        <v>97</v>
      </c>
      <c r="H542" s="6" t="s">
        <v>150</v>
      </c>
      <c r="I542" s="6" t="s">
        <v>100</v>
      </c>
      <c r="J542" s="6" t="s">
        <v>371</v>
      </c>
      <c r="K542" s="6" t="s">
        <v>384</v>
      </c>
      <c r="L542" s="6" t="str">
        <f>IF(J542="כן", K542, VLOOKUP(LEFT(H542, 7), 'קטלוג תרחישים'!$A:$M, 13, FALSE))</f>
        <v>ב'</v>
      </c>
      <c r="M542" s="10"/>
      <c r="N542" s="23" t="s">
        <v>357</v>
      </c>
      <c r="O542" s="10" t="str" cm="1">
        <f t="array" ref="O542">_xlfn.IFS(N542="A","א'", N542="B", "ב'", N542= "C", "ג'")</f>
        <v>ב'</v>
      </c>
      <c r="P542" s="10">
        <f>IF(Table_2[[#This Row],[Correct_Answer]]=Table_2[[#This Row],[System_Recommendation]],1,0)</f>
        <v>1</v>
      </c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6" t="s">
        <v>174</v>
      </c>
      <c r="B543" s="6">
        <v>14</v>
      </c>
      <c r="C543" s="6" t="s">
        <v>372</v>
      </c>
      <c r="D543" s="6">
        <v>2</v>
      </c>
      <c r="E543" s="6" t="s">
        <v>111</v>
      </c>
      <c r="F543" s="6" t="s">
        <v>373</v>
      </c>
      <c r="G543" s="6" t="s">
        <v>97</v>
      </c>
      <c r="H543" s="6" t="s">
        <v>151</v>
      </c>
      <c r="I543" s="6" t="s">
        <v>91</v>
      </c>
      <c r="J543" s="6" t="s">
        <v>371</v>
      </c>
      <c r="K543" s="6" t="s">
        <v>385</v>
      </c>
      <c r="L543" s="6" t="str">
        <f>IF(J543="כן", K543, VLOOKUP(LEFT(H543, 7), 'קטלוג תרחישים'!$A:$M, 13, FALSE))</f>
        <v>ג</v>
      </c>
      <c r="M543" s="10"/>
      <c r="N543" s="24" t="s">
        <v>358</v>
      </c>
      <c r="O543" s="10" t="str" cm="1">
        <f t="array" ref="O543">_xlfn.IFS(N543="A","א'", N543="B", "ב'", N543= "C", "ג'")</f>
        <v>ג'</v>
      </c>
      <c r="P543" s="10">
        <f>IF(Table_2[[#This Row],[Correct_Answer]]=Table_2[[#This Row],[System_Recommendation]],1,0)</f>
        <v>1</v>
      </c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6" t="s">
        <v>174</v>
      </c>
      <c r="B544" s="6">
        <v>15</v>
      </c>
      <c r="C544" s="6" t="s">
        <v>372</v>
      </c>
      <c r="D544" s="6">
        <v>2</v>
      </c>
      <c r="E544" s="6" t="s">
        <v>111</v>
      </c>
      <c r="F544" s="6" t="s">
        <v>373</v>
      </c>
      <c r="G544" s="6" t="s">
        <v>97</v>
      </c>
      <c r="H544" s="6" t="s">
        <v>148</v>
      </c>
      <c r="I544" s="6" t="s">
        <v>100</v>
      </c>
      <c r="J544" s="6" t="s">
        <v>374</v>
      </c>
      <c r="K544" s="6" t="s">
        <v>383</v>
      </c>
      <c r="L544" s="6" t="str">
        <f>IF(J544="כן", K544, VLOOKUP(LEFT(H544, 7), 'קטלוג תרחישים'!$A:$M, 13, FALSE))</f>
        <v>ג'</v>
      </c>
      <c r="M544" s="10"/>
      <c r="N544" s="23" t="s">
        <v>352</v>
      </c>
      <c r="O544" s="10" t="str" cm="1">
        <f t="array" ref="O544">_xlfn.IFS(N544="A","א'", N544="B", "ב'", N544= "C", "ג'")</f>
        <v>א'</v>
      </c>
      <c r="P544" s="10">
        <f>IF(Table_2[[#This Row],[Correct_Answer]]=Table_2[[#This Row],[System_Recommendation]],1,0)</f>
        <v>0</v>
      </c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6" t="s">
        <v>174</v>
      </c>
      <c r="B545" s="6">
        <v>16</v>
      </c>
      <c r="C545" s="6" t="s">
        <v>372</v>
      </c>
      <c r="D545" s="6">
        <v>2</v>
      </c>
      <c r="E545" s="6" t="s">
        <v>111</v>
      </c>
      <c r="F545" s="6" t="s">
        <v>373</v>
      </c>
      <c r="G545" s="6" t="s">
        <v>97</v>
      </c>
      <c r="H545" s="6" t="s">
        <v>147</v>
      </c>
      <c r="I545" s="6" t="s">
        <v>91</v>
      </c>
      <c r="J545" s="6" t="s">
        <v>371</v>
      </c>
      <c r="K545" s="6" t="s">
        <v>383</v>
      </c>
      <c r="L545" s="6" t="str">
        <f>IF(J545="כן", K545, VLOOKUP(LEFT(H545, 7), 'קטלוג תרחישים'!$A:$M, 13, FALSE))</f>
        <v>א'</v>
      </c>
      <c r="M545" s="10"/>
      <c r="N545" s="24" t="s">
        <v>352</v>
      </c>
      <c r="O545" s="10" t="str" cm="1">
        <f t="array" ref="O545">_xlfn.IFS(N545="A","א'", N545="B", "ב'", N545= "C", "ג'")</f>
        <v>א'</v>
      </c>
      <c r="P545" s="10">
        <f>IF(Table_2[[#This Row],[Correct_Answer]]=Table_2[[#This Row],[System_Recommendation]],1,0)</f>
        <v>1</v>
      </c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6" t="s">
        <v>174</v>
      </c>
      <c r="B546" s="6">
        <v>17</v>
      </c>
      <c r="C546" s="6" t="s">
        <v>372</v>
      </c>
      <c r="D546" s="6">
        <v>3</v>
      </c>
      <c r="E546" s="6" t="s">
        <v>98</v>
      </c>
      <c r="F546" s="6" t="s">
        <v>373</v>
      </c>
      <c r="G546" s="6" t="s">
        <v>97</v>
      </c>
      <c r="H546" s="6" t="s">
        <v>154</v>
      </c>
      <c r="I546" s="6" t="s">
        <v>91</v>
      </c>
      <c r="J546" s="6" t="s">
        <v>371</v>
      </c>
      <c r="K546" s="6" t="s">
        <v>383</v>
      </c>
      <c r="L546" s="6" t="str">
        <f>IF(J546="כן", K546, VLOOKUP(LEFT(H546, 7), 'קטלוג תרחישים'!$A:$M, 13, FALSE))</f>
        <v>א'</v>
      </c>
      <c r="M546" s="10"/>
      <c r="N546" s="23" t="s">
        <v>352</v>
      </c>
      <c r="O546" s="10" t="str" cm="1">
        <f t="array" ref="O546">_xlfn.IFS(N546="A","א'", N546="B", "ב'", N546= "C", "ג'")</f>
        <v>א'</v>
      </c>
      <c r="P546" s="10">
        <f>IF(Table_2[[#This Row],[Correct_Answer]]=Table_2[[#This Row],[System_Recommendation]],1,0)</f>
        <v>1</v>
      </c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6" t="s">
        <v>174</v>
      </c>
      <c r="B547" s="6">
        <v>18</v>
      </c>
      <c r="C547" s="6" t="s">
        <v>372</v>
      </c>
      <c r="D547" s="6">
        <v>3</v>
      </c>
      <c r="E547" s="6" t="s">
        <v>98</v>
      </c>
      <c r="F547" s="6" t="s">
        <v>373</v>
      </c>
      <c r="G547" s="6" t="s">
        <v>97</v>
      </c>
      <c r="H547" s="6" t="s">
        <v>155</v>
      </c>
      <c r="I547" s="6" t="s">
        <v>100</v>
      </c>
      <c r="J547" s="6" t="s">
        <v>374</v>
      </c>
      <c r="K547" s="6" t="s">
        <v>383</v>
      </c>
      <c r="L547" s="6" t="str">
        <f>IF(J547="כן", K547, VLOOKUP(LEFT(H547, 7), 'קטלוג תרחישים'!$A:$M, 13, FALSE))</f>
        <v>ב'</v>
      </c>
      <c r="M547" s="10"/>
      <c r="N547" s="24" t="s">
        <v>352</v>
      </c>
      <c r="O547" s="10" t="str" cm="1">
        <f t="array" ref="O547">_xlfn.IFS(N547="A","א'", N547="B", "ב'", N547= "C", "ג'")</f>
        <v>א'</v>
      </c>
      <c r="P547" s="10">
        <f>IF(Table_2[[#This Row],[Correct_Answer]]=Table_2[[#This Row],[System_Recommendation]],1,0)</f>
        <v>0</v>
      </c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6" t="s">
        <v>174</v>
      </c>
      <c r="B548" s="6">
        <v>19</v>
      </c>
      <c r="C548" s="6" t="s">
        <v>372</v>
      </c>
      <c r="D548" s="6">
        <v>3</v>
      </c>
      <c r="E548" s="6" t="s">
        <v>98</v>
      </c>
      <c r="F548" s="6" t="s">
        <v>373</v>
      </c>
      <c r="G548" s="6" t="s">
        <v>97</v>
      </c>
      <c r="H548" s="6" t="s">
        <v>156</v>
      </c>
      <c r="I548" s="6" t="s">
        <v>91</v>
      </c>
      <c r="J548" s="6" t="s">
        <v>371</v>
      </c>
      <c r="K548" s="6" t="s">
        <v>384</v>
      </c>
      <c r="L548" s="6" t="str">
        <f>IF(J548="כן", K548, VLOOKUP(LEFT(H548, 7), 'קטלוג תרחישים'!$A:$M, 13, FALSE))</f>
        <v>ב'</v>
      </c>
      <c r="M548" s="10"/>
      <c r="N548" s="23" t="s">
        <v>357</v>
      </c>
      <c r="O548" s="10" t="str" cm="1">
        <f t="array" ref="O548">_xlfn.IFS(N548="A","א'", N548="B", "ב'", N548= "C", "ג'")</f>
        <v>ב'</v>
      </c>
      <c r="P548" s="10">
        <f>IF(Table_2[[#This Row],[Correct_Answer]]=Table_2[[#This Row],[System_Recommendation]],1,0)</f>
        <v>1</v>
      </c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6" t="s">
        <v>174</v>
      </c>
      <c r="B549" s="6">
        <v>20</v>
      </c>
      <c r="C549" s="6" t="s">
        <v>372</v>
      </c>
      <c r="D549" s="6">
        <v>3</v>
      </c>
      <c r="E549" s="6" t="s">
        <v>98</v>
      </c>
      <c r="F549" s="6" t="s">
        <v>373</v>
      </c>
      <c r="G549" s="6" t="s">
        <v>97</v>
      </c>
      <c r="H549" s="6" t="s">
        <v>153</v>
      </c>
      <c r="I549" s="6" t="s">
        <v>100</v>
      </c>
      <c r="J549" s="6" t="s">
        <v>371</v>
      </c>
      <c r="K549" s="6" t="s">
        <v>384</v>
      </c>
      <c r="L549" s="6" t="str">
        <f>IF(J549="כן", K549, VLOOKUP(LEFT(H549, 7), 'קטלוג תרחישים'!$A:$M, 13, FALSE))</f>
        <v>ב'</v>
      </c>
      <c r="M549" s="10"/>
      <c r="N549" s="24" t="s">
        <v>357</v>
      </c>
      <c r="O549" s="10" t="str" cm="1">
        <f t="array" ref="O549">_xlfn.IFS(N549="A","א'", N549="B", "ב'", N549= "C", "ג'")</f>
        <v>ב'</v>
      </c>
      <c r="P549" s="10">
        <f>IF(Table_2[[#This Row],[Correct_Answer]]=Table_2[[#This Row],[System_Recommendation]],1,0)</f>
        <v>1</v>
      </c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6" t="s">
        <v>174</v>
      </c>
      <c r="B550" s="6">
        <v>21</v>
      </c>
      <c r="C550" s="6" t="s">
        <v>372</v>
      </c>
      <c r="D550" s="6">
        <v>3</v>
      </c>
      <c r="E550" s="6" t="s">
        <v>98</v>
      </c>
      <c r="F550" s="6" t="s">
        <v>373</v>
      </c>
      <c r="G550" s="6" t="s">
        <v>97</v>
      </c>
      <c r="H550" s="6" t="s">
        <v>152</v>
      </c>
      <c r="I550" s="6" t="s">
        <v>91</v>
      </c>
      <c r="J550" s="6" t="s">
        <v>371</v>
      </c>
      <c r="K550" s="6" t="s">
        <v>385</v>
      </c>
      <c r="L550" s="6" t="str">
        <f>IF(J550="כן", K550, VLOOKUP(LEFT(H550, 7), 'קטלוג תרחישים'!$A:$M, 13, FALSE))</f>
        <v>ג</v>
      </c>
      <c r="M550" s="10"/>
      <c r="N550" s="23" t="s">
        <v>358</v>
      </c>
      <c r="O550" s="10" t="str" cm="1">
        <f t="array" ref="O550">_xlfn.IFS(N550="A","א'", N550="B", "ב'", N550= "C", "ג'")</f>
        <v>ג'</v>
      </c>
      <c r="P550" s="10">
        <f>IF(Table_2[[#This Row],[Correct_Answer]]=Table_2[[#This Row],[System_Recommendation]],1,0)</f>
        <v>1</v>
      </c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6" t="s">
        <v>174</v>
      </c>
      <c r="B551" s="6">
        <v>22</v>
      </c>
      <c r="C551" s="6" t="s">
        <v>372</v>
      </c>
      <c r="D551" s="6">
        <v>1</v>
      </c>
      <c r="E551" s="6" t="s">
        <v>111</v>
      </c>
      <c r="F551" s="6" t="s">
        <v>375</v>
      </c>
      <c r="G551" s="6" t="s">
        <v>117</v>
      </c>
      <c r="H551" s="6" t="s">
        <v>157</v>
      </c>
      <c r="I551" s="6" t="s">
        <v>91</v>
      </c>
      <c r="J551" s="6" t="s">
        <v>374</v>
      </c>
      <c r="K551" s="6" t="s">
        <v>385</v>
      </c>
      <c r="L551" s="6" t="str">
        <f>IF(J551="כן", K551, VLOOKUP(LEFT(H551, 7), 'קטלוג תרחישים'!$A:$M, 13, FALSE))</f>
        <v>א'</v>
      </c>
      <c r="M551" s="10"/>
      <c r="N551" s="24" t="s">
        <v>358</v>
      </c>
      <c r="O551" s="10" t="str" cm="1">
        <f t="array" ref="O551">_xlfn.IFS(N551="A","א'", N551="B", "ב'", N551= "C", "ג'")</f>
        <v>ג'</v>
      </c>
      <c r="P551" s="10">
        <f>IF(Table_2[[#This Row],[Correct_Answer]]=Table_2[[#This Row],[System_Recommendation]],1,0)</f>
        <v>0</v>
      </c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6" t="s">
        <v>174</v>
      </c>
      <c r="B552" s="6">
        <v>23</v>
      </c>
      <c r="C552" s="6" t="s">
        <v>372</v>
      </c>
      <c r="D552" s="6">
        <v>1</v>
      </c>
      <c r="E552" s="6" t="s">
        <v>111</v>
      </c>
      <c r="F552" s="6" t="s">
        <v>375</v>
      </c>
      <c r="G552" s="6" t="s">
        <v>117</v>
      </c>
      <c r="H552" s="6" t="s">
        <v>158</v>
      </c>
      <c r="I552" s="6" t="s">
        <v>100</v>
      </c>
      <c r="J552" s="6" t="s">
        <v>371</v>
      </c>
      <c r="K552" s="6" t="s">
        <v>385</v>
      </c>
      <c r="L552" s="6" t="str">
        <f>IF(J552="כן", K552, VLOOKUP(LEFT(H552, 7), 'קטלוג תרחישים'!$A:$M, 13, FALSE))</f>
        <v>ג</v>
      </c>
      <c r="M552" s="10"/>
      <c r="N552" s="23" t="s">
        <v>358</v>
      </c>
      <c r="O552" s="10" t="str" cm="1">
        <f t="array" ref="O552">_xlfn.IFS(N552="A","א'", N552="B", "ב'", N552= "C", "ג'")</f>
        <v>ג'</v>
      </c>
      <c r="P552" s="10">
        <f>IF(Table_2[[#This Row],[Correct_Answer]]=Table_2[[#This Row],[System_Recommendation]],1,0)</f>
        <v>1</v>
      </c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6" t="s">
        <v>174</v>
      </c>
      <c r="B553" s="6">
        <v>24</v>
      </c>
      <c r="C553" s="6" t="s">
        <v>372</v>
      </c>
      <c r="D553" s="6">
        <v>1</v>
      </c>
      <c r="E553" s="6" t="s">
        <v>111</v>
      </c>
      <c r="F553" s="6" t="s">
        <v>375</v>
      </c>
      <c r="G553" s="6" t="s">
        <v>117</v>
      </c>
      <c r="H553" s="6" t="s">
        <v>159</v>
      </c>
      <c r="I553" s="6" t="s">
        <v>91</v>
      </c>
      <c r="J553" s="6" t="s">
        <v>371</v>
      </c>
      <c r="K553" s="6" t="s">
        <v>384</v>
      </c>
      <c r="L553" s="6" t="str">
        <f>IF(J553="כן", K553, VLOOKUP(LEFT(H553, 7), 'קטלוג תרחישים'!$A:$M, 13, FALSE))</f>
        <v>ב'</v>
      </c>
      <c r="M553" s="10"/>
      <c r="N553" s="24" t="s">
        <v>357</v>
      </c>
      <c r="O553" s="10" t="str" cm="1">
        <f t="array" ref="O553">_xlfn.IFS(N553="A","א'", N553="B", "ב'", N553= "C", "ג'")</f>
        <v>ב'</v>
      </c>
      <c r="P553" s="10">
        <f>IF(Table_2[[#This Row],[Correct_Answer]]=Table_2[[#This Row],[System_Recommendation]],1,0)</f>
        <v>1</v>
      </c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6" t="s">
        <v>174</v>
      </c>
      <c r="B554" s="6">
        <v>25</v>
      </c>
      <c r="C554" s="6" t="s">
        <v>372</v>
      </c>
      <c r="D554" s="6">
        <v>1</v>
      </c>
      <c r="E554" s="6" t="s">
        <v>111</v>
      </c>
      <c r="F554" s="6" t="s">
        <v>375</v>
      </c>
      <c r="G554" s="6" t="s">
        <v>117</v>
      </c>
      <c r="H554" s="6" t="s">
        <v>160</v>
      </c>
      <c r="I554" s="6" t="s">
        <v>100</v>
      </c>
      <c r="J554" s="6" t="s">
        <v>374</v>
      </c>
      <c r="K554" s="6" t="s">
        <v>383</v>
      </c>
      <c r="L554" s="6" t="str">
        <f>IF(J554="כן", K554, VLOOKUP(LEFT(H554, 7), 'קטלוג תרחישים'!$A:$M, 13, FALSE))</f>
        <v>ב'</v>
      </c>
      <c r="M554" s="10"/>
      <c r="N554" s="23" t="s">
        <v>352</v>
      </c>
      <c r="O554" s="10" t="str" cm="1">
        <f t="array" ref="O554">_xlfn.IFS(N554="A","א'", N554="B", "ב'", N554= "C", "ג'")</f>
        <v>א'</v>
      </c>
      <c r="P554" s="10">
        <f>IF(Table_2[[#This Row],[Correct_Answer]]=Table_2[[#This Row],[System_Recommendation]],1,0)</f>
        <v>0</v>
      </c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6" t="s">
        <v>174</v>
      </c>
      <c r="B555" s="6">
        <v>26</v>
      </c>
      <c r="C555" s="6" t="s">
        <v>372</v>
      </c>
      <c r="D555" s="6">
        <v>2</v>
      </c>
      <c r="E555" s="6" t="s">
        <v>98</v>
      </c>
      <c r="F555" s="6" t="s">
        <v>375</v>
      </c>
      <c r="G555" s="6" t="s">
        <v>117</v>
      </c>
      <c r="H555" s="6" t="s">
        <v>161</v>
      </c>
      <c r="I555" s="6" t="s">
        <v>91</v>
      </c>
      <c r="J555" s="6" t="s">
        <v>371</v>
      </c>
      <c r="K555" s="6" t="s">
        <v>385</v>
      </c>
      <c r="L555" s="6" t="str">
        <f>IF(J555="כן", K555, VLOOKUP(LEFT(H555, 7), 'קטלוג תרחישים'!$A:$M, 13, FALSE))</f>
        <v>ג</v>
      </c>
      <c r="M555" s="10"/>
      <c r="N555" s="24" t="s">
        <v>358</v>
      </c>
      <c r="O555" s="10" t="str" cm="1">
        <f t="array" ref="O555">_xlfn.IFS(N555="A","א'", N555="B", "ב'", N555= "C", "ג'")</f>
        <v>ג'</v>
      </c>
      <c r="P555" s="10">
        <f>IF(Table_2[[#This Row],[Correct_Answer]]=Table_2[[#This Row],[System_Recommendation]],1,0)</f>
        <v>1</v>
      </c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6" t="s">
        <v>174</v>
      </c>
      <c r="B556" s="6">
        <v>27</v>
      </c>
      <c r="C556" s="6" t="s">
        <v>372</v>
      </c>
      <c r="D556" s="6">
        <v>2</v>
      </c>
      <c r="E556" s="6" t="s">
        <v>98</v>
      </c>
      <c r="F556" s="6" t="s">
        <v>375</v>
      </c>
      <c r="G556" s="6" t="s">
        <v>117</v>
      </c>
      <c r="H556" s="6" t="s">
        <v>162</v>
      </c>
      <c r="I556" s="6" t="s">
        <v>100</v>
      </c>
      <c r="J556" s="6" t="s">
        <v>374</v>
      </c>
      <c r="K556" s="6" t="s">
        <v>384</v>
      </c>
      <c r="L556" s="6" t="str">
        <f>IF(J556="כן", K556, VLOOKUP(LEFT(H556, 7), 'קטלוג תרחישים'!$A:$M, 13, FALSE))</f>
        <v>ב'</v>
      </c>
      <c r="M556" s="10"/>
      <c r="N556" s="23" t="s">
        <v>357</v>
      </c>
      <c r="O556" s="10" t="str" cm="1">
        <f t="array" ref="O556">_xlfn.IFS(N556="A","א'", N556="B", "ב'", N556= "C", "ג'")</f>
        <v>ב'</v>
      </c>
      <c r="P556" s="10">
        <f>IF(Table_2[[#This Row],[Correct_Answer]]=Table_2[[#This Row],[System_Recommendation]],1,0)</f>
        <v>1</v>
      </c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6" t="s">
        <v>174</v>
      </c>
      <c r="B557" s="6">
        <v>28</v>
      </c>
      <c r="C557" s="6" t="s">
        <v>372</v>
      </c>
      <c r="D557" s="6">
        <v>2</v>
      </c>
      <c r="E557" s="6" t="s">
        <v>98</v>
      </c>
      <c r="F557" s="6" t="s">
        <v>375</v>
      </c>
      <c r="G557" s="6" t="s">
        <v>117</v>
      </c>
      <c r="H557" s="6" t="s">
        <v>163</v>
      </c>
      <c r="I557" s="6" t="s">
        <v>91</v>
      </c>
      <c r="J557" s="6" t="s">
        <v>374</v>
      </c>
      <c r="K557" s="6" t="s">
        <v>385</v>
      </c>
      <c r="L557" s="6" t="str">
        <f>IF(J557="כן", K557, VLOOKUP(LEFT(H557, 7), 'קטלוג תרחישים'!$A:$M, 13, FALSE))</f>
        <v>א'</v>
      </c>
      <c r="M557" s="10"/>
      <c r="N557" s="24" t="s">
        <v>358</v>
      </c>
      <c r="O557" s="10" t="str" cm="1">
        <f t="array" ref="O557">_xlfn.IFS(N557="A","א'", N557="B", "ב'", N557= "C", "ג'")</f>
        <v>ג'</v>
      </c>
      <c r="P557" s="10">
        <f>IF(Table_2[[#This Row],[Correct_Answer]]=Table_2[[#This Row],[System_Recommendation]],1,0)</f>
        <v>0</v>
      </c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6" t="s">
        <v>174</v>
      </c>
      <c r="B558" s="6">
        <v>29</v>
      </c>
      <c r="C558" s="6" t="s">
        <v>372</v>
      </c>
      <c r="D558" s="6">
        <v>2</v>
      </c>
      <c r="E558" s="6" t="s">
        <v>98</v>
      </c>
      <c r="F558" s="6" t="s">
        <v>375</v>
      </c>
      <c r="G558" s="6" t="s">
        <v>117</v>
      </c>
      <c r="H558" s="6" t="s">
        <v>164</v>
      </c>
      <c r="I558" s="6" t="s">
        <v>100</v>
      </c>
      <c r="J558" s="6" t="s">
        <v>371</v>
      </c>
      <c r="K558" s="6" t="s">
        <v>385</v>
      </c>
      <c r="L558" s="6" t="str">
        <f>IF(J558="כן", K558, VLOOKUP(LEFT(H558, 7), 'קטלוג תרחישים'!$A:$M, 13, FALSE))</f>
        <v>ג</v>
      </c>
      <c r="M558" s="10"/>
      <c r="N558" s="23" t="s">
        <v>358</v>
      </c>
      <c r="O558" s="10" t="str" cm="1">
        <f t="array" ref="O558">_xlfn.IFS(N558="A","א'", N558="B", "ב'", N558= "C", "ג'")</f>
        <v>ג'</v>
      </c>
      <c r="P558" s="10">
        <f>IF(Table_2[[#This Row],[Correct_Answer]]=Table_2[[#This Row],[System_Recommendation]],1,0)</f>
        <v>1</v>
      </c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6" t="s">
        <v>174</v>
      </c>
      <c r="B559" s="6">
        <v>30</v>
      </c>
      <c r="C559" s="6" t="s">
        <v>372</v>
      </c>
      <c r="D559" s="6">
        <v>3</v>
      </c>
      <c r="E559" s="6" t="s">
        <v>105</v>
      </c>
      <c r="F559" s="6" t="s">
        <v>375</v>
      </c>
      <c r="G559" s="6" t="s">
        <v>117</v>
      </c>
      <c r="H559" s="6" t="s">
        <v>167</v>
      </c>
      <c r="I559" s="6" t="s">
        <v>91</v>
      </c>
      <c r="J559" s="6" t="s">
        <v>371</v>
      </c>
      <c r="K559" s="6" t="s">
        <v>384</v>
      </c>
      <c r="L559" s="6" t="str">
        <f>IF(J559="כן", K559, VLOOKUP(LEFT(H559, 7), 'קטלוג תרחישים'!$A:$M, 13, FALSE))</f>
        <v>ב'</v>
      </c>
      <c r="M559" s="10"/>
      <c r="N559" s="24" t="s">
        <v>357</v>
      </c>
      <c r="O559" s="10" t="str" cm="1">
        <f t="array" ref="O559">_xlfn.IFS(N559="A","א'", N559="B", "ב'", N559= "C", "ג'")</f>
        <v>ב'</v>
      </c>
      <c r="P559" s="10">
        <f>IF(Table_2[[#This Row],[Correct_Answer]]=Table_2[[#This Row],[System_Recommendation]],1,0)</f>
        <v>1</v>
      </c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6" t="s">
        <v>174</v>
      </c>
      <c r="B560" s="6">
        <v>31</v>
      </c>
      <c r="C560" s="6" t="s">
        <v>372</v>
      </c>
      <c r="D560" s="6">
        <v>3</v>
      </c>
      <c r="E560" s="6" t="s">
        <v>105</v>
      </c>
      <c r="F560" s="6" t="s">
        <v>375</v>
      </c>
      <c r="G560" s="6" t="s">
        <v>117</v>
      </c>
      <c r="H560" s="6" t="s">
        <v>166</v>
      </c>
      <c r="I560" s="6" t="s">
        <v>100</v>
      </c>
      <c r="J560" s="6" t="s">
        <v>374</v>
      </c>
      <c r="K560" s="6" t="s">
        <v>385</v>
      </c>
      <c r="L560" s="6" t="str">
        <f>IF(J560="כן", K560, VLOOKUP(LEFT(H560, 7), 'קטלוג תרחישים'!$A:$M, 13, FALSE))</f>
        <v>ג'</v>
      </c>
      <c r="M560" s="10"/>
      <c r="N560" s="23" t="s">
        <v>358</v>
      </c>
      <c r="O560" s="10" t="str" cm="1">
        <f t="array" ref="O560">_xlfn.IFS(N560="A","א'", N560="B", "ב'", N560= "C", "ג'")</f>
        <v>ג'</v>
      </c>
      <c r="P560" s="10">
        <f>IF(Table_2[[#This Row],[Correct_Answer]]=Table_2[[#This Row],[System_Recommendation]],1,0)</f>
        <v>0</v>
      </c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6" t="s">
        <v>174</v>
      </c>
      <c r="B561" s="6">
        <v>32</v>
      </c>
      <c r="C561" s="6" t="s">
        <v>372</v>
      </c>
      <c r="D561" s="6">
        <v>3</v>
      </c>
      <c r="E561" s="6" t="s">
        <v>105</v>
      </c>
      <c r="F561" s="6" t="s">
        <v>375</v>
      </c>
      <c r="G561" s="6" t="s">
        <v>117</v>
      </c>
      <c r="H561" s="6" t="s">
        <v>165</v>
      </c>
      <c r="I561" s="6" t="s">
        <v>91</v>
      </c>
      <c r="J561" s="6" t="s">
        <v>374</v>
      </c>
      <c r="K561" s="6" t="s">
        <v>383</v>
      </c>
      <c r="L561" s="6" t="str">
        <f>IF(J561="כן", K561, VLOOKUP(LEFT(H561, 7), 'קטלוג תרחישים'!$A:$M, 13, FALSE))</f>
        <v>א'</v>
      </c>
      <c r="M561" s="10"/>
      <c r="N561" s="24" t="s">
        <v>352</v>
      </c>
      <c r="O561" s="10" t="str" cm="1">
        <f t="array" ref="O561">_xlfn.IFS(N561="A","א'", N561="B", "ב'", N561= "C", "ג'")</f>
        <v>א'</v>
      </c>
      <c r="P561" s="10">
        <f>IF(Table_2[[#This Row],[Correct_Answer]]=Table_2[[#This Row],[System_Recommendation]],1,0)</f>
        <v>1</v>
      </c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6" t="s">
        <v>174</v>
      </c>
      <c r="B562" s="6">
        <v>33</v>
      </c>
      <c r="C562" s="6" t="s">
        <v>372</v>
      </c>
      <c r="D562" s="6">
        <v>3</v>
      </c>
      <c r="E562" s="6" t="s">
        <v>105</v>
      </c>
      <c r="F562" s="6" t="s">
        <v>375</v>
      </c>
      <c r="G562" s="6" t="s">
        <v>117</v>
      </c>
      <c r="H562" s="6" t="s">
        <v>168</v>
      </c>
      <c r="I562" s="6" t="s">
        <v>100</v>
      </c>
      <c r="J562" s="6" t="s">
        <v>371</v>
      </c>
      <c r="K562" s="6" t="s">
        <v>383</v>
      </c>
      <c r="L562" s="6" t="str">
        <f>IF(J562="כן", K562, VLOOKUP(LEFT(H562, 7), 'קטלוג תרחישים'!$A:$M, 13, FALSE))</f>
        <v>א'</v>
      </c>
      <c r="M562" s="10"/>
      <c r="N562" s="23" t="s">
        <v>352</v>
      </c>
      <c r="O562" s="10" t="str" cm="1">
        <f t="array" ref="O562">_xlfn.IFS(N562="A","א'", N562="B", "ב'", N562= "C", "ג'")</f>
        <v>א'</v>
      </c>
      <c r="P562" s="10">
        <f>IF(Table_2[[#This Row],[Correct_Answer]]=Table_2[[#This Row],[System_Recommendation]],1,0)</f>
        <v>1</v>
      </c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6" t="s">
        <v>175</v>
      </c>
      <c r="B563" s="6">
        <v>1</v>
      </c>
      <c r="C563" s="6" t="s">
        <v>370</v>
      </c>
      <c r="D563" s="6"/>
      <c r="E563" s="6" t="s">
        <v>98</v>
      </c>
      <c r="F563" s="6"/>
      <c r="G563" s="6"/>
      <c r="H563" s="8" t="s">
        <v>90</v>
      </c>
      <c r="I563" s="6" t="s">
        <v>91</v>
      </c>
      <c r="J563" s="6" t="s">
        <v>371</v>
      </c>
      <c r="K563" s="6" t="s">
        <v>385</v>
      </c>
      <c r="L563" s="6" t="str">
        <f>IF(J563="כן", K563, VLOOKUP(LEFT(H563, 7), 'קטלוג תרחישים'!$A:$M, 13, FALSE))</f>
        <v>ג</v>
      </c>
      <c r="M563" s="10"/>
      <c r="N563" s="24" t="s">
        <v>358</v>
      </c>
      <c r="O563" s="10" t="str" cm="1">
        <f t="array" ref="O563">_xlfn.IFS(N563="A","א'", N563="B", "ב'", N563= "C", "ג'")</f>
        <v>ג'</v>
      </c>
      <c r="P563" s="10">
        <f>IF(Table_2[[#This Row],[Correct_Answer]]=Table_2[[#This Row],[System_Recommendation]],1,0)</f>
        <v>1</v>
      </c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6" t="s">
        <v>175</v>
      </c>
      <c r="B564" s="6">
        <v>2</v>
      </c>
      <c r="C564" s="6" t="s">
        <v>370</v>
      </c>
      <c r="D564" s="6"/>
      <c r="E564" s="6" t="s">
        <v>98</v>
      </c>
      <c r="F564" s="6"/>
      <c r="G564" s="6"/>
      <c r="H564" s="8" t="s">
        <v>92</v>
      </c>
      <c r="I564" s="6" t="s">
        <v>91</v>
      </c>
      <c r="J564" s="6" t="s">
        <v>371</v>
      </c>
      <c r="K564" s="6" t="s">
        <v>385</v>
      </c>
      <c r="L564" s="6" t="str">
        <f>IF(J564="כן", K564, VLOOKUP(LEFT(H564, 7), 'קטלוג תרחישים'!$A:$M, 13, FALSE))</f>
        <v>ג</v>
      </c>
      <c r="M564" s="10"/>
      <c r="N564" s="23" t="s">
        <v>358</v>
      </c>
      <c r="O564" s="10" t="str" cm="1">
        <f t="array" ref="O564">_xlfn.IFS(N564="A","א'", N564="B", "ב'", N564= "C", "ג'")</f>
        <v>ג'</v>
      </c>
      <c r="P564" s="10">
        <f>IF(Table_2[[#This Row],[Correct_Answer]]=Table_2[[#This Row],[System_Recommendation]],1,0)</f>
        <v>1</v>
      </c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6" t="s">
        <v>175</v>
      </c>
      <c r="B565" s="6">
        <v>3</v>
      </c>
      <c r="C565" s="6" t="s">
        <v>370</v>
      </c>
      <c r="D565" s="6"/>
      <c r="E565" s="6" t="s">
        <v>105</v>
      </c>
      <c r="F565" s="6"/>
      <c r="G565" s="6"/>
      <c r="H565" s="8" t="s">
        <v>93</v>
      </c>
      <c r="I565" s="6" t="s">
        <v>91</v>
      </c>
      <c r="J565" s="6" t="s">
        <v>371</v>
      </c>
      <c r="K565" s="6" t="s">
        <v>385</v>
      </c>
      <c r="L565" s="6" t="str">
        <f>IF(J565="כן", K565, VLOOKUP(LEFT(H565, 7), 'קטלוג תרחישים'!$A:$M, 13, FALSE))</f>
        <v>ג</v>
      </c>
      <c r="M565" s="10"/>
      <c r="N565" s="24" t="s">
        <v>358</v>
      </c>
      <c r="O565" s="10" t="str" cm="1">
        <f t="array" ref="O565">_xlfn.IFS(N565="A","א'", N565="B", "ב'", N565= "C", "ג'")</f>
        <v>ג'</v>
      </c>
      <c r="P565" s="10">
        <f>IF(Table_2[[#This Row],[Correct_Answer]]=Table_2[[#This Row],[System_Recommendation]],1,0)</f>
        <v>1</v>
      </c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6" t="s">
        <v>175</v>
      </c>
      <c r="B566" s="6">
        <v>4</v>
      </c>
      <c r="C566" s="6" t="s">
        <v>370</v>
      </c>
      <c r="D566" s="6"/>
      <c r="E566" s="6" t="s">
        <v>105</v>
      </c>
      <c r="F566" s="6"/>
      <c r="G566" s="6"/>
      <c r="H566" s="8" t="s">
        <v>94</v>
      </c>
      <c r="I566" s="6" t="s">
        <v>91</v>
      </c>
      <c r="J566" s="6" t="s">
        <v>371</v>
      </c>
      <c r="K566" s="6" t="s">
        <v>384</v>
      </c>
      <c r="L566" s="6" t="str">
        <f>IF(J566="כן", K566, VLOOKUP(LEFT(H566, 7), 'קטלוג תרחישים'!$A:$M, 13, FALSE))</f>
        <v>ב'</v>
      </c>
      <c r="M566" s="10"/>
      <c r="N566" s="23" t="s">
        <v>357</v>
      </c>
      <c r="O566" s="10" t="str" cm="1">
        <f t="array" ref="O566">_xlfn.IFS(N566="A","א'", N566="B", "ב'", N566= "C", "ג'")</f>
        <v>ב'</v>
      </c>
      <c r="P566" s="10">
        <f>IF(Table_2[[#This Row],[Correct_Answer]]=Table_2[[#This Row],[System_Recommendation]],1,0)</f>
        <v>1</v>
      </c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6" t="s">
        <v>175</v>
      </c>
      <c r="B567" s="6">
        <v>5</v>
      </c>
      <c r="C567" s="6" t="s">
        <v>370</v>
      </c>
      <c r="D567" s="6"/>
      <c r="E567" s="6" t="s">
        <v>111</v>
      </c>
      <c r="F567" s="6"/>
      <c r="G567" s="6"/>
      <c r="H567" s="8" t="s">
        <v>95</v>
      </c>
      <c r="I567" s="6" t="s">
        <v>91</v>
      </c>
      <c r="J567" s="6" t="s">
        <v>371</v>
      </c>
      <c r="K567" s="6" t="s">
        <v>383</v>
      </c>
      <c r="L567" s="6" t="str">
        <f>IF(J567="כן", K567, VLOOKUP(LEFT(H567, 7), 'קטלוג תרחישים'!$A:$M, 13, FALSE))</f>
        <v>א'</v>
      </c>
      <c r="M567" s="10"/>
      <c r="N567" s="24" t="s">
        <v>352</v>
      </c>
      <c r="O567" s="10" t="str" cm="1">
        <f t="array" ref="O567">_xlfn.IFS(N567="A","א'", N567="B", "ב'", N567= "C", "ג'")</f>
        <v>א'</v>
      </c>
      <c r="P567" s="10">
        <f>IF(Table_2[[#This Row],[Correct_Answer]]=Table_2[[#This Row],[System_Recommendation]],1,0)</f>
        <v>1</v>
      </c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6" t="s">
        <v>175</v>
      </c>
      <c r="B568" s="6">
        <v>6</v>
      </c>
      <c r="C568" s="6" t="s">
        <v>370</v>
      </c>
      <c r="D568" s="6"/>
      <c r="E568" s="6" t="s">
        <v>111</v>
      </c>
      <c r="F568" s="6"/>
      <c r="G568" s="6"/>
      <c r="H568" s="8" t="s">
        <v>96</v>
      </c>
      <c r="I568" s="6" t="s">
        <v>91</v>
      </c>
      <c r="J568" s="6" t="s">
        <v>371</v>
      </c>
      <c r="K568" s="6" t="s">
        <v>385</v>
      </c>
      <c r="L568" s="6" t="str">
        <f>IF(J568="כן", K568, VLOOKUP(LEFT(H568, 7), 'קטלוג תרחישים'!$A:$M, 13, FALSE))</f>
        <v>ג</v>
      </c>
      <c r="M568" s="10"/>
      <c r="N568" s="23" t="s">
        <v>358</v>
      </c>
      <c r="O568" s="10" t="str" cm="1">
        <f t="array" ref="O568">_xlfn.IFS(N568="A","א'", N568="B", "ב'", N568= "C", "ג'")</f>
        <v>ג'</v>
      </c>
      <c r="P568" s="10">
        <f>IF(Table_2[[#This Row],[Correct_Answer]]=Table_2[[#This Row],[System_Recommendation]],1,0)</f>
        <v>1</v>
      </c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6" t="s">
        <v>175</v>
      </c>
      <c r="B569" s="6">
        <v>7</v>
      </c>
      <c r="C569" s="6" t="s">
        <v>372</v>
      </c>
      <c r="D569" s="6">
        <v>1</v>
      </c>
      <c r="E569" s="6" t="s">
        <v>98</v>
      </c>
      <c r="F569" s="6" t="s">
        <v>373</v>
      </c>
      <c r="G569" s="6" t="s">
        <v>117</v>
      </c>
      <c r="H569" s="6" t="s">
        <v>161</v>
      </c>
      <c r="I569" s="6" t="s">
        <v>91</v>
      </c>
      <c r="J569" s="6" t="s">
        <v>374</v>
      </c>
      <c r="K569" s="6" t="s">
        <v>385</v>
      </c>
      <c r="L569" s="6" t="str">
        <f>IF(J569="כן", K569, VLOOKUP(LEFT(H569, 7), 'קטלוג תרחישים'!$A:$M, 13, FALSE))</f>
        <v>א'</v>
      </c>
      <c r="M569" s="10"/>
      <c r="N569" s="24" t="s">
        <v>358</v>
      </c>
      <c r="O569" s="10" t="str" cm="1">
        <f t="array" ref="O569">_xlfn.IFS(N569="A","א'", N569="B", "ב'", N569= "C", "ג'")</f>
        <v>ג'</v>
      </c>
      <c r="P569" s="10">
        <f>IF(Table_2[[#This Row],[Correct_Answer]]=Table_2[[#This Row],[System_Recommendation]],1,0)</f>
        <v>0</v>
      </c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6" t="s">
        <v>175</v>
      </c>
      <c r="B570" s="6">
        <v>8</v>
      </c>
      <c r="C570" s="6" t="s">
        <v>372</v>
      </c>
      <c r="D570" s="6">
        <v>1</v>
      </c>
      <c r="E570" s="6" t="s">
        <v>98</v>
      </c>
      <c r="F570" s="6" t="s">
        <v>373</v>
      </c>
      <c r="G570" s="6" t="s">
        <v>117</v>
      </c>
      <c r="H570" s="6" t="s">
        <v>164</v>
      </c>
      <c r="I570" s="6" t="s">
        <v>100</v>
      </c>
      <c r="J570" s="6" t="s">
        <v>371</v>
      </c>
      <c r="K570" s="6" t="s">
        <v>384</v>
      </c>
      <c r="L570" s="6" t="str">
        <f>IF(J570="כן", K570, VLOOKUP(LEFT(H570, 7), 'קטלוג תרחישים'!$A:$M, 13, FALSE))</f>
        <v>ב'</v>
      </c>
      <c r="M570" s="10"/>
      <c r="N570" s="23" t="s">
        <v>357</v>
      </c>
      <c r="O570" s="10" t="str" cm="1">
        <f t="array" ref="O570">_xlfn.IFS(N570="A","א'", N570="B", "ב'", N570= "C", "ג'")</f>
        <v>ב'</v>
      </c>
      <c r="P570" s="10">
        <f>IF(Table_2[[#This Row],[Correct_Answer]]=Table_2[[#This Row],[System_Recommendation]],1,0)</f>
        <v>1</v>
      </c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6" t="s">
        <v>175</v>
      </c>
      <c r="B571" s="6">
        <v>9</v>
      </c>
      <c r="C571" s="6" t="s">
        <v>372</v>
      </c>
      <c r="D571" s="6">
        <v>1</v>
      </c>
      <c r="E571" s="6" t="s">
        <v>98</v>
      </c>
      <c r="F571" s="6" t="s">
        <v>373</v>
      </c>
      <c r="G571" s="6" t="s">
        <v>117</v>
      </c>
      <c r="H571" s="6" t="s">
        <v>163</v>
      </c>
      <c r="I571" s="6" t="s">
        <v>91</v>
      </c>
      <c r="J571" s="6" t="s">
        <v>371</v>
      </c>
      <c r="K571" s="6" t="s">
        <v>384</v>
      </c>
      <c r="L571" s="6" t="str">
        <f>IF(J571="כן", K571, VLOOKUP(LEFT(H571, 7), 'קטלוג תרחישים'!$A:$M, 13, FALSE))</f>
        <v>ב'</v>
      </c>
      <c r="M571" s="10"/>
      <c r="N571" s="24" t="s">
        <v>357</v>
      </c>
      <c r="O571" s="10" t="str" cm="1">
        <f t="array" ref="O571">_xlfn.IFS(N571="A","א'", N571="B", "ב'", N571= "C", "ג'")</f>
        <v>ב'</v>
      </c>
      <c r="P571" s="10">
        <f>IF(Table_2[[#This Row],[Correct_Answer]]=Table_2[[#This Row],[System_Recommendation]],1,0)</f>
        <v>1</v>
      </c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6" t="s">
        <v>175</v>
      </c>
      <c r="B572" s="6">
        <v>10</v>
      </c>
      <c r="C572" s="6" t="s">
        <v>372</v>
      </c>
      <c r="D572" s="6">
        <v>1</v>
      </c>
      <c r="E572" s="6" t="s">
        <v>98</v>
      </c>
      <c r="F572" s="6" t="s">
        <v>373</v>
      </c>
      <c r="G572" s="6" t="s">
        <v>117</v>
      </c>
      <c r="H572" s="6" t="s">
        <v>162</v>
      </c>
      <c r="I572" s="6" t="s">
        <v>100</v>
      </c>
      <c r="J572" s="6" t="s">
        <v>374</v>
      </c>
      <c r="K572" s="6" t="s">
        <v>384</v>
      </c>
      <c r="L572" s="6" t="str">
        <f>IF(J572="כן", K572, VLOOKUP(LEFT(H572, 7), 'קטלוג תרחישים'!$A:$M, 13, FALSE))</f>
        <v>ב'</v>
      </c>
      <c r="M572" s="10"/>
      <c r="N572" s="23" t="s">
        <v>357</v>
      </c>
      <c r="O572" s="10" t="str" cm="1">
        <f t="array" ref="O572">_xlfn.IFS(N572="A","א'", N572="B", "ב'", N572= "C", "ג'")</f>
        <v>ב'</v>
      </c>
      <c r="P572" s="10">
        <f>IF(Table_2[[#This Row],[Correct_Answer]]=Table_2[[#This Row],[System_Recommendation]],1,0)</f>
        <v>1</v>
      </c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6" t="s">
        <v>175</v>
      </c>
      <c r="B573" s="6">
        <v>11</v>
      </c>
      <c r="C573" s="6" t="s">
        <v>372</v>
      </c>
      <c r="D573" s="6">
        <v>2</v>
      </c>
      <c r="E573" s="6" t="s">
        <v>105</v>
      </c>
      <c r="F573" s="6" t="s">
        <v>373</v>
      </c>
      <c r="G573" s="6" t="s">
        <v>117</v>
      </c>
      <c r="H573" s="6" t="s">
        <v>165</v>
      </c>
      <c r="I573" s="6" t="s">
        <v>91</v>
      </c>
      <c r="J573" s="6" t="s">
        <v>371</v>
      </c>
      <c r="K573" s="6" t="s">
        <v>383</v>
      </c>
      <c r="L573" s="6" t="str">
        <f>IF(J573="כן", K573, VLOOKUP(LEFT(H573, 7), 'קטלוג תרחישים'!$A:$M, 13, FALSE))</f>
        <v>א'</v>
      </c>
      <c r="M573" s="10"/>
      <c r="N573" s="24" t="s">
        <v>352</v>
      </c>
      <c r="O573" s="10" t="str" cm="1">
        <f t="array" ref="O573">_xlfn.IFS(N573="A","א'", N573="B", "ב'", N573= "C", "ג'")</f>
        <v>א'</v>
      </c>
      <c r="P573" s="10">
        <f>IF(Table_2[[#This Row],[Correct_Answer]]=Table_2[[#This Row],[System_Recommendation]],1,0)</f>
        <v>1</v>
      </c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6" t="s">
        <v>175</v>
      </c>
      <c r="B574" s="6">
        <v>12</v>
      </c>
      <c r="C574" s="6" t="s">
        <v>372</v>
      </c>
      <c r="D574" s="6">
        <v>2</v>
      </c>
      <c r="E574" s="6" t="s">
        <v>105</v>
      </c>
      <c r="F574" s="6" t="s">
        <v>373</v>
      </c>
      <c r="G574" s="6" t="s">
        <v>117</v>
      </c>
      <c r="H574" s="6" t="s">
        <v>168</v>
      </c>
      <c r="I574" s="6" t="s">
        <v>100</v>
      </c>
      <c r="J574" s="6" t="s">
        <v>371</v>
      </c>
      <c r="K574" s="6" t="s">
        <v>385</v>
      </c>
      <c r="L574" s="6" t="str">
        <f>IF(J574="כן", K574, VLOOKUP(LEFT(H574, 7), 'קטלוג תרחישים'!$A:$M, 13, FALSE))</f>
        <v>ג</v>
      </c>
      <c r="M574" s="10"/>
      <c r="N574" s="23" t="s">
        <v>358</v>
      </c>
      <c r="O574" s="10" t="str" cm="1">
        <f t="array" ref="O574">_xlfn.IFS(N574="A","א'", N574="B", "ב'", N574= "C", "ג'")</f>
        <v>ג'</v>
      </c>
      <c r="P574" s="10">
        <f>IF(Table_2[[#This Row],[Correct_Answer]]=Table_2[[#This Row],[System_Recommendation]],1,0)</f>
        <v>1</v>
      </c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6" t="s">
        <v>175</v>
      </c>
      <c r="B575" s="6">
        <v>13</v>
      </c>
      <c r="C575" s="6" t="s">
        <v>372</v>
      </c>
      <c r="D575" s="6">
        <v>2</v>
      </c>
      <c r="E575" s="6" t="s">
        <v>105</v>
      </c>
      <c r="F575" s="6" t="s">
        <v>373</v>
      </c>
      <c r="G575" s="6" t="s">
        <v>117</v>
      </c>
      <c r="H575" s="6" t="s">
        <v>167</v>
      </c>
      <c r="I575" s="6" t="s">
        <v>91</v>
      </c>
      <c r="J575" s="6" t="s">
        <v>374</v>
      </c>
      <c r="K575" s="6" t="s">
        <v>384</v>
      </c>
      <c r="L575" s="6" t="str">
        <f>IF(J575="כן", K575, VLOOKUP(LEFT(H575, 7), 'קטלוג תרחישים'!$A:$M, 13, FALSE))</f>
        <v>ג'</v>
      </c>
      <c r="M575" s="10"/>
      <c r="N575" s="24" t="s">
        <v>357</v>
      </c>
      <c r="O575" s="10" t="str" cm="1">
        <f t="array" ref="O575">_xlfn.IFS(N575="A","א'", N575="B", "ב'", N575= "C", "ג'")</f>
        <v>ב'</v>
      </c>
      <c r="P575" s="10">
        <f>IF(Table_2[[#This Row],[Correct_Answer]]=Table_2[[#This Row],[System_Recommendation]],1,0)</f>
        <v>0</v>
      </c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6" t="s">
        <v>175</v>
      </c>
      <c r="B576" s="6">
        <v>14</v>
      </c>
      <c r="C576" s="6" t="s">
        <v>372</v>
      </c>
      <c r="D576" s="6">
        <v>2</v>
      </c>
      <c r="E576" s="6" t="s">
        <v>105</v>
      </c>
      <c r="F576" s="6" t="s">
        <v>373</v>
      </c>
      <c r="G576" s="6" t="s">
        <v>117</v>
      </c>
      <c r="H576" s="6" t="s">
        <v>166</v>
      </c>
      <c r="I576" s="6" t="s">
        <v>100</v>
      </c>
      <c r="J576" s="6" t="s">
        <v>374</v>
      </c>
      <c r="K576" s="6" t="s">
        <v>385</v>
      </c>
      <c r="L576" s="6" t="str">
        <f>IF(J576="כן", K576, VLOOKUP(LEFT(H576, 7), 'קטלוג תרחישים'!$A:$M, 13, FALSE))</f>
        <v>ג'</v>
      </c>
      <c r="M576" s="10"/>
      <c r="N576" s="23" t="s">
        <v>358</v>
      </c>
      <c r="O576" s="10" t="str" cm="1">
        <f t="array" ref="O576">_xlfn.IFS(N576="A","א'", N576="B", "ב'", N576= "C", "ג'")</f>
        <v>ג'</v>
      </c>
      <c r="P576" s="10">
        <f>IF(Table_2[[#This Row],[Correct_Answer]]=Table_2[[#This Row],[System_Recommendation]],1,0)</f>
        <v>0</v>
      </c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6" t="s">
        <v>175</v>
      </c>
      <c r="B577" s="6">
        <v>15</v>
      </c>
      <c r="C577" s="6" t="s">
        <v>372</v>
      </c>
      <c r="D577" s="6">
        <v>3</v>
      </c>
      <c r="E577" s="6" t="s">
        <v>111</v>
      </c>
      <c r="F577" s="6" t="s">
        <v>373</v>
      </c>
      <c r="G577" s="6" t="s">
        <v>117</v>
      </c>
      <c r="H577" s="6" t="s">
        <v>159</v>
      </c>
      <c r="I577" s="6" t="s">
        <v>91</v>
      </c>
      <c r="J577" s="6" t="s">
        <v>371</v>
      </c>
      <c r="K577" s="6" t="s">
        <v>383</v>
      </c>
      <c r="L577" s="6" t="str">
        <f>IF(J577="כן", K577, VLOOKUP(LEFT(H577, 7), 'קטלוג תרחישים'!$A:$M, 13, FALSE))</f>
        <v>א'</v>
      </c>
      <c r="M577" s="10"/>
      <c r="N577" s="24" t="s">
        <v>352</v>
      </c>
      <c r="O577" s="10" t="str" cm="1">
        <f t="array" ref="O577">_xlfn.IFS(N577="A","א'", N577="B", "ב'", N577= "C", "ג'")</f>
        <v>א'</v>
      </c>
      <c r="P577" s="10">
        <f>IF(Table_2[[#This Row],[Correct_Answer]]=Table_2[[#This Row],[System_Recommendation]],1,0)</f>
        <v>1</v>
      </c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6" t="s">
        <v>175</v>
      </c>
      <c r="B578" s="6">
        <v>16</v>
      </c>
      <c r="C578" s="6" t="s">
        <v>372</v>
      </c>
      <c r="D578" s="6">
        <v>3</v>
      </c>
      <c r="E578" s="6" t="s">
        <v>111</v>
      </c>
      <c r="F578" s="6" t="s">
        <v>373</v>
      </c>
      <c r="G578" s="6" t="s">
        <v>117</v>
      </c>
      <c r="H578" s="6" t="s">
        <v>160</v>
      </c>
      <c r="I578" s="6" t="s">
        <v>100</v>
      </c>
      <c r="J578" s="6" t="s">
        <v>371</v>
      </c>
      <c r="K578" s="6" t="s">
        <v>385</v>
      </c>
      <c r="L578" s="6" t="str">
        <f>IF(J578="כן", K578, VLOOKUP(LEFT(H578, 7), 'קטלוג תרחישים'!$A:$M, 13, FALSE))</f>
        <v>ג</v>
      </c>
      <c r="M578" s="10"/>
      <c r="N578" s="23" t="s">
        <v>358</v>
      </c>
      <c r="O578" s="10" t="str" cm="1">
        <f t="array" ref="O578">_xlfn.IFS(N578="A","א'", N578="B", "ב'", N578= "C", "ג'")</f>
        <v>ג'</v>
      </c>
      <c r="P578" s="10">
        <f>IF(Table_2[[#This Row],[Correct_Answer]]=Table_2[[#This Row],[System_Recommendation]],1,0)</f>
        <v>1</v>
      </c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6" t="s">
        <v>175</v>
      </c>
      <c r="B579" s="6">
        <v>17</v>
      </c>
      <c r="C579" s="6" t="s">
        <v>372</v>
      </c>
      <c r="D579" s="6">
        <v>3</v>
      </c>
      <c r="E579" s="6" t="s">
        <v>111</v>
      </c>
      <c r="F579" s="6" t="s">
        <v>373</v>
      </c>
      <c r="G579" s="6" t="s">
        <v>117</v>
      </c>
      <c r="H579" s="6" t="s">
        <v>157</v>
      </c>
      <c r="I579" s="6" t="s">
        <v>91</v>
      </c>
      <c r="J579" s="6" t="s">
        <v>374</v>
      </c>
      <c r="K579" s="6" t="s">
        <v>383</v>
      </c>
      <c r="L579" s="6" t="str">
        <f>IF(J579="כן", K579, VLOOKUP(LEFT(H579, 7), 'קטלוג תרחישים'!$A:$M, 13, FALSE))</f>
        <v>א'</v>
      </c>
      <c r="M579" s="10"/>
      <c r="N579" s="24" t="s">
        <v>352</v>
      </c>
      <c r="O579" s="10" t="str" cm="1">
        <f t="array" ref="O579">_xlfn.IFS(N579="A","א'", N579="B", "ב'", N579= "C", "ג'")</f>
        <v>א'</v>
      </c>
      <c r="P579" s="10">
        <f>IF(Table_2[[#This Row],[Correct_Answer]]=Table_2[[#This Row],[System_Recommendation]],1,0)</f>
        <v>1</v>
      </c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6" t="s">
        <v>175</v>
      </c>
      <c r="B580" s="6">
        <v>18</v>
      </c>
      <c r="C580" s="6" t="s">
        <v>372</v>
      </c>
      <c r="D580" s="6">
        <v>3</v>
      </c>
      <c r="E580" s="6" t="s">
        <v>111</v>
      </c>
      <c r="F580" s="6" t="s">
        <v>373</v>
      </c>
      <c r="G580" s="6" t="s">
        <v>117</v>
      </c>
      <c r="H580" s="6" t="s">
        <v>158</v>
      </c>
      <c r="I580" s="6" t="s">
        <v>100</v>
      </c>
      <c r="J580" s="6" t="s">
        <v>374</v>
      </c>
      <c r="K580" s="6" t="s">
        <v>383</v>
      </c>
      <c r="L580" s="6" t="str">
        <f>IF(J580="כן", K580, VLOOKUP(LEFT(H580, 7), 'קטלוג תרחישים'!$A:$M, 13, FALSE))</f>
        <v>ב'</v>
      </c>
      <c r="M580" s="10"/>
      <c r="N580" s="23" t="s">
        <v>352</v>
      </c>
      <c r="O580" s="10" t="str" cm="1">
        <f t="array" ref="O580">_xlfn.IFS(N580="A","א'", N580="B", "ב'", N580= "C", "ג'")</f>
        <v>א'</v>
      </c>
      <c r="P580" s="10">
        <f>IF(Table_2[[#This Row],[Correct_Answer]]=Table_2[[#This Row],[System_Recommendation]],1,0)</f>
        <v>0</v>
      </c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6" t="s">
        <v>175</v>
      </c>
      <c r="B581" s="6">
        <v>19</v>
      </c>
      <c r="C581" s="6" t="s">
        <v>372</v>
      </c>
      <c r="D581" s="6">
        <v>1</v>
      </c>
      <c r="E581" s="6" t="s">
        <v>111</v>
      </c>
      <c r="F581" s="6" t="s">
        <v>375</v>
      </c>
      <c r="G581" s="6" t="s">
        <v>97</v>
      </c>
      <c r="H581" s="6" t="s">
        <v>151</v>
      </c>
      <c r="I581" s="6" t="s">
        <v>91</v>
      </c>
      <c r="J581" s="6" t="s">
        <v>371</v>
      </c>
      <c r="K581" s="6" t="s">
        <v>383</v>
      </c>
      <c r="L581" s="6" t="str">
        <f>IF(J581="כן", K581, VLOOKUP(LEFT(H581, 7), 'קטלוג תרחישים'!$A:$M, 13, FALSE))</f>
        <v>א'</v>
      </c>
      <c r="M581" s="10"/>
      <c r="N581" s="24" t="s">
        <v>352</v>
      </c>
      <c r="O581" s="10" t="str" cm="1">
        <f t="array" ref="O581">_xlfn.IFS(N581="A","א'", N581="B", "ב'", N581= "C", "ג'")</f>
        <v>א'</v>
      </c>
      <c r="P581" s="10">
        <f>IF(Table_2[[#This Row],[Correct_Answer]]=Table_2[[#This Row],[System_Recommendation]],1,0)</f>
        <v>1</v>
      </c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6" t="s">
        <v>175</v>
      </c>
      <c r="B582" s="6">
        <v>20</v>
      </c>
      <c r="C582" s="6" t="s">
        <v>372</v>
      </c>
      <c r="D582" s="6">
        <v>1</v>
      </c>
      <c r="E582" s="6" t="s">
        <v>111</v>
      </c>
      <c r="F582" s="6" t="s">
        <v>375</v>
      </c>
      <c r="G582" s="6" t="s">
        <v>97</v>
      </c>
      <c r="H582" s="6" t="s">
        <v>150</v>
      </c>
      <c r="I582" s="6" t="s">
        <v>100</v>
      </c>
      <c r="J582" s="6" t="s">
        <v>371</v>
      </c>
      <c r="K582" s="6" t="s">
        <v>384</v>
      </c>
      <c r="L582" s="6" t="str">
        <f>IF(J582="כן", K582, VLOOKUP(LEFT(H582, 7), 'קטלוג תרחישים'!$A:$M, 13, FALSE))</f>
        <v>ב'</v>
      </c>
      <c r="M582" s="10"/>
      <c r="N582" s="23" t="s">
        <v>357</v>
      </c>
      <c r="O582" s="10" t="str" cm="1">
        <f t="array" ref="O582">_xlfn.IFS(N582="A","א'", N582="B", "ב'", N582= "C", "ג'")</f>
        <v>ב'</v>
      </c>
      <c r="P582" s="10">
        <f>IF(Table_2[[#This Row],[Correct_Answer]]=Table_2[[#This Row],[System_Recommendation]],1,0)</f>
        <v>1</v>
      </c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6" t="s">
        <v>175</v>
      </c>
      <c r="B583" s="6">
        <v>21</v>
      </c>
      <c r="C583" s="6" t="s">
        <v>372</v>
      </c>
      <c r="D583" s="6">
        <v>1</v>
      </c>
      <c r="E583" s="6" t="s">
        <v>111</v>
      </c>
      <c r="F583" s="6" t="s">
        <v>375</v>
      </c>
      <c r="G583" s="6" t="s">
        <v>97</v>
      </c>
      <c r="H583" s="6" t="s">
        <v>149</v>
      </c>
      <c r="I583" s="6" t="s">
        <v>91</v>
      </c>
      <c r="J583" s="6" t="s">
        <v>371</v>
      </c>
      <c r="K583" s="6" t="s">
        <v>384</v>
      </c>
      <c r="L583" s="6" t="str">
        <f>IF(J583="כן", K583, VLOOKUP(LEFT(H583, 7), 'קטלוג תרחישים'!$A:$M, 13, FALSE))</f>
        <v>ב'</v>
      </c>
      <c r="M583" s="10"/>
      <c r="N583" s="24" t="s">
        <v>357</v>
      </c>
      <c r="O583" s="10" t="str" cm="1">
        <f t="array" ref="O583">_xlfn.IFS(N583="A","א'", N583="B", "ב'", N583= "C", "ג'")</f>
        <v>ב'</v>
      </c>
      <c r="P583" s="10">
        <f>IF(Table_2[[#This Row],[Correct_Answer]]=Table_2[[#This Row],[System_Recommendation]],1,0)</f>
        <v>1</v>
      </c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6" t="s">
        <v>175</v>
      </c>
      <c r="B584" s="6">
        <v>22</v>
      </c>
      <c r="C584" s="6" t="s">
        <v>372</v>
      </c>
      <c r="D584" s="6">
        <v>1</v>
      </c>
      <c r="E584" s="6" t="s">
        <v>111</v>
      </c>
      <c r="F584" s="6" t="s">
        <v>375</v>
      </c>
      <c r="G584" s="6" t="s">
        <v>97</v>
      </c>
      <c r="H584" s="6" t="s">
        <v>148</v>
      </c>
      <c r="I584" s="6" t="s">
        <v>100</v>
      </c>
      <c r="J584" s="6" t="s">
        <v>371</v>
      </c>
      <c r="K584" s="6" t="s">
        <v>385</v>
      </c>
      <c r="L584" s="6" t="str">
        <f>IF(J584="כן", K584, VLOOKUP(LEFT(H584, 7), 'קטלוג תרחישים'!$A:$M, 13, FALSE))</f>
        <v>ג</v>
      </c>
      <c r="M584" s="10"/>
      <c r="N584" s="23" t="s">
        <v>358</v>
      </c>
      <c r="O584" s="10" t="str" cm="1">
        <f t="array" ref="O584">_xlfn.IFS(N584="A","א'", N584="B", "ב'", N584= "C", "ג'")</f>
        <v>ג'</v>
      </c>
      <c r="P584" s="10">
        <f>IF(Table_2[[#This Row],[Correct_Answer]]=Table_2[[#This Row],[System_Recommendation]],1,0)</f>
        <v>1</v>
      </c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6" t="s">
        <v>175</v>
      </c>
      <c r="B585" s="6">
        <v>23</v>
      </c>
      <c r="C585" s="6" t="s">
        <v>372</v>
      </c>
      <c r="D585" s="6">
        <v>1</v>
      </c>
      <c r="E585" s="6" t="s">
        <v>111</v>
      </c>
      <c r="F585" s="6" t="s">
        <v>375</v>
      </c>
      <c r="G585" s="6" t="s">
        <v>97</v>
      </c>
      <c r="H585" s="6" t="s">
        <v>147</v>
      </c>
      <c r="I585" s="6" t="s">
        <v>91</v>
      </c>
      <c r="J585" s="6" t="s">
        <v>374</v>
      </c>
      <c r="K585" s="6" t="s">
        <v>385</v>
      </c>
      <c r="L585" s="6" t="str">
        <f>IF(J585="כן", K585, VLOOKUP(LEFT(H585, 7), 'קטלוג תרחישים'!$A:$M, 13, FALSE))</f>
        <v>א'</v>
      </c>
      <c r="M585" s="10"/>
      <c r="N585" s="24" t="s">
        <v>358</v>
      </c>
      <c r="O585" s="10" t="str" cm="1">
        <f t="array" ref="O585">_xlfn.IFS(N585="A","א'", N585="B", "ב'", N585= "C", "ג'")</f>
        <v>ג'</v>
      </c>
      <c r="P585" s="10">
        <f>IF(Table_2[[#This Row],[Correct_Answer]]=Table_2[[#This Row],[System_Recommendation]],1,0)</f>
        <v>0</v>
      </c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6" t="s">
        <v>175</v>
      </c>
      <c r="B586" s="6">
        <v>24</v>
      </c>
      <c r="C586" s="6" t="s">
        <v>372</v>
      </c>
      <c r="D586" s="6">
        <v>2</v>
      </c>
      <c r="E586" s="6" t="s">
        <v>98</v>
      </c>
      <c r="F586" s="6" t="s">
        <v>375</v>
      </c>
      <c r="G586" s="6" t="s">
        <v>97</v>
      </c>
      <c r="H586" s="6" t="s">
        <v>154</v>
      </c>
      <c r="I586" s="6" t="s">
        <v>91</v>
      </c>
      <c r="J586" s="6" t="s">
        <v>371</v>
      </c>
      <c r="K586" s="6" t="s">
        <v>384</v>
      </c>
      <c r="L586" s="6" t="str">
        <f>IF(J586="כן", K586, VLOOKUP(LEFT(H586, 7), 'קטלוג תרחישים'!$A:$M, 13, FALSE))</f>
        <v>ב'</v>
      </c>
      <c r="M586" s="10"/>
      <c r="N586" s="23" t="s">
        <v>357</v>
      </c>
      <c r="O586" s="10" t="str" cm="1">
        <f t="array" ref="O586">_xlfn.IFS(N586="A","א'", N586="B", "ב'", N586= "C", "ג'")</f>
        <v>ב'</v>
      </c>
      <c r="P586" s="10">
        <f>IF(Table_2[[#This Row],[Correct_Answer]]=Table_2[[#This Row],[System_Recommendation]],1,0)</f>
        <v>1</v>
      </c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6" t="s">
        <v>175</v>
      </c>
      <c r="B587" s="6">
        <v>25</v>
      </c>
      <c r="C587" s="6" t="s">
        <v>372</v>
      </c>
      <c r="D587" s="6">
        <v>2</v>
      </c>
      <c r="E587" s="6" t="s">
        <v>98</v>
      </c>
      <c r="F587" s="6" t="s">
        <v>375</v>
      </c>
      <c r="G587" s="6" t="s">
        <v>97</v>
      </c>
      <c r="H587" s="6" t="s">
        <v>153</v>
      </c>
      <c r="I587" s="6" t="s">
        <v>100</v>
      </c>
      <c r="J587" s="6" t="s">
        <v>371</v>
      </c>
      <c r="K587" s="6" t="s">
        <v>383</v>
      </c>
      <c r="L587" s="6" t="str">
        <f>IF(J587="כן", K587, VLOOKUP(LEFT(H587, 7), 'קטלוג תרחישים'!$A:$M, 13, FALSE))</f>
        <v>א'</v>
      </c>
      <c r="M587" s="10"/>
      <c r="N587" s="24" t="s">
        <v>352</v>
      </c>
      <c r="O587" s="10" t="str" cm="1">
        <f t="array" ref="O587">_xlfn.IFS(N587="A","א'", N587="B", "ב'", N587= "C", "ג'")</f>
        <v>א'</v>
      </c>
      <c r="P587" s="10">
        <f>IF(Table_2[[#This Row],[Correct_Answer]]=Table_2[[#This Row],[System_Recommendation]],1,0)</f>
        <v>1</v>
      </c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6" t="s">
        <v>175</v>
      </c>
      <c r="B588" s="6">
        <v>26</v>
      </c>
      <c r="C588" s="6" t="s">
        <v>372</v>
      </c>
      <c r="D588" s="6">
        <v>2</v>
      </c>
      <c r="E588" s="6" t="s">
        <v>98</v>
      </c>
      <c r="F588" s="6" t="s">
        <v>375</v>
      </c>
      <c r="G588" s="6" t="s">
        <v>97</v>
      </c>
      <c r="H588" s="6" t="s">
        <v>152</v>
      </c>
      <c r="I588" s="6" t="s">
        <v>91</v>
      </c>
      <c r="J588" s="6" t="s">
        <v>371</v>
      </c>
      <c r="K588" s="6" t="s">
        <v>385</v>
      </c>
      <c r="L588" s="6" t="str">
        <f>IF(J588="כן", K588, VLOOKUP(LEFT(H588, 7), 'קטלוג תרחישים'!$A:$M, 13, FALSE))</f>
        <v>ג</v>
      </c>
      <c r="M588" s="10"/>
      <c r="N588" s="23" t="s">
        <v>358</v>
      </c>
      <c r="O588" s="10" t="str" cm="1">
        <f t="array" ref="O588">_xlfn.IFS(N588="A","א'", N588="B", "ב'", N588= "C", "ג'")</f>
        <v>ג'</v>
      </c>
      <c r="P588" s="10">
        <f>IF(Table_2[[#This Row],[Correct_Answer]]=Table_2[[#This Row],[System_Recommendation]],1,0)</f>
        <v>1</v>
      </c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6" t="s">
        <v>175</v>
      </c>
      <c r="B589" s="6">
        <v>27</v>
      </c>
      <c r="C589" s="6" t="s">
        <v>372</v>
      </c>
      <c r="D589" s="6">
        <v>2</v>
      </c>
      <c r="E589" s="6" t="s">
        <v>98</v>
      </c>
      <c r="F589" s="6" t="s">
        <v>375</v>
      </c>
      <c r="G589" s="6" t="s">
        <v>97</v>
      </c>
      <c r="H589" s="6" t="s">
        <v>155</v>
      </c>
      <c r="I589" s="6" t="s">
        <v>100</v>
      </c>
      <c r="J589" s="6" t="s">
        <v>371</v>
      </c>
      <c r="K589" s="6" t="s">
        <v>384</v>
      </c>
      <c r="L589" s="6" t="str">
        <f>IF(J589="כן", K589, VLOOKUP(LEFT(H589, 7), 'קטלוג תרחישים'!$A:$M, 13, FALSE))</f>
        <v>ב'</v>
      </c>
      <c r="M589" s="10"/>
      <c r="N589" s="24" t="s">
        <v>357</v>
      </c>
      <c r="O589" s="10" t="str" cm="1">
        <f t="array" ref="O589">_xlfn.IFS(N589="A","א'", N589="B", "ב'", N589= "C", "ג'")</f>
        <v>ב'</v>
      </c>
      <c r="P589" s="10">
        <f>IF(Table_2[[#This Row],[Correct_Answer]]=Table_2[[#This Row],[System_Recommendation]],1,0)</f>
        <v>1</v>
      </c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6" t="s">
        <v>175</v>
      </c>
      <c r="B590" s="6">
        <v>28</v>
      </c>
      <c r="C590" s="6" t="s">
        <v>372</v>
      </c>
      <c r="D590" s="6">
        <v>2</v>
      </c>
      <c r="E590" s="6" t="s">
        <v>98</v>
      </c>
      <c r="F590" s="6" t="s">
        <v>375</v>
      </c>
      <c r="G590" s="6" t="s">
        <v>97</v>
      </c>
      <c r="H590" s="6" t="s">
        <v>156</v>
      </c>
      <c r="I590" s="6" t="s">
        <v>91</v>
      </c>
      <c r="J590" s="6" t="s">
        <v>374</v>
      </c>
      <c r="K590" s="6" t="s">
        <v>385</v>
      </c>
      <c r="L590" s="6" t="str">
        <f>IF(J590="כן", K590, VLOOKUP(LEFT(H590, 7), 'קטלוג תרחישים'!$A:$M, 13, FALSE))</f>
        <v>א'</v>
      </c>
      <c r="M590" s="10"/>
      <c r="N590" s="23" t="s">
        <v>358</v>
      </c>
      <c r="O590" s="10" t="str" cm="1">
        <f t="array" ref="O590">_xlfn.IFS(N590="A","א'", N590="B", "ב'", N590= "C", "ג'")</f>
        <v>ג'</v>
      </c>
      <c r="P590" s="10">
        <f>IF(Table_2[[#This Row],[Correct_Answer]]=Table_2[[#This Row],[System_Recommendation]],1,0)</f>
        <v>0</v>
      </c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6" t="s">
        <v>175</v>
      </c>
      <c r="B591" s="6">
        <v>29</v>
      </c>
      <c r="C591" s="6" t="s">
        <v>372</v>
      </c>
      <c r="D591" s="6">
        <v>3</v>
      </c>
      <c r="E591" s="6" t="s">
        <v>105</v>
      </c>
      <c r="F591" s="6" t="s">
        <v>375</v>
      </c>
      <c r="G591" s="6" t="s">
        <v>97</v>
      </c>
      <c r="H591" s="6" t="s">
        <v>146</v>
      </c>
      <c r="I591" s="6" t="s">
        <v>100</v>
      </c>
      <c r="J591" s="6" t="s">
        <v>371</v>
      </c>
      <c r="K591" s="6" t="s">
        <v>385</v>
      </c>
      <c r="L591" s="6" t="str">
        <f>IF(J591="כן", K591, VLOOKUP(LEFT(H591, 7), 'קטלוג תרחישים'!$A:$M, 13, FALSE))</f>
        <v>ג</v>
      </c>
      <c r="M591" s="10"/>
      <c r="N591" s="24" t="s">
        <v>358</v>
      </c>
      <c r="O591" s="10" t="str" cm="1">
        <f t="array" ref="O591">_xlfn.IFS(N591="A","א'", N591="B", "ב'", N591= "C", "ג'")</f>
        <v>ג'</v>
      </c>
      <c r="P591" s="10">
        <f>IF(Table_2[[#This Row],[Correct_Answer]]=Table_2[[#This Row],[System_Recommendation]],1,0)</f>
        <v>1</v>
      </c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6" t="s">
        <v>175</v>
      </c>
      <c r="B592" s="6">
        <v>30</v>
      </c>
      <c r="C592" s="6" t="s">
        <v>372</v>
      </c>
      <c r="D592" s="6">
        <v>3</v>
      </c>
      <c r="E592" s="6" t="s">
        <v>105</v>
      </c>
      <c r="F592" s="6" t="s">
        <v>375</v>
      </c>
      <c r="G592" s="6" t="s">
        <v>97</v>
      </c>
      <c r="H592" s="6" t="s">
        <v>143</v>
      </c>
      <c r="I592" s="6" t="s">
        <v>91</v>
      </c>
      <c r="J592" s="6" t="s">
        <v>374</v>
      </c>
      <c r="K592" s="6" t="s">
        <v>384</v>
      </c>
      <c r="L592" s="6" t="str">
        <f>IF(J592="כן", K592, VLOOKUP(LEFT(H592, 7), 'קטלוג תרחישים'!$A:$M, 13, FALSE))</f>
        <v>ב'</v>
      </c>
      <c r="M592" s="10"/>
      <c r="N592" s="23" t="s">
        <v>357</v>
      </c>
      <c r="O592" s="10" t="str" cm="1">
        <f t="array" ref="O592">_xlfn.IFS(N592="A","א'", N592="B", "ב'", N592= "C", "ג'")</f>
        <v>ב'</v>
      </c>
      <c r="P592" s="10">
        <f>IF(Table_2[[#This Row],[Correct_Answer]]=Table_2[[#This Row],[System_Recommendation]],1,0)</f>
        <v>1</v>
      </c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6" t="s">
        <v>175</v>
      </c>
      <c r="B593" s="6">
        <v>31</v>
      </c>
      <c r="C593" s="6" t="s">
        <v>372</v>
      </c>
      <c r="D593" s="6">
        <v>3</v>
      </c>
      <c r="E593" s="6" t="s">
        <v>105</v>
      </c>
      <c r="F593" s="6" t="s">
        <v>375</v>
      </c>
      <c r="G593" s="6" t="s">
        <v>97</v>
      </c>
      <c r="H593" s="6" t="s">
        <v>142</v>
      </c>
      <c r="I593" s="6" t="s">
        <v>100</v>
      </c>
      <c r="J593" s="6" t="s">
        <v>371</v>
      </c>
      <c r="K593" s="6" t="s">
        <v>385</v>
      </c>
      <c r="L593" s="6" t="str">
        <f>IF(J593="כן", K593, VLOOKUP(LEFT(H593, 7), 'קטלוג תרחישים'!$A:$M, 13, FALSE))</f>
        <v>ג</v>
      </c>
      <c r="M593" s="10"/>
      <c r="N593" s="24" t="s">
        <v>358</v>
      </c>
      <c r="O593" s="10" t="str" cm="1">
        <f t="array" ref="O593">_xlfn.IFS(N593="A","א'", N593="B", "ב'", N593= "C", "ג'")</f>
        <v>ג'</v>
      </c>
      <c r="P593" s="10">
        <f>IF(Table_2[[#This Row],[Correct_Answer]]=Table_2[[#This Row],[System_Recommendation]],1,0)</f>
        <v>1</v>
      </c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6" t="s">
        <v>175</v>
      </c>
      <c r="B594" s="6">
        <v>32</v>
      </c>
      <c r="C594" s="6" t="s">
        <v>372</v>
      </c>
      <c r="D594" s="6">
        <v>3</v>
      </c>
      <c r="E594" s="6" t="s">
        <v>105</v>
      </c>
      <c r="F594" s="6" t="s">
        <v>375</v>
      </c>
      <c r="G594" s="6" t="s">
        <v>97</v>
      </c>
      <c r="H594" s="6" t="s">
        <v>145</v>
      </c>
      <c r="I594" s="6" t="s">
        <v>91</v>
      </c>
      <c r="J594" s="6" t="s">
        <v>371</v>
      </c>
      <c r="K594" s="6" t="s">
        <v>383</v>
      </c>
      <c r="L594" s="6" t="str">
        <f>IF(J594="כן", K594, VLOOKUP(LEFT(H594, 7), 'קטלוג תרחישים'!$A:$M, 13, FALSE))</f>
        <v>א'</v>
      </c>
      <c r="M594" s="10"/>
      <c r="N594" s="23" t="s">
        <v>352</v>
      </c>
      <c r="O594" s="10" t="str" cm="1">
        <f t="array" ref="O594">_xlfn.IFS(N594="A","א'", N594="B", "ב'", N594= "C", "ג'")</f>
        <v>א'</v>
      </c>
      <c r="P594" s="10">
        <f>IF(Table_2[[#This Row],[Correct_Answer]]=Table_2[[#This Row],[System_Recommendation]],1,0)</f>
        <v>1</v>
      </c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6" t="s">
        <v>175</v>
      </c>
      <c r="B595" s="6">
        <v>33</v>
      </c>
      <c r="C595" s="6" t="s">
        <v>372</v>
      </c>
      <c r="D595" s="6">
        <v>3</v>
      </c>
      <c r="E595" s="6" t="s">
        <v>105</v>
      </c>
      <c r="F595" s="6" t="s">
        <v>375</v>
      </c>
      <c r="G595" s="6" t="s">
        <v>97</v>
      </c>
      <c r="H595" s="6" t="s">
        <v>144</v>
      </c>
      <c r="I595" s="6" t="s">
        <v>100</v>
      </c>
      <c r="J595" s="6" t="s">
        <v>371</v>
      </c>
      <c r="K595" s="6" t="s">
        <v>383</v>
      </c>
      <c r="L595" s="6" t="str">
        <f>IF(J595="כן", K595, VLOOKUP(LEFT(H595, 7), 'קטלוג תרחישים'!$A:$M, 13, FALSE))</f>
        <v>א'</v>
      </c>
      <c r="M595" s="10"/>
      <c r="N595" s="24" t="s">
        <v>352</v>
      </c>
      <c r="O595" s="10" t="str" cm="1">
        <f t="array" ref="O595">_xlfn.IFS(N595="A","א'", N595="B", "ב'", N595= "C", "ג'")</f>
        <v>א'</v>
      </c>
      <c r="P595" s="10">
        <f>IF(Table_2[[#This Row],[Correct_Answer]]=Table_2[[#This Row],[System_Recommendation]],1,0)</f>
        <v>1</v>
      </c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6" t="s">
        <v>176</v>
      </c>
      <c r="B596" s="6">
        <v>1</v>
      </c>
      <c r="C596" s="6" t="s">
        <v>370</v>
      </c>
      <c r="D596" s="6"/>
      <c r="E596" s="6" t="s">
        <v>98</v>
      </c>
      <c r="F596" s="6"/>
      <c r="G596" s="6"/>
      <c r="H596" s="8" t="s">
        <v>90</v>
      </c>
      <c r="I596" s="6" t="s">
        <v>91</v>
      </c>
      <c r="J596" s="6" t="s">
        <v>371</v>
      </c>
      <c r="K596" s="6" t="s">
        <v>385</v>
      </c>
      <c r="L596" s="6" t="str">
        <f>IF(J596="כן", K596, VLOOKUP(LEFT(H596, 7), 'קטלוג תרחישים'!$A:$M, 13, FALSE))</f>
        <v>ג</v>
      </c>
      <c r="M596" s="10"/>
      <c r="N596" s="23" t="s">
        <v>358</v>
      </c>
      <c r="O596" s="10" t="str" cm="1">
        <f t="array" ref="O596">_xlfn.IFS(N596="A","א'", N596="B", "ב'", N596= "C", "ג'")</f>
        <v>ג'</v>
      </c>
      <c r="P596" s="10">
        <f>IF(Table_2[[#This Row],[Correct_Answer]]=Table_2[[#This Row],[System_Recommendation]],1,0)</f>
        <v>1</v>
      </c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6" t="s">
        <v>176</v>
      </c>
      <c r="B597" s="6">
        <v>2</v>
      </c>
      <c r="C597" s="6" t="s">
        <v>370</v>
      </c>
      <c r="D597" s="6"/>
      <c r="E597" s="6" t="s">
        <v>98</v>
      </c>
      <c r="F597" s="6"/>
      <c r="G597" s="6"/>
      <c r="H597" s="8" t="s">
        <v>92</v>
      </c>
      <c r="I597" s="6" t="s">
        <v>91</v>
      </c>
      <c r="J597" s="6" t="s">
        <v>371</v>
      </c>
      <c r="K597" s="6" t="s">
        <v>385</v>
      </c>
      <c r="L597" s="6" t="str">
        <f>IF(J597="כן", K597, VLOOKUP(LEFT(H597, 7), 'קטלוג תרחישים'!$A:$M, 13, FALSE))</f>
        <v>ג</v>
      </c>
      <c r="M597" s="10"/>
      <c r="N597" s="24" t="s">
        <v>358</v>
      </c>
      <c r="O597" s="10" t="str" cm="1">
        <f t="array" ref="O597">_xlfn.IFS(N597="A","א'", N597="B", "ב'", N597= "C", "ג'")</f>
        <v>ג'</v>
      </c>
      <c r="P597" s="10">
        <f>IF(Table_2[[#This Row],[Correct_Answer]]=Table_2[[#This Row],[System_Recommendation]],1,0)</f>
        <v>1</v>
      </c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6" t="s">
        <v>176</v>
      </c>
      <c r="B598" s="6">
        <v>3</v>
      </c>
      <c r="C598" s="6" t="s">
        <v>370</v>
      </c>
      <c r="D598" s="6"/>
      <c r="E598" s="6" t="s">
        <v>105</v>
      </c>
      <c r="F598" s="6"/>
      <c r="G598" s="6"/>
      <c r="H598" s="8" t="s">
        <v>93</v>
      </c>
      <c r="I598" s="6" t="s">
        <v>91</v>
      </c>
      <c r="J598" s="6" t="s">
        <v>371</v>
      </c>
      <c r="K598" s="6" t="s">
        <v>385</v>
      </c>
      <c r="L598" s="6" t="str">
        <f>IF(J598="כן", K598, VLOOKUP(LEFT(H598, 7), 'קטלוג תרחישים'!$A:$M, 13, FALSE))</f>
        <v>ג</v>
      </c>
      <c r="M598" s="10"/>
      <c r="N598" s="23" t="s">
        <v>358</v>
      </c>
      <c r="O598" s="10" t="str" cm="1">
        <f t="array" ref="O598">_xlfn.IFS(N598="A","א'", N598="B", "ב'", N598= "C", "ג'")</f>
        <v>ג'</v>
      </c>
      <c r="P598" s="10">
        <f>IF(Table_2[[#This Row],[Correct_Answer]]=Table_2[[#This Row],[System_Recommendation]],1,0)</f>
        <v>1</v>
      </c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6" t="s">
        <v>176</v>
      </c>
      <c r="B599" s="6">
        <v>4</v>
      </c>
      <c r="C599" s="6" t="s">
        <v>370</v>
      </c>
      <c r="D599" s="6"/>
      <c r="E599" s="6" t="s">
        <v>105</v>
      </c>
      <c r="F599" s="6"/>
      <c r="G599" s="6"/>
      <c r="H599" s="8" t="s">
        <v>94</v>
      </c>
      <c r="I599" s="6" t="s">
        <v>91</v>
      </c>
      <c r="J599" s="6" t="s">
        <v>371</v>
      </c>
      <c r="K599" s="6" t="s">
        <v>384</v>
      </c>
      <c r="L599" s="6" t="str">
        <f>IF(J599="כן", K599, VLOOKUP(LEFT(H599, 7), 'קטלוג תרחישים'!$A:$M, 13, FALSE))</f>
        <v>ב'</v>
      </c>
      <c r="M599" s="10"/>
      <c r="N599" s="24" t="s">
        <v>357</v>
      </c>
      <c r="O599" s="10" t="str" cm="1">
        <f t="array" ref="O599">_xlfn.IFS(N599="A","א'", N599="B", "ב'", N599= "C", "ג'")</f>
        <v>ב'</v>
      </c>
      <c r="P599" s="10">
        <f>IF(Table_2[[#This Row],[Correct_Answer]]=Table_2[[#This Row],[System_Recommendation]],1,0)</f>
        <v>1</v>
      </c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6" t="s">
        <v>176</v>
      </c>
      <c r="B600" s="6">
        <v>5</v>
      </c>
      <c r="C600" s="6" t="s">
        <v>370</v>
      </c>
      <c r="D600" s="6"/>
      <c r="E600" s="6" t="s">
        <v>111</v>
      </c>
      <c r="F600" s="6"/>
      <c r="G600" s="6"/>
      <c r="H600" s="8" t="s">
        <v>95</v>
      </c>
      <c r="I600" s="6" t="s">
        <v>91</v>
      </c>
      <c r="J600" s="6" t="s">
        <v>371</v>
      </c>
      <c r="K600" s="6" t="s">
        <v>383</v>
      </c>
      <c r="L600" s="6" t="str">
        <f>IF(J600="כן", K600, VLOOKUP(LEFT(H600, 7), 'קטלוג תרחישים'!$A:$M, 13, FALSE))</f>
        <v>א'</v>
      </c>
      <c r="M600" s="10"/>
      <c r="N600" s="23" t="s">
        <v>352</v>
      </c>
      <c r="O600" s="10" t="str" cm="1">
        <f t="array" ref="O600">_xlfn.IFS(N600="A","א'", N600="B", "ב'", N600= "C", "ג'")</f>
        <v>א'</v>
      </c>
      <c r="P600" s="10">
        <f>IF(Table_2[[#This Row],[Correct_Answer]]=Table_2[[#This Row],[System_Recommendation]],1,0)</f>
        <v>1</v>
      </c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6" t="s">
        <v>176</v>
      </c>
      <c r="B601" s="6">
        <v>6</v>
      </c>
      <c r="C601" s="6" t="s">
        <v>370</v>
      </c>
      <c r="D601" s="6"/>
      <c r="E601" s="6" t="s">
        <v>111</v>
      </c>
      <c r="F601" s="6"/>
      <c r="G601" s="6"/>
      <c r="H601" s="8" t="s">
        <v>96</v>
      </c>
      <c r="I601" s="6" t="s">
        <v>91</v>
      </c>
      <c r="J601" s="6" t="s">
        <v>371</v>
      </c>
      <c r="K601" s="6" t="s">
        <v>385</v>
      </c>
      <c r="L601" s="6" t="str">
        <f>IF(J601="כן", K601, VLOOKUP(LEFT(H601, 7), 'קטלוג תרחישים'!$A:$M, 13, FALSE))</f>
        <v>ג</v>
      </c>
      <c r="M601" s="10"/>
      <c r="N601" s="24" t="s">
        <v>358</v>
      </c>
      <c r="O601" s="10" t="str" cm="1">
        <f t="array" ref="O601">_xlfn.IFS(N601="A","א'", N601="B", "ב'", N601= "C", "ג'")</f>
        <v>ג'</v>
      </c>
      <c r="P601" s="10">
        <f>IF(Table_2[[#This Row],[Correct_Answer]]=Table_2[[#This Row],[System_Recommendation]],1,0)</f>
        <v>1</v>
      </c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6" t="s">
        <v>176</v>
      </c>
      <c r="B602" s="6">
        <v>7</v>
      </c>
      <c r="C602" s="6" t="s">
        <v>372</v>
      </c>
      <c r="D602" s="6">
        <v>1</v>
      </c>
      <c r="E602" s="6" t="s">
        <v>98</v>
      </c>
      <c r="F602" s="6" t="s">
        <v>373</v>
      </c>
      <c r="G602" s="6" t="s">
        <v>97</v>
      </c>
      <c r="H602" s="6" t="s">
        <v>152</v>
      </c>
      <c r="I602" s="6" t="s">
        <v>91</v>
      </c>
      <c r="J602" s="6" t="s">
        <v>371</v>
      </c>
      <c r="K602" s="6" t="s">
        <v>385</v>
      </c>
      <c r="L602" s="6" t="str">
        <f>IF(J602="כן", K602, VLOOKUP(LEFT(H602, 7), 'קטלוג תרחישים'!$A:$M, 13, FALSE))</f>
        <v>ג</v>
      </c>
      <c r="M602" s="10"/>
      <c r="N602" s="23" t="s">
        <v>358</v>
      </c>
      <c r="O602" s="10" t="str" cm="1">
        <f t="array" ref="O602">_xlfn.IFS(N602="A","א'", N602="B", "ב'", N602= "C", "ג'")</f>
        <v>ג'</v>
      </c>
      <c r="P602" s="10">
        <f>IF(Table_2[[#This Row],[Correct_Answer]]=Table_2[[#This Row],[System_Recommendation]],1,0)</f>
        <v>1</v>
      </c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6" t="s">
        <v>176</v>
      </c>
      <c r="B603" s="6">
        <v>8</v>
      </c>
      <c r="C603" s="6" t="s">
        <v>372</v>
      </c>
      <c r="D603" s="6">
        <v>1</v>
      </c>
      <c r="E603" s="6" t="s">
        <v>98</v>
      </c>
      <c r="F603" s="6" t="s">
        <v>373</v>
      </c>
      <c r="G603" s="6" t="s">
        <v>97</v>
      </c>
      <c r="H603" s="6" t="s">
        <v>155</v>
      </c>
      <c r="I603" s="6" t="s">
        <v>100</v>
      </c>
      <c r="J603" s="6" t="s">
        <v>371</v>
      </c>
      <c r="K603" s="6" t="s">
        <v>384</v>
      </c>
      <c r="L603" s="6" t="str">
        <f>IF(J603="כן", K603, VLOOKUP(LEFT(H603, 7), 'קטלוג תרחישים'!$A:$M, 13, FALSE))</f>
        <v>ב'</v>
      </c>
      <c r="M603" s="10"/>
      <c r="N603" s="24" t="s">
        <v>357</v>
      </c>
      <c r="O603" s="10" t="str" cm="1">
        <f t="array" ref="O603">_xlfn.IFS(N603="A","א'", N603="B", "ב'", N603= "C", "ג'")</f>
        <v>ב'</v>
      </c>
      <c r="P603" s="10">
        <f>IF(Table_2[[#This Row],[Correct_Answer]]=Table_2[[#This Row],[System_Recommendation]],1,0)</f>
        <v>1</v>
      </c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6" t="s">
        <v>176</v>
      </c>
      <c r="B604" s="6">
        <v>9</v>
      </c>
      <c r="C604" s="6" t="s">
        <v>372</v>
      </c>
      <c r="D604" s="6">
        <v>1</v>
      </c>
      <c r="E604" s="6" t="s">
        <v>98</v>
      </c>
      <c r="F604" s="6" t="s">
        <v>373</v>
      </c>
      <c r="G604" s="6" t="s">
        <v>97</v>
      </c>
      <c r="H604" s="6" t="s">
        <v>156</v>
      </c>
      <c r="I604" s="6" t="s">
        <v>91</v>
      </c>
      <c r="J604" s="6" t="s">
        <v>371</v>
      </c>
      <c r="K604" s="6" t="s">
        <v>384</v>
      </c>
      <c r="L604" s="6" t="str">
        <f>IF(J604="כן", K604, VLOOKUP(LEFT(H604, 7), 'קטלוג תרחישים'!$A:$M, 13, FALSE))</f>
        <v>ב'</v>
      </c>
      <c r="M604" s="10"/>
      <c r="N604" s="23" t="s">
        <v>357</v>
      </c>
      <c r="O604" s="10" t="str" cm="1">
        <f t="array" ref="O604">_xlfn.IFS(N604="A","א'", N604="B", "ב'", N604= "C", "ג'")</f>
        <v>ב'</v>
      </c>
      <c r="P604" s="10">
        <f>IF(Table_2[[#This Row],[Correct_Answer]]=Table_2[[#This Row],[System_Recommendation]],1,0)</f>
        <v>1</v>
      </c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6" t="s">
        <v>176</v>
      </c>
      <c r="B605" s="6">
        <v>10</v>
      </c>
      <c r="C605" s="6" t="s">
        <v>372</v>
      </c>
      <c r="D605" s="6">
        <v>1</v>
      </c>
      <c r="E605" s="6" t="s">
        <v>98</v>
      </c>
      <c r="F605" s="6" t="s">
        <v>373</v>
      </c>
      <c r="G605" s="6" t="s">
        <v>97</v>
      </c>
      <c r="H605" s="6" t="s">
        <v>153</v>
      </c>
      <c r="I605" s="6" t="s">
        <v>100</v>
      </c>
      <c r="J605" s="6" t="s">
        <v>374</v>
      </c>
      <c r="K605" s="6" t="s">
        <v>384</v>
      </c>
      <c r="L605" s="6" t="str">
        <f>IF(J605="כן", K605, VLOOKUP(LEFT(H605, 7), 'קטלוג תרחישים'!$A:$M, 13, FALSE))</f>
        <v>ג'</v>
      </c>
      <c r="M605" s="10"/>
      <c r="N605" s="24" t="s">
        <v>357</v>
      </c>
      <c r="O605" s="10" t="str" cm="1">
        <f t="array" ref="O605">_xlfn.IFS(N605="A","א'", N605="B", "ב'", N605= "C", "ג'")</f>
        <v>ב'</v>
      </c>
      <c r="P605" s="10">
        <f>IF(Table_2[[#This Row],[Correct_Answer]]=Table_2[[#This Row],[System_Recommendation]],1,0)</f>
        <v>0</v>
      </c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6" t="s">
        <v>176</v>
      </c>
      <c r="B606" s="6">
        <v>11</v>
      </c>
      <c r="C606" s="6" t="s">
        <v>372</v>
      </c>
      <c r="D606" s="6">
        <v>1</v>
      </c>
      <c r="E606" s="6" t="s">
        <v>98</v>
      </c>
      <c r="F606" s="6" t="s">
        <v>373</v>
      </c>
      <c r="G606" s="6" t="s">
        <v>97</v>
      </c>
      <c r="H606" s="6" t="s">
        <v>154</v>
      </c>
      <c r="I606" s="6" t="s">
        <v>91</v>
      </c>
      <c r="J606" s="6" t="s">
        <v>371</v>
      </c>
      <c r="K606" s="6" t="s">
        <v>383</v>
      </c>
      <c r="L606" s="6" t="str">
        <f>IF(J606="כן", K606, VLOOKUP(LEFT(H606, 7), 'קטלוג תרחישים'!$A:$M, 13, FALSE))</f>
        <v>א'</v>
      </c>
      <c r="M606" s="10"/>
      <c r="N606" s="23" t="s">
        <v>352</v>
      </c>
      <c r="O606" s="10" t="str" cm="1">
        <f t="array" ref="O606">_xlfn.IFS(N606="A","א'", N606="B", "ב'", N606= "C", "ג'")</f>
        <v>א'</v>
      </c>
      <c r="P606" s="10">
        <f>IF(Table_2[[#This Row],[Correct_Answer]]=Table_2[[#This Row],[System_Recommendation]],1,0)</f>
        <v>1</v>
      </c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6" t="s">
        <v>176</v>
      </c>
      <c r="B607" s="6">
        <v>12</v>
      </c>
      <c r="C607" s="6" t="s">
        <v>372</v>
      </c>
      <c r="D607" s="6">
        <v>2</v>
      </c>
      <c r="E607" s="6" t="s">
        <v>105</v>
      </c>
      <c r="F607" s="6" t="s">
        <v>373</v>
      </c>
      <c r="G607" s="6" t="s">
        <v>97</v>
      </c>
      <c r="H607" s="6" t="s">
        <v>146</v>
      </c>
      <c r="I607" s="6" t="s">
        <v>100</v>
      </c>
      <c r="J607" s="6" t="s">
        <v>371</v>
      </c>
      <c r="K607" s="6" t="s">
        <v>385</v>
      </c>
      <c r="L607" s="6" t="str">
        <f>IF(J607="כן", K607, VLOOKUP(LEFT(H607, 7), 'קטלוג תרחישים'!$A:$M, 13, FALSE))</f>
        <v>ג</v>
      </c>
      <c r="M607" s="10"/>
      <c r="N607" s="24" t="s">
        <v>358</v>
      </c>
      <c r="O607" s="10" t="str" cm="1">
        <f t="array" ref="O607">_xlfn.IFS(N607="A","א'", N607="B", "ב'", N607= "C", "ג'")</f>
        <v>ג'</v>
      </c>
      <c r="P607" s="10">
        <f>IF(Table_2[[#This Row],[Correct_Answer]]=Table_2[[#This Row],[System_Recommendation]],1,0)</f>
        <v>1</v>
      </c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6" t="s">
        <v>176</v>
      </c>
      <c r="B608" s="6">
        <v>13</v>
      </c>
      <c r="C608" s="6" t="s">
        <v>372</v>
      </c>
      <c r="D608" s="6">
        <v>2</v>
      </c>
      <c r="E608" s="6" t="s">
        <v>105</v>
      </c>
      <c r="F608" s="6" t="s">
        <v>373</v>
      </c>
      <c r="G608" s="6" t="s">
        <v>97</v>
      </c>
      <c r="H608" s="6" t="s">
        <v>145</v>
      </c>
      <c r="I608" s="6" t="s">
        <v>91</v>
      </c>
      <c r="J608" s="6" t="s">
        <v>371</v>
      </c>
      <c r="K608" s="6" t="s">
        <v>384</v>
      </c>
      <c r="L608" s="6" t="str">
        <f>IF(J608="כן", K608, VLOOKUP(LEFT(H608, 7), 'קטלוג תרחישים'!$A:$M, 13, FALSE))</f>
        <v>ב'</v>
      </c>
      <c r="M608" s="10"/>
      <c r="N608" s="23" t="s">
        <v>357</v>
      </c>
      <c r="O608" s="10" t="str" cm="1">
        <f t="array" ref="O608">_xlfn.IFS(N608="A","א'", N608="B", "ב'", N608= "C", "ג'")</f>
        <v>ב'</v>
      </c>
      <c r="P608" s="10">
        <f>IF(Table_2[[#This Row],[Correct_Answer]]=Table_2[[#This Row],[System_Recommendation]],1,0)</f>
        <v>1</v>
      </c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6" t="s">
        <v>176</v>
      </c>
      <c r="B609" s="6">
        <v>14</v>
      </c>
      <c r="C609" s="6" t="s">
        <v>372</v>
      </c>
      <c r="D609" s="6">
        <v>2</v>
      </c>
      <c r="E609" s="6" t="s">
        <v>105</v>
      </c>
      <c r="F609" s="6" t="s">
        <v>373</v>
      </c>
      <c r="G609" s="6" t="s">
        <v>97</v>
      </c>
      <c r="H609" s="6" t="s">
        <v>142</v>
      </c>
      <c r="I609" s="6" t="s">
        <v>100</v>
      </c>
      <c r="J609" s="6" t="s">
        <v>374</v>
      </c>
      <c r="K609" s="6" t="s">
        <v>385</v>
      </c>
      <c r="L609" s="6" t="str">
        <f>IF(J609="כן", K609, VLOOKUP(LEFT(H609, 7), 'קטלוג תרחישים'!$A:$M, 13, FALSE))</f>
        <v>ג'</v>
      </c>
      <c r="M609" s="10"/>
      <c r="N609" s="24" t="s">
        <v>358</v>
      </c>
      <c r="O609" s="10" t="str" cm="1">
        <f t="array" ref="O609">_xlfn.IFS(N609="A","א'", N609="B", "ב'", N609= "C", "ג'")</f>
        <v>ג'</v>
      </c>
      <c r="P609" s="10">
        <f>IF(Table_2[[#This Row],[Correct_Answer]]=Table_2[[#This Row],[System_Recommendation]],1,0)</f>
        <v>0</v>
      </c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6" t="s">
        <v>176</v>
      </c>
      <c r="B610" s="6">
        <v>15</v>
      </c>
      <c r="C610" s="6" t="s">
        <v>372</v>
      </c>
      <c r="D610" s="6">
        <v>2</v>
      </c>
      <c r="E610" s="6" t="s">
        <v>105</v>
      </c>
      <c r="F610" s="6" t="s">
        <v>373</v>
      </c>
      <c r="G610" s="6" t="s">
        <v>97</v>
      </c>
      <c r="H610" s="6" t="s">
        <v>143</v>
      </c>
      <c r="I610" s="6" t="s">
        <v>91</v>
      </c>
      <c r="J610" s="6" t="s">
        <v>371</v>
      </c>
      <c r="K610" s="6" t="s">
        <v>383</v>
      </c>
      <c r="L610" s="6" t="str">
        <f>IF(J610="כן", K610, VLOOKUP(LEFT(H610, 7), 'קטלוג תרחישים'!$A:$M, 13, FALSE))</f>
        <v>א'</v>
      </c>
      <c r="M610" s="10"/>
      <c r="N610" s="23" t="s">
        <v>352</v>
      </c>
      <c r="O610" s="10" t="str" cm="1">
        <f t="array" ref="O610">_xlfn.IFS(N610="A","א'", N610="B", "ב'", N610= "C", "ג'")</f>
        <v>א'</v>
      </c>
      <c r="P610" s="10">
        <f>IF(Table_2[[#This Row],[Correct_Answer]]=Table_2[[#This Row],[System_Recommendation]],1,0)</f>
        <v>1</v>
      </c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6" t="s">
        <v>176</v>
      </c>
      <c r="B611" s="6">
        <v>16</v>
      </c>
      <c r="C611" s="6" t="s">
        <v>372</v>
      </c>
      <c r="D611" s="6">
        <v>2</v>
      </c>
      <c r="E611" s="6" t="s">
        <v>105</v>
      </c>
      <c r="F611" s="6" t="s">
        <v>373</v>
      </c>
      <c r="G611" s="6" t="s">
        <v>97</v>
      </c>
      <c r="H611" s="6" t="s">
        <v>144</v>
      </c>
      <c r="I611" s="6" t="s">
        <v>100</v>
      </c>
      <c r="J611" s="6" t="s">
        <v>371</v>
      </c>
      <c r="K611" s="6" t="s">
        <v>385</v>
      </c>
      <c r="L611" s="6" t="str">
        <f>IF(J611="כן", K611, VLOOKUP(LEFT(H611, 7), 'קטלוג תרחישים'!$A:$M, 13, FALSE))</f>
        <v>ג</v>
      </c>
      <c r="M611" s="10"/>
      <c r="N611" s="24" t="s">
        <v>358</v>
      </c>
      <c r="O611" s="10" t="str" cm="1">
        <f t="array" ref="O611">_xlfn.IFS(N611="A","א'", N611="B", "ב'", N611= "C", "ג'")</f>
        <v>ג'</v>
      </c>
      <c r="P611" s="10">
        <f>IF(Table_2[[#This Row],[Correct_Answer]]=Table_2[[#This Row],[System_Recommendation]],1,0)</f>
        <v>1</v>
      </c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6" t="s">
        <v>176</v>
      </c>
      <c r="B612" s="6">
        <v>17</v>
      </c>
      <c r="C612" s="6" t="s">
        <v>372</v>
      </c>
      <c r="D612" s="6">
        <v>3</v>
      </c>
      <c r="E612" s="6" t="s">
        <v>111</v>
      </c>
      <c r="F612" s="6" t="s">
        <v>373</v>
      </c>
      <c r="G612" s="6" t="s">
        <v>97</v>
      </c>
      <c r="H612" s="6" t="s">
        <v>147</v>
      </c>
      <c r="I612" s="6" t="s">
        <v>91</v>
      </c>
      <c r="J612" s="6" t="s">
        <v>371</v>
      </c>
      <c r="K612" s="6" t="s">
        <v>383</v>
      </c>
      <c r="L612" s="6" t="str">
        <f>IF(J612="כן", K612, VLOOKUP(LEFT(H612, 7), 'קטלוג תרחישים'!$A:$M, 13, FALSE))</f>
        <v>א'</v>
      </c>
      <c r="M612" s="10"/>
      <c r="N612" s="23" t="s">
        <v>352</v>
      </c>
      <c r="O612" s="10" t="str" cm="1">
        <f t="array" ref="O612">_xlfn.IFS(N612="A","א'", N612="B", "ב'", N612= "C", "ג'")</f>
        <v>א'</v>
      </c>
      <c r="P612" s="10">
        <f>IF(Table_2[[#This Row],[Correct_Answer]]=Table_2[[#This Row],[System_Recommendation]],1,0)</f>
        <v>1</v>
      </c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6" t="s">
        <v>176</v>
      </c>
      <c r="B613" s="6">
        <v>18</v>
      </c>
      <c r="C613" s="6" t="s">
        <v>372</v>
      </c>
      <c r="D613" s="6">
        <v>3</v>
      </c>
      <c r="E613" s="6" t="s">
        <v>111</v>
      </c>
      <c r="F613" s="6" t="s">
        <v>373</v>
      </c>
      <c r="G613" s="6" t="s">
        <v>97</v>
      </c>
      <c r="H613" s="6" t="s">
        <v>150</v>
      </c>
      <c r="I613" s="6" t="s">
        <v>100</v>
      </c>
      <c r="J613" s="6" t="s">
        <v>371</v>
      </c>
      <c r="K613" s="6" t="s">
        <v>383</v>
      </c>
      <c r="L613" s="6" t="str">
        <f>IF(J613="כן", K613, VLOOKUP(LEFT(H613, 7), 'קטלוג תרחישים'!$A:$M, 13, FALSE))</f>
        <v>א'</v>
      </c>
      <c r="M613" s="10"/>
      <c r="N613" s="24" t="s">
        <v>352</v>
      </c>
      <c r="O613" s="10" t="str" cm="1">
        <f t="array" ref="O613">_xlfn.IFS(N613="A","א'", N613="B", "ב'", N613= "C", "ג'")</f>
        <v>א'</v>
      </c>
      <c r="P613" s="10">
        <f>IF(Table_2[[#This Row],[Correct_Answer]]=Table_2[[#This Row],[System_Recommendation]],1,0)</f>
        <v>1</v>
      </c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6" t="s">
        <v>176</v>
      </c>
      <c r="B614" s="6">
        <v>19</v>
      </c>
      <c r="C614" s="6" t="s">
        <v>372</v>
      </c>
      <c r="D614" s="6">
        <v>3</v>
      </c>
      <c r="E614" s="6" t="s">
        <v>111</v>
      </c>
      <c r="F614" s="6" t="s">
        <v>373</v>
      </c>
      <c r="G614" s="6" t="s">
        <v>97</v>
      </c>
      <c r="H614" s="6" t="s">
        <v>151</v>
      </c>
      <c r="I614" s="6" t="s">
        <v>91</v>
      </c>
      <c r="J614" s="6" t="s">
        <v>371</v>
      </c>
      <c r="K614" s="6" t="s">
        <v>383</v>
      </c>
      <c r="L614" s="6" t="str">
        <f>IF(J614="כן", K614, VLOOKUP(LEFT(H614, 7), 'קטלוג תרחישים'!$A:$M, 13, FALSE))</f>
        <v>א'</v>
      </c>
      <c r="M614" s="10"/>
      <c r="N614" s="23" t="s">
        <v>352</v>
      </c>
      <c r="O614" s="10" t="str" cm="1">
        <f t="array" ref="O614">_xlfn.IFS(N614="A","א'", N614="B", "ב'", N614= "C", "ג'")</f>
        <v>א'</v>
      </c>
      <c r="P614" s="10">
        <f>IF(Table_2[[#This Row],[Correct_Answer]]=Table_2[[#This Row],[System_Recommendation]],1,0)</f>
        <v>1</v>
      </c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6" t="s">
        <v>176</v>
      </c>
      <c r="B615" s="6">
        <v>20</v>
      </c>
      <c r="C615" s="6" t="s">
        <v>372</v>
      </c>
      <c r="D615" s="6">
        <v>3</v>
      </c>
      <c r="E615" s="6" t="s">
        <v>111</v>
      </c>
      <c r="F615" s="6" t="s">
        <v>373</v>
      </c>
      <c r="G615" s="6" t="s">
        <v>97</v>
      </c>
      <c r="H615" s="6" t="s">
        <v>148</v>
      </c>
      <c r="I615" s="6" t="s">
        <v>100</v>
      </c>
      <c r="J615" s="6" t="s">
        <v>371</v>
      </c>
      <c r="K615" s="6" t="s">
        <v>384</v>
      </c>
      <c r="L615" s="6" t="str">
        <f>IF(J615="כן", K615, VLOOKUP(LEFT(H615, 7), 'קטלוג תרחישים'!$A:$M, 13, FALSE))</f>
        <v>ב'</v>
      </c>
      <c r="M615" s="10"/>
      <c r="N615" s="24" t="s">
        <v>357</v>
      </c>
      <c r="O615" s="10" t="str" cm="1">
        <f t="array" ref="O615">_xlfn.IFS(N615="A","א'", N615="B", "ב'", N615= "C", "ג'")</f>
        <v>ב'</v>
      </c>
      <c r="P615" s="10">
        <f>IF(Table_2[[#This Row],[Correct_Answer]]=Table_2[[#This Row],[System_Recommendation]],1,0)</f>
        <v>1</v>
      </c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6" t="s">
        <v>176</v>
      </c>
      <c r="B616" s="6">
        <v>21</v>
      </c>
      <c r="C616" s="6" t="s">
        <v>372</v>
      </c>
      <c r="D616" s="6">
        <v>3</v>
      </c>
      <c r="E616" s="6" t="s">
        <v>111</v>
      </c>
      <c r="F616" s="6" t="s">
        <v>373</v>
      </c>
      <c r="G616" s="6" t="s">
        <v>97</v>
      </c>
      <c r="H616" s="6" t="s">
        <v>149</v>
      </c>
      <c r="I616" s="6" t="s">
        <v>91</v>
      </c>
      <c r="J616" s="6" t="s">
        <v>374</v>
      </c>
      <c r="K616" s="6" t="s">
        <v>384</v>
      </c>
      <c r="L616" s="6" t="str">
        <f>IF(J616="כן", K616, VLOOKUP(LEFT(H616, 7), 'קטלוג תרחישים'!$A:$M, 13, FALSE))</f>
        <v>א'</v>
      </c>
      <c r="M616" s="10"/>
      <c r="N616" s="23" t="s">
        <v>357</v>
      </c>
      <c r="O616" s="10" t="str" cm="1">
        <f t="array" ref="O616">_xlfn.IFS(N616="A","א'", N616="B", "ב'", N616= "C", "ג'")</f>
        <v>ב'</v>
      </c>
      <c r="P616" s="10">
        <f>IF(Table_2[[#This Row],[Correct_Answer]]=Table_2[[#This Row],[System_Recommendation]],1,0)</f>
        <v>0</v>
      </c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6" t="s">
        <v>176</v>
      </c>
      <c r="B617" s="6">
        <v>22</v>
      </c>
      <c r="C617" s="6" t="s">
        <v>372</v>
      </c>
      <c r="D617" s="6">
        <v>1</v>
      </c>
      <c r="E617" s="6" t="s">
        <v>105</v>
      </c>
      <c r="F617" s="6" t="s">
        <v>375</v>
      </c>
      <c r="G617" s="6" t="s">
        <v>117</v>
      </c>
      <c r="H617" s="6" t="s">
        <v>167</v>
      </c>
      <c r="I617" s="6" t="s">
        <v>91</v>
      </c>
      <c r="J617" s="6" t="s">
        <v>374</v>
      </c>
      <c r="K617" s="6" t="s">
        <v>385</v>
      </c>
      <c r="L617" s="6" t="str">
        <f>IF(J617="כן", K617, VLOOKUP(LEFT(H617, 7), 'קטלוג תרחישים'!$A:$M, 13, FALSE))</f>
        <v>ג'</v>
      </c>
      <c r="M617" s="10"/>
      <c r="N617" s="24" t="s">
        <v>358</v>
      </c>
      <c r="O617" s="10" t="str" cm="1">
        <f t="array" ref="O617">_xlfn.IFS(N617="A","א'", N617="B", "ב'", N617= "C", "ג'")</f>
        <v>ג'</v>
      </c>
      <c r="P617" s="10">
        <f>IF(Table_2[[#This Row],[Correct_Answer]]=Table_2[[#This Row],[System_Recommendation]],1,0)</f>
        <v>0</v>
      </c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6" t="s">
        <v>176</v>
      </c>
      <c r="B618" s="6">
        <v>23</v>
      </c>
      <c r="C618" s="6" t="s">
        <v>372</v>
      </c>
      <c r="D618" s="6">
        <v>1</v>
      </c>
      <c r="E618" s="6" t="s">
        <v>105</v>
      </c>
      <c r="F618" s="6" t="s">
        <v>375</v>
      </c>
      <c r="G618" s="6" t="s">
        <v>117</v>
      </c>
      <c r="H618" s="6" t="s">
        <v>168</v>
      </c>
      <c r="I618" s="6" t="s">
        <v>100</v>
      </c>
      <c r="J618" s="6" t="s">
        <v>374</v>
      </c>
      <c r="K618" s="6" t="s">
        <v>385</v>
      </c>
      <c r="L618" s="6" t="str">
        <f>IF(J618="כן", K618, VLOOKUP(LEFT(H618, 7), 'קטלוג תרחישים'!$A:$M, 13, FALSE))</f>
        <v>ב'</v>
      </c>
      <c r="M618" s="10"/>
      <c r="N618" s="23" t="s">
        <v>358</v>
      </c>
      <c r="O618" s="10" t="str" cm="1">
        <f t="array" ref="O618">_xlfn.IFS(N618="A","א'", N618="B", "ב'", N618= "C", "ג'")</f>
        <v>ג'</v>
      </c>
      <c r="P618" s="10">
        <f>IF(Table_2[[#This Row],[Correct_Answer]]=Table_2[[#This Row],[System_Recommendation]],1,0)</f>
        <v>0</v>
      </c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6" t="s">
        <v>176</v>
      </c>
      <c r="B619" s="6">
        <v>24</v>
      </c>
      <c r="C619" s="6" t="s">
        <v>372</v>
      </c>
      <c r="D619" s="6">
        <v>1</v>
      </c>
      <c r="E619" s="6" t="s">
        <v>105</v>
      </c>
      <c r="F619" s="6" t="s">
        <v>375</v>
      </c>
      <c r="G619" s="6" t="s">
        <v>117</v>
      </c>
      <c r="H619" s="6" t="s">
        <v>165</v>
      </c>
      <c r="I619" s="6" t="s">
        <v>91</v>
      </c>
      <c r="J619" s="6" t="s">
        <v>371</v>
      </c>
      <c r="K619" s="6" t="s">
        <v>384</v>
      </c>
      <c r="L619" s="6" t="str">
        <f>IF(J619="כן", K619, VLOOKUP(LEFT(H619, 7), 'קטלוג תרחישים'!$A:$M, 13, FALSE))</f>
        <v>ב'</v>
      </c>
      <c r="M619" s="10"/>
      <c r="N619" s="24" t="s">
        <v>357</v>
      </c>
      <c r="O619" s="10" t="str" cm="1">
        <f t="array" ref="O619">_xlfn.IFS(N619="A","א'", N619="B", "ב'", N619= "C", "ג'")</f>
        <v>ב'</v>
      </c>
      <c r="P619" s="10">
        <f>IF(Table_2[[#This Row],[Correct_Answer]]=Table_2[[#This Row],[System_Recommendation]],1,0)</f>
        <v>1</v>
      </c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6" t="s">
        <v>176</v>
      </c>
      <c r="B620" s="6">
        <v>25</v>
      </c>
      <c r="C620" s="6" t="s">
        <v>372</v>
      </c>
      <c r="D620" s="6">
        <v>1</v>
      </c>
      <c r="E620" s="6" t="s">
        <v>105</v>
      </c>
      <c r="F620" s="6" t="s">
        <v>375</v>
      </c>
      <c r="G620" s="6" t="s">
        <v>117</v>
      </c>
      <c r="H620" s="6" t="s">
        <v>166</v>
      </c>
      <c r="I620" s="6" t="s">
        <v>100</v>
      </c>
      <c r="J620" s="6" t="s">
        <v>371</v>
      </c>
      <c r="K620" s="6" t="s">
        <v>383</v>
      </c>
      <c r="L620" s="6" t="str">
        <f>IF(J620="כן", K620, VLOOKUP(LEFT(H620, 7), 'קטלוג תרחישים'!$A:$M, 13, FALSE))</f>
        <v>א'</v>
      </c>
      <c r="M620" s="10"/>
      <c r="N620" s="23" t="s">
        <v>352</v>
      </c>
      <c r="O620" s="10" t="str" cm="1">
        <f t="array" ref="O620">_xlfn.IFS(N620="A","א'", N620="B", "ב'", N620= "C", "ג'")</f>
        <v>א'</v>
      </c>
      <c r="P620" s="10">
        <f>IF(Table_2[[#This Row],[Correct_Answer]]=Table_2[[#This Row],[System_Recommendation]],1,0)</f>
        <v>1</v>
      </c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6" t="s">
        <v>176</v>
      </c>
      <c r="B621" s="6">
        <v>26</v>
      </c>
      <c r="C621" s="6" t="s">
        <v>372</v>
      </c>
      <c r="D621" s="6">
        <v>2</v>
      </c>
      <c r="E621" s="6" t="s">
        <v>111</v>
      </c>
      <c r="F621" s="6" t="s">
        <v>375</v>
      </c>
      <c r="G621" s="6" t="s">
        <v>117</v>
      </c>
      <c r="H621" s="6" t="s">
        <v>157</v>
      </c>
      <c r="I621" s="6" t="s">
        <v>91</v>
      </c>
      <c r="J621" s="6" t="s">
        <v>371</v>
      </c>
      <c r="K621" s="6" t="s">
        <v>385</v>
      </c>
      <c r="L621" s="6" t="str">
        <f>IF(J621="כן", K621, VLOOKUP(LEFT(H621, 7), 'קטלוג תרחישים'!$A:$M, 13, FALSE))</f>
        <v>ג</v>
      </c>
      <c r="M621" s="10"/>
      <c r="N621" s="24" t="s">
        <v>358</v>
      </c>
      <c r="O621" s="10" t="str" cm="1">
        <f t="array" ref="O621">_xlfn.IFS(N621="A","א'", N621="B", "ב'", N621= "C", "ג'")</f>
        <v>ג'</v>
      </c>
      <c r="P621" s="10">
        <f>IF(Table_2[[#This Row],[Correct_Answer]]=Table_2[[#This Row],[System_Recommendation]],1,0)</f>
        <v>1</v>
      </c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6" t="s">
        <v>176</v>
      </c>
      <c r="B622" s="6">
        <v>27</v>
      </c>
      <c r="C622" s="6" t="s">
        <v>372</v>
      </c>
      <c r="D622" s="6">
        <v>2</v>
      </c>
      <c r="E622" s="6" t="s">
        <v>111</v>
      </c>
      <c r="F622" s="6" t="s">
        <v>375</v>
      </c>
      <c r="G622" s="6" t="s">
        <v>117</v>
      </c>
      <c r="H622" s="6" t="s">
        <v>158</v>
      </c>
      <c r="I622" s="6" t="s">
        <v>100</v>
      </c>
      <c r="J622" s="6" t="s">
        <v>374</v>
      </c>
      <c r="K622" s="6" t="s">
        <v>384</v>
      </c>
      <c r="L622" s="6" t="str">
        <f>IF(J622="כן", K622, VLOOKUP(LEFT(H622, 7), 'קטלוג תרחישים'!$A:$M, 13, FALSE))</f>
        <v>ב'</v>
      </c>
      <c r="M622" s="10"/>
      <c r="N622" s="23" t="s">
        <v>357</v>
      </c>
      <c r="O622" s="10" t="str" cm="1">
        <f t="array" ref="O622">_xlfn.IFS(N622="A","א'", N622="B", "ב'", N622= "C", "ג'")</f>
        <v>ב'</v>
      </c>
      <c r="P622" s="10">
        <f>IF(Table_2[[#This Row],[Correct_Answer]]=Table_2[[#This Row],[System_Recommendation]],1,0)</f>
        <v>1</v>
      </c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6" t="s">
        <v>176</v>
      </c>
      <c r="B623" s="6">
        <v>28</v>
      </c>
      <c r="C623" s="6" t="s">
        <v>372</v>
      </c>
      <c r="D623" s="6">
        <v>2</v>
      </c>
      <c r="E623" s="6" t="s">
        <v>111</v>
      </c>
      <c r="F623" s="6" t="s">
        <v>375</v>
      </c>
      <c r="G623" s="6" t="s">
        <v>117</v>
      </c>
      <c r="H623" s="6" t="s">
        <v>159</v>
      </c>
      <c r="I623" s="6" t="s">
        <v>91</v>
      </c>
      <c r="J623" s="6" t="s">
        <v>374</v>
      </c>
      <c r="K623" s="6" t="s">
        <v>385</v>
      </c>
      <c r="L623" s="6" t="str">
        <f>IF(J623="כן", K623, VLOOKUP(LEFT(H623, 7), 'קטלוג תרחישים'!$A:$M, 13, FALSE))</f>
        <v>ב'</v>
      </c>
      <c r="M623" s="10"/>
      <c r="N623" s="24" t="s">
        <v>358</v>
      </c>
      <c r="O623" s="10" t="str" cm="1">
        <f t="array" ref="O623">_xlfn.IFS(N623="A","א'", N623="B", "ב'", N623= "C", "ג'")</f>
        <v>ג'</v>
      </c>
      <c r="P623" s="10">
        <f>IF(Table_2[[#This Row],[Correct_Answer]]=Table_2[[#This Row],[System_Recommendation]],1,0)</f>
        <v>0</v>
      </c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6" t="s">
        <v>176</v>
      </c>
      <c r="B624" s="6">
        <v>29</v>
      </c>
      <c r="C624" s="6" t="s">
        <v>372</v>
      </c>
      <c r="D624" s="6">
        <v>2</v>
      </c>
      <c r="E624" s="6" t="s">
        <v>111</v>
      </c>
      <c r="F624" s="6" t="s">
        <v>375</v>
      </c>
      <c r="G624" s="6" t="s">
        <v>117</v>
      </c>
      <c r="H624" s="6" t="s">
        <v>160</v>
      </c>
      <c r="I624" s="6" t="s">
        <v>100</v>
      </c>
      <c r="J624" s="6" t="s">
        <v>371</v>
      </c>
      <c r="K624" s="6" t="s">
        <v>385</v>
      </c>
      <c r="L624" s="6" t="str">
        <f>IF(J624="כן", K624, VLOOKUP(LEFT(H624, 7), 'קטלוג תרחישים'!$A:$M, 13, FALSE))</f>
        <v>ג</v>
      </c>
      <c r="M624" s="10"/>
      <c r="N624" s="23" t="s">
        <v>358</v>
      </c>
      <c r="O624" s="10" t="str" cm="1">
        <f t="array" ref="O624">_xlfn.IFS(N624="A","א'", N624="B", "ב'", N624= "C", "ג'")</f>
        <v>ג'</v>
      </c>
      <c r="P624" s="10">
        <f>IF(Table_2[[#This Row],[Correct_Answer]]=Table_2[[#This Row],[System_Recommendation]],1,0)</f>
        <v>1</v>
      </c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6" t="s">
        <v>176</v>
      </c>
      <c r="B625" s="6">
        <v>30</v>
      </c>
      <c r="C625" s="6" t="s">
        <v>372</v>
      </c>
      <c r="D625" s="6">
        <v>3</v>
      </c>
      <c r="E625" s="6" t="s">
        <v>98</v>
      </c>
      <c r="F625" s="6" t="s">
        <v>375</v>
      </c>
      <c r="G625" s="6" t="s">
        <v>117</v>
      </c>
      <c r="H625" s="6" t="s">
        <v>161</v>
      </c>
      <c r="I625" s="6" t="s">
        <v>91</v>
      </c>
      <c r="J625" s="6" t="s">
        <v>374</v>
      </c>
      <c r="K625" s="6" t="s">
        <v>384</v>
      </c>
      <c r="L625" s="6" t="str">
        <f>IF(J625="כן", K625, VLOOKUP(LEFT(H625, 7), 'קטלוג תרחישים'!$A:$M, 13, FALSE))</f>
        <v>א'</v>
      </c>
      <c r="M625" s="10"/>
      <c r="N625" s="24" t="s">
        <v>357</v>
      </c>
      <c r="O625" s="10" t="str" cm="1">
        <f t="array" ref="O625">_xlfn.IFS(N625="A","א'", N625="B", "ב'", N625= "C", "ג'")</f>
        <v>ב'</v>
      </c>
      <c r="P625" s="10">
        <f>IF(Table_2[[#This Row],[Correct_Answer]]=Table_2[[#This Row],[System_Recommendation]],1,0)</f>
        <v>0</v>
      </c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6" t="s">
        <v>176</v>
      </c>
      <c r="B626" s="6">
        <v>31</v>
      </c>
      <c r="C626" s="6" t="s">
        <v>372</v>
      </c>
      <c r="D626" s="6">
        <v>3</v>
      </c>
      <c r="E626" s="6" t="s">
        <v>98</v>
      </c>
      <c r="F626" s="6" t="s">
        <v>375</v>
      </c>
      <c r="G626" s="6" t="s">
        <v>117</v>
      </c>
      <c r="H626" s="6" t="s">
        <v>162</v>
      </c>
      <c r="I626" s="6" t="s">
        <v>100</v>
      </c>
      <c r="J626" s="6" t="s">
        <v>371</v>
      </c>
      <c r="K626" s="6" t="s">
        <v>385</v>
      </c>
      <c r="L626" s="6" t="str">
        <f>IF(J626="כן", K626, VLOOKUP(LEFT(H626, 7), 'קטלוג תרחישים'!$A:$M, 13, FALSE))</f>
        <v>ג</v>
      </c>
      <c r="M626" s="10"/>
      <c r="N626" s="23" t="s">
        <v>358</v>
      </c>
      <c r="O626" s="10" t="str" cm="1">
        <f t="array" ref="O626">_xlfn.IFS(N626="A","א'", N626="B", "ב'", N626= "C", "ג'")</f>
        <v>ג'</v>
      </c>
      <c r="P626" s="10">
        <f>IF(Table_2[[#This Row],[Correct_Answer]]=Table_2[[#This Row],[System_Recommendation]],1,0)</f>
        <v>1</v>
      </c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6" t="s">
        <v>176</v>
      </c>
      <c r="B627" s="6">
        <v>32</v>
      </c>
      <c r="C627" s="6" t="s">
        <v>372</v>
      </c>
      <c r="D627" s="6">
        <v>3</v>
      </c>
      <c r="E627" s="6" t="s">
        <v>98</v>
      </c>
      <c r="F627" s="6" t="s">
        <v>375</v>
      </c>
      <c r="G627" s="6" t="s">
        <v>117</v>
      </c>
      <c r="H627" s="6" t="s">
        <v>163</v>
      </c>
      <c r="I627" s="6" t="s">
        <v>91</v>
      </c>
      <c r="J627" s="6" t="s">
        <v>371</v>
      </c>
      <c r="K627" s="6" t="s">
        <v>383</v>
      </c>
      <c r="L627" s="6" t="str">
        <f>IF(J627="כן", K627, VLOOKUP(LEFT(H627, 7), 'קטלוג תרחישים'!$A:$M, 13, FALSE))</f>
        <v>א'</v>
      </c>
      <c r="M627" s="10"/>
      <c r="N627" s="24" t="s">
        <v>352</v>
      </c>
      <c r="O627" s="10" t="str" cm="1">
        <f t="array" ref="O627">_xlfn.IFS(N627="A","א'", N627="B", "ב'", N627= "C", "ג'")</f>
        <v>א'</v>
      </c>
      <c r="P627" s="10">
        <f>IF(Table_2[[#This Row],[Correct_Answer]]=Table_2[[#This Row],[System_Recommendation]],1,0)</f>
        <v>1</v>
      </c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6" t="s">
        <v>176</v>
      </c>
      <c r="B628" s="6">
        <v>33</v>
      </c>
      <c r="C628" s="6" t="s">
        <v>372</v>
      </c>
      <c r="D628" s="6">
        <v>3</v>
      </c>
      <c r="E628" s="6" t="s">
        <v>98</v>
      </c>
      <c r="F628" s="6" t="s">
        <v>375</v>
      </c>
      <c r="G628" s="6" t="s">
        <v>117</v>
      </c>
      <c r="H628" s="6" t="s">
        <v>164</v>
      </c>
      <c r="I628" s="6" t="s">
        <v>100</v>
      </c>
      <c r="J628" s="6" t="s">
        <v>374</v>
      </c>
      <c r="K628" s="6" t="s">
        <v>383</v>
      </c>
      <c r="L628" s="6" t="str">
        <f>IF(J628="כן", K628, VLOOKUP(LEFT(H628, 7), 'קטלוג תרחישים'!$A:$M, 13, FALSE))</f>
        <v>א'</v>
      </c>
      <c r="M628" s="10"/>
      <c r="N628" s="23" t="s">
        <v>352</v>
      </c>
      <c r="O628" s="10" t="str" cm="1">
        <f t="array" ref="O628">_xlfn.IFS(N628="A","א'", N628="B", "ב'", N628= "C", "ג'")</f>
        <v>א'</v>
      </c>
      <c r="P628" s="10">
        <f>IF(Table_2[[#This Row],[Correct_Answer]]=Table_2[[#This Row],[System_Recommendation]],1,0)</f>
        <v>1</v>
      </c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6" t="s">
        <v>177</v>
      </c>
      <c r="B629" s="6">
        <v>1</v>
      </c>
      <c r="C629" s="6" t="s">
        <v>370</v>
      </c>
      <c r="D629" s="6"/>
      <c r="E629" s="6" t="s">
        <v>98</v>
      </c>
      <c r="F629" s="6"/>
      <c r="G629" s="6"/>
      <c r="H629" s="8" t="s">
        <v>90</v>
      </c>
      <c r="I629" s="6" t="s">
        <v>91</v>
      </c>
      <c r="J629" s="6" t="s">
        <v>371</v>
      </c>
      <c r="K629" s="6" t="s">
        <v>385</v>
      </c>
      <c r="L629" s="6" t="str">
        <f>IF(J629="כן", K629, VLOOKUP(LEFT(H629, 7), 'קטלוג תרחישים'!$A:$M, 13, FALSE))</f>
        <v>ג</v>
      </c>
      <c r="M629" s="10"/>
      <c r="N629" s="24" t="s">
        <v>358</v>
      </c>
      <c r="O629" s="10" t="str" cm="1">
        <f t="array" ref="O629">_xlfn.IFS(N629="A","א'", N629="B", "ב'", N629= "C", "ג'")</f>
        <v>ג'</v>
      </c>
      <c r="P629" s="10">
        <f>IF(Table_2[[#This Row],[Correct_Answer]]=Table_2[[#This Row],[System_Recommendation]],1,0)</f>
        <v>1</v>
      </c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6" t="s">
        <v>177</v>
      </c>
      <c r="B630" s="6">
        <v>2</v>
      </c>
      <c r="C630" s="6" t="s">
        <v>370</v>
      </c>
      <c r="D630" s="6"/>
      <c r="E630" s="6" t="s">
        <v>98</v>
      </c>
      <c r="F630" s="6"/>
      <c r="G630" s="6"/>
      <c r="H630" s="8" t="s">
        <v>92</v>
      </c>
      <c r="I630" s="6" t="s">
        <v>91</v>
      </c>
      <c r="J630" s="6" t="s">
        <v>371</v>
      </c>
      <c r="K630" s="6" t="s">
        <v>385</v>
      </c>
      <c r="L630" s="6" t="str">
        <f>IF(J630="כן", K630, VLOOKUP(LEFT(H630, 7), 'קטלוג תרחישים'!$A:$M, 13, FALSE))</f>
        <v>ג</v>
      </c>
      <c r="M630" s="10"/>
      <c r="N630" s="23" t="s">
        <v>358</v>
      </c>
      <c r="O630" s="10" t="str" cm="1">
        <f t="array" ref="O630">_xlfn.IFS(N630="A","א'", N630="B", "ב'", N630= "C", "ג'")</f>
        <v>ג'</v>
      </c>
      <c r="P630" s="10">
        <f>IF(Table_2[[#This Row],[Correct_Answer]]=Table_2[[#This Row],[System_Recommendation]],1,0)</f>
        <v>1</v>
      </c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6" t="s">
        <v>177</v>
      </c>
      <c r="B631" s="6">
        <v>3</v>
      </c>
      <c r="C631" s="6" t="s">
        <v>370</v>
      </c>
      <c r="D631" s="6"/>
      <c r="E631" s="6" t="s">
        <v>105</v>
      </c>
      <c r="F631" s="6"/>
      <c r="G631" s="6"/>
      <c r="H631" s="8" t="s">
        <v>93</v>
      </c>
      <c r="I631" s="6" t="s">
        <v>91</v>
      </c>
      <c r="J631" s="6" t="s">
        <v>371</v>
      </c>
      <c r="K631" s="6" t="s">
        <v>385</v>
      </c>
      <c r="L631" s="6" t="str">
        <f>IF(J631="כן", K631, VLOOKUP(LEFT(H631, 7), 'קטלוג תרחישים'!$A:$M, 13, FALSE))</f>
        <v>ג</v>
      </c>
      <c r="M631" s="10"/>
      <c r="N631" s="24" t="s">
        <v>358</v>
      </c>
      <c r="O631" s="10" t="str" cm="1">
        <f t="array" ref="O631">_xlfn.IFS(N631="A","א'", N631="B", "ב'", N631= "C", "ג'")</f>
        <v>ג'</v>
      </c>
      <c r="P631" s="10">
        <f>IF(Table_2[[#This Row],[Correct_Answer]]=Table_2[[#This Row],[System_Recommendation]],1,0)</f>
        <v>1</v>
      </c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6" t="s">
        <v>177</v>
      </c>
      <c r="B632" s="6">
        <v>4</v>
      </c>
      <c r="C632" s="6" t="s">
        <v>370</v>
      </c>
      <c r="D632" s="6"/>
      <c r="E632" s="6" t="s">
        <v>105</v>
      </c>
      <c r="F632" s="6"/>
      <c r="G632" s="6"/>
      <c r="H632" s="8" t="s">
        <v>94</v>
      </c>
      <c r="I632" s="6" t="s">
        <v>91</v>
      </c>
      <c r="J632" s="6" t="s">
        <v>371</v>
      </c>
      <c r="K632" s="6" t="s">
        <v>384</v>
      </c>
      <c r="L632" s="6" t="str">
        <f>IF(J632="כן", K632, VLOOKUP(LEFT(H632, 7), 'קטלוג תרחישים'!$A:$M, 13, FALSE))</f>
        <v>ב'</v>
      </c>
      <c r="M632" s="10"/>
      <c r="N632" s="23" t="s">
        <v>357</v>
      </c>
      <c r="O632" s="10" t="str" cm="1">
        <f t="array" ref="O632">_xlfn.IFS(N632="A","א'", N632="B", "ב'", N632= "C", "ג'")</f>
        <v>ב'</v>
      </c>
      <c r="P632" s="10">
        <f>IF(Table_2[[#This Row],[Correct_Answer]]=Table_2[[#This Row],[System_Recommendation]],1,0)</f>
        <v>1</v>
      </c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6" t="s">
        <v>177</v>
      </c>
      <c r="B633" s="6">
        <v>5</v>
      </c>
      <c r="C633" s="6" t="s">
        <v>370</v>
      </c>
      <c r="D633" s="6"/>
      <c r="E633" s="6" t="s">
        <v>111</v>
      </c>
      <c r="F633" s="6"/>
      <c r="G633" s="6"/>
      <c r="H633" s="8" t="s">
        <v>95</v>
      </c>
      <c r="I633" s="6" t="s">
        <v>91</v>
      </c>
      <c r="J633" s="6" t="s">
        <v>371</v>
      </c>
      <c r="K633" s="6" t="s">
        <v>383</v>
      </c>
      <c r="L633" s="6" t="str">
        <f>IF(J633="כן", K633, VLOOKUP(LEFT(H633, 7), 'קטלוג תרחישים'!$A:$M, 13, FALSE))</f>
        <v>א'</v>
      </c>
      <c r="M633" s="10"/>
      <c r="N633" s="24" t="s">
        <v>352</v>
      </c>
      <c r="O633" s="10" t="str" cm="1">
        <f t="array" ref="O633">_xlfn.IFS(N633="A","א'", N633="B", "ב'", N633= "C", "ג'")</f>
        <v>א'</v>
      </c>
      <c r="P633" s="10">
        <f>IF(Table_2[[#This Row],[Correct_Answer]]=Table_2[[#This Row],[System_Recommendation]],1,0)</f>
        <v>1</v>
      </c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6" t="s">
        <v>177</v>
      </c>
      <c r="B634" s="6">
        <v>6</v>
      </c>
      <c r="C634" s="6" t="s">
        <v>370</v>
      </c>
      <c r="D634" s="6"/>
      <c r="E634" s="6" t="s">
        <v>111</v>
      </c>
      <c r="F634" s="6"/>
      <c r="G634" s="6"/>
      <c r="H634" s="8" t="s">
        <v>96</v>
      </c>
      <c r="I634" s="6" t="s">
        <v>91</v>
      </c>
      <c r="J634" s="6" t="s">
        <v>371</v>
      </c>
      <c r="K634" s="6" t="s">
        <v>385</v>
      </c>
      <c r="L634" s="6" t="str">
        <f>IF(J634="כן", K634, VLOOKUP(LEFT(H634, 7), 'קטלוג תרחישים'!$A:$M, 13, FALSE))</f>
        <v>ג</v>
      </c>
      <c r="M634" s="10"/>
      <c r="N634" s="23" t="s">
        <v>358</v>
      </c>
      <c r="O634" s="10" t="str" cm="1">
        <f t="array" ref="O634">_xlfn.IFS(N634="A","א'", N634="B", "ב'", N634= "C", "ג'")</f>
        <v>ג'</v>
      </c>
      <c r="P634" s="10">
        <f>IF(Table_2[[#This Row],[Correct_Answer]]=Table_2[[#This Row],[System_Recommendation]],1,0)</f>
        <v>1</v>
      </c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6" t="s">
        <v>177</v>
      </c>
      <c r="B635" s="6">
        <v>7</v>
      </c>
      <c r="C635" s="6" t="s">
        <v>372</v>
      </c>
      <c r="D635" s="6">
        <v>1</v>
      </c>
      <c r="E635" s="6" t="s">
        <v>111</v>
      </c>
      <c r="F635" s="6" t="s">
        <v>373</v>
      </c>
      <c r="G635" s="6" t="s">
        <v>117</v>
      </c>
      <c r="H635" s="6" t="s">
        <v>157</v>
      </c>
      <c r="I635" s="6" t="s">
        <v>91</v>
      </c>
      <c r="J635" s="6" t="s">
        <v>371</v>
      </c>
      <c r="K635" s="6" t="s">
        <v>385</v>
      </c>
      <c r="L635" s="6" t="str">
        <f>IF(J635="כן", K635, VLOOKUP(LEFT(H635, 7), 'קטלוג תרחישים'!$A:$M, 13, FALSE))</f>
        <v>ג</v>
      </c>
      <c r="M635" s="10"/>
      <c r="N635" s="24" t="s">
        <v>358</v>
      </c>
      <c r="O635" s="10" t="str" cm="1">
        <f t="array" ref="O635">_xlfn.IFS(N635="A","א'", N635="B", "ב'", N635= "C", "ג'")</f>
        <v>ג'</v>
      </c>
      <c r="P635" s="10">
        <f>IF(Table_2[[#This Row],[Correct_Answer]]=Table_2[[#This Row],[System_Recommendation]],1,0)</f>
        <v>1</v>
      </c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6" t="s">
        <v>177</v>
      </c>
      <c r="B636" s="6">
        <v>8</v>
      </c>
      <c r="C636" s="6" t="s">
        <v>372</v>
      </c>
      <c r="D636" s="6">
        <v>1</v>
      </c>
      <c r="E636" s="6" t="s">
        <v>111</v>
      </c>
      <c r="F636" s="6" t="s">
        <v>373</v>
      </c>
      <c r="G636" s="6" t="s">
        <v>117</v>
      </c>
      <c r="H636" s="6" t="s">
        <v>160</v>
      </c>
      <c r="I636" s="6" t="s">
        <v>100</v>
      </c>
      <c r="J636" s="6" t="s">
        <v>374</v>
      </c>
      <c r="K636" s="6" t="s">
        <v>384</v>
      </c>
      <c r="L636" s="6" t="str">
        <f>IF(J636="כן", K636, VLOOKUP(LEFT(H636, 7), 'קטלוג תרחישים'!$A:$M, 13, FALSE))</f>
        <v>ב'</v>
      </c>
      <c r="M636" s="10"/>
      <c r="N636" s="23" t="s">
        <v>357</v>
      </c>
      <c r="O636" s="10" t="str" cm="1">
        <f t="array" ref="O636">_xlfn.IFS(N636="A","א'", N636="B", "ב'", N636= "C", "ג'")</f>
        <v>ב'</v>
      </c>
      <c r="P636" s="10">
        <f>IF(Table_2[[#This Row],[Correct_Answer]]=Table_2[[#This Row],[System_Recommendation]],1,0)</f>
        <v>1</v>
      </c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6" t="s">
        <v>177</v>
      </c>
      <c r="B637" s="6">
        <v>9</v>
      </c>
      <c r="C637" s="6" t="s">
        <v>372</v>
      </c>
      <c r="D637" s="6">
        <v>1</v>
      </c>
      <c r="E637" s="6" t="s">
        <v>111</v>
      </c>
      <c r="F637" s="6" t="s">
        <v>373</v>
      </c>
      <c r="G637" s="6" t="s">
        <v>117</v>
      </c>
      <c r="H637" s="6" t="s">
        <v>159</v>
      </c>
      <c r="I637" s="6" t="s">
        <v>91</v>
      </c>
      <c r="J637" s="6" t="s">
        <v>374</v>
      </c>
      <c r="K637" s="6" t="s">
        <v>384</v>
      </c>
      <c r="L637" s="6" t="str">
        <f>IF(J637="כן", K637, VLOOKUP(LEFT(H637, 7), 'קטלוג תרחישים'!$A:$M, 13, FALSE))</f>
        <v>ב'</v>
      </c>
      <c r="M637" s="10"/>
      <c r="N637" s="24" t="s">
        <v>357</v>
      </c>
      <c r="O637" s="10" t="str" cm="1">
        <f t="array" ref="O637">_xlfn.IFS(N637="A","א'", N637="B", "ב'", N637= "C", "ג'")</f>
        <v>ב'</v>
      </c>
      <c r="P637" s="10">
        <f>IF(Table_2[[#This Row],[Correct_Answer]]=Table_2[[#This Row],[System_Recommendation]],1,0)</f>
        <v>1</v>
      </c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6" t="s">
        <v>177</v>
      </c>
      <c r="B638" s="6">
        <v>10</v>
      </c>
      <c r="C638" s="6" t="s">
        <v>372</v>
      </c>
      <c r="D638" s="6">
        <v>1</v>
      </c>
      <c r="E638" s="6" t="s">
        <v>111</v>
      </c>
      <c r="F638" s="6" t="s">
        <v>373</v>
      </c>
      <c r="G638" s="6" t="s">
        <v>117</v>
      </c>
      <c r="H638" s="6" t="s">
        <v>158</v>
      </c>
      <c r="I638" s="6" t="s">
        <v>100</v>
      </c>
      <c r="J638" s="6" t="s">
        <v>371</v>
      </c>
      <c r="K638" s="6" t="s">
        <v>384</v>
      </c>
      <c r="L638" s="6" t="str">
        <f>IF(J638="כן", K638, VLOOKUP(LEFT(H638, 7), 'קטלוג תרחישים'!$A:$M, 13, FALSE))</f>
        <v>ב'</v>
      </c>
      <c r="M638" s="10"/>
      <c r="N638" s="23" t="s">
        <v>357</v>
      </c>
      <c r="O638" s="10" t="str" cm="1">
        <f t="array" ref="O638">_xlfn.IFS(N638="A","א'", N638="B", "ב'", N638= "C", "ג'")</f>
        <v>ב'</v>
      </c>
      <c r="P638" s="10">
        <f>IF(Table_2[[#This Row],[Correct_Answer]]=Table_2[[#This Row],[System_Recommendation]],1,0)</f>
        <v>1</v>
      </c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6" t="s">
        <v>177</v>
      </c>
      <c r="B639" s="6">
        <v>11</v>
      </c>
      <c r="C639" s="6" t="s">
        <v>372</v>
      </c>
      <c r="D639" s="6">
        <v>2</v>
      </c>
      <c r="E639" s="6" t="s">
        <v>98</v>
      </c>
      <c r="F639" s="6" t="s">
        <v>373</v>
      </c>
      <c r="G639" s="6" t="s">
        <v>117</v>
      </c>
      <c r="H639" s="6" t="s">
        <v>163</v>
      </c>
      <c r="I639" s="6" t="s">
        <v>91</v>
      </c>
      <c r="J639" s="6" t="s">
        <v>374</v>
      </c>
      <c r="K639" s="6" t="s">
        <v>383</v>
      </c>
      <c r="L639" s="6" t="str">
        <f>IF(J639="כן", K639, VLOOKUP(LEFT(H639, 7), 'קטלוג תרחישים'!$A:$M, 13, FALSE))</f>
        <v>א'</v>
      </c>
      <c r="M639" s="10"/>
      <c r="N639" s="24" t="s">
        <v>352</v>
      </c>
      <c r="O639" s="10" t="str" cm="1">
        <f t="array" ref="O639">_xlfn.IFS(N639="A","א'", N639="B", "ב'", N639= "C", "ג'")</f>
        <v>א'</v>
      </c>
      <c r="P639" s="10">
        <f>IF(Table_2[[#This Row],[Correct_Answer]]=Table_2[[#This Row],[System_Recommendation]],1,0)</f>
        <v>1</v>
      </c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6" t="s">
        <v>177</v>
      </c>
      <c r="B640" s="6">
        <v>12</v>
      </c>
      <c r="C640" s="6" t="s">
        <v>372</v>
      </c>
      <c r="D640" s="6">
        <v>2</v>
      </c>
      <c r="E640" s="6" t="s">
        <v>98</v>
      </c>
      <c r="F640" s="6" t="s">
        <v>373</v>
      </c>
      <c r="G640" s="6" t="s">
        <v>117</v>
      </c>
      <c r="H640" s="6" t="s">
        <v>162</v>
      </c>
      <c r="I640" s="6" t="s">
        <v>100</v>
      </c>
      <c r="J640" s="6" t="s">
        <v>371</v>
      </c>
      <c r="K640" s="6" t="s">
        <v>385</v>
      </c>
      <c r="L640" s="6" t="str">
        <f>IF(J640="כן", K640, VLOOKUP(LEFT(H640, 7), 'קטלוג תרחישים'!$A:$M, 13, FALSE))</f>
        <v>ג</v>
      </c>
      <c r="M640" s="10"/>
      <c r="N640" s="23" t="s">
        <v>358</v>
      </c>
      <c r="O640" s="10" t="str" cm="1">
        <f t="array" ref="O640">_xlfn.IFS(N640="A","א'", N640="B", "ב'", N640= "C", "ג'")</f>
        <v>ג'</v>
      </c>
      <c r="P640" s="10">
        <f>IF(Table_2[[#This Row],[Correct_Answer]]=Table_2[[#This Row],[System_Recommendation]],1,0)</f>
        <v>1</v>
      </c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6" t="s">
        <v>177</v>
      </c>
      <c r="B641" s="6">
        <v>13</v>
      </c>
      <c r="C641" s="6" t="s">
        <v>372</v>
      </c>
      <c r="D641" s="6">
        <v>2</v>
      </c>
      <c r="E641" s="6" t="s">
        <v>98</v>
      </c>
      <c r="F641" s="6" t="s">
        <v>373</v>
      </c>
      <c r="G641" s="6" t="s">
        <v>117</v>
      </c>
      <c r="H641" s="6" t="s">
        <v>161</v>
      </c>
      <c r="I641" s="6" t="s">
        <v>91</v>
      </c>
      <c r="J641" s="6" t="s">
        <v>371</v>
      </c>
      <c r="K641" s="6" t="s">
        <v>384</v>
      </c>
      <c r="L641" s="6" t="str">
        <f>IF(J641="כן", K641, VLOOKUP(LEFT(H641, 7), 'קטלוג תרחישים'!$A:$M, 13, FALSE))</f>
        <v>ב'</v>
      </c>
      <c r="M641" s="10"/>
      <c r="N641" s="24" t="s">
        <v>357</v>
      </c>
      <c r="O641" s="10" t="str" cm="1">
        <f t="array" ref="O641">_xlfn.IFS(N641="A","א'", N641="B", "ב'", N641= "C", "ג'")</f>
        <v>ב'</v>
      </c>
      <c r="P641" s="10">
        <f>IF(Table_2[[#This Row],[Correct_Answer]]=Table_2[[#This Row],[System_Recommendation]],1,0)</f>
        <v>1</v>
      </c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6" t="s">
        <v>177</v>
      </c>
      <c r="B642" s="6">
        <v>14</v>
      </c>
      <c r="C642" s="6" t="s">
        <v>372</v>
      </c>
      <c r="D642" s="6">
        <v>2</v>
      </c>
      <c r="E642" s="6" t="s">
        <v>98</v>
      </c>
      <c r="F642" s="6" t="s">
        <v>373</v>
      </c>
      <c r="G642" s="6" t="s">
        <v>117</v>
      </c>
      <c r="H642" s="6" t="s">
        <v>164</v>
      </c>
      <c r="I642" s="6" t="s">
        <v>100</v>
      </c>
      <c r="J642" s="6" t="s">
        <v>374</v>
      </c>
      <c r="K642" s="6" t="s">
        <v>385</v>
      </c>
      <c r="L642" s="6" t="str">
        <f>IF(J642="כן", K642, VLOOKUP(LEFT(H642, 7), 'קטלוג תרחישים'!$A:$M, 13, FALSE))</f>
        <v>א'</v>
      </c>
      <c r="M642" s="10"/>
      <c r="N642" s="23" t="s">
        <v>358</v>
      </c>
      <c r="O642" s="10" t="str" cm="1">
        <f t="array" ref="O642">_xlfn.IFS(N642="A","א'", N642="B", "ב'", N642= "C", "ג'")</f>
        <v>ג'</v>
      </c>
      <c r="P642" s="10">
        <f>IF(Table_2[[#This Row],[Correct_Answer]]=Table_2[[#This Row],[System_Recommendation]],1,0)</f>
        <v>0</v>
      </c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6" t="s">
        <v>177</v>
      </c>
      <c r="B643" s="6">
        <v>15</v>
      </c>
      <c r="C643" s="6" t="s">
        <v>372</v>
      </c>
      <c r="D643" s="6">
        <v>3</v>
      </c>
      <c r="E643" s="6" t="s">
        <v>105</v>
      </c>
      <c r="F643" s="6" t="s">
        <v>373</v>
      </c>
      <c r="G643" s="6" t="s">
        <v>117</v>
      </c>
      <c r="H643" s="6" t="s">
        <v>165</v>
      </c>
      <c r="I643" s="6" t="s">
        <v>91</v>
      </c>
      <c r="J643" s="6" t="s">
        <v>374</v>
      </c>
      <c r="K643" s="6" t="s">
        <v>383</v>
      </c>
      <c r="L643" s="6" t="str">
        <f>IF(J643="כן", K643, VLOOKUP(LEFT(H643, 7), 'קטלוג תרחישים'!$A:$M, 13, FALSE))</f>
        <v>א'</v>
      </c>
      <c r="M643" s="10"/>
      <c r="N643" s="24" t="s">
        <v>352</v>
      </c>
      <c r="O643" s="10" t="str" cm="1">
        <f t="array" ref="O643">_xlfn.IFS(N643="A","א'", N643="B", "ב'", N643= "C", "ג'")</f>
        <v>א'</v>
      </c>
      <c r="P643" s="10">
        <f>IF(Table_2[[#This Row],[Correct_Answer]]=Table_2[[#This Row],[System_Recommendation]],1,0)</f>
        <v>1</v>
      </c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6" t="s">
        <v>177</v>
      </c>
      <c r="B644" s="6">
        <v>16</v>
      </c>
      <c r="C644" s="6" t="s">
        <v>372</v>
      </c>
      <c r="D644" s="6">
        <v>3</v>
      </c>
      <c r="E644" s="6" t="s">
        <v>105</v>
      </c>
      <c r="F644" s="6" t="s">
        <v>373</v>
      </c>
      <c r="G644" s="6" t="s">
        <v>117</v>
      </c>
      <c r="H644" s="6" t="s">
        <v>168</v>
      </c>
      <c r="I644" s="6" t="s">
        <v>100</v>
      </c>
      <c r="J644" s="6" t="s">
        <v>374</v>
      </c>
      <c r="K644" s="6" t="s">
        <v>385</v>
      </c>
      <c r="L644" s="6" t="str">
        <f>IF(J644="כן", K644, VLOOKUP(LEFT(H644, 7), 'קטלוג תרחישים'!$A:$M, 13, FALSE))</f>
        <v>ב'</v>
      </c>
      <c r="M644" s="10"/>
      <c r="N644" s="23" t="s">
        <v>358</v>
      </c>
      <c r="O644" s="10" t="str" cm="1">
        <f t="array" ref="O644">_xlfn.IFS(N644="A","א'", N644="B", "ב'", N644= "C", "ג'")</f>
        <v>ג'</v>
      </c>
      <c r="P644" s="10">
        <f>IF(Table_2[[#This Row],[Correct_Answer]]=Table_2[[#This Row],[System_Recommendation]],1,0)</f>
        <v>0</v>
      </c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6" t="s">
        <v>177</v>
      </c>
      <c r="B645" s="6">
        <v>17</v>
      </c>
      <c r="C645" s="6" t="s">
        <v>372</v>
      </c>
      <c r="D645" s="6">
        <v>3</v>
      </c>
      <c r="E645" s="6" t="s">
        <v>105</v>
      </c>
      <c r="F645" s="6" t="s">
        <v>373</v>
      </c>
      <c r="G645" s="6" t="s">
        <v>117</v>
      </c>
      <c r="H645" s="6" t="s">
        <v>167</v>
      </c>
      <c r="I645" s="6" t="s">
        <v>91</v>
      </c>
      <c r="J645" s="6" t="s">
        <v>371</v>
      </c>
      <c r="K645" s="6" t="s">
        <v>385</v>
      </c>
      <c r="L645" s="6" t="str">
        <f>IF(J645="כן", K645, VLOOKUP(LEFT(H645, 7), 'קטלוג תרחישים'!$A:$M, 13, FALSE))</f>
        <v>ג</v>
      </c>
      <c r="M645" s="10"/>
      <c r="N645" s="24" t="s">
        <v>358</v>
      </c>
      <c r="O645" s="10" t="str" cm="1">
        <f t="array" ref="O645">_xlfn.IFS(N645="A","א'", N645="B", "ב'", N645= "C", "ג'")</f>
        <v>ג'</v>
      </c>
      <c r="P645" s="10">
        <f>IF(Table_2[[#This Row],[Correct_Answer]]=Table_2[[#This Row],[System_Recommendation]],1,0)</f>
        <v>1</v>
      </c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6" t="s">
        <v>177</v>
      </c>
      <c r="B646" s="6">
        <v>18</v>
      </c>
      <c r="C646" s="6" t="s">
        <v>372</v>
      </c>
      <c r="D646" s="6">
        <v>3</v>
      </c>
      <c r="E646" s="6" t="s">
        <v>105</v>
      </c>
      <c r="F646" s="6" t="s">
        <v>373</v>
      </c>
      <c r="G646" s="6" t="s">
        <v>117</v>
      </c>
      <c r="H646" s="6" t="s">
        <v>166</v>
      </c>
      <c r="I646" s="6" t="s">
        <v>100</v>
      </c>
      <c r="J646" s="6" t="s">
        <v>371</v>
      </c>
      <c r="K646" s="6" t="s">
        <v>383</v>
      </c>
      <c r="L646" s="6" t="str">
        <f>IF(J646="כן", K646, VLOOKUP(LEFT(H646, 7), 'קטלוג תרחישים'!$A:$M, 13, FALSE))</f>
        <v>א'</v>
      </c>
      <c r="M646" s="10"/>
      <c r="N646" s="23" t="s">
        <v>352</v>
      </c>
      <c r="O646" s="10" t="str" cm="1">
        <f t="array" ref="O646">_xlfn.IFS(N646="A","א'", N646="B", "ב'", N646= "C", "ג'")</f>
        <v>א'</v>
      </c>
      <c r="P646" s="10">
        <f>IF(Table_2[[#This Row],[Correct_Answer]]=Table_2[[#This Row],[System_Recommendation]],1,0)</f>
        <v>1</v>
      </c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6" t="s">
        <v>177</v>
      </c>
      <c r="B647" s="6">
        <v>19</v>
      </c>
      <c r="C647" s="6" t="s">
        <v>372</v>
      </c>
      <c r="D647" s="6">
        <v>1</v>
      </c>
      <c r="E647" s="6" t="s">
        <v>105</v>
      </c>
      <c r="F647" s="6" t="s">
        <v>375</v>
      </c>
      <c r="G647" s="6" t="s">
        <v>97</v>
      </c>
      <c r="H647" s="6" t="s">
        <v>142</v>
      </c>
      <c r="I647" s="6" t="s">
        <v>100</v>
      </c>
      <c r="J647" s="6" t="s">
        <v>371</v>
      </c>
      <c r="K647" s="6" t="s">
        <v>383</v>
      </c>
      <c r="L647" s="6" t="str">
        <f>IF(J647="כן", K647, VLOOKUP(LEFT(H647, 7), 'קטלוג תרחישים'!$A:$M, 13, FALSE))</f>
        <v>א'</v>
      </c>
      <c r="M647" s="10"/>
      <c r="N647" s="24" t="s">
        <v>352</v>
      </c>
      <c r="O647" s="10" t="str" cm="1">
        <f t="array" ref="O647">_xlfn.IFS(N647="A","א'", N647="B", "ב'", N647= "C", "ג'")</f>
        <v>א'</v>
      </c>
      <c r="P647" s="10">
        <f>IF(Table_2[[#This Row],[Correct_Answer]]=Table_2[[#This Row],[System_Recommendation]],1,0)</f>
        <v>1</v>
      </c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6" t="s">
        <v>177</v>
      </c>
      <c r="B648" s="6">
        <v>20</v>
      </c>
      <c r="C648" s="6" t="s">
        <v>372</v>
      </c>
      <c r="D648" s="6">
        <v>1</v>
      </c>
      <c r="E648" s="6" t="s">
        <v>105</v>
      </c>
      <c r="F648" s="6" t="s">
        <v>375</v>
      </c>
      <c r="G648" s="6" t="s">
        <v>97</v>
      </c>
      <c r="H648" s="6" t="s">
        <v>145</v>
      </c>
      <c r="I648" s="6" t="s">
        <v>91</v>
      </c>
      <c r="J648" s="6" t="s">
        <v>371</v>
      </c>
      <c r="K648" s="6" t="s">
        <v>383</v>
      </c>
      <c r="L648" s="6" t="str">
        <f>IF(J648="כן", K648, VLOOKUP(LEFT(H648, 7), 'קטלוג תרחישים'!$A:$M, 13, FALSE))</f>
        <v>א'</v>
      </c>
      <c r="M648" s="10"/>
      <c r="N648" s="23" t="s">
        <v>352</v>
      </c>
      <c r="O648" s="10" t="str" cm="1">
        <f t="array" ref="O648">_xlfn.IFS(N648="A","א'", N648="B", "ב'", N648= "C", "ג'")</f>
        <v>א'</v>
      </c>
      <c r="P648" s="10">
        <f>IF(Table_2[[#This Row],[Correct_Answer]]=Table_2[[#This Row],[System_Recommendation]],1,0)</f>
        <v>1</v>
      </c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6" t="s">
        <v>177</v>
      </c>
      <c r="B649" s="6">
        <v>21</v>
      </c>
      <c r="C649" s="6" t="s">
        <v>372</v>
      </c>
      <c r="D649" s="6">
        <v>1</v>
      </c>
      <c r="E649" s="6" t="s">
        <v>105</v>
      </c>
      <c r="F649" s="6" t="s">
        <v>375</v>
      </c>
      <c r="G649" s="6" t="s">
        <v>97</v>
      </c>
      <c r="H649" s="6" t="s">
        <v>144</v>
      </c>
      <c r="I649" s="6" t="s">
        <v>100</v>
      </c>
      <c r="J649" s="6" t="s">
        <v>374</v>
      </c>
      <c r="K649" s="6" t="s">
        <v>384</v>
      </c>
      <c r="L649" s="6" t="str">
        <f>IF(J649="כן", K649, VLOOKUP(LEFT(H649, 7), 'קטלוג תרחישים'!$A:$M, 13, FALSE))</f>
        <v>ב'</v>
      </c>
      <c r="M649" s="10"/>
      <c r="N649" s="24" t="s">
        <v>357</v>
      </c>
      <c r="O649" s="10" t="str" cm="1">
        <f t="array" ref="O649">_xlfn.IFS(N649="A","א'", N649="B", "ב'", N649= "C", "ג'")</f>
        <v>ב'</v>
      </c>
      <c r="P649" s="10">
        <f>IF(Table_2[[#This Row],[Correct_Answer]]=Table_2[[#This Row],[System_Recommendation]],1,0)</f>
        <v>1</v>
      </c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6" t="s">
        <v>177</v>
      </c>
      <c r="B650" s="6">
        <v>22</v>
      </c>
      <c r="C650" s="6" t="s">
        <v>372</v>
      </c>
      <c r="D650" s="6">
        <v>1</v>
      </c>
      <c r="E650" s="6" t="s">
        <v>105</v>
      </c>
      <c r="F650" s="6" t="s">
        <v>375</v>
      </c>
      <c r="G650" s="6" t="s">
        <v>97</v>
      </c>
      <c r="H650" s="6" t="s">
        <v>143</v>
      </c>
      <c r="I650" s="6" t="s">
        <v>91</v>
      </c>
      <c r="J650" s="6" t="s">
        <v>371</v>
      </c>
      <c r="K650" s="6" t="s">
        <v>384</v>
      </c>
      <c r="L650" s="6" t="str">
        <f>IF(J650="כן", K650, VLOOKUP(LEFT(H650, 7), 'קטלוג תרחישים'!$A:$M, 13, FALSE))</f>
        <v>ב'</v>
      </c>
      <c r="M650" s="10"/>
      <c r="N650" s="23" t="s">
        <v>357</v>
      </c>
      <c r="O650" s="10" t="str" cm="1">
        <f t="array" ref="O650">_xlfn.IFS(N650="A","א'", N650="B", "ב'", N650= "C", "ג'")</f>
        <v>ב'</v>
      </c>
      <c r="P650" s="10">
        <f>IF(Table_2[[#This Row],[Correct_Answer]]=Table_2[[#This Row],[System_Recommendation]],1,0)</f>
        <v>1</v>
      </c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6" t="s">
        <v>177</v>
      </c>
      <c r="B651" s="6">
        <v>23</v>
      </c>
      <c r="C651" s="6" t="s">
        <v>372</v>
      </c>
      <c r="D651" s="6">
        <v>1</v>
      </c>
      <c r="E651" s="6" t="s">
        <v>105</v>
      </c>
      <c r="F651" s="6" t="s">
        <v>375</v>
      </c>
      <c r="G651" s="6" t="s">
        <v>97</v>
      </c>
      <c r="H651" s="6" t="s">
        <v>146</v>
      </c>
      <c r="I651" s="6" t="s">
        <v>100</v>
      </c>
      <c r="J651" s="6" t="s">
        <v>371</v>
      </c>
      <c r="K651" s="6" t="s">
        <v>385</v>
      </c>
      <c r="L651" s="6" t="str">
        <f>IF(J651="כן", K651, VLOOKUP(LEFT(H651, 7), 'קטלוג תרחישים'!$A:$M, 13, FALSE))</f>
        <v>ג</v>
      </c>
      <c r="M651" s="10"/>
      <c r="N651" s="24" t="s">
        <v>358</v>
      </c>
      <c r="O651" s="10" t="str" cm="1">
        <f t="array" ref="O651">_xlfn.IFS(N651="A","א'", N651="B", "ב'", N651= "C", "ג'")</f>
        <v>ג'</v>
      </c>
      <c r="P651" s="10">
        <f>IF(Table_2[[#This Row],[Correct_Answer]]=Table_2[[#This Row],[System_Recommendation]],1,0)</f>
        <v>1</v>
      </c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6" t="s">
        <v>177</v>
      </c>
      <c r="B652" s="6">
        <v>24</v>
      </c>
      <c r="C652" s="6" t="s">
        <v>372</v>
      </c>
      <c r="D652" s="6">
        <v>2</v>
      </c>
      <c r="E652" s="6" t="s">
        <v>111</v>
      </c>
      <c r="F652" s="6" t="s">
        <v>375</v>
      </c>
      <c r="G652" s="6" t="s">
        <v>97</v>
      </c>
      <c r="H652" s="6" t="s">
        <v>147</v>
      </c>
      <c r="I652" s="6" t="s">
        <v>91</v>
      </c>
      <c r="J652" s="6" t="s">
        <v>371</v>
      </c>
      <c r="K652" s="6" t="s">
        <v>384</v>
      </c>
      <c r="L652" s="6" t="str">
        <f>IF(J652="כן", K652, VLOOKUP(LEFT(H652, 7), 'קטלוג תרחישים'!$A:$M, 13, FALSE))</f>
        <v>ב'</v>
      </c>
      <c r="M652" s="10"/>
      <c r="N652" s="23" t="s">
        <v>357</v>
      </c>
      <c r="O652" s="10" t="str" cm="1">
        <f t="array" ref="O652">_xlfn.IFS(N652="A","א'", N652="B", "ב'", N652= "C", "ג'")</f>
        <v>ב'</v>
      </c>
      <c r="P652" s="10">
        <f>IF(Table_2[[#This Row],[Correct_Answer]]=Table_2[[#This Row],[System_Recommendation]],1,0)</f>
        <v>1</v>
      </c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6" t="s">
        <v>177</v>
      </c>
      <c r="B653" s="6">
        <v>25</v>
      </c>
      <c r="C653" s="6" t="s">
        <v>372</v>
      </c>
      <c r="D653" s="6">
        <v>2</v>
      </c>
      <c r="E653" s="6" t="s">
        <v>111</v>
      </c>
      <c r="F653" s="6" t="s">
        <v>375</v>
      </c>
      <c r="G653" s="6" t="s">
        <v>97</v>
      </c>
      <c r="H653" s="6" t="s">
        <v>148</v>
      </c>
      <c r="I653" s="6" t="s">
        <v>100</v>
      </c>
      <c r="J653" s="6" t="s">
        <v>371</v>
      </c>
      <c r="K653" s="6" t="s">
        <v>383</v>
      </c>
      <c r="L653" s="6" t="str">
        <f>IF(J653="כן", K653, VLOOKUP(LEFT(H653, 7), 'קטלוג תרחישים'!$A:$M, 13, FALSE))</f>
        <v>א'</v>
      </c>
      <c r="M653" s="10"/>
      <c r="N653" s="24" t="s">
        <v>352</v>
      </c>
      <c r="O653" s="10" t="str" cm="1">
        <f t="array" ref="O653">_xlfn.IFS(N653="A","א'", N653="B", "ב'", N653= "C", "ג'")</f>
        <v>א'</v>
      </c>
      <c r="P653" s="10">
        <f>IF(Table_2[[#This Row],[Correct_Answer]]=Table_2[[#This Row],[System_Recommendation]],1,0)</f>
        <v>1</v>
      </c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6" t="s">
        <v>177</v>
      </c>
      <c r="B654" s="6">
        <v>26</v>
      </c>
      <c r="C654" s="6" t="s">
        <v>372</v>
      </c>
      <c r="D654" s="6">
        <v>2</v>
      </c>
      <c r="E654" s="6" t="s">
        <v>111</v>
      </c>
      <c r="F654" s="6" t="s">
        <v>375</v>
      </c>
      <c r="G654" s="6" t="s">
        <v>97</v>
      </c>
      <c r="H654" s="6" t="s">
        <v>149</v>
      </c>
      <c r="I654" s="6" t="s">
        <v>91</v>
      </c>
      <c r="J654" s="6" t="s">
        <v>371</v>
      </c>
      <c r="K654" s="6" t="s">
        <v>385</v>
      </c>
      <c r="L654" s="6" t="str">
        <f>IF(J654="כן", K654, VLOOKUP(LEFT(H654, 7), 'קטלוג תרחישים'!$A:$M, 13, FALSE))</f>
        <v>ג</v>
      </c>
      <c r="M654" s="10"/>
      <c r="N654" s="23" t="s">
        <v>358</v>
      </c>
      <c r="O654" s="10" t="str" cm="1">
        <f t="array" ref="O654">_xlfn.IFS(N654="A","א'", N654="B", "ב'", N654= "C", "ג'")</f>
        <v>ג'</v>
      </c>
      <c r="P654" s="10">
        <f>IF(Table_2[[#This Row],[Correct_Answer]]=Table_2[[#This Row],[System_Recommendation]],1,0)</f>
        <v>1</v>
      </c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6" t="s">
        <v>177</v>
      </c>
      <c r="B655" s="6">
        <v>27</v>
      </c>
      <c r="C655" s="6" t="s">
        <v>372</v>
      </c>
      <c r="D655" s="6">
        <v>2</v>
      </c>
      <c r="E655" s="6" t="s">
        <v>111</v>
      </c>
      <c r="F655" s="6" t="s">
        <v>375</v>
      </c>
      <c r="G655" s="6" t="s">
        <v>97</v>
      </c>
      <c r="H655" s="6" t="s">
        <v>150</v>
      </c>
      <c r="I655" s="6" t="s">
        <v>100</v>
      </c>
      <c r="J655" s="6" t="s">
        <v>374</v>
      </c>
      <c r="K655" s="6" t="s">
        <v>384</v>
      </c>
      <c r="L655" s="6" t="str">
        <f>IF(J655="כן", K655, VLOOKUP(LEFT(H655, 7), 'קטלוג תרחישים'!$A:$M, 13, FALSE))</f>
        <v>א'</v>
      </c>
      <c r="M655" s="10"/>
      <c r="N655" s="24" t="s">
        <v>357</v>
      </c>
      <c r="O655" s="10" t="str" cm="1">
        <f t="array" ref="O655">_xlfn.IFS(N655="A","א'", N655="B", "ב'", N655= "C", "ג'")</f>
        <v>ב'</v>
      </c>
      <c r="P655" s="10">
        <f>IF(Table_2[[#This Row],[Correct_Answer]]=Table_2[[#This Row],[System_Recommendation]],1,0)</f>
        <v>0</v>
      </c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6" t="s">
        <v>177</v>
      </c>
      <c r="B656" s="6">
        <v>28</v>
      </c>
      <c r="C656" s="6" t="s">
        <v>372</v>
      </c>
      <c r="D656" s="6">
        <v>2</v>
      </c>
      <c r="E656" s="6" t="s">
        <v>111</v>
      </c>
      <c r="F656" s="6" t="s">
        <v>375</v>
      </c>
      <c r="G656" s="6" t="s">
        <v>97</v>
      </c>
      <c r="H656" s="6" t="s">
        <v>151</v>
      </c>
      <c r="I656" s="6" t="s">
        <v>91</v>
      </c>
      <c r="J656" s="6" t="s">
        <v>371</v>
      </c>
      <c r="K656" s="6" t="s">
        <v>385</v>
      </c>
      <c r="L656" s="6" t="str">
        <f>IF(J656="כן", K656, VLOOKUP(LEFT(H656, 7), 'קטלוג תרחישים'!$A:$M, 13, FALSE))</f>
        <v>ג</v>
      </c>
      <c r="M656" s="10"/>
      <c r="N656" s="23" t="s">
        <v>358</v>
      </c>
      <c r="O656" s="10" t="str" cm="1">
        <f t="array" ref="O656">_xlfn.IFS(N656="A","א'", N656="B", "ב'", N656= "C", "ג'")</f>
        <v>ג'</v>
      </c>
      <c r="P656" s="10">
        <f>IF(Table_2[[#This Row],[Correct_Answer]]=Table_2[[#This Row],[System_Recommendation]],1,0)</f>
        <v>1</v>
      </c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6" t="s">
        <v>177</v>
      </c>
      <c r="B657" s="6">
        <v>29</v>
      </c>
      <c r="C657" s="6" t="s">
        <v>372</v>
      </c>
      <c r="D657" s="6">
        <v>3</v>
      </c>
      <c r="E657" s="6" t="s">
        <v>98</v>
      </c>
      <c r="F657" s="6" t="s">
        <v>375</v>
      </c>
      <c r="G657" s="6" t="s">
        <v>97</v>
      </c>
      <c r="H657" s="6" t="s">
        <v>154</v>
      </c>
      <c r="I657" s="6" t="s">
        <v>91</v>
      </c>
      <c r="J657" s="6" t="s">
        <v>371</v>
      </c>
      <c r="K657" s="6" t="s">
        <v>385</v>
      </c>
      <c r="L657" s="6" t="str">
        <f>IF(J657="כן", K657, VLOOKUP(LEFT(H657, 7), 'קטלוג תרחישים'!$A:$M, 13, FALSE))</f>
        <v>ג</v>
      </c>
      <c r="M657" s="10"/>
      <c r="N657" s="24" t="s">
        <v>358</v>
      </c>
      <c r="O657" s="10" t="str" cm="1">
        <f t="array" ref="O657">_xlfn.IFS(N657="A","א'", N657="B", "ב'", N657= "C", "ג'")</f>
        <v>ג'</v>
      </c>
      <c r="P657" s="10">
        <f>IF(Table_2[[#This Row],[Correct_Answer]]=Table_2[[#This Row],[System_Recommendation]],1,0)</f>
        <v>1</v>
      </c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6" t="s">
        <v>177</v>
      </c>
      <c r="B658" s="6">
        <v>30</v>
      </c>
      <c r="C658" s="6" t="s">
        <v>372</v>
      </c>
      <c r="D658" s="6">
        <v>3</v>
      </c>
      <c r="E658" s="6" t="s">
        <v>98</v>
      </c>
      <c r="F658" s="6" t="s">
        <v>375</v>
      </c>
      <c r="G658" s="6" t="s">
        <v>97</v>
      </c>
      <c r="H658" s="6" t="s">
        <v>153</v>
      </c>
      <c r="I658" s="6" t="s">
        <v>100</v>
      </c>
      <c r="J658" s="6" t="s">
        <v>371</v>
      </c>
      <c r="K658" s="6" t="s">
        <v>384</v>
      </c>
      <c r="L658" s="6" t="str">
        <f>IF(J658="כן", K658, VLOOKUP(LEFT(H658, 7), 'קטלוג תרחישים'!$A:$M, 13, FALSE))</f>
        <v>ב'</v>
      </c>
      <c r="M658" s="10"/>
      <c r="N658" s="23" t="s">
        <v>357</v>
      </c>
      <c r="O658" s="10" t="str" cm="1">
        <f t="array" ref="O658">_xlfn.IFS(N658="A","א'", N658="B", "ב'", N658= "C", "ג'")</f>
        <v>ב'</v>
      </c>
      <c r="P658" s="10">
        <f>IF(Table_2[[#This Row],[Correct_Answer]]=Table_2[[#This Row],[System_Recommendation]],1,0)</f>
        <v>1</v>
      </c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6" t="s">
        <v>177</v>
      </c>
      <c r="B659" s="6">
        <v>31</v>
      </c>
      <c r="C659" s="6" t="s">
        <v>372</v>
      </c>
      <c r="D659" s="6">
        <v>3</v>
      </c>
      <c r="E659" s="6" t="s">
        <v>98</v>
      </c>
      <c r="F659" s="6" t="s">
        <v>375</v>
      </c>
      <c r="G659" s="6" t="s">
        <v>97</v>
      </c>
      <c r="H659" s="6" t="s">
        <v>156</v>
      </c>
      <c r="I659" s="6" t="s">
        <v>91</v>
      </c>
      <c r="J659" s="6" t="s">
        <v>371</v>
      </c>
      <c r="K659" s="6" t="s">
        <v>385</v>
      </c>
      <c r="L659" s="6" t="str">
        <f>IF(J659="כן", K659, VLOOKUP(LEFT(H659, 7), 'קטלוג תרחישים'!$A:$M, 13, FALSE))</f>
        <v>ג</v>
      </c>
      <c r="M659" s="10"/>
      <c r="N659" s="24" t="s">
        <v>358</v>
      </c>
      <c r="O659" s="10" t="str" cm="1">
        <f t="array" ref="O659">_xlfn.IFS(N659="A","א'", N659="B", "ב'", N659= "C", "ג'")</f>
        <v>ג'</v>
      </c>
      <c r="P659" s="10">
        <f>IF(Table_2[[#This Row],[Correct_Answer]]=Table_2[[#This Row],[System_Recommendation]],1,0)</f>
        <v>1</v>
      </c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6" t="s">
        <v>177</v>
      </c>
      <c r="B660" s="6">
        <v>32</v>
      </c>
      <c r="C660" s="6" t="s">
        <v>372</v>
      </c>
      <c r="D660" s="6">
        <v>3</v>
      </c>
      <c r="E660" s="6" t="s">
        <v>98</v>
      </c>
      <c r="F660" s="6" t="s">
        <v>375</v>
      </c>
      <c r="G660" s="6" t="s">
        <v>97</v>
      </c>
      <c r="H660" s="6" t="s">
        <v>155</v>
      </c>
      <c r="I660" s="6" t="s">
        <v>100</v>
      </c>
      <c r="J660" s="6" t="s">
        <v>371</v>
      </c>
      <c r="K660" s="6" t="s">
        <v>383</v>
      </c>
      <c r="L660" s="6" t="str">
        <f>IF(J660="כן", K660, VLOOKUP(LEFT(H660, 7), 'קטלוג תרחישים'!$A:$M, 13, FALSE))</f>
        <v>א'</v>
      </c>
      <c r="M660" s="10"/>
      <c r="N660" s="23" t="s">
        <v>352</v>
      </c>
      <c r="O660" s="10" t="str" cm="1">
        <f t="array" ref="O660">_xlfn.IFS(N660="A","א'", N660="B", "ב'", N660= "C", "ג'")</f>
        <v>א'</v>
      </c>
      <c r="P660" s="10">
        <f>IF(Table_2[[#This Row],[Correct_Answer]]=Table_2[[#This Row],[System_Recommendation]],1,0)</f>
        <v>1</v>
      </c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6" t="s">
        <v>177</v>
      </c>
      <c r="B661" s="6">
        <v>33</v>
      </c>
      <c r="C661" s="6" t="s">
        <v>372</v>
      </c>
      <c r="D661" s="6">
        <v>3</v>
      </c>
      <c r="E661" s="6" t="s">
        <v>98</v>
      </c>
      <c r="F661" s="6" t="s">
        <v>375</v>
      </c>
      <c r="G661" s="6" t="s">
        <v>97</v>
      </c>
      <c r="H661" s="6" t="s">
        <v>152</v>
      </c>
      <c r="I661" s="6" t="s">
        <v>91</v>
      </c>
      <c r="J661" s="6" t="s">
        <v>374</v>
      </c>
      <c r="K661" s="6" t="s">
        <v>383</v>
      </c>
      <c r="L661" s="6" t="str">
        <f>IF(J661="כן", K661, VLOOKUP(LEFT(H661, 7), 'קטלוג תרחישים'!$A:$M, 13, FALSE))</f>
        <v>ב'</v>
      </c>
      <c r="M661" s="10"/>
      <c r="N661" s="24" t="s">
        <v>352</v>
      </c>
      <c r="O661" s="10" t="str" cm="1">
        <f t="array" ref="O661">_xlfn.IFS(N661="A","א'", N661="B", "ב'", N661= "C", "ג'")</f>
        <v>א'</v>
      </c>
      <c r="P661" s="10">
        <f>IF(Table_2[[#This Row],[Correct_Answer]]=Table_2[[#This Row],[System_Recommendation]],1,0)</f>
        <v>0</v>
      </c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6" t="s">
        <v>178</v>
      </c>
      <c r="B662" s="6">
        <v>1</v>
      </c>
      <c r="C662" s="6" t="s">
        <v>370</v>
      </c>
      <c r="D662" s="6"/>
      <c r="E662" s="6" t="s">
        <v>98</v>
      </c>
      <c r="F662" s="6"/>
      <c r="G662" s="6"/>
      <c r="H662" s="8" t="s">
        <v>90</v>
      </c>
      <c r="I662" s="6" t="s">
        <v>91</v>
      </c>
      <c r="J662" s="6" t="s">
        <v>371</v>
      </c>
      <c r="K662" s="6" t="s">
        <v>385</v>
      </c>
      <c r="L662" s="6" t="str">
        <f>IF(J662="כן", K662, VLOOKUP(LEFT(H662, 7), 'קטלוג תרחישים'!$A:$M, 13, FALSE))</f>
        <v>ג</v>
      </c>
      <c r="M662" s="10"/>
      <c r="N662" s="23" t="s">
        <v>358</v>
      </c>
      <c r="O662" s="10" t="str" cm="1">
        <f t="array" ref="O662">_xlfn.IFS(N662="A","א'", N662="B", "ב'", N662= "C", "ג'")</f>
        <v>ג'</v>
      </c>
      <c r="P662" s="10">
        <f>IF(Table_2[[#This Row],[Correct_Answer]]=Table_2[[#This Row],[System_Recommendation]],1,0)</f>
        <v>1</v>
      </c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6" t="s">
        <v>178</v>
      </c>
      <c r="B663" s="6">
        <v>2</v>
      </c>
      <c r="C663" s="6" t="s">
        <v>370</v>
      </c>
      <c r="D663" s="6"/>
      <c r="E663" s="6" t="s">
        <v>98</v>
      </c>
      <c r="F663" s="6"/>
      <c r="G663" s="6"/>
      <c r="H663" s="8" t="s">
        <v>92</v>
      </c>
      <c r="I663" s="6" t="s">
        <v>91</v>
      </c>
      <c r="J663" s="6" t="s">
        <v>371</v>
      </c>
      <c r="K663" s="6" t="s">
        <v>385</v>
      </c>
      <c r="L663" s="6" t="str">
        <f>IF(J663="כן", K663, VLOOKUP(LEFT(H663, 7), 'קטלוג תרחישים'!$A:$M, 13, FALSE))</f>
        <v>ג</v>
      </c>
      <c r="M663" s="10"/>
      <c r="N663" s="24" t="s">
        <v>358</v>
      </c>
      <c r="O663" s="10" t="str" cm="1">
        <f t="array" ref="O663">_xlfn.IFS(N663="A","א'", N663="B", "ב'", N663= "C", "ג'")</f>
        <v>ג'</v>
      </c>
      <c r="P663" s="10">
        <f>IF(Table_2[[#This Row],[Correct_Answer]]=Table_2[[#This Row],[System_Recommendation]],1,0)</f>
        <v>1</v>
      </c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6" t="s">
        <v>178</v>
      </c>
      <c r="B664" s="6">
        <v>3</v>
      </c>
      <c r="C664" s="6" t="s">
        <v>370</v>
      </c>
      <c r="D664" s="6"/>
      <c r="E664" s="6" t="s">
        <v>105</v>
      </c>
      <c r="F664" s="6"/>
      <c r="G664" s="6"/>
      <c r="H664" s="8" t="s">
        <v>93</v>
      </c>
      <c r="I664" s="6" t="s">
        <v>91</v>
      </c>
      <c r="J664" s="6" t="s">
        <v>371</v>
      </c>
      <c r="K664" s="6" t="s">
        <v>385</v>
      </c>
      <c r="L664" s="6" t="str">
        <f>IF(J664="כן", K664, VLOOKUP(LEFT(H664, 7), 'קטלוג תרחישים'!$A:$M, 13, FALSE))</f>
        <v>ג</v>
      </c>
      <c r="M664" s="10"/>
      <c r="N664" s="23" t="s">
        <v>358</v>
      </c>
      <c r="O664" s="10" t="str" cm="1">
        <f t="array" ref="O664">_xlfn.IFS(N664="A","א'", N664="B", "ב'", N664= "C", "ג'")</f>
        <v>ג'</v>
      </c>
      <c r="P664" s="10">
        <f>IF(Table_2[[#This Row],[Correct_Answer]]=Table_2[[#This Row],[System_Recommendation]],1,0)</f>
        <v>1</v>
      </c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6" t="s">
        <v>178</v>
      </c>
      <c r="B665" s="6">
        <v>4</v>
      </c>
      <c r="C665" s="6" t="s">
        <v>370</v>
      </c>
      <c r="D665" s="6"/>
      <c r="E665" s="6" t="s">
        <v>105</v>
      </c>
      <c r="F665" s="6"/>
      <c r="G665" s="6"/>
      <c r="H665" s="8" t="s">
        <v>94</v>
      </c>
      <c r="I665" s="6" t="s">
        <v>91</v>
      </c>
      <c r="J665" s="6" t="s">
        <v>371</v>
      </c>
      <c r="K665" s="6" t="s">
        <v>384</v>
      </c>
      <c r="L665" s="6" t="str">
        <f>IF(J665="כן", K665, VLOOKUP(LEFT(H665, 7), 'קטלוג תרחישים'!$A:$M, 13, FALSE))</f>
        <v>ב'</v>
      </c>
      <c r="M665" s="10"/>
      <c r="N665" s="24" t="s">
        <v>357</v>
      </c>
      <c r="O665" s="10" t="str" cm="1">
        <f t="array" ref="O665">_xlfn.IFS(N665="A","א'", N665="B", "ב'", N665= "C", "ג'")</f>
        <v>ב'</v>
      </c>
      <c r="P665" s="10">
        <f>IF(Table_2[[#This Row],[Correct_Answer]]=Table_2[[#This Row],[System_Recommendation]],1,0)</f>
        <v>1</v>
      </c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6" t="s">
        <v>178</v>
      </c>
      <c r="B666" s="6">
        <v>5</v>
      </c>
      <c r="C666" s="6" t="s">
        <v>370</v>
      </c>
      <c r="D666" s="6"/>
      <c r="E666" s="6" t="s">
        <v>111</v>
      </c>
      <c r="F666" s="6"/>
      <c r="G666" s="6"/>
      <c r="H666" s="8" t="s">
        <v>95</v>
      </c>
      <c r="I666" s="6" t="s">
        <v>91</v>
      </c>
      <c r="J666" s="6" t="s">
        <v>371</v>
      </c>
      <c r="K666" s="6" t="s">
        <v>383</v>
      </c>
      <c r="L666" s="6" t="str">
        <f>IF(J666="כן", K666, VLOOKUP(LEFT(H666, 7), 'קטלוג תרחישים'!$A:$M, 13, FALSE))</f>
        <v>א'</v>
      </c>
      <c r="M666" s="10"/>
      <c r="N666" s="23" t="s">
        <v>352</v>
      </c>
      <c r="O666" s="10" t="str" cm="1">
        <f t="array" ref="O666">_xlfn.IFS(N666="A","א'", N666="B", "ב'", N666= "C", "ג'")</f>
        <v>א'</v>
      </c>
      <c r="P666" s="10">
        <f>IF(Table_2[[#This Row],[Correct_Answer]]=Table_2[[#This Row],[System_Recommendation]],1,0)</f>
        <v>1</v>
      </c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6" t="s">
        <v>178</v>
      </c>
      <c r="B667" s="6">
        <v>6</v>
      </c>
      <c r="C667" s="6" t="s">
        <v>370</v>
      </c>
      <c r="D667" s="6"/>
      <c r="E667" s="6" t="s">
        <v>111</v>
      </c>
      <c r="F667" s="6"/>
      <c r="G667" s="6"/>
      <c r="H667" s="8" t="s">
        <v>96</v>
      </c>
      <c r="I667" s="6" t="s">
        <v>91</v>
      </c>
      <c r="J667" s="6" t="s">
        <v>371</v>
      </c>
      <c r="K667" s="6" t="s">
        <v>385</v>
      </c>
      <c r="L667" s="6" t="str">
        <f>IF(J667="כן", K667, VLOOKUP(LEFT(H667, 7), 'קטלוג תרחישים'!$A:$M, 13, FALSE))</f>
        <v>ג</v>
      </c>
      <c r="M667" s="10"/>
      <c r="N667" s="24" t="s">
        <v>358</v>
      </c>
      <c r="O667" s="10" t="str" cm="1">
        <f t="array" ref="O667">_xlfn.IFS(N667="A","א'", N667="B", "ב'", N667= "C", "ג'")</f>
        <v>ג'</v>
      </c>
      <c r="P667" s="10">
        <f>IF(Table_2[[#This Row],[Correct_Answer]]=Table_2[[#This Row],[System_Recommendation]],1,0)</f>
        <v>1</v>
      </c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6" t="s">
        <v>178</v>
      </c>
      <c r="B668" s="6">
        <v>7</v>
      </c>
      <c r="C668" s="6" t="s">
        <v>372</v>
      </c>
      <c r="D668" s="6">
        <v>1</v>
      </c>
      <c r="E668" s="6" t="s">
        <v>111</v>
      </c>
      <c r="F668" s="6" t="s">
        <v>373</v>
      </c>
      <c r="G668" s="6" t="s">
        <v>97</v>
      </c>
      <c r="H668" s="6" t="s">
        <v>179</v>
      </c>
      <c r="I668" s="6" t="s">
        <v>100</v>
      </c>
      <c r="J668" s="6" t="s">
        <v>371</v>
      </c>
      <c r="K668" s="6" t="s">
        <v>385</v>
      </c>
      <c r="L668" s="6" t="str">
        <f>IF(J668="כן", K668, VLOOKUP(LEFT(H668, 7), 'קטלוג תרחישים'!$A:$M, 13, FALSE))</f>
        <v>ג</v>
      </c>
      <c r="M668" s="10"/>
      <c r="N668" s="23" t="s">
        <v>358</v>
      </c>
      <c r="O668" s="10" t="str" cm="1">
        <f t="array" ref="O668">_xlfn.IFS(N668="A","א'", N668="B", "ב'", N668= "C", "ג'")</f>
        <v>ג'</v>
      </c>
      <c r="P668" s="10">
        <f>IF(Table_2[[#This Row],[Correct_Answer]]=Table_2[[#This Row],[System_Recommendation]],1,0)</f>
        <v>1</v>
      </c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6" t="s">
        <v>178</v>
      </c>
      <c r="B669" s="6">
        <v>8</v>
      </c>
      <c r="C669" s="6" t="s">
        <v>372</v>
      </c>
      <c r="D669" s="6">
        <v>1</v>
      </c>
      <c r="E669" s="6" t="s">
        <v>111</v>
      </c>
      <c r="F669" s="6" t="s">
        <v>373</v>
      </c>
      <c r="G669" s="6" t="s">
        <v>97</v>
      </c>
      <c r="H669" s="6" t="s">
        <v>180</v>
      </c>
      <c r="I669" s="6" t="s">
        <v>91</v>
      </c>
      <c r="J669" s="6" t="s">
        <v>371</v>
      </c>
      <c r="K669" s="6" t="s">
        <v>384</v>
      </c>
      <c r="L669" s="6" t="str">
        <f>IF(J669="כן", K669, VLOOKUP(LEFT(H669, 7), 'קטלוג תרחישים'!$A:$M, 13, FALSE))</f>
        <v>ב'</v>
      </c>
      <c r="M669" s="10"/>
      <c r="N669" s="24" t="s">
        <v>357</v>
      </c>
      <c r="O669" s="10" t="str" cm="1">
        <f t="array" ref="O669">_xlfn.IFS(N669="A","א'", N669="B", "ב'", N669= "C", "ג'")</f>
        <v>ב'</v>
      </c>
      <c r="P669" s="10">
        <f>IF(Table_2[[#This Row],[Correct_Answer]]=Table_2[[#This Row],[System_Recommendation]],1,0)</f>
        <v>1</v>
      </c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6" t="s">
        <v>178</v>
      </c>
      <c r="B670" s="6">
        <v>9</v>
      </c>
      <c r="C670" s="6" t="s">
        <v>372</v>
      </c>
      <c r="D670" s="6">
        <v>1</v>
      </c>
      <c r="E670" s="6" t="s">
        <v>111</v>
      </c>
      <c r="F670" s="6" t="s">
        <v>373</v>
      </c>
      <c r="G670" s="6" t="s">
        <v>97</v>
      </c>
      <c r="H670" s="6" t="s">
        <v>181</v>
      </c>
      <c r="I670" s="6" t="s">
        <v>100</v>
      </c>
      <c r="J670" s="6" t="s">
        <v>371</v>
      </c>
      <c r="K670" s="6" t="s">
        <v>384</v>
      </c>
      <c r="L670" s="6" t="str">
        <f>IF(J670="כן", K670, VLOOKUP(LEFT(H670, 7), 'קטלוג תרחישים'!$A:$M, 13, FALSE))</f>
        <v>ב'</v>
      </c>
      <c r="M670" s="10"/>
      <c r="N670" s="23" t="s">
        <v>357</v>
      </c>
      <c r="O670" s="10" t="str" cm="1">
        <f t="array" ref="O670">_xlfn.IFS(N670="A","א'", N670="B", "ב'", N670= "C", "ג'")</f>
        <v>ב'</v>
      </c>
      <c r="P670" s="10">
        <f>IF(Table_2[[#This Row],[Correct_Answer]]=Table_2[[#This Row],[System_Recommendation]],1,0)</f>
        <v>1</v>
      </c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6" t="s">
        <v>178</v>
      </c>
      <c r="B671" s="6">
        <v>10</v>
      </c>
      <c r="C671" s="6" t="s">
        <v>372</v>
      </c>
      <c r="D671" s="6">
        <v>1</v>
      </c>
      <c r="E671" s="6" t="s">
        <v>111</v>
      </c>
      <c r="F671" s="6" t="s">
        <v>373</v>
      </c>
      <c r="G671" s="6" t="s">
        <v>97</v>
      </c>
      <c r="H671" s="6" t="s">
        <v>182</v>
      </c>
      <c r="I671" s="6" t="s">
        <v>91</v>
      </c>
      <c r="J671" s="6" t="s">
        <v>374</v>
      </c>
      <c r="K671" s="6" t="s">
        <v>384</v>
      </c>
      <c r="L671" s="6" t="str">
        <f>IF(J671="כן", K671, VLOOKUP(LEFT(H671, 7), 'קטלוג תרחישים'!$A:$M, 13, FALSE))</f>
        <v>ג'</v>
      </c>
      <c r="M671" s="10"/>
      <c r="N671" s="24" t="s">
        <v>357</v>
      </c>
      <c r="O671" s="10" t="str" cm="1">
        <f t="array" ref="O671">_xlfn.IFS(N671="A","א'", N671="B", "ב'", N671= "C", "ג'")</f>
        <v>ב'</v>
      </c>
      <c r="P671" s="10">
        <f>IF(Table_2[[#This Row],[Correct_Answer]]=Table_2[[#This Row],[System_Recommendation]],1,0)</f>
        <v>0</v>
      </c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6" t="s">
        <v>178</v>
      </c>
      <c r="B672" s="6">
        <v>11</v>
      </c>
      <c r="C672" s="6" t="s">
        <v>372</v>
      </c>
      <c r="D672" s="6">
        <v>1</v>
      </c>
      <c r="E672" s="6" t="s">
        <v>111</v>
      </c>
      <c r="F672" s="6" t="s">
        <v>373</v>
      </c>
      <c r="G672" s="6" t="s">
        <v>97</v>
      </c>
      <c r="H672" s="6" t="s">
        <v>183</v>
      </c>
      <c r="I672" s="6" t="s">
        <v>100</v>
      </c>
      <c r="J672" s="6" t="s">
        <v>371</v>
      </c>
      <c r="K672" s="6" t="s">
        <v>383</v>
      </c>
      <c r="L672" s="6" t="str">
        <f>IF(J672="כן", K672, VLOOKUP(LEFT(H672, 7), 'קטלוג תרחישים'!$A:$M, 13, FALSE))</f>
        <v>א'</v>
      </c>
      <c r="M672" s="10"/>
      <c r="N672" s="23" t="s">
        <v>352</v>
      </c>
      <c r="O672" s="10" t="str" cm="1">
        <f t="array" ref="O672">_xlfn.IFS(N672="A","א'", N672="B", "ב'", N672= "C", "ג'")</f>
        <v>א'</v>
      </c>
      <c r="P672" s="10">
        <f>IF(Table_2[[#This Row],[Correct_Answer]]=Table_2[[#This Row],[System_Recommendation]],1,0)</f>
        <v>1</v>
      </c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6" t="s">
        <v>178</v>
      </c>
      <c r="B673" s="6">
        <v>12</v>
      </c>
      <c r="C673" s="6" t="s">
        <v>372</v>
      </c>
      <c r="D673" s="6">
        <v>2</v>
      </c>
      <c r="E673" s="6" t="s">
        <v>98</v>
      </c>
      <c r="F673" s="6" t="s">
        <v>373</v>
      </c>
      <c r="G673" s="6" t="s">
        <v>97</v>
      </c>
      <c r="H673" s="6" t="s">
        <v>184</v>
      </c>
      <c r="I673" s="6" t="s">
        <v>91</v>
      </c>
      <c r="J673" s="6" t="s">
        <v>371</v>
      </c>
      <c r="K673" s="6" t="s">
        <v>385</v>
      </c>
      <c r="L673" s="6" t="str">
        <f>IF(J673="כן", K673, VLOOKUP(LEFT(H673, 7), 'קטלוג תרחישים'!$A:$M, 13, FALSE))</f>
        <v>ג</v>
      </c>
      <c r="M673" s="10"/>
      <c r="N673" s="24" t="s">
        <v>358</v>
      </c>
      <c r="O673" s="10" t="str" cm="1">
        <f t="array" ref="O673">_xlfn.IFS(N673="A","א'", N673="B", "ב'", N673= "C", "ג'")</f>
        <v>ג'</v>
      </c>
      <c r="P673" s="10">
        <f>IF(Table_2[[#This Row],[Correct_Answer]]=Table_2[[#This Row],[System_Recommendation]],1,0)</f>
        <v>1</v>
      </c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6" t="s">
        <v>178</v>
      </c>
      <c r="B674" s="6">
        <v>13</v>
      </c>
      <c r="C674" s="6" t="s">
        <v>372</v>
      </c>
      <c r="D674" s="6">
        <v>2</v>
      </c>
      <c r="E674" s="6" t="s">
        <v>98</v>
      </c>
      <c r="F674" s="6" t="s">
        <v>373</v>
      </c>
      <c r="G674" s="6" t="s">
        <v>97</v>
      </c>
      <c r="H674" s="6" t="s">
        <v>185</v>
      </c>
      <c r="I674" s="6" t="s">
        <v>100</v>
      </c>
      <c r="J674" s="6" t="s">
        <v>371</v>
      </c>
      <c r="K674" s="6" t="s">
        <v>384</v>
      </c>
      <c r="L674" s="6" t="str">
        <f>IF(J674="כן", K674, VLOOKUP(LEFT(H674, 7), 'קטלוג תרחישים'!$A:$M, 13, FALSE))</f>
        <v>ב'</v>
      </c>
      <c r="M674" s="10"/>
      <c r="N674" s="23" t="s">
        <v>357</v>
      </c>
      <c r="O674" s="10" t="str" cm="1">
        <f t="array" ref="O674">_xlfn.IFS(N674="A","א'", N674="B", "ב'", N674= "C", "ג'")</f>
        <v>ב'</v>
      </c>
      <c r="P674" s="10">
        <f>IF(Table_2[[#This Row],[Correct_Answer]]=Table_2[[#This Row],[System_Recommendation]],1,0)</f>
        <v>1</v>
      </c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6" t="s">
        <v>178</v>
      </c>
      <c r="B675" s="6">
        <v>14</v>
      </c>
      <c r="C675" s="6" t="s">
        <v>372</v>
      </c>
      <c r="D675" s="6">
        <v>2</v>
      </c>
      <c r="E675" s="6" t="s">
        <v>98</v>
      </c>
      <c r="F675" s="6" t="s">
        <v>373</v>
      </c>
      <c r="G675" s="6" t="s">
        <v>97</v>
      </c>
      <c r="H675" s="6" t="s">
        <v>186</v>
      </c>
      <c r="I675" s="6" t="s">
        <v>91</v>
      </c>
      <c r="J675" s="6" t="s">
        <v>374</v>
      </c>
      <c r="K675" s="6" t="s">
        <v>385</v>
      </c>
      <c r="L675" s="6" t="str">
        <f>IF(J675="כן", K675, VLOOKUP(LEFT(H675, 7), 'קטלוג תרחישים'!$A:$M, 13, FALSE))</f>
        <v>ב'</v>
      </c>
      <c r="M675" s="10"/>
      <c r="N675" s="24" t="s">
        <v>358</v>
      </c>
      <c r="O675" s="10" t="str" cm="1">
        <f t="array" ref="O675">_xlfn.IFS(N675="A","א'", N675="B", "ב'", N675= "C", "ג'")</f>
        <v>ג'</v>
      </c>
      <c r="P675" s="10">
        <f>IF(Table_2[[#This Row],[Correct_Answer]]=Table_2[[#This Row],[System_Recommendation]],1,0)</f>
        <v>0</v>
      </c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6" t="s">
        <v>178</v>
      </c>
      <c r="B676" s="6">
        <v>15</v>
      </c>
      <c r="C676" s="6" t="s">
        <v>372</v>
      </c>
      <c r="D676" s="6">
        <v>2</v>
      </c>
      <c r="E676" s="6" t="s">
        <v>98</v>
      </c>
      <c r="F676" s="6" t="s">
        <v>373</v>
      </c>
      <c r="G676" s="6" t="s">
        <v>97</v>
      </c>
      <c r="H676" s="6" t="s">
        <v>187</v>
      </c>
      <c r="I676" s="6" t="s">
        <v>100</v>
      </c>
      <c r="J676" s="6" t="s">
        <v>371</v>
      </c>
      <c r="K676" s="6" t="s">
        <v>383</v>
      </c>
      <c r="L676" s="6" t="str">
        <f>IF(J676="כן", K676, VLOOKUP(LEFT(H676, 7), 'קטלוג תרחישים'!$A:$M, 13, FALSE))</f>
        <v>א'</v>
      </c>
      <c r="M676" s="10"/>
      <c r="N676" s="23" t="s">
        <v>352</v>
      </c>
      <c r="O676" s="10" t="str" cm="1">
        <f t="array" ref="O676">_xlfn.IFS(N676="A","א'", N676="B", "ב'", N676= "C", "ג'")</f>
        <v>א'</v>
      </c>
      <c r="P676" s="10">
        <f>IF(Table_2[[#This Row],[Correct_Answer]]=Table_2[[#This Row],[System_Recommendation]],1,0)</f>
        <v>1</v>
      </c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6" t="s">
        <v>178</v>
      </c>
      <c r="B677" s="6">
        <v>16</v>
      </c>
      <c r="C677" s="6" t="s">
        <v>372</v>
      </c>
      <c r="D677" s="6">
        <v>2</v>
      </c>
      <c r="E677" s="6" t="s">
        <v>98</v>
      </c>
      <c r="F677" s="6" t="s">
        <v>373</v>
      </c>
      <c r="G677" s="6" t="s">
        <v>97</v>
      </c>
      <c r="H677" s="6" t="s">
        <v>188</v>
      </c>
      <c r="I677" s="6" t="s">
        <v>91</v>
      </c>
      <c r="J677" s="6" t="s">
        <v>371</v>
      </c>
      <c r="K677" s="6" t="s">
        <v>385</v>
      </c>
      <c r="L677" s="6" t="str">
        <f>IF(J677="כן", K677, VLOOKUP(LEFT(H677, 7), 'קטלוג תרחישים'!$A:$M, 13, FALSE))</f>
        <v>ג</v>
      </c>
      <c r="M677" s="10"/>
      <c r="N677" s="24" t="s">
        <v>358</v>
      </c>
      <c r="O677" s="10" t="str" cm="1">
        <f t="array" ref="O677">_xlfn.IFS(N677="A","א'", N677="B", "ב'", N677= "C", "ג'")</f>
        <v>ג'</v>
      </c>
      <c r="P677" s="10">
        <f>IF(Table_2[[#This Row],[Correct_Answer]]=Table_2[[#This Row],[System_Recommendation]],1,0)</f>
        <v>1</v>
      </c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6" t="s">
        <v>178</v>
      </c>
      <c r="B678" s="6">
        <v>17</v>
      </c>
      <c r="C678" s="6" t="s">
        <v>372</v>
      </c>
      <c r="D678" s="6">
        <v>3</v>
      </c>
      <c r="E678" s="6" t="s">
        <v>105</v>
      </c>
      <c r="F678" s="6" t="s">
        <v>373</v>
      </c>
      <c r="G678" s="6" t="s">
        <v>97</v>
      </c>
      <c r="H678" s="6" t="s">
        <v>189</v>
      </c>
      <c r="I678" s="6" t="s">
        <v>91</v>
      </c>
      <c r="J678" s="6" t="s">
        <v>371</v>
      </c>
      <c r="K678" s="6" t="s">
        <v>385</v>
      </c>
      <c r="L678" s="6" t="str">
        <f>IF(J678="כן", K678, VLOOKUP(LEFT(H678, 7), 'קטלוג תרחישים'!$A:$M, 13, FALSE))</f>
        <v>ג</v>
      </c>
      <c r="M678" s="10"/>
      <c r="N678" s="23" t="s">
        <v>358</v>
      </c>
      <c r="O678" s="10" t="str" cm="1">
        <f t="array" ref="O678">_xlfn.IFS(N678="A","א'", N678="B", "ב'", N678= "C", "ג'")</f>
        <v>ג'</v>
      </c>
      <c r="P678" s="10">
        <f>IF(Table_2[[#This Row],[Correct_Answer]]=Table_2[[#This Row],[System_Recommendation]],1,0)</f>
        <v>1</v>
      </c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6" t="s">
        <v>178</v>
      </c>
      <c r="B679" s="6">
        <v>18</v>
      </c>
      <c r="C679" s="6" t="s">
        <v>372</v>
      </c>
      <c r="D679" s="6">
        <v>3</v>
      </c>
      <c r="E679" s="6" t="s">
        <v>105</v>
      </c>
      <c r="F679" s="6" t="s">
        <v>373</v>
      </c>
      <c r="G679" s="6" t="s">
        <v>97</v>
      </c>
      <c r="H679" s="6" t="s">
        <v>190</v>
      </c>
      <c r="I679" s="6" t="s">
        <v>100</v>
      </c>
      <c r="J679" s="6" t="s">
        <v>371</v>
      </c>
      <c r="K679" s="6" t="s">
        <v>384</v>
      </c>
      <c r="L679" s="6" t="str">
        <f>IF(J679="כן", K679, VLOOKUP(LEFT(H679, 7), 'קטלוג תרחישים'!$A:$M, 13, FALSE))</f>
        <v>ב'</v>
      </c>
      <c r="M679" s="10"/>
      <c r="N679" s="24" t="s">
        <v>357</v>
      </c>
      <c r="O679" s="10" t="str" cm="1">
        <f t="array" ref="O679">_xlfn.IFS(N679="A","א'", N679="B", "ב'", N679= "C", "ג'")</f>
        <v>ב'</v>
      </c>
      <c r="P679" s="10">
        <f>IF(Table_2[[#This Row],[Correct_Answer]]=Table_2[[#This Row],[System_Recommendation]],1,0)</f>
        <v>1</v>
      </c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6" t="s">
        <v>178</v>
      </c>
      <c r="B680" s="6">
        <v>19</v>
      </c>
      <c r="C680" s="6" t="s">
        <v>372</v>
      </c>
      <c r="D680" s="6">
        <v>3</v>
      </c>
      <c r="E680" s="6" t="s">
        <v>105</v>
      </c>
      <c r="F680" s="6" t="s">
        <v>373</v>
      </c>
      <c r="G680" s="6" t="s">
        <v>97</v>
      </c>
      <c r="H680" s="6" t="s">
        <v>191</v>
      </c>
      <c r="I680" s="6" t="s">
        <v>91</v>
      </c>
      <c r="J680" s="6" t="s">
        <v>374</v>
      </c>
      <c r="K680" s="6" t="s">
        <v>383</v>
      </c>
      <c r="L680" s="6" t="str">
        <f>IF(J680="כן", K680, VLOOKUP(LEFT(H680, 7), 'קטלוג תרחישים'!$A:$M, 13, FALSE))</f>
        <v>ב'</v>
      </c>
      <c r="M680" s="10"/>
      <c r="N680" s="23" t="s">
        <v>352</v>
      </c>
      <c r="O680" s="10" t="str" cm="1">
        <f t="array" ref="O680">_xlfn.IFS(N680="A","א'", N680="B", "ב'", N680= "C", "ג'")</f>
        <v>א'</v>
      </c>
      <c r="P680" s="10">
        <f>IF(Table_2[[#This Row],[Correct_Answer]]=Table_2[[#This Row],[System_Recommendation]],1,0)</f>
        <v>0</v>
      </c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6" t="s">
        <v>178</v>
      </c>
      <c r="B681" s="6">
        <v>20</v>
      </c>
      <c r="C681" s="6" t="s">
        <v>372</v>
      </c>
      <c r="D681" s="6">
        <v>3</v>
      </c>
      <c r="E681" s="6" t="s">
        <v>105</v>
      </c>
      <c r="F681" s="6" t="s">
        <v>373</v>
      </c>
      <c r="G681" s="6" t="s">
        <v>97</v>
      </c>
      <c r="H681" s="6" t="s">
        <v>192</v>
      </c>
      <c r="I681" s="6" t="s">
        <v>100</v>
      </c>
      <c r="J681" s="6" t="s">
        <v>371</v>
      </c>
      <c r="K681" s="6" t="s">
        <v>383</v>
      </c>
      <c r="L681" s="6" t="str">
        <f>IF(J681="כן", K681, VLOOKUP(LEFT(H681, 7), 'קטלוג תרחישים'!$A:$M, 13, FALSE))</f>
        <v>א'</v>
      </c>
      <c r="M681" s="10"/>
      <c r="N681" s="24" t="s">
        <v>352</v>
      </c>
      <c r="O681" s="10" t="str" cm="1">
        <f t="array" ref="O681">_xlfn.IFS(N681="A","א'", N681="B", "ב'", N681= "C", "ג'")</f>
        <v>א'</v>
      </c>
      <c r="P681" s="10">
        <f>IF(Table_2[[#This Row],[Correct_Answer]]=Table_2[[#This Row],[System_Recommendation]],1,0)</f>
        <v>1</v>
      </c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6" t="s">
        <v>178</v>
      </c>
      <c r="B682" s="6">
        <v>21</v>
      </c>
      <c r="C682" s="6" t="s">
        <v>372</v>
      </c>
      <c r="D682" s="6">
        <v>3</v>
      </c>
      <c r="E682" s="6" t="s">
        <v>105</v>
      </c>
      <c r="F682" s="6" t="s">
        <v>373</v>
      </c>
      <c r="G682" s="6" t="s">
        <v>97</v>
      </c>
      <c r="H682" s="6" t="s">
        <v>193</v>
      </c>
      <c r="I682" s="6" t="s">
        <v>91</v>
      </c>
      <c r="J682" s="6" t="s">
        <v>371</v>
      </c>
      <c r="K682" s="6" t="s">
        <v>383</v>
      </c>
      <c r="L682" s="6" t="str">
        <f>IF(J682="כן", K682, VLOOKUP(LEFT(H682, 7), 'קטלוג תרחישים'!$A:$M, 13, FALSE))</f>
        <v>א'</v>
      </c>
      <c r="M682" s="10"/>
      <c r="N682" s="23" t="s">
        <v>352</v>
      </c>
      <c r="O682" s="10" t="str" cm="1">
        <f t="array" ref="O682">_xlfn.IFS(N682="A","א'", N682="B", "ב'", N682= "C", "ג'")</f>
        <v>א'</v>
      </c>
      <c r="P682" s="10">
        <f>IF(Table_2[[#This Row],[Correct_Answer]]=Table_2[[#This Row],[System_Recommendation]],1,0)</f>
        <v>1</v>
      </c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6" t="s">
        <v>178</v>
      </c>
      <c r="B683" s="6">
        <v>22</v>
      </c>
      <c r="C683" s="6" t="s">
        <v>372</v>
      </c>
      <c r="D683" s="6">
        <v>1</v>
      </c>
      <c r="E683" s="6" t="s">
        <v>98</v>
      </c>
      <c r="F683" s="6" t="s">
        <v>375</v>
      </c>
      <c r="G683" s="6" t="s">
        <v>117</v>
      </c>
      <c r="H683" s="6" t="s">
        <v>194</v>
      </c>
      <c r="I683" s="6" t="s">
        <v>91</v>
      </c>
      <c r="J683" s="6" t="s">
        <v>371</v>
      </c>
      <c r="K683" s="6" t="s">
        <v>384</v>
      </c>
      <c r="L683" s="6" t="str">
        <f>IF(J683="כן", K683, VLOOKUP(LEFT(H683, 7), 'קטלוג תרחישים'!$A:$M, 13, FALSE))</f>
        <v>ב'</v>
      </c>
      <c r="M683" s="10"/>
      <c r="N683" s="24" t="s">
        <v>357</v>
      </c>
      <c r="O683" s="10" t="str" cm="1">
        <f t="array" ref="O683">_xlfn.IFS(N683="A","א'", N683="B", "ב'", N683= "C", "ג'")</f>
        <v>ב'</v>
      </c>
      <c r="P683" s="10">
        <f>IF(Table_2[[#This Row],[Correct_Answer]]=Table_2[[#This Row],[System_Recommendation]],1,0)</f>
        <v>1</v>
      </c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6" t="s">
        <v>178</v>
      </c>
      <c r="B684" s="6">
        <v>23</v>
      </c>
      <c r="C684" s="6" t="s">
        <v>372</v>
      </c>
      <c r="D684" s="6">
        <v>1</v>
      </c>
      <c r="E684" s="6" t="s">
        <v>98</v>
      </c>
      <c r="F684" s="6" t="s">
        <v>375</v>
      </c>
      <c r="G684" s="6" t="s">
        <v>117</v>
      </c>
      <c r="H684" s="6" t="s">
        <v>195</v>
      </c>
      <c r="I684" s="6" t="s">
        <v>100</v>
      </c>
      <c r="J684" s="6" t="s">
        <v>371</v>
      </c>
      <c r="K684" s="6" t="s">
        <v>384</v>
      </c>
      <c r="L684" s="6" t="str">
        <f>IF(J684="כן", K684, VLOOKUP(LEFT(H684, 7), 'קטלוג תרחישים'!$A:$M, 13, FALSE))</f>
        <v>ב'</v>
      </c>
      <c r="M684" s="10"/>
      <c r="N684" s="23" t="s">
        <v>357</v>
      </c>
      <c r="O684" s="10" t="str" cm="1">
        <f t="array" ref="O684">_xlfn.IFS(N684="A","א'", N684="B", "ב'", N684= "C", "ג'")</f>
        <v>ב'</v>
      </c>
      <c r="P684" s="10">
        <f>IF(Table_2[[#This Row],[Correct_Answer]]=Table_2[[#This Row],[System_Recommendation]],1,0)</f>
        <v>1</v>
      </c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6" t="s">
        <v>178</v>
      </c>
      <c r="B685" s="6">
        <v>24</v>
      </c>
      <c r="C685" s="6" t="s">
        <v>372</v>
      </c>
      <c r="D685" s="6">
        <v>1</v>
      </c>
      <c r="E685" s="6" t="s">
        <v>98</v>
      </c>
      <c r="F685" s="6" t="s">
        <v>375</v>
      </c>
      <c r="G685" s="6" t="s">
        <v>117</v>
      </c>
      <c r="H685" s="6" t="s">
        <v>196</v>
      </c>
      <c r="I685" s="6" t="s">
        <v>91</v>
      </c>
      <c r="J685" s="6" t="s">
        <v>374</v>
      </c>
      <c r="K685" s="6" t="s">
        <v>385</v>
      </c>
      <c r="L685" s="6" t="str">
        <f>IF(J685="כן", K685, VLOOKUP(LEFT(H685, 7), 'קטלוג תרחישים'!$A:$M, 13, FALSE))</f>
        <v>א'</v>
      </c>
      <c r="M685" s="10"/>
      <c r="N685" s="24" t="s">
        <v>358</v>
      </c>
      <c r="O685" s="10" t="str" cm="1">
        <f t="array" ref="O685">_xlfn.IFS(N685="A","א'", N685="B", "ב'", N685= "C", "ג'")</f>
        <v>ג'</v>
      </c>
      <c r="P685" s="10">
        <f>IF(Table_2[[#This Row],[Correct_Answer]]=Table_2[[#This Row],[System_Recommendation]],1,0)</f>
        <v>0</v>
      </c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6" t="s">
        <v>178</v>
      </c>
      <c r="B686" s="6">
        <v>25</v>
      </c>
      <c r="C686" s="6" t="s">
        <v>372</v>
      </c>
      <c r="D686" s="6">
        <v>1</v>
      </c>
      <c r="E686" s="6" t="s">
        <v>98</v>
      </c>
      <c r="F686" s="6" t="s">
        <v>375</v>
      </c>
      <c r="G686" s="6" t="s">
        <v>117</v>
      </c>
      <c r="H686" s="6" t="s">
        <v>197</v>
      </c>
      <c r="I686" s="6" t="s">
        <v>100</v>
      </c>
      <c r="J686" s="6" t="s">
        <v>374</v>
      </c>
      <c r="K686" s="6" t="s">
        <v>383</v>
      </c>
      <c r="L686" s="6" t="str">
        <f>IF(J686="כן", K686, VLOOKUP(LEFT(H686, 7), 'קטלוג תרחישים'!$A:$M, 13, FALSE))</f>
        <v>ב'</v>
      </c>
      <c r="M686" s="10"/>
      <c r="N686" s="23" t="s">
        <v>352</v>
      </c>
      <c r="O686" s="10" t="str" cm="1">
        <f t="array" ref="O686">_xlfn.IFS(N686="A","א'", N686="B", "ב'", N686= "C", "ג'")</f>
        <v>א'</v>
      </c>
      <c r="P686" s="10">
        <f>IF(Table_2[[#This Row],[Correct_Answer]]=Table_2[[#This Row],[System_Recommendation]],1,0)</f>
        <v>0</v>
      </c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6" t="s">
        <v>178</v>
      </c>
      <c r="B687" s="6">
        <v>26</v>
      </c>
      <c r="C687" s="6" t="s">
        <v>372</v>
      </c>
      <c r="D687" s="6">
        <v>2</v>
      </c>
      <c r="E687" s="6" t="s">
        <v>105</v>
      </c>
      <c r="F687" s="6" t="s">
        <v>375</v>
      </c>
      <c r="G687" s="6" t="s">
        <v>117</v>
      </c>
      <c r="H687" s="6" t="s">
        <v>198</v>
      </c>
      <c r="I687" s="6" t="s">
        <v>91</v>
      </c>
      <c r="J687" s="6" t="s">
        <v>371</v>
      </c>
      <c r="K687" s="6" t="s">
        <v>385</v>
      </c>
      <c r="L687" s="6" t="str">
        <f>IF(J687="כן", K687, VLOOKUP(LEFT(H687, 7), 'קטלוג תרחישים'!$A:$M, 13, FALSE))</f>
        <v>ג</v>
      </c>
      <c r="M687" s="10"/>
      <c r="N687" s="24" t="s">
        <v>358</v>
      </c>
      <c r="O687" s="10" t="str" cm="1">
        <f t="array" ref="O687">_xlfn.IFS(N687="A","א'", N687="B", "ב'", N687= "C", "ג'")</f>
        <v>ג'</v>
      </c>
      <c r="P687" s="10">
        <f>IF(Table_2[[#This Row],[Correct_Answer]]=Table_2[[#This Row],[System_Recommendation]],1,0)</f>
        <v>1</v>
      </c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6" t="s">
        <v>178</v>
      </c>
      <c r="B688" s="6">
        <v>27</v>
      </c>
      <c r="C688" s="6" t="s">
        <v>372</v>
      </c>
      <c r="D688" s="6">
        <v>2</v>
      </c>
      <c r="E688" s="6" t="s">
        <v>105</v>
      </c>
      <c r="F688" s="6" t="s">
        <v>375</v>
      </c>
      <c r="G688" s="6" t="s">
        <v>117</v>
      </c>
      <c r="H688" s="6" t="s">
        <v>199</v>
      </c>
      <c r="I688" s="6" t="s">
        <v>100</v>
      </c>
      <c r="J688" s="6" t="s">
        <v>374</v>
      </c>
      <c r="K688" s="6" t="s">
        <v>384</v>
      </c>
      <c r="L688" s="6" t="str">
        <f>IF(J688="כן", K688, VLOOKUP(LEFT(H688, 7), 'קטלוג תרחישים'!$A:$M, 13, FALSE))</f>
        <v>ב'</v>
      </c>
      <c r="M688" s="10"/>
      <c r="N688" s="23" t="s">
        <v>357</v>
      </c>
      <c r="O688" s="10" t="str" cm="1">
        <f t="array" ref="O688">_xlfn.IFS(N688="A","א'", N688="B", "ב'", N688= "C", "ג'")</f>
        <v>ב'</v>
      </c>
      <c r="P688" s="10">
        <f>IF(Table_2[[#This Row],[Correct_Answer]]=Table_2[[#This Row],[System_Recommendation]],1,0)</f>
        <v>1</v>
      </c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6" t="s">
        <v>178</v>
      </c>
      <c r="B689" s="6">
        <v>28</v>
      </c>
      <c r="C689" s="6" t="s">
        <v>372</v>
      </c>
      <c r="D689" s="6">
        <v>2</v>
      </c>
      <c r="E689" s="6" t="s">
        <v>105</v>
      </c>
      <c r="F689" s="6" t="s">
        <v>375</v>
      </c>
      <c r="G689" s="6" t="s">
        <v>117</v>
      </c>
      <c r="H689" s="6" t="s">
        <v>200</v>
      </c>
      <c r="I689" s="6" t="s">
        <v>91</v>
      </c>
      <c r="J689" s="6" t="s">
        <v>374</v>
      </c>
      <c r="K689" s="6" t="s">
        <v>385</v>
      </c>
      <c r="L689" s="6" t="str">
        <f>IF(J689="כן", K689, VLOOKUP(LEFT(H689, 7), 'קטלוג תרחישים'!$A:$M, 13, FALSE))</f>
        <v>א'</v>
      </c>
      <c r="M689" s="10"/>
      <c r="N689" s="24" t="s">
        <v>358</v>
      </c>
      <c r="O689" s="10" t="str" cm="1">
        <f t="array" ref="O689">_xlfn.IFS(N689="A","א'", N689="B", "ב'", N689= "C", "ג'")</f>
        <v>ג'</v>
      </c>
      <c r="P689" s="10">
        <f>IF(Table_2[[#This Row],[Correct_Answer]]=Table_2[[#This Row],[System_Recommendation]],1,0)</f>
        <v>0</v>
      </c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6" t="s">
        <v>178</v>
      </c>
      <c r="B690" s="6">
        <v>29</v>
      </c>
      <c r="C690" s="6" t="s">
        <v>372</v>
      </c>
      <c r="D690" s="6">
        <v>2</v>
      </c>
      <c r="E690" s="6" t="s">
        <v>105</v>
      </c>
      <c r="F690" s="6" t="s">
        <v>375</v>
      </c>
      <c r="G690" s="6" t="s">
        <v>117</v>
      </c>
      <c r="H690" s="6" t="s">
        <v>201</v>
      </c>
      <c r="I690" s="6" t="s">
        <v>100</v>
      </c>
      <c r="J690" s="6" t="s">
        <v>371</v>
      </c>
      <c r="K690" s="6" t="s">
        <v>385</v>
      </c>
      <c r="L690" s="6" t="str">
        <f>IF(J690="כן", K690, VLOOKUP(LEFT(H690, 7), 'קטלוג תרחישים'!$A:$M, 13, FALSE))</f>
        <v>ג</v>
      </c>
      <c r="M690" s="10"/>
      <c r="N690" s="23" t="s">
        <v>358</v>
      </c>
      <c r="O690" s="10" t="str" cm="1">
        <f t="array" ref="O690">_xlfn.IFS(N690="A","א'", N690="B", "ב'", N690= "C", "ג'")</f>
        <v>ג'</v>
      </c>
      <c r="P690" s="10">
        <f>IF(Table_2[[#This Row],[Correct_Answer]]=Table_2[[#This Row],[System_Recommendation]],1,0)</f>
        <v>1</v>
      </c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6" t="s">
        <v>178</v>
      </c>
      <c r="B691" s="6">
        <v>30</v>
      </c>
      <c r="C691" s="6" t="s">
        <v>372</v>
      </c>
      <c r="D691" s="6">
        <v>3</v>
      </c>
      <c r="E691" s="6" t="s">
        <v>111</v>
      </c>
      <c r="F691" s="6" t="s">
        <v>375</v>
      </c>
      <c r="G691" s="6" t="s">
        <v>117</v>
      </c>
      <c r="H691" s="6" t="s">
        <v>202</v>
      </c>
      <c r="I691" s="6" t="s">
        <v>91</v>
      </c>
      <c r="J691" s="6" t="s">
        <v>374</v>
      </c>
      <c r="K691" s="6" t="s">
        <v>384</v>
      </c>
      <c r="L691" s="6" t="str">
        <f>IF(J691="כן", K691, VLOOKUP(LEFT(H691, 7), 'קטלוג תרחישים'!$A:$M, 13, FALSE))</f>
        <v>א'</v>
      </c>
      <c r="M691" s="10"/>
      <c r="N691" s="24" t="s">
        <v>357</v>
      </c>
      <c r="O691" s="10" t="str" cm="1">
        <f t="array" ref="O691">_xlfn.IFS(N691="A","א'", N691="B", "ב'", N691= "C", "ג'")</f>
        <v>ב'</v>
      </c>
      <c r="P691" s="10">
        <f>IF(Table_2[[#This Row],[Correct_Answer]]=Table_2[[#This Row],[System_Recommendation]],1,0)</f>
        <v>0</v>
      </c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6" t="s">
        <v>178</v>
      </c>
      <c r="B692" s="6">
        <v>31</v>
      </c>
      <c r="C692" s="6" t="s">
        <v>372</v>
      </c>
      <c r="D692" s="6">
        <v>3</v>
      </c>
      <c r="E692" s="6" t="s">
        <v>111</v>
      </c>
      <c r="F692" s="6" t="s">
        <v>375</v>
      </c>
      <c r="G692" s="6" t="s">
        <v>117</v>
      </c>
      <c r="H692" s="6" t="s">
        <v>203</v>
      </c>
      <c r="I692" s="6" t="s">
        <v>100</v>
      </c>
      <c r="J692" s="6" t="s">
        <v>371</v>
      </c>
      <c r="K692" s="6" t="s">
        <v>385</v>
      </c>
      <c r="L692" s="6" t="str">
        <f>IF(J692="כן", K692, VLOOKUP(LEFT(H692, 7), 'קטלוג תרחישים'!$A:$M, 13, FALSE))</f>
        <v>ג</v>
      </c>
      <c r="M692" s="10"/>
      <c r="N692" s="23" t="s">
        <v>358</v>
      </c>
      <c r="O692" s="10" t="str" cm="1">
        <f t="array" ref="O692">_xlfn.IFS(N692="A","א'", N692="B", "ב'", N692= "C", "ג'")</f>
        <v>ג'</v>
      </c>
      <c r="P692" s="10">
        <f>IF(Table_2[[#This Row],[Correct_Answer]]=Table_2[[#This Row],[System_Recommendation]],1,0)</f>
        <v>1</v>
      </c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6" t="s">
        <v>178</v>
      </c>
      <c r="B693" s="6">
        <v>32</v>
      </c>
      <c r="C693" s="6" t="s">
        <v>372</v>
      </c>
      <c r="D693" s="6">
        <v>3</v>
      </c>
      <c r="E693" s="6" t="s">
        <v>111</v>
      </c>
      <c r="F693" s="6" t="s">
        <v>375</v>
      </c>
      <c r="G693" s="6" t="s">
        <v>117</v>
      </c>
      <c r="H693" s="6" t="s">
        <v>204</v>
      </c>
      <c r="I693" s="6" t="s">
        <v>91</v>
      </c>
      <c r="J693" s="6" t="s">
        <v>371</v>
      </c>
      <c r="K693" s="6" t="s">
        <v>383</v>
      </c>
      <c r="L693" s="6" t="str">
        <f>IF(J693="כן", K693, VLOOKUP(LEFT(H693, 7), 'קטלוג תרחישים'!$A:$M, 13, FALSE))</f>
        <v>א'</v>
      </c>
      <c r="M693" s="10"/>
      <c r="N693" s="24" t="s">
        <v>352</v>
      </c>
      <c r="O693" s="10" t="str" cm="1">
        <f t="array" ref="O693">_xlfn.IFS(N693="A","א'", N693="B", "ב'", N693= "C", "ג'")</f>
        <v>א'</v>
      </c>
      <c r="P693" s="10">
        <f>IF(Table_2[[#This Row],[Correct_Answer]]=Table_2[[#This Row],[System_Recommendation]],1,0)</f>
        <v>1</v>
      </c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6" t="s">
        <v>178</v>
      </c>
      <c r="B694" s="6">
        <v>33</v>
      </c>
      <c r="C694" s="6" t="s">
        <v>372</v>
      </c>
      <c r="D694" s="6">
        <v>3</v>
      </c>
      <c r="E694" s="6" t="s">
        <v>111</v>
      </c>
      <c r="F694" s="6" t="s">
        <v>375</v>
      </c>
      <c r="G694" s="6" t="s">
        <v>117</v>
      </c>
      <c r="H694" s="6" t="s">
        <v>205</v>
      </c>
      <c r="I694" s="6" t="s">
        <v>100</v>
      </c>
      <c r="J694" s="6" t="s">
        <v>374</v>
      </c>
      <c r="K694" s="6" t="s">
        <v>383</v>
      </c>
      <c r="L694" s="6" t="str">
        <f>IF(J694="כן", K694, VLOOKUP(LEFT(H694, 7), 'קטלוג תרחישים'!$A:$M, 13, FALSE))</f>
        <v>ג'</v>
      </c>
      <c r="M694" s="10"/>
      <c r="N694" s="23" t="s">
        <v>352</v>
      </c>
      <c r="O694" s="10" t="str" cm="1">
        <f t="array" ref="O694">_xlfn.IFS(N694="A","א'", N694="B", "ב'", N694= "C", "ג'")</f>
        <v>א'</v>
      </c>
      <c r="P694" s="10">
        <f>IF(Table_2[[#This Row],[Correct_Answer]]=Table_2[[#This Row],[System_Recommendation]],1,0)</f>
        <v>0</v>
      </c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6" t="s">
        <v>206</v>
      </c>
      <c r="B695" s="6">
        <v>1</v>
      </c>
      <c r="C695" s="6" t="s">
        <v>370</v>
      </c>
      <c r="D695" s="6"/>
      <c r="E695" s="6" t="s">
        <v>98</v>
      </c>
      <c r="F695" s="6"/>
      <c r="G695" s="6"/>
      <c r="H695" s="8" t="s">
        <v>90</v>
      </c>
      <c r="I695" s="6" t="s">
        <v>91</v>
      </c>
      <c r="J695" s="6" t="s">
        <v>371</v>
      </c>
      <c r="K695" s="6" t="s">
        <v>385</v>
      </c>
      <c r="L695" s="6" t="str">
        <f>IF(J695="כן", K695, VLOOKUP(LEFT(H695, 7), 'קטלוג תרחישים'!$A:$M, 13, FALSE))</f>
        <v>ג</v>
      </c>
      <c r="M695" s="10"/>
      <c r="N695" s="24" t="s">
        <v>358</v>
      </c>
      <c r="O695" s="10" t="str" cm="1">
        <f t="array" ref="O695">_xlfn.IFS(N695="A","א'", N695="B", "ב'", N695= "C", "ג'")</f>
        <v>ג'</v>
      </c>
      <c r="P695" s="10">
        <f>IF(Table_2[[#This Row],[Correct_Answer]]=Table_2[[#This Row],[System_Recommendation]],1,0)</f>
        <v>1</v>
      </c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6" t="s">
        <v>206</v>
      </c>
      <c r="B696" s="6">
        <v>2</v>
      </c>
      <c r="C696" s="6" t="s">
        <v>370</v>
      </c>
      <c r="D696" s="6"/>
      <c r="E696" s="6" t="s">
        <v>98</v>
      </c>
      <c r="F696" s="6"/>
      <c r="G696" s="6"/>
      <c r="H696" s="8" t="s">
        <v>92</v>
      </c>
      <c r="I696" s="6" t="s">
        <v>91</v>
      </c>
      <c r="J696" s="6" t="s">
        <v>371</v>
      </c>
      <c r="K696" s="6" t="s">
        <v>385</v>
      </c>
      <c r="L696" s="6" t="str">
        <f>IF(J696="כן", K696, VLOOKUP(LEFT(H696, 7), 'קטלוג תרחישים'!$A:$M, 13, FALSE))</f>
        <v>ג</v>
      </c>
      <c r="M696" s="10"/>
      <c r="N696" s="23" t="s">
        <v>358</v>
      </c>
      <c r="O696" s="10" t="str" cm="1">
        <f t="array" ref="O696">_xlfn.IFS(N696="A","א'", N696="B", "ב'", N696= "C", "ג'")</f>
        <v>ג'</v>
      </c>
      <c r="P696" s="10">
        <f>IF(Table_2[[#This Row],[Correct_Answer]]=Table_2[[#This Row],[System_Recommendation]],1,0)</f>
        <v>1</v>
      </c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6" t="s">
        <v>206</v>
      </c>
      <c r="B697" s="6">
        <v>3</v>
      </c>
      <c r="C697" s="6" t="s">
        <v>370</v>
      </c>
      <c r="D697" s="6"/>
      <c r="E697" s="6" t="s">
        <v>105</v>
      </c>
      <c r="F697" s="6"/>
      <c r="G697" s="6"/>
      <c r="H697" s="8" t="s">
        <v>93</v>
      </c>
      <c r="I697" s="6" t="s">
        <v>91</v>
      </c>
      <c r="J697" s="6" t="s">
        <v>371</v>
      </c>
      <c r="K697" s="6" t="s">
        <v>385</v>
      </c>
      <c r="L697" s="6" t="str">
        <f>IF(J697="כן", K697, VLOOKUP(LEFT(H697, 7), 'קטלוג תרחישים'!$A:$M, 13, FALSE))</f>
        <v>ג</v>
      </c>
      <c r="M697" s="10"/>
      <c r="N697" s="24" t="s">
        <v>358</v>
      </c>
      <c r="O697" s="10" t="str" cm="1">
        <f t="array" ref="O697">_xlfn.IFS(N697="A","א'", N697="B", "ב'", N697= "C", "ג'")</f>
        <v>ג'</v>
      </c>
      <c r="P697" s="10">
        <f>IF(Table_2[[#This Row],[Correct_Answer]]=Table_2[[#This Row],[System_Recommendation]],1,0)</f>
        <v>1</v>
      </c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6" t="s">
        <v>206</v>
      </c>
      <c r="B698" s="6">
        <v>4</v>
      </c>
      <c r="C698" s="6" t="s">
        <v>370</v>
      </c>
      <c r="D698" s="6"/>
      <c r="E698" s="6" t="s">
        <v>105</v>
      </c>
      <c r="F698" s="6"/>
      <c r="G698" s="6"/>
      <c r="H698" s="8" t="s">
        <v>94</v>
      </c>
      <c r="I698" s="6" t="s">
        <v>91</v>
      </c>
      <c r="J698" s="6" t="s">
        <v>371</v>
      </c>
      <c r="K698" s="6" t="s">
        <v>384</v>
      </c>
      <c r="L698" s="6" t="str">
        <f>IF(J698="כן", K698, VLOOKUP(LEFT(H698, 7), 'קטלוג תרחישים'!$A:$M, 13, FALSE))</f>
        <v>ב'</v>
      </c>
      <c r="M698" s="10"/>
      <c r="N698" s="23" t="s">
        <v>357</v>
      </c>
      <c r="O698" s="10" t="str" cm="1">
        <f t="array" ref="O698">_xlfn.IFS(N698="A","א'", N698="B", "ב'", N698= "C", "ג'")</f>
        <v>ב'</v>
      </c>
      <c r="P698" s="10">
        <f>IF(Table_2[[#This Row],[Correct_Answer]]=Table_2[[#This Row],[System_Recommendation]],1,0)</f>
        <v>1</v>
      </c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6" t="s">
        <v>206</v>
      </c>
      <c r="B699" s="6">
        <v>5</v>
      </c>
      <c r="C699" s="6" t="s">
        <v>370</v>
      </c>
      <c r="D699" s="6"/>
      <c r="E699" s="6" t="s">
        <v>111</v>
      </c>
      <c r="F699" s="6"/>
      <c r="G699" s="6"/>
      <c r="H699" s="8" t="s">
        <v>95</v>
      </c>
      <c r="I699" s="6" t="s">
        <v>91</v>
      </c>
      <c r="J699" s="6" t="s">
        <v>371</v>
      </c>
      <c r="K699" s="6" t="s">
        <v>383</v>
      </c>
      <c r="L699" s="6" t="str">
        <f>IF(J699="כן", K699, VLOOKUP(LEFT(H699, 7), 'קטלוג תרחישים'!$A:$M, 13, FALSE))</f>
        <v>א'</v>
      </c>
      <c r="M699" s="10"/>
      <c r="N699" s="24" t="s">
        <v>352</v>
      </c>
      <c r="O699" s="10" t="str" cm="1">
        <f t="array" ref="O699">_xlfn.IFS(N699="A","א'", N699="B", "ב'", N699= "C", "ג'")</f>
        <v>א'</v>
      </c>
      <c r="P699" s="10">
        <f>IF(Table_2[[#This Row],[Correct_Answer]]=Table_2[[#This Row],[System_Recommendation]],1,0)</f>
        <v>1</v>
      </c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6" t="s">
        <v>206</v>
      </c>
      <c r="B700" s="6">
        <v>6</v>
      </c>
      <c r="C700" s="6" t="s">
        <v>370</v>
      </c>
      <c r="D700" s="6"/>
      <c r="E700" s="6" t="s">
        <v>111</v>
      </c>
      <c r="F700" s="6"/>
      <c r="G700" s="6"/>
      <c r="H700" s="8" t="s">
        <v>96</v>
      </c>
      <c r="I700" s="6" t="s">
        <v>91</v>
      </c>
      <c r="J700" s="6" t="s">
        <v>371</v>
      </c>
      <c r="K700" s="6" t="s">
        <v>385</v>
      </c>
      <c r="L700" s="6" t="str">
        <f>IF(J700="כן", K700, VLOOKUP(LEFT(H700, 7), 'קטלוג תרחישים'!$A:$M, 13, FALSE))</f>
        <v>ג</v>
      </c>
      <c r="M700" s="10"/>
      <c r="N700" s="23" t="s">
        <v>358</v>
      </c>
      <c r="O700" s="10" t="str" cm="1">
        <f t="array" ref="O700">_xlfn.IFS(N700="A","א'", N700="B", "ב'", N700= "C", "ג'")</f>
        <v>ג'</v>
      </c>
      <c r="P700" s="10">
        <f>IF(Table_2[[#This Row],[Correct_Answer]]=Table_2[[#This Row],[System_Recommendation]],1,0)</f>
        <v>1</v>
      </c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6" t="s">
        <v>206</v>
      </c>
      <c r="B701" s="6">
        <v>7</v>
      </c>
      <c r="C701" s="6" t="s">
        <v>372</v>
      </c>
      <c r="D701" s="6">
        <v>1</v>
      </c>
      <c r="E701" s="6" t="s">
        <v>105</v>
      </c>
      <c r="F701" s="6" t="s">
        <v>373</v>
      </c>
      <c r="G701" s="6" t="s">
        <v>117</v>
      </c>
      <c r="H701" s="6" t="s">
        <v>200</v>
      </c>
      <c r="I701" s="6" t="s">
        <v>91</v>
      </c>
      <c r="J701" s="6" t="s">
        <v>371</v>
      </c>
      <c r="K701" s="6" t="s">
        <v>385</v>
      </c>
      <c r="L701" s="6" t="str">
        <f>IF(J701="כן", K701, VLOOKUP(LEFT(H701, 7), 'קטלוג תרחישים'!$A:$M, 13, FALSE))</f>
        <v>ג</v>
      </c>
      <c r="M701" s="10"/>
      <c r="N701" s="24" t="s">
        <v>358</v>
      </c>
      <c r="O701" s="10" t="str" cm="1">
        <f t="array" ref="O701">_xlfn.IFS(N701="A","א'", N701="B", "ב'", N701= "C", "ג'")</f>
        <v>ג'</v>
      </c>
      <c r="P701" s="10">
        <f>IF(Table_2[[#This Row],[Correct_Answer]]=Table_2[[#This Row],[System_Recommendation]],1,0)</f>
        <v>1</v>
      </c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6" t="s">
        <v>206</v>
      </c>
      <c r="B702" s="6">
        <v>8</v>
      </c>
      <c r="C702" s="6" t="s">
        <v>372</v>
      </c>
      <c r="D702" s="6">
        <v>1</v>
      </c>
      <c r="E702" s="6" t="s">
        <v>105</v>
      </c>
      <c r="F702" s="6" t="s">
        <v>373</v>
      </c>
      <c r="G702" s="6" t="s">
        <v>117</v>
      </c>
      <c r="H702" s="6" t="s">
        <v>201</v>
      </c>
      <c r="I702" s="6" t="s">
        <v>100</v>
      </c>
      <c r="J702" s="6" t="s">
        <v>371</v>
      </c>
      <c r="K702" s="6" t="s">
        <v>384</v>
      </c>
      <c r="L702" s="6" t="str">
        <f>IF(J702="כן", K702, VLOOKUP(LEFT(H702, 7), 'קטלוג תרחישים'!$A:$M, 13, FALSE))</f>
        <v>ב'</v>
      </c>
      <c r="M702" s="10"/>
      <c r="N702" s="23" t="s">
        <v>357</v>
      </c>
      <c r="O702" s="10" t="str" cm="1">
        <f t="array" ref="O702">_xlfn.IFS(N702="A","א'", N702="B", "ב'", N702= "C", "ג'")</f>
        <v>ב'</v>
      </c>
      <c r="P702" s="10">
        <f>IF(Table_2[[#This Row],[Correct_Answer]]=Table_2[[#This Row],[System_Recommendation]],1,0)</f>
        <v>1</v>
      </c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6" t="s">
        <v>206</v>
      </c>
      <c r="B703" s="6">
        <v>9</v>
      </c>
      <c r="C703" s="6" t="s">
        <v>372</v>
      </c>
      <c r="D703" s="6">
        <v>1</v>
      </c>
      <c r="E703" s="6" t="s">
        <v>105</v>
      </c>
      <c r="F703" s="6" t="s">
        <v>373</v>
      </c>
      <c r="G703" s="6" t="s">
        <v>117</v>
      </c>
      <c r="H703" s="6" t="s">
        <v>198</v>
      </c>
      <c r="I703" s="6" t="s">
        <v>91</v>
      </c>
      <c r="J703" s="6" t="s">
        <v>374</v>
      </c>
      <c r="K703" s="6" t="s">
        <v>384</v>
      </c>
      <c r="L703" s="6" t="str">
        <f>IF(J703="כן", K703, VLOOKUP(LEFT(H703, 7), 'קטלוג תרחישים'!$A:$M, 13, FALSE))</f>
        <v>א'</v>
      </c>
      <c r="M703" s="10"/>
      <c r="N703" s="24" t="s">
        <v>357</v>
      </c>
      <c r="O703" s="10" t="str" cm="1">
        <f t="array" ref="O703">_xlfn.IFS(N703="A","א'", N703="B", "ב'", N703= "C", "ג'")</f>
        <v>ב'</v>
      </c>
      <c r="P703" s="10">
        <f>IF(Table_2[[#This Row],[Correct_Answer]]=Table_2[[#This Row],[System_Recommendation]],1,0)</f>
        <v>0</v>
      </c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6" t="s">
        <v>206</v>
      </c>
      <c r="B704" s="6">
        <v>10</v>
      </c>
      <c r="C704" s="6" t="s">
        <v>372</v>
      </c>
      <c r="D704" s="6">
        <v>1</v>
      </c>
      <c r="E704" s="6" t="s">
        <v>105</v>
      </c>
      <c r="F704" s="6" t="s">
        <v>373</v>
      </c>
      <c r="G704" s="6" t="s">
        <v>117</v>
      </c>
      <c r="H704" s="6" t="s">
        <v>199</v>
      </c>
      <c r="I704" s="6" t="s">
        <v>100</v>
      </c>
      <c r="J704" s="6" t="s">
        <v>374</v>
      </c>
      <c r="K704" s="6" t="s">
        <v>384</v>
      </c>
      <c r="L704" s="6" t="str">
        <f>IF(J704="כן", K704, VLOOKUP(LEFT(H704, 7), 'קטלוג תרחישים'!$A:$M, 13, FALSE))</f>
        <v>ב'</v>
      </c>
      <c r="M704" s="10"/>
      <c r="N704" s="23" t="s">
        <v>357</v>
      </c>
      <c r="O704" s="10" t="str" cm="1">
        <f t="array" ref="O704">_xlfn.IFS(N704="A","א'", N704="B", "ב'", N704= "C", "ג'")</f>
        <v>ב'</v>
      </c>
      <c r="P704" s="10">
        <f>IF(Table_2[[#This Row],[Correct_Answer]]=Table_2[[#This Row],[System_Recommendation]],1,0)</f>
        <v>1</v>
      </c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6" t="s">
        <v>206</v>
      </c>
      <c r="B705" s="6">
        <v>11</v>
      </c>
      <c r="C705" s="6" t="s">
        <v>372</v>
      </c>
      <c r="D705" s="6">
        <v>2</v>
      </c>
      <c r="E705" s="6" t="s">
        <v>111</v>
      </c>
      <c r="F705" s="6" t="s">
        <v>373</v>
      </c>
      <c r="G705" s="6" t="s">
        <v>117</v>
      </c>
      <c r="H705" s="6" t="s">
        <v>204</v>
      </c>
      <c r="I705" s="6" t="s">
        <v>91</v>
      </c>
      <c r="J705" s="6" t="s">
        <v>374</v>
      </c>
      <c r="K705" s="6" t="s">
        <v>383</v>
      </c>
      <c r="L705" s="6" t="str">
        <f>IF(J705="כן", K705, VLOOKUP(LEFT(H705, 7), 'קטלוג תרחישים'!$A:$M, 13, FALSE))</f>
        <v>ג'</v>
      </c>
      <c r="M705" s="10"/>
      <c r="N705" s="24" t="s">
        <v>352</v>
      </c>
      <c r="O705" s="10" t="str" cm="1">
        <f t="array" ref="O705">_xlfn.IFS(N705="A","א'", N705="B", "ב'", N705= "C", "ג'")</f>
        <v>א'</v>
      </c>
      <c r="P705" s="10">
        <f>IF(Table_2[[#This Row],[Correct_Answer]]=Table_2[[#This Row],[System_Recommendation]],1,0)</f>
        <v>0</v>
      </c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6" t="s">
        <v>206</v>
      </c>
      <c r="B706" s="6">
        <v>12</v>
      </c>
      <c r="C706" s="6" t="s">
        <v>372</v>
      </c>
      <c r="D706" s="6">
        <v>2</v>
      </c>
      <c r="E706" s="6" t="s">
        <v>111</v>
      </c>
      <c r="F706" s="6" t="s">
        <v>373</v>
      </c>
      <c r="G706" s="6" t="s">
        <v>117</v>
      </c>
      <c r="H706" s="6" t="s">
        <v>205</v>
      </c>
      <c r="I706" s="6" t="s">
        <v>100</v>
      </c>
      <c r="J706" s="6" t="s">
        <v>374</v>
      </c>
      <c r="K706" s="6" t="s">
        <v>385</v>
      </c>
      <c r="L706" s="6" t="str">
        <f>IF(J706="כן", K706, VLOOKUP(LEFT(H706, 7), 'קטלוג תרחישים'!$A:$M, 13, FALSE))</f>
        <v>ג'</v>
      </c>
      <c r="M706" s="10"/>
      <c r="N706" s="23" t="s">
        <v>358</v>
      </c>
      <c r="O706" s="10" t="str" cm="1">
        <f t="array" ref="O706">_xlfn.IFS(N706="A","א'", N706="B", "ב'", N706= "C", "ג'")</f>
        <v>ג'</v>
      </c>
      <c r="P706" s="10">
        <f>IF(Table_2[[#This Row],[Correct_Answer]]=Table_2[[#This Row],[System_Recommendation]],1,0)</f>
        <v>0</v>
      </c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6" t="s">
        <v>206</v>
      </c>
      <c r="B707" s="6">
        <v>13</v>
      </c>
      <c r="C707" s="6" t="s">
        <v>372</v>
      </c>
      <c r="D707" s="6">
        <v>2</v>
      </c>
      <c r="E707" s="6" t="s">
        <v>111</v>
      </c>
      <c r="F707" s="6" t="s">
        <v>373</v>
      </c>
      <c r="G707" s="6" t="s">
        <v>117</v>
      </c>
      <c r="H707" s="6" t="s">
        <v>202</v>
      </c>
      <c r="I707" s="6" t="s">
        <v>91</v>
      </c>
      <c r="J707" s="6" t="s">
        <v>371</v>
      </c>
      <c r="K707" s="6" t="s">
        <v>384</v>
      </c>
      <c r="L707" s="6" t="str">
        <f>IF(J707="כן", K707, VLOOKUP(LEFT(H707, 7), 'קטלוג תרחישים'!$A:$M, 13, FALSE))</f>
        <v>ב'</v>
      </c>
      <c r="M707" s="10"/>
      <c r="N707" s="24" t="s">
        <v>357</v>
      </c>
      <c r="O707" s="10" t="str" cm="1">
        <f t="array" ref="O707">_xlfn.IFS(N707="A","א'", N707="B", "ב'", N707= "C", "ג'")</f>
        <v>ב'</v>
      </c>
      <c r="P707" s="10">
        <f>IF(Table_2[[#This Row],[Correct_Answer]]=Table_2[[#This Row],[System_Recommendation]],1,0)</f>
        <v>1</v>
      </c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6" t="s">
        <v>206</v>
      </c>
      <c r="B708" s="6">
        <v>14</v>
      </c>
      <c r="C708" s="6" t="s">
        <v>372</v>
      </c>
      <c r="D708" s="6">
        <v>2</v>
      </c>
      <c r="E708" s="6" t="s">
        <v>111</v>
      </c>
      <c r="F708" s="6" t="s">
        <v>373</v>
      </c>
      <c r="G708" s="6" t="s">
        <v>117</v>
      </c>
      <c r="H708" s="6" t="s">
        <v>203</v>
      </c>
      <c r="I708" s="6" t="s">
        <v>100</v>
      </c>
      <c r="J708" s="6" t="s">
        <v>371</v>
      </c>
      <c r="K708" s="6" t="s">
        <v>385</v>
      </c>
      <c r="L708" s="6" t="str">
        <f>IF(J708="כן", K708, VLOOKUP(LEFT(H708, 7), 'קטלוג תרחישים'!$A:$M, 13, FALSE))</f>
        <v>ג</v>
      </c>
      <c r="M708" s="10"/>
      <c r="N708" s="23" t="s">
        <v>358</v>
      </c>
      <c r="O708" s="10" t="str" cm="1">
        <f t="array" ref="O708">_xlfn.IFS(N708="A","א'", N708="B", "ב'", N708= "C", "ג'")</f>
        <v>ג'</v>
      </c>
      <c r="P708" s="10">
        <f>IF(Table_2[[#This Row],[Correct_Answer]]=Table_2[[#This Row],[System_Recommendation]],1,0)</f>
        <v>1</v>
      </c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6" t="s">
        <v>206</v>
      </c>
      <c r="B709" s="6">
        <v>15</v>
      </c>
      <c r="C709" s="6" t="s">
        <v>372</v>
      </c>
      <c r="D709" s="6">
        <v>3</v>
      </c>
      <c r="E709" s="6" t="s">
        <v>98</v>
      </c>
      <c r="F709" s="6" t="s">
        <v>373</v>
      </c>
      <c r="G709" s="6" t="s">
        <v>117</v>
      </c>
      <c r="H709" s="6" t="s">
        <v>194</v>
      </c>
      <c r="I709" s="6" t="s">
        <v>91</v>
      </c>
      <c r="J709" s="6" t="s">
        <v>371</v>
      </c>
      <c r="K709" s="6" t="s">
        <v>383</v>
      </c>
      <c r="L709" s="6" t="str">
        <f>IF(J709="כן", K709, VLOOKUP(LEFT(H709, 7), 'קטלוג תרחישים'!$A:$M, 13, FALSE))</f>
        <v>א'</v>
      </c>
      <c r="M709" s="10"/>
      <c r="N709" s="24" t="s">
        <v>352</v>
      </c>
      <c r="O709" s="10" t="str" cm="1">
        <f t="array" ref="O709">_xlfn.IFS(N709="A","א'", N709="B", "ב'", N709= "C", "ג'")</f>
        <v>א'</v>
      </c>
      <c r="P709" s="10">
        <f>IF(Table_2[[#This Row],[Correct_Answer]]=Table_2[[#This Row],[System_Recommendation]],1,0)</f>
        <v>1</v>
      </c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6" t="s">
        <v>206</v>
      </c>
      <c r="B710" s="6">
        <v>16</v>
      </c>
      <c r="C710" s="6" t="s">
        <v>372</v>
      </c>
      <c r="D710" s="6">
        <v>3</v>
      </c>
      <c r="E710" s="6" t="s">
        <v>98</v>
      </c>
      <c r="F710" s="6" t="s">
        <v>373</v>
      </c>
      <c r="G710" s="6" t="s">
        <v>117</v>
      </c>
      <c r="H710" s="6" t="s">
        <v>195</v>
      </c>
      <c r="I710" s="6" t="s">
        <v>100</v>
      </c>
      <c r="J710" s="6" t="s">
        <v>374</v>
      </c>
      <c r="K710" s="6" t="s">
        <v>385</v>
      </c>
      <c r="L710" s="6" t="str">
        <f>IF(J710="כן", K710, VLOOKUP(LEFT(H710, 7), 'קטלוג תרחישים'!$A:$M, 13, FALSE))</f>
        <v>ב'</v>
      </c>
      <c r="M710" s="10"/>
      <c r="N710" s="23" t="s">
        <v>358</v>
      </c>
      <c r="O710" s="10" t="str" cm="1">
        <f t="array" ref="O710">_xlfn.IFS(N710="A","א'", N710="B", "ב'", N710= "C", "ג'")</f>
        <v>ג'</v>
      </c>
      <c r="P710" s="10">
        <f>IF(Table_2[[#This Row],[Correct_Answer]]=Table_2[[#This Row],[System_Recommendation]],1,0)</f>
        <v>0</v>
      </c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6" t="s">
        <v>206</v>
      </c>
      <c r="B711" s="6">
        <v>17</v>
      </c>
      <c r="C711" s="6" t="s">
        <v>372</v>
      </c>
      <c r="D711" s="6">
        <v>3</v>
      </c>
      <c r="E711" s="6" t="s">
        <v>98</v>
      </c>
      <c r="F711" s="6" t="s">
        <v>373</v>
      </c>
      <c r="G711" s="6" t="s">
        <v>117</v>
      </c>
      <c r="H711" s="6" t="s">
        <v>196</v>
      </c>
      <c r="I711" s="6" t="s">
        <v>91</v>
      </c>
      <c r="J711" s="6" t="s">
        <v>374</v>
      </c>
      <c r="K711" s="6" t="s">
        <v>385</v>
      </c>
      <c r="L711" s="6" t="str">
        <f>IF(J711="כן", K711, VLOOKUP(LEFT(H711, 7), 'קטלוג תרחישים'!$A:$M, 13, FALSE))</f>
        <v>א'</v>
      </c>
      <c r="M711" s="10"/>
      <c r="N711" s="24" t="s">
        <v>358</v>
      </c>
      <c r="O711" s="10" t="str" cm="1">
        <f t="array" ref="O711">_xlfn.IFS(N711="A","א'", N711="B", "ב'", N711= "C", "ג'")</f>
        <v>ג'</v>
      </c>
      <c r="P711" s="10">
        <f>IF(Table_2[[#This Row],[Correct_Answer]]=Table_2[[#This Row],[System_Recommendation]],1,0)</f>
        <v>0</v>
      </c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6" t="s">
        <v>206</v>
      </c>
      <c r="B712" s="6">
        <v>18</v>
      </c>
      <c r="C712" s="6" t="s">
        <v>372</v>
      </c>
      <c r="D712" s="6">
        <v>3</v>
      </c>
      <c r="E712" s="6" t="s">
        <v>98</v>
      </c>
      <c r="F712" s="6" t="s">
        <v>373</v>
      </c>
      <c r="G712" s="6" t="s">
        <v>117</v>
      </c>
      <c r="H712" s="6" t="s">
        <v>197</v>
      </c>
      <c r="I712" s="6" t="s">
        <v>100</v>
      </c>
      <c r="J712" s="6" t="s">
        <v>371</v>
      </c>
      <c r="K712" s="6" t="s">
        <v>384</v>
      </c>
      <c r="L712" s="6" t="str">
        <f>IF(J712="כן", K712, VLOOKUP(LEFT(H712, 7), 'קטלוג תרחישים'!$A:$M, 13, FALSE))</f>
        <v>ב'</v>
      </c>
      <c r="M712" s="10"/>
      <c r="N712" s="23" t="s">
        <v>357</v>
      </c>
      <c r="O712" s="10" t="str" cm="1">
        <f t="array" ref="O712">_xlfn.IFS(N712="A","א'", N712="B", "ב'", N712= "C", "ג'")</f>
        <v>ב'</v>
      </c>
      <c r="P712" s="10">
        <f>IF(Table_2[[#This Row],[Correct_Answer]]=Table_2[[#This Row],[System_Recommendation]],1,0)</f>
        <v>1</v>
      </c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6" t="s">
        <v>206</v>
      </c>
      <c r="B713" s="6">
        <v>19</v>
      </c>
      <c r="C713" s="6" t="s">
        <v>372</v>
      </c>
      <c r="D713" s="6">
        <v>1</v>
      </c>
      <c r="E713" s="6" t="s">
        <v>98</v>
      </c>
      <c r="F713" s="6" t="s">
        <v>375</v>
      </c>
      <c r="G713" s="6" t="s">
        <v>97</v>
      </c>
      <c r="H713" s="6" t="s">
        <v>188</v>
      </c>
      <c r="I713" s="6" t="s">
        <v>91</v>
      </c>
      <c r="J713" s="6" t="s">
        <v>371</v>
      </c>
      <c r="K713" s="6" t="s">
        <v>383</v>
      </c>
      <c r="L713" s="6" t="str">
        <f>IF(J713="כן", K713, VLOOKUP(LEFT(H713, 7), 'קטלוג תרחישים'!$A:$M, 13, FALSE))</f>
        <v>א'</v>
      </c>
      <c r="M713" s="10"/>
      <c r="N713" s="24" t="s">
        <v>352</v>
      </c>
      <c r="O713" s="10" t="str" cm="1">
        <f t="array" ref="O713">_xlfn.IFS(N713="A","א'", N713="B", "ב'", N713= "C", "ג'")</f>
        <v>א'</v>
      </c>
      <c r="P713" s="10">
        <f>IF(Table_2[[#This Row],[Correct_Answer]]=Table_2[[#This Row],[System_Recommendation]],1,0)</f>
        <v>1</v>
      </c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6" t="s">
        <v>206</v>
      </c>
      <c r="B714" s="6">
        <v>20</v>
      </c>
      <c r="C714" s="6" t="s">
        <v>372</v>
      </c>
      <c r="D714" s="6">
        <v>1</v>
      </c>
      <c r="E714" s="6" t="s">
        <v>98</v>
      </c>
      <c r="F714" s="6" t="s">
        <v>375</v>
      </c>
      <c r="G714" s="6" t="s">
        <v>97</v>
      </c>
      <c r="H714" s="6" t="s">
        <v>187</v>
      </c>
      <c r="I714" s="6" t="s">
        <v>100</v>
      </c>
      <c r="J714" s="6" t="s">
        <v>371</v>
      </c>
      <c r="K714" s="6" t="s">
        <v>383</v>
      </c>
      <c r="L714" s="6" t="str">
        <f>IF(J714="כן", K714, VLOOKUP(LEFT(H714, 7), 'קטלוג תרחישים'!$A:$M, 13, FALSE))</f>
        <v>א'</v>
      </c>
      <c r="M714" s="10"/>
      <c r="N714" s="23" t="s">
        <v>352</v>
      </c>
      <c r="O714" s="10" t="str" cm="1">
        <f t="array" ref="O714">_xlfn.IFS(N714="A","א'", N714="B", "ב'", N714= "C", "ג'")</f>
        <v>א'</v>
      </c>
      <c r="P714" s="10">
        <f>IF(Table_2[[#This Row],[Correct_Answer]]=Table_2[[#This Row],[System_Recommendation]],1,0)</f>
        <v>1</v>
      </c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6" t="s">
        <v>206</v>
      </c>
      <c r="B715" s="6">
        <v>21</v>
      </c>
      <c r="C715" s="6" t="s">
        <v>372</v>
      </c>
      <c r="D715" s="6">
        <v>1</v>
      </c>
      <c r="E715" s="6" t="s">
        <v>98</v>
      </c>
      <c r="F715" s="6" t="s">
        <v>375</v>
      </c>
      <c r="G715" s="6" t="s">
        <v>97</v>
      </c>
      <c r="H715" s="6" t="s">
        <v>184</v>
      </c>
      <c r="I715" s="6" t="s">
        <v>91</v>
      </c>
      <c r="J715" s="6" t="s">
        <v>371</v>
      </c>
      <c r="K715" s="6" t="s">
        <v>383</v>
      </c>
      <c r="L715" s="6" t="str">
        <f>IF(J715="כן", K715, VLOOKUP(LEFT(H715, 7), 'קטלוג תרחישים'!$A:$M, 13, FALSE))</f>
        <v>א'</v>
      </c>
      <c r="M715" s="10"/>
      <c r="N715" s="24" t="s">
        <v>352</v>
      </c>
      <c r="O715" s="10" t="str" cm="1">
        <f t="array" ref="O715">_xlfn.IFS(N715="A","א'", N715="B", "ב'", N715= "C", "ג'")</f>
        <v>א'</v>
      </c>
      <c r="P715" s="10">
        <f>IF(Table_2[[#This Row],[Correct_Answer]]=Table_2[[#This Row],[System_Recommendation]],1,0)</f>
        <v>1</v>
      </c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6" t="s">
        <v>206</v>
      </c>
      <c r="B716" s="6">
        <v>22</v>
      </c>
      <c r="C716" s="6" t="s">
        <v>372</v>
      </c>
      <c r="D716" s="6">
        <v>1</v>
      </c>
      <c r="E716" s="6" t="s">
        <v>98</v>
      </c>
      <c r="F716" s="6" t="s">
        <v>375</v>
      </c>
      <c r="G716" s="6" t="s">
        <v>97</v>
      </c>
      <c r="H716" s="6" t="s">
        <v>185</v>
      </c>
      <c r="I716" s="6" t="s">
        <v>100</v>
      </c>
      <c r="J716" s="6" t="s">
        <v>374</v>
      </c>
      <c r="K716" s="6" t="s">
        <v>383</v>
      </c>
      <c r="L716" s="6" t="str">
        <f>IF(J716="כן", K716, VLOOKUP(LEFT(H716, 7), 'קטלוג תרחישים'!$A:$M, 13, FALSE))</f>
        <v>ג'</v>
      </c>
      <c r="M716" s="10"/>
      <c r="N716" s="23" t="s">
        <v>352</v>
      </c>
      <c r="O716" s="10" t="str" cm="1">
        <f t="array" ref="O716">_xlfn.IFS(N716="A","א'", N716="B", "ב'", N716= "C", "ג'")</f>
        <v>א'</v>
      </c>
      <c r="P716" s="10">
        <f>IF(Table_2[[#This Row],[Correct_Answer]]=Table_2[[#This Row],[System_Recommendation]],1,0)</f>
        <v>0</v>
      </c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6" t="s">
        <v>206</v>
      </c>
      <c r="B717" s="6">
        <v>23</v>
      </c>
      <c r="C717" s="6" t="s">
        <v>372</v>
      </c>
      <c r="D717" s="6">
        <v>1</v>
      </c>
      <c r="E717" s="6" t="s">
        <v>98</v>
      </c>
      <c r="F717" s="6" t="s">
        <v>375</v>
      </c>
      <c r="G717" s="6" t="s">
        <v>97</v>
      </c>
      <c r="H717" s="6" t="s">
        <v>186</v>
      </c>
      <c r="I717" s="6" t="s">
        <v>91</v>
      </c>
      <c r="J717" s="6" t="s">
        <v>371</v>
      </c>
      <c r="K717" s="6" t="s">
        <v>384</v>
      </c>
      <c r="L717" s="6" t="str">
        <f>IF(J717="כן", K717, VLOOKUP(LEFT(H717, 7), 'קטלוג תרחישים'!$A:$M, 13, FALSE))</f>
        <v>ב'</v>
      </c>
      <c r="M717" s="10"/>
      <c r="N717" s="24" t="s">
        <v>357</v>
      </c>
      <c r="O717" s="10" t="str" cm="1">
        <f t="array" ref="O717">_xlfn.IFS(N717="A","א'", N717="B", "ב'", N717= "C", "ג'")</f>
        <v>ב'</v>
      </c>
      <c r="P717" s="10">
        <f>IF(Table_2[[#This Row],[Correct_Answer]]=Table_2[[#This Row],[System_Recommendation]],1,0)</f>
        <v>1</v>
      </c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6" t="s">
        <v>206</v>
      </c>
      <c r="B718" s="6">
        <v>24</v>
      </c>
      <c r="C718" s="6" t="s">
        <v>372</v>
      </c>
      <c r="D718" s="6">
        <v>2</v>
      </c>
      <c r="E718" s="6" t="s">
        <v>105</v>
      </c>
      <c r="F718" s="6" t="s">
        <v>375</v>
      </c>
      <c r="G718" s="6" t="s">
        <v>97</v>
      </c>
      <c r="H718" s="6" t="s">
        <v>193</v>
      </c>
      <c r="I718" s="6" t="s">
        <v>91</v>
      </c>
      <c r="J718" s="6" t="s">
        <v>371</v>
      </c>
      <c r="K718" s="6" t="s">
        <v>384</v>
      </c>
      <c r="L718" s="6" t="str">
        <f>IF(J718="כן", K718, VLOOKUP(LEFT(H718, 7), 'קטלוג תרחישים'!$A:$M, 13, FALSE))</f>
        <v>ב'</v>
      </c>
      <c r="M718" s="10"/>
      <c r="N718" s="23" t="s">
        <v>357</v>
      </c>
      <c r="O718" s="10" t="str" cm="1">
        <f t="array" ref="O718">_xlfn.IFS(N718="A","א'", N718="B", "ב'", N718= "C", "ג'")</f>
        <v>ב'</v>
      </c>
      <c r="P718" s="10">
        <f>IF(Table_2[[#This Row],[Correct_Answer]]=Table_2[[#This Row],[System_Recommendation]],1,0)</f>
        <v>1</v>
      </c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6" t="s">
        <v>206</v>
      </c>
      <c r="B719" s="6">
        <v>25</v>
      </c>
      <c r="C719" s="6" t="s">
        <v>372</v>
      </c>
      <c r="D719" s="6">
        <v>2</v>
      </c>
      <c r="E719" s="6" t="s">
        <v>105</v>
      </c>
      <c r="F719" s="6" t="s">
        <v>375</v>
      </c>
      <c r="G719" s="6" t="s">
        <v>97</v>
      </c>
      <c r="H719" s="6" t="s">
        <v>192</v>
      </c>
      <c r="I719" s="6" t="s">
        <v>100</v>
      </c>
      <c r="J719" s="6" t="s">
        <v>371</v>
      </c>
      <c r="K719" s="6" t="s">
        <v>385</v>
      </c>
      <c r="L719" s="6" t="str">
        <f>IF(J719="כן", K719, VLOOKUP(LEFT(H719, 7), 'קטלוג תרחישים'!$A:$M, 13, FALSE))</f>
        <v>ג</v>
      </c>
      <c r="M719" s="10"/>
      <c r="N719" s="24" t="s">
        <v>358</v>
      </c>
      <c r="O719" s="10" t="str" cm="1">
        <f t="array" ref="O719">_xlfn.IFS(N719="A","א'", N719="B", "ב'", N719= "C", "ג'")</f>
        <v>ג'</v>
      </c>
      <c r="P719" s="10">
        <f>IF(Table_2[[#This Row],[Correct_Answer]]=Table_2[[#This Row],[System_Recommendation]],1,0)</f>
        <v>1</v>
      </c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6" t="s">
        <v>206</v>
      </c>
      <c r="B720" s="6">
        <v>26</v>
      </c>
      <c r="C720" s="6" t="s">
        <v>372</v>
      </c>
      <c r="D720" s="6">
        <v>2</v>
      </c>
      <c r="E720" s="6" t="s">
        <v>105</v>
      </c>
      <c r="F720" s="6" t="s">
        <v>375</v>
      </c>
      <c r="G720" s="6" t="s">
        <v>97</v>
      </c>
      <c r="H720" s="6" t="s">
        <v>189</v>
      </c>
      <c r="I720" s="6" t="s">
        <v>91</v>
      </c>
      <c r="J720" s="6" t="s">
        <v>371</v>
      </c>
      <c r="K720" s="6" t="s">
        <v>385</v>
      </c>
      <c r="L720" s="6" t="str">
        <f>IF(J720="כן", K720, VLOOKUP(LEFT(H720, 7), 'קטלוג תרחישים'!$A:$M, 13, FALSE))</f>
        <v>ג</v>
      </c>
      <c r="M720" s="10"/>
      <c r="N720" s="23" t="s">
        <v>358</v>
      </c>
      <c r="O720" s="10" t="str" cm="1">
        <f t="array" ref="O720">_xlfn.IFS(N720="A","א'", N720="B", "ב'", N720= "C", "ג'")</f>
        <v>ג'</v>
      </c>
      <c r="P720" s="10">
        <f>IF(Table_2[[#This Row],[Correct_Answer]]=Table_2[[#This Row],[System_Recommendation]],1,0)</f>
        <v>1</v>
      </c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6" t="s">
        <v>206</v>
      </c>
      <c r="B721" s="6">
        <v>27</v>
      </c>
      <c r="C721" s="6" t="s">
        <v>372</v>
      </c>
      <c r="D721" s="6">
        <v>2</v>
      </c>
      <c r="E721" s="6" t="s">
        <v>105</v>
      </c>
      <c r="F721" s="6" t="s">
        <v>375</v>
      </c>
      <c r="G721" s="6" t="s">
        <v>97</v>
      </c>
      <c r="H721" s="6" t="s">
        <v>190</v>
      </c>
      <c r="I721" s="6" t="s">
        <v>100</v>
      </c>
      <c r="J721" s="6" t="s">
        <v>374</v>
      </c>
      <c r="K721" s="6" t="s">
        <v>384</v>
      </c>
      <c r="L721" s="6" t="str">
        <f>IF(J721="כן", K721, VLOOKUP(LEFT(H721, 7), 'קטלוג תרחישים'!$A:$M, 13, FALSE))</f>
        <v>ב'</v>
      </c>
      <c r="M721" s="10"/>
      <c r="N721" s="24" t="s">
        <v>357</v>
      </c>
      <c r="O721" s="10" t="str" cm="1">
        <f t="array" ref="O721">_xlfn.IFS(N721="A","א'", N721="B", "ב'", N721= "C", "ג'")</f>
        <v>ב'</v>
      </c>
      <c r="P721" s="10">
        <f>IF(Table_2[[#This Row],[Correct_Answer]]=Table_2[[#This Row],[System_Recommendation]],1,0)</f>
        <v>1</v>
      </c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6" t="s">
        <v>206</v>
      </c>
      <c r="B722" s="6">
        <v>28</v>
      </c>
      <c r="C722" s="6" t="s">
        <v>372</v>
      </c>
      <c r="D722" s="6">
        <v>2</v>
      </c>
      <c r="E722" s="6" t="s">
        <v>105</v>
      </c>
      <c r="F722" s="6" t="s">
        <v>375</v>
      </c>
      <c r="G722" s="6" t="s">
        <v>97</v>
      </c>
      <c r="H722" s="6" t="s">
        <v>191</v>
      </c>
      <c r="I722" s="6" t="s">
        <v>91</v>
      </c>
      <c r="J722" s="6" t="s">
        <v>371</v>
      </c>
      <c r="K722" s="6" t="s">
        <v>385</v>
      </c>
      <c r="L722" s="6" t="str">
        <f>IF(J722="כן", K722, VLOOKUP(LEFT(H722, 7), 'קטלוג תרחישים'!$A:$M, 13, FALSE))</f>
        <v>ג</v>
      </c>
      <c r="M722" s="10"/>
      <c r="N722" s="23" t="s">
        <v>358</v>
      </c>
      <c r="O722" s="10" t="str" cm="1">
        <f t="array" ref="O722">_xlfn.IFS(N722="A","א'", N722="B", "ב'", N722= "C", "ג'")</f>
        <v>ג'</v>
      </c>
      <c r="P722" s="10">
        <f>IF(Table_2[[#This Row],[Correct_Answer]]=Table_2[[#This Row],[System_Recommendation]],1,0)</f>
        <v>1</v>
      </c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6" t="s">
        <v>206</v>
      </c>
      <c r="B723" s="6">
        <v>29</v>
      </c>
      <c r="C723" s="6" t="s">
        <v>372</v>
      </c>
      <c r="D723" s="6">
        <v>3</v>
      </c>
      <c r="E723" s="6" t="s">
        <v>111</v>
      </c>
      <c r="F723" s="6" t="s">
        <v>375</v>
      </c>
      <c r="G723" s="6" t="s">
        <v>97</v>
      </c>
      <c r="H723" s="6" t="s">
        <v>181</v>
      </c>
      <c r="I723" s="6" t="s">
        <v>100</v>
      </c>
      <c r="J723" s="6" t="s">
        <v>374</v>
      </c>
      <c r="K723" s="6" t="s">
        <v>385</v>
      </c>
      <c r="L723" s="6" t="str">
        <f>IF(J723="כן", K723, VLOOKUP(LEFT(H723, 7), 'קטלוג תרחישים'!$A:$M, 13, FALSE))</f>
        <v>א'</v>
      </c>
      <c r="M723" s="10"/>
      <c r="N723" s="24" t="s">
        <v>358</v>
      </c>
      <c r="O723" s="10" t="str" cm="1">
        <f t="array" ref="O723">_xlfn.IFS(N723="A","א'", N723="B", "ב'", N723= "C", "ג'")</f>
        <v>ג'</v>
      </c>
      <c r="P723" s="10">
        <f>IF(Table_2[[#This Row],[Correct_Answer]]=Table_2[[#This Row],[System_Recommendation]],1,0)</f>
        <v>0</v>
      </c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6" t="s">
        <v>206</v>
      </c>
      <c r="B724" s="6">
        <v>30</v>
      </c>
      <c r="C724" s="6" t="s">
        <v>372</v>
      </c>
      <c r="D724" s="6">
        <v>3</v>
      </c>
      <c r="E724" s="6" t="s">
        <v>111</v>
      </c>
      <c r="F724" s="6" t="s">
        <v>375</v>
      </c>
      <c r="G724" s="6" t="s">
        <v>97</v>
      </c>
      <c r="H724" s="6" t="s">
        <v>180</v>
      </c>
      <c r="I724" s="6" t="s">
        <v>91</v>
      </c>
      <c r="J724" s="6" t="s">
        <v>371</v>
      </c>
      <c r="K724" s="6" t="s">
        <v>384</v>
      </c>
      <c r="L724" s="6" t="str">
        <f>IF(J724="כן", K724, VLOOKUP(LEFT(H724, 7), 'קטלוג תרחישים'!$A:$M, 13, FALSE))</f>
        <v>ב'</v>
      </c>
      <c r="M724" s="10"/>
      <c r="N724" s="23" t="s">
        <v>357</v>
      </c>
      <c r="O724" s="10" t="str" cm="1">
        <f t="array" ref="O724">_xlfn.IFS(N724="A","א'", N724="B", "ב'", N724= "C", "ג'")</f>
        <v>ב'</v>
      </c>
      <c r="P724" s="10">
        <f>IF(Table_2[[#This Row],[Correct_Answer]]=Table_2[[#This Row],[System_Recommendation]],1,0)</f>
        <v>1</v>
      </c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6" t="s">
        <v>206</v>
      </c>
      <c r="B725" s="6">
        <v>31</v>
      </c>
      <c r="C725" s="6" t="s">
        <v>372</v>
      </c>
      <c r="D725" s="6">
        <v>3</v>
      </c>
      <c r="E725" s="6" t="s">
        <v>111</v>
      </c>
      <c r="F725" s="6" t="s">
        <v>375</v>
      </c>
      <c r="G725" s="6" t="s">
        <v>97</v>
      </c>
      <c r="H725" s="6" t="s">
        <v>183</v>
      </c>
      <c r="I725" s="6" t="s">
        <v>100</v>
      </c>
      <c r="J725" s="6" t="s">
        <v>371</v>
      </c>
      <c r="K725" s="6" t="s">
        <v>385</v>
      </c>
      <c r="L725" s="6" t="str">
        <f>IF(J725="כן", K725, VLOOKUP(LEFT(H725, 7), 'קטלוג תרחישים'!$A:$M, 13, FALSE))</f>
        <v>ג</v>
      </c>
      <c r="M725" s="10"/>
      <c r="N725" s="24" t="s">
        <v>358</v>
      </c>
      <c r="O725" s="10" t="str" cm="1">
        <f t="array" ref="O725">_xlfn.IFS(N725="A","א'", N725="B", "ב'", N725= "C", "ג'")</f>
        <v>ג'</v>
      </c>
      <c r="P725" s="10">
        <f>IF(Table_2[[#This Row],[Correct_Answer]]=Table_2[[#This Row],[System_Recommendation]],1,0)</f>
        <v>1</v>
      </c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6" t="s">
        <v>206</v>
      </c>
      <c r="B726" s="6">
        <v>32</v>
      </c>
      <c r="C726" s="6" t="s">
        <v>372</v>
      </c>
      <c r="D726" s="6">
        <v>3</v>
      </c>
      <c r="E726" s="6" t="s">
        <v>111</v>
      </c>
      <c r="F726" s="6" t="s">
        <v>375</v>
      </c>
      <c r="G726" s="6" t="s">
        <v>97</v>
      </c>
      <c r="H726" s="6" t="s">
        <v>182</v>
      </c>
      <c r="I726" s="6" t="s">
        <v>91</v>
      </c>
      <c r="J726" s="6" t="s">
        <v>371</v>
      </c>
      <c r="K726" s="6" t="s">
        <v>383</v>
      </c>
      <c r="L726" s="6" t="str">
        <f>IF(J726="כן", K726, VLOOKUP(LEFT(H726, 7), 'קטלוג תרחישים'!$A:$M, 13, FALSE))</f>
        <v>א'</v>
      </c>
      <c r="M726" s="10"/>
      <c r="N726" s="23" t="s">
        <v>352</v>
      </c>
      <c r="O726" s="10" t="str" cm="1">
        <f t="array" ref="O726">_xlfn.IFS(N726="A","א'", N726="B", "ב'", N726= "C", "ג'")</f>
        <v>א'</v>
      </c>
      <c r="P726" s="10">
        <f>IF(Table_2[[#This Row],[Correct_Answer]]=Table_2[[#This Row],[System_Recommendation]],1,0)</f>
        <v>1</v>
      </c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6" t="s">
        <v>206</v>
      </c>
      <c r="B727" s="6">
        <v>33</v>
      </c>
      <c r="C727" s="6" t="s">
        <v>372</v>
      </c>
      <c r="D727" s="6">
        <v>3</v>
      </c>
      <c r="E727" s="6" t="s">
        <v>111</v>
      </c>
      <c r="F727" s="6" t="s">
        <v>375</v>
      </c>
      <c r="G727" s="6" t="s">
        <v>97</v>
      </c>
      <c r="H727" s="6" t="s">
        <v>179</v>
      </c>
      <c r="I727" s="6" t="s">
        <v>100</v>
      </c>
      <c r="J727" s="6" t="s">
        <v>371</v>
      </c>
      <c r="K727" s="6" t="s">
        <v>383</v>
      </c>
      <c r="L727" s="6" t="str">
        <f>IF(J727="כן", K727, VLOOKUP(LEFT(H727, 7), 'קטלוג תרחישים'!$A:$M, 13, FALSE))</f>
        <v>א'</v>
      </c>
      <c r="M727" s="10"/>
      <c r="N727" s="24" t="s">
        <v>352</v>
      </c>
      <c r="O727" s="10" t="str" cm="1">
        <f t="array" ref="O727">_xlfn.IFS(N727="A","א'", N727="B", "ב'", N727= "C", "ג'")</f>
        <v>א'</v>
      </c>
      <c r="P727" s="10">
        <f>IF(Table_2[[#This Row],[Correct_Answer]]=Table_2[[#This Row],[System_Recommendation]],1,0)</f>
        <v>1</v>
      </c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6" t="s">
        <v>207</v>
      </c>
      <c r="B728" s="6">
        <v>1</v>
      </c>
      <c r="C728" s="6" t="s">
        <v>370</v>
      </c>
      <c r="D728" s="6"/>
      <c r="E728" s="6" t="s">
        <v>98</v>
      </c>
      <c r="F728" s="6"/>
      <c r="G728" s="6"/>
      <c r="H728" s="8" t="s">
        <v>90</v>
      </c>
      <c r="I728" s="6" t="s">
        <v>91</v>
      </c>
      <c r="J728" s="6" t="s">
        <v>371</v>
      </c>
      <c r="K728" s="6" t="s">
        <v>385</v>
      </c>
      <c r="L728" s="6" t="str">
        <f>IF(J728="כן", K728, VLOOKUP(LEFT(H728, 7), 'קטלוג תרחישים'!$A:$M, 13, FALSE))</f>
        <v>ג</v>
      </c>
      <c r="M728" s="10"/>
      <c r="N728" s="23" t="s">
        <v>358</v>
      </c>
      <c r="O728" s="10" t="str" cm="1">
        <f t="array" ref="O728">_xlfn.IFS(N728="A","א'", N728="B", "ב'", N728= "C", "ג'")</f>
        <v>ג'</v>
      </c>
      <c r="P728" s="10">
        <f>IF(Table_2[[#This Row],[Correct_Answer]]=Table_2[[#This Row],[System_Recommendation]],1,0)</f>
        <v>1</v>
      </c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6" t="s">
        <v>207</v>
      </c>
      <c r="B729" s="6">
        <v>2</v>
      </c>
      <c r="C729" s="6" t="s">
        <v>370</v>
      </c>
      <c r="D729" s="6"/>
      <c r="E729" s="6" t="s">
        <v>98</v>
      </c>
      <c r="F729" s="6"/>
      <c r="G729" s="6"/>
      <c r="H729" s="8" t="s">
        <v>92</v>
      </c>
      <c r="I729" s="6" t="s">
        <v>91</v>
      </c>
      <c r="J729" s="6" t="s">
        <v>371</v>
      </c>
      <c r="K729" s="6" t="s">
        <v>385</v>
      </c>
      <c r="L729" s="6" t="str">
        <f>IF(J729="כן", K729, VLOOKUP(LEFT(H729, 7), 'קטלוג תרחישים'!$A:$M, 13, FALSE))</f>
        <v>ג</v>
      </c>
      <c r="M729" s="10"/>
      <c r="N729" s="24" t="s">
        <v>358</v>
      </c>
      <c r="O729" s="10" t="str" cm="1">
        <f t="array" ref="O729">_xlfn.IFS(N729="A","א'", N729="B", "ב'", N729= "C", "ג'")</f>
        <v>ג'</v>
      </c>
      <c r="P729" s="10">
        <f>IF(Table_2[[#This Row],[Correct_Answer]]=Table_2[[#This Row],[System_Recommendation]],1,0)</f>
        <v>1</v>
      </c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6" t="s">
        <v>207</v>
      </c>
      <c r="B730" s="6">
        <v>3</v>
      </c>
      <c r="C730" s="6" t="s">
        <v>370</v>
      </c>
      <c r="D730" s="6"/>
      <c r="E730" s="6" t="s">
        <v>105</v>
      </c>
      <c r="F730" s="6"/>
      <c r="G730" s="6"/>
      <c r="H730" s="8" t="s">
        <v>93</v>
      </c>
      <c r="I730" s="6" t="s">
        <v>91</v>
      </c>
      <c r="J730" s="6" t="s">
        <v>371</v>
      </c>
      <c r="K730" s="6" t="s">
        <v>385</v>
      </c>
      <c r="L730" s="6" t="str">
        <f>IF(J730="כן", K730, VLOOKUP(LEFT(H730, 7), 'קטלוג תרחישים'!$A:$M, 13, FALSE))</f>
        <v>ג</v>
      </c>
      <c r="M730" s="10"/>
      <c r="N730" s="23" t="s">
        <v>358</v>
      </c>
      <c r="O730" s="10" t="str" cm="1">
        <f t="array" ref="O730">_xlfn.IFS(N730="A","א'", N730="B", "ב'", N730= "C", "ג'")</f>
        <v>ג'</v>
      </c>
      <c r="P730" s="10">
        <f>IF(Table_2[[#This Row],[Correct_Answer]]=Table_2[[#This Row],[System_Recommendation]],1,0)</f>
        <v>1</v>
      </c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6" t="s">
        <v>207</v>
      </c>
      <c r="B731" s="6">
        <v>4</v>
      </c>
      <c r="C731" s="6" t="s">
        <v>370</v>
      </c>
      <c r="D731" s="6"/>
      <c r="E731" s="6" t="s">
        <v>105</v>
      </c>
      <c r="F731" s="6"/>
      <c r="G731" s="6"/>
      <c r="H731" s="8" t="s">
        <v>94</v>
      </c>
      <c r="I731" s="6" t="s">
        <v>91</v>
      </c>
      <c r="J731" s="6" t="s">
        <v>371</v>
      </c>
      <c r="K731" s="6" t="s">
        <v>384</v>
      </c>
      <c r="L731" s="6" t="str">
        <f>IF(J731="כן", K731, VLOOKUP(LEFT(H731, 7), 'קטלוג תרחישים'!$A:$M, 13, FALSE))</f>
        <v>ב'</v>
      </c>
      <c r="M731" s="10"/>
      <c r="N731" s="24" t="s">
        <v>357</v>
      </c>
      <c r="O731" s="10" t="str" cm="1">
        <f t="array" ref="O731">_xlfn.IFS(N731="A","א'", N731="B", "ב'", N731= "C", "ג'")</f>
        <v>ב'</v>
      </c>
      <c r="P731" s="10">
        <f>IF(Table_2[[#This Row],[Correct_Answer]]=Table_2[[#This Row],[System_Recommendation]],1,0)</f>
        <v>1</v>
      </c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6" t="s">
        <v>207</v>
      </c>
      <c r="B732" s="6">
        <v>5</v>
      </c>
      <c r="C732" s="6" t="s">
        <v>370</v>
      </c>
      <c r="D732" s="6"/>
      <c r="E732" s="6" t="s">
        <v>111</v>
      </c>
      <c r="F732" s="6"/>
      <c r="G732" s="6"/>
      <c r="H732" s="8" t="s">
        <v>95</v>
      </c>
      <c r="I732" s="6" t="s">
        <v>91</v>
      </c>
      <c r="J732" s="6" t="s">
        <v>371</v>
      </c>
      <c r="K732" s="6" t="s">
        <v>383</v>
      </c>
      <c r="L732" s="6" t="str">
        <f>IF(J732="כן", K732, VLOOKUP(LEFT(H732, 7), 'קטלוג תרחישים'!$A:$M, 13, FALSE))</f>
        <v>א'</v>
      </c>
      <c r="M732" s="10"/>
      <c r="N732" s="23" t="s">
        <v>352</v>
      </c>
      <c r="O732" s="10" t="str" cm="1">
        <f t="array" ref="O732">_xlfn.IFS(N732="A","א'", N732="B", "ב'", N732= "C", "ג'")</f>
        <v>א'</v>
      </c>
      <c r="P732" s="10">
        <f>IF(Table_2[[#This Row],[Correct_Answer]]=Table_2[[#This Row],[System_Recommendation]],1,0)</f>
        <v>1</v>
      </c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6" t="s">
        <v>207</v>
      </c>
      <c r="B733" s="6">
        <v>6</v>
      </c>
      <c r="C733" s="6" t="s">
        <v>370</v>
      </c>
      <c r="D733" s="6"/>
      <c r="E733" s="6" t="s">
        <v>111</v>
      </c>
      <c r="F733" s="6"/>
      <c r="G733" s="6"/>
      <c r="H733" s="8" t="s">
        <v>96</v>
      </c>
      <c r="I733" s="6" t="s">
        <v>91</v>
      </c>
      <c r="J733" s="6" t="s">
        <v>371</v>
      </c>
      <c r="K733" s="6" t="s">
        <v>385</v>
      </c>
      <c r="L733" s="6" t="str">
        <f>IF(J733="כן", K733, VLOOKUP(LEFT(H733, 7), 'קטלוג תרחישים'!$A:$M, 13, FALSE))</f>
        <v>ג</v>
      </c>
      <c r="M733" s="10"/>
      <c r="N733" s="24" t="s">
        <v>358</v>
      </c>
      <c r="O733" s="10" t="str" cm="1">
        <f t="array" ref="O733">_xlfn.IFS(N733="A","א'", N733="B", "ב'", N733= "C", "ג'")</f>
        <v>ג'</v>
      </c>
      <c r="P733" s="10">
        <f>IF(Table_2[[#This Row],[Correct_Answer]]=Table_2[[#This Row],[System_Recommendation]],1,0)</f>
        <v>1</v>
      </c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6" t="s">
        <v>207</v>
      </c>
      <c r="B734" s="6">
        <v>7</v>
      </c>
      <c r="C734" s="6" t="s">
        <v>372</v>
      </c>
      <c r="D734" s="6">
        <v>1</v>
      </c>
      <c r="E734" s="6" t="s">
        <v>105</v>
      </c>
      <c r="F734" s="6" t="s">
        <v>373</v>
      </c>
      <c r="G734" s="6" t="s">
        <v>97</v>
      </c>
      <c r="H734" s="6" t="s">
        <v>191</v>
      </c>
      <c r="I734" s="6" t="s">
        <v>91</v>
      </c>
      <c r="J734" s="6" t="s">
        <v>371</v>
      </c>
      <c r="K734" s="6" t="s">
        <v>385</v>
      </c>
      <c r="L734" s="6" t="str">
        <f>IF(J734="כן", K734, VLOOKUP(LEFT(H734, 7), 'קטלוג תרחישים'!$A:$M, 13, FALSE))</f>
        <v>ג</v>
      </c>
      <c r="M734" s="10"/>
      <c r="N734" s="23" t="s">
        <v>358</v>
      </c>
      <c r="O734" s="10" t="str" cm="1">
        <f t="array" ref="O734">_xlfn.IFS(N734="A","א'", N734="B", "ב'", N734= "C", "ג'")</f>
        <v>ג'</v>
      </c>
      <c r="P734" s="10">
        <f>IF(Table_2[[#This Row],[Correct_Answer]]=Table_2[[#This Row],[System_Recommendation]],1,0)</f>
        <v>1</v>
      </c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6" t="s">
        <v>207</v>
      </c>
      <c r="B735" s="6">
        <v>8</v>
      </c>
      <c r="C735" s="6" t="s">
        <v>372</v>
      </c>
      <c r="D735" s="6">
        <v>1</v>
      </c>
      <c r="E735" s="6" t="s">
        <v>105</v>
      </c>
      <c r="F735" s="6" t="s">
        <v>373</v>
      </c>
      <c r="G735" s="6" t="s">
        <v>97</v>
      </c>
      <c r="H735" s="6" t="s">
        <v>192</v>
      </c>
      <c r="I735" s="6" t="s">
        <v>100</v>
      </c>
      <c r="J735" s="6" t="s">
        <v>371</v>
      </c>
      <c r="K735" s="6" t="s">
        <v>384</v>
      </c>
      <c r="L735" s="6" t="str">
        <f>IF(J735="כן", K735, VLOOKUP(LEFT(H735, 7), 'קטלוג תרחישים'!$A:$M, 13, FALSE))</f>
        <v>ב'</v>
      </c>
      <c r="M735" s="10"/>
      <c r="N735" s="24" t="s">
        <v>357</v>
      </c>
      <c r="O735" s="10" t="str" cm="1">
        <f t="array" ref="O735">_xlfn.IFS(N735="A","א'", N735="B", "ב'", N735= "C", "ג'")</f>
        <v>ב'</v>
      </c>
      <c r="P735" s="10">
        <f>IF(Table_2[[#This Row],[Correct_Answer]]=Table_2[[#This Row],[System_Recommendation]],1,0)</f>
        <v>1</v>
      </c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6" t="s">
        <v>207</v>
      </c>
      <c r="B736" s="6">
        <v>9</v>
      </c>
      <c r="C736" s="6" t="s">
        <v>372</v>
      </c>
      <c r="D736" s="6">
        <v>1</v>
      </c>
      <c r="E736" s="6" t="s">
        <v>105</v>
      </c>
      <c r="F736" s="6" t="s">
        <v>373</v>
      </c>
      <c r="G736" s="6" t="s">
        <v>97</v>
      </c>
      <c r="H736" s="6" t="s">
        <v>193</v>
      </c>
      <c r="I736" s="6" t="s">
        <v>91</v>
      </c>
      <c r="J736" s="6" t="s">
        <v>374</v>
      </c>
      <c r="K736" s="6" t="s">
        <v>384</v>
      </c>
      <c r="L736" s="6" t="str">
        <f>IF(J736="כן", K736, VLOOKUP(LEFT(H736, 7), 'קטלוג תרחישים'!$A:$M, 13, FALSE))</f>
        <v>א'</v>
      </c>
      <c r="M736" s="10"/>
      <c r="N736" s="23" t="s">
        <v>357</v>
      </c>
      <c r="O736" s="10" t="str" cm="1">
        <f t="array" ref="O736">_xlfn.IFS(N736="A","א'", N736="B", "ב'", N736= "C", "ג'")</f>
        <v>ב'</v>
      </c>
      <c r="P736" s="10">
        <f>IF(Table_2[[#This Row],[Correct_Answer]]=Table_2[[#This Row],[System_Recommendation]],1,0)</f>
        <v>0</v>
      </c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6" t="s">
        <v>207</v>
      </c>
      <c r="B737" s="6">
        <v>10</v>
      </c>
      <c r="C737" s="6" t="s">
        <v>372</v>
      </c>
      <c r="D737" s="6">
        <v>1</v>
      </c>
      <c r="E737" s="6" t="s">
        <v>105</v>
      </c>
      <c r="F737" s="6" t="s">
        <v>373</v>
      </c>
      <c r="G737" s="6" t="s">
        <v>97</v>
      </c>
      <c r="H737" s="6" t="s">
        <v>190</v>
      </c>
      <c r="I737" s="6" t="s">
        <v>100</v>
      </c>
      <c r="J737" s="6" t="s">
        <v>371</v>
      </c>
      <c r="K737" s="6" t="s">
        <v>384</v>
      </c>
      <c r="L737" s="6" t="str">
        <f>IF(J737="כן", K737, VLOOKUP(LEFT(H737, 7), 'קטלוג תרחישים'!$A:$M, 13, FALSE))</f>
        <v>ב'</v>
      </c>
      <c r="M737" s="10"/>
      <c r="N737" s="24" t="s">
        <v>357</v>
      </c>
      <c r="O737" s="10" t="str" cm="1">
        <f t="array" ref="O737">_xlfn.IFS(N737="A","א'", N737="B", "ב'", N737= "C", "ג'")</f>
        <v>ב'</v>
      </c>
      <c r="P737" s="10">
        <f>IF(Table_2[[#This Row],[Correct_Answer]]=Table_2[[#This Row],[System_Recommendation]],1,0)</f>
        <v>1</v>
      </c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6" t="s">
        <v>207</v>
      </c>
      <c r="B738" s="6">
        <v>11</v>
      </c>
      <c r="C738" s="6" t="s">
        <v>372</v>
      </c>
      <c r="D738" s="6">
        <v>1</v>
      </c>
      <c r="E738" s="6" t="s">
        <v>105</v>
      </c>
      <c r="F738" s="6" t="s">
        <v>373</v>
      </c>
      <c r="G738" s="6" t="s">
        <v>97</v>
      </c>
      <c r="H738" s="6" t="s">
        <v>189</v>
      </c>
      <c r="I738" s="6" t="s">
        <v>91</v>
      </c>
      <c r="J738" s="6" t="s">
        <v>371</v>
      </c>
      <c r="K738" s="6" t="s">
        <v>383</v>
      </c>
      <c r="L738" s="6" t="str">
        <f>IF(J738="כן", K738, VLOOKUP(LEFT(H738, 7), 'קטלוג תרחישים'!$A:$M, 13, FALSE))</f>
        <v>א'</v>
      </c>
      <c r="M738" s="10"/>
      <c r="N738" s="23" t="s">
        <v>352</v>
      </c>
      <c r="O738" s="10" t="str" cm="1">
        <f t="array" ref="O738">_xlfn.IFS(N738="A","א'", N738="B", "ב'", N738= "C", "ג'")</f>
        <v>א'</v>
      </c>
      <c r="P738" s="10">
        <f>IF(Table_2[[#This Row],[Correct_Answer]]=Table_2[[#This Row],[System_Recommendation]],1,0)</f>
        <v>1</v>
      </c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6" t="s">
        <v>207</v>
      </c>
      <c r="B739" s="6">
        <v>12</v>
      </c>
      <c r="C739" s="6" t="s">
        <v>372</v>
      </c>
      <c r="D739" s="6">
        <v>2</v>
      </c>
      <c r="E739" s="6" t="s">
        <v>111</v>
      </c>
      <c r="F739" s="6" t="s">
        <v>373</v>
      </c>
      <c r="G739" s="6" t="s">
        <v>97</v>
      </c>
      <c r="H739" s="6" t="s">
        <v>181</v>
      </c>
      <c r="I739" s="6" t="s">
        <v>100</v>
      </c>
      <c r="J739" s="6" t="s">
        <v>371</v>
      </c>
      <c r="K739" s="6" t="s">
        <v>385</v>
      </c>
      <c r="L739" s="6" t="str">
        <f>IF(J739="כן", K739, VLOOKUP(LEFT(H739, 7), 'קטלוג תרחישים'!$A:$M, 13, FALSE))</f>
        <v>ג</v>
      </c>
      <c r="M739" s="10"/>
      <c r="N739" s="24" t="s">
        <v>358</v>
      </c>
      <c r="O739" s="10" t="str" cm="1">
        <f t="array" ref="O739">_xlfn.IFS(N739="A","א'", N739="B", "ב'", N739= "C", "ג'")</f>
        <v>ג'</v>
      </c>
      <c r="P739" s="10">
        <f>IF(Table_2[[#This Row],[Correct_Answer]]=Table_2[[#This Row],[System_Recommendation]],1,0)</f>
        <v>1</v>
      </c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6" t="s">
        <v>207</v>
      </c>
      <c r="B740" s="6">
        <v>13</v>
      </c>
      <c r="C740" s="6" t="s">
        <v>372</v>
      </c>
      <c r="D740" s="6">
        <v>2</v>
      </c>
      <c r="E740" s="6" t="s">
        <v>111</v>
      </c>
      <c r="F740" s="6" t="s">
        <v>373</v>
      </c>
      <c r="G740" s="6" t="s">
        <v>97</v>
      </c>
      <c r="H740" s="6" t="s">
        <v>182</v>
      </c>
      <c r="I740" s="6" t="s">
        <v>91</v>
      </c>
      <c r="J740" s="6" t="s">
        <v>371</v>
      </c>
      <c r="K740" s="6" t="s">
        <v>384</v>
      </c>
      <c r="L740" s="6" t="str">
        <f>IF(J740="כן", K740, VLOOKUP(LEFT(H740, 7), 'קטלוג תרחישים'!$A:$M, 13, FALSE))</f>
        <v>ב'</v>
      </c>
      <c r="M740" s="10"/>
      <c r="N740" s="23" t="s">
        <v>357</v>
      </c>
      <c r="O740" s="10" t="str" cm="1">
        <f t="array" ref="O740">_xlfn.IFS(N740="A","א'", N740="B", "ב'", N740= "C", "ג'")</f>
        <v>ב'</v>
      </c>
      <c r="P740" s="10">
        <f>IF(Table_2[[#This Row],[Correct_Answer]]=Table_2[[#This Row],[System_Recommendation]],1,0)</f>
        <v>1</v>
      </c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6" t="s">
        <v>207</v>
      </c>
      <c r="B741" s="6">
        <v>14</v>
      </c>
      <c r="C741" s="6" t="s">
        <v>372</v>
      </c>
      <c r="D741" s="6">
        <v>2</v>
      </c>
      <c r="E741" s="6" t="s">
        <v>111</v>
      </c>
      <c r="F741" s="6" t="s">
        <v>373</v>
      </c>
      <c r="G741" s="6" t="s">
        <v>97</v>
      </c>
      <c r="H741" s="6" t="s">
        <v>183</v>
      </c>
      <c r="I741" s="6" t="s">
        <v>100</v>
      </c>
      <c r="J741" s="6" t="s">
        <v>371</v>
      </c>
      <c r="K741" s="6" t="s">
        <v>385</v>
      </c>
      <c r="L741" s="6" t="str">
        <f>IF(J741="כן", K741, VLOOKUP(LEFT(H741, 7), 'קטלוג תרחישים'!$A:$M, 13, FALSE))</f>
        <v>ג</v>
      </c>
      <c r="M741" s="10"/>
      <c r="N741" s="24" t="s">
        <v>358</v>
      </c>
      <c r="O741" s="10" t="str" cm="1">
        <f t="array" ref="O741">_xlfn.IFS(N741="A","א'", N741="B", "ב'", N741= "C", "ג'")</f>
        <v>ג'</v>
      </c>
      <c r="P741" s="10">
        <f>IF(Table_2[[#This Row],[Correct_Answer]]=Table_2[[#This Row],[System_Recommendation]],1,0)</f>
        <v>1</v>
      </c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6" t="s">
        <v>207</v>
      </c>
      <c r="B742" s="6">
        <v>15</v>
      </c>
      <c r="C742" s="6" t="s">
        <v>372</v>
      </c>
      <c r="D742" s="6">
        <v>2</v>
      </c>
      <c r="E742" s="6" t="s">
        <v>111</v>
      </c>
      <c r="F742" s="6" t="s">
        <v>373</v>
      </c>
      <c r="G742" s="6" t="s">
        <v>97</v>
      </c>
      <c r="H742" s="6" t="s">
        <v>180</v>
      </c>
      <c r="I742" s="6" t="s">
        <v>91</v>
      </c>
      <c r="J742" s="6" t="s">
        <v>374</v>
      </c>
      <c r="K742" s="6" t="s">
        <v>383</v>
      </c>
      <c r="L742" s="6" t="str">
        <f>IF(J742="כן", K742, VLOOKUP(LEFT(H742, 7), 'קטלוג תרחישים'!$A:$M, 13, FALSE))</f>
        <v>ב'</v>
      </c>
      <c r="M742" s="10"/>
      <c r="N742" s="23" t="s">
        <v>352</v>
      </c>
      <c r="O742" s="10" t="str" cm="1">
        <f t="array" ref="O742">_xlfn.IFS(N742="A","א'", N742="B", "ב'", N742= "C", "ג'")</f>
        <v>א'</v>
      </c>
      <c r="P742" s="10">
        <f>IF(Table_2[[#This Row],[Correct_Answer]]=Table_2[[#This Row],[System_Recommendation]],1,0)</f>
        <v>0</v>
      </c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6" t="s">
        <v>207</v>
      </c>
      <c r="B743" s="6">
        <v>16</v>
      </c>
      <c r="C743" s="6" t="s">
        <v>372</v>
      </c>
      <c r="D743" s="6">
        <v>2</v>
      </c>
      <c r="E743" s="6" t="s">
        <v>111</v>
      </c>
      <c r="F743" s="6" t="s">
        <v>373</v>
      </c>
      <c r="G743" s="6" t="s">
        <v>97</v>
      </c>
      <c r="H743" s="6" t="s">
        <v>179</v>
      </c>
      <c r="I743" s="6" t="s">
        <v>100</v>
      </c>
      <c r="J743" s="6" t="s">
        <v>371</v>
      </c>
      <c r="K743" s="6" t="s">
        <v>385</v>
      </c>
      <c r="L743" s="6" t="str">
        <f>IF(J743="כן", K743, VLOOKUP(LEFT(H743, 7), 'קטלוג תרחישים'!$A:$M, 13, FALSE))</f>
        <v>ג</v>
      </c>
      <c r="M743" s="10"/>
      <c r="N743" s="24" t="s">
        <v>358</v>
      </c>
      <c r="O743" s="10" t="str" cm="1">
        <f t="array" ref="O743">_xlfn.IFS(N743="A","א'", N743="B", "ב'", N743= "C", "ג'")</f>
        <v>ג'</v>
      </c>
      <c r="P743" s="10">
        <f>IF(Table_2[[#This Row],[Correct_Answer]]=Table_2[[#This Row],[System_Recommendation]],1,0)</f>
        <v>1</v>
      </c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6" t="s">
        <v>207</v>
      </c>
      <c r="B744" s="6">
        <v>17</v>
      </c>
      <c r="C744" s="6" t="s">
        <v>372</v>
      </c>
      <c r="D744" s="6">
        <v>3</v>
      </c>
      <c r="E744" s="6" t="s">
        <v>98</v>
      </c>
      <c r="F744" s="6" t="s">
        <v>373</v>
      </c>
      <c r="G744" s="6" t="s">
        <v>97</v>
      </c>
      <c r="H744" s="6" t="s">
        <v>184</v>
      </c>
      <c r="I744" s="6" t="s">
        <v>91</v>
      </c>
      <c r="J744" s="6" t="s">
        <v>371</v>
      </c>
      <c r="K744" s="6" t="s">
        <v>385</v>
      </c>
      <c r="L744" s="6" t="str">
        <f>IF(J744="כן", K744, VLOOKUP(LEFT(H744, 7), 'קטלוג תרחישים'!$A:$M, 13, FALSE))</f>
        <v>ג</v>
      </c>
      <c r="M744" s="10"/>
      <c r="N744" s="23" t="s">
        <v>358</v>
      </c>
      <c r="O744" s="10" t="str" cm="1">
        <f t="array" ref="O744">_xlfn.IFS(N744="A","א'", N744="B", "ב'", N744= "C", "ג'")</f>
        <v>ג'</v>
      </c>
      <c r="P744" s="10">
        <f>IF(Table_2[[#This Row],[Correct_Answer]]=Table_2[[#This Row],[System_Recommendation]],1,0)</f>
        <v>1</v>
      </c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6" t="s">
        <v>207</v>
      </c>
      <c r="B745" s="6">
        <v>18</v>
      </c>
      <c r="C745" s="6" t="s">
        <v>372</v>
      </c>
      <c r="D745" s="6">
        <v>3</v>
      </c>
      <c r="E745" s="6" t="s">
        <v>98</v>
      </c>
      <c r="F745" s="6" t="s">
        <v>373</v>
      </c>
      <c r="G745" s="6" t="s">
        <v>97</v>
      </c>
      <c r="H745" s="6" t="s">
        <v>185</v>
      </c>
      <c r="I745" s="6" t="s">
        <v>100</v>
      </c>
      <c r="J745" s="6" t="s">
        <v>371</v>
      </c>
      <c r="K745" s="6" t="s">
        <v>384</v>
      </c>
      <c r="L745" s="6" t="str">
        <f>IF(J745="כן", K745, VLOOKUP(LEFT(H745, 7), 'קטלוג תרחישים'!$A:$M, 13, FALSE))</f>
        <v>ב'</v>
      </c>
      <c r="M745" s="10"/>
      <c r="N745" s="24" t="s">
        <v>357</v>
      </c>
      <c r="O745" s="10" t="str" cm="1">
        <f t="array" ref="O745">_xlfn.IFS(N745="A","א'", N745="B", "ב'", N745= "C", "ג'")</f>
        <v>ב'</v>
      </c>
      <c r="P745" s="10">
        <f>IF(Table_2[[#This Row],[Correct_Answer]]=Table_2[[#This Row],[System_Recommendation]],1,0)</f>
        <v>1</v>
      </c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6" t="s">
        <v>207</v>
      </c>
      <c r="B746" s="6">
        <v>19</v>
      </c>
      <c r="C746" s="6" t="s">
        <v>372</v>
      </c>
      <c r="D746" s="6">
        <v>3</v>
      </c>
      <c r="E746" s="6" t="s">
        <v>98</v>
      </c>
      <c r="F746" s="6" t="s">
        <v>373</v>
      </c>
      <c r="G746" s="6" t="s">
        <v>97</v>
      </c>
      <c r="H746" s="6" t="s">
        <v>186</v>
      </c>
      <c r="I746" s="6" t="s">
        <v>91</v>
      </c>
      <c r="J746" s="6" t="s">
        <v>371</v>
      </c>
      <c r="K746" s="6" t="s">
        <v>383</v>
      </c>
      <c r="L746" s="6" t="str">
        <f>IF(J746="כן", K746, VLOOKUP(LEFT(H746, 7), 'קטלוג תרחישים'!$A:$M, 13, FALSE))</f>
        <v>א'</v>
      </c>
      <c r="M746" s="10"/>
      <c r="N746" s="23" t="s">
        <v>352</v>
      </c>
      <c r="O746" s="10" t="str" cm="1">
        <f t="array" ref="O746">_xlfn.IFS(N746="A","א'", N746="B", "ב'", N746= "C", "ג'")</f>
        <v>א'</v>
      </c>
      <c r="P746" s="10">
        <f>IF(Table_2[[#This Row],[Correct_Answer]]=Table_2[[#This Row],[System_Recommendation]],1,0)</f>
        <v>1</v>
      </c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6" t="s">
        <v>207</v>
      </c>
      <c r="B747" s="6">
        <v>20</v>
      </c>
      <c r="C747" s="6" t="s">
        <v>372</v>
      </c>
      <c r="D747" s="6">
        <v>3</v>
      </c>
      <c r="E747" s="6" t="s">
        <v>98</v>
      </c>
      <c r="F747" s="6" t="s">
        <v>373</v>
      </c>
      <c r="G747" s="6" t="s">
        <v>97</v>
      </c>
      <c r="H747" s="6" t="s">
        <v>187</v>
      </c>
      <c r="I747" s="6" t="s">
        <v>100</v>
      </c>
      <c r="J747" s="6" t="s">
        <v>371</v>
      </c>
      <c r="K747" s="6" t="s">
        <v>385</v>
      </c>
      <c r="L747" s="6" t="str">
        <f>IF(J747="כן", K747, VLOOKUP(LEFT(H747, 7), 'קטלוג תרחישים'!$A:$M, 13, FALSE))</f>
        <v>ג</v>
      </c>
      <c r="M747" s="10"/>
      <c r="N747" s="24" t="s">
        <v>358</v>
      </c>
      <c r="O747" s="10" t="str" cm="1">
        <f t="array" ref="O747">_xlfn.IFS(N747="A","א'", N747="B", "ב'", N747= "C", "ג'")</f>
        <v>ג'</v>
      </c>
      <c r="P747" s="10">
        <f>IF(Table_2[[#This Row],[Correct_Answer]]=Table_2[[#This Row],[System_Recommendation]],1,0)</f>
        <v>1</v>
      </c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6" t="s">
        <v>207</v>
      </c>
      <c r="B748" s="6">
        <v>21</v>
      </c>
      <c r="C748" s="6" t="s">
        <v>372</v>
      </c>
      <c r="D748" s="6">
        <v>3</v>
      </c>
      <c r="E748" s="6" t="s">
        <v>98</v>
      </c>
      <c r="F748" s="6" t="s">
        <v>373</v>
      </c>
      <c r="G748" s="6" t="s">
        <v>97</v>
      </c>
      <c r="H748" s="6" t="s">
        <v>188</v>
      </c>
      <c r="I748" s="6" t="s">
        <v>91</v>
      </c>
      <c r="J748" s="6" t="s">
        <v>374</v>
      </c>
      <c r="K748" s="6" t="s">
        <v>383</v>
      </c>
      <c r="L748" s="6" t="str">
        <f>IF(J748="כן", K748, VLOOKUP(LEFT(H748, 7), 'קטלוג תרחישים'!$A:$M, 13, FALSE))</f>
        <v>א'</v>
      </c>
      <c r="M748" s="10"/>
      <c r="N748" s="23" t="s">
        <v>352</v>
      </c>
      <c r="O748" s="10" t="str" cm="1">
        <f t="array" ref="O748">_xlfn.IFS(N748="A","א'", N748="B", "ב'", N748= "C", "ג'")</f>
        <v>א'</v>
      </c>
      <c r="P748" s="10">
        <f>IF(Table_2[[#This Row],[Correct_Answer]]=Table_2[[#This Row],[System_Recommendation]],1,0)</f>
        <v>1</v>
      </c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6" t="s">
        <v>207</v>
      </c>
      <c r="B749" s="6">
        <v>22</v>
      </c>
      <c r="C749" s="6" t="s">
        <v>372</v>
      </c>
      <c r="D749" s="6">
        <v>1</v>
      </c>
      <c r="E749" s="6" t="s">
        <v>111</v>
      </c>
      <c r="F749" s="6" t="s">
        <v>375</v>
      </c>
      <c r="G749" s="6" t="s">
        <v>117</v>
      </c>
      <c r="H749" s="6" t="s">
        <v>202</v>
      </c>
      <c r="I749" s="6" t="s">
        <v>91</v>
      </c>
      <c r="J749" s="6" t="s">
        <v>371</v>
      </c>
      <c r="K749" s="6" t="s">
        <v>383</v>
      </c>
      <c r="L749" s="6" t="str">
        <f>IF(J749="כן", K749, VLOOKUP(LEFT(H749, 7), 'קטלוג תרחישים'!$A:$M, 13, FALSE))</f>
        <v>א'</v>
      </c>
      <c r="M749" s="10"/>
      <c r="N749" s="24" t="s">
        <v>352</v>
      </c>
      <c r="O749" s="10" t="str" cm="1">
        <f t="array" ref="O749">_xlfn.IFS(N749="A","א'", N749="B", "ב'", N749= "C", "ג'")</f>
        <v>א'</v>
      </c>
      <c r="P749" s="10">
        <f>IF(Table_2[[#This Row],[Correct_Answer]]=Table_2[[#This Row],[System_Recommendation]],1,0)</f>
        <v>1</v>
      </c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6" t="s">
        <v>207</v>
      </c>
      <c r="B750" s="6">
        <v>23</v>
      </c>
      <c r="C750" s="6" t="s">
        <v>372</v>
      </c>
      <c r="D750" s="6">
        <v>1</v>
      </c>
      <c r="E750" s="6" t="s">
        <v>111</v>
      </c>
      <c r="F750" s="6" t="s">
        <v>375</v>
      </c>
      <c r="G750" s="6" t="s">
        <v>117</v>
      </c>
      <c r="H750" s="6" t="s">
        <v>205</v>
      </c>
      <c r="I750" s="6" t="s">
        <v>100</v>
      </c>
      <c r="J750" s="6" t="s">
        <v>371</v>
      </c>
      <c r="K750" s="6" t="s">
        <v>383</v>
      </c>
      <c r="L750" s="6" t="str">
        <f>IF(J750="כן", K750, VLOOKUP(LEFT(H750, 7), 'קטלוג תרחישים'!$A:$M, 13, FALSE))</f>
        <v>א'</v>
      </c>
      <c r="M750" s="10"/>
      <c r="N750" s="23" t="s">
        <v>352</v>
      </c>
      <c r="O750" s="10" t="str" cm="1">
        <f t="array" ref="O750">_xlfn.IFS(N750="A","א'", N750="B", "ב'", N750= "C", "ג'")</f>
        <v>א'</v>
      </c>
      <c r="P750" s="10">
        <f>IF(Table_2[[#This Row],[Correct_Answer]]=Table_2[[#This Row],[System_Recommendation]],1,0)</f>
        <v>1</v>
      </c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6" t="s">
        <v>207</v>
      </c>
      <c r="B751" s="6">
        <v>24</v>
      </c>
      <c r="C751" s="6" t="s">
        <v>372</v>
      </c>
      <c r="D751" s="6">
        <v>1</v>
      </c>
      <c r="E751" s="6" t="s">
        <v>111</v>
      </c>
      <c r="F751" s="6" t="s">
        <v>375</v>
      </c>
      <c r="G751" s="6" t="s">
        <v>117</v>
      </c>
      <c r="H751" s="6" t="s">
        <v>204</v>
      </c>
      <c r="I751" s="6" t="s">
        <v>91</v>
      </c>
      <c r="J751" s="6" t="s">
        <v>374</v>
      </c>
      <c r="K751" s="6" t="s">
        <v>384</v>
      </c>
      <c r="L751" s="6" t="str">
        <f>IF(J751="כן", K751, VLOOKUP(LEFT(H751, 7), 'קטלוג תרחישים'!$A:$M, 13, FALSE))</f>
        <v>ג'</v>
      </c>
      <c r="M751" s="10"/>
      <c r="N751" s="24" t="s">
        <v>357</v>
      </c>
      <c r="O751" s="10" t="str" cm="1">
        <f t="array" ref="O751">_xlfn.IFS(N751="A","א'", N751="B", "ב'", N751= "C", "ג'")</f>
        <v>ב'</v>
      </c>
      <c r="P751" s="10">
        <f>IF(Table_2[[#This Row],[Correct_Answer]]=Table_2[[#This Row],[System_Recommendation]],1,0)</f>
        <v>0</v>
      </c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6" t="s">
        <v>207</v>
      </c>
      <c r="B752" s="6">
        <v>25</v>
      </c>
      <c r="C752" s="6" t="s">
        <v>372</v>
      </c>
      <c r="D752" s="6">
        <v>1</v>
      </c>
      <c r="E752" s="6" t="s">
        <v>111</v>
      </c>
      <c r="F752" s="6" t="s">
        <v>375</v>
      </c>
      <c r="G752" s="6" t="s">
        <v>117</v>
      </c>
      <c r="H752" s="6" t="s">
        <v>203</v>
      </c>
      <c r="I752" s="6" t="s">
        <v>100</v>
      </c>
      <c r="J752" s="6" t="s">
        <v>374</v>
      </c>
      <c r="K752" s="6" t="s">
        <v>384</v>
      </c>
      <c r="L752" s="6" t="str">
        <f>IF(J752="כן", K752, VLOOKUP(LEFT(H752, 7), 'קטלוג תרחישים'!$A:$M, 13, FALSE))</f>
        <v>ב'</v>
      </c>
      <c r="M752" s="10"/>
      <c r="N752" s="23" t="s">
        <v>357</v>
      </c>
      <c r="O752" s="10" t="str" cm="1">
        <f t="array" ref="O752">_xlfn.IFS(N752="A","א'", N752="B", "ב'", N752= "C", "ג'")</f>
        <v>ב'</v>
      </c>
      <c r="P752" s="10">
        <f>IF(Table_2[[#This Row],[Correct_Answer]]=Table_2[[#This Row],[System_Recommendation]],1,0)</f>
        <v>1</v>
      </c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6" t="s">
        <v>207</v>
      </c>
      <c r="B753" s="6">
        <v>26</v>
      </c>
      <c r="C753" s="6" t="s">
        <v>372</v>
      </c>
      <c r="D753" s="6">
        <v>2</v>
      </c>
      <c r="E753" s="6" t="s">
        <v>98</v>
      </c>
      <c r="F753" s="6" t="s">
        <v>375</v>
      </c>
      <c r="G753" s="6" t="s">
        <v>117</v>
      </c>
      <c r="H753" s="6" t="s">
        <v>196</v>
      </c>
      <c r="I753" s="6" t="s">
        <v>91</v>
      </c>
      <c r="J753" s="6" t="s">
        <v>371</v>
      </c>
      <c r="K753" s="6" t="s">
        <v>385</v>
      </c>
      <c r="L753" s="6" t="str">
        <f>IF(J753="כן", K753, VLOOKUP(LEFT(H753, 7), 'קטלוג תרחישים'!$A:$M, 13, FALSE))</f>
        <v>ג</v>
      </c>
      <c r="M753" s="10"/>
      <c r="N753" s="24" t="s">
        <v>358</v>
      </c>
      <c r="O753" s="10" t="str" cm="1">
        <f t="array" ref="O753">_xlfn.IFS(N753="A","א'", N753="B", "ב'", N753= "C", "ג'")</f>
        <v>ג'</v>
      </c>
      <c r="P753" s="10">
        <f>IF(Table_2[[#This Row],[Correct_Answer]]=Table_2[[#This Row],[System_Recommendation]],1,0)</f>
        <v>1</v>
      </c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6" t="s">
        <v>207</v>
      </c>
      <c r="B754" s="6">
        <v>27</v>
      </c>
      <c r="C754" s="6" t="s">
        <v>372</v>
      </c>
      <c r="D754" s="6">
        <v>2</v>
      </c>
      <c r="E754" s="6" t="s">
        <v>98</v>
      </c>
      <c r="F754" s="6" t="s">
        <v>375</v>
      </c>
      <c r="G754" s="6" t="s">
        <v>117</v>
      </c>
      <c r="H754" s="6" t="s">
        <v>197</v>
      </c>
      <c r="I754" s="6" t="s">
        <v>100</v>
      </c>
      <c r="J754" s="6" t="s">
        <v>371</v>
      </c>
      <c r="K754" s="6" t="s">
        <v>384</v>
      </c>
      <c r="L754" s="6" t="str">
        <f>IF(J754="כן", K754, VLOOKUP(LEFT(H754, 7), 'קטלוג תרחישים'!$A:$M, 13, FALSE))</f>
        <v>ב'</v>
      </c>
      <c r="M754" s="10"/>
      <c r="N754" s="23" t="s">
        <v>357</v>
      </c>
      <c r="O754" s="10" t="str" cm="1">
        <f t="array" ref="O754">_xlfn.IFS(N754="A","א'", N754="B", "ב'", N754= "C", "ג'")</f>
        <v>ב'</v>
      </c>
      <c r="P754" s="10">
        <f>IF(Table_2[[#This Row],[Correct_Answer]]=Table_2[[#This Row],[System_Recommendation]],1,0)</f>
        <v>1</v>
      </c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6" t="s">
        <v>207</v>
      </c>
      <c r="B755" s="6">
        <v>28</v>
      </c>
      <c r="C755" s="6" t="s">
        <v>372</v>
      </c>
      <c r="D755" s="6">
        <v>2</v>
      </c>
      <c r="E755" s="6" t="s">
        <v>98</v>
      </c>
      <c r="F755" s="6" t="s">
        <v>375</v>
      </c>
      <c r="G755" s="6" t="s">
        <v>117</v>
      </c>
      <c r="H755" s="6" t="s">
        <v>194</v>
      </c>
      <c r="I755" s="6" t="s">
        <v>91</v>
      </c>
      <c r="J755" s="6" t="s">
        <v>374</v>
      </c>
      <c r="K755" s="6" t="s">
        <v>385</v>
      </c>
      <c r="L755" s="6" t="str">
        <f>IF(J755="כן", K755, VLOOKUP(LEFT(H755, 7), 'קטלוג תרחישים'!$A:$M, 13, FALSE))</f>
        <v>ב'</v>
      </c>
      <c r="M755" s="10"/>
      <c r="N755" s="24" t="s">
        <v>358</v>
      </c>
      <c r="O755" s="10" t="str" cm="1">
        <f t="array" ref="O755">_xlfn.IFS(N755="A","א'", N755="B", "ב'", N755= "C", "ג'")</f>
        <v>ג'</v>
      </c>
      <c r="P755" s="10">
        <f>IF(Table_2[[#This Row],[Correct_Answer]]=Table_2[[#This Row],[System_Recommendation]],1,0)</f>
        <v>0</v>
      </c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6" t="s">
        <v>207</v>
      </c>
      <c r="B756" s="6">
        <v>29</v>
      </c>
      <c r="C756" s="6" t="s">
        <v>372</v>
      </c>
      <c r="D756" s="6">
        <v>2</v>
      </c>
      <c r="E756" s="6" t="s">
        <v>98</v>
      </c>
      <c r="F756" s="6" t="s">
        <v>375</v>
      </c>
      <c r="G756" s="6" t="s">
        <v>117</v>
      </c>
      <c r="H756" s="6" t="s">
        <v>195</v>
      </c>
      <c r="I756" s="6" t="s">
        <v>100</v>
      </c>
      <c r="J756" s="6" t="s">
        <v>374</v>
      </c>
      <c r="K756" s="6" t="s">
        <v>385</v>
      </c>
      <c r="L756" s="6" t="str">
        <f>IF(J756="כן", K756, VLOOKUP(LEFT(H756, 7), 'קטלוג תרחישים'!$A:$M, 13, FALSE))</f>
        <v>ב'</v>
      </c>
      <c r="M756" s="10"/>
      <c r="N756" s="23" t="s">
        <v>358</v>
      </c>
      <c r="O756" s="10" t="str" cm="1">
        <f t="array" ref="O756">_xlfn.IFS(N756="A","א'", N756="B", "ב'", N756= "C", "ג'")</f>
        <v>ג'</v>
      </c>
      <c r="P756" s="10">
        <f>IF(Table_2[[#This Row],[Correct_Answer]]=Table_2[[#This Row],[System_Recommendation]],1,0)</f>
        <v>0</v>
      </c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6" t="s">
        <v>207</v>
      </c>
      <c r="B757" s="6">
        <v>30</v>
      </c>
      <c r="C757" s="6" t="s">
        <v>372</v>
      </c>
      <c r="D757" s="6">
        <v>3</v>
      </c>
      <c r="E757" s="6" t="s">
        <v>105</v>
      </c>
      <c r="F757" s="6" t="s">
        <v>375</v>
      </c>
      <c r="G757" s="6" t="s">
        <v>117</v>
      </c>
      <c r="H757" s="6" t="s">
        <v>200</v>
      </c>
      <c r="I757" s="6" t="s">
        <v>91</v>
      </c>
      <c r="J757" s="6" t="s">
        <v>371</v>
      </c>
      <c r="K757" s="6" t="s">
        <v>384</v>
      </c>
      <c r="L757" s="6" t="str">
        <f>IF(J757="כן", K757, VLOOKUP(LEFT(H757, 7), 'קטלוג תרחישים'!$A:$M, 13, FALSE))</f>
        <v>ב'</v>
      </c>
      <c r="M757" s="10"/>
      <c r="N757" s="24" t="s">
        <v>357</v>
      </c>
      <c r="O757" s="10" t="str" cm="1">
        <f t="array" ref="O757">_xlfn.IFS(N757="A","א'", N757="B", "ב'", N757= "C", "ג'")</f>
        <v>ב'</v>
      </c>
      <c r="P757" s="10">
        <f>IF(Table_2[[#This Row],[Correct_Answer]]=Table_2[[#This Row],[System_Recommendation]],1,0)</f>
        <v>1</v>
      </c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6" t="s">
        <v>207</v>
      </c>
      <c r="B758" s="6">
        <v>31</v>
      </c>
      <c r="C758" s="6" t="s">
        <v>372</v>
      </c>
      <c r="D758" s="6">
        <v>3</v>
      </c>
      <c r="E758" s="6" t="s">
        <v>105</v>
      </c>
      <c r="F758" s="6" t="s">
        <v>375</v>
      </c>
      <c r="G758" s="6" t="s">
        <v>117</v>
      </c>
      <c r="H758" s="6" t="s">
        <v>201</v>
      </c>
      <c r="I758" s="6" t="s">
        <v>100</v>
      </c>
      <c r="J758" s="6" t="s">
        <v>374</v>
      </c>
      <c r="K758" s="6" t="s">
        <v>385</v>
      </c>
      <c r="L758" s="6" t="str">
        <f>IF(J758="כן", K758, VLOOKUP(LEFT(H758, 7), 'קטלוג תרחישים'!$A:$M, 13, FALSE))</f>
        <v>א'</v>
      </c>
      <c r="M758" s="10"/>
      <c r="N758" s="23" t="s">
        <v>358</v>
      </c>
      <c r="O758" s="10" t="str" cm="1">
        <f t="array" ref="O758">_xlfn.IFS(N758="A","א'", N758="B", "ב'", N758= "C", "ג'")</f>
        <v>ג'</v>
      </c>
      <c r="P758" s="10">
        <f>IF(Table_2[[#This Row],[Correct_Answer]]=Table_2[[#This Row],[System_Recommendation]],1,0)</f>
        <v>0</v>
      </c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6" t="s">
        <v>207</v>
      </c>
      <c r="B759" s="6">
        <v>32</v>
      </c>
      <c r="C759" s="6" t="s">
        <v>372</v>
      </c>
      <c r="D759" s="6">
        <v>3</v>
      </c>
      <c r="E759" s="6" t="s">
        <v>105</v>
      </c>
      <c r="F759" s="6" t="s">
        <v>375</v>
      </c>
      <c r="G759" s="6" t="s">
        <v>117</v>
      </c>
      <c r="H759" s="6" t="s">
        <v>198</v>
      </c>
      <c r="I759" s="6" t="s">
        <v>91</v>
      </c>
      <c r="J759" s="6" t="s">
        <v>374</v>
      </c>
      <c r="K759" s="6" t="s">
        <v>383</v>
      </c>
      <c r="L759" s="6" t="str">
        <f>IF(J759="כן", K759, VLOOKUP(LEFT(H759, 7), 'קטלוג תרחישים'!$A:$M, 13, FALSE))</f>
        <v>א'</v>
      </c>
      <c r="M759" s="10"/>
      <c r="N759" s="24" t="s">
        <v>352</v>
      </c>
      <c r="O759" s="10" t="str" cm="1">
        <f t="array" ref="O759">_xlfn.IFS(N759="A","א'", N759="B", "ב'", N759= "C", "ג'")</f>
        <v>א'</v>
      </c>
      <c r="P759" s="10">
        <f>IF(Table_2[[#This Row],[Correct_Answer]]=Table_2[[#This Row],[System_Recommendation]],1,0)</f>
        <v>1</v>
      </c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6" t="s">
        <v>207</v>
      </c>
      <c r="B760" s="6">
        <v>33</v>
      </c>
      <c r="C760" s="6" t="s">
        <v>372</v>
      </c>
      <c r="D760" s="6">
        <v>3</v>
      </c>
      <c r="E760" s="6" t="s">
        <v>105</v>
      </c>
      <c r="F760" s="6" t="s">
        <v>375</v>
      </c>
      <c r="G760" s="6" t="s">
        <v>117</v>
      </c>
      <c r="H760" s="6" t="s">
        <v>199</v>
      </c>
      <c r="I760" s="6" t="s">
        <v>100</v>
      </c>
      <c r="J760" s="6" t="s">
        <v>371</v>
      </c>
      <c r="K760" s="6" t="s">
        <v>383</v>
      </c>
      <c r="L760" s="6" t="str">
        <f>IF(J760="כן", K760, VLOOKUP(LEFT(H760, 7), 'קטלוג תרחישים'!$A:$M, 13, FALSE))</f>
        <v>א'</v>
      </c>
      <c r="M760" s="10"/>
      <c r="N760" s="23" t="s">
        <v>352</v>
      </c>
      <c r="O760" s="10" t="str" cm="1">
        <f t="array" ref="O760">_xlfn.IFS(N760="A","א'", N760="B", "ב'", N760= "C", "ג'")</f>
        <v>א'</v>
      </c>
      <c r="P760" s="10">
        <f>IF(Table_2[[#This Row],[Correct_Answer]]=Table_2[[#This Row],[System_Recommendation]],1,0)</f>
        <v>1</v>
      </c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6" t="s">
        <v>208</v>
      </c>
      <c r="B761" s="6">
        <v>1</v>
      </c>
      <c r="C761" s="6" t="s">
        <v>370</v>
      </c>
      <c r="D761" s="6"/>
      <c r="E761" s="6" t="s">
        <v>98</v>
      </c>
      <c r="F761" s="6"/>
      <c r="G761" s="6"/>
      <c r="H761" s="8" t="s">
        <v>90</v>
      </c>
      <c r="I761" s="6" t="s">
        <v>91</v>
      </c>
      <c r="J761" s="6" t="s">
        <v>371</v>
      </c>
      <c r="K761" s="6" t="s">
        <v>385</v>
      </c>
      <c r="L761" s="6" t="str">
        <f>IF(J761="כן", K761, VLOOKUP(LEFT(H761, 7), 'קטלוג תרחישים'!$A:$M, 13, FALSE))</f>
        <v>ג</v>
      </c>
      <c r="M761" s="10"/>
      <c r="N761" s="24" t="s">
        <v>358</v>
      </c>
      <c r="O761" s="10" t="str" cm="1">
        <f t="array" ref="O761">_xlfn.IFS(N761="A","א'", N761="B", "ב'", N761= "C", "ג'")</f>
        <v>ג'</v>
      </c>
      <c r="P761" s="10">
        <f>IF(Table_2[[#This Row],[Correct_Answer]]=Table_2[[#This Row],[System_Recommendation]],1,0)</f>
        <v>1</v>
      </c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6" t="s">
        <v>208</v>
      </c>
      <c r="B762" s="6">
        <v>2</v>
      </c>
      <c r="C762" s="6" t="s">
        <v>370</v>
      </c>
      <c r="D762" s="6"/>
      <c r="E762" s="6" t="s">
        <v>98</v>
      </c>
      <c r="F762" s="6"/>
      <c r="G762" s="6"/>
      <c r="H762" s="8" t="s">
        <v>92</v>
      </c>
      <c r="I762" s="6" t="s">
        <v>91</v>
      </c>
      <c r="J762" s="6" t="s">
        <v>371</v>
      </c>
      <c r="K762" s="6" t="s">
        <v>385</v>
      </c>
      <c r="L762" s="6" t="str">
        <f>IF(J762="כן", K762, VLOOKUP(LEFT(H762, 7), 'קטלוג תרחישים'!$A:$M, 13, FALSE))</f>
        <v>ג</v>
      </c>
      <c r="M762" s="10"/>
      <c r="N762" s="23" t="s">
        <v>358</v>
      </c>
      <c r="O762" s="10" t="str" cm="1">
        <f t="array" ref="O762">_xlfn.IFS(N762="A","א'", N762="B", "ב'", N762= "C", "ג'")</f>
        <v>ג'</v>
      </c>
      <c r="P762" s="10">
        <f>IF(Table_2[[#This Row],[Correct_Answer]]=Table_2[[#This Row],[System_Recommendation]],1,0)</f>
        <v>1</v>
      </c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6" t="s">
        <v>208</v>
      </c>
      <c r="B763" s="6">
        <v>3</v>
      </c>
      <c r="C763" s="6" t="s">
        <v>370</v>
      </c>
      <c r="D763" s="6"/>
      <c r="E763" s="6" t="s">
        <v>105</v>
      </c>
      <c r="F763" s="6"/>
      <c r="G763" s="6"/>
      <c r="H763" s="8" t="s">
        <v>93</v>
      </c>
      <c r="I763" s="6" t="s">
        <v>91</v>
      </c>
      <c r="J763" s="6" t="s">
        <v>371</v>
      </c>
      <c r="K763" s="6" t="s">
        <v>385</v>
      </c>
      <c r="L763" s="6" t="str">
        <f>IF(J763="כן", K763, VLOOKUP(LEFT(H763, 7), 'קטלוג תרחישים'!$A:$M, 13, FALSE))</f>
        <v>ג</v>
      </c>
      <c r="M763" s="10"/>
      <c r="N763" s="24" t="s">
        <v>358</v>
      </c>
      <c r="O763" s="10" t="str" cm="1">
        <f t="array" ref="O763">_xlfn.IFS(N763="A","א'", N763="B", "ב'", N763= "C", "ג'")</f>
        <v>ג'</v>
      </c>
      <c r="P763" s="10">
        <f>IF(Table_2[[#This Row],[Correct_Answer]]=Table_2[[#This Row],[System_Recommendation]],1,0)</f>
        <v>1</v>
      </c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6" t="s">
        <v>208</v>
      </c>
      <c r="B764" s="6">
        <v>4</v>
      </c>
      <c r="C764" s="6" t="s">
        <v>370</v>
      </c>
      <c r="D764" s="6"/>
      <c r="E764" s="6" t="s">
        <v>105</v>
      </c>
      <c r="F764" s="6"/>
      <c r="G764" s="6"/>
      <c r="H764" s="8" t="s">
        <v>94</v>
      </c>
      <c r="I764" s="6" t="s">
        <v>91</v>
      </c>
      <c r="J764" s="6" t="s">
        <v>371</v>
      </c>
      <c r="K764" s="6" t="s">
        <v>384</v>
      </c>
      <c r="L764" s="6" t="str">
        <f>IF(J764="כן", K764, VLOOKUP(LEFT(H764, 7), 'קטלוג תרחישים'!$A:$M, 13, FALSE))</f>
        <v>ב'</v>
      </c>
      <c r="M764" s="10"/>
      <c r="N764" s="23" t="s">
        <v>357</v>
      </c>
      <c r="O764" s="10" t="str" cm="1">
        <f t="array" ref="O764">_xlfn.IFS(N764="A","א'", N764="B", "ב'", N764= "C", "ג'")</f>
        <v>ב'</v>
      </c>
      <c r="P764" s="10">
        <f>IF(Table_2[[#This Row],[Correct_Answer]]=Table_2[[#This Row],[System_Recommendation]],1,0)</f>
        <v>1</v>
      </c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6" t="s">
        <v>208</v>
      </c>
      <c r="B765" s="6">
        <v>5</v>
      </c>
      <c r="C765" s="6" t="s">
        <v>370</v>
      </c>
      <c r="D765" s="6"/>
      <c r="E765" s="6" t="s">
        <v>111</v>
      </c>
      <c r="F765" s="6"/>
      <c r="G765" s="6"/>
      <c r="H765" s="8" t="s">
        <v>95</v>
      </c>
      <c r="I765" s="6" t="s">
        <v>91</v>
      </c>
      <c r="J765" s="6" t="s">
        <v>371</v>
      </c>
      <c r="K765" s="6" t="s">
        <v>383</v>
      </c>
      <c r="L765" s="6" t="str">
        <f>IF(J765="כן", K765, VLOOKUP(LEFT(H765, 7), 'קטלוג תרחישים'!$A:$M, 13, FALSE))</f>
        <v>א'</v>
      </c>
      <c r="M765" s="10"/>
      <c r="N765" s="24" t="s">
        <v>352</v>
      </c>
      <c r="O765" s="10" t="str" cm="1">
        <f t="array" ref="O765">_xlfn.IFS(N765="A","א'", N765="B", "ב'", N765= "C", "ג'")</f>
        <v>א'</v>
      </c>
      <c r="P765" s="10">
        <f>IF(Table_2[[#This Row],[Correct_Answer]]=Table_2[[#This Row],[System_Recommendation]],1,0)</f>
        <v>1</v>
      </c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6" t="s">
        <v>208</v>
      </c>
      <c r="B766" s="6">
        <v>6</v>
      </c>
      <c r="C766" s="6" t="s">
        <v>370</v>
      </c>
      <c r="D766" s="6"/>
      <c r="E766" s="6" t="s">
        <v>111</v>
      </c>
      <c r="F766" s="6"/>
      <c r="G766" s="6"/>
      <c r="H766" s="8" t="s">
        <v>96</v>
      </c>
      <c r="I766" s="6" t="s">
        <v>91</v>
      </c>
      <c r="J766" s="6" t="s">
        <v>371</v>
      </c>
      <c r="K766" s="6" t="s">
        <v>385</v>
      </c>
      <c r="L766" s="6" t="str">
        <f>IF(J766="כן", K766, VLOOKUP(LEFT(H766, 7), 'קטלוג תרחישים'!$A:$M, 13, FALSE))</f>
        <v>ג</v>
      </c>
      <c r="M766" s="10"/>
      <c r="N766" s="23" t="s">
        <v>358</v>
      </c>
      <c r="O766" s="10" t="str" cm="1">
        <f t="array" ref="O766">_xlfn.IFS(N766="A","א'", N766="B", "ב'", N766= "C", "ג'")</f>
        <v>ג'</v>
      </c>
      <c r="P766" s="10">
        <f>IF(Table_2[[#This Row],[Correct_Answer]]=Table_2[[#This Row],[System_Recommendation]],1,0)</f>
        <v>1</v>
      </c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6" t="s">
        <v>208</v>
      </c>
      <c r="B767" s="6">
        <v>7</v>
      </c>
      <c r="C767" s="6" t="s">
        <v>372</v>
      </c>
      <c r="D767" s="6">
        <v>1</v>
      </c>
      <c r="E767" s="6" t="s">
        <v>98</v>
      </c>
      <c r="F767" s="6" t="s">
        <v>373</v>
      </c>
      <c r="G767" s="6" t="s">
        <v>117</v>
      </c>
      <c r="H767" s="6" t="s">
        <v>194</v>
      </c>
      <c r="I767" s="6" t="s">
        <v>91</v>
      </c>
      <c r="J767" s="6" t="s">
        <v>374</v>
      </c>
      <c r="K767" s="6" t="s">
        <v>385</v>
      </c>
      <c r="L767" s="6" t="str">
        <f>IF(J767="כן", K767, VLOOKUP(LEFT(H767, 7), 'קטלוג תרחישים'!$A:$M, 13, FALSE))</f>
        <v>ב'</v>
      </c>
      <c r="M767" s="10"/>
      <c r="N767" s="24" t="s">
        <v>358</v>
      </c>
      <c r="O767" s="10" t="str" cm="1">
        <f t="array" ref="O767">_xlfn.IFS(N767="A","א'", N767="B", "ב'", N767= "C", "ג'")</f>
        <v>ג'</v>
      </c>
      <c r="P767" s="10">
        <f>IF(Table_2[[#This Row],[Correct_Answer]]=Table_2[[#This Row],[System_Recommendation]],1,0)</f>
        <v>0</v>
      </c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6" t="s">
        <v>208</v>
      </c>
      <c r="B768" s="6">
        <v>8</v>
      </c>
      <c r="C768" s="6" t="s">
        <v>372</v>
      </c>
      <c r="D768" s="6">
        <v>1</v>
      </c>
      <c r="E768" s="6" t="s">
        <v>98</v>
      </c>
      <c r="F768" s="6" t="s">
        <v>373</v>
      </c>
      <c r="G768" s="6" t="s">
        <v>117</v>
      </c>
      <c r="H768" s="6" t="s">
        <v>195</v>
      </c>
      <c r="I768" s="6" t="s">
        <v>100</v>
      </c>
      <c r="J768" s="6" t="s">
        <v>371</v>
      </c>
      <c r="K768" s="6" t="s">
        <v>384</v>
      </c>
      <c r="L768" s="6" t="str">
        <f>IF(J768="כן", K768, VLOOKUP(LEFT(H768, 7), 'קטלוג תרחישים'!$A:$M, 13, FALSE))</f>
        <v>ב'</v>
      </c>
      <c r="M768" s="10"/>
      <c r="N768" s="23" t="s">
        <v>357</v>
      </c>
      <c r="O768" s="10" t="str" cm="1">
        <f t="array" ref="O768">_xlfn.IFS(N768="A","א'", N768="B", "ב'", N768= "C", "ג'")</f>
        <v>ב'</v>
      </c>
      <c r="P768" s="10">
        <f>IF(Table_2[[#This Row],[Correct_Answer]]=Table_2[[#This Row],[System_Recommendation]],1,0)</f>
        <v>1</v>
      </c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6" t="s">
        <v>208</v>
      </c>
      <c r="B769" s="6">
        <v>9</v>
      </c>
      <c r="C769" s="6" t="s">
        <v>372</v>
      </c>
      <c r="D769" s="6">
        <v>1</v>
      </c>
      <c r="E769" s="6" t="s">
        <v>98</v>
      </c>
      <c r="F769" s="6" t="s">
        <v>373</v>
      </c>
      <c r="G769" s="6" t="s">
        <v>117</v>
      </c>
      <c r="H769" s="6" t="s">
        <v>196</v>
      </c>
      <c r="I769" s="6" t="s">
        <v>91</v>
      </c>
      <c r="J769" s="6" t="s">
        <v>371</v>
      </c>
      <c r="K769" s="6" t="s">
        <v>384</v>
      </c>
      <c r="L769" s="6" t="str">
        <f>IF(J769="כן", K769, VLOOKUP(LEFT(H769, 7), 'קטלוג תרחישים'!$A:$M, 13, FALSE))</f>
        <v>ב'</v>
      </c>
      <c r="M769" s="10"/>
      <c r="N769" s="24" t="s">
        <v>357</v>
      </c>
      <c r="O769" s="10" t="str" cm="1">
        <f t="array" ref="O769">_xlfn.IFS(N769="A","א'", N769="B", "ב'", N769= "C", "ג'")</f>
        <v>ב'</v>
      </c>
      <c r="P769" s="10">
        <f>IF(Table_2[[#This Row],[Correct_Answer]]=Table_2[[#This Row],[System_Recommendation]],1,0)</f>
        <v>1</v>
      </c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6" t="s">
        <v>208</v>
      </c>
      <c r="B770" s="6">
        <v>10</v>
      </c>
      <c r="C770" s="6" t="s">
        <v>372</v>
      </c>
      <c r="D770" s="6">
        <v>1</v>
      </c>
      <c r="E770" s="6" t="s">
        <v>98</v>
      </c>
      <c r="F770" s="6" t="s">
        <v>373</v>
      </c>
      <c r="G770" s="6" t="s">
        <v>117</v>
      </c>
      <c r="H770" s="6" t="s">
        <v>197</v>
      </c>
      <c r="I770" s="6" t="s">
        <v>100</v>
      </c>
      <c r="J770" s="6" t="s">
        <v>374</v>
      </c>
      <c r="K770" s="6" t="s">
        <v>384</v>
      </c>
      <c r="L770" s="6" t="str">
        <f>IF(J770="כן", K770, VLOOKUP(LEFT(H770, 7), 'קטלוג תרחישים'!$A:$M, 13, FALSE))</f>
        <v>ב'</v>
      </c>
      <c r="M770" s="10"/>
      <c r="N770" s="23" t="s">
        <v>357</v>
      </c>
      <c r="O770" s="10" t="str" cm="1">
        <f t="array" ref="O770">_xlfn.IFS(N770="A","א'", N770="B", "ב'", N770= "C", "ג'")</f>
        <v>ב'</v>
      </c>
      <c r="P770" s="10">
        <f>IF(Table_2[[#This Row],[Correct_Answer]]=Table_2[[#This Row],[System_Recommendation]],1,0)</f>
        <v>1</v>
      </c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6" t="s">
        <v>208</v>
      </c>
      <c r="B771" s="6">
        <v>11</v>
      </c>
      <c r="C771" s="6" t="s">
        <v>372</v>
      </c>
      <c r="D771" s="6">
        <v>2</v>
      </c>
      <c r="E771" s="6" t="s">
        <v>105</v>
      </c>
      <c r="F771" s="6" t="s">
        <v>373</v>
      </c>
      <c r="G771" s="6" t="s">
        <v>117</v>
      </c>
      <c r="H771" s="6" t="s">
        <v>200</v>
      </c>
      <c r="I771" s="6" t="s">
        <v>91</v>
      </c>
      <c r="J771" s="6" t="s">
        <v>374</v>
      </c>
      <c r="K771" s="6" t="s">
        <v>383</v>
      </c>
      <c r="L771" s="6" t="str">
        <f>IF(J771="כן", K771, VLOOKUP(LEFT(H771, 7), 'קטלוג תרחישים'!$A:$M, 13, FALSE))</f>
        <v>א'</v>
      </c>
      <c r="M771" s="10"/>
      <c r="N771" s="24" t="s">
        <v>352</v>
      </c>
      <c r="O771" s="10" t="str" cm="1">
        <f t="array" ref="O771">_xlfn.IFS(N771="A","א'", N771="B", "ב'", N771= "C", "ג'")</f>
        <v>א'</v>
      </c>
      <c r="P771" s="10">
        <f>IF(Table_2[[#This Row],[Correct_Answer]]=Table_2[[#This Row],[System_Recommendation]],1,0)</f>
        <v>1</v>
      </c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6" t="s">
        <v>208</v>
      </c>
      <c r="B772" s="6">
        <v>12</v>
      </c>
      <c r="C772" s="6" t="s">
        <v>372</v>
      </c>
      <c r="D772" s="6">
        <v>2</v>
      </c>
      <c r="E772" s="6" t="s">
        <v>105</v>
      </c>
      <c r="F772" s="6" t="s">
        <v>373</v>
      </c>
      <c r="G772" s="6" t="s">
        <v>117</v>
      </c>
      <c r="H772" s="6" t="s">
        <v>199</v>
      </c>
      <c r="I772" s="6" t="s">
        <v>100</v>
      </c>
      <c r="J772" s="6" t="s">
        <v>371</v>
      </c>
      <c r="K772" s="6" t="s">
        <v>385</v>
      </c>
      <c r="L772" s="6" t="str">
        <f>IF(J772="כן", K772, VLOOKUP(LEFT(H772, 7), 'קטלוג תרחישים'!$A:$M, 13, FALSE))</f>
        <v>ג</v>
      </c>
      <c r="M772" s="10"/>
      <c r="N772" s="23" t="s">
        <v>358</v>
      </c>
      <c r="O772" s="10" t="str" cm="1">
        <f t="array" ref="O772">_xlfn.IFS(N772="A","א'", N772="B", "ב'", N772= "C", "ג'")</f>
        <v>ג'</v>
      </c>
      <c r="P772" s="10">
        <f>IF(Table_2[[#This Row],[Correct_Answer]]=Table_2[[#This Row],[System_Recommendation]],1,0)</f>
        <v>1</v>
      </c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6" t="s">
        <v>208</v>
      </c>
      <c r="B773" s="6">
        <v>13</v>
      </c>
      <c r="C773" s="6" t="s">
        <v>372</v>
      </c>
      <c r="D773" s="6">
        <v>2</v>
      </c>
      <c r="E773" s="6" t="s">
        <v>105</v>
      </c>
      <c r="F773" s="6" t="s">
        <v>373</v>
      </c>
      <c r="G773" s="6" t="s">
        <v>117</v>
      </c>
      <c r="H773" s="6" t="s">
        <v>198</v>
      </c>
      <c r="I773" s="6" t="s">
        <v>91</v>
      </c>
      <c r="J773" s="6" t="s">
        <v>371</v>
      </c>
      <c r="K773" s="6" t="s">
        <v>384</v>
      </c>
      <c r="L773" s="6" t="str">
        <f>IF(J773="כן", K773, VLOOKUP(LEFT(H773, 7), 'קטלוג תרחישים'!$A:$M, 13, FALSE))</f>
        <v>ב'</v>
      </c>
      <c r="M773" s="10"/>
      <c r="N773" s="24" t="s">
        <v>357</v>
      </c>
      <c r="O773" s="10" t="str" cm="1">
        <f t="array" ref="O773">_xlfn.IFS(N773="A","א'", N773="B", "ב'", N773= "C", "ג'")</f>
        <v>ב'</v>
      </c>
      <c r="P773" s="10">
        <f>IF(Table_2[[#This Row],[Correct_Answer]]=Table_2[[#This Row],[System_Recommendation]],1,0)</f>
        <v>1</v>
      </c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6" t="s">
        <v>208</v>
      </c>
      <c r="B774" s="6">
        <v>14</v>
      </c>
      <c r="C774" s="6" t="s">
        <v>372</v>
      </c>
      <c r="D774" s="6">
        <v>2</v>
      </c>
      <c r="E774" s="6" t="s">
        <v>105</v>
      </c>
      <c r="F774" s="6" t="s">
        <v>373</v>
      </c>
      <c r="G774" s="6" t="s">
        <v>117</v>
      </c>
      <c r="H774" s="6" t="s">
        <v>201</v>
      </c>
      <c r="I774" s="6" t="s">
        <v>100</v>
      </c>
      <c r="J774" s="6" t="s">
        <v>374</v>
      </c>
      <c r="K774" s="6" t="s">
        <v>385</v>
      </c>
      <c r="L774" s="6" t="str">
        <f>IF(J774="כן", K774, VLOOKUP(LEFT(H774, 7), 'קטלוג תרחישים'!$A:$M, 13, FALSE))</f>
        <v>א'</v>
      </c>
      <c r="M774" s="10"/>
      <c r="N774" s="23" t="s">
        <v>358</v>
      </c>
      <c r="O774" s="10" t="str" cm="1">
        <f t="array" ref="O774">_xlfn.IFS(N774="A","א'", N774="B", "ב'", N774= "C", "ג'")</f>
        <v>ג'</v>
      </c>
      <c r="P774" s="10">
        <f>IF(Table_2[[#This Row],[Correct_Answer]]=Table_2[[#This Row],[System_Recommendation]],1,0)</f>
        <v>0</v>
      </c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6" t="s">
        <v>208</v>
      </c>
      <c r="B775" s="6">
        <v>15</v>
      </c>
      <c r="C775" s="6" t="s">
        <v>372</v>
      </c>
      <c r="D775" s="6">
        <v>3</v>
      </c>
      <c r="E775" s="6" t="s">
        <v>111</v>
      </c>
      <c r="F775" s="6" t="s">
        <v>373</v>
      </c>
      <c r="G775" s="6" t="s">
        <v>117</v>
      </c>
      <c r="H775" s="6" t="s">
        <v>202</v>
      </c>
      <c r="I775" s="6" t="s">
        <v>91</v>
      </c>
      <c r="J775" s="6" t="s">
        <v>374</v>
      </c>
      <c r="K775" s="6" t="s">
        <v>383</v>
      </c>
      <c r="L775" s="6" t="str">
        <f>IF(J775="כן", K775, VLOOKUP(LEFT(H775, 7), 'קטלוג תרחישים'!$A:$M, 13, FALSE))</f>
        <v>א'</v>
      </c>
      <c r="M775" s="10"/>
      <c r="N775" s="24" t="s">
        <v>352</v>
      </c>
      <c r="O775" s="10" t="str" cm="1">
        <f t="array" ref="O775">_xlfn.IFS(N775="A","א'", N775="B", "ב'", N775= "C", "ג'")</f>
        <v>א'</v>
      </c>
      <c r="P775" s="10">
        <f>IF(Table_2[[#This Row],[Correct_Answer]]=Table_2[[#This Row],[System_Recommendation]],1,0)</f>
        <v>1</v>
      </c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6" t="s">
        <v>208</v>
      </c>
      <c r="B776" s="6">
        <v>16</v>
      </c>
      <c r="C776" s="6" t="s">
        <v>372</v>
      </c>
      <c r="D776" s="6">
        <v>3</v>
      </c>
      <c r="E776" s="6" t="s">
        <v>111</v>
      </c>
      <c r="F776" s="6" t="s">
        <v>373</v>
      </c>
      <c r="G776" s="6" t="s">
        <v>117</v>
      </c>
      <c r="H776" s="6" t="s">
        <v>203</v>
      </c>
      <c r="I776" s="6" t="s">
        <v>100</v>
      </c>
      <c r="J776" s="6" t="s">
        <v>374</v>
      </c>
      <c r="K776" s="6" t="s">
        <v>385</v>
      </c>
      <c r="L776" s="6" t="str">
        <f>IF(J776="כן", K776, VLOOKUP(LEFT(H776, 7), 'קטלוג תרחישים'!$A:$M, 13, FALSE))</f>
        <v>ב'</v>
      </c>
      <c r="M776" s="10"/>
      <c r="N776" s="23" t="s">
        <v>358</v>
      </c>
      <c r="O776" s="10" t="str" cm="1">
        <f t="array" ref="O776">_xlfn.IFS(N776="A","א'", N776="B", "ב'", N776= "C", "ג'")</f>
        <v>ג'</v>
      </c>
      <c r="P776" s="10">
        <f>IF(Table_2[[#This Row],[Correct_Answer]]=Table_2[[#This Row],[System_Recommendation]],1,0)</f>
        <v>0</v>
      </c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6" t="s">
        <v>208</v>
      </c>
      <c r="B777" s="6">
        <v>17</v>
      </c>
      <c r="C777" s="6" t="s">
        <v>372</v>
      </c>
      <c r="D777" s="6">
        <v>3</v>
      </c>
      <c r="E777" s="6" t="s">
        <v>111</v>
      </c>
      <c r="F777" s="6" t="s">
        <v>373</v>
      </c>
      <c r="G777" s="6" t="s">
        <v>117</v>
      </c>
      <c r="H777" s="6" t="s">
        <v>204</v>
      </c>
      <c r="I777" s="6" t="s">
        <v>91</v>
      </c>
      <c r="J777" s="6" t="s">
        <v>371</v>
      </c>
      <c r="K777" s="6" t="s">
        <v>385</v>
      </c>
      <c r="L777" s="6" t="str">
        <f>IF(J777="כן", K777, VLOOKUP(LEFT(H777, 7), 'קטלוג תרחישים'!$A:$M, 13, FALSE))</f>
        <v>ג</v>
      </c>
      <c r="M777" s="10"/>
      <c r="N777" s="24" t="s">
        <v>358</v>
      </c>
      <c r="O777" s="10" t="str" cm="1">
        <f t="array" ref="O777">_xlfn.IFS(N777="A","א'", N777="B", "ב'", N777= "C", "ג'")</f>
        <v>ג'</v>
      </c>
      <c r="P777" s="10">
        <f>IF(Table_2[[#This Row],[Correct_Answer]]=Table_2[[#This Row],[System_Recommendation]],1,0)</f>
        <v>1</v>
      </c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6" t="s">
        <v>208</v>
      </c>
      <c r="B778" s="6">
        <v>18</v>
      </c>
      <c r="C778" s="6" t="s">
        <v>372</v>
      </c>
      <c r="D778" s="6">
        <v>3</v>
      </c>
      <c r="E778" s="6" t="s">
        <v>111</v>
      </c>
      <c r="F778" s="6" t="s">
        <v>373</v>
      </c>
      <c r="G778" s="6" t="s">
        <v>117</v>
      </c>
      <c r="H778" s="6" t="s">
        <v>205</v>
      </c>
      <c r="I778" s="6" t="s">
        <v>100</v>
      </c>
      <c r="J778" s="6" t="s">
        <v>371</v>
      </c>
      <c r="K778" s="6" t="s">
        <v>384</v>
      </c>
      <c r="L778" s="6" t="str">
        <f>IF(J778="כן", K778, VLOOKUP(LEFT(H778, 7), 'קטלוג תרחישים'!$A:$M, 13, FALSE))</f>
        <v>ב'</v>
      </c>
      <c r="M778" s="10"/>
      <c r="N778" s="23" t="s">
        <v>357</v>
      </c>
      <c r="O778" s="10" t="str" cm="1">
        <f t="array" ref="O778">_xlfn.IFS(N778="A","א'", N778="B", "ב'", N778= "C", "ג'")</f>
        <v>ב'</v>
      </c>
      <c r="P778" s="10">
        <f>IF(Table_2[[#This Row],[Correct_Answer]]=Table_2[[#This Row],[System_Recommendation]],1,0)</f>
        <v>1</v>
      </c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6" t="s">
        <v>208</v>
      </c>
      <c r="B779" s="6">
        <v>19</v>
      </c>
      <c r="C779" s="6" t="s">
        <v>372</v>
      </c>
      <c r="D779" s="6">
        <v>1</v>
      </c>
      <c r="E779" s="6" t="s">
        <v>111</v>
      </c>
      <c r="F779" s="6" t="s">
        <v>375</v>
      </c>
      <c r="G779" s="6" t="s">
        <v>97</v>
      </c>
      <c r="H779" s="6" t="s">
        <v>183</v>
      </c>
      <c r="I779" s="6" t="s">
        <v>100</v>
      </c>
      <c r="J779" s="6" t="s">
        <v>371</v>
      </c>
      <c r="K779" s="6" t="s">
        <v>383</v>
      </c>
      <c r="L779" s="6" t="str">
        <f>IF(J779="כן", K779, VLOOKUP(LEFT(H779, 7), 'קטלוג תרחישים'!$A:$M, 13, FALSE))</f>
        <v>א'</v>
      </c>
      <c r="M779" s="10"/>
      <c r="N779" s="24" t="s">
        <v>352</v>
      </c>
      <c r="O779" s="10" t="str" cm="1">
        <f t="array" ref="O779">_xlfn.IFS(N779="A","א'", N779="B", "ב'", N779= "C", "ג'")</f>
        <v>א'</v>
      </c>
      <c r="P779" s="10">
        <f>IF(Table_2[[#This Row],[Correct_Answer]]=Table_2[[#This Row],[System_Recommendation]],1,0)</f>
        <v>1</v>
      </c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6" t="s">
        <v>208</v>
      </c>
      <c r="B780" s="6">
        <v>20</v>
      </c>
      <c r="C780" s="6" t="s">
        <v>372</v>
      </c>
      <c r="D780" s="6">
        <v>1</v>
      </c>
      <c r="E780" s="6" t="s">
        <v>111</v>
      </c>
      <c r="F780" s="6" t="s">
        <v>375</v>
      </c>
      <c r="G780" s="6" t="s">
        <v>97</v>
      </c>
      <c r="H780" s="6" t="s">
        <v>182</v>
      </c>
      <c r="I780" s="6" t="s">
        <v>91</v>
      </c>
      <c r="J780" s="6" t="s">
        <v>371</v>
      </c>
      <c r="K780" s="6" t="s">
        <v>385</v>
      </c>
      <c r="L780" s="6" t="str">
        <f>IF(J780="כן", K780, VLOOKUP(LEFT(H780, 7), 'קטלוג תרחישים'!$A:$M, 13, FALSE))</f>
        <v>ג</v>
      </c>
      <c r="M780" s="10"/>
      <c r="N780" s="23" t="s">
        <v>358</v>
      </c>
      <c r="O780" s="10" t="str" cm="1">
        <f t="array" ref="O780">_xlfn.IFS(N780="A","א'", N780="B", "ב'", N780= "C", "ג'")</f>
        <v>ג'</v>
      </c>
      <c r="P780" s="10">
        <f>IF(Table_2[[#This Row],[Correct_Answer]]=Table_2[[#This Row],[System_Recommendation]],1,0)</f>
        <v>1</v>
      </c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6" t="s">
        <v>208</v>
      </c>
      <c r="B781" s="6">
        <v>21</v>
      </c>
      <c r="C781" s="6" t="s">
        <v>372</v>
      </c>
      <c r="D781" s="6">
        <v>1</v>
      </c>
      <c r="E781" s="6" t="s">
        <v>111</v>
      </c>
      <c r="F781" s="6" t="s">
        <v>375</v>
      </c>
      <c r="G781" s="6" t="s">
        <v>97</v>
      </c>
      <c r="H781" s="6" t="s">
        <v>179</v>
      </c>
      <c r="I781" s="6" t="s">
        <v>100</v>
      </c>
      <c r="J781" s="6" t="s">
        <v>374</v>
      </c>
      <c r="K781" s="6" t="s">
        <v>384</v>
      </c>
      <c r="L781" s="6" t="str">
        <f>IF(J781="כן", K781, VLOOKUP(LEFT(H781, 7), 'קטלוג תרחישים'!$A:$M, 13, FALSE))</f>
        <v>ג'</v>
      </c>
      <c r="M781" s="10"/>
      <c r="N781" s="24" t="s">
        <v>357</v>
      </c>
      <c r="O781" s="10" t="str" cm="1">
        <f t="array" ref="O781">_xlfn.IFS(N781="A","א'", N781="B", "ב'", N781= "C", "ג'")</f>
        <v>ב'</v>
      </c>
      <c r="P781" s="10">
        <f>IF(Table_2[[#This Row],[Correct_Answer]]=Table_2[[#This Row],[System_Recommendation]],1,0)</f>
        <v>0</v>
      </c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6" t="s">
        <v>208</v>
      </c>
      <c r="B782" s="6">
        <v>22</v>
      </c>
      <c r="C782" s="6" t="s">
        <v>372</v>
      </c>
      <c r="D782" s="6">
        <v>1</v>
      </c>
      <c r="E782" s="6" t="s">
        <v>111</v>
      </c>
      <c r="F782" s="6" t="s">
        <v>375</v>
      </c>
      <c r="G782" s="6" t="s">
        <v>97</v>
      </c>
      <c r="H782" s="6" t="s">
        <v>180</v>
      </c>
      <c r="I782" s="6" t="s">
        <v>91</v>
      </c>
      <c r="J782" s="6" t="s">
        <v>371</v>
      </c>
      <c r="K782" s="6" t="s">
        <v>383</v>
      </c>
      <c r="L782" s="6" t="str">
        <f>IF(J782="כן", K782, VLOOKUP(LEFT(H782, 7), 'קטלוג תרחישים'!$A:$M, 13, FALSE))</f>
        <v>א'</v>
      </c>
      <c r="M782" s="10"/>
      <c r="N782" s="23" t="s">
        <v>352</v>
      </c>
      <c r="O782" s="10" t="str" cm="1">
        <f t="array" ref="O782">_xlfn.IFS(N782="A","א'", N782="B", "ב'", N782= "C", "ג'")</f>
        <v>א'</v>
      </c>
      <c r="P782" s="10">
        <f>IF(Table_2[[#This Row],[Correct_Answer]]=Table_2[[#This Row],[System_Recommendation]],1,0)</f>
        <v>1</v>
      </c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6" t="s">
        <v>208</v>
      </c>
      <c r="B783" s="6">
        <v>23</v>
      </c>
      <c r="C783" s="6" t="s">
        <v>372</v>
      </c>
      <c r="D783" s="6">
        <v>1</v>
      </c>
      <c r="E783" s="6" t="s">
        <v>111</v>
      </c>
      <c r="F783" s="6" t="s">
        <v>375</v>
      </c>
      <c r="G783" s="6" t="s">
        <v>97</v>
      </c>
      <c r="H783" s="6" t="s">
        <v>181</v>
      </c>
      <c r="I783" s="6" t="s">
        <v>100</v>
      </c>
      <c r="J783" s="6" t="s">
        <v>371</v>
      </c>
      <c r="K783" s="6" t="s">
        <v>383</v>
      </c>
      <c r="L783" s="6" t="str">
        <f>IF(J783="כן", K783, VLOOKUP(LEFT(H783, 7), 'קטלוג תרחישים'!$A:$M, 13, FALSE))</f>
        <v>א'</v>
      </c>
      <c r="M783" s="10"/>
      <c r="N783" s="24" t="s">
        <v>352</v>
      </c>
      <c r="O783" s="10" t="str" cm="1">
        <f t="array" ref="O783">_xlfn.IFS(N783="A","א'", N783="B", "ב'", N783= "C", "ג'")</f>
        <v>א'</v>
      </c>
      <c r="P783" s="10">
        <f>IF(Table_2[[#This Row],[Correct_Answer]]=Table_2[[#This Row],[System_Recommendation]],1,0)</f>
        <v>1</v>
      </c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6" t="s">
        <v>208</v>
      </c>
      <c r="B784" s="6">
        <v>24</v>
      </c>
      <c r="C784" s="6" t="s">
        <v>372</v>
      </c>
      <c r="D784" s="6">
        <v>2</v>
      </c>
      <c r="E784" s="6" t="s">
        <v>98</v>
      </c>
      <c r="F784" s="6" t="s">
        <v>375</v>
      </c>
      <c r="G784" s="6" t="s">
        <v>97</v>
      </c>
      <c r="H784" s="6" t="s">
        <v>184</v>
      </c>
      <c r="I784" s="6" t="s">
        <v>91</v>
      </c>
      <c r="J784" s="6" t="s">
        <v>374</v>
      </c>
      <c r="K784" s="6" t="s">
        <v>383</v>
      </c>
      <c r="L784" s="6" t="str">
        <f>IF(J784="כן", K784, VLOOKUP(LEFT(H784, 7), 'קטלוג תרחישים'!$A:$M, 13, FALSE))</f>
        <v>א'</v>
      </c>
      <c r="M784" s="10"/>
      <c r="N784" s="23" t="s">
        <v>352</v>
      </c>
      <c r="O784" s="10" t="str" cm="1">
        <f t="array" ref="O784">_xlfn.IFS(N784="A","א'", N784="B", "ב'", N784= "C", "ג'")</f>
        <v>א'</v>
      </c>
      <c r="P784" s="10">
        <f>IF(Table_2[[#This Row],[Correct_Answer]]=Table_2[[#This Row],[System_Recommendation]],1,0)</f>
        <v>1</v>
      </c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6" t="s">
        <v>208</v>
      </c>
      <c r="B785" s="6">
        <v>25</v>
      </c>
      <c r="C785" s="6" t="s">
        <v>372</v>
      </c>
      <c r="D785" s="6">
        <v>2</v>
      </c>
      <c r="E785" s="6" t="s">
        <v>98</v>
      </c>
      <c r="F785" s="6" t="s">
        <v>375</v>
      </c>
      <c r="G785" s="6" t="s">
        <v>97</v>
      </c>
      <c r="H785" s="6" t="s">
        <v>187</v>
      </c>
      <c r="I785" s="6" t="s">
        <v>100</v>
      </c>
      <c r="J785" s="6" t="s">
        <v>371</v>
      </c>
      <c r="K785" s="6" t="s">
        <v>384</v>
      </c>
      <c r="L785" s="6" t="str">
        <f>IF(J785="כן", K785, VLOOKUP(LEFT(H785, 7), 'קטלוג תרחישים'!$A:$M, 13, FALSE))</f>
        <v>ב'</v>
      </c>
      <c r="M785" s="10"/>
      <c r="N785" s="24" t="s">
        <v>357</v>
      </c>
      <c r="O785" s="10" t="str" cm="1">
        <f t="array" ref="O785">_xlfn.IFS(N785="A","א'", N785="B", "ב'", N785= "C", "ג'")</f>
        <v>ב'</v>
      </c>
      <c r="P785" s="10">
        <f>IF(Table_2[[#This Row],[Correct_Answer]]=Table_2[[#This Row],[System_Recommendation]],1,0)</f>
        <v>1</v>
      </c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6" t="s">
        <v>208</v>
      </c>
      <c r="B786" s="6">
        <v>26</v>
      </c>
      <c r="C786" s="6" t="s">
        <v>372</v>
      </c>
      <c r="D786" s="6">
        <v>2</v>
      </c>
      <c r="E786" s="6" t="s">
        <v>98</v>
      </c>
      <c r="F786" s="6" t="s">
        <v>375</v>
      </c>
      <c r="G786" s="6" t="s">
        <v>97</v>
      </c>
      <c r="H786" s="6" t="s">
        <v>186</v>
      </c>
      <c r="I786" s="6" t="s">
        <v>91</v>
      </c>
      <c r="J786" s="6" t="s">
        <v>371</v>
      </c>
      <c r="K786" s="6" t="s">
        <v>384</v>
      </c>
      <c r="L786" s="6" t="str">
        <f>IF(J786="כן", K786, VLOOKUP(LEFT(H786, 7), 'קטלוג תרחישים'!$A:$M, 13, FALSE))</f>
        <v>ב'</v>
      </c>
      <c r="M786" s="10"/>
      <c r="N786" s="23" t="s">
        <v>357</v>
      </c>
      <c r="O786" s="10" t="str" cm="1">
        <f t="array" ref="O786">_xlfn.IFS(N786="A","א'", N786="B", "ב'", N786= "C", "ג'")</f>
        <v>ב'</v>
      </c>
      <c r="P786" s="10">
        <f>IF(Table_2[[#This Row],[Correct_Answer]]=Table_2[[#This Row],[System_Recommendation]],1,0)</f>
        <v>1</v>
      </c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6" t="s">
        <v>208</v>
      </c>
      <c r="B787" s="6">
        <v>27</v>
      </c>
      <c r="C787" s="6" t="s">
        <v>372</v>
      </c>
      <c r="D787" s="6">
        <v>2</v>
      </c>
      <c r="E787" s="6" t="s">
        <v>98</v>
      </c>
      <c r="F787" s="6" t="s">
        <v>375</v>
      </c>
      <c r="G787" s="6" t="s">
        <v>97</v>
      </c>
      <c r="H787" s="6" t="s">
        <v>185</v>
      </c>
      <c r="I787" s="6" t="s">
        <v>100</v>
      </c>
      <c r="J787" s="6" t="s">
        <v>371</v>
      </c>
      <c r="K787" s="6" t="s">
        <v>385</v>
      </c>
      <c r="L787" s="6" t="str">
        <f>IF(J787="כן", K787, VLOOKUP(LEFT(H787, 7), 'קטלוג תרחישים'!$A:$M, 13, FALSE))</f>
        <v>ג</v>
      </c>
      <c r="M787" s="10"/>
      <c r="N787" s="24" t="s">
        <v>358</v>
      </c>
      <c r="O787" s="10" t="str" cm="1">
        <f t="array" ref="O787">_xlfn.IFS(N787="A","א'", N787="B", "ב'", N787= "C", "ג'")</f>
        <v>ג'</v>
      </c>
      <c r="P787" s="10">
        <f>IF(Table_2[[#This Row],[Correct_Answer]]=Table_2[[#This Row],[System_Recommendation]],1,0)</f>
        <v>1</v>
      </c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6" t="s">
        <v>208</v>
      </c>
      <c r="B788" s="6">
        <v>28</v>
      </c>
      <c r="C788" s="6" t="s">
        <v>372</v>
      </c>
      <c r="D788" s="6">
        <v>2</v>
      </c>
      <c r="E788" s="6" t="s">
        <v>98</v>
      </c>
      <c r="F788" s="6" t="s">
        <v>375</v>
      </c>
      <c r="G788" s="6" t="s">
        <v>97</v>
      </c>
      <c r="H788" s="6" t="s">
        <v>188</v>
      </c>
      <c r="I788" s="6" t="s">
        <v>91</v>
      </c>
      <c r="J788" s="6" t="s">
        <v>371</v>
      </c>
      <c r="K788" s="6" t="s">
        <v>385</v>
      </c>
      <c r="L788" s="6" t="str">
        <f>IF(J788="כן", K788, VLOOKUP(LEFT(H788, 7), 'קטלוג תרחישים'!$A:$M, 13, FALSE))</f>
        <v>ג</v>
      </c>
      <c r="M788" s="10"/>
      <c r="N788" s="23" t="s">
        <v>358</v>
      </c>
      <c r="O788" s="10" t="str" cm="1">
        <f t="array" ref="O788">_xlfn.IFS(N788="A","א'", N788="B", "ב'", N788= "C", "ג'")</f>
        <v>ג'</v>
      </c>
      <c r="P788" s="10">
        <f>IF(Table_2[[#This Row],[Correct_Answer]]=Table_2[[#This Row],[System_Recommendation]],1,0)</f>
        <v>1</v>
      </c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6" t="s">
        <v>208</v>
      </c>
      <c r="B789" s="6">
        <v>29</v>
      </c>
      <c r="C789" s="6" t="s">
        <v>372</v>
      </c>
      <c r="D789" s="6">
        <v>3</v>
      </c>
      <c r="E789" s="6" t="s">
        <v>105</v>
      </c>
      <c r="F789" s="6" t="s">
        <v>375</v>
      </c>
      <c r="G789" s="6" t="s">
        <v>97</v>
      </c>
      <c r="H789" s="6" t="s">
        <v>191</v>
      </c>
      <c r="I789" s="6" t="s">
        <v>91</v>
      </c>
      <c r="J789" s="6" t="s">
        <v>371</v>
      </c>
      <c r="K789" s="6" t="s">
        <v>385</v>
      </c>
      <c r="L789" s="6" t="str">
        <f>IF(J789="כן", K789, VLOOKUP(LEFT(H789, 7), 'קטלוג תרחישים'!$A:$M, 13, FALSE))</f>
        <v>ג</v>
      </c>
      <c r="M789" s="10"/>
      <c r="N789" s="24" t="s">
        <v>358</v>
      </c>
      <c r="O789" s="10" t="str" cm="1">
        <f t="array" ref="O789">_xlfn.IFS(N789="A","א'", N789="B", "ב'", N789= "C", "ג'")</f>
        <v>ג'</v>
      </c>
      <c r="P789" s="10">
        <f>IF(Table_2[[#This Row],[Correct_Answer]]=Table_2[[#This Row],[System_Recommendation]],1,0)</f>
        <v>1</v>
      </c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6" t="s">
        <v>208</v>
      </c>
      <c r="B790" s="6">
        <v>30</v>
      </c>
      <c r="C790" s="6" t="s">
        <v>372</v>
      </c>
      <c r="D790" s="6">
        <v>3</v>
      </c>
      <c r="E790" s="6" t="s">
        <v>105</v>
      </c>
      <c r="F790" s="6" t="s">
        <v>375</v>
      </c>
      <c r="G790" s="6" t="s">
        <v>97</v>
      </c>
      <c r="H790" s="6" t="s">
        <v>192</v>
      </c>
      <c r="I790" s="6" t="s">
        <v>100</v>
      </c>
      <c r="J790" s="6" t="s">
        <v>374</v>
      </c>
      <c r="K790" s="6" t="s">
        <v>384</v>
      </c>
      <c r="L790" s="6" t="str">
        <f>IF(J790="כן", K790, VLOOKUP(LEFT(H790, 7), 'קטלוג תרחישים'!$A:$M, 13, FALSE))</f>
        <v>ג'</v>
      </c>
      <c r="M790" s="10"/>
      <c r="N790" s="23" t="s">
        <v>357</v>
      </c>
      <c r="O790" s="10" t="str" cm="1">
        <f t="array" ref="O790">_xlfn.IFS(N790="A","א'", N790="B", "ב'", N790= "C", "ג'")</f>
        <v>ב'</v>
      </c>
      <c r="P790" s="10">
        <f>IF(Table_2[[#This Row],[Correct_Answer]]=Table_2[[#This Row],[System_Recommendation]],1,0)</f>
        <v>0</v>
      </c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6" t="s">
        <v>208</v>
      </c>
      <c r="B791" s="6">
        <v>31</v>
      </c>
      <c r="C791" s="6" t="s">
        <v>372</v>
      </c>
      <c r="D791" s="6">
        <v>3</v>
      </c>
      <c r="E791" s="6" t="s">
        <v>105</v>
      </c>
      <c r="F791" s="6" t="s">
        <v>375</v>
      </c>
      <c r="G791" s="6" t="s">
        <v>97</v>
      </c>
      <c r="H791" s="6" t="s">
        <v>189</v>
      </c>
      <c r="I791" s="6" t="s">
        <v>91</v>
      </c>
      <c r="J791" s="6" t="s">
        <v>371</v>
      </c>
      <c r="K791" s="6" t="s">
        <v>385</v>
      </c>
      <c r="L791" s="6" t="str">
        <f>IF(J791="כן", K791, VLOOKUP(LEFT(H791, 7), 'קטלוג תרחישים'!$A:$M, 13, FALSE))</f>
        <v>ג</v>
      </c>
      <c r="M791" s="10"/>
      <c r="N791" s="24" t="s">
        <v>358</v>
      </c>
      <c r="O791" s="10" t="str" cm="1">
        <f t="array" ref="O791">_xlfn.IFS(N791="A","א'", N791="B", "ב'", N791= "C", "ג'")</f>
        <v>ג'</v>
      </c>
      <c r="P791" s="10">
        <f>IF(Table_2[[#This Row],[Correct_Answer]]=Table_2[[#This Row],[System_Recommendation]],1,0)</f>
        <v>1</v>
      </c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6" t="s">
        <v>208</v>
      </c>
      <c r="B792" s="6">
        <v>32</v>
      </c>
      <c r="C792" s="6" t="s">
        <v>372</v>
      </c>
      <c r="D792" s="6">
        <v>3</v>
      </c>
      <c r="E792" s="6" t="s">
        <v>105</v>
      </c>
      <c r="F792" s="6" t="s">
        <v>375</v>
      </c>
      <c r="G792" s="6" t="s">
        <v>97</v>
      </c>
      <c r="H792" s="6" t="s">
        <v>190</v>
      </c>
      <c r="I792" s="6" t="s">
        <v>100</v>
      </c>
      <c r="J792" s="6" t="s">
        <v>371</v>
      </c>
      <c r="K792" s="6" t="s">
        <v>383</v>
      </c>
      <c r="L792" s="6" t="str">
        <f>IF(J792="כן", K792, VLOOKUP(LEFT(H792, 7), 'קטלוג תרחישים'!$A:$M, 13, FALSE))</f>
        <v>א'</v>
      </c>
      <c r="M792" s="10"/>
      <c r="N792" s="23" t="s">
        <v>352</v>
      </c>
      <c r="O792" s="10" t="str" cm="1">
        <f t="array" ref="O792">_xlfn.IFS(N792="A","א'", N792="B", "ב'", N792= "C", "ג'")</f>
        <v>א'</v>
      </c>
      <c r="P792" s="10">
        <f>IF(Table_2[[#This Row],[Correct_Answer]]=Table_2[[#This Row],[System_Recommendation]],1,0)</f>
        <v>1</v>
      </c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6" t="s">
        <v>208</v>
      </c>
      <c r="B793" s="6">
        <v>33</v>
      </c>
      <c r="C793" s="6" t="s">
        <v>372</v>
      </c>
      <c r="D793" s="6">
        <v>3</v>
      </c>
      <c r="E793" s="6" t="s">
        <v>105</v>
      </c>
      <c r="F793" s="6" t="s">
        <v>375</v>
      </c>
      <c r="G793" s="6" t="s">
        <v>97</v>
      </c>
      <c r="H793" s="6" t="s">
        <v>193</v>
      </c>
      <c r="I793" s="6" t="s">
        <v>91</v>
      </c>
      <c r="J793" s="6" t="s">
        <v>371</v>
      </c>
      <c r="K793" s="6" t="s">
        <v>383</v>
      </c>
      <c r="L793" s="6" t="str">
        <f>IF(J793="כן", K793, VLOOKUP(LEFT(H793, 7), 'קטלוג תרחישים'!$A:$M, 13, FALSE))</f>
        <v>א'</v>
      </c>
      <c r="M793" s="10"/>
      <c r="N793" s="24" t="s">
        <v>352</v>
      </c>
      <c r="O793" s="10" t="str" cm="1">
        <f t="array" ref="O793">_xlfn.IFS(N793="A","א'", N793="B", "ב'", N793= "C", "ג'")</f>
        <v>א'</v>
      </c>
      <c r="P793" s="10">
        <f>IF(Table_2[[#This Row],[Correct_Answer]]=Table_2[[#This Row],[System_Recommendation]],1,0)</f>
        <v>1</v>
      </c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6" t="s">
        <v>209</v>
      </c>
      <c r="B794" s="6">
        <v>1</v>
      </c>
      <c r="C794" s="6" t="s">
        <v>370</v>
      </c>
      <c r="D794" s="6"/>
      <c r="E794" s="6" t="s">
        <v>98</v>
      </c>
      <c r="F794" s="6"/>
      <c r="G794" s="6"/>
      <c r="H794" s="8" t="s">
        <v>90</v>
      </c>
      <c r="I794" s="6" t="s">
        <v>91</v>
      </c>
      <c r="J794" s="6" t="s">
        <v>371</v>
      </c>
      <c r="K794" s="6" t="s">
        <v>385</v>
      </c>
      <c r="L794" s="6" t="str">
        <f>IF(J794="כן", K794, VLOOKUP(LEFT(H794, 7), 'קטלוג תרחישים'!$A:$M, 13, FALSE))</f>
        <v>ג</v>
      </c>
      <c r="M794" s="10"/>
      <c r="N794" s="23" t="s">
        <v>358</v>
      </c>
      <c r="O794" s="10" t="str" cm="1">
        <f t="array" ref="O794">_xlfn.IFS(N794="A","א'", N794="B", "ב'", N794= "C", "ג'")</f>
        <v>ג'</v>
      </c>
      <c r="P794" s="10">
        <f>IF(Table_2[[#This Row],[Correct_Answer]]=Table_2[[#This Row],[System_Recommendation]],1,0)</f>
        <v>1</v>
      </c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6" t="s">
        <v>209</v>
      </c>
      <c r="B795" s="6">
        <v>2</v>
      </c>
      <c r="C795" s="6" t="s">
        <v>370</v>
      </c>
      <c r="D795" s="6"/>
      <c r="E795" s="6" t="s">
        <v>98</v>
      </c>
      <c r="F795" s="6"/>
      <c r="G795" s="6"/>
      <c r="H795" s="8" t="s">
        <v>92</v>
      </c>
      <c r="I795" s="6" t="s">
        <v>91</v>
      </c>
      <c r="J795" s="6" t="s">
        <v>371</v>
      </c>
      <c r="K795" s="6" t="s">
        <v>385</v>
      </c>
      <c r="L795" s="6" t="str">
        <f>IF(J795="כן", K795, VLOOKUP(LEFT(H795, 7), 'קטלוג תרחישים'!$A:$M, 13, FALSE))</f>
        <v>ג</v>
      </c>
      <c r="M795" s="10"/>
      <c r="N795" s="24" t="s">
        <v>358</v>
      </c>
      <c r="O795" s="10" t="str" cm="1">
        <f t="array" ref="O795">_xlfn.IFS(N795="A","א'", N795="B", "ב'", N795= "C", "ג'")</f>
        <v>ג'</v>
      </c>
      <c r="P795" s="10">
        <f>IF(Table_2[[#This Row],[Correct_Answer]]=Table_2[[#This Row],[System_Recommendation]],1,0)</f>
        <v>1</v>
      </c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6" t="s">
        <v>209</v>
      </c>
      <c r="B796" s="6">
        <v>3</v>
      </c>
      <c r="C796" s="6" t="s">
        <v>370</v>
      </c>
      <c r="D796" s="6"/>
      <c r="E796" s="6" t="s">
        <v>105</v>
      </c>
      <c r="F796" s="6"/>
      <c r="G796" s="6"/>
      <c r="H796" s="8" t="s">
        <v>93</v>
      </c>
      <c r="I796" s="6" t="s">
        <v>91</v>
      </c>
      <c r="J796" s="6" t="s">
        <v>371</v>
      </c>
      <c r="K796" s="6" t="s">
        <v>385</v>
      </c>
      <c r="L796" s="6" t="str">
        <f>IF(J796="כן", K796, VLOOKUP(LEFT(H796, 7), 'קטלוג תרחישים'!$A:$M, 13, FALSE))</f>
        <v>ג</v>
      </c>
      <c r="M796" s="10"/>
      <c r="N796" s="23" t="s">
        <v>358</v>
      </c>
      <c r="O796" s="10" t="str" cm="1">
        <f t="array" ref="O796">_xlfn.IFS(N796="A","א'", N796="B", "ב'", N796= "C", "ג'")</f>
        <v>ג'</v>
      </c>
      <c r="P796" s="10">
        <f>IF(Table_2[[#This Row],[Correct_Answer]]=Table_2[[#This Row],[System_Recommendation]],1,0)</f>
        <v>1</v>
      </c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6" t="s">
        <v>209</v>
      </c>
      <c r="B797" s="6">
        <v>4</v>
      </c>
      <c r="C797" s="6" t="s">
        <v>370</v>
      </c>
      <c r="D797" s="6"/>
      <c r="E797" s="6" t="s">
        <v>105</v>
      </c>
      <c r="F797" s="6"/>
      <c r="G797" s="6"/>
      <c r="H797" s="8" t="s">
        <v>94</v>
      </c>
      <c r="I797" s="6" t="s">
        <v>91</v>
      </c>
      <c r="J797" s="6" t="s">
        <v>371</v>
      </c>
      <c r="K797" s="6" t="s">
        <v>384</v>
      </c>
      <c r="L797" s="6" t="str">
        <f>IF(J797="כן", K797, VLOOKUP(LEFT(H797, 7), 'קטלוג תרחישים'!$A:$M, 13, FALSE))</f>
        <v>ב'</v>
      </c>
      <c r="M797" s="10"/>
      <c r="N797" s="24" t="s">
        <v>357</v>
      </c>
      <c r="O797" s="10" t="str" cm="1">
        <f t="array" ref="O797">_xlfn.IFS(N797="A","א'", N797="B", "ב'", N797= "C", "ג'")</f>
        <v>ב'</v>
      </c>
      <c r="P797" s="10">
        <f>IF(Table_2[[#This Row],[Correct_Answer]]=Table_2[[#This Row],[System_Recommendation]],1,0)</f>
        <v>1</v>
      </c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6" t="s">
        <v>209</v>
      </c>
      <c r="B798" s="6">
        <v>5</v>
      </c>
      <c r="C798" s="6" t="s">
        <v>370</v>
      </c>
      <c r="D798" s="6"/>
      <c r="E798" s="6" t="s">
        <v>111</v>
      </c>
      <c r="F798" s="6"/>
      <c r="G798" s="6"/>
      <c r="H798" s="8" t="s">
        <v>95</v>
      </c>
      <c r="I798" s="6" t="s">
        <v>91</v>
      </c>
      <c r="J798" s="6" t="s">
        <v>371</v>
      </c>
      <c r="K798" s="6" t="s">
        <v>383</v>
      </c>
      <c r="L798" s="6" t="str">
        <f>IF(J798="כן", K798, VLOOKUP(LEFT(H798, 7), 'קטלוג תרחישים'!$A:$M, 13, FALSE))</f>
        <v>א'</v>
      </c>
      <c r="M798" s="10"/>
      <c r="N798" s="23" t="s">
        <v>352</v>
      </c>
      <c r="O798" s="10" t="str" cm="1">
        <f t="array" ref="O798">_xlfn.IFS(N798="A","א'", N798="B", "ב'", N798= "C", "ג'")</f>
        <v>א'</v>
      </c>
      <c r="P798" s="10">
        <f>IF(Table_2[[#This Row],[Correct_Answer]]=Table_2[[#This Row],[System_Recommendation]],1,0)</f>
        <v>1</v>
      </c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6" t="s">
        <v>209</v>
      </c>
      <c r="B799" s="6">
        <v>6</v>
      </c>
      <c r="C799" s="6" t="s">
        <v>370</v>
      </c>
      <c r="D799" s="6"/>
      <c r="E799" s="6" t="s">
        <v>111</v>
      </c>
      <c r="F799" s="6"/>
      <c r="G799" s="6"/>
      <c r="H799" s="8" t="s">
        <v>96</v>
      </c>
      <c r="I799" s="6" t="s">
        <v>91</v>
      </c>
      <c r="J799" s="6" t="s">
        <v>371</v>
      </c>
      <c r="K799" s="6" t="s">
        <v>385</v>
      </c>
      <c r="L799" s="6" t="str">
        <f>IF(J799="כן", K799, VLOOKUP(LEFT(H799, 7), 'קטלוג תרחישים'!$A:$M, 13, FALSE))</f>
        <v>ג</v>
      </c>
      <c r="M799" s="10"/>
      <c r="N799" s="24" t="s">
        <v>358</v>
      </c>
      <c r="O799" s="10" t="str" cm="1">
        <f t="array" ref="O799">_xlfn.IFS(N799="A","א'", N799="B", "ב'", N799= "C", "ג'")</f>
        <v>ג'</v>
      </c>
      <c r="P799" s="10">
        <f>IF(Table_2[[#This Row],[Correct_Answer]]=Table_2[[#This Row],[System_Recommendation]],1,0)</f>
        <v>1</v>
      </c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6" t="s">
        <v>209</v>
      </c>
      <c r="B800" s="6">
        <v>7</v>
      </c>
      <c r="C800" s="6" t="s">
        <v>372</v>
      </c>
      <c r="D800" s="6">
        <v>1</v>
      </c>
      <c r="E800" s="6" t="s">
        <v>98</v>
      </c>
      <c r="F800" s="6" t="s">
        <v>373</v>
      </c>
      <c r="G800" s="6" t="s">
        <v>97</v>
      </c>
      <c r="H800" s="6" t="s">
        <v>184</v>
      </c>
      <c r="I800" s="6" t="s">
        <v>91</v>
      </c>
      <c r="J800" s="6" t="s">
        <v>371</v>
      </c>
      <c r="K800" s="6" t="s">
        <v>385</v>
      </c>
      <c r="L800" s="6" t="str">
        <f>IF(J800="כן", K800, VLOOKUP(LEFT(H800, 7), 'קטלוג תרחישים'!$A:$M, 13, FALSE))</f>
        <v>ג</v>
      </c>
      <c r="M800" s="10"/>
      <c r="N800" s="23" t="s">
        <v>358</v>
      </c>
      <c r="O800" s="10" t="str" cm="1">
        <f t="array" ref="O800">_xlfn.IFS(N800="A","א'", N800="B", "ב'", N800= "C", "ג'")</f>
        <v>ג'</v>
      </c>
      <c r="P800" s="10">
        <f>IF(Table_2[[#This Row],[Correct_Answer]]=Table_2[[#This Row],[System_Recommendation]],1,0)</f>
        <v>1</v>
      </c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6" t="s">
        <v>209</v>
      </c>
      <c r="B801" s="6">
        <v>8</v>
      </c>
      <c r="C801" s="6" t="s">
        <v>372</v>
      </c>
      <c r="D801" s="6">
        <v>1</v>
      </c>
      <c r="E801" s="6" t="s">
        <v>98</v>
      </c>
      <c r="F801" s="6" t="s">
        <v>373</v>
      </c>
      <c r="G801" s="6" t="s">
        <v>97</v>
      </c>
      <c r="H801" s="6" t="s">
        <v>185</v>
      </c>
      <c r="I801" s="6" t="s">
        <v>100</v>
      </c>
      <c r="J801" s="6" t="s">
        <v>371</v>
      </c>
      <c r="K801" s="6" t="s">
        <v>384</v>
      </c>
      <c r="L801" s="6" t="str">
        <f>IF(J801="כן", K801, VLOOKUP(LEFT(H801, 7), 'קטלוג תרחישים'!$A:$M, 13, FALSE))</f>
        <v>ב'</v>
      </c>
      <c r="M801" s="10"/>
      <c r="N801" s="24" t="s">
        <v>357</v>
      </c>
      <c r="O801" s="10" t="str" cm="1">
        <f t="array" ref="O801">_xlfn.IFS(N801="A","א'", N801="B", "ב'", N801= "C", "ג'")</f>
        <v>ב'</v>
      </c>
      <c r="P801" s="10">
        <f>IF(Table_2[[#This Row],[Correct_Answer]]=Table_2[[#This Row],[System_Recommendation]],1,0)</f>
        <v>1</v>
      </c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6" t="s">
        <v>209</v>
      </c>
      <c r="B802" s="6">
        <v>9</v>
      </c>
      <c r="C802" s="6" t="s">
        <v>372</v>
      </c>
      <c r="D802" s="6">
        <v>1</v>
      </c>
      <c r="E802" s="6" t="s">
        <v>98</v>
      </c>
      <c r="F802" s="6" t="s">
        <v>373</v>
      </c>
      <c r="G802" s="6" t="s">
        <v>97</v>
      </c>
      <c r="H802" s="6" t="s">
        <v>186</v>
      </c>
      <c r="I802" s="6" t="s">
        <v>91</v>
      </c>
      <c r="J802" s="6" t="s">
        <v>371</v>
      </c>
      <c r="K802" s="6" t="s">
        <v>384</v>
      </c>
      <c r="L802" s="6" t="str">
        <f>IF(J802="כן", K802, VLOOKUP(LEFT(H802, 7), 'קטלוג תרחישים'!$A:$M, 13, FALSE))</f>
        <v>ב'</v>
      </c>
      <c r="M802" s="10"/>
      <c r="N802" s="23" t="s">
        <v>357</v>
      </c>
      <c r="O802" s="10" t="str" cm="1">
        <f t="array" ref="O802">_xlfn.IFS(N802="A","א'", N802="B", "ב'", N802= "C", "ג'")</f>
        <v>ב'</v>
      </c>
      <c r="P802" s="10">
        <f>IF(Table_2[[#This Row],[Correct_Answer]]=Table_2[[#This Row],[System_Recommendation]],1,0)</f>
        <v>1</v>
      </c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6" t="s">
        <v>209</v>
      </c>
      <c r="B803" s="6">
        <v>10</v>
      </c>
      <c r="C803" s="6" t="s">
        <v>372</v>
      </c>
      <c r="D803" s="6">
        <v>1</v>
      </c>
      <c r="E803" s="6" t="s">
        <v>98</v>
      </c>
      <c r="F803" s="6" t="s">
        <v>373</v>
      </c>
      <c r="G803" s="6" t="s">
        <v>97</v>
      </c>
      <c r="H803" s="6" t="s">
        <v>187</v>
      </c>
      <c r="I803" s="6" t="s">
        <v>100</v>
      </c>
      <c r="J803" s="6" t="s">
        <v>374</v>
      </c>
      <c r="K803" s="6" t="s">
        <v>384</v>
      </c>
      <c r="L803" s="6" t="str">
        <f>IF(J803="כן", K803, VLOOKUP(LEFT(H803, 7), 'קטלוג תרחישים'!$A:$M, 13, FALSE))</f>
        <v>א'</v>
      </c>
      <c r="M803" s="10"/>
      <c r="N803" s="24" t="s">
        <v>357</v>
      </c>
      <c r="O803" s="10" t="str" cm="1">
        <f t="array" ref="O803">_xlfn.IFS(N803="A","א'", N803="B", "ב'", N803= "C", "ג'")</f>
        <v>ב'</v>
      </c>
      <c r="P803" s="10">
        <f>IF(Table_2[[#This Row],[Correct_Answer]]=Table_2[[#This Row],[System_Recommendation]],1,0)</f>
        <v>0</v>
      </c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6" t="s">
        <v>209</v>
      </c>
      <c r="B804" s="6">
        <v>11</v>
      </c>
      <c r="C804" s="6" t="s">
        <v>372</v>
      </c>
      <c r="D804" s="6">
        <v>1</v>
      </c>
      <c r="E804" s="6" t="s">
        <v>98</v>
      </c>
      <c r="F804" s="6" t="s">
        <v>373</v>
      </c>
      <c r="G804" s="6" t="s">
        <v>97</v>
      </c>
      <c r="H804" s="6" t="s">
        <v>188</v>
      </c>
      <c r="I804" s="6" t="s">
        <v>91</v>
      </c>
      <c r="J804" s="6" t="s">
        <v>371</v>
      </c>
      <c r="K804" s="6" t="s">
        <v>383</v>
      </c>
      <c r="L804" s="6" t="str">
        <f>IF(J804="כן", K804, VLOOKUP(LEFT(H804, 7), 'קטלוג תרחישים'!$A:$M, 13, FALSE))</f>
        <v>א'</v>
      </c>
      <c r="M804" s="10"/>
      <c r="N804" s="23" t="s">
        <v>352</v>
      </c>
      <c r="O804" s="10" t="str" cm="1">
        <f t="array" ref="O804">_xlfn.IFS(N804="A","א'", N804="B", "ב'", N804= "C", "ג'")</f>
        <v>א'</v>
      </c>
      <c r="P804" s="10">
        <f>IF(Table_2[[#This Row],[Correct_Answer]]=Table_2[[#This Row],[System_Recommendation]],1,0)</f>
        <v>1</v>
      </c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6" t="s">
        <v>209</v>
      </c>
      <c r="B805" s="6">
        <v>12</v>
      </c>
      <c r="C805" s="6" t="s">
        <v>372</v>
      </c>
      <c r="D805" s="6">
        <v>2</v>
      </c>
      <c r="E805" s="6" t="s">
        <v>105</v>
      </c>
      <c r="F805" s="6" t="s">
        <v>373</v>
      </c>
      <c r="G805" s="6" t="s">
        <v>97</v>
      </c>
      <c r="H805" s="6" t="s">
        <v>189</v>
      </c>
      <c r="I805" s="6" t="s">
        <v>91</v>
      </c>
      <c r="J805" s="6" t="s">
        <v>374</v>
      </c>
      <c r="K805" s="6" t="s">
        <v>385</v>
      </c>
      <c r="L805" s="6" t="str">
        <f>IF(J805="כן", K805, VLOOKUP(LEFT(H805, 7), 'קטלוג תרחישים'!$A:$M, 13, FALSE))</f>
        <v>ב'</v>
      </c>
      <c r="M805" s="10"/>
      <c r="N805" s="24" t="s">
        <v>358</v>
      </c>
      <c r="O805" s="10" t="str" cm="1">
        <f t="array" ref="O805">_xlfn.IFS(N805="A","א'", N805="B", "ב'", N805= "C", "ג'")</f>
        <v>ג'</v>
      </c>
      <c r="P805" s="10">
        <f>IF(Table_2[[#This Row],[Correct_Answer]]=Table_2[[#This Row],[System_Recommendation]],1,0)</f>
        <v>0</v>
      </c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6" t="s">
        <v>209</v>
      </c>
      <c r="B806" s="6">
        <v>13</v>
      </c>
      <c r="C806" s="6" t="s">
        <v>372</v>
      </c>
      <c r="D806" s="6">
        <v>2</v>
      </c>
      <c r="E806" s="6" t="s">
        <v>105</v>
      </c>
      <c r="F806" s="6" t="s">
        <v>373</v>
      </c>
      <c r="G806" s="6" t="s">
        <v>97</v>
      </c>
      <c r="H806" s="6" t="s">
        <v>190</v>
      </c>
      <c r="I806" s="6" t="s">
        <v>100</v>
      </c>
      <c r="J806" s="6" t="s">
        <v>371</v>
      </c>
      <c r="K806" s="6" t="s">
        <v>384</v>
      </c>
      <c r="L806" s="6" t="str">
        <f>IF(J806="כן", K806, VLOOKUP(LEFT(H806, 7), 'קטלוג תרחישים'!$A:$M, 13, FALSE))</f>
        <v>ב'</v>
      </c>
      <c r="M806" s="10"/>
      <c r="N806" s="23" t="s">
        <v>357</v>
      </c>
      <c r="O806" s="10" t="str" cm="1">
        <f t="array" ref="O806">_xlfn.IFS(N806="A","א'", N806="B", "ב'", N806= "C", "ג'")</f>
        <v>ב'</v>
      </c>
      <c r="P806" s="10">
        <f>IF(Table_2[[#This Row],[Correct_Answer]]=Table_2[[#This Row],[System_Recommendation]],1,0)</f>
        <v>1</v>
      </c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6" t="s">
        <v>209</v>
      </c>
      <c r="B807" s="6">
        <v>14</v>
      </c>
      <c r="C807" s="6" t="s">
        <v>372</v>
      </c>
      <c r="D807" s="6">
        <v>2</v>
      </c>
      <c r="E807" s="6" t="s">
        <v>105</v>
      </c>
      <c r="F807" s="6" t="s">
        <v>373</v>
      </c>
      <c r="G807" s="6" t="s">
        <v>97</v>
      </c>
      <c r="H807" s="6" t="s">
        <v>193</v>
      </c>
      <c r="I807" s="6" t="s">
        <v>91</v>
      </c>
      <c r="J807" s="6" t="s">
        <v>371</v>
      </c>
      <c r="K807" s="6" t="s">
        <v>385</v>
      </c>
      <c r="L807" s="6" t="str">
        <f>IF(J807="כן", K807, VLOOKUP(LEFT(H807, 7), 'קטלוג תרחישים'!$A:$M, 13, FALSE))</f>
        <v>ג</v>
      </c>
      <c r="M807" s="10"/>
      <c r="N807" s="24" t="s">
        <v>358</v>
      </c>
      <c r="O807" s="10" t="str" cm="1">
        <f t="array" ref="O807">_xlfn.IFS(N807="A","א'", N807="B", "ב'", N807= "C", "ג'")</f>
        <v>ג'</v>
      </c>
      <c r="P807" s="10">
        <f>IF(Table_2[[#This Row],[Correct_Answer]]=Table_2[[#This Row],[System_Recommendation]],1,0)</f>
        <v>1</v>
      </c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6" t="s">
        <v>209</v>
      </c>
      <c r="B808" s="6">
        <v>15</v>
      </c>
      <c r="C808" s="6" t="s">
        <v>372</v>
      </c>
      <c r="D808" s="6">
        <v>2</v>
      </c>
      <c r="E808" s="6" t="s">
        <v>105</v>
      </c>
      <c r="F808" s="6" t="s">
        <v>373</v>
      </c>
      <c r="G808" s="6" t="s">
        <v>97</v>
      </c>
      <c r="H808" s="6" t="s">
        <v>192</v>
      </c>
      <c r="I808" s="6" t="s">
        <v>100</v>
      </c>
      <c r="J808" s="6" t="s">
        <v>371</v>
      </c>
      <c r="K808" s="6" t="s">
        <v>383</v>
      </c>
      <c r="L808" s="6" t="str">
        <f>IF(J808="כן", K808, VLOOKUP(LEFT(H808, 7), 'קטלוג תרחישים'!$A:$M, 13, FALSE))</f>
        <v>א'</v>
      </c>
      <c r="M808" s="10"/>
      <c r="N808" s="23" t="s">
        <v>352</v>
      </c>
      <c r="O808" s="10" t="str" cm="1">
        <f t="array" ref="O808">_xlfn.IFS(N808="A","א'", N808="B", "ב'", N808= "C", "ג'")</f>
        <v>א'</v>
      </c>
      <c r="P808" s="10">
        <f>IF(Table_2[[#This Row],[Correct_Answer]]=Table_2[[#This Row],[System_Recommendation]],1,0)</f>
        <v>1</v>
      </c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6" t="s">
        <v>209</v>
      </c>
      <c r="B809" s="6">
        <v>16</v>
      </c>
      <c r="C809" s="6" t="s">
        <v>372</v>
      </c>
      <c r="D809" s="6">
        <v>2</v>
      </c>
      <c r="E809" s="6" t="s">
        <v>105</v>
      </c>
      <c r="F809" s="6" t="s">
        <v>373</v>
      </c>
      <c r="G809" s="6" t="s">
        <v>97</v>
      </c>
      <c r="H809" s="6" t="s">
        <v>191</v>
      </c>
      <c r="I809" s="6" t="s">
        <v>91</v>
      </c>
      <c r="J809" s="6" t="s">
        <v>371</v>
      </c>
      <c r="K809" s="6" t="s">
        <v>385</v>
      </c>
      <c r="L809" s="6" t="str">
        <f>IF(J809="כן", K809, VLOOKUP(LEFT(H809, 7), 'קטלוג תרחישים'!$A:$M, 13, FALSE))</f>
        <v>ג</v>
      </c>
      <c r="M809" s="10"/>
      <c r="N809" s="24" t="s">
        <v>358</v>
      </c>
      <c r="O809" s="10" t="str" cm="1">
        <f t="array" ref="O809">_xlfn.IFS(N809="A","א'", N809="B", "ב'", N809= "C", "ג'")</f>
        <v>ג'</v>
      </c>
      <c r="P809" s="10">
        <f>IF(Table_2[[#This Row],[Correct_Answer]]=Table_2[[#This Row],[System_Recommendation]],1,0)</f>
        <v>1</v>
      </c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6" t="s">
        <v>209</v>
      </c>
      <c r="B810" s="6">
        <v>17</v>
      </c>
      <c r="C810" s="6" t="s">
        <v>372</v>
      </c>
      <c r="D810" s="6">
        <v>3</v>
      </c>
      <c r="E810" s="6" t="s">
        <v>111</v>
      </c>
      <c r="F810" s="6" t="s">
        <v>373</v>
      </c>
      <c r="G810" s="6" t="s">
        <v>97</v>
      </c>
      <c r="H810" s="6" t="s">
        <v>181</v>
      </c>
      <c r="I810" s="6" t="s">
        <v>100</v>
      </c>
      <c r="J810" s="6" t="s">
        <v>371</v>
      </c>
      <c r="K810" s="6" t="s">
        <v>385</v>
      </c>
      <c r="L810" s="6" t="str">
        <f>IF(J810="כן", K810, VLOOKUP(LEFT(H810, 7), 'קטלוג תרחישים'!$A:$M, 13, FALSE))</f>
        <v>ג</v>
      </c>
      <c r="M810" s="10"/>
      <c r="N810" s="23" t="s">
        <v>358</v>
      </c>
      <c r="O810" s="10" t="str" cm="1">
        <f t="array" ref="O810">_xlfn.IFS(N810="A","א'", N810="B", "ב'", N810= "C", "ג'")</f>
        <v>ג'</v>
      </c>
      <c r="P810" s="10">
        <f>IF(Table_2[[#This Row],[Correct_Answer]]=Table_2[[#This Row],[System_Recommendation]],1,0)</f>
        <v>1</v>
      </c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6" t="s">
        <v>209</v>
      </c>
      <c r="B811" s="6">
        <v>18</v>
      </c>
      <c r="C811" s="6" t="s">
        <v>372</v>
      </c>
      <c r="D811" s="6">
        <v>3</v>
      </c>
      <c r="E811" s="6" t="s">
        <v>111</v>
      </c>
      <c r="F811" s="6" t="s">
        <v>373</v>
      </c>
      <c r="G811" s="6" t="s">
        <v>97</v>
      </c>
      <c r="H811" s="6" t="s">
        <v>180</v>
      </c>
      <c r="I811" s="6" t="s">
        <v>91</v>
      </c>
      <c r="J811" s="6" t="s">
        <v>371</v>
      </c>
      <c r="K811" s="6" t="s">
        <v>384</v>
      </c>
      <c r="L811" s="6" t="str">
        <f>IF(J811="כן", K811, VLOOKUP(LEFT(H811, 7), 'קטלוג תרחישים'!$A:$M, 13, FALSE))</f>
        <v>ב'</v>
      </c>
      <c r="M811" s="10"/>
      <c r="N811" s="24" t="s">
        <v>357</v>
      </c>
      <c r="O811" s="10" t="str" cm="1">
        <f t="array" ref="O811">_xlfn.IFS(N811="A","א'", N811="B", "ב'", N811= "C", "ג'")</f>
        <v>ב'</v>
      </c>
      <c r="P811" s="10">
        <f>IF(Table_2[[#This Row],[Correct_Answer]]=Table_2[[#This Row],[System_Recommendation]],1,0)</f>
        <v>1</v>
      </c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6" t="s">
        <v>209</v>
      </c>
      <c r="B812" s="6">
        <v>19</v>
      </c>
      <c r="C812" s="6" t="s">
        <v>372</v>
      </c>
      <c r="D812" s="6">
        <v>3</v>
      </c>
      <c r="E812" s="6" t="s">
        <v>111</v>
      </c>
      <c r="F812" s="6" t="s">
        <v>373</v>
      </c>
      <c r="G812" s="6" t="s">
        <v>97</v>
      </c>
      <c r="H812" s="6" t="s">
        <v>183</v>
      </c>
      <c r="I812" s="6" t="s">
        <v>100</v>
      </c>
      <c r="J812" s="6" t="s">
        <v>374</v>
      </c>
      <c r="K812" s="6" t="s">
        <v>383</v>
      </c>
      <c r="L812" s="6" t="str">
        <f>IF(J812="כן", K812, VLOOKUP(LEFT(H812, 7), 'קטלוג תרחישים'!$A:$M, 13, FALSE))</f>
        <v>ב'</v>
      </c>
      <c r="M812" s="10"/>
      <c r="N812" s="23" t="s">
        <v>352</v>
      </c>
      <c r="O812" s="10" t="str" cm="1">
        <f t="array" ref="O812">_xlfn.IFS(N812="A","א'", N812="B", "ב'", N812= "C", "ג'")</f>
        <v>א'</v>
      </c>
      <c r="P812" s="10">
        <f>IF(Table_2[[#This Row],[Correct_Answer]]=Table_2[[#This Row],[System_Recommendation]],1,0)</f>
        <v>0</v>
      </c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6" t="s">
        <v>209</v>
      </c>
      <c r="B813" s="6">
        <v>20</v>
      </c>
      <c r="C813" s="6" t="s">
        <v>372</v>
      </c>
      <c r="D813" s="6">
        <v>3</v>
      </c>
      <c r="E813" s="6" t="s">
        <v>111</v>
      </c>
      <c r="F813" s="6" t="s">
        <v>373</v>
      </c>
      <c r="G813" s="6" t="s">
        <v>97</v>
      </c>
      <c r="H813" s="6" t="s">
        <v>182</v>
      </c>
      <c r="I813" s="6" t="s">
        <v>91</v>
      </c>
      <c r="J813" s="6" t="s">
        <v>371</v>
      </c>
      <c r="K813" s="6" t="s">
        <v>385</v>
      </c>
      <c r="L813" s="6" t="str">
        <f>IF(J813="כן", K813, VLOOKUP(LEFT(H813, 7), 'קטלוג תרחישים'!$A:$M, 13, FALSE))</f>
        <v>ג</v>
      </c>
      <c r="M813" s="10"/>
      <c r="N813" s="24" t="s">
        <v>358</v>
      </c>
      <c r="O813" s="10" t="str" cm="1">
        <f t="array" ref="O813">_xlfn.IFS(N813="A","א'", N813="B", "ב'", N813= "C", "ג'")</f>
        <v>ג'</v>
      </c>
      <c r="P813" s="10">
        <f>IF(Table_2[[#This Row],[Correct_Answer]]=Table_2[[#This Row],[System_Recommendation]],1,0)</f>
        <v>1</v>
      </c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6" t="s">
        <v>209</v>
      </c>
      <c r="B814" s="6">
        <v>21</v>
      </c>
      <c r="C814" s="6" t="s">
        <v>372</v>
      </c>
      <c r="D814" s="6">
        <v>3</v>
      </c>
      <c r="E814" s="6" t="s">
        <v>111</v>
      </c>
      <c r="F814" s="6" t="s">
        <v>373</v>
      </c>
      <c r="G814" s="6" t="s">
        <v>97</v>
      </c>
      <c r="H814" s="6" t="s">
        <v>179</v>
      </c>
      <c r="I814" s="6" t="s">
        <v>100</v>
      </c>
      <c r="J814" s="6" t="s">
        <v>371</v>
      </c>
      <c r="K814" s="6" t="s">
        <v>384</v>
      </c>
      <c r="L814" s="6" t="str">
        <f>IF(J814="כן", K814, VLOOKUP(LEFT(H814, 7), 'קטלוג תרחישים'!$A:$M, 13, FALSE))</f>
        <v>ב'</v>
      </c>
      <c r="M814" s="10"/>
      <c r="N814" s="23" t="s">
        <v>357</v>
      </c>
      <c r="O814" s="10" t="str" cm="1">
        <f t="array" ref="O814">_xlfn.IFS(N814="A","א'", N814="B", "ב'", N814= "C", "ג'")</f>
        <v>ב'</v>
      </c>
      <c r="P814" s="10">
        <f>IF(Table_2[[#This Row],[Correct_Answer]]=Table_2[[#This Row],[System_Recommendation]],1,0)</f>
        <v>1</v>
      </c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6" t="s">
        <v>209</v>
      </c>
      <c r="B815" s="6">
        <v>22</v>
      </c>
      <c r="C815" s="6" t="s">
        <v>372</v>
      </c>
      <c r="D815" s="6">
        <v>1</v>
      </c>
      <c r="E815" s="6" t="s">
        <v>105</v>
      </c>
      <c r="F815" s="6" t="s">
        <v>375</v>
      </c>
      <c r="G815" s="6" t="s">
        <v>117</v>
      </c>
      <c r="H815" s="6" t="s">
        <v>200</v>
      </c>
      <c r="I815" s="6" t="s">
        <v>91</v>
      </c>
      <c r="J815" s="6" t="s">
        <v>374</v>
      </c>
      <c r="K815" s="6" t="s">
        <v>383</v>
      </c>
      <c r="L815" s="6" t="str">
        <f>IF(J815="כן", K815, VLOOKUP(LEFT(H815, 7), 'קטלוג תרחישים'!$A:$M, 13, FALSE))</f>
        <v>א'</v>
      </c>
      <c r="M815" s="10"/>
      <c r="N815" s="24" t="s">
        <v>352</v>
      </c>
      <c r="O815" s="10" t="str" cm="1">
        <f t="array" ref="O815">_xlfn.IFS(N815="A","א'", N815="B", "ב'", N815= "C", "ג'")</f>
        <v>א'</v>
      </c>
      <c r="P815" s="10">
        <f>IF(Table_2[[#This Row],[Correct_Answer]]=Table_2[[#This Row],[System_Recommendation]],1,0)</f>
        <v>1</v>
      </c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6" t="s">
        <v>209</v>
      </c>
      <c r="B816" s="6">
        <v>23</v>
      </c>
      <c r="C816" s="6" t="s">
        <v>372</v>
      </c>
      <c r="D816" s="6">
        <v>1</v>
      </c>
      <c r="E816" s="6" t="s">
        <v>105</v>
      </c>
      <c r="F816" s="6" t="s">
        <v>375</v>
      </c>
      <c r="G816" s="6" t="s">
        <v>117</v>
      </c>
      <c r="H816" s="6" t="s">
        <v>201</v>
      </c>
      <c r="I816" s="6" t="s">
        <v>100</v>
      </c>
      <c r="J816" s="6" t="s">
        <v>371</v>
      </c>
      <c r="K816" s="6" t="s">
        <v>383</v>
      </c>
      <c r="L816" s="6" t="str">
        <f>IF(J816="כן", K816, VLOOKUP(LEFT(H816, 7), 'קטלוג תרחישים'!$A:$M, 13, FALSE))</f>
        <v>א'</v>
      </c>
      <c r="M816" s="10"/>
      <c r="N816" s="23" t="s">
        <v>352</v>
      </c>
      <c r="O816" s="10" t="str" cm="1">
        <f t="array" ref="O816">_xlfn.IFS(N816="A","א'", N816="B", "ב'", N816= "C", "ג'")</f>
        <v>א'</v>
      </c>
      <c r="P816" s="10">
        <f>IF(Table_2[[#This Row],[Correct_Answer]]=Table_2[[#This Row],[System_Recommendation]],1,0)</f>
        <v>1</v>
      </c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6" t="s">
        <v>209</v>
      </c>
      <c r="B817" s="6">
        <v>24</v>
      </c>
      <c r="C817" s="6" t="s">
        <v>372</v>
      </c>
      <c r="D817" s="6">
        <v>1</v>
      </c>
      <c r="E817" s="6" t="s">
        <v>105</v>
      </c>
      <c r="F817" s="6" t="s">
        <v>375</v>
      </c>
      <c r="G817" s="6" t="s">
        <v>117</v>
      </c>
      <c r="H817" s="6" t="s">
        <v>198</v>
      </c>
      <c r="I817" s="6" t="s">
        <v>91</v>
      </c>
      <c r="J817" s="6" t="s">
        <v>371</v>
      </c>
      <c r="K817" s="6" t="s">
        <v>383</v>
      </c>
      <c r="L817" s="6" t="str">
        <f>IF(J817="כן", K817, VLOOKUP(LEFT(H817, 7), 'קטלוג תרחישים'!$A:$M, 13, FALSE))</f>
        <v>א'</v>
      </c>
      <c r="M817" s="10"/>
      <c r="N817" s="24" t="s">
        <v>352</v>
      </c>
      <c r="O817" s="10" t="str" cm="1">
        <f t="array" ref="O817">_xlfn.IFS(N817="A","א'", N817="B", "ב'", N817= "C", "ג'")</f>
        <v>א'</v>
      </c>
      <c r="P817" s="10">
        <f>IF(Table_2[[#This Row],[Correct_Answer]]=Table_2[[#This Row],[System_Recommendation]],1,0)</f>
        <v>1</v>
      </c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6" t="s">
        <v>209</v>
      </c>
      <c r="B818" s="6">
        <v>25</v>
      </c>
      <c r="C818" s="6" t="s">
        <v>372</v>
      </c>
      <c r="D818" s="6">
        <v>1</v>
      </c>
      <c r="E818" s="6" t="s">
        <v>105</v>
      </c>
      <c r="F818" s="6" t="s">
        <v>375</v>
      </c>
      <c r="G818" s="6" t="s">
        <v>117</v>
      </c>
      <c r="H818" s="6" t="s">
        <v>199</v>
      </c>
      <c r="I818" s="6" t="s">
        <v>100</v>
      </c>
      <c r="J818" s="6" t="s">
        <v>374</v>
      </c>
      <c r="K818" s="6" t="s">
        <v>384</v>
      </c>
      <c r="L818" s="6" t="str">
        <f>IF(J818="כן", K818, VLOOKUP(LEFT(H818, 7), 'קטלוג תרחישים'!$A:$M, 13, FALSE))</f>
        <v>ב'</v>
      </c>
      <c r="M818" s="10"/>
      <c r="N818" s="23" t="s">
        <v>357</v>
      </c>
      <c r="O818" s="10" t="str" cm="1">
        <f t="array" ref="O818">_xlfn.IFS(N818="A","א'", N818="B", "ב'", N818= "C", "ג'")</f>
        <v>ב'</v>
      </c>
      <c r="P818" s="10">
        <f>IF(Table_2[[#This Row],[Correct_Answer]]=Table_2[[#This Row],[System_Recommendation]],1,0)</f>
        <v>1</v>
      </c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6" t="s">
        <v>209</v>
      </c>
      <c r="B819" s="6">
        <v>26</v>
      </c>
      <c r="C819" s="6" t="s">
        <v>372</v>
      </c>
      <c r="D819" s="6">
        <v>2</v>
      </c>
      <c r="E819" s="6" t="s">
        <v>111</v>
      </c>
      <c r="F819" s="6" t="s">
        <v>375</v>
      </c>
      <c r="G819" s="6" t="s">
        <v>117</v>
      </c>
      <c r="H819" s="6" t="s">
        <v>204</v>
      </c>
      <c r="I819" s="6" t="s">
        <v>91</v>
      </c>
      <c r="J819" s="6" t="s">
        <v>371</v>
      </c>
      <c r="K819" s="6" t="s">
        <v>384</v>
      </c>
      <c r="L819" s="6" t="str">
        <f>IF(J819="כן", K819, VLOOKUP(LEFT(H819, 7), 'קטלוג תרחישים'!$A:$M, 13, FALSE))</f>
        <v>ב'</v>
      </c>
      <c r="M819" s="10"/>
      <c r="N819" s="24" t="s">
        <v>357</v>
      </c>
      <c r="O819" s="10" t="str" cm="1">
        <f t="array" ref="O819">_xlfn.IFS(N819="A","א'", N819="B", "ב'", N819= "C", "ג'")</f>
        <v>ב'</v>
      </c>
      <c r="P819" s="10">
        <f>IF(Table_2[[#This Row],[Correct_Answer]]=Table_2[[#This Row],[System_Recommendation]],1,0)</f>
        <v>1</v>
      </c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6" t="s">
        <v>209</v>
      </c>
      <c r="B820" s="6">
        <v>27</v>
      </c>
      <c r="C820" s="6" t="s">
        <v>372</v>
      </c>
      <c r="D820" s="6">
        <v>2</v>
      </c>
      <c r="E820" s="6" t="s">
        <v>111</v>
      </c>
      <c r="F820" s="6" t="s">
        <v>375</v>
      </c>
      <c r="G820" s="6" t="s">
        <v>117</v>
      </c>
      <c r="H820" s="6" t="s">
        <v>203</v>
      </c>
      <c r="I820" s="6" t="s">
        <v>100</v>
      </c>
      <c r="J820" s="6" t="s">
        <v>371</v>
      </c>
      <c r="K820" s="6" t="s">
        <v>385</v>
      </c>
      <c r="L820" s="6" t="str">
        <f>IF(J820="כן", K820, VLOOKUP(LEFT(H820, 7), 'קטלוג תרחישים'!$A:$M, 13, FALSE))</f>
        <v>ג</v>
      </c>
      <c r="M820" s="10"/>
      <c r="N820" s="23" t="s">
        <v>358</v>
      </c>
      <c r="O820" s="10" t="str" cm="1">
        <f t="array" ref="O820">_xlfn.IFS(N820="A","א'", N820="B", "ב'", N820= "C", "ג'")</f>
        <v>ג'</v>
      </c>
      <c r="P820" s="10">
        <f>IF(Table_2[[#This Row],[Correct_Answer]]=Table_2[[#This Row],[System_Recommendation]],1,0)</f>
        <v>1</v>
      </c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6" t="s">
        <v>209</v>
      </c>
      <c r="B821" s="6">
        <v>28</v>
      </c>
      <c r="C821" s="6" t="s">
        <v>372</v>
      </c>
      <c r="D821" s="6">
        <v>2</v>
      </c>
      <c r="E821" s="6" t="s">
        <v>111</v>
      </c>
      <c r="F821" s="6" t="s">
        <v>375</v>
      </c>
      <c r="G821" s="6" t="s">
        <v>117</v>
      </c>
      <c r="H821" s="6" t="s">
        <v>202</v>
      </c>
      <c r="I821" s="6" t="s">
        <v>91</v>
      </c>
      <c r="J821" s="6" t="s">
        <v>374</v>
      </c>
      <c r="K821" s="6" t="s">
        <v>385</v>
      </c>
      <c r="L821" s="6" t="str">
        <f>IF(J821="כן", K821, VLOOKUP(LEFT(H821, 7), 'קטלוג תרחישים'!$A:$M, 13, FALSE))</f>
        <v>א'</v>
      </c>
      <c r="M821" s="10"/>
      <c r="N821" s="24" t="s">
        <v>358</v>
      </c>
      <c r="O821" s="10" t="str" cm="1">
        <f t="array" ref="O821">_xlfn.IFS(N821="A","א'", N821="B", "ב'", N821= "C", "ג'")</f>
        <v>ג'</v>
      </c>
      <c r="P821" s="10">
        <f>IF(Table_2[[#This Row],[Correct_Answer]]=Table_2[[#This Row],[System_Recommendation]],1,0)</f>
        <v>0</v>
      </c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6" t="s">
        <v>209</v>
      </c>
      <c r="B822" s="6">
        <v>29</v>
      </c>
      <c r="C822" s="6" t="s">
        <v>372</v>
      </c>
      <c r="D822" s="6">
        <v>2</v>
      </c>
      <c r="E822" s="6" t="s">
        <v>111</v>
      </c>
      <c r="F822" s="6" t="s">
        <v>375</v>
      </c>
      <c r="G822" s="6" t="s">
        <v>117</v>
      </c>
      <c r="H822" s="6" t="s">
        <v>205</v>
      </c>
      <c r="I822" s="6" t="s">
        <v>100</v>
      </c>
      <c r="J822" s="6" t="s">
        <v>374</v>
      </c>
      <c r="K822" s="6" t="s">
        <v>385</v>
      </c>
      <c r="L822" s="6" t="str">
        <f>IF(J822="כן", K822, VLOOKUP(LEFT(H822, 7), 'קטלוג תרחישים'!$A:$M, 13, FALSE))</f>
        <v>ג'</v>
      </c>
      <c r="M822" s="10"/>
      <c r="N822" s="23" t="s">
        <v>358</v>
      </c>
      <c r="O822" s="10" t="str" cm="1">
        <f t="array" ref="O822">_xlfn.IFS(N822="A","א'", N822="B", "ב'", N822= "C", "ג'")</f>
        <v>ג'</v>
      </c>
      <c r="P822" s="10">
        <f>IF(Table_2[[#This Row],[Correct_Answer]]=Table_2[[#This Row],[System_Recommendation]],1,0)</f>
        <v>0</v>
      </c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6" t="s">
        <v>209</v>
      </c>
      <c r="B823" s="6">
        <v>30</v>
      </c>
      <c r="C823" s="6" t="s">
        <v>372</v>
      </c>
      <c r="D823" s="6">
        <v>3</v>
      </c>
      <c r="E823" s="6" t="s">
        <v>98</v>
      </c>
      <c r="F823" s="6" t="s">
        <v>375</v>
      </c>
      <c r="G823" s="6" t="s">
        <v>117</v>
      </c>
      <c r="H823" s="6" t="s">
        <v>194</v>
      </c>
      <c r="I823" s="6" t="s">
        <v>91</v>
      </c>
      <c r="J823" s="6" t="s">
        <v>371</v>
      </c>
      <c r="K823" s="6" t="s">
        <v>384</v>
      </c>
      <c r="L823" s="6" t="str">
        <f>IF(J823="כן", K823, VLOOKUP(LEFT(H823, 7), 'קטלוג תרחישים'!$A:$M, 13, FALSE))</f>
        <v>ב'</v>
      </c>
      <c r="M823" s="10"/>
      <c r="N823" s="24" t="s">
        <v>357</v>
      </c>
      <c r="O823" s="10" t="str" cm="1">
        <f t="array" ref="O823">_xlfn.IFS(N823="A","א'", N823="B", "ב'", N823= "C", "ג'")</f>
        <v>ב'</v>
      </c>
      <c r="P823" s="10">
        <f>IF(Table_2[[#This Row],[Correct_Answer]]=Table_2[[#This Row],[System_Recommendation]],1,0)</f>
        <v>1</v>
      </c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6" t="s">
        <v>209</v>
      </c>
      <c r="B824" s="6">
        <v>31</v>
      </c>
      <c r="C824" s="6" t="s">
        <v>372</v>
      </c>
      <c r="D824" s="6">
        <v>3</v>
      </c>
      <c r="E824" s="6" t="s">
        <v>98</v>
      </c>
      <c r="F824" s="6" t="s">
        <v>375</v>
      </c>
      <c r="G824" s="6" t="s">
        <v>117</v>
      </c>
      <c r="H824" s="6" t="s">
        <v>195</v>
      </c>
      <c r="I824" s="6" t="s">
        <v>100</v>
      </c>
      <c r="J824" s="6" t="s">
        <v>371</v>
      </c>
      <c r="K824" s="6" t="s">
        <v>385</v>
      </c>
      <c r="L824" s="6" t="str">
        <f>IF(J824="כן", K824, VLOOKUP(LEFT(H824, 7), 'קטלוג תרחישים'!$A:$M, 13, FALSE))</f>
        <v>ג</v>
      </c>
      <c r="M824" s="10"/>
      <c r="N824" s="23" t="s">
        <v>358</v>
      </c>
      <c r="O824" s="10" t="str" cm="1">
        <f t="array" ref="O824">_xlfn.IFS(N824="A","א'", N824="B", "ב'", N824= "C", "ג'")</f>
        <v>ג'</v>
      </c>
      <c r="P824" s="10">
        <f>IF(Table_2[[#This Row],[Correct_Answer]]=Table_2[[#This Row],[System_Recommendation]],1,0)</f>
        <v>1</v>
      </c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6" t="s">
        <v>209</v>
      </c>
      <c r="B825" s="6">
        <v>32</v>
      </c>
      <c r="C825" s="6" t="s">
        <v>372</v>
      </c>
      <c r="D825" s="6">
        <v>3</v>
      </c>
      <c r="E825" s="6" t="s">
        <v>98</v>
      </c>
      <c r="F825" s="6" t="s">
        <v>375</v>
      </c>
      <c r="G825" s="6" t="s">
        <v>117</v>
      </c>
      <c r="H825" s="6" t="s">
        <v>196</v>
      </c>
      <c r="I825" s="6" t="s">
        <v>91</v>
      </c>
      <c r="J825" s="6" t="s">
        <v>374</v>
      </c>
      <c r="K825" s="6" t="s">
        <v>383</v>
      </c>
      <c r="L825" s="6" t="str">
        <f>IF(J825="כן", K825, VLOOKUP(LEFT(H825, 7), 'קטלוג תרחישים'!$A:$M, 13, FALSE))</f>
        <v>א'</v>
      </c>
      <c r="M825" s="10"/>
      <c r="N825" s="24" t="s">
        <v>352</v>
      </c>
      <c r="O825" s="10" t="str" cm="1">
        <f t="array" ref="O825">_xlfn.IFS(N825="A","א'", N825="B", "ב'", N825= "C", "ג'")</f>
        <v>א'</v>
      </c>
      <c r="P825" s="10">
        <f>IF(Table_2[[#This Row],[Correct_Answer]]=Table_2[[#This Row],[System_Recommendation]],1,0)</f>
        <v>1</v>
      </c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6" t="s">
        <v>209</v>
      </c>
      <c r="B826" s="6">
        <v>33</v>
      </c>
      <c r="C826" s="6" t="s">
        <v>372</v>
      </c>
      <c r="D826" s="6">
        <v>3</v>
      </c>
      <c r="E826" s="6" t="s">
        <v>98</v>
      </c>
      <c r="F826" s="6" t="s">
        <v>375</v>
      </c>
      <c r="G826" s="6" t="s">
        <v>117</v>
      </c>
      <c r="H826" s="6" t="s">
        <v>197</v>
      </c>
      <c r="I826" s="6" t="s">
        <v>100</v>
      </c>
      <c r="J826" s="6" t="s">
        <v>374</v>
      </c>
      <c r="K826" s="6" t="s">
        <v>383</v>
      </c>
      <c r="L826" s="6" t="str">
        <f>IF(J826="כן", K826, VLOOKUP(LEFT(H826, 7), 'קטלוג תרחישים'!$A:$M, 13, FALSE))</f>
        <v>ב'</v>
      </c>
      <c r="M826" s="10"/>
      <c r="N826" s="23" t="s">
        <v>352</v>
      </c>
      <c r="O826" s="10" t="str" cm="1">
        <f t="array" ref="O826">_xlfn.IFS(N826="A","א'", N826="B", "ב'", N826= "C", "ג'")</f>
        <v>א'</v>
      </c>
      <c r="P826" s="10">
        <f>IF(Table_2[[#This Row],[Correct_Answer]]=Table_2[[#This Row],[System_Recommendation]],1,0)</f>
        <v>0</v>
      </c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6" t="s">
        <v>210</v>
      </c>
      <c r="B827" s="6">
        <v>1</v>
      </c>
      <c r="C827" s="6" t="s">
        <v>370</v>
      </c>
      <c r="D827" s="6"/>
      <c r="E827" s="6" t="s">
        <v>98</v>
      </c>
      <c r="F827" s="6"/>
      <c r="G827" s="6"/>
      <c r="H827" s="8" t="s">
        <v>90</v>
      </c>
      <c r="I827" s="6" t="s">
        <v>91</v>
      </c>
      <c r="J827" s="6" t="s">
        <v>371</v>
      </c>
      <c r="K827" s="6" t="s">
        <v>385</v>
      </c>
      <c r="L827" s="6" t="str">
        <f>IF(J827="כן", K827, VLOOKUP(LEFT(H827, 7), 'קטלוג תרחישים'!$A:$M, 13, FALSE))</f>
        <v>ג</v>
      </c>
      <c r="M827" s="10"/>
      <c r="N827" s="24" t="s">
        <v>358</v>
      </c>
      <c r="O827" s="10" t="str" cm="1">
        <f t="array" ref="O827">_xlfn.IFS(N827="A","א'", N827="B", "ב'", N827= "C", "ג'")</f>
        <v>ג'</v>
      </c>
      <c r="P827" s="10">
        <f>IF(Table_2[[#This Row],[Correct_Answer]]=Table_2[[#This Row],[System_Recommendation]],1,0)</f>
        <v>1</v>
      </c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6" t="s">
        <v>210</v>
      </c>
      <c r="B828" s="6">
        <v>2</v>
      </c>
      <c r="C828" s="6" t="s">
        <v>370</v>
      </c>
      <c r="D828" s="6"/>
      <c r="E828" s="6" t="s">
        <v>98</v>
      </c>
      <c r="F828" s="6"/>
      <c r="G828" s="6"/>
      <c r="H828" s="8" t="s">
        <v>92</v>
      </c>
      <c r="I828" s="6" t="s">
        <v>91</v>
      </c>
      <c r="J828" s="6" t="s">
        <v>371</v>
      </c>
      <c r="K828" s="6" t="s">
        <v>385</v>
      </c>
      <c r="L828" s="6" t="str">
        <f>IF(J828="כן", K828, VLOOKUP(LEFT(H828, 7), 'קטלוג תרחישים'!$A:$M, 13, FALSE))</f>
        <v>ג</v>
      </c>
      <c r="M828" s="10"/>
      <c r="N828" s="23" t="s">
        <v>358</v>
      </c>
      <c r="O828" s="10" t="str" cm="1">
        <f t="array" ref="O828">_xlfn.IFS(N828="A","א'", N828="B", "ב'", N828= "C", "ג'")</f>
        <v>ג'</v>
      </c>
      <c r="P828" s="10">
        <f>IF(Table_2[[#This Row],[Correct_Answer]]=Table_2[[#This Row],[System_Recommendation]],1,0)</f>
        <v>1</v>
      </c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6" t="s">
        <v>210</v>
      </c>
      <c r="B829" s="6">
        <v>3</v>
      </c>
      <c r="C829" s="6" t="s">
        <v>370</v>
      </c>
      <c r="D829" s="6"/>
      <c r="E829" s="6" t="s">
        <v>105</v>
      </c>
      <c r="F829" s="6"/>
      <c r="G829" s="6"/>
      <c r="H829" s="8" t="s">
        <v>93</v>
      </c>
      <c r="I829" s="6" t="s">
        <v>91</v>
      </c>
      <c r="J829" s="6" t="s">
        <v>371</v>
      </c>
      <c r="K829" s="6" t="s">
        <v>385</v>
      </c>
      <c r="L829" s="6" t="str">
        <f>IF(J829="כן", K829, VLOOKUP(LEFT(H829, 7), 'קטלוג תרחישים'!$A:$M, 13, FALSE))</f>
        <v>ג</v>
      </c>
      <c r="M829" s="10"/>
      <c r="N829" s="24" t="s">
        <v>358</v>
      </c>
      <c r="O829" s="10" t="str" cm="1">
        <f t="array" ref="O829">_xlfn.IFS(N829="A","א'", N829="B", "ב'", N829= "C", "ג'")</f>
        <v>ג'</v>
      </c>
      <c r="P829" s="10">
        <f>IF(Table_2[[#This Row],[Correct_Answer]]=Table_2[[#This Row],[System_Recommendation]],1,0)</f>
        <v>1</v>
      </c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6" t="s">
        <v>210</v>
      </c>
      <c r="B830" s="6">
        <v>4</v>
      </c>
      <c r="C830" s="6" t="s">
        <v>370</v>
      </c>
      <c r="D830" s="6"/>
      <c r="E830" s="6" t="s">
        <v>105</v>
      </c>
      <c r="F830" s="6"/>
      <c r="G830" s="6"/>
      <c r="H830" s="8" t="s">
        <v>94</v>
      </c>
      <c r="I830" s="6" t="s">
        <v>91</v>
      </c>
      <c r="J830" s="6" t="s">
        <v>371</v>
      </c>
      <c r="K830" s="6" t="s">
        <v>384</v>
      </c>
      <c r="L830" s="6" t="str">
        <f>IF(J830="כן", K830, VLOOKUP(LEFT(H830, 7), 'קטלוג תרחישים'!$A:$M, 13, FALSE))</f>
        <v>ב'</v>
      </c>
      <c r="M830" s="10"/>
      <c r="N830" s="23" t="s">
        <v>357</v>
      </c>
      <c r="O830" s="10" t="str" cm="1">
        <f t="array" ref="O830">_xlfn.IFS(N830="A","א'", N830="B", "ב'", N830= "C", "ג'")</f>
        <v>ב'</v>
      </c>
      <c r="P830" s="10">
        <f>IF(Table_2[[#This Row],[Correct_Answer]]=Table_2[[#This Row],[System_Recommendation]],1,0)</f>
        <v>1</v>
      </c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6" t="s">
        <v>210</v>
      </c>
      <c r="B831" s="6">
        <v>5</v>
      </c>
      <c r="C831" s="6" t="s">
        <v>370</v>
      </c>
      <c r="D831" s="6"/>
      <c r="E831" s="6" t="s">
        <v>111</v>
      </c>
      <c r="F831" s="6"/>
      <c r="G831" s="6"/>
      <c r="H831" s="8" t="s">
        <v>95</v>
      </c>
      <c r="I831" s="6" t="s">
        <v>91</v>
      </c>
      <c r="J831" s="6" t="s">
        <v>371</v>
      </c>
      <c r="K831" s="6" t="s">
        <v>383</v>
      </c>
      <c r="L831" s="6" t="str">
        <f>IF(J831="כן", K831, VLOOKUP(LEFT(H831, 7), 'קטלוג תרחישים'!$A:$M, 13, FALSE))</f>
        <v>א'</v>
      </c>
      <c r="M831" s="10"/>
      <c r="N831" s="24" t="s">
        <v>352</v>
      </c>
      <c r="O831" s="10" t="str" cm="1">
        <f t="array" ref="O831">_xlfn.IFS(N831="A","א'", N831="B", "ב'", N831= "C", "ג'")</f>
        <v>א'</v>
      </c>
      <c r="P831" s="10">
        <f>IF(Table_2[[#This Row],[Correct_Answer]]=Table_2[[#This Row],[System_Recommendation]],1,0)</f>
        <v>1</v>
      </c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6" t="s">
        <v>210</v>
      </c>
      <c r="B832" s="6">
        <v>6</v>
      </c>
      <c r="C832" s="6" t="s">
        <v>370</v>
      </c>
      <c r="D832" s="6"/>
      <c r="E832" s="6" t="s">
        <v>111</v>
      </c>
      <c r="F832" s="6"/>
      <c r="G832" s="6"/>
      <c r="H832" s="8" t="s">
        <v>96</v>
      </c>
      <c r="I832" s="6" t="s">
        <v>91</v>
      </c>
      <c r="J832" s="6" t="s">
        <v>371</v>
      </c>
      <c r="K832" s="6" t="s">
        <v>385</v>
      </c>
      <c r="L832" s="6" t="str">
        <f>IF(J832="כן", K832, VLOOKUP(LEFT(H832, 7), 'קטלוג תרחישים'!$A:$M, 13, FALSE))</f>
        <v>ג</v>
      </c>
      <c r="M832" s="10"/>
      <c r="N832" s="23" t="s">
        <v>358</v>
      </c>
      <c r="O832" s="10" t="str" cm="1">
        <f t="array" ref="O832">_xlfn.IFS(N832="A","א'", N832="B", "ב'", N832= "C", "ג'")</f>
        <v>ג'</v>
      </c>
      <c r="P832" s="10">
        <f>IF(Table_2[[#This Row],[Correct_Answer]]=Table_2[[#This Row],[System_Recommendation]],1,0)</f>
        <v>1</v>
      </c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6" t="s">
        <v>210</v>
      </c>
      <c r="B833" s="6">
        <v>7</v>
      </c>
      <c r="C833" s="6" t="s">
        <v>372</v>
      </c>
      <c r="D833" s="6">
        <v>1</v>
      </c>
      <c r="E833" s="6" t="s">
        <v>111</v>
      </c>
      <c r="F833" s="6" t="s">
        <v>373</v>
      </c>
      <c r="G833" s="6" t="s">
        <v>117</v>
      </c>
      <c r="H833" s="6" t="s">
        <v>204</v>
      </c>
      <c r="I833" s="6" t="s">
        <v>91</v>
      </c>
      <c r="J833" s="6" t="s">
        <v>374</v>
      </c>
      <c r="K833" s="6" t="s">
        <v>385</v>
      </c>
      <c r="L833" s="6" t="str">
        <f>IF(J833="כן", K833, VLOOKUP(LEFT(H833, 7), 'קטלוג תרחישים'!$A:$M, 13, FALSE))</f>
        <v>ג'</v>
      </c>
      <c r="M833" s="10"/>
      <c r="N833" s="24" t="s">
        <v>358</v>
      </c>
      <c r="O833" s="10" t="str" cm="1">
        <f t="array" ref="O833">_xlfn.IFS(N833="A","א'", N833="B", "ב'", N833= "C", "ג'")</f>
        <v>ג'</v>
      </c>
      <c r="P833" s="10">
        <f>IF(Table_2[[#This Row],[Correct_Answer]]=Table_2[[#This Row],[System_Recommendation]],1,0)</f>
        <v>0</v>
      </c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6" t="s">
        <v>210</v>
      </c>
      <c r="B834" s="6">
        <v>8</v>
      </c>
      <c r="C834" s="6" t="s">
        <v>372</v>
      </c>
      <c r="D834" s="6">
        <v>1</v>
      </c>
      <c r="E834" s="6" t="s">
        <v>111</v>
      </c>
      <c r="F834" s="6" t="s">
        <v>373</v>
      </c>
      <c r="G834" s="6" t="s">
        <v>117</v>
      </c>
      <c r="H834" s="6" t="s">
        <v>205</v>
      </c>
      <c r="I834" s="6" t="s">
        <v>100</v>
      </c>
      <c r="J834" s="6" t="s">
        <v>374</v>
      </c>
      <c r="K834" s="6" t="s">
        <v>384</v>
      </c>
      <c r="L834" s="6" t="str">
        <f>IF(J834="כן", K834, VLOOKUP(LEFT(H834, 7), 'קטלוג תרחישים'!$A:$M, 13, FALSE))</f>
        <v>ג'</v>
      </c>
      <c r="M834" s="10"/>
      <c r="N834" s="23" t="s">
        <v>357</v>
      </c>
      <c r="O834" s="10" t="str" cm="1">
        <f t="array" ref="O834">_xlfn.IFS(N834="A","א'", N834="B", "ב'", N834= "C", "ג'")</f>
        <v>ב'</v>
      </c>
      <c r="P834" s="10">
        <f>IF(Table_2[[#This Row],[Correct_Answer]]=Table_2[[#This Row],[System_Recommendation]],1,0)</f>
        <v>0</v>
      </c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6" t="s">
        <v>210</v>
      </c>
      <c r="B835" s="6">
        <v>9</v>
      </c>
      <c r="C835" s="6" t="s">
        <v>372</v>
      </c>
      <c r="D835" s="6">
        <v>1</v>
      </c>
      <c r="E835" s="6" t="s">
        <v>111</v>
      </c>
      <c r="F835" s="6" t="s">
        <v>373</v>
      </c>
      <c r="G835" s="6" t="s">
        <v>117</v>
      </c>
      <c r="H835" s="6" t="s">
        <v>202</v>
      </c>
      <c r="I835" s="6" t="s">
        <v>91</v>
      </c>
      <c r="J835" s="6" t="s">
        <v>371</v>
      </c>
      <c r="K835" s="6" t="s">
        <v>384</v>
      </c>
      <c r="L835" s="6" t="str">
        <f>IF(J835="כן", K835, VLOOKUP(LEFT(H835, 7), 'קטלוג תרחישים'!$A:$M, 13, FALSE))</f>
        <v>ב'</v>
      </c>
      <c r="M835" s="10"/>
      <c r="N835" s="24" t="s">
        <v>357</v>
      </c>
      <c r="O835" s="10" t="str" cm="1">
        <f t="array" ref="O835">_xlfn.IFS(N835="A","א'", N835="B", "ב'", N835= "C", "ג'")</f>
        <v>ב'</v>
      </c>
      <c r="P835" s="10">
        <f>IF(Table_2[[#This Row],[Correct_Answer]]=Table_2[[#This Row],[System_Recommendation]],1,0)</f>
        <v>1</v>
      </c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6" t="s">
        <v>210</v>
      </c>
      <c r="B836" s="6">
        <v>10</v>
      </c>
      <c r="C836" s="6" t="s">
        <v>372</v>
      </c>
      <c r="D836" s="6">
        <v>1</v>
      </c>
      <c r="E836" s="6" t="s">
        <v>111</v>
      </c>
      <c r="F836" s="6" t="s">
        <v>373</v>
      </c>
      <c r="G836" s="6" t="s">
        <v>117</v>
      </c>
      <c r="H836" s="6" t="s">
        <v>203</v>
      </c>
      <c r="I836" s="6" t="s">
        <v>100</v>
      </c>
      <c r="J836" s="6" t="s">
        <v>371</v>
      </c>
      <c r="K836" s="6" t="s">
        <v>384</v>
      </c>
      <c r="L836" s="6" t="str">
        <f>IF(J836="כן", K836, VLOOKUP(LEFT(H836, 7), 'קטלוג תרחישים'!$A:$M, 13, FALSE))</f>
        <v>ב'</v>
      </c>
      <c r="M836" s="10"/>
      <c r="N836" s="23" t="s">
        <v>357</v>
      </c>
      <c r="O836" s="10" t="str" cm="1">
        <f t="array" ref="O836">_xlfn.IFS(N836="A","א'", N836="B", "ב'", N836= "C", "ג'")</f>
        <v>ב'</v>
      </c>
      <c r="P836" s="10">
        <f>IF(Table_2[[#This Row],[Correct_Answer]]=Table_2[[#This Row],[System_Recommendation]],1,0)</f>
        <v>1</v>
      </c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6" t="s">
        <v>210</v>
      </c>
      <c r="B837" s="6">
        <v>11</v>
      </c>
      <c r="C837" s="6" t="s">
        <v>372</v>
      </c>
      <c r="D837" s="6">
        <v>2</v>
      </c>
      <c r="E837" s="6" t="s">
        <v>98</v>
      </c>
      <c r="F837" s="6" t="s">
        <v>373</v>
      </c>
      <c r="G837" s="6" t="s">
        <v>117</v>
      </c>
      <c r="H837" s="6" t="s">
        <v>196</v>
      </c>
      <c r="I837" s="6" t="s">
        <v>91</v>
      </c>
      <c r="J837" s="6" t="s">
        <v>374</v>
      </c>
      <c r="K837" s="6" t="s">
        <v>383</v>
      </c>
      <c r="L837" s="6" t="str">
        <f>IF(J837="כן", K837, VLOOKUP(LEFT(H837, 7), 'קטלוג תרחישים'!$A:$M, 13, FALSE))</f>
        <v>א'</v>
      </c>
      <c r="M837" s="10"/>
      <c r="N837" s="24" t="s">
        <v>352</v>
      </c>
      <c r="O837" s="10" t="str" cm="1">
        <f t="array" ref="O837">_xlfn.IFS(N837="A","א'", N837="B", "ב'", N837= "C", "ג'")</f>
        <v>א'</v>
      </c>
      <c r="P837" s="10">
        <f>IF(Table_2[[#This Row],[Correct_Answer]]=Table_2[[#This Row],[System_Recommendation]],1,0)</f>
        <v>1</v>
      </c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6" t="s">
        <v>210</v>
      </c>
      <c r="B838" s="6">
        <v>12</v>
      </c>
      <c r="C838" s="6" t="s">
        <v>372</v>
      </c>
      <c r="D838" s="6">
        <v>2</v>
      </c>
      <c r="E838" s="6" t="s">
        <v>98</v>
      </c>
      <c r="F838" s="6" t="s">
        <v>373</v>
      </c>
      <c r="G838" s="6" t="s">
        <v>117</v>
      </c>
      <c r="H838" s="6" t="s">
        <v>195</v>
      </c>
      <c r="I838" s="6" t="s">
        <v>100</v>
      </c>
      <c r="J838" s="6" t="s">
        <v>374</v>
      </c>
      <c r="K838" s="6" t="s">
        <v>385</v>
      </c>
      <c r="L838" s="6" t="str">
        <f>IF(J838="כן", K838, VLOOKUP(LEFT(H838, 7), 'קטלוג תרחישים'!$A:$M, 13, FALSE))</f>
        <v>ב'</v>
      </c>
      <c r="M838" s="10"/>
      <c r="N838" s="23" t="s">
        <v>358</v>
      </c>
      <c r="O838" s="10" t="str" cm="1">
        <f t="array" ref="O838">_xlfn.IFS(N838="A","א'", N838="B", "ב'", N838= "C", "ג'")</f>
        <v>ג'</v>
      </c>
      <c r="P838" s="10">
        <f>IF(Table_2[[#This Row],[Correct_Answer]]=Table_2[[#This Row],[System_Recommendation]],1,0)</f>
        <v>0</v>
      </c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6" t="s">
        <v>210</v>
      </c>
      <c r="B839" s="6">
        <v>13</v>
      </c>
      <c r="C839" s="6" t="s">
        <v>372</v>
      </c>
      <c r="D839" s="6">
        <v>2</v>
      </c>
      <c r="E839" s="6" t="s">
        <v>98</v>
      </c>
      <c r="F839" s="6" t="s">
        <v>373</v>
      </c>
      <c r="G839" s="6" t="s">
        <v>117</v>
      </c>
      <c r="H839" s="6" t="s">
        <v>194</v>
      </c>
      <c r="I839" s="6" t="s">
        <v>91</v>
      </c>
      <c r="J839" s="6" t="s">
        <v>371</v>
      </c>
      <c r="K839" s="6" t="s">
        <v>384</v>
      </c>
      <c r="L839" s="6" t="str">
        <f>IF(J839="כן", K839, VLOOKUP(LEFT(H839, 7), 'קטלוג תרחישים'!$A:$M, 13, FALSE))</f>
        <v>ב'</v>
      </c>
      <c r="M839" s="10"/>
      <c r="N839" s="24" t="s">
        <v>357</v>
      </c>
      <c r="O839" s="10" t="str" cm="1">
        <f t="array" ref="O839">_xlfn.IFS(N839="A","א'", N839="B", "ב'", N839= "C", "ג'")</f>
        <v>ב'</v>
      </c>
      <c r="P839" s="10">
        <f>IF(Table_2[[#This Row],[Correct_Answer]]=Table_2[[#This Row],[System_Recommendation]],1,0)</f>
        <v>1</v>
      </c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6" t="s">
        <v>210</v>
      </c>
      <c r="B840" s="6">
        <v>14</v>
      </c>
      <c r="C840" s="6" t="s">
        <v>372</v>
      </c>
      <c r="D840" s="6">
        <v>2</v>
      </c>
      <c r="E840" s="6" t="s">
        <v>98</v>
      </c>
      <c r="F840" s="6" t="s">
        <v>373</v>
      </c>
      <c r="G840" s="6" t="s">
        <v>117</v>
      </c>
      <c r="H840" s="6" t="s">
        <v>197</v>
      </c>
      <c r="I840" s="6" t="s">
        <v>100</v>
      </c>
      <c r="J840" s="6" t="s">
        <v>371</v>
      </c>
      <c r="K840" s="6" t="s">
        <v>385</v>
      </c>
      <c r="L840" s="6" t="str">
        <f>IF(J840="כן", K840, VLOOKUP(LEFT(H840, 7), 'קטלוג תרחישים'!$A:$M, 13, FALSE))</f>
        <v>ג</v>
      </c>
      <c r="M840" s="10"/>
      <c r="N840" s="23" t="s">
        <v>358</v>
      </c>
      <c r="O840" s="10" t="str" cm="1">
        <f t="array" ref="O840">_xlfn.IFS(N840="A","א'", N840="B", "ב'", N840= "C", "ג'")</f>
        <v>ג'</v>
      </c>
      <c r="P840" s="10">
        <f>IF(Table_2[[#This Row],[Correct_Answer]]=Table_2[[#This Row],[System_Recommendation]],1,0)</f>
        <v>1</v>
      </c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6" t="s">
        <v>210</v>
      </c>
      <c r="B841" s="6">
        <v>15</v>
      </c>
      <c r="C841" s="6" t="s">
        <v>372</v>
      </c>
      <c r="D841" s="6">
        <v>3</v>
      </c>
      <c r="E841" s="6" t="s">
        <v>105</v>
      </c>
      <c r="F841" s="6" t="s">
        <v>373</v>
      </c>
      <c r="G841" s="6" t="s">
        <v>117</v>
      </c>
      <c r="H841" s="6" t="s">
        <v>198</v>
      </c>
      <c r="I841" s="6" t="s">
        <v>91</v>
      </c>
      <c r="J841" s="6" t="s">
        <v>374</v>
      </c>
      <c r="K841" s="6" t="s">
        <v>383</v>
      </c>
      <c r="L841" s="6" t="str">
        <f>IF(J841="כן", K841, VLOOKUP(LEFT(H841, 7), 'קטלוג תרחישים'!$A:$M, 13, FALSE))</f>
        <v>א'</v>
      </c>
      <c r="M841" s="10"/>
      <c r="N841" s="24" t="s">
        <v>352</v>
      </c>
      <c r="O841" s="10" t="str" cm="1">
        <f t="array" ref="O841">_xlfn.IFS(N841="A","א'", N841="B", "ב'", N841= "C", "ג'")</f>
        <v>א'</v>
      </c>
      <c r="P841" s="10">
        <f>IF(Table_2[[#This Row],[Correct_Answer]]=Table_2[[#This Row],[System_Recommendation]],1,0)</f>
        <v>1</v>
      </c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6" t="s">
        <v>210</v>
      </c>
      <c r="B842" s="6">
        <v>16</v>
      </c>
      <c r="C842" s="6" t="s">
        <v>372</v>
      </c>
      <c r="D842" s="6">
        <v>3</v>
      </c>
      <c r="E842" s="6" t="s">
        <v>105</v>
      </c>
      <c r="F842" s="6" t="s">
        <v>373</v>
      </c>
      <c r="G842" s="6" t="s">
        <v>117</v>
      </c>
      <c r="H842" s="6" t="s">
        <v>201</v>
      </c>
      <c r="I842" s="6" t="s">
        <v>100</v>
      </c>
      <c r="J842" s="6" t="s">
        <v>371</v>
      </c>
      <c r="K842" s="6" t="s">
        <v>385</v>
      </c>
      <c r="L842" s="6" t="str">
        <f>IF(J842="כן", K842, VLOOKUP(LEFT(H842, 7), 'קטלוג תרחישים'!$A:$M, 13, FALSE))</f>
        <v>ג</v>
      </c>
      <c r="M842" s="10"/>
      <c r="N842" s="23" t="s">
        <v>358</v>
      </c>
      <c r="O842" s="10" t="str" cm="1">
        <f t="array" ref="O842">_xlfn.IFS(N842="A","א'", N842="B", "ב'", N842= "C", "ג'")</f>
        <v>ג'</v>
      </c>
      <c r="P842" s="10">
        <f>IF(Table_2[[#This Row],[Correct_Answer]]=Table_2[[#This Row],[System_Recommendation]],1,0)</f>
        <v>1</v>
      </c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6" t="s">
        <v>210</v>
      </c>
      <c r="B843" s="6">
        <v>17</v>
      </c>
      <c r="C843" s="6" t="s">
        <v>372</v>
      </c>
      <c r="D843" s="6">
        <v>3</v>
      </c>
      <c r="E843" s="6" t="s">
        <v>105</v>
      </c>
      <c r="F843" s="6" t="s">
        <v>373</v>
      </c>
      <c r="G843" s="6" t="s">
        <v>117</v>
      </c>
      <c r="H843" s="6" t="s">
        <v>200</v>
      </c>
      <c r="I843" s="6" t="s">
        <v>91</v>
      </c>
      <c r="J843" s="6" t="s">
        <v>371</v>
      </c>
      <c r="K843" s="6" t="s">
        <v>385</v>
      </c>
      <c r="L843" s="6" t="str">
        <f>IF(J843="כן", K843, VLOOKUP(LEFT(H843, 7), 'קטלוג תרחישים'!$A:$M, 13, FALSE))</f>
        <v>ג</v>
      </c>
      <c r="M843" s="10"/>
      <c r="N843" s="24" t="s">
        <v>358</v>
      </c>
      <c r="O843" s="10" t="str" cm="1">
        <f t="array" ref="O843">_xlfn.IFS(N843="A","א'", N843="B", "ב'", N843= "C", "ג'")</f>
        <v>ג'</v>
      </c>
      <c r="P843" s="10">
        <f>IF(Table_2[[#This Row],[Correct_Answer]]=Table_2[[#This Row],[System_Recommendation]],1,0)</f>
        <v>1</v>
      </c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6" t="s">
        <v>210</v>
      </c>
      <c r="B844" s="6">
        <v>18</v>
      </c>
      <c r="C844" s="6" t="s">
        <v>372</v>
      </c>
      <c r="D844" s="6">
        <v>3</v>
      </c>
      <c r="E844" s="6" t="s">
        <v>105</v>
      </c>
      <c r="F844" s="6" t="s">
        <v>373</v>
      </c>
      <c r="G844" s="6" t="s">
        <v>117</v>
      </c>
      <c r="H844" s="6" t="s">
        <v>199</v>
      </c>
      <c r="I844" s="6" t="s">
        <v>100</v>
      </c>
      <c r="J844" s="6" t="s">
        <v>374</v>
      </c>
      <c r="K844" s="6" t="s">
        <v>384</v>
      </c>
      <c r="L844" s="6" t="str">
        <f>IF(J844="כן", K844, VLOOKUP(LEFT(H844, 7), 'קטלוג תרחישים'!$A:$M, 13, FALSE))</f>
        <v>ב'</v>
      </c>
      <c r="M844" s="10"/>
      <c r="N844" s="23" t="s">
        <v>357</v>
      </c>
      <c r="O844" s="10" t="str" cm="1">
        <f t="array" ref="O844">_xlfn.IFS(N844="A","א'", N844="B", "ב'", N844= "C", "ג'")</f>
        <v>ב'</v>
      </c>
      <c r="P844" s="10">
        <f>IF(Table_2[[#This Row],[Correct_Answer]]=Table_2[[#This Row],[System_Recommendation]],1,0)</f>
        <v>1</v>
      </c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6" t="s">
        <v>210</v>
      </c>
      <c r="B845" s="6">
        <v>19</v>
      </c>
      <c r="C845" s="6" t="s">
        <v>372</v>
      </c>
      <c r="D845" s="6">
        <v>1</v>
      </c>
      <c r="E845" s="6" t="s">
        <v>105</v>
      </c>
      <c r="F845" s="6" t="s">
        <v>375</v>
      </c>
      <c r="G845" s="6" t="s">
        <v>97</v>
      </c>
      <c r="H845" s="6" t="s">
        <v>189</v>
      </c>
      <c r="I845" s="6" t="s">
        <v>91</v>
      </c>
      <c r="J845" s="6" t="s">
        <v>371</v>
      </c>
      <c r="K845" s="6" t="s">
        <v>383</v>
      </c>
      <c r="L845" s="6" t="str">
        <f>IF(J845="כן", K845, VLOOKUP(LEFT(H845, 7), 'קטלוג תרחישים'!$A:$M, 13, FALSE))</f>
        <v>א'</v>
      </c>
      <c r="M845" s="10"/>
      <c r="N845" s="24" t="s">
        <v>352</v>
      </c>
      <c r="O845" s="10" t="str" cm="1">
        <f t="array" ref="O845">_xlfn.IFS(N845="A","א'", N845="B", "ב'", N845= "C", "ג'")</f>
        <v>א'</v>
      </c>
      <c r="P845" s="10">
        <f>IF(Table_2[[#This Row],[Correct_Answer]]=Table_2[[#This Row],[System_Recommendation]],1,0)</f>
        <v>1</v>
      </c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6" t="s">
        <v>210</v>
      </c>
      <c r="B846" s="6">
        <v>20</v>
      </c>
      <c r="C846" s="6" t="s">
        <v>372</v>
      </c>
      <c r="D846" s="6">
        <v>1</v>
      </c>
      <c r="E846" s="6" t="s">
        <v>105</v>
      </c>
      <c r="F846" s="6" t="s">
        <v>375</v>
      </c>
      <c r="G846" s="6" t="s">
        <v>97</v>
      </c>
      <c r="H846" s="6" t="s">
        <v>192</v>
      </c>
      <c r="I846" s="6" t="s">
        <v>100</v>
      </c>
      <c r="J846" s="6" t="s">
        <v>371</v>
      </c>
      <c r="K846" s="6" t="s">
        <v>385</v>
      </c>
      <c r="L846" s="6" t="str">
        <f>IF(J846="כן", K846, VLOOKUP(LEFT(H846, 7), 'קטלוג תרחישים'!$A:$M, 13, FALSE))</f>
        <v>ג</v>
      </c>
      <c r="M846" s="10"/>
      <c r="N846" s="23" t="s">
        <v>358</v>
      </c>
      <c r="O846" s="10" t="str" cm="1">
        <f t="array" ref="O846">_xlfn.IFS(N846="A","א'", N846="B", "ב'", N846= "C", "ג'")</f>
        <v>ג'</v>
      </c>
      <c r="P846" s="10">
        <f>IF(Table_2[[#This Row],[Correct_Answer]]=Table_2[[#This Row],[System_Recommendation]],1,0)</f>
        <v>1</v>
      </c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6" t="s">
        <v>210</v>
      </c>
      <c r="B847" s="6">
        <v>21</v>
      </c>
      <c r="C847" s="6" t="s">
        <v>372</v>
      </c>
      <c r="D847" s="6">
        <v>1</v>
      </c>
      <c r="E847" s="6" t="s">
        <v>105</v>
      </c>
      <c r="F847" s="6" t="s">
        <v>375</v>
      </c>
      <c r="G847" s="6" t="s">
        <v>97</v>
      </c>
      <c r="H847" s="6" t="s">
        <v>191</v>
      </c>
      <c r="I847" s="6" t="s">
        <v>91</v>
      </c>
      <c r="J847" s="6" t="s">
        <v>374</v>
      </c>
      <c r="K847" s="6" t="s">
        <v>384</v>
      </c>
      <c r="L847" s="6" t="str">
        <f>IF(J847="כן", K847, VLOOKUP(LEFT(H847, 7), 'קטלוג תרחישים'!$A:$M, 13, FALSE))</f>
        <v>ב'</v>
      </c>
      <c r="M847" s="10"/>
      <c r="N847" s="24" t="s">
        <v>357</v>
      </c>
      <c r="O847" s="10" t="str" cm="1">
        <f t="array" ref="O847">_xlfn.IFS(N847="A","א'", N847="B", "ב'", N847= "C", "ג'")</f>
        <v>ב'</v>
      </c>
      <c r="P847" s="10">
        <f>IF(Table_2[[#This Row],[Correct_Answer]]=Table_2[[#This Row],[System_Recommendation]],1,0)</f>
        <v>1</v>
      </c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6" t="s">
        <v>210</v>
      </c>
      <c r="B848" s="6">
        <v>22</v>
      </c>
      <c r="C848" s="6" t="s">
        <v>372</v>
      </c>
      <c r="D848" s="6">
        <v>1</v>
      </c>
      <c r="E848" s="6" t="s">
        <v>105</v>
      </c>
      <c r="F848" s="6" t="s">
        <v>375</v>
      </c>
      <c r="G848" s="6" t="s">
        <v>97</v>
      </c>
      <c r="H848" s="6" t="s">
        <v>190</v>
      </c>
      <c r="I848" s="6" t="s">
        <v>100</v>
      </c>
      <c r="J848" s="6" t="s">
        <v>371</v>
      </c>
      <c r="K848" s="6" t="s">
        <v>385</v>
      </c>
      <c r="L848" s="6" t="str">
        <f>IF(J848="כן", K848, VLOOKUP(LEFT(H848, 7), 'קטלוג תרחישים'!$A:$M, 13, FALSE))</f>
        <v>ג</v>
      </c>
      <c r="M848" s="10"/>
      <c r="N848" s="23" t="s">
        <v>358</v>
      </c>
      <c r="O848" s="10" t="str" cm="1">
        <f t="array" ref="O848">_xlfn.IFS(N848="A","א'", N848="B", "ב'", N848= "C", "ג'")</f>
        <v>ג'</v>
      </c>
      <c r="P848" s="10">
        <f>IF(Table_2[[#This Row],[Correct_Answer]]=Table_2[[#This Row],[System_Recommendation]],1,0)</f>
        <v>1</v>
      </c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6" t="s">
        <v>210</v>
      </c>
      <c r="B849" s="6">
        <v>23</v>
      </c>
      <c r="C849" s="6" t="s">
        <v>372</v>
      </c>
      <c r="D849" s="6">
        <v>1</v>
      </c>
      <c r="E849" s="6" t="s">
        <v>105</v>
      </c>
      <c r="F849" s="6" t="s">
        <v>375</v>
      </c>
      <c r="G849" s="6" t="s">
        <v>97</v>
      </c>
      <c r="H849" s="6" t="s">
        <v>193</v>
      </c>
      <c r="I849" s="6" t="s">
        <v>91</v>
      </c>
      <c r="J849" s="6" t="s">
        <v>371</v>
      </c>
      <c r="K849" s="6" t="s">
        <v>385</v>
      </c>
      <c r="L849" s="6" t="str">
        <f>IF(J849="כן", K849, VLOOKUP(LEFT(H849, 7), 'קטלוג תרחישים'!$A:$M, 13, FALSE))</f>
        <v>ג</v>
      </c>
      <c r="M849" s="10"/>
      <c r="N849" s="24" t="s">
        <v>358</v>
      </c>
      <c r="O849" s="10" t="str" cm="1">
        <f t="array" ref="O849">_xlfn.IFS(N849="A","א'", N849="B", "ב'", N849= "C", "ג'")</f>
        <v>ג'</v>
      </c>
      <c r="P849" s="10">
        <f>IF(Table_2[[#This Row],[Correct_Answer]]=Table_2[[#This Row],[System_Recommendation]],1,0)</f>
        <v>1</v>
      </c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6" t="s">
        <v>210</v>
      </c>
      <c r="B850" s="6">
        <v>24</v>
      </c>
      <c r="C850" s="6" t="s">
        <v>372</v>
      </c>
      <c r="D850" s="6">
        <v>2</v>
      </c>
      <c r="E850" s="6" t="s">
        <v>111</v>
      </c>
      <c r="F850" s="6" t="s">
        <v>375</v>
      </c>
      <c r="G850" s="6" t="s">
        <v>97</v>
      </c>
      <c r="H850" s="6" t="s">
        <v>179</v>
      </c>
      <c r="I850" s="6" t="s">
        <v>100</v>
      </c>
      <c r="J850" s="6" t="s">
        <v>371</v>
      </c>
      <c r="K850" s="6" t="s">
        <v>383</v>
      </c>
      <c r="L850" s="6" t="str">
        <f>IF(J850="כן", K850, VLOOKUP(LEFT(H850, 7), 'קטלוג תרחישים'!$A:$M, 13, FALSE))</f>
        <v>א'</v>
      </c>
      <c r="M850" s="10"/>
      <c r="N850" s="23" t="s">
        <v>352</v>
      </c>
      <c r="O850" s="10" t="str" cm="1">
        <f t="array" ref="O850">_xlfn.IFS(N850="A","א'", N850="B", "ב'", N850= "C", "ג'")</f>
        <v>א'</v>
      </c>
      <c r="P850" s="10">
        <f>IF(Table_2[[#This Row],[Correct_Answer]]=Table_2[[#This Row],[System_Recommendation]],1,0)</f>
        <v>1</v>
      </c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6" t="s">
        <v>210</v>
      </c>
      <c r="B851" s="6">
        <v>25</v>
      </c>
      <c r="C851" s="6" t="s">
        <v>372</v>
      </c>
      <c r="D851" s="6">
        <v>2</v>
      </c>
      <c r="E851" s="6" t="s">
        <v>111</v>
      </c>
      <c r="F851" s="6" t="s">
        <v>375</v>
      </c>
      <c r="G851" s="6" t="s">
        <v>97</v>
      </c>
      <c r="H851" s="6" t="s">
        <v>182</v>
      </c>
      <c r="I851" s="6" t="s">
        <v>91</v>
      </c>
      <c r="J851" s="6" t="s">
        <v>374</v>
      </c>
      <c r="K851" s="6" t="s">
        <v>383</v>
      </c>
      <c r="L851" s="6" t="str">
        <f>IF(J851="כן", K851, VLOOKUP(LEFT(H851, 7), 'קטלוג תרחישים'!$A:$M, 13, FALSE))</f>
        <v>ג'</v>
      </c>
      <c r="M851" s="10"/>
      <c r="N851" s="24" t="s">
        <v>352</v>
      </c>
      <c r="O851" s="10" t="str" cm="1">
        <f t="array" ref="O851">_xlfn.IFS(N851="A","א'", N851="B", "ב'", N851= "C", "ג'")</f>
        <v>א'</v>
      </c>
      <c r="P851" s="10">
        <f>IF(Table_2[[#This Row],[Correct_Answer]]=Table_2[[#This Row],[System_Recommendation]],1,0)</f>
        <v>0</v>
      </c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6" t="s">
        <v>210</v>
      </c>
      <c r="B852" s="6">
        <v>26</v>
      </c>
      <c r="C852" s="6" t="s">
        <v>372</v>
      </c>
      <c r="D852" s="6">
        <v>2</v>
      </c>
      <c r="E852" s="6" t="s">
        <v>111</v>
      </c>
      <c r="F852" s="6" t="s">
        <v>375</v>
      </c>
      <c r="G852" s="6" t="s">
        <v>97</v>
      </c>
      <c r="H852" s="6" t="s">
        <v>181</v>
      </c>
      <c r="I852" s="6" t="s">
        <v>100</v>
      </c>
      <c r="J852" s="6" t="s">
        <v>371</v>
      </c>
      <c r="K852" s="6" t="s">
        <v>383</v>
      </c>
      <c r="L852" s="6" t="str">
        <f>IF(J852="כן", K852, VLOOKUP(LEFT(H852, 7), 'קטלוג תרחישים'!$A:$M, 13, FALSE))</f>
        <v>א'</v>
      </c>
      <c r="M852" s="10"/>
      <c r="N852" s="23" t="s">
        <v>352</v>
      </c>
      <c r="O852" s="10" t="str" cm="1">
        <f t="array" ref="O852">_xlfn.IFS(N852="A","א'", N852="B", "ב'", N852= "C", "ג'")</f>
        <v>א'</v>
      </c>
      <c r="P852" s="10">
        <f>IF(Table_2[[#This Row],[Correct_Answer]]=Table_2[[#This Row],[System_Recommendation]],1,0)</f>
        <v>1</v>
      </c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6" t="s">
        <v>210</v>
      </c>
      <c r="B853" s="6">
        <v>27</v>
      </c>
      <c r="C853" s="6" t="s">
        <v>372</v>
      </c>
      <c r="D853" s="6">
        <v>2</v>
      </c>
      <c r="E853" s="6" t="s">
        <v>111</v>
      </c>
      <c r="F853" s="6" t="s">
        <v>375</v>
      </c>
      <c r="G853" s="6" t="s">
        <v>97</v>
      </c>
      <c r="H853" s="6" t="s">
        <v>180</v>
      </c>
      <c r="I853" s="6" t="s">
        <v>91</v>
      </c>
      <c r="J853" s="6" t="s">
        <v>371</v>
      </c>
      <c r="K853" s="6" t="s">
        <v>384</v>
      </c>
      <c r="L853" s="6" t="str">
        <f>IF(J853="כן", K853, VLOOKUP(LEFT(H853, 7), 'קטלוג תרחישים'!$A:$M, 13, FALSE))</f>
        <v>ב'</v>
      </c>
      <c r="M853" s="10"/>
      <c r="N853" s="24" t="s">
        <v>357</v>
      </c>
      <c r="O853" s="10" t="str" cm="1">
        <f t="array" ref="O853">_xlfn.IFS(N853="A","א'", N853="B", "ב'", N853= "C", "ג'")</f>
        <v>ב'</v>
      </c>
      <c r="P853" s="10">
        <f>IF(Table_2[[#This Row],[Correct_Answer]]=Table_2[[#This Row],[System_Recommendation]],1,0)</f>
        <v>1</v>
      </c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6" t="s">
        <v>210</v>
      </c>
      <c r="B854" s="6">
        <v>28</v>
      </c>
      <c r="C854" s="6" t="s">
        <v>372</v>
      </c>
      <c r="D854" s="6">
        <v>2</v>
      </c>
      <c r="E854" s="6" t="s">
        <v>111</v>
      </c>
      <c r="F854" s="6" t="s">
        <v>375</v>
      </c>
      <c r="G854" s="6" t="s">
        <v>97</v>
      </c>
      <c r="H854" s="6" t="s">
        <v>183</v>
      </c>
      <c r="I854" s="6" t="s">
        <v>100</v>
      </c>
      <c r="J854" s="6" t="s">
        <v>371</v>
      </c>
      <c r="K854" s="6" t="s">
        <v>384</v>
      </c>
      <c r="L854" s="6" t="str">
        <f>IF(J854="כן", K854, VLOOKUP(LEFT(H854, 7), 'קטלוג תרחישים'!$A:$M, 13, FALSE))</f>
        <v>ב'</v>
      </c>
      <c r="M854" s="10"/>
      <c r="N854" s="23" t="s">
        <v>357</v>
      </c>
      <c r="O854" s="10" t="str" cm="1">
        <f t="array" ref="O854">_xlfn.IFS(N854="A","א'", N854="B", "ב'", N854= "C", "ג'")</f>
        <v>ב'</v>
      </c>
      <c r="P854" s="10">
        <f>IF(Table_2[[#This Row],[Correct_Answer]]=Table_2[[#This Row],[System_Recommendation]],1,0)</f>
        <v>1</v>
      </c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6" t="s">
        <v>210</v>
      </c>
      <c r="B855" s="6">
        <v>29</v>
      </c>
      <c r="C855" s="6" t="s">
        <v>372</v>
      </c>
      <c r="D855" s="6">
        <v>3</v>
      </c>
      <c r="E855" s="6" t="s">
        <v>98</v>
      </c>
      <c r="F855" s="6" t="s">
        <v>375</v>
      </c>
      <c r="G855" s="6" t="s">
        <v>97</v>
      </c>
      <c r="H855" s="6" t="s">
        <v>186</v>
      </c>
      <c r="I855" s="6" t="s">
        <v>91</v>
      </c>
      <c r="J855" s="6" t="s">
        <v>374</v>
      </c>
      <c r="K855" s="6" t="s">
        <v>385</v>
      </c>
      <c r="L855" s="6" t="str">
        <f>IF(J855="כן", K855, VLOOKUP(LEFT(H855, 7), 'קטלוג תרחישים'!$A:$M, 13, FALSE))</f>
        <v>ב'</v>
      </c>
      <c r="M855" s="10"/>
      <c r="N855" s="24" t="s">
        <v>358</v>
      </c>
      <c r="O855" s="10" t="str" cm="1">
        <f t="array" ref="O855">_xlfn.IFS(N855="A","א'", N855="B", "ב'", N855= "C", "ג'")</f>
        <v>ג'</v>
      </c>
      <c r="P855" s="10">
        <f>IF(Table_2[[#This Row],[Correct_Answer]]=Table_2[[#This Row],[System_Recommendation]],1,0)</f>
        <v>0</v>
      </c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6" t="s">
        <v>210</v>
      </c>
      <c r="B856" s="6">
        <v>30</v>
      </c>
      <c r="C856" s="6" t="s">
        <v>372</v>
      </c>
      <c r="D856" s="6">
        <v>3</v>
      </c>
      <c r="E856" s="6" t="s">
        <v>98</v>
      </c>
      <c r="F856" s="6" t="s">
        <v>375</v>
      </c>
      <c r="G856" s="6" t="s">
        <v>97</v>
      </c>
      <c r="H856" s="6" t="s">
        <v>185</v>
      </c>
      <c r="I856" s="6" t="s">
        <v>100</v>
      </c>
      <c r="J856" s="6" t="s">
        <v>371</v>
      </c>
      <c r="K856" s="6" t="s">
        <v>384</v>
      </c>
      <c r="L856" s="6" t="str">
        <f>IF(J856="כן", K856, VLOOKUP(LEFT(H856, 7), 'קטלוג תרחישים'!$A:$M, 13, FALSE))</f>
        <v>ב'</v>
      </c>
      <c r="M856" s="10"/>
      <c r="N856" s="23" t="s">
        <v>357</v>
      </c>
      <c r="O856" s="10" t="str" cm="1">
        <f t="array" ref="O856">_xlfn.IFS(N856="A","א'", N856="B", "ב'", N856= "C", "ג'")</f>
        <v>ב'</v>
      </c>
      <c r="P856" s="10">
        <f>IF(Table_2[[#This Row],[Correct_Answer]]=Table_2[[#This Row],[System_Recommendation]],1,0)</f>
        <v>1</v>
      </c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6" t="s">
        <v>210</v>
      </c>
      <c r="B857" s="6">
        <v>31</v>
      </c>
      <c r="C857" s="6" t="s">
        <v>372</v>
      </c>
      <c r="D857" s="6">
        <v>3</v>
      </c>
      <c r="E857" s="6" t="s">
        <v>98</v>
      </c>
      <c r="F857" s="6" t="s">
        <v>375</v>
      </c>
      <c r="G857" s="6" t="s">
        <v>97</v>
      </c>
      <c r="H857" s="6" t="s">
        <v>184</v>
      </c>
      <c r="I857" s="6" t="s">
        <v>91</v>
      </c>
      <c r="J857" s="6" t="s">
        <v>371</v>
      </c>
      <c r="K857" s="6" t="s">
        <v>385</v>
      </c>
      <c r="L857" s="6" t="str">
        <f>IF(J857="כן", K857, VLOOKUP(LEFT(H857, 7), 'קטלוג תרחישים'!$A:$M, 13, FALSE))</f>
        <v>ג</v>
      </c>
      <c r="M857" s="10"/>
      <c r="N857" s="24" t="s">
        <v>358</v>
      </c>
      <c r="O857" s="10" t="str" cm="1">
        <f t="array" ref="O857">_xlfn.IFS(N857="A","א'", N857="B", "ב'", N857= "C", "ג'")</f>
        <v>ג'</v>
      </c>
      <c r="P857" s="10">
        <f>IF(Table_2[[#This Row],[Correct_Answer]]=Table_2[[#This Row],[System_Recommendation]],1,0)</f>
        <v>1</v>
      </c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6" t="s">
        <v>210</v>
      </c>
      <c r="B858" s="6">
        <v>32</v>
      </c>
      <c r="C858" s="6" t="s">
        <v>372</v>
      </c>
      <c r="D858" s="6">
        <v>3</v>
      </c>
      <c r="E858" s="6" t="s">
        <v>98</v>
      </c>
      <c r="F858" s="6" t="s">
        <v>375</v>
      </c>
      <c r="G858" s="6" t="s">
        <v>97</v>
      </c>
      <c r="H858" s="6" t="s">
        <v>187</v>
      </c>
      <c r="I858" s="6" t="s">
        <v>100</v>
      </c>
      <c r="J858" s="6" t="s">
        <v>371</v>
      </c>
      <c r="K858" s="6" t="s">
        <v>383</v>
      </c>
      <c r="L858" s="6" t="str">
        <f>IF(J858="כן", K858, VLOOKUP(LEFT(H858, 7), 'קטלוג תרחישים'!$A:$M, 13, FALSE))</f>
        <v>א'</v>
      </c>
      <c r="M858" s="10"/>
      <c r="N858" s="23" t="s">
        <v>352</v>
      </c>
      <c r="O858" s="10" t="str" cm="1">
        <f t="array" ref="O858">_xlfn.IFS(N858="A","א'", N858="B", "ב'", N858= "C", "ג'")</f>
        <v>א'</v>
      </c>
      <c r="P858" s="10">
        <f>IF(Table_2[[#This Row],[Correct_Answer]]=Table_2[[#This Row],[System_Recommendation]],1,0)</f>
        <v>1</v>
      </c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6" t="s">
        <v>210</v>
      </c>
      <c r="B859" s="6">
        <v>33</v>
      </c>
      <c r="C859" s="6" t="s">
        <v>372</v>
      </c>
      <c r="D859" s="6">
        <v>3</v>
      </c>
      <c r="E859" s="6" t="s">
        <v>98</v>
      </c>
      <c r="F859" s="6" t="s">
        <v>375</v>
      </c>
      <c r="G859" s="6" t="s">
        <v>97</v>
      </c>
      <c r="H859" s="6" t="s">
        <v>188</v>
      </c>
      <c r="I859" s="6" t="s">
        <v>91</v>
      </c>
      <c r="J859" s="6" t="s">
        <v>371</v>
      </c>
      <c r="K859" s="6" t="s">
        <v>383</v>
      </c>
      <c r="L859" s="6" t="str">
        <f>IF(J859="כן", K859, VLOOKUP(LEFT(H859, 7), 'קטלוג תרחישים'!$A:$M, 13, FALSE))</f>
        <v>א'</v>
      </c>
      <c r="M859" s="10"/>
      <c r="N859" s="24" t="s">
        <v>352</v>
      </c>
      <c r="O859" s="10" t="str" cm="1">
        <f t="array" ref="O859">_xlfn.IFS(N859="A","א'", N859="B", "ב'", N859= "C", "ג'")</f>
        <v>א'</v>
      </c>
      <c r="P859" s="10">
        <f>IF(Table_2[[#This Row],[Correct_Answer]]=Table_2[[#This Row],[System_Recommendation]],1,0)</f>
        <v>1</v>
      </c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6" t="s">
        <v>211</v>
      </c>
      <c r="B860" s="6">
        <v>1</v>
      </c>
      <c r="C860" s="6" t="s">
        <v>370</v>
      </c>
      <c r="D860" s="6"/>
      <c r="E860" s="6" t="s">
        <v>98</v>
      </c>
      <c r="F860" s="6"/>
      <c r="G860" s="6"/>
      <c r="H860" s="8" t="s">
        <v>90</v>
      </c>
      <c r="I860" s="6" t="s">
        <v>91</v>
      </c>
      <c r="J860" s="6" t="s">
        <v>371</v>
      </c>
      <c r="K860" s="6" t="s">
        <v>385</v>
      </c>
      <c r="L860" s="6" t="str">
        <f>IF(J860="כן", K860, VLOOKUP(LEFT(H860, 7), 'קטלוג תרחישים'!$A:$M, 13, FALSE))</f>
        <v>ג</v>
      </c>
      <c r="M860" s="10"/>
      <c r="N860" s="23" t="s">
        <v>358</v>
      </c>
      <c r="O860" s="10" t="str" cm="1">
        <f t="array" ref="O860">_xlfn.IFS(N860="A","א'", N860="B", "ב'", N860= "C", "ג'")</f>
        <v>ג'</v>
      </c>
      <c r="P860" s="10">
        <f>IF(Table_2[[#This Row],[Correct_Answer]]=Table_2[[#This Row],[System_Recommendation]],1,0)</f>
        <v>1</v>
      </c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6" t="s">
        <v>211</v>
      </c>
      <c r="B861" s="6">
        <v>2</v>
      </c>
      <c r="C861" s="6" t="s">
        <v>370</v>
      </c>
      <c r="D861" s="6"/>
      <c r="E861" s="6" t="s">
        <v>98</v>
      </c>
      <c r="F861" s="6"/>
      <c r="G861" s="6"/>
      <c r="H861" s="8" t="s">
        <v>92</v>
      </c>
      <c r="I861" s="6" t="s">
        <v>91</v>
      </c>
      <c r="J861" s="6" t="s">
        <v>371</v>
      </c>
      <c r="K861" s="6" t="s">
        <v>385</v>
      </c>
      <c r="L861" s="6" t="str">
        <f>IF(J861="כן", K861, VLOOKUP(LEFT(H861, 7), 'קטלוג תרחישים'!$A:$M, 13, FALSE))</f>
        <v>ג</v>
      </c>
      <c r="M861" s="10"/>
      <c r="N861" s="24" t="s">
        <v>358</v>
      </c>
      <c r="O861" s="10" t="str" cm="1">
        <f t="array" ref="O861">_xlfn.IFS(N861="A","א'", N861="B", "ב'", N861= "C", "ג'")</f>
        <v>ג'</v>
      </c>
      <c r="P861" s="10">
        <f>IF(Table_2[[#This Row],[Correct_Answer]]=Table_2[[#This Row],[System_Recommendation]],1,0)</f>
        <v>1</v>
      </c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6" t="s">
        <v>211</v>
      </c>
      <c r="B862" s="6">
        <v>3</v>
      </c>
      <c r="C862" s="6" t="s">
        <v>370</v>
      </c>
      <c r="D862" s="6"/>
      <c r="E862" s="6" t="s">
        <v>105</v>
      </c>
      <c r="F862" s="6"/>
      <c r="G862" s="6"/>
      <c r="H862" s="8" t="s">
        <v>93</v>
      </c>
      <c r="I862" s="6" t="s">
        <v>91</v>
      </c>
      <c r="J862" s="6" t="s">
        <v>371</v>
      </c>
      <c r="K862" s="6" t="s">
        <v>385</v>
      </c>
      <c r="L862" s="6" t="str">
        <f>IF(J862="כן", K862, VLOOKUP(LEFT(H862, 7), 'קטלוג תרחישים'!$A:$M, 13, FALSE))</f>
        <v>ג</v>
      </c>
      <c r="M862" s="10"/>
      <c r="N862" s="23" t="s">
        <v>358</v>
      </c>
      <c r="O862" s="10" t="str" cm="1">
        <f t="array" ref="O862">_xlfn.IFS(N862="A","א'", N862="B", "ב'", N862= "C", "ג'")</f>
        <v>ג'</v>
      </c>
      <c r="P862" s="10">
        <f>IF(Table_2[[#This Row],[Correct_Answer]]=Table_2[[#This Row],[System_Recommendation]],1,0)</f>
        <v>1</v>
      </c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6" t="s">
        <v>211</v>
      </c>
      <c r="B863" s="6">
        <v>4</v>
      </c>
      <c r="C863" s="6" t="s">
        <v>370</v>
      </c>
      <c r="D863" s="6"/>
      <c r="E863" s="6" t="s">
        <v>105</v>
      </c>
      <c r="F863" s="6"/>
      <c r="G863" s="6"/>
      <c r="H863" s="8" t="s">
        <v>94</v>
      </c>
      <c r="I863" s="6" t="s">
        <v>91</v>
      </c>
      <c r="J863" s="6" t="s">
        <v>371</v>
      </c>
      <c r="K863" s="6" t="s">
        <v>384</v>
      </c>
      <c r="L863" s="6" t="str">
        <f>IF(J863="כן", K863, VLOOKUP(LEFT(H863, 7), 'קטלוג תרחישים'!$A:$M, 13, FALSE))</f>
        <v>ב'</v>
      </c>
      <c r="M863" s="10"/>
      <c r="N863" s="24" t="s">
        <v>357</v>
      </c>
      <c r="O863" s="10" t="str" cm="1">
        <f t="array" ref="O863">_xlfn.IFS(N863="A","א'", N863="B", "ב'", N863= "C", "ג'")</f>
        <v>ב'</v>
      </c>
      <c r="P863" s="10">
        <f>IF(Table_2[[#This Row],[Correct_Answer]]=Table_2[[#This Row],[System_Recommendation]],1,0)</f>
        <v>1</v>
      </c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6" t="s">
        <v>211</v>
      </c>
      <c r="B864" s="6">
        <v>5</v>
      </c>
      <c r="C864" s="6" t="s">
        <v>370</v>
      </c>
      <c r="D864" s="6"/>
      <c r="E864" s="6" t="s">
        <v>111</v>
      </c>
      <c r="F864" s="6"/>
      <c r="G864" s="6"/>
      <c r="H864" s="8" t="s">
        <v>95</v>
      </c>
      <c r="I864" s="6" t="s">
        <v>91</v>
      </c>
      <c r="J864" s="6" t="s">
        <v>371</v>
      </c>
      <c r="K864" s="6" t="s">
        <v>383</v>
      </c>
      <c r="L864" s="6" t="str">
        <f>IF(J864="כן", K864, VLOOKUP(LEFT(H864, 7), 'קטלוג תרחישים'!$A:$M, 13, FALSE))</f>
        <v>א'</v>
      </c>
      <c r="M864" s="10"/>
      <c r="N864" s="23" t="s">
        <v>352</v>
      </c>
      <c r="O864" s="10" t="str" cm="1">
        <f t="array" ref="O864">_xlfn.IFS(N864="A","א'", N864="B", "ב'", N864= "C", "ג'")</f>
        <v>א'</v>
      </c>
      <c r="P864" s="10">
        <f>IF(Table_2[[#This Row],[Correct_Answer]]=Table_2[[#This Row],[System_Recommendation]],1,0)</f>
        <v>1</v>
      </c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6" t="s">
        <v>211</v>
      </c>
      <c r="B865" s="6">
        <v>6</v>
      </c>
      <c r="C865" s="6" t="s">
        <v>370</v>
      </c>
      <c r="D865" s="6"/>
      <c r="E865" s="6" t="s">
        <v>111</v>
      </c>
      <c r="F865" s="6"/>
      <c r="G865" s="6"/>
      <c r="H865" s="8" t="s">
        <v>96</v>
      </c>
      <c r="I865" s="6" t="s">
        <v>91</v>
      </c>
      <c r="J865" s="6" t="s">
        <v>371</v>
      </c>
      <c r="K865" s="6" t="s">
        <v>385</v>
      </c>
      <c r="L865" s="6" t="str">
        <f>IF(J865="כן", K865, VLOOKUP(LEFT(H865, 7), 'קטלוג תרחישים'!$A:$M, 13, FALSE))</f>
        <v>ג</v>
      </c>
      <c r="M865" s="10"/>
      <c r="N865" s="24" t="s">
        <v>358</v>
      </c>
      <c r="O865" s="10" t="str" cm="1">
        <f t="array" ref="O865">_xlfn.IFS(N865="A","א'", N865="B", "ב'", N865= "C", "ג'")</f>
        <v>ג'</v>
      </c>
      <c r="P865" s="10">
        <f>IF(Table_2[[#This Row],[Correct_Answer]]=Table_2[[#This Row],[System_Recommendation]],1,0)</f>
        <v>1</v>
      </c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6" t="s">
        <v>211</v>
      </c>
      <c r="B866" s="6">
        <v>7</v>
      </c>
      <c r="C866" s="6" t="s">
        <v>372</v>
      </c>
      <c r="D866" s="6">
        <v>1</v>
      </c>
      <c r="E866" s="6" t="s">
        <v>111</v>
      </c>
      <c r="F866" s="6" t="s">
        <v>373</v>
      </c>
      <c r="G866" s="6" t="s">
        <v>97</v>
      </c>
      <c r="H866" s="6" t="s">
        <v>183</v>
      </c>
      <c r="I866" s="6" t="s">
        <v>100</v>
      </c>
      <c r="J866" s="6" t="s">
        <v>371</v>
      </c>
      <c r="K866" s="6" t="s">
        <v>385</v>
      </c>
      <c r="L866" s="6" t="str">
        <f>IF(J866="כן", K866, VLOOKUP(LEFT(H866, 7), 'קטלוג תרחישים'!$A:$M, 13, FALSE))</f>
        <v>ג</v>
      </c>
      <c r="M866" s="10"/>
      <c r="N866" s="23" t="s">
        <v>358</v>
      </c>
      <c r="O866" s="10" t="str" cm="1">
        <f t="array" ref="O866">_xlfn.IFS(N866="A","א'", N866="B", "ב'", N866= "C", "ג'")</f>
        <v>ג'</v>
      </c>
      <c r="P866" s="10">
        <f>IF(Table_2[[#This Row],[Correct_Answer]]=Table_2[[#This Row],[System_Recommendation]],1,0)</f>
        <v>1</v>
      </c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6" t="s">
        <v>211</v>
      </c>
      <c r="B867" s="6">
        <v>8</v>
      </c>
      <c r="C867" s="6" t="s">
        <v>372</v>
      </c>
      <c r="D867" s="6">
        <v>1</v>
      </c>
      <c r="E867" s="6" t="s">
        <v>111</v>
      </c>
      <c r="F867" s="6" t="s">
        <v>373</v>
      </c>
      <c r="G867" s="6" t="s">
        <v>97</v>
      </c>
      <c r="H867" s="6" t="s">
        <v>180</v>
      </c>
      <c r="I867" s="6" t="s">
        <v>91</v>
      </c>
      <c r="J867" s="6" t="s">
        <v>371</v>
      </c>
      <c r="K867" s="6" t="s">
        <v>384</v>
      </c>
      <c r="L867" s="6" t="str">
        <f>IF(J867="כן", K867, VLOOKUP(LEFT(H867, 7), 'קטלוג תרחישים'!$A:$M, 13, FALSE))</f>
        <v>ב'</v>
      </c>
      <c r="M867" s="10"/>
      <c r="N867" s="24" t="s">
        <v>357</v>
      </c>
      <c r="O867" s="10" t="str" cm="1">
        <f t="array" ref="O867">_xlfn.IFS(N867="A","א'", N867="B", "ב'", N867= "C", "ג'")</f>
        <v>ב'</v>
      </c>
      <c r="P867" s="10">
        <f>IF(Table_2[[#This Row],[Correct_Answer]]=Table_2[[#This Row],[System_Recommendation]],1,0)</f>
        <v>1</v>
      </c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6" t="s">
        <v>211</v>
      </c>
      <c r="B868" s="6">
        <v>9</v>
      </c>
      <c r="C868" s="6" t="s">
        <v>372</v>
      </c>
      <c r="D868" s="6">
        <v>1</v>
      </c>
      <c r="E868" s="6" t="s">
        <v>111</v>
      </c>
      <c r="F868" s="6" t="s">
        <v>373</v>
      </c>
      <c r="G868" s="6" t="s">
        <v>97</v>
      </c>
      <c r="H868" s="6" t="s">
        <v>181</v>
      </c>
      <c r="I868" s="6" t="s">
        <v>100</v>
      </c>
      <c r="J868" s="6" t="s">
        <v>374</v>
      </c>
      <c r="K868" s="6" t="s">
        <v>384</v>
      </c>
      <c r="L868" s="6" t="str">
        <f>IF(J868="כן", K868, VLOOKUP(LEFT(H868, 7), 'קטלוג תרחישים'!$A:$M, 13, FALSE))</f>
        <v>א'</v>
      </c>
      <c r="M868" s="10"/>
      <c r="N868" s="23" t="s">
        <v>357</v>
      </c>
      <c r="O868" s="10" t="str" cm="1">
        <f t="array" ref="O868">_xlfn.IFS(N868="A","א'", N868="B", "ב'", N868= "C", "ג'")</f>
        <v>ב'</v>
      </c>
      <c r="P868" s="10">
        <f>IF(Table_2[[#This Row],[Correct_Answer]]=Table_2[[#This Row],[System_Recommendation]],1,0)</f>
        <v>0</v>
      </c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6" t="s">
        <v>211</v>
      </c>
      <c r="B869" s="6">
        <v>10</v>
      </c>
      <c r="C869" s="6" t="s">
        <v>372</v>
      </c>
      <c r="D869" s="6">
        <v>1</v>
      </c>
      <c r="E869" s="6" t="s">
        <v>111</v>
      </c>
      <c r="F869" s="6" t="s">
        <v>373</v>
      </c>
      <c r="G869" s="6" t="s">
        <v>97</v>
      </c>
      <c r="H869" s="6" t="s">
        <v>182</v>
      </c>
      <c r="I869" s="6" t="s">
        <v>91</v>
      </c>
      <c r="J869" s="6" t="s">
        <v>371</v>
      </c>
      <c r="K869" s="6" t="s">
        <v>384</v>
      </c>
      <c r="L869" s="6" t="str">
        <f>IF(J869="כן", K869, VLOOKUP(LEFT(H869, 7), 'קטלוג תרחישים'!$A:$M, 13, FALSE))</f>
        <v>ב'</v>
      </c>
      <c r="M869" s="10"/>
      <c r="N869" s="24" t="s">
        <v>357</v>
      </c>
      <c r="O869" s="10" t="str" cm="1">
        <f t="array" ref="O869">_xlfn.IFS(N869="A","א'", N869="B", "ב'", N869= "C", "ג'")</f>
        <v>ב'</v>
      </c>
      <c r="P869" s="10">
        <f>IF(Table_2[[#This Row],[Correct_Answer]]=Table_2[[#This Row],[System_Recommendation]],1,0)</f>
        <v>1</v>
      </c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6" t="s">
        <v>211</v>
      </c>
      <c r="B870" s="6">
        <v>11</v>
      </c>
      <c r="C870" s="6" t="s">
        <v>372</v>
      </c>
      <c r="D870" s="6">
        <v>1</v>
      </c>
      <c r="E870" s="6" t="s">
        <v>111</v>
      </c>
      <c r="F870" s="6" t="s">
        <v>373</v>
      </c>
      <c r="G870" s="6" t="s">
        <v>97</v>
      </c>
      <c r="H870" s="6" t="s">
        <v>179</v>
      </c>
      <c r="I870" s="6" t="s">
        <v>100</v>
      </c>
      <c r="J870" s="6" t="s">
        <v>371</v>
      </c>
      <c r="K870" s="6" t="s">
        <v>383</v>
      </c>
      <c r="L870" s="6" t="str">
        <f>IF(J870="כן", K870, VLOOKUP(LEFT(H870, 7), 'קטלוג תרחישים'!$A:$M, 13, FALSE))</f>
        <v>א'</v>
      </c>
      <c r="M870" s="10"/>
      <c r="N870" s="23" t="s">
        <v>352</v>
      </c>
      <c r="O870" s="10" t="str" cm="1">
        <f t="array" ref="O870">_xlfn.IFS(N870="A","א'", N870="B", "ב'", N870= "C", "ג'")</f>
        <v>א'</v>
      </c>
      <c r="P870" s="10">
        <f>IF(Table_2[[#This Row],[Correct_Answer]]=Table_2[[#This Row],[System_Recommendation]],1,0)</f>
        <v>1</v>
      </c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6" t="s">
        <v>211</v>
      </c>
      <c r="B871" s="6">
        <v>12</v>
      </c>
      <c r="C871" s="6" t="s">
        <v>372</v>
      </c>
      <c r="D871" s="6">
        <v>2</v>
      </c>
      <c r="E871" s="6" t="s">
        <v>98</v>
      </c>
      <c r="F871" s="6" t="s">
        <v>373</v>
      </c>
      <c r="G871" s="6" t="s">
        <v>97</v>
      </c>
      <c r="H871" s="6" t="s">
        <v>186</v>
      </c>
      <c r="I871" s="6" t="s">
        <v>91</v>
      </c>
      <c r="J871" s="6" t="s">
        <v>371</v>
      </c>
      <c r="K871" s="6" t="s">
        <v>385</v>
      </c>
      <c r="L871" s="6" t="str">
        <f>IF(J871="כן", K871, VLOOKUP(LEFT(H871, 7), 'קטלוג תרחישים'!$A:$M, 13, FALSE))</f>
        <v>ג</v>
      </c>
      <c r="M871" s="10"/>
      <c r="N871" s="24" t="s">
        <v>358</v>
      </c>
      <c r="O871" s="10" t="str" cm="1">
        <f t="array" ref="O871">_xlfn.IFS(N871="A","א'", N871="B", "ב'", N871= "C", "ג'")</f>
        <v>ג'</v>
      </c>
      <c r="P871" s="10">
        <f>IF(Table_2[[#This Row],[Correct_Answer]]=Table_2[[#This Row],[System_Recommendation]],1,0)</f>
        <v>1</v>
      </c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6" t="s">
        <v>211</v>
      </c>
      <c r="B872" s="6">
        <v>13</v>
      </c>
      <c r="C872" s="6" t="s">
        <v>372</v>
      </c>
      <c r="D872" s="6">
        <v>2</v>
      </c>
      <c r="E872" s="6" t="s">
        <v>98</v>
      </c>
      <c r="F872" s="6" t="s">
        <v>373</v>
      </c>
      <c r="G872" s="6" t="s">
        <v>97</v>
      </c>
      <c r="H872" s="6" t="s">
        <v>187</v>
      </c>
      <c r="I872" s="6" t="s">
        <v>100</v>
      </c>
      <c r="J872" s="6" t="s">
        <v>371</v>
      </c>
      <c r="K872" s="6" t="s">
        <v>384</v>
      </c>
      <c r="L872" s="6" t="str">
        <f>IF(J872="כן", K872, VLOOKUP(LEFT(H872, 7), 'קטלוג תרחישים'!$A:$M, 13, FALSE))</f>
        <v>ב'</v>
      </c>
      <c r="M872" s="10"/>
      <c r="N872" s="23" t="s">
        <v>357</v>
      </c>
      <c r="O872" s="10" t="str" cm="1">
        <f t="array" ref="O872">_xlfn.IFS(N872="A","א'", N872="B", "ב'", N872= "C", "ג'")</f>
        <v>ב'</v>
      </c>
      <c r="P872" s="10">
        <f>IF(Table_2[[#This Row],[Correct_Answer]]=Table_2[[#This Row],[System_Recommendation]],1,0)</f>
        <v>1</v>
      </c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6" t="s">
        <v>211</v>
      </c>
      <c r="B873" s="6">
        <v>14</v>
      </c>
      <c r="C873" s="6" t="s">
        <v>372</v>
      </c>
      <c r="D873" s="6">
        <v>2</v>
      </c>
      <c r="E873" s="6" t="s">
        <v>98</v>
      </c>
      <c r="F873" s="6" t="s">
        <v>373</v>
      </c>
      <c r="G873" s="6" t="s">
        <v>97</v>
      </c>
      <c r="H873" s="6" t="s">
        <v>184</v>
      </c>
      <c r="I873" s="6" t="s">
        <v>91</v>
      </c>
      <c r="J873" s="6" t="s">
        <v>371</v>
      </c>
      <c r="K873" s="6" t="s">
        <v>385</v>
      </c>
      <c r="L873" s="6" t="str">
        <f>IF(J873="כן", K873, VLOOKUP(LEFT(H873, 7), 'קטלוג תרחישים'!$A:$M, 13, FALSE))</f>
        <v>ג</v>
      </c>
      <c r="M873" s="10"/>
      <c r="N873" s="24" t="s">
        <v>358</v>
      </c>
      <c r="O873" s="10" t="str" cm="1">
        <f t="array" ref="O873">_xlfn.IFS(N873="A","א'", N873="B", "ב'", N873= "C", "ג'")</f>
        <v>ג'</v>
      </c>
      <c r="P873" s="10">
        <f>IF(Table_2[[#This Row],[Correct_Answer]]=Table_2[[#This Row],[System_Recommendation]],1,0)</f>
        <v>1</v>
      </c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6" t="s">
        <v>211</v>
      </c>
      <c r="B874" s="6">
        <v>15</v>
      </c>
      <c r="C874" s="6" t="s">
        <v>372</v>
      </c>
      <c r="D874" s="6">
        <v>2</v>
      </c>
      <c r="E874" s="6" t="s">
        <v>98</v>
      </c>
      <c r="F874" s="6" t="s">
        <v>373</v>
      </c>
      <c r="G874" s="6" t="s">
        <v>97</v>
      </c>
      <c r="H874" s="6" t="s">
        <v>185</v>
      </c>
      <c r="I874" s="6" t="s">
        <v>100</v>
      </c>
      <c r="J874" s="6" t="s">
        <v>374</v>
      </c>
      <c r="K874" s="6" t="s">
        <v>383</v>
      </c>
      <c r="L874" s="6" t="str">
        <f>IF(J874="כן", K874, VLOOKUP(LEFT(H874, 7), 'קטלוג תרחישים'!$A:$M, 13, FALSE))</f>
        <v>ג'</v>
      </c>
      <c r="M874" s="10"/>
      <c r="N874" s="23" t="s">
        <v>352</v>
      </c>
      <c r="O874" s="10" t="str" cm="1">
        <f t="array" ref="O874">_xlfn.IFS(N874="A","א'", N874="B", "ב'", N874= "C", "ג'")</f>
        <v>א'</v>
      </c>
      <c r="P874" s="10">
        <f>IF(Table_2[[#This Row],[Correct_Answer]]=Table_2[[#This Row],[System_Recommendation]],1,0)</f>
        <v>0</v>
      </c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6" t="s">
        <v>211</v>
      </c>
      <c r="B875" s="6">
        <v>16</v>
      </c>
      <c r="C875" s="6" t="s">
        <v>372</v>
      </c>
      <c r="D875" s="6">
        <v>2</v>
      </c>
      <c r="E875" s="6" t="s">
        <v>98</v>
      </c>
      <c r="F875" s="6" t="s">
        <v>373</v>
      </c>
      <c r="G875" s="6" t="s">
        <v>97</v>
      </c>
      <c r="H875" s="6" t="s">
        <v>188</v>
      </c>
      <c r="I875" s="6" t="s">
        <v>91</v>
      </c>
      <c r="J875" s="6" t="s">
        <v>371</v>
      </c>
      <c r="K875" s="6" t="s">
        <v>385</v>
      </c>
      <c r="L875" s="6" t="str">
        <f>IF(J875="כן", K875, VLOOKUP(LEFT(H875, 7), 'קטלוג תרחישים'!$A:$M, 13, FALSE))</f>
        <v>ג</v>
      </c>
      <c r="M875" s="10"/>
      <c r="N875" s="24" t="s">
        <v>358</v>
      </c>
      <c r="O875" s="10" t="str" cm="1">
        <f t="array" ref="O875">_xlfn.IFS(N875="A","א'", N875="B", "ב'", N875= "C", "ג'")</f>
        <v>ג'</v>
      </c>
      <c r="P875" s="10">
        <f>IF(Table_2[[#This Row],[Correct_Answer]]=Table_2[[#This Row],[System_Recommendation]],1,0)</f>
        <v>1</v>
      </c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6" t="s">
        <v>211</v>
      </c>
      <c r="B876" s="6">
        <v>17</v>
      </c>
      <c r="C876" s="6" t="s">
        <v>372</v>
      </c>
      <c r="D876" s="6">
        <v>3</v>
      </c>
      <c r="E876" s="6" t="s">
        <v>105</v>
      </c>
      <c r="F876" s="6" t="s">
        <v>373</v>
      </c>
      <c r="G876" s="6" t="s">
        <v>97</v>
      </c>
      <c r="H876" s="6" t="s">
        <v>193</v>
      </c>
      <c r="I876" s="6" t="s">
        <v>91</v>
      </c>
      <c r="J876" s="6" t="s">
        <v>371</v>
      </c>
      <c r="K876" s="6" t="s">
        <v>385</v>
      </c>
      <c r="L876" s="6" t="str">
        <f>IF(J876="כן", K876, VLOOKUP(LEFT(H876, 7), 'קטלוג תרחישים'!$A:$M, 13, FALSE))</f>
        <v>ג</v>
      </c>
      <c r="M876" s="10"/>
      <c r="N876" s="23" t="s">
        <v>358</v>
      </c>
      <c r="O876" s="10" t="str" cm="1">
        <f t="array" ref="O876">_xlfn.IFS(N876="A","א'", N876="B", "ב'", N876= "C", "ג'")</f>
        <v>ג'</v>
      </c>
      <c r="P876" s="10">
        <f>IF(Table_2[[#This Row],[Correct_Answer]]=Table_2[[#This Row],[System_Recommendation]],1,0)</f>
        <v>1</v>
      </c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6" t="s">
        <v>211</v>
      </c>
      <c r="B877" s="6">
        <v>18</v>
      </c>
      <c r="C877" s="6" t="s">
        <v>372</v>
      </c>
      <c r="D877" s="6">
        <v>3</v>
      </c>
      <c r="E877" s="6" t="s">
        <v>105</v>
      </c>
      <c r="F877" s="6" t="s">
        <v>373</v>
      </c>
      <c r="G877" s="6" t="s">
        <v>97</v>
      </c>
      <c r="H877" s="6" t="s">
        <v>192</v>
      </c>
      <c r="I877" s="6" t="s">
        <v>100</v>
      </c>
      <c r="J877" s="6" t="s">
        <v>371</v>
      </c>
      <c r="K877" s="6" t="s">
        <v>384</v>
      </c>
      <c r="L877" s="6" t="str">
        <f>IF(J877="כן", K877, VLOOKUP(LEFT(H877, 7), 'קטלוג תרחישים'!$A:$M, 13, FALSE))</f>
        <v>ב'</v>
      </c>
      <c r="M877" s="10"/>
      <c r="N877" s="24" t="s">
        <v>357</v>
      </c>
      <c r="O877" s="10" t="str" cm="1">
        <f t="array" ref="O877">_xlfn.IFS(N877="A","א'", N877="B", "ב'", N877= "C", "ג'")</f>
        <v>ב'</v>
      </c>
      <c r="P877" s="10">
        <f>IF(Table_2[[#This Row],[Correct_Answer]]=Table_2[[#This Row],[System_Recommendation]],1,0)</f>
        <v>1</v>
      </c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6" t="s">
        <v>211</v>
      </c>
      <c r="B878" s="6">
        <v>19</v>
      </c>
      <c r="C878" s="6" t="s">
        <v>372</v>
      </c>
      <c r="D878" s="6">
        <v>3</v>
      </c>
      <c r="E878" s="6" t="s">
        <v>105</v>
      </c>
      <c r="F878" s="6" t="s">
        <v>373</v>
      </c>
      <c r="G878" s="6" t="s">
        <v>97</v>
      </c>
      <c r="H878" s="6" t="s">
        <v>189</v>
      </c>
      <c r="I878" s="6" t="s">
        <v>91</v>
      </c>
      <c r="J878" s="6" t="s">
        <v>371</v>
      </c>
      <c r="K878" s="6" t="s">
        <v>383</v>
      </c>
      <c r="L878" s="6" t="str">
        <f>IF(J878="כן", K878, VLOOKUP(LEFT(H878, 7), 'קטלוג תרחישים'!$A:$M, 13, FALSE))</f>
        <v>א'</v>
      </c>
      <c r="M878" s="10"/>
      <c r="N878" s="23" t="s">
        <v>352</v>
      </c>
      <c r="O878" s="10" t="str" cm="1">
        <f t="array" ref="O878">_xlfn.IFS(N878="A","א'", N878="B", "ב'", N878= "C", "ג'")</f>
        <v>א'</v>
      </c>
      <c r="P878" s="10">
        <f>IF(Table_2[[#This Row],[Correct_Answer]]=Table_2[[#This Row],[System_Recommendation]],1,0)</f>
        <v>1</v>
      </c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6" t="s">
        <v>211</v>
      </c>
      <c r="B879" s="6">
        <v>20</v>
      </c>
      <c r="C879" s="6" t="s">
        <v>372</v>
      </c>
      <c r="D879" s="6">
        <v>3</v>
      </c>
      <c r="E879" s="6" t="s">
        <v>105</v>
      </c>
      <c r="F879" s="6" t="s">
        <v>373</v>
      </c>
      <c r="G879" s="6" t="s">
        <v>97</v>
      </c>
      <c r="H879" s="6" t="s">
        <v>190</v>
      </c>
      <c r="I879" s="6" t="s">
        <v>100</v>
      </c>
      <c r="J879" s="6" t="s">
        <v>374</v>
      </c>
      <c r="K879" s="6" t="s">
        <v>385</v>
      </c>
      <c r="L879" s="6" t="str">
        <f>IF(J879="כן", K879, VLOOKUP(LEFT(H879, 7), 'קטלוג תרחישים'!$A:$M, 13, FALSE))</f>
        <v>ב'</v>
      </c>
      <c r="M879" s="10"/>
      <c r="N879" s="24" t="s">
        <v>358</v>
      </c>
      <c r="O879" s="10" t="str" cm="1">
        <f t="array" ref="O879">_xlfn.IFS(N879="A","א'", N879="B", "ב'", N879= "C", "ג'")</f>
        <v>ג'</v>
      </c>
      <c r="P879" s="10">
        <f>IF(Table_2[[#This Row],[Correct_Answer]]=Table_2[[#This Row],[System_Recommendation]],1,0)</f>
        <v>0</v>
      </c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6" t="s">
        <v>211</v>
      </c>
      <c r="B880" s="6">
        <v>21</v>
      </c>
      <c r="C880" s="6" t="s">
        <v>372</v>
      </c>
      <c r="D880" s="6">
        <v>3</v>
      </c>
      <c r="E880" s="6" t="s">
        <v>105</v>
      </c>
      <c r="F880" s="6" t="s">
        <v>373</v>
      </c>
      <c r="G880" s="6" t="s">
        <v>97</v>
      </c>
      <c r="H880" s="6" t="s">
        <v>191</v>
      </c>
      <c r="I880" s="6" t="s">
        <v>91</v>
      </c>
      <c r="J880" s="6" t="s">
        <v>371</v>
      </c>
      <c r="K880" s="6" t="s">
        <v>384</v>
      </c>
      <c r="L880" s="6" t="str">
        <f>IF(J880="כן", K880, VLOOKUP(LEFT(H880, 7), 'קטלוג תרחישים'!$A:$M, 13, FALSE))</f>
        <v>ב'</v>
      </c>
      <c r="M880" s="10"/>
      <c r="N880" s="23" t="s">
        <v>357</v>
      </c>
      <c r="O880" s="10" t="str" cm="1">
        <f t="array" ref="O880">_xlfn.IFS(N880="A","א'", N880="B", "ב'", N880= "C", "ג'")</f>
        <v>ב'</v>
      </c>
      <c r="P880" s="10">
        <f>IF(Table_2[[#This Row],[Correct_Answer]]=Table_2[[#This Row],[System_Recommendation]],1,0)</f>
        <v>1</v>
      </c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6" t="s">
        <v>211</v>
      </c>
      <c r="B881" s="6">
        <v>22</v>
      </c>
      <c r="C881" s="6" t="s">
        <v>372</v>
      </c>
      <c r="D881" s="6">
        <v>1</v>
      </c>
      <c r="E881" s="6" t="s">
        <v>98</v>
      </c>
      <c r="F881" s="6" t="s">
        <v>375</v>
      </c>
      <c r="G881" s="6" t="s">
        <v>117</v>
      </c>
      <c r="H881" s="6" t="s">
        <v>196</v>
      </c>
      <c r="I881" s="6" t="s">
        <v>91</v>
      </c>
      <c r="J881" s="6" t="s">
        <v>371</v>
      </c>
      <c r="K881" s="6" t="s">
        <v>385</v>
      </c>
      <c r="L881" s="6" t="str">
        <f>IF(J881="כן", K881, VLOOKUP(LEFT(H881, 7), 'קטלוג תרחישים'!$A:$M, 13, FALSE))</f>
        <v>ג</v>
      </c>
      <c r="M881" s="10"/>
      <c r="N881" s="24" t="s">
        <v>358</v>
      </c>
      <c r="O881" s="10" t="str" cm="1">
        <f t="array" ref="O881">_xlfn.IFS(N881="A","א'", N881="B", "ב'", N881= "C", "ג'")</f>
        <v>ג'</v>
      </c>
      <c r="P881" s="10">
        <f>IF(Table_2[[#This Row],[Correct_Answer]]=Table_2[[#This Row],[System_Recommendation]],1,0)</f>
        <v>1</v>
      </c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6" t="s">
        <v>211</v>
      </c>
      <c r="B882" s="6">
        <v>23</v>
      </c>
      <c r="C882" s="6" t="s">
        <v>372</v>
      </c>
      <c r="D882" s="6">
        <v>1</v>
      </c>
      <c r="E882" s="6" t="s">
        <v>98</v>
      </c>
      <c r="F882" s="6" t="s">
        <v>375</v>
      </c>
      <c r="G882" s="6" t="s">
        <v>117</v>
      </c>
      <c r="H882" s="6" t="s">
        <v>195</v>
      </c>
      <c r="I882" s="6" t="s">
        <v>100</v>
      </c>
      <c r="J882" s="6" t="s">
        <v>374</v>
      </c>
      <c r="K882" s="6" t="s">
        <v>385</v>
      </c>
      <c r="L882" s="6" t="str">
        <f>IF(J882="כן", K882, VLOOKUP(LEFT(H882, 7), 'קטלוג תרחישים'!$A:$M, 13, FALSE))</f>
        <v>ב'</v>
      </c>
      <c r="M882" s="10"/>
      <c r="N882" s="23" t="s">
        <v>358</v>
      </c>
      <c r="O882" s="10" t="str" cm="1">
        <f t="array" ref="O882">_xlfn.IFS(N882="A","א'", N882="B", "ב'", N882= "C", "ג'")</f>
        <v>ג'</v>
      </c>
      <c r="P882" s="10">
        <f>IF(Table_2[[#This Row],[Correct_Answer]]=Table_2[[#This Row],[System_Recommendation]],1,0)</f>
        <v>0</v>
      </c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6" t="s">
        <v>211</v>
      </c>
      <c r="B883" s="6">
        <v>24</v>
      </c>
      <c r="C883" s="6" t="s">
        <v>372</v>
      </c>
      <c r="D883" s="6">
        <v>1</v>
      </c>
      <c r="E883" s="6" t="s">
        <v>98</v>
      </c>
      <c r="F883" s="6" t="s">
        <v>375</v>
      </c>
      <c r="G883" s="6" t="s">
        <v>117</v>
      </c>
      <c r="H883" s="6" t="s">
        <v>194</v>
      </c>
      <c r="I883" s="6" t="s">
        <v>91</v>
      </c>
      <c r="J883" s="6" t="s">
        <v>374</v>
      </c>
      <c r="K883" s="6" t="s">
        <v>384</v>
      </c>
      <c r="L883" s="6" t="str">
        <f>IF(J883="כן", K883, VLOOKUP(LEFT(H883, 7), 'קטלוג תרחישים'!$A:$M, 13, FALSE))</f>
        <v>ב'</v>
      </c>
      <c r="M883" s="10"/>
      <c r="N883" s="24" t="s">
        <v>357</v>
      </c>
      <c r="O883" s="10" t="str" cm="1">
        <f t="array" ref="O883">_xlfn.IFS(N883="A","א'", N883="B", "ב'", N883= "C", "ג'")</f>
        <v>ב'</v>
      </c>
      <c r="P883" s="10">
        <f>IF(Table_2[[#This Row],[Correct_Answer]]=Table_2[[#This Row],[System_Recommendation]],1,0)</f>
        <v>1</v>
      </c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6" t="s">
        <v>211</v>
      </c>
      <c r="B884" s="6">
        <v>25</v>
      </c>
      <c r="C884" s="6" t="s">
        <v>372</v>
      </c>
      <c r="D884" s="6">
        <v>1</v>
      </c>
      <c r="E884" s="6" t="s">
        <v>98</v>
      </c>
      <c r="F884" s="6" t="s">
        <v>375</v>
      </c>
      <c r="G884" s="6" t="s">
        <v>117</v>
      </c>
      <c r="H884" s="6" t="s">
        <v>197</v>
      </c>
      <c r="I884" s="6" t="s">
        <v>100</v>
      </c>
      <c r="J884" s="6" t="s">
        <v>371</v>
      </c>
      <c r="K884" s="6" t="s">
        <v>383</v>
      </c>
      <c r="L884" s="6" t="str">
        <f>IF(J884="כן", K884, VLOOKUP(LEFT(H884, 7), 'קטלוג תרחישים'!$A:$M, 13, FALSE))</f>
        <v>א'</v>
      </c>
      <c r="M884" s="10"/>
      <c r="N884" s="23" t="s">
        <v>352</v>
      </c>
      <c r="O884" s="10" t="str" cm="1">
        <f t="array" ref="O884">_xlfn.IFS(N884="A","א'", N884="B", "ב'", N884= "C", "ג'")</f>
        <v>א'</v>
      </c>
      <c r="P884" s="10">
        <f>IF(Table_2[[#This Row],[Correct_Answer]]=Table_2[[#This Row],[System_Recommendation]],1,0)</f>
        <v>1</v>
      </c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6" t="s">
        <v>211</v>
      </c>
      <c r="B885" s="6">
        <v>26</v>
      </c>
      <c r="C885" s="6" t="s">
        <v>372</v>
      </c>
      <c r="D885" s="6">
        <v>2</v>
      </c>
      <c r="E885" s="6" t="s">
        <v>105</v>
      </c>
      <c r="F885" s="6" t="s">
        <v>375</v>
      </c>
      <c r="G885" s="6" t="s">
        <v>117</v>
      </c>
      <c r="H885" s="6" t="s">
        <v>198</v>
      </c>
      <c r="I885" s="6" t="s">
        <v>91</v>
      </c>
      <c r="J885" s="6" t="s">
        <v>374</v>
      </c>
      <c r="K885" s="6" t="s">
        <v>383</v>
      </c>
      <c r="L885" s="6" t="str">
        <f>IF(J885="כן", K885, VLOOKUP(LEFT(H885, 7), 'קטלוג תרחישים'!$A:$M, 13, FALSE))</f>
        <v>א'</v>
      </c>
      <c r="M885" s="10"/>
      <c r="N885" s="24" t="s">
        <v>352</v>
      </c>
      <c r="O885" s="10" t="str" cm="1">
        <f t="array" ref="O885">_xlfn.IFS(N885="A","א'", N885="B", "ב'", N885= "C", "ג'")</f>
        <v>א'</v>
      </c>
      <c r="P885" s="10">
        <f>IF(Table_2[[#This Row],[Correct_Answer]]=Table_2[[#This Row],[System_Recommendation]],1,0)</f>
        <v>1</v>
      </c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6" t="s">
        <v>211</v>
      </c>
      <c r="B886" s="6">
        <v>27</v>
      </c>
      <c r="C886" s="6" t="s">
        <v>372</v>
      </c>
      <c r="D886" s="6">
        <v>2</v>
      </c>
      <c r="E886" s="6" t="s">
        <v>105</v>
      </c>
      <c r="F886" s="6" t="s">
        <v>375</v>
      </c>
      <c r="G886" s="6" t="s">
        <v>117</v>
      </c>
      <c r="H886" s="6" t="s">
        <v>199</v>
      </c>
      <c r="I886" s="6" t="s">
        <v>100</v>
      </c>
      <c r="J886" s="6" t="s">
        <v>371</v>
      </c>
      <c r="K886" s="6" t="s">
        <v>383</v>
      </c>
      <c r="L886" s="6" t="str">
        <f>IF(J886="כן", K886, VLOOKUP(LEFT(H886, 7), 'קטלוג תרחישים'!$A:$M, 13, FALSE))</f>
        <v>א'</v>
      </c>
      <c r="M886" s="10"/>
      <c r="N886" s="23" t="s">
        <v>352</v>
      </c>
      <c r="O886" s="10" t="str" cm="1">
        <f t="array" ref="O886">_xlfn.IFS(N886="A","א'", N886="B", "ב'", N886= "C", "ג'")</f>
        <v>א'</v>
      </c>
      <c r="P886" s="10">
        <f>IF(Table_2[[#This Row],[Correct_Answer]]=Table_2[[#This Row],[System_Recommendation]],1,0)</f>
        <v>1</v>
      </c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6" t="s">
        <v>211</v>
      </c>
      <c r="B887" s="6">
        <v>28</v>
      </c>
      <c r="C887" s="6" t="s">
        <v>372</v>
      </c>
      <c r="D887" s="6">
        <v>2</v>
      </c>
      <c r="E887" s="6" t="s">
        <v>105</v>
      </c>
      <c r="F887" s="6" t="s">
        <v>375</v>
      </c>
      <c r="G887" s="6" t="s">
        <v>117</v>
      </c>
      <c r="H887" s="6" t="s">
        <v>200</v>
      </c>
      <c r="I887" s="6" t="s">
        <v>91</v>
      </c>
      <c r="J887" s="6" t="s">
        <v>371</v>
      </c>
      <c r="K887" s="6" t="s">
        <v>384</v>
      </c>
      <c r="L887" s="6" t="str">
        <f>IF(J887="כן", K887, VLOOKUP(LEFT(H887, 7), 'קטלוג תרחישים'!$A:$M, 13, FALSE))</f>
        <v>ב'</v>
      </c>
      <c r="M887" s="10"/>
      <c r="N887" s="24" t="s">
        <v>357</v>
      </c>
      <c r="O887" s="10" t="str" cm="1">
        <f t="array" ref="O887">_xlfn.IFS(N887="A","א'", N887="B", "ב'", N887= "C", "ג'")</f>
        <v>ב'</v>
      </c>
      <c r="P887" s="10">
        <f>IF(Table_2[[#This Row],[Correct_Answer]]=Table_2[[#This Row],[System_Recommendation]],1,0)</f>
        <v>1</v>
      </c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6" t="s">
        <v>211</v>
      </c>
      <c r="B888" s="6">
        <v>29</v>
      </c>
      <c r="C888" s="6" t="s">
        <v>372</v>
      </c>
      <c r="D888" s="6">
        <v>2</v>
      </c>
      <c r="E888" s="6" t="s">
        <v>105</v>
      </c>
      <c r="F888" s="6" t="s">
        <v>375</v>
      </c>
      <c r="G888" s="6" t="s">
        <v>117</v>
      </c>
      <c r="H888" s="6" t="s">
        <v>201</v>
      </c>
      <c r="I888" s="6" t="s">
        <v>100</v>
      </c>
      <c r="J888" s="6" t="s">
        <v>374</v>
      </c>
      <c r="K888" s="6" t="s">
        <v>384</v>
      </c>
      <c r="L888" s="6" t="str">
        <f>IF(J888="כן", K888, VLOOKUP(LEFT(H888, 7), 'קטלוג תרחישים'!$A:$M, 13, FALSE))</f>
        <v>א'</v>
      </c>
      <c r="M888" s="10"/>
      <c r="N888" s="23" t="s">
        <v>357</v>
      </c>
      <c r="O888" s="10" t="str" cm="1">
        <f t="array" ref="O888">_xlfn.IFS(N888="A","א'", N888="B", "ב'", N888= "C", "ג'")</f>
        <v>ב'</v>
      </c>
      <c r="P888" s="10">
        <f>IF(Table_2[[#This Row],[Correct_Answer]]=Table_2[[#This Row],[System_Recommendation]],1,0)</f>
        <v>0</v>
      </c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6" t="s">
        <v>211</v>
      </c>
      <c r="B889" s="6">
        <v>30</v>
      </c>
      <c r="C889" s="6" t="s">
        <v>372</v>
      </c>
      <c r="D889" s="6">
        <v>3</v>
      </c>
      <c r="E889" s="6" t="s">
        <v>111</v>
      </c>
      <c r="F889" s="6" t="s">
        <v>375</v>
      </c>
      <c r="G889" s="6" t="s">
        <v>117</v>
      </c>
      <c r="H889" s="6" t="s">
        <v>204</v>
      </c>
      <c r="I889" s="6" t="s">
        <v>91</v>
      </c>
      <c r="J889" s="6" t="s">
        <v>374</v>
      </c>
      <c r="K889" s="6" t="s">
        <v>385</v>
      </c>
      <c r="L889" s="6" t="str">
        <f>IF(J889="כן", K889, VLOOKUP(LEFT(H889, 7), 'קטלוג תרחישים'!$A:$M, 13, FALSE))</f>
        <v>ג'</v>
      </c>
      <c r="M889" s="10"/>
      <c r="N889" s="24" t="s">
        <v>358</v>
      </c>
      <c r="O889" s="10" t="str" cm="1">
        <f t="array" ref="O889">_xlfn.IFS(N889="A","א'", N889="B", "ב'", N889= "C", "ג'")</f>
        <v>ג'</v>
      </c>
      <c r="P889" s="10">
        <f>IF(Table_2[[#This Row],[Correct_Answer]]=Table_2[[#This Row],[System_Recommendation]],1,0)</f>
        <v>0</v>
      </c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6" t="s">
        <v>211</v>
      </c>
      <c r="B890" s="6">
        <v>31</v>
      </c>
      <c r="C890" s="6" t="s">
        <v>372</v>
      </c>
      <c r="D890" s="6">
        <v>3</v>
      </c>
      <c r="E890" s="6" t="s">
        <v>111</v>
      </c>
      <c r="F890" s="6" t="s">
        <v>375</v>
      </c>
      <c r="G890" s="6" t="s">
        <v>117</v>
      </c>
      <c r="H890" s="6" t="s">
        <v>205</v>
      </c>
      <c r="I890" s="6" t="s">
        <v>100</v>
      </c>
      <c r="J890" s="6" t="s">
        <v>371</v>
      </c>
      <c r="K890" s="6" t="s">
        <v>385</v>
      </c>
      <c r="L890" s="6" t="str">
        <f>IF(J890="כן", K890, VLOOKUP(LEFT(H890, 7), 'קטלוג תרחישים'!$A:$M, 13, FALSE))</f>
        <v>ג</v>
      </c>
      <c r="M890" s="10"/>
      <c r="N890" s="23" t="s">
        <v>358</v>
      </c>
      <c r="O890" s="10" t="str" cm="1">
        <f t="array" ref="O890">_xlfn.IFS(N890="A","א'", N890="B", "ב'", N890= "C", "ג'")</f>
        <v>ג'</v>
      </c>
      <c r="P890" s="10">
        <f>IF(Table_2[[#This Row],[Correct_Answer]]=Table_2[[#This Row],[System_Recommendation]],1,0)</f>
        <v>1</v>
      </c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6" t="s">
        <v>211</v>
      </c>
      <c r="B891" s="6">
        <v>32</v>
      </c>
      <c r="C891" s="6" t="s">
        <v>372</v>
      </c>
      <c r="D891" s="6">
        <v>3</v>
      </c>
      <c r="E891" s="6" t="s">
        <v>111</v>
      </c>
      <c r="F891" s="6" t="s">
        <v>375</v>
      </c>
      <c r="G891" s="6" t="s">
        <v>117</v>
      </c>
      <c r="H891" s="6" t="s">
        <v>202</v>
      </c>
      <c r="I891" s="6" t="s">
        <v>91</v>
      </c>
      <c r="J891" s="6" t="s">
        <v>371</v>
      </c>
      <c r="K891" s="6" t="s">
        <v>383</v>
      </c>
      <c r="L891" s="6" t="str">
        <f>IF(J891="כן", K891, VLOOKUP(LEFT(H891, 7), 'קטלוג תרחישים'!$A:$M, 13, FALSE))</f>
        <v>א'</v>
      </c>
      <c r="M891" s="10"/>
      <c r="N891" s="24" t="s">
        <v>352</v>
      </c>
      <c r="O891" s="10" t="str" cm="1">
        <f t="array" ref="O891">_xlfn.IFS(N891="A","א'", N891="B", "ב'", N891= "C", "ג'")</f>
        <v>א'</v>
      </c>
      <c r="P891" s="10">
        <f>IF(Table_2[[#This Row],[Correct_Answer]]=Table_2[[#This Row],[System_Recommendation]],1,0)</f>
        <v>1</v>
      </c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6" t="s">
        <v>211</v>
      </c>
      <c r="B892" s="6">
        <v>33</v>
      </c>
      <c r="C892" s="6" t="s">
        <v>372</v>
      </c>
      <c r="D892" s="6">
        <v>3</v>
      </c>
      <c r="E892" s="6" t="s">
        <v>111</v>
      </c>
      <c r="F892" s="6" t="s">
        <v>375</v>
      </c>
      <c r="G892" s="6" t="s">
        <v>117</v>
      </c>
      <c r="H892" s="6" t="s">
        <v>203</v>
      </c>
      <c r="I892" s="6" t="s">
        <v>100</v>
      </c>
      <c r="J892" s="6" t="s">
        <v>374</v>
      </c>
      <c r="K892" s="6" t="s">
        <v>383</v>
      </c>
      <c r="L892" s="6" t="str">
        <f>IF(J892="כן", K892, VLOOKUP(LEFT(H892, 7), 'קטלוג תרחישים'!$A:$M, 13, FALSE))</f>
        <v>ב'</v>
      </c>
      <c r="M892" s="10"/>
      <c r="N892" s="23" t="s">
        <v>352</v>
      </c>
      <c r="O892" s="10" t="str" cm="1">
        <f t="array" ref="O892">_xlfn.IFS(N892="A","א'", N892="B", "ב'", N892= "C", "ג'")</f>
        <v>א'</v>
      </c>
      <c r="P892" s="10">
        <f>IF(Table_2[[#This Row],[Correct_Answer]]=Table_2[[#This Row],[System_Recommendation]],1,0)</f>
        <v>0</v>
      </c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6" t="s">
        <v>212</v>
      </c>
      <c r="B893" s="6">
        <v>1</v>
      </c>
      <c r="C893" s="6" t="s">
        <v>370</v>
      </c>
      <c r="D893" s="6"/>
      <c r="E893" s="6" t="s">
        <v>98</v>
      </c>
      <c r="F893" s="6"/>
      <c r="G893" s="6"/>
      <c r="H893" s="8" t="s">
        <v>90</v>
      </c>
      <c r="I893" s="6" t="s">
        <v>91</v>
      </c>
      <c r="J893" s="6" t="s">
        <v>371</v>
      </c>
      <c r="K893" s="6" t="s">
        <v>385</v>
      </c>
      <c r="L893" s="6" t="str">
        <f>IF(J893="כן", K893, VLOOKUP(LEFT(H893, 7), 'קטלוג תרחישים'!$A:$M, 13, FALSE))</f>
        <v>ג</v>
      </c>
      <c r="M893" s="10"/>
      <c r="N893" s="24" t="s">
        <v>358</v>
      </c>
      <c r="O893" s="10" t="str" cm="1">
        <f t="array" ref="O893">_xlfn.IFS(N893="A","א'", N893="B", "ב'", N893= "C", "ג'")</f>
        <v>ג'</v>
      </c>
      <c r="P893" s="10">
        <f>IF(Table_2[[#This Row],[Correct_Answer]]=Table_2[[#This Row],[System_Recommendation]],1,0)</f>
        <v>1</v>
      </c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6" t="s">
        <v>212</v>
      </c>
      <c r="B894" s="6">
        <v>2</v>
      </c>
      <c r="C894" s="6" t="s">
        <v>370</v>
      </c>
      <c r="D894" s="6"/>
      <c r="E894" s="6" t="s">
        <v>98</v>
      </c>
      <c r="F894" s="6"/>
      <c r="G894" s="6"/>
      <c r="H894" s="8" t="s">
        <v>92</v>
      </c>
      <c r="I894" s="6" t="s">
        <v>91</v>
      </c>
      <c r="J894" s="6" t="s">
        <v>371</v>
      </c>
      <c r="K894" s="6" t="s">
        <v>385</v>
      </c>
      <c r="L894" s="6" t="str">
        <f>IF(J894="כן", K894, VLOOKUP(LEFT(H894, 7), 'קטלוג תרחישים'!$A:$M, 13, FALSE))</f>
        <v>ג</v>
      </c>
      <c r="M894" s="10"/>
      <c r="N894" s="23" t="s">
        <v>358</v>
      </c>
      <c r="O894" s="10" t="str" cm="1">
        <f t="array" ref="O894">_xlfn.IFS(N894="A","א'", N894="B", "ב'", N894= "C", "ג'")</f>
        <v>ג'</v>
      </c>
      <c r="P894" s="10">
        <f>IF(Table_2[[#This Row],[Correct_Answer]]=Table_2[[#This Row],[System_Recommendation]],1,0)</f>
        <v>1</v>
      </c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6" t="s">
        <v>212</v>
      </c>
      <c r="B895" s="6">
        <v>3</v>
      </c>
      <c r="C895" s="6" t="s">
        <v>370</v>
      </c>
      <c r="D895" s="6"/>
      <c r="E895" s="6" t="s">
        <v>105</v>
      </c>
      <c r="F895" s="6"/>
      <c r="G895" s="6"/>
      <c r="H895" s="8" t="s">
        <v>93</v>
      </c>
      <c r="I895" s="6" t="s">
        <v>91</v>
      </c>
      <c r="J895" s="6" t="s">
        <v>371</v>
      </c>
      <c r="K895" s="6" t="s">
        <v>385</v>
      </c>
      <c r="L895" s="6" t="str">
        <f>IF(J895="כן", K895, VLOOKUP(LEFT(H895, 7), 'קטלוג תרחישים'!$A:$M, 13, FALSE))</f>
        <v>ג</v>
      </c>
      <c r="M895" s="10"/>
      <c r="N895" s="24" t="s">
        <v>358</v>
      </c>
      <c r="O895" s="10" t="str" cm="1">
        <f t="array" ref="O895">_xlfn.IFS(N895="A","א'", N895="B", "ב'", N895= "C", "ג'")</f>
        <v>ג'</v>
      </c>
      <c r="P895" s="10">
        <f>IF(Table_2[[#This Row],[Correct_Answer]]=Table_2[[#This Row],[System_Recommendation]],1,0)</f>
        <v>1</v>
      </c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6" t="s">
        <v>212</v>
      </c>
      <c r="B896" s="6">
        <v>4</v>
      </c>
      <c r="C896" s="6" t="s">
        <v>370</v>
      </c>
      <c r="D896" s="6"/>
      <c r="E896" s="6" t="s">
        <v>105</v>
      </c>
      <c r="F896" s="6"/>
      <c r="G896" s="6"/>
      <c r="H896" s="8" t="s">
        <v>94</v>
      </c>
      <c r="I896" s="6" t="s">
        <v>91</v>
      </c>
      <c r="J896" s="6" t="s">
        <v>371</v>
      </c>
      <c r="K896" s="6" t="s">
        <v>384</v>
      </c>
      <c r="L896" s="6" t="str">
        <f>IF(J896="כן", K896, VLOOKUP(LEFT(H896, 7), 'קטלוג תרחישים'!$A:$M, 13, FALSE))</f>
        <v>ב'</v>
      </c>
      <c r="M896" s="10"/>
      <c r="N896" s="23" t="s">
        <v>357</v>
      </c>
      <c r="O896" s="10" t="str" cm="1">
        <f t="array" ref="O896">_xlfn.IFS(N896="A","א'", N896="B", "ב'", N896= "C", "ג'")</f>
        <v>ב'</v>
      </c>
      <c r="P896" s="10">
        <f>IF(Table_2[[#This Row],[Correct_Answer]]=Table_2[[#This Row],[System_Recommendation]],1,0)</f>
        <v>1</v>
      </c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6" t="s">
        <v>212</v>
      </c>
      <c r="B897" s="6">
        <v>5</v>
      </c>
      <c r="C897" s="6" t="s">
        <v>370</v>
      </c>
      <c r="D897" s="6"/>
      <c r="E897" s="6" t="s">
        <v>111</v>
      </c>
      <c r="F897" s="6"/>
      <c r="G897" s="6"/>
      <c r="H897" s="8" t="s">
        <v>95</v>
      </c>
      <c r="I897" s="6" t="s">
        <v>91</v>
      </c>
      <c r="J897" s="6" t="s">
        <v>371</v>
      </c>
      <c r="K897" s="6" t="s">
        <v>383</v>
      </c>
      <c r="L897" s="6" t="str">
        <f>IF(J897="כן", K897, VLOOKUP(LEFT(H897, 7), 'קטלוג תרחישים'!$A:$M, 13, FALSE))</f>
        <v>א'</v>
      </c>
      <c r="M897" s="10"/>
      <c r="N897" s="24" t="s">
        <v>352</v>
      </c>
      <c r="O897" s="10" t="str" cm="1">
        <f t="array" ref="O897">_xlfn.IFS(N897="A","א'", N897="B", "ב'", N897= "C", "ג'")</f>
        <v>א'</v>
      </c>
      <c r="P897" s="10">
        <f>IF(Table_2[[#This Row],[Correct_Answer]]=Table_2[[#This Row],[System_Recommendation]],1,0)</f>
        <v>1</v>
      </c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6" t="s">
        <v>212</v>
      </c>
      <c r="B898" s="6">
        <v>6</v>
      </c>
      <c r="C898" s="6" t="s">
        <v>370</v>
      </c>
      <c r="D898" s="6"/>
      <c r="E898" s="6" t="s">
        <v>111</v>
      </c>
      <c r="F898" s="6"/>
      <c r="G898" s="6"/>
      <c r="H898" s="8" t="s">
        <v>96</v>
      </c>
      <c r="I898" s="6" t="s">
        <v>91</v>
      </c>
      <c r="J898" s="6" t="s">
        <v>371</v>
      </c>
      <c r="K898" s="6" t="s">
        <v>385</v>
      </c>
      <c r="L898" s="6" t="str">
        <f>IF(J898="כן", K898, VLOOKUP(LEFT(H898, 7), 'קטלוג תרחישים'!$A:$M, 13, FALSE))</f>
        <v>ג</v>
      </c>
      <c r="M898" s="10"/>
      <c r="N898" s="23" t="s">
        <v>358</v>
      </c>
      <c r="O898" s="10" t="str" cm="1">
        <f t="array" ref="O898">_xlfn.IFS(N898="A","א'", N898="B", "ב'", N898= "C", "ג'")</f>
        <v>ג'</v>
      </c>
      <c r="P898" s="10">
        <f>IF(Table_2[[#This Row],[Correct_Answer]]=Table_2[[#This Row],[System_Recommendation]],1,0)</f>
        <v>1</v>
      </c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6" t="s">
        <v>212</v>
      </c>
      <c r="B899" s="6">
        <v>7</v>
      </c>
      <c r="C899" s="6" t="s">
        <v>372</v>
      </c>
      <c r="D899" s="6">
        <v>1</v>
      </c>
      <c r="E899" s="6" t="s">
        <v>105</v>
      </c>
      <c r="F899" s="6" t="s">
        <v>373</v>
      </c>
      <c r="G899" s="6" t="s">
        <v>117</v>
      </c>
      <c r="H899" s="6" t="s">
        <v>200</v>
      </c>
      <c r="I899" s="6" t="s">
        <v>91</v>
      </c>
      <c r="J899" s="6" t="s">
        <v>374</v>
      </c>
      <c r="K899" s="6" t="s">
        <v>385</v>
      </c>
      <c r="L899" s="6" t="str">
        <f>IF(J899="כן", K899, VLOOKUP(LEFT(H899, 7), 'קטלוג תרחישים'!$A:$M, 13, FALSE))</f>
        <v>א'</v>
      </c>
      <c r="M899" s="10"/>
      <c r="N899" s="24" t="s">
        <v>358</v>
      </c>
      <c r="O899" s="10" t="str" cm="1">
        <f t="array" ref="O899">_xlfn.IFS(N899="A","א'", N899="B", "ב'", N899= "C", "ג'")</f>
        <v>ג'</v>
      </c>
      <c r="P899" s="10">
        <f>IF(Table_2[[#This Row],[Correct_Answer]]=Table_2[[#This Row],[System_Recommendation]],1,0)</f>
        <v>0</v>
      </c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6" t="s">
        <v>212</v>
      </c>
      <c r="B900" s="6">
        <v>8</v>
      </c>
      <c r="C900" s="6" t="s">
        <v>372</v>
      </c>
      <c r="D900" s="6">
        <v>1</v>
      </c>
      <c r="E900" s="6" t="s">
        <v>105</v>
      </c>
      <c r="F900" s="6" t="s">
        <v>373</v>
      </c>
      <c r="G900" s="6" t="s">
        <v>117</v>
      </c>
      <c r="H900" s="6" t="s">
        <v>201</v>
      </c>
      <c r="I900" s="6" t="s">
        <v>100</v>
      </c>
      <c r="J900" s="6" t="s">
        <v>374</v>
      </c>
      <c r="K900" s="6" t="s">
        <v>384</v>
      </c>
      <c r="L900" s="6" t="str">
        <f>IF(J900="כן", K900, VLOOKUP(LEFT(H900, 7), 'קטלוג תרחישים'!$A:$M, 13, FALSE))</f>
        <v>א'</v>
      </c>
      <c r="M900" s="10"/>
      <c r="N900" s="23" t="s">
        <v>357</v>
      </c>
      <c r="O900" s="10" t="str" cm="1">
        <f t="array" ref="O900">_xlfn.IFS(N900="A","א'", N900="B", "ב'", N900= "C", "ג'")</f>
        <v>ב'</v>
      </c>
      <c r="P900" s="10">
        <f>IF(Table_2[[#This Row],[Correct_Answer]]=Table_2[[#This Row],[System_Recommendation]],1,0)</f>
        <v>0</v>
      </c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6" t="s">
        <v>212</v>
      </c>
      <c r="B901" s="6">
        <v>9</v>
      </c>
      <c r="C901" s="6" t="s">
        <v>372</v>
      </c>
      <c r="D901" s="6">
        <v>1</v>
      </c>
      <c r="E901" s="6" t="s">
        <v>105</v>
      </c>
      <c r="F901" s="6" t="s">
        <v>373</v>
      </c>
      <c r="G901" s="6" t="s">
        <v>117</v>
      </c>
      <c r="H901" s="6" t="s">
        <v>198</v>
      </c>
      <c r="I901" s="6" t="s">
        <v>91</v>
      </c>
      <c r="J901" s="6" t="s">
        <v>371</v>
      </c>
      <c r="K901" s="6" t="s">
        <v>384</v>
      </c>
      <c r="L901" s="6" t="str">
        <f>IF(J901="כן", K901, VLOOKUP(LEFT(H901, 7), 'קטלוג תרחישים'!$A:$M, 13, FALSE))</f>
        <v>ב'</v>
      </c>
      <c r="M901" s="10"/>
      <c r="N901" s="24" t="s">
        <v>357</v>
      </c>
      <c r="O901" s="10" t="str" cm="1">
        <f t="array" ref="O901">_xlfn.IFS(N901="A","א'", N901="B", "ב'", N901= "C", "ג'")</f>
        <v>ב'</v>
      </c>
      <c r="P901" s="10">
        <f>IF(Table_2[[#This Row],[Correct_Answer]]=Table_2[[#This Row],[System_Recommendation]],1,0)</f>
        <v>1</v>
      </c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6" t="s">
        <v>212</v>
      </c>
      <c r="B902" s="6">
        <v>10</v>
      </c>
      <c r="C902" s="6" t="s">
        <v>372</v>
      </c>
      <c r="D902" s="6">
        <v>1</v>
      </c>
      <c r="E902" s="6" t="s">
        <v>105</v>
      </c>
      <c r="F902" s="6" t="s">
        <v>373</v>
      </c>
      <c r="G902" s="6" t="s">
        <v>117</v>
      </c>
      <c r="H902" s="6" t="s">
        <v>199</v>
      </c>
      <c r="I902" s="6" t="s">
        <v>100</v>
      </c>
      <c r="J902" s="6" t="s">
        <v>371</v>
      </c>
      <c r="K902" s="6" t="s">
        <v>384</v>
      </c>
      <c r="L902" s="6" t="str">
        <f>IF(J902="כן", K902, VLOOKUP(LEFT(H902, 7), 'קטלוג תרחישים'!$A:$M, 13, FALSE))</f>
        <v>ב'</v>
      </c>
      <c r="M902" s="10"/>
      <c r="N902" s="23" t="s">
        <v>357</v>
      </c>
      <c r="O902" s="10" t="str" cm="1">
        <f t="array" ref="O902">_xlfn.IFS(N902="A","א'", N902="B", "ב'", N902= "C", "ג'")</f>
        <v>ב'</v>
      </c>
      <c r="P902" s="10">
        <f>IF(Table_2[[#This Row],[Correct_Answer]]=Table_2[[#This Row],[System_Recommendation]],1,0)</f>
        <v>1</v>
      </c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6" t="s">
        <v>212</v>
      </c>
      <c r="B903" s="6">
        <v>11</v>
      </c>
      <c r="C903" s="6" t="s">
        <v>372</v>
      </c>
      <c r="D903" s="6">
        <v>2</v>
      </c>
      <c r="E903" s="6" t="s">
        <v>111</v>
      </c>
      <c r="F903" s="6" t="s">
        <v>373</v>
      </c>
      <c r="G903" s="6" t="s">
        <v>117</v>
      </c>
      <c r="H903" s="6" t="s">
        <v>204</v>
      </c>
      <c r="I903" s="6" t="s">
        <v>91</v>
      </c>
      <c r="J903" s="6" t="s">
        <v>371</v>
      </c>
      <c r="K903" s="6" t="s">
        <v>383</v>
      </c>
      <c r="L903" s="6" t="str">
        <f>IF(J903="כן", K903, VLOOKUP(LEFT(H903, 7), 'קטלוג תרחישים'!$A:$M, 13, FALSE))</f>
        <v>א'</v>
      </c>
      <c r="M903" s="10"/>
      <c r="N903" s="24" t="s">
        <v>352</v>
      </c>
      <c r="O903" s="10" t="str" cm="1">
        <f t="array" ref="O903">_xlfn.IFS(N903="A","א'", N903="B", "ב'", N903= "C", "ג'")</f>
        <v>א'</v>
      </c>
      <c r="P903" s="10">
        <f>IF(Table_2[[#This Row],[Correct_Answer]]=Table_2[[#This Row],[System_Recommendation]],1,0)</f>
        <v>1</v>
      </c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6" t="s">
        <v>212</v>
      </c>
      <c r="B904" s="6">
        <v>12</v>
      </c>
      <c r="C904" s="6" t="s">
        <v>372</v>
      </c>
      <c r="D904" s="6">
        <v>2</v>
      </c>
      <c r="E904" s="6" t="s">
        <v>111</v>
      </c>
      <c r="F904" s="6" t="s">
        <v>373</v>
      </c>
      <c r="G904" s="6" t="s">
        <v>117</v>
      </c>
      <c r="H904" s="6" t="s">
        <v>205</v>
      </c>
      <c r="I904" s="6" t="s">
        <v>100</v>
      </c>
      <c r="J904" s="6" t="s">
        <v>371</v>
      </c>
      <c r="K904" s="6" t="s">
        <v>385</v>
      </c>
      <c r="L904" s="6" t="str">
        <f>IF(J904="כן", K904, VLOOKUP(LEFT(H904, 7), 'קטלוג תרחישים'!$A:$M, 13, FALSE))</f>
        <v>ג</v>
      </c>
      <c r="M904" s="10"/>
      <c r="N904" s="23" t="s">
        <v>358</v>
      </c>
      <c r="O904" s="10" t="str" cm="1">
        <f t="array" ref="O904">_xlfn.IFS(N904="A","א'", N904="B", "ב'", N904= "C", "ג'")</f>
        <v>ג'</v>
      </c>
      <c r="P904" s="10">
        <f>IF(Table_2[[#This Row],[Correct_Answer]]=Table_2[[#This Row],[System_Recommendation]],1,0)</f>
        <v>1</v>
      </c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6" t="s">
        <v>212</v>
      </c>
      <c r="B905" s="6">
        <v>13</v>
      </c>
      <c r="C905" s="6" t="s">
        <v>372</v>
      </c>
      <c r="D905" s="6">
        <v>2</v>
      </c>
      <c r="E905" s="6" t="s">
        <v>111</v>
      </c>
      <c r="F905" s="6" t="s">
        <v>373</v>
      </c>
      <c r="G905" s="6" t="s">
        <v>117</v>
      </c>
      <c r="H905" s="6" t="s">
        <v>202</v>
      </c>
      <c r="I905" s="6" t="s">
        <v>91</v>
      </c>
      <c r="J905" s="6" t="s">
        <v>374</v>
      </c>
      <c r="K905" s="6" t="s">
        <v>384</v>
      </c>
      <c r="L905" s="6" t="str">
        <f>IF(J905="כן", K905, VLOOKUP(LEFT(H905, 7), 'קטלוג תרחישים'!$A:$M, 13, FALSE))</f>
        <v>א'</v>
      </c>
      <c r="M905" s="10"/>
      <c r="N905" s="24" t="s">
        <v>357</v>
      </c>
      <c r="O905" s="10" t="str" cm="1">
        <f t="array" ref="O905">_xlfn.IFS(N905="A","א'", N905="B", "ב'", N905= "C", "ג'")</f>
        <v>ב'</v>
      </c>
      <c r="P905" s="10">
        <f>IF(Table_2[[#This Row],[Correct_Answer]]=Table_2[[#This Row],[System_Recommendation]],1,0)</f>
        <v>0</v>
      </c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6" t="s">
        <v>212</v>
      </c>
      <c r="B906" s="6">
        <v>14</v>
      </c>
      <c r="C906" s="6" t="s">
        <v>372</v>
      </c>
      <c r="D906" s="6">
        <v>2</v>
      </c>
      <c r="E906" s="6" t="s">
        <v>111</v>
      </c>
      <c r="F906" s="6" t="s">
        <v>373</v>
      </c>
      <c r="G906" s="6" t="s">
        <v>117</v>
      </c>
      <c r="H906" s="6" t="s">
        <v>203</v>
      </c>
      <c r="I906" s="6" t="s">
        <v>100</v>
      </c>
      <c r="J906" s="6" t="s">
        <v>374</v>
      </c>
      <c r="K906" s="6" t="s">
        <v>385</v>
      </c>
      <c r="L906" s="6" t="str">
        <f>IF(J906="כן", K906, VLOOKUP(LEFT(H906, 7), 'קטלוג תרחישים'!$A:$M, 13, FALSE))</f>
        <v>ב'</v>
      </c>
      <c r="M906" s="10"/>
      <c r="N906" s="23" t="s">
        <v>358</v>
      </c>
      <c r="O906" s="10" t="str" cm="1">
        <f t="array" ref="O906">_xlfn.IFS(N906="A","א'", N906="B", "ב'", N906= "C", "ג'")</f>
        <v>ג'</v>
      </c>
      <c r="P906" s="10">
        <f>IF(Table_2[[#This Row],[Correct_Answer]]=Table_2[[#This Row],[System_Recommendation]],1,0)</f>
        <v>0</v>
      </c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6" t="s">
        <v>212</v>
      </c>
      <c r="B907" s="6">
        <v>15</v>
      </c>
      <c r="C907" s="6" t="s">
        <v>372</v>
      </c>
      <c r="D907" s="6">
        <v>3</v>
      </c>
      <c r="E907" s="6" t="s">
        <v>98</v>
      </c>
      <c r="F907" s="6" t="s">
        <v>373</v>
      </c>
      <c r="G907" s="6" t="s">
        <v>117</v>
      </c>
      <c r="H907" s="6" t="s">
        <v>196</v>
      </c>
      <c r="I907" s="6" t="s">
        <v>91</v>
      </c>
      <c r="J907" s="6" t="s">
        <v>371</v>
      </c>
      <c r="K907" s="6" t="s">
        <v>383</v>
      </c>
      <c r="L907" s="6" t="str">
        <f>IF(J907="כן", K907, VLOOKUP(LEFT(H907, 7), 'קטלוג תרחישים'!$A:$M, 13, FALSE))</f>
        <v>א'</v>
      </c>
      <c r="M907" s="10"/>
      <c r="N907" s="24" t="s">
        <v>352</v>
      </c>
      <c r="O907" s="10" t="str" cm="1">
        <f t="array" ref="O907">_xlfn.IFS(N907="A","א'", N907="B", "ב'", N907= "C", "ג'")</f>
        <v>א'</v>
      </c>
      <c r="P907" s="10">
        <f>IF(Table_2[[#This Row],[Correct_Answer]]=Table_2[[#This Row],[System_Recommendation]],1,0)</f>
        <v>1</v>
      </c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6" t="s">
        <v>212</v>
      </c>
      <c r="B908" s="6">
        <v>16</v>
      </c>
      <c r="C908" s="6" t="s">
        <v>372</v>
      </c>
      <c r="D908" s="6">
        <v>3</v>
      </c>
      <c r="E908" s="6" t="s">
        <v>98</v>
      </c>
      <c r="F908" s="6" t="s">
        <v>373</v>
      </c>
      <c r="G908" s="6" t="s">
        <v>117</v>
      </c>
      <c r="H908" s="6" t="s">
        <v>197</v>
      </c>
      <c r="I908" s="6" t="s">
        <v>100</v>
      </c>
      <c r="J908" s="6" t="s">
        <v>374</v>
      </c>
      <c r="K908" s="6" t="s">
        <v>385</v>
      </c>
      <c r="L908" s="6" t="str">
        <f>IF(J908="כן", K908, VLOOKUP(LEFT(H908, 7), 'קטלוג תרחישים'!$A:$M, 13, FALSE))</f>
        <v>ב'</v>
      </c>
      <c r="M908" s="10"/>
      <c r="N908" s="23" t="s">
        <v>358</v>
      </c>
      <c r="O908" s="10" t="str" cm="1">
        <f t="array" ref="O908">_xlfn.IFS(N908="A","א'", N908="B", "ב'", N908= "C", "ג'")</f>
        <v>ג'</v>
      </c>
      <c r="P908" s="10">
        <f>IF(Table_2[[#This Row],[Correct_Answer]]=Table_2[[#This Row],[System_Recommendation]],1,0)</f>
        <v>0</v>
      </c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6" t="s">
        <v>212</v>
      </c>
      <c r="B909" s="6">
        <v>17</v>
      </c>
      <c r="C909" s="6" t="s">
        <v>372</v>
      </c>
      <c r="D909" s="6">
        <v>3</v>
      </c>
      <c r="E909" s="6" t="s">
        <v>98</v>
      </c>
      <c r="F909" s="6" t="s">
        <v>373</v>
      </c>
      <c r="G909" s="6" t="s">
        <v>117</v>
      </c>
      <c r="H909" s="6" t="s">
        <v>194</v>
      </c>
      <c r="I909" s="6" t="s">
        <v>91</v>
      </c>
      <c r="J909" s="6" t="s">
        <v>374</v>
      </c>
      <c r="K909" s="6" t="s">
        <v>385</v>
      </c>
      <c r="L909" s="6" t="str">
        <f>IF(J909="כן", K909, VLOOKUP(LEFT(H909, 7), 'קטלוג תרחישים'!$A:$M, 13, FALSE))</f>
        <v>ב'</v>
      </c>
      <c r="M909" s="10"/>
      <c r="N909" s="24" t="s">
        <v>358</v>
      </c>
      <c r="O909" s="10" t="str" cm="1">
        <f t="array" ref="O909">_xlfn.IFS(N909="A","א'", N909="B", "ב'", N909= "C", "ג'")</f>
        <v>ג'</v>
      </c>
      <c r="P909" s="10">
        <f>IF(Table_2[[#This Row],[Correct_Answer]]=Table_2[[#This Row],[System_Recommendation]],1,0)</f>
        <v>0</v>
      </c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6" t="s">
        <v>212</v>
      </c>
      <c r="B910" s="6">
        <v>18</v>
      </c>
      <c r="C910" s="6" t="s">
        <v>372</v>
      </c>
      <c r="D910" s="6">
        <v>3</v>
      </c>
      <c r="E910" s="6" t="s">
        <v>98</v>
      </c>
      <c r="F910" s="6" t="s">
        <v>373</v>
      </c>
      <c r="G910" s="6" t="s">
        <v>117</v>
      </c>
      <c r="H910" s="6" t="s">
        <v>195</v>
      </c>
      <c r="I910" s="6" t="s">
        <v>100</v>
      </c>
      <c r="J910" s="6" t="s">
        <v>371</v>
      </c>
      <c r="K910" s="6" t="s">
        <v>384</v>
      </c>
      <c r="L910" s="6" t="str">
        <f>IF(J910="כן", K910, VLOOKUP(LEFT(H910, 7), 'קטלוג תרחישים'!$A:$M, 13, FALSE))</f>
        <v>ב'</v>
      </c>
      <c r="M910" s="10"/>
      <c r="N910" s="23" t="s">
        <v>357</v>
      </c>
      <c r="O910" s="10" t="str" cm="1">
        <f t="array" ref="O910">_xlfn.IFS(N910="A","א'", N910="B", "ב'", N910= "C", "ג'")</f>
        <v>ב'</v>
      </c>
      <c r="P910" s="10">
        <f>IF(Table_2[[#This Row],[Correct_Answer]]=Table_2[[#This Row],[System_Recommendation]],1,0)</f>
        <v>1</v>
      </c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6" t="s">
        <v>212</v>
      </c>
      <c r="B911" s="6">
        <v>19</v>
      </c>
      <c r="C911" s="6" t="s">
        <v>372</v>
      </c>
      <c r="D911" s="6">
        <v>1</v>
      </c>
      <c r="E911" s="6" t="s">
        <v>98</v>
      </c>
      <c r="F911" s="6" t="s">
        <v>375</v>
      </c>
      <c r="G911" s="6" t="s">
        <v>97</v>
      </c>
      <c r="H911" s="6" t="s">
        <v>188</v>
      </c>
      <c r="I911" s="6" t="s">
        <v>91</v>
      </c>
      <c r="J911" s="6" t="s">
        <v>374</v>
      </c>
      <c r="K911" s="6" t="s">
        <v>383</v>
      </c>
      <c r="L911" s="6" t="str">
        <f>IF(J911="כן", K911, VLOOKUP(LEFT(H911, 7), 'קטלוג תרחישים'!$A:$M, 13, FALSE))</f>
        <v>א'</v>
      </c>
      <c r="M911" s="10"/>
      <c r="N911" s="24" t="s">
        <v>352</v>
      </c>
      <c r="O911" s="10" t="str" cm="1">
        <f t="array" ref="O911">_xlfn.IFS(N911="A","א'", N911="B", "ב'", N911= "C", "ג'")</f>
        <v>א'</v>
      </c>
      <c r="P911" s="10">
        <f>IF(Table_2[[#This Row],[Correct_Answer]]=Table_2[[#This Row],[System_Recommendation]],1,0)</f>
        <v>1</v>
      </c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6" t="s">
        <v>212</v>
      </c>
      <c r="B912" s="6">
        <v>20</v>
      </c>
      <c r="C912" s="6" t="s">
        <v>372</v>
      </c>
      <c r="D912" s="6">
        <v>1</v>
      </c>
      <c r="E912" s="6" t="s">
        <v>98</v>
      </c>
      <c r="F912" s="6" t="s">
        <v>375</v>
      </c>
      <c r="G912" s="6" t="s">
        <v>97</v>
      </c>
      <c r="H912" s="6" t="s">
        <v>187</v>
      </c>
      <c r="I912" s="6" t="s">
        <v>100</v>
      </c>
      <c r="J912" s="6" t="s">
        <v>371</v>
      </c>
      <c r="K912" s="6" t="s">
        <v>385</v>
      </c>
      <c r="L912" s="6" t="str">
        <f>IF(J912="כן", K912, VLOOKUP(LEFT(H912, 7), 'קטלוג תרחישים'!$A:$M, 13, FALSE))</f>
        <v>ג</v>
      </c>
      <c r="M912" s="10"/>
      <c r="N912" s="23" t="s">
        <v>358</v>
      </c>
      <c r="O912" s="10" t="str" cm="1">
        <f t="array" ref="O912">_xlfn.IFS(N912="A","א'", N912="B", "ב'", N912= "C", "ג'")</f>
        <v>ג'</v>
      </c>
      <c r="P912" s="10">
        <f>IF(Table_2[[#This Row],[Correct_Answer]]=Table_2[[#This Row],[System_Recommendation]],1,0)</f>
        <v>1</v>
      </c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6" t="s">
        <v>212</v>
      </c>
      <c r="B913" s="6">
        <v>21</v>
      </c>
      <c r="C913" s="6" t="s">
        <v>372</v>
      </c>
      <c r="D913" s="6">
        <v>1</v>
      </c>
      <c r="E913" s="6" t="s">
        <v>98</v>
      </c>
      <c r="F913" s="6" t="s">
        <v>375</v>
      </c>
      <c r="G913" s="6" t="s">
        <v>97</v>
      </c>
      <c r="H913" s="6" t="s">
        <v>184</v>
      </c>
      <c r="I913" s="6" t="s">
        <v>91</v>
      </c>
      <c r="J913" s="6" t="s">
        <v>371</v>
      </c>
      <c r="K913" s="6" t="s">
        <v>384</v>
      </c>
      <c r="L913" s="6" t="str">
        <f>IF(J913="כן", K913, VLOOKUP(LEFT(H913, 7), 'קטלוג תרחישים'!$A:$M, 13, FALSE))</f>
        <v>ב'</v>
      </c>
      <c r="M913" s="10"/>
      <c r="N913" s="24" t="s">
        <v>357</v>
      </c>
      <c r="O913" s="10" t="str" cm="1">
        <f t="array" ref="O913">_xlfn.IFS(N913="A","א'", N913="B", "ב'", N913= "C", "ג'")</f>
        <v>ב'</v>
      </c>
      <c r="P913" s="10">
        <f>IF(Table_2[[#This Row],[Correct_Answer]]=Table_2[[#This Row],[System_Recommendation]],1,0)</f>
        <v>1</v>
      </c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6" t="s">
        <v>212</v>
      </c>
      <c r="B914" s="6">
        <v>22</v>
      </c>
      <c r="C914" s="6" t="s">
        <v>372</v>
      </c>
      <c r="D914" s="6">
        <v>1</v>
      </c>
      <c r="E914" s="6" t="s">
        <v>98</v>
      </c>
      <c r="F914" s="6" t="s">
        <v>375</v>
      </c>
      <c r="G914" s="6" t="s">
        <v>97</v>
      </c>
      <c r="H914" s="6" t="s">
        <v>185</v>
      </c>
      <c r="I914" s="6" t="s">
        <v>100</v>
      </c>
      <c r="J914" s="6" t="s">
        <v>371</v>
      </c>
      <c r="K914" s="6" t="s">
        <v>385</v>
      </c>
      <c r="L914" s="6" t="str">
        <f>IF(J914="כן", K914, VLOOKUP(LEFT(H914, 7), 'קטלוג תרחישים'!$A:$M, 13, FALSE))</f>
        <v>ג</v>
      </c>
      <c r="M914" s="10"/>
      <c r="N914" s="23" t="s">
        <v>358</v>
      </c>
      <c r="O914" s="10" t="str" cm="1">
        <f t="array" ref="O914">_xlfn.IFS(N914="A","א'", N914="B", "ב'", N914= "C", "ג'")</f>
        <v>ג'</v>
      </c>
      <c r="P914" s="10">
        <f>IF(Table_2[[#This Row],[Correct_Answer]]=Table_2[[#This Row],[System_Recommendation]],1,0)</f>
        <v>1</v>
      </c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6" t="s">
        <v>212</v>
      </c>
      <c r="B915" s="6">
        <v>23</v>
      </c>
      <c r="C915" s="6" t="s">
        <v>372</v>
      </c>
      <c r="D915" s="6">
        <v>1</v>
      </c>
      <c r="E915" s="6" t="s">
        <v>98</v>
      </c>
      <c r="F915" s="6" t="s">
        <v>375</v>
      </c>
      <c r="G915" s="6" t="s">
        <v>97</v>
      </c>
      <c r="H915" s="6" t="s">
        <v>186</v>
      </c>
      <c r="I915" s="6" t="s">
        <v>91</v>
      </c>
      <c r="J915" s="6" t="s">
        <v>371</v>
      </c>
      <c r="K915" s="6" t="s">
        <v>385</v>
      </c>
      <c r="L915" s="6" t="str">
        <f>IF(J915="כן", K915, VLOOKUP(LEFT(H915, 7), 'קטלוג תרחישים'!$A:$M, 13, FALSE))</f>
        <v>ג</v>
      </c>
      <c r="M915" s="10"/>
      <c r="N915" s="24" t="s">
        <v>358</v>
      </c>
      <c r="O915" s="10" t="str" cm="1">
        <f t="array" ref="O915">_xlfn.IFS(N915="A","א'", N915="B", "ב'", N915= "C", "ג'")</f>
        <v>ג'</v>
      </c>
      <c r="P915" s="10">
        <f>IF(Table_2[[#This Row],[Correct_Answer]]=Table_2[[#This Row],[System_Recommendation]],1,0)</f>
        <v>1</v>
      </c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6" t="s">
        <v>212</v>
      </c>
      <c r="B916" s="6">
        <v>24</v>
      </c>
      <c r="C916" s="6" t="s">
        <v>372</v>
      </c>
      <c r="D916" s="6">
        <v>2</v>
      </c>
      <c r="E916" s="6" t="s">
        <v>105</v>
      </c>
      <c r="F916" s="6" t="s">
        <v>375</v>
      </c>
      <c r="G916" s="6" t="s">
        <v>97</v>
      </c>
      <c r="H916" s="6" t="s">
        <v>191</v>
      </c>
      <c r="I916" s="6" t="s">
        <v>91</v>
      </c>
      <c r="J916" s="6" t="s">
        <v>371</v>
      </c>
      <c r="K916" s="6" t="s">
        <v>384</v>
      </c>
      <c r="L916" s="6" t="str">
        <f>IF(J916="כן", K916, VLOOKUP(LEFT(H916, 7), 'קטלוג תרחישים'!$A:$M, 13, FALSE))</f>
        <v>ב'</v>
      </c>
      <c r="M916" s="10"/>
      <c r="N916" s="23" t="s">
        <v>357</v>
      </c>
      <c r="O916" s="10" t="str" cm="1">
        <f t="array" ref="O916">_xlfn.IFS(N916="A","א'", N916="B", "ב'", N916= "C", "ג'")</f>
        <v>ב'</v>
      </c>
      <c r="P916" s="10">
        <f>IF(Table_2[[#This Row],[Correct_Answer]]=Table_2[[#This Row],[System_Recommendation]],1,0)</f>
        <v>1</v>
      </c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6" t="s">
        <v>212</v>
      </c>
      <c r="B917" s="6">
        <v>25</v>
      </c>
      <c r="C917" s="6" t="s">
        <v>372</v>
      </c>
      <c r="D917" s="6">
        <v>2</v>
      </c>
      <c r="E917" s="6" t="s">
        <v>105</v>
      </c>
      <c r="F917" s="6" t="s">
        <v>375</v>
      </c>
      <c r="G917" s="6" t="s">
        <v>97</v>
      </c>
      <c r="H917" s="6" t="s">
        <v>190</v>
      </c>
      <c r="I917" s="6" t="s">
        <v>100</v>
      </c>
      <c r="J917" s="6" t="s">
        <v>371</v>
      </c>
      <c r="K917" s="6" t="s">
        <v>385</v>
      </c>
      <c r="L917" s="6" t="str">
        <f>IF(J917="כן", K917, VLOOKUP(LEFT(H917, 7), 'קטלוג תרחישים'!$A:$M, 13, FALSE))</f>
        <v>ג</v>
      </c>
      <c r="M917" s="10"/>
      <c r="N917" s="24" t="s">
        <v>358</v>
      </c>
      <c r="O917" s="10" t="str" cm="1">
        <f t="array" ref="O917">_xlfn.IFS(N917="A","א'", N917="B", "ב'", N917= "C", "ג'")</f>
        <v>ג'</v>
      </c>
      <c r="P917" s="10">
        <f>IF(Table_2[[#This Row],[Correct_Answer]]=Table_2[[#This Row],[System_Recommendation]],1,0)</f>
        <v>1</v>
      </c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6" t="s">
        <v>212</v>
      </c>
      <c r="B918" s="6">
        <v>26</v>
      </c>
      <c r="C918" s="6" t="s">
        <v>372</v>
      </c>
      <c r="D918" s="6">
        <v>2</v>
      </c>
      <c r="E918" s="6" t="s">
        <v>105</v>
      </c>
      <c r="F918" s="6" t="s">
        <v>375</v>
      </c>
      <c r="G918" s="6" t="s">
        <v>97</v>
      </c>
      <c r="H918" s="6" t="s">
        <v>193</v>
      </c>
      <c r="I918" s="6" t="s">
        <v>91</v>
      </c>
      <c r="J918" s="6" t="s">
        <v>374</v>
      </c>
      <c r="K918" s="6" t="s">
        <v>383</v>
      </c>
      <c r="L918" s="6" t="str">
        <f>IF(J918="כן", K918, VLOOKUP(LEFT(H918, 7), 'קטלוג תרחישים'!$A:$M, 13, FALSE))</f>
        <v>א'</v>
      </c>
      <c r="M918" s="10"/>
      <c r="N918" s="23" t="s">
        <v>352</v>
      </c>
      <c r="O918" s="10" t="str" cm="1">
        <f t="array" ref="O918">_xlfn.IFS(N918="A","א'", N918="B", "ב'", N918= "C", "ג'")</f>
        <v>א'</v>
      </c>
      <c r="P918" s="10">
        <f>IF(Table_2[[#This Row],[Correct_Answer]]=Table_2[[#This Row],[System_Recommendation]],1,0)</f>
        <v>1</v>
      </c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6" t="s">
        <v>212</v>
      </c>
      <c r="B919" s="6">
        <v>27</v>
      </c>
      <c r="C919" s="6" t="s">
        <v>372</v>
      </c>
      <c r="D919" s="6">
        <v>2</v>
      </c>
      <c r="E919" s="6" t="s">
        <v>105</v>
      </c>
      <c r="F919" s="6" t="s">
        <v>375</v>
      </c>
      <c r="G919" s="6" t="s">
        <v>97</v>
      </c>
      <c r="H919" s="6" t="s">
        <v>192</v>
      </c>
      <c r="I919" s="6" t="s">
        <v>100</v>
      </c>
      <c r="J919" s="6" t="s">
        <v>371</v>
      </c>
      <c r="K919" s="6" t="s">
        <v>383</v>
      </c>
      <c r="L919" s="6" t="str">
        <f>IF(J919="כן", K919, VLOOKUP(LEFT(H919, 7), 'קטלוג תרחישים'!$A:$M, 13, FALSE))</f>
        <v>א'</v>
      </c>
      <c r="M919" s="10"/>
      <c r="N919" s="24" t="s">
        <v>352</v>
      </c>
      <c r="O919" s="10" t="str" cm="1">
        <f t="array" ref="O919">_xlfn.IFS(N919="A","א'", N919="B", "ב'", N919= "C", "ג'")</f>
        <v>א'</v>
      </c>
      <c r="P919" s="10">
        <f>IF(Table_2[[#This Row],[Correct_Answer]]=Table_2[[#This Row],[System_Recommendation]],1,0)</f>
        <v>1</v>
      </c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6" t="s">
        <v>212</v>
      </c>
      <c r="B920" s="6">
        <v>28</v>
      </c>
      <c r="C920" s="6" t="s">
        <v>372</v>
      </c>
      <c r="D920" s="6">
        <v>2</v>
      </c>
      <c r="E920" s="6" t="s">
        <v>105</v>
      </c>
      <c r="F920" s="6" t="s">
        <v>375</v>
      </c>
      <c r="G920" s="6" t="s">
        <v>97</v>
      </c>
      <c r="H920" s="6" t="s">
        <v>189</v>
      </c>
      <c r="I920" s="6" t="s">
        <v>91</v>
      </c>
      <c r="J920" s="6" t="s">
        <v>371</v>
      </c>
      <c r="K920" s="6" t="s">
        <v>383</v>
      </c>
      <c r="L920" s="6" t="str">
        <f>IF(J920="כן", K920, VLOOKUP(LEFT(H920, 7), 'קטלוג תרחישים'!$A:$M, 13, FALSE))</f>
        <v>א'</v>
      </c>
      <c r="M920" s="10"/>
      <c r="N920" s="23" t="s">
        <v>352</v>
      </c>
      <c r="O920" s="10" t="str" cm="1">
        <f t="array" ref="O920">_xlfn.IFS(N920="A","א'", N920="B", "ב'", N920= "C", "ג'")</f>
        <v>א'</v>
      </c>
      <c r="P920" s="10">
        <f>IF(Table_2[[#This Row],[Correct_Answer]]=Table_2[[#This Row],[System_Recommendation]],1,0)</f>
        <v>1</v>
      </c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6" t="s">
        <v>212</v>
      </c>
      <c r="B921" s="6">
        <v>29</v>
      </c>
      <c r="C921" s="6" t="s">
        <v>372</v>
      </c>
      <c r="D921" s="6">
        <v>3</v>
      </c>
      <c r="E921" s="6" t="s">
        <v>111</v>
      </c>
      <c r="F921" s="6" t="s">
        <v>375</v>
      </c>
      <c r="G921" s="6" t="s">
        <v>97</v>
      </c>
      <c r="H921" s="6" t="s">
        <v>183</v>
      </c>
      <c r="I921" s="6" t="s">
        <v>100</v>
      </c>
      <c r="J921" s="6" t="s">
        <v>371</v>
      </c>
      <c r="K921" s="6" t="s">
        <v>384</v>
      </c>
      <c r="L921" s="6" t="str">
        <f>IF(J921="כן", K921, VLOOKUP(LEFT(H921, 7), 'קטלוג תרחישים'!$A:$M, 13, FALSE))</f>
        <v>ב'</v>
      </c>
      <c r="M921" s="10"/>
      <c r="N921" s="24" t="s">
        <v>357</v>
      </c>
      <c r="O921" s="10" t="str" cm="1">
        <f t="array" ref="O921">_xlfn.IFS(N921="A","א'", N921="B", "ב'", N921= "C", "ג'")</f>
        <v>ב'</v>
      </c>
      <c r="P921" s="10">
        <f>IF(Table_2[[#This Row],[Correct_Answer]]=Table_2[[#This Row],[System_Recommendation]],1,0)</f>
        <v>1</v>
      </c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6" t="s">
        <v>212</v>
      </c>
      <c r="B922" s="6">
        <v>30</v>
      </c>
      <c r="C922" s="6" t="s">
        <v>372</v>
      </c>
      <c r="D922" s="6">
        <v>3</v>
      </c>
      <c r="E922" s="6" t="s">
        <v>111</v>
      </c>
      <c r="F922" s="6" t="s">
        <v>375</v>
      </c>
      <c r="G922" s="6" t="s">
        <v>97</v>
      </c>
      <c r="H922" s="6" t="s">
        <v>180</v>
      </c>
      <c r="I922" s="6" t="s">
        <v>91</v>
      </c>
      <c r="J922" s="6" t="s">
        <v>374</v>
      </c>
      <c r="K922" s="6" t="s">
        <v>384</v>
      </c>
      <c r="L922" s="6" t="str">
        <f>IF(J922="כן", K922, VLOOKUP(LEFT(H922, 7), 'קטלוג תרחישים'!$A:$M, 13, FALSE))</f>
        <v>ב'</v>
      </c>
      <c r="M922" s="10"/>
      <c r="N922" s="23" t="s">
        <v>357</v>
      </c>
      <c r="O922" s="10" t="str" cm="1">
        <f t="array" ref="O922">_xlfn.IFS(N922="A","א'", N922="B", "ב'", N922= "C", "ג'")</f>
        <v>ב'</v>
      </c>
      <c r="P922" s="10">
        <f>IF(Table_2[[#This Row],[Correct_Answer]]=Table_2[[#This Row],[System_Recommendation]],1,0)</f>
        <v>1</v>
      </c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6" t="s">
        <v>212</v>
      </c>
      <c r="B923" s="6">
        <v>31</v>
      </c>
      <c r="C923" s="6" t="s">
        <v>372</v>
      </c>
      <c r="D923" s="6">
        <v>3</v>
      </c>
      <c r="E923" s="6" t="s">
        <v>111</v>
      </c>
      <c r="F923" s="6" t="s">
        <v>375</v>
      </c>
      <c r="G923" s="6" t="s">
        <v>97</v>
      </c>
      <c r="H923" s="6" t="s">
        <v>181</v>
      </c>
      <c r="I923" s="6" t="s">
        <v>100</v>
      </c>
      <c r="J923" s="6" t="s">
        <v>371</v>
      </c>
      <c r="K923" s="6" t="s">
        <v>385</v>
      </c>
      <c r="L923" s="6" t="str">
        <f>IF(J923="כן", K923, VLOOKUP(LEFT(H923, 7), 'קטלוג תרחישים'!$A:$M, 13, FALSE))</f>
        <v>ג</v>
      </c>
      <c r="M923" s="10"/>
      <c r="N923" s="24" t="s">
        <v>358</v>
      </c>
      <c r="O923" s="10" t="str" cm="1">
        <f t="array" ref="O923">_xlfn.IFS(N923="A","א'", N923="B", "ב'", N923= "C", "ג'")</f>
        <v>ג'</v>
      </c>
      <c r="P923" s="10">
        <f>IF(Table_2[[#This Row],[Correct_Answer]]=Table_2[[#This Row],[System_Recommendation]],1,0)</f>
        <v>1</v>
      </c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6" t="s">
        <v>212</v>
      </c>
      <c r="B924" s="6">
        <v>32</v>
      </c>
      <c r="C924" s="6" t="s">
        <v>372</v>
      </c>
      <c r="D924" s="6">
        <v>3</v>
      </c>
      <c r="E924" s="6" t="s">
        <v>111</v>
      </c>
      <c r="F924" s="6" t="s">
        <v>375</v>
      </c>
      <c r="G924" s="6" t="s">
        <v>97</v>
      </c>
      <c r="H924" s="6" t="s">
        <v>182</v>
      </c>
      <c r="I924" s="6" t="s">
        <v>91</v>
      </c>
      <c r="J924" s="6" t="s">
        <v>371</v>
      </c>
      <c r="K924" s="6" t="s">
        <v>383</v>
      </c>
      <c r="L924" s="6" t="str">
        <f>IF(J924="כן", K924, VLOOKUP(LEFT(H924, 7), 'קטלוג תרחישים'!$A:$M, 13, FALSE))</f>
        <v>א'</v>
      </c>
      <c r="M924" s="10"/>
      <c r="N924" s="23" t="s">
        <v>352</v>
      </c>
      <c r="O924" s="10" t="str" cm="1">
        <f t="array" ref="O924">_xlfn.IFS(N924="A","א'", N924="B", "ב'", N924= "C", "ג'")</f>
        <v>א'</v>
      </c>
      <c r="P924" s="10">
        <f>IF(Table_2[[#This Row],[Correct_Answer]]=Table_2[[#This Row],[System_Recommendation]],1,0)</f>
        <v>1</v>
      </c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6" t="s">
        <v>212</v>
      </c>
      <c r="B925" s="6">
        <v>33</v>
      </c>
      <c r="C925" s="6" t="s">
        <v>372</v>
      </c>
      <c r="D925" s="6">
        <v>3</v>
      </c>
      <c r="E925" s="6" t="s">
        <v>111</v>
      </c>
      <c r="F925" s="6" t="s">
        <v>375</v>
      </c>
      <c r="G925" s="6" t="s">
        <v>97</v>
      </c>
      <c r="H925" s="6" t="s">
        <v>179</v>
      </c>
      <c r="I925" s="6" t="s">
        <v>100</v>
      </c>
      <c r="J925" s="6" t="s">
        <v>371</v>
      </c>
      <c r="K925" s="6" t="s">
        <v>383</v>
      </c>
      <c r="L925" s="6" t="str">
        <f>IF(J925="כן", K925, VLOOKUP(LEFT(H925, 7), 'קטלוג תרחישים'!$A:$M, 13, FALSE))</f>
        <v>א'</v>
      </c>
      <c r="M925" s="10"/>
      <c r="N925" s="24" t="s">
        <v>352</v>
      </c>
      <c r="O925" s="10" t="str" cm="1">
        <f t="array" ref="O925">_xlfn.IFS(N925="A","א'", N925="B", "ב'", N925= "C", "ג'")</f>
        <v>א'</v>
      </c>
      <c r="P925" s="10">
        <f>IF(Table_2[[#This Row],[Correct_Answer]]=Table_2[[#This Row],[System_Recommendation]],1,0)</f>
        <v>1</v>
      </c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6" t="s">
        <v>213</v>
      </c>
      <c r="B926" s="6">
        <v>1</v>
      </c>
      <c r="C926" s="6" t="s">
        <v>370</v>
      </c>
      <c r="D926" s="6"/>
      <c r="E926" s="6" t="s">
        <v>98</v>
      </c>
      <c r="F926" s="6"/>
      <c r="G926" s="6"/>
      <c r="H926" s="8" t="s">
        <v>90</v>
      </c>
      <c r="I926" s="6" t="s">
        <v>91</v>
      </c>
      <c r="J926" s="6" t="s">
        <v>371</v>
      </c>
      <c r="K926" s="6" t="s">
        <v>385</v>
      </c>
      <c r="L926" s="6" t="str">
        <f>IF(J926="כן", K926, VLOOKUP(LEFT(H926, 7), 'קטלוג תרחישים'!$A:$M, 13, FALSE))</f>
        <v>ג</v>
      </c>
      <c r="M926" s="10"/>
      <c r="N926" s="23" t="s">
        <v>358</v>
      </c>
      <c r="O926" s="10" t="str" cm="1">
        <f t="array" ref="O926">_xlfn.IFS(N926="A","א'", N926="B", "ב'", N926= "C", "ג'")</f>
        <v>ג'</v>
      </c>
      <c r="P926" s="10">
        <f>IF(Table_2[[#This Row],[Correct_Answer]]=Table_2[[#This Row],[System_Recommendation]],1,0)</f>
        <v>1</v>
      </c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6" t="s">
        <v>213</v>
      </c>
      <c r="B927" s="6">
        <v>2</v>
      </c>
      <c r="C927" s="6" t="s">
        <v>370</v>
      </c>
      <c r="D927" s="6"/>
      <c r="E927" s="6" t="s">
        <v>98</v>
      </c>
      <c r="F927" s="6"/>
      <c r="G927" s="6"/>
      <c r="H927" s="8" t="s">
        <v>92</v>
      </c>
      <c r="I927" s="6" t="s">
        <v>91</v>
      </c>
      <c r="J927" s="6" t="s">
        <v>371</v>
      </c>
      <c r="K927" s="6" t="s">
        <v>385</v>
      </c>
      <c r="L927" s="6" t="str">
        <f>IF(J927="כן", K927, VLOOKUP(LEFT(H927, 7), 'קטלוג תרחישים'!$A:$M, 13, FALSE))</f>
        <v>ג</v>
      </c>
      <c r="M927" s="10"/>
      <c r="N927" s="24" t="s">
        <v>358</v>
      </c>
      <c r="O927" s="10" t="str" cm="1">
        <f t="array" ref="O927">_xlfn.IFS(N927="A","א'", N927="B", "ב'", N927= "C", "ג'")</f>
        <v>ג'</v>
      </c>
      <c r="P927" s="10">
        <f>IF(Table_2[[#This Row],[Correct_Answer]]=Table_2[[#This Row],[System_Recommendation]],1,0)</f>
        <v>1</v>
      </c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6" t="s">
        <v>213</v>
      </c>
      <c r="B928" s="6">
        <v>3</v>
      </c>
      <c r="C928" s="6" t="s">
        <v>370</v>
      </c>
      <c r="D928" s="6"/>
      <c r="E928" s="6" t="s">
        <v>105</v>
      </c>
      <c r="F928" s="6"/>
      <c r="G928" s="6"/>
      <c r="H928" s="8" t="s">
        <v>93</v>
      </c>
      <c r="I928" s="6" t="s">
        <v>91</v>
      </c>
      <c r="J928" s="6" t="s">
        <v>371</v>
      </c>
      <c r="K928" s="6" t="s">
        <v>385</v>
      </c>
      <c r="L928" s="6" t="str">
        <f>IF(J928="כן", K928, VLOOKUP(LEFT(H928, 7), 'קטלוג תרחישים'!$A:$M, 13, FALSE))</f>
        <v>ג</v>
      </c>
      <c r="M928" s="10"/>
      <c r="N928" s="23" t="s">
        <v>358</v>
      </c>
      <c r="O928" s="10" t="str" cm="1">
        <f t="array" ref="O928">_xlfn.IFS(N928="A","א'", N928="B", "ב'", N928= "C", "ג'")</f>
        <v>ג'</v>
      </c>
      <c r="P928" s="10">
        <f>IF(Table_2[[#This Row],[Correct_Answer]]=Table_2[[#This Row],[System_Recommendation]],1,0)</f>
        <v>1</v>
      </c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6" t="s">
        <v>213</v>
      </c>
      <c r="B929" s="6">
        <v>4</v>
      </c>
      <c r="C929" s="6" t="s">
        <v>370</v>
      </c>
      <c r="D929" s="6"/>
      <c r="E929" s="6" t="s">
        <v>105</v>
      </c>
      <c r="F929" s="6"/>
      <c r="G929" s="6"/>
      <c r="H929" s="8" t="s">
        <v>94</v>
      </c>
      <c r="I929" s="6" t="s">
        <v>91</v>
      </c>
      <c r="J929" s="6" t="s">
        <v>371</v>
      </c>
      <c r="K929" s="6" t="s">
        <v>384</v>
      </c>
      <c r="L929" s="6" t="str">
        <f>IF(J929="כן", K929, VLOOKUP(LEFT(H929, 7), 'קטלוג תרחישים'!$A:$M, 13, FALSE))</f>
        <v>ב'</v>
      </c>
      <c r="M929" s="10"/>
      <c r="N929" s="24" t="s">
        <v>357</v>
      </c>
      <c r="O929" s="10" t="str" cm="1">
        <f t="array" ref="O929">_xlfn.IFS(N929="A","א'", N929="B", "ב'", N929= "C", "ג'")</f>
        <v>ב'</v>
      </c>
      <c r="P929" s="10">
        <f>IF(Table_2[[#This Row],[Correct_Answer]]=Table_2[[#This Row],[System_Recommendation]],1,0)</f>
        <v>1</v>
      </c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6" t="s">
        <v>213</v>
      </c>
      <c r="B930" s="6">
        <v>5</v>
      </c>
      <c r="C930" s="6" t="s">
        <v>370</v>
      </c>
      <c r="D930" s="6"/>
      <c r="E930" s="6" t="s">
        <v>111</v>
      </c>
      <c r="F930" s="6"/>
      <c r="G930" s="6"/>
      <c r="H930" s="8" t="s">
        <v>95</v>
      </c>
      <c r="I930" s="6" t="s">
        <v>91</v>
      </c>
      <c r="J930" s="6" t="s">
        <v>371</v>
      </c>
      <c r="K930" s="6" t="s">
        <v>383</v>
      </c>
      <c r="L930" s="6" t="str">
        <f>IF(J930="כן", K930, VLOOKUP(LEFT(H930, 7), 'קטלוג תרחישים'!$A:$M, 13, FALSE))</f>
        <v>א'</v>
      </c>
      <c r="M930" s="10"/>
      <c r="N930" s="23" t="s">
        <v>352</v>
      </c>
      <c r="O930" s="10" t="str" cm="1">
        <f t="array" ref="O930">_xlfn.IFS(N930="A","א'", N930="B", "ב'", N930= "C", "ג'")</f>
        <v>א'</v>
      </c>
      <c r="P930" s="10">
        <f>IF(Table_2[[#This Row],[Correct_Answer]]=Table_2[[#This Row],[System_Recommendation]],1,0)</f>
        <v>1</v>
      </c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6" t="s">
        <v>213</v>
      </c>
      <c r="B931" s="6">
        <v>6</v>
      </c>
      <c r="C931" s="6" t="s">
        <v>370</v>
      </c>
      <c r="D931" s="6"/>
      <c r="E931" s="6" t="s">
        <v>111</v>
      </c>
      <c r="F931" s="6"/>
      <c r="G931" s="6"/>
      <c r="H931" s="8" t="s">
        <v>96</v>
      </c>
      <c r="I931" s="6" t="s">
        <v>91</v>
      </c>
      <c r="J931" s="6" t="s">
        <v>371</v>
      </c>
      <c r="K931" s="6" t="s">
        <v>385</v>
      </c>
      <c r="L931" s="6" t="str">
        <f>IF(J931="כן", K931, VLOOKUP(LEFT(H931, 7), 'קטלוג תרחישים'!$A:$M, 13, FALSE))</f>
        <v>ג</v>
      </c>
      <c r="M931" s="10"/>
      <c r="N931" s="24" t="s">
        <v>358</v>
      </c>
      <c r="O931" s="10" t="str" cm="1">
        <f t="array" ref="O931">_xlfn.IFS(N931="A","א'", N931="B", "ב'", N931= "C", "ג'")</f>
        <v>ג'</v>
      </c>
      <c r="P931" s="10">
        <f>IF(Table_2[[#This Row],[Correct_Answer]]=Table_2[[#This Row],[System_Recommendation]],1,0)</f>
        <v>1</v>
      </c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6" t="s">
        <v>213</v>
      </c>
      <c r="B932" s="6">
        <v>7</v>
      </c>
      <c r="C932" s="6" t="s">
        <v>372</v>
      </c>
      <c r="D932" s="6">
        <v>1</v>
      </c>
      <c r="E932" s="6" t="s">
        <v>105</v>
      </c>
      <c r="F932" s="6" t="s">
        <v>373</v>
      </c>
      <c r="G932" s="6" t="s">
        <v>97</v>
      </c>
      <c r="H932" s="6" t="s">
        <v>191</v>
      </c>
      <c r="I932" s="6" t="s">
        <v>91</v>
      </c>
      <c r="J932" s="6" t="s">
        <v>371</v>
      </c>
      <c r="K932" s="6" t="s">
        <v>385</v>
      </c>
      <c r="L932" s="6" t="str">
        <f>IF(J932="כן", K932, VLOOKUP(LEFT(H932, 7), 'קטלוג תרחישים'!$A:$M, 13, FALSE))</f>
        <v>ג</v>
      </c>
      <c r="M932" s="10"/>
      <c r="N932" s="23" t="s">
        <v>358</v>
      </c>
      <c r="O932" s="10" t="str" cm="1">
        <f t="array" ref="O932">_xlfn.IFS(N932="A","א'", N932="B", "ב'", N932= "C", "ג'")</f>
        <v>ג'</v>
      </c>
      <c r="P932" s="10">
        <f>IF(Table_2[[#This Row],[Correct_Answer]]=Table_2[[#This Row],[System_Recommendation]],1,0)</f>
        <v>1</v>
      </c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6" t="s">
        <v>213</v>
      </c>
      <c r="B933" s="6">
        <v>8</v>
      </c>
      <c r="C933" s="6" t="s">
        <v>372</v>
      </c>
      <c r="D933" s="6">
        <v>1</v>
      </c>
      <c r="E933" s="6" t="s">
        <v>105</v>
      </c>
      <c r="F933" s="6" t="s">
        <v>373</v>
      </c>
      <c r="G933" s="6" t="s">
        <v>97</v>
      </c>
      <c r="H933" s="6" t="s">
        <v>190</v>
      </c>
      <c r="I933" s="6" t="s">
        <v>100</v>
      </c>
      <c r="J933" s="6" t="s">
        <v>371</v>
      </c>
      <c r="K933" s="6" t="s">
        <v>384</v>
      </c>
      <c r="L933" s="6" t="str">
        <f>IF(J933="כן", K933, VLOOKUP(LEFT(H933, 7), 'קטלוג תרחישים'!$A:$M, 13, FALSE))</f>
        <v>ב'</v>
      </c>
      <c r="M933" s="10"/>
      <c r="N933" s="24" t="s">
        <v>357</v>
      </c>
      <c r="O933" s="10" t="str" cm="1">
        <f t="array" ref="O933">_xlfn.IFS(N933="A","א'", N933="B", "ב'", N933= "C", "ג'")</f>
        <v>ב'</v>
      </c>
      <c r="P933" s="10">
        <f>IF(Table_2[[#This Row],[Correct_Answer]]=Table_2[[#This Row],[System_Recommendation]],1,0)</f>
        <v>1</v>
      </c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6" t="s">
        <v>213</v>
      </c>
      <c r="B934" s="6">
        <v>9</v>
      </c>
      <c r="C934" s="6" t="s">
        <v>372</v>
      </c>
      <c r="D934" s="6">
        <v>1</v>
      </c>
      <c r="E934" s="6" t="s">
        <v>105</v>
      </c>
      <c r="F934" s="6" t="s">
        <v>373</v>
      </c>
      <c r="G934" s="6" t="s">
        <v>97</v>
      </c>
      <c r="H934" s="6" t="s">
        <v>189</v>
      </c>
      <c r="I934" s="6" t="s">
        <v>91</v>
      </c>
      <c r="J934" s="6" t="s">
        <v>371</v>
      </c>
      <c r="K934" s="6" t="s">
        <v>384</v>
      </c>
      <c r="L934" s="6" t="str">
        <f>IF(J934="כן", K934, VLOOKUP(LEFT(H934, 7), 'קטלוג תרחישים'!$A:$M, 13, FALSE))</f>
        <v>ב'</v>
      </c>
      <c r="M934" s="10"/>
      <c r="N934" s="23" t="s">
        <v>357</v>
      </c>
      <c r="O934" s="10" t="str" cm="1">
        <f t="array" ref="O934">_xlfn.IFS(N934="A","א'", N934="B", "ב'", N934= "C", "ג'")</f>
        <v>ב'</v>
      </c>
      <c r="P934" s="10">
        <f>IF(Table_2[[#This Row],[Correct_Answer]]=Table_2[[#This Row],[System_Recommendation]],1,0)</f>
        <v>1</v>
      </c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6" t="s">
        <v>213</v>
      </c>
      <c r="B935" s="6">
        <v>10</v>
      </c>
      <c r="C935" s="6" t="s">
        <v>372</v>
      </c>
      <c r="D935" s="6">
        <v>1</v>
      </c>
      <c r="E935" s="6" t="s">
        <v>105</v>
      </c>
      <c r="F935" s="6" t="s">
        <v>373</v>
      </c>
      <c r="G935" s="6" t="s">
        <v>97</v>
      </c>
      <c r="H935" s="6" t="s">
        <v>192</v>
      </c>
      <c r="I935" s="6" t="s">
        <v>100</v>
      </c>
      <c r="J935" s="6" t="s">
        <v>374</v>
      </c>
      <c r="K935" s="6" t="s">
        <v>384</v>
      </c>
      <c r="L935" s="6" t="str">
        <f>IF(J935="כן", K935, VLOOKUP(LEFT(H935, 7), 'קטלוג תרחישים'!$A:$M, 13, FALSE))</f>
        <v>ג'</v>
      </c>
      <c r="M935" s="10"/>
      <c r="N935" s="24" t="s">
        <v>357</v>
      </c>
      <c r="O935" s="10" t="str" cm="1">
        <f t="array" ref="O935">_xlfn.IFS(N935="A","א'", N935="B", "ב'", N935= "C", "ג'")</f>
        <v>ב'</v>
      </c>
      <c r="P935" s="10">
        <f>IF(Table_2[[#This Row],[Correct_Answer]]=Table_2[[#This Row],[System_Recommendation]],1,0)</f>
        <v>0</v>
      </c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6" t="s">
        <v>213</v>
      </c>
      <c r="B936" s="6">
        <v>11</v>
      </c>
      <c r="C936" s="6" t="s">
        <v>372</v>
      </c>
      <c r="D936" s="6">
        <v>1</v>
      </c>
      <c r="E936" s="6" t="s">
        <v>105</v>
      </c>
      <c r="F936" s="6" t="s">
        <v>373</v>
      </c>
      <c r="G936" s="6" t="s">
        <v>97</v>
      </c>
      <c r="H936" s="6" t="s">
        <v>193</v>
      </c>
      <c r="I936" s="6" t="s">
        <v>91</v>
      </c>
      <c r="J936" s="6" t="s">
        <v>371</v>
      </c>
      <c r="K936" s="6" t="s">
        <v>383</v>
      </c>
      <c r="L936" s="6" t="str">
        <f>IF(J936="כן", K936, VLOOKUP(LEFT(H936, 7), 'קטלוג תרחישים'!$A:$M, 13, FALSE))</f>
        <v>א'</v>
      </c>
      <c r="M936" s="10"/>
      <c r="N936" s="23" t="s">
        <v>352</v>
      </c>
      <c r="O936" s="10" t="str" cm="1">
        <f t="array" ref="O936">_xlfn.IFS(N936="A","א'", N936="B", "ב'", N936= "C", "ג'")</f>
        <v>א'</v>
      </c>
      <c r="P936" s="10">
        <f>IF(Table_2[[#This Row],[Correct_Answer]]=Table_2[[#This Row],[System_Recommendation]],1,0)</f>
        <v>1</v>
      </c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6" t="s">
        <v>213</v>
      </c>
      <c r="B937" s="6">
        <v>12</v>
      </c>
      <c r="C937" s="6" t="s">
        <v>372</v>
      </c>
      <c r="D937" s="6">
        <v>2</v>
      </c>
      <c r="E937" s="6" t="s">
        <v>111</v>
      </c>
      <c r="F937" s="6" t="s">
        <v>373</v>
      </c>
      <c r="G937" s="6" t="s">
        <v>97</v>
      </c>
      <c r="H937" s="6" t="s">
        <v>181</v>
      </c>
      <c r="I937" s="6" t="s">
        <v>100</v>
      </c>
      <c r="J937" s="6" t="s">
        <v>371</v>
      </c>
      <c r="K937" s="6" t="s">
        <v>385</v>
      </c>
      <c r="L937" s="6" t="str">
        <f>IF(J937="כן", K937, VLOOKUP(LEFT(H937, 7), 'קטלוג תרחישים'!$A:$M, 13, FALSE))</f>
        <v>ג</v>
      </c>
      <c r="M937" s="10"/>
      <c r="N937" s="24" t="s">
        <v>358</v>
      </c>
      <c r="O937" s="10" t="str" cm="1">
        <f t="array" ref="O937">_xlfn.IFS(N937="A","א'", N937="B", "ב'", N937= "C", "ג'")</f>
        <v>ג'</v>
      </c>
      <c r="P937" s="10">
        <f>IF(Table_2[[#This Row],[Correct_Answer]]=Table_2[[#This Row],[System_Recommendation]],1,0)</f>
        <v>1</v>
      </c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6" t="s">
        <v>213</v>
      </c>
      <c r="B938" s="6">
        <v>13</v>
      </c>
      <c r="C938" s="6" t="s">
        <v>372</v>
      </c>
      <c r="D938" s="6">
        <v>2</v>
      </c>
      <c r="E938" s="6" t="s">
        <v>111</v>
      </c>
      <c r="F938" s="6" t="s">
        <v>373</v>
      </c>
      <c r="G938" s="6" t="s">
        <v>97</v>
      </c>
      <c r="H938" s="6" t="s">
        <v>180</v>
      </c>
      <c r="I938" s="6" t="s">
        <v>91</v>
      </c>
      <c r="J938" s="6" t="s">
        <v>371</v>
      </c>
      <c r="K938" s="6" t="s">
        <v>384</v>
      </c>
      <c r="L938" s="6" t="str">
        <f>IF(J938="כן", K938, VLOOKUP(LEFT(H938, 7), 'קטלוג תרחישים'!$A:$M, 13, FALSE))</f>
        <v>ב'</v>
      </c>
      <c r="M938" s="10"/>
      <c r="N938" s="23" t="s">
        <v>357</v>
      </c>
      <c r="O938" s="10" t="str" cm="1">
        <f t="array" ref="O938">_xlfn.IFS(N938="A","א'", N938="B", "ב'", N938= "C", "ג'")</f>
        <v>ב'</v>
      </c>
      <c r="P938" s="10">
        <f>IF(Table_2[[#This Row],[Correct_Answer]]=Table_2[[#This Row],[System_Recommendation]],1,0)</f>
        <v>1</v>
      </c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6" t="s">
        <v>213</v>
      </c>
      <c r="B939" s="6">
        <v>14</v>
      </c>
      <c r="C939" s="6" t="s">
        <v>372</v>
      </c>
      <c r="D939" s="6">
        <v>2</v>
      </c>
      <c r="E939" s="6" t="s">
        <v>111</v>
      </c>
      <c r="F939" s="6" t="s">
        <v>373</v>
      </c>
      <c r="G939" s="6" t="s">
        <v>97</v>
      </c>
      <c r="H939" s="6" t="s">
        <v>179</v>
      </c>
      <c r="I939" s="6" t="s">
        <v>100</v>
      </c>
      <c r="J939" s="6" t="s">
        <v>374</v>
      </c>
      <c r="K939" s="6" t="s">
        <v>385</v>
      </c>
      <c r="L939" s="6" t="str">
        <f>IF(J939="כן", K939, VLOOKUP(LEFT(H939, 7), 'קטלוג תרחישים'!$A:$M, 13, FALSE))</f>
        <v>ג'</v>
      </c>
      <c r="M939" s="10"/>
      <c r="N939" s="24" t="s">
        <v>358</v>
      </c>
      <c r="O939" s="10" t="str" cm="1">
        <f t="array" ref="O939">_xlfn.IFS(N939="A","א'", N939="B", "ב'", N939= "C", "ג'")</f>
        <v>ג'</v>
      </c>
      <c r="P939" s="10">
        <f>IF(Table_2[[#This Row],[Correct_Answer]]=Table_2[[#This Row],[System_Recommendation]],1,0)</f>
        <v>0</v>
      </c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6" t="s">
        <v>213</v>
      </c>
      <c r="B940" s="6">
        <v>15</v>
      </c>
      <c r="C940" s="6" t="s">
        <v>372</v>
      </c>
      <c r="D940" s="6">
        <v>2</v>
      </c>
      <c r="E940" s="6" t="s">
        <v>111</v>
      </c>
      <c r="F940" s="6" t="s">
        <v>373</v>
      </c>
      <c r="G940" s="6" t="s">
        <v>97</v>
      </c>
      <c r="H940" s="6" t="s">
        <v>182</v>
      </c>
      <c r="I940" s="6" t="s">
        <v>91</v>
      </c>
      <c r="J940" s="6" t="s">
        <v>371</v>
      </c>
      <c r="K940" s="6" t="s">
        <v>383</v>
      </c>
      <c r="L940" s="6" t="str">
        <f>IF(J940="כן", K940, VLOOKUP(LEFT(H940, 7), 'קטלוג תרחישים'!$A:$M, 13, FALSE))</f>
        <v>א'</v>
      </c>
      <c r="M940" s="10"/>
      <c r="N940" s="23" t="s">
        <v>352</v>
      </c>
      <c r="O940" s="10" t="str" cm="1">
        <f t="array" ref="O940">_xlfn.IFS(N940="A","א'", N940="B", "ב'", N940= "C", "ג'")</f>
        <v>א'</v>
      </c>
      <c r="P940" s="10">
        <f>IF(Table_2[[#This Row],[Correct_Answer]]=Table_2[[#This Row],[System_Recommendation]],1,0)</f>
        <v>1</v>
      </c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6" t="s">
        <v>213</v>
      </c>
      <c r="B941" s="6">
        <v>16</v>
      </c>
      <c r="C941" s="6" t="s">
        <v>372</v>
      </c>
      <c r="D941" s="6">
        <v>2</v>
      </c>
      <c r="E941" s="6" t="s">
        <v>111</v>
      </c>
      <c r="F941" s="6" t="s">
        <v>373</v>
      </c>
      <c r="G941" s="6" t="s">
        <v>97</v>
      </c>
      <c r="H941" s="6" t="s">
        <v>183</v>
      </c>
      <c r="I941" s="6" t="s">
        <v>100</v>
      </c>
      <c r="J941" s="6" t="s">
        <v>371</v>
      </c>
      <c r="K941" s="6" t="s">
        <v>385</v>
      </c>
      <c r="L941" s="6" t="str">
        <f>IF(J941="כן", K941, VLOOKUP(LEFT(H941, 7), 'קטלוג תרחישים'!$A:$M, 13, FALSE))</f>
        <v>ג</v>
      </c>
      <c r="M941" s="10"/>
      <c r="N941" s="24" t="s">
        <v>358</v>
      </c>
      <c r="O941" s="10" t="str" cm="1">
        <f t="array" ref="O941">_xlfn.IFS(N941="A","א'", N941="B", "ב'", N941= "C", "ג'")</f>
        <v>ג'</v>
      </c>
      <c r="P941" s="10">
        <f>IF(Table_2[[#This Row],[Correct_Answer]]=Table_2[[#This Row],[System_Recommendation]],1,0)</f>
        <v>1</v>
      </c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6" t="s">
        <v>213</v>
      </c>
      <c r="B942" s="6">
        <v>17</v>
      </c>
      <c r="C942" s="6" t="s">
        <v>372</v>
      </c>
      <c r="D942" s="6">
        <v>3</v>
      </c>
      <c r="E942" s="6" t="s">
        <v>98</v>
      </c>
      <c r="F942" s="6" t="s">
        <v>373</v>
      </c>
      <c r="G942" s="6" t="s">
        <v>97</v>
      </c>
      <c r="H942" s="6" t="s">
        <v>188</v>
      </c>
      <c r="I942" s="6" t="s">
        <v>91</v>
      </c>
      <c r="J942" s="6" t="s">
        <v>371</v>
      </c>
      <c r="K942" s="6" t="s">
        <v>385</v>
      </c>
      <c r="L942" s="6" t="str">
        <f>IF(J942="כן", K942, VLOOKUP(LEFT(H942, 7), 'קטלוג תרחישים'!$A:$M, 13, FALSE))</f>
        <v>ג</v>
      </c>
      <c r="M942" s="10"/>
      <c r="N942" s="23" t="s">
        <v>358</v>
      </c>
      <c r="O942" s="10" t="str" cm="1">
        <f t="array" ref="O942">_xlfn.IFS(N942="A","א'", N942="B", "ב'", N942= "C", "ג'")</f>
        <v>ג'</v>
      </c>
      <c r="P942" s="10">
        <f>IF(Table_2[[#This Row],[Correct_Answer]]=Table_2[[#This Row],[System_Recommendation]],1,0)</f>
        <v>1</v>
      </c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6" t="s">
        <v>213</v>
      </c>
      <c r="B943" s="6">
        <v>18</v>
      </c>
      <c r="C943" s="6" t="s">
        <v>372</v>
      </c>
      <c r="D943" s="6">
        <v>3</v>
      </c>
      <c r="E943" s="6" t="s">
        <v>98</v>
      </c>
      <c r="F943" s="6" t="s">
        <v>373</v>
      </c>
      <c r="G943" s="6" t="s">
        <v>97</v>
      </c>
      <c r="H943" s="6" t="s">
        <v>187</v>
      </c>
      <c r="I943" s="6" t="s">
        <v>100</v>
      </c>
      <c r="J943" s="6" t="s">
        <v>371</v>
      </c>
      <c r="K943" s="6" t="s">
        <v>384</v>
      </c>
      <c r="L943" s="6" t="str">
        <f>IF(J943="כן", K943, VLOOKUP(LEFT(H943, 7), 'קטלוג תרחישים'!$A:$M, 13, FALSE))</f>
        <v>ב'</v>
      </c>
      <c r="M943" s="10"/>
      <c r="N943" s="24" t="s">
        <v>357</v>
      </c>
      <c r="O943" s="10" t="str" cm="1">
        <f t="array" ref="O943">_xlfn.IFS(N943="A","א'", N943="B", "ב'", N943= "C", "ג'")</f>
        <v>ב'</v>
      </c>
      <c r="P943" s="10">
        <f>IF(Table_2[[#This Row],[Correct_Answer]]=Table_2[[#This Row],[System_Recommendation]],1,0)</f>
        <v>1</v>
      </c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6" t="s">
        <v>213</v>
      </c>
      <c r="B944" s="6">
        <v>19</v>
      </c>
      <c r="C944" s="6" t="s">
        <v>372</v>
      </c>
      <c r="D944" s="6">
        <v>3</v>
      </c>
      <c r="E944" s="6" t="s">
        <v>98</v>
      </c>
      <c r="F944" s="6" t="s">
        <v>373</v>
      </c>
      <c r="G944" s="6" t="s">
        <v>97</v>
      </c>
      <c r="H944" s="6" t="s">
        <v>184</v>
      </c>
      <c r="I944" s="6" t="s">
        <v>91</v>
      </c>
      <c r="J944" s="6" t="s">
        <v>374</v>
      </c>
      <c r="K944" s="6" t="s">
        <v>383</v>
      </c>
      <c r="L944" s="6" t="str">
        <f>IF(J944="כן", K944, VLOOKUP(LEFT(H944, 7), 'קטלוג תרחישים'!$A:$M, 13, FALSE))</f>
        <v>א'</v>
      </c>
      <c r="M944" s="10"/>
      <c r="N944" s="23" t="s">
        <v>352</v>
      </c>
      <c r="O944" s="10" t="str" cm="1">
        <f t="array" ref="O944">_xlfn.IFS(N944="A","א'", N944="B", "ב'", N944= "C", "ג'")</f>
        <v>א'</v>
      </c>
      <c r="P944" s="10">
        <f>IF(Table_2[[#This Row],[Correct_Answer]]=Table_2[[#This Row],[System_Recommendation]],1,0)</f>
        <v>1</v>
      </c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6" t="s">
        <v>213</v>
      </c>
      <c r="B945" s="6">
        <v>20</v>
      </c>
      <c r="C945" s="6" t="s">
        <v>372</v>
      </c>
      <c r="D945" s="6">
        <v>3</v>
      </c>
      <c r="E945" s="6" t="s">
        <v>98</v>
      </c>
      <c r="F945" s="6" t="s">
        <v>373</v>
      </c>
      <c r="G945" s="6" t="s">
        <v>97</v>
      </c>
      <c r="H945" s="6" t="s">
        <v>185</v>
      </c>
      <c r="I945" s="6" t="s">
        <v>100</v>
      </c>
      <c r="J945" s="6" t="s">
        <v>371</v>
      </c>
      <c r="K945" s="6" t="s">
        <v>385</v>
      </c>
      <c r="L945" s="6" t="str">
        <f>IF(J945="כן", K945, VLOOKUP(LEFT(H945, 7), 'קטלוג תרחישים'!$A:$M, 13, FALSE))</f>
        <v>ג</v>
      </c>
      <c r="M945" s="10"/>
      <c r="N945" s="24" t="s">
        <v>358</v>
      </c>
      <c r="O945" s="10" t="str" cm="1">
        <f t="array" ref="O945">_xlfn.IFS(N945="A","א'", N945="B", "ב'", N945= "C", "ג'")</f>
        <v>ג'</v>
      </c>
      <c r="P945" s="10">
        <f>IF(Table_2[[#This Row],[Correct_Answer]]=Table_2[[#This Row],[System_Recommendation]],1,0)</f>
        <v>1</v>
      </c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6" t="s">
        <v>213</v>
      </c>
      <c r="B946" s="6">
        <v>21</v>
      </c>
      <c r="C946" s="6" t="s">
        <v>372</v>
      </c>
      <c r="D946" s="6">
        <v>3</v>
      </c>
      <c r="E946" s="6" t="s">
        <v>98</v>
      </c>
      <c r="F946" s="6" t="s">
        <v>373</v>
      </c>
      <c r="G946" s="6" t="s">
        <v>97</v>
      </c>
      <c r="H946" s="6" t="s">
        <v>186</v>
      </c>
      <c r="I946" s="6" t="s">
        <v>91</v>
      </c>
      <c r="J946" s="6" t="s">
        <v>371</v>
      </c>
      <c r="K946" s="6" t="s">
        <v>384</v>
      </c>
      <c r="L946" s="6" t="str">
        <f>IF(J946="כן", K946, VLOOKUP(LEFT(H946, 7), 'קטלוג תרחישים'!$A:$M, 13, FALSE))</f>
        <v>ב'</v>
      </c>
      <c r="M946" s="10"/>
      <c r="N946" s="23" t="s">
        <v>357</v>
      </c>
      <c r="O946" s="10" t="str" cm="1">
        <f t="array" ref="O946">_xlfn.IFS(N946="A","א'", N946="B", "ב'", N946= "C", "ג'")</f>
        <v>ב'</v>
      </c>
      <c r="P946" s="10">
        <f>IF(Table_2[[#This Row],[Correct_Answer]]=Table_2[[#This Row],[System_Recommendation]],1,0)</f>
        <v>1</v>
      </c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6" t="s">
        <v>213</v>
      </c>
      <c r="B947" s="6">
        <v>22</v>
      </c>
      <c r="C947" s="6" t="s">
        <v>372</v>
      </c>
      <c r="D947" s="6">
        <v>1</v>
      </c>
      <c r="E947" s="6" t="s">
        <v>111</v>
      </c>
      <c r="F947" s="6" t="s">
        <v>375</v>
      </c>
      <c r="G947" s="6" t="s">
        <v>117</v>
      </c>
      <c r="H947" s="6" t="s">
        <v>204</v>
      </c>
      <c r="I947" s="6" t="s">
        <v>91</v>
      </c>
      <c r="J947" s="6" t="s">
        <v>371</v>
      </c>
      <c r="K947" s="6" t="s">
        <v>385</v>
      </c>
      <c r="L947" s="6" t="str">
        <f>IF(J947="כן", K947, VLOOKUP(LEFT(H947, 7), 'קטלוג תרחישים'!$A:$M, 13, FALSE))</f>
        <v>ג</v>
      </c>
      <c r="M947" s="10"/>
      <c r="N947" s="24" t="s">
        <v>358</v>
      </c>
      <c r="O947" s="10" t="str" cm="1">
        <f t="array" ref="O947">_xlfn.IFS(N947="A","א'", N947="B", "ב'", N947= "C", "ג'")</f>
        <v>ג'</v>
      </c>
      <c r="P947" s="10">
        <f>IF(Table_2[[#This Row],[Correct_Answer]]=Table_2[[#This Row],[System_Recommendation]],1,0)</f>
        <v>1</v>
      </c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6" t="s">
        <v>213</v>
      </c>
      <c r="B948" s="6">
        <v>23</v>
      </c>
      <c r="C948" s="6" t="s">
        <v>372</v>
      </c>
      <c r="D948" s="6">
        <v>1</v>
      </c>
      <c r="E948" s="6" t="s">
        <v>111</v>
      </c>
      <c r="F948" s="6" t="s">
        <v>375</v>
      </c>
      <c r="G948" s="6" t="s">
        <v>117</v>
      </c>
      <c r="H948" s="6" t="s">
        <v>205</v>
      </c>
      <c r="I948" s="6" t="s">
        <v>100</v>
      </c>
      <c r="J948" s="6" t="s">
        <v>374</v>
      </c>
      <c r="K948" s="6" t="s">
        <v>385</v>
      </c>
      <c r="L948" s="6" t="str">
        <f>IF(J948="כן", K948, VLOOKUP(LEFT(H948, 7), 'קטלוג תרחישים'!$A:$M, 13, FALSE))</f>
        <v>ג'</v>
      </c>
      <c r="M948" s="10"/>
      <c r="N948" s="23" t="s">
        <v>358</v>
      </c>
      <c r="O948" s="10" t="str" cm="1">
        <f t="array" ref="O948">_xlfn.IFS(N948="A","א'", N948="B", "ב'", N948= "C", "ג'")</f>
        <v>ג'</v>
      </c>
      <c r="P948" s="10">
        <f>IF(Table_2[[#This Row],[Correct_Answer]]=Table_2[[#This Row],[System_Recommendation]],1,0)</f>
        <v>0</v>
      </c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6" t="s">
        <v>213</v>
      </c>
      <c r="B949" s="6">
        <v>24</v>
      </c>
      <c r="C949" s="6" t="s">
        <v>372</v>
      </c>
      <c r="D949" s="6">
        <v>1</v>
      </c>
      <c r="E949" s="6" t="s">
        <v>111</v>
      </c>
      <c r="F949" s="6" t="s">
        <v>375</v>
      </c>
      <c r="G949" s="6" t="s">
        <v>117</v>
      </c>
      <c r="H949" s="6" t="s">
        <v>202</v>
      </c>
      <c r="I949" s="6" t="s">
        <v>91</v>
      </c>
      <c r="J949" s="6" t="s">
        <v>374</v>
      </c>
      <c r="K949" s="6" t="s">
        <v>384</v>
      </c>
      <c r="L949" s="6" t="str">
        <f>IF(J949="כן", K949, VLOOKUP(LEFT(H949, 7), 'קטלוג תרחישים'!$A:$M, 13, FALSE))</f>
        <v>א'</v>
      </c>
      <c r="M949" s="10"/>
      <c r="N949" s="24" t="s">
        <v>357</v>
      </c>
      <c r="O949" s="10" t="str" cm="1">
        <f t="array" ref="O949">_xlfn.IFS(N949="A","א'", N949="B", "ב'", N949= "C", "ג'")</f>
        <v>ב'</v>
      </c>
      <c r="P949" s="10">
        <f>IF(Table_2[[#This Row],[Correct_Answer]]=Table_2[[#This Row],[System_Recommendation]],1,0)</f>
        <v>0</v>
      </c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6" t="s">
        <v>213</v>
      </c>
      <c r="B950" s="6">
        <v>25</v>
      </c>
      <c r="C950" s="6" t="s">
        <v>372</v>
      </c>
      <c r="D950" s="6">
        <v>1</v>
      </c>
      <c r="E950" s="6" t="s">
        <v>111</v>
      </c>
      <c r="F950" s="6" t="s">
        <v>375</v>
      </c>
      <c r="G950" s="6" t="s">
        <v>117</v>
      </c>
      <c r="H950" s="6" t="s">
        <v>203</v>
      </c>
      <c r="I950" s="6" t="s">
        <v>100</v>
      </c>
      <c r="J950" s="6" t="s">
        <v>371</v>
      </c>
      <c r="K950" s="6" t="s">
        <v>385</v>
      </c>
      <c r="L950" s="6" t="str">
        <f>IF(J950="כן", K950, VLOOKUP(LEFT(H950, 7), 'קטלוג תרחישים'!$A:$M, 13, FALSE))</f>
        <v>ג</v>
      </c>
      <c r="M950" s="10"/>
      <c r="N950" s="23" t="s">
        <v>358</v>
      </c>
      <c r="O950" s="10" t="str" cm="1">
        <f t="array" ref="O950">_xlfn.IFS(N950="A","א'", N950="B", "ב'", N950= "C", "ג'")</f>
        <v>ג'</v>
      </c>
      <c r="P950" s="10">
        <f>IF(Table_2[[#This Row],[Correct_Answer]]=Table_2[[#This Row],[System_Recommendation]],1,0)</f>
        <v>1</v>
      </c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6" t="s">
        <v>213</v>
      </c>
      <c r="B951" s="6">
        <v>26</v>
      </c>
      <c r="C951" s="6" t="s">
        <v>372</v>
      </c>
      <c r="D951" s="6">
        <v>2</v>
      </c>
      <c r="E951" s="6" t="s">
        <v>98</v>
      </c>
      <c r="F951" s="6" t="s">
        <v>375</v>
      </c>
      <c r="G951" s="6" t="s">
        <v>117</v>
      </c>
      <c r="H951" s="6" t="s">
        <v>196</v>
      </c>
      <c r="I951" s="6" t="s">
        <v>91</v>
      </c>
      <c r="J951" s="6" t="s">
        <v>374</v>
      </c>
      <c r="K951" s="6" t="s">
        <v>383</v>
      </c>
      <c r="L951" s="6" t="str">
        <f>IF(J951="כן", K951, VLOOKUP(LEFT(H951, 7), 'קטלוג תרחישים'!$A:$M, 13, FALSE))</f>
        <v>א'</v>
      </c>
      <c r="M951" s="10"/>
      <c r="N951" s="24" t="s">
        <v>352</v>
      </c>
      <c r="O951" s="10" t="str" cm="1">
        <f t="array" ref="O951">_xlfn.IFS(N951="A","א'", N951="B", "ב'", N951= "C", "ג'")</f>
        <v>א'</v>
      </c>
      <c r="P951" s="10">
        <f>IF(Table_2[[#This Row],[Correct_Answer]]=Table_2[[#This Row],[System_Recommendation]],1,0)</f>
        <v>1</v>
      </c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6" t="s">
        <v>213</v>
      </c>
      <c r="B952" s="6">
        <v>27</v>
      </c>
      <c r="C952" s="6" t="s">
        <v>372</v>
      </c>
      <c r="D952" s="6">
        <v>2</v>
      </c>
      <c r="E952" s="6" t="s">
        <v>98</v>
      </c>
      <c r="F952" s="6" t="s">
        <v>375</v>
      </c>
      <c r="G952" s="6" t="s">
        <v>117</v>
      </c>
      <c r="H952" s="6" t="s">
        <v>195</v>
      </c>
      <c r="I952" s="6" t="s">
        <v>100</v>
      </c>
      <c r="J952" s="6" t="s">
        <v>371</v>
      </c>
      <c r="K952" s="6" t="s">
        <v>383</v>
      </c>
      <c r="L952" s="6" t="str">
        <f>IF(J952="כן", K952, VLOOKUP(LEFT(H952, 7), 'קטלוג תרחישים'!$A:$M, 13, FALSE))</f>
        <v>א'</v>
      </c>
      <c r="M952" s="10"/>
      <c r="N952" s="23" t="s">
        <v>352</v>
      </c>
      <c r="O952" s="10" t="str" cm="1">
        <f t="array" ref="O952">_xlfn.IFS(N952="A","א'", N952="B", "ב'", N952= "C", "ג'")</f>
        <v>א'</v>
      </c>
      <c r="P952" s="10">
        <f>IF(Table_2[[#This Row],[Correct_Answer]]=Table_2[[#This Row],[System_Recommendation]],1,0)</f>
        <v>1</v>
      </c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6" t="s">
        <v>213</v>
      </c>
      <c r="B953" s="6">
        <v>28</v>
      </c>
      <c r="C953" s="6" t="s">
        <v>372</v>
      </c>
      <c r="D953" s="6">
        <v>2</v>
      </c>
      <c r="E953" s="6" t="s">
        <v>98</v>
      </c>
      <c r="F953" s="6" t="s">
        <v>375</v>
      </c>
      <c r="G953" s="6" t="s">
        <v>117</v>
      </c>
      <c r="H953" s="6" t="s">
        <v>194</v>
      </c>
      <c r="I953" s="6" t="s">
        <v>91</v>
      </c>
      <c r="J953" s="6" t="s">
        <v>371</v>
      </c>
      <c r="K953" s="6" t="s">
        <v>383</v>
      </c>
      <c r="L953" s="6" t="str">
        <f>IF(J953="כן", K953, VLOOKUP(LEFT(H953, 7), 'קטלוג תרחישים'!$A:$M, 13, FALSE))</f>
        <v>א'</v>
      </c>
      <c r="M953" s="10"/>
      <c r="N953" s="24" t="s">
        <v>352</v>
      </c>
      <c r="O953" s="10" t="str" cm="1">
        <f t="array" ref="O953">_xlfn.IFS(N953="A","א'", N953="B", "ב'", N953= "C", "ג'")</f>
        <v>א'</v>
      </c>
      <c r="P953" s="10">
        <f>IF(Table_2[[#This Row],[Correct_Answer]]=Table_2[[#This Row],[System_Recommendation]],1,0)</f>
        <v>1</v>
      </c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6" t="s">
        <v>213</v>
      </c>
      <c r="B954" s="6">
        <v>29</v>
      </c>
      <c r="C954" s="6" t="s">
        <v>372</v>
      </c>
      <c r="D954" s="6">
        <v>2</v>
      </c>
      <c r="E954" s="6" t="s">
        <v>98</v>
      </c>
      <c r="F954" s="6" t="s">
        <v>375</v>
      </c>
      <c r="G954" s="6" t="s">
        <v>117</v>
      </c>
      <c r="H954" s="6" t="s">
        <v>197</v>
      </c>
      <c r="I954" s="6" t="s">
        <v>100</v>
      </c>
      <c r="J954" s="6" t="s">
        <v>374</v>
      </c>
      <c r="K954" s="6" t="s">
        <v>384</v>
      </c>
      <c r="L954" s="6" t="str">
        <f>IF(J954="כן", K954, VLOOKUP(LEFT(H954, 7), 'קטלוג תרחישים'!$A:$M, 13, FALSE))</f>
        <v>ב'</v>
      </c>
      <c r="M954" s="10"/>
      <c r="N954" s="23" t="s">
        <v>357</v>
      </c>
      <c r="O954" s="10" t="str" cm="1">
        <f t="array" ref="O954">_xlfn.IFS(N954="A","א'", N954="B", "ב'", N954= "C", "ג'")</f>
        <v>ב'</v>
      </c>
      <c r="P954" s="10">
        <f>IF(Table_2[[#This Row],[Correct_Answer]]=Table_2[[#This Row],[System_Recommendation]],1,0)</f>
        <v>1</v>
      </c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6" t="s">
        <v>213</v>
      </c>
      <c r="B955" s="6">
        <v>30</v>
      </c>
      <c r="C955" s="6" t="s">
        <v>372</v>
      </c>
      <c r="D955" s="6">
        <v>3</v>
      </c>
      <c r="E955" s="6" t="s">
        <v>105</v>
      </c>
      <c r="F955" s="6" t="s">
        <v>375</v>
      </c>
      <c r="G955" s="6" t="s">
        <v>117</v>
      </c>
      <c r="H955" s="6" t="s">
        <v>200</v>
      </c>
      <c r="I955" s="6" t="s">
        <v>91</v>
      </c>
      <c r="J955" s="6" t="s">
        <v>374</v>
      </c>
      <c r="K955" s="6" t="s">
        <v>384</v>
      </c>
      <c r="L955" s="6" t="str">
        <f>IF(J955="כן", K955, VLOOKUP(LEFT(H955, 7), 'קטלוג תרחישים'!$A:$M, 13, FALSE))</f>
        <v>א'</v>
      </c>
      <c r="M955" s="10"/>
      <c r="N955" s="24" t="s">
        <v>357</v>
      </c>
      <c r="O955" s="10" t="str" cm="1">
        <f t="array" ref="O955">_xlfn.IFS(N955="A","א'", N955="B", "ב'", N955= "C", "ג'")</f>
        <v>ב'</v>
      </c>
      <c r="P955" s="10">
        <f>IF(Table_2[[#This Row],[Correct_Answer]]=Table_2[[#This Row],[System_Recommendation]],1,0)</f>
        <v>0</v>
      </c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6" t="s">
        <v>213</v>
      </c>
      <c r="B956" s="6">
        <v>31</v>
      </c>
      <c r="C956" s="6" t="s">
        <v>372</v>
      </c>
      <c r="D956" s="6">
        <v>3</v>
      </c>
      <c r="E956" s="6" t="s">
        <v>105</v>
      </c>
      <c r="F956" s="6" t="s">
        <v>375</v>
      </c>
      <c r="G956" s="6" t="s">
        <v>117</v>
      </c>
      <c r="H956" s="6" t="s">
        <v>199</v>
      </c>
      <c r="I956" s="6" t="s">
        <v>100</v>
      </c>
      <c r="J956" s="6" t="s">
        <v>374</v>
      </c>
      <c r="K956" s="6" t="s">
        <v>385</v>
      </c>
      <c r="L956" s="6" t="str">
        <f>IF(J956="כן", K956, VLOOKUP(LEFT(H956, 7), 'קטלוג תרחישים'!$A:$M, 13, FALSE))</f>
        <v>ב'</v>
      </c>
      <c r="M956" s="10"/>
      <c r="N956" s="23" t="s">
        <v>358</v>
      </c>
      <c r="O956" s="10" t="str" cm="1">
        <f t="array" ref="O956">_xlfn.IFS(N956="A","א'", N956="B", "ב'", N956= "C", "ג'")</f>
        <v>ג'</v>
      </c>
      <c r="P956" s="10">
        <f>IF(Table_2[[#This Row],[Correct_Answer]]=Table_2[[#This Row],[System_Recommendation]],1,0)</f>
        <v>0</v>
      </c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6" t="s">
        <v>213</v>
      </c>
      <c r="B957" s="6">
        <v>32</v>
      </c>
      <c r="C957" s="6" t="s">
        <v>372</v>
      </c>
      <c r="D957" s="6">
        <v>3</v>
      </c>
      <c r="E957" s="6" t="s">
        <v>105</v>
      </c>
      <c r="F957" s="6" t="s">
        <v>375</v>
      </c>
      <c r="G957" s="6" t="s">
        <v>117</v>
      </c>
      <c r="H957" s="6" t="s">
        <v>198</v>
      </c>
      <c r="I957" s="6" t="s">
        <v>91</v>
      </c>
      <c r="J957" s="6" t="s">
        <v>371</v>
      </c>
      <c r="K957" s="6" t="s">
        <v>383</v>
      </c>
      <c r="L957" s="6" t="str">
        <f>IF(J957="כן", K957, VLOOKUP(LEFT(H957, 7), 'קטלוג תרחישים'!$A:$M, 13, FALSE))</f>
        <v>א'</v>
      </c>
      <c r="M957" s="10"/>
      <c r="N957" s="24" t="s">
        <v>352</v>
      </c>
      <c r="O957" s="10" t="str" cm="1">
        <f t="array" ref="O957">_xlfn.IFS(N957="A","א'", N957="B", "ב'", N957= "C", "ג'")</f>
        <v>א'</v>
      </c>
      <c r="P957" s="10">
        <f>IF(Table_2[[#This Row],[Correct_Answer]]=Table_2[[#This Row],[System_Recommendation]],1,0)</f>
        <v>1</v>
      </c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6" t="s">
        <v>213</v>
      </c>
      <c r="B958" s="6">
        <v>33</v>
      </c>
      <c r="C958" s="6" t="s">
        <v>372</v>
      </c>
      <c r="D958" s="6">
        <v>3</v>
      </c>
      <c r="E958" s="6" t="s">
        <v>105</v>
      </c>
      <c r="F958" s="6" t="s">
        <v>375</v>
      </c>
      <c r="G958" s="6" t="s">
        <v>117</v>
      </c>
      <c r="H958" s="6" t="s">
        <v>201</v>
      </c>
      <c r="I958" s="6" t="s">
        <v>100</v>
      </c>
      <c r="J958" s="6" t="s">
        <v>371</v>
      </c>
      <c r="K958" s="6" t="s">
        <v>383</v>
      </c>
      <c r="L958" s="6" t="str">
        <f>IF(J958="כן", K958, VLOOKUP(LEFT(H958, 7), 'קטלוג תרחישים'!$A:$M, 13, FALSE))</f>
        <v>א'</v>
      </c>
      <c r="M958" s="10"/>
      <c r="N958" s="23" t="s">
        <v>352</v>
      </c>
      <c r="O958" s="10" t="str" cm="1">
        <f t="array" ref="O958">_xlfn.IFS(N958="A","א'", N958="B", "ב'", N958= "C", "ג'")</f>
        <v>א'</v>
      </c>
      <c r="P958" s="10">
        <f>IF(Table_2[[#This Row],[Correct_Answer]]=Table_2[[#This Row],[System_Recommendation]],1,0)</f>
        <v>1</v>
      </c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6" t="s">
        <v>214</v>
      </c>
      <c r="B959" s="6">
        <v>1</v>
      </c>
      <c r="C959" s="6" t="s">
        <v>370</v>
      </c>
      <c r="D959" s="6"/>
      <c r="E959" s="6" t="s">
        <v>98</v>
      </c>
      <c r="F959" s="6"/>
      <c r="G959" s="6"/>
      <c r="H959" s="8" t="s">
        <v>90</v>
      </c>
      <c r="I959" s="6" t="s">
        <v>91</v>
      </c>
      <c r="J959" s="6" t="s">
        <v>371</v>
      </c>
      <c r="K959" s="6" t="s">
        <v>385</v>
      </c>
      <c r="L959" s="6" t="str">
        <f>IF(J959="כן", K959, VLOOKUP(LEFT(H959, 7), 'קטלוג תרחישים'!$A:$M, 13, FALSE))</f>
        <v>ג</v>
      </c>
      <c r="M959" s="10"/>
      <c r="N959" s="24" t="s">
        <v>358</v>
      </c>
      <c r="O959" s="10" t="str" cm="1">
        <f t="array" ref="O959">_xlfn.IFS(N959="A","א'", N959="B", "ב'", N959= "C", "ג'")</f>
        <v>ג'</v>
      </c>
      <c r="P959" s="10">
        <f>IF(Table_2[[#This Row],[Correct_Answer]]=Table_2[[#This Row],[System_Recommendation]],1,0)</f>
        <v>1</v>
      </c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6" t="s">
        <v>214</v>
      </c>
      <c r="B960" s="6">
        <v>2</v>
      </c>
      <c r="C960" s="6" t="s">
        <v>370</v>
      </c>
      <c r="D960" s="6"/>
      <c r="E960" s="6" t="s">
        <v>98</v>
      </c>
      <c r="F960" s="6"/>
      <c r="G960" s="6"/>
      <c r="H960" s="8" t="s">
        <v>92</v>
      </c>
      <c r="I960" s="6" t="s">
        <v>91</v>
      </c>
      <c r="J960" s="6" t="s">
        <v>371</v>
      </c>
      <c r="K960" s="6" t="s">
        <v>385</v>
      </c>
      <c r="L960" s="6" t="str">
        <f>IF(J960="כן", K960, VLOOKUP(LEFT(H960, 7), 'קטלוג תרחישים'!$A:$M, 13, FALSE))</f>
        <v>ג</v>
      </c>
      <c r="M960" s="10"/>
      <c r="N960" s="23" t="s">
        <v>358</v>
      </c>
      <c r="O960" s="10" t="str" cm="1">
        <f t="array" ref="O960">_xlfn.IFS(N960="A","א'", N960="B", "ב'", N960= "C", "ג'")</f>
        <v>ג'</v>
      </c>
      <c r="P960" s="10">
        <f>IF(Table_2[[#This Row],[Correct_Answer]]=Table_2[[#This Row],[System_Recommendation]],1,0)</f>
        <v>1</v>
      </c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6" t="s">
        <v>214</v>
      </c>
      <c r="B961" s="6">
        <v>3</v>
      </c>
      <c r="C961" s="6" t="s">
        <v>370</v>
      </c>
      <c r="D961" s="6"/>
      <c r="E961" s="6" t="s">
        <v>105</v>
      </c>
      <c r="F961" s="6"/>
      <c r="G961" s="6"/>
      <c r="H961" s="8" t="s">
        <v>93</v>
      </c>
      <c r="I961" s="6" t="s">
        <v>91</v>
      </c>
      <c r="J961" s="6" t="s">
        <v>371</v>
      </c>
      <c r="K961" s="6" t="s">
        <v>385</v>
      </c>
      <c r="L961" s="6" t="str">
        <f>IF(J961="כן", K961, VLOOKUP(LEFT(H961, 7), 'קטלוג תרחישים'!$A:$M, 13, FALSE))</f>
        <v>ג</v>
      </c>
      <c r="M961" s="10"/>
      <c r="N961" s="24" t="s">
        <v>358</v>
      </c>
      <c r="O961" s="10" t="str" cm="1">
        <f t="array" ref="O961">_xlfn.IFS(N961="A","א'", N961="B", "ב'", N961= "C", "ג'")</f>
        <v>ג'</v>
      </c>
      <c r="P961" s="10">
        <f>IF(Table_2[[#This Row],[Correct_Answer]]=Table_2[[#This Row],[System_Recommendation]],1,0)</f>
        <v>1</v>
      </c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6" t="s">
        <v>214</v>
      </c>
      <c r="B962" s="6">
        <v>4</v>
      </c>
      <c r="C962" s="6" t="s">
        <v>370</v>
      </c>
      <c r="D962" s="6"/>
      <c r="E962" s="6" t="s">
        <v>105</v>
      </c>
      <c r="F962" s="6"/>
      <c r="G962" s="6"/>
      <c r="H962" s="8" t="s">
        <v>94</v>
      </c>
      <c r="I962" s="6" t="s">
        <v>91</v>
      </c>
      <c r="J962" s="6" t="s">
        <v>371</v>
      </c>
      <c r="K962" s="6" t="s">
        <v>384</v>
      </c>
      <c r="L962" s="6" t="str">
        <f>IF(J962="כן", K962, VLOOKUP(LEFT(H962, 7), 'קטלוג תרחישים'!$A:$M, 13, FALSE))</f>
        <v>ב'</v>
      </c>
      <c r="M962" s="10"/>
      <c r="N962" s="23" t="s">
        <v>357</v>
      </c>
      <c r="O962" s="10" t="str" cm="1">
        <f t="array" ref="O962">_xlfn.IFS(N962="A","א'", N962="B", "ב'", N962= "C", "ג'")</f>
        <v>ב'</v>
      </c>
      <c r="P962" s="10">
        <f>IF(Table_2[[#This Row],[Correct_Answer]]=Table_2[[#This Row],[System_Recommendation]],1,0)</f>
        <v>1</v>
      </c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6" t="s">
        <v>214</v>
      </c>
      <c r="B963" s="6">
        <v>5</v>
      </c>
      <c r="C963" s="6" t="s">
        <v>370</v>
      </c>
      <c r="D963" s="6"/>
      <c r="E963" s="6" t="s">
        <v>111</v>
      </c>
      <c r="F963" s="6"/>
      <c r="G963" s="6"/>
      <c r="H963" s="8" t="s">
        <v>95</v>
      </c>
      <c r="I963" s="6" t="s">
        <v>91</v>
      </c>
      <c r="J963" s="6" t="s">
        <v>371</v>
      </c>
      <c r="K963" s="6" t="s">
        <v>383</v>
      </c>
      <c r="L963" s="6" t="str">
        <f>IF(J963="כן", K963, VLOOKUP(LEFT(H963, 7), 'קטלוג תרחישים'!$A:$M, 13, FALSE))</f>
        <v>א'</v>
      </c>
      <c r="M963" s="10"/>
      <c r="N963" s="24" t="s">
        <v>352</v>
      </c>
      <c r="O963" s="10" t="str" cm="1">
        <f t="array" ref="O963">_xlfn.IFS(N963="A","א'", N963="B", "ב'", N963= "C", "ג'")</f>
        <v>א'</v>
      </c>
      <c r="P963" s="10">
        <f>IF(Table_2[[#This Row],[Correct_Answer]]=Table_2[[#This Row],[System_Recommendation]],1,0)</f>
        <v>1</v>
      </c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6" t="s">
        <v>214</v>
      </c>
      <c r="B964" s="6">
        <v>6</v>
      </c>
      <c r="C964" s="6" t="s">
        <v>370</v>
      </c>
      <c r="D964" s="6"/>
      <c r="E964" s="6" t="s">
        <v>111</v>
      </c>
      <c r="F964" s="6"/>
      <c r="G964" s="6"/>
      <c r="H964" s="8" t="s">
        <v>96</v>
      </c>
      <c r="I964" s="6" t="s">
        <v>91</v>
      </c>
      <c r="J964" s="6" t="s">
        <v>371</v>
      </c>
      <c r="K964" s="6" t="s">
        <v>385</v>
      </c>
      <c r="L964" s="6" t="str">
        <f>IF(J964="כן", K964, VLOOKUP(LEFT(H964, 7), 'קטלוג תרחישים'!$A:$M, 13, FALSE))</f>
        <v>ג</v>
      </c>
      <c r="M964" s="10"/>
      <c r="N964" s="23" t="s">
        <v>358</v>
      </c>
      <c r="O964" s="10" t="str" cm="1">
        <f t="array" ref="O964">_xlfn.IFS(N964="A","א'", N964="B", "ב'", N964= "C", "ג'")</f>
        <v>ג'</v>
      </c>
      <c r="P964" s="10">
        <f>IF(Table_2[[#This Row],[Correct_Answer]]=Table_2[[#This Row],[System_Recommendation]],1,0)</f>
        <v>1</v>
      </c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6" t="s">
        <v>214</v>
      </c>
      <c r="B965" s="6">
        <v>7</v>
      </c>
      <c r="C965" s="6" t="s">
        <v>372</v>
      </c>
      <c r="D965" s="6">
        <v>1</v>
      </c>
      <c r="E965" s="6" t="s">
        <v>98</v>
      </c>
      <c r="F965" s="6" t="s">
        <v>373</v>
      </c>
      <c r="G965" s="6" t="s">
        <v>117</v>
      </c>
      <c r="H965" s="6" t="s">
        <v>194</v>
      </c>
      <c r="I965" s="6" t="s">
        <v>91</v>
      </c>
      <c r="J965" s="6" t="s">
        <v>371</v>
      </c>
      <c r="K965" s="6" t="s">
        <v>385</v>
      </c>
      <c r="L965" s="6" t="str">
        <f>IF(J965="כן", K965, VLOOKUP(LEFT(H965, 7), 'קטלוג תרחישים'!$A:$M, 13, FALSE))</f>
        <v>ג</v>
      </c>
      <c r="M965" s="10"/>
      <c r="N965" s="24" t="s">
        <v>358</v>
      </c>
      <c r="O965" s="10" t="str" cm="1">
        <f t="array" ref="O965">_xlfn.IFS(N965="A","א'", N965="B", "ב'", N965= "C", "ג'")</f>
        <v>ג'</v>
      </c>
      <c r="P965" s="10">
        <f>IF(Table_2[[#This Row],[Correct_Answer]]=Table_2[[#This Row],[System_Recommendation]],1,0)</f>
        <v>1</v>
      </c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6" t="s">
        <v>214</v>
      </c>
      <c r="B966" s="6">
        <v>8</v>
      </c>
      <c r="C966" s="6" t="s">
        <v>372</v>
      </c>
      <c r="D966" s="6">
        <v>1</v>
      </c>
      <c r="E966" s="6" t="s">
        <v>98</v>
      </c>
      <c r="F966" s="6" t="s">
        <v>373</v>
      </c>
      <c r="G966" s="6" t="s">
        <v>117</v>
      </c>
      <c r="H966" s="6" t="s">
        <v>195</v>
      </c>
      <c r="I966" s="6" t="s">
        <v>100</v>
      </c>
      <c r="J966" s="6" t="s">
        <v>374</v>
      </c>
      <c r="K966" s="6" t="s">
        <v>384</v>
      </c>
      <c r="L966" s="6" t="str">
        <f>IF(J966="כן", K966, VLOOKUP(LEFT(H966, 7), 'קטלוג תרחישים'!$A:$M, 13, FALSE))</f>
        <v>ב'</v>
      </c>
      <c r="M966" s="10"/>
      <c r="N966" s="23" t="s">
        <v>357</v>
      </c>
      <c r="O966" s="10" t="str" cm="1">
        <f t="array" ref="O966">_xlfn.IFS(N966="A","א'", N966="B", "ב'", N966= "C", "ג'")</f>
        <v>ב'</v>
      </c>
      <c r="P966" s="10">
        <f>IF(Table_2[[#This Row],[Correct_Answer]]=Table_2[[#This Row],[System_Recommendation]],1,0)</f>
        <v>1</v>
      </c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6" t="s">
        <v>214</v>
      </c>
      <c r="B967" s="6">
        <v>9</v>
      </c>
      <c r="C967" s="6" t="s">
        <v>372</v>
      </c>
      <c r="D967" s="6">
        <v>1</v>
      </c>
      <c r="E967" s="6" t="s">
        <v>98</v>
      </c>
      <c r="F967" s="6" t="s">
        <v>373</v>
      </c>
      <c r="G967" s="6" t="s">
        <v>117</v>
      </c>
      <c r="H967" s="6" t="s">
        <v>196</v>
      </c>
      <c r="I967" s="6" t="s">
        <v>91</v>
      </c>
      <c r="J967" s="6" t="s">
        <v>374</v>
      </c>
      <c r="K967" s="6" t="s">
        <v>384</v>
      </c>
      <c r="L967" s="6" t="str">
        <f>IF(J967="כן", K967, VLOOKUP(LEFT(H967, 7), 'קטלוג תרחישים'!$A:$M, 13, FALSE))</f>
        <v>א'</v>
      </c>
      <c r="M967" s="10"/>
      <c r="N967" s="24" t="s">
        <v>357</v>
      </c>
      <c r="O967" s="10" t="str" cm="1">
        <f t="array" ref="O967">_xlfn.IFS(N967="A","א'", N967="B", "ב'", N967= "C", "ג'")</f>
        <v>ב'</v>
      </c>
      <c r="P967" s="10">
        <f>IF(Table_2[[#This Row],[Correct_Answer]]=Table_2[[#This Row],[System_Recommendation]],1,0)</f>
        <v>0</v>
      </c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6" t="s">
        <v>214</v>
      </c>
      <c r="B968" s="6">
        <v>10</v>
      </c>
      <c r="C968" s="6" t="s">
        <v>372</v>
      </c>
      <c r="D968" s="6">
        <v>1</v>
      </c>
      <c r="E968" s="6" t="s">
        <v>98</v>
      </c>
      <c r="F968" s="6" t="s">
        <v>373</v>
      </c>
      <c r="G968" s="6" t="s">
        <v>117</v>
      </c>
      <c r="H968" s="6" t="s">
        <v>197</v>
      </c>
      <c r="I968" s="6" t="s">
        <v>100</v>
      </c>
      <c r="J968" s="6" t="s">
        <v>371</v>
      </c>
      <c r="K968" s="6" t="s">
        <v>384</v>
      </c>
      <c r="L968" s="6" t="str">
        <f>IF(J968="כן", K968, VLOOKUP(LEFT(H968, 7), 'קטלוג תרחישים'!$A:$M, 13, FALSE))</f>
        <v>ב'</v>
      </c>
      <c r="M968" s="10"/>
      <c r="N968" s="23" t="s">
        <v>357</v>
      </c>
      <c r="O968" s="10" t="str" cm="1">
        <f t="array" ref="O968">_xlfn.IFS(N968="A","א'", N968="B", "ב'", N968= "C", "ג'")</f>
        <v>ב'</v>
      </c>
      <c r="P968" s="10">
        <f>IF(Table_2[[#This Row],[Correct_Answer]]=Table_2[[#This Row],[System_Recommendation]],1,0)</f>
        <v>1</v>
      </c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6" t="s">
        <v>214</v>
      </c>
      <c r="B969" s="6">
        <v>11</v>
      </c>
      <c r="C969" s="6" t="s">
        <v>372</v>
      </c>
      <c r="D969" s="6">
        <v>2</v>
      </c>
      <c r="E969" s="6" t="s">
        <v>105</v>
      </c>
      <c r="F969" s="6" t="s">
        <v>373</v>
      </c>
      <c r="G969" s="6" t="s">
        <v>117</v>
      </c>
      <c r="H969" s="6" t="s">
        <v>198</v>
      </c>
      <c r="I969" s="6" t="s">
        <v>91</v>
      </c>
      <c r="J969" s="6" t="s">
        <v>374</v>
      </c>
      <c r="K969" s="6" t="s">
        <v>383</v>
      </c>
      <c r="L969" s="6" t="str">
        <f>IF(J969="כן", K969, VLOOKUP(LEFT(H969, 7), 'קטלוג תרחישים'!$A:$M, 13, FALSE))</f>
        <v>א'</v>
      </c>
      <c r="M969" s="10"/>
      <c r="N969" s="24" t="s">
        <v>352</v>
      </c>
      <c r="O969" s="10" t="str" cm="1">
        <f t="array" ref="O969">_xlfn.IFS(N969="A","א'", N969="B", "ב'", N969= "C", "ג'")</f>
        <v>א'</v>
      </c>
      <c r="P969" s="10">
        <f>IF(Table_2[[#This Row],[Correct_Answer]]=Table_2[[#This Row],[System_Recommendation]],1,0)</f>
        <v>1</v>
      </c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6" t="s">
        <v>214</v>
      </c>
      <c r="B970" s="6">
        <v>12</v>
      </c>
      <c r="C970" s="6" t="s">
        <v>372</v>
      </c>
      <c r="D970" s="6">
        <v>2</v>
      </c>
      <c r="E970" s="6" t="s">
        <v>105</v>
      </c>
      <c r="F970" s="6" t="s">
        <v>373</v>
      </c>
      <c r="G970" s="6" t="s">
        <v>117</v>
      </c>
      <c r="H970" s="6" t="s">
        <v>201</v>
      </c>
      <c r="I970" s="6" t="s">
        <v>100</v>
      </c>
      <c r="J970" s="6" t="s">
        <v>371</v>
      </c>
      <c r="K970" s="6" t="s">
        <v>385</v>
      </c>
      <c r="L970" s="6" t="str">
        <f>IF(J970="כן", K970, VLOOKUP(LEFT(H970, 7), 'קטלוג תרחישים'!$A:$M, 13, FALSE))</f>
        <v>ג</v>
      </c>
      <c r="M970" s="10"/>
      <c r="N970" s="23" t="s">
        <v>358</v>
      </c>
      <c r="O970" s="10" t="str" cm="1">
        <f t="array" ref="O970">_xlfn.IFS(N970="A","א'", N970="B", "ב'", N970= "C", "ג'")</f>
        <v>ג'</v>
      </c>
      <c r="P970" s="10">
        <f>IF(Table_2[[#This Row],[Correct_Answer]]=Table_2[[#This Row],[System_Recommendation]],1,0)</f>
        <v>1</v>
      </c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6" t="s">
        <v>214</v>
      </c>
      <c r="B971" s="6">
        <v>13</v>
      </c>
      <c r="C971" s="6" t="s">
        <v>372</v>
      </c>
      <c r="D971" s="6">
        <v>2</v>
      </c>
      <c r="E971" s="6" t="s">
        <v>105</v>
      </c>
      <c r="F971" s="6" t="s">
        <v>373</v>
      </c>
      <c r="G971" s="6" t="s">
        <v>117</v>
      </c>
      <c r="H971" s="6" t="s">
        <v>200</v>
      </c>
      <c r="I971" s="6" t="s">
        <v>91</v>
      </c>
      <c r="J971" s="6" t="s">
        <v>371</v>
      </c>
      <c r="K971" s="6" t="s">
        <v>384</v>
      </c>
      <c r="L971" s="6" t="str">
        <f>IF(J971="כן", K971, VLOOKUP(LEFT(H971, 7), 'קטלוג תרחישים'!$A:$M, 13, FALSE))</f>
        <v>ב'</v>
      </c>
      <c r="M971" s="10"/>
      <c r="N971" s="24" t="s">
        <v>357</v>
      </c>
      <c r="O971" s="10" t="str" cm="1">
        <f t="array" ref="O971">_xlfn.IFS(N971="A","א'", N971="B", "ב'", N971= "C", "ג'")</f>
        <v>ב'</v>
      </c>
      <c r="P971" s="10">
        <f>IF(Table_2[[#This Row],[Correct_Answer]]=Table_2[[#This Row],[System_Recommendation]],1,0)</f>
        <v>1</v>
      </c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6" t="s">
        <v>214</v>
      </c>
      <c r="B972" s="6">
        <v>14</v>
      </c>
      <c r="C972" s="6" t="s">
        <v>372</v>
      </c>
      <c r="D972" s="6">
        <v>2</v>
      </c>
      <c r="E972" s="6" t="s">
        <v>105</v>
      </c>
      <c r="F972" s="6" t="s">
        <v>373</v>
      </c>
      <c r="G972" s="6" t="s">
        <v>117</v>
      </c>
      <c r="H972" s="6" t="s">
        <v>199</v>
      </c>
      <c r="I972" s="6" t="s">
        <v>100</v>
      </c>
      <c r="J972" s="6" t="s">
        <v>374</v>
      </c>
      <c r="K972" s="6" t="s">
        <v>385</v>
      </c>
      <c r="L972" s="6" t="str">
        <f>IF(J972="כן", K972, VLOOKUP(LEFT(H972, 7), 'קטלוג תרחישים'!$A:$M, 13, FALSE))</f>
        <v>ב'</v>
      </c>
      <c r="M972" s="10"/>
      <c r="N972" s="23" t="s">
        <v>358</v>
      </c>
      <c r="O972" s="10" t="str" cm="1">
        <f t="array" ref="O972">_xlfn.IFS(N972="A","א'", N972="B", "ב'", N972= "C", "ג'")</f>
        <v>ג'</v>
      </c>
      <c r="P972" s="10">
        <f>IF(Table_2[[#This Row],[Correct_Answer]]=Table_2[[#This Row],[System_Recommendation]],1,0)</f>
        <v>0</v>
      </c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6" t="s">
        <v>214</v>
      </c>
      <c r="B973" s="6">
        <v>15</v>
      </c>
      <c r="C973" s="6" t="s">
        <v>372</v>
      </c>
      <c r="D973" s="6">
        <v>3</v>
      </c>
      <c r="E973" s="6" t="s">
        <v>111</v>
      </c>
      <c r="F973" s="6" t="s">
        <v>373</v>
      </c>
      <c r="G973" s="6" t="s">
        <v>117</v>
      </c>
      <c r="H973" s="6" t="s">
        <v>204</v>
      </c>
      <c r="I973" s="6" t="s">
        <v>91</v>
      </c>
      <c r="J973" s="6" t="s">
        <v>374</v>
      </c>
      <c r="K973" s="6" t="s">
        <v>383</v>
      </c>
      <c r="L973" s="6" t="str">
        <f>IF(J973="כן", K973, VLOOKUP(LEFT(H973, 7), 'קטלוג תרחישים'!$A:$M, 13, FALSE))</f>
        <v>ג'</v>
      </c>
      <c r="M973" s="10"/>
      <c r="N973" s="24" t="s">
        <v>352</v>
      </c>
      <c r="O973" s="10" t="str" cm="1">
        <f t="array" ref="O973">_xlfn.IFS(N973="A","א'", N973="B", "ב'", N973= "C", "ג'")</f>
        <v>א'</v>
      </c>
      <c r="P973" s="10">
        <f>IF(Table_2[[#This Row],[Correct_Answer]]=Table_2[[#This Row],[System_Recommendation]],1,0)</f>
        <v>0</v>
      </c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6" t="s">
        <v>214</v>
      </c>
      <c r="B974" s="6">
        <v>16</v>
      </c>
      <c r="C974" s="6" t="s">
        <v>372</v>
      </c>
      <c r="D974" s="6">
        <v>3</v>
      </c>
      <c r="E974" s="6" t="s">
        <v>111</v>
      </c>
      <c r="F974" s="6" t="s">
        <v>373</v>
      </c>
      <c r="G974" s="6" t="s">
        <v>117</v>
      </c>
      <c r="H974" s="6" t="s">
        <v>203</v>
      </c>
      <c r="I974" s="6" t="s">
        <v>100</v>
      </c>
      <c r="J974" s="6" t="s">
        <v>371</v>
      </c>
      <c r="K974" s="6" t="s">
        <v>385</v>
      </c>
      <c r="L974" s="6" t="str">
        <f>IF(J974="כן", K974, VLOOKUP(LEFT(H974, 7), 'קטלוג תרחישים'!$A:$M, 13, FALSE))</f>
        <v>ג</v>
      </c>
      <c r="M974" s="10"/>
      <c r="N974" s="23" t="s">
        <v>358</v>
      </c>
      <c r="O974" s="10" t="str" cm="1">
        <f t="array" ref="O974">_xlfn.IFS(N974="A","א'", N974="B", "ב'", N974= "C", "ג'")</f>
        <v>ג'</v>
      </c>
      <c r="P974" s="10">
        <f>IF(Table_2[[#This Row],[Correct_Answer]]=Table_2[[#This Row],[System_Recommendation]],1,0)</f>
        <v>1</v>
      </c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6" t="s">
        <v>214</v>
      </c>
      <c r="B975" s="6">
        <v>17</v>
      </c>
      <c r="C975" s="6" t="s">
        <v>372</v>
      </c>
      <c r="D975" s="6">
        <v>3</v>
      </c>
      <c r="E975" s="6" t="s">
        <v>111</v>
      </c>
      <c r="F975" s="6" t="s">
        <v>373</v>
      </c>
      <c r="G975" s="6" t="s">
        <v>117</v>
      </c>
      <c r="H975" s="6" t="s">
        <v>202</v>
      </c>
      <c r="I975" s="6" t="s">
        <v>91</v>
      </c>
      <c r="J975" s="6" t="s">
        <v>371</v>
      </c>
      <c r="K975" s="6" t="s">
        <v>385</v>
      </c>
      <c r="L975" s="6" t="str">
        <f>IF(J975="כן", K975, VLOOKUP(LEFT(H975, 7), 'קטלוג תרחישים'!$A:$M, 13, FALSE))</f>
        <v>ג</v>
      </c>
      <c r="M975" s="10"/>
      <c r="N975" s="24" t="s">
        <v>358</v>
      </c>
      <c r="O975" s="10" t="str" cm="1">
        <f t="array" ref="O975">_xlfn.IFS(N975="A","א'", N975="B", "ב'", N975= "C", "ג'")</f>
        <v>ג'</v>
      </c>
      <c r="P975" s="10">
        <f>IF(Table_2[[#This Row],[Correct_Answer]]=Table_2[[#This Row],[System_Recommendation]],1,0)</f>
        <v>1</v>
      </c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6" t="s">
        <v>214</v>
      </c>
      <c r="B976" s="6">
        <v>18</v>
      </c>
      <c r="C976" s="6" t="s">
        <v>372</v>
      </c>
      <c r="D976" s="6">
        <v>3</v>
      </c>
      <c r="E976" s="6" t="s">
        <v>111</v>
      </c>
      <c r="F976" s="6" t="s">
        <v>373</v>
      </c>
      <c r="G976" s="6" t="s">
        <v>117</v>
      </c>
      <c r="H976" s="6" t="s">
        <v>205</v>
      </c>
      <c r="I976" s="6" t="s">
        <v>100</v>
      </c>
      <c r="J976" s="6" t="s">
        <v>374</v>
      </c>
      <c r="K976" s="6" t="s">
        <v>384</v>
      </c>
      <c r="L976" s="6" t="str">
        <f>IF(J976="כן", K976, VLOOKUP(LEFT(H976, 7), 'קטלוג תרחישים'!$A:$M, 13, FALSE))</f>
        <v>ג'</v>
      </c>
      <c r="M976" s="10"/>
      <c r="N976" s="23" t="s">
        <v>357</v>
      </c>
      <c r="O976" s="10" t="str" cm="1">
        <f t="array" ref="O976">_xlfn.IFS(N976="A","א'", N976="B", "ב'", N976= "C", "ג'")</f>
        <v>ב'</v>
      </c>
      <c r="P976" s="10">
        <f>IF(Table_2[[#This Row],[Correct_Answer]]=Table_2[[#This Row],[System_Recommendation]],1,0)</f>
        <v>0</v>
      </c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6" t="s">
        <v>214</v>
      </c>
      <c r="B977" s="6">
        <v>19</v>
      </c>
      <c r="C977" s="6" t="s">
        <v>372</v>
      </c>
      <c r="D977" s="6">
        <v>1</v>
      </c>
      <c r="E977" s="6" t="s">
        <v>111</v>
      </c>
      <c r="F977" s="6" t="s">
        <v>375</v>
      </c>
      <c r="G977" s="6" t="s">
        <v>97</v>
      </c>
      <c r="H977" s="6" t="s">
        <v>183</v>
      </c>
      <c r="I977" s="6" t="s">
        <v>100</v>
      </c>
      <c r="J977" s="6" t="s">
        <v>374</v>
      </c>
      <c r="K977" s="6" t="s">
        <v>383</v>
      </c>
      <c r="L977" s="6" t="str">
        <f>IF(J977="כן", K977, VLOOKUP(LEFT(H977, 7), 'קטלוג תרחישים'!$A:$M, 13, FALSE))</f>
        <v>ב'</v>
      </c>
      <c r="M977" s="10"/>
      <c r="N977" s="24" t="s">
        <v>352</v>
      </c>
      <c r="O977" s="10" t="str" cm="1">
        <f t="array" ref="O977">_xlfn.IFS(N977="A","א'", N977="B", "ב'", N977= "C", "ג'")</f>
        <v>א'</v>
      </c>
      <c r="P977" s="10">
        <f>IF(Table_2[[#This Row],[Correct_Answer]]=Table_2[[#This Row],[System_Recommendation]],1,0)</f>
        <v>0</v>
      </c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6" t="s">
        <v>214</v>
      </c>
      <c r="B978" s="6">
        <v>20</v>
      </c>
      <c r="C978" s="6" t="s">
        <v>372</v>
      </c>
      <c r="D978" s="6">
        <v>1</v>
      </c>
      <c r="E978" s="6" t="s">
        <v>111</v>
      </c>
      <c r="F978" s="6" t="s">
        <v>375</v>
      </c>
      <c r="G978" s="6" t="s">
        <v>97</v>
      </c>
      <c r="H978" s="6" t="s">
        <v>182</v>
      </c>
      <c r="I978" s="6" t="s">
        <v>91</v>
      </c>
      <c r="J978" s="6" t="s">
        <v>371</v>
      </c>
      <c r="K978" s="6" t="s">
        <v>385</v>
      </c>
      <c r="L978" s="6" t="str">
        <f>IF(J978="כן", K978, VLOOKUP(LEFT(H978, 7), 'קטלוג תרחישים'!$A:$M, 13, FALSE))</f>
        <v>ג</v>
      </c>
      <c r="M978" s="10"/>
      <c r="N978" s="23" t="s">
        <v>358</v>
      </c>
      <c r="O978" s="10" t="str" cm="1">
        <f t="array" ref="O978">_xlfn.IFS(N978="A","א'", N978="B", "ב'", N978= "C", "ג'")</f>
        <v>ג'</v>
      </c>
      <c r="P978" s="10">
        <f>IF(Table_2[[#This Row],[Correct_Answer]]=Table_2[[#This Row],[System_Recommendation]],1,0)</f>
        <v>1</v>
      </c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6" t="s">
        <v>214</v>
      </c>
      <c r="B979" s="6">
        <v>21</v>
      </c>
      <c r="C979" s="6" t="s">
        <v>372</v>
      </c>
      <c r="D979" s="6">
        <v>1</v>
      </c>
      <c r="E979" s="6" t="s">
        <v>111</v>
      </c>
      <c r="F979" s="6" t="s">
        <v>375</v>
      </c>
      <c r="G979" s="6" t="s">
        <v>97</v>
      </c>
      <c r="H979" s="6" t="s">
        <v>181</v>
      </c>
      <c r="I979" s="6" t="s">
        <v>100</v>
      </c>
      <c r="J979" s="6" t="s">
        <v>371</v>
      </c>
      <c r="K979" s="6" t="s">
        <v>384</v>
      </c>
      <c r="L979" s="6" t="str">
        <f>IF(J979="כן", K979, VLOOKUP(LEFT(H979, 7), 'קטלוג תרחישים'!$A:$M, 13, FALSE))</f>
        <v>ב'</v>
      </c>
      <c r="M979" s="10"/>
      <c r="N979" s="24" t="s">
        <v>357</v>
      </c>
      <c r="O979" s="10" t="str" cm="1">
        <f t="array" ref="O979">_xlfn.IFS(N979="A","א'", N979="B", "ב'", N979= "C", "ג'")</f>
        <v>ב'</v>
      </c>
      <c r="P979" s="10">
        <f>IF(Table_2[[#This Row],[Correct_Answer]]=Table_2[[#This Row],[System_Recommendation]],1,0)</f>
        <v>1</v>
      </c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6" t="s">
        <v>214</v>
      </c>
      <c r="B980" s="6">
        <v>22</v>
      </c>
      <c r="C980" s="6" t="s">
        <v>372</v>
      </c>
      <c r="D980" s="6">
        <v>1</v>
      </c>
      <c r="E980" s="6" t="s">
        <v>111</v>
      </c>
      <c r="F980" s="6" t="s">
        <v>375</v>
      </c>
      <c r="G980" s="6" t="s">
        <v>97</v>
      </c>
      <c r="H980" s="6" t="s">
        <v>180</v>
      </c>
      <c r="I980" s="6" t="s">
        <v>91</v>
      </c>
      <c r="J980" s="6" t="s">
        <v>371</v>
      </c>
      <c r="K980" s="6" t="s">
        <v>385</v>
      </c>
      <c r="L980" s="6" t="str">
        <f>IF(J980="כן", K980, VLOOKUP(LEFT(H980, 7), 'קטלוג תרחישים'!$A:$M, 13, FALSE))</f>
        <v>ג</v>
      </c>
      <c r="M980" s="10"/>
      <c r="N980" s="23" t="s">
        <v>358</v>
      </c>
      <c r="O980" s="10" t="str" cm="1">
        <f t="array" ref="O980">_xlfn.IFS(N980="A","א'", N980="B", "ב'", N980= "C", "ג'")</f>
        <v>ג'</v>
      </c>
      <c r="P980" s="10">
        <f>IF(Table_2[[#This Row],[Correct_Answer]]=Table_2[[#This Row],[System_Recommendation]],1,0)</f>
        <v>1</v>
      </c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6" t="s">
        <v>214</v>
      </c>
      <c r="B981" s="6">
        <v>23</v>
      </c>
      <c r="C981" s="6" t="s">
        <v>372</v>
      </c>
      <c r="D981" s="6">
        <v>1</v>
      </c>
      <c r="E981" s="6" t="s">
        <v>111</v>
      </c>
      <c r="F981" s="6" t="s">
        <v>375</v>
      </c>
      <c r="G981" s="6" t="s">
        <v>97</v>
      </c>
      <c r="H981" s="6" t="s">
        <v>179</v>
      </c>
      <c r="I981" s="6" t="s">
        <v>100</v>
      </c>
      <c r="J981" s="6" t="s">
        <v>371</v>
      </c>
      <c r="K981" s="6" t="s">
        <v>385</v>
      </c>
      <c r="L981" s="6" t="str">
        <f>IF(J981="כן", K981, VLOOKUP(LEFT(H981, 7), 'קטלוג תרחישים'!$A:$M, 13, FALSE))</f>
        <v>ג</v>
      </c>
      <c r="M981" s="10"/>
      <c r="N981" s="24" t="s">
        <v>358</v>
      </c>
      <c r="O981" s="10" t="str" cm="1">
        <f t="array" ref="O981">_xlfn.IFS(N981="A","א'", N981="B", "ב'", N981= "C", "ג'")</f>
        <v>ג'</v>
      </c>
      <c r="P981" s="10">
        <f>IF(Table_2[[#This Row],[Correct_Answer]]=Table_2[[#This Row],[System_Recommendation]],1,0)</f>
        <v>1</v>
      </c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6" t="s">
        <v>214</v>
      </c>
      <c r="B982" s="6">
        <v>24</v>
      </c>
      <c r="C982" s="6" t="s">
        <v>372</v>
      </c>
      <c r="D982" s="6">
        <v>2</v>
      </c>
      <c r="E982" s="6" t="s">
        <v>98</v>
      </c>
      <c r="F982" s="6" t="s">
        <v>375</v>
      </c>
      <c r="G982" s="6" t="s">
        <v>97</v>
      </c>
      <c r="H982" s="6" t="s">
        <v>186</v>
      </c>
      <c r="I982" s="6" t="s">
        <v>91</v>
      </c>
      <c r="J982" s="6" t="s">
        <v>371</v>
      </c>
      <c r="K982" s="6" t="s">
        <v>384</v>
      </c>
      <c r="L982" s="6" t="str">
        <f>IF(J982="כן", K982, VLOOKUP(LEFT(H982, 7), 'קטלוג תרחישים'!$A:$M, 13, FALSE))</f>
        <v>ב'</v>
      </c>
      <c r="M982" s="10"/>
      <c r="N982" s="23" t="s">
        <v>357</v>
      </c>
      <c r="O982" s="10" t="str" cm="1">
        <f t="array" ref="O982">_xlfn.IFS(N982="A","א'", N982="B", "ב'", N982= "C", "ג'")</f>
        <v>ב'</v>
      </c>
      <c r="P982" s="10">
        <f>IF(Table_2[[#This Row],[Correct_Answer]]=Table_2[[#This Row],[System_Recommendation]],1,0)</f>
        <v>1</v>
      </c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6" t="s">
        <v>214</v>
      </c>
      <c r="B983" s="6">
        <v>25</v>
      </c>
      <c r="C983" s="6" t="s">
        <v>372</v>
      </c>
      <c r="D983" s="6">
        <v>2</v>
      </c>
      <c r="E983" s="6" t="s">
        <v>98</v>
      </c>
      <c r="F983" s="6" t="s">
        <v>375</v>
      </c>
      <c r="G983" s="6" t="s">
        <v>97</v>
      </c>
      <c r="H983" s="6" t="s">
        <v>187</v>
      </c>
      <c r="I983" s="6" t="s">
        <v>100</v>
      </c>
      <c r="J983" s="6" t="s">
        <v>374</v>
      </c>
      <c r="K983" s="6" t="s">
        <v>385</v>
      </c>
      <c r="L983" s="6" t="str">
        <f>IF(J983="כן", K983, VLOOKUP(LEFT(H983, 7), 'קטלוג תרחישים'!$A:$M, 13, FALSE))</f>
        <v>א'</v>
      </c>
      <c r="M983" s="10"/>
      <c r="N983" s="24" t="s">
        <v>358</v>
      </c>
      <c r="O983" s="10" t="str" cm="1">
        <f t="array" ref="O983">_xlfn.IFS(N983="A","א'", N983="B", "ב'", N983= "C", "ג'")</f>
        <v>ג'</v>
      </c>
      <c r="P983" s="10">
        <f>IF(Table_2[[#This Row],[Correct_Answer]]=Table_2[[#This Row],[System_Recommendation]],1,0)</f>
        <v>0</v>
      </c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6" t="s">
        <v>214</v>
      </c>
      <c r="B984" s="6">
        <v>26</v>
      </c>
      <c r="C984" s="6" t="s">
        <v>372</v>
      </c>
      <c r="D984" s="6">
        <v>2</v>
      </c>
      <c r="E984" s="6" t="s">
        <v>98</v>
      </c>
      <c r="F984" s="6" t="s">
        <v>375</v>
      </c>
      <c r="G984" s="6" t="s">
        <v>97</v>
      </c>
      <c r="H984" s="6" t="s">
        <v>188</v>
      </c>
      <c r="I984" s="6" t="s">
        <v>91</v>
      </c>
      <c r="J984" s="6" t="s">
        <v>371</v>
      </c>
      <c r="K984" s="6" t="s">
        <v>383</v>
      </c>
      <c r="L984" s="6" t="str">
        <f>IF(J984="כן", K984, VLOOKUP(LEFT(H984, 7), 'קטלוג תרחישים'!$A:$M, 13, FALSE))</f>
        <v>א'</v>
      </c>
      <c r="M984" s="10"/>
      <c r="N984" s="23" t="s">
        <v>352</v>
      </c>
      <c r="O984" s="10" t="str" cm="1">
        <f t="array" ref="O984">_xlfn.IFS(N984="A","א'", N984="B", "ב'", N984= "C", "ג'")</f>
        <v>א'</v>
      </c>
      <c r="P984" s="10">
        <f>IF(Table_2[[#This Row],[Correct_Answer]]=Table_2[[#This Row],[System_Recommendation]],1,0)</f>
        <v>1</v>
      </c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6" t="s">
        <v>214</v>
      </c>
      <c r="B985" s="6">
        <v>27</v>
      </c>
      <c r="C985" s="6" t="s">
        <v>372</v>
      </c>
      <c r="D985" s="6">
        <v>2</v>
      </c>
      <c r="E985" s="6" t="s">
        <v>98</v>
      </c>
      <c r="F985" s="6" t="s">
        <v>375</v>
      </c>
      <c r="G985" s="6" t="s">
        <v>97</v>
      </c>
      <c r="H985" s="6" t="s">
        <v>185</v>
      </c>
      <c r="I985" s="6" t="s">
        <v>100</v>
      </c>
      <c r="J985" s="6" t="s">
        <v>371</v>
      </c>
      <c r="K985" s="6" t="s">
        <v>383</v>
      </c>
      <c r="L985" s="6" t="str">
        <f>IF(J985="כן", K985, VLOOKUP(LEFT(H985, 7), 'קטלוג תרחישים'!$A:$M, 13, FALSE))</f>
        <v>א'</v>
      </c>
      <c r="M985" s="10"/>
      <c r="N985" s="24" t="s">
        <v>352</v>
      </c>
      <c r="O985" s="10" t="str" cm="1">
        <f t="array" ref="O985">_xlfn.IFS(N985="A","א'", N985="B", "ב'", N985= "C", "ג'")</f>
        <v>א'</v>
      </c>
      <c r="P985" s="10">
        <f>IF(Table_2[[#This Row],[Correct_Answer]]=Table_2[[#This Row],[System_Recommendation]],1,0)</f>
        <v>1</v>
      </c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6" t="s">
        <v>214</v>
      </c>
      <c r="B986" s="6">
        <v>28</v>
      </c>
      <c r="C986" s="6" t="s">
        <v>372</v>
      </c>
      <c r="D986" s="6">
        <v>2</v>
      </c>
      <c r="E986" s="6" t="s">
        <v>98</v>
      </c>
      <c r="F986" s="6" t="s">
        <v>375</v>
      </c>
      <c r="G986" s="6" t="s">
        <v>97</v>
      </c>
      <c r="H986" s="6" t="s">
        <v>184</v>
      </c>
      <c r="I986" s="6" t="s">
        <v>91</v>
      </c>
      <c r="J986" s="6" t="s">
        <v>371</v>
      </c>
      <c r="K986" s="6" t="s">
        <v>383</v>
      </c>
      <c r="L986" s="6" t="str">
        <f>IF(J986="כן", K986, VLOOKUP(LEFT(H986, 7), 'קטלוג תרחישים'!$A:$M, 13, FALSE))</f>
        <v>א'</v>
      </c>
      <c r="M986" s="10"/>
      <c r="N986" s="23" t="s">
        <v>352</v>
      </c>
      <c r="O986" s="10" t="str" cm="1">
        <f t="array" ref="O986">_xlfn.IFS(N986="A","א'", N986="B", "ב'", N986= "C", "ג'")</f>
        <v>א'</v>
      </c>
      <c r="P986" s="10">
        <f>IF(Table_2[[#This Row],[Correct_Answer]]=Table_2[[#This Row],[System_Recommendation]],1,0)</f>
        <v>1</v>
      </c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6" t="s">
        <v>214</v>
      </c>
      <c r="B987" s="6">
        <v>29</v>
      </c>
      <c r="C987" s="6" t="s">
        <v>372</v>
      </c>
      <c r="D987" s="6">
        <v>3</v>
      </c>
      <c r="E987" s="6" t="s">
        <v>105</v>
      </c>
      <c r="F987" s="6" t="s">
        <v>375</v>
      </c>
      <c r="G987" s="6" t="s">
        <v>97</v>
      </c>
      <c r="H987" s="6" t="s">
        <v>193</v>
      </c>
      <c r="I987" s="6" t="s">
        <v>91</v>
      </c>
      <c r="J987" s="6" t="s">
        <v>371</v>
      </c>
      <c r="K987" s="6" t="s">
        <v>383</v>
      </c>
      <c r="L987" s="6" t="str">
        <f>IF(J987="כן", K987, VLOOKUP(LEFT(H987, 7), 'קטלוג תרחישים'!$A:$M, 13, FALSE))</f>
        <v>א'</v>
      </c>
      <c r="M987" s="10"/>
      <c r="N987" s="24" t="s">
        <v>352</v>
      </c>
      <c r="O987" s="10" t="str" cm="1">
        <f t="array" ref="O987">_xlfn.IFS(N987="A","א'", N987="B", "ב'", N987= "C", "ג'")</f>
        <v>א'</v>
      </c>
      <c r="P987" s="10">
        <f>IF(Table_2[[#This Row],[Correct_Answer]]=Table_2[[#This Row],[System_Recommendation]],1,0)</f>
        <v>1</v>
      </c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5">
      <c r="A988" s="6" t="s">
        <v>214</v>
      </c>
      <c r="B988" s="6">
        <v>30</v>
      </c>
      <c r="C988" s="6" t="s">
        <v>372</v>
      </c>
      <c r="D988" s="6">
        <v>3</v>
      </c>
      <c r="E988" s="6" t="s">
        <v>105</v>
      </c>
      <c r="F988" s="6" t="s">
        <v>375</v>
      </c>
      <c r="G988" s="6" t="s">
        <v>97</v>
      </c>
      <c r="H988" s="6" t="s">
        <v>192</v>
      </c>
      <c r="I988" s="6" t="s">
        <v>100</v>
      </c>
      <c r="J988" s="6" t="s">
        <v>371</v>
      </c>
      <c r="K988" s="6" t="s">
        <v>384</v>
      </c>
      <c r="L988" s="6" t="str">
        <f>IF(J988="כן", K988, VLOOKUP(LEFT(H988, 7), 'קטלוג תרחישים'!$A:$M, 13, FALSE))</f>
        <v>ב'</v>
      </c>
      <c r="M988" s="10"/>
      <c r="N988" s="23" t="s">
        <v>357</v>
      </c>
      <c r="O988" s="10" t="str" cm="1">
        <f t="array" ref="O988">_xlfn.IFS(N988="A","א'", N988="B", "ב'", N988= "C", "ג'")</f>
        <v>ב'</v>
      </c>
      <c r="P988" s="10">
        <f>IF(Table_2[[#This Row],[Correct_Answer]]=Table_2[[#This Row],[System_Recommendation]],1,0)</f>
        <v>1</v>
      </c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5">
      <c r="A989" s="6" t="s">
        <v>214</v>
      </c>
      <c r="B989" s="6">
        <v>31</v>
      </c>
      <c r="C989" s="6" t="s">
        <v>372</v>
      </c>
      <c r="D989" s="6">
        <v>3</v>
      </c>
      <c r="E989" s="6" t="s">
        <v>105</v>
      </c>
      <c r="F989" s="6" t="s">
        <v>375</v>
      </c>
      <c r="G989" s="6" t="s">
        <v>97</v>
      </c>
      <c r="H989" s="6" t="s">
        <v>189</v>
      </c>
      <c r="I989" s="6" t="s">
        <v>91</v>
      </c>
      <c r="J989" s="6" t="s">
        <v>374</v>
      </c>
      <c r="K989" s="6" t="s">
        <v>384</v>
      </c>
      <c r="L989" s="6" t="str">
        <f>IF(J989="כן", K989, VLOOKUP(LEFT(H989, 7), 'קטלוג תרחישים'!$A:$M, 13, FALSE))</f>
        <v>ב'</v>
      </c>
      <c r="M989" s="10"/>
      <c r="N989" s="24" t="s">
        <v>357</v>
      </c>
      <c r="O989" s="10" t="str" cm="1">
        <f t="array" ref="O989">_xlfn.IFS(N989="A","א'", N989="B", "ב'", N989= "C", "ג'")</f>
        <v>ב'</v>
      </c>
      <c r="P989" s="10">
        <f>IF(Table_2[[#This Row],[Correct_Answer]]=Table_2[[#This Row],[System_Recommendation]],1,0)</f>
        <v>1</v>
      </c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5">
      <c r="A990" s="6" t="s">
        <v>214</v>
      </c>
      <c r="B990" s="6">
        <v>32</v>
      </c>
      <c r="C990" s="6" t="s">
        <v>372</v>
      </c>
      <c r="D990" s="6">
        <v>3</v>
      </c>
      <c r="E990" s="6" t="s">
        <v>105</v>
      </c>
      <c r="F990" s="6" t="s">
        <v>375</v>
      </c>
      <c r="G990" s="6" t="s">
        <v>97</v>
      </c>
      <c r="H990" s="6" t="s">
        <v>190</v>
      </c>
      <c r="I990" s="6" t="s">
        <v>100</v>
      </c>
      <c r="J990" s="6" t="s">
        <v>371</v>
      </c>
      <c r="K990" s="6" t="s">
        <v>385</v>
      </c>
      <c r="L990" s="6" t="str">
        <f>IF(J990="כן", K990, VLOOKUP(LEFT(H990, 7), 'קטלוג תרחישים'!$A:$M, 13, FALSE))</f>
        <v>ג</v>
      </c>
      <c r="M990" s="10"/>
      <c r="N990" s="23" t="s">
        <v>358</v>
      </c>
      <c r="O990" s="10" t="str" cm="1">
        <f t="array" ref="O990">_xlfn.IFS(N990="A","א'", N990="B", "ב'", N990= "C", "ג'")</f>
        <v>ג'</v>
      </c>
      <c r="P990" s="10">
        <f>IF(Table_2[[#This Row],[Correct_Answer]]=Table_2[[#This Row],[System_Recommendation]],1,0)</f>
        <v>1</v>
      </c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5">
      <c r="A991" s="6" t="s">
        <v>214</v>
      </c>
      <c r="B991" s="6">
        <v>33</v>
      </c>
      <c r="C991" s="6" t="s">
        <v>372</v>
      </c>
      <c r="D991" s="6">
        <v>3</v>
      </c>
      <c r="E991" s="6" t="s">
        <v>105</v>
      </c>
      <c r="F991" s="6" t="s">
        <v>375</v>
      </c>
      <c r="G991" s="6" t="s">
        <v>97</v>
      </c>
      <c r="H991" s="6" t="s">
        <v>191</v>
      </c>
      <c r="I991" s="6" t="s">
        <v>91</v>
      </c>
      <c r="J991" s="6" t="s">
        <v>371</v>
      </c>
      <c r="K991" s="6" t="s">
        <v>383</v>
      </c>
      <c r="L991" s="6" t="str">
        <f>IF(J991="כן", K991, VLOOKUP(LEFT(H991, 7), 'קטלוג תרחישים'!$A:$M, 13, FALSE))</f>
        <v>א'</v>
      </c>
      <c r="M991" s="10"/>
      <c r="N991" s="25" t="s">
        <v>352</v>
      </c>
      <c r="O991" s="10" t="str" cm="1">
        <f t="array" ref="O991">_xlfn.IFS(N991="A","א'", N991="B", "ב'", N991= "C", "ג'")</f>
        <v>א'</v>
      </c>
      <c r="P991" s="10">
        <f>IF(Table_2[[#This Row],[Correct_Answer]]=Table_2[[#This Row],[System_Recommendation]],1,0)</f>
        <v>1</v>
      </c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>
        <f>SUM(P2:P991)</f>
        <v>795</v>
      </c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conditionalFormatting sqref="E2:E991">
    <cfRule type="containsText" dxfId="8" priority="1" operator="containsText" text="עמודות נערמות">
      <formula>NOT(ISERROR(SEARCH(("עמודות נערמות"),(E2))))</formula>
    </cfRule>
    <cfRule type="containsText" dxfId="7" priority="2" operator="containsText" text="מפת חום">
      <formula>NOT(ISERROR(SEARCH(("מפת חום"),(E2))))</formula>
    </cfRule>
    <cfRule type="containsText" dxfId="6" priority="3" operator="containsText" text="רדאר">
      <formula>NOT(ISERROR(SEARCH(("רדאר"),(E2))))</formula>
    </cfRule>
    <cfRule type="containsText" dxfId="5" priority="4" operator="containsText" text="עמודות נערמות">
      <formula>NOT(ISERROR(SEARCH(("עמודות נערמות"),(E2))))</formula>
    </cfRule>
  </conditionalFormatting>
  <conditionalFormatting sqref="G2:G991">
    <cfRule type="containsText" dxfId="4" priority="5" operator="containsText" text="OPT">
      <formula>NOT(ISERROR(SEARCH(("OPT"),(G2))))</formula>
    </cfRule>
    <cfRule type="containsText" dxfId="3" priority="6" operator="containsText" text="SUB">
      <formula>NOT(ISERROR(SEARCH(("SUB"),(G2))))</formula>
    </cfRule>
  </conditionalFormatting>
  <conditionalFormatting sqref="I2:I991">
    <cfRule type="containsText" dxfId="2" priority="7" operator="containsText" text="H">
      <formula>NOT(ISERROR(SEARCH(("H"),(I2))))</formula>
    </cfRule>
    <cfRule type="containsText" dxfId="1" priority="8" operator="containsText" text="E">
      <formula>NOT(ISERROR(SEARCH(("E"),(I2))))</formula>
    </cfRule>
  </conditionalFormatting>
  <conditionalFormatting sqref="J2:J991">
    <cfRule type="containsText" dxfId="0" priority="9" operator="containsText" text="לא">
      <formula>NOT(ISERROR(SEARCH(("לא"),(J2))))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rightToLeft="1" workbookViewId="0"/>
  </sheetViews>
  <sheetFormatPr defaultColWidth="14.42578125" defaultRowHeight="15" customHeight="1" x14ac:dyDescent="0.25"/>
  <cols>
    <col min="1" max="1" width="21" customWidth="1"/>
    <col min="2" max="2" width="12" customWidth="1"/>
    <col min="3" max="3" width="13" customWidth="1"/>
    <col min="4" max="4" width="12" customWidth="1"/>
    <col min="5" max="5" width="13" customWidth="1"/>
    <col min="6" max="6" width="8.7109375" customWidth="1"/>
  </cols>
  <sheetData>
    <row r="1" spans="1:26" ht="18.75" customHeight="1" x14ac:dyDescent="0.25">
      <c r="A1" s="44" t="s">
        <v>376</v>
      </c>
      <c r="B1" s="45"/>
      <c r="C1" s="45"/>
      <c r="D1" s="45"/>
      <c r="E1" s="45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4.25" customHeight="1" x14ac:dyDescent="0.25">
      <c r="A3" s="22" t="s">
        <v>362</v>
      </c>
      <c r="B3" s="22" t="s">
        <v>91</v>
      </c>
      <c r="C3" s="22" t="s">
        <v>100</v>
      </c>
      <c r="D3" s="22" t="s">
        <v>377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5">
      <c r="A4" s="18" t="s">
        <v>111</v>
      </c>
      <c r="B4" s="13">
        <v>140</v>
      </c>
      <c r="C4" s="13">
        <v>130</v>
      </c>
      <c r="D4" s="13">
        <v>270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5">
      <c r="A5" s="17" t="s">
        <v>105</v>
      </c>
      <c r="B5" s="13">
        <v>140</v>
      </c>
      <c r="C5" s="13">
        <v>130</v>
      </c>
      <c r="D5" s="13">
        <v>270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5">
      <c r="A6" s="16" t="s">
        <v>354</v>
      </c>
      <c r="B6" s="13">
        <v>140</v>
      </c>
      <c r="C6" s="13">
        <v>130</v>
      </c>
      <c r="D6" s="13">
        <v>270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 x14ac:dyDescent="0.25">
      <c r="A8" s="22" t="s">
        <v>362</v>
      </c>
      <c r="B8" s="22" t="s">
        <v>378</v>
      </c>
      <c r="C8" s="22" t="s">
        <v>379</v>
      </c>
      <c r="D8" s="22" t="s">
        <v>380</v>
      </c>
      <c r="E8" s="22" t="s">
        <v>381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5">
      <c r="A9" s="18" t="s">
        <v>111</v>
      </c>
      <c r="B9" s="13">
        <v>150</v>
      </c>
      <c r="C9" s="13">
        <v>120</v>
      </c>
      <c r="D9" s="13">
        <v>120</v>
      </c>
      <c r="E9" s="13">
        <v>60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5">
      <c r="A10" s="17" t="s">
        <v>105</v>
      </c>
      <c r="B10" s="13">
        <v>150</v>
      </c>
      <c r="C10" s="13">
        <v>120</v>
      </c>
      <c r="D10" s="13">
        <v>120</v>
      </c>
      <c r="E10" s="13">
        <v>60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5">
      <c r="A11" s="16" t="s">
        <v>354</v>
      </c>
      <c r="B11" s="13">
        <v>150</v>
      </c>
      <c r="C11" s="13">
        <v>120</v>
      </c>
      <c r="D11" s="13">
        <v>120</v>
      </c>
      <c r="E11" s="13">
        <v>60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">
    <mergeCell ref="A1:E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קידוד_ניסוי</vt:lpstr>
      <vt:lpstr>קטלוג תרחישים</vt:lpstr>
      <vt:lpstr>מפת_איזון</vt:lpstr>
      <vt:lpstr>Schedule_Long</vt:lpstr>
      <vt:lpstr>בדיקות_איזון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בשמת קהא</cp:lastModifiedBy>
  <dcterms:created xsi:type="dcterms:W3CDTF">2026-01-26T14:17:12Z</dcterms:created>
  <dcterms:modified xsi:type="dcterms:W3CDTF">2026-07-08T04:04:36Z</dcterms:modified>
</cp:coreProperties>
</file>