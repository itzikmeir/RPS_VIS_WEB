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cuments\RPS_VIS-main\Model_Ordered_experiment\"/>
    </mc:Choice>
  </mc:AlternateContent>
  <xr:revisionPtr revIDLastSave="0" documentId="13_ncr:1_{6F1D7002-A108-4269-9E4F-9A4A14E36FE2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קידוד_ניסוי" sheetId="1" r:id="rId1"/>
    <sheet name="קטלוג תרחישים" sheetId="2" r:id="rId2"/>
    <sheet name="מפת_איזון" sheetId="3" r:id="rId3"/>
    <sheet name="Schedule_Long" sheetId="4" r:id="rId4"/>
    <sheet name="בדיקות_איזון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91" i="4" l="1" a="1"/>
  <c r="O991" i="4" s="1"/>
  <c r="K991" i="4"/>
  <c r="O990" i="4" a="1"/>
  <c r="O990" i="4" s="1"/>
  <c r="K990" i="4"/>
  <c r="O989" i="4" a="1"/>
  <c r="O989" i="4" s="1"/>
  <c r="L989" i="4"/>
  <c r="K989" i="4"/>
  <c r="O988" i="4" a="1"/>
  <c r="O988" i="4"/>
  <c r="K988" i="4"/>
  <c r="L988" i="4" s="1"/>
  <c r="P988" i="4" s="1"/>
  <c r="O987" i="4" a="1"/>
  <c r="O987" i="4" s="1"/>
  <c r="K987" i="4"/>
  <c r="O986" i="4" a="1"/>
  <c r="O986" i="4" s="1"/>
  <c r="K986" i="4"/>
  <c r="L986" i="4" s="1"/>
  <c r="O985" i="4" a="1"/>
  <c r="O985" i="4" s="1"/>
  <c r="K985" i="4"/>
  <c r="L985" i="4" s="1"/>
  <c r="O984" i="4" a="1"/>
  <c r="O984" i="4" s="1"/>
  <c r="K984" i="4"/>
  <c r="L984" i="4" s="1"/>
  <c r="O983" i="4" a="1"/>
  <c r="O983" i="4" s="1"/>
  <c r="L983" i="4"/>
  <c r="P983" i="4" s="1"/>
  <c r="K983" i="4"/>
  <c r="O982" i="4" a="1"/>
  <c r="O982" i="4" s="1"/>
  <c r="K982" i="4"/>
  <c r="O981" i="4" a="1"/>
  <c r="O981" i="4" s="1"/>
  <c r="K981" i="4"/>
  <c r="O980" i="4" a="1"/>
  <c r="O980" i="4" s="1"/>
  <c r="K980" i="4"/>
  <c r="L980" i="4" s="1"/>
  <c r="P980" i="4" s="1"/>
  <c r="O979" i="4" a="1"/>
  <c r="O979" i="4" s="1"/>
  <c r="K979" i="4"/>
  <c r="L979" i="4" s="1"/>
  <c r="O978" i="4" a="1"/>
  <c r="O978" i="4" s="1"/>
  <c r="K978" i="4"/>
  <c r="L978" i="4" s="1"/>
  <c r="P978" i="4" s="1"/>
  <c r="O977" i="4" a="1"/>
  <c r="O977" i="4" s="1"/>
  <c r="L977" i="4"/>
  <c r="K977" i="4"/>
  <c r="O976" i="4" a="1"/>
  <c r="O976" i="4" s="1"/>
  <c r="L976" i="4"/>
  <c r="K976" i="4"/>
  <c r="O975" i="4" a="1"/>
  <c r="O975" i="4" s="1"/>
  <c r="K975" i="4"/>
  <c r="L975" i="4" s="1"/>
  <c r="P975" i="4" s="1"/>
  <c r="O974" i="4" a="1"/>
  <c r="O974" i="4" s="1"/>
  <c r="K974" i="4"/>
  <c r="O973" i="4" a="1"/>
  <c r="O973" i="4" s="1"/>
  <c r="L973" i="4"/>
  <c r="K973" i="4"/>
  <c r="O972" i="4" a="1"/>
  <c r="O972" i="4"/>
  <c r="L972" i="4"/>
  <c r="K972" i="4"/>
  <c r="O971" i="4" a="1"/>
  <c r="O971" i="4" s="1"/>
  <c r="K971" i="4"/>
  <c r="O970" i="4" a="1"/>
  <c r="O970" i="4" s="1"/>
  <c r="K970" i="4"/>
  <c r="L970" i="4" s="1"/>
  <c r="P970" i="4" s="1"/>
  <c r="O969" i="4" a="1"/>
  <c r="O969" i="4" s="1"/>
  <c r="L969" i="4"/>
  <c r="K969" i="4"/>
  <c r="O968" i="4" a="1"/>
  <c r="O968" i="4" s="1"/>
  <c r="K968" i="4"/>
  <c r="L968" i="4" s="1"/>
  <c r="O967" i="4" a="1"/>
  <c r="O967" i="4"/>
  <c r="L967" i="4"/>
  <c r="K967" i="4"/>
  <c r="O966" i="4" a="1"/>
  <c r="O966" i="4" s="1"/>
  <c r="L966" i="4"/>
  <c r="K966" i="4"/>
  <c r="O965" i="4" a="1"/>
  <c r="O965" i="4" s="1"/>
  <c r="K965" i="4"/>
  <c r="O964" i="4" a="1"/>
  <c r="O964" i="4" s="1"/>
  <c r="K964" i="4"/>
  <c r="O963" i="4" a="1"/>
  <c r="O963" i="4" s="1"/>
  <c r="K963" i="4"/>
  <c r="L963" i="4" s="1"/>
  <c r="O962" i="4" a="1"/>
  <c r="O962" i="4" s="1"/>
  <c r="K962" i="4"/>
  <c r="L962" i="4" s="1"/>
  <c r="P962" i="4" s="1"/>
  <c r="O961" i="4" a="1"/>
  <c r="O961" i="4" s="1"/>
  <c r="K961" i="4"/>
  <c r="L961" i="4" s="1"/>
  <c r="O960" i="4" a="1"/>
  <c r="O960" i="4" s="1"/>
  <c r="K960" i="4"/>
  <c r="O959" i="4" a="1"/>
  <c r="O959" i="4" s="1"/>
  <c r="K959" i="4"/>
  <c r="L959" i="4" s="1"/>
  <c r="P959" i="4" s="1"/>
  <c r="O958" i="4" a="1"/>
  <c r="O958" i="4" s="1"/>
  <c r="K958" i="4"/>
  <c r="L958" i="4" s="1"/>
  <c r="P958" i="4" s="1"/>
  <c r="O957" i="4" a="1"/>
  <c r="O957" i="4" s="1"/>
  <c r="K957" i="4"/>
  <c r="L957" i="4" s="1"/>
  <c r="P957" i="4" s="1"/>
  <c r="O956" i="4" a="1"/>
  <c r="O956" i="4" s="1"/>
  <c r="L956" i="4"/>
  <c r="K956" i="4"/>
  <c r="O955" i="4" a="1"/>
  <c r="O955" i="4" s="1"/>
  <c r="L955" i="4"/>
  <c r="K955" i="4"/>
  <c r="O954" i="4" a="1"/>
  <c r="O954" i="4" s="1"/>
  <c r="L954" i="4"/>
  <c r="K954" i="4"/>
  <c r="P954" i="4" s="1"/>
  <c r="O953" i="4" a="1"/>
  <c r="O953" i="4" s="1"/>
  <c r="K953" i="4"/>
  <c r="O952" i="4" a="1"/>
  <c r="O952" i="4" s="1"/>
  <c r="K952" i="4"/>
  <c r="L952" i="4" s="1"/>
  <c r="O951" i="4" a="1"/>
  <c r="O951" i="4" s="1"/>
  <c r="L951" i="4"/>
  <c r="K951" i="4"/>
  <c r="O950" i="4" a="1"/>
  <c r="O950" i="4" s="1"/>
  <c r="K950" i="4"/>
  <c r="O949" i="4" a="1"/>
  <c r="O949" i="4" s="1"/>
  <c r="L949" i="4"/>
  <c r="K949" i="4"/>
  <c r="O948" i="4" a="1"/>
  <c r="O948" i="4" s="1"/>
  <c r="L948" i="4"/>
  <c r="K948" i="4"/>
  <c r="O947" i="4" a="1"/>
  <c r="O947" i="4" s="1"/>
  <c r="K947" i="4"/>
  <c r="L947" i="4" s="1"/>
  <c r="O946" i="4" a="1"/>
  <c r="O946" i="4" s="1"/>
  <c r="K946" i="4"/>
  <c r="L946" i="4" s="1"/>
  <c r="P946" i="4" s="1"/>
  <c r="O945" i="4" a="1"/>
  <c r="O945" i="4"/>
  <c r="K945" i="4"/>
  <c r="L945" i="4" s="1"/>
  <c r="P945" i="4" s="1"/>
  <c r="O944" i="4" a="1"/>
  <c r="O944" i="4"/>
  <c r="L944" i="4"/>
  <c r="K944" i="4"/>
  <c r="O943" i="4" a="1"/>
  <c r="O943" i="4" s="1"/>
  <c r="K943" i="4"/>
  <c r="L943" i="4" s="1"/>
  <c r="P943" i="4" s="1"/>
  <c r="O942" i="4" a="1"/>
  <c r="O942" i="4" s="1"/>
  <c r="K942" i="4"/>
  <c r="L942" i="4" s="1"/>
  <c r="P942" i="4" s="1"/>
  <c r="O941" i="4" a="1"/>
  <c r="O941" i="4" s="1"/>
  <c r="K941" i="4"/>
  <c r="L941" i="4" s="1"/>
  <c r="P941" i="4" s="1"/>
  <c r="O940" i="4" a="1"/>
  <c r="O940" i="4" s="1"/>
  <c r="K940" i="4"/>
  <c r="O939" i="4" a="1"/>
  <c r="O939" i="4"/>
  <c r="L939" i="4"/>
  <c r="K939" i="4"/>
  <c r="O938" i="4" a="1"/>
  <c r="O938" i="4" s="1"/>
  <c r="K938" i="4"/>
  <c r="L938" i="4" s="1"/>
  <c r="P938" i="4" s="1"/>
  <c r="O937" i="4" a="1"/>
  <c r="O937" i="4" s="1"/>
  <c r="K937" i="4"/>
  <c r="L937" i="4" s="1"/>
  <c r="O936" i="4" a="1"/>
  <c r="O936" i="4"/>
  <c r="K936" i="4"/>
  <c r="L936" i="4" s="1"/>
  <c r="O935" i="4" a="1"/>
  <c r="O935" i="4" s="1"/>
  <c r="L935" i="4"/>
  <c r="K935" i="4"/>
  <c r="P935" i="4" s="1"/>
  <c r="O934" i="4" a="1"/>
  <c r="O934" i="4" s="1"/>
  <c r="K934" i="4"/>
  <c r="O933" i="4" a="1"/>
  <c r="O933" i="4" s="1"/>
  <c r="K933" i="4"/>
  <c r="O932" i="4" a="1"/>
  <c r="O932" i="4" s="1"/>
  <c r="K932" i="4"/>
  <c r="O931" i="4" a="1"/>
  <c r="O931" i="4" s="1"/>
  <c r="L931" i="4"/>
  <c r="K931" i="4"/>
  <c r="O930" i="4" a="1"/>
  <c r="O930" i="4" s="1"/>
  <c r="K930" i="4"/>
  <c r="L930" i="4" s="1"/>
  <c r="O929" i="4" a="1"/>
  <c r="O929" i="4" s="1"/>
  <c r="K929" i="4"/>
  <c r="L929" i="4" s="1"/>
  <c r="P929" i="4" s="1"/>
  <c r="O928" i="4" a="1"/>
  <c r="O928" i="4" s="1"/>
  <c r="K928" i="4"/>
  <c r="O927" i="4" a="1"/>
  <c r="O927" i="4" s="1"/>
  <c r="K927" i="4"/>
  <c r="L927" i="4" s="1"/>
  <c r="P927" i="4" s="1"/>
  <c r="O926" i="4" a="1"/>
  <c r="O926" i="4" s="1"/>
  <c r="K926" i="4"/>
  <c r="L926" i="4" s="1"/>
  <c r="P926" i="4" s="1"/>
  <c r="O925" i="4" a="1"/>
  <c r="O925" i="4" s="1"/>
  <c r="K925" i="4"/>
  <c r="L925" i="4" s="1"/>
  <c r="P925" i="4" s="1"/>
  <c r="O924" i="4" a="1"/>
  <c r="O924" i="4" s="1"/>
  <c r="K924" i="4"/>
  <c r="O923" i="4" a="1"/>
  <c r="O923" i="4" s="1"/>
  <c r="K923" i="4"/>
  <c r="O922" i="4" a="1"/>
  <c r="O922" i="4" s="1"/>
  <c r="L922" i="4"/>
  <c r="K922" i="4"/>
  <c r="O921" i="4" a="1"/>
  <c r="O921" i="4" s="1"/>
  <c r="K921" i="4"/>
  <c r="L921" i="4" s="1"/>
  <c r="O920" i="4" a="1"/>
  <c r="O920" i="4" s="1"/>
  <c r="L920" i="4"/>
  <c r="K920" i="4"/>
  <c r="O919" i="4" a="1"/>
  <c r="O919" i="4" s="1"/>
  <c r="K919" i="4"/>
  <c r="O918" i="4" a="1"/>
  <c r="O918" i="4" s="1"/>
  <c r="L918" i="4"/>
  <c r="K918" i="4"/>
  <c r="P918" i="4" s="1"/>
  <c r="O917" i="4" a="1"/>
  <c r="O917" i="4" s="1"/>
  <c r="K917" i="4"/>
  <c r="O916" i="4" a="1"/>
  <c r="O916" i="4" s="1"/>
  <c r="K916" i="4"/>
  <c r="L916" i="4" s="1"/>
  <c r="O915" i="4" a="1"/>
  <c r="O915" i="4" s="1"/>
  <c r="K915" i="4"/>
  <c r="O914" i="4" a="1"/>
  <c r="O914" i="4" s="1"/>
  <c r="K914" i="4"/>
  <c r="L914" i="4" s="1"/>
  <c r="P914" i="4" s="1"/>
  <c r="O913" i="4" a="1"/>
  <c r="O913" i="4" s="1"/>
  <c r="K913" i="4"/>
  <c r="L913" i="4" s="1"/>
  <c r="P913" i="4" s="1"/>
  <c r="O912" i="4" a="1"/>
  <c r="O912" i="4" s="1"/>
  <c r="K912" i="4"/>
  <c r="O911" i="4" a="1"/>
  <c r="O911" i="4" s="1"/>
  <c r="L911" i="4"/>
  <c r="K911" i="4"/>
  <c r="P911" i="4" s="1"/>
  <c r="O910" i="4" a="1"/>
  <c r="O910" i="4" s="1"/>
  <c r="K910" i="4"/>
  <c r="L910" i="4" s="1"/>
  <c r="P910" i="4" s="1"/>
  <c r="O909" i="4" a="1"/>
  <c r="O909" i="4" s="1"/>
  <c r="L909" i="4"/>
  <c r="K909" i="4"/>
  <c r="P909" i="4" s="1"/>
  <c r="O908" i="4" a="1"/>
  <c r="O908" i="4" s="1"/>
  <c r="L908" i="4"/>
  <c r="K908" i="4"/>
  <c r="O907" i="4" a="1"/>
  <c r="O907" i="4"/>
  <c r="K907" i="4"/>
  <c r="O906" i="4" a="1"/>
  <c r="O906" i="4" s="1"/>
  <c r="L906" i="4"/>
  <c r="K906" i="4"/>
  <c r="O905" i="4" a="1"/>
  <c r="O905" i="4" s="1"/>
  <c r="L905" i="4"/>
  <c r="K905" i="4"/>
  <c r="O904" i="4" a="1"/>
  <c r="O904" i="4" s="1"/>
  <c r="K904" i="4"/>
  <c r="L904" i="4" s="1"/>
  <c r="O903" i="4" a="1"/>
  <c r="O903" i="4" s="1"/>
  <c r="K903" i="4"/>
  <c r="O902" i="4" a="1"/>
  <c r="O902" i="4"/>
  <c r="K902" i="4"/>
  <c r="O901" i="4" a="1"/>
  <c r="O901" i="4" s="1"/>
  <c r="K901" i="4"/>
  <c r="O900" i="4" a="1"/>
  <c r="O900" i="4" s="1"/>
  <c r="L900" i="4"/>
  <c r="K900" i="4"/>
  <c r="O899" i="4" a="1"/>
  <c r="O899" i="4" s="1"/>
  <c r="L899" i="4"/>
  <c r="K899" i="4"/>
  <c r="O898" i="4" a="1"/>
  <c r="O898" i="4" s="1"/>
  <c r="K898" i="4"/>
  <c r="L898" i="4" s="1"/>
  <c r="P898" i="4" s="1"/>
  <c r="O897" i="4" a="1"/>
  <c r="O897" i="4" s="1"/>
  <c r="K897" i="4"/>
  <c r="L897" i="4" s="1"/>
  <c r="O896" i="4" a="1"/>
  <c r="O896" i="4" s="1"/>
  <c r="K896" i="4"/>
  <c r="O895" i="4" a="1"/>
  <c r="O895" i="4" s="1"/>
  <c r="K895" i="4"/>
  <c r="O894" i="4" a="1"/>
  <c r="O894" i="4" s="1"/>
  <c r="K894" i="4"/>
  <c r="L894" i="4" s="1"/>
  <c r="P894" i="4" s="1"/>
  <c r="O893" i="4" a="1"/>
  <c r="O893" i="4" s="1"/>
  <c r="K893" i="4"/>
  <c r="L893" i="4" s="1"/>
  <c r="P893" i="4" s="1"/>
  <c r="O892" i="4" a="1"/>
  <c r="O892" i="4" s="1"/>
  <c r="L892" i="4"/>
  <c r="K892" i="4"/>
  <c r="O891" i="4" a="1"/>
  <c r="O891" i="4"/>
  <c r="K891" i="4"/>
  <c r="O890" i="4" a="1"/>
  <c r="O890" i="4" s="1"/>
  <c r="K890" i="4"/>
  <c r="L890" i="4" s="1"/>
  <c r="P890" i="4" s="1"/>
  <c r="O889" i="4" a="1"/>
  <c r="O889" i="4" s="1"/>
  <c r="L889" i="4"/>
  <c r="K889" i="4"/>
  <c r="O888" i="4" a="1"/>
  <c r="O888" i="4" s="1"/>
  <c r="L888" i="4"/>
  <c r="K888" i="4"/>
  <c r="O887" i="4" a="1"/>
  <c r="O887" i="4" s="1"/>
  <c r="K887" i="4"/>
  <c r="L887" i="4" s="1"/>
  <c r="P887" i="4" s="1"/>
  <c r="O886" i="4" a="1"/>
  <c r="O886" i="4" s="1"/>
  <c r="K886" i="4"/>
  <c r="O885" i="4" a="1"/>
  <c r="O885" i="4" s="1"/>
  <c r="L885" i="4"/>
  <c r="K885" i="4"/>
  <c r="O884" i="4" a="1"/>
  <c r="O884" i="4" s="1"/>
  <c r="K884" i="4"/>
  <c r="O883" i="4" a="1"/>
  <c r="O883" i="4" s="1"/>
  <c r="L883" i="4"/>
  <c r="K883" i="4"/>
  <c r="P883" i="4" s="1"/>
  <c r="O882" i="4" a="1"/>
  <c r="O882" i="4" s="1"/>
  <c r="L882" i="4"/>
  <c r="K882" i="4"/>
  <c r="P882" i="4" s="1"/>
  <c r="O881" i="4" a="1"/>
  <c r="O881" i="4" s="1"/>
  <c r="K881" i="4"/>
  <c r="L881" i="4" s="1"/>
  <c r="O880" i="4" a="1"/>
  <c r="O880" i="4" s="1"/>
  <c r="K880" i="4"/>
  <c r="O879" i="4" a="1"/>
  <c r="O879" i="4" s="1"/>
  <c r="L879" i="4"/>
  <c r="P879" i="4" s="1"/>
  <c r="K879" i="4"/>
  <c r="O878" i="4" a="1"/>
  <c r="O878" i="4" s="1"/>
  <c r="K878" i="4"/>
  <c r="L878" i="4" s="1"/>
  <c r="P878" i="4" s="1"/>
  <c r="O877" i="4" a="1"/>
  <c r="O877" i="4" s="1"/>
  <c r="K877" i="4"/>
  <c r="O876" i="4" a="1"/>
  <c r="O876" i="4"/>
  <c r="K876" i="4"/>
  <c r="O875" i="4" a="1"/>
  <c r="O875" i="4" s="1"/>
  <c r="K875" i="4"/>
  <c r="O874" i="4" a="1"/>
  <c r="O874" i="4" s="1"/>
  <c r="L874" i="4"/>
  <c r="K874" i="4"/>
  <c r="P874" i="4" s="1"/>
  <c r="O873" i="4" a="1"/>
  <c r="O873" i="4" s="1"/>
  <c r="K873" i="4"/>
  <c r="O872" i="4" a="1"/>
  <c r="O872" i="4" s="1"/>
  <c r="K872" i="4"/>
  <c r="L872" i="4" s="1"/>
  <c r="O871" i="4" a="1"/>
  <c r="O871" i="4" s="1"/>
  <c r="K871" i="4"/>
  <c r="L871" i="4" s="1"/>
  <c r="O870" i="4" a="1"/>
  <c r="O870" i="4" s="1"/>
  <c r="K870" i="4"/>
  <c r="O869" i="4" a="1"/>
  <c r="O869" i="4" s="1"/>
  <c r="K869" i="4"/>
  <c r="O868" i="4" a="1"/>
  <c r="O868" i="4" s="1"/>
  <c r="L868" i="4"/>
  <c r="K868" i="4"/>
  <c r="O867" i="4" a="1"/>
  <c r="O867" i="4" s="1"/>
  <c r="K867" i="4"/>
  <c r="L867" i="4" s="1"/>
  <c r="O866" i="4" a="1"/>
  <c r="O866" i="4" s="1"/>
  <c r="K866" i="4"/>
  <c r="L866" i="4" s="1"/>
  <c r="P866" i="4" s="1"/>
  <c r="O865" i="4" a="1"/>
  <c r="O865" i="4"/>
  <c r="K865" i="4"/>
  <c r="L865" i="4" s="1"/>
  <c r="O864" i="4" a="1"/>
  <c r="O864" i="4" s="1"/>
  <c r="K864" i="4"/>
  <c r="O863" i="4" a="1"/>
  <c r="O863" i="4" s="1"/>
  <c r="K863" i="4"/>
  <c r="L863" i="4" s="1"/>
  <c r="P863" i="4" s="1"/>
  <c r="O862" i="4" a="1"/>
  <c r="O862" i="4" s="1"/>
  <c r="K862" i="4"/>
  <c r="L862" i="4" s="1"/>
  <c r="P862" i="4" s="1"/>
  <c r="O861" i="4" a="1"/>
  <c r="O861" i="4" s="1"/>
  <c r="K861" i="4"/>
  <c r="L861" i="4" s="1"/>
  <c r="P861" i="4" s="1"/>
  <c r="O860" i="4" a="1"/>
  <c r="O860" i="4" s="1"/>
  <c r="K860" i="4"/>
  <c r="O859" i="4" a="1"/>
  <c r="O859" i="4" s="1"/>
  <c r="K859" i="4"/>
  <c r="O858" i="4" a="1"/>
  <c r="O858" i="4" s="1"/>
  <c r="K858" i="4"/>
  <c r="L858" i="4" s="1"/>
  <c r="P858" i="4" s="1"/>
  <c r="O857" i="4" a="1"/>
  <c r="O857" i="4" s="1"/>
  <c r="K857" i="4"/>
  <c r="L857" i="4" s="1"/>
  <c r="O856" i="4" a="1"/>
  <c r="O856" i="4" s="1"/>
  <c r="K856" i="4"/>
  <c r="L856" i="4" s="1"/>
  <c r="O855" i="4" a="1"/>
  <c r="O855" i="4" s="1"/>
  <c r="L855" i="4"/>
  <c r="K855" i="4"/>
  <c r="O854" i="4" a="1"/>
  <c r="O854" i="4"/>
  <c r="K854" i="4"/>
  <c r="O853" i="4" a="1"/>
  <c r="O853" i="4" s="1"/>
  <c r="K853" i="4"/>
  <c r="O852" i="4" a="1"/>
  <c r="O852" i="4" s="1"/>
  <c r="K852" i="4"/>
  <c r="L852" i="4" s="1"/>
  <c r="O851" i="4" a="1"/>
  <c r="O851" i="4" s="1"/>
  <c r="L851" i="4"/>
  <c r="K851" i="4"/>
  <c r="P851" i="4" s="1"/>
  <c r="O850" i="4" a="1"/>
  <c r="O850" i="4" s="1"/>
  <c r="K850" i="4"/>
  <c r="L850" i="4" s="1"/>
  <c r="O849" i="4" a="1"/>
  <c r="O849" i="4" s="1"/>
  <c r="K849" i="4"/>
  <c r="L849" i="4" s="1"/>
  <c r="P849" i="4" s="1"/>
  <c r="O848" i="4" a="1"/>
  <c r="O848" i="4" s="1"/>
  <c r="K848" i="4"/>
  <c r="O847" i="4" a="1"/>
  <c r="O847" i="4" s="1"/>
  <c r="L847" i="4"/>
  <c r="P847" i="4" s="1"/>
  <c r="K847" i="4"/>
  <c r="O846" i="4" a="1"/>
  <c r="O846" i="4" s="1"/>
  <c r="K846" i="4"/>
  <c r="L846" i="4" s="1"/>
  <c r="P846" i="4" s="1"/>
  <c r="O845" i="4" a="1"/>
  <c r="O845" i="4" s="1"/>
  <c r="K845" i="4"/>
  <c r="L845" i="4" s="1"/>
  <c r="P845" i="4" s="1"/>
  <c r="O844" i="4" a="1"/>
  <c r="O844" i="4" s="1"/>
  <c r="L844" i="4"/>
  <c r="K844" i="4"/>
  <c r="P844" i="4" s="1"/>
  <c r="O843" i="4" a="1"/>
  <c r="O843" i="4"/>
  <c r="K843" i="4"/>
  <c r="O842" i="4" a="1"/>
  <c r="O842" i="4" s="1"/>
  <c r="K842" i="4"/>
  <c r="L842" i="4" s="1"/>
  <c r="P842" i="4" s="1"/>
  <c r="O841" i="4" a="1"/>
  <c r="O841" i="4" s="1"/>
  <c r="L841" i="4"/>
  <c r="K841" i="4"/>
  <c r="O840" i="4" a="1"/>
  <c r="O840" i="4" s="1"/>
  <c r="K840" i="4"/>
  <c r="L840" i="4" s="1"/>
  <c r="O839" i="4" a="1"/>
  <c r="O839" i="4" s="1"/>
  <c r="K839" i="4"/>
  <c r="O838" i="4" a="1"/>
  <c r="O838" i="4" s="1"/>
  <c r="L838" i="4"/>
  <c r="K838" i="4"/>
  <c r="P838" i="4" s="1"/>
  <c r="O837" i="4" a="1"/>
  <c r="O837" i="4" s="1"/>
  <c r="L837" i="4"/>
  <c r="K837" i="4"/>
  <c r="O836" i="4" a="1"/>
  <c r="O836" i="4" s="1"/>
  <c r="K836" i="4"/>
  <c r="O835" i="4" a="1"/>
  <c r="O835" i="4" s="1"/>
  <c r="K835" i="4"/>
  <c r="O834" i="4" a="1"/>
  <c r="O834" i="4" s="1"/>
  <c r="L834" i="4"/>
  <c r="K834" i="4"/>
  <c r="O833" i="4" a="1"/>
  <c r="O833" i="4" s="1"/>
  <c r="L833" i="4"/>
  <c r="K833" i="4"/>
  <c r="O832" i="4" a="1"/>
  <c r="O832" i="4" s="1"/>
  <c r="K832" i="4"/>
  <c r="O831" i="4" a="1"/>
  <c r="O831" i="4" s="1"/>
  <c r="K831" i="4"/>
  <c r="L831" i="4" s="1"/>
  <c r="P831" i="4" s="1"/>
  <c r="O830" i="4" a="1"/>
  <c r="O830" i="4" s="1"/>
  <c r="K830" i="4"/>
  <c r="L830" i="4" s="1"/>
  <c r="P830" i="4" s="1"/>
  <c r="O829" i="4" a="1"/>
  <c r="O829" i="4" s="1"/>
  <c r="K829" i="4"/>
  <c r="O828" i="4" a="1"/>
  <c r="O828" i="4" s="1"/>
  <c r="K828" i="4"/>
  <c r="L828" i="4" s="1"/>
  <c r="O827" i="4" a="1"/>
  <c r="O827" i="4" s="1"/>
  <c r="K827" i="4"/>
  <c r="O826" i="4" a="1"/>
  <c r="O826" i="4" s="1"/>
  <c r="L826" i="4"/>
  <c r="K826" i="4"/>
  <c r="O825" i="4" a="1"/>
  <c r="O825" i="4" s="1"/>
  <c r="L825" i="4"/>
  <c r="K825" i="4"/>
  <c r="O824" i="4" a="1"/>
  <c r="O824" i="4" s="1"/>
  <c r="K824" i="4"/>
  <c r="L824" i="4" s="1"/>
  <c r="O823" i="4" a="1"/>
  <c r="O823" i="4" s="1"/>
  <c r="K823" i="4"/>
  <c r="O822" i="4" a="1"/>
  <c r="O822" i="4" s="1"/>
  <c r="L822" i="4"/>
  <c r="K822" i="4"/>
  <c r="O821" i="4" a="1"/>
  <c r="O821" i="4" s="1"/>
  <c r="L821" i="4"/>
  <c r="K821" i="4"/>
  <c r="O820" i="4" a="1"/>
  <c r="O820" i="4" s="1"/>
  <c r="K820" i="4"/>
  <c r="L820" i="4" s="1"/>
  <c r="O819" i="4" a="1"/>
  <c r="O819" i="4" s="1"/>
  <c r="K819" i="4"/>
  <c r="L819" i="4" s="1"/>
  <c r="O818" i="4" a="1"/>
  <c r="O818" i="4" s="1"/>
  <c r="L818" i="4"/>
  <c r="K818" i="4"/>
  <c r="O817" i="4" a="1"/>
  <c r="O817" i="4" s="1"/>
  <c r="K817" i="4"/>
  <c r="L817" i="4" s="1"/>
  <c r="P817" i="4" s="1"/>
  <c r="O816" i="4" a="1"/>
  <c r="O816" i="4" s="1"/>
  <c r="K816" i="4"/>
  <c r="O815" i="4" a="1"/>
  <c r="O815" i="4" s="1"/>
  <c r="L815" i="4"/>
  <c r="K815" i="4"/>
  <c r="P815" i="4" s="1"/>
  <c r="O814" i="4" a="1"/>
  <c r="O814" i="4" s="1"/>
  <c r="K814" i="4"/>
  <c r="L814" i="4" s="1"/>
  <c r="P814" i="4" s="1"/>
  <c r="O813" i="4" a="1"/>
  <c r="O813" i="4" s="1"/>
  <c r="L813" i="4"/>
  <c r="K813" i="4"/>
  <c r="O812" i="4" a="1"/>
  <c r="O812" i="4" s="1"/>
  <c r="L812" i="4"/>
  <c r="K812" i="4"/>
  <c r="P812" i="4" s="1"/>
  <c r="O811" i="4" a="1"/>
  <c r="O811" i="4" s="1"/>
  <c r="K811" i="4"/>
  <c r="O810" i="4" a="1"/>
  <c r="O810" i="4" s="1"/>
  <c r="K810" i="4"/>
  <c r="L810" i="4" s="1"/>
  <c r="P810" i="4" s="1"/>
  <c r="O809" i="4" a="1"/>
  <c r="O809" i="4" s="1"/>
  <c r="K809" i="4"/>
  <c r="L809" i="4" s="1"/>
  <c r="P809" i="4" s="1"/>
  <c r="O808" i="4" a="1"/>
  <c r="O808" i="4" s="1"/>
  <c r="K808" i="4"/>
  <c r="O807" i="4" a="1"/>
  <c r="O807" i="4" s="1"/>
  <c r="K807" i="4"/>
  <c r="O806" i="4" a="1"/>
  <c r="O806" i="4" s="1"/>
  <c r="K806" i="4"/>
  <c r="O805" i="4" a="1"/>
  <c r="O805" i="4" s="1"/>
  <c r="L805" i="4"/>
  <c r="K805" i="4"/>
  <c r="O804" i="4" a="1"/>
  <c r="O804" i="4" s="1"/>
  <c r="K804" i="4"/>
  <c r="L804" i="4" s="1"/>
  <c r="O803" i="4" a="1"/>
  <c r="O803" i="4" s="1"/>
  <c r="L803" i="4"/>
  <c r="K803" i="4"/>
  <c r="P803" i="4" s="1"/>
  <c r="O802" i="4" a="1"/>
  <c r="O802" i="4" s="1"/>
  <c r="K802" i="4"/>
  <c r="L802" i="4" s="1"/>
  <c r="P802" i="4" s="1"/>
  <c r="P801" i="4"/>
  <c r="O801" i="4" a="1"/>
  <c r="O801" i="4" s="1"/>
  <c r="K801" i="4"/>
  <c r="L801" i="4" s="1"/>
  <c r="O800" i="4" a="1"/>
  <c r="O800" i="4" s="1"/>
  <c r="K800" i="4"/>
  <c r="L800" i="4" s="1"/>
  <c r="O799" i="4" a="1"/>
  <c r="O799" i="4" s="1"/>
  <c r="K799" i="4"/>
  <c r="L799" i="4" s="1"/>
  <c r="P799" i="4" s="1"/>
  <c r="O798" i="4" a="1"/>
  <c r="O798" i="4" s="1"/>
  <c r="K798" i="4"/>
  <c r="L798" i="4" s="1"/>
  <c r="P798" i="4" s="1"/>
  <c r="O797" i="4" a="1"/>
  <c r="O797" i="4" s="1"/>
  <c r="K797" i="4"/>
  <c r="O796" i="4" a="1"/>
  <c r="O796" i="4"/>
  <c r="L796" i="4"/>
  <c r="P796" i="4" s="1"/>
  <c r="K796" i="4"/>
  <c r="O795" i="4" a="1"/>
  <c r="O795" i="4" s="1"/>
  <c r="K795" i="4"/>
  <c r="O794" i="4" a="1"/>
  <c r="O794" i="4" s="1"/>
  <c r="K794" i="4"/>
  <c r="L794" i="4" s="1"/>
  <c r="P794" i="4" s="1"/>
  <c r="O793" i="4" a="1"/>
  <c r="O793" i="4" s="1"/>
  <c r="L793" i="4"/>
  <c r="P793" i="4" s="1"/>
  <c r="K793" i="4"/>
  <c r="O792" i="4" a="1"/>
  <c r="O792" i="4" s="1"/>
  <c r="K792" i="4"/>
  <c r="O791" i="4" a="1"/>
  <c r="O791" i="4" s="1"/>
  <c r="K791" i="4"/>
  <c r="O790" i="4" a="1"/>
  <c r="O790" i="4" s="1"/>
  <c r="L790" i="4"/>
  <c r="K790" i="4"/>
  <c r="O789" i="4" a="1"/>
  <c r="O789" i="4" s="1"/>
  <c r="K789" i="4"/>
  <c r="O788" i="4" a="1"/>
  <c r="O788" i="4" s="1"/>
  <c r="K788" i="4"/>
  <c r="O787" i="4" a="1"/>
  <c r="O787" i="4"/>
  <c r="K787" i="4"/>
  <c r="O786" i="4" a="1"/>
  <c r="O786" i="4" s="1"/>
  <c r="K786" i="4"/>
  <c r="L786" i="4" s="1"/>
  <c r="P785" i="4"/>
  <c r="O785" i="4" a="1"/>
  <c r="O785" i="4" s="1"/>
  <c r="K785" i="4"/>
  <c r="L785" i="4" s="1"/>
  <c r="O784" i="4" a="1"/>
  <c r="O784" i="4" s="1"/>
  <c r="L784" i="4"/>
  <c r="K784" i="4"/>
  <c r="O783" i="4" a="1"/>
  <c r="O783" i="4" s="1"/>
  <c r="K783" i="4"/>
  <c r="L783" i="4" s="1"/>
  <c r="P783" i="4" s="1"/>
  <c r="O782" i="4" a="1"/>
  <c r="O782" i="4" s="1"/>
  <c r="K782" i="4"/>
  <c r="L782" i="4" s="1"/>
  <c r="P782" i="4" s="1"/>
  <c r="O781" i="4" a="1"/>
  <c r="O781" i="4" s="1"/>
  <c r="L781" i="4"/>
  <c r="K781" i="4"/>
  <c r="O780" i="4" a="1"/>
  <c r="O780" i="4"/>
  <c r="K780" i="4"/>
  <c r="O779" i="4" a="1"/>
  <c r="O779" i="4" s="1"/>
  <c r="K779" i="4"/>
  <c r="O778" i="4" a="1"/>
  <c r="O778" i="4" s="1"/>
  <c r="K778" i="4"/>
  <c r="L778" i="4" s="1"/>
  <c r="P778" i="4" s="1"/>
  <c r="O777" i="4" a="1"/>
  <c r="O777" i="4" s="1"/>
  <c r="K777" i="4"/>
  <c r="O776" i="4" a="1"/>
  <c r="O776" i="4" s="1"/>
  <c r="L776" i="4"/>
  <c r="K776" i="4"/>
  <c r="O775" i="4" a="1"/>
  <c r="O775" i="4" s="1"/>
  <c r="L775" i="4"/>
  <c r="K775" i="4"/>
  <c r="P775" i="4" s="1"/>
  <c r="O774" i="4" a="1"/>
  <c r="O774" i="4" s="1"/>
  <c r="L774" i="4"/>
  <c r="K774" i="4"/>
  <c r="P774" i="4" s="1"/>
  <c r="O773" i="4" a="1"/>
  <c r="O773" i="4"/>
  <c r="K773" i="4"/>
  <c r="O772" i="4" a="1"/>
  <c r="O772" i="4" s="1"/>
  <c r="L772" i="4"/>
  <c r="K772" i="4"/>
  <c r="O771" i="4" a="1"/>
  <c r="O771" i="4" s="1"/>
  <c r="L771" i="4"/>
  <c r="K771" i="4"/>
  <c r="O770" i="4" a="1"/>
  <c r="O770" i="4" s="1"/>
  <c r="L770" i="4"/>
  <c r="K770" i="4"/>
  <c r="O769" i="4" a="1"/>
  <c r="O769" i="4" s="1"/>
  <c r="K769" i="4"/>
  <c r="L769" i="4" s="1"/>
  <c r="P769" i="4" s="1"/>
  <c r="O768" i="4" a="1"/>
  <c r="O768" i="4" s="1"/>
  <c r="K768" i="4"/>
  <c r="L768" i="4" s="1"/>
  <c r="O767" i="4" a="1"/>
  <c r="O767" i="4" s="1"/>
  <c r="L767" i="4"/>
  <c r="K767" i="4"/>
  <c r="P767" i="4" s="1"/>
  <c r="O766" i="4" a="1"/>
  <c r="O766" i="4" s="1"/>
  <c r="K766" i="4"/>
  <c r="L766" i="4" s="1"/>
  <c r="P766" i="4" s="1"/>
  <c r="O765" i="4" a="1"/>
  <c r="O765" i="4" s="1"/>
  <c r="K765" i="4"/>
  <c r="O764" i="4" a="1"/>
  <c r="O764" i="4" s="1"/>
  <c r="K764" i="4"/>
  <c r="O763" i="4" a="1"/>
  <c r="O763" i="4" s="1"/>
  <c r="K763" i="4"/>
  <c r="O762" i="4" a="1"/>
  <c r="O762" i="4" s="1"/>
  <c r="K762" i="4"/>
  <c r="L762" i="4" s="1"/>
  <c r="P762" i="4" s="1"/>
  <c r="O761" i="4" a="1"/>
  <c r="O761" i="4" s="1"/>
  <c r="K761" i="4"/>
  <c r="L761" i="4" s="1"/>
  <c r="P761" i="4" s="1"/>
  <c r="O760" i="4" a="1"/>
  <c r="O760" i="4" s="1"/>
  <c r="K760" i="4"/>
  <c r="O759" i="4" a="1"/>
  <c r="O759" i="4" s="1"/>
  <c r="L759" i="4"/>
  <c r="K759" i="4"/>
  <c r="O758" i="4" a="1"/>
  <c r="O758" i="4" s="1"/>
  <c r="L758" i="4"/>
  <c r="K758" i="4"/>
  <c r="O757" i="4" a="1"/>
  <c r="O757" i="4" s="1"/>
  <c r="K757" i="4"/>
  <c r="O756" i="4" a="1"/>
  <c r="O756" i="4" s="1"/>
  <c r="L756" i="4"/>
  <c r="K756" i="4"/>
  <c r="O755" i="4" a="1"/>
  <c r="O755" i="4" s="1"/>
  <c r="L755" i="4"/>
  <c r="K755" i="4"/>
  <c r="O754" i="4" a="1"/>
  <c r="O754" i="4" s="1"/>
  <c r="K754" i="4"/>
  <c r="L754" i="4" s="1"/>
  <c r="P754" i="4" s="1"/>
  <c r="O753" i="4" a="1"/>
  <c r="O753" i="4" s="1"/>
  <c r="K753" i="4"/>
  <c r="L753" i="4" s="1"/>
  <c r="P753" i="4" s="1"/>
  <c r="O752" i="4" a="1"/>
  <c r="O752" i="4" s="1"/>
  <c r="L752" i="4"/>
  <c r="K752" i="4"/>
  <c r="O751" i="4" a="1"/>
  <c r="O751" i="4" s="1"/>
  <c r="L751" i="4"/>
  <c r="K751" i="4"/>
  <c r="O750" i="4" a="1"/>
  <c r="O750" i="4" s="1"/>
  <c r="K750" i="4"/>
  <c r="L750" i="4" s="1"/>
  <c r="P750" i="4" s="1"/>
  <c r="O749" i="4" a="1"/>
  <c r="O749" i="4" s="1"/>
  <c r="K749" i="4"/>
  <c r="O748" i="4" a="1"/>
  <c r="O748" i="4" s="1"/>
  <c r="L748" i="4"/>
  <c r="K748" i="4"/>
  <c r="P748" i="4" s="1"/>
  <c r="O747" i="4" a="1"/>
  <c r="O747" i="4" s="1"/>
  <c r="K747" i="4"/>
  <c r="O746" i="4" a="1"/>
  <c r="O746" i="4" s="1"/>
  <c r="K746" i="4"/>
  <c r="L746" i="4" s="1"/>
  <c r="P746" i="4" s="1"/>
  <c r="O745" i="4" a="1"/>
  <c r="O745" i="4" s="1"/>
  <c r="K745" i="4"/>
  <c r="O744" i="4" a="1"/>
  <c r="O744" i="4" s="1"/>
  <c r="K744" i="4"/>
  <c r="L744" i="4" s="1"/>
  <c r="O743" i="4" a="1"/>
  <c r="O743" i="4" s="1"/>
  <c r="K743" i="4"/>
  <c r="L743" i="4" s="1"/>
  <c r="P743" i="4" s="1"/>
  <c r="O742" i="4" a="1"/>
  <c r="O742" i="4" s="1"/>
  <c r="L742" i="4"/>
  <c r="K742" i="4"/>
  <c r="O741" i="4" a="1"/>
  <c r="O741" i="4" s="1"/>
  <c r="K741" i="4"/>
  <c r="O740" i="4" a="1"/>
  <c r="O740" i="4" s="1"/>
  <c r="K740" i="4"/>
  <c r="O739" i="4" a="1"/>
  <c r="O739" i="4" s="1"/>
  <c r="K739" i="4"/>
  <c r="L739" i="4" s="1"/>
  <c r="P738" i="4"/>
  <c r="O738" i="4" a="1"/>
  <c r="O738" i="4" s="1"/>
  <c r="K738" i="4"/>
  <c r="L738" i="4" s="1"/>
  <c r="O737" i="4" a="1"/>
  <c r="O737" i="4" s="1"/>
  <c r="K737" i="4"/>
  <c r="L737" i="4" s="1"/>
  <c r="P737" i="4" s="1"/>
  <c r="O736" i="4" a="1"/>
  <c r="O736" i="4" s="1"/>
  <c r="L736" i="4"/>
  <c r="K736" i="4"/>
  <c r="O735" i="4" a="1"/>
  <c r="O735" i="4" s="1"/>
  <c r="K735" i="4"/>
  <c r="L735" i="4" s="1"/>
  <c r="P735" i="4" s="1"/>
  <c r="O734" i="4" a="1"/>
  <c r="O734" i="4" s="1"/>
  <c r="K734" i="4"/>
  <c r="L734" i="4" s="1"/>
  <c r="P734" i="4" s="1"/>
  <c r="O733" i="4" a="1"/>
  <c r="O733" i="4" s="1"/>
  <c r="K733" i="4"/>
  <c r="O732" i="4" a="1"/>
  <c r="O732" i="4" s="1"/>
  <c r="K732" i="4"/>
  <c r="L732" i="4" s="1"/>
  <c r="P732" i="4" s="1"/>
  <c r="O731" i="4" a="1"/>
  <c r="O731" i="4"/>
  <c r="K731" i="4"/>
  <c r="O730" i="4" a="1"/>
  <c r="O730" i="4" s="1"/>
  <c r="K730" i="4"/>
  <c r="L730" i="4" s="1"/>
  <c r="P730" i="4" s="1"/>
  <c r="O729" i="4" a="1"/>
  <c r="O729" i="4" s="1"/>
  <c r="K729" i="4"/>
  <c r="L729" i="4" s="1"/>
  <c r="P729" i="4" s="1"/>
  <c r="O728" i="4" a="1"/>
  <c r="O728" i="4" s="1"/>
  <c r="K728" i="4"/>
  <c r="L728" i="4" s="1"/>
  <c r="O727" i="4" a="1"/>
  <c r="O727" i="4" s="1"/>
  <c r="K727" i="4"/>
  <c r="O726" i="4" a="1"/>
  <c r="O726" i="4" s="1"/>
  <c r="K726" i="4"/>
  <c r="O725" i="4" a="1"/>
  <c r="O725" i="4" s="1"/>
  <c r="K725" i="4"/>
  <c r="O724" i="4" a="1"/>
  <c r="O724" i="4" s="1"/>
  <c r="K724" i="4"/>
  <c r="L724" i="4" s="1"/>
  <c r="O723" i="4" a="1"/>
  <c r="O723" i="4" s="1"/>
  <c r="L723" i="4"/>
  <c r="K723" i="4"/>
  <c r="O722" i="4" a="1"/>
  <c r="O722" i="4" s="1"/>
  <c r="K722" i="4"/>
  <c r="L722" i="4" s="1"/>
  <c r="O721" i="4" a="1"/>
  <c r="O721" i="4" s="1"/>
  <c r="L721" i="4"/>
  <c r="K721" i="4"/>
  <c r="O720" i="4" a="1"/>
  <c r="O720" i="4" s="1"/>
  <c r="K720" i="4"/>
  <c r="L720" i="4" s="1"/>
  <c r="O719" i="4" a="1"/>
  <c r="O719" i="4" s="1"/>
  <c r="K719" i="4"/>
  <c r="L719" i="4" s="1"/>
  <c r="P719" i="4" s="1"/>
  <c r="O718" i="4" a="1"/>
  <c r="O718" i="4" s="1"/>
  <c r="K718" i="4"/>
  <c r="L718" i="4" s="1"/>
  <c r="P718" i="4" s="1"/>
  <c r="O717" i="4" a="1"/>
  <c r="O717" i="4" s="1"/>
  <c r="K717" i="4"/>
  <c r="O716" i="4" a="1"/>
  <c r="O716" i="4" s="1"/>
  <c r="L716" i="4"/>
  <c r="K716" i="4"/>
  <c r="O715" i="4" a="1"/>
  <c r="O715" i="4"/>
  <c r="K715" i="4"/>
  <c r="O714" i="4" a="1"/>
  <c r="O714" i="4" s="1"/>
  <c r="K714" i="4"/>
  <c r="L714" i="4" s="1"/>
  <c r="P714" i="4" s="1"/>
  <c r="O713" i="4" a="1"/>
  <c r="O713" i="4" s="1"/>
  <c r="K713" i="4"/>
  <c r="O712" i="4" a="1"/>
  <c r="O712" i="4" s="1"/>
  <c r="K712" i="4"/>
  <c r="O711" i="4" a="1"/>
  <c r="O711" i="4" s="1"/>
  <c r="L711" i="4"/>
  <c r="K711" i="4"/>
  <c r="P711" i="4" s="1"/>
  <c r="O710" i="4" a="1"/>
  <c r="O710" i="4" s="1"/>
  <c r="L710" i="4"/>
  <c r="K710" i="4"/>
  <c r="P710" i="4" s="1"/>
  <c r="O709" i="4" a="1"/>
  <c r="O709" i="4" s="1"/>
  <c r="K709" i="4"/>
  <c r="O708" i="4" a="1"/>
  <c r="O708" i="4" s="1"/>
  <c r="L708" i="4"/>
  <c r="K708" i="4"/>
  <c r="O707" i="4" a="1"/>
  <c r="O707" i="4" s="1"/>
  <c r="K707" i="4"/>
  <c r="O706" i="4" a="1"/>
  <c r="O706" i="4" s="1"/>
  <c r="L706" i="4"/>
  <c r="K706" i="4"/>
  <c r="O705" i="4" a="1"/>
  <c r="O705" i="4" s="1"/>
  <c r="L705" i="4"/>
  <c r="K705" i="4"/>
  <c r="O704" i="4" a="1"/>
  <c r="O704" i="4" s="1"/>
  <c r="L704" i="4"/>
  <c r="K704" i="4"/>
  <c r="O703" i="4" a="1"/>
  <c r="O703" i="4" s="1"/>
  <c r="L703" i="4"/>
  <c r="K703" i="4"/>
  <c r="O702" i="4" a="1"/>
  <c r="O702" i="4" s="1"/>
  <c r="K702" i="4"/>
  <c r="O701" i="4" a="1"/>
  <c r="O701" i="4" s="1"/>
  <c r="K701" i="4"/>
  <c r="O700" i="4" a="1"/>
  <c r="O700" i="4" s="1"/>
  <c r="K700" i="4"/>
  <c r="O699" i="4" a="1"/>
  <c r="O699" i="4" s="1"/>
  <c r="K699" i="4"/>
  <c r="O698" i="4" a="1"/>
  <c r="O698" i="4" s="1"/>
  <c r="K698" i="4"/>
  <c r="L698" i="4" s="1"/>
  <c r="P698" i="4" s="1"/>
  <c r="O697" i="4" a="1"/>
  <c r="O697" i="4" s="1"/>
  <c r="K697" i="4"/>
  <c r="O696" i="4" a="1"/>
  <c r="O696" i="4"/>
  <c r="K696" i="4"/>
  <c r="L696" i="4" s="1"/>
  <c r="O695" i="4" a="1"/>
  <c r="O695" i="4" s="1"/>
  <c r="K695" i="4"/>
  <c r="L695" i="4" s="1"/>
  <c r="P695" i="4" s="1"/>
  <c r="O694" i="4" a="1"/>
  <c r="O694" i="4" s="1"/>
  <c r="L694" i="4"/>
  <c r="K694" i="4"/>
  <c r="O693" i="4" a="1"/>
  <c r="O693" i="4" s="1"/>
  <c r="K693" i="4"/>
  <c r="O692" i="4" a="1"/>
  <c r="O692" i="4" s="1"/>
  <c r="K692" i="4"/>
  <c r="L692" i="4" s="1"/>
  <c r="O691" i="4" a="1"/>
  <c r="O691" i="4" s="1"/>
  <c r="L691" i="4"/>
  <c r="K691" i="4"/>
  <c r="O690" i="4" a="1"/>
  <c r="O690" i="4" s="1"/>
  <c r="K690" i="4"/>
  <c r="L690" i="4" s="1"/>
  <c r="P690" i="4" s="1"/>
  <c r="O689" i="4" a="1"/>
  <c r="O689" i="4" s="1"/>
  <c r="L689" i="4"/>
  <c r="K689" i="4"/>
  <c r="O688" i="4" a="1"/>
  <c r="O688" i="4" s="1"/>
  <c r="L688" i="4"/>
  <c r="K688" i="4"/>
  <c r="O687" i="4" a="1"/>
  <c r="O687" i="4" s="1"/>
  <c r="K687" i="4"/>
  <c r="L687" i="4" s="1"/>
  <c r="P687" i="4" s="1"/>
  <c r="O686" i="4" a="1"/>
  <c r="O686" i="4" s="1"/>
  <c r="L686" i="4"/>
  <c r="K686" i="4"/>
  <c r="O685" i="4" a="1"/>
  <c r="O685" i="4" s="1"/>
  <c r="L685" i="4"/>
  <c r="K685" i="4"/>
  <c r="O684" i="4" a="1"/>
  <c r="O684" i="4" s="1"/>
  <c r="K684" i="4"/>
  <c r="L684" i="4" s="1"/>
  <c r="O683" i="4" a="1"/>
  <c r="O683" i="4" s="1"/>
  <c r="K683" i="4"/>
  <c r="O682" i="4" a="1"/>
  <c r="O682" i="4" s="1"/>
  <c r="K682" i="4"/>
  <c r="L682" i="4" s="1"/>
  <c r="P682" i="4" s="1"/>
  <c r="O681" i="4" a="1"/>
  <c r="O681" i="4" s="1"/>
  <c r="K681" i="4"/>
  <c r="L681" i="4" s="1"/>
  <c r="P681" i="4" s="1"/>
  <c r="O680" i="4" a="1"/>
  <c r="O680" i="4" s="1"/>
  <c r="L680" i="4"/>
  <c r="K680" i="4"/>
  <c r="O679" i="4" a="1"/>
  <c r="O679" i="4" s="1"/>
  <c r="K679" i="4"/>
  <c r="L679" i="4" s="1"/>
  <c r="O678" i="4" a="1"/>
  <c r="O678" i="4" s="1"/>
  <c r="K678" i="4"/>
  <c r="O677" i="4" a="1"/>
  <c r="O677" i="4" s="1"/>
  <c r="K677" i="4"/>
  <c r="O676" i="4" a="1"/>
  <c r="O676" i="4" s="1"/>
  <c r="L676" i="4"/>
  <c r="K676" i="4"/>
  <c r="O675" i="4" a="1"/>
  <c r="O675" i="4" s="1"/>
  <c r="L675" i="4"/>
  <c r="K675" i="4"/>
  <c r="O674" i="4" a="1"/>
  <c r="O674" i="4" s="1"/>
  <c r="K674" i="4"/>
  <c r="L674" i="4" s="1"/>
  <c r="P674" i="4" s="1"/>
  <c r="O673" i="4" a="1"/>
  <c r="O673" i="4" s="1"/>
  <c r="K673" i="4"/>
  <c r="L673" i="4" s="1"/>
  <c r="P673" i="4" s="1"/>
  <c r="O672" i="4" a="1"/>
  <c r="O672" i="4" s="1"/>
  <c r="K672" i="4"/>
  <c r="L672" i="4" s="1"/>
  <c r="O671" i="4" a="1"/>
  <c r="O671" i="4" s="1"/>
  <c r="L671" i="4"/>
  <c r="K671" i="4"/>
  <c r="O670" i="4" a="1"/>
  <c r="O670" i="4" s="1"/>
  <c r="K670" i="4"/>
  <c r="O669" i="4" a="1"/>
  <c r="O669" i="4" s="1"/>
  <c r="K669" i="4"/>
  <c r="O668" i="4" a="1"/>
  <c r="O668" i="4" s="1"/>
  <c r="K668" i="4"/>
  <c r="O667" i="4" a="1"/>
  <c r="O667" i="4" s="1"/>
  <c r="K667" i="4"/>
  <c r="O666" i="4" a="1"/>
  <c r="O666" i="4" s="1"/>
  <c r="K666" i="4"/>
  <c r="L666" i="4" s="1"/>
  <c r="P666" i="4" s="1"/>
  <c r="O665" i="4" a="1"/>
  <c r="O665" i="4" s="1"/>
  <c r="K665" i="4"/>
  <c r="O664" i="4" a="1"/>
  <c r="O664" i="4" s="1"/>
  <c r="K664" i="4"/>
  <c r="L664" i="4" s="1"/>
  <c r="P664" i="4" s="1"/>
  <c r="O663" i="4" a="1"/>
  <c r="O663" i="4" s="1"/>
  <c r="K663" i="4"/>
  <c r="L663" i="4" s="1"/>
  <c r="O662" i="4" a="1"/>
  <c r="O662" i="4" s="1"/>
  <c r="K662" i="4"/>
  <c r="O661" i="4" a="1"/>
  <c r="O661" i="4" s="1"/>
  <c r="L661" i="4"/>
  <c r="K661" i="4"/>
  <c r="O660" i="4" a="1"/>
  <c r="O660" i="4" s="1"/>
  <c r="K660" i="4"/>
  <c r="L660" i="4" s="1"/>
  <c r="O659" i="4" a="1"/>
  <c r="O659" i="4"/>
  <c r="K659" i="4"/>
  <c r="L659" i="4" s="1"/>
  <c r="O658" i="4" a="1"/>
  <c r="O658" i="4" s="1"/>
  <c r="K658" i="4"/>
  <c r="L658" i="4" s="1"/>
  <c r="P658" i="4" s="1"/>
  <c r="O657" i="4" a="1"/>
  <c r="O657" i="4"/>
  <c r="K657" i="4"/>
  <c r="O656" i="4" a="1"/>
  <c r="O656" i="4"/>
  <c r="K656" i="4"/>
  <c r="O655" i="4" a="1"/>
  <c r="O655" i="4" s="1"/>
  <c r="L655" i="4"/>
  <c r="K655" i="4"/>
  <c r="P655" i="4" s="1"/>
  <c r="O654" i="4" a="1"/>
  <c r="O654" i="4" s="1"/>
  <c r="K654" i="4"/>
  <c r="L654" i="4" s="1"/>
  <c r="O653" i="4" a="1"/>
  <c r="O653" i="4" s="1"/>
  <c r="K653" i="4"/>
  <c r="O652" i="4" a="1"/>
  <c r="O652" i="4" s="1"/>
  <c r="K652" i="4"/>
  <c r="O651" i="4" a="1"/>
  <c r="O651" i="4"/>
  <c r="K651" i="4"/>
  <c r="O650" i="4" a="1"/>
  <c r="O650" i="4" s="1"/>
  <c r="K650" i="4"/>
  <c r="L650" i="4" s="1"/>
  <c r="P650" i="4" s="1"/>
  <c r="P649" i="4"/>
  <c r="O649" i="4" a="1"/>
  <c r="O649" i="4" s="1"/>
  <c r="L649" i="4"/>
  <c r="K649" i="4"/>
  <c r="O648" i="4" a="1"/>
  <c r="O648" i="4" s="1"/>
  <c r="K648" i="4"/>
  <c r="L648" i="4" s="1"/>
  <c r="P648" i="4" s="1"/>
  <c r="O647" i="4" a="1"/>
  <c r="O647" i="4" s="1"/>
  <c r="K647" i="4"/>
  <c r="L647" i="4" s="1"/>
  <c r="P647" i="4" s="1"/>
  <c r="O646" i="4" a="1"/>
  <c r="O646" i="4" s="1"/>
  <c r="K646" i="4"/>
  <c r="O645" i="4" a="1"/>
  <c r="O645" i="4" s="1"/>
  <c r="K645" i="4"/>
  <c r="O644" i="4" a="1"/>
  <c r="O644" i="4" s="1"/>
  <c r="L644" i="4"/>
  <c r="K644" i="4"/>
  <c r="O643" i="4" a="1"/>
  <c r="O643" i="4"/>
  <c r="L643" i="4"/>
  <c r="K643" i="4"/>
  <c r="O642" i="4" a="1"/>
  <c r="O642" i="4" s="1"/>
  <c r="L642" i="4"/>
  <c r="K642" i="4"/>
  <c r="O641" i="4" a="1"/>
  <c r="O641" i="4" s="1"/>
  <c r="K641" i="4"/>
  <c r="O640" i="4" a="1"/>
  <c r="O640" i="4" s="1"/>
  <c r="K640" i="4"/>
  <c r="O639" i="4" a="1"/>
  <c r="O639" i="4" s="1"/>
  <c r="L639" i="4"/>
  <c r="K639" i="4"/>
  <c r="O638" i="4" a="1"/>
  <c r="O638" i="4" s="1"/>
  <c r="K638" i="4"/>
  <c r="L638" i="4" s="1"/>
  <c r="O637" i="4" a="1"/>
  <c r="O637" i="4" s="1"/>
  <c r="L637" i="4"/>
  <c r="K637" i="4"/>
  <c r="O636" i="4" a="1"/>
  <c r="O636" i="4"/>
  <c r="L636" i="4"/>
  <c r="P636" i="4" s="1"/>
  <c r="K636" i="4"/>
  <c r="O635" i="4" a="1"/>
  <c r="O635" i="4" s="1"/>
  <c r="K635" i="4"/>
  <c r="O634" i="4" a="1"/>
  <c r="O634" i="4" s="1"/>
  <c r="K634" i="4"/>
  <c r="L634" i="4" s="1"/>
  <c r="O633" i="4" a="1"/>
  <c r="O633" i="4" s="1"/>
  <c r="K633" i="4"/>
  <c r="L633" i="4" s="1"/>
  <c r="P633" i="4" s="1"/>
  <c r="O632" i="4" a="1"/>
  <c r="O632" i="4"/>
  <c r="K632" i="4"/>
  <c r="L632" i="4" s="1"/>
  <c r="P632" i="4" s="1"/>
  <c r="O631" i="4" a="1"/>
  <c r="O631" i="4" s="1"/>
  <c r="K631" i="4"/>
  <c r="L631" i="4" s="1"/>
  <c r="P631" i="4" s="1"/>
  <c r="O630" i="4" a="1"/>
  <c r="O630" i="4" s="1"/>
  <c r="K630" i="4"/>
  <c r="O629" i="4" a="1"/>
  <c r="O629" i="4" s="1"/>
  <c r="K629" i="4"/>
  <c r="O628" i="4" a="1"/>
  <c r="O628" i="4" s="1"/>
  <c r="L628" i="4"/>
  <c r="K628" i="4"/>
  <c r="P628" i="4" s="1"/>
  <c r="O627" i="4" a="1"/>
  <c r="O627" i="4" s="1"/>
  <c r="K627" i="4"/>
  <c r="L627" i="4" s="1"/>
  <c r="O626" i="4" a="1"/>
  <c r="O626" i="4" s="1"/>
  <c r="K626" i="4"/>
  <c r="L626" i="4" s="1"/>
  <c r="O625" i="4" a="1"/>
  <c r="O625" i="4" s="1"/>
  <c r="L625" i="4"/>
  <c r="K625" i="4"/>
  <c r="O624" i="4" a="1"/>
  <c r="O624" i="4" s="1"/>
  <c r="K624" i="4"/>
  <c r="O623" i="4" a="1"/>
  <c r="O623" i="4" s="1"/>
  <c r="L623" i="4"/>
  <c r="K623" i="4"/>
  <c r="O622" i="4" a="1"/>
  <c r="O622" i="4" s="1"/>
  <c r="L622" i="4"/>
  <c r="K622" i="4"/>
  <c r="P622" i="4" s="1"/>
  <c r="O621" i="4" a="1"/>
  <c r="O621" i="4" s="1"/>
  <c r="K621" i="4"/>
  <c r="L621" i="4" s="1"/>
  <c r="O620" i="4" a="1"/>
  <c r="O620" i="4" s="1"/>
  <c r="L620" i="4"/>
  <c r="K620" i="4"/>
  <c r="P620" i="4" s="1"/>
  <c r="O619" i="4" a="1"/>
  <c r="O619" i="4" s="1"/>
  <c r="K619" i="4"/>
  <c r="O618" i="4" a="1"/>
  <c r="O618" i="4" s="1"/>
  <c r="L618" i="4"/>
  <c r="K618" i="4"/>
  <c r="O617" i="4" a="1"/>
  <c r="O617" i="4" s="1"/>
  <c r="L617" i="4"/>
  <c r="K617" i="4"/>
  <c r="O616" i="4" a="1"/>
  <c r="O616" i="4"/>
  <c r="L616" i="4"/>
  <c r="K616" i="4"/>
  <c r="O615" i="4" a="1"/>
  <c r="O615" i="4" s="1"/>
  <c r="K615" i="4"/>
  <c r="L615" i="4" s="1"/>
  <c r="P615" i="4" s="1"/>
  <c r="O614" i="4" a="1"/>
  <c r="O614" i="4" s="1"/>
  <c r="K614" i="4"/>
  <c r="O613" i="4" a="1"/>
  <c r="O613" i="4" s="1"/>
  <c r="K613" i="4"/>
  <c r="L613" i="4" s="1"/>
  <c r="P613" i="4" s="1"/>
  <c r="O612" i="4" a="1"/>
  <c r="O612" i="4" s="1"/>
  <c r="K612" i="4"/>
  <c r="L612" i="4" s="1"/>
  <c r="O611" i="4" a="1"/>
  <c r="O611" i="4" s="1"/>
  <c r="K611" i="4"/>
  <c r="O610" i="4" a="1"/>
  <c r="O610" i="4" s="1"/>
  <c r="K610" i="4"/>
  <c r="L610" i="4" s="1"/>
  <c r="O609" i="4" a="1"/>
  <c r="O609" i="4" s="1"/>
  <c r="L609" i="4"/>
  <c r="K609" i="4"/>
  <c r="O608" i="4" a="1"/>
  <c r="O608" i="4" s="1"/>
  <c r="K608" i="4"/>
  <c r="L608" i="4" s="1"/>
  <c r="O607" i="4" a="1"/>
  <c r="O607" i="4" s="1"/>
  <c r="K607" i="4"/>
  <c r="O606" i="4" a="1"/>
  <c r="O606" i="4" s="1"/>
  <c r="K606" i="4"/>
  <c r="O605" i="4" a="1"/>
  <c r="O605" i="4" s="1"/>
  <c r="L605" i="4"/>
  <c r="K605" i="4"/>
  <c r="P605" i="4" s="1"/>
  <c r="O604" i="4" a="1"/>
  <c r="O604" i="4" s="1"/>
  <c r="K604" i="4"/>
  <c r="L604" i="4" s="1"/>
  <c r="P604" i="4" s="1"/>
  <c r="O603" i="4" a="1"/>
  <c r="O603" i="4" s="1"/>
  <c r="K603" i="4"/>
  <c r="O602" i="4" a="1"/>
  <c r="O602" i="4" s="1"/>
  <c r="K602" i="4"/>
  <c r="L602" i="4" s="1"/>
  <c r="O601" i="4" a="1"/>
  <c r="O601" i="4" s="1"/>
  <c r="K601" i="4"/>
  <c r="O600" i="4" a="1"/>
  <c r="O600" i="4" s="1"/>
  <c r="K600" i="4"/>
  <c r="L600" i="4" s="1"/>
  <c r="P600" i="4" s="1"/>
  <c r="O599" i="4" a="1"/>
  <c r="O599" i="4" s="1"/>
  <c r="K599" i="4"/>
  <c r="L599" i="4" s="1"/>
  <c r="O598" i="4" a="1"/>
  <c r="O598" i="4" s="1"/>
  <c r="K598" i="4"/>
  <c r="O597" i="4" a="1"/>
  <c r="O597" i="4" s="1"/>
  <c r="K597" i="4"/>
  <c r="L597" i="4" s="1"/>
  <c r="P597" i="4" s="1"/>
  <c r="O596" i="4" a="1"/>
  <c r="O596" i="4"/>
  <c r="K596" i="4"/>
  <c r="O595" i="4" a="1"/>
  <c r="O595" i="4" s="1"/>
  <c r="K595" i="4"/>
  <c r="L595" i="4" s="1"/>
  <c r="P595" i="4" s="1"/>
  <c r="O594" i="4" a="1"/>
  <c r="O594" i="4" s="1"/>
  <c r="K594" i="4"/>
  <c r="L594" i="4" s="1"/>
  <c r="O593" i="4" a="1"/>
  <c r="O593" i="4" s="1"/>
  <c r="K593" i="4"/>
  <c r="O592" i="4" a="1"/>
  <c r="O592" i="4" s="1"/>
  <c r="L592" i="4"/>
  <c r="K592" i="4"/>
  <c r="O591" i="4" a="1"/>
  <c r="O591" i="4" s="1"/>
  <c r="K591" i="4"/>
  <c r="L591" i="4" s="1"/>
  <c r="O590" i="4" a="1"/>
  <c r="O590" i="4" s="1"/>
  <c r="L590" i="4"/>
  <c r="K590" i="4"/>
  <c r="O589" i="4" a="1"/>
  <c r="O589" i="4" s="1"/>
  <c r="K589" i="4"/>
  <c r="L589" i="4" s="1"/>
  <c r="O588" i="4" a="1"/>
  <c r="O588" i="4" s="1"/>
  <c r="K588" i="4"/>
  <c r="L588" i="4" s="1"/>
  <c r="P588" i="4" s="1"/>
  <c r="O587" i="4" a="1"/>
  <c r="O587" i="4" s="1"/>
  <c r="K587" i="4"/>
  <c r="O586" i="4" a="1"/>
  <c r="O586" i="4" s="1"/>
  <c r="K586" i="4"/>
  <c r="L586" i="4" s="1"/>
  <c r="P586" i="4" s="1"/>
  <c r="O585" i="4" a="1"/>
  <c r="O585" i="4" s="1"/>
  <c r="L585" i="4"/>
  <c r="K585" i="4"/>
  <c r="O584" i="4" a="1"/>
  <c r="O584" i="4"/>
  <c r="K584" i="4"/>
  <c r="L584" i="4" s="1"/>
  <c r="P584" i="4" s="1"/>
  <c r="O583" i="4" a="1"/>
  <c r="O583" i="4" s="1"/>
  <c r="K583" i="4"/>
  <c r="O582" i="4" a="1"/>
  <c r="O582" i="4"/>
  <c r="K582" i="4"/>
  <c r="O581" i="4" a="1"/>
  <c r="O581" i="4" s="1"/>
  <c r="K581" i="4"/>
  <c r="L581" i="4" s="1"/>
  <c r="P581" i="4" s="1"/>
  <c r="O580" i="4" a="1"/>
  <c r="O580" i="4" s="1"/>
  <c r="L580" i="4"/>
  <c r="K580" i="4"/>
  <c r="O579" i="4" a="1"/>
  <c r="O579" i="4" s="1"/>
  <c r="L579" i="4"/>
  <c r="K579" i="4"/>
  <c r="O578" i="4" a="1"/>
  <c r="O578" i="4" s="1"/>
  <c r="K578" i="4"/>
  <c r="L578" i="4" s="1"/>
  <c r="O577" i="4" a="1"/>
  <c r="O577" i="4" s="1"/>
  <c r="K577" i="4"/>
  <c r="L577" i="4" s="1"/>
  <c r="O576" i="4" a="1"/>
  <c r="O576" i="4" s="1"/>
  <c r="L576" i="4"/>
  <c r="K576" i="4"/>
  <c r="O575" i="4" a="1"/>
  <c r="O575" i="4" s="1"/>
  <c r="L575" i="4"/>
  <c r="K575" i="4"/>
  <c r="O574" i="4" a="1"/>
  <c r="O574" i="4" s="1"/>
  <c r="K574" i="4"/>
  <c r="L574" i="4" s="1"/>
  <c r="P574" i="4" s="1"/>
  <c r="O573" i="4" a="1"/>
  <c r="O573" i="4" s="1"/>
  <c r="K573" i="4"/>
  <c r="L573" i="4" s="1"/>
  <c r="O572" i="4" a="1"/>
  <c r="O572" i="4" s="1"/>
  <c r="L572" i="4"/>
  <c r="K572" i="4"/>
  <c r="O571" i="4" a="1"/>
  <c r="O571" i="4" s="1"/>
  <c r="K571" i="4"/>
  <c r="O570" i="4" a="1"/>
  <c r="O570" i="4"/>
  <c r="L570" i="4"/>
  <c r="P570" i="4" s="1"/>
  <c r="K570" i="4"/>
  <c r="O569" i="4" a="1"/>
  <c r="O569" i="4" s="1"/>
  <c r="L569" i="4"/>
  <c r="K569" i="4"/>
  <c r="O568" i="4" a="1"/>
  <c r="O568" i="4" s="1"/>
  <c r="K568" i="4"/>
  <c r="L568" i="4" s="1"/>
  <c r="P568" i="4" s="1"/>
  <c r="O567" i="4" a="1"/>
  <c r="O567" i="4" s="1"/>
  <c r="K567" i="4"/>
  <c r="O566" i="4" a="1"/>
  <c r="O566" i="4" s="1"/>
  <c r="K566" i="4"/>
  <c r="O565" i="4" a="1"/>
  <c r="O565" i="4" s="1"/>
  <c r="K565" i="4"/>
  <c r="O564" i="4" a="1"/>
  <c r="O564" i="4" s="1"/>
  <c r="K564" i="4"/>
  <c r="O563" i="4" a="1"/>
  <c r="O563" i="4" s="1"/>
  <c r="K563" i="4"/>
  <c r="O562" i="4" a="1"/>
  <c r="O562" i="4" s="1"/>
  <c r="K562" i="4"/>
  <c r="L562" i="4" s="1"/>
  <c r="O561" i="4" a="1"/>
  <c r="O561" i="4" s="1"/>
  <c r="L561" i="4"/>
  <c r="K561" i="4"/>
  <c r="O560" i="4" a="1"/>
  <c r="O560" i="4" s="1"/>
  <c r="L560" i="4"/>
  <c r="K560" i="4"/>
  <c r="O559" i="4" a="1"/>
  <c r="O559" i="4" s="1"/>
  <c r="K559" i="4"/>
  <c r="L559" i="4" s="1"/>
  <c r="O558" i="4" a="1"/>
  <c r="O558" i="4" s="1"/>
  <c r="K558" i="4"/>
  <c r="L558" i="4" s="1"/>
  <c r="P558" i="4" s="1"/>
  <c r="O557" i="4" a="1"/>
  <c r="O557" i="4" s="1"/>
  <c r="L557" i="4"/>
  <c r="K557" i="4"/>
  <c r="O556" i="4" a="1"/>
  <c r="O556" i="4" s="1"/>
  <c r="L556" i="4"/>
  <c r="K556" i="4"/>
  <c r="O555" i="4" a="1"/>
  <c r="O555" i="4"/>
  <c r="K555" i="4"/>
  <c r="L555" i="4" s="1"/>
  <c r="O554" i="4" a="1"/>
  <c r="O554" i="4" s="1"/>
  <c r="L554" i="4"/>
  <c r="K554" i="4"/>
  <c r="P554" i="4" s="1"/>
  <c r="O553" i="4" a="1"/>
  <c r="O553" i="4" s="1"/>
  <c r="K553" i="4"/>
  <c r="O552" i="4" a="1"/>
  <c r="O552" i="4" s="1"/>
  <c r="K552" i="4"/>
  <c r="O551" i="4" a="1"/>
  <c r="O551" i="4"/>
  <c r="L551" i="4"/>
  <c r="K551" i="4"/>
  <c r="P551" i="4" s="1"/>
  <c r="O550" i="4" a="1"/>
  <c r="O550" i="4" s="1"/>
  <c r="K550" i="4"/>
  <c r="O549" i="4" a="1"/>
  <c r="O549" i="4"/>
  <c r="K549" i="4"/>
  <c r="O548" i="4" a="1"/>
  <c r="O548" i="4" s="1"/>
  <c r="K548" i="4"/>
  <c r="O547" i="4" a="1"/>
  <c r="O547" i="4" s="1"/>
  <c r="L547" i="4"/>
  <c r="K547" i="4"/>
  <c r="O546" i="4" a="1"/>
  <c r="O546" i="4" s="1"/>
  <c r="K546" i="4"/>
  <c r="O545" i="4" a="1"/>
  <c r="O545" i="4" s="1"/>
  <c r="K545" i="4"/>
  <c r="L545" i="4" s="1"/>
  <c r="O544" i="4" a="1"/>
  <c r="O544" i="4"/>
  <c r="L544" i="4"/>
  <c r="K544" i="4"/>
  <c r="O543" i="4" a="1"/>
  <c r="O543" i="4"/>
  <c r="K543" i="4"/>
  <c r="L543" i="4" s="1"/>
  <c r="P543" i="4" s="1"/>
  <c r="O542" i="4" a="1"/>
  <c r="O542" i="4" s="1"/>
  <c r="K542" i="4"/>
  <c r="O541" i="4" a="1"/>
  <c r="O541" i="4" s="1"/>
  <c r="K541" i="4"/>
  <c r="O540" i="4" a="1"/>
  <c r="O540" i="4" s="1"/>
  <c r="K540" i="4"/>
  <c r="O539" i="4" a="1"/>
  <c r="O539" i="4" s="1"/>
  <c r="K539" i="4"/>
  <c r="L539" i="4" s="1"/>
  <c r="O538" i="4" a="1"/>
  <c r="O538" i="4" s="1"/>
  <c r="K538" i="4"/>
  <c r="L538" i="4" s="1"/>
  <c r="O537" i="4" a="1"/>
  <c r="O537" i="4" s="1"/>
  <c r="K537" i="4"/>
  <c r="O536" i="4" a="1"/>
  <c r="O536" i="4" s="1"/>
  <c r="L536" i="4"/>
  <c r="K536" i="4"/>
  <c r="O535" i="4" a="1"/>
  <c r="O535" i="4"/>
  <c r="K535" i="4"/>
  <c r="L535" i="4" s="1"/>
  <c r="O534" i="4" a="1"/>
  <c r="O534" i="4" s="1"/>
  <c r="K534" i="4"/>
  <c r="L534" i="4" s="1"/>
  <c r="P534" i="4" s="1"/>
  <c r="O533" i="4" a="1"/>
  <c r="O533" i="4" s="1"/>
  <c r="K533" i="4"/>
  <c r="O532" i="4" a="1"/>
  <c r="O532" i="4"/>
  <c r="K532" i="4"/>
  <c r="O531" i="4" a="1"/>
  <c r="O531" i="4" s="1"/>
  <c r="K531" i="4"/>
  <c r="O530" i="4" a="1"/>
  <c r="O530" i="4" s="1"/>
  <c r="K530" i="4"/>
  <c r="O529" i="4" a="1"/>
  <c r="O529" i="4" s="1"/>
  <c r="L529" i="4"/>
  <c r="K529" i="4"/>
  <c r="O528" i="4" a="1"/>
  <c r="O528" i="4" s="1"/>
  <c r="K528" i="4"/>
  <c r="O527" i="4" a="1"/>
  <c r="O527" i="4" s="1"/>
  <c r="K527" i="4"/>
  <c r="L527" i="4" s="1"/>
  <c r="P527" i="4" s="1"/>
  <c r="O526" i="4" a="1"/>
  <c r="O526" i="4" s="1"/>
  <c r="K526" i="4"/>
  <c r="L526" i="4" s="1"/>
  <c r="P526" i="4" s="1"/>
  <c r="O525" i="4" a="1"/>
  <c r="O525" i="4" s="1"/>
  <c r="K525" i="4"/>
  <c r="L525" i="4" s="1"/>
  <c r="O524" i="4" a="1"/>
  <c r="O524" i="4" s="1"/>
  <c r="K524" i="4"/>
  <c r="O523" i="4" a="1"/>
  <c r="O523" i="4" s="1"/>
  <c r="K523" i="4"/>
  <c r="O522" i="4" a="1"/>
  <c r="O522" i="4" s="1"/>
  <c r="K522" i="4"/>
  <c r="L522" i="4" s="1"/>
  <c r="O521" i="4" a="1"/>
  <c r="O521" i="4" s="1"/>
  <c r="L521" i="4"/>
  <c r="K521" i="4"/>
  <c r="O520" i="4" a="1"/>
  <c r="O520" i="4" s="1"/>
  <c r="K520" i="4"/>
  <c r="O519" i="4" a="1"/>
  <c r="O519" i="4" s="1"/>
  <c r="K519" i="4"/>
  <c r="L519" i="4" s="1"/>
  <c r="P519" i="4" s="1"/>
  <c r="O518" i="4" a="1"/>
  <c r="O518" i="4" s="1"/>
  <c r="L518" i="4"/>
  <c r="P518" i="4" s="1"/>
  <c r="K518" i="4"/>
  <c r="O517" i="4" a="1"/>
  <c r="O517" i="4" s="1"/>
  <c r="L517" i="4"/>
  <c r="K517" i="4"/>
  <c r="O516" i="4" a="1"/>
  <c r="O516" i="4" s="1"/>
  <c r="K516" i="4"/>
  <c r="O515" i="4" a="1"/>
  <c r="O515" i="4" s="1"/>
  <c r="K515" i="4"/>
  <c r="O514" i="4" a="1"/>
  <c r="O514" i="4" s="1"/>
  <c r="L514" i="4"/>
  <c r="K514" i="4"/>
  <c r="O513" i="4" a="1"/>
  <c r="O513" i="4" s="1"/>
  <c r="L513" i="4"/>
  <c r="K513" i="4"/>
  <c r="O512" i="4" a="1"/>
  <c r="O512" i="4"/>
  <c r="K512" i="4"/>
  <c r="L512" i="4" s="1"/>
  <c r="P512" i="4" s="1"/>
  <c r="O511" i="4" a="1"/>
  <c r="O511" i="4"/>
  <c r="L511" i="4"/>
  <c r="P511" i="4" s="1"/>
  <c r="K511" i="4"/>
  <c r="O510" i="4" a="1"/>
  <c r="O510" i="4" s="1"/>
  <c r="L510" i="4"/>
  <c r="K510" i="4"/>
  <c r="O509" i="4" a="1"/>
  <c r="O509" i="4" s="1"/>
  <c r="L509" i="4"/>
  <c r="K509" i="4"/>
  <c r="O508" i="4" a="1"/>
  <c r="O508" i="4" s="1"/>
  <c r="K508" i="4"/>
  <c r="O507" i="4" a="1"/>
  <c r="O507" i="4" s="1"/>
  <c r="K507" i="4"/>
  <c r="O506" i="4" a="1"/>
  <c r="O506" i="4" s="1"/>
  <c r="L506" i="4"/>
  <c r="K506" i="4"/>
  <c r="O505" i="4" a="1"/>
  <c r="O505" i="4" s="1"/>
  <c r="L505" i="4"/>
  <c r="K505" i="4"/>
  <c r="P505" i="4" s="1"/>
  <c r="O504" i="4" a="1"/>
  <c r="O504" i="4" s="1"/>
  <c r="K504" i="4"/>
  <c r="O503" i="4" a="1"/>
  <c r="O503" i="4" s="1"/>
  <c r="L503" i="4"/>
  <c r="P503" i="4" s="1"/>
  <c r="K503" i="4"/>
  <c r="O502" i="4" a="1"/>
  <c r="O502" i="4" s="1"/>
  <c r="K502" i="4"/>
  <c r="L502" i="4" s="1"/>
  <c r="P502" i="4" s="1"/>
  <c r="O501" i="4" a="1"/>
  <c r="O501" i="4" s="1"/>
  <c r="K501" i="4"/>
  <c r="O500" i="4" a="1"/>
  <c r="O500" i="4" s="1"/>
  <c r="K500" i="4"/>
  <c r="O499" i="4" a="1"/>
  <c r="O499" i="4" s="1"/>
  <c r="K499" i="4"/>
  <c r="O498" i="4" a="1"/>
  <c r="O498" i="4" s="1"/>
  <c r="K498" i="4"/>
  <c r="O497" i="4" a="1"/>
  <c r="O497" i="4" s="1"/>
  <c r="K497" i="4"/>
  <c r="O496" i="4" a="1"/>
  <c r="O496" i="4"/>
  <c r="K496" i="4"/>
  <c r="O495" i="4" a="1"/>
  <c r="O495" i="4" s="1"/>
  <c r="L495" i="4"/>
  <c r="K495" i="4"/>
  <c r="P494" i="4"/>
  <c r="O494" i="4" a="1"/>
  <c r="O494" i="4" s="1"/>
  <c r="L494" i="4"/>
  <c r="K494" i="4"/>
  <c r="O493" i="4" a="1"/>
  <c r="O493" i="4" s="1"/>
  <c r="K493" i="4"/>
  <c r="L493" i="4" s="1"/>
  <c r="O492" i="4" a="1"/>
  <c r="O492" i="4" s="1"/>
  <c r="L492" i="4"/>
  <c r="K492" i="4"/>
  <c r="O491" i="4" a="1"/>
  <c r="O491" i="4" s="1"/>
  <c r="K491" i="4"/>
  <c r="O490" i="4" a="1"/>
  <c r="O490" i="4" s="1"/>
  <c r="K490" i="4"/>
  <c r="L490" i="4" s="1"/>
  <c r="O489" i="4" a="1"/>
  <c r="O489" i="4"/>
  <c r="L489" i="4"/>
  <c r="K489" i="4"/>
  <c r="O488" i="4" a="1"/>
  <c r="O488" i="4" s="1"/>
  <c r="L488" i="4"/>
  <c r="K488" i="4"/>
  <c r="O487" i="4" a="1"/>
  <c r="O487" i="4" s="1"/>
  <c r="L487" i="4"/>
  <c r="K487" i="4"/>
  <c r="O486" i="4" a="1"/>
  <c r="O486" i="4" s="1"/>
  <c r="K486" i="4"/>
  <c r="L486" i="4" s="1"/>
  <c r="P486" i="4" s="1"/>
  <c r="O485" i="4" a="1"/>
  <c r="O485" i="4" s="1"/>
  <c r="K485" i="4"/>
  <c r="O484" i="4" a="1"/>
  <c r="O484" i="4" s="1"/>
  <c r="L484" i="4"/>
  <c r="K484" i="4"/>
  <c r="O483" i="4" a="1"/>
  <c r="O483" i="4" s="1"/>
  <c r="K483" i="4"/>
  <c r="O482" i="4" a="1"/>
  <c r="O482" i="4" s="1"/>
  <c r="K482" i="4"/>
  <c r="O481" i="4" a="1"/>
  <c r="O481" i="4"/>
  <c r="K481" i="4"/>
  <c r="L481" i="4" s="1"/>
  <c r="P481" i="4" s="1"/>
  <c r="O480" i="4" a="1"/>
  <c r="O480" i="4"/>
  <c r="K480" i="4"/>
  <c r="L480" i="4" s="1"/>
  <c r="P480" i="4" s="1"/>
  <c r="O479" i="4" a="1"/>
  <c r="O479" i="4" s="1"/>
  <c r="K479" i="4"/>
  <c r="L479" i="4" s="1"/>
  <c r="P479" i="4" s="1"/>
  <c r="O478" i="4" a="1"/>
  <c r="O478" i="4" s="1"/>
  <c r="K478" i="4"/>
  <c r="L478" i="4" s="1"/>
  <c r="P478" i="4" s="1"/>
  <c r="O477" i="4" a="1"/>
  <c r="O477" i="4" s="1"/>
  <c r="L477" i="4"/>
  <c r="K477" i="4"/>
  <c r="P477" i="4" s="1"/>
  <c r="O476" i="4" a="1"/>
  <c r="O476" i="4" s="1"/>
  <c r="K476" i="4"/>
  <c r="O475" i="4" a="1"/>
  <c r="O475" i="4" s="1"/>
  <c r="K475" i="4"/>
  <c r="O474" i="4" a="1"/>
  <c r="O474" i="4" s="1"/>
  <c r="K474" i="4"/>
  <c r="L474" i="4" s="1"/>
  <c r="O473" i="4" a="1"/>
  <c r="O473" i="4"/>
  <c r="L473" i="4"/>
  <c r="K473" i="4"/>
  <c r="P472" i="4"/>
  <c r="O472" i="4" a="1"/>
  <c r="O472" i="4" s="1"/>
  <c r="L472" i="4"/>
  <c r="K472" i="4"/>
  <c r="O471" i="4" a="1"/>
  <c r="O471" i="4" s="1"/>
  <c r="L471" i="4"/>
  <c r="P471" i="4" s="1"/>
  <c r="K471" i="4"/>
  <c r="O470" i="4" a="1"/>
  <c r="O470" i="4" s="1"/>
  <c r="K470" i="4"/>
  <c r="L470" i="4" s="1"/>
  <c r="P470" i="4" s="1"/>
  <c r="O469" i="4" a="1"/>
  <c r="O469" i="4" s="1"/>
  <c r="K469" i="4"/>
  <c r="O468" i="4" a="1"/>
  <c r="O468" i="4" s="1"/>
  <c r="K468" i="4"/>
  <c r="O467" i="4" a="1"/>
  <c r="O467" i="4" s="1"/>
  <c r="K467" i="4"/>
  <c r="O466" i="4" a="1"/>
  <c r="O466" i="4" s="1"/>
  <c r="K466" i="4"/>
  <c r="O465" i="4" a="1"/>
  <c r="O465" i="4" s="1"/>
  <c r="K465" i="4"/>
  <c r="O464" i="4" a="1"/>
  <c r="O464" i="4" s="1"/>
  <c r="L464" i="4"/>
  <c r="K464" i="4"/>
  <c r="O463" i="4" a="1"/>
  <c r="O463" i="4" s="1"/>
  <c r="K463" i="4"/>
  <c r="L463" i="4" s="1"/>
  <c r="P463" i="4" s="1"/>
  <c r="O462" i="4" a="1"/>
  <c r="O462" i="4" s="1"/>
  <c r="L462" i="4"/>
  <c r="K462" i="4"/>
  <c r="O461" i="4" a="1"/>
  <c r="O461" i="4" s="1"/>
  <c r="K461" i="4"/>
  <c r="L461" i="4" s="1"/>
  <c r="O460" i="4" a="1"/>
  <c r="O460" i="4" s="1"/>
  <c r="K460" i="4"/>
  <c r="O459" i="4" a="1"/>
  <c r="O459" i="4" s="1"/>
  <c r="K459" i="4"/>
  <c r="O458" i="4" a="1"/>
  <c r="O458" i="4" s="1"/>
  <c r="K458" i="4"/>
  <c r="L458" i="4" s="1"/>
  <c r="O457" i="4" a="1"/>
  <c r="O457" i="4" s="1"/>
  <c r="K457" i="4"/>
  <c r="L457" i="4" s="1"/>
  <c r="P457" i="4" s="1"/>
  <c r="O456" i="4" a="1"/>
  <c r="O456" i="4" s="1"/>
  <c r="K456" i="4"/>
  <c r="O455" i="4" a="1"/>
  <c r="O455" i="4" s="1"/>
  <c r="K455" i="4"/>
  <c r="L455" i="4" s="1"/>
  <c r="P455" i="4" s="1"/>
  <c r="O454" i="4" a="1"/>
  <c r="O454" i="4" s="1"/>
  <c r="L454" i="4"/>
  <c r="K454" i="4"/>
  <c r="O453" i="4" a="1"/>
  <c r="O453" i="4" s="1"/>
  <c r="L453" i="4"/>
  <c r="K453" i="4"/>
  <c r="O452" i="4" a="1"/>
  <c r="O452" i="4"/>
  <c r="K452" i="4"/>
  <c r="O451" i="4" a="1"/>
  <c r="O451" i="4" s="1"/>
  <c r="K451" i="4"/>
  <c r="O450" i="4" a="1"/>
  <c r="O450" i="4" s="1"/>
  <c r="K450" i="4"/>
  <c r="O449" i="4" a="1"/>
  <c r="O449" i="4" s="1"/>
  <c r="L449" i="4"/>
  <c r="K449" i="4"/>
  <c r="O448" i="4" a="1"/>
  <c r="O448" i="4" s="1"/>
  <c r="L448" i="4"/>
  <c r="P448" i="4" s="1"/>
  <c r="K448" i="4"/>
  <c r="O447" i="4" a="1"/>
  <c r="O447" i="4" s="1"/>
  <c r="K447" i="4"/>
  <c r="L447" i="4" s="1"/>
  <c r="P447" i="4" s="1"/>
  <c r="O446" i="4" a="1"/>
  <c r="O446" i="4" s="1"/>
  <c r="L446" i="4"/>
  <c r="K446" i="4"/>
  <c r="P446" i="4" s="1"/>
  <c r="O445" i="4" a="1"/>
  <c r="O445" i="4" s="1"/>
  <c r="L445" i="4"/>
  <c r="K445" i="4"/>
  <c r="O444" i="4" a="1"/>
  <c r="O444" i="4" s="1"/>
  <c r="K444" i="4"/>
  <c r="O443" i="4" a="1"/>
  <c r="O443" i="4" s="1"/>
  <c r="K443" i="4"/>
  <c r="O442" i="4" a="1"/>
  <c r="O442" i="4"/>
  <c r="L442" i="4"/>
  <c r="K442" i="4"/>
  <c r="O441" i="4" a="1"/>
  <c r="O441" i="4" s="1"/>
  <c r="L441" i="4"/>
  <c r="K441" i="4"/>
  <c r="O440" i="4" a="1"/>
  <c r="O440" i="4" s="1"/>
  <c r="K440" i="4"/>
  <c r="O439" i="4" a="1"/>
  <c r="O439" i="4" s="1"/>
  <c r="K439" i="4"/>
  <c r="L439" i="4" s="1"/>
  <c r="P439" i="4" s="1"/>
  <c r="O438" i="4" a="1"/>
  <c r="O438" i="4" s="1"/>
  <c r="L438" i="4"/>
  <c r="K438" i="4"/>
  <c r="P438" i="4" s="1"/>
  <c r="O437" i="4" a="1"/>
  <c r="O437" i="4" s="1"/>
  <c r="L437" i="4"/>
  <c r="K437" i="4"/>
  <c r="O436" i="4" a="1"/>
  <c r="O436" i="4" s="1"/>
  <c r="K436" i="4"/>
  <c r="O435" i="4" a="1"/>
  <c r="O435" i="4"/>
  <c r="K435" i="4"/>
  <c r="O434" i="4" a="1"/>
  <c r="O434" i="4" s="1"/>
  <c r="K434" i="4"/>
  <c r="O433" i="4" a="1"/>
  <c r="O433" i="4" s="1"/>
  <c r="K433" i="4"/>
  <c r="L433" i="4" s="1"/>
  <c r="P433" i="4" s="1"/>
  <c r="O432" i="4" a="1"/>
  <c r="O432" i="4" s="1"/>
  <c r="K432" i="4"/>
  <c r="O431" i="4" a="1"/>
  <c r="O431" i="4" s="1"/>
  <c r="K431" i="4"/>
  <c r="L431" i="4" s="1"/>
  <c r="P431" i="4" s="1"/>
  <c r="O430" i="4" a="1"/>
  <c r="O430" i="4" s="1"/>
  <c r="L430" i="4"/>
  <c r="K430" i="4"/>
  <c r="O429" i="4" a="1"/>
  <c r="O429" i="4" s="1"/>
  <c r="K429" i="4"/>
  <c r="L429" i="4" s="1"/>
  <c r="O428" i="4" a="1"/>
  <c r="O428" i="4" s="1"/>
  <c r="K428" i="4"/>
  <c r="O427" i="4" a="1"/>
  <c r="O427" i="4" s="1"/>
  <c r="L427" i="4"/>
  <c r="K427" i="4"/>
  <c r="O426" i="4" a="1"/>
  <c r="O426" i="4" s="1"/>
  <c r="K426" i="4"/>
  <c r="L426" i="4" s="1"/>
  <c r="O425" i="4" a="1"/>
  <c r="O425" i="4" s="1"/>
  <c r="K425" i="4"/>
  <c r="L425" i="4" s="1"/>
  <c r="P425" i="4" s="1"/>
  <c r="O424" i="4" a="1"/>
  <c r="O424" i="4" s="1"/>
  <c r="L424" i="4"/>
  <c r="K424" i="4"/>
  <c r="O423" i="4" a="1"/>
  <c r="O423" i="4" s="1"/>
  <c r="L423" i="4"/>
  <c r="K423" i="4"/>
  <c r="O422" i="4" a="1"/>
  <c r="O422" i="4" s="1"/>
  <c r="L422" i="4"/>
  <c r="K422" i="4"/>
  <c r="O421" i="4" a="1"/>
  <c r="O421" i="4" s="1"/>
  <c r="L421" i="4"/>
  <c r="K421" i="4"/>
  <c r="O420" i="4" a="1"/>
  <c r="O420" i="4" s="1"/>
  <c r="K420" i="4"/>
  <c r="O419" i="4" a="1"/>
  <c r="O419" i="4" s="1"/>
  <c r="K419" i="4"/>
  <c r="O418" i="4" a="1"/>
  <c r="O418" i="4" s="1"/>
  <c r="K418" i="4"/>
  <c r="O417" i="4" a="1"/>
  <c r="O417" i="4" s="1"/>
  <c r="K417" i="4"/>
  <c r="P416" i="4"/>
  <c r="O416" i="4" a="1"/>
  <c r="O416" i="4" s="1"/>
  <c r="K416" i="4"/>
  <c r="L416" i="4" s="1"/>
  <c r="O415" i="4" a="1"/>
  <c r="O415" i="4" s="1"/>
  <c r="K415" i="4"/>
  <c r="L415" i="4" s="1"/>
  <c r="P415" i="4" s="1"/>
  <c r="O414" i="4" a="1"/>
  <c r="O414" i="4" s="1"/>
  <c r="L414" i="4"/>
  <c r="K414" i="4"/>
  <c r="O413" i="4" a="1"/>
  <c r="O413" i="4" s="1"/>
  <c r="K413" i="4"/>
  <c r="L413" i="4" s="1"/>
  <c r="O412" i="4" a="1"/>
  <c r="O412" i="4" s="1"/>
  <c r="K412" i="4"/>
  <c r="O411" i="4" a="1"/>
  <c r="O411" i="4" s="1"/>
  <c r="K411" i="4"/>
  <c r="O410" i="4" a="1"/>
  <c r="O410" i="4" s="1"/>
  <c r="L410" i="4"/>
  <c r="K410" i="4"/>
  <c r="O409" i="4" a="1"/>
  <c r="O409" i="4" s="1"/>
  <c r="K409" i="4"/>
  <c r="L409" i="4" s="1"/>
  <c r="P409" i="4" s="1"/>
  <c r="O408" i="4" a="1"/>
  <c r="O408" i="4"/>
  <c r="K408" i="4"/>
  <c r="L408" i="4" s="1"/>
  <c r="O407" i="4" a="1"/>
  <c r="O407" i="4" s="1"/>
  <c r="K407" i="4"/>
  <c r="L407" i="4" s="1"/>
  <c r="P407" i="4" s="1"/>
  <c r="O406" i="4" a="1"/>
  <c r="O406" i="4" s="1"/>
  <c r="L406" i="4"/>
  <c r="K406" i="4"/>
  <c r="O405" i="4" a="1"/>
  <c r="O405" i="4" s="1"/>
  <c r="L405" i="4"/>
  <c r="K405" i="4"/>
  <c r="O404" i="4" a="1"/>
  <c r="O404" i="4" s="1"/>
  <c r="K404" i="4"/>
  <c r="O403" i="4" a="1"/>
  <c r="O403" i="4" s="1"/>
  <c r="K403" i="4"/>
  <c r="O402" i="4" a="1"/>
  <c r="O402" i="4"/>
  <c r="K402" i="4"/>
  <c r="O401" i="4" a="1"/>
  <c r="O401" i="4" s="1"/>
  <c r="K401" i="4"/>
  <c r="O400" i="4" a="1"/>
  <c r="O400" i="4" s="1"/>
  <c r="L400" i="4"/>
  <c r="K400" i="4"/>
  <c r="O399" i="4" a="1"/>
  <c r="O399" i="4" s="1"/>
  <c r="L399" i="4"/>
  <c r="P399" i="4" s="1"/>
  <c r="K399" i="4"/>
  <c r="O398" i="4" a="1"/>
  <c r="O398" i="4" s="1"/>
  <c r="K398" i="4"/>
  <c r="L398" i="4" s="1"/>
  <c r="P398" i="4" s="1"/>
  <c r="O397" i="4" a="1"/>
  <c r="O397" i="4" s="1"/>
  <c r="K397" i="4"/>
  <c r="L397" i="4" s="1"/>
  <c r="O396" i="4" a="1"/>
  <c r="O396" i="4" s="1"/>
  <c r="K396" i="4"/>
  <c r="O395" i="4" a="1"/>
  <c r="O395" i="4" s="1"/>
  <c r="K395" i="4"/>
  <c r="O394" i="4" a="1"/>
  <c r="O394" i="4" s="1"/>
  <c r="K394" i="4"/>
  <c r="L394" i="4" s="1"/>
  <c r="O393" i="4" a="1"/>
  <c r="O393" i="4" s="1"/>
  <c r="L393" i="4"/>
  <c r="K393" i="4"/>
  <c r="O392" i="4" a="1"/>
  <c r="O392" i="4" s="1"/>
  <c r="K392" i="4"/>
  <c r="O391" i="4" a="1"/>
  <c r="O391" i="4" s="1"/>
  <c r="L391" i="4"/>
  <c r="K391" i="4"/>
  <c r="O390" i="4" a="1"/>
  <c r="O390" i="4" s="1"/>
  <c r="K390" i="4"/>
  <c r="O389" i="4" a="1"/>
  <c r="O389" i="4" s="1"/>
  <c r="K389" i="4"/>
  <c r="O388" i="4" a="1"/>
  <c r="O388" i="4" s="1"/>
  <c r="K388" i="4"/>
  <c r="O387" i="4" a="1"/>
  <c r="O387" i="4" s="1"/>
  <c r="K387" i="4"/>
  <c r="O386" i="4" a="1"/>
  <c r="O386" i="4"/>
  <c r="K386" i="4"/>
  <c r="O385" i="4" a="1"/>
  <c r="O385" i="4" s="1"/>
  <c r="K385" i="4"/>
  <c r="L385" i="4" s="1"/>
  <c r="O384" i="4" a="1"/>
  <c r="O384" i="4" s="1"/>
  <c r="L384" i="4"/>
  <c r="K384" i="4"/>
  <c r="P384" i="4" s="1"/>
  <c r="O383" i="4" a="1"/>
  <c r="O383" i="4" s="1"/>
  <c r="K383" i="4"/>
  <c r="L383" i="4" s="1"/>
  <c r="P383" i="4" s="1"/>
  <c r="O382" i="4" a="1"/>
  <c r="O382" i="4" s="1"/>
  <c r="L382" i="4"/>
  <c r="K382" i="4"/>
  <c r="P382" i="4" s="1"/>
  <c r="O381" i="4" a="1"/>
  <c r="O381" i="4" s="1"/>
  <c r="L381" i="4"/>
  <c r="K381" i="4"/>
  <c r="O380" i="4" a="1"/>
  <c r="O380" i="4" s="1"/>
  <c r="K380" i="4"/>
  <c r="O379" i="4" a="1"/>
  <c r="O379" i="4" s="1"/>
  <c r="K379" i="4"/>
  <c r="O378" i="4" a="1"/>
  <c r="O378" i="4" s="1"/>
  <c r="K378" i="4"/>
  <c r="L378" i="4" s="1"/>
  <c r="P377" i="4"/>
  <c r="O377" i="4" a="1"/>
  <c r="O377" i="4" s="1"/>
  <c r="L377" i="4"/>
  <c r="K377" i="4"/>
  <c r="O376" i="4" a="1"/>
  <c r="O376" i="4"/>
  <c r="L376" i="4"/>
  <c r="K376" i="4"/>
  <c r="O375" i="4" a="1"/>
  <c r="O375" i="4" s="1"/>
  <c r="L375" i="4"/>
  <c r="P375" i="4" s="1"/>
  <c r="K375" i="4"/>
  <c r="O374" i="4" a="1"/>
  <c r="O374" i="4" s="1"/>
  <c r="L374" i="4"/>
  <c r="K374" i="4"/>
  <c r="O373" i="4" a="1"/>
  <c r="O373" i="4" s="1"/>
  <c r="K373" i="4"/>
  <c r="O372" i="4" a="1"/>
  <c r="O372" i="4" s="1"/>
  <c r="K372" i="4"/>
  <c r="O371" i="4" a="1"/>
  <c r="O371" i="4" s="1"/>
  <c r="L371" i="4"/>
  <c r="K371" i="4"/>
  <c r="O370" i="4" a="1"/>
  <c r="O370" i="4" s="1"/>
  <c r="K370" i="4"/>
  <c r="O369" i="4" a="1"/>
  <c r="O369" i="4" s="1"/>
  <c r="K369" i="4"/>
  <c r="O368" i="4" a="1"/>
  <c r="O368" i="4" s="1"/>
  <c r="K368" i="4"/>
  <c r="L368" i="4" s="1"/>
  <c r="P368" i="4" s="1"/>
  <c r="O367" i="4" a="1"/>
  <c r="O367" i="4" s="1"/>
  <c r="K367" i="4"/>
  <c r="L367" i="4" s="1"/>
  <c r="P367" i="4" s="1"/>
  <c r="O366" i="4" a="1"/>
  <c r="O366" i="4" s="1"/>
  <c r="K366" i="4"/>
  <c r="L366" i="4" s="1"/>
  <c r="P366" i="4" s="1"/>
  <c r="O365" i="4" a="1"/>
  <c r="O365" i="4" s="1"/>
  <c r="K365" i="4"/>
  <c r="L365" i="4" s="1"/>
  <c r="O364" i="4" a="1"/>
  <c r="O364" i="4" s="1"/>
  <c r="L364" i="4"/>
  <c r="K364" i="4"/>
  <c r="O363" i="4" a="1"/>
  <c r="O363" i="4" s="1"/>
  <c r="L363" i="4"/>
  <c r="K363" i="4"/>
  <c r="O362" i="4" a="1"/>
  <c r="O362" i="4" s="1"/>
  <c r="K362" i="4"/>
  <c r="L362" i="4" s="1"/>
  <c r="O361" i="4" a="1"/>
  <c r="O361" i="4" s="1"/>
  <c r="K361" i="4"/>
  <c r="L361" i="4" s="1"/>
  <c r="P361" i="4" s="1"/>
  <c r="O360" i="4" a="1"/>
  <c r="O360" i="4" s="1"/>
  <c r="L360" i="4"/>
  <c r="P360" i="4" s="1"/>
  <c r="K360" i="4"/>
  <c r="O359" i="4" a="1"/>
  <c r="O359" i="4" s="1"/>
  <c r="K359" i="4"/>
  <c r="L359" i="4" s="1"/>
  <c r="P359" i="4" s="1"/>
  <c r="O358" i="4" a="1"/>
  <c r="O358" i="4" s="1"/>
  <c r="K358" i="4"/>
  <c r="L358" i="4" s="1"/>
  <c r="P358" i="4" s="1"/>
  <c r="O357" i="4" a="1"/>
  <c r="O357" i="4" s="1"/>
  <c r="L357" i="4"/>
  <c r="K357" i="4"/>
  <c r="O356" i="4" a="1"/>
  <c r="O356" i="4" s="1"/>
  <c r="K356" i="4"/>
  <c r="O355" i="4" a="1"/>
  <c r="O355" i="4" s="1"/>
  <c r="L355" i="4"/>
  <c r="K355" i="4"/>
  <c r="O354" i="4" a="1"/>
  <c r="O354" i="4" s="1"/>
  <c r="L354" i="4"/>
  <c r="K354" i="4"/>
  <c r="O353" i="4" a="1"/>
  <c r="O353" i="4" s="1"/>
  <c r="K353" i="4"/>
  <c r="L353" i="4" s="1"/>
  <c r="P353" i="4" s="1"/>
  <c r="O352" i="4" a="1"/>
  <c r="O352" i="4" s="1"/>
  <c r="K352" i="4"/>
  <c r="O351" i="4" a="1"/>
  <c r="O351" i="4"/>
  <c r="K351" i="4"/>
  <c r="L351" i="4" s="1"/>
  <c r="P351" i="4" s="1"/>
  <c r="O350" i="4" a="1"/>
  <c r="O350" i="4" s="1"/>
  <c r="L350" i="4"/>
  <c r="K350" i="4"/>
  <c r="O349" i="4" a="1"/>
  <c r="O349" i="4" s="1"/>
  <c r="K349" i="4"/>
  <c r="L349" i="4" s="1"/>
  <c r="O348" i="4" a="1"/>
  <c r="O348" i="4" s="1"/>
  <c r="K348" i="4"/>
  <c r="O347" i="4" a="1"/>
  <c r="O347" i="4" s="1"/>
  <c r="L347" i="4"/>
  <c r="K347" i="4"/>
  <c r="O346" i="4" a="1"/>
  <c r="O346" i="4" s="1"/>
  <c r="K346" i="4"/>
  <c r="L346" i="4" s="1"/>
  <c r="O345" i="4" a="1"/>
  <c r="O345" i="4"/>
  <c r="K345" i="4"/>
  <c r="L345" i="4" s="1"/>
  <c r="P345" i="4" s="1"/>
  <c r="O344" i="4" a="1"/>
  <c r="O344" i="4" s="1"/>
  <c r="K344" i="4"/>
  <c r="L344" i="4" s="1"/>
  <c r="P344" i="4" s="1"/>
  <c r="O343" i="4" a="1"/>
  <c r="O343" i="4" s="1"/>
  <c r="K343" i="4"/>
  <c r="L343" i="4" s="1"/>
  <c r="P343" i="4" s="1"/>
  <c r="O342" i="4" a="1"/>
  <c r="O342" i="4" s="1"/>
  <c r="K342" i="4"/>
  <c r="O341" i="4" a="1"/>
  <c r="O341" i="4" s="1"/>
  <c r="L341" i="4"/>
  <c r="K341" i="4"/>
  <c r="O340" i="4" a="1"/>
  <c r="O340" i="4" s="1"/>
  <c r="K340" i="4"/>
  <c r="O339" i="4" a="1"/>
  <c r="O339" i="4" s="1"/>
  <c r="K339" i="4"/>
  <c r="O338" i="4" a="1"/>
  <c r="O338" i="4" s="1"/>
  <c r="K338" i="4"/>
  <c r="O337" i="4" a="1"/>
  <c r="O337" i="4"/>
  <c r="K337" i="4"/>
  <c r="O336" i="4" a="1"/>
  <c r="O336" i="4"/>
  <c r="K336" i="4"/>
  <c r="L336" i="4" s="1"/>
  <c r="P336" i="4" s="1"/>
  <c r="O335" i="4" a="1"/>
  <c r="O335" i="4" s="1"/>
  <c r="L335" i="4"/>
  <c r="P335" i="4" s="1"/>
  <c r="K335" i="4"/>
  <c r="O334" i="4" a="1"/>
  <c r="O334" i="4" s="1"/>
  <c r="K334" i="4"/>
  <c r="O333" i="4" a="1"/>
  <c r="O333" i="4" s="1"/>
  <c r="K333" i="4"/>
  <c r="L333" i="4" s="1"/>
  <c r="O332" i="4" a="1"/>
  <c r="O332" i="4" s="1"/>
  <c r="K332" i="4"/>
  <c r="O331" i="4" a="1"/>
  <c r="O331" i="4" s="1"/>
  <c r="K331" i="4"/>
  <c r="O330" i="4" a="1"/>
  <c r="O330" i="4" s="1"/>
  <c r="K330" i="4"/>
  <c r="L330" i="4" s="1"/>
  <c r="O329" i="4" a="1"/>
  <c r="O329" i="4"/>
  <c r="K329" i="4"/>
  <c r="L329" i="4" s="1"/>
  <c r="P329" i="4" s="1"/>
  <c r="O328" i="4" a="1"/>
  <c r="O328" i="4" s="1"/>
  <c r="K328" i="4"/>
  <c r="O327" i="4" a="1"/>
  <c r="O327" i="4" s="1"/>
  <c r="L327" i="4"/>
  <c r="K327" i="4"/>
  <c r="O326" i="4" a="1"/>
  <c r="O326" i="4" s="1"/>
  <c r="K326" i="4"/>
  <c r="L326" i="4" s="1"/>
  <c r="O325" i="4" a="1"/>
  <c r="O325" i="4" s="1"/>
  <c r="L325" i="4"/>
  <c r="K325" i="4"/>
  <c r="O324" i="4" a="1"/>
  <c r="O324" i="4" s="1"/>
  <c r="K324" i="4"/>
  <c r="O323" i="4" a="1"/>
  <c r="O323" i="4" s="1"/>
  <c r="K323" i="4"/>
  <c r="O322" i="4" a="1"/>
  <c r="O322" i="4" s="1"/>
  <c r="K322" i="4"/>
  <c r="O321" i="4" a="1"/>
  <c r="O321" i="4" s="1"/>
  <c r="K321" i="4"/>
  <c r="L321" i="4" s="1"/>
  <c r="P321" i="4" s="1"/>
  <c r="O320" i="4" a="1"/>
  <c r="O320" i="4" s="1"/>
  <c r="K320" i="4"/>
  <c r="L320" i="4" s="1"/>
  <c r="O319" i="4" a="1"/>
  <c r="O319" i="4" s="1"/>
  <c r="L319" i="4"/>
  <c r="K319" i="4"/>
  <c r="O318" i="4" a="1"/>
  <c r="O318" i="4" s="1"/>
  <c r="K318" i="4"/>
  <c r="O317" i="4" a="1"/>
  <c r="O317" i="4" s="1"/>
  <c r="K317" i="4"/>
  <c r="L317" i="4" s="1"/>
  <c r="O316" i="4" a="1"/>
  <c r="O316" i="4" s="1"/>
  <c r="L316" i="4"/>
  <c r="K316" i="4"/>
  <c r="O315" i="4" a="1"/>
  <c r="O315" i="4" s="1"/>
  <c r="K315" i="4"/>
  <c r="O314" i="4" a="1"/>
  <c r="O314" i="4" s="1"/>
  <c r="K314" i="4"/>
  <c r="L314" i="4" s="1"/>
  <c r="O313" i="4" a="1"/>
  <c r="O313" i="4" s="1"/>
  <c r="L313" i="4"/>
  <c r="K313" i="4"/>
  <c r="O312" i="4" a="1"/>
  <c r="O312" i="4"/>
  <c r="L312" i="4"/>
  <c r="K312" i="4"/>
  <c r="P312" i="4" s="1"/>
  <c r="O311" i="4" a="1"/>
  <c r="O311" i="4" s="1"/>
  <c r="K311" i="4"/>
  <c r="L311" i="4" s="1"/>
  <c r="P311" i="4" s="1"/>
  <c r="O310" i="4" a="1"/>
  <c r="O310" i="4" s="1"/>
  <c r="K310" i="4"/>
  <c r="O309" i="4" a="1"/>
  <c r="O309" i="4" s="1"/>
  <c r="L309" i="4"/>
  <c r="K309" i="4"/>
  <c r="O308" i="4" a="1"/>
  <c r="O308" i="4" s="1"/>
  <c r="K308" i="4"/>
  <c r="O307" i="4" a="1"/>
  <c r="O307" i="4" s="1"/>
  <c r="L307" i="4"/>
  <c r="K307" i="4"/>
  <c r="O306" i="4" a="1"/>
  <c r="O306" i="4" s="1"/>
  <c r="L306" i="4"/>
  <c r="K306" i="4"/>
  <c r="O305" i="4" a="1"/>
  <c r="O305" i="4" s="1"/>
  <c r="K305" i="4"/>
  <c r="O304" i="4" a="1"/>
  <c r="O304" i="4" s="1"/>
  <c r="K304" i="4"/>
  <c r="O303" i="4" a="1"/>
  <c r="O303" i="4" s="1"/>
  <c r="K303" i="4"/>
  <c r="L303" i="4" s="1"/>
  <c r="P303" i="4" s="1"/>
  <c r="O302" i="4" a="1"/>
  <c r="O302" i="4" s="1"/>
  <c r="K302" i="4"/>
  <c r="L302" i="4" s="1"/>
  <c r="P302" i="4" s="1"/>
  <c r="O301" i="4" a="1"/>
  <c r="O301" i="4" s="1"/>
  <c r="K301" i="4"/>
  <c r="L301" i="4" s="1"/>
  <c r="O300" i="4" a="1"/>
  <c r="O300" i="4" s="1"/>
  <c r="K300" i="4"/>
  <c r="O299" i="4" a="1"/>
  <c r="O299" i="4" s="1"/>
  <c r="K299" i="4"/>
  <c r="O298" i="4" a="1"/>
  <c r="O298" i="4" s="1"/>
  <c r="L298" i="4"/>
  <c r="K298" i="4"/>
  <c r="O297" i="4" a="1"/>
  <c r="O297" i="4" s="1"/>
  <c r="L297" i="4"/>
  <c r="K297" i="4"/>
  <c r="O296" i="4" a="1"/>
  <c r="O296" i="4" s="1"/>
  <c r="K296" i="4"/>
  <c r="O295" i="4" a="1"/>
  <c r="O295" i="4" s="1"/>
  <c r="K295" i="4"/>
  <c r="L295" i="4" s="1"/>
  <c r="P295" i="4" s="1"/>
  <c r="O294" i="4" a="1"/>
  <c r="O294" i="4" s="1"/>
  <c r="L294" i="4"/>
  <c r="K294" i="4"/>
  <c r="O293" i="4" a="1"/>
  <c r="O293" i="4" s="1"/>
  <c r="L293" i="4"/>
  <c r="K293" i="4"/>
  <c r="O292" i="4" a="1"/>
  <c r="O292" i="4" s="1"/>
  <c r="K292" i="4"/>
  <c r="O291" i="4" a="1"/>
  <c r="O291" i="4" s="1"/>
  <c r="K291" i="4"/>
  <c r="O290" i="4" a="1"/>
  <c r="O290" i="4" s="1"/>
  <c r="L290" i="4"/>
  <c r="K290" i="4"/>
  <c r="P290" i="4" s="1"/>
  <c r="O289" i="4" a="1"/>
  <c r="O289" i="4" s="1"/>
  <c r="K289" i="4"/>
  <c r="L289" i="4" s="1"/>
  <c r="O288" i="4" a="1"/>
  <c r="O288" i="4" s="1"/>
  <c r="K288" i="4"/>
  <c r="L288" i="4" s="1"/>
  <c r="O287" i="4" a="1"/>
  <c r="O287" i="4" s="1"/>
  <c r="L287" i="4"/>
  <c r="K287" i="4"/>
  <c r="O286" i="4" a="1"/>
  <c r="O286" i="4" s="1"/>
  <c r="K286" i="4"/>
  <c r="L286" i="4" s="1"/>
  <c r="O285" i="4" a="1"/>
  <c r="O285" i="4" s="1"/>
  <c r="K285" i="4"/>
  <c r="L285" i="4" s="1"/>
  <c r="O284" i="4" a="1"/>
  <c r="O284" i="4" s="1"/>
  <c r="L284" i="4"/>
  <c r="K284" i="4"/>
  <c r="O283" i="4" a="1"/>
  <c r="O283" i="4" s="1"/>
  <c r="K283" i="4"/>
  <c r="O282" i="4" a="1"/>
  <c r="O282" i="4" s="1"/>
  <c r="K282" i="4"/>
  <c r="L282" i="4" s="1"/>
  <c r="O281" i="4" a="1"/>
  <c r="O281" i="4" s="1"/>
  <c r="L281" i="4"/>
  <c r="K281" i="4"/>
  <c r="O280" i="4" a="1"/>
  <c r="O280" i="4" s="1"/>
  <c r="K280" i="4"/>
  <c r="L280" i="4" s="1"/>
  <c r="O279" i="4" a="1"/>
  <c r="O279" i="4" s="1"/>
  <c r="K279" i="4"/>
  <c r="L279" i="4" s="1"/>
  <c r="P279" i="4" s="1"/>
  <c r="O278" i="4" a="1"/>
  <c r="O278" i="4" s="1"/>
  <c r="K278" i="4"/>
  <c r="L278" i="4" s="1"/>
  <c r="P278" i="4" s="1"/>
  <c r="O277" i="4" a="1"/>
  <c r="O277" i="4" s="1"/>
  <c r="K277" i="4"/>
  <c r="L277" i="4" s="1"/>
  <c r="P277" i="4" s="1"/>
  <c r="O276" i="4" a="1"/>
  <c r="O276" i="4"/>
  <c r="K276" i="4"/>
  <c r="O275" i="4" a="1"/>
  <c r="O275" i="4" s="1"/>
  <c r="L275" i="4"/>
  <c r="K275" i="4"/>
  <c r="O274" i="4" a="1"/>
  <c r="O274" i="4" s="1"/>
  <c r="K274" i="4"/>
  <c r="O273" i="4" a="1"/>
  <c r="O273" i="4" s="1"/>
  <c r="K273" i="4"/>
  <c r="O272" i="4" a="1"/>
  <c r="O272" i="4" s="1"/>
  <c r="L272" i="4"/>
  <c r="P272" i="4" s="1"/>
  <c r="K272" i="4"/>
  <c r="O271" i="4" a="1"/>
  <c r="O271" i="4" s="1"/>
  <c r="K271" i="4"/>
  <c r="L271" i="4" s="1"/>
  <c r="P271" i="4" s="1"/>
  <c r="O270" i="4" a="1"/>
  <c r="O270" i="4" s="1"/>
  <c r="K270" i="4"/>
  <c r="L270" i="4" s="1"/>
  <c r="P270" i="4" s="1"/>
  <c r="O269" i="4" a="1"/>
  <c r="O269" i="4" s="1"/>
  <c r="K269" i="4"/>
  <c r="O268" i="4" a="1"/>
  <c r="O268" i="4" s="1"/>
  <c r="K268" i="4"/>
  <c r="O267" i="4" a="1"/>
  <c r="O267" i="4" s="1"/>
  <c r="K267" i="4"/>
  <c r="O266" i="4" a="1"/>
  <c r="O266" i="4" s="1"/>
  <c r="K266" i="4"/>
  <c r="L266" i="4" s="1"/>
  <c r="O265" i="4" a="1"/>
  <c r="O265" i="4"/>
  <c r="K265" i="4"/>
  <c r="L265" i="4" s="1"/>
  <c r="P265" i="4" s="1"/>
  <c r="O264" i="4" a="1"/>
  <c r="O264" i="4" s="1"/>
  <c r="L264" i="4"/>
  <c r="K264" i="4"/>
  <c r="O263" i="4" a="1"/>
  <c r="O263" i="4" s="1"/>
  <c r="K263" i="4"/>
  <c r="L263" i="4" s="1"/>
  <c r="P263" i="4" s="1"/>
  <c r="O262" i="4" a="1"/>
  <c r="O262" i="4" s="1"/>
  <c r="K262" i="4"/>
  <c r="L262" i="4" s="1"/>
  <c r="P262" i="4" s="1"/>
  <c r="O261" i="4" a="1"/>
  <c r="O261" i="4" s="1"/>
  <c r="K261" i="4"/>
  <c r="L261" i="4" s="1"/>
  <c r="P261" i="4" s="1"/>
  <c r="O260" i="4" a="1"/>
  <c r="O260" i="4" s="1"/>
  <c r="L260" i="4"/>
  <c r="K260" i="4"/>
  <c r="O259" i="4" a="1"/>
  <c r="O259" i="4" s="1"/>
  <c r="K259" i="4"/>
  <c r="O258" i="4" a="1"/>
  <c r="O258" i="4" s="1"/>
  <c r="K258" i="4"/>
  <c r="O257" i="4" a="1"/>
  <c r="O257" i="4"/>
  <c r="K257" i="4"/>
  <c r="O256" i="4" a="1"/>
  <c r="O256" i="4" s="1"/>
  <c r="K256" i="4"/>
  <c r="L256" i="4" s="1"/>
  <c r="P256" i="4" s="1"/>
  <c r="O255" i="4" a="1"/>
  <c r="O255" i="4" s="1"/>
  <c r="L255" i="4"/>
  <c r="K255" i="4"/>
  <c r="O254" i="4" a="1"/>
  <c r="O254" i="4" s="1"/>
  <c r="K254" i="4"/>
  <c r="L254" i="4" s="1"/>
  <c r="P254" i="4" s="1"/>
  <c r="O253" i="4" a="1"/>
  <c r="O253" i="4" s="1"/>
  <c r="K253" i="4"/>
  <c r="O252" i="4" a="1"/>
  <c r="O252" i="4"/>
  <c r="K252" i="4"/>
  <c r="O251" i="4" a="1"/>
  <c r="O251" i="4" s="1"/>
  <c r="K251" i="4"/>
  <c r="O250" i="4" a="1"/>
  <c r="O250" i="4" s="1"/>
  <c r="K250" i="4"/>
  <c r="O249" i="4" a="1"/>
  <c r="O249" i="4" s="1"/>
  <c r="L249" i="4"/>
  <c r="K249" i="4"/>
  <c r="O248" i="4" a="1"/>
  <c r="O248" i="4" s="1"/>
  <c r="L248" i="4"/>
  <c r="K248" i="4"/>
  <c r="O247" i="4" a="1"/>
  <c r="O247" i="4" s="1"/>
  <c r="K247" i="4"/>
  <c r="L247" i="4" s="1"/>
  <c r="P247" i="4" s="1"/>
  <c r="P246" i="4"/>
  <c r="O246" i="4" a="1"/>
  <c r="O246" i="4" s="1"/>
  <c r="L246" i="4"/>
  <c r="K246" i="4"/>
  <c r="O245" i="4" a="1"/>
  <c r="O245" i="4" s="1"/>
  <c r="K245" i="4"/>
  <c r="L245" i="4" s="1"/>
  <c r="P245" i="4" s="1"/>
  <c r="O244" i="4" a="1"/>
  <c r="O244" i="4" s="1"/>
  <c r="K244" i="4"/>
  <c r="O243" i="4" a="1"/>
  <c r="O243" i="4" s="1"/>
  <c r="L243" i="4"/>
  <c r="K243" i="4"/>
  <c r="P243" i="4" s="1"/>
  <c r="O242" i="4" a="1"/>
  <c r="O242" i="4" s="1"/>
  <c r="L242" i="4"/>
  <c r="K242" i="4"/>
  <c r="O241" i="4" a="1"/>
  <c r="O241" i="4"/>
  <c r="L241" i="4"/>
  <c r="K241" i="4"/>
  <c r="O240" i="4" a="1"/>
  <c r="O240" i="4" s="1"/>
  <c r="K240" i="4"/>
  <c r="L240" i="4" s="1"/>
  <c r="O239" i="4" a="1"/>
  <c r="O239" i="4" s="1"/>
  <c r="K239" i="4"/>
  <c r="L239" i="4" s="1"/>
  <c r="P239" i="4" s="1"/>
  <c r="P238" i="4"/>
  <c r="O238" i="4" a="1"/>
  <c r="O238" i="4" s="1"/>
  <c r="K238" i="4"/>
  <c r="L238" i="4" s="1"/>
  <c r="O237" i="4" a="1"/>
  <c r="O237" i="4" s="1"/>
  <c r="K237" i="4"/>
  <c r="L237" i="4" s="1"/>
  <c r="O236" i="4" a="1"/>
  <c r="O236" i="4" s="1"/>
  <c r="K236" i="4"/>
  <c r="O235" i="4" a="1"/>
  <c r="O235" i="4" s="1"/>
  <c r="K235" i="4"/>
  <c r="L235" i="4" s="1"/>
  <c r="P235" i="4" s="1"/>
  <c r="O234" i="4" a="1"/>
  <c r="O234" i="4" s="1"/>
  <c r="K234" i="4"/>
  <c r="O233" i="4" a="1"/>
  <c r="O233" i="4" s="1"/>
  <c r="K233" i="4"/>
  <c r="O232" i="4" a="1"/>
  <c r="O232" i="4"/>
  <c r="L232" i="4"/>
  <c r="K232" i="4"/>
  <c r="O231" i="4" a="1"/>
  <c r="O231" i="4" s="1"/>
  <c r="L231" i="4"/>
  <c r="P231" i="4" s="1"/>
  <c r="K231" i="4"/>
  <c r="O230" i="4" a="1"/>
  <c r="O230" i="4" s="1"/>
  <c r="K230" i="4"/>
  <c r="L230" i="4" s="1"/>
  <c r="O229" i="4" a="1"/>
  <c r="O229" i="4" s="1"/>
  <c r="L229" i="4"/>
  <c r="K229" i="4"/>
  <c r="O228" i="4" a="1"/>
  <c r="O228" i="4" s="1"/>
  <c r="L228" i="4"/>
  <c r="K228" i="4"/>
  <c r="P228" i="4" s="1"/>
  <c r="O227" i="4" a="1"/>
  <c r="O227" i="4" s="1"/>
  <c r="L227" i="4"/>
  <c r="K227" i="4"/>
  <c r="O226" i="4" a="1"/>
  <c r="O226" i="4" s="1"/>
  <c r="K226" i="4"/>
  <c r="L226" i="4" s="1"/>
  <c r="O225" i="4" a="1"/>
  <c r="O225" i="4" s="1"/>
  <c r="K225" i="4"/>
  <c r="O224" i="4" a="1"/>
  <c r="O224" i="4" s="1"/>
  <c r="L224" i="4"/>
  <c r="K224" i="4"/>
  <c r="O223" i="4" a="1"/>
  <c r="O223" i="4" s="1"/>
  <c r="L223" i="4"/>
  <c r="P223" i="4" s="1"/>
  <c r="K223" i="4"/>
  <c r="P222" i="4"/>
  <c r="O222" i="4" a="1"/>
  <c r="O222" i="4" s="1"/>
  <c r="K222" i="4"/>
  <c r="L222" i="4" s="1"/>
  <c r="O221" i="4" a="1"/>
  <c r="O221" i="4" s="1"/>
  <c r="L221" i="4"/>
  <c r="K221" i="4"/>
  <c r="O220" i="4" a="1"/>
  <c r="O220" i="4" s="1"/>
  <c r="K220" i="4"/>
  <c r="L220" i="4" s="1"/>
  <c r="O219" i="4" a="1"/>
  <c r="O219" i="4" s="1"/>
  <c r="K219" i="4"/>
  <c r="L219" i="4" s="1"/>
  <c r="P219" i="4" s="1"/>
  <c r="O218" i="4" a="1"/>
  <c r="O218" i="4" s="1"/>
  <c r="K218" i="4"/>
  <c r="O217" i="4" a="1"/>
  <c r="O217" i="4" s="1"/>
  <c r="L217" i="4"/>
  <c r="K217" i="4"/>
  <c r="O216" i="4" a="1"/>
  <c r="O216" i="4" s="1"/>
  <c r="K216" i="4"/>
  <c r="L216" i="4" s="1"/>
  <c r="P216" i="4" s="1"/>
  <c r="O215" i="4" a="1"/>
  <c r="O215" i="4" s="1"/>
  <c r="K215" i="4"/>
  <c r="L215" i="4" s="1"/>
  <c r="P215" i="4" s="1"/>
  <c r="O214" i="4" a="1"/>
  <c r="O214" i="4" s="1"/>
  <c r="L214" i="4"/>
  <c r="K214" i="4"/>
  <c r="O213" i="4" a="1"/>
  <c r="O213" i="4" s="1"/>
  <c r="K213" i="4"/>
  <c r="O212" i="4" a="1"/>
  <c r="O212" i="4" s="1"/>
  <c r="K212" i="4"/>
  <c r="O211" i="4" a="1"/>
  <c r="O211" i="4" s="1"/>
  <c r="K211" i="4"/>
  <c r="O210" i="4" a="1"/>
  <c r="O210" i="4" s="1"/>
  <c r="L210" i="4"/>
  <c r="K210" i="4"/>
  <c r="P210" i="4" s="1"/>
  <c r="O209" i="4" a="1"/>
  <c r="O209" i="4"/>
  <c r="K209" i="4"/>
  <c r="L209" i="4" s="1"/>
  <c r="O208" i="4" a="1"/>
  <c r="O208" i="4" s="1"/>
  <c r="K208" i="4"/>
  <c r="L208" i="4" s="1"/>
  <c r="P208" i="4" s="1"/>
  <c r="O207" i="4" a="1"/>
  <c r="O207" i="4" s="1"/>
  <c r="K207" i="4"/>
  <c r="O206" i="4" a="1"/>
  <c r="O206" i="4" s="1"/>
  <c r="K206" i="4"/>
  <c r="L206" i="4" s="1"/>
  <c r="P206" i="4" s="1"/>
  <c r="O205" i="4" a="1"/>
  <c r="O205" i="4" s="1"/>
  <c r="K205" i="4"/>
  <c r="O204" i="4" a="1"/>
  <c r="O204" i="4" s="1"/>
  <c r="K204" i="4"/>
  <c r="P203" i="4"/>
  <c r="O203" i="4" a="1"/>
  <c r="O203" i="4" s="1"/>
  <c r="K203" i="4"/>
  <c r="L203" i="4" s="1"/>
  <c r="O202" i="4" a="1"/>
  <c r="O202" i="4" s="1"/>
  <c r="K202" i="4"/>
  <c r="L202" i="4" s="1"/>
  <c r="O201" i="4" a="1"/>
  <c r="O201" i="4" s="1"/>
  <c r="K201" i="4"/>
  <c r="L201" i="4" s="1"/>
  <c r="P201" i="4" s="1"/>
  <c r="O200" i="4" a="1"/>
  <c r="O200" i="4" s="1"/>
  <c r="K200" i="4"/>
  <c r="L200" i="4" s="1"/>
  <c r="P200" i="4" s="1"/>
  <c r="O199" i="4" a="1"/>
  <c r="O199" i="4" s="1"/>
  <c r="K199" i="4"/>
  <c r="L199" i="4" s="1"/>
  <c r="P199" i="4" s="1"/>
  <c r="O198" i="4" a="1"/>
  <c r="O198" i="4" s="1"/>
  <c r="K198" i="4"/>
  <c r="O197" i="4" a="1"/>
  <c r="O197" i="4" s="1"/>
  <c r="L197" i="4"/>
  <c r="K197" i="4"/>
  <c r="O196" i="4" a="1"/>
  <c r="O196" i="4" s="1"/>
  <c r="K196" i="4"/>
  <c r="O195" i="4" a="1"/>
  <c r="O195" i="4" s="1"/>
  <c r="K195" i="4"/>
  <c r="O194" i="4" a="1"/>
  <c r="O194" i="4"/>
  <c r="K194" i="4"/>
  <c r="O193" i="4" a="1"/>
  <c r="O193" i="4" s="1"/>
  <c r="K193" i="4"/>
  <c r="L193" i="4" s="1"/>
  <c r="P193" i="4" s="1"/>
  <c r="O192" i="4" a="1"/>
  <c r="O192" i="4" s="1"/>
  <c r="K192" i="4"/>
  <c r="L192" i="4" s="1"/>
  <c r="P192" i="4" s="1"/>
  <c r="O191" i="4" a="1"/>
  <c r="O191" i="4" s="1"/>
  <c r="L191" i="4"/>
  <c r="K191" i="4"/>
  <c r="O190" i="4" a="1"/>
  <c r="O190" i="4" s="1"/>
  <c r="K190" i="4"/>
  <c r="L190" i="4" s="1"/>
  <c r="O189" i="4" a="1"/>
  <c r="O189" i="4" s="1"/>
  <c r="K189" i="4"/>
  <c r="L189" i="4" s="1"/>
  <c r="O188" i="4" a="1"/>
  <c r="O188" i="4" s="1"/>
  <c r="K188" i="4"/>
  <c r="O187" i="4" a="1"/>
  <c r="O187" i="4" s="1"/>
  <c r="L187" i="4"/>
  <c r="K187" i="4"/>
  <c r="P186" i="4"/>
  <c r="O186" i="4" a="1"/>
  <c r="O186" i="4" s="1"/>
  <c r="K186" i="4"/>
  <c r="L186" i="4" s="1"/>
  <c r="O185" i="4" a="1"/>
  <c r="O185" i="4" s="1"/>
  <c r="K185" i="4"/>
  <c r="O184" i="4" a="1"/>
  <c r="O184" i="4" s="1"/>
  <c r="K184" i="4"/>
  <c r="L184" i="4" s="1"/>
  <c r="P184" i="4" s="1"/>
  <c r="O183" i="4" a="1"/>
  <c r="O183" i="4" s="1"/>
  <c r="L183" i="4"/>
  <c r="K183" i="4"/>
  <c r="O182" i="4" a="1"/>
  <c r="O182" i="4" s="1"/>
  <c r="L182" i="4"/>
  <c r="K182" i="4"/>
  <c r="O181" i="4" a="1"/>
  <c r="O181" i="4" s="1"/>
  <c r="K181" i="4"/>
  <c r="O180" i="4" a="1"/>
  <c r="O180" i="4" s="1"/>
  <c r="K180" i="4"/>
  <c r="O179" i="4" a="1"/>
  <c r="O179" i="4" s="1"/>
  <c r="K179" i="4"/>
  <c r="O178" i="4" a="1"/>
  <c r="O178" i="4" s="1"/>
  <c r="L178" i="4"/>
  <c r="K178" i="4"/>
  <c r="O177" i="4" a="1"/>
  <c r="O177" i="4" s="1"/>
  <c r="L177" i="4"/>
  <c r="K177" i="4"/>
  <c r="O176" i="4" a="1"/>
  <c r="O176" i="4" s="1"/>
  <c r="L176" i="4"/>
  <c r="K176" i="4"/>
  <c r="P176" i="4" s="1"/>
  <c r="O175" i="4" a="1"/>
  <c r="O175" i="4" s="1"/>
  <c r="K175" i="4"/>
  <c r="O174" i="4" a="1"/>
  <c r="O174" i="4" s="1"/>
  <c r="K174" i="4"/>
  <c r="O173" i="4" a="1"/>
  <c r="O173" i="4" s="1"/>
  <c r="L173" i="4"/>
  <c r="K173" i="4"/>
  <c r="O172" i="4" a="1"/>
  <c r="O172" i="4" s="1"/>
  <c r="K172" i="4"/>
  <c r="L172" i="4" s="1"/>
  <c r="O171" i="4" a="1"/>
  <c r="O171" i="4" s="1"/>
  <c r="K171" i="4"/>
  <c r="L171" i="4" s="1"/>
  <c r="O170" i="4" a="1"/>
  <c r="O170" i="4" s="1"/>
  <c r="K170" i="4"/>
  <c r="O169" i="4" a="1"/>
  <c r="O169" i="4" s="1"/>
  <c r="K169" i="4"/>
  <c r="L169" i="4" s="1"/>
  <c r="O168" i="4" a="1"/>
  <c r="O168" i="4" s="1"/>
  <c r="K168" i="4"/>
  <c r="L168" i="4" s="1"/>
  <c r="P168" i="4" s="1"/>
  <c r="O167" i="4" a="1"/>
  <c r="O167" i="4" s="1"/>
  <c r="K167" i="4"/>
  <c r="O166" i="4" a="1"/>
  <c r="O166" i="4" s="1"/>
  <c r="K166" i="4"/>
  <c r="O165" i="4" a="1"/>
  <c r="O165" i="4" s="1"/>
  <c r="L165" i="4"/>
  <c r="K165" i="4"/>
  <c r="O164" i="4" a="1"/>
  <c r="O164" i="4" s="1"/>
  <c r="L164" i="4"/>
  <c r="K164" i="4"/>
  <c r="O163" i="4" a="1"/>
  <c r="O163" i="4" s="1"/>
  <c r="L163" i="4"/>
  <c r="P163" i="4" s="1"/>
  <c r="K163" i="4"/>
  <c r="O162" i="4" a="1"/>
  <c r="O162" i="4" s="1"/>
  <c r="K162" i="4"/>
  <c r="O161" i="4" a="1"/>
  <c r="O161" i="4" s="1"/>
  <c r="K161" i="4"/>
  <c r="L161" i="4" s="1"/>
  <c r="P161" i="4" s="1"/>
  <c r="O160" i="4" a="1"/>
  <c r="O160" i="4" s="1"/>
  <c r="L160" i="4"/>
  <c r="K160" i="4"/>
  <c r="O159" i="4" a="1"/>
  <c r="O159" i="4" s="1"/>
  <c r="L159" i="4"/>
  <c r="K159" i="4"/>
  <c r="O158" i="4" a="1"/>
  <c r="O158" i="4" s="1"/>
  <c r="K158" i="4"/>
  <c r="L158" i="4" s="1"/>
  <c r="P158" i="4" s="1"/>
  <c r="O157" i="4" a="1"/>
  <c r="O157" i="4" s="1"/>
  <c r="K157" i="4"/>
  <c r="O156" i="4" a="1"/>
  <c r="O156" i="4" s="1"/>
  <c r="L156" i="4"/>
  <c r="K156" i="4"/>
  <c r="O155" i="4" a="1"/>
  <c r="O155" i="4" s="1"/>
  <c r="L155" i="4"/>
  <c r="K155" i="4"/>
  <c r="O154" i="4" a="1"/>
  <c r="O154" i="4" s="1"/>
  <c r="L154" i="4"/>
  <c r="K154" i="4"/>
  <c r="O153" i="4" a="1"/>
  <c r="O153" i="4" s="1"/>
  <c r="K153" i="4"/>
  <c r="L153" i="4" s="1"/>
  <c r="P153" i="4" s="1"/>
  <c r="O152" i="4" a="1"/>
  <c r="O152" i="4" s="1"/>
  <c r="K152" i="4"/>
  <c r="O151" i="4" a="1"/>
  <c r="O151" i="4" s="1"/>
  <c r="K151" i="4"/>
  <c r="L151" i="4" s="1"/>
  <c r="O150" i="4" a="1"/>
  <c r="O150" i="4" s="1"/>
  <c r="K150" i="4"/>
  <c r="L150" i="4" s="1"/>
  <c r="P150" i="4" s="1"/>
  <c r="O149" i="4" a="1"/>
  <c r="O149" i="4" s="1"/>
  <c r="K149" i="4"/>
  <c r="O148" i="4" a="1"/>
  <c r="O148" i="4" s="1"/>
  <c r="K148" i="4"/>
  <c r="L148" i="4" s="1"/>
  <c r="P148" i="4" s="1"/>
  <c r="O147" i="4" a="1"/>
  <c r="O147" i="4" s="1"/>
  <c r="L147" i="4"/>
  <c r="K147" i="4"/>
  <c r="O146" i="4" a="1"/>
  <c r="O146" i="4" s="1"/>
  <c r="K146" i="4"/>
  <c r="L146" i="4" s="1"/>
  <c r="O145" i="4" a="1"/>
  <c r="O145" i="4" s="1"/>
  <c r="K145" i="4"/>
  <c r="O144" i="4" a="1"/>
  <c r="O144" i="4" s="1"/>
  <c r="K144" i="4"/>
  <c r="O143" i="4" a="1"/>
  <c r="O143" i="4" s="1"/>
  <c r="L143" i="4"/>
  <c r="K143" i="4"/>
  <c r="O142" i="4" a="1"/>
  <c r="O142" i="4" s="1"/>
  <c r="K142" i="4"/>
  <c r="L142" i="4" s="1"/>
  <c r="P142" i="4" s="1"/>
  <c r="O141" i="4" a="1"/>
  <c r="O141" i="4" s="1"/>
  <c r="K141" i="4"/>
  <c r="O140" i="4" a="1"/>
  <c r="O140" i="4" s="1"/>
  <c r="K140" i="4"/>
  <c r="L140" i="4" s="1"/>
  <c r="O139" i="4" a="1"/>
  <c r="O139" i="4" s="1"/>
  <c r="K139" i="4"/>
  <c r="L139" i="4" s="1"/>
  <c r="P139" i="4" s="1"/>
  <c r="O138" i="4" a="1"/>
  <c r="O138" i="4" s="1"/>
  <c r="K138" i="4"/>
  <c r="O137" i="4" a="1"/>
  <c r="O137" i="4"/>
  <c r="K137" i="4"/>
  <c r="L137" i="4" s="1"/>
  <c r="P137" i="4" s="1"/>
  <c r="O136" i="4" a="1"/>
  <c r="O136" i="4" s="1"/>
  <c r="K136" i="4"/>
  <c r="O135" i="4" a="1"/>
  <c r="O135" i="4" s="1"/>
  <c r="K135" i="4"/>
  <c r="L135" i="4" s="1"/>
  <c r="O134" i="4" a="1"/>
  <c r="O134" i="4" s="1"/>
  <c r="K134" i="4"/>
  <c r="L134" i="4" s="1"/>
  <c r="P134" i="4" s="1"/>
  <c r="O133" i="4" a="1"/>
  <c r="O133" i="4" s="1"/>
  <c r="K133" i="4"/>
  <c r="O132" i="4" a="1"/>
  <c r="O132" i="4"/>
  <c r="L132" i="4"/>
  <c r="K132" i="4"/>
  <c r="O131" i="4" a="1"/>
  <c r="O131" i="4" s="1"/>
  <c r="K131" i="4"/>
  <c r="O130" i="4" a="1"/>
  <c r="O130" i="4" s="1"/>
  <c r="K130" i="4"/>
  <c r="L130" i="4" s="1"/>
  <c r="O129" i="4" a="1"/>
  <c r="O129" i="4" s="1"/>
  <c r="K129" i="4"/>
  <c r="O128" i="4" a="1"/>
  <c r="O128" i="4" s="1"/>
  <c r="L128" i="4"/>
  <c r="K128" i="4"/>
  <c r="P128" i="4" s="1"/>
  <c r="O127" i="4" a="1"/>
  <c r="O127" i="4" s="1"/>
  <c r="K127" i="4"/>
  <c r="L127" i="4" s="1"/>
  <c r="P127" i="4" s="1"/>
  <c r="O126" i="4" a="1"/>
  <c r="O126" i="4" s="1"/>
  <c r="K126" i="4"/>
  <c r="L126" i="4" s="1"/>
  <c r="P126" i="4" s="1"/>
  <c r="O125" i="4" a="1"/>
  <c r="O125" i="4" s="1"/>
  <c r="K125" i="4"/>
  <c r="O124" i="4" a="1"/>
  <c r="O124" i="4" s="1"/>
  <c r="K124" i="4"/>
  <c r="O123" i="4" a="1"/>
  <c r="O123" i="4" s="1"/>
  <c r="K123" i="4"/>
  <c r="L123" i="4" s="1"/>
  <c r="P123" i="4" s="1"/>
  <c r="O122" i="4" a="1"/>
  <c r="O122" i="4" s="1"/>
  <c r="K122" i="4"/>
  <c r="O121" i="4" a="1"/>
  <c r="O121" i="4" s="1"/>
  <c r="L121" i="4"/>
  <c r="K121" i="4"/>
  <c r="O120" i="4" a="1"/>
  <c r="O120" i="4"/>
  <c r="K120" i="4"/>
  <c r="O119" i="4" a="1"/>
  <c r="O119" i="4" s="1"/>
  <c r="K119" i="4"/>
  <c r="O118" i="4" a="1"/>
  <c r="O118" i="4" s="1"/>
  <c r="K118" i="4"/>
  <c r="O117" i="4" a="1"/>
  <c r="O117" i="4" s="1"/>
  <c r="K117" i="4"/>
  <c r="O116" i="4" a="1"/>
  <c r="O116" i="4" s="1"/>
  <c r="L116" i="4"/>
  <c r="K116" i="4"/>
  <c r="O115" i="4" a="1"/>
  <c r="O115" i="4" s="1"/>
  <c r="L115" i="4"/>
  <c r="K115" i="4"/>
  <c r="O114" i="4" a="1"/>
  <c r="O114" i="4" s="1"/>
  <c r="L114" i="4"/>
  <c r="K114" i="4"/>
  <c r="O113" i="4" a="1"/>
  <c r="O113" i="4" s="1"/>
  <c r="L113" i="4"/>
  <c r="K113" i="4"/>
  <c r="O112" i="4" a="1"/>
  <c r="O112" i="4"/>
  <c r="K112" i="4"/>
  <c r="O111" i="4" a="1"/>
  <c r="O111" i="4" s="1"/>
  <c r="K111" i="4"/>
  <c r="L111" i="4" s="1"/>
  <c r="P111" i="4" s="1"/>
  <c r="O110" i="4" a="1"/>
  <c r="O110" i="4" s="1"/>
  <c r="L110" i="4"/>
  <c r="K110" i="4"/>
  <c r="P110" i="4" s="1"/>
  <c r="O109" i="4" a="1"/>
  <c r="O109" i="4" s="1"/>
  <c r="L109" i="4"/>
  <c r="K109" i="4"/>
  <c r="P109" i="4" s="1"/>
  <c r="O108" i="4" a="1"/>
  <c r="O108" i="4" s="1"/>
  <c r="K108" i="4"/>
  <c r="L108" i="4" s="1"/>
  <c r="O107" i="4" a="1"/>
  <c r="O107" i="4" s="1"/>
  <c r="K107" i="4"/>
  <c r="L107" i="4" s="1"/>
  <c r="P107" i="4" s="1"/>
  <c r="O106" i="4" a="1"/>
  <c r="O106" i="4" s="1"/>
  <c r="K106" i="4"/>
  <c r="O105" i="4" a="1"/>
  <c r="O105" i="4" s="1"/>
  <c r="K105" i="4"/>
  <c r="L105" i="4" s="1"/>
  <c r="P105" i="4" s="1"/>
  <c r="O104" i="4" a="1"/>
  <c r="O104" i="4" s="1"/>
  <c r="K104" i="4"/>
  <c r="O103" i="4" a="1"/>
  <c r="O103" i="4" s="1"/>
  <c r="K103" i="4"/>
  <c r="L103" i="4" s="1"/>
  <c r="O102" i="4" a="1"/>
  <c r="O102" i="4" s="1"/>
  <c r="K102" i="4"/>
  <c r="L102" i="4" s="1"/>
  <c r="P102" i="4" s="1"/>
  <c r="O101" i="4" a="1"/>
  <c r="O101" i="4" s="1"/>
  <c r="K101" i="4"/>
  <c r="O100" i="4" a="1"/>
  <c r="O100" i="4" s="1"/>
  <c r="L100" i="4"/>
  <c r="K100" i="4"/>
  <c r="O99" i="4" a="1"/>
  <c r="O99" i="4" s="1"/>
  <c r="L99" i="4"/>
  <c r="K99" i="4"/>
  <c r="P99" i="4" s="1"/>
  <c r="O98" i="4" a="1"/>
  <c r="O98" i="4" s="1"/>
  <c r="K98" i="4"/>
  <c r="L98" i="4" s="1"/>
  <c r="P98" i="4" s="1"/>
  <c r="O97" i="4" a="1"/>
  <c r="O97" i="4" s="1"/>
  <c r="K97" i="4"/>
  <c r="O96" i="4" a="1"/>
  <c r="O96" i="4"/>
  <c r="K96" i="4"/>
  <c r="O95" i="4" a="1"/>
  <c r="O95" i="4" s="1"/>
  <c r="L95" i="4"/>
  <c r="K95" i="4"/>
  <c r="P95" i="4" s="1"/>
  <c r="O94" i="4" a="1"/>
  <c r="O94" i="4" s="1"/>
  <c r="L94" i="4"/>
  <c r="K94" i="4"/>
  <c r="O93" i="4" a="1"/>
  <c r="O93" i="4" s="1"/>
  <c r="K93" i="4"/>
  <c r="L93" i="4" s="1"/>
  <c r="P93" i="4" s="1"/>
  <c r="O92" i="4" a="1"/>
  <c r="O92" i="4" s="1"/>
  <c r="K92" i="4"/>
  <c r="O91" i="4" a="1"/>
  <c r="O91" i="4" s="1"/>
  <c r="L91" i="4"/>
  <c r="K91" i="4"/>
  <c r="O90" i="4" a="1"/>
  <c r="O90" i="4" s="1"/>
  <c r="L90" i="4"/>
  <c r="K90" i="4"/>
  <c r="O89" i="4" a="1"/>
  <c r="O89" i="4" s="1"/>
  <c r="K89" i="4"/>
  <c r="L89" i="4" s="1"/>
  <c r="P89" i="4" s="1"/>
  <c r="O88" i="4" a="1"/>
  <c r="O88" i="4" s="1"/>
  <c r="L88" i="4"/>
  <c r="K88" i="4"/>
  <c r="O87" i="4" a="1"/>
  <c r="O87" i="4" s="1"/>
  <c r="K87" i="4"/>
  <c r="L87" i="4" s="1"/>
  <c r="O86" i="4" a="1"/>
  <c r="O86" i="4"/>
  <c r="L86" i="4"/>
  <c r="P86" i="4" s="1"/>
  <c r="K86" i="4"/>
  <c r="O85" i="4" a="1"/>
  <c r="O85" i="4" s="1"/>
  <c r="K85" i="4"/>
  <c r="O84" i="4" a="1"/>
  <c r="O84" i="4" s="1"/>
  <c r="K84" i="4"/>
  <c r="L84" i="4" s="1"/>
  <c r="P84" i="4" s="1"/>
  <c r="O83" i="4" a="1"/>
  <c r="O83" i="4"/>
  <c r="K83" i="4"/>
  <c r="O82" i="4" a="1"/>
  <c r="O82" i="4" s="1"/>
  <c r="L82" i="4"/>
  <c r="K82" i="4"/>
  <c r="O81" i="4" a="1"/>
  <c r="O81" i="4" s="1"/>
  <c r="K81" i="4"/>
  <c r="O80" i="4" a="1"/>
  <c r="O80" i="4" s="1"/>
  <c r="K80" i="4"/>
  <c r="O79" i="4" a="1"/>
  <c r="O79" i="4" s="1"/>
  <c r="K79" i="4"/>
  <c r="L79" i="4" s="1"/>
  <c r="P79" i="4" s="1"/>
  <c r="O78" i="4" a="1"/>
  <c r="O78" i="4"/>
  <c r="L78" i="4"/>
  <c r="K78" i="4"/>
  <c r="O77" i="4" a="1"/>
  <c r="O77" i="4" s="1"/>
  <c r="K77" i="4"/>
  <c r="L77" i="4" s="1"/>
  <c r="P77" i="4" s="1"/>
  <c r="O76" i="4" a="1"/>
  <c r="O76" i="4" s="1"/>
  <c r="K76" i="4"/>
  <c r="O75" i="4" a="1"/>
  <c r="O75" i="4" s="1"/>
  <c r="K75" i="4"/>
  <c r="L75" i="4" s="1"/>
  <c r="P75" i="4" s="1"/>
  <c r="O74" i="4" a="1"/>
  <c r="O74" i="4" s="1"/>
  <c r="K74" i="4"/>
  <c r="O73" i="4" a="1"/>
  <c r="O73" i="4" s="1"/>
  <c r="K73" i="4"/>
  <c r="L73" i="4" s="1"/>
  <c r="P73" i="4" s="1"/>
  <c r="O72" i="4" a="1"/>
  <c r="O72" i="4" s="1"/>
  <c r="K72" i="4"/>
  <c r="O71" i="4" a="1"/>
  <c r="O71" i="4" s="1"/>
  <c r="K71" i="4"/>
  <c r="O70" i="4" a="1"/>
  <c r="O70" i="4"/>
  <c r="K70" i="4"/>
  <c r="L70" i="4" s="1"/>
  <c r="P70" i="4" s="1"/>
  <c r="O69" i="4" a="1"/>
  <c r="O69" i="4" s="1"/>
  <c r="K69" i="4"/>
  <c r="O68" i="4" a="1"/>
  <c r="O68" i="4"/>
  <c r="K68" i="4"/>
  <c r="L68" i="4" s="1"/>
  <c r="P68" i="4" s="1"/>
  <c r="O67" i="4" a="1"/>
  <c r="O67" i="4" s="1"/>
  <c r="L67" i="4"/>
  <c r="K67" i="4"/>
  <c r="O66" i="4" a="1"/>
  <c r="O66" i="4" s="1"/>
  <c r="K66" i="4"/>
  <c r="L66" i="4" s="1"/>
  <c r="O65" i="4" a="1"/>
  <c r="O65" i="4" s="1"/>
  <c r="K65" i="4"/>
  <c r="O64" i="4" a="1"/>
  <c r="O64" i="4" s="1"/>
  <c r="K64" i="4"/>
  <c r="O63" i="4" a="1"/>
  <c r="O63" i="4" s="1"/>
  <c r="K63" i="4"/>
  <c r="L63" i="4" s="1"/>
  <c r="P63" i="4" s="1"/>
  <c r="O62" i="4" a="1"/>
  <c r="O62" i="4" s="1"/>
  <c r="K62" i="4"/>
  <c r="L62" i="4" s="1"/>
  <c r="P62" i="4" s="1"/>
  <c r="O61" i="4" a="1"/>
  <c r="O61" i="4" s="1"/>
  <c r="K61" i="4"/>
  <c r="L61" i="4" s="1"/>
  <c r="P61" i="4" s="1"/>
  <c r="O60" i="4" a="1"/>
  <c r="O60" i="4" s="1"/>
  <c r="K60" i="4"/>
  <c r="L60" i="4" s="1"/>
  <c r="P60" i="4" s="1"/>
  <c r="O59" i="4" a="1"/>
  <c r="O59" i="4" s="1"/>
  <c r="L59" i="4"/>
  <c r="K59" i="4"/>
  <c r="O58" i="4" a="1"/>
  <c r="O58" i="4" s="1"/>
  <c r="K58" i="4"/>
  <c r="O57" i="4" a="1"/>
  <c r="O57" i="4" s="1"/>
  <c r="K57" i="4"/>
  <c r="L57" i="4" s="1"/>
  <c r="P57" i="4" s="1"/>
  <c r="O56" i="4" a="1"/>
  <c r="O56" i="4" s="1"/>
  <c r="L56" i="4"/>
  <c r="K56" i="4"/>
  <c r="O55" i="4" a="1"/>
  <c r="O55" i="4"/>
  <c r="K55" i="4"/>
  <c r="O54" i="4" a="1"/>
  <c r="O54" i="4" s="1"/>
  <c r="K54" i="4"/>
  <c r="L54" i="4" s="1"/>
  <c r="P54" i="4" s="1"/>
  <c r="O53" i="4" a="1"/>
  <c r="O53" i="4" s="1"/>
  <c r="K53" i="4"/>
  <c r="O52" i="4" a="1"/>
  <c r="O52" i="4" s="1"/>
  <c r="L52" i="4"/>
  <c r="K52" i="4"/>
  <c r="O51" i="4" a="1"/>
  <c r="O51" i="4" s="1"/>
  <c r="L51" i="4"/>
  <c r="K51" i="4"/>
  <c r="P51" i="4" s="1"/>
  <c r="O50" i="4" a="1"/>
  <c r="O50" i="4" s="1"/>
  <c r="K50" i="4"/>
  <c r="L50" i="4" s="1"/>
  <c r="O49" i="4" a="1"/>
  <c r="O49" i="4" s="1"/>
  <c r="K49" i="4"/>
  <c r="O48" i="4" a="1"/>
  <c r="O48" i="4" s="1"/>
  <c r="L48" i="4"/>
  <c r="K48" i="4"/>
  <c r="O47" i="4" a="1"/>
  <c r="O47" i="4" s="1"/>
  <c r="L47" i="4"/>
  <c r="K47" i="4"/>
  <c r="O46" i="4" a="1"/>
  <c r="O46" i="4" s="1"/>
  <c r="K46" i="4"/>
  <c r="L46" i="4" s="1"/>
  <c r="P46" i="4" s="1"/>
  <c r="O45" i="4" a="1"/>
  <c r="O45" i="4" s="1"/>
  <c r="K45" i="4"/>
  <c r="L45" i="4" s="1"/>
  <c r="P45" i="4" s="1"/>
  <c r="O44" i="4" a="1"/>
  <c r="O44" i="4" s="1"/>
  <c r="K44" i="4"/>
  <c r="O43" i="4" a="1"/>
  <c r="O43" i="4" s="1"/>
  <c r="L43" i="4"/>
  <c r="K43" i="4"/>
  <c r="O42" i="4" a="1"/>
  <c r="O42" i="4" s="1"/>
  <c r="L42" i="4"/>
  <c r="K42" i="4"/>
  <c r="P42" i="4" s="1"/>
  <c r="O41" i="4" a="1"/>
  <c r="O41" i="4" s="1"/>
  <c r="K41" i="4"/>
  <c r="L41" i="4" s="1"/>
  <c r="P41" i="4" s="1"/>
  <c r="O40" i="4" a="1"/>
  <c r="O40" i="4" s="1"/>
  <c r="K40" i="4"/>
  <c r="O39" i="4" a="1"/>
  <c r="O39" i="4" s="1"/>
  <c r="K39" i="4"/>
  <c r="O38" i="4" a="1"/>
  <c r="O38" i="4" s="1"/>
  <c r="K38" i="4"/>
  <c r="O37" i="4" a="1"/>
  <c r="O37" i="4" s="1"/>
  <c r="K37" i="4"/>
  <c r="O36" i="4" a="1"/>
  <c r="O36" i="4" s="1"/>
  <c r="L36" i="4"/>
  <c r="P36" i="4" s="1"/>
  <c r="K36" i="4"/>
  <c r="O35" i="4" a="1"/>
  <c r="O35" i="4"/>
  <c r="K35" i="4"/>
  <c r="O34" i="4" a="1"/>
  <c r="O34" i="4" s="1"/>
  <c r="K34" i="4"/>
  <c r="L34" i="4" s="1"/>
  <c r="O33" i="4" a="1"/>
  <c r="O33" i="4" s="1"/>
  <c r="K33" i="4"/>
  <c r="O32" i="4" a="1"/>
  <c r="O32" i="4" s="1"/>
  <c r="L32" i="4"/>
  <c r="K32" i="4"/>
  <c r="O31" i="4" a="1"/>
  <c r="O31" i="4" s="1"/>
  <c r="L31" i="4"/>
  <c r="K31" i="4"/>
  <c r="P31" i="4" s="1"/>
  <c r="O30" i="4" a="1"/>
  <c r="O30" i="4" s="1"/>
  <c r="L30" i="4"/>
  <c r="P30" i="4" s="1"/>
  <c r="K30" i="4"/>
  <c r="O29" i="4" a="1"/>
  <c r="O29" i="4" s="1"/>
  <c r="K29" i="4"/>
  <c r="L29" i="4" s="1"/>
  <c r="P29" i="4" s="1"/>
  <c r="O28" i="4" a="1"/>
  <c r="O28" i="4" s="1"/>
  <c r="K28" i="4"/>
  <c r="O27" i="4" a="1"/>
  <c r="O27" i="4" s="1"/>
  <c r="L27" i="4"/>
  <c r="K27" i="4"/>
  <c r="O26" i="4" a="1"/>
  <c r="O26" i="4" s="1"/>
  <c r="K26" i="4"/>
  <c r="O25" i="4" a="1"/>
  <c r="O25" i="4" s="1"/>
  <c r="L25" i="4"/>
  <c r="K25" i="4"/>
  <c r="O24" i="4" a="1"/>
  <c r="O24" i="4" s="1"/>
  <c r="L24" i="4"/>
  <c r="K24" i="4"/>
  <c r="O23" i="4" a="1"/>
  <c r="O23" i="4" s="1"/>
  <c r="K23" i="4"/>
  <c r="L23" i="4" s="1"/>
  <c r="O22" i="4" a="1"/>
  <c r="O22" i="4" s="1"/>
  <c r="K22" i="4"/>
  <c r="O21" i="4" a="1"/>
  <c r="O21" i="4" s="1"/>
  <c r="K21" i="4"/>
  <c r="O20" i="4" a="1"/>
  <c r="O20" i="4" s="1"/>
  <c r="L20" i="4"/>
  <c r="K20" i="4"/>
  <c r="O19" i="4" a="1"/>
  <c r="O19" i="4" s="1"/>
  <c r="K19" i="4"/>
  <c r="O18" i="4" a="1"/>
  <c r="O18" i="4" s="1"/>
  <c r="K18" i="4"/>
  <c r="L18" i="4" s="1"/>
  <c r="P18" i="4" s="1"/>
  <c r="O17" i="4" a="1"/>
  <c r="O17" i="4" s="1"/>
  <c r="K17" i="4"/>
  <c r="O16" i="4" a="1"/>
  <c r="O16" i="4" s="1"/>
  <c r="K16" i="4"/>
  <c r="O15" i="4" a="1"/>
  <c r="O15" i="4" s="1"/>
  <c r="K15" i="4"/>
  <c r="L15" i="4" s="1"/>
  <c r="P15" i="4" s="1"/>
  <c r="O14" i="4" a="1"/>
  <c r="O14" i="4" s="1"/>
  <c r="K14" i="4"/>
  <c r="L14" i="4" s="1"/>
  <c r="P14" i="4" s="1"/>
  <c r="O13" i="4" a="1"/>
  <c r="O13" i="4" s="1"/>
  <c r="L13" i="4"/>
  <c r="K13" i="4"/>
  <c r="O12" i="4" a="1"/>
  <c r="O12" i="4" s="1"/>
  <c r="K12" i="4"/>
  <c r="L12" i="4" s="1"/>
  <c r="P12" i="4" s="1"/>
  <c r="O11" i="4" a="1"/>
  <c r="O11" i="4"/>
  <c r="L11" i="4"/>
  <c r="K11" i="4"/>
  <c r="O10" i="4" a="1"/>
  <c r="O10" i="4" s="1"/>
  <c r="K10" i="4"/>
  <c r="O9" i="4" a="1"/>
  <c r="O9" i="4"/>
  <c r="K9" i="4"/>
  <c r="L9" i="4" s="1"/>
  <c r="P9" i="4" s="1"/>
  <c r="O8" i="4" a="1"/>
  <c r="O8" i="4"/>
  <c r="K8" i="4"/>
  <c r="L8" i="4" s="1"/>
  <c r="O7" i="4" a="1"/>
  <c r="O7" i="4" s="1"/>
  <c r="K7" i="4"/>
  <c r="O6" i="4" a="1"/>
  <c r="O6" i="4" s="1"/>
  <c r="K6" i="4"/>
  <c r="L6" i="4" s="1"/>
  <c r="P6" i="4" s="1"/>
  <c r="O5" i="4" a="1"/>
  <c r="O5" i="4"/>
  <c r="K5" i="4"/>
  <c r="O4" i="4" a="1"/>
  <c r="O4" i="4" s="1"/>
  <c r="K4" i="4"/>
  <c r="L4" i="4" s="1"/>
  <c r="P4" i="4" s="1"/>
  <c r="O3" i="4" a="1"/>
  <c r="O3" i="4"/>
  <c r="K3" i="4"/>
  <c r="O2" i="4" a="1"/>
  <c r="O2" i="4" s="1"/>
  <c r="K2" i="4"/>
  <c r="L2" i="4" s="1"/>
  <c r="P2" i="4" s="1"/>
  <c r="AE34" i="2"/>
  <c r="AB34" i="2"/>
  <c r="E34" i="2"/>
  <c r="D34" i="2"/>
  <c r="C34" i="2"/>
  <c r="AE33" i="2"/>
  <c r="AB33" i="2"/>
  <c r="E33" i="2"/>
  <c r="D33" i="2"/>
  <c r="C33" i="2"/>
  <c r="AE32" i="2"/>
  <c r="AB32" i="2"/>
  <c r="E32" i="2"/>
  <c r="D32" i="2"/>
  <c r="C32" i="2"/>
  <c r="AE31" i="2"/>
  <c r="AB31" i="2"/>
  <c r="E31" i="2"/>
  <c r="D31" i="2"/>
  <c r="C31" i="2"/>
  <c r="AE30" i="2"/>
  <c r="AB30" i="2"/>
  <c r="E30" i="2"/>
  <c r="D30" i="2"/>
  <c r="C30" i="2"/>
  <c r="AE29" i="2"/>
  <c r="AB29" i="2"/>
  <c r="E29" i="2"/>
  <c r="D29" i="2"/>
  <c r="C29" i="2"/>
  <c r="AE28" i="2"/>
  <c r="AB28" i="2"/>
  <c r="E28" i="2"/>
  <c r="D28" i="2"/>
  <c r="C28" i="2"/>
  <c r="AE27" i="2"/>
  <c r="AB27" i="2"/>
  <c r="E27" i="2"/>
  <c r="D27" i="2"/>
  <c r="C27" i="2"/>
  <c r="AE26" i="2"/>
  <c r="AB26" i="2"/>
  <c r="E26" i="2"/>
  <c r="D26" i="2"/>
  <c r="C26" i="2"/>
  <c r="AE25" i="2"/>
  <c r="AB25" i="2"/>
  <c r="E25" i="2"/>
  <c r="D25" i="2"/>
  <c r="C25" i="2"/>
  <c r="AE24" i="2"/>
  <c r="AB24" i="2"/>
  <c r="E24" i="2"/>
  <c r="D24" i="2"/>
  <c r="C24" i="2"/>
  <c r="AE23" i="2"/>
  <c r="AB23" i="2"/>
  <c r="E23" i="2"/>
  <c r="D23" i="2"/>
  <c r="C23" i="2"/>
  <c r="AE22" i="2"/>
  <c r="AB22" i="2"/>
  <c r="E22" i="2"/>
  <c r="D22" i="2"/>
  <c r="C22" i="2"/>
  <c r="AE21" i="2"/>
  <c r="AB21" i="2"/>
  <c r="E21" i="2"/>
  <c r="D21" i="2"/>
  <c r="C21" i="2"/>
  <c r="AE20" i="2"/>
  <c r="AB20" i="2"/>
  <c r="E20" i="2"/>
  <c r="D20" i="2"/>
  <c r="C20" i="2"/>
  <c r="AE19" i="2"/>
  <c r="AB19" i="2"/>
  <c r="E19" i="2"/>
  <c r="D19" i="2"/>
  <c r="C19" i="2"/>
  <c r="AE18" i="2"/>
  <c r="AB18" i="2"/>
  <c r="E18" i="2"/>
  <c r="D18" i="2"/>
  <c r="C18" i="2"/>
  <c r="AE17" i="2"/>
  <c r="AB17" i="2"/>
  <c r="E17" i="2"/>
  <c r="D17" i="2"/>
  <c r="C17" i="2"/>
  <c r="AE16" i="2"/>
  <c r="AB16" i="2"/>
  <c r="E16" i="2"/>
  <c r="D16" i="2"/>
  <c r="C16" i="2"/>
  <c r="AE15" i="2"/>
  <c r="AB15" i="2"/>
  <c r="E15" i="2"/>
  <c r="D15" i="2"/>
  <c r="C15" i="2"/>
  <c r="AE14" i="2"/>
  <c r="AB14" i="2"/>
  <c r="E14" i="2"/>
  <c r="D14" i="2"/>
  <c r="C14" i="2"/>
  <c r="AE13" i="2"/>
  <c r="AB13" i="2"/>
  <c r="E13" i="2"/>
  <c r="D13" i="2"/>
  <c r="C13" i="2"/>
  <c r="AE12" i="2"/>
  <c r="AB12" i="2"/>
  <c r="E12" i="2"/>
  <c r="D12" i="2"/>
  <c r="C12" i="2"/>
  <c r="AE11" i="2"/>
  <c r="AB11" i="2"/>
  <c r="E11" i="2"/>
  <c r="D11" i="2"/>
  <c r="C11" i="2"/>
  <c r="AE10" i="2"/>
  <c r="AB10" i="2"/>
  <c r="E10" i="2"/>
  <c r="D10" i="2"/>
  <c r="C10" i="2"/>
  <c r="AE9" i="2"/>
  <c r="AB9" i="2"/>
  <c r="E9" i="2"/>
  <c r="D9" i="2"/>
  <c r="C9" i="2"/>
  <c r="AE8" i="2"/>
  <c r="AB8" i="2"/>
  <c r="E8" i="2"/>
  <c r="D8" i="2"/>
  <c r="C8" i="2"/>
  <c r="AH7" i="2"/>
  <c r="AE7" i="2"/>
  <c r="AB7" i="2"/>
  <c r="E7" i="2"/>
  <c r="D7" i="2"/>
  <c r="C7" i="2"/>
  <c r="AH6" i="2"/>
  <c r="AE6" i="2"/>
  <c r="AB6" i="2"/>
  <c r="E6" i="2"/>
  <c r="D6" i="2"/>
  <c r="C6" i="2"/>
  <c r="AH5" i="2"/>
  <c r="AE5" i="2"/>
  <c r="AB5" i="2"/>
  <c r="E5" i="2"/>
  <c r="D5" i="2"/>
  <c r="C5" i="2"/>
  <c r="AE4" i="2"/>
  <c r="AB4" i="2"/>
  <c r="E4" i="2"/>
  <c r="D4" i="2"/>
  <c r="C4" i="2"/>
  <c r="AH3" i="2"/>
  <c r="AE3" i="2"/>
  <c r="AB3" i="2"/>
  <c r="AH9" i="2" s="1"/>
  <c r="E3" i="2"/>
  <c r="D3" i="2"/>
  <c r="C3" i="2"/>
  <c r="AH2" i="2"/>
  <c r="AE2" i="2"/>
  <c r="AB2" i="2"/>
  <c r="E2" i="2"/>
  <c r="D2" i="2"/>
  <c r="C2" i="2"/>
  <c r="P427" i="4" l="1"/>
  <c r="P489" i="4"/>
  <c r="P948" i="4"/>
  <c r="P286" i="4"/>
  <c r="P293" i="4"/>
  <c r="P178" i="4"/>
  <c r="P173" i="4"/>
  <c r="P248" i="4"/>
  <c r="P617" i="4"/>
  <c r="P751" i="4"/>
  <c r="P786" i="4"/>
  <c r="P43" i="4"/>
  <c r="P294" i="4"/>
  <c r="P307" i="4"/>
  <c r="P441" i="4"/>
  <c r="P453" i="4"/>
  <c r="P509" i="4"/>
  <c r="P514" i="4"/>
  <c r="P623" i="4"/>
  <c r="P642" i="4"/>
  <c r="P826" i="4"/>
  <c r="P833" i="4"/>
  <c r="P956" i="4"/>
  <c r="P20" i="4"/>
  <c r="P155" i="4"/>
  <c r="P320" i="4"/>
  <c r="P27" i="4"/>
  <c r="P187" i="4"/>
  <c r="P354" i="4"/>
  <c r="P430" i="4"/>
  <c r="P454" i="4"/>
  <c r="P473" i="4"/>
  <c r="P529" i="4"/>
  <c r="P560" i="4"/>
  <c r="P572" i="4"/>
  <c r="P821" i="4"/>
  <c r="P892" i="4"/>
  <c r="P374" i="4"/>
  <c r="P492" i="4"/>
  <c r="P906" i="4"/>
  <c r="P156" i="4"/>
  <c r="P309" i="4"/>
  <c r="P462" i="4"/>
  <c r="P561" i="4"/>
  <c r="P607" i="4"/>
  <c r="P759" i="4"/>
  <c r="P297" i="4"/>
  <c r="P406" i="4"/>
  <c r="P544" i="4"/>
  <c r="P555" i="4"/>
  <c r="L607" i="4"/>
  <c r="P644" i="4"/>
  <c r="P689" i="4"/>
  <c r="P703" i="4"/>
  <c r="P855" i="4"/>
  <c r="P977" i="4"/>
  <c r="P456" i="4"/>
  <c r="P183" i="4"/>
  <c r="L456" i="4"/>
  <c r="P556" i="4"/>
  <c r="P82" i="4"/>
  <c r="P298" i="4"/>
  <c r="P376" i="4"/>
  <c r="P488" i="4"/>
  <c r="P626" i="4"/>
  <c r="P716" i="4"/>
  <c r="P755" i="4"/>
  <c r="P908" i="4"/>
  <c r="P310" i="4"/>
  <c r="P465" i="4"/>
  <c r="P233" i="4"/>
  <c r="P13" i="4"/>
  <c r="P143" i="4"/>
  <c r="P391" i="4"/>
  <c r="P408" i="4"/>
  <c r="P414" i="4"/>
  <c r="P464" i="4"/>
  <c r="P513" i="4"/>
  <c r="P616" i="4"/>
  <c r="P661" i="4"/>
  <c r="L668" i="4"/>
  <c r="P668" i="4" s="1"/>
  <c r="L727" i="4"/>
  <c r="P727" i="4" s="1"/>
  <c r="P837" i="4"/>
  <c r="P578" i="4"/>
  <c r="L903" i="4"/>
  <c r="P903" i="4" s="1"/>
  <c r="L392" i="4"/>
  <c r="P392" i="4" s="1"/>
  <c r="P639" i="4"/>
  <c r="P289" i="4"/>
  <c r="P487" i="4"/>
  <c r="P114" i="4"/>
  <c r="P209" i="4"/>
  <c r="P449" i="4"/>
  <c r="L465" i="4"/>
  <c r="P510" i="4"/>
  <c r="P557" i="4"/>
  <c r="P562" i="4"/>
  <c r="P569" i="4"/>
  <c r="P573" i="4"/>
  <c r="P592" i="4"/>
  <c r="L657" i="4"/>
  <c r="P657" i="4" s="1"/>
  <c r="P705" i="4"/>
  <c r="P722" i="4"/>
  <c r="L780" i="4"/>
  <c r="P780" i="4" s="1"/>
  <c r="P951" i="4"/>
  <c r="P922" i="4"/>
  <c r="P976" i="4"/>
  <c r="L497" i="4"/>
  <c r="P497" i="4" s="1"/>
  <c r="L233" i="4"/>
  <c r="P313" i="4"/>
  <c r="P350" i="4"/>
  <c r="P355" i="4"/>
  <c r="P393" i="4"/>
  <c r="P422" i="4"/>
  <c r="P521" i="4"/>
  <c r="L652" i="4"/>
  <c r="P652" i="4" s="1"/>
  <c r="P850" i="4"/>
  <c r="P575" i="4"/>
  <c r="P618" i="4"/>
  <c r="P671" i="4"/>
  <c r="P706" i="4"/>
  <c r="P770" i="4"/>
  <c r="P264" i="4"/>
  <c r="P47" i="4"/>
  <c r="P121" i="4"/>
  <c r="P255" i="4"/>
  <c r="P400" i="4"/>
  <c r="P694" i="4"/>
  <c r="L764" i="4"/>
  <c r="P764" i="4" s="1"/>
  <c r="P834" i="4"/>
  <c r="P288" i="4"/>
  <c r="P423" i="4"/>
  <c r="P116" i="4"/>
  <c r="P495" i="4"/>
  <c r="P576" i="4"/>
  <c r="P594" i="4"/>
  <c r="P972" i="4"/>
  <c r="P59" i="4"/>
  <c r="P67" i="4"/>
  <c r="P240" i="4"/>
  <c r="P275" i="4"/>
  <c r="P281" i="4"/>
  <c r="P287" i="4"/>
  <c r="L310" i="4"/>
  <c r="L352" i="4"/>
  <c r="P352" i="4" s="1"/>
  <c r="P357" i="4"/>
  <c r="L369" i="4"/>
  <c r="P369" i="4" s="1"/>
  <c r="L390" i="4"/>
  <c r="P390" i="4" s="1"/>
  <c r="L401" i="4"/>
  <c r="P401" i="4" s="1"/>
  <c r="P424" i="4"/>
  <c r="P536" i="4"/>
  <c r="P637" i="4"/>
  <c r="P684" i="4"/>
  <c r="P818" i="4"/>
  <c r="P828" i="4"/>
  <c r="P930" i="4"/>
  <c r="P385" i="4"/>
  <c r="P100" i="4"/>
  <c r="P967" i="4"/>
  <c r="P78" i="4"/>
  <c r="P25" i="4"/>
  <c r="P90" i="4"/>
  <c r="P214" i="4"/>
  <c r="P241" i="4"/>
  <c r="L257" i="4"/>
  <c r="P257" i="4" s="1"/>
  <c r="P347" i="4"/>
  <c r="P602" i="4"/>
  <c r="P679" i="4"/>
  <c r="P721" i="4"/>
  <c r="P813" i="4"/>
  <c r="P865" i="4"/>
  <c r="P889" i="4"/>
  <c r="P949" i="4"/>
  <c r="P955" i="4"/>
  <c r="P973" i="4"/>
  <c r="P32" i="4"/>
  <c r="P52" i="4"/>
  <c r="L92" i="4"/>
  <c r="P92" i="4" s="1"/>
  <c r="P103" i="4"/>
  <c r="L697" i="4"/>
  <c r="P697" i="4" s="1"/>
  <c r="P140" i="4"/>
  <c r="P24" i="4"/>
  <c r="L28" i="4"/>
  <c r="P28" i="4" s="1"/>
  <c r="L119" i="4"/>
  <c r="P119" i="4" s="1"/>
  <c r="L124" i="4"/>
  <c r="P124" i="4" s="1"/>
  <c r="L38" i="4"/>
  <c r="P38" i="4" s="1"/>
  <c r="P48" i="4"/>
  <c r="L533" i="4"/>
  <c r="P533" i="4" s="1"/>
  <c r="P229" i="4"/>
  <c r="L552" i="4"/>
  <c r="P552" i="4" s="1"/>
  <c r="P94" i="4"/>
  <c r="P115" i="4"/>
  <c r="P700" i="4"/>
  <c r="P135" i="4"/>
  <c r="L44" i="4"/>
  <c r="P44" i="4" s="1"/>
  <c r="L440" i="4"/>
  <c r="P440" i="4" s="1"/>
  <c r="L953" i="4"/>
  <c r="P953" i="4" s="1"/>
  <c r="L318" i="4"/>
  <c r="P318" i="4" s="1"/>
  <c r="P11" i="4"/>
  <c r="L166" i="4"/>
  <c r="P166" i="4" s="1"/>
  <c r="L225" i="4"/>
  <c r="P225" i="4" s="1"/>
  <c r="P23" i="4"/>
  <c r="L40" i="4"/>
  <c r="P40" i="4" s="1"/>
  <c r="L702" i="4"/>
  <c r="P702" i="4" s="1"/>
  <c r="L22" i="4"/>
  <c r="P22" i="4" s="1"/>
  <c r="L71" i="4"/>
  <c r="P71" i="4" s="1"/>
  <c r="L76" i="4"/>
  <c r="P76" i="4" s="1"/>
  <c r="L583" i="4"/>
  <c r="P583" i="4" s="1"/>
  <c r="P8" i="4"/>
  <c r="P56" i="4"/>
  <c r="P87" i="4"/>
  <c r="P108" i="4"/>
  <c r="P191" i="4"/>
  <c r="L895" i="4"/>
  <c r="P895" i="4" s="1"/>
  <c r="L919" i="4"/>
  <c r="P919" i="4" s="1"/>
  <c r="P88" i="4"/>
  <c r="P147" i="4"/>
  <c r="P190" i="4"/>
  <c r="P242" i="4"/>
  <c r="P280" i="4"/>
  <c r="L304" i="4"/>
  <c r="P304" i="4" s="1"/>
  <c r="P326" i="4"/>
  <c r="P341" i="4"/>
  <c r="P421" i="4"/>
  <c r="L496" i="4"/>
  <c r="P496" i="4" s="1"/>
  <c r="L528" i="4"/>
  <c r="P528" i="4" s="1"/>
  <c r="P547" i="4"/>
  <c r="P621" i="4"/>
  <c r="P663" i="4"/>
  <c r="P692" i="4"/>
  <c r="P772" i="4"/>
  <c r="P781" i="4"/>
  <c r="L791" i="4"/>
  <c r="P791" i="4" s="1"/>
  <c r="P852" i="4"/>
  <c r="P867" i="4"/>
  <c r="P871" i="4"/>
  <c r="L876" i="4"/>
  <c r="P876" i="4" s="1"/>
  <c r="P885" i="4"/>
  <c r="P327" i="4"/>
  <c r="P900" i="4"/>
  <c r="P132" i="4"/>
  <c r="P172" i="4"/>
  <c r="P177" i="4"/>
  <c r="P182" i="4"/>
  <c r="L337" i="4"/>
  <c r="P337" i="4" s="1"/>
  <c r="L342" i="4"/>
  <c r="P342" i="4" s="1"/>
  <c r="L417" i="4"/>
  <c r="P417" i="4" s="1"/>
  <c r="P445" i="4"/>
  <c r="L565" i="4"/>
  <c r="P565" i="4" s="1"/>
  <c r="P579" i="4"/>
  <c r="L593" i="4"/>
  <c r="P593" i="4" s="1"/>
  <c r="L641" i="4"/>
  <c r="P641" i="4" s="1"/>
  <c r="P660" i="4"/>
  <c r="L740" i="4"/>
  <c r="P740" i="4" s="1"/>
  <c r="L777" i="4"/>
  <c r="P777" i="4" s="1"/>
  <c r="L787" i="4"/>
  <c r="P787" i="4" s="1"/>
  <c r="L807" i="4"/>
  <c r="P807" i="4" s="1"/>
  <c r="L829" i="4"/>
  <c r="P829" i="4" s="1"/>
  <c r="P868" i="4"/>
  <c r="P939" i="4"/>
  <c r="P944" i="4"/>
  <c r="P506" i="4"/>
  <c r="L207" i="4"/>
  <c r="P207" i="4" s="1"/>
  <c r="L305" i="4"/>
  <c r="P305" i="4" s="1"/>
  <c r="P319" i="4"/>
  <c r="L328" i="4"/>
  <c r="P328" i="4" s="1"/>
  <c r="L389" i="4"/>
  <c r="P389" i="4" s="1"/>
  <c r="L432" i="4"/>
  <c r="P432" i="4" s="1"/>
  <c r="L745" i="4"/>
  <c r="P745" i="4" s="1"/>
  <c r="L792" i="4"/>
  <c r="P792" i="4" s="1"/>
  <c r="L877" i="4"/>
  <c r="P877" i="4" s="1"/>
  <c r="P881" i="4"/>
  <c r="L915" i="4"/>
  <c r="P915" i="4" s="1"/>
  <c r="L924" i="4"/>
  <c r="P924" i="4" s="1"/>
  <c r="P113" i="4"/>
  <c r="P197" i="4"/>
  <c r="P217" i="4"/>
  <c r="L273" i="4"/>
  <c r="P273" i="4" s="1"/>
  <c r="L296" i="4"/>
  <c r="P296" i="4" s="1"/>
  <c r="L334" i="4"/>
  <c r="P334" i="4" s="1"/>
  <c r="P371" i="4"/>
  <c r="L520" i="4"/>
  <c r="P520" i="4" s="1"/>
  <c r="L549" i="4"/>
  <c r="P549" i="4" s="1"/>
  <c r="P609" i="4"/>
  <c r="L665" i="4"/>
  <c r="P665" i="4" s="1"/>
  <c r="L670" i="4"/>
  <c r="P670" i="4" s="1"/>
  <c r="L707" i="4"/>
  <c r="P707" i="4" s="1"/>
  <c r="P822" i="4"/>
  <c r="L839" i="4"/>
  <c r="P839" i="4" s="1"/>
  <c r="L873" i="4"/>
  <c r="P873" i="4" s="1"/>
  <c r="L964" i="4"/>
  <c r="P964" i="4" s="1"/>
  <c r="P381" i="4"/>
  <c r="P437" i="4"/>
  <c r="P539" i="4"/>
  <c r="P675" i="4"/>
  <c r="P680" i="4"/>
  <c r="L712" i="4"/>
  <c r="P712" i="4" s="1"/>
  <c r="L760" i="4"/>
  <c r="P760" i="4" s="1"/>
  <c r="L788" i="4"/>
  <c r="P788" i="4" s="1"/>
  <c r="P835" i="4"/>
  <c r="L118" i="4"/>
  <c r="P118" i="4" s="1"/>
  <c r="P154" i="4"/>
  <c r="P159" i="4"/>
  <c r="P484" i="4"/>
  <c r="P589" i="4"/>
  <c r="P599" i="4"/>
  <c r="P742" i="4"/>
  <c r="P756" i="4"/>
  <c r="L808" i="4"/>
  <c r="P808" i="4" s="1"/>
  <c r="L835" i="4"/>
  <c r="P916" i="4"/>
  <c r="L940" i="4"/>
  <c r="P940" i="4" s="1"/>
  <c r="P984" i="4"/>
  <c r="P164" i="4"/>
  <c r="P227" i="4"/>
  <c r="P306" i="4"/>
  <c r="P405" i="4"/>
  <c r="P585" i="4"/>
  <c r="P590" i="4"/>
  <c r="P685" i="4"/>
  <c r="P708" i="4"/>
  <c r="P804" i="4"/>
  <c r="P931" i="4"/>
  <c r="L974" i="4"/>
  <c r="P974" i="4" s="1"/>
  <c r="P989" i="4"/>
  <c r="P91" i="4"/>
  <c r="P160" i="4"/>
  <c r="L198" i="4"/>
  <c r="P198" i="4" s="1"/>
  <c r="P232" i="4"/>
  <c r="P249" i="4"/>
  <c r="P284" i="4"/>
  <c r="P325" i="4"/>
  <c r="P363" i="4"/>
  <c r="P410" i="4"/>
  <c r="P442" i="4"/>
  <c r="L504" i="4"/>
  <c r="P504" i="4" s="1"/>
  <c r="P517" i="4"/>
  <c r="L563" i="4"/>
  <c r="P563" i="4" s="1"/>
  <c r="P625" i="4"/>
  <c r="P643" i="4"/>
  <c r="P676" i="4"/>
  <c r="L700" i="4"/>
  <c r="L713" i="4"/>
  <c r="P713" i="4" s="1"/>
  <c r="P723" i="4"/>
  <c r="L823" i="4"/>
  <c r="P823" i="4" s="1"/>
  <c r="L836" i="4"/>
  <c r="P836" i="4" s="1"/>
  <c r="L860" i="4"/>
  <c r="P860" i="4" s="1"/>
  <c r="P897" i="4"/>
  <c r="P966" i="4"/>
  <c r="P316" i="4"/>
  <c r="P634" i="4"/>
  <c r="P672" i="4"/>
  <c r="P691" i="4"/>
  <c r="P771" i="4"/>
  <c r="P790" i="4"/>
  <c r="P805" i="4"/>
  <c r="P819" i="4"/>
  <c r="P947" i="4"/>
  <c r="L373" i="4"/>
  <c r="P373" i="4" s="1"/>
  <c r="P559" i="4"/>
  <c r="P596" i="4"/>
  <c r="P151" i="4"/>
  <c r="P165" i="4"/>
  <c r="L194" i="4"/>
  <c r="P194" i="4" s="1"/>
  <c r="P224" i="4"/>
  <c r="P260" i="4"/>
  <c r="P364" i="4"/>
  <c r="P591" i="4"/>
  <c r="L596" i="4"/>
  <c r="P654" i="4"/>
  <c r="P739" i="4"/>
  <c r="P758" i="4"/>
  <c r="P776" i="4"/>
  <c r="L884" i="4"/>
  <c r="P884" i="4" s="1"/>
  <c r="P899" i="4"/>
  <c r="P904" i="4"/>
  <c r="L932" i="4"/>
  <c r="P932" i="4" s="1"/>
  <c r="P937" i="4"/>
  <c r="P961" i="4"/>
  <c r="P720" i="4"/>
  <c r="P724" i="4"/>
  <c r="P820" i="4"/>
  <c r="P986" i="4"/>
  <c r="P34" i="4"/>
  <c r="P50" i="4"/>
  <c r="P66" i="4"/>
  <c r="P130" i="4"/>
  <c r="P146" i="4"/>
  <c r="P169" i="4"/>
  <c r="L308" i="4"/>
  <c r="P308" i="4" s="1"/>
  <c r="L982" i="4"/>
  <c r="P982" i="4" s="1"/>
  <c r="L211" i="4"/>
  <c r="P211" i="4" s="1"/>
  <c r="L244" i="4"/>
  <c r="P244" i="4" s="1"/>
  <c r="L253" i="4"/>
  <c r="P253" i="4" s="1"/>
  <c r="L388" i="4"/>
  <c r="P388" i="4" s="1"/>
  <c r="L3" i="4"/>
  <c r="P3" i="4" s="1"/>
  <c r="L19" i="4"/>
  <c r="P19" i="4" s="1"/>
  <c r="L35" i="4"/>
  <c r="P35" i="4" s="1"/>
  <c r="L83" i="4"/>
  <c r="P83" i="4" s="1"/>
  <c r="L131" i="4"/>
  <c r="P131" i="4" s="1"/>
  <c r="L170" i="4"/>
  <c r="P170" i="4" s="1"/>
  <c r="L181" i="4"/>
  <c r="P181" i="4" s="1"/>
  <c r="L188" i="4"/>
  <c r="P188" i="4" s="1"/>
  <c r="L196" i="4"/>
  <c r="P196" i="4" s="1"/>
  <c r="P220" i="4"/>
  <c r="L236" i="4"/>
  <c r="P236" i="4" s="1"/>
  <c r="L16" i="4"/>
  <c r="P16" i="4" s="1"/>
  <c r="L64" i="4"/>
  <c r="P64" i="4" s="1"/>
  <c r="L80" i="4"/>
  <c r="P80" i="4" s="1"/>
  <c r="L96" i="4"/>
  <c r="P96" i="4" s="1"/>
  <c r="L112" i="4"/>
  <c r="P112" i="4" s="1"/>
  <c r="L144" i="4"/>
  <c r="P144" i="4" s="1"/>
  <c r="L268" i="4"/>
  <c r="P268" i="4" s="1"/>
  <c r="L356" i="4"/>
  <c r="P356" i="4" s="1"/>
  <c r="L436" i="4"/>
  <c r="P436" i="4" s="1"/>
  <c r="L468" i="4"/>
  <c r="P468" i="4" s="1"/>
  <c r="L669" i="4"/>
  <c r="P669" i="4" s="1"/>
  <c r="L125" i="4"/>
  <c r="P125" i="4" s="1"/>
  <c r="L141" i="4"/>
  <c r="P141" i="4" s="1"/>
  <c r="L157" i="4"/>
  <c r="P157" i="4" s="1"/>
  <c r="L167" i="4"/>
  <c r="P167" i="4" s="1"/>
  <c r="L174" i="4"/>
  <c r="P174" i="4" s="1"/>
  <c r="L185" i="4"/>
  <c r="P185" i="4" s="1"/>
  <c r="L204" i="4"/>
  <c r="P204" i="4" s="1"/>
  <c r="L212" i="4"/>
  <c r="P212" i="4" s="1"/>
  <c r="L258" i="4"/>
  <c r="P258" i="4" s="1"/>
  <c r="L10" i="4"/>
  <c r="P10" i="4" s="1"/>
  <c r="L26" i="4"/>
  <c r="P26" i="4" s="1"/>
  <c r="L58" i="4"/>
  <c r="P58" i="4" s="1"/>
  <c r="L74" i="4"/>
  <c r="P74" i="4" s="1"/>
  <c r="L106" i="4"/>
  <c r="P106" i="4" s="1"/>
  <c r="L122" i="4"/>
  <c r="P122" i="4" s="1"/>
  <c r="L138" i="4"/>
  <c r="P138" i="4" s="1"/>
  <c r="P189" i="4"/>
  <c r="P237" i="4"/>
  <c r="L269" i="4"/>
  <c r="P269" i="4" s="1"/>
  <c r="L656" i="4"/>
  <c r="P656" i="4" s="1"/>
  <c r="L7" i="4"/>
  <c r="P7" i="4" s="1"/>
  <c r="L39" i="4"/>
  <c r="P39" i="4" s="1"/>
  <c r="L55" i="4"/>
  <c r="P55" i="4" s="1"/>
  <c r="P221" i="4"/>
  <c r="L292" i="4"/>
  <c r="P292" i="4" s="1"/>
  <c r="L404" i="4"/>
  <c r="P404" i="4" s="1"/>
  <c r="L902" i="4"/>
  <c r="P902" i="4" s="1"/>
  <c r="L324" i="4"/>
  <c r="P324" i="4" s="1"/>
  <c r="L516" i="4"/>
  <c r="P516" i="4" s="1"/>
  <c r="L17" i="4"/>
  <c r="P17" i="4" s="1"/>
  <c r="L33" i="4"/>
  <c r="P33" i="4" s="1"/>
  <c r="L49" i="4"/>
  <c r="P49" i="4" s="1"/>
  <c r="L65" i="4"/>
  <c r="P65" i="4" s="1"/>
  <c r="L81" i="4"/>
  <c r="P81" i="4" s="1"/>
  <c r="L97" i="4"/>
  <c r="P97" i="4" s="1"/>
  <c r="L129" i="4"/>
  <c r="P129" i="4" s="1"/>
  <c r="L145" i="4"/>
  <c r="P145" i="4" s="1"/>
  <c r="L175" i="4"/>
  <c r="P175" i="4" s="1"/>
  <c r="L205" i="4"/>
  <c r="P205" i="4" s="1"/>
  <c r="L213" i="4"/>
  <c r="P213" i="4" s="1"/>
  <c r="L274" i="4"/>
  <c r="P274" i="4" s="1"/>
  <c r="P171" i="4"/>
  <c r="L250" i="4"/>
  <c r="P250" i="4"/>
  <c r="L372" i="4"/>
  <c r="P372" i="4" s="1"/>
  <c r="L72" i="4"/>
  <c r="P72" i="4" s="1"/>
  <c r="L104" i="4"/>
  <c r="P104" i="4" s="1"/>
  <c r="L120" i="4"/>
  <c r="P120" i="4" s="1"/>
  <c r="L136" i="4"/>
  <c r="P136" i="4" s="1"/>
  <c r="L152" i="4"/>
  <c r="P152" i="4" s="1"/>
  <c r="L179" i="4"/>
  <c r="P179" i="4" s="1"/>
  <c r="L234" i="4"/>
  <c r="P234" i="4" s="1"/>
  <c r="L5" i="4"/>
  <c r="P5" i="4" s="1"/>
  <c r="L21" i="4"/>
  <c r="P21" i="4" s="1"/>
  <c r="L37" i="4"/>
  <c r="P37" i="4" s="1"/>
  <c r="L53" i="4"/>
  <c r="P53" i="4" s="1"/>
  <c r="L69" i="4"/>
  <c r="P69" i="4" s="1"/>
  <c r="L85" i="4"/>
  <c r="P85" i="4" s="1"/>
  <c r="L101" i="4"/>
  <c r="P101" i="4" s="1"/>
  <c r="L117" i="4"/>
  <c r="P117" i="4" s="1"/>
  <c r="L133" i="4"/>
  <c r="P133" i="4" s="1"/>
  <c r="L149" i="4"/>
  <c r="P149" i="4" s="1"/>
  <c r="L162" i="4"/>
  <c r="P162" i="4" s="1"/>
  <c r="L218" i="4"/>
  <c r="P218" i="4" s="1"/>
  <c r="P340" i="4"/>
  <c r="L340" i="4"/>
  <c r="P420" i="4"/>
  <c r="L420" i="4"/>
  <c r="P230" i="4"/>
  <c r="L452" i="4"/>
  <c r="P452" i="4" s="1"/>
  <c r="L500" i="4"/>
  <c r="P500" i="4" s="1"/>
  <c r="L532" i="4"/>
  <c r="P532" i="4" s="1"/>
  <c r="L542" i="4"/>
  <c r="P542" i="4" s="1"/>
  <c r="L180" i="4"/>
  <c r="P180" i="4" s="1"/>
  <c r="P202" i="4"/>
  <c r="P226" i="4"/>
  <c r="L252" i="4"/>
  <c r="P252" i="4" s="1"/>
  <c r="L195" i="4"/>
  <c r="P195" i="4" s="1"/>
  <c r="L276" i="4"/>
  <c r="P276" i="4" s="1"/>
  <c r="P285" i="4"/>
  <c r="P301" i="4"/>
  <c r="P317" i="4"/>
  <c r="P333" i="4"/>
  <c r="P349" i="4"/>
  <c r="P365" i="4"/>
  <c r="P397" i="4"/>
  <c r="P413" i="4"/>
  <c r="P429" i="4"/>
  <c r="P461" i="4"/>
  <c r="P493" i="4"/>
  <c r="P525" i="4"/>
  <c r="P538" i="4"/>
  <c r="P638" i="4"/>
  <c r="L725" i="4"/>
  <c r="P725" i="4" s="1"/>
  <c r="P744" i="4"/>
  <c r="P800" i="4"/>
  <c r="P266" i="4"/>
  <c r="P282" i="4"/>
  <c r="P314" i="4"/>
  <c r="P330" i="4"/>
  <c r="P346" i="4"/>
  <c r="P362" i="4"/>
  <c r="P378" i="4"/>
  <c r="P394" i="4"/>
  <c r="P426" i="4"/>
  <c r="P458" i="4"/>
  <c r="P474" i="4"/>
  <c r="P490" i="4"/>
  <c r="P522" i="4"/>
  <c r="P535" i="4"/>
  <c r="P545" i="4"/>
  <c r="P577" i="4"/>
  <c r="L629" i="4"/>
  <c r="P629" i="4" s="1"/>
  <c r="L693" i="4"/>
  <c r="P693" i="4" s="1"/>
  <c r="L795" i="4"/>
  <c r="P795" i="4" s="1"/>
  <c r="L827" i="4"/>
  <c r="P827" i="4" s="1"/>
  <c r="P840" i="4"/>
  <c r="L870" i="4"/>
  <c r="P870" i="4" s="1"/>
  <c r="P920" i="4"/>
  <c r="L567" i="4"/>
  <c r="P567" i="4" s="1"/>
  <c r="L601" i="4"/>
  <c r="P601" i="4" s="1"/>
  <c r="L749" i="4"/>
  <c r="P749" i="4" s="1"/>
  <c r="L763" i="4"/>
  <c r="P763" i="4" s="1"/>
  <c r="P968" i="4"/>
  <c r="L251" i="4"/>
  <c r="P251" i="4" s="1"/>
  <c r="L267" i="4"/>
  <c r="P267" i="4" s="1"/>
  <c r="L283" i="4"/>
  <c r="P283" i="4" s="1"/>
  <c r="L299" i="4"/>
  <c r="P299" i="4" s="1"/>
  <c r="L315" i="4"/>
  <c r="P315" i="4" s="1"/>
  <c r="L331" i="4"/>
  <c r="P331" i="4" s="1"/>
  <c r="L379" i="4"/>
  <c r="P379" i="4" s="1"/>
  <c r="L395" i="4"/>
  <c r="P395" i="4" s="1"/>
  <c r="L411" i="4"/>
  <c r="P411" i="4" s="1"/>
  <c r="L443" i="4"/>
  <c r="P443" i="4" s="1"/>
  <c r="L459" i="4"/>
  <c r="P459" i="4" s="1"/>
  <c r="L475" i="4"/>
  <c r="P475" i="4" s="1"/>
  <c r="L491" i="4"/>
  <c r="P491" i="4" s="1"/>
  <c r="L507" i="4"/>
  <c r="P507" i="4" s="1"/>
  <c r="L523" i="4"/>
  <c r="P523" i="4" s="1"/>
  <c r="L546" i="4"/>
  <c r="P546" i="4" s="1"/>
  <c r="L582" i="4"/>
  <c r="P582" i="4" s="1"/>
  <c r="L630" i="4"/>
  <c r="P630" i="4" s="1"/>
  <c r="L726" i="4"/>
  <c r="P726" i="4" s="1"/>
  <c r="P736" i="4"/>
  <c r="P768" i="4"/>
  <c r="P888" i="4"/>
  <c r="L571" i="4"/>
  <c r="P571" i="4" s="1"/>
  <c r="L731" i="4"/>
  <c r="P731" i="4" s="1"/>
  <c r="L950" i="4"/>
  <c r="P950" i="4" s="1"/>
  <c r="L469" i="4"/>
  <c r="P469" i="4" s="1"/>
  <c r="L485" i="4"/>
  <c r="P485" i="4" s="1"/>
  <c r="L501" i="4"/>
  <c r="P501" i="4" s="1"/>
  <c r="L553" i="4"/>
  <c r="P553" i="4" s="1"/>
  <c r="P564" i="4"/>
  <c r="L635" i="4"/>
  <c r="P635" i="4" s="1"/>
  <c r="L699" i="4"/>
  <c r="P699" i="4" s="1"/>
  <c r="L741" i="4"/>
  <c r="P741" i="4" s="1"/>
  <c r="L806" i="4"/>
  <c r="P806" i="4" s="1"/>
  <c r="P841" i="4"/>
  <c r="P921" i="4"/>
  <c r="L322" i="4"/>
  <c r="P322" i="4" s="1"/>
  <c r="L338" i="4"/>
  <c r="P338" i="4" s="1"/>
  <c r="L370" i="4"/>
  <c r="P370" i="4" s="1"/>
  <c r="L386" i="4"/>
  <c r="P386" i="4" s="1"/>
  <c r="L402" i="4"/>
  <c r="P402" i="4" s="1"/>
  <c r="L418" i="4"/>
  <c r="P418" i="4" s="1"/>
  <c r="L434" i="4"/>
  <c r="P434" i="4" s="1"/>
  <c r="L450" i="4"/>
  <c r="P450" i="4" s="1"/>
  <c r="L466" i="4"/>
  <c r="P466" i="4" s="1"/>
  <c r="L482" i="4"/>
  <c r="P482" i="4" s="1"/>
  <c r="L498" i="4"/>
  <c r="P498" i="4" s="1"/>
  <c r="L530" i="4"/>
  <c r="P530" i="4" s="1"/>
  <c r="L540" i="4"/>
  <c r="P540" i="4" s="1"/>
  <c r="L550" i="4"/>
  <c r="P550" i="4" s="1"/>
  <c r="L564" i="4"/>
  <c r="L598" i="4"/>
  <c r="P598" i="4" s="1"/>
  <c r="L606" i="4"/>
  <c r="P606" i="4" s="1"/>
  <c r="L614" i="4"/>
  <c r="P614" i="4" s="1"/>
  <c r="L653" i="4"/>
  <c r="P653" i="4" s="1"/>
  <c r="L662" i="4"/>
  <c r="P662" i="4" s="1"/>
  <c r="P704" i="4"/>
  <c r="L717" i="4"/>
  <c r="P717" i="4" s="1"/>
  <c r="L773" i="4"/>
  <c r="P773" i="4" s="1"/>
  <c r="L811" i="4"/>
  <c r="P811" i="4" s="1"/>
  <c r="P824" i="4"/>
  <c r="P856" i="4"/>
  <c r="L917" i="4"/>
  <c r="P917" i="4" s="1"/>
  <c r="P936" i="4"/>
  <c r="P960" i="4"/>
  <c r="L965" i="4"/>
  <c r="P965" i="4" s="1"/>
  <c r="P969" i="4"/>
  <c r="L667" i="4"/>
  <c r="P667" i="4" s="1"/>
  <c r="L300" i="4"/>
  <c r="P300" i="4" s="1"/>
  <c r="L332" i="4"/>
  <c r="P332" i="4" s="1"/>
  <c r="L348" i="4"/>
  <c r="P348" i="4" s="1"/>
  <c r="L380" i="4"/>
  <c r="P380" i="4" s="1"/>
  <c r="L396" i="4"/>
  <c r="P396" i="4" s="1"/>
  <c r="L412" i="4"/>
  <c r="P412" i="4" s="1"/>
  <c r="L428" i="4"/>
  <c r="P428" i="4" s="1"/>
  <c r="L444" i="4"/>
  <c r="P444" i="4" s="1"/>
  <c r="L460" i="4"/>
  <c r="P460" i="4" s="1"/>
  <c r="L476" i="4"/>
  <c r="P476" i="4" s="1"/>
  <c r="L508" i="4"/>
  <c r="P508" i="4" s="1"/>
  <c r="L524" i="4"/>
  <c r="P524" i="4" s="1"/>
  <c r="L537" i="4"/>
  <c r="P537" i="4" s="1"/>
  <c r="L640" i="4"/>
  <c r="P640" i="4" s="1"/>
  <c r="L587" i="4"/>
  <c r="P587" i="4" s="1"/>
  <c r="L603" i="4"/>
  <c r="P603" i="4" s="1"/>
  <c r="P610" i="4"/>
  <c r="P627" i="4"/>
  <c r="P686" i="4"/>
  <c r="L797" i="4"/>
  <c r="P797" i="4" s="1"/>
  <c r="P872" i="4"/>
  <c r="P580" i="4"/>
  <c r="L619" i="4"/>
  <c r="P619" i="4" s="1"/>
  <c r="L709" i="4"/>
  <c r="P709" i="4" s="1"/>
  <c r="P728" i="4"/>
  <c r="L747" i="4"/>
  <c r="P747" i="4" s="1"/>
  <c r="L765" i="4"/>
  <c r="P765" i="4" s="1"/>
  <c r="P825" i="4"/>
  <c r="L843" i="4"/>
  <c r="P843" i="4" s="1"/>
  <c r="P857" i="4"/>
  <c r="L259" i="4"/>
  <c r="P259" i="4" s="1"/>
  <c r="L291" i="4"/>
  <c r="P291" i="4" s="1"/>
  <c r="L323" i="4"/>
  <c r="P323" i="4" s="1"/>
  <c r="L339" i="4"/>
  <c r="P339" i="4" s="1"/>
  <c r="L387" i="4"/>
  <c r="P387" i="4" s="1"/>
  <c r="L403" i="4"/>
  <c r="P403" i="4" s="1"/>
  <c r="L419" i="4"/>
  <c r="P419" i="4" s="1"/>
  <c r="L435" i="4"/>
  <c r="P435" i="4" s="1"/>
  <c r="L451" i="4"/>
  <c r="P451" i="4" s="1"/>
  <c r="L467" i="4"/>
  <c r="P467" i="4" s="1"/>
  <c r="L483" i="4"/>
  <c r="P483" i="4" s="1"/>
  <c r="L499" i="4"/>
  <c r="P499" i="4" s="1"/>
  <c r="L515" i="4"/>
  <c r="P515" i="4" s="1"/>
  <c r="L531" i="4"/>
  <c r="P531" i="4" s="1"/>
  <c r="L541" i="4"/>
  <c r="P541" i="4" s="1"/>
  <c r="L611" i="4"/>
  <c r="P611" i="4" s="1"/>
  <c r="L645" i="4"/>
  <c r="P645" i="4" s="1"/>
  <c r="P659" i="4"/>
  <c r="L677" i="4"/>
  <c r="P677" i="4" s="1"/>
  <c r="P696" i="4"/>
  <c r="P752" i="4"/>
  <c r="L779" i="4"/>
  <c r="P779" i="4" s="1"/>
  <c r="P784" i="4"/>
  <c r="L853" i="4"/>
  <c r="P853" i="4" s="1"/>
  <c r="L886" i="4"/>
  <c r="P886" i="4" s="1"/>
  <c r="P905" i="4"/>
  <c r="P952" i="4"/>
  <c r="P985" i="4"/>
  <c r="L733" i="4"/>
  <c r="P733" i="4" s="1"/>
  <c r="L789" i="4"/>
  <c r="P789" i="4" s="1"/>
  <c r="L933" i="4"/>
  <c r="P933" i="4" s="1"/>
  <c r="L981" i="4"/>
  <c r="P981" i="4" s="1"/>
  <c r="L548" i="4"/>
  <c r="P548" i="4" s="1"/>
  <c r="L646" i="4"/>
  <c r="P646" i="4" s="1"/>
  <c r="L701" i="4"/>
  <c r="P701" i="4" s="1"/>
  <c r="L757" i="4"/>
  <c r="P757" i="4" s="1"/>
  <c r="P896" i="4"/>
  <c r="L901" i="4"/>
  <c r="P901" i="4" s="1"/>
  <c r="L566" i="4"/>
  <c r="P566" i="4" s="1"/>
  <c r="P608" i="4"/>
  <c r="P612" i="4"/>
  <c r="L624" i="4"/>
  <c r="P624" i="4" s="1"/>
  <c r="L651" i="4"/>
  <c r="P651" i="4" s="1"/>
  <c r="L678" i="4"/>
  <c r="P678" i="4" s="1"/>
  <c r="L683" i="4"/>
  <c r="P683" i="4" s="1"/>
  <c r="P688" i="4"/>
  <c r="L715" i="4"/>
  <c r="P715" i="4" s="1"/>
  <c r="L854" i="4"/>
  <c r="P854" i="4" s="1"/>
  <c r="P864" i="4"/>
  <c r="L869" i="4"/>
  <c r="P869" i="4" s="1"/>
  <c r="L934" i="4"/>
  <c r="P934" i="4" s="1"/>
  <c r="L816" i="4"/>
  <c r="P816" i="4" s="1"/>
  <c r="L832" i="4"/>
  <c r="P832" i="4" s="1"/>
  <c r="L848" i="4"/>
  <c r="P848" i="4" s="1"/>
  <c r="L864" i="4"/>
  <c r="L880" i="4"/>
  <c r="P880" i="4" s="1"/>
  <c r="L896" i="4"/>
  <c r="L912" i="4"/>
  <c r="P912" i="4" s="1"/>
  <c r="L928" i="4"/>
  <c r="P928" i="4" s="1"/>
  <c r="L960" i="4"/>
  <c r="P963" i="4"/>
  <c r="P979" i="4"/>
  <c r="L990" i="4"/>
  <c r="P990" i="4" s="1"/>
  <c r="L859" i="4"/>
  <c r="P859" i="4" s="1"/>
  <c r="L875" i="4"/>
  <c r="P875" i="4" s="1"/>
  <c r="L891" i="4"/>
  <c r="P891" i="4" s="1"/>
  <c r="L907" i="4"/>
  <c r="P907" i="4" s="1"/>
  <c r="L923" i="4"/>
  <c r="P923" i="4" s="1"/>
  <c r="L971" i="4"/>
  <c r="P971" i="4" s="1"/>
  <c r="L987" i="4"/>
  <c r="P987" i="4" s="1"/>
  <c r="L991" i="4"/>
  <c r="P991" i="4" s="1"/>
  <c r="P992" i="4" l="1"/>
</calcChain>
</file>

<file path=xl/sharedStrings.xml><?xml version="1.0" encoding="utf-8"?>
<sst xmlns="http://schemas.openxmlformats.org/spreadsheetml/2006/main" count="11838" uniqueCount="391">
  <si>
    <t>Participant_ID</t>
  </si>
  <si>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מודלים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</si>
  <si>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A</t>
    </r>
  </si>
  <si>
    <r>
      <rPr>
        <b/>
        <sz val="11"/>
        <color theme="1"/>
        <rFont val="DejaVu Sans"/>
        <family val="2"/>
      </rPr>
      <t xml:space="preserve">מודל </t>
    </r>
    <r>
      <rPr>
        <b/>
        <sz val="11"/>
        <color theme="1"/>
        <rFont val="Calibri"/>
        <charset val="1"/>
      </rPr>
      <t>B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</si>
  <si>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</si>
  <si>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</si>
  <si>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</si>
  <si>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</si>
  <si>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</si>
  <si>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</si>
  <si>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</si>
  <si>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</si>
  <si>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</si>
  <si>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</si>
  <si>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_R6_Scenario_ID</t>
    </r>
  </si>
  <si>
    <r>
      <rPr>
        <b/>
        <sz val="11"/>
        <color theme="1"/>
        <rFont val="DejaVu Sans"/>
        <family val="2"/>
      </rPr>
      <t>תרגול</t>
    </r>
    <r>
      <rPr>
        <b/>
        <sz val="11"/>
        <color theme="1"/>
        <rFont val="Calibri"/>
        <charset val="1"/>
      </rPr>
      <t>_R6_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</si>
  <si>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</si>
  <si>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</si>
  <si>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</si>
  <si>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</si>
  <si>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</si>
  <si>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</si>
  <si>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</si>
  <si>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</si>
  <si>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</si>
  <si>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</si>
  <si>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</si>
  <si>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</si>
  <si>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</si>
  <si>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</si>
  <si>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</si>
  <si>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</si>
  <si>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</si>
  <si>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</si>
  <si>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</si>
  <si>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</si>
  <si>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</si>
  <si>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</si>
  <si>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</si>
  <si>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</si>
  <si>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</si>
  <si>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</si>
  <si>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</si>
  <si>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</si>
  <si>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</si>
  <si>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</si>
  <si>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</si>
  <si>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</si>
  <si>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</si>
  <si>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</si>
  <si>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_1_VIS3_R5_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</si>
  <si>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סוג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מודל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</si>
  <si>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</t>
    </r>
    <r>
      <rPr>
        <b/>
        <sz val="11"/>
        <color theme="1"/>
        <rFont val="DejaVu Sans"/>
        <family val="2"/>
      </rPr>
      <t>סדר</t>
    </r>
    <r>
      <rPr>
        <b/>
        <sz val="11"/>
        <color theme="1"/>
        <rFont val="Calibri"/>
        <charset val="1"/>
      </rPr>
      <t>_</t>
    </r>
    <r>
      <rPr>
        <b/>
        <sz val="11"/>
        <color theme="1"/>
        <rFont val="DejaVu Sans"/>
        <family val="2"/>
      </rPr>
      <t>ויזואליזציות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</si>
  <si>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</si>
  <si>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</si>
  <si>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</si>
  <si>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</si>
  <si>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</si>
  <si>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</si>
  <si>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</si>
  <si>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</si>
  <si>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</si>
  <si>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</si>
  <si>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_2_VIS1_R5_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</si>
  <si>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</si>
  <si>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</si>
  <si>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</si>
  <si>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</si>
  <si>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</si>
  <si>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</si>
  <si>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</si>
  <si>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</si>
  <si>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</si>
  <si>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</si>
  <si>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_2_VIS2_R5_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</si>
  <si>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</t>
    </r>
    <r>
      <rPr>
        <b/>
        <sz val="11"/>
        <color theme="1"/>
        <rFont val="DejaVu Sans"/>
        <family val="2"/>
      </rPr>
      <t>ויזואליזציה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</si>
  <si>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</si>
  <si>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_2_VIS3_R1_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</si>
  <si>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</si>
  <si>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_2_VIS3_R2_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</si>
  <si>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</si>
  <si>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_2_VIS3_R3_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</si>
  <si>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</si>
  <si>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_2_VIS3_R4_</t>
    </r>
    <r>
      <rPr>
        <b/>
        <sz val="11"/>
        <color theme="1"/>
        <rFont val="DejaVu Sans"/>
        <family val="2"/>
      </rPr>
      <t>קושי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</si>
  <si>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_2_VIS3_R5_Scenario_ID</t>
    </r>
  </si>
  <si>
    <r>
      <rPr>
        <b/>
        <sz val="11"/>
        <color theme="1"/>
        <rFont val="DejaVu Sans"/>
        <family val="2"/>
      </rPr>
      <t>מודל</t>
    </r>
    <r>
      <rPr>
        <b/>
        <sz val="11"/>
        <color theme="1"/>
        <rFont val="Calibri"/>
        <charset val="1"/>
      </rPr>
      <t>_2_VIS3_R5_</t>
    </r>
    <r>
      <rPr>
        <b/>
        <sz val="11"/>
        <color theme="1"/>
        <rFont val="DejaVu Sans"/>
        <family val="2"/>
      </rPr>
      <t>קושי</t>
    </r>
  </si>
  <si>
    <t>P001</t>
  </si>
  <si>
    <r>
      <rPr>
        <sz val="11"/>
        <color theme="1"/>
        <rFont val="DejaVu Sans"/>
        <family val="2"/>
      </rPr>
      <t>אופטימלי ← 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</t>
    </r>
  </si>
  <si>
    <t>עמודות נערמות ← רדאר ← מפת חום</t>
  </si>
  <si>
    <t>רדאר ← מפת חום ← עמודות נערמות</t>
  </si>
  <si>
    <t>SCN_001_S</t>
  </si>
  <si>
    <t>E</t>
  </si>
  <si>
    <t>SCN_031_S</t>
  </si>
  <si>
    <t>SCN_002_R</t>
  </si>
  <si>
    <t>SCN_032_R</t>
  </si>
  <si>
    <t>SCN_003_H</t>
  </si>
  <si>
    <t>SCN_033_H</t>
  </si>
  <si>
    <t>OPT</t>
  </si>
  <si>
    <t>עמודות נערמות</t>
  </si>
  <si>
    <t>SCN_028_S</t>
  </si>
  <si>
    <t>H</t>
  </si>
  <si>
    <t>SCN_030_S</t>
  </si>
  <si>
    <t>SCN_026_S</t>
  </si>
  <si>
    <t>SCN_027_S</t>
  </si>
  <si>
    <t>SCN_024_S</t>
  </si>
  <si>
    <t>רדאר</t>
  </si>
  <si>
    <t>SCN_014_R</t>
  </si>
  <si>
    <t>SCN_016_R</t>
  </si>
  <si>
    <t>SCN_017_R</t>
  </si>
  <si>
    <t>SCN_012_R</t>
  </si>
  <si>
    <t>SCN_025_R</t>
  </si>
  <si>
    <t>מפת חום</t>
  </si>
  <si>
    <t>SCN_007_H</t>
  </si>
  <si>
    <t>SCN_006_H</t>
  </si>
  <si>
    <t>SCN_004_H</t>
  </si>
  <si>
    <t>SCN_008_H</t>
  </si>
  <si>
    <t>SCN_009_H</t>
  </si>
  <si>
    <t>SUB</t>
  </si>
  <si>
    <t>SCN_015_R</t>
  </si>
  <si>
    <t>SCN_018_R</t>
  </si>
  <si>
    <t>SCN_019_R</t>
  </si>
  <si>
    <t>SCN_020_R</t>
  </si>
  <si>
    <t>SCN_005_H</t>
  </si>
  <si>
    <t>SCN_013_H</t>
  </si>
  <si>
    <t>SCN_011_H</t>
  </si>
  <si>
    <t>SCN_010_H</t>
  </si>
  <si>
    <t>SCN_023_S</t>
  </si>
  <si>
    <t>SCN_029_S</t>
  </si>
  <si>
    <t>SCN_021_S</t>
  </si>
  <si>
    <t>SCN_022_S</t>
  </si>
  <si>
    <t>P002</t>
  </si>
  <si>
    <r>
      <rPr>
        <sz val="11"/>
        <color theme="1"/>
        <rFont val="DejaVu Sans"/>
        <family val="2"/>
      </rPr>
      <t>תת</t>
    </r>
    <r>
      <rPr>
        <sz val="11"/>
        <color theme="1"/>
        <rFont val="Calibri"/>
        <charset val="1"/>
      </rPr>
      <t>-</t>
    </r>
    <r>
      <rPr>
        <sz val="11"/>
        <color theme="1"/>
        <rFont val="DejaVu Sans"/>
        <family val="2"/>
      </rPr>
      <t>אופטימלי ← אופטימלי</t>
    </r>
  </si>
  <si>
    <t>מפת חום ← עמודות נערמות ← רדאר</t>
  </si>
  <si>
    <t>P003</t>
  </si>
  <si>
    <t>P004</t>
  </si>
  <si>
    <t>P005</t>
  </si>
  <si>
    <t>P006</t>
  </si>
  <si>
    <t>P007</t>
  </si>
  <si>
    <t>P008</t>
  </si>
  <si>
    <t>P009</t>
  </si>
  <si>
    <t>P010</t>
  </si>
  <si>
    <t>P011</t>
  </si>
  <si>
    <t>SCN_024_R</t>
  </si>
  <si>
    <t>SCN_030_R</t>
  </si>
  <si>
    <t>SCN_026_R</t>
  </si>
  <si>
    <t>SCN_027_R</t>
  </si>
  <si>
    <t>SCN_028_R</t>
  </si>
  <si>
    <t>SCN_017_H</t>
  </si>
  <si>
    <t>SCN_016_H</t>
  </si>
  <si>
    <t>SCN_025_H</t>
  </si>
  <si>
    <t>SCN_012_H</t>
  </si>
  <si>
    <t>SCN_014_H</t>
  </si>
  <si>
    <t>SCN_009_S</t>
  </si>
  <si>
    <t>SCN_008_S</t>
  </si>
  <si>
    <t>SCN_004_S</t>
  </si>
  <si>
    <t>SCN_006_S</t>
  </si>
  <si>
    <t>SCN_007_S</t>
  </si>
  <si>
    <t>SCN_019_H</t>
  </si>
  <si>
    <t>SCN_020_H</t>
  </si>
  <si>
    <t>SCN_015_H</t>
  </si>
  <si>
    <t>SCN_018_H</t>
  </si>
  <si>
    <t>SCN_011_S</t>
  </si>
  <si>
    <t>SCN_010_S</t>
  </si>
  <si>
    <t>SCN_005_S</t>
  </si>
  <si>
    <t>SCN_013_S</t>
  </si>
  <si>
    <t>SCN_023_R</t>
  </si>
  <si>
    <t>SCN_029_R</t>
  </si>
  <si>
    <t>SCN_021_R</t>
  </si>
  <si>
    <t>SCN_022_R</t>
  </si>
  <si>
    <t>P012</t>
  </si>
  <si>
    <t>P013</t>
  </si>
  <si>
    <t>P014</t>
  </si>
  <si>
    <t>P015</t>
  </si>
  <si>
    <t>P016</t>
  </si>
  <si>
    <t>P017</t>
  </si>
  <si>
    <t>P018</t>
  </si>
  <si>
    <t>P019</t>
  </si>
  <si>
    <t>P020</t>
  </si>
  <si>
    <t>P021</t>
  </si>
  <si>
    <t>SCN_024_H</t>
  </si>
  <si>
    <t>SCN_030_H</t>
  </si>
  <si>
    <t>SCN_028_H</t>
  </si>
  <si>
    <t>SCN_027_H</t>
  </si>
  <si>
    <t>SCN_026_H</t>
  </si>
  <si>
    <t>SCN_025_S</t>
  </si>
  <si>
    <t>SCN_016_S</t>
  </si>
  <si>
    <t>SCN_014_S</t>
  </si>
  <si>
    <t>SCN_012_S</t>
  </si>
  <si>
    <t>SCN_017_S</t>
  </si>
  <si>
    <t>SCN_009_R</t>
  </si>
  <si>
    <t>SCN_006_R</t>
  </si>
  <si>
    <t>SCN_004_R</t>
  </si>
  <si>
    <t>SCN_008_R</t>
  </si>
  <si>
    <t>SCN_007_R</t>
  </si>
  <si>
    <t>SCN_015_S</t>
  </si>
  <si>
    <t>SCN_020_S</t>
  </si>
  <si>
    <t>SCN_019_S</t>
  </si>
  <si>
    <t>SCN_018_S</t>
  </si>
  <si>
    <t>SCN_011_R</t>
  </si>
  <si>
    <t>SCN_010_R</t>
  </si>
  <si>
    <t>SCN_005_R</t>
  </si>
  <si>
    <t>SCN_013_R</t>
  </si>
  <si>
    <t>SCN_023_H</t>
  </si>
  <si>
    <t>SCN_022_H</t>
  </si>
  <si>
    <t>SCN_021_H</t>
  </si>
  <si>
    <t>SCN_029_H</t>
  </si>
  <si>
    <t>P022</t>
  </si>
  <si>
    <t>P023</t>
  </si>
  <si>
    <t>P024</t>
  </si>
  <si>
    <t>P025</t>
  </si>
  <si>
    <t>P026</t>
  </si>
  <si>
    <t>P027</t>
  </si>
  <si>
    <t>P028</t>
  </si>
  <si>
    <t>P029</t>
  </si>
  <si>
    <t>P030</t>
  </si>
  <si>
    <t>SCN_ID</t>
  </si>
  <si>
    <t>יישוב</t>
  </si>
  <si>
    <t>Scenario_ID_H</t>
  </si>
  <si>
    <t>Scenario_ID_R</t>
  </si>
  <si>
    <t>Scenario_ID_S</t>
  </si>
  <si>
    <t>TRAFFIC</t>
  </si>
  <si>
    <t>TOLL</t>
  </si>
  <si>
    <t>COMM</t>
  </si>
  <si>
    <t>Route_Direction</t>
  </si>
  <si>
    <t>Practice</t>
  </si>
  <si>
    <t>Base_Difficulty</t>
  </si>
  <si>
    <t>CORRECT_ROUTE</t>
  </si>
  <si>
    <t>REC_INACCURATE</t>
  </si>
  <si>
    <t>Q1</t>
  </si>
  <si>
    <t>O1</t>
  </si>
  <si>
    <t>A1</t>
  </si>
  <si>
    <t>Q2</t>
  </si>
  <si>
    <t>O2</t>
  </si>
  <si>
    <t>A2</t>
  </si>
  <si>
    <t>Q3</t>
  </si>
  <si>
    <t>O3</t>
  </si>
  <si>
    <t>A3</t>
  </si>
  <si>
    <t>TASK_TEXT</t>
  </si>
  <si>
    <t>Priority</t>
  </si>
  <si>
    <t>SEG</t>
  </si>
  <si>
    <t>SEG_PRIORITY</t>
  </si>
  <si>
    <t>REQUIREMENTS</t>
  </si>
  <si>
    <t>Status</t>
  </si>
  <si>
    <t>SCN_001</t>
  </si>
  <si>
    <t>ראש העין</t>
  </si>
  <si>
    <t>RTL</t>
  </si>
  <si>
    <t>Y</t>
  </si>
  <si>
    <r>
      <rPr>
        <sz val="11"/>
        <color theme="1"/>
        <rFont val="DejaVu Sans"/>
        <family val="2"/>
      </rPr>
      <t>א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</si>
  <si>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>ב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</si>
  <si>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קליטה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</si>
  <si>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מסלול ג</t>
    </r>
    <r>
      <rPr>
        <sz val="11"/>
        <color theme="1"/>
        <rFont val="Calibri"/>
        <charset val="1"/>
      </rPr>
      <t xml:space="preserve">
</t>
    </r>
    <r>
      <rPr>
        <sz val="11"/>
        <color theme="1"/>
        <rFont val="DejaVu Sans"/>
        <family val="2"/>
      </rPr>
      <t>לא יודע/ת</t>
    </r>
  </si>
  <si>
    <t>מסלול ג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</si>
  <si>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חיסכון</t>
    </r>
    <r>
      <rPr>
        <sz val="11"/>
        <color theme="1"/>
        <rFont val="Calibri"/>
        <charset val="1"/>
      </rPr>
      <t>?</t>
    </r>
  </si>
  <si>
    <t>מסלול א</t>
  </si>
  <si>
    <r>
      <rPr>
        <sz val="11"/>
        <color theme="1"/>
        <rFont val="DejaVu Sans"/>
        <family val="2"/>
      </rPr>
      <t xml:space="preserve">במפה שלפניך מופיעים </t>
    </r>
    <r>
      <rPr>
        <sz val="11"/>
        <color theme="1"/>
        <rFont val="Calibri"/>
        <charset val="1"/>
      </rPr>
      <t xml:space="preserve">3 </t>
    </r>
    <r>
      <rPr>
        <sz val="11"/>
        <color theme="1"/>
        <rFont val="DejaVu Sans"/>
        <family val="2"/>
      </rPr>
      <t>מסלולים אפשריים בין נקודת המוצא ליעד</t>
    </r>
    <r>
      <rPr>
        <sz val="11"/>
        <color theme="1"/>
        <rFont val="Calibri"/>
        <charset val="1"/>
      </rPr>
      <t xml:space="preserve">. </t>
    </r>
    <r>
      <rPr>
        <sz val="11"/>
        <color theme="1"/>
        <rFont val="DejaVu Sans"/>
        <family val="2"/>
      </rPr>
      <t>בחר ואשר את המסלול שמתעדף את הדרישות</t>
    </r>
    <r>
      <rPr>
        <sz val="11"/>
        <color theme="1"/>
        <rFont val="Calibri"/>
        <charset val="1"/>
      </rPr>
      <t>:</t>
    </r>
  </si>
  <si>
    <t>נוף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</si>
  <si>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>.</t>
    </r>
  </si>
  <si>
    <t>SCN_002</t>
  </si>
  <si>
    <t>שדרות</t>
  </si>
  <si>
    <t>LTR</t>
  </si>
  <si>
    <r>
      <rPr>
        <sz val="11"/>
        <color theme="1"/>
        <rFont val="DejaVu Sans"/>
        <family val="2"/>
      </rPr>
      <t>ג</t>
    </r>
    <r>
      <rPr>
        <sz val="11"/>
        <color theme="1"/>
        <rFont val="Calibri"/>
        <charset val="1"/>
      </rPr>
      <t>'</t>
    </r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</si>
  <si>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הגבוהים ביותר בקטגוריית נוף</t>
    </r>
    <r>
      <rPr>
        <sz val="11"/>
        <color theme="1"/>
        <rFont val="Calibri"/>
        <charset val="1"/>
      </rPr>
      <t>?</t>
    </r>
  </si>
  <si>
    <t>מסלול ב</t>
  </si>
  <si>
    <t>קליטה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</si>
  <si>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>.</t>
    </r>
  </si>
  <si>
    <t>SCN_003</t>
  </si>
  <si>
    <t>רעננה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</si>
  <si>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קליטה</t>
    </r>
    <r>
      <rPr>
        <sz val="11"/>
        <color theme="1"/>
        <rFont val="Calibri"/>
        <charset val="1"/>
      </rPr>
      <t>?</t>
    </r>
  </si>
  <si>
    <t>חיסכון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</si>
  <si>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>.</t>
    </r>
  </si>
  <si>
    <t>SCN_004</t>
  </si>
  <si>
    <t>רמלה</t>
  </si>
  <si>
    <t>N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</si>
  <si>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חיסכון</t>
    </r>
    <r>
      <rPr>
        <sz val="11"/>
        <color theme="1"/>
        <rFont val="Calibri"/>
        <charset val="1"/>
      </rPr>
      <t>?</t>
    </r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</si>
  <si>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ב</t>
    </r>
  </si>
  <si>
    <t>SCN_005</t>
  </si>
  <si>
    <t>תל מונד</t>
  </si>
  <si>
    <r>
      <rPr>
        <sz val="11"/>
        <color theme="1"/>
        <rFont val="DejaVu Sans"/>
        <family val="2"/>
      </rPr>
      <t xml:space="preserve">לפי הוויזואליזציה </t>
    </r>
    <r>
      <rPr>
        <sz val="11"/>
        <color theme="1"/>
        <rFont val="Calibri"/>
        <charset val="1"/>
      </rPr>
      <t>(</t>
    </r>
    <r>
      <rPr>
        <sz val="11"/>
        <color theme="1"/>
        <rFont val="DejaVu Sans"/>
        <family val="2"/>
      </rPr>
      <t>בפאנל התחתון</t>
    </r>
    <r>
      <rPr>
        <sz val="11"/>
        <color theme="1"/>
        <rFont val="Calibri"/>
        <charset val="1"/>
      </rPr>
      <t xml:space="preserve">) </t>
    </r>
    <r>
      <rPr>
        <sz val="11"/>
        <color theme="1"/>
        <rFont val="DejaVu Sans"/>
        <family val="2"/>
      </rPr>
      <t>איזה מסלול הציג את הציונים הנמוכים ביותר בקטגוריית נוף</t>
    </r>
    <r>
      <rPr>
        <sz val="11"/>
        <color theme="1"/>
        <rFont val="Calibri"/>
        <charset val="1"/>
      </rPr>
      <t>?</t>
    </r>
  </si>
  <si>
    <t>SCN_006</t>
  </si>
  <si>
    <t>אור עקיבא</t>
  </si>
  <si>
    <r>
      <rPr>
        <sz val="11"/>
        <color theme="1"/>
        <rFont val="DejaVu Sans"/>
        <family val="2"/>
      </rPr>
      <t>מסלול א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</si>
  <si>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חיסכון.</t>
    </r>
  </si>
  <si>
    <t>קשה</t>
  </si>
  <si>
    <t>TRAFF</t>
  </si>
  <si>
    <t>SCN_007</t>
  </si>
  <si>
    <t>אשדוד</t>
  </si>
  <si>
    <r>
      <rPr>
        <sz val="11"/>
        <color theme="1"/>
        <rFont val="DejaVu Sans"/>
        <family val="2"/>
      </rPr>
      <t>מסלול ב</t>
    </r>
    <r>
      <rPr>
        <sz val="11"/>
        <color theme="1"/>
        <rFont val="Calibri"/>
        <charset val="1"/>
      </rPr>
      <t xml:space="preserve">, </t>
    </r>
    <r>
      <rPr>
        <sz val="11"/>
        <color theme="1"/>
        <rFont val="DejaVu Sans"/>
        <family val="2"/>
      </rPr>
      <t>מסלול ג</t>
    </r>
  </si>
  <si>
    <t>SCN_008</t>
  </si>
  <si>
    <t>באר שבע צפון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</si>
  <si>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</si>
  <si>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TOT</t>
  </si>
  <si>
    <t>SCN_009</t>
  </si>
  <si>
    <t>הדר יוסף</t>
  </si>
  <si>
    <t>SCN_010</t>
  </si>
  <si>
    <t>דימונה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</si>
  <si>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נוף.</t>
    </r>
  </si>
  <si>
    <t>SCN_011</t>
  </si>
  <si>
    <t>אשקלון</t>
  </si>
  <si>
    <t>SCN_012</t>
  </si>
  <si>
    <t>הרצליה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</si>
  <si>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חיסכון.</t>
    </r>
  </si>
  <si>
    <t>SCN_013</t>
  </si>
  <si>
    <t>יבנה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</si>
  <si>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קליטה.</t>
    </r>
  </si>
  <si>
    <t>SCN_014</t>
  </si>
  <si>
    <t>חדרה</t>
  </si>
  <si>
    <t>SCN_015</t>
  </si>
  <si>
    <t>זכרון יעקב</t>
  </si>
  <si>
    <t>SCN_016</t>
  </si>
  <si>
    <t>טירת כרמל</t>
  </si>
  <si>
    <t>SCN_017</t>
  </si>
  <si>
    <t>טבריה</t>
  </si>
  <si>
    <t>SCN_018</t>
  </si>
  <si>
    <t>ירוחם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</si>
  <si>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</si>
  <si>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SCN_019</t>
  </si>
  <si>
    <t>ירושלים מרכז</t>
  </si>
  <si>
    <t>SCN_020</t>
  </si>
  <si>
    <t>מגדל העמק</t>
  </si>
  <si>
    <r>
      <rPr>
        <sz val="11"/>
        <color theme="1"/>
        <rFont val="DejaVu Sans"/>
        <family val="2"/>
      </rPr>
      <t>חיסכון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2 גם נוף.</t>
    </r>
  </si>
  <si>
    <t>SCN_021</t>
  </si>
  <si>
    <t>מעלות</t>
  </si>
  <si>
    <t>SCN_022</t>
  </si>
  <si>
    <t>נס ציונה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</si>
  <si>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קליטה.</t>
    </r>
  </si>
  <si>
    <t>SCN_023</t>
  </si>
  <si>
    <t>נתיבות</t>
  </si>
  <si>
    <t>SCN_024</t>
  </si>
  <si>
    <t>נתניה דרום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</si>
  <si>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נוף.</t>
    </r>
  </si>
  <si>
    <t>SCN_025</t>
  </si>
  <si>
    <t>ערד</t>
  </si>
  <si>
    <t>SCN_026</t>
  </si>
  <si>
    <t>נתניה מרכז</t>
  </si>
  <si>
    <t>SCN_027</t>
  </si>
  <si>
    <t>עומר</t>
  </si>
  <si>
    <t>SCN_028</t>
  </si>
  <si>
    <t>עתלית</t>
  </si>
  <si>
    <r>
      <rPr>
        <sz val="11"/>
        <color theme="1"/>
        <rFont val="DejaVu Sans"/>
        <family val="2"/>
      </rPr>
      <t>קליטה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3 גם חיסכון.</t>
    </r>
  </si>
  <si>
    <t>SCN_029</t>
  </si>
  <si>
    <t>קריית גת</t>
  </si>
  <si>
    <r>
      <rPr>
        <sz val="11"/>
        <color theme="1"/>
        <rFont val="DejaVu Sans"/>
        <family val="2"/>
      </rPr>
      <t>נוף לאורך כל המקטעים במסלול</t>
    </r>
    <r>
      <rPr>
        <sz val="11"/>
        <color theme="1"/>
        <rFont val="Calibri"/>
        <charset val="1"/>
      </rPr>
      <t xml:space="preserve">.
</t>
    </r>
    <r>
      <rPr>
        <sz val="11"/>
        <color theme="1"/>
        <rFont val="DejaVu Sans"/>
        <family val="2"/>
      </rPr>
      <t xml:space="preserve">במקטע </t>
    </r>
    <r>
      <rPr>
        <sz val="11"/>
        <color theme="1"/>
        <rFont val="Calibri"/>
        <charset val="1"/>
      </rPr>
      <t>1 גם קליטה.</t>
    </r>
  </si>
  <si>
    <t>SCN_030</t>
  </si>
  <si>
    <t>קריית מלאכי</t>
  </si>
  <si>
    <t>SCN_031</t>
  </si>
  <si>
    <r>
      <rPr>
        <sz val="11"/>
        <color theme="1"/>
        <rFont val="DejaVu Sans"/>
        <family val="2"/>
      </rPr>
      <t xml:space="preserve">רעננה </t>
    </r>
    <r>
      <rPr>
        <sz val="11"/>
        <color theme="1"/>
        <rFont val="Calibri"/>
        <charset val="1"/>
      </rPr>
      <t>2</t>
    </r>
  </si>
  <si>
    <t>SCN_032</t>
  </si>
  <si>
    <t>לפי הוויזואליזציה (בפאנל התחתון) איזה מסלול הציג את הציונים הגבוהים ביותר בקטגוריית נוף?</t>
  </si>
  <si>
    <t>מסלול א
מסלול ב
מסלול ג
לא יודע/ת</t>
  </si>
  <si>
    <t>לפי הוויזואליזציה (בפאנל התחתון) איזה מסלול הציג את הציונים הגבוהים ביותר בקטגוריית חיסכון?</t>
  </si>
  <si>
    <t>SCN_033</t>
  </si>
  <si>
    <t>לפי הוויזואליזציה (בפאנל התחתון) איזה מסלול הציג את הציונים הנמוכים ביותר בקטגוריית קליטה?</t>
  </si>
  <si>
    <t>List</t>
  </si>
  <si>
    <t>סדר_תנאים</t>
  </si>
  <si>
    <t>תנאי_1_ויזואליזציה</t>
  </si>
  <si>
    <t>תנאי_2_ויזואליזציה</t>
  </si>
  <si>
    <t>תנאי_3_ויזואליזציה</t>
  </si>
  <si>
    <t>G(מפת חום)</t>
  </si>
  <si>
    <t>G(רדאר)</t>
  </si>
  <si>
    <t>G(עמודות)</t>
  </si>
  <si>
    <t>A</t>
  </si>
  <si>
    <t>עמודות מוערמות ← רדאר ← מפת חום</t>
  </si>
  <si>
    <t>עמודות מוערמות</t>
  </si>
  <si>
    <t>רדאר ← מפת חום ← עמודות מוערמות</t>
  </si>
  <si>
    <t>מפת חום ← עמודות מוערמות ← רדאר</t>
  </si>
  <si>
    <t>B</t>
  </si>
  <si>
    <t>C</t>
  </si>
  <si>
    <t>Trial_No</t>
  </si>
  <si>
    <t>Phase</t>
  </si>
  <si>
    <t>Condition</t>
  </si>
  <si>
    <t>Visualization</t>
  </si>
  <si>
    <t>ModelSlot</t>
  </si>
  <si>
    <t>ModelType</t>
  </si>
  <si>
    <t>Scenario_ID</t>
  </si>
  <si>
    <t>Difficulty</t>
  </si>
  <si>
    <t>Rec_Correct</t>
  </si>
  <si>
    <t>Correct_Answer</t>
  </si>
  <si>
    <t>System_Recommendation</t>
  </si>
  <si>
    <t>opt</t>
  </si>
  <si>
    <t>תרגול</t>
  </si>
  <si>
    <t>כן</t>
  </si>
  <si>
    <t>ניסוי</t>
  </si>
  <si>
    <t>M1</t>
  </si>
  <si>
    <t>לא</t>
  </si>
  <si>
    <t>M2</t>
  </si>
  <si>
    <t>בדיקת איזון (סיכום)</t>
  </si>
  <si>
    <t>Total</t>
  </si>
  <si>
    <t>OPT_trials</t>
  </si>
  <si>
    <t>OPT_correct</t>
  </si>
  <si>
    <t>SUB_trials</t>
  </si>
  <si>
    <t>SUB_correct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</si>
</sst>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Calibri"/>
      <charset val="1"/>
    </font>
    <font>
      <b/>
      <sz val="11"/>
      <color theme="1"/>
      <name val="Calibri"/>
      <charset val="1"/>
    </font>
    <font>
      <b/>
      <sz val="11"/>
      <color theme="1"/>
      <name val="DejaVu Sans"/>
      <family val="2"/>
    </font>
    <font>
      <sz val="11"/>
      <color theme="1"/>
      <name val="DejaVu Sans"/>
      <family val="2"/>
    </font>
    <font>
      <b/>
      <sz val="11"/>
      <color rgb="FF000000"/>
      <name val="Calibri"/>
      <charset val="1"/>
    </font>
    <font>
      <b/>
      <sz val="11"/>
      <color rgb="FF000000"/>
      <name val="DejaVu Sans"/>
      <family val="2"/>
    </font>
    <font>
      <sz val="11"/>
      <color rgb="FF000000"/>
      <name val="Calibri"/>
      <charset val="1"/>
    </font>
    <font>
      <sz val="11"/>
      <color rgb="FF000000"/>
      <name val="Aptos Narrow"/>
      <charset val="1"/>
    </font>
    <font>
      <b/>
      <sz val="11"/>
      <color rgb="FFFFFFFF"/>
      <name val="Aptos Narrow"/>
      <charset val="1"/>
    </font>
    <font>
      <sz val="11"/>
      <color rgb="FF111827"/>
      <name val="Aptos Narrow"/>
      <charset val="1"/>
    </font>
    <font>
      <sz val="10"/>
      <color rgb="FF434343"/>
      <name val="Arial"/>
      <charset val="1"/>
    </font>
    <font>
      <b/>
      <sz val="14"/>
      <color rgb="FF111827"/>
      <name val="Aptos Narrow"/>
      <charset val="1"/>
    </font>
    <font>
      <b/>
      <sz val="11"/>
      <color rgb="FF111827"/>
      <name val="Aptos Narrow"/>
      <charset val="1"/>
    </font>
  </fonts>
  <fills count="20">
    <fill>
      <patternFill patternType="none"/>
    </fill>
    <fill>
      <patternFill patternType="gray125"/>
    </fill>
    <fill>
      <patternFill patternType="solid">
        <fgColor rgb="FFD9D9D9"/>
        <bgColor rgb="FFCBD5E1"/>
      </patternFill>
    </fill>
    <fill>
      <patternFill patternType="solid">
        <fgColor rgb="FFFFF2CC"/>
        <bgColor rgb="FFFAE2D5"/>
      </patternFill>
    </fill>
    <fill>
      <patternFill patternType="solid">
        <fgColor rgb="FFDDEBF7"/>
        <bgColor rgb="FFDBEAFE"/>
      </patternFill>
    </fill>
    <fill>
      <patternFill patternType="solid">
        <fgColor rgb="FFE2F0D9"/>
        <bgColor rgb="FFD9F2D0"/>
      </patternFill>
    </fill>
    <fill>
      <patternFill patternType="solid">
        <fgColor rgb="FFFFFFFF"/>
        <bgColor rgb="FFF6F8F9"/>
      </patternFill>
    </fill>
    <fill>
      <patternFill patternType="solid">
        <fgColor rgb="FFFFFF00"/>
        <bgColor rgb="FFFFC000"/>
      </patternFill>
    </fill>
    <fill>
      <patternFill patternType="solid">
        <fgColor theme="8"/>
        <bgColor rgb="FF78206E"/>
      </patternFill>
    </fill>
    <fill>
      <patternFill patternType="solid">
        <fgColor rgb="FF7030A0"/>
        <bgColor rgb="FF78206E"/>
      </patternFill>
    </fill>
    <fill>
      <patternFill patternType="solid">
        <fgColor theme="5"/>
        <bgColor rgb="FFF1A983"/>
      </patternFill>
    </fill>
    <fill>
      <patternFill patternType="solid">
        <fgColor rgb="FF111827"/>
        <bgColor rgb="FF000000"/>
      </patternFill>
    </fill>
    <fill>
      <patternFill patternType="solid">
        <fgColor rgb="FFE0E7FF"/>
        <bgColor rgb="FFDBEAFE"/>
      </patternFill>
    </fill>
    <fill>
      <patternFill patternType="solid">
        <fgColor rgb="FFDCFCE7"/>
        <bgColor rgb="FFE2F0D9"/>
      </patternFill>
    </fill>
    <fill>
      <patternFill patternType="solid">
        <fgColor rgb="FFDBEAFE"/>
        <bgColor rgb="FFDDEBF7"/>
      </patternFill>
    </fill>
    <fill>
      <patternFill patternType="solid">
        <fgColor rgb="FFFDE2E2"/>
        <bgColor rgb="FFFAE2D5"/>
      </patternFill>
    </fill>
    <fill>
      <patternFill patternType="solid">
        <fgColor rgb="FFFDE68A"/>
        <bgColor rgb="FFFFFF99"/>
      </patternFill>
    </fill>
    <fill>
      <patternFill patternType="solid">
        <fgColor rgb="FFC7D2FE"/>
        <bgColor rgb="FFCBD5E1"/>
      </patternFill>
    </fill>
    <fill>
      <patternFill patternType="solid">
        <fgColor rgb="FFF6F8F9"/>
        <bgColor rgb="FFFFFFFF"/>
      </patternFill>
    </fill>
    <fill>
      <patternFill patternType="solid">
        <fgColor rgb="FFE5E7EB"/>
        <bgColor rgb="FFDDEBF7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rgb="FF35685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3" fillId="7" borderId="2" xfId="0" applyFont="1" applyFill="1" applyBorder="1" applyAlignment="1">
      <alignment horizontal="center" vertical="top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3" fillId="2" borderId="2" xfId="0" applyFont="1" applyFill="1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3" fillId="8" borderId="2" xfId="0" applyFont="1" applyFill="1" applyBorder="1" applyAlignment="1">
      <alignment horizontal="center" vertical="top"/>
    </xf>
    <xf numFmtId="0" fontId="3" fillId="9" borderId="0" xfId="0" applyFont="1" applyFill="1" applyAlignment="1">
      <alignment horizontal="center" vertical="top"/>
    </xf>
    <xf numFmtId="0" fontId="3" fillId="10" borderId="2" xfId="0" applyFont="1" applyFill="1" applyBorder="1" applyAlignment="1">
      <alignment horizontal="center" vertical="top"/>
    </xf>
    <xf numFmtId="0" fontId="7" fillId="0" borderId="0" xfId="0" applyFont="1" applyAlignment="1">
      <alignment vertical="top"/>
    </xf>
    <xf numFmtId="0" fontId="7" fillId="0" borderId="0" xfId="0" applyFont="1"/>
    <xf numFmtId="0" fontId="0" fillId="0" borderId="9" xfId="0" applyBorder="1" applyAlignment="1">
      <alignment horizontal="center" vertical="top"/>
    </xf>
    <xf numFmtId="0" fontId="3" fillId="0" borderId="10" xfId="0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3" fillId="10" borderId="10" xfId="0" applyFont="1" applyFill="1" applyBorder="1" applyAlignment="1">
      <alignment horizontal="center" vertical="top"/>
    </xf>
    <xf numFmtId="0" fontId="0" fillId="0" borderId="11" xfId="0" applyBorder="1" applyAlignment="1">
      <alignment horizontal="center" vertical="top"/>
    </xf>
    <xf numFmtId="0" fontId="8" fillId="11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0" fontId="9" fillId="12" borderId="12" xfId="0" applyFont="1" applyFill="1" applyBorder="1" applyAlignment="1">
      <alignment horizontal="center" vertical="center" wrapText="1"/>
    </xf>
    <xf numFmtId="0" fontId="9" fillId="0" borderId="12" xfId="0" applyFont="1" applyBorder="1" applyAlignment="1">
      <alignment horizontal="right" vertical="center" wrapText="1"/>
    </xf>
    <xf numFmtId="0" fontId="9" fillId="13" borderId="12" xfId="0" applyFont="1" applyFill="1" applyBorder="1" applyAlignment="1">
      <alignment horizontal="center" vertical="center" wrapText="1"/>
    </xf>
    <xf numFmtId="0" fontId="9" fillId="14" borderId="12" xfId="0" applyFont="1" applyFill="1" applyBorder="1" applyAlignment="1">
      <alignment horizontal="center" vertical="center" wrapText="1"/>
    </xf>
    <xf numFmtId="0" fontId="9" fillId="15" borderId="12" xfId="0" applyFont="1" applyFill="1" applyBorder="1" applyAlignment="1">
      <alignment horizontal="center" vertical="center" wrapText="1"/>
    </xf>
    <xf numFmtId="0" fontId="9" fillId="16" borderId="12" xfId="0" applyFont="1" applyFill="1" applyBorder="1" applyAlignment="1">
      <alignment horizontal="center" vertical="center" wrapText="1"/>
    </xf>
    <xf numFmtId="0" fontId="9" fillId="17" borderId="1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0" fillId="6" borderId="13" xfId="0" applyFont="1" applyFill="1" applyBorder="1" applyAlignment="1">
      <alignment horizontal="center" vertical="center" wrapText="1"/>
    </xf>
    <xf numFmtId="0" fontId="10" fillId="18" borderId="13" xfId="0" applyFont="1" applyFill="1" applyBorder="1" applyAlignment="1">
      <alignment horizontal="center" vertical="center" wrapText="1"/>
    </xf>
    <xf numFmtId="0" fontId="10" fillId="18" borderId="14" xfId="0" applyFont="1" applyFill="1" applyBorder="1" applyAlignment="1">
      <alignment horizontal="center" vertical="center" wrapText="1"/>
    </xf>
    <xf numFmtId="0" fontId="12" fillId="19" borderId="1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4">
    <dxf>
      <font>
        <color rgb="FFFFFFFF"/>
      </font>
      <fill>
        <patternFill>
          <bgColor rgb="FFFF0000"/>
        </patternFill>
      </fill>
    </dxf>
    <dxf>
      <fill>
        <patternFill>
          <bgColor rgb="FF8ED873"/>
        </patternFill>
      </fill>
    </dxf>
    <dxf>
      <fill>
        <patternFill>
          <bgColor rgb="FFF1A983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1CEEE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ont>
        <color rgb="FFFFFFFF"/>
      </font>
      <fill>
        <patternFill>
          <bgColor rgb="FF78206E"/>
        </patternFill>
      </fill>
    </dxf>
    <dxf>
      <font>
        <color rgb="FFFFFFFF"/>
      </font>
      <fill>
        <patternFill>
          <bgColor rgb="FF0F4861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1CEEE"/>
        </patternFill>
      </fill>
    </dxf>
    <dxf>
      <fill>
        <patternFill>
          <bgColor rgb="FFCAEDFB"/>
        </patternFill>
      </fill>
    </dxf>
    <dxf>
      <fill>
        <patternFill>
          <bgColor rgb="FFD9F2D0"/>
        </patternFill>
      </fill>
    </dxf>
    <dxf>
      <fill>
        <patternFill>
          <bgColor rgb="FFFAE2D5"/>
        </patternFill>
      </fill>
    </dxf>
    <dxf>
      <fill>
        <patternFill>
          <bgColor rgb="FFFFFF99"/>
        </patternFill>
      </fill>
    </dxf>
    <dxf>
      <fill>
        <patternFill>
          <bgColor rgb="FFF1A983"/>
        </patternFill>
      </fill>
    </dxf>
    <dxf>
      <fill>
        <patternFill>
          <bgColor rgb="FF8ED87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45B0E1"/>
        </patternFill>
      </fill>
    </dxf>
    <dxf>
      <fill>
        <patternFill>
          <bgColor rgb="FFF1A983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DBEAFE"/>
      <rgbColor rgb="FF800000"/>
      <rgbColor rgb="FF008000"/>
      <rgbColor rgb="FF000080"/>
      <rgbColor rgb="FFF6F8F9"/>
      <rgbColor rgb="FF800080"/>
      <rgbColor rgb="FF008080"/>
      <rgbColor rgb="FFCBD5E1"/>
      <rgbColor rgb="FF8ED873"/>
      <rgbColor rgb="FFA6A6A6"/>
      <rgbColor rgb="FFA02B93"/>
      <rgbColor rgb="FFFFF2CC"/>
      <rgbColor rgb="FFDCFCE7"/>
      <rgbColor rgb="FF660066"/>
      <rgbColor rgb="FFFDE2E2"/>
      <rgbColor rgb="FF0066CC"/>
      <rgbColor rgb="FFC7D2FE"/>
      <rgbColor rgb="FF000080"/>
      <rgbColor rgb="FFFF00FF"/>
      <rgbColor rgb="FFFAE2D5"/>
      <rgbColor rgb="FFDDEBF7"/>
      <rgbColor rgb="FF800080"/>
      <rgbColor rgb="FF800000"/>
      <rgbColor rgb="FF008080"/>
      <rgbColor rgb="FF0000FF"/>
      <rgbColor rgb="FFE0E7FF"/>
      <rgbColor rgb="FFCAEDFB"/>
      <rgbColor rgb="FFD9F2D0"/>
      <rgbColor rgb="FFFFFF99"/>
      <rgbColor rgb="FFD9D9D9"/>
      <rgbColor rgb="FFF1A983"/>
      <rgbColor rgb="FFF1CEEE"/>
      <rgbColor rgb="FFFDE68A"/>
      <rgbColor rgb="FF3366FF"/>
      <rgbColor rgb="FF45B0E1"/>
      <rgbColor rgb="FF92D050"/>
      <rgbColor rgb="FFFFC000"/>
      <rgbColor rgb="FFE5E7EB"/>
      <rgbColor rgb="FFE97132"/>
      <rgbColor rgb="FF356854"/>
      <rgbColor rgb="FFA0A0A0"/>
      <rgbColor rgb="FF0F4861"/>
      <rgbColor rgb="FFE2F0D9"/>
      <rgbColor rgb="FF111827"/>
      <rgbColor rgb="FF333300"/>
      <rgbColor rgb="FF993300"/>
      <rgbColor rgb="FF78206E"/>
      <rgbColor rgb="FF7030A0"/>
      <rgbColor rgb="FF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1" displayName="Table_1" ref="A1:CH31" totalsRowShown="0">
  <tableColumns count="86">
    <tableColumn id="1" xr3:uid="{00000000-0010-0000-0000-000001000000}" name="Participant_ID"/>
    <tableColumn id="2" xr3:uid="{00000000-0010-0000-0000-000002000000}" name="סדר_מודלים"/>
    <tableColumn id="3" xr3:uid="{00000000-0010-0000-0000-000003000000}" name="מודל A"/>
    <tableColumn id="4" xr3:uid="{00000000-0010-0000-0000-000004000000}" name="מודל B"/>
    <tableColumn id="5" xr3:uid="{00000000-0010-0000-0000-000005000000}" name="תרגול_R1_Scenario_ID"/>
    <tableColumn id="6" xr3:uid="{00000000-0010-0000-0000-000006000000}" name="תרגול_R1_קושי"/>
    <tableColumn id="7" xr3:uid="{00000000-0010-0000-0000-000007000000}" name="תרגול_R2_Scenario_ID"/>
    <tableColumn id="8" xr3:uid="{00000000-0010-0000-0000-000008000000}" name="תרגול_R2_קושי"/>
    <tableColumn id="9" xr3:uid="{00000000-0010-0000-0000-000009000000}" name="תרגול_R3_Scenario_ID"/>
    <tableColumn id="10" xr3:uid="{00000000-0010-0000-0000-00000A000000}" name="תרגול_R3_קושי"/>
    <tableColumn id="11" xr3:uid="{00000000-0010-0000-0000-00000B000000}" name="תרגול_R4_Scenario_ID"/>
    <tableColumn id="12" xr3:uid="{00000000-0010-0000-0000-00000C000000}" name="תרגול_R4_קושי"/>
    <tableColumn id="13" xr3:uid="{00000000-0010-0000-0000-00000D000000}" name="תרגול_R5_Scenario_ID"/>
    <tableColumn id="14" xr3:uid="{00000000-0010-0000-0000-00000E000000}" name="תרגול_R5_קושי"/>
    <tableColumn id="15" xr3:uid="{00000000-0010-0000-0000-00000F000000}" name="תרגול_R6_Scenario_ID"/>
    <tableColumn id="16" xr3:uid="{00000000-0010-0000-0000-000010000000}" name="תרגול_R6_קושי"/>
    <tableColumn id="17" xr3:uid="{00000000-0010-0000-0000-000011000000}" name="מודל_1_סוג_מודל"/>
    <tableColumn id="18" xr3:uid="{00000000-0010-0000-0000-000012000000}" name="מודל_1_סדר_ויזואליזציות"/>
    <tableColumn id="19" xr3:uid="{00000000-0010-0000-0000-000013000000}" name="מודל_1_VIS1_ויזואליזציה"/>
    <tableColumn id="20" xr3:uid="{00000000-0010-0000-0000-000014000000}" name="מודל_1_VIS1_R1_Scenario_ID"/>
    <tableColumn id="21" xr3:uid="{00000000-0010-0000-0000-000015000000}" name="מודל_1_VIS1_R1_קושי"/>
    <tableColumn id="22" xr3:uid="{00000000-0010-0000-0000-000016000000}" name="מודל_1_VIS1_R2_Scenario_ID"/>
    <tableColumn id="23" xr3:uid="{00000000-0010-0000-0000-000017000000}" name="מודל_1_VIS1_R2_קושי"/>
    <tableColumn id="24" xr3:uid="{00000000-0010-0000-0000-000018000000}" name="מודל_1_VIS1_R3_Scenario_ID"/>
    <tableColumn id="25" xr3:uid="{00000000-0010-0000-0000-000019000000}" name="מודל_1_VIS1_R3_קושי"/>
    <tableColumn id="26" xr3:uid="{00000000-0010-0000-0000-00001A000000}" name="מודל_1_VIS1_R4_Scenario_ID"/>
    <tableColumn id="27" xr3:uid="{00000000-0010-0000-0000-00001B000000}" name="מודל_1_VIS1_R4_קושי"/>
    <tableColumn id="28" xr3:uid="{00000000-0010-0000-0000-00001C000000}" name="מודל_1_VIS1_R5_Scenario_ID"/>
    <tableColumn id="29" xr3:uid="{00000000-0010-0000-0000-00001D000000}" name="מודל_1_VIS1_R5_קושי"/>
    <tableColumn id="30" xr3:uid="{00000000-0010-0000-0000-00001E000000}" name="מודל_1_VIS2_ויזואליזציה"/>
    <tableColumn id="31" xr3:uid="{00000000-0010-0000-0000-00001F000000}" name="מודל_1_VIS2_R1_Scenario_ID"/>
    <tableColumn id="32" xr3:uid="{00000000-0010-0000-0000-000020000000}" name="מודל_1_VIS2_R1_קושי"/>
    <tableColumn id="33" xr3:uid="{00000000-0010-0000-0000-000021000000}" name="מודל_1_VIS2_R2_Scenario_ID"/>
    <tableColumn id="34" xr3:uid="{00000000-0010-0000-0000-000022000000}" name="מודל_1_VIS2_R2_קושי"/>
    <tableColumn id="35" xr3:uid="{00000000-0010-0000-0000-000023000000}" name="מודל_1_VIS2_R3_Scenario_ID"/>
    <tableColumn id="36" xr3:uid="{00000000-0010-0000-0000-000024000000}" name="מודל_1_VIS2_R3_קושי"/>
    <tableColumn id="37" xr3:uid="{00000000-0010-0000-0000-000025000000}" name="מודל_1_VIS2_R4_Scenario_ID"/>
    <tableColumn id="38" xr3:uid="{00000000-0010-0000-0000-000026000000}" name="מודל_1_VIS2_R4_קושי"/>
    <tableColumn id="39" xr3:uid="{00000000-0010-0000-0000-000027000000}" name="מודל_1_VIS2_R5_Scenario_ID"/>
    <tableColumn id="40" xr3:uid="{00000000-0010-0000-0000-000028000000}" name="מודל_1_VIS2_R5_קושי"/>
    <tableColumn id="41" xr3:uid="{00000000-0010-0000-0000-000029000000}" name="מודל_1_VIS3_ויזואליזציה"/>
    <tableColumn id="42" xr3:uid="{00000000-0010-0000-0000-00002A000000}" name="מודל_1_VIS3_R1_Scenario_ID"/>
    <tableColumn id="43" xr3:uid="{00000000-0010-0000-0000-00002B000000}" name="מודל_1_VIS3_R1_קושי"/>
    <tableColumn id="44" xr3:uid="{00000000-0010-0000-0000-00002C000000}" name="מודל_1_VIS3_R2_Scenario_ID"/>
    <tableColumn id="45" xr3:uid="{00000000-0010-0000-0000-00002D000000}" name="מודל_1_VIS3_R2_קושי"/>
    <tableColumn id="46" xr3:uid="{00000000-0010-0000-0000-00002E000000}" name="מודל_1_VIS3_R3_Scenario_ID"/>
    <tableColumn id="47" xr3:uid="{00000000-0010-0000-0000-00002F000000}" name="מודל_1_VIS3_R3_קושי"/>
    <tableColumn id="48" xr3:uid="{00000000-0010-0000-0000-000030000000}" name="מודל_1_VIS3_R4_Scenario_ID"/>
    <tableColumn id="49" xr3:uid="{00000000-0010-0000-0000-000031000000}" name="מודל_1_VIS3_R4_קושי"/>
    <tableColumn id="50" xr3:uid="{00000000-0010-0000-0000-000032000000}" name="מודל_1_VIS3_R5_Scenario_ID"/>
    <tableColumn id="51" xr3:uid="{00000000-0010-0000-0000-000033000000}" name="מודל_1_VIS3_R5_קושי"/>
    <tableColumn id="52" xr3:uid="{00000000-0010-0000-0000-000034000000}" name="מודל_2_סוג_מודל"/>
    <tableColumn id="53" xr3:uid="{00000000-0010-0000-0000-000035000000}" name="מודל_2_סדר_ויזואליזציות"/>
    <tableColumn id="54" xr3:uid="{00000000-0010-0000-0000-000036000000}" name="מודל_2_VIS1_ויזואליזציה"/>
    <tableColumn id="55" xr3:uid="{00000000-0010-0000-0000-000037000000}" name="מודל_2_VIS1_R1_Scenario_ID"/>
    <tableColumn id="56" xr3:uid="{00000000-0010-0000-0000-000038000000}" name="מודל_2_VIS1_R1_קושי"/>
    <tableColumn id="57" xr3:uid="{00000000-0010-0000-0000-000039000000}" name="מודל_2_VIS1_R2_Scenario_ID"/>
    <tableColumn id="58" xr3:uid="{00000000-0010-0000-0000-00003A000000}" name="מודל_2_VIS1_R2_קושי"/>
    <tableColumn id="59" xr3:uid="{00000000-0010-0000-0000-00003B000000}" name="מודל_2_VIS1_R3_Scenario_ID"/>
    <tableColumn id="60" xr3:uid="{00000000-0010-0000-0000-00003C000000}" name="מודל_2_VIS1_R3_קושי"/>
    <tableColumn id="61" xr3:uid="{00000000-0010-0000-0000-00003D000000}" name="מודל_2_VIS1_R4_Scenario_ID"/>
    <tableColumn id="62" xr3:uid="{00000000-0010-0000-0000-00003E000000}" name="מודל_2_VIS1_R4_קושי"/>
    <tableColumn id="63" xr3:uid="{00000000-0010-0000-0000-00003F000000}" name="מודל_2_VIS1_R5_Scenario_ID"/>
    <tableColumn id="64" xr3:uid="{00000000-0010-0000-0000-000040000000}" name="מודל_2_VIS1_R5_קושי"/>
    <tableColumn id="65" xr3:uid="{00000000-0010-0000-0000-000041000000}" name="מודל_2_VIS2_ויזואליזציה"/>
    <tableColumn id="66" xr3:uid="{00000000-0010-0000-0000-000042000000}" name="מודל_2_VIS2_R1_Scenario_ID"/>
    <tableColumn id="67" xr3:uid="{00000000-0010-0000-0000-000043000000}" name="מודל_2_VIS2_R1_קושי"/>
    <tableColumn id="68" xr3:uid="{00000000-0010-0000-0000-000044000000}" name="מודל_2_VIS2_R2_Scenario_ID"/>
    <tableColumn id="69" xr3:uid="{00000000-0010-0000-0000-000045000000}" name="מודל_2_VIS2_R2_קושי"/>
    <tableColumn id="70" xr3:uid="{00000000-0010-0000-0000-000046000000}" name="מודל_2_VIS2_R3_Scenario_ID"/>
    <tableColumn id="71" xr3:uid="{00000000-0010-0000-0000-000047000000}" name="מודל_2_VIS2_R3_קושי"/>
    <tableColumn id="72" xr3:uid="{00000000-0010-0000-0000-000048000000}" name="מודל_2_VIS2_R4_Scenario_ID"/>
    <tableColumn id="73" xr3:uid="{00000000-0010-0000-0000-000049000000}" name="מודל_2_VIS2_R4_קושי"/>
    <tableColumn id="74" xr3:uid="{00000000-0010-0000-0000-00004A000000}" name="מודל_2_VIS2_R5_Scenario_ID"/>
    <tableColumn id="75" xr3:uid="{00000000-0010-0000-0000-00004B000000}" name="מודל_2_VIS2_R5_קושי"/>
    <tableColumn id="76" xr3:uid="{00000000-0010-0000-0000-00004C000000}" name="מודל_2_VIS3_ויזואליזציה"/>
    <tableColumn id="77" xr3:uid="{00000000-0010-0000-0000-00004D000000}" name="מודל_2_VIS3_R1_Scenario_ID"/>
    <tableColumn id="78" xr3:uid="{00000000-0010-0000-0000-00004E000000}" name="מודל_2_VIS3_R1_קושי"/>
    <tableColumn id="79" xr3:uid="{00000000-0010-0000-0000-00004F000000}" name="מודל_2_VIS3_R2_Scenario_ID"/>
    <tableColumn id="80" xr3:uid="{00000000-0010-0000-0000-000050000000}" name="מודל_2_VIS3_R2_קושי"/>
    <tableColumn id="81" xr3:uid="{00000000-0010-0000-0000-000051000000}" name="מודל_2_VIS3_R3_Scenario_ID"/>
    <tableColumn id="82" xr3:uid="{00000000-0010-0000-0000-000052000000}" name="מודל_2_VIS3_R3_קושי"/>
    <tableColumn id="83" xr3:uid="{00000000-0010-0000-0000-000053000000}" name="מודל_2_VIS3_R4_Scenario_ID"/>
    <tableColumn id="84" xr3:uid="{00000000-0010-0000-0000-000054000000}" name="מודל_2_VIS3_R4_קושי"/>
    <tableColumn id="85" xr3:uid="{00000000-0010-0000-0000-000055000000}" name="מודל_2_VIS3_R5_Scenario_ID"/>
    <tableColumn id="86" xr3:uid="{00000000-0010-0000-0000-000056000000}" name="מודל_2_VIS3_R5_קושי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3" displayName="Table3" ref="A1:AB34" totalsRowShown="0">
  <autoFilter ref="A1:AB34" xr:uid="{00000000-0009-0000-0100-000001000000}"/>
  <tableColumns count="28">
    <tableColumn id="1" xr3:uid="{00000000-0010-0000-0100-000001000000}" name="SCN_ID"/>
    <tableColumn id="2" xr3:uid="{00000000-0010-0000-0100-000002000000}" name="יישוב"/>
    <tableColumn id="3" xr3:uid="{00000000-0010-0000-0100-000003000000}" name="Scenario_ID_H"/>
    <tableColumn id="4" xr3:uid="{00000000-0010-0000-0100-000004000000}" name="Scenario_ID_R"/>
    <tableColumn id="5" xr3:uid="{00000000-0010-0000-0100-000005000000}" name="Scenario_ID_S"/>
    <tableColumn id="6" xr3:uid="{00000000-0010-0000-0100-000006000000}" name="TRAFFIC"/>
    <tableColumn id="7" xr3:uid="{00000000-0010-0000-0100-000007000000}" name="TOLL"/>
    <tableColumn id="8" xr3:uid="{00000000-0010-0000-0100-000008000000}" name="COMM"/>
    <tableColumn id="9" xr3:uid="{00000000-0010-0000-0100-000009000000}" name="Route_Direction"/>
    <tableColumn id="10" xr3:uid="{00000000-0010-0000-0100-00000A000000}" name="Practice"/>
    <tableColumn id="11" xr3:uid="{00000000-0010-0000-0100-00000B000000}" name="Base_Difficulty"/>
    <tableColumn id="12" xr3:uid="{00000000-0010-0000-0100-00000C000000}" name="CORRECT_ROUTE"/>
    <tableColumn id="13" xr3:uid="{00000000-0010-0000-0100-00000D000000}" name="REC_INACCURATE"/>
    <tableColumn id="14" xr3:uid="{00000000-0010-0000-0100-00000E000000}" name="Q1"/>
    <tableColumn id="15" xr3:uid="{00000000-0010-0000-0100-00000F000000}" name="O1"/>
    <tableColumn id="16" xr3:uid="{00000000-0010-0000-0100-000010000000}" name="A1"/>
    <tableColumn id="17" xr3:uid="{00000000-0010-0000-0100-000011000000}" name="Q2"/>
    <tableColumn id="18" xr3:uid="{00000000-0010-0000-0100-000012000000}" name="O2"/>
    <tableColumn id="19" xr3:uid="{00000000-0010-0000-0100-000013000000}" name="A2"/>
    <tableColumn id="20" xr3:uid="{00000000-0010-0000-0100-000014000000}" name="Q3"/>
    <tableColumn id="21" xr3:uid="{00000000-0010-0000-0100-000015000000}" name="O3"/>
    <tableColumn id="22" xr3:uid="{00000000-0010-0000-0100-000016000000}" name="A3"/>
    <tableColumn id="23" xr3:uid="{00000000-0010-0000-0100-000017000000}" name="TASK_TEXT"/>
    <tableColumn id="24" xr3:uid="{00000000-0010-0000-0100-000018000000}" name="Priority"/>
    <tableColumn id="25" xr3:uid="{00000000-0010-0000-0100-000019000000}" name="SEG"/>
    <tableColumn id="26" xr3:uid="{00000000-0010-0000-0100-00001A000000}" name="SEG_PRIORITY"/>
    <tableColumn id="27" xr3:uid="{00000000-0010-0000-0100-00001B000000}" name="REQUIREMENTS"/>
    <tableColumn id="28" xr3:uid="{00000000-0010-0000-0100-00001C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A1:L991" totalsRowShown="0">
  <autoFilter ref="A1:L991" xr:uid="{00000000-0009-0000-0100-000003000000}">
    <filterColumn colId="7">
      <filters>
        <filter val="SCN_033_H"/>
      </filters>
    </filterColumn>
  </autoFilter>
  <tableColumns count="12">
    <tableColumn id="1" xr3:uid="{00000000-0010-0000-0200-000001000000}" name="Participant_ID"/>
    <tableColumn id="2" xr3:uid="{00000000-0010-0000-0200-000002000000}" name="Trial_No"/>
    <tableColumn id="3" xr3:uid="{00000000-0010-0000-0200-000003000000}" name="Phase"/>
    <tableColumn id="4" xr3:uid="{00000000-0010-0000-0200-000004000000}" name="Condition"/>
    <tableColumn id="5" xr3:uid="{00000000-0010-0000-0200-000005000000}" name="Visualization"/>
    <tableColumn id="6" xr3:uid="{00000000-0010-0000-0200-000006000000}" name="ModelSlot"/>
    <tableColumn id="7" xr3:uid="{00000000-0010-0000-0200-000007000000}" name="ModelType"/>
    <tableColumn id="8" xr3:uid="{00000000-0010-0000-0200-000008000000}" name="Scenario_ID"/>
    <tableColumn id="9" xr3:uid="{00000000-0010-0000-0200-000009000000}" name="Difficulty"/>
    <tableColumn id="10" xr3:uid="{00000000-0010-0000-0200-00000A000000}" name="Rec_Correct"/>
    <tableColumn id="11" xr3:uid="{00000000-0010-0000-0200-00000B000000}" name="Correct_Answer"/>
    <tableColumn id="12" xr3:uid="{00000000-0010-0000-0200-00000C000000}" name="System_Recommendation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B1000"/>
  <sheetViews>
    <sheetView showGridLines="0" rightToLeft="1" zoomScaleNormal="100" workbookViewId="0">
      <pane xSplit="4" ySplit="1" topLeftCell="AO4" activePane="bottomRight" state="frozen"/>
      <selection pane="topRight" activeCell="AO1" sqref="AO1"/>
      <selection pane="bottomLeft" activeCell="A4" sqref="A4"/>
      <selection pane="bottomRight" activeCell="E14" sqref="E14"/>
    </sheetView>
  </sheetViews>
  <sheetFormatPr defaultColWidth="14.42578125" defaultRowHeight="15" customHeight="1"/>
  <cols>
    <col min="1" max="1" width="10.28515625" customWidth="1"/>
    <col min="2" max="2" width="24" customWidth="1"/>
    <col min="3" max="4" width="34.7109375" customWidth="1"/>
    <col min="5" max="5" width="16" customWidth="1"/>
    <col min="6" max="6" width="7.28515625" customWidth="1"/>
    <col min="7" max="7" width="16" customWidth="1"/>
    <col min="8" max="8" width="7.28515625" customWidth="1"/>
    <col min="9" max="9" width="16" customWidth="1"/>
    <col min="10" max="10" width="7.28515625" customWidth="1"/>
    <col min="11" max="11" width="16" customWidth="1"/>
    <col min="12" max="12" width="7.28515625" customWidth="1"/>
    <col min="13" max="13" width="16" customWidth="1"/>
    <col min="14" max="14" width="7.28515625" customWidth="1"/>
    <col min="15" max="15" width="16" customWidth="1"/>
    <col min="16" max="16" width="7.28515625" customWidth="1"/>
    <col min="17" max="17" width="12" customWidth="1"/>
    <col min="18" max="18" width="31.5703125" customWidth="1"/>
    <col min="19" max="20" width="14" customWidth="1"/>
    <col min="21" max="21" width="6" customWidth="1"/>
    <col min="22" max="22" width="14" customWidth="1"/>
    <col min="23" max="23" width="6" customWidth="1"/>
    <col min="24" max="24" width="14" customWidth="1"/>
    <col min="25" max="25" width="6" customWidth="1"/>
    <col min="26" max="26" width="14" customWidth="1"/>
    <col min="27" max="27" width="6" customWidth="1"/>
    <col min="28" max="28" width="14" customWidth="1"/>
    <col min="29" max="29" width="6" customWidth="1"/>
    <col min="30" max="31" width="14" customWidth="1"/>
    <col min="32" max="32" width="6" customWidth="1"/>
    <col min="33" max="33" width="14" customWidth="1"/>
    <col min="34" max="34" width="6" customWidth="1"/>
    <col min="35" max="35" width="14" customWidth="1"/>
    <col min="36" max="36" width="6" customWidth="1"/>
    <col min="37" max="37" width="14" customWidth="1"/>
    <col min="38" max="38" width="6" customWidth="1"/>
    <col min="39" max="39" width="14" customWidth="1"/>
    <col min="40" max="40" width="6" customWidth="1"/>
    <col min="41" max="42" width="14" customWidth="1"/>
    <col min="43" max="43" width="6" customWidth="1"/>
    <col min="44" max="44" width="14" customWidth="1"/>
    <col min="45" max="45" width="6" customWidth="1"/>
    <col min="46" max="46" width="14" customWidth="1"/>
    <col min="47" max="47" width="6" customWidth="1"/>
    <col min="48" max="48" width="14" customWidth="1"/>
    <col min="49" max="49" width="6" customWidth="1"/>
    <col min="50" max="50" width="14" customWidth="1"/>
    <col min="51" max="51" width="6" customWidth="1"/>
    <col min="52" max="52" width="12" customWidth="1"/>
    <col min="53" max="53" width="26" customWidth="1"/>
    <col min="54" max="55" width="14" customWidth="1"/>
    <col min="56" max="56" width="6" customWidth="1"/>
    <col min="57" max="57" width="14" customWidth="1"/>
    <col min="58" max="58" width="6" customWidth="1"/>
    <col min="59" max="59" width="14" customWidth="1"/>
    <col min="60" max="60" width="6" customWidth="1"/>
    <col min="61" max="61" width="14" customWidth="1"/>
    <col min="62" max="62" width="6" customWidth="1"/>
    <col min="63" max="63" width="14" customWidth="1"/>
    <col min="64" max="64" width="6" customWidth="1"/>
    <col min="65" max="66" width="14" customWidth="1"/>
    <col min="67" max="67" width="6" customWidth="1"/>
    <col min="68" max="68" width="14" customWidth="1"/>
    <col min="69" max="69" width="6" customWidth="1"/>
    <col min="70" max="70" width="14" customWidth="1"/>
    <col min="71" max="71" width="6" customWidth="1"/>
    <col min="72" max="72" width="14" customWidth="1"/>
    <col min="73" max="73" width="6" customWidth="1"/>
    <col min="74" max="74" width="14" customWidth="1"/>
    <col min="75" max="75" width="6" customWidth="1"/>
    <col min="76" max="77" width="14" customWidth="1"/>
    <col min="78" max="78" width="6" customWidth="1"/>
    <col min="79" max="79" width="14" customWidth="1"/>
    <col min="80" max="80" width="6" customWidth="1"/>
    <col min="81" max="81" width="14" customWidth="1"/>
    <col min="82" max="82" width="6" customWidth="1"/>
    <col min="83" max="83" width="14" customWidth="1"/>
    <col min="84" max="84" width="6" customWidth="1"/>
    <col min="85" max="85" width="14" customWidth="1"/>
    <col min="86" max="98" width="6" customWidth="1"/>
    <col min="99" max="99" width="15.7109375" customWidth="1"/>
    <col min="100" max="100" width="23.42578125" customWidth="1"/>
    <col min="101" max="101" width="15.7109375" customWidth="1"/>
    <col min="102" max="106" width="5.7109375" customWidth="1"/>
  </cols>
  <sheetData>
    <row r="1" spans="1:106" ht="30" customHeight="1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6" t="s">
        <v>51</v>
      </c>
      <c r="BA1" s="6" t="s">
        <v>52</v>
      </c>
      <c r="BB1" s="6" t="s">
        <v>53</v>
      </c>
      <c r="BC1" s="6" t="s">
        <v>54</v>
      </c>
      <c r="BD1" s="6" t="s">
        <v>55</v>
      </c>
      <c r="BE1" s="6" t="s">
        <v>56</v>
      </c>
      <c r="BF1" s="6" t="s">
        <v>57</v>
      </c>
      <c r="BG1" s="6" t="s">
        <v>58</v>
      </c>
      <c r="BH1" s="6" t="s">
        <v>59</v>
      </c>
      <c r="BI1" s="6" t="s">
        <v>60</v>
      </c>
      <c r="BJ1" s="6" t="s">
        <v>61</v>
      </c>
      <c r="BK1" s="6" t="s">
        <v>62</v>
      </c>
      <c r="BL1" s="6" t="s">
        <v>63</v>
      </c>
      <c r="BM1" s="6" t="s">
        <v>64</v>
      </c>
      <c r="BN1" s="6" t="s">
        <v>65</v>
      </c>
      <c r="BO1" s="6" t="s">
        <v>66</v>
      </c>
      <c r="BP1" s="6" t="s">
        <v>67</v>
      </c>
      <c r="BQ1" s="6" t="s">
        <v>68</v>
      </c>
      <c r="BR1" s="6" t="s">
        <v>69</v>
      </c>
      <c r="BS1" s="6" t="s">
        <v>70</v>
      </c>
      <c r="BT1" s="6" t="s">
        <v>71</v>
      </c>
      <c r="BU1" s="6" t="s">
        <v>72</v>
      </c>
      <c r="BV1" s="6" t="s">
        <v>73</v>
      </c>
      <c r="BW1" s="6" t="s">
        <v>74</v>
      </c>
      <c r="BX1" s="6" t="s">
        <v>75</v>
      </c>
      <c r="BY1" s="6" t="s">
        <v>76</v>
      </c>
      <c r="BZ1" s="6" t="s">
        <v>77</v>
      </c>
      <c r="CA1" s="6" t="s">
        <v>78</v>
      </c>
      <c r="CB1" s="6" t="s">
        <v>79</v>
      </c>
      <c r="CC1" s="6" t="s">
        <v>80</v>
      </c>
      <c r="CD1" s="6" t="s">
        <v>81</v>
      </c>
      <c r="CE1" s="6" t="s">
        <v>82</v>
      </c>
      <c r="CF1" s="6" t="s">
        <v>83</v>
      </c>
      <c r="CG1" s="6" t="s">
        <v>84</v>
      </c>
      <c r="CH1" s="6" t="s">
        <v>85</v>
      </c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</row>
    <row r="2" spans="1:106" ht="14.25" customHeight="1">
      <c r="A2" s="8" t="s">
        <v>86</v>
      </c>
      <c r="B2" s="9" t="s">
        <v>87</v>
      </c>
      <c r="C2" s="10" t="s">
        <v>88</v>
      </c>
      <c r="D2" s="10" t="s">
        <v>89</v>
      </c>
      <c r="E2" s="11" t="s">
        <v>90</v>
      </c>
      <c r="F2" s="11" t="s">
        <v>91</v>
      </c>
      <c r="G2" s="11" t="s">
        <v>92</v>
      </c>
      <c r="H2" s="11" t="s">
        <v>91</v>
      </c>
      <c r="I2" s="11" t="s">
        <v>93</v>
      </c>
      <c r="J2" s="11" t="s">
        <v>91</v>
      </c>
      <c r="K2" s="11" t="s">
        <v>94</v>
      </c>
      <c r="L2" s="11" t="s">
        <v>91</v>
      </c>
      <c r="M2" s="11" t="s">
        <v>95</v>
      </c>
      <c r="N2" s="11" t="s">
        <v>91</v>
      </c>
      <c r="O2" s="11" t="s">
        <v>96</v>
      </c>
      <c r="P2" s="11" t="s">
        <v>91</v>
      </c>
      <c r="Q2" s="11" t="s">
        <v>97</v>
      </c>
      <c r="R2" s="10" t="s">
        <v>88</v>
      </c>
      <c r="S2" s="10" t="s">
        <v>98</v>
      </c>
      <c r="T2" s="11" t="s">
        <v>99</v>
      </c>
      <c r="U2" s="11" t="s">
        <v>100</v>
      </c>
      <c r="V2" s="11" t="s">
        <v>101</v>
      </c>
      <c r="W2" s="11" t="s">
        <v>91</v>
      </c>
      <c r="X2" s="11" t="s">
        <v>102</v>
      </c>
      <c r="Y2" s="11" t="s">
        <v>100</v>
      </c>
      <c r="Z2" s="11" t="s">
        <v>103</v>
      </c>
      <c r="AA2" s="11" t="s">
        <v>91</v>
      </c>
      <c r="AB2" s="11" t="s">
        <v>104</v>
      </c>
      <c r="AC2" s="11" t="s">
        <v>100</v>
      </c>
      <c r="AD2" s="10" t="s">
        <v>105</v>
      </c>
      <c r="AE2" s="11" t="s">
        <v>106</v>
      </c>
      <c r="AF2" s="11" t="s">
        <v>91</v>
      </c>
      <c r="AG2" s="11" t="s">
        <v>107</v>
      </c>
      <c r="AH2" s="11" t="s">
        <v>100</v>
      </c>
      <c r="AI2" s="11" t="s">
        <v>108</v>
      </c>
      <c r="AJ2" s="11" t="s">
        <v>91</v>
      </c>
      <c r="AK2" s="11" t="s">
        <v>109</v>
      </c>
      <c r="AL2" s="11" t="s">
        <v>100</v>
      </c>
      <c r="AM2" s="11" t="s">
        <v>110</v>
      </c>
      <c r="AN2" s="11" t="s">
        <v>91</v>
      </c>
      <c r="AO2" s="10" t="s">
        <v>111</v>
      </c>
      <c r="AP2" s="11" t="s">
        <v>112</v>
      </c>
      <c r="AQ2" s="11" t="s">
        <v>91</v>
      </c>
      <c r="AR2" s="11" t="s">
        <v>113</v>
      </c>
      <c r="AS2" s="11" t="s">
        <v>100</v>
      </c>
      <c r="AT2" s="11" t="s">
        <v>114</v>
      </c>
      <c r="AU2" s="11" t="s">
        <v>91</v>
      </c>
      <c r="AV2" s="11" t="s">
        <v>115</v>
      </c>
      <c r="AW2" s="11" t="s">
        <v>100</v>
      </c>
      <c r="AX2" s="11" t="s">
        <v>116</v>
      </c>
      <c r="AY2" s="11" t="s">
        <v>91</v>
      </c>
      <c r="AZ2" s="11" t="s">
        <v>117</v>
      </c>
      <c r="BA2" s="10" t="s">
        <v>89</v>
      </c>
      <c r="BB2" s="10" t="s">
        <v>105</v>
      </c>
      <c r="BC2" s="11" t="s">
        <v>118</v>
      </c>
      <c r="BD2" s="11" t="s">
        <v>91</v>
      </c>
      <c r="BE2" s="11" t="s">
        <v>119</v>
      </c>
      <c r="BF2" s="11" t="s">
        <v>100</v>
      </c>
      <c r="BG2" s="11" t="s">
        <v>120</v>
      </c>
      <c r="BH2" s="11" t="s">
        <v>91</v>
      </c>
      <c r="BI2" s="11" t="s">
        <v>121</v>
      </c>
      <c r="BJ2" s="11" t="s">
        <v>100</v>
      </c>
      <c r="BK2" s="11"/>
      <c r="BL2" s="11"/>
      <c r="BM2" s="10" t="s">
        <v>111</v>
      </c>
      <c r="BN2" s="11" t="s">
        <v>122</v>
      </c>
      <c r="BO2" s="11" t="s">
        <v>91</v>
      </c>
      <c r="BP2" s="11" t="s">
        <v>123</v>
      </c>
      <c r="BQ2" s="11" t="s">
        <v>100</v>
      </c>
      <c r="BR2" s="11" t="s">
        <v>124</v>
      </c>
      <c r="BS2" s="11" t="s">
        <v>91</v>
      </c>
      <c r="BT2" s="11" t="s">
        <v>125</v>
      </c>
      <c r="BU2" s="11" t="s">
        <v>100</v>
      </c>
      <c r="BV2" s="11"/>
      <c r="BW2" s="11"/>
      <c r="BX2" s="10" t="s">
        <v>98</v>
      </c>
      <c r="BY2" s="11" t="s">
        <v>126</v>
      </c>
      <c r="BZ2" s="11" t="s">
        <v>91</v>
      </c>
      <c r="CA2" s="11" t="s">
        <v>127</v>
      </c>
      <c r="CB2" s="11" t="s">
        <v>100</v>
      </c>
      <c r="CC2" s="11" t="s">
        <v>128</v>
      </c>
      <c r="CD2" s="11" t="s">
        <v>91</v>
      </c>
      <c r="CE2" s="11" t="s">
        <v>129</v>
      </c>
      <c r="CF2" s="11" t="s">
        <v>100</v>
      </c>
      <c r="CG2" s="11"/>
      <c r="CH2" s="11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</row>
    <row r="3" spans="1:106" ht="14.25" customHeight="1">
      <c r="A3" s="8" t="s">
        <v>130</v>
      </c>
      <c r="B3" s="9" t="s">
        <v>131</v>
      </c>
      <c r="C3" s="10" t="s">
        <v>132</v>
      </c>
      <c r="D3" s="10" t="s">
        <v>89</v>
      </c>
      <c r="E3" s="11" t="s">
        <v>90</v>
      </c>
      <c r="F3" s="11" t="s">
        <v>91</v>
      </c>
      <c r="G3" s="11" t="s">
        <v>92</v>
      </c>
      <c r="H3" s="11" t="s">
        <v>91</v>
      </c>
      <c r="I3" s="11" t="s">
        <v>93</v>
      </c>
      <c r="J3" s="11" t="s">
        <v>91</v>
      </c>
      <c r="K3" s="11" t="s">
        <v>94</v>
      </c>
      <c r="L3" s="11" t="s">
        <v>91</v>
      </c>
      <c r="M3" s="11" t="s">
        <v>95</v>
      </c>
      <c r="N3" s="11" t="s">
        <v>91</v>
      </c>
      <c r="O3" s="11" t="s">
        <v>96</v>
      </c>
      <c r="P3" s="11" t="s">
        <v>91</v>
      </c>
      <c r="Q3" s="11" t="s">
        <v>117</v>
      </c>
      <c r="R3" s="10" t="s">
        <v>132</v>
      </c>
      <c r="S3" s="10" t="s">
        <v>111</v>
      </c>
      <c r="T3" s="11" t="s">
        <v>122</v>
      </c>
      <c r="U3" s="11" t="s">
        <v>91</v>
      </c>
      <c r="V3" s="11" t="s">
        <v>125</v>
      </c>
      <c r="W3" s="11" t="s">
        <v>100</v>
      </c>
      <c r="X3" s="11" t="s">
        <v>124</v>
      </c>
      <c r="Y3" s="11" t="s">
        <v>91</v>
      </c>
      <c r="Z3" s="11" t="s">
        <v>123</v>
      </c>
      <c r="AA3" s="11" t="s">
        <v>100</v>
      </c>
      <c r="AB3" s="11"/>
      <c r="AC3" s="11"/>
      <c r="AD3" s="10" t="s">
        <v>98</v>
      </c>
      <c r="AE3" s="11" t="s">
        <v>126</v>
      </c>
      <c r="AF3" s="11" t="s">
        <v>91</v>
      </c>
      <c r="AG3" s="11" t="s">
        <v>129</v>
      </c>
      <c r="AH3" s="11" t="s">
        <v>100</v>
      </c>
      <c r="AI3" s="11" t="s">
        <v>128</v>
      </c>
      <c r="AJ3" s="11" t="s">
        <v>91</v>
      </c>
      <c r="AK3" s="11" t="s">
        <v>127</v>
      </c>
      <c r="AL3" s="11" t="s">
        <v>100</v>
      </c>
      <c r="AM3" s="11"/>
      <c r="AN3" s="11"/>
      <c r="AO3" s="10" t="s">
        <v>105</v>
      </c>
      <c r="AP3" s="11" t="s">
        <v>118</v>
      </c>
      <c r="AQ3" s="11" t="s">
        <v>91</v>
      </c>
      <c r="AR3" s="11" t="s">
        <v>119</v>
      </c>
      <c r="AS3" s="11" t="s">
        <v>100</v>
      </c>
      <c r="AT3" s="11" t="s">
        <v>120</v>
      </c>
      <c r="AU3" s="11" t="s">
        <v>91</v>
      </c>
      <c r="AV3" s="11" t="s">
        <v>121</v>
      </c>
      <c r="AW3" s="11" t="s">
        <v>100</v>
      </c>
      <c r="AX3" s="11"/>
      <c r="AY3" s="11"/>
      <c r="AZ3" s="11" t="s">
        <v>97</v>
      </c>
      <c r="BA3" s="10" t="s">
        <v>89</v>
      </c>
      <c r="BB3" s="10" t="s">
        <v>105</v>
      </c>
      <c r="BC3" s="11" t="s">
        <v>110</v>
      </c>
      <c r="BD3" s="11" t="s">
        <v>91</v>
      </c>
      <c r="BE3" s="11" t="s">
        <v>109</v>
      </c>
      <c r="BF3" s="11" t="s">
        <v>100</v>
      </c>
      <c r="BG3" s="11" t="s">
        <v>106</v>
      </c>
      <c r="BH3" s="11" t="s">
        <v>91</v>
      </c>
      <c r="BI3" s="11" t="s">
        <v>107</v>
      </c>
      <c r="BJ3" s="11" t="s">
        <v>100</v>
      </c>
      <c r="BK3" s="11" t="s">
        <v>108</v>
      </c>
      <c r="BL3" s="11" t="s">
        <v>91</v>
      </c>
      <c r="BM3" s="10" t="s">
        <v>111</v>
      </c>
      <c r="BN3" s="11" t="s">
        <v>112</v>
      </c>
      <c r="BO3" s="11" t="s">
        <v>91</v>
      </c>
      <c r="BP3" s="11" t="s">
        <v>113</v>
      </c>
      <c r="BQ3" s="11" t="s">
        <v>100</v>
      </c>
      <c r="BR3" s="11" t="s">
        <v>114</v>
      </c>
      <c r="BS3" s="11" t="s">
        <v>91</v>
      </c>
      <c r="BT3" s="11" t="s">
        <v>115</v>
      </c>
      <c r="BU3" s="11" t="s">
        <v>100</v>
      </c>
      <c r="BV3" s="11" t="s">
        <v>116</v>
      </c>
      <c r="BW3" s="11" t="s">
        <v>91</v>
      </c>
      <c r="BX3" s="10" t="s">
        <v>98</v>
      </c>
      <c r="BY3" s="11" t="s">
        <v>104</v>
      </c>
      <c r="BZ3" s="11" t="s">
        <v>100</v>
      </c>
      <c r="CA3" s="11" t="s">
        <v>103</v>
      </c>
      <c r="CB3" s="11" t="s">
        <v>91</v>
      </c>
      <c r="CC3" s="11" t="s">
        <v>102</v>
      </c>
      <c r="CD3" s="11" t="s">
        <v>100</v>
      </c>
      <c r="CE3" s="11" t="s">
        <v>101</v>
      </c>
      <c r="CF3" s="11" t="s">
        <v>91</v>
      </c>
      <c r="CG3" s="11" t="s">
        <v>99</v>
      </c>
      <c r="CH3" s="11" t="s">
        <v>100</v>
      </c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</row>
    <row r="4" spans="1:106" ht="14.25" customHeight="1">
      <c r="A4" s="8" t="s">
        <v>133</v>
      </c>
      <c r="B4" s="9" t="s">
        <v>87</v>
      </c>
      <c r="C4" s="10" t="s">
        <v>132</v>
      </c>
      <c r="D4" s="10" t="s">
        <v>88</v>
      </c>
      <c r="E4" s="11" t="s">
        <v>90</v>
      </c>
      <c r="F4" s="11" t="s">
        <v>91</v>
      </c>
      <c r="G4" s="11" t="s">
        <v>92</v>
      </c>
      <c r="H4" s="11" t="s">
        <v>91</v>
      </c>
      <c r="I4" s="11" t="s">
        <v>93</v>
      </c>
      <c r="J4" s="11" t="s">
        <v>91</v>
      </c>
      <c r="K4" s="11" t="s">
        <v>94</v>
      </c>
      <c r="L4" s="11" t="s">
        <v>91</v>
      </c>
      <c r="M4" s="11" t="s">
        <v>95</v>
      </c>
      <c r="N4" s="11" t="s">
        <v>91</v>
      </c>
      <c r="O4" s="11" t="s">
        <v>96</v>
      </c>
      <c r="P4" s="11" t="s">
        <v>91</v>
      </c>
      <c r="Q4" s="11" t="s">
        <v>97</v>
      </c>
      <c r="R4" s="10" t="s">
        <v>132</v>
      </c>
      <c r="S4" s="10" t="s">
        <v>111</v>
      </c>
      <c r="T4" s="11" t="s">
        <v>116</v>
      </c>
      <c r="U4" s="11" t="s">
        <v>91</v>
      </c>
      <c r="V4" s="11" t="s">
        <v>115</v>
      </c>
      <c r="W4" s="11" t="s">
        <v>100</v>
      </c>
      <c r="X4" s="11" t="s">
        <v>114</v>
      </c>
      <c r="Y4" s="11" t="s">
        <v>91</v>
      </c>
      <c r="Z4" s="11" t="s">
        <v>113</v>
      </c>
      <c r="AA4" s="11" t="s">
        <v>100</v>
      </c>
      <c r="AB4" s="11" t="s">
        <v>112</v>
      </c>
      <c r="AC4" s="11" t="s">
        <v>91</v>
      </c>
      <c r="AD4" s="10" t="s">
        <v>98</v>
      </c>
      <c r="AE4" s="11" t="s">
        <v>104</v>
      </c>
      <c r="AF4" s="11" t="s">
        <v>100</v>
      </c>
      <c r="AG4" s="11" t="s">
        <v>103</v>
      </c>
      <c r="AH4" s="11" t="s">
        <v>91</v>
      </c>
      <c r="AI4" s="11" t="s">
        <v>102</v>
      </c>
      <c r="AJ4" s="11" t="s">
        <v>100</v>
      </c>
      <c r="AK4" s="11" t="s">
        <v>101</v>
      </c>
      <c r="AL4" s="11" t="s">
        <v>91</v>
      </c>
      <c r="AM4" s="11" t="s">
        <v>99</v>
      </c>
      <c r="AN4" s="11" t="s">
        <v>100</v>
      </c>
      <c r="AO4" s="10" t="s">
        <v>105</v>
      </c>
      <c r="AP4" s="11" t="s">
        <v>106</v>
      </c>
      <c r="AQ4" s="11" t="s">
        <v>91</v>
      </c>
      <c r="AR4" s="11" t="s">
        <v>107</v>
      </c>
      <c r="AS4" s="11" t="s">
        <v>100</v>
      </c>
      <c r="AT4" s="11" t="s">
        <v>110</v>
      </c>
      <c r="AU4" s="11" t="s">
        <v>91</v>
      </c>
      <c r="AV4" s="11" t="s">
        <v>109</v>
      </c>
      <c r="AW4" s="11" t="s">
        <v>100</v>
      </c>
      <c r="AX4" s="11" t="s">
        <v>108</v>
      </c>
      <c r="AY4" s="11" t="s">
        <v>91</v>
      </c>
      <c r="AZ4" s="11" t="s">
        <v>117</v>
      </c>
      <c r="BA4" s="10" t="s">
        <v>88</v>
      </c>
      <c r="BB4" s="10" t="s">
        <v>98</v>
      </c>
      <c r="BC4" s="11" t="s">
        <v>126</v>
      </c>
      <c r="BD4" s="11" t="s">
        <v>91</v>
      </c>
      <c r="BE4" s="11" t="s">
        <v>129</v>
      </c>
      <c r="BF4" s="11" t="s">
        <v>100</v>
      </c>
      <c r="BG4" s="11" t="s">
        <v>128</v>
      </c>
      <c r="BH4" s="11" t="s">
        <v>91</v>
      </c>
      <c r="BI4" s="11" t="s">
        <v>127</v>
      </c>
      <c r="BJ4" s="11" t="s">
        <v>100</v>
      </c>
      <c r="BK4" s="11"/>
      <c r="BL4" s="11"/>
      <c r="BM4" s="10" t="s">
        <v>105</v>
      </c>
      <c r="BN4" s="11" t="s">
        <v>120</v>
      </c>
      <c r="BO4" s="11" t="s">
        <v>91</v>
      </c>
      <c r="BP4" s="11" t="s">
        <v>121</v>
      </c>
      <c r="BQ4" s="11" t="s">
        <v>100</v>
      </c>
      <c r="BR4" s="11" t="s">
        <v>118</v>
      </c>
      <c r="BS4" s="11" t="s">
        <v>91</v>
      </c>
      <c r="BT4" s="11" t="s">
        <v>119</v>
      </c>
      <c r="BU4" s="11" t="s">
        <v>100</v>
      </c>
      <c r="BV4" s="11"/>
      <c r="BW4" s="11"/>
      <c r="BX4" s="10" t="s">
        <v>111</v>
      </c>
      <c r="BY4" s="11" t="s">
        <v>122</v>
      </c>
      <c r="BZ4" s="11" t="s">
        <v>91</v>
      </c>
      <c r="CA4" s="11" t="s">
        <v>125</v>
      </c>
      <c r="CB4" s="11" t="s">
        <v>100</v>
      </c>
      <c r="CC4" s="11" t="s">
        <v>124</v>
      </c>
      <c r="CD4" s="11" t="s">
        <v>91</v>
      </c>
      <c r="CE4" s="11" t="s">
        <v>123</v>
      </c>
      <c r="CF4" s="11" t="s">
        <v>100</v>
      </c>
      <c r="CG4" s="11"/>
      <c r="CH4" s="11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</row>
    <row r="5" spans="1:106" ht="14.25" customHeight="1">
      <c r="A5" s="8" t="s">
        <v>134</v>
      </c>
      <c r="B5" s="9" t="s">
        <v>131</v>
      </c>
      <c r="C5" s="10" t="s">
        <v>89</v>
      </c>
      <c r="D5" s="10" t="s">
        <v>88</v>
      </c>
      <c r="E5" s="11" t="s">
        <v>90</v>
      </c>
      <c r="F5" s="11" t="s">
        <v>91</v>
      </c>
      <c r="G5" s="11" t="s">
        <v>92</v>
      </c>
      <c r="H5" s="11" t="s">
        <v>91</v>
      </c>
      <c r="I5" s="11" t="s">
        <v>93</v>
      </c>
      <c r="J5" s="11" t="s">
        <v>91</v>
      </c>
      <c r="K5" s="11" t="s">
        <v>94</v>
      </c>
      <c r="L5" s="11" t="s">
        <v>91</v>
      </c>
      <c r="M5" s="11" t="s">
        <v>95</v>
      </c>
      <c r="N5" s="11" t="s">
        <v>91</v>
      </c>
      <c r="O5" s="11" t="s">
        <v>96</v>
      </c>
      <c r="P5" s="11" t="s">
        <v>91</v>
      </c>
      <c r="Q5" s="11" t="s">
        <v>117</v>
      </c>
      <c r="R5" s="10" t="s">
        <v>89</v>
      </c>
      <c r="S5" s="10" t="s">
        <v>105</v>
      </c>
      <c r="T5" s="11" t="s">
        <v>120</v>
      </c>
      <c r="U5" s="11" t="s">
        <v>91</v>
      </c>
      <c r="V5" s="11" t="s">
        <v>121</v>
      </c>
      <c r="W5" s="11" t="s">
        <v>100</v>
      </c>
      <c r="X5" s="11" t="s">
        <v>118</v>
      </c>
      <c r="Y5" s="11" t="s">
        <v>91</v>
      </c>
      <c r="Z5" s="11" t="s">
        <v>119</v>
      </c>
      <c r="AA5" s="11" t="s">
        <v>100</v>
      </c>
      <c r="AB5" s="11"/>
      <c r="AC5" s="11"/>
      <c r="AD5" s="10" t="s">
        <v>111</v>
      </c>
      <c r="AE5" s="11" t="s">
        <v>124</v>
      </c>
      <c r="AF5" s="11" t="s">
        <v>91</v>
      </c>
      <c r="AG5" s="11" t="s">
        <v>125</v>
      </c>
      <c r="AH5" s="11" t="s">
        <v>100</v>
      </c>
      <c r="AI5" s="11" t="s">
        <v>122</v>
      </c>
      <c r="AJ5" s="11" t="s">
        <v>91</v>
      </c>
      <c r="AK5" s="11" t="s">
        <v>123</v>
      </c>
      <c r="AL5" s="11" t="s">
        <v>100</v>
      </c>
      <c r="AM5" s="11"/>
      <c r="AN5" s="11"/>
      <c r="AO5" s="10" t="s">
        <v>98</v>
      </c>
      <c r="AP5" s="11" t="s">
        <v>126</v>
      </c>
      <c r="AQ5" s="11" t="s">
        <v>91</v>
      </c>
      <c r="AR5" s="11" t="s">
        <v>129</v>
      </c>
      <c r="AS5" s="11" t="s">
        <v>100</v>
      </c>
      <c r="AT5" s="11" t="s">
        <v>128</v>
      </c>
      <c r="AU5" s="11" t="s">
        <v>91</v>
      </c>
      <c r="AV5" s="11" t="s">
        <v>127</v>
      </c>
      <c r="AW5" s="11" t="s">
        <v>100</v>
      </c>
      <c r="AX5" s="11"/>
      <c r="AY5" s="11"/>
      <c r="AZ5" s="11" t="s">
        <v>97</v>
      </c>
      <c r="BA5" s="10" t="s">
        <v>88</v>
      </c>
      <c r="BB5" s="10" t="s">
        <v>98</v>
      </c>
      <c r="BC5" s="11" t="s">
        <v>102</v>
      </c>
      <c r="BD5" s="11" t="s">
        <v>100</v>
      </c>
      <c r="BE5" s="11" t="s">
        <v>101</v>
      </c>
      <c r="BF5" s="11" t="s">
        <v>91</v>
      </c>
      <c r="BG5" s="11" t="s">
        <v>104</v>
      </c>
      <c r="BH5" s="11" t="s">
        <v>100</v>
      </c>
      <c r="BI5" s="11" t="s">
        <v>103</v>
      </c>
      <c r="BJ5" s="11" t="s">
        <v>91</v>
      </c>
      <c r="BK5" s="11" t="s">
        <v>99</v>
      </c>
      <c r="BL5" s="11" t="s">
        <v>100</v>
      </c>
      <c r="BM5" s="10" t="s">
        <v>105</v>
      </c>
      <c r="BN5" s="11" t="s">
        <v>106</v>
      </c>
      <c r="BO5" s="11" t="s">
        <v>91</v>
      </c>
      <c r="BP5" s="11" t="s">
        <v>109</v>
      </c>
      <c r="BQ5" s="11" t="s">
        <v>100</v>
      </c>
      <c r="BR5" s="11" t="s">
        <v>108</v>
      </c>
      <c r="BS5" s="11" t="s">
        <v>91</v>
      </c>
      <c r="BT5" s="11" t="s">
        <v>107</v>
      </c>
      <c r="BU5" s="11" t="s">
        <v>100</v>
      </c>
      <c r="BV5" s="11" t="s">
        <v>110</v>
      </c>
      <c r="BW5" s="11" t="s">
        <v>91</v>
      </c>
      <c r="BX5" s="10" t="s">
        <v>111</v>
      </c>
      <c r="BY5" s="11" t="s">
        <v>116</v>
      </c>
      <c r="BZ5" s="11" t="s">
        <v>91</v>
      </c>
      <c r="CA5" s="11" t="s">
        <v>113</v>
      </c>
      <c r="CB5" s="11" t="s">
        <v>100</v>
      </c>
      <c r="CC5" s="11" t="s">
        <v>114</v>
      </c>
      <c r="CD5" s="11" t="s">
        <v>91</v>
      </c>
      <c r="CE5" s="11" t="s">
        <v>115</v>
      </c>
      <c r="CF5" s="11" t="s">
        <v>100</v>
      </c>
      <c r="CG5" s="11" t="s">
        <v>112</v>
      </c>
      <c r="CH5" s="11" t="s">
        <v>91</v>
      </c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</row>
    <row r="6" spans="1:106" ht="14.25" customHeight="1">
      <c r="A6" s="8" t="s">
        <v>135</v>
      </c>
      <c r="B6" s="9" t="s">
        <v>87</v>
      </c>
      <c r="C6" s="10" t="s">
        <v>89</v>
      </c>
      <c r="D6" s="10" t="s">
        <v>132</v>
      </c>
      <c r="E6" s="11" t="s">
        <v>90</v>
      </c>
      <c r="F6" s="11" t="s">
        <v>91</v>
      </c>
      <c r="G6" s="11" t="s">
        <v>92</v>
      </c>
      <c r="H6" s="11" t="s">
        <v>91</v>
      </c>
      <c r="I6" s="11" t="s">
        <v>93</v>
      </c>
      <c r="J6" s="11" t="s">
        <v>91</v>
      </c>
      <c r="K6" s="11" t="s">
        <v>94</v>
      </c>
      <c r="L6" s="11" t="s">
        <v>91</v>
      </c>
      <c r="M6" s="11" t="s">
        <v>95</v>
      </c>
      <c r="N6" s="11" t="s">
        <v>91</v>
      </c>
      <c r="O6" s="11" t="s">
        <v>96</v>
      </c>
      <c r="P6" s="11" t="s">
        <v>91</v>
      </c>
      <c r="Q6" s="11" t="s">
        <v>97</v>
      </c>
      <c r="R6" s="10" t="s">
        <v>89</v>
      </c>
      <c r="S6" s="10" t="s">
        <v>105</v>
      </c>
      <c r="T6" s="11" t="s">
        <v>108</v>
      </c>
      <c r="U6" s="11" t="s">
        <v>91</v>
      </c>
      <c r="V6" s="11" t="s">
        <v>107</v>
      </c>
      <c r="W6" s="11" t="s">
        <v>100</v>
      </c>
      <c r="X6" s="11" t="s">
        <v>110</v>
      </c>
      <c r="Y6" s="11" t="s">
        <v>91</v>
      </c>
      <c r="Z6" s="11" t="s">
        <v>109</v>
      </c>
      <c r="AA6" s="11" t="s">
        <v>100</v>
      </c>
      <c r="AB6" s="11" t="s">
        <v>106</v>
      </c>
      <c r="AC6" s="11" t="s">
        <v>91</v>
      </c>
      <c r="AD6" s="10" t="s">
        <v>111</v>
      </c>
      <c r="AE6" s="11" t="s">
        <v>112</v>
      </c>
      <c r="AF6" s="11" t="s">
        <v>91</v>
      </c>
      <c r="AG6" s="11" t="s">
        <v>115</v>
      </c>
      <c r="AH6" s="11" t="s">
        <v>100</v>
      </c>
      <c r="AI6" s="11" t="s">
        <v>116</v>
      </c>
      <c r="AJ6" s="11" t="s">
        <v>91</v>
      </c>
      <c r="AK6" s="11" t="s">
        <v>113</v>
      </c>
      <c r="AL6" s="11" t="s">
        <v>100</v>
      </c>
      <c r="AM6" s="11" t="s">
        <v>114</v>
      </c>
      <c r="AN6" s="11" t="s">
        <v>91</v>
      </c>
      <c r="AO6" s="10" t="s">
        <v>98</v>
      </c>
      <c r="AP6" s="11" t="s">
        <v>104</v>
      </c>
      <c r="AQ6" s="11" t="s">
        <v>100</v>
      </c>
      <c r="AR6" s="11" t="s">
        <v>103</v>
      </c>
      <c r="AS6" s="11" t="s">
        <v>91</v>
      </c>
      <c r="AT6" s="11" t="s">
        <v>99</v>
      </c>
      <c r="AU6" s="11" t="s">
        <v>100</v>
      </c>
      <c r="AV6" s="11" t="s">
        <v>101</v>
      </c>
      <c r="AW6" s="11" t="s">
        <v>91</v>
      </c>
      <c r="AX6" s="11" t="s">
        <v>102</v>
      </c>
      <c r="AY6" s="11" t="s">
        <v>100</v>
      </c>
      <c r="AZ6" s="11" t="s">
        <v>117</v>
      </c>
      <c r="BA6" s="10" t="s">
        <v>132</v>
      </c>
      <c r="BB6" s="10" t="s">
        <v>111</v>
      </c>
      <c r="BC6" s="11" t="s">
        <v>122</v>
      </c>
      <c r="BD6" s="11" t="s">
        <v>91</v>
      </c>
      <c r="BE6" s="11" t="s">
        <v>125</v>
      </c>
      <c r="BF6" s="11" t="s">
        <v>100</v>
      </c>
      <c r="BG6" s="11" t="s">
        <v>124</v>
      </c>
      <c r="BH6" s="11" t="s">
        <v>91</v>
      </c>
      <c r="BI6" s="11" t="s">
        <v>123</v>
      </c>
      <c r="BJ6" s="11" t="s">
        <v>100</v>
      </c>
      <c r="BK6" s="11"/>
      <c r="BL6" s="11"/>
      <c r="BM6" s="10" t="s">
        <v>98</v>
      </c>
      <c r="BN6" s="11" t="s">
        <v>126</v>
      </c>
      <c r="BO6" s="11" t="s">
        <v>91</v>
      </c>
      <c r="BP6" s="11" t="s">
        <v>127</v>
      </c>
      <c r="BQ6" s="11" t="s">
        <v>100</v>
      </c>
      <c r="BR6" s="11" t="s">
        <v>128</v>
      </c>
      <c r="BS6" s="11" t="s">
        <v>91</v>
      </c>
      <c r="BT6" s="11" t="s">
        <v>129</v>
      </c>
      <c r="BU6" s="11" t="s">
        <v>100</v>
      </c>
      <c r="BV6" s="11"/>
      <c r="BW6" s="11"/>
      <c r="BX6" s="10" t="s">
        <v>105</v>
      </c>
      <c r="BY6" s="11" t="s">
        <v>118</v>
      </c>
      <c r="BZ6" s="11" t="s">
        <v>91</v>
      </c>
      <c r="CA6" s="11" t="s">
        <v>119</v>
      </c>
      <c r="CB6" s="11" t="s">
        <v>100</v>
      </c>
      <c r="CC6" s="11" t="s">
        <v>120</v>
      </c>
      <c r="CD6" s="11" t="s">
        <v>91</v>
      </c>
      <c r="CE6" s="11" t="s">
        <v>121</v>
      </c>
      <c r="CF6" s="11" t="s">
        <v>100</v>
      </c>
      <c r="CG6" s="11"/>
      <c r="CH6" s="11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</row>
    <row r="7" spans="1:106" ht="14.25" customHeight="1">
      <c r="A7" s="8" t="s">
        <v>136</v>
      </c>
      <c r="B7" s="9" t="s">
        <v>131</v>
      </c>
      <c r="C7" s="10" t="s">
        <v>88</v>
      </c>
      <c r="D7" s="10" t="s">
        <v>132</v>
      </c>
      <c r="E7" s="11" t="s">
        <v>90</v>
      </c>
      <c r="F7" s="11" t="s">
        <v>91</v>
      </c>
      <c r="G7" s="11" t="s">
        <v>92</v>
      </c>
      <c r="H7" s="11" t="s">
        <v>91</v>
      </c>
      <c r="I7" s="11" t="s">
        <v>93</v>
      </c>
      <c r="J7" s="11" t="s">
        <v>91</v>
      </c>
      <c r="K7" s="11" t="s">
        <v>94</v>
      </c>
      <c r="L7" s="11" t="s">
        <v>91</v>
      </c>
      <c r="M7" s="11" t="s">
        <v>95</v>
      </c>
      <c r="N7" s="11" t="s">
        <v>91</v>
      </c>
      <c r="O7" s="11" t="s">
        <v>96</v>
      </c>
      <c r="P7" s="11" t="s">
        <v>91</v>
      </c>
      <c r="Q7" s="11" t="s">
        <v>117</v>
      </c>
      <c r="R7" s="10" t="s">
        <v>88</v>
      </c>
      <c r="S7" s="10" t="s">
        <v>98</v>
      </c>
      <c r="T7" s="11" t="s">
        <v>128</v>
      </c>
      <c r="U7" s="11" t="s">
        <v>91</v>
      </c>
      <c r="V7" s="11" t="s">
        <v>129</v>
      </c>
      <c r="W7" s="11" t="s">
        <v>100</v>
      </c>
      <c r="X7" s="11" t="s">
        <v>126</v>
      </c>
      <c r="Y7" s="11" t="s">
        <v>91</v>
      </c>
      <c r="Z7" s="11" t="s">
        <v>127</v>
      </c>
      <c r="AA7" s="11" t="s">
        <v>100</v>
      </c>
      <c r="AB7" s="11"/>
      <c r="AC7" s="11"/>
      <c r="AD7" s="10" t="s">
        <v>105</v>
      </c>
      <c r="AE7" s="11" t="s">
        <v>120</v>
      </c>
      <c r="AF7" s="11" t="s">
        <v>91</v>
      </c>
      <c r="AG7" s="11" t="s">
        <v>121</v>
      </c>
      <c r="AH7" s="11" t="s">
        <v>100</v>
      </c>
      <c r="AI7" s="11" t="s">
        <v>118</v>
      </c>
      <c r="AJ7" s="11" t="s">
        <v>91</v>
      </c>
      <c r="AK7" s="11" t="s">
        <v>119</v>
      </c>
      <c r="AL7" s="11" t="s">
        <v>100</v>
      </c>
      <c r="AM7" s="11"/>
      <c r="AN7" s="11"/>
      <c r="AO7" s="10" t="s">
        <v>111</v>
      </c>
      <c r="AP7" s="11" t="s">
        <v>122</v>
      </c>
      <c r="AQ7" s="11" t="s">
        <v>91</v>
      </c>
      <c r="AR7" s="11" t="s">
        <v>125</v>
      </c>
      <c r="AS7" s="11" t="s">
        <v>100</v>
      </c>
      <c r="AT7" s="11" t="s">
        <v>124</v>
      </c>
      <c r="AU7" s="11" t="s">
        <v>91</v>
      </c>
      <c r="AV7" s="11" t="s">
        <v>123</v>
      </c>
      <c r="AW7" s="11" t="s">
        <v>100</v>
      </c>
      <c r="AX7" s="11"/>
      <c r="AY7" s="11"/>
      <c r="AZ7" s="11" t="s">
        <v>97</v>
      </c>
      <c r="BA7" s="10" t="s">
        <v>132</v>
      </c>
      <c r="BB7" s="10" t="s">
        <v>111</v>
      </c>
      <c r="BC7" s="11" t="s">
        <v>116</v>
      </c>
      <c r="BD7" s="11" t="s">
        <v>91</v>
      </c>
      <c r="BE7" s="11" t="s">
        <v>113</v>
      </c>
      <c r="BF7" s="11" t="s">
        <v>100</v>
      </c>
      <c r="BG7" s="11" t="s">
        <v>114</v>
      </c>
      <c r="BH7" s="11" t="s">
        <v>91</v>
      </c>
      <c r="BI7" s="11" t="s">
        <v>115</v>
      </c>
      <c r="BJ7" s="11" t="s">
        <v>100</v>
      </c>
      <c r="BK7" s="11" t="s">
        <v>112</v>
      </c>
      <c r="BL7" s="11" t="s">
        <v>91</v>
      </c>
      <c r="BM7" s="10" t="s">
        <v>98</v>
      </c>
      <c r="BN7" s="11" t="s">
        <v>102</v>
      </c>
      <c r="BO7" s="11" t="s">
        <v>100</v>
      </c>
      <c r="BP7" s="11" t="s">
        <v>103</v>
      </c>
      <c r="BQ7" s="11" t="s">
        <v>91</v>
      </c>
      <c r="BR7" s="11" t="s">
        <v>104</v>
      </c>
      <c r="BS7" s="11" t="s">
        <v>100</v>
      </c>
      <c r="BT7" s="11" t="s">
        <v>101</v>
      </c>
      <c r="BU7" s="11" t="s">
        <v>91</v>
      </c>
      <c r="BV7" s="11" t="s">
        <v>99</v>
      </c>
      <c r="BW7" s="11" t="s">
        <v>100</v>
      </c>
      <c r="BX7" s="10" t="s">
        <v>105</v>
      </c>
      <c r="BY7" s="11" t="s">
        <v>108</v>
      </c>
      <c r="BZ7" s="11" t="s">
        <v>91</v>
      </c>
      <c r="CA7" s="11" t="s">
        <v>107</v>
      </c>
      <c r="CB7" s="11" t="s">
        <v>100</v>
      </c>
      <c r="CC7" s="11" t="s">
        <v>106</v>
      </c>
      <c r="CD7" s="11" t="s">
        <v>91</v>
      </c>
      <c r="CE7" s="11" t="s">
        <v>109</v>
      </c>
      <c r="CF7" s="11" t="s">
        <v>100</v>
      </c>
      <c r="CG7" s="11" t="s">
        <v>110</v>
      </c>
      <c r="CH7" s="11" t="s">
        <v>91</v>
      </c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</row>
    <row r="8" spans="1:106" ht="14.25" customHeight="1">
      <c r="A8" s="8" t="s">
        <v>137</v>
      </c>
      <c r="B8" s="9" t="s">
        <v>87</v>
      </c>
      <c r="C8" s="10" t="s">
        <v>88</v>
      </c>
      <c r="D8" s="10" t="s">
        <v>89</v>
      </c>
      <c r="E8" s="11" t="s">
        <v>90</v>
      </c>
      <c r="F8" s="11" t="s">
        <v>91</v>
      </c>
      <c r="G8" s="11" t="s">
        <v>92</v>
      </c>
      <c r="H8" s="11" t="s">
        <v>91</v>
      </c>
      <c r="I8" s="11" t="s">
        <v>93</v>
      </c>
      <c r="J8" s="11" t="s">
        <v>91</v>
      </c>
      <c r="K8" s="11" t="s">
        <v>94</v>
      </c>
      <c r="L8" s="11" t="s">
        <v>91</v>
      </c>
      <c r="M8" s="11" t="s">
        <v>95</v>
      </c>
      <c r="N8" s="11" t="s">
        <v>91</v>
      </c>
      <c r="O8" s="11" t="s">
        <v>96</v>
      </c>
      <c r="P8" s="11" t="s">
        <v>91</v>
      </c>
      <c r="Q8" s="11" t="s">
        <v>97</v>
      </c>
      <c r="R8" s="10" t="s">
        <v>88</v>
      </c>
      <c r="S8" s="10" t="s">
        <v>98</v>
      </c>
      <c r="T8" s="11" t="s">
        <v>102</v>
      </c>
      <c r="U8" s="11" t="s">
        <v>100</v>
      </c>
      <c r="V8" s="11" t="s">
        <v>101</v>
      </c>
      <c r="W8" s="11" t="s">
        <v>91</v>
      </c>
      <c r="X8" s="11" t="s">
        <v>104</v>
      </c>
      <c r="Y8" s="11" t="s">
        <v>100</v>
      </c>
      <c r="Z8" s="11" t="s">
        <v>103</v>
      </c>
      <c r="AA8" s="11" t="s">
        <v>91</v>
      </c>
      <c r="AB8" s="11" t="s">
        <v>99</v>
      </c>
      <c r="AC8" s="11" t="s">
        <v>100</v>
      </c>
      <c r="AD8" s="10" t="s">
        <v>105</v>
      </c>
      <c r="AE8" s="11" t="s">
        <v>108</v>
      </c>
      <c r="AF8" s="11" t="s">
        <v>91</v>
      </c>
      <c r="AG8" s="11" t="s">
        <v>109</v>
      </c>
      <c r="AH8" s="11" t="s">
        <v>100</v>
      </c>
      <c r="AI8" s="11" t="s">
        <v>110</v>
      </c>
      <c r="AJ8" s="11" t="s">
        <v>91</v>
      </c>
      <c r="AK8" s="11" t="s">
        <v>107</v>
      </c>
      <c r="AL8" s="11" t="s">
        <v>100</v>
      </c>
      <c r="AM8" s="11" t="s">
        <v>106</v>
      </c>
      <c r="AN8" s="11" t="s">
        <v>91</v>
      </c>
      <c r="AO8" s="10" t="s">
        <v>111</v>
      </c>
      <c r="AP8" s="11" t="s">
        <v>114</v>
      </c>
      <c r="AQ8" s="11" t="s">
        <v>91</v>
      </c>
      <c r="AR8" s="11" t="s">
        <v>113</v>
      </c>
      <c r="AS8" s="11" t="s">
        <v>100</v>
      </c>
      <c r="AT8" s="11" t="s">
        <v>112</v>
      </c>
      <c r="AU8" s="11" t="s">
        <v>91</v>
      </c>
      <c r="AV8" s="11" t="s">
        <v>115</v>
      </c>
      <c r="AW8" s="11" t="s">
        <v>100</v>
      </c>
      <c r="AX8" s="11" t="s">
        <v>116</v>
      </c>
      <c r="AY8" s="11" t="s">
        <v>91</v>
      </c>
      <c r="AZ8" s="11" t="s">
        <v>117</v>
      </c>
      <c r="BA8" s="10" t="s">
        <v>89</v>
      </c>
      <c r="BB8" s="10" t="s">
        <v>105</v>
      </c>
      <c r="BC8" s="11" t="s">
        <v>118</v>
      </c>
      <c r="BD8" s="11" t="s">
        <v>91</v>
      </c>
      <c r="BE8" s="11" t="s">
        <v>119</v>
      </c>
      <c r="BF8" s="11" t="s">
        <v>100</v>
      </c>
      <c r="BG8" s="11" t="s">
        <v>120</v>
      </c>
      <c r="BH8" s="11" t="s">
        <v>91</v>
      </c>
      <c r="BI8" s="11" t="s">
        <v>121</v>
      </c>
      <c r="BJ8" s="11" t="s">
        <v>100</v>
      </c>
      <c r="BK8" s="11"/>
      <c r="BL8" s="11"/>
      <c r="BM8" s="10" t="s">
        <v>111</v>
      </c>
      <c r="BN8" s="11" t="s">
        <v>122</v>
      </c>
      <c r="BO8" s="11" t="s">
        <v>91</v>
      </c>
      <c r="BP8" s="11" t="s">
        <v>125</v>
      </c>
      <c r="BQ8" s="11" t="s">
        <v>100</v>
      </c>
      <c r="BR8" s="11" t="s">
        <v>124</v>
      </c>
      <c r="BS8" s="11" t="s">
        <v>91</v>
      </c>
      <c r="BT8" s="11" t="s">
        <v>123</v>
      </c>
      <c r="BU8" s="11" t="s">
        <v>100</v>
      </c>
      <c r="BV8" s="11"/>
      <c r="BW8" s="11"/>
      <c r="BX8" s="10" t="s">
        <v>98</v>
      </c>
      <c r="BY8" s="11" t="s">
        <v>128</v>
      </c>
      <c r="BZ8" s="11" t="s">
        <v>91</v>
      </c>
      <c r="CA8" s="11" t="s">
        <v>127</v>
      </c>
      <c r="CB8" s="11" t="s">
        <v>100</v>
      </c>
      <c r="CC8" s="11" t="s">
        <v>126</v>
      </c>
      <c r="CD8" s="11" t="s">
        <v>91</v>
      </c>
      <c r="CE8" s="11" t="s">
        <v>129</v>
      </c>
      <c r="CF8" s="11" t="s">
        <v>100</v>
      </c>
      <c r="CG8" s="11"/>
      <c r="CH8" s="11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</row>
    <row r="9" spans="1:106" ht="14.25" customHeight="1">
      <c r="A9" s="8" t="s">
        <v>138</v>
      </c>
      <c r="B9" s="9" t="s">
        <v>131</v>
      </c>
      <c r="C9" s="10" t="s">
        <v>132</v>
      </c>
      <c r="D9" s="10" t="s">
        <v>89</v>
      </c>
      <c r="E9" s="11" t="s">
        <v>90</v>
      </c>
      <c r="F9" s="11" t="s">
        <v>91</v>
      </c>
      <c r="G9" s="11" t="s">
        <v>92</v>
      </c>
      <c r="H9" s="11" t="s">
        <v>91</v>
      </c>
      <c r="I9" s="11" t="s">
        <v>93</v>
      </c>
      <c r="J9" s="11" t="s">
        <v>91</v>
      </c>
      <c r="K9" s="11" t="s">
        <v>94</v>
      </c>
      <c r="L9" s="11" t="s">
        <v>91</v>
      </c>
      <c r="M9" s="11" t="s">
        <v>95</v>
      </c>
      <c r="N9" s="11" t="s">
        <v>91</v>
      </c>
      <c r="O9" s="11" t="s">
        <v>96</v>
      </c>
      <c r="P9" s="11" t="s">
        <v>91</v>
      </c>
      <c r="Q9" s="11" t="s">
        <v>117</v>
      </c>
      <c r="R9" s="10" t="s">
        <v>132</v>
      </c>
      <c r="S9" s="10" t="s">
        <v>111</v>
      </c>
      <c r="T9" s="11" t="s">
        <v>124</v>
      </c>
      <c r="U9" s="11" t="s">
        <v>91</v>
      </c>
      <c r="V9" s="11" t="s">
        <v>125</v>
      </c>
      <c r="W9" s="11" t="s">
        <v>100</v>
      </c>
      <c r="X9" s="11" t="s">
        <v>122</v>
      </c>
      <c r="Y9" s="11" t="s">
        <v>91</v>
      </c>
      <c r="Z9" s="11" t="s">
        <v>123</v>
      </c>
      <c r="AA9" s="11" t="s">
        <v>100</v>
      </c>
      <c r="AB9" s="11"/>
      <c r="AC9" s="11"/>
      <c r="AD9" s="10" t="s">
        <v>98</v>
      </c>
      <c r="AE9" s="11" t="s">
        <v>126</v>
      </c>
      <c r="AF9" s="11" t="s">
        <v>91</v>
      </c>
      <c r="AG9" s="11" t="s">
        <v>127</v>
      </c>
      <c r="AH9" s="11" t="s">
        <v>100</v>
      </c>
      <c r="AI9" s="11" t="s">
        <v>128</v>
      </c>
      <c r="AJ9" s="11" t="s">
        <v>91</v>
      </c>
      <c r="AK9" s="11" t="s">
        <v>129</v>
      </c>
      <c r="AL9" s="11" t="s">
        <v>100</v>
      </c>
      <c r="AM9" s="11"/>
      <c r="AN9" s="11"/>
      <c r="AO9" s="10" t="s">
        <v>105</v>
      </c>
      <c r="AP9" s="11" t="s">
        <v>120</v>
      </c>
      <c r="AQ9" s="11" t="s">
        <v>91</v>
      </c>
      <c r="AR9" s="11" t="s">
        <v>119</v>
      </c>
      <c r="AS9" s="11" t="s">
        <v>100</v>
      </c>
      <c r="AT9" s="11" t="s">
        <v>118</v>
      </c>
      <c r="AU9" s="11" t="s">
        <v>91</v>
      </c>
      <c r="AV9" s="11" t="s">
        <v>121</v>
      </c>
      <c r="AW9" s="11" t="s">
        <v>100</v>
      </c>
      <c r="AX9" s="11"/>
      <c r="AY9" s="11"/>
      <c r="AZ9" s="11" t="s">
        <v>97</v>
      </c>
      <c r="BA9" s="10" t="s">
        <v>89</v>
      </c>
      <c r="BB9" s="10" t="s">
        <v>105</v>
      </c>
      <c r="BC9" s="11" t="s">
        <v>106</v>
      </c>
      <c r="BD9" s="11" t="s">
        <v>91</v>
      </c>
      <c r="BE9" s="11" t="s">
        <v>109</v>
      </c>
      <c r="BF9" s="11" t="s">
        <v>100</v>
      </c>
      <c r="BG9" s="11" t="s">
        <v>110</v>
      </c>
      <c r="BH9" s="11" t="s">
        <v>91</v>
      </c>
      <c r="BI9" s="11" t="s">
        <v>107</v>
      </c>
      <c r="BJ9" s="11" t="s">
        <v>100</v>
      </c>
      <c r="BK9" s="11" t="s">
        <v>108</v>
      </c>
      <c r="BL9" s="11" t="s">
        <v>91</v>
      </c>
      <c r="BM9" s="10" t="s">
        <v>111</v>
      </c>
      <c r="BN9" s="11" t="s">
        <v>114</v>
      </c>
      <c r="BO9" s="11" t="s">
        <v>91</v>
      </c>
      <c r="BP9" s="11" t="s">
        <v>115</v>
      </c>
      <c r="BQ9" s="11" t="s">
        <v>100</v>
      </c>
      <c r="BR9" s="11" t="s">
        <v>116</v>
      </c>
      <c r="BS9" s="11" t="s">
        <v>91</v>
      </c>
      <c r="BT9" s="11" t="s">
        <v>113</v>
      </c>
      <c r="BU9" s="11" t="s">
        <v>100</v>
      </c>
      <c r="BV9" s="11" t="s">
        <v>112</v>
      </c>
      <c r="BW9" s="11" t="s">
        <v>91</v>
      </c>
      <c r="BX9" s="10" t="s">
        <v>98</v>
      </c>
      <c r="BY9" s="11" t="s">
        <v>102</v>
      </c>
      <c r="BZ9" s="11" t="s">
        <v>100</v>
      </c>
      <c r="CA9" s="11" t="s">
        <v>103</v>
      </c>
      <c r="CB9" s="11" t="s">
        <v>91</v>
      </c>
      <c r="CC9" s="11" t="s">
        <v>104</v>
      </c>
      <c r="CD9" s="11" t="s">
        <v>100</v>
      </c>
      <c r="CE9" s="11" t="s">
        <v>101</v>
      </c>
      <c r="CF9" s="11" t="s">
        <v>91</v>
      </c>
      <c r="CG9" s="11" t="s">
        <v>99</v>
      </c>
      <c r="CH9" s="11" t="s">
        <v>100</v>
      </c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</row>
    <row r="10" spans="1:106" ht="14.25" customHeight="1">
      <c r="A10" s="8" t="s">
        <v>139</v>
      </c>
      <c r="B10" s="9" t="s">
        <v>87</v>
      </c>
      <c r="C10" s="10" t="s">
        <v>132</v>
      </c>
      <c r="D10" s="10" t="s">
        <v>88</v>
      </c>
      <c r="E10" s="11" t="s">
        <v>90</v>
      </c>
      <c r="F10" s="11" t="s">
        <v>91</v>
      </c>
      <c r="G10" s="11" t="s">
        <v>92</v>
      </c>
      <c r="H10" s="11" t="s">
        <v>91</v>
      </c>
      <c r="I10" s="11" t="s">
        <v>93</v>
      </c>
      <c r="J10" s="11" t="s">
        <v>91</v>
      </c>
      <c r="K10" s="11" t="s">
        <v>94</v>
      </c>
      <c r="L10" s="11" t="s">
        <v>91</v>
      </c>
      <c r="M10" s="11" t="s">
        <v>95</v>
      </c>
      <c r="N10" s="11" t="s">
        <v>91</v>
      </c>
      <c r="O10" s="11" t="s">
        <v>96</v>
      </c>
      <c r="P10" s="11" t="s">
        <v>91</v>
      </c>
      <c r="Q10" s="11" t="s">
        <v>97</v>
      </c>
      <c r="R10" s="10" t="s">
        <v>132</v>
      </c>
      <c r="S10" s="10" t="s">
        <v>111</v>
      </c>
      <c r="T10" s="11" t="s">
        <v>116</v>
      </c>
      <c r="U10" s="11" t="s">
        <v>91</v>
      </c>
      <c r="V10" s="11" t="s">
        <v>113</v>
      </c>
      <c r="W10" s="11" t="s">
        <v>100</v>
      </c>
      <c r="X10" s="11" t="s">
        <v>114</v>
      </c>
      <c r="Y10" s="11" t="s">
        <v>91</v>
      </c>
      <c r="Z10" s="11" t="s">
        <v>115</v>
      </c>
      <c r="AA10" s="11" t="s">
        <v>100</v>
      </c>
      <c r="AB10" s="11" t="s">
        <v>112</v>
      </c>
      <c r="AC10" s="11" t="s">
        <v>91</v>
      </c>
      <c r="AD10" s="10" t="s">
        <v>98</v>
      </c>
      <c r="AE10" s="11" t="s">
        <v>102</v>
      </c>
      <c r="AF10" s="11" t="s">
        <v>100</v>
      </c>
      <c r="AG10" s="11" t="s">
        <v>103</v>
      </c>
      <c r="AH10" s="11" t="s">
        <v>91</v>
      </c>
      <c r="AI10" s="11" t="s">
        <v>99</v>
      </c>
      <c r="AJ10" s="11" t="s">
        <v>100</v>
      </c>
      <c r="AK10" s="11" t="s">
        <v>101</v>
      </c>
      <c r="AL10" s="11" t="s">
        <v>91</v>
      </c>
      <c r="AM10" s="11" t="s">
        <v>104</v>
      </c>
      <c r="AN10" s="11" t="s">
        <v>100</v>
      </c>
      <c r="AO10" s="10" t="s">
        <v>105</v>
      </c>
      <c r="AP10" s="11" t="s">
        <v>106</v>
      </c>
      <c r="AQ10" s="11" t="s">
        <v>91</v>
      </c>
      <c r="AR10" s="11" t="s">
        <v>107</v>
      </c>
      <c r="AS10" s="11" t="s">
        <v>100</v>
      </c>
      <c r="AT10" s="11" t="s">
        <v>110</v>
      </c>
      <c r="AU10" s="11" t="s">
        <v>91</v>
      </c>
      <c r="AV10" s="11" t="s">
        <v>109</v>
      </c>
      <c r="AW10" s="11" t="s">
        <v>100</v>
      </c>
      <c r="AX10" s="11" t="s">
        <v>108</v>
      </c>
      <c r="AY10" s="11" t="s">
        <v>91</v>
      </c>
      <c r="AZ10" s="11" t="s">
        <v>117</v>
      </c>
      <c r="BA10" s="10" t="s">
        <v>88</v>
      </c>
      <c r="BB10" s="10" t="s">
        <v>98</v>
      </c>
      <c r="BC10" s="11" t="s">
        <v>126</v>
      </c>
      <c r="BD10" s="11" t="s">
        <v>91</v>
      </c>
      <c r="BE10" s="11" t="s">
        <v>129</v>
      </c>
      <c r="BF10" s="11" t="s">
        <v>100</v>
      </c>
      <c r="BG10" s="11" t="s">
        <v>128</v>
      </c>
      <c r="BH10" s="11" t="s">
        <v>91</v>
      </c>
      <c r="BI10" s="11" t="s">
        <v>127</v>
      </c>
      <c r="BJ10" s="11" t="s">
        <v>100</v>
      </c>
      <c r="BK10" s="11"/>
      <c r="BL10" s="11"/>
      <c r="BM10" s="10" t="s">
        <v>105</v>
      </c>
      <c r="BN10" s="11" t="s">
        <v>118</v>
      </c>
      <c r="BO10" s="11" t="s">
        <v>91</v>
      </c>
      <c r="BP10" s="11" t="s">
        <v>121</v>
      </c>
      <c r="BQ10" s="11" t="s">
        <v>100</v>
      </c>
      <c r="BR10" s="11" t="s">
        <v>120</v>
      </c>
      <c r="BS10" s="11" t="s">
        <v>91</v>
      </c>
      <c r="BT10" s="11" t="s">
        <v>119</v>
      </c>
      <c r="BU10" s="11" t="s">
        <v>100</v>
      </c>
      <c r="BV10" s="11"/>
      <c r="BW10" s="11"/>
      <c r="BX10" s="10" t="s">
        <v>111</v>
      </c>
      <c r="BY10" s="11" t="s">
        <v>124</v>
      </c>
      <c r="BZ10" s="11" t="s">
        <v>91</v>
      </c>
      <c r="CA10" s="11" t="s">
        <v>123</v>
      </c>
      <c r="CB10" s="11" t="s">
        <v>100</v>
      </c>
      <c r="CC10" s="11" t="s">
        <v>122</v>
      </c>
      <c r="CD10" s="11" t="s">
        <v>91</v>
      </c>
      <c r="CE10" s="11" t="s">
        <v>125</v>
      </c>
      <c r="CF10" s="11" t="s">
        <v>100</v>
      </c>
      <c r="CG10" s="11"/>
      <c r="CH10" s="11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</row>
    <row r="11" spans="1:106" ht="14.25" customHeight="1">
      <c r="A11" s="8" t="s">
        <v>140</v>
      </c>
      <c r="B11" s="9" t="s">
        <v>131</v>
      </c>
      <c r="C11" s="10" t="s">
        <v>89</v>
      </c>
      <c r="D11" s="10" t="s">
        <v>88</v>
      </c>
      <c r="E11" s="11" t="s">
        <v>90</v>
      </c>
      <c r="F11" s="11" t="s">
        <v>91</v>
      </c>
      <c r="G11" s="11" t="s">
        <v>92</v>
      </c>
      <c r="H11" s="11" t="s">
        <v>91</v>
      </c>
      <c r="I11" s="11" t="s">
        <v>93</v>
      </c>
      <c r="J11" s="11" t="s">
        <v>91</v>
      </c>
      <c r="K11" s="11" t="s">
        <v>94</v>
      </c>
      <c r="L11" s="11" t="s">
        <v>91</v>
      </c>
      <c r="M11" s="11" t="s">
        <v>95</v>
      </c>
      <c r="N11" s="11" t="s">
        <v>91</v>
      </c>
      <c r="O11" s="11" t="s">
        <v>96</v>
      </c>
      <c r="P11" s="11" t="s">
        <v>91</v>
      </c>
      <c r="Q11" s="11" t="s">
        <v>117</v>
      </c>
      <c r="R11" s="10" t="s">
        <v>89</v>
      </c>
      <c r="S11" s="10" t="s">
        <v>105</v>
      </c>
      <c r="T11" s="11" t="s">
        <v>118</v>
      </c>
      <c r="U11" s="11" t="s">
        <v>91</v>
      </c>
      <c r="V11" s="11" t="s">
        <v>121</v>
      </c>
      <c r="W11" s="11" t="s">
        <v>100</v>
      </c>
      <c r="X11" s="11" t="s">
        <v>120</v>
      </c>
      <c r="Y11" s="11" t="s">
        <v>91</v>
      </c>
      <c r="Z11" s="11" t="s">
        <v>119</v>
      </c>
      <c r="AA11" s="11" t="s">
        <v>100</v>
      </c>
      <c r="AB11" s="11"/>
      <c r="AC11" s="11"/>
      <c r="AD11" s="10" t="s">
        <v>111</v>
      </c>
      <c r="AE11" s="11" t="s">
        <v>124</v>
      </c>
      <c r="AF11" s="11" t="s">
        <v>91</v>
      </c>
      <c r="AG11" s="11" t="s">
        <v>123</v>
      </c>
      <c r="AH11" s="11" t="s">
        <v>100</v>
      </c>
      <c r="AI11" s="11" t="s">
        <v>122</v>
      </c>
      <c r="AJ11" s="11" t="s">
        <v>91</v>
      </c>
      <c r="AK11" s="11" t="s">
        <v>125</v>
      </c>
      <c r="AL11" s="11" t="s">
        <v>100</v>
      </c>
      <c r="AM11" s="11"/>
      <c r="AN11" s="11"/>
      <c r="AO11" s="10" t="s">
        <v>98</v>
      </c>
      <c r="AP11" s="11" t="s">
        <v>128</v>
      </c>
      <c r="AQ11" s="11" t="s">
        <v>91</v>
      </c>
      <c r="AR11" s="11" t="s">
        <v>129</v>
      </c>
      <c r="AS11" s="11" t="s">
        <v>100</v>
      </c>
      <c r="AT11" s="11" t="s">
        <v>126</v>
      </c>
      <c r="AU11" s="11" t="s">
        <v>91</v>
      </c>
      <c r="AV11" s="11" t="s">
        <v>127</v>
      </c>
      <c r="AW11" s="11" t="s">
        <v>100</v>
      </c>
      <c r="AX11" s="11"/>
      <c r="AY11" s="11"/>
      <c r="AZ11" s="11" t="s">
        <v>97</v>
      </c>
      <c r="BA11" s="10" t="s">
        <v>88</v>
      </c>
      <c r="BB11" s="10" t="s">
        <v>98</v>
      </c>
      <c r="BC11" s="11" t="s">
        <v>99</v>
      </c>
      <c r="BD11" s="11" t="s">
        <v>100</v>
      </c>
      <c r="BE11" s="11" t="s">
        <v>103</v>
      </c>
      <c r="BF11" s="11" t="s">
        <v>91</v>
      </c>
      <c r="BG11" s="11" t="s">
        <v>102</v>
      </c>
      <c r="BH11" s="11" t="s">
        <v>100</v>
      </c>
      <c r="BI11" s="11" t="s">
        <v>101</v>
      </c>
      <c r="BJ11" s="11" t="s">
        <v>91</v>
      </c>
      <c r="BK11" s="11" t="s">
        <v>104</v>
      </c>
      <c r="BL11" s="11" t="s">
        <v>100</v>
      </c>
      <c r="BM11" s="10" t="s">
        <v>105</v>
      </c>
      <c r="BN11" s="11" t="s">
        <v>106</v>
      </c>
      <c r="BO11" s="11" t="s">
        <v>91</v>
      </c>
      <c r="BP11" s="11" t="s">
        <v>107</v>
      </c>
      <c r="BQ11" s="11" t="s">
        <v>100</v>
      </c>
      <c r="BR11" s="11" t="s">
        <v>108</v>
      </c>
      <c r="BS11" s="11" t="s">
        <v>91</v>
      </c>
      <c r="BT11" s="11" t="s">
        <v>109</v>
      </c>
      <c r="BU11" s="11" t="s">
        <v>100</v>
      </c>
      <c r="BV11" s="11" t="s">
        <v>110</v>
      </c>
      <c r="BW11" s="11" t="s">
        <v>91</v>
      </c>
      <c r="BX11" s="10" t="s">
        <v>111</v>
      </c>
      <c r="BY11" s="11" t="s">
        <v>116</v>
      </c>
      <c r="BZ11" s="11" t="s">
        <v>91</v>
      </c>
      <c r="CA11" s="11" t="s">
        <v>115</v>
      </c>
      <c r="CB11" s="11" t="s">
        <v>100</v>
      </c>
      <c r="CC11" s="11" t="s">
        <v>114</v>
      </c>
      <c r="CD11" s="11" t="s">
        <v>91</v>
      </c>
      <c r="CE11" s="11" t="s">
        <v>113</v>
      </c>
      <c r="CF11" s="11" t="s">
        <v>100</v>
      </c>
      <c r="CG11" s="11" t="s">
        <v>112</v>
      </c>
      <c r="CH11" s="11" t="s">
        <v>91</v>
      </c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</row>
    <row r="12" spans="1:106" ht="14.25" customHeight="1">
      <c r="A12" s="8" t="s">
        <v>141</v>
      </c>
      <c r="B12" s="9" t="s">
        <v>87</v>
      </c>
      <c r="C12" s="10" t="s">
        <v>89</v>
      </c>
      <c r="D12" s="10" t="s">
        <v>132</v>
      </c>
      <c r="E12" s="11" t="s">
        <v>90</v>
      </c>
      <c r="F12" s="11" t="s">
        <v>91</v>
      </c>
      <c r="G12" s="11" t="s">
        <v>92</v>
      </c>
      <c r="H12" s="11" t="s">
        <v>91</v>
      </c>
      <c r="I12" s="11" t="s">
        <v>93</v>
      </c>
      <c r="J12" s="11" t="s">
        <v>91</v>
      </c>
      <c r="K12" s="11" t="s">
        <v>94</v>
      </c>
      <c r="L12" s="11" t="s">
        <v>91</v>
      </c>
      <c r="M12" s="11" t="s">
        <v>95</v>
      </c>
      <c r="N12" s="11" t="s">
        <v>91</v>
      </c>
      <c r="O12" s="11" t="s">
        <v>96</v>
      </c>
      <c r="P12" s="11" t="s">
        <v>91</v>
      </c>
      <c r="Q12" s="11" t="s">
        <v>97</v>
      </c>
      <c r="R12" s="10" t="s">
        <v>89</v>
      </c>
      <c r="S12" s="10" t="s">
        <v>105</v>
      </c>
      <c r="T12" s="11" t="s">
        <v>142</v>
      </c>
      <c r="U12" s="11" t="s">
        <v>100</v>
      </c>
      <c r="V12" s="11" t="s">
        <v>143</v>
      </c>
      <c r="W12" s="11" t="s">
        <v>91</v>
      </c>
      <c r="X12" s="11" t="s">
        <v>144</v>
      </c>
      <c r="Y12" s="11" t="s">
        <v>100</v>
      </c>
      <c r="Z12" s="11" t="s">
        <v>145</v>
      </c>
      <c r="AA12" s="11" t="s">
        <v>91</v>
      </c>
      <c r="AB12" s="11" t="s">
        <v>146</v>
      </c>
      <c r="AC12" s="11" t="s">
        <v>100</v>
      </c>
      <c r="AD12" s="10" t="s">
        <v>111</v>
      </c>
      <c r="AE12" s="11" t="s">
        <v>147</v>
      </c>
      <c r="AF12" s="11" t="s">
        <v>91</v>
      </c>
      <c r="AG12" s="11" t="s">
        <v>148</v>
      </c>
      <c r="AH12" s="11" t="s">
        <v>100</v>
      </c>
      <c r="AI12" s="11" t="s">
        <v>149</v>
      </c>
      <c r="AJ12" s="11" t="s">
        <v>91</v>
      </c>
      <c r="AK12" s="11" t="s">
        <v>150</v>
      </c>
      <c r="AL12" s="11" t="s">
        <v>100</v>
      </c>
      <c r="AM12" s="11" t="s">
        <v>151</v>
      </c>
      <c r="AN12" s="11" t="s">
        <v>91</v>
      </c>
      <c r="AO12" s="10" t="s">
        <v>98</v>
      </c>
      <c r="AP12" s="11" t="s">
        <v>152</v>
      </c>
      <c r="AQ12" s="11" t="s">
        <v>91</v>
      </c>
      <c r="AR12" s="11" t="s">
        <v>153</v>
      </c>
      <c r="AS12" s="11" t="s">
        <v>100</v>
      </c>
      <c r="AT12" s="11" t="s">
        <v>154</v>
      </c>
      <c r="AU12" s="11" t="s">
        <v>91</v>
      </c>
      <c r="AV12" s="11" t="s">
        <v>155</v>
      </c>
      <c r="AW12" s="11" t="s">
        <v>100</v>
      </c>
      <c r="AX12" s="11" t="s">
        <v>156</v>
      </c>
      <c r="AY12" s="11" t="s">
        <v>91</v>
      </c>
      <c r="AZ12" s="11" t="s">
        <v>117</v>
      </c>
      <c r="BA12" s="10" t="s">
        <v>132</v>
      </c>
      <c r="BB12" s="10" t="s">
        <v>111</v>
      </c>
      <c r="BC12" s="11" t="s">
        <v>157</v>
      </c>
      <c r="BD12" s="11" t="s">
        <v>91</v>
      </c>
      <c r="BE12" s="11" t="s">
        <v>158</v>
      </c>
      <c r="BF12" s="11" t="s">
        <v>100</v>
      </c>
      <c r="BG12" s="11" t="s">
        <v>159</v>
      </c>
      <c r="BH12" s="11" t="s">
        <v>91</v>
      </c>
      <c r="BI12" s="11" t="s">
        <v>160</v>
      </c>
      <c r="BJ12" s="11" t="s">
        <v>100</v>
      </c>
      <c r="BK12" s="11"/>
      <c r="BL12" s="11"/>
      <c r="BM12" s="10" t="s">
        <v>98</v>
      </c>
      <c r="BN12" s="11" t="s">
        <v>161</v>
      </c>
      <c r="BO12" s="11" t="s">
        <v>91</v>
      </c>
      <c r="BP12" s="11" t="s">
        <v>162</v>
      </c>
      <c r="BQ12" s="11" t="s">
        <v>100</v>
      </c>
      <c r="BR12" s="11" t="s">
        <v>163</v>
      </c>
      <c r="BS12" s="11" t="s">
        <v>91</v>
      </c>
      <c r="BT12" s="11" t="s">
        <v>164</v>
      </c>
      <c r="BU12" s="11" t="s">
        <v>100</v>
      </c>
      <c r="BV12" s="11"/>
      <c r="BW12" s="11"/>
      <c r="BX12" s="10" t="s">
        <v>105</v>
      </c>
      <c r="BY12" s="11" t="s">
        <v>165</v>
      </c>
      <c r="BZ12" s="11" t="s">
        <v>91</v>
      </c>
      <c r="CA12" s="11" t="s">
        <v>166</v>
      </c>
      <c r="CB12" s="11" t="s">
        <v>100</v>
      </c>
      <c r="CC12" s="11" t="s">
        <v>167</v>
      </c>
      <c r="CD12" s="11" t="s">
        <v>91</v>
      </c>
      <c r="CE12" s="11" t="s">
        <v>168</v>
      </c>
      <c r="CF12" s="11" t="s">
        <v>100</v>
      </c>
      <c r="CG12" s="11"/>
      <c r="CH12" s="11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</row>
    <row r="13" spans="1:106" ht="14.25" customHeight="1">
      <c r="A13" s="8" t="s">
        <v>169</v>
      </c>
      <c r="B13" s="9" t="s">
        <v>131</v>
      </c>
      <c r="C13" s="10" t="s">
        <v>88</v>
      </c>
      <c r="D13" s="10" t="s">
        <v>132</v>
      </c>
      <c r="E13" s="11" t="s">
        <v>90</v>
      </c>
      <c r="F13" s="11" t="s">
        <v>91</v>
      </c>
      <c r="G13" s="11" t="s">
        <v>92</v>
      </c>
      <c r="H13" s="11" t="s">
        <v>91</v>
      </c>
      <c r="I13" s="11" t="s">
        <v>93</v>
      </c>
      <c r="J13" s="11" t="s">
        <v>91</v>
      </c>
      <c r="K13" s="11" t="s">
        <v>94</v>
      </c>
      <c r="L13" s="11" t="s">
        <v>91</v>
      </c>
      <c r="M13" s="11" t="s">
        <v>95</v>
      </c>
      <c r="N13" s="11" t="s">
        <v>91</v>
      </c>
      <c r="O13" s="11" t="s">
        <v>96</v>
      </c>
      <c r="P13" s="11" t="s">
        <v>91</v>
      </c>
      <c r="Q13" s="11" t="s">
        <v>117</v>
      </c>
      <c r="R13" s="10" t="s">
        <v>88</v>
      </c>
      <c r="S13" s="10" t="s">
        <v>98</v>
      </c>
      <c r="T13" s="11" t="s">
        <v>163</v>
      </c>
      <c r="U13" s="11" t="s">
        <v>91</v>
      </c>
      <c r="V13" s="11" t="s">
        <v>162</v>
      </c>
      <c r="W13" s="11" t="s">
        <v>100</v>
      </c>
      <c r="X13" s="11" t="s">
        <v>161</v>
      </c>
      <c r="Y13" s="11" t="s">
        <v>91</v>
      </c>
      <c r="Z13" s="11" t="s">
        <v>164</v>
      </c>
      <c r="AA13" s="11" t="s">
        <v>100</v>
      </c>
      <c r="AB13" s="11"/>
      <c r="AC13" s="11"/>
      <c r="AD13" s="10" t="s">
        <v>105</v>
      </c>
      <c r="AE13" s="11" t="s">
        <v>167</v>
      </c>
      <c r="AF13" s="11" t="s">
        <v>91</v>
      </c>
      <c r="AG13" s="11" t="s">
        <v>168</v>
      </c>
      <c r="AH13" s="11" t="s">
        <v>100</v>
      </c>
      <c r="AI13" s="11" t="s">
        <v>165</v>
      </c>
      <c r="AJ13" s="11" t="s">
        <v>91</v>
      </c>
      <c r="AK13" s="11" t="s">
        <v>166</v>
      </c>
      <c r="AL13" s="11" t="s">
        <v>100</v>
      </c>
      <c r="AM13" s="11"/>
      <c r="AN13" s="11"/>
      <c r="AO13" s="10" t="s">
        <v>111</v>
      </c>
      <c r="AP13" s="11" t="s">
        <v>157</v>
      </c>
      <c r="AQ13" s="11" t="s">
        <v>91</v>
      </c>
      <c r="AR13" s="11" t="s">
        <v>158</v>
      </c>
      <c r="AS13" s="11" t="s">
        <v>100</v>
      </c>
      <c r="AT13" s="11" t="s">
        <v>159</v>
      </c>
      <c r="AU13" s="11" t="s">
        <v>91</v>
      </c>
      <c r="AV13" s="11" t="s">
        <v>160</v>
      </c>
      <c r="AW13" s="11" t="s">
        <v>100</v>
      </c>
      <c r="AX13" s="11"/>
      <c r="AY13" s="11"/>
      <c r="AZ13" s="11" t="s">
        <v>97</v>
      </c>
      <c r="BA13" s="10" t="s">
        <v>132</v>
      </c>
      <c r="BB13" s="10" t="s">
        <v>111</v>
      </c>
      <c r="BC13" s="11" t="s">
        <v>151</v>
      </c>
      <c r="BD13" s="11" t="s">
        <v>91</v>
      </c>
      <c r="BE13" s="11" t="s">
        <v>148</v>
      </c>
      <c r="BF13" s="11" t="s">
        <v>100</v>
      </c>
      <c r="BG13" s="11" t="s">
        <v>147</v>
      </c>
      <c r="BH13" s="11" t="s">
        <v>91</v>
      </c>
      <c r="BI13" s="11" t="s">
        <v>150</v>
      </c>
      <c r="BJ13" s="11" t="s">
        <v>100</v>
      </c>
      <c r="BK13" s="11" t="s">
        <v>149</v>
      </c>
      <c r="BL13" s="11" t="s">
        <v>91</v>
      </c>
      <c r="BM13" s="10" t="s">
        <v>98</v>
      </c>
      <c r="BN13" s="11" t="s">
        <v>154</v>
      </c>
      <c r="BO13" s="11" t="s">
        <v>91</v>
      </c>
      <c r="BP13" s="11" t="s">
        <v>153</v>
      </c>
      <c r="BQ13" s="11" t="s">
        <v>100</v>
      </c>
      <c r="BR13" s="11" t="s">
        <v>152</v>
      </c>
      <c r="BS13" s="11" t="s">
        <v>91</v>
      </c>
      <c r="BT13" s="11" t="s">
        <v>155</v>
      </c>
      <c r="BU13" s="11" t="s">
        <v>100</v>
      </c>
      <c r="BV13" s="11" t="s">
        <v>156</v>
      </c>
      <c r="BW13" s="11" t="s">
        <v>91</v>
      </c>
      <c r="BX13" s="10" t="s">
        <v>105</v>
      </c>
      <c r="BY13" s="11" t="s">
        <v>146</v>
      </c>
      <c r="BZ13" s="11" t="s">
        <v>100</v>
      </c>
      <c r="CA13" s="11" t="s">
        <v>145</v>
      </c>
      <c r="CB13" s="11" t="s">
        <v>91</v>
      </c>
      <c r="CC13" s="11" t="s">
        <v>144</v>
      </c>
      <c r="CD13" s="11" t="s">
        <v>100</v>
      </c>
      <c r="CE13" s="11" t="s">
        <v>143</v>
      </c>
      <c r="CF13" s="11" t="s">
        <v>91</v>
      </c>
      <c r="CG13" s="11" t="s">
        <v>142</v>
      </c>
      <c r="CH13" s="11" t="s">
        <v>100</v>
      </c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</row>
    <row r="14" spans="1:106" ht="14.25" customHeight="1">
      <c r="A14" s="8" t="s">
        <v>170</v>
      </c>
      <c r="B14" s="9" t="s">
        <v>87</v>
      </c>
      <c r="C14" s="10" t="s">
        <v>88</v>
      </c>
      <c r="D14" s="10" t="s">
        <v>89</v>
      </c>
      <c r="E14" s="11" t="s">
        <v>90</v>
      </c>
      <c r="F14" s="11" t="s">
        <v>91</v>
      </c>
      <c r="G14" s="11" t="s">
        <v>92</v>
      </c>
      <c r="H14" s="11" t="s">
        <v>91</v>
      </c>
      <c r="I14" s="11" t="s">
        <v>93</v>
      </c>
      <c r="J14" s="11" t="s">
        <v>91</v>
      </c>
      <c r="K14" s="11" t="s">
        <v>94</v>
      </c>
      <c r="L14" s="11" t="s">
        <v>91</v>
      </c>
      <c r="M14" s="11" t="s">
        <v>95</v>
      </c>
      <c r="N14" s="11" t="s">
        <v>91</v>
      </c>
      <c r="O14" s="11" t="s">
        <v>96</v>
      </c>
      <c r="P14" s="11" t="s">
        <v>91</v>
      </c>
      <c r="Q14" s="11" t="s">
        <v>97</v>
      </c>
      <c r="R14" s="10" t="s">
        <v>88</v>
      </c>
      <c r="S14" s="10" t="s">
        <v>98</v>
      </c>
      <c r="T14" s="11" t="s">
        <v>152</v>
      </c>
      <c r="U14" s="11" t="s">
        <v>91</v>
      </c>
      <c r="V14" s="11" t="s">
        <v>155</v>
      </c>
      <c r="W14" s="11" t="s">
        <v>100</v>
      </c>
      <c r="X14" s="11" t="s">
        <v>156</v>
      </c>
      <c r="Y14" s="11" t="s">
        <v>91</v>
      </c>
      <c r="Z14" s="11" t="s">
        <v>153</v>
      </c>
      <c r="AA14" s="11" t="s">
        <v>100</v>
      </c>
      <c r="AB14" s="11" t="s">
        <v>154</v>
      </c>
      <c r="AC14" s="11" t="s">
        <v>91</v>
      </c>
      <c r="AD14" s="10" t="s">
        <v>105</v>
      </c>
      <c r="AE14" s="11" t="s">
        <v>144</v>
      </c>
      <c r="AF14" s="11" t="s">
        <v>100</v>
      </c>
      <c r="AG14" s="11" t="s">
        <v>143</v>
      </c>
      <c r="AH14" s="11" t="s">
        <v>91</v>
      </c>
      <c r="AI14" s="11" t="s">
        <v>142</v>
      </c>
      <c r="AJ14" s="11" t="s">
        <v>100</v>
      </c>
      <c r="AK14" s="11" t="s">
        <v>145</v>
      </c>
      <c r="AL14" s="11" t="s">
        <v>91</v>
      </c>
      <c r="AM14" s="11" t="s">
        <v>146</v>
      </c>
      <c r="AN14" s="11" t="s">
        <v>100</v>
      </c>
      <c r="AO14" s="10" t="s">
        <v>111</v>
      </c>
      <c r="AP14" s="11" t="s">
        <v>147</v>
      </c>
      <c r="AQ14" s="11" t="s">
        <v>91</v>
      </c>
      <c r="AR14" s="11" t="s">
        <v>148</v>
      </c>
      <c r="AS14" s="11" t="s">
        <v>100</v>
      </c>
      <c r="AT14" s="11" t="s">
        <v>151</v>
      </c>
      <c r="AU14" s="11" t="s">
        <v>91</v>
      </c>
      <c r="AV14" s="11" t="s">
        <v>150</v>
      </c>
      <c r="AW14" s="11" t="s">
        <v>100</v>
      </c>
      <c r="AX14" s="11" t="s">
        <v>149</v>
      </c>
      <c r="AY14" s="11" t="s">
        <v>91</v>
      </c>
      <c r="AZ14" s="11" t="s">
        <v>117</v>
      </c>
      <c r="BA14" s="10" t="s">
        <v>89</v>
      </c>
      <c r="BB14" s="10" t="s">
        <v>105</v>
      </c>
      <c r="BC14" s="11" t="s">
        <v>167</v>
      </c>
      <c r="BD14" s="11" t="s">
        <v>91</v>
      </c>
      <c r="BE14" s="11" t="s">
        <v>168</v>
      </c>
      <c r="BF14" s="11" t="s">
        <v>100</v>
      </c>
      <c r="BG14" s="11" t="s">
        <v>165</v>
      </c>
      <c r="BH14" s="11" t="s">
        <v>91</v>
      </c>
      <c r="BI14" s="11" t="s">
        <v>166</v>
      </c>
      <c r="BJ14" s="11" t="s">
        <v>100</v>
      </c>
      <c r="BK14" s="11"/>
      <c r="BL14" s="11"/>
      <c r="BM14" s="10" t="s">
        <v>111</v>
      </c>
      <c r="BN14" s="11" t="s">
        <v>157</v>
      </c>
      <c r="BO14" s="11" t="s">
        <v>91</v>
      </c>
      <c r="BP14" s="11" t="s">
        <v>160</v>
      </c>
      <c r="BQ14" s="11" t="s">
        <v>100</v>
      </c>
      <c r="BR14" s="11" t="s">
        <v>159</v>
      </c>
      <c r="BS14" s="11" t="s">
        <v>91</v>
      </c>
      <c r="BT14" s="11" t="s">
        <v>158</v>
      </c>
      <c r="BU14" s="11" t="s">
        <v>100</v>
      </c>
      <c r="BV14" s="11"/>
      <c r="BW14" s="11"/>
      <c r="BX14" s="10" t="s">
        <v>98</v>
      </c>
      <c r="BY14" s="11" t="s">
        <v>163</v>
      </c>
      <c r="BZ14" s="11" t="s">
        <v>91</v>
      </c>
      <c r="CA14" s="11" t="s">
        <v>164</v>
      </c>
      <c r="CB14" s="11" t="s">
        <v>100</v>
      </c>
      <c r="CC14" s="11" t="s">
        <v>161</v>
      </c>
      <c r="CD14" s="11" t="s">
        <v>91</v>
      </c>
      <c r="CE14" s="11" t="s">
        <v>162</v>
      </c>
      <c r="CF14" s="11" t="s">
        <v>100</v>
      </c>
      <c r="CG14" s="11"/>
      <c r="CH14" s="11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</row>
    <row r="15" spans="1:106" ht="14.25" customHeight="1">
      <c r="A15" s="8" t="s">
        <v>171</v>
      </c>
      <c r="B15" s="9" t="s">
        <v>131</v>
      </c>
      <c r="C15" s="10" t="s">
        <v>132</v>
      </c>
      <c r="D15" s="10" t="s">
        <v>89</v>
      </c>
      <c r="E15" s="11" t="s">
        <v>90</v>
      </c>
      <c r="F15" s="11" t="s">
        <v>91</v>
      </c>
      <c r="G15" s="11" t="s">
        <v>92</v>
      </c>
      <c r="H15" s="11" t="s">
        <v>91</v>
      </c>
      <c r="I15" s="11" t="s">
        <v>93</v>
      </c>
      <c r="J15" s="11" t="s">
        <v>91</v>
      </c>
      <c r="K15" s="11" t="s">
        <v>94</v>
      </c>
      <c r="L15" s="11" t="s">
        <v>91</v>
      </c>
      <c r="M15" s="11" t="s">
        <v>95</v>
      </c>
      <c r="N15" s="11" t="s">
        <v>91</v>
      </c>
      <c r="O15" s="11" t="s">
        <v>96</v>
      </c>
      <c r="P15" s="11" t="s">
        <v>91</v>
      </c>
      <c r="Q15" s="11" t="s">
        <v>117</v>
      </c>
      <c r="R15" s="10" t="s">
        <v>132</v>
      </c>
      <c r="S15" s="10" t="s">
        <v>111</v>
      </c>
      <c r="T15" s="11" t="s">
        <v>157</v>
      </c>
      <c r="U15" s="11" t="s">
        <v>91</v>
      </c>
      <c r="V15" s="11" t="s">
        <v>158</v>
      </c>
      <c r="W15" s="11" t="s">
        <v>100</v>
      </c>
      <c r="X15" s="11" t="s">
        <v>159</v>
      </c>
      <c r="Y15" s="11" t="s">
        <v>91</v>
      </c>
      <c r="Z15" s="11" t="s">
        <v>160</v>
      </c>
      <c r="AA15" s="11" t="s">
        <v>100</v>
      </c>
      <c r="AB15" s="11"/>
      <c r="AC15" s="11"/>
      <c r="AD15" s="10" t="s">
        <v>98</v>
      </c>
      <c r="AE15" s="11" t="s">
        <v>161</v>
      </c>
      <c r="AF15" s="11" t="s">
        <v>91</v>
      </c>
      <c r="AG15" s="11" t="s">
        <v>162</v>
      </c>
      <c r="AH15" s="11" t="s">
        <v>100</v>
      </c>
      <c r="AI15" s="11" t="s">
        <v>163</v>
      </c>
      <c r="AJ15" s="11" t="s">
        <v>91</v>
      </c>
      <c r="AK15" s="11" t="s">
        <v>164</v>
      </c>
      <c r="AL15" s="11" t="s">
        <v>100</v>
      </c>
      <c r="AM15" s="11"/>
      <c r="AN15" s="11"/>
      <c r="AO15" s="10" t="s">
        <v>105</v>
      </c>
      <c r="AP15" s="11" t="s">
        <v>167</v>
      </c>
      <c r="AQ15" s="11" t="s">
        <v>91</v>
      </c>
      <c r="AR15" s="11" t="s">
        <v>166</v>
      </c>
      <c r="AS15" s="11" t="s">
        <v>100</v>
      </c>
      <c r="AT15" s="11" t="s">
        <v>165</v>
      </c>
      <c r="AU15" s="11" t="s">
        <v>91</v>
      </c>
      <c r="AV15" s="11" t="s">
        <v>168</v>
      </c>
      <c r="AW15" s="11" t="s">
        <v>100</v>
      </c>
      <c r="AX15" s="11"/>
      <c r="AY15" s="11"/>
      <c r="AZ15" s="11" t="s">
        <v>97</v>
      </c>
      <c r="BA15" s="10" t="s">
        <v>89</v>
      </c>
      <c r="BB15" s="10" t="s">
        <v>105</v>
      </c>
      <c r="BC15" s="11" t="s">
        <v>146</v>
      </c>
      <c r="BD15" s="11" t="s">
        <v>100</v>
      </c>
      <c r="BE15" s="11" t="s">
        <v>143</v>
      </c>
      <c r="BF15" s="11" t="s">
        <v>91</v>
      </c>
      <c r="BG15" s="11" t="s">
        <v>144</v>
      </c>
      <c r="BH15" s="11" t="s">
        <v>100</v>
      </c>
      <c r="BI15" s="11" t="s">
        <v>145</v>
      </c>
      <c r="BJ15" s="11" t="s">
        <v>91</v>
      </c>
      <c r="BK15" s="11" t="s">
        <v>142</v>
      </c>
      <c r="BL15" s="11" t="s">
        <v>100</v>
      </c>
      <c r="BM15" s="10" t="s">
        <v>111</v>
      </c>
      <c r="BN15" s="11" t="s">
        <v>149</v>
      </c>
      <c r="BO15" s="11" t="s">
        <v>91</v>
      </c>
      <c r="BP15" s="11" t="s">
        <v>150</v>
      </c>
      <c r="BQ15" s="11" t="s">
        <v>100</v>
      </c>
      <c r="BR15" s="11" t="s">
        <v>151</v>
      </c>
      <c r="BS15" s="11" t="s">
        <v>91</v>
      </c>
      <c r="BT15" s="11" t="s">
        <v>148</v>
      </c>
      <c r="BU15" s="11" t="s">
        <v>100</v>
      </c>
      <c r="BV15" s="11" t="s">
        <v>147</v>
      </c>
      <c r="BW15" s="11" t="s">
        <v>91</v>
      </c>
      <c r="BX15" s="10" t="s">
        <v>98</v>
      </c>
      <c r="BY15" s="11" t="s">
        <v>156</v>
      </c>
      <c r="BZ15" s="11" t="s">
        <v>91</v>
      </c>
      <c r="CA15" s="11" t="s">
        <v>155</v>
      </c>
      <c r="CB15" s="11" t="s">
        <v>100</v>
      </c>
      <c r="CC15" s="11" t="s">
        <v>154</v>
      </c>
      <c r="CD15" s="11" t="s">
        <v>91</v>
      </c>
      <c r="CE15" s="11" t="s">
        <v>153</v>
      </c>
      <c r="CF15" s="11" t="s">
        <v>100</v>
      </c>
      <c r="CG15" s="11" t="s">
        <v>152</v>
      </c>
      <c r="CH15" s="11" t="s">
        <v>91</v>
      </c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</row>
    <row r="16" spans="1:106" ht="14.25" customHeight="1">
      <c r="A16" s="8" t="s">
        <v>172</v>
      </c>
      <c r="B16" s="9" t="s">
        <v>87</v>
      </c>
      <c r="C16" s="10" t="s">
        <v>132</v>
      </c>
      <c r="D16" s="10" t="s">
        <v>88</v>
      </c>
      <c r="E16" s="11" t="s">
        <v>90</v>
      </c>
      <c r="F16" s="11" t="s">
        <v>91</v>
      </c>
      <c r="G16" s="11" t="s">
        <v>92</v>
      </c>
      <c r="H16" s="11" t="s">
        <v>91</v>
      </c>
      <c r="I16" s="11" t="s">
        <v>93</v>
      </c>
      <c r="J16" s="11" t="s">
        <v>91</v>
      </c>
      <c r="K16" s="11" t="s">
        <v>94</v>
      </c>
      <c r="L16" s="11" t="s">
        <v>91</v>
      </c>
      <c r="M16" s="11" t="s">
        <v>95</v>
      </c>
      <c r="N16" s="11" t="s">
        <v>91</v>
      </c>
      <c r="O16" s="11" t="s">
        <v>96</v>
      </c>
      <c r="P16" s="11" t="s">
        <v>91</v>
      </c>
      <c r="Q16" s="11" t="s">
        <v>97</v>
      </c>
      <c r="R16" s="10" t="s">
        <v>132</v>
      </c>
      <c r="S16" s="10" t="s">
        <v>111</v>
      </c>
      <c r="T16" s="11" t="s">
        <v>149</v>
      </c>
      <c r="U16" s="11" t="s">
        <v>91</v>
      </c>
      <c r="V16" s="11" t="s">
        <v>148</v>
      </c>
      <c r="W16" s="11" t="s">
        <v>100</v>
      </c>
      <c r="X16" s="11" t="s">
        <v>147</v>
      </c>
      <c r="Y16" s="11" t="s">
        <v>91</v>
      </c>
      <c r="Z16" s="11" t="s">
        <v>150</v>
      </c>
      <c r="AA16" s="11" t="s">
        <v>100</v>
      </c>
      <c r="AB16" s="11" t="s">
        <v>151</v>
      </c>
      <c r="AC16" s="11" t="s">
        <v>91</v>
      </c>
      <c r="AD16" s="10" t="s">
        <v>98</v>
      </c>
      <c r="AE16" s="11" t="s">
        <v>154</v>
      </c>
      <c r="AF16" s="11" t="s">
        <v>91</v>
      </c>
      <c r="AG16" s="11" t="s">
        <v>155</v>
      </c>
      <c r="AH16" s="11" t="s">
        <v>100</v>
      </c>
      <c r="AI16" s="11" t="s">
        <v>152</v>
      </c>
      <c r="AJ16" s="11" t="s">
        <v>91</v>
      </c>
      <c r="AK16" s="11" t="s">
        <v>153</v>
      </c>
      <c r="AL16" s="11" t="s">
        <v>100</v>
      </c>
      <c r="AM16" s="11" t="s">
        <v>156</v>
      </c>
      <c r="AN16" s="11" t="s">
        <v>91</v>
      </c>
      <c r="AO16" s="10" t="s">
        <v>105</v>
      </c>
      <c r="AP16" s="11" t="s">
        <v>142</v>
      </c>
      <c r="AQ16" s="11" t="s">
        <v>100</v>
      </c>
      <c r="AR16" s="11" t="s">
        <v>143</v>
      </c>
      <c r="AS16" s="11" t="s">
        <v>91</v>
      </c>
      <c r="AT16" s="11" t="s">
        <v>146</v>
      </c>
      <c r="AU16" s="11" t="s">
        <v>100</v>
      </c>
      <c r="AV16" s="11" t="s">
        <v>145</v>
      </c>
      <c r="AW16" s="11" t="s">
        <v>91</v>
      </c>
      <c r="AX16" s="11" t="s">
        <v>144</v>
      </c>
      <c r="AY16" s="11" t="s">
        <v>100</v>
      </c>
      <c r="AZ16" s="11" t="s">
        <v>117</v>
      </c>
      <c r="BA16" s="10" t="s">
        <v>88</v>
      </c>
      <c r="BB16" s="10" t="s">
        <v>98</v>
      </c>
      <c r="BC16" s="11" t="s">
        <v>163</v>
      </c>
      <c r="BD16" s="11" t="s">
        <v>91</v>
      </c>
      <c r="BE16" s="11" t="s">
        <v>162</v>
      </c>
      <c r="BF16" s="11" t="s">
        <v>100</v>
      </c>
      <c r="BG16" s="11" t="s">
        <v>161</v>
      </c>
      <c r="BH16" s="11" t="s">
        <v>91</v>
      </c>
      <c r="BI16" s="11" t="s">
        <v>164</v>
      </c>
      <c r="BJ16" s="11" t="s">
        <v>100</v>
      </c>
      <c r="BK16" s="11"/>
      <c r="BL16" s="11"/>
      <c r="BM16" s="10" t="s">
        <v>105</v>
      </c>
      <c r="BN16" s="11" t="s">
        <v>167</v>
      </c>
      <c r="BO16" s="11" t="s">
        <v>91</v>
      </c>
      <c r="BP16" s="11" t="s">
        <v>166</v>
      </c>
      <c r="BQ16" s="11" t="s">
        <v>100</v>
      </c>
      <c r="BR16" s="11" t="s">
        <v>165</v>
      </c>
      <c r="BS16" s="11" t="s">
        <v>91</v>
      </c>
      <c r="BT16" s="11" t="s">
        <v>168</v>
      </c>
      <c r="BU16" s="11" t="s">
        <v>100</v>
      </c>
      <c r="BV16" s="11"/>
      <c r="BW16" s="11"/>
      <c r="BX16" s="10" t="s">
        <v>111</v>
      </c>
      <c r="BY16" s="11" t="s">
        <v>157</v>
      </c>
      <c r="BZ16" s="11" t="s">
        <v>91</v>
      </c>
      <c r="CA16" s="11" t="s">
        <v>158</v>
      </c>
      <c r="CB16" s="11" t="s">
        <v>100</v>
      </c>
      <c r="CC16" s="11" t="s">
        <v>159</v>
      </c>
      <c r="CD16" s="11" t="s">
        <v>91</v>
      </c>
      <c r="CE16" s="11" t="s">
        <v>160</v>
      </c>
      <c r="CF16" s="11" t="s">
        <v>100</v>
      </c>
      <c r="CG16" s="11"/>
      <c r="CH16" s="11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</row>
    <row r="17" spans="1:106" ht="14.25" customHeight="1">
      <c r="A17" s="8" t="s">
        <v>173</v>
      </c>
      <c r="B17" s="9" t="s">
        <v>131</v>
      </c>
      <c r="C17" s="10" t="s">
        <v>89</v>
      </c>
      <c r="D17" s="10" t="s">
        <v>88</v>
      </c>
      <c r="E17" s="11" t="s">
        <v>90</v>
      </c>
      <c r="F17" s="11" t="s">
        <v>91</v>
      </c>
      <c r="G17" s="11" t="s">
        <v>92</v>
      </c>
      <c r="H17" s="11" t="s">
        <v>91</v>
      </c>
      <c r="I17" s="11" t="s">
        <v>93</v>
      </c>
      <c r="J17" s="11" t="s">
        <v>91</v>
      </c>
      <c r="K17" s="11" t="s">
        <v>94</v>
      </c>
      <c r="L17" s="11" t="s">
        <v>91</v>
      </c>
      <c r="M17" s="11" t="s">
        <v>95</v>
      </c>
      <c r="N17" s="11" t="s">
        <v>91</v>
      </c>
      <c r="O17" s="11" t="s">
        <v>96</v>
      </c>
      <c r="P17" s="11" t="s">
        <v>91</v>
      </c>
      <c r="Q17" s="11" t="s">
        <v>117</v>
      </c>
      <c r="R17" s="10" t="s">
        <v>89</v>
      </c>
      <c r="S17" s="10" t="s">
        <v>105</v>
      </c>
      <c r="T17" s="11" t="s">
        <v>167</v>
      </c>
      <c r="U17" s="11" t="s">
        <v>91</v>
      </c>
      <c r="V17" s="11" t="s">
        <v>166</v>
      </c>
      <c r="W17" s="11" t="s">
        <v>100</v>
      </c>
      <c r="X17" s="11" t="s">
        <v>165</v>
      </c>
      <c r="Y17" s="11" t="s">
        <v>91</v>
      </c>
      <c r="Z17" s="11" t="s">
        <v>168</v>
      </c>
      <c r="AA17" s="11" t="s">
        <v>100</v>
      </c>
      <c r="AB17" s="11"/>
      <c r="AC17" s="11"/>
      <c r="AD17" s="10" t="s">
        <v>111</v>
      </c>
      <c r="AE17" s="11" t="s">
        <v>157</v>
      </c>
      <c r="AF17" s="11" t="s">
        <v>91</v>
      </c>
      <c r="AG17" s="11" t="s">
        <v>158</v>
      </c>
      <c r="AH17" s="11" t="s">
        <v>100</v>
      </c>
      <c r="AI17" s="11" t="s">
        <v>159</v>
      </c>
      <c r="AJ17" s="11" t="s">
        <v>91</v>
      </c>
      <c r="AK17" s="11" t="s">
        <v>160</v>
      </c>
      <c r="AL17" s="11" t="s">
        <v>100</v>
      </c>
      <c r="AM17" s="11"/>
      <c r="AN17" s="11"/>
      <c r="AO17" s="10" t="s">
        <v>98</v>
      </c>
      <c r="AP17" s="11" t="s">
        <v>161</v>
      </c>
      <c r="AQ17" s="11" t="s">
        <v>91</v>
      </c>
      <c r="AR17" s="11" t="s">
        <v>162</v>
      </c>
      <c r="AS17" s="11" t="s">
        <v>100</v>
      </c>
      <c r="AT17" s="11" t="s">
        <v>163</v>
      </c>
      <c r="AU17" s="11" t="s">
        <v>91</v>
      </c>
      <c r="AV17" s="11" t="s">
        <v>164</v>
      </c>
      <c r="AW17" s="11" t="s">
        <v>100</v>
      </c>
      <c r="AX17" s="11"/>
      <c r="AY17" s="11"/>
      <c r="AZ17" s="11" t="s">
        <v>97</v>
      </c>
      <c r="BA17" s="10" t="s">
        <v>88</v>
      </c>
      <c r="BB17" s="10" t="s">
        <v>98</v>
      </c>
      <c r="BC17" s="11" t="s">
        <v>152</v>
      </c>
      <c r="BD17" s="11" t="s">
        <v>91</v>
      </c>
      <c r="BE17" s="11" t="s">
        <v>153</v>
      </c>
      <c r="BF17" s="11" t="s">
        <v>100</v>
      </c>
      <c r="BG17" s="11" t="s">
        <v>154</v>
      </c>
      <c r="BH17" s="11" t="s">
        <v>91</v>
      </c>
      <c r="BI17" s="11" t="s">
        <v>155</v>
      </c>
      <c r="BJ17" s="11" t="s">
        <v>100</v>
      </c>
      <c r="BK17" s="11" t="s">
        <v>156</v>
      </c>
      <c r="BL17" s="11" t="s">
        <v>91</v>
      </c>
      <c r="BM17" s="10" t="s">
        <v>105</v>
      </c>
      <c r="BN17" s="11" t="s">
        <v>146</v>
      </c>
      <c r="BO17" s="11" t="s">
        <v>100</v>
      </c>
      <c r="BP17" s="11" t="s">
        <v>145</v>
      </c>
      <c r="BQ17" s="11" t="s">
        <v>91</v>
      </c>
      <c r="BR17" s="11" t="s">
        <v>142</v>
      </c>
      <c r="BS17" s="11" t="s">
        <v>100</v>
      </c>
      <c r="BT17" s="11" t="s">
        <v>143</v>
      </c>
      <c r="BU17" s="11" t="s">
        <v>91</v>
      </c>
      <c r="BV17" s="11" t="s">
        <v>144</v>
      </c>
      <c r="BW17" s="11" t="s">
        <v>100</v>
      </c>
      <c r="BX17" s="10" t="s">
        <v>111</v>
      </c>
      <c r="BY17" s="11" t="s">
        <v>149</v>
      </c>
      <c r="BZ17" s="11" t="s">
        <v>91</v>
      </c>
      <c r="CA17" s="11" t="s">
        <v>148</v>
      </c>
      <c r="CB17" s="11" t="s">
        <v>100</v>
      </c>
      <c r="CC17" s="11" t="s">
        <v>147</v>
      </c>
      <c r="CD17" s="11" t="s">
        <v>91</v>
      </c>
      <c r="CE17" s="11" t="s">
        <v>150</v>
      </c>
      <c r="CF17" s="11" t="s">
        <v>100</v>
      </c>
      <c r="CG17" s="11" t="s">
        <v>151</v>
      </c>
      <c r="CH17" s="11" t="s">
        <v>91</v>
      </c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</row>
    <row r="18" spans="1:106" ht="14.25" customHeight="1">
      <c r="A18" s="8" t="s">
        <v>174</v>
      </c>
      <c r="B18" s="9" t="s">
        <v>87</v>
      </c>
      <c r="C18" s="10" t="s">
        <v>89</v>
      </c>
      <c r="D18" s="10" t="s">
        <v>132</v>
      </c>
      <c r="E18" s="11" t="s">
        <v>90</v>
      </c>
      <c r="F18" s="11" t="s">
        <v>91</v>
      </c>
      <c r="G18" s="11" t="s">
        <v>92</v>
      </c>
      <c r="H18" s="11" t="s">
        <v>91</v>
      </c>
      <c r="I18" s="11" t="s">
        <v>93</v>
      </c>
      <c r="J18" s="11" t="s">
        <v>91</v>
      </c>
      <c r="K18" s="11" t="s">
        <v>94</v>
      </c>
      <c r="L18" s="11" t="s">
        <v>91</v>
      </c>
      <c r="M18" s="11" t="s">
        <v>95</v>
      </c>
      <c r="N18" s="11" t="s">
        <v>91</v>
      </c>
      <c r="O18" s="11" t="s">
        <v>96</v>
      </c>
      <c r="P18" s="11" t="s">
        <v>91</v>
      </c>
      <c r="Q18" s="11" t="s">
        <v>97</v>
      </c>
      <c r="R18" s="10" t="s">
        <v>89</v>
      </c>
      <c r="S18" s="10" t="s">
        <v>105</v>
      </c>
      <c r="T18" s="11" t="s">
        <v>146</v>
      </c>
      <c r="U18" s="11" t="s">
        <v>100</v>
      </c>
      <c r="V18" s="11" t="s">
        <v>143</v>
      </c>
      <c r="W18" s="11" t="s">
        <v>91</v>
      </c>
      <c r="X18" s="11" t="s">
        <v>144</v>
      </c>
      <c r="Y18" s="11" t="s">
        <v>100</v>
      </c>
      <c r="Z18" s="11" t="s">
        <v>145</v>
      </c>
      <c r="AA18" s="11" t="s">
        <v>91</v>
      </c>
      <c r="AB18" s="11" t="s">
        <v>142</v>
      </c>
      <c r="AC18" s="11" t="s">
        <v>100</v>
      </c>
      <c r="AD18" s="10" t="s">
        <v>111</v>
      </c>
      <c r="AE18" s="11" t="s">
        <v>149</v>
      </c>
      <c r="AF18" s="11" t="s">
        <v>91</v>
      </c>
      <c r="AG18" s="11" t="s">
        <v>150</v>
      </c>
      <c r="AH18" s="11" t="s">
        <v>100</v>
      </c>
      <c r="AI18" s="11" t="s">
        <v>151</v>
      </c>
      <c r="AJ18" s="11" t="s">
        <v>91</v>
      </c>
      <c r="AK18" s="11" t="s">
        <v>148</v>
      </c>
      <c r="AL18" s="11" t="s">
        <v>100</v>
      </c>
      <c r="AM18" s="11" t="s">
        <v>147</v>
      </c>
      <c r="AN18" s="11" t="s">
        <v>91</v>
      </c>
      <c r="AO18" s="10" t="s">
        <v>98</v>
      </c>
      <c r="AP18" s="11" t="s">
        <v>154</v>
      </c>
      <c r="AQ18" s="11" t="s">
        <v>91</v>
      </c>
      <c r="AR18" s="11" t="s">
        <v>155</v>
      </c>
      <c r="AS18" s="11" t="s">
        <v>100</v>
      </c>
      <c r="AT18" s="11" t="s">
        <v>156</v>
      </c>
      <c r="AU18" s="11" t="s">
        <v>91</v>
      </c>
      <c r="AV18" s="11" t="s">
        <v>153</v>
      </c>
      <c r="AW18" s="11" t="s">
        <v>100</v>
      </c>
      <c r="AX18" s="11" t="s">
        <v>152</v>
      </c>
      <c r="AY18" s="11" t="s">
        <v>91</v>
      </c>
      <c r="AZ18" s="11" t="s">
        <v>117</v>
      </c>
      <c r="BA18" s="10" t="s">
        <v>132</v>
      </c>
      <c r="BB18" s="10" t="s">
        <v>111</v>
      </c>
      <c r="BC18" s="11" t="s">
        <v>157</v>
      </c>
      <c r="BD18" s="11" t="s">
        <v>91</v>
      </c>
      <c r="BE18" s="11" t="s">
        <v>158</v>
      </c>
      <c r="BF18" s="11" t="s">
        <v>100</v>
      </c>
      <c r="BG18" s="11" t="s">
        <v>159</v>
      </c>
      <c r="BH18" s="11" t="s">
        <v>91</v>
      </c>
      <c r="BI18" s="11" t="s">
        <v>160</v>
      </c>
      <c r="BJ18" s="11" t="s">
        <v>100</v>
      </c>
      <c r="BK18" s="11"/>
      <c r="BL18" s="11"/>
      <c r="BM18" s="10" t="s">
        <v>98</v>
      </c>
      <c r="BN18" s="11" t="s">
        <v>161</v>
      </c>
      <c r="BO18" s="11" t="s">
        <v>91</v>
      </c>
      <c r="BP18" s="11" t="s">
        <v>162</v>
      </c>
      <c r="BQ18" s="11" t="s">
        <v>100</v>
      </c>
      <c r="BR18" s="11" t="s">
        <v>163</v>
      </c>
      <c r="BS18" s="11" t="s">
        <v>91</v>
      </c>
      <c r="BT18" s="11" t="s">
        <v>164</v>
      </c>
      <c r="BU18" s="11" t="s">
        <v>100</v>
      </c>
      <c r="BV18" s="11"/>
      <c r="BW18" s="11"/>
      <c r="BX18" s="10" t="s">
        <v>105</v>
      </c>
      <c r="BY18" s="11" t="s">
        <v>167</v>
      </c>
      <c r="BZ18" s="11" t="s">
        <v>91</v>
      </c>
      <c r="CA18" s="11" t="s">
        <v>166</v>
      </c>
      <c r="CB18" s="11" t="s">
        <v>100</v>
      </c>
      <c r="CC18" s="11" t="s">
        <v>165</v>
      </c>
      <c r="CD18" s="11" t="s">
        <v>91</v>
      </c>
      <c r="CE18" s="11" t="s">
        <v>168</v>
      </c>
      <c r="CF18" s="11" t="s">
        <v>100</v>
      </c>
      <c r="CG18" s="11"/>
      <c r="CH18" s="11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</row>
    <row r="19" spans="1:106" ht="14.25" customHeight="1">
      <c r="A19" s="8" t="s">
        <v>175</v>
      </c>
      <c r="B19" s="9" t="s">
        <v>131</v>
      </c>
      <c r="C19" s="10" t="s">
        <v>88</v>
      </c>
      <c r="D19" s="10" t="s">
        <v>132</v>
      </c>
      <c r="E19" s="11" t="s">
        <v>90</v>
      </c>
      <c r="F19" s="11" t="s">
        <v>91</v>
      </c>
      <c r="G19" s="11" t="s">
        <v>92</v>
      </c>
      <c r="H19" s="11" t="s">
        <v>91</v>
      </c>
      <c r="I19" s="11" t="s">
        <v>93</v>
      </c>
      <c r="J19" s="11" t="s">
        <v>91</v>
      </c>
      <c r="K19" s="11" t="s">
        <v>94</v>
      </c>
      <c r="L19" s="11" t="s">
        <v>91</v>
      </c>
      <c r="M19" s="11" t="s">
        <v>95</v>
      </c>
      <c r="N19" s="11" t="s">
        <v>91</v>
      </c>
      <c r="O19" s="11" t="s">
        <v>96</v>
      </c>
      <c r="P19" s="11" t="s">
        <v>91</v>
      </c>
      <c r="Q19" s="11" t="s">
        <v>117</v>
      </c>
      <c r="R19" s="10" t="s">
        <v>88</v>
      </c>
      <c r="S19" s="10" t="s">
        <v>98</v>
      </c>
      <c r="T19" s="11" t="s">
        <v>161</v>
      </c>
      <c r="U19" s="11" t="s">
        <v>91</v>
      </c>
      <c r="V19" s="11" t="s">
        <v>164</v>
      </c>
      <c r="W19" s="11" t="s">
        <v>100</v>
      </c>
      <c r="X19" s="11" t="s">
        <v>163</v>
      </c>
      <c r="Y19" s="11" t="s">
        <v>91</v>
      </c>
      <c r="Z19" s="11" t="s">
        <v>162</v>
      </c>
      <c r="AA19" s="11" t="s">
        <v>100</v>
      </c>
      <c r="AB19" s="11"/>
      <c r="AC19" s="11"/>
      <c r="AD19" s="10" t="s">
        <v>105</v>
      </c>
      <c r="AE19" s="11" t="s">
        <v>165</v>
      </c>
      <c r="AF19" s="11" t="s">
        <v>91</v>
      </c>
      <c r="AG19" s="11" t="s">
        <v>168</v>
      </c>
      <c r="AH19" s="11" t="s">
        <v>100</v>
      </c>
      <c r="AI19" s="11" t="s">
        <v>167</v>
      </c>
      <c r="AJ19" s="11" t="s">
        <v>91</v>
      </c>
      <c r="AK19" s="11" t="s">
        <v>166</v>
      </c>
      <c r="AL19" s="11" t="s">
        <v>100</v>
      </c>
      <c r="AM19" s="11"/>
      <c r="AN19" s="11"/>
      <c r="AO19" s="10" t="s">
        <v>111</v>
      </c>
      <c r="AP19" s="11" t="s">
        <v>159</v>
      </c>
      <c r="AQ19" s="11" t="s">
        <v>91</v>
      </c>
      <c r="AR19" s="11" t="s">
        <v>160</v>
      </c>
      <c r="AS19" s="11" t="s">
        <v>100</v>
      </c>
      <c r="AT19" s="11" t="s">
        <v>157</v>
      </c>
      <c r="AU19" s="11" t="s">
        <v>91</v>
      </c>
      <c r="AV19" s="11" t="s">
        <v>158</v>
      </c>
      <c r="AW19" s="11" t="s">
        <v>100</v>
      </c>
      <c r="AX19" s="11"/>
      <c r="AY19" s="11"/>
      <c r="AZ19" s="11" t="s">
        <v>97</v>
      </c>
      <c r="BA19" s="10" t="s">
        <v>132</v>
      </c>
      <c r="BB19" s="10" t="s">
        <v>111</v>
      </c>
      <c r="BC19" s="11" t="s">
        <v>151</v>
      </c>
      <c r="BD19" s="11" t="s">
        <v>91</v>
      </c>
      <c r="BE19" s="11" t="s">
        <v>150</v>
      </c>
      <c r="BF19" s="11" t="s">
        <v>100</v>
      </c>
      <c r="BG19" s="11" t="s">
        <v>149</v>
      </c>
      <c r="BH19" s="11" t="s">
        <v>91</v>
      </c>
      <c r="BI19" s="11" t="s">
        <v>148</v>
      </c>
      <c r="BJ19" s="11" t="s">
        <v>100</v>
      </c>
      <c r="BK19" s="11" t="s">
        <v>147</v>
      </c>
      <c r="BL19" s="11" t="s">
        <v>91</v>
      </c>
      <c r="BM19" s="10" t="s">
        <v>98</v>
      </c>
      <c r="BN19" s="11" t="s">
        <v>154</v>
      </c>
      <c r="BO19" s="11" t="s">
        <v>91</v>
      </c>
      <c r="BP19" s="11" t="s">
        <v>153</v>
      </c>
      <c r="BQ19" s="11" t="s">
        <v>100</v>
      </c>
      <c r="BR19" s="11" t="s">
        <v>152</v>
      </c>
      <c r="BS19" s="11" t="s">
        <v>91</v>
      </c>
      <c r="BT19" s="11" t="s">
        <v>155</v>
      </c>
      <c r="BU19" s="11" t="s">
        <v>100</v>
      </c>
      <c r="BV19" s="11" t="s">
        <v>156</v>
      </c>
      <c r="BW19" s="11" t="s">
        <v>91</v>
      </c>
      <c r="BX19" s="10" t="s">
        <v>105</v>
      </c>
      <c r="BY19" s="11" t="s">
        <v>146</v>
      </c>
      <c r="BZ19" s="11" t="s">
        <v>100</v>
      </c>
      <c r="CA19" s="11" t="s">
        <v>143</v>
      </c>
      <c r="CB19" s="11" t="s">
        <v>91</v>
      </c>
      <c r="CC19" s="11" t="s">
        <v>142</v>
      </c>
      <c r="CD19" s="11" t="s">
        <v>100</v>
      </c>
      <c r="CE19" s="11" t="s">
        <v>145</v>
      </c>
      <c r="CF19" s="11" t="s">
        <v>91</v>
      </c>
      <c r="CG19" s="11" t="s">
        <v>144</v>
      </c>
      <c r="CH19" s="11" t="s">
        <v>100</v>
      </c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</row>
    <row r="20" spans="1:106" ht="14.25" customHeight="1">
      <c r="A20" s="8" t="s">
        <v>176</v>
      </c>
      <c r="B20" s="9" t="s">
        <v>87</v>
      </c>
      <c r="C20" s="10" t="s">
        <v>88</v>
      </c>
      <c r="D20" s="10" t="s">
        <v>89</v>
      </c>
      <c r="E20" s="11" t="s">
        <v>90</v>
      </c>
      <c r="F20" s="11" t="s">
        <v>91</v>
      </c>
      <c r="G20" s="11" t="s">
        <v>92</v>
      </c>
      <c r="H20" s="11" t="s">
        <v>91</v>
      </c>
      <c r="I20" s="11" t="s">
        <v>93</v>
      </c>
      <c r="J20" s="11" t="s">
        <v>91</v>
      </c>
      <c r="K20" s="11" t="s">
        <v>94</v>
      </c>
      <c r="L20" s="11" t="s">
        <v>91</v>
      </c>
      <c r="M20" s="11" t="s">
        <v>95</v>
      </c>
      <c r="N20" s="11" t="s">
        <v>91</v>
      </c>
      <c r="O20" s="11" t="s">
        <v>96</v>
      </c>
      <c r="P20" s="11" t="s">
        <v>91</v>
      </c>
      <c r="Q20" s="11" t="s">
        <v>97</v>
      </c>
      <c r="R20" s="10" t="s">
        <v>88</v>
      </c>
      <c r="S20" s="10" t="s">
        <v>98</v>
      </c>
      <c r="T20" s="11" t="s">
        <v>152</v>
      </c>
      <c r="U20" s="11" t="s">
        <v>91</v>
      </c>
      <c r="V20" s="11" t="s">
        <v>155</v>
      </c>
      <c r="W20" s="11" t="s">
        <v>100</v>
      </c>
      <c r="X20" s="11" t="s">
        <v>156</v>
      </c>
      <c r="Y20" s="11" t="s">
        <v>91</v>
      </c>
      <c r="Z20" s="11" t="s">
        <v>153</v>
      </c>
      <c r="AA20" s="11" t="s">
        <v>100</v>
      </c>
      <c r="AB20" s="11" t="s">
        <v>154</v>
      </c>
      <c r="AC20" s="11" t="s">
        <v>91</v>
      </c>
      <c r="AD20" s="10" t="s">
        <v>105</v>
      </c>
      <c r="AE20" s="11" t="s">
        <v>146</v>
      </c>
      <c r="AF20" s="11" t="s">
        <v>100</v>
      </c>
      <c r="AG20" s="11" t="s">
        <v>145</v>
      </c>
      <c r="AH20" s="11" t="s">
        <v>91</v>
      </c>
      <c r="AI20" s="11" t="s">
        <v>142</v>
      </c>
      <c r="AJ20" s="11" t="s">
        <v>100</v>
      </c>
      <c r="AK20" s="11" t="s">
        <v>143</v>
      </c>
      <c r="AL20" s="11" t="s">
        <v>91</v>
      </c>
      <c r="AM20" s="11" t="s">
        <v>144</v>
      </c>
      <c r="AN20" s="11" t="s">
        <v>100</v>
      </c>
      <c r="AO20" s="10" t="s">
        <v>111</v>
      </c>
      <c r="AP20" s="11" t="s">
        <v>147</v>
      </c>
      <c r="AQ20" s="11" t="s">
        <v>91</v>
      </c>
      <c r="AR20" s="11" t="s">
        <v>150</v>
      </c>
      <c r="AS20" s="11" t="s">
        <v>100</v>
      </c>
      <c r="AT20" s="11" t="s">
        <v>151</v>
      </c>
      <c r="AU20" s="11" t="s">
        <v>91</v>
      </c>
      <c r="AV20" s="11" t="s">
        <v>148</v>
      </c>
      <c r="AW20" s="11" t="s">
        <v>100</v>
      </c>
      <c r="AX20" s="11" t="s">
        <v>149</v>
      </c>
      <c r="AY20" s="11" t="s">
        <v>91</v>
      </c>
      <c r="AZ20" s="11" t="s">
        <v>117</v>
      </c>
      <c r="BA20" s="10" t="s">
        <v>89</v>
      </c>
      <c r="BB20" s="10" t="s">
        <v>105</v>
      </c>
      <c r="BC20" s="11" t="s">
        <v>167</v>
      </c>
      <c r="BD20" s="11" t="s">
        <v>91</v>
      </c>
      <c r="BE20" s="11" t="s">
        <v>168</v>
      </c>
      <c r="BF20" s="11" t="s">
        <v>100</v>
      </c>
      <c r="BG20" s="11" t="s">
        <v>165</v>
      </c>
      <c r="BH20" s="11" t="s">
        <v>91</v>
      </c>
      <c r="BI20" s="11" t="s">
        <v>166</v>
      </c>
      <c r="BJ20" s="11" t="s">
        <v>100</v>
      </c>
      <c r="BK20" s="11"/>
      <c r="BL20" s="11"/>
      <c r="BM20" s="10" t="s">
        <v>111</v>
      </c>
      <c r="BN20" s="11" t="s">
        <v>157</v>
      </c>
      <c r="BO20" s="11" t="s">
        <v>91</v>
      </c>
      <c r="BP20" s="11" t="s">
        <v>158</v>
      </c>
      <c r="BQ20" s="11" t="s">
        <v>100</v>
      </c>
      <c r="BR20" s="11" t="s">
        <v>159</v>
      </c>
      <c r="BS20" s="11" t="s">
        <v>91</v>
      </c>
      <c r="BT20" s="11" t="s">
        <v>160</v>
      </c>
      <c r="BU20" s="11" t="s">
        <v>100</v>
      </c>
      <c r="BV20" s="11"/>
      <c r="BW20" s="11"/>
      <c r="BX20" s="10" t="s">
        <v>98</v>
      </c>
      <c r="BY20" s="11" t="s">
        <v>161</v>
      </c>
      <c r="BZ20" s="11" t="s">
        <v>91</v>
      </c>
      <c r="CA20" s="11" t="s">
        <v>162</v>
      </c>
      <c r="CB20" s="11" t="s">
        <v>100</v>
      </c>
      <c r="CC20" s="11" t="s">
        <v>163</v>
      </c>
      <c r="CD20" s="11" t="s">
        <v>91</v>
      </c>
      <c r="CE20" s="11" t="s">
        <v>164</v>
      </c>
      <c r="CF20" s="11" t="s">
        <v>100</v>
      </c>
      <c r="CG20" s="11"/>
      <c r="CH20" s="11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</row>
    <row r="21" spans="1:106" ht="14.25" customHeight="1">
      <c r="A21" s="8" t="s">
        <v>177</v>
      </c>
      <c r="B21" s="9" t="s">
        <v>131</v>
      </c>
      <c r="C21" s="10" t="s">
        <v>132</v>
      </c>
      <c r="D21" s="10" t="s">
        <v>89</v>
      </c>
      <c r="E21" s="11" t="s">
        <v>90</v>
      </c>
      <c r="F21" s="11" t="s">
        <v>91</v>
      </c>
      <c r="G21" s="11" t="s">
        <v>92</v>
      </c>
      <c r="H21" s="11" t="s">
        <v>91</v>
      </c>
      <c r="I21" s="11" t="s">
        <v>93</v>
      </c>
      <c r="J21" s="11" t="s">
        <v>91</v>
      </c>
      <c r="K21" s="11" t="s">
        <v>94</v>
      </c>
      <c r="L21" s="11" t="s">
        <v>91</v>
      </c>
      <c r="M21" s="11" t="s">
        <v>95</v>
      </c>
      <c r="N21" s="11" t="s">
        <v>91</v>
      </c>
      <c r="O21" s="11" t="s">
        <v>96</v>
      </c>
      <c r="P21" s="11" t="s">
        <v>91</v>
      </c>
      <c r="Q21" s="11" t="s">
        <v>117</v>
      </c>
      <c r="R21" s="10" t="s">
        <v>132</v>
      </c>
      <c r="S21" s="10" t="s">
        <v>111</v>
      </c>
      <c r="T21" s="11" t="s">
        <v>157</v>
      </c>
      <c r="U21" s="11" t="s">
        <v>91</v>
      </c>
      <c r="V21" s="11" t="s">
        <v>160</v>
      </c>
      <c r="W21" s="11" t="s">
        <v>100</v>
      </c>
      <c r="X21" s="11" t="s">
        <v>159</v>
      </c>
      <c r="Y21" s="11" t="s">
        <v>91</v>
      </c>
      <c r="Z21" s="11" t="s">
        <v>158</v>
      </c>
      <c r="AA21" s="11" t="s">
        <v>100</v>
      </c>
      <c r="AB21" s="11"/>
      <c r="AC21" s="11"/>
      <c r="AD21" s="10" t="s">
        <v>98</v>
      </c>
      <c r="AE21" s="11" t="s">
        <v>163</v>
      </c>
      <c r="AF21" s="11" t="s">
        <v>91</v>
      </c>
      <c r="AG21" s="11" t="s">
        <v>162</v>
      </c>
      <c r="AH21" s="11" t="s">
        <v>100</v>
      </c>
      <c r="AI21" s="11" t="s">
        <v>161</v>
      </c>
      <c r="AJ21" s="11" t="s">
        <v>91</v>
      </c>
      <c r="AK21" s="11" t="s">
        <v>164</v>
      </c>
      <c r="AL21" s="11" t="s">
        <v>100</v>
      </c>
      <c r="AM21" s="11"/>
      <c r="AN21" s="11"/>
      <c r="AO21" s="10" t="s">
        <v>105</v>
      </c>
      <c r="AP21" s="11" t="s">
        <v>165</v>
      </c>
      <c r="AQ21" s="11" t="s">
        <v>91</v>
      </c>
      <c r="AR21" s="11" t="s">
        <v>168</v>
      </c>
      <c r="AS21" s="11" t="s">
        <v>100</v>
      </c>
      <c r="AT21" s="11" t="s">
        <v>167</v>
      </c>
      <c r="AU21" s="11" t="s">
        <v>91</v>
      </c>
      <c r="AV21" s="11" t="s">
        <v>166</v>
      </c>
      <c r="AW21" s="11" t="s">
        <v>100</v>
      </c>
      <c r="AX21" s="11"/>
      <c r="AY21" s="11"/>
      <c r="AZ21" s="11" t="s">
        <v>97</v>
      </c>
      <c r="BA21" s="10" t="s">
        <v>89</v>
      </c>
      <c r="BB21" s="10" t="s">
        <v>105</v>
      </c>
      <c r="BC21" s="11" t="s">
        <v>142</v>
      </c>
      <c r="BD21" s="11" t="s">
        <v>100</v>
      </c>
      <c r="BE21" s="11" t="s">
        <v>145</v>
      </c>
      <c r="BF21" s="11" t="s">
        <v>91</v>
      </c>
      <c r="BG21" s="11" t="s">
        <v>144</v>
      </c>
      <c r="BH21" s="11" t="s">
        <v>100</v>
      </c>
      <c r="BI21" s="11" t="s">
        <v>143</v>
      </c>
      <c r="BJ21" s="11" t="s">
        <v>91</v>
      </c>
      <c r="BK21" s="11" t="s">
        <v>146</v>
      </c>
      <c r="BL21" s="11" t="s">
        <v>100</v>
      </c>
      <c r="BM21" s="10" t="s">
        <v>111</v>
      </c>
      <c r="BN21" s="11" t="s">
        <v>147</v>
      </c>
      <c r="BO21" s="11" t="s">
        <v>91</v>
      </c>
      <c r="BP21" s="11" t="s">
        <v>148</v>
      </c>
      <c r="BQ21" s="11" t="s">
        <v>100</v>
      </c>
      <c r="BR21" s="11" t="s">
        <v>149</v>
      </c>
      <c r="BS21" s="11" t="s">
        <v>91</v>
      </c>
      <c r="BT21" s="11" t="s">
        <v>150</v>
      </c>
      <c r="BU21" s="11" t="s">
        <v>100</v>
      </c>
      <c r="BV21" s="11" t="s">
        <v>151</v>
      </c>
      <c r="BW21" s="11" t="s">
        <v>91</v>
      </c>
      <c r="BX21" s="10" t="s">
        <v>98</v>
      </c>
      <c r="BY21" s="11" t="s">
        <v>154</v>
      </c>
      <c r="BZ21" s="11" t="s">
        <v>91</v>
      </c>
      <c r="CA21" s="11" t="s">
        <v>153</v>
      </c>
      <c r="CB21" s="11" t="s">
        <v>100</v>
      </c>
      <c r="CC21" s="11" t="s">
        <v>156</v>
      </c>
      <c r="CD21" s="11" t="s">
        <v>91</v>
      </c>
      <c r="CE21" s="11" t="s">
        <v>155</v>
      </c>
      <c r="CF21" s="11" t="s">
        <v>100</v>
      </c>
      <c r="CG21" s="11" t="s">
        <v>152</v>
      </c>
      <c r="CH21" s="11" t="s">
        <v>91</v>
      </c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</row>
    <row r="22" spans="1:106" ht="14.25" customHeight="1">
      <c r="A22" s="8" t="s">
        <v>178</v>
      </c>
      <c r="B22" s="9" t="s">
        <v>87</v>
      </c>
      <c r="C22" s="10" t="s">
        <v>132</v>
      </c>
      <c r="D22" s="10" t="s">
        <v>88</v>
      </c>
      <c r="E22" s="11" t="s">
        <v>90</v>
      </c>
      <c r="F22" s="11" t="s">
        <v>91</v>
      </c>
      <c r="G22" s="11" t="s">
        <v>92</v>
      </c>
      <c r="H22" s="11" t="s">
        <v>91</v>
      </c>
      <c r="I22" s="11" t="s">
        <v>93</v>
      </c>
      <c r="J22" s="11" t="s">
        <v>91</v>
      </c>
      <c r="K22" s="11" t="s">
        <v>94</v>
      </c>
      <c r="L22" s="11" t="s">
        <v>91</v>
      </c>
      <c r="M22" s="11" t="s">
        <v>95</v>
      </c>
      <c r="N22" s="11" t="s">
        <v>91</v>
      </c>
      <c r="O22" s="11" t="s">
        <v>96</v>
      </c>
      <c r="P22" s="11" t="s">
        <v>91</v>
      </c>
      <c r="Q22" s="11" t="s">
        <v>97</v>
      </c>
      <c r="R22" s="10" t="s">
        <v>132</v>
      </c>
      <c r="S22" s="10" t="s">
        <v>111</v>
      </c>
      <c r="T22" s="11" t="s">
        <v>179</v>
      </c>
      <c r="U22" s="11" t="s">
        <v>100</v>
      </c>
      <c r="V22" s="11" t="s">
        <v>180</v>
      </c>
      <c r="W22" s="11" t="s">
        <v>91</v>
      </c>
      <c r="X22" s="11" t="s">
        <v>181</v>
      </c>
      <c r="Y22" s="11" t="s">
        <v>100</v>
      </c>
      <c r="Z22" s="11" t="s">
        <v>182</v>
      </c>
      <c r="AA22" s="11" t="s">
        <v>91</v>
      </c>
      <c r="AB22" s="11" t="s">
        <v>183</v>
      </c>
      <c r="AC22" s="11" t="s">
        <v>100</v>
      </c>
      <c r="AD22" s="10" t="s">
        <v>98</v>
      </c>
      <c r="AE22" s="11" t="s">
        <v>184</v>
      </c>
      <c r="AF22" s="11" t="s">
        <v>91</v>
      </c>
      <c r="AG22" s="11" t="s">
        <v>185</v>
      </c>
      <c r="AH22" s="11" t="s">
        <v>100</v>
      </c>
      <c r="AI22" s="11" t="s">
        <v>186</v>
      </c>
      <c r="AJ22" s="11" t="s">
        <v>91</v>
      </c>
      <c r="AK22" s="11" t="s">
        <v>187</v>
      </c>
      <c r="AL22" s="11" t="s">
        <v>100</v>
      </c>
      <c r="AM22" s="11" t="s">
        <v>188</v>
      </c>
      <c r="AN22" s="11" t="s">
        <v>91</v>
      </c>
      <c r="AO22" s="10" t="s">
        <v>105</v>
      </c>
      <c r="AP22" s="11" t="s">
        <v>189</v>
      </c>
      <c r="AQ22" s="11" t="s">
        <v>91</v>
      </c>
      <c r="AR22" s="11" t="s">
        <v>190</v>
      </c>
      <c r="AS22" s="11" t="s">
        <v>100</v>
      </c>
      <c r="AT22" s="11" t="s">
        <v>191</v>
      </c>
      <c r="AU22" s="11" t="s">
        <v>91</v>
      </c>
      <c r="AV22" s="11" t="s">
        <v>192</v>
      </c>
      <c r="AW22" s="11" t="s">
        <v>100</v>
      </c>
      <c r="AX22" s="11" t="s">
        <v>193</v>
      </c>
      <c r="AY22" s="11" t="s">
        <v>91</v>
      </c>
      <c r="AZ22" s="11" t="s">
        <v>117</v>
      </c>
      <c r="BA22" s="10" t="s">
        <v>88</v>
      </c>
      <c r="BB22" s="10" t="s">
        <v>98</v>
      </c>
      <c r="BC22" s="11" t="s">
        <v>194</v>
      </c>
      <c r="BD22" s="11" t="s">
        <v>91</v>
      </c>
      <c r="BE22" s="11" t="s">
        <v>195</v>
      </c>
      <c r="BF22" s="11" t="s">
        <v>100</v>
      </c>
      <c r="BG22" s="11" t="s">
        <v>196</v>
      </c>
      <c r="BH22" s="11" t="s">
        <v>91</v>
      </c>
      <c r="BI22" s="11" t="s">
        <v>197</v>
      </c>
      <c r="BJ22" s="11" t="s">
        <v>100</v>
      </c>
      <c r="BK22" s="11"/>
      <c r="BL22" s="11"/>
      <c r="BM22" s="10" t="s">
        <v>105</v>
      </c>
      <c r="BN22" s="11" t="s">
        <v>198</v>
      </c>
      <c r="BO22" s="11" t="s">
        <v>91</v>
      </c>
      <c r="BP22" s="11" t="s">
        <v>199</v>
      </c>
      <c r="BQ22" s="11" t="s">
        <v>100</v>
      </c>
      <c r="BR22" s="11" t="s">
        <v>200</v>
      </c>
      <c r="BS22" s="11" t="s">
        <v>91</v>
      </c>
      <c r="BT22" s="11" t="s">
        <v>201</v>
      </c>
      <c r="BU22" s="11" t="s">
        <v>100</v>
      </c>
      <c r="BV22" s="11"/>
      <c r="BW22" s="11"/>
      <c r="BX22" s="10" t="s">
        <v>111</v>
      </c>
      <c r="BY22" s="11" t="s">
        <v>202</v>
      </c>
      <c r="BZ22" s="11" t="s">
        <v>91</v>
      </c>
      <c r="CA22" s="11" t="s">
        <v>203</v>
      </c>
      <c r="CB22" s="11" t="s">
        <v>100</v>
      </c>
      <c r="CC22" s="11" t="s">
        <v>204</v>
      </c>
      <c r="CD22" s="11" t="s">
        <v>91</v>
      </c>
      <c r="CE22" s="11" t="s">
        <v>205</v>
      </c>
      <c r="CF22" s="11" t="s">
        <v>100</v>
      </c>
      <c r="CG22" s="11"/>
      <c r="CH22" s="11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</row>
    <row r="23" spans="1:106" ht="14.25" customHeight="1">
      <c r="A23" s="8" t="s">
        <v>206</v>
      </c>
      <c r="B23" s="9" t="s">
        <v>131</v>
      </c>
      <c r="C23" s="10" t="s">
        <v>89</v>
      </c>
      <c r="D23" s="10" t="s">
        <v>88</v>
      </c>
      <c r="E23" s="11" t="s">
        <v>90</v>
      </c>
      <c r="F23" s="11" t="s">
        <v>91</v>
      </c>
      <c r="G23" s="11" t="s">
        <v>92</v>
      </c>
      <c r="H23" s="11" t="s">
        <v>91</v>
      </c>
      <c r="I23" s="11" t="s">
        <v>93</v>
      </c>
      <c r="J23" s="11" t="s">
        <v>91</v>
      </c>
      <c r="K23" s="11" t="s">
        <v>94</v>
      </c>
      <c r="L23" s="11" t="s">
        <v>91</v>
      </c>
      <c r="M23" s="11" t="s">
        <v>95</v>
      </c>
      <c r="N23" s="11" t="s">
        <v>91</v>
      </c>
      <c r="O23" s="11" t="s">
        <v>96</v>
      </c>
      <c r="P23" s="11" t="s">
        <v>91</v>
      </c>
      <c r="Q23" s="11" t="s">
        <v>117</v>
      </c>
      <c r="R23" s="10" t="s">
        <v>89</v>
      </c>
      <c r="S23" s="10" t="s">
        <v>105</v>
      </c>
      <c r="T23" s="11" t="s">
        <v>200</v>
      </c>
      <c r="U23" s="11" t="s">
        <v>91</v>
      </c>
      <c r="V23" s="11" t="s">
        <v>201</v>
      </c>
      <c r="W23" s="11" t="s">
        <v>100</v>
      </c>
      <c r="X23" s="11" t="s">
        <v>198</v>
      </c>
      <c r="Y23" s="11" t="s">
        <v>91</v>
      </c>
      <c r="Z23" s="11" t="s">
        <v>199</v>
      </c>
      <c r="AA23" s="11" t="s">
        <v>100</v>
      </c>
      <c r="AB23" s="11"/>
      <c r="AC23" s="11"/>
      <c r="AD23" s="10" t="s">
        <v>111</v>
      </c>
      <c r="AE23" s="11" t="s">
        <v>204</v>
      </c>
      <c r="AF23" s="11" t="s">
        <v>91</v>
      </c>
      <c r="AG23" s="11" t="s">
        <v>205</v>
      </c>
      <c r="AH23" s="11" t="s">
        <v>100</v>
      </c>
      <c r="AI23" s="11" t="s">
        <v>202</v>
      </c>
      <c r="AJ23" s="11" t="s">
        <v>91</v>
      </c>
      <c r="AK23" s="11" t="s">
        <v>203</v>
      </c>
      <c r="AL23" s="11" t="s">
        <v>100</v>
      </c>
      <c r="AM23" s="11"/>
      <c r="AN23" s="11"/>
      <c r="AO23" s="10" t="s">
        <v>98</v>
      </c>
      <c r="AP23" s="11" t="s">
        <v>194</v>
      </c>
      <c r="AQ23" s="11" t="s">
        <v>91</v>
      </c>
      <c r="AR23" s="11" t="s">
        <v>195</v>
      </c>
      <c r="AS23" s="11" t="s">
        <v>100</v>
      </c>
      <c r="AT23" s="11" t="s">
        <v>196</v>
      </c>
      <c r="AU23" s="11" t="s">
        <v>91</v>
      </c>
      <c r="AV23" s="11" t="s">
        <v>197</v>
      </c>
      <c r="AW23" s="11" t="s">
        <v>100</v>
      </c>
      <c r="AX23" s="11"/>
      <c r="AY23" s="11"/>
      <c r="AZ23" s="11" t="s">
        <v>97</v>
      </c>
      <c r="BA23" s="10" t="s">
        <v>88</v>
      </c>
      <c r="BB23" s="10" t="s">
        <v>98</v>
      </c>
      <c r="BC23" s="11" t="s">
        <v>188</v>
      </c>
      <c r="BD23" s="11" t="s">
        <v>91</v>
      </c>
      <c r="BE23" s="11" t="s">
        <v>187</v>
      </c>
      <c r="BF23" s="11" t="s">
        <v>100</v>
      </c>
      <c r="BG23" s="11" t="s">
        <v>184</v>
      </c>
      <c r="BH23" s="11" t="s">
        <v>91</v>
      </c>
      <c r="BI23" s="11" t="s">
        <v>185</v>
      </c>
      <c r="BJ23" s="11" t="s">
        <v>100</v>
      </c>
      <c r="BK23" s="11" t="s">
        <v>186</v>
      </c>
      <c r="BL23" s="11" t="s">
        <v>91</v>
      </c>
      <c r="BM23" s="10" t="s">
        <v>105</v>
      </c>
      <c r="BN23" s="11" t="s">
        <v>193</v>
      </c>
      <c r="BO23" s="11" t="s">
        <v>91</v>
      </c>
      <c r="BP23" s="11" t="s">
        <v>192</v>
      </c>
      <c r="BQ23" s="11" t="s">
        <v>100</v>
      </c>
      <c r="BR23" s="11" t="s">
        <v>189</v>
      </c>
      <c r="BS23" s="11" t="s">
        <v>91</v>
      </c>
      <c r="BT23" s="11" t="s">
        <v>190</v>
      </c>
      <c r="BU23" s="11" t="s">
        <v>100</v>
      </c>
      <c r="BV23" s="11" t="s">
        <v>191</v>
      </c>
      <c r="BW23" s="11" t="s">
        <v>91</v>
      </c>
      <c r="BX23" s="10" t="s">
        <v>111</v>
      </c>
      <c r="BY23" s="11" t="s">
        <v>181</v>
      </c>
      <c r="BZ23" s="11" t="s">
        <v>100</v>
      </c>
      <c r="CA23" s="11" t="s">
        <v>180</v>
      </c>
      <c r="CB23" s="11" t="s">
        <v>91</v>
      </c>
      <c r="CC23" s="11" t="s">
        <v>183</v>
      </c>
      <c r="CD23" s="11" t="s">
        <v>100</v>
      </c>
      <c r="CE23" s="11" t="s">
        <v>182</v>
      </c>
      <c r="CF23" s="11" t="s">
        <v>91</v>
      </c>
      <c r="CG23" s="11" t="s">
        <v>179</v>
      </c>
      <c r="CH23" s="11" t="s">
        <v>100</v>
      </c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</row>
    <row r="24" spans="1:106" ht="14.25" customHeight="1">
      <c r="A24" s="8" t="s">
        <v>207</v>
      </c>
      <c r="B24" s="9" t="s">
        <v>87</v>
      </c>
      <c r="C24" s="10" t="s">
        <v>89</v>
      </c>
      <c r="D24" s="10" t="s">
        <v>132</v>
      </c>
      <c r="E24" s="11" t="s">
        <v>90</v>
      </c>
      <c r="F24" s="11" t="s">
        <v>91</v>
      </c>
      <c r="G24" s="11" t="s">
        <v>92</v>
      </c>
      <c r="H24" s="11" t="s">
        <v>91</v>
      </c>
      <c r="I24" s="11" t="s">
        <v>93</v>
      </c>
      <c r="J24" s="11" t="s">
        <v>91</v>
      </c>
      <c r="K24" s="11" t="s">
        <v>94</v>
      </c>
      <c r="L24" s="11" t="s">
        <v>91</v>
      </c>
      <c r="M24" s="11" t="s">
        <v>95</v>
      </c>
      <c r="N24" s="11" t="s">
        <v>91</v>
      </c>
      <c r="O24" s="11" t="s">
        <v>96</v>
      </c>
      <c r="P24" s="11" t="s">
        <v>91</v>
      </c>
      <c r="Q24" s="11" t="s">
        <v>97</v>
      </c>
      <c r="R24" s="10" t="s">
        <v>89</v>
      </c>
      <c r="S24" s="10" t="s">
        <v>105</v>
      </c>
      <c r="T24" s="11" t="s">
        <v>191</v>
      </c>
      <c r="U24" s="11" t="s">
        <v>91</v>
      </c>
      <c r="V24" s="11" t="s">
        <v>192</v>
      </c>
      <c r="W24" s="11" t="s">
        <v>100</v>
      </c>
      <c r="X24" s="11" t="s">
        <v>193</v>
      </c>
      <c r="Y24" s="11" t="s">
        <v>91</v>
      </c>
      <c r="Z24" s="11" t="s">
        <v>190</v>
      </c>
      <c r="AA24" s="11" t="s">
        <v>100</v>
      </c>
      <c r="AB24" s="11" t="s">
        <v>189</v>
      </c>
      <c r="AC24" s="11" t="s">
        <v>91</v>
      </c>
      <c r="AD24" s="10" t="s">
        <v>111</v>
      </c>
      <c r="AE24" s="11" t="s">
        <v>181</v>
      </c>
      <c r="AF24" s="11" t="s">
        <v>100</v>
      </c>
      <c r="AG24" s="11" t="s">
        <v>182</v>
      </c>
      <c r="AH24" s="11" t="s">
        <v>91</v>
      </c>
      <c r="AI24" s="11" t="s">
        <v>183</v>
      </c>
      <c r="AJ24" s="11" t="s">
        <v>100</v>
      </c>
      <c r="AK24" s="11" t="s">
        <v>180</v>
      </c>
      <c r="AL24" s="11" t="s">
        <v>91</v>
      </c>
      <c r="AM24" s="11" t="s">
        <v>179</v>
      </c>
      <c r="AN24" s="11" t="s">
        <v>100</v>
      </c>
      <c r="AO24" s="10" t="s">
        <v>98</v>
      </c>
      <c r="AP24" s="11" t="s">
        <v>184</v>
      </c>
      <c r="AQ24" s="11" t="s">
        <v>91</v>
      </c>
      <c r="AR24" s="11" t="s">
        <v>185</v>
      </c>
      <c r="AS24" s="11" t="s">
        <v>100</v>
      </c>
      <c r="AT24" s="11" t="s">
        <v>186</v>
      </c>
      <c r="AU24" s="11" t="s">
        <v>91</v>
      </c>
      <c r="AV24" s="11" t="s">
        <v>187</v>
      </c>
      <c r="AW24" s="11" t="s">
        <v>100</v>
      </c>
      <c r="AX24" s="11" t="s">
        <v>188</v>
      </c>
      <c r="AY24" s="11" t="s">
        <v>91</v>
      </c>
      <c r="AZ24" s="11" t="s">
        <v>117</v>
      </c>
      <c r="BA24" s="10" t="s">
        <v>132</v>
      </c>
      <c r="BB24" s="10" t="s">
        <v>111</v>
      </c>
      <c r="BC24" s="11" t="s">
        <v>202</v>
      </c>
      <c r="BD24" s="11" t="s">
        <v>91</v>
      </c>
      <c r="BE24" s="11" t="s">
        <v>205</v>
      </c>
      <c r="BF24" s="11" t="s">
        <v>100</v>
      </c>
      <c r="BG24" s="11" t="s">
        <v>204</v>
      </c>
      <c r="BH24" s="11" t="s">
        <v>91</v>
      </c>
      <c r="BI24" s="11" t="s">
        <v>203</v>
      </c>
      <c r="BJ24" s="11" t="s">
        <v>100</v>
      </c>
      <c r="BK24" s="11"/>
      <c r="BL24" s="11"/>
      <c r="BM24" s="10" t="s">
        <v>98</v>
      </c>
      <c r="BN24" s="11" t="s">
        <v>196</v>
      </c>
      <c r="BO24" s="11" t="s">
        <v>91</v>
      </c>
      <c r="BP24" s="11" t="s">
        <v>197</v>
      </c>
      <c r="BQ24" s="11" t="s">
        <v>100</v>
      </c>
      <c r="BR24" s="11" t="s">
        <v>194</v>
      </c>
      <c r="BS24" s="11" t="s">
        <v>91</v>
      </c>
      <c r="BT24" s="11" t="s">
        <v>195</v>
      </c>
      <c r="BU24" s="11" t="s">
        <v>100</v>
      </c>
      <c r="BV24" s="11"/>
      <c r="BW24" s="11"/>
      <c r="BX24" s="10" t="s">
        <v>105</v>
      </c>
      <c r="BY24" s="11" t="s">
        <v>200</v>
      </c>
      <c r="BZ24" s="11" t="s">
        <v>91</v>
      </c>
      <c r="CA24" s="11" t="s">
        <v>201</v>
      </c>
      <c r="CB24" s="11" t="s">
        <v>100</v>
      </c>
      <c r="CC24" s="11" t="s">
        <v>198</v>
      </c>
      <c r="CD24" s="11" t="s">
        <v>91</v>
      </c>
      <c r="CE24" s="11" t="s">
        <v>199</v>
      </c>
      <c r="CF24" s="11" t="s">
        <v>100</v>
      </c>
      <c r="CG24" s="11"/>
      <c r="CH24" s="11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</row>
    <row r="25" spans="1:106" ht="14.25" customHeight="1">
      <c r="A25" s="8" t="s">
        <v>208</v>
      </c>
      <c r="B25" s="9" t="s">
        <v>131</v>
      </c>
      <c r="C25" s="10" t="s">
        <v>88</v>
      </c>
      <c r="D25" s="10" t="s">
        <v>132</v>
      </c>
      <c r="E25" s="11" t="s">
        <v>90</v>
      </c>
      <c r="F25" s="11" t="s">
        <v>91</v>
      </c>
      <c r="G25" s="11" t="s">
        <v>92</v>
      </c>
      <c r="H25" s="11" t="s">
        <v>91</v>
      </c>
      <c r="I25" s="11" t="s">
        <v>93</v>
      </c>
      <c r="J25" s="11" t="s">
        <v>91</v>
      </c>
      <c r="K25" s="11" t="s">
        <v>94</v>
      </c>
      <c r="L25" s="11" t="s">
        <v>91</v>
      </c>
      <c r="M25" s="11" t="s">
        <v>95</v>
      </c>
      <c r="N25" s="11" t="s">
        <v>91</v>
      </c>
      <c r="O25" s="11" t="s">
        <v>96</v>
      </c>
      <c r="P25" s="11" t="s">
        <v>91</v>
      </c>
      <c r="Q25" s="11" t="s">
        <v>117</v>
      </c>
      <c r="R25" s="10" t="s">
        <v>88</v>
      </c>
      <c r="S25" s="10" t="s">
        <v>98</v>
      </c>
      <c r="T25" s="11" t="s">
        <v>194</v>
      </c>
      <c r="U25" s="11" t="s">
        <v>91</v>
      </c>
      <c r="V25" s="11" t="s">
        <v>195</v>
      </c>
      <c r="W25" s="11" t="s">
        <v>100</v>
      </c>
      <c r="X25" s="11" t="s">
        <v>196</v>
      </c>
      <c r="Y25" s="11" t="s">
        <v>91</v>
      </c>
      <c r="Z25" s="11" t="s">
        <v>197</v>
      </c>
      <c r="AA25" s="11" t="s">
        <v>100</v>
      </c>
      <c r="AB25" s="11"/>
      <c r="AC25" s="11"/>
      <c r="AD25" s="10" t="s">
        <v>105</v>
      </c>
      <c r="AE25" s="11" t="s">
        <v>200</v>
      </c>
      <c r="AF25" s="11" t="s">
        <v>91</v>
      </c>
      <c r="AG25" s="11" t="s">
        <v>199</v>
      </c>
      <c r="AH25" s="11" t="s">
        <v>100</v>
      </c>
      <c r="AI25" s="11" t="s">
        <v>198</v>
      </c>
      <c r="AJ25" s="11" t="s">
        <v>91</v>
      </c>
      <c r="AK25" s="11" t="s">
        <v>201</v>
      </c>
      <c r="AL25" s="11" t="s">
        <v>100</v>
      </c>
      <c r="AM25" s="11"/>
      <c r="AN25" s="11"/>
      <c r="AO25" s="10" t="s">
        <v>111</v>
      </c>
      <c r="AP25" s="11" t="s">
        <v>202</v>
      </c>
      <c r="AQ25" s="11" t="s">
        <v>91</v>
      </c>
      <c r="AR25" s="11" t="s">
        <v>203</v>
      </c>
      <c r="AS25" s="11" t="s">
        <v>100</v>
      </c>
      <c r="AT25" s="11" t="s">
        <v>204</v>
      </c>
      <c r="AU25" s="11" t="s">
        <v>91</v>
      </c>
      <c r="AV25" s="11" t="s">
        <v>205</v>
      </c>
      <c r="AW25" s="11" t="s">
        <v>100</v>
      </c>
      <c r="AX25" s="11"/>
      <c r="AY25" s="11"/>
      <c r="AZ25" s="11" t="s">
        <v>97</v>
      </c>
      <c r="BA25" s="10" t="s">
        <v>132</v>
      </c>
      <c r="BB25" s="10" t="s">
        <v>111</v>
      </c>
      <c r="BC25" s="11" t="s">
        <v>183</v>
      </c>
      <c r="BD25" s="11" t="s">
        <v>100</v>
      </c>
      <c r="BE25" s="11" t="s">
        <v>182</v>
      </c>
      <c r="BF25" s="11" t="s">
        <v>91</v>
      </c>
      <c r="BG25" s="11" t="s">
        <v>179</v>
      </c>
      <c r="BH25" s="11" t="s">
        <v>100</v>
      </c>
      <c r="BI25" s="11" t="s">
        <v>180</v>
      </c>
      <c r="BJ25" s="11" t="s">
        <v>91</v>
      </c>
      <c r="BK25" s="11" t="s">
        <v>181</v>
      </c>
      <c r="BL25" s="11" t="s">
        <v>100</v>
      </c>
      <c r="BM25" s="10" t="s">
        <v>98</v>
      </c>
      <c r="BN25" s="11" t="s">
        <v>184</v>
      </c>
      <c r="BO25" s="11" t="s">
        <v>91</v>
      </c>
      <c r="BP25" s="11" t="s">
        <v>187</v>
      </c>
      <c r="BQ25" s="11" t="s">
        <v>100</v>
      </c>
      <c r="BR25" s="11" t="s">
        <v>186</v>
      </c>
      <c r="BS25" s="11" t="s">
        <v>91</v>
      </c>
      <c r="BT25" s="11" t="s">
        <v>185</v>
      </c>
      <c r="BU25" s="11" t="s">
        <v>100</v>
      </c>
      <c r="BV25" s="11" t="s">
        <v>188</v>
      </c>
      <c r="BW25" s="11" t="s">
        <v>91</v>
      </c>
      <c r="BX25" s="10" t="s">
        <v>105</v>
      </c>
      <c r="BY25" s="11" t="s">
        <v>191</v>
      </c>
      <c r="BZ25" s="11" t="s">
        <v>91</v>
      </c>
      <c r="CA25" s="11" t="s">
        <v>192</v>
      </c>
      <c r="CB25" s="11" t="s">
        <v>100</v>
      </c>
      <c r="CC25" s="11" t="s">
        <v>189</v>
      </c>
      <c r="CD25" s="11" t="s">
        <v>91</v>
      </c>
      <c r="CE25" s="11" t="s">
        <v>190</v>
      </c>
      <c r="CF25" s="11" t="s">
        <v>100</v>
      </c>
      <c r="CG25" s="11" t="s">
        <v>193</v>
      </c>
      <c r="CH25" s="11" t="s">
        <v>91</v>
      </c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</row>
    <row r="26" spans="1:106" ht="14.25" customHeight="1">
      <c r="A26" s="8" t="s">
        <v>209</v>
      </c>
      <c r="B26" s="9" t="s">
        <v>87</v>
      </c>
      <c r="C26" s="10" t="s">
        <v>88</v>
      </c>
      <c r="D26" s="10" t="s">
        <v>89</v>
      </c>
      <c r="E26" s="11" t="s">
        <v>90</v>
      </c>
      <c r="F26" s="11" t="s">
        <v>91</v>
      </c>
      <c r="G26" s="11" t="s">
        <v>92</v>
      </c>
      <c r="H26" s="11" t="s">
        <v>91</v>
      </c>
      <c r="I26" s="11" t="s">
        <v>93</v>
      </c>
      <c r="J26" s="11" t="s">
        <v>91</v>
      </c>
      <c r="K26" s="11" t="s">
        <v>94</v>
      </c>
      <c r="L26" s="11" t="s">
        <v>91</v>
      </c>
      <c r="M26" s="11" t="s">
        <v>95</v>
      </c>
      <c r="N26" s="11" t="s">
        <v>91</v>
      </c>
      <c r="O26" s="11" t="s">
        <v>96</v>
      </c>
      <c r="P26" s="11" t="s">
        <v>91</v>
      </c>
      <c r="Q26" s="11" t="s">
        <v>97</v>
      </c>
      <c r="R26" s="10" t="s">
        <v>88</v>
      </c>
      <c r="S26" s="10" t="s">
        <v>98</v>
      </c>
      <c r="T26" s="11" t="s">
        <v>184</v>
      </c>
      <c r="U26" s="11" t="s">
        <v>91</v>
      </c>
      <c r="V26" s="11" t="s">
        <v>185</v>
      </c>
      <c r="W26" s="11" t="s">
        <v>100</v>
      </c>
      <c r="X26" s="11" t="s">
        <v>186</v>
      </c>
      <c r="Y26" s="11" t="s">
        <v>91</v>
      </c>
      <c r="Z26" s="11" t="s">
        <v>187</v>
      </c>
      <c r="AA26" s="11" t="s">
        <v>100</v>
      </c>
      <c r="AB26" s="11" t="s">
        <v>188</v>
      </c>
      <c r="AC26" s="11" t="s">
        <v>91</v>
      </c>
      <c r="AD26" s="10" t="s">
        <v>105</v>
      </c>
      <c r="AE26" s="11" t="s">
        <v>189</v>
      </c>
      <c r="AF26" s="11" t="s">
        <v>91</v>
      </c>
      <c r="AG26" s="11" t="s">
        <v>190</v>
      </c>
      <c r="AH26" s="11" t="s">
        <v>100</v>
      </c>
      <c r="AI26" s="11" t="s">
        <v>193</v>
      </c>
      <c r="AJ26" s="11" t="s">
        <v>91</v>
      </c>
      <c r="AK26" s="11" t="s">
        <v>192</v>
      </c>
      <c r="AL26" s="11" t="s">
        <v>100</v>
      </c>
      <c r="AM26" s="11" t="s">
        <v>191</v>
      </c>
      <c r="AN26" s="11" t="s">
        <v>91</v>
      </c>
      <c r="AO26" s="10" t="s">
        <v>111</v>
      </c>
      <c r="AP26" s="11" t="s">
        <v>181</v>
      </c>
      <c r="AQ26" s="11" t="s">
        <v>100</v>
      </c>
      <c r="AR26" s="11" t="s">
        <v>180</v>
      </c>
      <c r="AS26" s="11" t="s">
        <v>91</v>
      </c>
      <c r="AT26" s="11" t="s">
        <v>183</v>
      </c>
      <c r="AU26" s="11" t="s">
        <v>100</v>
      </c>
      <c r="AV26" s="11" t="s">
        <v>182</v>
      </c>
      <c r="AW26" s="11" t="s">
        <v>91</v>
      </c>
      <c r="AX26" s="11" t="s">
        <v>179</v>
      </c>
      <c r="AY26" s="11" t="s">
        <v>100</v>
      </c>
      <c r="AZ26" s="11" t="s">
        <v>117</v>
      </c>
      <c r="BA26" s="10" t="s">
        <v>89</v>
      </c>
      <c r="BB26" s="10" t="s">
        <v>105</v>
      </c>
      <c r="BC26" s="11" t="s">
        <v>200</v>
      </c>
      <c r="BD26" s="11" t="s">
        <v>91</v>
      </c>
      <c r="BE26" s="11" t="s">
        <v>201</v>
      </c>
      <c r="BF26" s="11" t="s">
        <v>100</v>
      </c>
      <c r="BG26" s="11" t="s">
        <v>198</v>
      </c>
      <c r="BH26" s="11" t="s">
        <v>91</v>
      </c>
      <c r="BI26" s="11" t="s">
        <v>199</v>
      </c>
      <c r="BJ26" s="11" t="s">
        <v>100</v>
      </c>
      <c r="BK26" s="11"/>
      <c r="BL26" s="11"/>
      <c r="BM26" s="10" t="s">
        <v>111</v>
      </c>
      <c r="BN26" s="11" t="s">
        <v>204</v>
      </c>
      <c r="BO26" s="11" t="s">
        <v>91</v>
      </c>
      <c r="BP26" s="11" t="s">
        <v>203</v>
      </c>
      <c r="BQ26" s="11" t="s">
        <v>100</v>
      </c>
      <c r="BR26" s="11" t="s">
        <v>202</v>
      </c>
      <c r="BS26" s="11" t="s">
        <v>91</v>
      </c>
      <c r="BT26" s="11" t="s">
        <v>205</v>
      </c>
      <c r="BU26" s="11" t="s">
        <v>100</v>
      </c>
      <c r="BV26" s="11"/>
      <c r="BW26" s="11"/>
      <c r="BX26" s="10" t="s">
        <v>98</v>
      </c>
      <c r="BY26" s="11" t="s">
        <v>194</v>
      </c>
      <c r="BZ26" s="11" t="s">
        <v>91</v>
      </c>
      <c r="CA26" s="11" t="s">
        <v>195</v>
      </c>
      <c r="CB26" s="11" t="s">
        <v>100</v>
      </c>
      <c r="CC26" s="11" t="s">
        <v>196</v>
      </c>
      <c r="CD26" s="11" t="s">
        <v>91</v>
      </c>
      <c r="CE26" s="11" t="s">
        <v>197</v>
      </c>
      <c r="CF26" s="11" t="s">
        <v>100</v>
      </c>
      <c r="CG26" s="11"/>
      <c r="CH26" s="11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</row>
    <row r="27" spans="1:106" ht="14.25" customHeight="1">
      <c r="A27" s="8" t="s">
        <v>210</v>
      </c>
      <c r="B27" s="9" t="s">
        <v>131</v>
      </c>
      <c r="C27" s="10" t="s">
        <v>132</v>
      </c>
      <c r="D27" s="10" t="s">
        <v>89</v>
      </c>
      <c r="E27" s="11" t="s">
        <v>90</v>
      </c>
      <c r="F27" s="11" t="s">
        <v>91</v>
      </c>
      <c r="G27" s="11" t="s">
        <v>92</v>
      </c>
      <c r="H27" s="11" t="s">
        <v>91</v>
      </c>
      <c r="I27" s="11" t="s">
        <v>93</v>
      </c>
      <c r="J27" s="11" t="s">
        <v>91</v>
      </c>
      <c r="K27" s="11" t="s">
        <v>94</v>
      </c>
      <c r="L27" s="11" t="s">
        <v>91</v>
      </c>
      <c r="M27" s="11" t="s">
        <v>95</v>
      </c>
      <c r="N27" s="11" t="s">
        <v>91</v>
      </c>
      <c r="O27" s="11" t="s">
        <v>96</v>
      </c>
      <c r="P27" s="11" t="s">
        <v>91</v>
      </c>
      <c r="Q27" s="11" t="s">
        <v>117</v>
      </c>
      <c r="R27" s="10" t="s">
        <v>132</v>
      </c>
      <c r="S27" s="10" t="s">
        <v>111</v>
      </c>
      <c r="T27" s="11" t="s">
        <v>204</v>
      </c>
      <c r="U27" s="11" t="s">
        <v>91</v>
      </c>
      <c r="V27" s="11" t="s">
        <v>205</v>
      </c>
      <c r="W27" s="11" t="s">
        <v>100</v>
      </c>
      <c r="X27" s="11" t="s">
        <v>202</v>
      </c>
      <c r="Y27" s="11" t="s">
        <v>91</v>
      </c>
      <c r="Z27" s="11" t="s">
        <v>203</v>
      </c>
      <c r="AA27" s="11" t="s">
        <v>100</v>
      </c>
      <c r="AB27" s="11"/>
      <c r="AC27" s="11"/>
      <c r="AD27" s="10" t="s">
        <v>98</v>
      </c>
      <c r="AE27" s="11" t="s">
        <v>196</v>
      </c>
      <c r="AF27" s="11" t="s">
        <v>91</v>
      </c>
      <c r="AG27" s="11" t="s">
        <v>195</v>
      </c>
      <c r="AH27" s="11" t="s">
        <v>100</v>
      </c>
      <c r="AI27" s="11" t="s">
        <v>194</v>
      </c>
      <c r="AJ27" s="11" t="s">
        <v>91</v>
      </c>
      <c r="AK27" s="11" t="s">
        <v>197</v>
      </c>
      <c r="AL27" s="11" t="s">
        <v>100</v>
      </c>
      <c r="AM27" s="11"/>
      <c r="AN27" s="11"/>
      <c r="AO27" s="10" t="s">
        <v>105</v>
      </c>
      <c r="AP27" s="11" t="s">
        <v>198</v>
      </c>
      <c r="AQ27" s="11" t="s">
        <v>91</v>
      </c>
      <c r="AR27" s="11" t="s">
        <v>201</v>
      </c>
      <c r="AS27" s="11" t="s">
        <v>100</v>
      </c>
      <c r="AT27" s="11" t="s">
        <v>200</v>
      </c>
      <c r="AU27" s="11" t="s">
        <v>91</v>
      </c>
      <c r="AV27" s="11" t="s">
        <v>199</v>
      </c>
      <c r="AW27" s="11" t="s">
        <v>100</v>
      </c>
      <c r="AX27" s="11"/>
      <c r="AY27" s="11"/>
      <c r="AZ27" s="11" t="s">
        <v>97</v>
      </c>
      <c r="BA27" s="10" t="s">
        <v>89</v>
      </c>
      <c r="BB27" s="10" t="s">
        <v>105</v>
      </c>
      <c r="BC27" s="11" t="s">
        <v>189</v>
      </c>
      <c r="BD27" s="11" t="s">
        <v>91</v>
      </c>
      <c r="BE27" s="11" t="s">
        <v>192</v>
      </c>
      <c r="BF27" s="11" t="s">
        <v>100</v>
      </c>
      <c r="BG27" s="11" t="s">
        <v>191</v>
      </c>
      <c r="BH27" s="11" t="s">
        <v>91</v>
      </c>
      <c r="BI27" s="11" t="s">
        <v>190</v>
      </c>
      <c r="BJ27" s="11" t="s">
        <v>100</v>
      </c>
      <c r="BK27" s="11" t="s">
        <v>193</v>
      </c>
      <c r="BL27" s="11" t="s">
        <v>91</v>
      </c>
      <c r="BM27" s="10" t="s">
        <v>111</v>
      </c>
      <c r="BN27" s="11" t="s">
        <v>179</v>
      </c>
      <c r="BO27" s="11" t="s">
        <v>100</v>
      </c>
      <c r="BP27" s="11" t="s">
        <v>182</v>
      </c>
      <c r="BQ27" s="11" t="s">
        <v>91</v>
      </c>
      <c r="BR27" s="11" t="s">
        <v>181</v>
      </c>
      <c r="BS27" s="11" t="s">
        <v>100</v>
      </c>
      <c r="BT27" s="11" t="s">
        <v>180</v>
      </c>
      <c r="BU27" s="11" t="s">
        <v>91</v>
      </c>
      <c r="BV27" s="11" t="s">
        <v>183</v>
      </c>
      <c r="BW27" s="11" t="s">
        <v>100</v>
      </c>
      <c r="BX27" s="10" t="s">
        <v>98</v>
      </c>
      <c r="BY27" s="11" t="s">
        <v>186</v>
      </c>
      <c r="BZ27" s="11" t="s">
        <v>91</v>
      </c>
      <c r="CA27" s="11" t="s">
        <v>185</v>
      </c>
      <c r="CB27" s="11" t="s">
        <v>100</v>
      </c>
      <c r="CC27" s="11" t="s">
        <v>184</v>
      </c>
      <c r="CD27" s="11" t="s">
        <v>91</v>
      </c>
      <c r="CE27" s="11" t="s">
        <v>187</v>
      </c>
      <c r="CF27" s="11" t="s">
        <v>100</v>
      </c>
      <c r="CG27" s="11" t="s">
        <v>188</v>
      </c>
      <c r="CH27" s="11" t="s">
        <v>91</v>
      </c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</row>
    <row r="28" spans="1:106" ht="14.25" customHeight="1">
      <c r="A28" s="8" t="s">
        <v>211</v>
      </c>
      <c r="B28" s="9" t="s">
        <v>87</v>
      </c>
      <c r="C28" s="10" t="s">
        <v>132</v>
      </c>
      <c r="D28" s="10" t="s">
        <v>88</v>
      </c>
      <c r="E28" s="11" t="s">
        <v>90</v>
      </c>
      <c r="F28" s="11" t="s">
        <v>91</v>
      </c>
      <c r="G28" s="11" t="s">
        <v>92</v>
      </c>
      <c r="H28" s="11" t="s">
        <v>91</v>
      </c>
      <c r="I28" s="11" t="s">
        <v>93</v>
      </c>
      <c r="J28" s="11" t="s">
        <v>91</v>
      </c>
      <c r="K28" s="11" t="s">
        <v>94</v>
      </c>
      <c r="L28" s="11" t="s">
        <v>91</v>
      </c>
      <c r="M28" s="11" t="s">
        <v>95</v>
      </c>
      <c r="N28" s="11" t="s">
        <v>91</v>
      </c>
      <c r="O28" s="11" t="s">
        <v>96</v>
      </c>
      <c r="P28" s="11" t="s">
        <v>91</v>
      </c>
      <c r="Q28" s="11" t="s">
        <v>97</v>
      </c>
      <c r="R28" s="10" t="s">
        <v>132</v>
      </c>
      <c r="S28" s="10" t="s">
        <v>111</v>
      </c>
      <c r="T28" s="11" t="s">
        <v>183</v>
      </c>
      <c r="U28" s="11" t="s">
        <v>100</v>
      </c>
      <c r="V28" s="11" t="s">
        <v>180</v>
      </c>
      <c r="W28" s="11" t="s">
        <v>91</v>
      </c>
      <c r="X28" s="11" t="s">
        <v>181</v>
      </c>
      <c r="Y28" s="11" t="s">
        <v>100</v>
      </c>
      <c r="Z28" s="11" t="s">
        <v>182</v>
      </c>
      <c r="AA28" s="11" t="s">
        <v>91</v>
      </c>
      <c r="AB28" s="11" t="s">
        <v>179</v>
      </c>
      <c r="AC28" s="11" t="s">
        <v>100</v>
      </c>
      <c r="AD28" s="10" t="s">
        <v>98</v>
      </c>
      <c r="AE28" s="11" t="s">
        <v>186</v>
      </c>
      <c r="AF28" s="11" t="s">
        <v>91</v>
      </c>
      <c r="AG28" s="11" t="s">
        <v>187</v>
      </c>
      <c r="AH28" s="11" t="s">
        <v>100</v>
      </c>
      <c r="AI28" s="11" t="s">
        <v>184</v>
      </c>
      <c r="AJ28" s="11" t="s">
        <v>91</v>
      </c>
      <c r="AK28" s="11" t="s">
        <v>185</v>
      </c>
      <c r="AL28" s="11" t="s">
        <v>100</v>
      </c>
      <c r="AM28" s="11" t="s">
        <v>188</v>
      </c>
      <c r="AN28" s="11" t="s">
        <v>91</v>
      </c>
      <c r="AO28" s="10" t="s">
        <v>105</v>
      </c>
      <c r="AP28" s="11" t="s">
        <v>193</v>
      </c>
      <c r="AQ28" s="11" t="s">
        <v>91</v>
      </c>
      <c r="AR28" s="11" t="s">
        <v>192</v>
      </c>
      <c r="AS28" s="11" t="s">
        <v>100</v>
      </c>
      <c r="AT28" s="11" t="s">
        <v>189</v>
      </c>
      <c r="AU28" s="11" t="s">
        <v>91</v>
      </c>
      <c r="AV28" s="11" t="s">
        <v>190</v>
      </c>
      <c r="AW28" s="11" t="s">
        <v>100</v>
      </c>
      <c r="AX28" s="11" t="s">
        <v>191</v>
      </c>
      <c r="AY28" s="11" t="s">
        <v>91</v>
      </c>
      <c r="AZ28" s="11" t="s">
        <v>117</v>
      </c>
      <c r="BA28" s="10" t="s">
        <v>88</v>
      </c>
      <c r="BB28" s="10" t="s">
        <v>98</v>
      </c>
      <c r="BC28" s="11" t="s">
        <v>196</v>
      </c>
      <c r="BD28" s="11" t="s">
        <v>91</v>
      </c>
      <c r="BE28" s="11" t="s">
        <v>195</v>
      </c>
      <c r="BF28" s="11" t="s">
        <v>100</v>
      </c>
      <c r="BG28" s="11" t="s">
        <v>194</v>
      </c>
      <c r="BH28" s="11" t="s">
        <v>91</v>
      </c>
      <c r="BI28" s="11" t="s">
        <v>197</v>
      </c>
      <c r="BJ28" s="11" t="s">
        <v>100</v>
      </c>
      <c r="BK28" s="11"/>
      <c r="BL28" s="11"/>
      <c r="BM28" s="10" t="s">
        <v>105</v>
      </c>
      <c r="BN28" s="11" t="s">
        <v>198</v>
      </c>
      <c r="BO28" s="11" t="s">
        <v>91</v>
      </c>
      <c r="BP28" s="11" t="s">
        <v>199</v>
      </c>
      <c r="BQ28" s="11" t="s">
        <v>100</v>
      </c>
      <c r="BR28" s="11" t="s">
        <v>200</v>
      </c>
      <c r="BS28" s="11" t="s">
        <v>91</v>
      </c>
      <c r="BT28" s="11" t="s">
        <v>201</v>
      </c>
      <c r="BU28" s="11" t="s">
        <v>100</v>
      </c>
      <c r="BV28" s="11"/>
      <c r="BW28" s="11"/>
      <c r="BX28" s="10" t="s">
        <v>111</v>
      </c>
      <c r="BY28" s="11" t="s">
        <v>204</v>
      </c>
      <c r="BZ28" s="11" t="s">
        <v>91</v>
      </c>
      <c r="CA28" s="11" t="s">
        <v>205</v>
      </c>
      <c r="CB28" s="11" t="s">
        <v>100</v>
      </c>
      <c r="CC28" s="11" t="s">
        <v>202</v>
      </c>
      <c r="CD28" s="11" t="s">
        <v>91</v>
      </c>
      <c r="CE28" s="11" t="s">
        <v>203</v>
      </c>
      <c r="CF28" s="11" t="s">
        <v>100</v>
      </c>
      <c r="CG28" s="11"/>
      <c r="CH28" s="11"/>
      <c r="CI28" s="12"/>
      <c r="CJ28" s="12"/>
      <c r="CK28" s="12"/>
      <c r="CL28" s="12"/>
      <c r="CM28" s="12"/>
      <c r="CN28" s="12"/>
      <c r="CO28" s="12"/>
      <c r="CP28" s="12"/>
      <c r="CQ28" s="12"/>
      <c r="CR28" s="12"/>
      <c r="CS28" s="12"/>
      <c r="CT28" s="12"/>
      <c r="CU28" s="12"/>
      <c r="CV28" s="12"/>
      <c r="CW28" s="12"/>
      <c r="CX28" s="12"/>
      <c r="CY28" s="12"/>
      <c r="CZ28" s="12"/>
      <c r="DA28" s="12"/>
      <c r="DB28" s="12"/>
    </row>
    <row r="29" spans="1:106" ht="14.25" customHeight="1">
      <c r="A29" s="8" t="s">
        <v>212</v>
      </c>
      <c r="B29" s="9" t="s">
        <v>131</v>
      </c>
      <c r="C29" s="10" t="s">
        <v>89</v>
      </c>
      <c r="D29" s="10" t="s">
        <v>88</v>
      </c>
      <c r="E29" s="11" t="s">
        <v>90</v>
      </c>
      <c r="F29" s="11" t="s">
        <v>91</v>
      </c>
      <c r="G29" s="11" t="s">
        <v>92</v>
      </c>
      <c r="H29" s="11" t="s">
        <v>91</v>
      </c>
      <c r="I29" s="11" t="s">
        <v>93</v>
      </c>
      <c r="J29" s="11" t="s">
        <v>91</v>
      </c>
      <c r="K29" s="11" t="s">
        <v>94</v>
      </c>
      <c r="L29" s="11" t="s">
        <v>91</v>
      </c>
      <c r="M29" s="11" t="s">
        <v>95</v>
      </c>
      <c r="N29" s="11" t="s">
        <v>91</v>
      </c>
      <c r="O29" s="11" t="s">
        <v>96</v>
      </c>
      <c r="P29" s="11" t="s">
        <v>91</v>
      </c>
      <c r="Q29" s="11" t="s">
        <v>117</v>
      </c>
      <c r="R29" s="10" t="s">
        <v>89</v>
      </c>
      <c r="S29" s="10" t="s">
        <v>105</v>
      </c>
      <c r="T29" s="11" t="s">
        <v>200</v>
      </c>
      <c r="U29" s="11" t="s">
        <v>91</v>
      </c>
      <c r="V29" s="11" t="s">
        <v>201</v>
      </c>
      <c r="W29" s="11" t="s">
        <v>100</v>
      </c>
      <c r="X29" s="11" t="s">
        <v>198</v>
      </c>
      <c r="Y29" s="11" t="s">
        <v>91</v>
      </c>
      <c r="Z29" s="11" t="s">
        <v>199</v>
      </c>
      <c r="AA29" s="11" t="s">
        <v>100</v>
      </c>
      <c r="AB29" s="11"/>
      <c r="AC29" s="11"/>
      <c r="AD29" s="10" t="s">
        <v>111</v>
      </c>
      <c r="AE29" s="11" t="s">
        <v>204</v>
      </c>
      <c r="AF29" s="11" t="s">
        <v>91</v>
      </c>
      <c r="AG29" s="11" t="s">
        <v>205</v>
      </c>
      <c r="AH29" s="11" t="s">
        <v>100</v>
      </c>
      <c r="AI29" s="11" t="s">
        <v>202</v>
      </c>
      <c r="AJ29" s="11" t="s">
        <v>91</v>
      </c>
      <c r="AK29" s="11" t="s">
        <v>203</v>
      </c>
      <c r="AL29" s="11" t="s">
        <v>100</v>
      </c>
      <c r="AM29" s="11"/>
      <c r="AN29" s="11"/>
      <c r="AO29" s="10" t="s">
        <v>98</v>
      </c>
      <c r="AP29" s="11" t="s">
        <v>196</v>
      </c>
      <c r="AQ29" s="11" t="s">
        <v>91</v>
      </c>
      <c r="AR29" s="11" t="s">
        <v>197</v>
      </c>
      <c r="AS29" s="11" t="s">
        <v>100</v>
      </c>
      <c r="AT29" s="11" t="s">
        <v>194</v>
      </c>
      <c r="AU29" s="11" t="s">
        <v>91</v>
      </c>
      <c r="AV29" s="11" t="s">
        <v>195</v>
      </c>
      <c r="AW29" s="11" t="s">
        <v>100</v>
      </c>
      <c r="AX29" s="11"/>
      <c r="AY29" s="11"/>
      <c r="AZ29" s="11" t="s">
        <v>97</v>
      </c>
      <c r="BA29" s="10" t="s">
        <v>88</v>
      </c>
      <c r="BB29" s="10" t="s">
        <v>98</v>
      </c>
      <c r="BC29" s="11" t="s">
        <v>188</v>
      </c>
      <c r="BD29" s="11" t="s">
        <v>91</v>
      </c>
      <c r="BE29" s="11" t="s">
        <v>187</v>
      </c>
      <c r="BF29" s="11" t="s">
        <v>100</v>
      </c>
      <c r="BG29" s="11" t="s">
        <v>184</v>
      </c>
      <c r="BH29" s="11" t="s">
        <v>91</v>
      </c>
      <c r="BI29" s="11" t="s">
        <v>185</v>
      </c>
      <c r="BJ29" s="11" t="s">
        <v>100</v>
      </c>
      <c r="BK29" s="11" t="s">
        <v>186</v>
      </c>
      <c r="BL29" s="11" t="s">
        <v>91</v>
      </c>
      <c r="BM29" s="10" t="s">
        <v>105</v>
      </c>
      <c r="BN29" s="11" t="s">
        <v>191</v>
      </c>
      <c r="BO29" s="11" t="s">
        <v>91</v>
      </c>
      <c r="BP29" s="11" t="s">
        <v>190</v>
      </c>
      <c r="BQ29" s="11" t="s">
        <v>100</v>
      </c>
      <c r="BR29" s="11" t="s">
        <v>193</v>
      </c>
      <c r="BS29" s="11" t="s">
        <v>91</v>
      </c>
      <c r="BT29" s="11" t="s">
        <v>192</v>
      </c>
      <c r="BU29" s="11" t="s">
        <v>100</v>
      </c>
      <c r="BV29" s="11" t="s">
        <v>189</v>
      </c>
      <c r="BW29" s="11" t="s">
        <v>91</v>
      </c>
      <c r="BX29" s="10" t="s">
        <v>111</v>
      </c>
      <c r="BY29" s="11" t="s">
        <v>183</v>
      </c>
      <c r="BZ29" s="11" t="s">
        <v>100</v>
      </c>
      <c r="CA29" s="11" t="s">
        <v>180</v>
      </c>
      <c r="CB29" s="11" t="s">
        <v>91</v>
      </c>
      <c r="CC29" s="11" t="s">
        <v>181</v>
      </c>
      <c r="CD29" s="11" t="s">
        <v>100</v>
      </c>
      <c r="CE29" s="11" t="s">
        <v>182</v>
      </c>
      <c r="CF29" s="11" t="s">
        <v>91</v>
      </c>
      <c r="CG29" s="11" t="s">
        <v>179</v>
      </c>
      <c r="CH29" s="11" t="s">
        <v>100</v>
      </c>
      <c r="CI29" s="12"/>
      <c r="CJ29" s="12"/>
      <c r="CK29" s="12"/>
      <c r="CL29" s="12"/>
      <c r="CM29" s="12"/>
      <c r="CN29" s="12"/>
      <c r="CO29" s="12"/>
      <c r="CP29" s="12"/>
      <c r="CQ29" s="12"/>
      <c r="CR29" s="12"/>
      <c r="CS29" s="12"/>
      <c r="CT29" s="12"/>
      <c r="CU29" s="12"/>
      <c r="CV29" s="12"/>
      <c r="CW29" s="12"/>
      <c r="CX29" s="12"/>
      <c r="CY29" s="12"/>
      <c r="CZ29" s="12"/>
      <c r="DA29" s="12"/>
      <c r="DB29" s="12"/>
    </row>
    <row r="30" spans="1:106" ht="14.25" customHeight="1">
      <c r="A30" s="8" t="s">
        <v>213</v>
      </c>
      <c r="B30" s="9" t="s">
        <v>87</v>
      </c>
      <c r="C30" s="10" t="s">
        <v>89</v>
      </c>
      <c r="D30" s="10" t="s">
        <v>132</v>
      </c>
      <c r="E30" s="11" t="s">
        <v>90</v>
      </c>
      <c r="F30" s="11" t="s">
        <v>91</v>
      </c>
      <c r="G30" s="11" t="s">
        <v>92</v>
      </c>
      <c r="H30" s="11" t="s">
        <v>91</v>
      </c>
      <c r="I30" s="11" t="s">
        <v>93</v>
      </c>
      <c r="J30" s="11" t="s">
        <v>91</v>
      </c>
      <c r="K30" s="11" t="s">
        <v>94</v>
      </c>
      <c r="L30" s="11" t="s">
        <v>91</v>
      </c>
      <c r="M30" s="11" t="s">
        <v>95</v>
      </c>
      <c r="N30" s="11" t="s">
        <v>91</v>
      </c>
      <c r="O30" s="11" t="s">
        <v>96</v>
      </c>
      <c r="P30" s="11" t="s">
        <v>91</v>
      </c>
      <c r="Q30" s="11" t="s">
        <v>97</v>
      </c>
      <c r="R30" s="10" t="s">
        <v>89</v>
      </c>
      <c r="S30" s="10" t="s">
        <v>105</v>
      </c>
      <c r="T30" s="11" t="s">
        <v>191</v>
      </c>
      <c r="U30" s="11" t="s">
        <v>91</v>
      </c>
      <c r="V30" s="11" t="s">
        <v>190</v>
      </c>
      <c r="W30" s="11" t="s">
        <v>100</v>
      </c>
      <c r="X30" s="11" t="s">
        <v>189</v>
      </c>
      <c r="Y30" s="11" t="s">
        <v>91</v>
      </c>
      <c r="Z30" s="11" t="s">
        <v>192</v>
      </c>
      <c r="AA30" s="11" t="s">
        <v>100</v>
      </c>
      <c r="AB30" s="11" t="s">
        <v>193</v>
      </c>
      <c r="AC30" s="11" t="s">
        <v>91</v>
      </c>
      <c r="AD30" s="10" t="s">
        <v>111</v>
      </c>
      <c r="AE30" s="11" t="s">
        <v>181</v>
      </c>
      <c r="AF30" s="11" t="s">
        <v>100</v>
      </c>
      <c r="AG30" s="11" t="s">
        <v>180</v>
      </c>
      <c r="AH30" s="11" t="s">
        <v>91</v>
      </c>
      <c r="AI30" s="11" t="s">
        <v>179</v>
      </c>
      <c r="AJ30" s="11" t="s">
        <v>100</v>
      </c>
      <c r="AK30" s="11" t="s">
        <v>182</v>
      </c>
      <c r="AL30" s="11" t="s">
        <v>91</v>
      </c>
      <c r="AM30" s="11" t="s">
        <v>183</v>
      </c>
      <c r="AN30" s="11" t="s">
        <v>100</v>
      </c>
      <c r="AO30" s="10" t="s">
        <v>98</v>
      </c>
      <c r="AP30" s="11" t="s">
        <v>188</v>
      </c>
      <c r="AQ30" s="11" t="s">
        <v>91</v>
      </c>
      <c r="AR30" s="11" t="s">
        <v>187</v>
      </c>
      <c r="AS30" s="11" t="s">
        <v>100</v>
      </c>
      <c r="AT30" s="11" t="s">
        <v>184</v>
      </c>
      <c r="AU30" s="11" t="s">
        <v>91</v>
      </c>
      <c r="AV30" s="11" t="s">
        <v>185</v>
      </c>
      <c r="AW30" s="11" t="s">
        <v>100</v>
      </c>
      <c r="AX30" s="11" t="s">
        <v>186</v>
      </c>
      <c r="AY30" s="11" t="s">
        <v>91</v>
      </c>
      <c r="AZ30" s="11" t="s">
        <v>117</v>
      </c>
      <c r="BA30" s="10" t="s">
        <v>132</v>
      </c>
      <c r="BB30" s="10" t="s">
        <v>111</v>
      </c>
      <c r="BC30" s="11" t="s">
        <v>204</v>
      </c>
      <c r="BD30" s="11" t="s">
        <v>91</v>
      </c>
      <c r="BE30" s="11" t="s">
        <v>205</v>
      </c>
      <c r="BF30" s="11" t="s">
        <v>100</v>
      </c>
      <c r="BG30" s="11" t="s">
        <v>202</v>
      </c>
      <c r="BH30" s="11" t="s">
        <v>91</v>
      </c>
      <c r="BI30" s="11" t="s">
        <v>203</v>
      </c>
      <c r="BJ30" s="11" t="s">
        <v>100</v>
      </c>
      <c r="BK30" s="11"/>
      <c r="BL30" s="11"/>
      <c r="BM30" s="10" t="s">
        <v>98</v>
      </c>
      <c r="BN30" s="11" t="s">
        <v>196</v>
      </c>
      <c r="BO30" s="11" t="s">
        <v>91</v>
      </c>
      <c r="BP30" s="11" t="s">
        <v>195</v>
      </c>
      <c r="BQ30" s="11" t="s">
        <v>100</v>
      </c>
      <c r="BR30" s="11" t="s">
        <v>194</v>
      </c>
      <c r="BS30" s="11" t="s">
        <v>91</v>
      </c>
      <c r="BT30" s="11" t="s">
        <v>197</v>
      </c>
      <c r="BU30" s="11" t="s">
        <v>100</v>
      </c>
      <c r="BV30" s="11"/>
      <c r="BW30" s="11"/>
      <c r="BX30" s="10" t="s">
        <v>105</v>
      </c>
      <c r="BY30" s="11" t="s">
        <v>200</v>
      </c>
      <c r="BZ30" s="11" t="s">
        <v>91</v>
      </c>
      <c r="CA30" s="11" t="s">
        <v>199</v>
      </c>
      <c r="CB30" s="11" t="s">
        <v>100</v>
      </c>
      <c r="CC30" s="11" t="s">
        <v>198</v>
      </c>
      <c r="CD30" s="11" t="s">
        <v>91</v>
      </c>
      <c r="CE30" s="11" t="s">
        <v>201</v>
      </c>
      <c r="CF30" s="11" t="s">
        <v>100</v>
      </c>
      <c r="CG30" s="11"/>
      <c r="CH30" s="11"/>
      <c r="CI30" s="12"/>
      <c r="CJ30" s="12"/>
      <c r="CK30" s="12"/>
      <c r="CL30" s="12"/>
      <c r="CM30" s="12"/>
      <c r="CN30" s="12"/>
      <c r="CO30" s="12"/>
      <c r="CP30" s="12"/>
      <c r="CQ30" s="12"/>
      <c r="CR30" s="12"/>
      <c r="CS30" s="12"/>
      <c r="CT30" s="12"/>
      <c r="CU30" s="12"/>
      <c r="CV30" s="12"/>
      <c r="CW30" s="12"/>
      <c r="CX30" s="12"/>
      <c r="CY30" s="12"/>
      <c r="CZ30" s="12"/>
      <c r="DA30" s="12"/>
      <c r="DB30" s="12"/>
    </row>
    <row r="31" spans="1:106" ht="14.25" customHeight="1">
      <c r="A31" s="8" t="s">
        <v>214</v>
      </c>
      <c r="B31" s="9" t="s">
        <v>131</v>
      </c>
      <c r="C31" s="10" t="s">
        <v>88</v>
      </c>
      <c r="D31" s="10" t="s">
        <v>132</v>
      </c>
      <c r="E31" s="11" t="s">
        <v>90</v>
      </c>
      <c r="F31" s="11" t="s">
        <v>91</v>
      </c>
      <c r="G31" s="11" t="s">
        <v>92</v>
      </c>
      <c r="H31" s="11" t="s">
        <v>91</v>
      </c>
      <c r="I31" s="11" t="s">
        <v>93</v>
      </c>
      <c r="J31" s="11" t="s">
        <v>91</v>
      </c>
      <c r="K31" s="11" t="s">
        <v>94</v>
      </c>
      <c r="L31" s="11" t="s">
        <v>91</v>
      </c>
      <c r="M31" s="11" t="s">
        <v>95</v>
      </c>
      <c r="N31" s="11" t="s">
        <v>91</v>
      </c>
      <c r="O31" s="11" t="s">
        <v>96</v>
      </c>
      <c r="P31" s="11" t="s">
        <v>91</v>
      </c>
      <c r="Q31" s="11" t="s">
        <v>117</v>
      </c>
      <c r="R31" s="10" t="s">
        <v>88</v>
      </c>
      <c r="S31" s="10" t="s">
        <v>98</v>
      </c>
      <c r="T31" s="11" t="s">
        <v>194</v>
      </c>
      <c r="U31" s="11" t="s">
        <v>91</v>
      </c>
      <c r="V31" s="11" t="s">
        <v>195</v>
      </c>
      <c r="W31" s="11" t="s">
        <v>100</v>
      </c>
      <c r="X31" s="11" t="s">
        <v>196</v>
      </c>
      <c r="Y31" s="11" t="s">
        <v>91</v>
      </c>
      <c r="Z31" s="11" t="s">
        <v>197</v>
      </c>
      <c r="AA31" s="11" t="s">
        <v>100</v>
      </c>
      <c r="AB31" s="11"/>
      <c r="AC31" s="11"/>
      <c r="AD31" s="10" t="s">
        <v>105</v>
      </c>
      <c r="AE31" s="11" t="s">
        <v>198</v>
      </c>
      <c r="AF31" s="11" t="s">
        <v>91</v>
      </c>
      <c r="AG31" s="11" t="s">
        <v>201</v>
      </c>
      <c r="AH31" s="11" t="s">
        <v>100</v>
      </c>
      <c r="AI31" s="11" t="s">
        <v>200</v>
      </c>
      <c r="AJ31" s="11" t="s">
        <v>91</v>
      </c>
      <c r="AK31" s="11" t="s">
        <v>199</v>
      </c>
      <c r="AL31" s="11" t="s">
        <v>100</v>
      </c>
      <c r="AM31" s="11"/>
      <c r="AN31" s="11"/>
      <c r="AO31" s="10" t="s">
        <v>111</v>
      </c>
      <c r="AP31" s="11" t="s">
        <v>204</v>
      </c>
      <c r="AQ31" s="11" t="s">
        <v>91</v>
      </c>
      <c r="AR31" s="11" t="s">
        <v>203</v>
      </c>
      <c r="AS31" s="11" t="s">
        <v>100</v>
      </c>
      <c r="AT31" s="11" t="s">
        <v>202</v>
      </c>
      <c r="AU31" s="11" t="s">
        <v>91</v>
      </c>
      <c r="AV31" s="11" t="s">
        <v>205</v>
      </c>
      <c r="AW31" s="11" t="s">
        <v>100</v>
      </c>
      <c r="AX31" s="11"/>
      <c r="AY31" s="11"/>
      <c r="AZ31" s="11" t="s">
        <v>97</v>
      </c>
      <c r="BA31" s="10" t="s">
        <v>132</v>
      </c>
      <c r="BB31" s="10" t="s">
        <v>111</v>
      </c>
      <c r="BC31" s="11" t="s">
        <v>183</v>
      </c>
      <c r="BD31" s="11" t="s">
        <v>100</v>
      </c>
      <c r="BE31" s="11" t="s">
        <v>182</v>
      </c>
      <c r="BF31" s="11" t="s">
        <v>91</v>
      </c>
      <c r="BG31" s="11" t="s">
        <v>181</v>
      </c>
      <c r="BH31" s="11" t="s">
        <v>100</v>
      </c>
      <c r="BI31" s="11" t="s">
        <v>180</v>
      </c>
      <c r="BJ31" s="11" t="s">
        <v>91</v>
      </c>
      <c r="BK31" s="11" t="s">
        <v>179</v>
      </c>
      <c r="BL31" s="11" t="s">
        <v>100</v>
      </c>
      <c r="BM31" s="10" t="s">
        <v>98</v>
      </c>
      <c r="BN31" s="11" t="s">
        <v>186</v>
      </c>
      <c r="BO31" s="11" t="s">
        <v>91</v>
      </c>
      <c r="BP31" s="11" t="s">
        <v>187</v>
      </c>
      <c r="BQ31" s="11" t="s">
        <v>100</v>
      </c>
      <c r="BR31" s="11" t="s">
        <v>188</v>
      </c>
      <c r="BS31" s="11" t="s">
        <v>91</v>
      </c>
      <c r="BT31" s="11" t="s">
        <v>185</v>
      </c>
      <c r="BU31" s="11" t="s">
        <v>100</v>
      </c>
      <c r="BV31" s="11" t="s">
        <v>184</v>
      </c>
      <c r="BW31" s="11" t="s">
        <v>91</v>
      </c>
      <c r="BX31" s="10" t="s">
        <v>105</v>
      </c>
      <c r="BY31" s="11" t="s">
        <v>193</v>
      </c>
      <c r="BZ31" s="11" t="s">
        <v>91</v>
      </c>
      <c r="CA31" s="11" t="s">
        <v>192</v>
      </c>
      <c r="CB31" s="11" t="s">
        <v>100</v>
      </c>
      <c r="CC31" s="11" t="s">
        <v>189</v>
      </c>
      <c r="CD31" s="11" t="s">
        <v>91</v>
      </c>
      <c r="CE31" s="11" t="s">
        <v>190</v>
      </c>
      <c r="CF31" s="11" t="s">
        <v>100</v>
      </c>
      <c r="CG31" s="11" t="s">
        <v>191</v>
      </c>
      <c r="CH31" s="11" t="s">
        <v>91</v>
      </c>
      <c r="CI31" s="12"/>
      <c r="CJ31" s="12"/>
      <c r="CK31" s="12"/>
      <c r="CL31" s="12"/>
      <c r="CM31" s="12"/>
      <c r="CN31" s="12"/>
      <c r="CO31" s="12"/>
      <c r="CP31" s="12"/>
      <c r="CQ31" s="12"/>
      <c r="CR31" s="12"/>
      <c r="CS31" s="12"/>
      <c r="CT31" s="12"/>
      <c r="CU31" s="12"/>
      <c r="CV31" s="12"/>
      <c r="CW31" s="12"/>
      <c r="CX31" s="12"/>
      <c r="CY31" s="12"/>
      <c r="CZ31" s="12"/>
      <c r="DA31" s="12"/>
      <c r="DB31" s="12"/>
    </row>
    <row r="32" spans="1:106" ht="15.75" customHeight="1">
      <c r="A32" s="12"/>
      <c r="B32" s="12"/>
      <c r="C32" s="12"/>
      <c r="D32" s="13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12"/>
      <c r="CE32" s="12"/>
      <c r="CF32" s="12"/>
      <c r="CG32" s="12"/>
      <c r="CH32" s="12"/>
      <c r="CI32" s="12"/>
      <c r="CJ32" s="12"/>
      <c r="CK32" s="12"/>
      <c r="CL32" s="12"/>
      <c r="CM32" s="12"/>
      <c r="CN32" s="12"/>
      <c r="CO32" s="12"/>
      <c r="CP32" s="12"/>
      <c r="CQ32" s="12"/>
      <c r="CR32" s="12"/>
      <c r="CS32" s="12"/>
      <c r="CT32" s="12"/>
      <c r="CU32" s="12"/>
      <c r="CV32" s="12"/>
      <c r="CW32" s="12"/>
      <c r="CX32" s="12"/>
      <c r="CY32" s="12"/>
      <c r="CZ32" s="12"/>
      <c r="DA32" s="12"/>
      <c r="DB32" s="12"/>
    </row>
    <row r="33" spans="1:106" ht="15.75" customHeight="1">
      <c r="A33" s="12"/>
      <c r="B33" s="12"/>
      <c r="C33" s="12"/>
      <c r="D33" s="13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2"/>
      <c r="CP33" s="12"/>
      <c r="CQ33" s="12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</row>
    <row r="34" spans="1:106" ht="15.75" customHeight="1">
      <c r="A34" s="12"/>
      <c r="B34" s="12"/>
      <c r="C34" s="12"/>
      <c r="D34" s="13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12"/>
      <c r="CE34" s="12"/>
      <c r="CF34" s="12"/>
      <c r="CG34" s="12"/>
      <c r="CH34" s="12"/>
      <c r="CI34" s="12"/>
      <c r="CJ34" s="12"/>
      <c r="CK34" s="12"/>
      <c r="CL34" s="12"/>
      <c r="CM34" s="12"/>
      <c r="CN34" s="12"/>
      <c r="CO34" s="12"/>
      <c r="CP34" s="12"/>
      <c r="CQ34" s="12"/>
      <c r="CR34" s="12"/>
      <c r="CS34" s="12"/>
      <c r="CT34" s="12"/>
      <c r="CU34" s="12"/>
      <c r="CV34" s="12"/>
      <c r="CW34" s="12"/>
      <c r="CX34" s="12"/>
      <c r="CY34" s="12"/>
      <c r="CZ34" s="12"/>
      <c r="DA34" s="12"/>
      <c r="DB34" s="12"/>
    </row>
    <row r="35" spans="1:106" ht="15.75" customHeight="1">
      <c r="A35" s="12"/>
      <c r="B35" s="12"/>
      <c r="C35" s="12"/>
      <c r="D35" s="13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  <c r="BJ35" s="12"/>
      <c r="BK35" s="12"/>
      <c r="BL35" s="12"/>
      <c r="BM35" s="12"/>
      <c r="BN35" s="12"/>
      <c r="BO35" s="12"/>
      <c r="BP35" s="12"/>
      <c r="BQ35" s="12"/>
      <c r="BR35" s="12"/>
      <c r="BS35" s="12"/>
      <c r="BT35" s="12"/>
      <c r="BU35" s="12"/>
      <c r="BV35" s="12"/>
      <c r="BW35" s="12"/>
      <c r="BX35" s="12"/>
      <c r="BY35" s="12"/>
      <c r="BZ35" s="12"/>
      <c r="CA35" s="12"/>
      <c r="CB35" s="12"/>
      <c r="CC35" s="12"/>
      <c r="CD35" s="12"/>
      <c r="CE35" s="12"/>
      <c r="CF35" s="12"/>
      <c r="CG35" s="12"/>
      <c r="CH35" s="12"/>
      <c r="CI35" s="12"/>
      <c r="CJ35" s="12"/>
      <c r="CK35" s="12"/>
      <c r="CL35" s="12"/>
      <c r="CM35" s="12"/>
      <c r="CN35" s="12"/>
      <c r="CO35" s="12"/>
      <c r="CP35" s="12"/>
      <c r="CQ35" s="12"/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</row>
    <row r="36" spans="1:106" ht="15.75" customHeight="1">
      <c r="A36" s="12"/>
      <c r="B36" s="12"/>
      <c r="C36" s="12"/>
      <c r="D36" s="13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  <c r="BJ36" s="12"/>
      <c r="BK36" s="12"/>
      <c r="BL36" s="12"/>
      <c r="BM36" s="12"/>
      <c r="BN36" s="12"/>
      <c r="BO36" s="12"/>
      <c r="BP36" s="12"/>
      <c r="BQ36" s="12"/>
      <c r="BR36" s="12"/>
      <c r="BS36" s="12"/>
      <c r="BT36" s="12"/>
      <c r="BU36" s="12"/>
      <c r="BV36" s="12"/>
      <c r="BW36" s="12"/>
      <c r="BX36" s="12"/>
      <c r="BY36" s="12"/>
      <c r="BZ36" s="12"/>
      <c r="CA36" s="12"/>
      <c r="CB36" s="12"/>
      <c r="CC36" s="12"/>
      <c r="CD36" s="12"/>
      <c r="CE36" s="12"/>
      <c r="CF36" s="12"/>
      <c r="CG36" s="12"/>
      <c r="CH36" s="12"/>
      <c r="CI36" s="12"/>
      <c r="CJ36" s="12"/>
      <c r="CK36" s="12"/>
      <c r="CL36" s="12"/>
      <c r="CM36" s="12"/>
      <c r="CN36" s="12"/>
      <c r="CO36" s="12"/>
      <c r="CP36" s="12"/>
      <c r="CQ36" s="12"/>
      <c r="CR36" s="12"/>
      <c r="CS36" s="12"/>
      <c r="CT36" s="12"/>
      <c r="CU36" s="12"/>
      <c r="CV36" s="12"/>
      <c r="CW36" s="12"/>
      <c r="CX36" s="12"/>
      <c r="CY36" s="12"/>
      <c r="CZ36" s="12"/>
      <c r="DA36" s="12"/>
      <c r="DB36" s="12"/>
    </row>
    <row r="37" spans="1:106" ht="15.75" customHeight="1">
      <c r="A37" s="12"/>
      <c r="B37" s="12"/>
      <c r="C37" s="12"/>
      <c r="D37" s="13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  <c r="BJ37" s="12"/>
      <c r="BK37" s="12"/>
      <c r="BL37" s="12"/>
      <c r="BM37" s="12"/>
      <c r="BN37" s="12"/>
      <c r="BO37" s="12"/>
      <c r="BP37" s="12"/>
      <c r="BQ37" s="12"/>
      <c r="BR37" s="12"/>
      <c r="BS37" s="12"/>
      <c r="BT37" s="12"/>
      <c r="BU37" s="12"/>
      <c r="BV37" s="12"/>
      <c r="BW37" s="12"/>
      <c r="BX37" s="12"/>
      <c r="BY37" s="12"/>
      <c r="BZ37" s="12"/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2"/>
      <c r="CP37" s="12"/>
      <c r="CQ37" s="12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</row>
    <row r="38" spans="1:106" ht="15.75" customHeight="1">
      <c r="A38" s="12"/>
      <c r="B38" s="12"/>
      <c r="C38" s="12"/>
      <c r="D38" s="13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  <c r="BJ38" s="12"/>
      <c r="BK38" s="12"/>
      <c r="BL38" s="12"/>
      <c r="BM38" s="12"/>
      <c r="BN38" s="12"/>
      <c r="BO38" s="12"/>
      <c r="BP38" s="12"/>
      <c r="BQ38" s="12"/>
      <c r="BR38" s="12"/>
      <c r="BS38" s="12"/>
      <c r="BT38" s="12"/>
      <c r="BU38" s="12"/>
      <c r="BV38" s="12"/>
      <c r="BW38" s="12"/>
      <c r="BX38" s="12"/>
      <c r="BY38" s="12"/>
      <c r="BZ38" s="12"/>
      <c r="CA38" s="12"/>
      <c r="CB38" s="12"/>
      <c r="CC38" s="12"/>
      <c r="CD38" s="12"/>
      <c r="CE38" s="12"/>
      <c r="CF38" s="12"/>
      <c r="CG38" s="12"/>
      <c r="CH38" s="12"/>
      <c r="CI38" s="12"/>
      <c r="CJ38" s="12"/>
      <c r="CK38" s="12"/>
      <c r="CL38" s="12"/>
      <c r="CM38" s="12"/>
      <c r="CN38" s="12"/>
      <c r="CO38" s="12"/>
      <c r="CP38" s="12"/>
      <c r="CQ38" s="12"/>
      <c r="CR38" s="12"/>
      <c r="CS38" s="12"/>
      <c r="CT38" s="12"/>
      <c r="CU38" s="12"/>
      <c r="CV38" s="12"/>
      <c r="CW38" s="12"/>
      <c r="CX38" s="12"/>
      <c r="CY38" s="12"/>
      <c r="CZ38" s="12"/>
      <c r="DA38" s="12"/>
      <c r="DB38" s="12"/>
    </row>
    <row r="39" spans="1:106" ht="15.75" customHeight="1">
      <c r="A39" s="12"/>
      <c r="B39" s="12"/>
      <c r="C39" s="12"/>
      <c r="D39" s="13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  <c r="BJ39" s="12"/>
      <c r="BK39" s="12"/>
      <c r="BL39" s="12"/>
      <c r="BM39" s="12"/>
      <c r="BN39" s="12"/>
      <c r="BO39" s="12"/>
      <c r="BP39" s="12"/>
      <c r="BQ39" s="12"/>
      <c r="BR39" s="12"/>
      <c r="BS39" s="12"/>
      <c r="BT39" s="12"/>
      <c r="BU39" s="12"/>
      <c r="BV39" s="12"/>
      <c r="BW39" s="12"/>
      <c r="BX39" s="12"/>
      <c r="BY39" s="12"/>
      <c r="BZ39" s="12"/>
      <c r="CA39" s="12"/>
      <c r="CB39" s="12"/>
      <c r="CC39" s="12"/>
      <c r="CD39" s="12"/>
      <c r="CE39" s="12"/>
      <c r="CF39" s="12"/>
      <c r="CG39" s="12"/>
      <c r="CH39" s="12"/>
      <c r="CI39" s="12"/>
      <c r="CJ39" s="12"/>
      <c r="CK39" s="12"/>
      <c r="CL39" s="12"/>
      <c r="CM39" s="12"/>
      <c r="CN39" s="12"/>
      <c r="CO39" s="12"/>
      <c r="CP39" s="12"/>
      <c r="CQ39" s="12"/>
      <c r="CR39" s="12"/>
      <c r="CS39" s="12"/>
      <c r="CT39" s="12"/>
      <c r="CU39" s="12"/>
      <c r="CV39" s="12"/>
      <c r="CW39" s="12"/>
      <c r="CX39" s="12"/>
      <c r="CY39" s="12"/>
      <c r="CZ39" s="12"/>
      <c r="DA39" s="12"/>
      <c r="DB39" s="12"/>
    </row>
    <row r="40" spans="1:106" ht="15.75" customHeight="1">
      <c r="A40" s="12"/>
      <c r="B40" s="12"/>
      <c r="C40" s="12"/>
      <c r="D40" s="13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  <c r="BJ40" s="12"/>
      <c r="BK40" s="12"/>
      <c r="BL40" s="12"/>
      <c r="BM40" s="12"/>
      <c r="BN40" s="12"/>
      <c r="BO40" s="12"/>
      <c r="BP40" s="12"/>
      <c r="BQ40" s="12"/>
      <c r="BR40" s="12"/>
      <c r="BS40" s="12"/>
      <c r="BT40" s="12"/>
      <c r="BU40" s="12"/>
      <c r="BV40" s="12"/>
      <c r="BW40" s="12"/>
      <c r="BX40" s="12"/>
      <c r="BY40" s="12"/>
      <c r="BZ40" s="12"/>
      <c r="CA40" s="12"/>
      <c r="CB40" s="12"/>
      <c r="CC40" s="12"/>
      <c r="CD40" s="12"/>
      <c r="CE40" s="12"/>
      <c r="CF40" s="12"/>
      <c r="CG40" s="12"/>
      <c r="CH40" s="12"/>
      <c r="CI40" s="12"/>
      <c r="CJ40" s="12"/>
      <c r="CK40" s="12"/>
      <c r="CL40" s="12"/>
      <c r="CM40" s="12"/>
      <c r="CN40" s="12"/>
      <c r="CO40" s="12"/>
      <c r="CP40" s="12"/>
      <c r="CQ40" s="12"/>
      <c r="CR40" s="12"/>
      <c r="CS40" s="12"/>
      <c r="CT40" s="12"/>
      <c r="CU40" s="12"/>
      <c r="CV40" s="12"/>
      <c r="CW40" s="12"/>
      <c r="CX40" s="12"/>
      <c r="CY40" s="12"/>
      <c r="CZ40" s="12"/>
      <c r="DA40" s="12"/>
      <c r="DB40" s="12"/>
    </row>
    <row r="41" spans="1:106" ht="15.75" customHeight="1">
      <c r="A41" s="12"/>
      <c r="B41" s="12"/>
      <c r="C41" s="12"/>
      <c r="D41" s="13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  <c r="BJ41" s="12"/>
      <c r="BK41" s="12"/>
      <c r="BL41" s="12"/>
      <c r="BM41" s="12"/>
      <c r="BN41" s="12"/>
      <c r="BO41" s="12"/>
      <c r="BP41" s="12"/>
      <c r="BQ41" s="12"/>
      <c r="BR41" s="12"/>
      <c r="BS41" s="12"/>
      <c r="BT41" s="12"/>
      <c r="BU41" s="12"/>
      <c r="BV41" s="12"/>
      <c r="BW41" s="12"/>
      <c r="BX41" s="12"/>
      <c r="BY41" s="12"/>
      <c r="BZ41" s="12"/>
      <c r="CA41" s="12"/>
      <c r="CB41" s="12"/>
      <c r="CC41" s="12"/>
      <c r="CD41" s="12"/>
      <c r="CE41" s="12"/>
      <c r="CF41" s="12"/>
      <c r="CG41" s="12"/>
      <c r="CH41" s="12"/>
      <c r="CI41" s="12"/>
      <c r="CJ41" s="12"/>
      <c r="CK41" s="12"/>
      <c r="CL41" s="12"/>
      <c r="CM41" s="12"/>
      <c r="CN41" s="12"/>
      <c r="CO41" s="12"/>
      <c r="CP41" s="12"/>
      <c r="CQ41" s="12"/>
      <c r="CR41" s="12"/>
      <c r="CS41" s="12"/>
      <c r="CT41" s="12"/>
      <c r="CU41" s="12"/>
      <c r="CV41" s="12"/>
      <c r="CW41" s="12"/>
      <c r="CX41" s="12"/>
      <c r="CY41" s="12"/>
      <c r="CZ41" s="12"/>
      <c r="DA41" s="12"/>
      <c r="DB41" s="12"/>
    </row>
    <row r="42" spans="1:106" ht="15.75" customHeight="1">
      <c r="A42" s="12"/>
      <c r="B42" s="12"/>
      <c r="C42" s="12"/>
      <c r="D42" s="13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  <c r="BJ42" s="12"/>
      <c r="BK42" s="12"/>
      <c r="BL42" s="12"/>
      <c r="BM42" s="12"/>
      <c r="BN42" s="12"/>
      <c r="BO42" s="12"/>
      <c r="BP42" s="12"/>
      <c r="BQ42" s="12"/>
      <c r="BR42" s="12"/>
      <c r="BS42" s="12"/>
      <c r="BT42" s="12"/>
      <c r="BU42" s="12"/>
      <c r="BV42" s="12"/>
      <c r="BW42" s="12"/>
      <c r="BX42" s="12"/>
      <c r="BY42" s="12"/>
      <c r="BZ42" s="12"/>
      <c r="CA42" s="12"/>
      <c r="CB42" s="12"/>
      <c r="CC42" s="12"/>
      <c r="CD42" s="12"/>
      <c r="CE42" s="12"/>
      <c r="CF42" s="12"/>
      <c r="CG42" s="12"/>
      <c r="CH42" s="12"/>
      <c r="CI42" s="12"/>
      <c r="CJ42" s="12"/>
      <c r="CK42" s="12"/>
      <c r="CL42" s="12"/>
      <c r="CM42" s="12"/>
      <c r="CN42" s="12"/>
      <c r="CO42" s="12"/>
      <c r="CP42" s="12"/>
      <c r="CQ42" s="12"/>
      <c r="CR42" s="12"/>
      <c r="CS42" s="12"/>
      <c r="CT42" s="12"/>
      <c r="CU42" s="12"/>
      <c r="CV42" s="12"/>
      <c r="CW42" s="12"/>
      <c r="CX42" s="12"/>
      <c r="CY42" s="12"/>
      <c r="CZ42" s="12"/>
      <c r="DA42" s="12"/>
      <c r="DB42" s="12"/>
    </row>
    <row r="43" spans="1:106" ht="15.75" customHeight="1">
      <c r="A43" s="12"/>
      <c r="B43" s="12"/>
      <c r="C43" s="12"/>
      <c r="D43" s="13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  <c r="BJ43" s="12"/>
      <c r="BK43" s="12"/>
      <c r="BL43" s="12"/>
      <c r="BM43" s="12"/>
      <c r="BN43" s="12"/>
      <c r="BO43" s="12"/>
      <c r="BP43" s="12"/>
      <c r="BQ43" s="12"/>
      <c r="BR43" s="12"/>
      <c r="BS43" s="12"/>
      <c r="BT43" s="12"/>
      <c r="BU43" s="12"/>
      <c r="BV43" s="12"/>
      <c r="BW43" s="12"/>
      <c r="BX43" s="12"/>
      <c r="BY43" s="12"/>
      <c r="BZ43" s="12"/>
      <c r="CA43" s="12"/>
      <c r="CB43" s="12"/>
      <c r="CC43" s="12"/>
      <c r="CD43" s="12"/>
      <c r="CE43" s="12"/>
      <c r="CF43" s="12"/>
      <c r="CG43" s="12"/>
      <c r="CH43" s="12"/>
      <c r="CI43" s="12"/>
      <c r="CJ43" s="12"/>
      <c r="CK43" s="12"/>
      <c r="CL43" s="12"/>
      <c r="CM43" s="12"/>
      <c r="CN43" s="12"/>
      <c r="CO43" s="12"/>
      <c r="CP43" s="12"/>
      <c r="CQ43" s="12"/>
      <c r="CR43" s="12"/>
      <c r="CS43" s="12"/>
      <c r="CT43" s="12"/>
      <c r="CU43" s="12"/>
      <c r="CV43" s="12"/>
      <c r="CW43" s="12"/>
      <c r="CX43" s="12"/>
      <c r="CY43" s="12"/>
      <c r="CZ43" s="12"/>
      <c r="DA43" s="12"/>
      <c r="DB43" s="12"/>
    </row>
    <row r="44" spans="1:106" ht="15.75" customHeight="1">
      <c r="A44" s="12"/>
      <c r="B44" s="12"/>
      <c r="C44" s="12"/>
      <c r="D44" s="13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  <c r="BJ44" s="12"/>
      <c r="BK44" s="12"/>
      <c r="BL44" s="12"/>
      <c r="BM44" s="12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2"/>
      <c r="CP44" s="12"/>
      <c r="CQ44" s="12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</row>
    <row r="45" spans="1:106" ht="15.75" customHeight="1">
      <c r="A45" s="12"/>
      <c r="B45" s="12"/>
      <c r="C45" s="12"/>
      <c r="D45" s="13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  <c r="BJ45" s="12"/>
      <c r="BK45" s="12"/>
      <c r="BL45" s="12"/>
      <c r="BM45" s="12"/>
      <c r="BN45" s="12"/>
      <c r="BO45" s="12"/>
      <c r="BP45" s="12"/>
      <c r="BQ45" s="12"/>
      <c r="BR45" s="12"/>
      <c r="BS45" s="12"/>
      <c r="BT45" s="12"/>
      <c r="BU45" s="12"/>
      <c r="BV45" s="12"/>
      <c r="BW45" s="12"/>
      <c r="BX45" s="12"/>
      <c r="BY45" s="12"/>
      <c r="BZ45" s="12"/>
      <c r="CA45" s="12"/>
      <c r="CB45" s="12"/>
      <c r="CC45" s="12"/>
      <c r="CD45" s="12"/>
      <c r="CE45" s="12"/>
      <c r="CF45" s="12"/>
      <c r="CG45" s="12"/>
      <c r="CH45" s="12"/>
      <c r="CI45" s="12"/>
      <c r="CJ45" s="12"/>
      <c r="CK45" s="12"/>
      <c r="CL45" s="12"/>
      <c r="CM45" s="12"/>
      <c r="CN45" s="12"/>
      <c r="CO45" s="12"/>
      <c r="CP45" s="12"/>
      <c r="CQ45" s="12"/>
      <c r="CR45" s="12"/>
      <c r="CS45" s="12"/>
      <c r="CT45" s="12"/>
      <c r="CU45" s="12"/>
      <c r="CV45" s="12"/>
      <c r="CW45" s="12"/>
      <c r="CX45" s="12"/>
      <c r="CY45" s="12"/>
      <c r="CZ45" s="12"/>
      <c r="DA45" s="12"/>
      <c r="DB45" s="12"/>
    </row>
    <row r="46" spans="1:106" ht="15.75" customHeight="1">
      <c r="A46" s="12"/>
      <c r="B46" s="12"/>
      <c r="C46" s="12"/>
      <c r="D46" s="13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  <c r="BJ46" s="12"/>
      <c r="BK46" s="12"/>
      <c r="BL46" s="12"/>
      <c r="BM46" s="12"/>
      <c r="BN46" s="12"/>
      <c r="BO46" s="12"/>
      <c r="BP46" s="12"/>
      <c r="BQ46" s="12"/>
      <c r="BR46" s="12"/>
      <c r="BS46" s="12"/>
      <c r="BT46" s="12"/>
      <c r="BU46" s="12"/>
      <c r="BV46" s="12"/>
      <c r="BW46" s="12"/>
      <c r="BX46" s="12"/>
      <c r="BY46" s="12"/>
      <c r="BZ46" s="12"/>
      <c r="CA46" s="12"/>
      <c r="CB46" s="12"/>
      <c r="CC46" s="12"/>
      <c r="CD46" s="12"/>
      <c r="CE46" s="12"/>
      <c r="CF46" s="12"/>
      <c r="CG46" s="12"/>
      <c r="CH46" s="12"/>
      <c r="CI46" s="12"/>
      <c r="CJ46" s="12"/>
      <c r="CK46" s="12"/>
      <c r="CL46" s="12"/>
      <c r="CM46" s="12"/>
      <c r="CN46" s="12"/>
      <c r="CO46" s="12"/>
      <c r="CP46" s="12"/>
      <c r="CQ46" s="12"/>
      <c r="CR46" s="12"/>
      <c r="CS46" s="12"/>
      <c r="CT46" s="12"/>
      <c r="CU46" s="12"/>
      <c r="CV46" s="12"/>
      <c r="CW46" s="12"/>
      <c r="CX46" s="12"/>
      <c r="CY46" s="12"/>
      <c r="CZ46" s="12"/>
      <c r="DA46" s="12"/>
      <c r="DB46" s="12"/>
    </row>
    <row r="47" spans="1:106" ht="15.75" customHeight="1">
      <c r="A47" s="12"/>
      <c r="B47" s="12"/>
      <c r="C47" s="12"/>
      <c r="D47" s="13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  <c r="BJ47" s="12"/>
      <c r="BK47" s="12"/>
      <c r="BL47" s="12"/>
      <c r="BM47" s="12"/>
      <c r="BN47" s="12"/>
      <c r="BO47" s="12"/>
      <c r="BP47" s="12"/>
      <c r="BQ47" s="12"/>
      <c r="BR47" s="12"/>
      <c r="BS47" s="12"/>
      <c r="BT47" s="12"/>
      <c r="BU47" s="12"/>
      <c r="BV47" s="12"/>
      <c r="BW47" s="12"/>
      <c r="BX47" s="12"/>
      <c r="BY47" s="12"/>
      <c r="BZ47" s="12"/>
      <c r="CA47" s="12"/>
      <c r="CB47" s="12"/>
      <c r="CC47" s="12"/>
      <c r="CD47" s="12"/>
      <c r="CE47" s="12"/>
      <c r="CF47" s="12"/>
      <c r="CG47" s="12"/>
      <c r="CH47" s="12"/>
      <c r="CI47" s="12"/>
      <c r="CJ47" s="12"/>
      <c r="CK47" s="12"/>
      <c r="CL47" s="12"/>
      <c r="CM47" s="12"/>
      <c r="CN47" s="12"/>
      <c r="CO47" s="12"/>
      <c r="CP47" s="12"/>
      <c r="CQ47" s="12"/>
      <c r="CR47" s="12"/>
      <c r="CS47" s="12"/>
      <c r="CT47" s="12"/>
      <c r="CU47" s="12"/>
      <c r="CV47" s="12"/>
      <c r="CW47" s="12"/>
      <c r="CX47" s="12"/>
      <c r="CY47" s="12"/>
      <c r="CZ47" s="12"/>
      <c r="DA47" s="12"/>
      <c r="DB47" s="12"/>
    </row>
    <row r="48" spans="1:106" ht="15.75" customHeight="1">
      <c r="A48" s="12"/>
      <c r="B48" s="12"/>
      <c r="C48" s="12"/>
      <c r="D48" s="13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  <c r="BJ48" s="12"/>
      <c r="BK48" s="12"/>
      <c r="BL48" s="12"/>
      <c r="BM48" s="12"/>
      <c r="BN48" s="12"/>
      <c r="BO48" s="12"/>
      <c r="BP48" s="12"/>
      <c r="BQ48" s="12"/>
      <c r="BR48" s="12"/>
      <c r="BS48" s="12"/>
      <c r="BT48" s="12"/>
      <c r="BU48" s="12"/>
      <c r="BV48" s="12"/>
      <c r="BW48" s="12"/>
      <c r="BX48" s="12"/>
      <c r="BY48" s="12"/>
      <c r="BZ48" s="12"/>
      <c r="CA48" s="12"/>
      <c r="CB48" s="12"/>
      <c r="CC48" s="12"/>
      <c r="CD48" s="12"/>
      <c r="CE48" s="12"/>
      <c r="CF48" s="12"/>
      <c r="CG48" s="12"/>
      <c r="CH48" s="12"/>
      <c r="CI48" s="12"/>
      <c r="CJ48" s="12"/>
      <c r="CK48" s="12"/>
      <c r="CL48" s="12"/>
      <c r="CM48" s="12"/>
      <c r="CN48" s="12"/>
      <c r="CO48" s="12"/>
      <c r="CP48" s="12"/>
      <c r="CQ48" s="12"/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</row>
    <row r="49" spans="1:106" ht="15.75" customHeight="1">
      <c r="A49" s="12"/>
      <c r="B49" s="12"/>
      <c r="C49" s="12"/>
      <c r="D49" s="13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  <c r="BJ49" s="12"/>
      <c r="BK49" s="12"/>
      <c r="BL49" s="12"/>
      <c r="BM49" s="12"/>
      <c r="BN49" s="12"/>
      <c r="BO49" s="12"/>
      <c r="BP49" s="12"/>
      <c r="BQ49" s="12"/>
      <c r="BR49" s="12"/>
      <c r="BS49" s="12"/>
      <c r="BT49" s="12"/>
      <c r="BU49" s="12"/>
      <c r="BV49" s="12"/>
      <c r="BW49" s="12"/>
      <c r="BX49" s="12"/>
      <c r="BY49" s="12"/>
      <c r="BZ49" s="12"/>
      <c r="CA49" s="12"/>
      <c r="CB49" s="12"/>
      <c r="CC49" s="12"/>
      <c r="CD49" s="12"/>
      <c r="CE49" s="12"/>
      <c r="CF49" s="12"/>
      <c r="CG49" s="12"/>
      <c r="CH49" s="12"/>
      <c r="CI49" s="12"/>
      <c r="CJ49" s="12"/>
      <c r="CK49" s="12"/>
      <c r="CL49" s="12"/>
      <c r="CM49" s="12"/>
      <c r="CN49" s="12"/>
      <c r="CO49" s="12"/>
      <c r="CP49" s="12"/>
      <c r="CQ49" s="12"/>
      <c r="CR49" s="12"/>
      <c r="CS49" s="12"/>
      <c r="CT49" s="12"/>
      <c r="CU49" s="12"/>
      <c r="CV49" s="12"/>
      <c r="CW49" s="12"/>
      <c r="CX49" s="12"/>
      <c r="CY49" s="12"/>
      <c r="CZ49" s="12"/>
      <c r="DA49" s="12"/>
      <c r="DB49" s="12"/>
    </row>
    <row r="50" spans="1:106" ht="15.75" customHeight="1">
      <c r="A50" s="12"/>
      <c r="B50" s="12"/>
      <c r="C50" s="12"/>
      <c r="D50" s="13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  <c r="BJ50" s="12"/>
      <c r="BK50" s="12"/>
      <c r="BL50" s="12"/>
      <c r="BM50" s="12"/>
      <c r="BN50" s="12"/>
      <c r="BO50" s="12"/>
      <c r="BP50" s="12"/>
      <c r="BQ50" s="12"/>
      <c r="BR50" s="12"/>
      <c r="BS50" s="12"/>
      <c r="BT50" s="12"/>
      <c r="BU50" s="12"/>
      <c r="BV50" s="12"/>
      <c r="BW50" s="12"/>
      <c r="BX50" s="12"/>
      <c r="BY50" s="12"/>
      <c r="BZ50" s="12"/>
      <c r="CA50" s="12"/>
      <c r="CB50" s="12"/>
      <c r="CC50" s="12"/>
      <c r="CD50" s="12"/>
      <c r="CE50" s="12"/>
      <c r="CF50" s="12"/>
      <c r="CG50" s="12"/>
      <c r="CH50" s="12"/>
      <c r="CI50" s="12"/>
      <c r="CJ50" s="12"/>
      <c r="CK50" s="12"/>
      <c r="CL50" s="12"/>
      <c r="CM50" s="12"/>
      <c r="CN50" s="12"/>
      <c r="CO50" s="12"/>
      <c r="CP50" s="12"/>
      <c r="CQ50" s="12"/>
      <c r="CR50" s="12"/>
      <c r="CS50" s="12"/>
      <c r="CT50" s="12"/>
      <c r="CU50" s="12"/>
      <c r="CV50" s="12"/>
      <c r="CW50" s="12"/>
      <c r="CX50" s="12"/>
      <c r="CY50" s="12"/>
      <c r="CZ50" s="12"/>
      <c r="DA50" s="12"/>
      <c r="DB50" s="12"/>
    </row>
    <row r="51" spans="1:106" ht="15.75" customHeight="1">
      <c r="A51" s="12"/>
      <c r="B51" s="12"/>
      <c r="C51" s="12"/>
      <c r="D51" s="13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2"/>
      <c r="BQ51" s="12"/>
      <c r="BR51" s="12"/>
      <c r="BS51" s="12"/>
      <c r="BT51" s="12"/>
      <c r="BU51" s="12"/>
      <c r="BV51" s="12"/>
      <c r="BW51" s="12"/>
      <c r="BX51" s="12"/>
      <c r="BY51" s="12"/>
      <c r="BZ51" s="12"/>
      <c r="CA51" s="12"/>
      <c r="CB51" s="12"/>
      <c r="CC51" s="12"/>
      <c r="CD51" s="12"/>
      <c r="CE51" s="12"/>
      <c r="CF51" s="12"/>
      <c r="CG51" s="12"/>
      <c r="CH51" s="12"/>
      <c r="CI51" s="12"/>
      <c r="CJ51" s="12"/>
      <c r="CK51" s="12"/>
      <c r="CL51" s="12"/>
      <c r="CM51" s="12"/>
      <c r="CN51" s="12"/>
      <c r="CO51" s="12"/>
      <c r="CP51" s="12"/>
      <c r="CQ51" s="12"/>
      <c r="CR51" s="12"/>
      <c r="CS51" s="12"/>
      <c r="CT51" s="12"/>
      <c r="CU51" s="12"/>
      <c r="CV51" s="12"/>
      <c r="CW51" s="12"/>
      <c r="CX51" s="12"/>
      <c r="CY51" s="12"/>
      <c r="CZ51" s="12"/>
      <c r="DA51" s="12"/>
      <c r="DB51" s="12"/>
    </row>
    <row r="52" spans="1:106" ht="15.75" customHeight="1">
      <c r="A52" s="12"/>
      <c r="B52" s="12"/>
      <c r="C52" s="12"/>
      <c r="D52" s="13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/>
      <c r="BN52" s="12"/>
      <c r="BO52" s="12"/>
      <c r="BP52" s="12"/>
      <c r="BQ52" s="12"/>
      <c r="BR52" s="12"/>
      <c r="BS52" s="12"/>
      <c r="BT52" s="12"/>
      <c r="BU52" s="12"/>
      <c r="BV52" s="12"/>
      <c r="BW52" s="12"/>
      <c r="BX52" s="12"/>
      <c r="BY52" s="12"/>
      <c r="BZ52" s="12"/>
      <c r="CA52" s="12"/>
      <c r="CB52" s="12"/>
      <c r="CC52" s="12"/>
      <c r="CD52" s="12"/>
      <c r="CE52" s="12"/>
      <c r="CF52" s="12"/>
      <c r="CG52" s="12"/>
      <c r="CH52" s="12"/>
      <c r="CI52" s="12"/>
      <c r="CJ52" s="12"/>
      <c r="CK52" s="12"/>
      <c r="CL52" s="12"/>
      <c r="CM52" s="12"/>
      <c r="CN52" s="12"/>
      <c r="CO52" s="12"/>
      <c r="CP52" s="12"/>
      <c r="CQ52" s="12"/>
      <c r="CR52" s="12"/>
      <c r="CS52" s="12"/>
      <c r="CT52" s="12"/>
      <c r="CU52" s="12"/>
      <c r="CV52" s="12"/>
      <c r="CW52" s="12"/>
      <c r="CX52" s="12"/>
      <c r="CY52" s="12"/>
      <c r="CZ52" s="12"/>
      <c r="DA52" s="12"/>
      <c r="DB52" s="12"/>
    </row>
    <row r="53" spans="1:106" ht="15.75" customHeight="1">
      <c r="A53" s="12"/>
      <c r="B53" s="12"/>
      <c r="C53" s="12"/>
      <c r="D53" s="13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  <c r="BJ53" s="12"/>
      <c r="BK53" s="12"/>
      <c r="BL53" s="12"/>
      <c r="BM53" s="12"/>
      <c r="BN53" s="12"/>
      <c r="BO53" s="12"/>
      <c r="BP53" s="12"/>
      <c r="BQ53" s="12"/>
      <c r="BR53" s="12"/>
      <c r="BS53" s="12"/>
      <c r="BT53" s="12"/>
      <c r="BU53" s="12"/>
      <c r="BV53" s="12"/>
      <c r="BW53" s="12"/>
      <c r="BX53" s="12"/>
      <c r="BY53" s="12"/>
      <c r="BZ53" s="12"/>
      <c r="CA53" s="12"/>
      <c r="CB53" s="12"/>
      <c r="CC53" s="12"/>
      <c r="CD53" s="12"/>
      <c r="CE53" s="12"/>
      <c r="CF53" s="12"/>
      <c r="CG53" s="12"/>
      <c r="CH53" s="12"/>
      <c r="CI53" s="12"/>
      <c r="CJ53" s="12"/>
      <c r="CK53" s="12"/>
      <c r="CL53" s="12"/>
      <c r="CM53" s="12"/>
      <c r="CN53" s="12"/>
      <c r="CO53" s="12"/>
      <c r="CP53" s="12"/>
      <c r="CQ53" s="12"/>
      <c r="CR53" s="12"/>
      <c r="CS53" s="12"/>
      <c r="CT53" s="12"/>
      <c r="CU53" s="12"/>
      <c r="CV53" s="12"/>
      <c r="CW53" s="12"/>
      <c r="CX53" s="12"/>
      <c r="CY53" s="12"/>
      <c r="CZ53" s="12"/>
      <c r="DA53" s="12"/>
      <c r="DB53" s="12"/>
    </row>
    <row r="54" spans="1:106" ht="15.75" customHeight="1">
      <c r="A54" s="12"/>
      <c r="B54" s="12"/>
      <c r="C54" s="12"/>
      <c r="D54" s="13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  <c r="BJ54" s="12"/>
      <c r="BK54" s="12"/>
      <c r="BL54" s="12"/>
      <c r="BM54" s="12"/>
      <c r="BN54" s="12"/>
      <c r="BO54" s="12"/>
      <c r="BP54" s="12"/>
      <c r="BQ54" s="12"/>
      <c r="BR54" s="12"/>
      <c r="BS54" s="12"/>
      <c r="BT54" s="12"/>
      <c r="BU54" s="12"/>
      <c r="BV54" s="12"/>
      <c r="BW54" s="12"/>
      <c r="BX54" s="12"/>
      <c r="BY54" s="12"/>
      <c r="BZ54" s="12"/>
      <c r="CA54" s="12"/>
      <c r="CB54" s="12"/>
      <c r="CC54" s="12"/>
      <c r="CD54" s="12"/>
      <c r="CE54" s="12"/>
      <c r="CF54" s="12"/>
      <c r="CG54" s="12"/>
      <c r="CH54" s="12"/>
      <c r="CI54" s="12"/>
      <c r="CJ54" s="12"/>
      <c r="CK54" s="12"/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</row>
    <row r="55" spans="1:106" ht="15.75" customHeight="1">
      <c r="A55" s="12"/>
      <c r="B55" s="12"/>
      <c r="C55" s="12"/>
      <c r="D55" s="13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  <c r="BJ55" s="12"/>
      <c r="BK55" s="12"/>
      <c r="BL55" s="12"/>
      <c r="BM55" s="12"/>
      <c r="BN55" s="12"/>
      <c r="BO55" s="12"/>
      <c r="BP55" s="12"/>
      <c r="BQ55" s="12"/>
      <c r="BR55" s="12"/>
      <c r="BS55" s="12"/>
      <c r="BT55" s="12"/>
      <c r="BU55" s="12"/>
      <c r="BV55" s="12"/>
      <c r="BW55" s="12"/>
      <c r="BX55" s="12"/>
      <c r="BY55" s="12"/>
      <c r="BZ55" s="12"/>
      <c r="CA55" s="12"/>
      <c r="CB55" s="12"/>
      <c r="CC55" s="12"/>
      <c r="CD55" s="12"/>
      <c r="CE55" s="12"/>
      <c r="CF55" s="12"/>
      <c r="CG55" s="12"/>
      <c r="CH55" s="12"/>
      <c r="CI55" s="12"/>
      <c r="CJ55" s="12"/>
      <c r="CK55" s="12"/>
      <c r="CL55" s="12"/>
      <c r="CM55" s="12"/>
      <c r="CN55" s="12"/>
      <c r="CO55" s="12"/>
      <c r="CP55" s="12"/>
      <c r="CQ55" s="12"/>
      <c r="CR55" s="12"/>
      <c r="CS55" s="12"/>
      <c r="CT55" s="12"/>
      <c r="CU55" s="12"/>
      <c r="CV55" s="12"/>
      <c r="CW55" s="12"/>
      <c r="CX55" s="12"/>
      <c r="CY55" s="12"/>
      <c r="CZ55" s="12"/>
      <c r="DA55" s="12"/>
      <c r="DB55" s="12"/>
    </row>
    <row r="56" spans="1:106" ht="15.75" customHeight="1">
      <c r="A56" s="12"/>
      <c r="B56" s="12"/>
      <c r="C56" s="12"/>
      <c r="D56" s="13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  <c r="BJ56" s="12"/>
      <c r="BK56" s="12"/>
      <c r="BL56" s="12"/>
      <c r="BM56" s="12"/>
      <c r="BN56" s="12"/>
      <c r="BO56" s="12"/>
      <c r="BP56" s="12"/>
      <c r="BQ56" s="12"/>
      <c r="BR56" s="12"/>
      <c r="BS56" s="12"/>
      <c r="BT56" s="12"/>
      <c r="BU56" s="12"/>
      <c r="BV56" s="12"/>
      <c r="BW56" s="12"/>
      <c r="BX56" s="12"/>
      <c r="BY56" s="12"/>
      <c r="BZ56" s="12"/>
      <c r="CA56" s="12"/>
      <c r="CB56" s="12"/>
      <c r="CC56" s="12"/>
      <c r="CD56" s="12"/>
      <c r="CE56" s="12"/>
      <c r="CF56" s="12"/>
      <c r="CG56" s="12"/>
      <c r="CH56" s="12"/>
      <c r="CI56" s="12"/>
      <c r="CJ56" s="12"/>
      <c r="CK56" s="12"/>
      <c r="CL56" s="12"/>
      <c r="CM56" s="12"/>
      <c r="CN56" s="12"/>
      <c r="CO56" s="12"/>
      <c r="CP56" s="12"/>
      <c r="CQ56" s="12"/>
      <c r="CR56" s="12"/>
      <c r="CS56" s="12"/>
      <c r="CT56" s="12"/>
      <c r="CU56" s="12"/>
      <c r="CV56" s="12"/>
      <c r="CW56" s="12"/>
      <c r="CX56" s="12"/>
      <c r="CY56" s="12"/>
      <c r="CZ56" s="12"/>
      <c r="DA56" s="12"/>
      <c r="DB56" s="12"/>
    </row>
    <row r="57" spans="1:106" ht="15.75" customHeight="1">
      <c r="A57" s="12"/>
      <c r="B57" s="12"/>
      <c r="C57" s="12"/>
      <c r="D57" s="13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  <c r="BJ57" s="12"/>
      <c r="BK57" s="12"/>
      <c r="BL57" s="12"/>
      <c r="BM57" s="12"/>
      <c r="BN57" s="12"/>
      <c r="BO57" s="12"/>
      <c r="BP57" s="12"/>
      <c r="BQ57" s="12"/>
      <c r="BR57" s="12"/>
      <c r="BS57" s="12"/>
      <c r="BT57" s="12"/>
      <c r="BU57" s="12"/>
      <c r="BV57" s="12"/>
      <c r="BW57" s="12"/>
      <c r="BX57" s="12"/>
      <c r="BY57" s="12"/>
      <c r="BZ57" s="12"/>
      <c r="CA57" s="12"/>
      <c r="CB57" s="12"/>
      <c r="CC57" s="12"/>
      <c r="CD57" s="12"/>
      <c r="CE57" s="12"/>
      <c r="CF57" s="12"/>
      <c r="CG57" s="12"/>
      <c r="CH57" s="12"/>
      <c r="CI57" s="12"/>
      <c r="CJ57" s="12"/>
      <c r="CK57" s="12"/>
      <c r="CL57" s="12"/>
      <c r="CM57" s="12"/>
      <c r="CN57" s="12"/>
      <c r="CO57" s="12"/>
      <c r="CP57" s="12"/>
      <c r="CQ57" s="12"/>
      <c r="CR57" s="12"/>
      <c r="CS57" s="12"/>
      <c r="CT57" s="12"/>
      <c r="CU57" s="12"/>
      <c r="CV57" s="12"/>
      <c r="CW57" s="12"/>
      <c r="CX57" s="12"/>
      <c r="CY57" s="12"/>
      <c r="CZ57" s="12"/>
      <c r="DA57" s="12"/>
      <c r="DB57" s="12"/>
    </row>
    <row r="58" spans="1:106" ht="15.75" customHeight="1">
      <c r="A58" s="12"/>
      <c r="B58" s="12"/>
      <c r="C58" s="12"/>
      <c r="D58" s="13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  <c r="BJ58" s="12"/>
      <c r="BK58" s="12"/>
      <c r="BL58" s="12"/>
      <c r="BM58" s="12"/>
      <c r="BN58" s="12"/>
      <c r="BO58" s="12"/>
      <c r="BP58" s="12"/>
      <c r="BQ58" s="12"/>
      <c r="BR58" s="12"/>
      <c r="BS58" s="12"/>
      <c r="BT58" s="12"/>
      <c r="BU58" s="12"/>
      <c r="BV58" s="12"/>
      <c r="BW58" s="12"/>
      <c r="BX58" s="12"/>
      <c r="BY58" s="12"/>
      <c r="BZ58" s="12"/>
      <c r="CA58" s="12"/>
      <c r="CB58" s="12"/>
      <c r="CC58" s="12"/>
      <c r="CD58" s="12"/>
      <c r="CE58" s="12"/>
      <c r="CF58" s="12"/>
      <c r="CG58" s="12"/>
      <c r="CH58" s="12"/>
      <c r="CI58" s="12"/>
      <c r="CJ58" s="12"/>
      <c r="CK58" s="12"/>
      <c r="CL58" s="12"/>
      <c r="CM58" s="12"/>
      <c r="CN58" s="12"/>
      <c r="CO58" s="12"/>
      <c r="CP58" s="12"/>
      <c r="CQ58" s="12"/>
      <c r="CR58" s="12"/>
      <c r="CS58" s="12"/>
      <c r="CT58" s="12"/>
      <c r="CU58" s="12"/>
      <c r="CV58" s="12"/>
      <c r="CW58" s="12"/>
      <c r="CX58" s="12"/>
      <c r="CY58" s="12"/>
      <c r="CZ58" s="12"/>
      <c r="DA58" s="12"/>
      <c r="DB58" s="12"/>
    </row>
    <row r="59" spans="1:106" ht="15.75" customHeight="1">
      <c r="A59" s="12"/>
      <c r="B59" s="12"/>
      <c r="C59" s="12"/>
      <c r="D59" s="13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  <c r="BJ59" s="12"/>
      <c r="BK59" s="12"/>
      <c r="BL59" s="12"/>
      <c r="BM59" s="12"/>
      <c r="BN59" s="12"/>
      <c r="BO59" s="12"/>
      <c r="BP59" s="12"/>
      <c r="BQ59" s="12"/>
      <c r="BR59" s="12"/>
      <c r="BS59" s="12"/>
      <c r="BT59" s="12"/>
      <c r="BU59" s="12"/>
      <c r="BV59" s="12"/>
      <c r="BW59" s="12"/>
      <c r="BX59" s="12"/>
      <c r="BY59" s="12"/>
      <c r="BZ59" s="12"/>
      <c r="CA59" s="12"/>
      <c r="CB59" s="12"/>
      <c r="CC59" s="12"/>
      <c r="CD59" s="12"/>
      <c r="CE59" s="12"/>
      <c r="CF59" s="12"/>
      <c r="CG59" s="12"/>
      <c r="CH59" s="12"/>
      <c r="CI59" s="12"/>
      <c r="CJ59" s="12"/>
      <c r="CK59" s="12"/>
      <c r="CL59" s="12"/>
      <c r="CM59" s="12"/>
      <c r="CN59" s="12"/>
      <c r="CO59" s="12"/>
      <c r="CP59" s="12"/>
      <c r="CQ59" s="12"/>
      <c r="CR59" s="12"/>
      <c r="CS59" s="12"/>
      <c r="CT59" s="12"/>
      <c r="CU59" s="12"/>
      <c r="CV59" s="12"/>
      <c r="CW59" s="12"/>
      <c r="CX59" s="12"/>
      <c r="CY59" s="12"/>
      <c r="CZ59" s="12"/>
      <c r="DA59" s="12"/>
      <c r="DB59" s="12"/>
    </row>
    <row r="60" spans="1:106" ht="15.75" customHeight="1">
      <c r="A60" s="12"/>
      <c r="B60" s="12"/>
      <c r="C60" s="12"/>
      <c r="D60" s="13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  <c r="BJ60" s="12"/>
      <c r="BK60" s="12"/>
      <c r="BL60" s="12"/>
      <c r="BM60" s="12"/>
      <c r="BN60" s="12"/>
      <c r="BO60" s="12"/>
      <c r="BP60" s="12"/>
      <c r="BQ60" s="12"/>
      <c r="BR60" s="12"/>
      <c r="BS60" s="12"/>
      <c r="BT60" s="12"/>
      <c r="BU60" s="12"/>
      <c r="BV60" s="12"/>
      <c r="BW60" s="12"/>
      <c r="BX60" s="12"/>
      <c r="BY60" s="12"/>
      <c r="BZ60" s="12"/>
      <c r="CA60" s="12"/>
      <c r="CB60" s="12"/>
      <c r="CC60" s="12"/>
      <c r="CD60" s="12"/>
      <c r="CE60" s="12"/>
      <c r="CF60" s="12"/>
      <c r="CG60" s="12"/>
      <c r="CH60" s="12"/>
      <c r="CI60" s="12"/>
      <c r="CJ60" s="12"/>
      <c r="CK60" s="12"/>
      <c r="CL60" s="12"/>
      <c r="CM60" s="12"/>
      <c r="CN60" s="12"/>
      <c r="CO60" s="12"/>
      <c r="CP60" s="12"/>
      <c r="CQ60" s="12"/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</row>
    <row r="61" spans="1:106" ht="15.75" customHeight="1">
      <c r="A61" s="12"/>
      <c r="B61" s="12"/>
      <c r="C61" s="12"/>
      <c r="D61" s="13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  <c r="BJ61" s="12"/>
      <c r="BK61" s="12"/>
      <c r="BL61" s="12"/>
      <c r="BM61" s="12"/>
      <c r="BN61" s="12"/>
      <c r="BO61" s="12"/>
      <c r="BP61" s="12"/>
      <c r="BQ61" s="12"/>
      <c r="BR61" s="12"/>
      <c r="BS61" s="12"/>
      <c r="BT61" s="12"/>
      <c r="BU61" s="12"/>
      <c r="BV61" s="12"/>
      <c r="BW61" s="12"/>
      <c r="BX61" s="12"/>
      <c r="BY61" s="12"/>
      <c r="BZ61" s="12"/>
      <c r="CA61" s="12"/>
      <c r="CB61" s="12"/>
      <c r="CC61" s="12"/>
      <c r="CD61" s="12"/>
      <c r="CE61" s="12"/>
      <c r="CF61" s="12"/>
      <c r="CG61" s="12"/>
      <c r="CH61" s="12"/>
      <c r="CI61" s="12"/>
      <c r="CJ61" s="12"/>
      <c r="CK61" s="12"/>
      <c r="CL61" s="12"/>
      <c r="CM61" s="12"/>
      <c r="CN61" s="12"/>
      <c r="CO61" s="12"/>
      <c r="CP61" s="12"/>
      <c r="CQ61" s="12"/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</row>
    <row r="62" spans="1:106" ht="15.75" customHeight="1">
      <c r="A62" s="12"/>
      <c r="B62" s="12"/>
      <c r="C62" s="12"/>
      <c r="D62" s="13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  <c r="BJ62" s="12"/>
      <c r="BK62" s="12"/>
      <c r="BL62" s="12"/>
      <c r="BM62" s="12"/>
      <c r="BN62" s="12"/>
      <c r="BO62" s="12"/>
      <c r="BP62" s="12"/>
      <c r="BQ62" s="12"/>
      <c r="BR62" s="12"/>
      <c r="BS62" s="12"/>
      <c r="BT62" s="12"/>
      <c r="BU62" s="12"/>
      <c r="BV62" s="12"/>
      <c r="BW62" s="12"/>
      <c r="BX62" s="12"/>
      <c r="BY62" s="12"/>
      <c r="BZ62" s="12"/>
      <c r="CA62" s="12"/>
      <c r="CB62" s="12"/>
      <c r="CC62" s="12"/>
      <c r="CD62" s="12"/>
      <c r="CE62" s="12"/>
      <c r="CF62" s="12"/>
      <c r="CG62" s="12"/>
      <c r="CH62" s="12"/>
      <c r="CI62" s="12"/>
      <c r="CJ62" s="12"/>
      <c r="CK62" s="12"/>
      <c r="CL62" s="12"/>
      <c r="CM62" s="12"/>
      <c r="CN62" s="12"/>
      <c r="CO62" s="12"/>
      <c r="CP62" s="12"/>
      <c r="CQ62" s="12"/>
      <c r="CR62" s="12"/>
      <c r="CS62" s="12"/>
      <c r="CT62" s="12"/>
      <c r="CU62" s="12"/>
      <c r="CV62" s="12"/>
      <c r="CW62" s="12"/>
      <c r="CX62" s="12"/>
      <c r="CY62" s="12"/>
      <c r="CZ62" s="12"/>
      <c r="DA62" s="12"/>
      <c r="DB62" s="12"/>
    </row>
    <row r="63" spans="1:106" ht="15.75" customHeight="1">
      <c r="A63" s="12"/>
      <c r="B63" s="12"/>
      <c r="C63" s="12"/>
      <c r="D63" s="13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2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</row>
    <row r="64" spans="1:106" ht="15.75" customHeight="1">
      <c r="A64" s="12"/>
      <c r="B64" s="12"/>
      <c r="C64" s="12"/>
      <c r="D64" s="13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12"/>
      <c r="CS64" s="12"/>
      <c r="CT64" s="12"/>
      <c r="CU64" s="12"/>
      <c r="CV64" s="12"/>
      <c r="CW64" s="12"/>
      <c r="CX64" s="12"/>
      <c r="CY64" s="12"/>
      <c r="CZ64" s="12"/>
      <c r="DA64" s="12"/>
      <c r="DB64" s="12"/>
    </row>
    <row r="65" spans="1:106" ht="15.75" customHeight="1">
      <c r="A65" s="12"/>
      <c r="B65" s="12"/>
      <c r="C65" s="12"/>
      <c r="D65" s="13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12"/>
      <c r="CS65" s="12"/>
      <c r="CT65" s="12"/>
      <c r="CU65" s="12"/>
      <c r="CV65" s="12"/>
      <c r="CW65" s="12"/>
      <c r="CX65" s="12"/>
      <c r="CY65" s="12"/>
      <c r="CZ65" s="12"/>
      <c r="DA65" s="12"/>
      <c r="DB65" s="12"/>
    </row>
    <row r="66" spans="1:106" ht="15.75" customHeight="1">
      <c r="A66" s="12"/>
      <c r="B66" s="12"/>
      <c r="C66" s="12"/>
      <c r="D66" s="13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12"/>
      <c r="CS66" s="12"/>
      <c r="CT66" s="12"/>
      <c r="CU66" s="12"/>
      <c r="CV66" s="12"/>
      <c r="CW66" s="12"/>
      <c r="CX66" s="12"/>
      <c r="CY66" s="12"/>
      <c r="CZ66" s="12"/>
      <c r="DA66" s="12"/>
      <c r="DB66" s="12"/>
    </row>
    <row r="67" spans="1:106" ht="15.75" customHeight="1">
      <c r="A67" s="12"/>
      <c r="B67" s="12"/>
      <c r="C67" s="12"/>
      <c r="D67" s="13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12"/>
      <c r="CS67" s="12"/>
      <c r="CT67" s="12"/>
      <c r="CU67" s="12"/>
      <c r="CV67" s="12"/>
      <c r="CW67" s="12"/>
      <c r="CX67" s="12"/>
      <c r="CY67" s="12"/>
      <c r="CZ67" s="12"/>
      <c r="DA67" s="12"/>
      <c r="DB67" s="12"/>
    </row>
    <row r="68" spans="1:106" ht="15.75" customHeight="1">
      <c r="A68" s="12"/>
      <c r="B68" s="12"/>
      <c r="C68" s="12"/>
      <c r="D68" s="13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12"/>
      <c r="CS68" s="12"/>
      <c r="CT68" s="12"/>
      <c r="CU68" s="12"/>
      <c r="CV68" s="12"/>
      <c r="CW68" s="12"/>
      <c r="CX68" s="12"/>
      <c r="CY68" s="12"/>
      <c r="CZ68" s="12"/>
      <c r="DA68" s="12"/>
      <c r="DB68" s="12"/>
    </row>
    <row r="69" spans="1:106" ht="15.75" customHeight="1">
      <c r="A69" s="12"/>
      <c r="B69" s="12"/>
      <c r="C69" s="12"/>
      <c r="D69" s="13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12"/>
      <c r="CS69" s="12"/>
      <c r="CT69" s="12"/>
      <c r="CU69" s="12"/>
      <c r="CV69" s="12"/>
      <c r="CW69" s="12"/>
      <c r="CX69" s="12"/>
      <c r="CY69" s="12"/>
      <c r="CZ69" s="12"/>
      <c r="DA69" s="12"/>
      <c r="DB69" s="12"/>
    </row>
    <row r="70" spans="1:106" ht="15.75" customHeight="1">
      <c r="A70" s="12"/>
      <c r="B70" s="12"/>
      <c r="C70" s="12"/>
      <c r="D70" s="13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12"/>
      <c r="CS70" s="12"/>
      <c r="CT70" s="12"/>
      <c r="CU70" s="12"/>
      <c r="CV70" s="12"/>
      <c r="CW70" s="12"/>
      <c r="CX70" s="12"/>
      <c r="CY70" s="12"/>
      <c r="CZ70" s="12"/>
      <c r="DA70" s="12"/>
      <c r="DB70" s="12"/>
    </row>
    <row r="71" spans="1:106" ht="15.75" customHeight="1">
      <c r="A71" s="12"/>
      <c r="B71" s="12"/>
      <c r="C71" s="12"/>
      <c r="D71" s="13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12"/>
      <c r="CS71" s="12"/>
      <c r="CT71" s="12"/>
      <c r="CU71" s="12"/>
      <c r="CV71" s="12"/>
      <c r="CW71" s="12"/>
      <c r="CX71" s="12"/>
      <c r="CY71" s="12"/>
      <c r="CZ71" s="12"/>
      <c r="DA71" s="12"/>
      <c r="DB71" s="12"/>
    </row>
    <row r="72" spans="1:106" ht="15.75" customHeight="1">
      <c r="A72" s="12"/>
      <c r="B72" s="12"/>
      <c r="C72" s="12"/>
      <c r="D72" s="13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12"/>
      <c r="CS72" s="12"/>
      <c r="CT72" s="12"/>
      <c r="CU72" s="12"/>
      <c r="CV72" s="12"/>
      <c r="CW72" s="12"/>
      <c r="CX72" s="12"/>
      <c r="CY72" s="12"/>
      <c r="CZ72" s="12"/>
      <c r="DA72" s="12"/>
      <c r="DB72" s="12"/>
    </row>
    <row r="73" spans="1:106" ht="15.75" customHeight="1">
      <c r="A73" s="12"/>
      <c r="B73" s="12"/>
      <c r="C73" s="12"/>
      <c r="D73" s="13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12"/>
      <c r="CS73" s="12"/>
      <c r="CT73" s="12"/>
      <c r="CU73" s="12"/>
      <c r="CV73" s="12"/>
      <c r="CW73" s="12"/>
      <c r="CX73" s="12"/>
      <c r="CY73" s="12"/>
      <c r="CZ73" s="12"/>
      <c r="DA73" s="12"/>
      <c r="DB73" s="12"/>
    </row>
    <row r="74" spans="1:106" ht="15.75" customHeight="1">
      <c r="A74" s="12"/>
      <c r="B74" s="12"/>
      <c r="C74" s="12"/>
      <c r="D74" s="13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12"/>
      <c r="CS74" s="12"/>
      <c r="CT74" s="12"/>
      <c r="CU74" s="12"/>
      <c r="CV74" s="12"/>
      <c r="CW74" s="12"/>
      <c r="CX74" s="12"/>
      <c r="CY74" s="12"/>
      <c r="CZ74" s="12"/>
      <c r="DA74" s="12"/>
      <c r="DB74" s="12"/>
    </row>
    <row r="75" spans="1:106" ht="15.75" customHeight="1">
      <c r="A75" s="12"/>
      <c r="B75" s="12"/>
      <c r="C75" s="12"/>
      <c r="D75" s="13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12"/>
      <c r="CS75" s="12"/>
      <c r="CT75" s="12"/>
      <c r="CU75" s="12"/>
      <c r="CV75" s="12"/>
      <c r="CW75" s="12"/>
      <c r="CX75" s="12"/>
      <c r="CY75" s="12"/>
      <c r="CZ75" s="12"/>
      <c r="DA75" s="12"/>
      <c r="DB75" s="12"/>
    </row>
    <row r="76" spans="1:106" ht="15.75" customHeight="1">
      <c r="A76" s="12"/>
      <c r="B76" s="12"/>
      <c r="C76" s="12"/>
      <c r="D76" s="13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  <c r="BJ76" s="12"/>
      <c r="BK76" s="12"/>
      <c r="BL76" s="12"/>
      <c r="BM76" s="12"/>
      <c r="BN76" s="12"/>
      <c r="BO76" s="12"/>
      <c r="BP76" s="12"/>
      <c r="BQ76" s="12"/>
      <c r="BR76" s="12"/>
      <c r="BS76" s="12"/>
      <c r="BT76" s="12"/>
      <c r="BU76" s="12"/>
      <c r="BV76" s="12"/>
      <c r="BW76" s="12"/>
      <c r="BX76" s="12"/>
      <c r="BY76" s="12"/>
      <c r="BZ76" s="12"/>
      <c r="CA76" s="12"/>
      <c r="CB76" s="12"/>
      <c r="CC76" s="12"/>
      <c r="CD76" s="12"/>
      <c r="CE76" s="12"/>
      <c r="CF76" s="12"/>
      <c r="CG76" s="12"/>
      <c r="CH76" s="12"/>
      <c r="CI76" s="12"/>
      <c r="CJ76" s="12"/>
      <c r="CK76" s="12"/>
      <c r="CL76" s="12"/>
      <c r="CM76" s="12"/>
      <c r="CN76" s="12"/>
      <c r="CO76" s="12"/>
      <c r="CP76" s="12"/>
      <c r="CQ76" s="12"/>
      <c r="CR76" s="12"/>
      <c r="CS76" s="12"/>
      <c r="CT76" s="12"/>
      <c r="CU76" s="12"/>
      <c r="CV76" s="12"/>
      <c r="CW76" s="12"/>
      <c r="CX76" s="12"/>
      <c r="CY76" s="12"/>
      <c r="CZ76" s="12"/>
      <c r="DA76" s="12"/>
      <c r="DB76" s="12"/>
    </row>
    <row r="77" spans="1:106" ht="15.75" customHeight="1">
      <c r="A77" s="12"/>
      <c r="B77" s="12"/>
      <c r="C77" s="12"/>
      <c r="D77" s="13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  <c r="BJ77" s="12"/>
      <c r="BK77" s="12"/>
      <c r="BL77" s="12"/>
      <c r="BM77" s="12"/>
      <c r="BN77" s="12"/>
      <c r="BO77" s="12"/>
      <c r="BP77" s="12"/>
      <c r="BQ77" s="12"/>
      <c r="BR77" s="12"/>
      <c r="BS77" s="12"/>
      <c r="BT77" s="12"/>
      <c r="BU77" s="12"/>
      <c r="BV77" s="12"/>
      <c r="BW77" s="12"/>
      <c r="BX77" s="12"/>
      <c r="BY77" s="12"/>
      <c r="BZ77" s="12"/>
      <c r="CA77" s="12"/>
      <c r="CB77" s="12"/>
      <c r="CC77" s="12"/>
      <c r="CD77" s="12"/>
      <c r="CE77" s="12"/>
      <c r="CF77" s="12"/>
      <c r="CG77" s="12"/>
      <c r="CH77" s="12"/>
      <c r="CI77" s="12"/>
      <c r="CJ77" s="12"/>
      <c r="CK77" s="12"/>
      <c r="CL77" s="12"/>
      <c r="CM77" s="12"/>
      <c r="CN77" s="12"/>
      <c r="CO77" s="12"/>
      <c r="CP77" s="12"/>
      <c r="CQ77" s="12"/>
      <c r="CR77" s="12"/>
      <c r="CS77" s="12"/>
      <c r="CT77" s="12"/>
      <c r="CU77" s="12"/>
      <c r="CV77" s="12"/>
      <c r="CW77" s="12"/>
      <c r="CX77" s="12"/>
      <c r="CY77" s="12"/>
      <c r="CZ77" s="12"/>
      <c r="DA77" s="12"/>
      <c r="DB77" s="12"/>
    </row>
    <row r="78" spans="1:106" ht="15.75" customHeight="1">
      <c r="A78" s="12"/>
      <c r="B78" s="12"/>
      <c r="C78" s="12"/>
      <c r="D78" s="13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  <c r="BJ78" s="12"/>
      <c r="BK78" s="12"/>
      <c r="BL78" s="12"/>
      <c r="BM78" s="12"/>
      <c r="BN78" s="12"/>
      <c r="BO78" s="12"/>
      <c r="BP78" s="12"/>
      <c r="BQ78" s="12"/>
      <c r="BR78" s="12"/>
      <c r="BS78" s="12"/>
      <c r="BT78" s="12"/>
      <c r="BU78" s="12"/>
      <c r="BV78" s="12"/>
      <c r="BW78" s="12"/>
      <c r="BX78" s="12"/>
      <c r="BY78" s="12"/>
      <c r="BZ78" s="12"/>
      <c r="CA78" s="12"/>
      <c r="CB78" s="12"/>
      <c r="CC78" s="12"/>
      <c r="CD78" s="12"/>
      <c r="CE78" s="12"/>
      <c r="CF78" s="12"/>
      <c r="CG78" s="12"/>
      <c r="CH78" s="12"/>
      <c r="CI78" s="12"/>
      <c r="CJ78" s="12"/>
      <c r="CK78" s="12"/>
      <c r="CL78" s="12"/>
      <c r="CM78" s="12"/>
      <c r="CN78" s="12"/>
      <c r="CO78" s="12"/>
      <c r="CP78" s="12"/>
      <c r="CQ78" s="12"/>
      <c r="CR78" s="12"/>
      <c r="CS78" s="12"/>
      <c r="CT78" s="12"/>
      <c r="CU78" s="12"/>
      <c r="CV78" s="12"/>
      <c r="CW78" s="12"/>
      <c r="CX78" s="12"/>
      <c r="CY78" s="12"/>
      <c r="CZ78" s="12"/>
      <c r="DA78" s="12"/>
      <c r="DB78" s="12"/>
    </row>
    <row r="79" spans="1:106" ht="15.75" customHeight="1">
      <c r="A79" s="12"/>
      <c r="B79" s="12"/>
      <c r="C79" s="12"/>
      <c r="D79" s="13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  <c r="BK79" s="12"/>
      <c r="BL79" s="12"/>
      <c r="BM79" s="12"/>
      <c r="BN79" s="12"/>
      <c r="BO79" s="12"/>
      <c r="BP79" s="12"/>
      <c r="BQ79" s="12"/>
      <c r="BR79" s="12"/>
      <c r="BS79" s="12"/>
      <c r="BT79" s="12"/>
      <c r="BU79" s="12"/>
      <c r="BV79" s="12"/>
      <c r="BW79" s="12"/>
      <c r="BX79" s="12"/>
      <c r="BY79" s="12"/>
      <c r="BZ79" s="12"/>
      <c r="CA79" s="12"/>
      <c r="CB79" s="12"/>
      <c r="CC79" s="12"/>
      <c r="CD79" s="12"/>
      <c r="CE79" s="12"/>
      <c r="CF79" s="12"/>
      <c r="CG79" s="12"/>
      <c r="CH79" s="12"/>
      <c r="CI79" s="12"/>
      <c r="CJ79" s="12"/>
      <c r="CK79" s="12"/>
      <c r="CL79" s="12"/>
      <c r="CM79" s="12"/>
      <c r="CN79" s="12"/>
      <c r="CO79" s="12"/>
      <c r="CP79" s="12"/>
      <c r="CQ79" s="12"/>
      <c r="CR79" s="12"/>
      <c r="CS79" s="12"/>
      <c r="CT79" s="12"/>
      <c r="CU79" s="12"/>
      <c r="CV79" s="12"/>
      <c r="CW79" s="12"/>
      <c r="CX79" s="12"/>
      <c r="CY79" s="12"/>
      <c r="CZ79" s="12"/>
      <c r="DA79" s="12"/>
      <c r="DB79" s="12"/>
    </row>
    <row r="80" spans="1:106" ht="15.75" customHeight="1">
      <c r="A80" s="12"/>
      <c r="B80" s="12"/>
      <c r="C80" s="12"/>
      <c r="D80" s="13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  <c r="BJ80" s="12"/>
      <c r="BK80" s="12"/>
      <c r="BL80" s="12"/>
      <c r="BM80" s="12"/>
      <c r="BN80" s="12"/>
      <c r="BO80" s="12"/>
      <c r="BP80" s="12"/>
      <c r="BQ80" s="12"/>
      <c r="BR80" s="12"/>
      <c r="BS80" s="12"/>
      <c r="BT80" s="12"/>
      <c r="BU80" s="12"/>
      <c r="BV80" s="12"/>
      <c r="BW80" s="12"/>
      <c r="BX80" s="12"/>
      <c r="BY80" s="12"/>
      <c r="BZ80" s="12"/>
      <c r="CA80" s="12"/>
      <c r="CB80" s="12"/>
      <c r="CC80" s="12"/>
      <c r="CD80" s="12"/>
      <c r="CE80" s="12"/>
      <c r="CF80" s="12"/>
      <c r="CG80" s="12"/>
      <c r="CH80" s="12"/>
      <c r="CI80" s="12"/>
      <c r="CJ80" s="12"/>
      <c r="CK80" s="12"/>
      <c r="CL80" s="12"/>
      <c r="CM80" s="12"/>
      <c r="CN80" s="12"/>
      <c r="CO80" s="12"/>
      <c r="CP80" s="12"/>
      <c r="CQ80" s="12"/>
      <c r="CR80" s="12"/>
      <c r="CS80" s="12"/>
      <c r="CT80" s="12"/>
      <c r="CU80" s="12"/>
      <c r="CV80" s="12"/>
      <c r="CW80" s="12"/>
      <c r="CX80" s="12"/>
      <c r="CY80" s="12"/>
      <c r="CZ80" s="12"/>
      <c r="DA80" s="12"/>
      <c r="DB80" s="12"/>
    </row>
    <row r="81" spans="1:106" ht="15.75" customHeight="1">
      <c r="A81" s="12"/>
      <c r="B81" s="12"/>
      <c r="C81" s="12"/>
      <c r="D81" s="13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  <c r="BJ81" s="12"/>
      <c r="BK81" s="12"/>
      <c r="BL81" s="12"/>
      <c r="BM81" s="12"/>
      <c r="BN81" s="12"/>
      <c r="BO81" s="12"/>
      <c r="BP81" s="12"/>
      <c r="BQ81" s="12"/>
      <c r="BR81" s="12"/>
      <c r="BS81" s="12"/>
      <c r="BT81" s="12"/>
      <c r="BU81" s="12"/>
      <c r="BV81" s="12"/>
      <c r="BW81" s="12"/>
      <c r="BX81" s="12"/>
      <c r="BY81" s="12"/>
      <c r="BZ81" s="12"/>
      <c r="CA81" s="12"/>
      <c r="CB81" s="12"/>
      <c r="CC81" s="12"/>
      <c r="CD81" s="12"/>
      <c r="CE81" s="12"/>
      <c r="CF81" s="12"/>
      <c r="CG81" s="12"/>
      <c r="CH81" s="12"/>
      <c r="CI81" s="12"/>
      <c r="CJ81" s="12"/>
      <c r="CK81" s="12"/>
      <c r="CL81" s="12"/>
      <c r="CM81" s="12"/>
      <c r="CN81" s="12"/>
      <c r="CO81" s="12"/>
      <c r="CP81" s="12"/>
      <c r="CQ81" s="12"/>
      <c r="CR81" s="12"/>
      <c r="CS81" s="12"/>
      <c r="CT81" s="12"/>
      <c r="CU81" s="12"/>
      <c r="CV81" s="12"/>
      <c r="CW81" s="12"/>
      <c r="CX81" s="12"/>
      <c r="CY81" s="12"/>
      <c r="CZ81" s="12"/>
      <c r="DA81" s="12"/>
      <c r="DB81" s="12"/>
    </row>
    <row r="82" spans="1:106" ht="15.75" customHeight="1">
      <c r="A82" s="12"/>
      <c r="B82" s="12"/>
      <c r="C82" s="12"/>
      <c r="D82" s="13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  <c r="BJ82" s="12"/>
      <c r="BK82" s="12"/>
      <c r="BL82" s="12"/>
      <c r="BM82" s="12"/>
      <c r="BN82" s="12"/>
      <c r="BO82" s="12"/>
      <c r="BP82" s="12"/>
      <c r="BQ82" s="12"/>
      <c r="BR82" s="12"/>
      <c r="BS82" s="12"/>
      <c r="BT82" s="12"/>
      <c r="BU82" s="12"/>
      <c r="BV82" s="12"/>
      <c r="BW82" s="12"/>
      <c r="BX82" s="12"/>
      <c r="BY82" s="12"/>
      <c r="BZ82" s="12"/>
      <c r="CA82" s="12"/>
      <c r="CB82" s="12"/>
      <c r="CC82" s="12"/>
      <c r="CD82" s="12"/>
      <c r="CE82" s="12"/>
      <c r="CF82" s="12"/>
      <c r="CG82" s="12"/>
      <c r="CH82" s="12"/>
      <c r="CI82" s="12"/>
      <c r="CJ82" s="12"/>
      <c r="CK82" s="12"/>
      <c r="CL82" s="12"/>
      <c r="CM82" s="12"/>
      <c r="CN82" s="12"/>
      <c r="CO82" s="12"/>
      <c r="CP82" s="12"/>
      <c r="CQ82" s="12"/>
      <c r="CR82" s="12"/>
      <c r="CS82" s="12"/>
      <c r="CT82" s="12"/>
      <c r="CU82" s="12"/>
      <c r="CV82" s="12"/>
      <c r="CW82" s="12"/>
      <c r="CX82" s="12"/>
      <c r="CY82" s="12"/>
      <c r="CZ82" s="12"/>
      <c r="DA82" s="12"/>
      <c r="DB82" s="12"/>
    </row>
    <row r="83" spans="1:106" ht="15.75" customHeight="1">
      <c r="A83" s="12"/>
      <c r="B83" s="12"/>
      <c r="C83" s="12"/>
      <c r="D83" s="13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  <c r="BJ83" s="12"/>
      <c r="BK83" s="12"/>
      <c r="BL83" s="12"/>
      <c r="BM83" s="12"/>
      <c r="BN83" s="12"/>
      <c r="BO83" s="12"/>
      <c r="BP83" s="12"/>
      <c r="BQ83" s="12"/>
      <c r="BR83" s="12"/>
      <c r="BS83" s="12"/>
      <c r="BT83" s="12"/>
      <c r="BU83" s="12"/>
      <c r="BV83" s="12"/>
      <c r="BW83" s="12"/>
      <c r="BX83" s="12"/>
      <c r="BY83" s="12"/>
      <c r="BZ83" s="12"/>
      <c r="CA83" s="12"/>
      <c r="CB83" s="12"/>
      <c r="CC83" s="12"/>
      <c r="CD83" s="12"/>
      <c r="CE83" s="12"/>
      <c r="CF83" s="12"/>
      <c r="CG83" s="12"/>
      <c r="CH83" s="12"/>
      <c r="CI83" s="12"/>
      <c r="CJ83" s="12"/>
      <c r="CK83" s="12"/>
      <c r="CL83" s="12"/>
      <c r="CM83" s="12"/>
      <c r="CN83" s="12"/>
      <c r="CO83" s="12"/>
      <c r="CP83" s="12"/>
      <c r="CQ83" s="12"/>
      <c r="CR83" s="12"/>
      <c r="CS83" s="12"/>
      <c r="CT83" s="12"/>
      <c r="CU83" s="12"/>
      <c r="CV83" s="12"/>
      <c r="CW83" s="12"/>
      <c r="CX83" s="12"/>
      <c r="CY83" s="12"/>
      <c r="CZ83" s="12"/>
      <c r="DA83" s="12"/>
      <c r="DB83" s="12"/>
    </row>
    <row r="84" spans="1:106" ht="15.75" customHeight="1">
      <c r="A84" s="12"/>
      <c r="B84" s="12"/>
      <c r="C84" s="12"/>
      <c r="D84" s="13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  <c r="BJ84" s="12"/>
      <c r="BK84" s="12"/>
      <c r="BL84" s="12"/>
      <c r="BM84" s="12"/>
      <c r="BN84" s="12"/>
      <c r="BO84" s="12"/>
      <c r="BP84" s="12"/>
      <c r="BQ84" s="12"/>
      <c r="BR84" s="12"/>
      <c r="BS84" s="12"/>
      <c r="BT84" s="12"/>
      <c r="BU84" s="12"/>
      <c r="BV84" s="12"/>
      <c r="BW84" s="12"/>
      <c r="BX84" s="12"/>
      <c r="BY84" s="12"/>
      <c r="BZ84" s="12"/>
      <c r="CA84" s="12"/>
      <c r="CB84" s="12"/>
      <c r="CC84" s="12"/>
      <c r="CD84" s="12"/>
      <c r="CE84" s="12"/>
      <c r="CF84" s="12"/>
      <c r="CG84" s="12"/>
      <c r="CH84" s="12"/>
      <c r="CI84" s="12"/>
      <c r="CJ84" s="12"/>
      <c r="CK84" s="12"/>
      <c r="CL84" s="12"/>
      <c r="CM84" s="12"/>
      <c r="CN84" s="12"/>
      <c r="CO84" s="12"/>
      <c r="CP84" s="12"/>
      <c r="CQ84" s="12"/>
      <c r="CR84" s="12"/>
      <c r="CS84" s="12"/>
      <c r="CT84" s="12"/>
      <c r="CU84" s="12"/>
      <c r="CV84" s="12"/>
      <c r="CW84" s="12"/>
      <c r="CX84" s="12"/>
      <c r="CY84" s="12"/>
      <c r="CZ84" s="12"/>
      <c r="DA84" s="12"/>
      <c r="DB84" s="12"/>
    </row>
    <row r="85" spans="1:106" ht="15.75" customHeight="1">
      <c r="A85" s="12"/>
      <c r="B85" s="12"/>
      <c r="C85" s="12"/>
      <c r="D85" s="13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  <c r="BJ85" s="12"/>
      <c r="BK85" s="12"/>
      <c r="BL85" s="12"/>
      <c r="BM85" s="12"/>
      <c r="BN85" s="12"/>
      <c r="BO85" s="12"/>
      <c r="BP85" s="12"/>
      <c r="BQ85" s="12"/>
      <c r="BR85" s="12"/>
      <c r="BS85" s="12"/>
      <c r="BT85" s="12"/>
      <c r="BU85" s="12"/>
      <c r="BV85" s="12"/>
      <c r="BW85" s="12"/>
      <c r="BX85" s="12"/>
      <c r="BY85" s="12"/>
      <c r="BZ85" s="12"/>
      <c r="CA85" s="12"/>
      <c r="CB85" s="12"/>
      <c r="CC85" s="12"/>
      <c r="CD85" s="12"/>
      <c r="CE85" s="12"/>
      <c r="CF85" s="12"/>
      <c r="CG85" s="12"/>
      <c r="CH85" s="12"/>
      <c r="CI85" s="12"/>
      <c r="CJ85" s="12"/>
      <c r="CK85" s="12"/>
      <c r="CL85" s="12"/>
      <c r="CM85" s="12"/>
      <c r="CN85" s="12"/>
      <c r="CO85" s="12"/>
      <c r="CP85" s="12"/>
      <c r="CQ85" s="12"/>
      <c r="CR85" s="12"/>
      <c r="CS85" s="12"/>
      <c r="CT85" s="12"/>
      <c r="CU85" s="12"/>
      <c r="CV85" s="12"/>
      <c r="CW85" s="12"/>
      <c r="CX85" s="12"/>
      <c r="CY85" s="12"/>
      <c r="CZ85" s="12"/>
      <c r="DA85" s="12"/>
      <c r="DB85" s="12"/>
    </row>
    <row r="86" spans="1:106" ht="15.75" customHeight="1">
      <c r="A86" s="12"/>
      <c r="B86" s="12"/>
      <c r="C86" s="12"/>
      <c r="D86" s="13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  <c r="BJ86" s="12"/>
      <c r="BK86" s="12"/>
      <c r="BL86" s="12"/>
      <c r="BM86" s="12"/>
      <c r="BN86" s="12"/>
      <c r="BO86" s="12"/>
      <c r="BP86" s="12"/>
      <c r="BQ86" s="12"/>
      <c r="BR86" s="12"/>
      <c r="BS86" s="12"/>
      <c r="BT86" s="12"/>
      <c r="BU86" s="12"/>
      <c r="BV86" s="12"/>
      <c r="BW86" s="12"/>
      <c r="BX86" s="12"/>
      <c r="BY86" s="12"/>
      <c r="BZ86" s="12"/>
      <c r="CA86" s="12"/>
      <c r="CB86" s="12"/>
      <c r="CC86" s="12"/>
      <c r="CD86" s="12"/>
      <c r="CE86" s="12"/>
      <c r="CF86" s="12"/>
      <c r="CG86" s="12"/>
      <c r="CH86" s="12"/>
      <c r="CI86" s="12"/>
      <c r="CJ86" s="12"/>
      <c r="CK86" s="12"/>
      <c r="CL86" s="12"/>
      <c r="CM86" s="12"/>
      <c r="CN86" s="12"/>
      <c r="CO86" s="12"/>
      <c r="CP86" s="12"/>
      <c r="CQ86" s="12"/>
      <c r="CR86" s="12"/>
      <c r="CS86" s="12"/>
      <c r="CT86" s="12"/>
      <c r="CU86" s="12"/>
      <c r="CV86" s="12"/>
      <c r="CW86" s="12"/>
      <c r="CX86" s="12"/>
      <c r="CY86" s="12"/>
      <c r="CZ86" s="12"/>
      <c r="DA86" s="12"/>
      <c r="DB86" s="12"/>
    </row>
    <row r="87" spans="1:106" ht="15.75" customHeight="1">
      <c r="A87" s="12"/>
      <c r="B87" s="12"/>
      <c r="C87" s="12"/>
      <c r="D87" s="13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  <c r="BJ87" s="12"/>
      <c r="BK87" s="12"/>
      <c r="BL87" s="12"/>
      <c r="BM87" s="12"/>
      <c r="BN87" s="12"/>
      <c r="BO87" s="12"/>
      <c r="BP87" s="12"/>
      <c r="BQ87" s="12"/>
      <c r="BR87" s="12"/>
      <c r="BS87" s="12"/>
      <c r="BT87" s="12"/>
      <c r="BU87" s="12"/>
      <c r="BV87" s="12"/>
      <c r="BW87" s="12"/>
      <c r="BX87" s="12"/>
      <c r="BY87" s="12"/>
      <c r="BZ87" s="12"/>
      <c r="CA87" s="12"/>
      <c r="CB87" s="12"/>
      <c r="CC87" s="12"/>
      <c r="CD87" s="12"/>
      <c r="CE87" s="12"/>
      <c r="CF87" s="12"/>
      <c r="CG87" s="12"/>
      <c r="CH87" s="12"/>
      <c r="CI87" s="12"/>
      <c r="CJ87" s="12"/>
      <c r="CK87" s="12"/>
      <c r="CL87" s="12"/>
      <c r="CM87" s="12"/>
      <c r="CN87" s="12"/>
      <c r="CO87" s="12"/>
      <c r="CP87" s="12"/>
      <c r="CQ87" s="12"/>
      <c r="CR87" s="12"/>
      <c r="CS87" s="12"/>
      <c r="CT87" s="12"/>
      <c r="CU87" s="12"/>
      <c r="CV87" s="12"/>
      <c r="CW87" s="12"/>
      <c r="CX87" s="12"/>
      <c r="CY87" s="12"/>
      <c r="CZ87" s="12"/>
      <c r="DA87" s="12"/>
      <c r="DB87" s="12"/>
    </row>
    <row r="88" spans="1:106" ht="15.75" customHeight="1">
      <c r="A88" s="12"/>
      <c r="B88" s="12"/>
      <c r="C88" s="12"/>
      <c r="D88" s="13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  <c r="BJ88" s="12"/>
      <c r="BK88" s="12"/>
      <c r="BL88" s="12"/>
      <c r="BM88" s="12"/>
      <c r="BN88" s="12"/>
      <c r="BO88" s="12"/>
      <c r="BP88" s="12"/>
      <c r="BQ88" s="12"/>
      <c r="BR88" s="12"/>
      <c r="BS88" s="12"/>
      <c r="BT88" s="12"/>
      <c r="BU88" s="12"/>
      <c r="BV88" s="12"/>
      <c r="BW88" s="12"/>
      <c r="BX88" s="12"/>
      <c r="BY88" s="12"/>
      <c r="BZ88" s="12"/>
      <c r="CA88" s="12"/>
      <c r="CB88" s="12"/>
      <c r="CC88" s="12"/>
      <c r="CD88" s="12"/>
      <c r="CE88" s="12"/>
      <c r="CF88" s="12"/>
      <c r="CG88" s="12"/>
      <c r="CH88" s="12"/>
      <c r="CI88" s="12"/>
      <c r="CJ88" s="12"/>
      <c r="CK88" s="12"/>
      <c r="CL88" s="12"/>
      <c r="CM88" s="12"/>
      <c r="CN88" s="12"/>
      <c r="CO88" s="12"/>
      <c r="CP88" s="12"/>
      <c r="CQ88" s="12"/>
      <c r="CR88" s="12"/>
      <c r="CS88" s="12"/>
      <c r="CT88" s="12"/>
      <c r="CU88" s="12"/>
      <c r="CV88" s="12"/>
      <c r="CW88" s="12"/>
      <c r="CX88" s="12"/>
      <c r="CY88" s="12"/>
      <c r="CZ88" s="12"/>
      <c r="DA88" s="12"/>
      <c r="DB88" s="12"/>
    </row>
    <row r="89" spans="1:106" ht="15.75" customHeight="1">
      <c r="A89" s="12"/>
      <c r="B89" s="12"/>
      <c r="C89" s="12"/>
      <c r="D89" s="13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  <c r="BJ89" s="12"/>
      <c r="BK89" s="12"/>
      <c r="BL89" s="12"/>
      <c r="BM89" s="12"/>
      <c r="BN89" s="12"/>
      <c r="BO89" s="12"/>
      <c r="BP89" s="12"/>
      <c r="BQ89" s="12"/>
      <c r="BR89" s="12"/>
      <c r="BS89" s="12"/>
      <c r="BT89" s="12"/>
      <c r="BU89" s="12"/>
      <c r="BV89" s="12"/>
      <c r="BW89" s="12"/>
      <c r="BX89" s="12"/>
      <c r="BY89" s="12"/>
      <c r="BZ89" s="12"/>
      <c r="CA89" s="12"/>
      <c r="CB89" s="12"/>
      <c r="CC89" s="12"/>
      <c r="CD89" s="12"/>
      <c r="CE89" s="12"/>
      <c r="CF89" s="12"/>
      <c r="CG89" s="12"/>
      <c r="CH89" s="12"/>
      <c r="CI89" s="12"/>
      <c r="CJ89" s="12"/>
      <c r="CK89" s="12"/>
      <c r="CL89" s="12"/>
      <c r="CM89" s="12"/>
      <c r="CN89" s="12"/>
      <c r="CO89" s="12"/>
      <c r="CP89" s="12"/>
      <c r="CQ89" s="12"/>
      <c r="CR89" s="12"/>
      <c r="CS89" s="12"/>
      <c r="CT89" s="12"/>
      <c r="CU89" s="12"/>
      <c r="CV89" s="12"/>
      <c r="CW89" s="12"/>
      <c r="CX89" s="12"/>
      <c r="CY89" s="12"/>
      <c r="CZ89" s="12"/>
      <c r="DA89" s="12"/>
      <c r="DB89" s="12"/>
    </row>
    <row r="90" spans="1:106" ht="15.75" customHeight="1">
      <c r="A90" s="12"/>
      <c r="B90" s="12"/>
      <c r="C90" s="12"/>
      <c r="D90" s="13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  <c r="BJ90" s="12"/>
      <c r="BK90" s="12"/>
      <c r="BL90" s="12"/>
      <c r="BM90" s="12"/>
      <c r="BN90" s="12"/>
      <c r="BO90" s="12"/>
      <c r="BP90" s="12"/>
      <c r="BQ90" s="12"/>
      <c r="BR90" s="12"/>
      <c r="BS90" s="12"/>
      <c r="BT90" s="12"/>
      <c r="BU90" s="12"/>
      <c r="BV90" s="12"/>
      <c r="BW90" s="12"/>
      <c r="BX90" s="12"/>
      <c r="BY90" s="12"/>
      <c r="BZ90" s="12"/>
      <c r="CA90" s="12"/>
      <c r="CB90" s="12"/>
      <c r="CC90" s="12"/>
      <c r="CD90" s="12"/>
      <c r="CE90" s="12"/>
      <c r="CF90" s="12"/>
      <c r="CG90" s="12"/>
      <c r="CH90" s="12"/>
      <c r="CI90" s="12"/>
      <c r="CJ90" s="12"/>
      <c r="CK90" s="12"/>
      <c r="CL90" s="12"/>
      <c r="CM90" s="12"/>
      <c r="CN90" s="12"/>
      <c r="CO90" s="12"/>
      <c r="CP90" s="12"/>
      <c r="CQ90" s="12"/>
      <c r="CR90" s="12"/>
      <c r="CS90" s="12"/>
      <c r="CT90" s="12"/>
      <c r="CU90" s="12"/>
      <c r="CV90" s="12"/>
      <c r="CW90" s="12"/>
      <c r="CX90" s="12"/>
      <c r="CY90" s="12"/>
      <c r="CZ90" s="12"/>
      <c r="DA90" s="12"/>
      <c r="DB90" s="12"/>
    </row>
    <row r="91" spans="1:106" ht="15.75" customHeight="1">
      <c r="A91" s="12"/>
      <c r="B91" s="12"/>
      <c r="C91" s="12"/>
      <c r="D91" s="13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  <c r="BJ91" s="12"/>
      <c r="BK91" s="12"/>
      <c r="BL91" s="12"/>
      <c r="BM91" s="12"/>
      <c r="BN91" s="12"/>
      <c r="BO91" s="12"/>
      <c r="BP91" s="12"/>
      <c r="BQ91" s="12"/>
      <c r="BR91" s="12"/>
      <c r="BS91" s="12"/>
      <c r="BT91" s="12"/>
      <c r="BU91" s="12"/>
      <c r="BV91" s="12"/>
      <c r="BW91" s="12"/>
      <c r="BX91" s="12"/>
      <c r="BY91" s="12"/>
      <c r="BZ91" s="12"/>
      <c r="CA91" s="12"/>
      <c r="CB91" s="12"/>
      <c r="CC91" s="12"/>
      <c r="CD91" s="12"/>
      <c r="CE91" s="12"/>
      <c r="CF91" s="12"/>
      <c r="CG91" s="12"/>
      <c r="CH91" s="12"/>
      <c r="CI91" s="12"/>
      <c r="CJ91" s="12"/>
      <c r="CK91" s="12"/>
      <c r="CL91" s="12"/>
      <c r="CM91" s="12"/>
      <c r="CN91" s="12"/>
      <c r="CO91" s="12"/>
      <c r="CP91" s="12"/>
      <c r="CQ91" s="12"/>
      <c r="CR91" s="12"/>
      <c r="CS91" s="12"/>
      <c r="CT91" s="12"/>
      <c r="CU91" s="12"/>
      <c r="CV91" s="12"/>
      <c r="CW91" s="12"/>
      <c r="CX91" s="12"/>
      <c r="CY91" s="12"/>
      <c r="CZ91" s="12"/>
      <c r="DA91" s="12"/>
      <c r="DB91" s="12"/>
    </row>
    <row r="92" spans="1:106" ht="15.75" customHeight="1">
      <c r="A92" s="12"/>
      <c r="B92" s="12"/>
      <c r="C92" s="12"/>
      <c r="D92" s="13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</row>
    <row r="93" spans="1:106" ht="15.75" customHeight="1">
      <c r="A93" s="12"/>
      <c r="B93" s="12"/>
      <c r="C93" s="12"/>
      <c r="D93" s="13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2"/>
      <c r="CU93" s="12"/>
      <c r="CV93" s="12"/>
      <c r="CW93" s="12"/>
      <c r="CX93" s="12"/>
      <c r="CY93" s="12"/>
      <c r="CZ93" s="12"/>
      <c r="DA93" s="12"/>
      <c r="DB93" s="12"/>
    </row>
    <row r="94" spans="1:106" ht="15.75" customHeight="1">
      <c r="A94" s="12"/>
      <c r="B94" s="12"/>
      <c r="C94" s="12"/>
      <c r="D94" s="13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</row>
    <row r="95" spans="1:106" ht="15.75" customHeight="1">
      <c r="A95" s="12"/>
      <c r="B95" s="12"/>
      <c r="C95" s="12"/>
      <c r="D95" s="13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</row>
    <row r="96" spans="1:106" ht="15.75" customHeight="1">
      <c r="A96" s="12"/>
      <c r="B96" s="12"/>
      <c r="C96" s="12"/>
      <c r="D96" s="13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</row>
    <row r="97" spans="1:106" ht="15.75" customHeight="1">
      <c r="A97" s="12"/>
      <c r="B97" s="12"/>
      <c r="C97" s="12"/>
      <c r="D97" s="13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</row>
    <row r="98" spans="1:106" ht="15.75" customHeight="1">
      <c r="A98" s="12"/>
      <c r="B98" s="12"/>
      <c r="C98" s="12"/>
      <c r="D98" s="13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</row>
    <row r="99" spans="1:106" ht="15.75" customHeight="1">
      <c r="A99" s="12"/>
      <c r="B99" s="12"/>
      <c r="C99" s="12"/>
      <c r="D99" s="13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</row>
    <row r="100" spans="1:106" ht="15.75" customHeight="1">
      <c r="A100" s="12"/>
      <c r="B100" s="12"/>
      <c r="C100" s="12"/>
      <c r="D100" s="13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</row>
    <row r="101" spans="1:106" ht="15.75" customHeight="1">
      <c r="A101" s="12"/>
      <c r="B101" s="12"/>
      <c r="C101" s="12"/>
      <c r="D101" s="13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</row>
    <row r="102" spans="1:106" ht="15.75" customHeight="1">
      <c r="A102" s="12"/>
      <c r="B102" s="12"/>
      <c r="C102" s="12"/>
      <c r="D102" s="13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</row>
    <row r="103" spans="1:106" ht="15.75" customHeight="1">
      <c r="A103" s="12"/>
      <c r="B103" s="12"/>
      <c r="C103" s="12"/>
      <c r="D103" s="13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</row>
    <row r="104" spans="1:106" ht="15.75" customHeight="1">
      <c r="A104" s="12"/>
      <c r="B104" s="12"/>
      <c r="C104" s="12"/>
      <c r="D104" s="13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</row>
    <row r="105" spans="1:106" ht="15.75" customHeight="1">
      <c r="A105" s="12"/>
      <c r="B105" s="12"/>
      <c r="C105" s="12"/>
      <c r="D105" s="13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</row>
    <row r="106" spans="1:106" ht="15.75" customHeight="1">
      <c r="A106" s="12"/>
      <c r="B106" s="12"/>
      <c r="C106" s="12"/>
      <c r="D106" s="13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</row>
    <row r="107" spans="1:106" ht="15.75" customHeight="1">
      <c r="A107" s="12"/>
      <c r="B107" s="12"/>
      <c r="C107" s="12"/>
      <c r="D107" s="13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</row>
    <row r="108" spans="1:106" ht="15.75" customHeight="1">
      <c r="A108" s="12"/>
      <c r="B108" s="12"/>
      <c r="C108" s="12"/>
      <c r="D108" s="13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</row>
    <row r="109" spans="1:106" ht="15.75" customHeight="1">
      <c r="A109" s="12"/>
      <c r="B109" s="12"/>
      <c r="C109" s="12"/>
      <c r="D109" s="13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</row>
    <row r="110" spans="1:106" ht="15.75" customHeight="1">
      <c r="A110" s="12"/>
      <c r="B110" s="12"/>
      <c r="C110" s="12"/>
      <c r="D110" s="13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</row>
    <row r="111" spans="1:106" ht="15.75" customHeight="1">
      <c r="A111" s="12"/>
      <c r="B111" s="12"/>
      <c r="C111" s="12"/>
      <c r="D111" s="13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</row>
    <row r="112" spans="1:106" ht="15.75" customHeight="1">
      <c r="A112" s="12"/>
      <c r="B112" s="12"/>
      <c r="C112" s="12"/>
      <c r="D112" s="13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</row>
    <row r="113" spans="1:106" ht="15.75" customHeight="1">
      <c r="A113" s="12"/>
      <c r="B113" s="12"/>
      <c r="C113" s="12"/>
      <c r="D113" s="13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</row>
    <row r="114" spans="1:106" ht="15.75" customHeight="1">
      <c r="A114" s="12"/>
      <c r="B114" s="12"/>
      <c r="C114" s="12"/>
      <c r="D114" s="13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</row>
    <row r="115" spans="1:106" ht="15.75" customHeight="1">
      <c r="A115" s="12"/>
      <c r="B115" s="12"/>
      <c r="C115" s="12"/>
      <c r="D115" s="13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</row>
    <row r="116" spans="1:106" ht="15.75" customHeight="1">
      <c r="A116" s="12"/>
      <c r="B116" s="12"/>
      <c r="C116" s="12"/>
      <c r="D116" s="13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2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</row>
    <row r="117" spans="1:106" ht="15.75" customHeight="1">
      <c r="A117" s="12"/>
      <c r="B117" s="12"/>
      <c r="C117" s="12"/>
      <c r="D117" s="13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</row>
    <row r="118" spans="1:106" ht="15.75" customHeight="1">
      <c r="A118" s="12"/>
      <c r="B118" s="12"/>
      <c r="C118" s="12"/>
      <c r="D118" s="13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</row>
    <row r="119" spans="1:106" ht="15.75" customHeight="1">
      <c r="A119" s="12"/>
      <c r="B119" s="12"/>
      <c r="C119" s="12"/>
      <c r="D119" s="13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  <c r="BJ119" s="12"/>
      <c r="BK119" s="12"/>
      <c r="BL119" s="12"/>
      <c r="BM119" s="12"/>
      <c r="BN119" s="12"/>
      <c r="BO119" s="12"/>
      <c r="BP119" s="12"/>
      <c r="BQ119" s="12"/>
      <c r="BR119" s="12"/>
      <c r="BS119" s="12"/>
      <c r="BT119" s="12"/>
      <c r="BU119" s="12"/>
      <c r="BV119" s="12"/>
      <c r="BW119" s="12"/>
      <c r="BX119" s="12"/>
      <c r="BY119" s="12"/>
      <c r="BZ119" s="12"/>
      <c r="CA119" s="12"/>
      <c r="CB119" s="12"/>
      <c r="CC119" s="12"/>
      <c r="CD119" s="12"/>
      <c r="CE119" s="12"/>
      <c r="CF119" s="12"/>
      <c r="CG119" s="12"/>
      <c r="CH119" s="12"/>
      <c r="CI119" s="12"/>
      <c r="CJ119" s="12"/>
      <c r="CK119" s="12"/>
      <c r="CL119" s="12"/>
      <c r="CM119" s="12"/>
      <c r="CN119" s="12"/>
      <c r="CO119" s="12"/>
      <c r="CP119" s="12"/>
      <c r="CQ119" s="12"/>
      <c r="CR119" s="12"/>
      <c r="CS119" s="12"/>
      <c r="CT119" s="12"/>
      <c r="CU119" s="12"/>
      <c r="CV119" s="12"/>
      <c r="CW119" s="12"/>
      <c r="CX119" s="12"/>
      <c r="CY119" s="12"/>
      <c r="CZ119" s="12"/>
      <c r="DA119" s="12"/>
      <c r="DB119" s="12"/>
    </row>
    <row r="120" spans="1:106" ht="15.75" customHeight="1">
      <c r="A120" s="12"/>
      <c r="B120" s="12"/>
      <c r="C120" s="12"/>
      <c r="D120" s="13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</row>
    <row r="121" spans="1:106" ht="15.75" customHeight="1">
      <c r="A121" s="12"/>
      <c r="B121" s="12"/>
      <c r="C121" s="12"/>
      <c r="D121" s="13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</row>
    <row r="122" spans="1:106" ht="15.75" customHeight="1">
      <c r="A122" s="12"/>
      <c r="B122" s="12"/>
      <c r="C122" s="12"/>
      <c r="D122" s="13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</row>
    <row r="123" spans="1:106" ht="15.75" customHeight="1">
      <c r="A123" s="12"/>
      <c r="B123" s="12"/>
      <c r="C123" s="12"/>
      <c r="D123" s="13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</row>
    <row r="124" spans="1:106" ht="15.75" customHeight="1">
      <c r="A124" s="12"/>
      <c r="B124" s="12"/>
      <c r="C124" s="12"/>
      <c r="D124" s="13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</row>
    <row r="125" spans="1:106" ht="15.75" customHeight="1">
      <c r="A125" s="12"/>
      <c r="B125" s="12"/>
      <c r="C125" s="12"/>
      <c r="D125" s="13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</row>
    <row r="126" spans="1:106" ht="15.75" customHeight="1">
      <c r="A126" s="12"/>
      <c r="B126" s="12"/>
      <c r="C126" s="12"/>
      <c r="D126" s="13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</row>
    <row r="127" spans="1:106" ht="15.75" customHeight="1">
      <c r="A127" s="12"/>
      <c r="B127" s="12"/>
      <c r="C127" s="12"/>
      <c r="D127" s="13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</row>
    <row r="128" spans="1:106" ht="15.75" customHeight="1">
      <c r="A128" s="12"/>
      <c r="B128" s="12"/>
      <c r="C128" s="12"/>
      <c r="D128" s="13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</row>
    <row r="129" spans="1:106" ht="15.75" customHeight="1">
      <c r="A129" s="12"/>
      <c r="B129" s="12"/>
      <c r="C129" s="12"/>
      <c r="D129" s="13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</row>
    <row r="130" spans="1:106" ht="15.75" customHeight="1">
      <c r="A130" s="12"/>
      <c r="B130" s="12"/>
      <c r="C130" s="12"/>
      <c r="D130" s="13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</row>
    <row r="131" spans="1:106" ht="15.75" customHeight="1">
      <c r="A131" s="12"/>
      <c r="B131" s="12"/>
      <c r="C131" s="12"/>
      <c r="D131" s="13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</row>
    <row r="132" spans="1:106" ht="15.75" customHeight="1">
      <c r="A132" s="12"/>
      <c r="B132" s="12"/>
      <c r="C132" s="12"/>
      <c r="D132" s="13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</row>
    <row r="133" spans="1:106" ht="15.75" customHeight="1">
      <c r="A133" s="12"/>
      <c r="B133" s="12"/>
      <c r="C133" s="12"/>
      <c r="D133" s="13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</row>
    <row r="134" spans="1:106" ht="15.75" customHeight="1">
      <c r="A134" s="12"/>
      <c r="B134" s="12"/>
      <c r="C134" s="12"/>
      <c r="D134" s="13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</row>
    <row r="135" spans="1:106" ht="15.75" customHeight="1">
      <c r="A135" s="12"/>
      <c r="B135" s="12"/>
      <c r="C135" s="12"/>
      <c r="D135" s="13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</row>
    <row r="136" spans="1:106" ht="15.75" customHeight="1">
      <c r="A136" s="12"/>
      <c r="B136" s="12"/>
      <c r="C136" s="12"/>
      <c r="D136" s="13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</row>
    <row r="137" spans="1:106" ht="15.75" customHeight="1">
      <c r="A137" s="12"/>
      <c r="B137" s="12"/>
      <c r="C137" s="12"/>
      <c r="D137" s="13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</row>
    <row r="138" spans="1:106" ht="15.75" customHeight="1">
      <c r="A138" s="12"/>
      <c r="B138" s="12"/>
      <c r="C138" s="12"/>
      <c r="D138" s="13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</row>
    <row r="139" spans="1:106" ht="15.75" customHeight="1">
      <c r="A139" s="12"/>
      <c r="B139" s="12"/>
      <c r="C139" s="12"/>
      <c r="D139" s="13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</row>
    <row r="140" spans="1:106" ht="15.75" customHeight="1">
      <c r="A140" s="12"/>
      <c r="B140" s="12"/>
      <c r="C140" s="12"/>
      <c r="D140" s="13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</row>
    <row r="141" spans="1:106" ht="15.75" customHeight="1">
      <c r="A141" s="12"/>
      <c r="B141" s="12"/>
      <c r="C141" s="12"/>
      <c r="D141" s="13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</row>
    <row r="142" spans="1:106" ht="15.75" customHeight="1">
      <c r="A142" s="12"/>
      <c r="B142" s="12"/>
      <c r="C142" s="12"/>
      <c r="D142" s="13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</row>
    <row r="143" spans="1:106" ht="15.75" customHeight="1">
      <c r="A143" s="12"/>
      <c r="B143" s="12"/>
      <c r="C143" s="12"/>
      <c r="D143" s="13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</row>
    <row r="144" spans="1:106" ht="15.75" customHeight="1">
      <c r="A144" s="12"/>
      <c r="B144" s="12"/>
      <c r="C144" s="12"/>
      <c r="D144" s="13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</row>
    <row r="145" spans="1:106" ht="15.75" customHeight="1">
      <c r="A145" s="12"/>
      <c r="B145" s="12"/>
      <c r="C145" s="12"/>
      <c r="D145" s="13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</row>
    <row r="146" spans="1:106" ht="15.75" customHeight="1">
      <c r="A146" s="12"/>
      <c r="B146" s="12"/>
      <c r="C146" s="12"/>
      <c r="D146" s="13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</row>
    <row r="147" spans="1:106" ht="15.75" customHeight="1">
      <c r="A147" s="12"/>
      <c r="B147" s="12"/>
      <c r="C147" s="12"/>
      <c r="D147" s="13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</row>
    <row r="148" spans="1:106" ht="15.75" customHeight="1">
      <c r="A148" s="12"/>
      <c r="B148" s="12"/>
      <c r="C148" s="12"/>
      <c r="D148" s="13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</row>
    <row r="149" spans="1:106" ht="15.75" customHeight="1">
      <c r="A149" s="12"/>
      <c r="B149" s="12"/>
      <c r="C149" s="12"/>
      <c r="D149" s="13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</row>
    <row r="150" spans="1:106" ht="15.75" customHeight="1">
      <c r="A150" s="12"/>
      <c r="B150" s="12"/>
      <c r="C150" s="12"/>
      <c r="D150" s="13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</row>
    <row r="151" spans="1:106" ht="15.75" customHeight="1">
      <c r="A151" s="12"/>
      <c r="B151" s="12"/>
      <c r="C151" s="12"/>
      <c r="D151" s="13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</row>
    <row r="152" spans="1:106" ht="15.75" customHeight="1">
      <c r="A152" s="12"/>
      <c r="B152" s="12"/>
      <c r="C152" s="12"/>
      <c r="D152" s="13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</row>
    <row r="153" spans="1:106" ht="15.75" customHeight="1">
      <c r="A153" s="12"/>
      <c r="B153" s="12"/>
      <c r="C153" s="12"/>
      <c r="D153" s="13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</row>
    <row r="154" spans="1:106" ht="15.75" customHeight="1">
      <c r="A154" s="12"/>
      <c r="B154" s="12"/>
      <c r="C154" s="12"/>
      <c r="D154" s="13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</row>
    <row r="155" spans="1:106" ht="15.75" customHeight="1">
      <c r="A155" s="12"/>
      <c r="B155" s="12"/>
      <c r="C155" s="12"/>
      <c r="D155" s="13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</row>
    <row r="156" spans="1:106" ht="15.75" customHeight="1">
      <c r="A156" s="12"/>
      <c r="B156" s="12"/>
      <c r="C156" s="12"/>
      <c r="D156" s="13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</row>
    <row r="157" spans="1:106" ht="15.75" customHeight="1">
      <c r="A157" s="12"/>
      <c r="B157" s="12"/>
      <c r="C157" s="12"/>
      <c r="D157" s="13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</row>
    <row r="158" spans="1:106" ht="15.75" customHeight="1">
      <c r="A158" s="12"/>
      <c r="B158" s="12"/>
      <c r="C158" s="12"/>
      <c r="D158" s="13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</row>
    <row r="159" spans="1:106" ht="15.75" customHeight="1">
      <c r="A159" s="12"/>
      <c r="B159" s="12"/>
      <c r="C159" s="12"/>
      <c r="D159" s="13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</row>
    <row r="160" spans="1:106" ht="15.75" customHeight="1">
      <c r="A160" s="12"/>
      <c r="B160" s="12"/>
      <c r="C160" s="12"/>
      <c r="D160" s="13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</row>
    <row r="161" spans="1:106" ht="15.75" customHeight="1">
      <c r="A161" s="12"/>
      <c r="B161" s="12"/>
      <c r="C161" s="12"/>
      <c r="D161" s="13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</row>
    <row r="162" spans="1:106" ht="15.75" customHeight="1">
      <c r="A162" s="12"/>
      <c r="B162" s="12"/>
      <c r="C162" s="12"/>
      <c r="D162" s="13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</row>
    <row r="163" spans="1:106" ht="15.75" customHeight="1">
      <c r="A163" s="12"/>
      <c r="B163" s="12"/>
      <c r="C163" s="12"/>
      <c r="D163" s="13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</row>
    <row r="164" spans="1:106" ht="15.75" customHeight="1">
      <c r="A164" s="12"/>
      <c r="B164" s="12"/>
      <c r="C164" s="12"/>
      <c r="D164" s="13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</row>
    <row r="165" spans="1:106" ht="15.75" customHeight="1">
      <c r="A165" s="12"/>
      <c r="B165" s="12"/>
      <c r="C165" s="12"/>
      <c r="D165" s="13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</row>
    <row r="166" spans="1:106" ht="15.75" customHeight="1">
      <c r="A166" s="12"/>
      <c r="B166" s="12"/>
      <c r="C166" s="12"/>
      <c r="D166" s="13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</row>
    <row r="167" spans="1:106" ht="15.75" customHeight="1">
      <c r="A167" s="12"/>
      <c r="B167" s="12"/>
      <c r="C167" s="12"/>
      <c r="D167" s="13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</row>
    <row r="168" spans="1:106" ht="15.75" customHeight="1">
      <c r="A168" s="12"/>
      <c r="B168" s="12"/>
      <c r="C168" s="12"/>
      <c r="D168" s="13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</row>
    <row r="169" spans="1:106" ht="15.75" customHeight="1">
      <c r="A169" s="12"/>
      <c r="B169" s="12"/>
      <c r="C169" s="12"/>
      <c r="D169" s="13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</row>
    <row r="170" spans="1:106" ht="15.75" customHeight="1">
      <c r="A170" s="12"/>
      <c r="B170" s="12"/>
      <c r="C170" s="12"/>
      <c r="D170" s="13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</row>
    <row r="171" spans="1:106" ht="15.75" customHeight="1">
      <c r="A171" s="12"/>
      <c r="B171" s="12"/>
      <c r="C171" s="12"/>
      <c r="D171" s="13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</row>
    <row r="172" spans="1:106" ht="15.75" customHeight="1">
      <c r="A172" s="12"/>
      <c r="B172" s="12"/>
      <c r="C172" s="12"/>
      <c r="D172" s="13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</row>
    <row r="173" spans="1:106" ht="15.75" customHeight="1">
      <c r="A173" s="12"/>
      <c r="B173" s="12"/>
      <c r="C173" s="12"/>
      <c r="D173" s="13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</row>
    <row r="174" spans="1:106" ht="15.75" customHeight="1">
      <c r="A174" s="12"/>
      <c r="B174" s="12"/>
      <c r="C174" s="12"/>
      <c r="D174" s="13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</row>
    <row r="175" spans="1:106" ht="15.75" customHeight="1">
      <c r="A175" s="12"/>
      <c r="B175" s="12"/>
      <c r="C175" s="12"/>
      <c r="D175" s="13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</row>
    <row r="176" spans="1:106" ht="15.75" customHeight="1">
      <c r="A176" s="12"/>
      <c r="B176" s="12"/>
      <c r="C176" s="12"/>
      <c r="D176" s="13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</row>
    <row r="177" spans="1:106" ht="15.75" customHeight="1">
      <c r="A177" s="12"/>
      <c r="B177" s="12"/>
      <c r="C177" s="12"/>
      <c r="D177" s="13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</row>
    <row r="178" spans="1:106" ht="15.75" customHeight="1">
      <c r="A178" s="12"/>
      <c r="B178" s="12"/>
      <c r="C178" s="12"/>
      <c r="D178" s="13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</row>
    <row r="179" spans="1:106" ht="15.75" customHeight="1">
      <c r="A179" s="12"/>
      <c r="B179" s="12"/>
      <c r="C179" s="12"/>
      <c r="D179" s="13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</row>
    <row r="180" spans="1:106" ht="15.75" customHeight="1">
      <c r="A180" s="12"/>
      <c r="B180" s="12"/>
      <c r="C180" s="12"/>
      <c r="D180" s="13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</row>
    <row r="181" spans="1:106" ht="15.75" customHeight="1">
      <c r="A181" s="12"/>
      <c r="B181" s="12"/>
      <c r="C181" s="12"/>
      <c r="D181" s="13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</row>
    <row r="182" spans="1:106" ht="15.75" customHeight="1">
      <c r="A182" s="12"/>
      <c r="B182" s="12"/>
      <c r="C182" s="12"/>
      <c r="D182" s="13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</row>
    <row r="183" spans="1:106" ht="15.75" customHeight="1">
      <c r="A183" s="12"/>
      <c r="B183" s="12"/>
      <c r="C183" s="12"/>
      <c r="D183" s="13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</row>
    <row r="184" spans="1:106" ht="15.75" customHeight="1">
      <c r="A184" s="12"/>
      <c r="B184" s="12"/>
      <c r="C184" s="12"/>
      <c r="D184" s="13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</row>
    <row r="185" spans="1:106" ht="15.75" customHeight="1">
      <c r="A185" s="12"/>
      <c r="B185" s="12"/>
      <c r="C185" s="12"/>
      <c r="D185" s="13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</row>
    <row r="186" spans="1:106" ht="15.75" customHeight="1">
      <c r="A186" s="12"/>
      <c r="B186" s="12"/>
      <c r="C186" s="12"/>
      <c r="D186" s="13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</row>
    <row r="187" spans="1:106" ht="15.75" customHeight="1">
      <c r="A187" s="12"/>
      <c r="B187" s="12"/>
      <c r="C187" s="12"/>
      <c r="D187" s="13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</row>
    <row r="188" spans="1:106" ht="15.75" customHeight="1">
      <c r="A188" s="12"/>
      <c r="B188" s="12"/>
      <c r="C188" s="12"/>
      <c r="D188" s="13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</row>
    <row r="189" spans="1:106" ht="15.75" customHeight="1">
      <c r="A189" s="12"/>
      <c r="B189" s="12"/>
      <c r="C189" s="12"/>
      <c r="D189" s="13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</row>
    <row r="190" spans="1:106" ht="15.75" customHeight="1">
      <c r="A190" s="12"/>
      <c r="B190" s="12"/>
      <c r="C190" s="12"/>
      <c r="D190" s="13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</row>
    <row r="191" spans="1:106" ht="15.75" customHeight="1">
      <c r="A191" s="12"/>
      <c r="B191" s="12"/>
      <c r="C191" s="12"/>
      <c r="D191" s="13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</row>
    <row r="192" spans="1:106" ht="15.75" customHeight="1">
      <c r="A192" s="12"/>
      <c r="B192" s="12"/>
      <c r="C192" s="12"/>
      <c r="D192" s="13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</row>
    <row r="193" spans="1:106" ht="15.75" customHeight="1">
      <c r="A193" s="12"/>
      <c r="B193" s="12"/>
      <c r="C193" s="12"/>
      <c r="D193" s="13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</row>
    <row r="194" spans="1:106" ht="15.75" customHeight="1">
      <c r="A194" s="12"/>
      <c r="B194" s="12"/>
      <c r="C194" s="12"/>
      <c r="D194" s="13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</row>
    <row r="195" spans="1:106" ht="15.75" customHeight="1">
      <c r="A195" s="12"/>
      <c r="B195" s="12"/>
      <c r="C195" s="12"/>
      <c r="D195" s="13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</row>
    <row r="196" spans="1:106" ht="15.75" customHeight="1">
      <c r="A196" s="12"/>
      <c r="B196" s="12"/>
      <c r="C196" s="12"/>
      <c r="D196" s="13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</row>
    <row r="197" spans="1:106" ht="15.75" customHeight="1">
      <c r="A197" s="12"/>
      <c r="B197" s="12"/>
      <c r="C197" s="12"/>
      <c r="D197" s="13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</row>
    <row r="198" spans="1:106" ht="15.75" customHeight="1">
      <c r="A198" s="12"/>
      <c r="B198" s="12"/>
      <c r="C198" s="12"/>
      <c r="D198" s="13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</row>
    <row r="199" spans="1:106" ht="15.75" customHeight="1">
      <c r="A199" s="12"/>
      <c r="B199" s="12"/>
      <c r="C199" s="12"/>
      <c r="D199" s="13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</row>
    <row r="200" spans="1:106" ht="15.75" customHeight="1">
      <c r="A200" s="12"/>
      <c r="B200" s="12"/>
      <c r="C200" s="12"/>
      <c r="D200" s="13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</row>
    <row r="201" spans="1:106" ht="15.75" customHeight="1">
      <c r="A201" s="12"/>
      <c r="B201" s="12"/>
      <c r="C201" s="12"/>
      <c r="D201" s="13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</row>
    <row r="202" spans="1:106" ht="15.75" customHeight="1">
      <c r="A202" s="12"/>
      <c r="B202" s="12"/>
      <c r="C202" s="12"/>
      <c r="D202" s="13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</row>
    <row r="203" spans="1:106" ht="15.75" customHeight="1">
      <c r="A203" s="12"/>
      <c r="B203" s="12"/>
      <c r="C203" s="12"/>
      <c r="D203" s="13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</row>
    <row r="204" spans="1:106" ht="15.75" customHeight="1">
      <c r="A204" s="12"/>
      <c r="B204" s="12"/>
      <c r="C204" s="12"/>
      <c r="D204" s="13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</row>
    <row r="205" spans="1:106" ht="15.75" customHeight="1">
      <c r="A205" s="12"/>
      <c r="B205" s="12"/>
      <c r="C205" s="12"/>
      <c r="D205" s="13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</row>
    <row r="206" spans="1:106" ht="15.75" customHeight="1">
      <c r="A206" s="12"/>
      <c r="B206" s="12"/>
      <c r="C206" s="12"/>
      <c r="D206" s="13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</row>
    <row r="207" spans="1:106" ht="15.75" customHeight="1">
      <c r="A207" s="12"/>
      <c r="B207" s="12"/>
      <c r="C207" s="12"/>
      <c r="D207" s="13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</row>
    <row r="208" spans="1:106" ht="15.75" customHeight="1">
      <c r="A208" s="12"/>
      <c r="B208" s="12"/>
      <c r="C208" s="12"/>
      <c r="D208" s="13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</row>
    <row r="209" spans="1:106" ht="15.75" customHeight="1">
      <c r="A209" s="12"/>
      <c r="B209" s="12"/>
      <c r="C209" s="12"/>
      <c r="D209" s="13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</row>
    <row r="210" spans="1:106" ht="15.75" customHeight="1">
      <c r="A210" s="12"/>
      <c r="B210" s="12"/>
      <c r="C210" s="12"/>
      <c r="D210" s="13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</row>
    <row r="211" spans="1:106" ht="15.75" customHeight="1">
      <c r="A211" s="12"/>
      <c r="B211" s="12"/>
      <c r="C211" s="12"/>
      <c r="D211" s="13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</row>
    <row r="212" spans="1:106" ht="15.75" customHeight="1">
      <c r="A212" s="12"/>
      <c r="B212" s="12"/>
      <c r="C212" s="12"/>
      <c r="D212" s="13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</row>
    <row r="213" spans="1:106" ht="15.75" customHeight="1">
      <c r="A213" s="12"/>
      <c r="B213" s="12"/>
      <c r="C213" s="12"/>
      <c r="D213" s="13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</row>
    <row r="214" spans="1:106" ht="15.75" customHeight="1">
      <c r="A214" s="12"/>
      <c r="B214" s="12"/>
      <c r="C214" s="12"/>
      <c r="D214" s="13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</row>
    <row r="215" spans="1:106" ht="15.75" customHeight="1">
      <c r="A215" s="12"/>
      <c r="B215" s="12"/>
      <c r="C215" s="12"/>
      <c r="D215" s="13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</row>
    <row r="216" spans="1:106" ht="15.75" customHeight="1">
      <c r="A216" s="12"/>
      <c r="B216" s="12"/>
      <c r="C216" s="12"/>
      <c r="D216" s="13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</row>
    <row r="217" spans="1:106" ht="15.75" customHeight="1">
      <c r="A217" s="12"/>
      <c r="B217" s="12"/>
      <c r="C217" s="12"/>
      <c r="D217" s="13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</row>
    <row r="218" spans="1:106" ht="15.75" customHeight="1">
      <c r="A218" s="12"/>
      <c r="B218" s="12"/>
      <c r="C218" s="12"/>
      <c r="D218" s="13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</row>
    <row r="219" spans="1:106" ht="15.75" customHeight="1">
      <c r="A219" s="12"/>
      <c r="B219" s="12"/>
      <c r="C219" s="12"/>
      <c r="D219" s="13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</row>
    <row r="220" spans="1:106" ht="15.75" customHeight="1">
      <c r="A220" s="12"/>
      <c r="B220" s="12"/>
      <c r="C220" s="12"/>
      <c r="D220" s="13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</row>
    <row r="221" spans="1:106" ht="15.75" customHeight="1">
      <c r="A221" s="12"/>
      <c r="B221" s="12"/>
      <c r="C221" s="12"/>
      <c r="D221" s="13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</row>
    <row r="222" spans="1:106" ht="15.75" customHeight="1">
      <c r="A222" s="12"/>
      <c r="B222" s="12"/>
      <c r="C222" s="12"/>
      <c r="D222" s="13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</row>
    <row r="223" spans="1:106" ht="15.75" customHeight="1">
      <c r="A223" s="12"/>
      <c r="B223" s="12"/>
      <c r="C223" s="12"/>
      <c r="D223" s="13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  <c r="BJ223" s="12"/>
      <c r="BK223" s="12"/>
      <c r="BL223" s="12"/>
      <c r="BM223" s="12"/>
      <c r="BN223" s="12"/>
      <c r="BO223" s="12"/>
      <c r="BP223" s="12"/>
      <c r="BQ223" s="12"/>
      <c r="BR223" s="12"/>
      <c r="BS223" s="12"/>
      <c r="BT223" s="12"/>
      <c r="BU223" s="12"/>
      <c r="BV223" s="12"/>
      <c r="BW223" s="12"/>
      <c r="BX223" s="12"/>
      <c r="BY223" s="12"/>
      <c r="BZ223" s="12"/>
      <c r="CA223" s="12"/>
      <c r="CB223" s="12"/>
      <c r="CC223" s="12"/>
      <c r="CD223" s="12"/>
      <c r="CE223" s="12"/>
      <c r="CF223" s="12"/>
      <c r="CG223" s="12"/>
      <c r="CH223" s="12"/>
      <c r="CI223" s="12"/>
      <c r="CJ223" s="12"/>
      <c r="CK223" s="12"/>
      <c r="CL223" s="12"/>
      <c r="CM223" s="12"/>
      <c r="CN223" s="12"/>
      <c r="CO223" s="12"/>
      <c r="CP223" s="12"/>
      <c r="CQ223" s="12"/>
      <c r="CR223" s="12"/>
      <c r="CS223" s="12"/>
      <c r="CT223" s="12"/>
      <c r="CU223" s="12"/>
      <c r="CV223" s="12"/>
      <c r="CW223" s="12"/>
      <c r="CX223" s="12"/>
      <c r="CY223" s="12"/>
      <c r="CZ223" s="12"/>
      <c r="DA223" s="12"/>
      <c r="DB223" s="12"/>
    </row>
    <row r="224" spans="1:106" ht="15.75" customHeight="1">
      <c r="A224" s="12"/>
      <c r="B224" s="12"/>
      <c r="C224" s="12"/>
      <c r="D224" s="13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  <c r="BJ224" s="12"/>
      <c r="BK224" s="12"/>
      <c r="BL224" s="12"/>
      <c r="BM224" s="12"/>
      <c r="BN224" s="12"/>
      <c r="BO224" s="12"/>
      <c r="BP224" s="12"/>
      <c r="BQ224" s="12"/>
      <c r="BR224" s="12"/>
      <c r="BS224" s="12"/>
      <c r="BT224" s="12"/>
      <c r="BU224" s="12"/>
      <c r="BV224" s="12"/>
      <c r="BW224" s="12"/>
      <c r="BX224" s="12"/>
      <c r="BY224" s="12"/>
      <c r="BZ224" s="12"/>
      <c r="CA224" s="12"/>
      <c r="CB224" s="12"/>
      <c r="CC224" s="12"/>
      <c r="CD224" s="12"/>
      <c r="CE224" s="12"/>
      <c r="CF224" s="12"/>
      <c r="CG224" s="12"/>
      <c r="CH224" s="12"/>
      <c r="CI224" s="12"/>
      <c r="CJ224" s="12"/>
      <c r="CK224" s="12"/>
      <c r="CL224" s="12"/>
      <c r="CM224" s="12"/>
      <c r="CN224" s="12"/>
      <c r="CO224" s="12"/>
      <c r="CP224" s="12"/>
      <c r="CQ224" s="12"/>
      <c r="CR224" s="12"/>
      <c r="CS224" s="12"/>
      <c r="CT224" s="12"/>
      <c r="CU224" s="12"/>
      <c r="CV224" s="12"/>
      <c r="CW224" s="12"/>
      <c r="CX224" s="12"/>
      <c r="CY224" s="12"/>
      <c r="CZ224" s="12"/>
      <c r="DA224" s="12"/>
      <c r="DB224" s="12"/>
    </row>
    <row r="225" spans="1:106" ht="15.75" customHeight="1">
      <c r="A225" s="12"/>
      <c r="B225" s="12"/>
      <c r="C225" s="12"/>
      <c r="D225" s="13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  <c r="BJ225" s="12"/>
      <c r="BK225" s="12"/>
      <c r="BL225" s="12"/>
      <c r="BM225" s="12"/>
      <c r="BN225" s="12"/>
      <c r="BO225" s="12"/>
      <c r="BP225" s="12"/>
      <c r="BQ225" s="12"/>
      <c r="BR225" s="12"/>
      <c r="BS225" s="12"/>
      <c r="BT225" s="12"/>
      <c r="BU225" s="12"/>
      <c r="BV225" s="12"/>
      <c r="BW225" s="12"/>
      <c r="BX225" s="12"/>
      <c r="BY225" s="12"/>
      <c r="BZ225" s="12"/>
      <c r="CA225" s="12"/>
      <c r="CB225" s="12"/>
      <c r="CC225" s="12"/>
      <c r="CD225" s="12"/>
      <c r="CE225" s="12"/>
      <c r="CF225" s="12"/>
      <c r="CG225" s="12"/>
      <c r="CH225" s="12"/>
      <c r="CI225" s="12"/>
      <c r="CJ225" s="12"/>
      <c r="CK225" s="12"/>
      <c r="CL225" s="12"/>
      <c r="CM225" s="12"/>
      <c r="CN225" s="12"/>
      <c r="CO225" s="12"/>
      <c r="CP225" s="12"/>
      <c r="CQ225" s="12"/>
      <c r="CR225" s="12"/>
      <c r="CS225" s="12"/>
      <c r="CT225" s="12"/>
      <c r="CU225" s="12"/>
      <c r="CV225" s="12"/>
      <c r="CW225" s="12"/>
      <c r="CX225" s="12"/>
      <c r="CY225" s="12"/>
      <c r="CZ225" s="12"/>
      <c r="DA225" s="12"/>
      <c r="DB225" s="12"/>
    </row>
    <row r="226" spans="1:106" ht="15.75" customHeight="1">
      <c r="A226" s="12"/>
      <c r="B226" s="12"/>
      <c r="C226" s="12"/>
      <c r="D226" s="13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  <c r="BJ226" s="12"/>
      <c r="BK226" s="12"/>
      <c r="BL226" s="12"/>
      <c r="BM226" s="12"/>
      <c r="BN226" s="12"/>
      <c r="BO226" s="12"/>
      <c r="BP226" s="12"/>
      <c r="BQ226" s="12"/>
      <c r="BR226" s="12"/>
      <c r="BS226" s="12"/>
      <c r="BT226" s="12"/>
      <c r="BU226" s="12"/>
      <c r="BV226" s="12"/>
      <c r="BW226" s="12"/>
      <c r="BX226" s="12"/>
      <c r="BY226" s="12"/>
      <c r="BZ226" s="12"/>
      <c r="CA226" s="12"/>
      <c r="CB226" s="12"/>
      <c r="CC226" s="12"/>
      <c r="CD226" s="12"/>
      <c r="CE226" s="12"/>
      <c r="CF226" s="12"/>
      <c r="CG226" s="12"/>
      <c r="CH226" s="12"/>
      <c r="CI226" s="12"/>
      <c r="CJ226" s="12"/>
      <c r="CK226" s="12"/>
      <c r="CL226" s="12"/>
      <c r="CM226" s="12"/>
      <c r="CN226" s="12"/>
      <c r="CO226" s="12"/>
      <c r="CP226" s="12"/>
      <c r="CQ226" s="12"/>
      <c r="CR226" s="12"/>
      <c r="CS226" s="12"/>
      <c r="CT226" s="12"/>
      <c r="CU226" s="12"/>
      <c r="CV226" s="12"/>
      <c r="CW226" s="12"/>
      <c r="CX226" s="12"/>
      <c r="CY226" s="12"/>
      <c r="CZ226" s="12"/>
      <c r="DA226" s="12"/>
      <c r="DB226" s="12"/>
    </row>
    <row r="227" spans="1:106" ht="15.75" customHeight="1">
      <c r="A227" s="12"/>
      <c r="B227" s="12"/>
      <c r="C227" s="12"/>
      <c r="D227" s="13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  <c r="BK227" s="12"/>
      <c r="BL227" s="12"/>
      <c r="BM227" s="12"/>
      <c r="BN227" s="12"/>
      <c r="BO227" s="12"/>
      <c r="BP227" s="12"/>
      <c r="BQ227" s="12"/>
      <c r="BR227" s="12"/>
      <c r="BS227" s="12"/>
      <c r="BT227" s="12"/>
      <c r="BU227" s="12"/>
      <c r="BV227" s="12"/>
      <c r="BW227" s="12"/>
      <c r="BX227" s="12"/>
      <c r="BY227" s="12"/>
      <c r="BZ227" s="12"/>
      <c r="CA227" s="12"/>
      <c r="CB227" s="12"/>
      <c r="CC227" s="12"/>
      <c r="CD227" s="12"/>
      <c r="CE227" s="12"/>
      <c r="CF227" s="12"/>
      <c r="CG227" s="12"/>
      <c r="CH227" s="12"/>
      <c r="CI227" s="12"/>
      <c r="CJ227" s="12"/>
      <c r="CK227" s="12"/>
      <c r="CL227" s="12"/>
      <c r="CM227" s="12"/>
      <c r="CN227" s="12"/>
      <c r="CO227" s="12"/>
      <c r="CP227" s="12"/>
      <c r="CQ227" s="12"/>
      <c r="CR227" s="12"/>
      <c r="CS227" s="12"/>
      <c r="CT227" s="12"/>
      <c r="CU227" s="12"/>
      <c r="CV227" s="12"/>
      <c r="CW227" s="12"/>
      <c r="CX227" s="12"/>
      <c r="CY227" s="12"/>
      <c r="CZ227" s="12"/>
      <c r="DA227" s="12"/>
      <c r="DB227" s="12"/>
    </row>
    <row r="228" spans="1:106" ht="15.75" customHeight="1">
      <c r="A228" s="12"/>
      <c r="B228" s="12"/>
      <c r="C228" s="12"/>
      <c r="D228" s="13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  <c r="BJ228" s="12"/>
      <c r="BK228" s="12"/>
      <c r="BL228" s="12"/>
      <c r="BM228" s="12"/>
      <c r="BN228" s="12"/>
      <c r="BO228" s="12"/>
      <c r="BP228" s="12"/>
      <c r="BQ228" s="12"/>
      <c r="BR228" s="12"/>
      <c r="BS228" s="12"/>
      <c r="BT228" s="12"/>
      <c r="BU228" s="12"/>
      <c r="BV228" s="12"/>
      <c r="BW228" s="12"/>
      <c r="BX228" s="12"/>
      <c r="BY228" s="12"/>
      <c r="BZ228" s="12"/>
      <c r="CA228" s="12"/>
      <c r="CB228" s="12"/>
      <c r="CC228" s="12"/>
      <c r="CD228" s="12"/>
      <c r="CE228" s="12"/>
      <c r="CF228" s="12"/>
      <c r="CG228" s="12"/>
      <c r="CH228" s="12"/>
      <c r="CI228" s="12"/>
      <c r="CJ228" s="12"/>
      <c r="CK228" s="12"/>
      <c r="CL228" s="12"/>
      <c r="CM228" s="12"/>
      <c r="CN228" s="12"/>
      <c r="CO228" s="12"/>
      <c r="CP228" s="12"/>
      <c r="CQ228" s="12"/>
      <c r="CR228" s="12"/>
      <c r="CS228" s="12"/>
      <c r="CT228" s="12"/>
      <c r="CU228" s="12"/>
      <c r="CV228" s="12"/>
      <c r="CW228" s="12"/>
      <c r="CX228" s="12"/>
      <c r="CY228" s="12"/>
      <c r="CZ228" s="12"/>
      <c r="DA228" s="12"/>
      <c r="DB228" s="12"/>
    </row>
    <row r="229" spans="1:106" ht="15.75" customHeight="1">
      <c r="A229" s="12"/>
      <c r="B229" s="12"/>
      <c r="C229" s="12"/>
      <c r="D229" s="13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  <c r="BJ229" s="12"/>
      <c r="BK229" s="12"/>
      <c r="BL229" s="12"/>
      <c r="BM229" s="12"/>
      <c r="BN229" s="12"/>
      <c r="BO229" s="12"/>
      <c r="BP229" s="12"/>
      <c r="BQ229" s="12"/>
      <c r="BR229" s="12"/>
      <c r="BS229" s="12"/>
      <c r="BT229" s="12"/>
      <c r="BU229" s="12"/>
      <c r="BV229" s="12"/>
      <c r="BW229" s="12"/>
      <c r="BX229" s="12"/>
      <c r="BY229" s="12"/>
      <c r="BZ229" s="12"/>
      <c r="CA229" s="12"/>
      <c r="CB229" s="12"/>
      <c r="CC229" s="12"/>
      <c r="CD229" s="12"/>
      <c r="CE229" s="12"/>
      <c r="CF229" s="12"/>
      <c r="CG229" s="12"/>
      <c r="CH229" s="12"/>
      <c r="CI229" s="12"/>
      <c r="CJ229" s="12"/>
      <c r="CK229" s="12"/>
      <c r="CL229" s="12"/>
      <c r="CM229" s="12"/>
      <c r="CN229" s="12"/>
      <c r="CO229" s="12"/>
      <c r="CP229" s="12"/>
      <c r="CQ229" s="12"/>
      <c r="CR229" s="12"/>
      <c r="CS229" s="12"/>
      <c r="CT229" s="12"/>
      <c r="CU229" s="12"/>
      <c r="CV229" s="12"/>
      <c r="CW229" s="12"/>
      <c r="CX229" s="12"/>
      <c r="CY229" s="12"/>
      <c r="CZ229" s="12"/>
      <c r="DA229" s="12"/>
      <c r="DB229" s="12"/>
    </row>
    <row r="230" spans="1:106" ht="15.75" customHeight="1">
      <c r="A230" s="12"/>
      <c r="B230" s="12"/>
      <c r="C230" s="12"/>
      <c r="D230" s="13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  <c r="BJ230" s="12"/>
      <c r="BK230" s="12"/>
      <c r="BL230" s="12"/>
      <c r="BM230" s="12"/>
      <c r="BN230" s="12"/>
      <c r="BO230" s="12"/>
      <c r="BP230" s="12"/>
      <c r="BQ230" s="12"/>
      <c r="BR230" s="12"/>
      <c r="BS230" s="12"/>
      <c r="BT230" s="12"/>
      <c r="BU230" s="12"/>
      <c r="BV230" s="12"/>
      <c r="BW230" s="12"/>
      <c r="BX230" s="12"/>
      <c r="BY230" s="12"/>
      <c r="BZ230" s="12"/>
      <c r="CA230" s="12"/>
      <c r="CB230" s="12"/>
      <c r="CC230" s="12"/>
      <c r="CD230" s="12"/>
      <c r="CE230" s="12"/>
      <c r="CF230" s="12"/>
      <c r="CG230" s="12"/>
      <c r="CH230" s="12"/>
      <c r="CI230" s="12"/>
      <c r="CJ230" s="12"/>
      <c r="CK230" s="12"/>
      <c r="CL230" s="12"/>
      <c r="CM230" s="12"/>
      <c r="CN230" s="12"/>
      <c r="CO230" s="12"/>
      <c r="CP230" s="12"/>
      <c r="CQ230" s="12"/>
      <c r="CR230" s="12"/>
      <c r="CS230" s="12"/>
      <c r="CT230" s="12"/>
      <c r="CU230" s="12"/>
      <c r="CV230" s="12"/>
      <c r="CW230" s="12"/>
      <c r="CX230" s="12"/>
      <c r="CY230" s="12"/>
      <c r="CZ230" s="12"/>
      <c r="DA230" s="12"/>
      <c r="DB230" s="12"/>
    </row>
    <row r="231" spans="1:106" ht="15.75" customHeight="1">
      <c r="A231" s="12"/>
      <c r="B231" s="12"/>
      <c r="C231" s="12"/>
      <c r="D231" s="13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  <c r="BJ231" s="12"/>
      <c r="BK231" s="12"/>
      <c r="BL231" s="12"/>
      <c r="BM231" s="12"/>
      <c r="BN231" s="12"/>
      <c r="BO231" s="12"/>
      <c r="BP231" s="12"/>
      <c r="BQ231" s="12"/>
      <c r="BR231" s="12"/>
      <c r="BS231" s="12"/>
      <c r="BT231" s="12"/>
      <c r="BU231" s="12"/>
      <c r="BV231" s="12"/>
      <c r="BW231" s="12"/>
      <c r="BX231" s="12"/>
      <c r="BY231" s="12"/>
      <c r="BZ231" s="12"/>
      <c r="CA231" s="12"/>
      <c r="CB231" s="12"/>
      <c r="CC231" s="12"/>
      <c r="CD231" s="12"/>
      <c r="CE231" s="12"/>
      <c r="CF231" s="12"/>
      <c r="CG231" s="12"/>
      <c r="CH231" s="12"/>
      <c r="CI231" s="12"/>
      <c r="CJ231" s="12"/>
      <c r="CK231" s="12"/>
      <c r="CL231" s="12"/>
      <c r="CM231" s="12"/>
      <c r="CN231" s="12"/>
      <c r="CO231" s="12"/>
      <c r="CP231" s="12"/>
      <c r="CQ231" s="12"/>
      <c r="CR231" s="12"/>
      <c r="CS231" s="12"/>
      <c r="CT231" s="12"/>
      <c r="CU231" s="12"/>
      <c r="CV231" s="12"/>
      <c r="CW231" s="12"/>
      <c r="CX231" s="12"/>
      <c r="CY231" s="12"/>
      <c r="CZ231" s="12"/>
      <c r="DA231" s="12"/>
      <c r="DB231" s="12"/>
    </row>
    <row r="232" spans="1:106" ht="15.75" customHeight="1"/>
    <row r="233" spans="1:106" ht="15.75" customHeight="1"/>
    <row r="234" spans="1:106" ht="15.75" customHeight="1"/>
    <row r="235" spans="1:106" ht="15.75" customHeight="1"/>
    <row r="236" spans="1:106" ht="15.75" customHeight="1"/>
    <row r="237" spans="1:106" ht="15.75" customHeight="1"/>
    <row r="238" spans="1:106" ht="15.75" customHeight="1"/>
    <row r="239" spans="1:106" ht="15.75" customHeight="1"/>
    <row r="240" spans="1:106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1:DB1 A2:D31 Q2:DB31">
    <cfRule type="containsText" dxfId="33" priority="2" operator="containsText" text="מפת חום ← עמודות נערמות ← רדאר">
      <formula>NOT(ISERROR(SEARCH("מפת חום ← עמודות נערמות ← רדאר",A1)))</formula>
    </cfRule>
    <cfRule type="containsText" dxfId="32" priority="3" operator="containsText" text="רדאר ← מפת חום ← עמודות נערמות">
      <formula>NOT(ISERROR(SEARCH("רדאר ← מפת חום ← עמודות נערמות",A1)))</formula>
    </cfRule>
    <cfRule type="containsText" dxfId="31" priority="4" operator="containsText" text="עמודות נערמות ← רדאר ← מפת חום">
      <formula>NOT(ISERROR(SEARCH("עמודות נערמות ← רדאר ← מפת חום",A1)))</formula>
    </cfRule>
  </conditionalFormatting>
  <conditionalFormatting sqref="B2:B31">
    <cfRule type="containsText" dxfId="30" priority="5" operator="containsText" text="אופטימלי ← תת-אופטימלי">
      <formula>NOT(ISERROR(SEARCH("אופטימלי ← תת-אופטימלי",B2)))</formula>
    </cfRule>
    <cfRule type="containsText" dxfId="29" priority="6" operator="containsText" text="תת-אופטימלי ← אופטימלי">
      <formula>NOT(ISERROR(SEARCH("תת-אופטימלי ← אופטימלי",B2)))</formula>
    </cfRule>
  </conditionalFormatting>
  <conditionalFormatting sqref="E2:P31">
    <cfRule type="containsText" dxfId="28" priority="7" operator="containsText" text="מפת חום ← עמודות נערמות ← רדאר">
      <formula>NOT(ISERROR(SEARCH("מפת חום ← עמודות נערמות ← רדאר",E2)))</formula>
    </cfRule>
    <cfRule type="containsText" dxfId="27" priority="8" operator="containsText" text="רדאר ← מפת חום ← עמודות נערמות">
      <formula>NOT(ISERROR(SEARCH("רדאר ← מפת חום ← עמודות נערמות",E2)))</formula>
    </cfRule>
    <cfRule type="containsText" dxfId="26" priority="9" operator="containsText" text="עמודות נערמות ← רדאר ← מפת חום">
      <formula>NOT(ISERROR(SEARCH("עמודות נערמות ← רדאר ← מפת חום",E2)))</formula>
    </cfRule>
  </conditionalFormatting>
  <conditionalFormatting sqref="F2:F31 H2:H31 J2:J31 L2:L31 N2:N31 P2:P31">
    <cfRule type="containsText" dxfId="25" priority="10" operator="containsText" text="E">
      <formula>NOT(ISERROR(SEARCH("E",F2)))</formula>
    </cfRule>
    <cfRule type="containsText" dxfId="24" priority="11" operator="containsText" text="H">
      <formula>NOT(ISERROR(SEARCH("H",F2)))</formula>
    </cfRule>
  </conditionalFormatting>
  <conditionalFormatting sqref="Q2:Q31 AZ2:AZ31">
    <cfRule type="containsText" dxfId="23" priority="12" operator="containsText" text="OPT">
      <formula>NOT(ISERROR(SEARCH("OPT",Q2)))</formula>
    </cfRule>
    <cfRule type="containsText" dxfId="22" priority="13" operator="containsText" text="SUB">
      <formula>NOT(ISERROR(SEARCH("SUB",Q2)))</formula>
    </cfRule>
  </conditionalFormatting>
  <conditionalFormatting sqref="S2:S31 AD2:AD31 AO2:AO31 BB2:BB31 BM2:BM31 BX2:BX31">
    <cfRule type="containsText" dxfId="21" priority="14" operator="containsText" text="מפת חום">
      <formula>NOT(ISERROR(SEARCH("מפת חום",S2)))</formula>
    </cfRule>
    <cfRule type="containsText" dxfId="20" priority="15" operator="containsText" text="רדאר">
      <formula>NOT(ISERROR(SEARCH("רדאר",S2)))</formula>
    </cfRule>
    <cfRule type="containsText" dxfId="19" priority="16" operator="containsText" text="עמודות נערמות">
      <formula>NOT(ISERROR(SEARCH("עמודות נערמות",S2)))</formula>
    </cfRule>
  </conditionalFormatting>
  <conditionalFormatting sqref="U2:U31 W2:W31 Y2:Y31 AA2:AA31 AC2:AC31 AF2:AF31 AH2:AH31 AJ2:AJ31 AL2:AL31 AN2:AN31 AQ2:AQ31 AS2:AS31 AU2:AU31 AW2:AW31 AY2:AY31 BD2:BD31 BF2:BF31 BH2:BH31 BJ2:BJ31 BL2:BL31 BO2:BO31 BQ2:BQ31 BS2:BS31 BU2:BU31 BW2:BW31 BZ2:BZ31 CB2:CB31 CD2:CD31 CF2:CF31 CH2:CH31">
    <cfRule type="containsText" dxfId="18" priority="17" operator="containsText" text="E">
      <formula>NOT(ISERROR(SEARCH("E",U2)))</formula>
    </cfRule>
    <cfRule type="containsText" dxfId="17" priority="18" operator="containsText" text="H">
      <formula>NOT(ISERROR(SEARCH("H",U2)))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1000"/>
  <sheetViews>
    <sheetView rightToLeft="1" zoomScaleNormal="100" workbookViewId="0">
      <pane ySplit="1" topLeftCell="A20" activePane="bottomLeft" state="frozen"/>
      <selection pane="bottomLeft" activeCell="L2" sqref="L2"/>
    </sheetView>
  </sheetViews>
  <sheetFormatPr defaultColWidth="14.42578125" defaultRowHeight="15" customHeight="1"/>
  <cols>
    <col min="1" max="1" width="13.5703125" customWidth="1"/>
    <col min="2" max="2" width="10" customWidth="1"/>
    <col min="3" max="7" width="13.5703125" customWidth="1"/>
    <col min="8" max="8" width="10.42578125" customWidth="1"/>
    <col min="9" max="9" width="16" customWidth="1"/>
    <col min="10" max="10" width="13.140625" customWidth="1"/>
    <col min="11" max="11" width="14.85546875" customWidth="1"/>
    <col min="12" max="13" width="19.7109375" customWidth="1"/>
    <col min="14" max="14" width="41.140625" customWidth="1"/>
    <col min="15" max="15" width="38" customWidth="1"/>
    <col min="16" max="16" width="13.7109375" customWidth="1"/>
    <col min="17" max="17" width="41.7109375" customWidth="1"/>
    <col min="18" max="18" width="29.7109375" customWidth="1"/>
    <col min="19" max="21" width="7.42578125" customWidth="1"/>
    <col min="22" max="22" width="8.140625" customWidth="1"/>
    <col min="23" max="23" width="11.85546875" customWidth="1"/>
    <col min="24" max="25" width="12.7109375" customWidth="1"/>
    <col min="26" max="26" width="14.140625" customWidth="1"/>
    <col min="27" max="27" width="31.7109375" customWidth="1"/>
    <col min="28" max="39" width="9.140625" customWidth="1"/>
    <col min="40" max="41" width="31.140625" customWidth="1"/>
    <col min="42" max="44" width="9.140625" customWidth="1"/>
  </cols>
  <sheetData>
    <row r="1" spans="1:44">
      <c r="A1" s="14" t="s">
        <v>215</v>
      </c>
      <c r="B1" s="15" t="s">
        <v>216</v>
      </c>
      <c r="C1" s="16" t="s">
        <v>217</v>
      </c>
      <c r="D1" s="16" t="s">
        <v>218</v>
      </c>
      <c r="E1" s="16" t="s">
        <v>219</v>
      </c>
      <c r="F1" s="16" t="s">
        <v>220</v>
      </c>
      <c r="G1" s="16" t="s">
        <v>221</v>
      </c>
      <c r="H1" s="16" t="s">
        <v>222</v>
      </c>
      <c r="I1" s="16" t="s">
        <v>223</v>
      </c>
      <c r="J1" s="16" t="s">
        <v>224</v>
      </c>
      <c r="K1" s="16" t="s">
        <v>225</v>
      </c>
      <c r="L1" s="16" t="s">
        <v>226</v>
      </c>
      <c r="M1" s="16" t="s">
        <v>227</v>
      </c>
      <c r="N1" s="16" t="s">
        <v>228</v>
      </c>
      <c r="O1" s="16" t="s">
        <v>229</v>
      </c>
      <c r="P1" s="16" t="s">
        <v>230</v>
      </c>
      <c r="Q1" s="16" t="s">
        <v>231</v>
      </c>
      <c r="R1" s="16" t="s">
        <v>232</v>
      </c>
      <c r="S1" s="16" t="s">
        <v>233</v>
      </c>
      <c r="T1" s="16" t="s">
        <v>234</v>
      </c>
      <c r="U1" s="16" t="s">
        <v>235</v>
      </c>
      <c r="V1" s="16" t="s">
        <v>236</v>
      </c>
      <c r="W1" s="16" t="s">
        <v>237</v>
      </c>
      <c r="X1" s="16" t="s">
        <v>238</v>
      </c>
      <c r="Y1" s="16" t="s">
        <v>239</v>
      </c>
      <c r="Z1" s="16" t="s">
        <v>240</v>
      </c>
      <c r="AA1" s="16" t="s">
        <v>241</v>
      </c>
      <c r="AB1" s="17" t="s">
        <v>242</v>
      </c>
      <c r="AC1" s="18"/>
      <c r="AD1" s="18"/>
      <c r="AE1" s="18"/>
      <c r="AF1" s="18"/>
      <c r="AG1" s="18"/>
      <c r="AH1" s="18"/>
      <c r="AI1" s="18"/>
      <c r="AJ1" s="19"/>
      <c r="AK1" s="19"/>
      <c r="AL1" s="19"/>
      <c r="AM1" s="19"/>
      <c r="AN1" s="19" t="s">
        <v>229</v>
      </c>
      <c r="AO1" s="19" t="s">
        <v>230</v>
      </c>
      <c r="AP1" s="19" t="s">
        <v>231</v>
      </c>
      <c r="AQ1" s="19" t="s">
        <v>232</v>
      </c>
      <c r="AR1" s="19" t="s">
        <v>233</v>
      </c>
    </row>
    <row r="2" spans="1:44">
      <c r="A2" s="20" t="s">
        <v>243</v>
      </c>
      <c r="B2" s="21" t="s">
        <v>244</v>
      </c>
      <c r="C2" s="21" t="str">
        <f t="shared" ref="C2:C34" si="0">A2&amp;"_H"</f>
        <v>SCN_001_H</v>
      </c>
      <c r="D2" s="21" t="str">
        <f t="shared" ref="D2:D34" si="1">A2&amp;"_R"</f>
        <v>SCN_001_R</v>
      </c>
      <c r="E2" s="21" t="str">
        <f t="shared" ref="E2:E34" si="2">A2&amp;"_S"</f>
        <v>SCN_001_S</v>
      </c>
      <c r="F2" s="21">
        <v>1</v>
      </c>
      <c r="G2" s="21">
        <v>1</v>
      </c>
      <c r="H2" s="21">
        <v>1</v>
      </c>
      <c r="I2" s="22" t="s">
        <v>245</v>
      </c>
      <c r="J2" s="22" t="s">
        <v>246</v>
      </c>
      <c r="K2" s="22" t="s">
        <v>91</v>
      </c>
      <c r="L2" s="23" t="s">
        <v>247</v>
      </c>
      <c r="M2" s="21" t="s">
        <v>248</v>
      </c>
      <c r="N2" s="24" t="s">
        <v>249</v>
      </c>
      <c r="O2" s="24" t="s">
        <v>250</v>
      </c>
      <c r="P2" s="25" t="s">
        <v>251</v>
      </c>
      <c r="Q2" s="24" t="s">
        <v>252</v>
      </c>
      <c r="R2" s="24" t="s">
        <v>250</v>
      </c>
      <c r="S2" s="25" t="s">
        <v>253</v>
      </c>
      <c r="T2" s="22"/>
      <c r="U2" s="22"/>
      <c r="V2" s="22"/>
      <c r="W2" s="21" t="s">
        <v>254</v>
      </c>
      <c r="X2" s="21" t="s">
        <v>255</v>
      </c>
      <c r="Y2" s="22"/>
      <c r="Z2" s="22"/>
      <c r="AA2" s="21" t="s">
        <v>256</v>
      </c>
      <c r="AB2" s="26" t="b">
        <f>TRUE()</f>
        <v>1</v>
      </c>
      <c r="AC2" s="27"/>
      <c r="AD2" s="27"/>
      <c r="AE2" s="28" t="str">
        <f t="shared" ref="AE2:AE34" ca="1" si="3">IF(L2="א'",IF(RANDBETWEEN(0,1)=0,"ב'","ג'"),IF(M2="ב'",IF(RANDBETWEEN(0,1)=0,"א'","ג'"),IF(RANDBETWEEN(0,1)=0,"א'","ב'")))</f>
        <v>ג'</v>
      </c>
      <c r="AF2" s="27"/>
      <c r="AG2" s="27"/>
      <c r="AH2" s="29">
        <f>COUNTIF('קטלוג תרחישים'!$I$2:$I$34,"RTL")</f>
        <v>16</v>
      </c>
      <c r="AI2" s="29" t="s">
        <v>245</v>
      </c>
      <c r="AJ2" s="27"/>
      <c r="AK2" s="27"/>
      <c r="AL2" s="27"/>
      <c r="AM2" s="27"/>
      <c r="AN2" s="27"/>
      <c r="AO2" s="27"/>
      <c r="AP2" s="27"/>
      <c r="AQ2" s="27"/>
      <c r="AR2" s="27"/>
    </row>
    <row r="3" spans="1:44">
      <c r="A3" s="20" t="s">
        <v>257</v>
      </c>
      <c r="B3" s="21" t="s">
        <v>258</v>
      </c>
      <c r="C3" s="22" t="str">
        <f t="shared" si="0"/>
        <v>SCN_002_H</v>
      </c>
      <c r="D3" s="22" t="str">
        <f t="shared" si="1"/>
        <v>SCN_002_R</v>
      </c>
      <c r="E3" s="22" t="str">
        <f t="shared" si="2"/>
        <v>SCN_002_S</v>
      </c>
      <c r="F3" s="22">
        <v>2</v>
      </c>
      <c r="G3" s="22">
        <v>1</v>
      </c>
      <c r="H3" s="22">
        <v>1</v>
      </c>
      <c r="I3" s="22" t="s">
        <v>259</v>
      </c>
      <c r="J3" s="22" t="s">
        <v>246</v>
      </c>
      <c r="K3" s="22" t="s">
        <v>91</v>
      </c>
      <c r="L3" s="23" t="s">
        <v>247</v>
      </c>
      <c r="M3" s="21" t="s">
        <v>260</v>
      </c>
      <c r="N3" s="24" t="s">
        <v>261</v>
      </c>
      <c r="O3" s="24" t="s">
        <v>250</v>
      </c>
      <c r="P3" s="25" t="s">
        <v>251</v>
      </c>
      <c r="Q3" s="24" t="s">
        <v>252</v>
      </c>
      <c r="R3" s="24" t="s">
        <v>250</v>
      </c>
      <c r="S3" s="25" t="s">
        <v>262</v>
      </c>
      <c r="T3" s="22"/>
      <c r="U3" s="22"/>
      <c r="V3" s="22"/>
      <c r="W3" s="21" t="s">
        <v>254</v>
      </c>
      <c r="X3" s="21" t="s">
        <v>263</v>
      </c>
      <c r="Y3" s="22"/>
      <c r="Z3" s="22"/>
      <c r="AA3" s="21" t="s">
        <v>264</v>
      </c>
      <c r="AB3" s="26" t="b">
        <f>TRUE()</f>
        <v>1</v>
      </c>
      <c r="AC3" s="27"/>
      <c r="AD3" s="27"/>
      <c r="AE3" s="28" t="str">
        <f t="shared" ca="1" si="3"/>
        <v>ב'</v>
      </c>
      <c r="AF3" s="27"/>
      <c r="AG3" s="27"/>
      <c r="AH3" s="29">
        <f>COUNTIF('קטלוג תרחישים'!$I$2:$I$34,"LTR")</f>
        <v>17</v>
      </c>
      <c r="AI3" s="29" t="s">
        <v>259</v>
      </c>
      <c r="AJ3" s="27"/>
      <c r="AK3" s="27"/>
      <c r="AL3" s="27"/>
      <c r="AM3" s="27"/>
      <c r="AN3" s="27"/>
      <c r="AO3" s="27"/>
      <c r="AP3" s="27"/>
      <c r="AQ3" s="27"/>
      <c r="AR3" s="27"/>
    </row>
    <row r="4" spans="1:44">
      <c r="A4" s="20" t="s">
        <v>265</v>
      </c>
      <c r="B4" s="21" t="s">
        <v>266</v>
      </c>
      <c r="C4" s="22" t="str">
        <f t="shared" si="0"/>
        <v>SCN_003_H</v>
      </c>
      <c r="D4" s="22" t="str">
        <f t="shared" si="1"/>
        <v>SCN_003_R</v>
      </c>
      <c r="E4" s="22" t="str">
        <f t="shared" si="2"/>
        <v>SCN_003_S</v>
      </c>
      <c r="F4" s="22">
        <v>3</v>
      </c>
      <c r="G4" s="22">
        <v>2</v>
      </c>
      <c r="H4" s="22">
        <v>1</v>
      </c>
      <c r="I4" s="22" t="s">
        <v>259</v>
      </c>
      <c r="J4" s="22" t="s">
        <v>246</v>
      </c>
      <c r="K4" s="22" t="s">
        <v>91</v>
      </c>
      <c r="L4" s="23" t="s">
        <v>248</v>
      </c>
      <c r="M4" s="21" t="s">
        <v>260</v>
      </c>
      <c r="N4" s="24" t="s">
        <v>261</v>
      </c>
      <c r="O4" s="24" t="s">
        <v>250</v>
      </c>
      <c r="P4" s="25" t="s">
        <v>262</v>
      </c>
      <c r="Q4" s="24" t="s">
        <v>267</v>
      </c>
      <c r="R4" s="24" t="s">
        <v>250</v>
      </c>
      <c r="S4" s="25" t="s">
        <v>253</v>
      </c>
      <c r="T4" s="22"/>
      <c r="U4" s="22"/>
      <c r="V4" s="22"/>
      <c r="W4" s="21" t="s">
        <v>254</v>
      </c>
      <c r="X4" s="21" t="s">
        <v>268</v>
      </c>
      <c r="Y4" s="22"/>
      <c r="Z4" s="22"/>
      <c r="AA4" s="21" t="s">
        <v>269</v>
      </c>
      <c r="AB4" s="26" t="b">
        <f>TRUE()</f>
        <v>1</v>
      </c>
      <c r="AC4" s="27"/>
      <c r="AD4" s="27"/>
      <c r="AE4" s="28" t="str">
        <f t="shared" ca="1" si="3"/>
        <v>ב'</v>
      </c>
      <c r="AF4" s="27"/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</row>
    <row r="5" spans="1:44">
      <c r="A5" s="20" t="s">
        <v>270</v>
      </c>
      <c r="B5" s="21" t="s">
        <v>271</v>
      </c>
      <c r="C5" s="22" t="str">
        <f t="shared" si="0"/>
        <v>SCN_004_H</v>
      </c>
      <c r="D5" s="22" t="str">
        <f t="shared" si="1"/>
        <v>SCN_004_R</v>
      </c>
      <c r="E5" s="22" t="str">
        <f t="shared" si="2"/>
        <v>SCN_004_S</v>
      </c>
      <c r="F5" s="22">
        <v>2</v>
      </c>
      <c r="G5" s="22">
        <v>2</v>
      </c>
      <c r="H5" s="22">
        <v>2</v>
      </c>
      <c r="I5" s="22" t="s">
        <v>245</v>
      </c>
      <c r="J5" s="22" t="s">
        <v>272</v>
      </c>
      <c r="K5" s="22" t="s">
        <v>91</v>
      </c>
      <c r="L5" s="23" t="s">
        <v>260</v>
      </c>
      <c r="M5" s="21" t="s">
        <v>248</v>
      </c>
      <c r="N5" s="24" t="s">
        <v>273</v>
      </c>
      <c r="O5" s="24" t="s">
        <v>250</v>
      </c>
      <c r="P5" s="25" t="s">
        <v>274</v>
      </c>
      <c r="Q5" s="24" t="s">
        <v>267</v>
      </c>
      <c r="R5" s="24" t="s">
        <v>250</v>
      </c>
      <c r="S5" s="25" t="s">
        <v>253</v>
      </c>
      <c r="T5" s="22"/>
      <c r="U5" s="22"/>
      <c r="V5" s="22"/>
      <c r="W5" s="21" t="s">
        <v>254</v>
      </c>
      <c r="X5" s="21" t="s">
        <v>263</v>
      </c>
      <c r="Y5" s="22"/>
      <c r="Z5" s="22"/>
      <c r="AA5" s="21" t="s">
        <v>264</v>
      </c>
      <c r="AB5" s="26" t="b">
        <f>TRUE()</f>
        <v>1</v>
      </c>
      <c r="AC5" s="27"/>
      <c r="AD5" s="27"/>
      <c r="AE5" s="28" t="str">
        <f t="shared" ca="1" si="3"/>
        <v>ג'</v>
      </c>
      <c r="AF5" s="27"/>
      <c r="AG5" s="27"/>
      <c r="AH5" s="27">
        <f>AVERAGE('קטלוג תרחישים'!$H$2:$H$34)</f>
        <v>1.5757575757575757</v>
      </c>
      <c r="AI5" s="27" t="s">
        <v>222</v>
      </c>
      <c r="AJ5" s="27"/>
      <c r="AK5" s="27"/>
      <c r="AL5" s="27"/>
      <c r="AM5" s="27"/>
      <c r="AN5" s="27"/>
      <c r="AO5" s="27"/>
      <c r="AP5" s="27"/>
      <c r="AQ5" s="27"/>
      <c r="AR5" s="27"/>
    </row>
    <row r="6" spans="1:44">
      <c r="A6" s="20" t="s">
        <v>275</v>
      </c>
      <c r="B6" s="21" t="s">
        <v>276</v>
      </c>
      <c r="C6" s="22" t="str">
        <f t="shared" si="0"/>
        <v>SCN_005_H</v>
      </c>
      <c r="D6" s="22" t="str">
        <f t="shared" si="1"/>
        <v>SCN_005_R</v>
      </c>
      <c r="E6" s="22" t="str">
        <f t="shared" si="2"/>
        <v>SCN_005_S</v>
      </c>
      <c r="F6" s="22">
        <v>2</v>
      </c>
      <c r="G6" s="22">
        <v>1</v>
      </c>
      <c r="H6" s="22">
        <v>3</v>
      </c>
      <c r="I6" s="22" t="s">
        <v>245</v>
      </c>
      <c r="J6" s="22" t="s">
        <v>272</v>
      </c>
      <c r="K6" s="22" t="s">
        <v>91</v>
      </c>
      <c r="L6" s="23" t="s">
        <v>260</v>
      </c>
      <c r="M6" s="21" t="s">
        <v>247</v>
      </c>
      <c r="N6" s="24" t="s">
        <v>273</v>
      </c>
      <c r="O6" s="24" t="s">
        <v>250</v>
      </c>
      <c r="P6" s="25" t="s">
        <v>253</v>
      </c>
      <c r="Q6" s="24" t="s">
        <v>277</v>
      </c>
      <c r="R6" s="24" t="s">
        <v>250</v>
      </c>
      <c r="S6" s="25" t="s">
        <v>262</v>
      </c>
      <c r="T6" s="22"/>
      <c r="U6" s="22"/>
      <c r="V6" s="22"/>
      <c r="W6" s="21" t="s">
        <v>254</v>
      </c>
      <c r="X6" s="21" t="s">
        <v>263</v>
      </c>
      <c r="Y6" s="22"/>
      <c r="Z6" s="22"/>
      <c r="AA6" s="21" t="s">
        <v>264</v>
      </c>
      <c r="AB6" s="26" t="b">
        <f>TRUE()</f>
        <v>1</v>
      </c>
      <c r="AC6" s="27"/>
      <c r="AD6" s="27"/>
      <c r="AE6" s="28" t="str">
        <f t="shared" ca="1" si="3"/>
        <v>ב'</v>
      </c>
      <c r="AF6" s="27"/>
      <c r="AG6" s="27"/>
      <c r="AH6" s="27">
        <f>AVERAGE('קטלוג תרחישים'!$G$2:$G$34)</f>
        <v>1.393939393939394</v>
      </c>
      <c r="AI6" s="27" t="s">
        <v>221</v>
      </c>
      <c r="AJ6" s="27"/>
      <c r="AK6" s="27"/>
      <c r="AL6" s="27"/>
      <c r="AM6" s="27"/>
      <c r="AN6" s="27"/>
      <c r="AO6" s="27"/>
      <c r="AP6" s="27"/>
      <c r="AQ6" s="27"/>
      <c r="AR6" s="27"/>
    </row>
    <row r="7" spans="1:44">
      <c r="A7" s="20" t="s">
        <v>278</v>
      </c>
      <c r="B7" s="21" t="s">
        <v>279</v>
      </c>
      <c r="C7" s="22" t="str">
        <f t="shared" si="0"/>
        <v>SCN_006_H</v>
      </c>
      <c r="D7" s="22" t="str">
        <f t="shared" si="1"/>
        <v>SCN_006_R</v>
      </c>
      <c r="E7" s="22" t="str">
        <f t="shared" si="2"/>
        <v>SCN_006_S</v>
      </c>
      <c r="F7" s="22">
        <v>2</v>
      </c>
      <c r="G7" s="22">
        <v>1</v>
      </c>
      <c r="H7" s="22">
        <v>1</v>
      </c>
      <c r="I7" s="22" t="s">
        <v>245</v>
      </c>
      <c r="J7" s="22" t="s">
        <v>272</v>
      </c>
      <c r="K7" s="22" t="s">
        <v>100</v>
      </c>
      <c r="L7" s="30" t="s">
        <v>260</v>
      </c>
      <c r="M7" s="21" t="s">
        <v>248</v>
      </c>
      <c r="N7" s="24" t="s">
        <v>249</v>
      </c>
      <c r="O7" s="24" t="s">
        <v>250</v>
      </c>
      <c r="P7" s="25" t="s">
        <v>280</v>
      </c>
      <c r="Q7" s="24" t="s">
        <v>277</v>
      </c>
      <c r="R7" s="24" t="s">
        <v>250</v>
      </c>
      <c r="S7" s="25" t="s">
        <v>274</v>
      </c>
      <c r="T7" s="22"/>
      <c r="U7" s="22"/>
      <c r="V7" s="22"/>
      <c r="W7" s="21" t="s">
        <v>254</v>
      </c>
      <c r="X7" s="21" t="s">
        <v>255</v>
      </c>
      <c r="Y7" s="22">
        <v>1</v>
      </c>
      <c r="Z7" s="21" t="s">
        <v>268</v>
      </c>
      <c r="AA7" s="21" t="s">
        <v>281</v>
      </c>
      <c r="AB7" s="26" t="b">
        <f>TRUE()</f>
        <v>1</v>
      </c>
      <c r="AC7" s="27"/>
      <c r="AD7" s="27"/>
      <c r="AE7" s="28" t="str">
        <f t="shared" ca="1" si="3"/>
        <v>א'</v>
      </c>
      <c r="AF7" s="31" t="s">
        <v>282</v>
      </c>
      <c r="AG7" s="27"/>
      <c r="AH7" s="27">
        <f>AVERAGE('קטלוג תרחישים'!$F$2:$F$34)</f>
        <v>1.9090909090909092</v>
      </c>
      <c r="AI7" s="27" t="s">
        <v>283</v>
      </c>
      <c r="AJ7" s="27"/>
      <c r="AK7" s="27"/>
      <c r="AL7" s="27"/>
      <c r="AM7" s="27"/>
      <c r="AN7" s="27"/>
      <c r="AO7" s="27"/>
      <c r="AP7" s="27"/>
      <c r="AQ7" s="27"/>
      <c r="AR7" s="27"/>
    </row>
    <row r="8" spans="1:44">
      <c r="A8" s="20" t="s">
        <v>284</v>
      </c>
      <c r="B8" s="21" t="s">
        <v>285</v>
      </c>
      <c r="C8" s="22" t="str">
        <f t="shared" si="0"/>
        <v>SCN_007_H</v>
      </c>
      <c r="D8" s="22" t="str">
        <f t="shared" si="1"/>
        <v>SCN_007_R</v>
      </c>
      <c r="E8" s="22" t="str">
        <f t="shared" si="2"/>
        <v>SCN_007_S</v>
      </c>
      <c r="F8" s="22">
        <v>2</v>
      </c>
      <c r="G8" s="22">
        <v>1</v>
      </c>
      <c r="H8" s="22">
        <v>3</v>
      </c>
      <c r="I8" s="22" t="s">
        <v>259</v>
      </c>
      <c r="J8" s="22" t="s">
        <v>272</v>
      </c>
      <c r="K8" s="22" t="s">
        <v>91</v>
      </c>
      <c r="L8" s="23" t="s">
        <v>248</v>
      </c>
      <c r="M8" s="21" t="s">
        <v>247</v>
      </c>
      <c r="N8" s="24" t="s">
        <v>249</v>
      </c>
      <c r="O8" s="24" t="s">
        <v>250</v>
      </c>
      <c r="P8" s="25" t="s">
        <v>251</v>
      </c>
      <c r="Q8" s="24" t="s">
        <v>252</v>
      </c>
      <c r="R8" s="24" t="s">
        <v>250</v>
      </c>
      <c r="S8" s="25" t="s">
        <v>286</v>
      </c>
      <c r="T8" s="22"/>
      <c r="U8" s="22"/>
      <c r="V8" s="22"/>
      <c r="W8" s="21" t="s">
        <v>254</v>
      </c>
      <c r="X8" s="21" t="s">
        <v>268</v>
      </c>
      <c r="Y8" s="22"/>
      <c r="Z8" s="22"/>
      <c r="AA8" s="21" t="s">
        <v>269</v>
      </c>
      <c r="AB8" s="26" t="b">
        <f>TRUE()</f>
        <v>1</v>
      </c>
      <c r="AC8" s="27"/>
      <c r="AD8" s="27"/>
      <c r="AE8" s="28" t="str">
        <f t="shared" ca="1" si="3"/>
        <v>ב'</v>
      </c>
      <c r="AF8" s="27"/>
      <c r="AG8" s="27"/>
      <c r="AH8" s="27"/>
      <c r="AI8" s="27"/>
      <c r="AJ8" s="27"/>
      <c r="AK8" s="27"/>
      <c r="AL8" s="27"/>
      <c r="AM8" s="27"/>
      <c r="AN8" s="27"/>
      <c r="AO8" s="27"/>
      <c r="AP8" s="27"/>
      <c r="AQ8" s="27"/>
      <c r="AR8" s="27"/>
    </row>
    <row r="9" spans="1:44">
      <c r="A9" s="20" t="s">
        <v>287</v>
      </c>
      <c r="B9" s="21" t="s">
        <v>288</v>
      </c>
      <c r="C9" s="22" t="str">
        <f t="shared" si="0"/>
        <v>SCN_008_H</v>
      </c>
      <c r="D9" s="22" t="str">
        <f t="shared" si="1"/>
        <v>SCN_008_R</v>
      </c>
      <c r="E9" s="22" t="str">
        <f t="shared" si="2"/>
        <v>SCN_008_S</v>
      </c>
      <c r="F9" s="22">
        <v>1</v>
      </c>
      <c r="G9" s="22">
        <v>2</v>
      </c>
      <c r="H9" s="22">
        <v>1</v>
      </c>
      <c r="I9" s="22" t="s">
        <v>245</v>
      </c>
      <c r="J9" s="22" t="s">
        <v>272</v>
      </c>
      <c r="K9" s="22" t="s">
        <v>100</v>
      </c>
      <c r="L9" s="23" t="s">
        <v>247</v>
      </c>
      <c r="M9" s="21" t="s">
        <v>260</v>
      </c>
      <c r="N9" s="24" t="s">
        <v>261</v>
      </c>
      <c r="O9" s="24" t="s">
        <v>250</v>
      </c>
      <c r="P9" s="25" t="s">
        <v>253</v>
      </c>
      <c r="Q9" s="24" t="s">
        <v>252</v>
      </c>
      <c r="R9" s="24" t="s">
        <v>250</v>
      </c>
      <c r="S9" s="25" t="s">
        <v>251</v>
      </c>
      <c r="T9" s="22"/>
      <c r="U9" s="22"/>
      <c r="V9" s="22"/>
      <c r="W9" s="21" t="s">
        <v>254</v>
      </c>
      <c r="X9" s="21" t="s">
        <v>263</v>
      </c>
      <c r="Y9" s="22">
        <v>2</v>
      </c>
      <c r="Z9" s="21" t="s">
        <v>255</v>
      </c>
      <c r="AA9" s="21" t="s">
        <v>289</v>
      </c>
      <c r="AB9" s="26" t="b">
        <f>TRUE()</f>
        <v>1</v>
      </c>
      <c r="AC9" s="27"/>
      <c r="AD9" s="27"/>
      <c r="AE9" s="28" t="str">
        <f t="shared" ca="1" si="3"/>
        <v>ב'</v>
      </c>
      <c r="AF9" s="27"/>
      <c r="AG9" s="27"/>
      <c r="AH9" s="27">
        <f>COUNTIF('קטלוג תרחישים'!$AB$2:$AB$34,TRUE())</f>
        <v>33</v>
      </c>
      <c r="AI9" s="27" t="s">
        <v>290</v>
      </c>
      <c r="AJ9" s="27"/>
      <c r="AK9" s="27"/>
      <c r="AL9" s="27"/>
      <c r="AM9" s="27"/>
      <c r="AN9" s="27"/>
      <c r="AO9" s="27"/>
      <c r="AP9" s="27"/>
      <c r="AQ9" s="27"/>
      <c r="AR9" s="27"/>
    </row>
    <row r="10" spans="1:44">
      <c r="A10" s="20" t="s">
        <v>291</v>
      </c>
      <c r="B10" s="21" t="s">
        <v>292</v>
      </c>
      <c r="C10" s="22" t="str">
        <f t="shared" si="0"/>
        <v>SCN_009_H</v>
      </c>
      <c r="D10" s="22" t="str">
        <f t="shared" si="1"/>
        <v>SCN_009_R</v>
      </c>
      <c r="E10" s="22" t="str">
        <f t="shared" si="2"/>
        <v>SCN_009_S</v>
      </c>
      <c r="F10" s="22">
        <v>2</v>
      </c>
      <c r="G10" s="22">
        <v>2</v>
      </c>
      <c r="H10" s="22">
        <v>2</v>
      </c>
      <c r="I10" s="22" t="s">
        <v>259</v>
      </c>
      <c r="J10" s="22" t="s">
        <v>272</v>
      </c>
      <c r="K10" s="22" t="s">
        <v>91</v>
      </c>
      <c r="L10" s="23" t="s">
        <v>260</v>
      </c>
      <c r="M10" s="21" t="s">
        <v>248</v>
      </c>
      <c r="N10" s="24" t="s">
        <v>261</v>
      </c>
      <c r="O10" s="24" t="s">
        <v>250</v>
      </c>
      <c r="P10" s="25" t="s">
        <v>251</v>
      </c>
      <c r="Q10" s="24" t="s">
        <v>267</v>
      </c>
      <c r="R10" s="24" t="s">
        <v>250</v>
      </c>
      <c r="S10" s="25" t="s">
        <v>253</v>
      </c>
      <c r="T10" s="22"/>
      <c r="U10" s="22"/>
      <c r="V10" s="22"/>
      <c r="W10" s="21" t="s">
        <v>254</v>
      </c>
      <c r="X10" s="21" t="s">
        <v>255</v>
      </c>
      <c r="Y10" s="22"/>
      <c r="Z10" s="22"/>
      <c r="AA10" s="21" t="s">
        <v>256</v>
      </c>
      <c r="AB10" s="26" t="b">
        <f>TRUE()</f>
        <v>1</v>
      </c>
      <c r="AC10" s="27"/>
      <c r="AD10" s="27"/>
      <c r="AE10" s="28" t="str">
        <f t="shared" ca="1" si="3"/>
        <v>א'</v>
      </c>
      <c r="AF10" s="27"/>
      <c r="AG10" s="27"/>
      <c r="AH10" s="27"/>
      <c r="AI10" s="27"/>
      <c r="AJ10" s="27"/>
      <c r="AK10" s="27"/>
      <c r="AL10" s="27"/>
      <c r="AM10" s="27"/>
      <c r="AN10" s="27"/>
      <c r="AO10" s="27"/>
      <c r="AP10" s="27"/>
      <c r="AQ10" s="27"/>
      <c r="AR10" s="27"/>
    </row>
    <row r="11" spans="1:44">
      <c r="A11" s="20" t="s">
        <v>293</v>
      </c>
      <c r="B11" s="21" t="s">
        <v>294</v>
      </c>
      <c r="C11" s="22" t="str">
        <f t="shared" si="0"/>
        <v>SCN_010_H</v>
      </c>
      <c r="D11" s="22" t="str">
        <f t="shared" si="1"/>
        <v>SCN_010_R</v>
      </c>
      <c r="E11" s="22" t="str">
        <f t="shared" si="2"/>
        <v>SCN_010_S</v>
      </c>
      <c r="F11" s="22">
        <v>2</v>
      </c>
      <c r="G11" s="22">
        <v>1</v>
      </c>
      <c r="H11" s="22">
        <v>3</v>
      </c>
      <c r="I11" s="22" t="s">
        <v>245</v>
      </c>
      <c r="J11" s="22" t="s">
        <v>272</v>
      </c>
      <c r="K11" s="22" t="s">
        <v>100</v>
      </c>
      <c r="L11" s="23" t="s">
        <v>260</v>
      </c>
      <c r="M11" s="21" t="s">
        <v>248</v>
      </c>
      <c r="N11" s="24" t="s">
        <v>273</v>
      </c>
      <c r="O11" s="24" t="s">
        <v>250</v>
      </c>
      <c r="P11" s="25" t="s">
        <v>262</v>
      </c>
      <c r="Q11" s="24" t="s">
        <v>267</v>
      </c>
      <c r="R11" s="24" t="s">
        <v>250</v>
      </c>
      <c r="S11" s="25" t="s">
        <v>274</v>
      </c>
      <c r="T11" s="22"/>
      <c r="U11" s="22"/>
      <c r="V11" s="22"/>
      <c r="W11" s="21" t="s">
        <v>254</v>
      </c>
      <c r="X11" s="21" t="s">
        <v>268</v>
      </c>
      <c r="Y11" s="22">
        <v>3</v>
      </c>
      <c r="Z11" s="21" t="s">
        <v>255</v>
      </c>
      <c r="AA11" s="21" t="s">
        <v>295</v>
      </c>
      <c r="AB11" s="26" t="b">
        <f>TRUE()</f>
        <v>1</v>
      </c>
      <c r="AC11" s="27"/>
      <c r="AD11" s="27"/>
      <c r="AE11" s="28" t="str">
        <f t="shared" ca="1" si="3"/>
        <v>ג'</v>
      </c>
      <c r="AF11" s="27"/>
      <c r="AG11" s="27"/>
      <c r="AH11" s="27"/>
      <c r="AI11" s="27"/>
      <c r="AJ11" s="27"/>
      <c r="AK11" s="27"/>
      <c r="AL11" s="27"/>
      <c r="AM11" s="27"/>
      <c r="AN11" s="27"/>
      <c r="AO11" s="27"/>
      <c r="AP11" s="27"/>
      <c r="AQ11" s="27"/>
      <c r="AR11" s="27"/>
    </row>
    <row r="12" spans="1:44">
      <c r="A12" s="20" t="s">
        <v>296</v>
      </c>
      <c r="B12" s="21" t="s">
        <v>297</v>
      </c>
      <c r="C12" s="22" t="str">
        <f t="shared" si="0"/>
        <v>SCN_011_H</v>
      </c>
      <c r="D12" s="22" t="str">
        <f t="shared" si="1"/>
        <v>SCN_011_R</v>
      </c>
      <c r="E12" s="22" t="str">
        <f t="shared" si="2"/>
        <v>SCN_011_S</v>
      </c>
      <c r="F12" s="22">
        <v>2</v>
      </c>
      <c r="G12" s="22">
        <v>1</v>
      </c>
      <c r="H12" s="22">
        <v>2</v>
      </c>
      <c r="I12" s="22" t="s">
        <v>245</v>
      </c>
      <c r="J12" s="22" t="s">
        <v>272</v>
      </c>
      <c r="K12" s="22" t="s">
        <v>91</v>
      </c>
      <c r="L12" s="23" t="s">
        <v>248</v>
      </c>
      <c r="M12" s="21" t="s">
        <v>247</v>
      </c>
      <c r="N12" s="24" t="s">
        <v>273</v>
      </c>
      <c r="O12" s="24" t="s">
        <v>250</v>
      </c>
      <c r="P12" s="25" t="s">
        <v>253</v>
      </c>
      <c r="Q12" s="24" t="s">
        <v>277</v>
      </c>
      <c r="R12" s="24" t="s">
        <v>250</v>
      </c>
      <c r="S12" s="25" t="s">
        <v>262</v>
      </c>
      <c r="T12" s="22"/>
      <c r="U12" s="22"/>
      <c r="V12" s="22"/>
      <c r="W12" s="21" t="s">
        <v>254</v>
      </c>
      <c r="X12" s="21" t="s">
        <v>263</v>
      </c>
      <c r="Y12" s="22"/>
      <c r="Z12" s="22"/>
      <c r="AA12" s="21" t="s">
        <v>264</v>
      </c>
      <c r="AB12" s="26" t="b">
        <f>TRUE()</f>
        <v>1</v>
      </c>
      <c r="AC12" s="27"/>
      <c r="AD12" s="27"/>
      <c r="AE12" s="28" t="str">
        <f t="shared" ca="1" si="3"/>
        <v>ב'</v>
      </c>
      <c r="AF12" s="27"/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  <c r="AR12" s="27"/>
    </row>
    <row r="13" spans="1:44">
      <c r="A13" s="20" t="s">
        <v>298</v>
      </c>
      <c r="B13" s="21" t="s">
        <v>299</v>
      </c>
      <c r="C13" s="22" t="str">
        <f t="shared" si="0"/>
        <v>SCN_012_H</v>
      </c>
      <c r="D13" s="22" t="str">
        <f t="shared" si="1"/>
        <v>SCN_012_R</v>
      </c>
      <c r="E13" s="22" t="str">
        <f t="shared" si="2"/>
        <v>SCN_012_S</v>
      </c>
      <c r="F13" s="22">
        <v>2</v>
      </c>
      <c r="G13" s="22">
        <v>2</v>
      </c>
      <c r="H13" s="22">
        <v>1</v>
      </c>
      <c r="I13" s="22" t="s">
        <v>259</v>
      </c>
      <c r="J13" s="22" t="s">
        <v>272</v>
      </c>
      <c r="K13" s="22" t="s">
        <v>100</v>
      </c>
      <c r="L13" s="23" t="s">
        <v>248</v>
      </c>
      <c r="M13" s="21" t="s">
        <v>247</v>
      </c>
      <c r="N13" s="24" t="s">
        <v>249</v>
      </c>
      <c r="O13" s="24" t="s">
        <v>250</v>
      </c>
      <c r="P13" s="25" t="s">
        <v>274</v>
      </c>
      <c r="Q13" s="24" t="s">
        <v>277</v>
      </c>
      <c r="R13" s="24" t="s">
        <v>250</v>
      </c>
      <c r="S13" s="25" t="s">
        <v>253</v>
      </c>
      <c r="T13" s="22"/>
      <c r="U13" s="22"/>
      <c r="V13" s="22"/>
      <c r="W13" s="21" t="s">
        <v>254</v>
      </c>
      <c r="X13" s="21" t="s">
        <v>263</v>
      </c>
      <c r="Y13" s="22">
        <v>2</v>
      </c>
      <c r="Z13" s="21" t="s">
        <v>268</v>
      </c>
      <c r="AA13" s="21" t="s">
        <v>300</v>
      </c>
      <c r="AB13" s="26" t="b">
        <f>TRUE()</f>
        <v>1</v>
      </c>
      <c r="AC13" s="27"/>
      <c r="AD13" s="27"/>
      <c r="AE13" s="28" t="str">
        <f t="shared" ca="1" si="3"/>
        <v>א'</v>
      </c>
      <c r="AF13" s="27"/>
      <c r="AG13" s="27"/>
      <c r="AH13" s="27"/>
      <c r="AI13" s="27"/>
      <c r="AJ13" s="27"/>
      <c r="AK13" s="27"/>
      <c r="AL13" s="27"/>
      <c r="AM13" s="27"/>
      <c r="AN13" s="27"/>
      <c r="AO13" s="27"/>
      <c r="AP13" s="27"/>
      <c r="AQ13" s="27"/>
      <c r="AR13" s="27"/>
    </row>
    <row r="14" spans="1:44">
      <c r="A14" s="20" t="s">
        <v>301</v>
      </c>
      <c r="B14" s="21" t="s">
        <v>302</v>
      </c>
      <c r="C14" s="22" t="str">
        <f t="shared" si="0"/>
        <v>SCN_013_H</v>
      </c>
      <c r="D14" s="22" t="str">
        <f t="shared" si="1"/>
        <v>SCN_013_R</v>
      </c>
      <c r="E14" s="22" t="str">
        <f t="shared" si="2"/>
        <v>SCN_013_S</v>
      </c>
      <c r="F14" s="22">
        <v>2</v>
      </c>
      <c r="G14" s="22">
        <v>1</v>
      </c>
      <c r="H14" s="22">
        <v>2</v>
      </c>
      <c r="I14" s="22" t="s">
        <v>245</v>
      </c>
      <c r="J14" s="22" t="s">
        <v>272</v>
      </c>
      <c r="K14" s="22" t="s">
        <v>100</v>
      </c>
      <c r="L14" s="23" t="s">
        <v>248</v>
      </c>
      <c r="M14" s="21" t="s">
        <v>247</v>
      </c>
      <c r="N14" s="24" t="s">
        <v>249</v>
      </c>
      <c r="O14" s="24" t="s">
        <v>250</v>
      </c>
      <c r="P14" s="25" t="s">
        <v>262</v>
      </c>
      <c r="Q14" s="24" t="s">
        <v>252</v>
      </c>
      <c r="R14" s="24" t="s">
        <v>250</v>
      </c>
      <c r="S14" s="25" t="s">
        <v>286</v>
      </c>
      <c r="T14" s="22"/>
      <c r="U14" s="22"/>
      <c r="V14" s="22"/>
      <c r="W14" s="21" t="s">
        <v>254</v>
      </c>
      <c r="X14" s="21" t="s">
        <v>255</v>
      </c>
      <c r="Y14" s="22">
        <v>2</v>
      </c>
      <c r="Z14" s="21" t="s">
        <v>263</v>
      </c>
      <c r="AA14" s="21" t="s">
        <v>303</v>
      </c>
      <c r="AB14" s="26" t="b">
        <f>TRUE()</f>
        <v>1</v>
      </c>
      <c r="AC14" s="27"/>
      <c r="AD14" s="27"/>
      <c r="AE14" s="28" t="str">
        <f t="shared" ca="1" si="3"/>
        <v>ב'</v>
      </c>
      <c r="AF14" s="27"/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  <c r="AR14" s="27"/>
    </row>
    <row r="15" spans="1:44">
      <c r="A15" s="20" t="s">
        <v>304</v>
      </c>
      <c r="B15" s="21" t="s">
        <v>305</v>
      </c>
      <c r="C15" s="22" t="str">
        <f t="shared" si="0"/>
        <v>SCN_014_H</v>
      </c>
      <c r="D15" s="22" t="str">
        <f t="shared" si="1"/>
        <v>SCN_014_R</v>
      </c>
      <c r="E15" s="22" t="str">
        <f t="shared" si="2"/>
        <v>SCN_014_S</v>
      </c>
      <c r="F15" s="22">
        <v>3</v>
      </c>
      <c r="G15" s="22">
        <v>1</v>
      </c>
      <c r="H15" s="22">
        <v>2</v>
      </c>
      <c r="I15" s="22" t="s">
        <v>259</v>
      </c>
      <c r="J15" s="22" t="s">
        <v>272</v>
      </c>
      <c r="K15" s="22" t="s">
        <v>91</v>
      </c>
      <c r="L15" s="23" t="s">
        <v>247</v>
      </c>
      <c r="M15" s="21" t="s">
        <v>248</v>
      </c>
      <c r="N15" s="24" t="s">
        <v>261</v>
      </c>
      <c r="O15" s="24" t="s">
        <v>250</v>
      </c>
      <c r="P15" s="25" t="s">
        <v>262</v>
      </c>
      <c r="Q15" s="24" t="s">
        <v>252</v>
      </c>
      <c r="R15" s="24" t="s">
        <v>250</v>
      </c>
      <c r="S15" s="25" t="s">
        <v>253</v>
      </c>
      <c r="T15" s="22"/>
      <c r="U15" s="22"/>
      <c r="V15" s="22"/>
      <c r="W15" s="21" t="s">
        <v>254</v>
      </c>
      <c r="X15" s="21" t="s">
        <v>268</v>
      </c>
      <c r="Y15" s="22"/>
      <c r="Z15" s="22"/>
      <c r="AA15" s="21" t="s">
        <v>269</v>
      </c>
      <c r="AB15" s="26" t="b">
        <f>TRUE()</f>
        <v>1</v>
      </c>
      <c r="AC15" s="27"/>
      <c r="AD15" s="27"/>
      <c r="AE15" s="28" t="str">
        <f t="shared" ca="1" si="3"/>
        <v>ג'</v>
      </c>
      <c r="AF15" s="27"/>
      <c r="AG15" s="27"/>
      <c r="AH15" s="27"/>
      <c r="AI15" s="27"/>
      <c r="AJ15" s="27"/>
      <c r="AK15" s="27"/>
      <c r="AL15" s="27"/>
      <c r="AM15" s="27"/>
      <c r="AN15" s="27"/>
      <c r="AO15" s="27"/>
      <c r="AP15" s="27"/>
      <c r="AQ15" s="27"/>
      <c r="AR15" s="27"/>
    </row>
    <row r="16" spans="1:44">
      <c r="A16" s="20" t="s">
        <v>306</v>
      </c>
      <c r="B16" s="21" t="s">
        <v>307</v>
      </c>
      <c r="C16" s="22" t="str">
        <f t="shared" si="0"/>
        <v>SCN_015_H</v>
      </c>
      <c r="D16" s="22" t="str">
        <f t="shared" si="1"/>
        <v>SCN_015_R</v>
      </c>
      <c r="E16" s="22" t="str">
        <f t="shared" si="2"/>
        <v>SCN_015_S</v>
      </c>
      <c r="F16" s="22">
        <v>2</v>
      </c>
      <c r="G16" s="22">
        <v>2</v>
      </c>
      <c r="H16" s="22">
        <v>1</v>
      </c>
      <c r="I16" s="22" t="s">
        <v>259</v>
      </c>
      <c r="J16" s="22" t="s">
        <v>272</v>
      </c>
      <c r="K16" s="22" t="s">
        <v>91</v>
      </c>
      <c r="L16" s="32" t="s">
        <v>260</v>
      </c>
      <c r="M16" s="21" t="s">
        <v>248</v>
      </c>
      <c r="N16" s="24" t="s">
        <v>261</v>
      </c>
      <c r="O16" s="24" t="s">
        <v>250</v>
      </c>
      <c r="P16" s="25" t="s">
        <v>262</v>
      </c>
      <c r="Q16" s="24" t="s">
        <v>267</v>
      </c>
      <c r="R16" s="24" t="s">
        <v>250</v>
      </c>
      <c r="S16" s="25" t="s">
        <v>262</v>
      </c>
      <c r="T16" s="22"/>
      <c r="U16" s="22"/>
      <c r="V16" s="22"/>
      <c r="W16" s="21" t="s">
        <v>254</v>
      </c>
      <c r="X16" s="21" t="s">
        <v>268</v>
      </c>
      <c r="Y16" s="22"/>
      <c r="Z16" s="22"/>
      <c r="AA16" s="21" t="s">
        <v>269</v>
      </c>
      <c r="AB16" s="26" t="b">
        <f>TRUE()</f>
        <v>1</v>
      </c>
      <c r="AC16" s="27"/>
      <c r="AD16" s="27"/>
      <c r="AE16" s="28" t="str">
        <f t="shared" ca="1" si="3"/>
        <v>ג'</v>
      </c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</row>
    <row r="17" spans="1:44">
      <c r="A17" s="20" t="s">
        <v>308</v>
      </c>
      <c r="B17" s="21" t="s">
        <v>309</v>
      </c>
      <c r="C17" s="22" t="str">
        <f t="shared" si="0"/>
        <v>SCN_016_H</v>
      </c>
      <c r="D17" s="22" t="str">
        <f t="shared" si="1"/>
        <v>SCN_016_R</v>
      </c>
      <c r="E17" s="22" t="str">
        <f t="shared" si="2"/>
        <v>SCN_016_S</v>
      </c>
      <c r="F17" s="22">
        <v>2</v>
      </c>
      <c r="G17" s="22">
        <v>2</v>
      </c>
      <c r="H17" s="22">
        <v>2</v>
      </c>
      <c r="I17" s="22" t="s">
        <v>245</v>
      </c>
      <c r="J17" s="22" t="s">
        <v>272</v>
      </c>
      <c r="K17" s="22" t="s">
        <v>100</v>
      </c>
      <c r="L17" s="23" t="s">
        <v>248</v>
      </c>
      <c r="M17" s="21" t="s">
        <v>260</v>
      </c>
      <c r="N17" s="24" t="s">
        <v>273</v>
      </c>
      <c r="O17" s="24" t="s">
        <v>250</v>
      </c>
      <c r="P17" s="25" t="s">
        <v>286</v>
      </c>
      <c r="Q17" s="24" t="s">
        <v>267</v>
      </c>
      <c r="R17" s="24" t="s">
        <v>250</v>
      </c>
      <c r="S17" s="25" t="s">
        <v>253</v>
      </c>
      <c r="T17" s="22"/>
      <c r="U17" s="22"/>
      <c r="V17" s="22"/>
      <c r="W17" s="21" t="s">
        <v>254</v>
      </c>
      <c r="X17" s="21" t="s">
        <v>263</v>
      </c>
      <c r="Y17" s="22">
        <v>2</v>
      </c>
      <c r="Z17" s="21" t="s">
        <v>255</v>
      </c>
      <c r="AA17" s="21" t="s">
        <v>289</v>
      </c>
      <c r="AB17" s="26" t="b">
        <f>TRUE()</f>
        <v>1</v>
      </c>
      <c r="AC17" s="27"/>
      <c r="AD17" s="27"/>
      <c r="AE17" s="28" t="str">
        <f t="shared" ca="1" si="3"/>
        <v>ב'</v>
      </c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</row>
    <row r="18" spans="1:44">
      <c r="A18" s="20" t="s">
        <v>310</v>
      </c>
      <c r="B18" s="21" t="s">
        <v>311</v>
      </c>
      <c r="C18" s="22" t="str">
        <f t="shared" si="0"/>
        <v>SCN_017_H</v>
      </c>
      <c r="D18" s="22" t="str">
        <f t="shared" si="1"/>
        <v>SCN_017_R</v>
      </c>
      <c r="E18" s="22" t="str">
        <f t="shared" si="2"/>
        <v>SCN_017_S</v>
      </c>
      <c r="F18" s="22">
        <v>3</v>
      </c>
      <c r="G18" s="22">
        <v>1</v>
      </c>
      <c r="H18" s="22">
        <v>2</v>
      </c>
      <c r="I18" s="22" t="s">
        <v>245</v>
      </c>
      <c r="J18" s="22" t="s">
        <v>272</v>
      </c>
      <c r="K18" s="22" t="s">
        <v>91</v>
      </c>
      <c r="L18" s="32" t="s">
        <v>260</v>
      </c>
      <c r="M18" s="21" t="s">
        <v>247</v>
      </c>
      <c r="N18" s="24" t="s">
        <v>273</v>
      </c>
      <c r="O18" s="24" t="s">
        <v>250</v>
      </c>
      <c r="P18" s="25" t="s">
        <v>253</v>
      </c>
      <c r="Q18" s="24" t="s">
        <v>277</v>
      </c>
      <c r="R18" s="24" t="s">
        <v>250</v>
      </c>
      <c r="S18" s="25" t="s">
        <v>274</v>
      </c>
      <c r="T18" s="22"/>
      <c r="U18" s="22"/>
      <c r="V18" s="22"/>
      <c r="W18" s="21" t="s">
        <v>254</v>
      </c>
      <c r="X18" s="21" t="s">
        <v>263</v>
      </c>
      <c r="Y18" s="22"/>
      <c r="Z18" s="22"/>
      <c r="AA18" s="21" t="s">
        <v>264</v>
      </c>
      <c r="AB18" s="26" t="b">
        <f>TRUE()</f>
        <v>1</v>
      </c>
      <c r="AC18" s="27"/>
      <c r="AD18" s="27"/>
      <c r="AE18" s="28" t="str">
        <f t="shared" ca="1" si="3"/>
        <v>א'</v>
      </c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</row>
    <row r="19" spans="1:44">
      <c r="A19" s="20" t="s">
        <v>312</v>
      </c>
      <c r="B19" s="21" t="s">
        <v>313</v>
      </c>
      <c r="C19" s="22" t="str">
        <f t="shared" si="0"/>
        <v>SCN_018_H</v>
      </c>
      <c r="D19" s="22" t="str">
        <f t="shared" si="1"/>
        <v>SCN_018_R</v>
      </c>
      <c r="E19" s="22" t="str">
        <f t="shared" si="2"/>
        <v>SCN_018_S</v>
      </c>
      <c r="F19" s="22">
        <v>2</v>
      </c>
      <c r="G19" s="22">
        <v>2</v>
      </c>
      <c r="H19" s="22">
        <v>3</v>
      </c>
      <c r="I19" s="22" t="s">
        <v>245</v>
      </c>
      <c r="J19" s="22" t="s">
        <v>272</v>
      </c>
      <c r="K19" s="22" t="s">
        <v>100</v>
      </c>
      <c r="L19" s="32" t="s">
        <v>247</v>
      </c>
      <c r="M19" s="21" t="s">
        <v>248</v>
      </c>
      <c r="N19" s="24" t="s">
        <v>249</v>
      </c>
      <c r="O19" s="24" t="s">
        <v>250</v>
      </c>
      <c r="P19" s="25" t="s">
        <v>251</v>
      </c>
      <c r="Q19" s="24" t="s">
        <v>277</v>
      </c>
      <c r="R19" s="24" t="s">
        <v>250</v>
      </c>
      <c r="S19" s="25" t="s">
        <v>262</v>
      </c>
      <c r="T19" s="22"/>
      <c r="U19" s="22"/>
      <c r="V19" s="22"/>
      <c r="W19" s="21" t="s">
        <v>254</v>
      </c>
      <c r="X19" s="21" t="s">
        <v>268</v>
      </c>
      <c r="Y19" s="22">
        <v>3</v>
      </c>
      <c r="Z19" s="21" t="s">
        <v>263</v>
      </c>
      <c r="AA19" s="21" t="s">
        <v>314</v>
      </c>
      <c r="AB19" s="26" t="b">
        <f>TRUE()</f>
        <v>1</v>
      </c>
      <c r="AC19" s="27"/>
      <c r="AD19" s="27"/>
      <c r="AE19" s="28" t="str">
        <f t="shared" ca="1" si="3"/>
        <v>ב'</v>
      </c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</row>
    <row r="20" spans="1:44">
      <c r="A20" s="20" t="s">
        <v>315</v>
      </c>
      <c r="B20" s="21" t="s">
        <v>316</v>
      </c>
      <c r="C20" s="22" t="str">
        <f t="shared" si="0"/>
        <v>SCN_019_H</v>
      </c>
      <c r="D20" s="22" t="str">
        <f t="shared" si="1"/>
        <v>SCN_019_R</v>
      </c>
      <c r="E20" s="22" t="str">
        <f t="shared" si="2"/>
        <v>SCN_019_S</v>
      </c>
      <c r="F20" s="22">
        <v>2</v>
      </c>
      <c r="G20" s="22">
        <v>2</v>
      </c>
      <c r="H20" s="22">
        <v>0</v>
      </c>
      <c r="I20" s="22" t="s">
        <v>245</v>
      </c>
      <c r="J20" s="22" t="s">
        <v>272</v>
      </c>
      <c r="K20" s="22" t="s">
        <v>91</v>
      </c>
      <c r="L20" s="32" t="s">
        <v>260</v>
      </c>
      <c r="M20" s="21" t="s">
        <v>247</v>
      </c>
      <c r="N20" s="24" t="s">
        <v>249</v>
      </c>
      <c r="O20" s="24" t="s">
        <v>250</v>
      </c>
      <c r="P20" s="25" t="s">
        <v>251</v>
      </c>
      <c r="Q20" s="24" t="s">
        <v>252</v>
      </c>
      <c r="R20" s="24" t="s">
        <v>250</v>
      </c>
      <c r="S20" s="25" t="s">
        <v>286</v>
      </c>
      <c r="T20" s="22"/>
      <c r="U20" s="22"/>
      <c r="V20" s="22"/>
      <c r="W20" s="21" t="s">
        <v>254</v>
      </c>
      <c r="X20" s="21" t="s">
        <v>268</v>
      </c>
      <c r="Y20" s="22"/>
      <c r="Z20" s="22"/>
      <c r="AA20" s="21" t="s">
        <v>269</v>
      </c>
      <c r="AB20" s="26" t="b">
        <f>TRUE()</f>
        <v>1</v>
      </c>
      <c r="AC20" s="27"/>
      <c r="AD20" s="27"/>
      <c r="AE20" s="28" t="str">
        <f t="shared" ca="1" si="3"/>
        <v>א'</v>
      </c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</row>
    <row r="21" spans="1:44" ht="15.75" customHeight="1">
      <c r="A21" s="20" t="s">
        <v>317</v>
      </c>
      <c r="B21" s="21" t="s">
        <v>318</v>
      </c>
      <c r="C21" s="22" t="str">
        <f t="shared" si="0"/>
        <v>SCN_020_H</v>
      </c>
      <c r="D21" s="22" t="str">
        <f t="shared" si="1"/>
        <v>SCN_020_R</v>
      </c>
      <c r="E21" s="22" t="str">
        <f t="shared" si="2"/>
        <v>SCN_020_S</v>
      </c>
      <c r="F21" s="22">
        <v>2</v>
      </c>
      <c r="G21" s="22">
        <v>2</v>
      </c>
      <c r="H21" s="22">
        <v>0</v>
      </c>
      <c r="I21" s="22" t="s">
        <v>245</v>
      </c>
      <c r="J21" s="22" t="s">
        <v>272</v>
      </c>
      <c r="K21" s="22" t="s">
        <v>100</v>
      </c>
      <c r="L21" s="32" t="s">
        <v>260</v>
      </c>
      <c r="M21" s="21" t="s">
        <v>248</v>
      </c>
      <c r="N21" s="24" t="s">
        <v>261</v>
      </c>
      <c r="O21" s="24" t="s">
        <v>250</v>
      </c>
      <c r="P21" s="25" t="s">
        <v>251</v>
      </c>
      <c r="Q21" s="24" t="s">
        <v>252</v>
      </c>
      <c r="R21" s="24" t="s">
        <v>250</v>
      </c>
      <c r="S21" s="25" t="s">
        <v>251</v>
      </c>
      <c r="T21" s="22"/>
      <c r="U21" s="22"/>
      <c r="V21" s="22"/>
      <c r="W21" s="21" t="s">
        <v>254</v>
      </c>
      <c r="X21" s="21" t="s">
        <v>268</v>
      </c>
      <c r="Y21" s="22">
        <v>2</v>
      </c>
      <c r="Z21" s="21" t="s">
        <v>255</v>
      </c>
      <c r="AA21" s="21" t="s">
        <v>319</v>
      </c>
      <c r="AB21" s="26" t="b">
        <f>TRUE()</f>
        <v>1</v>
      </c>
      <c r="AC21" s="27"/>
      <c r="AD21" s="27"/>
      <c r="AE21" s="28" t="str">
        <f t="shared" ca="1" si="3"/>
        <v>ג'</v>
      </c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</row>
    <row r="22" spans="1:44" ht="15.75" customHeight="1">
      <c r="A22" s="20" t="s">
        <v>320</v>
      </c>
      <c r="B22" s="21" t="s">
        <v>321</v>
      </c>
      <c r="C22" s="22" t="str">
        <f t="shared" si="0"/>
        <v>SCN_021_H</v>
      </c>
      <c r="D22" s="22" t="str">
        <f t="shared" si="1"/>
        <v>SCN_021_R</v>
      </c>
      <c r="E22" s="22" t="str">
        <f t="shared" si="2"/>
        <v>SCN_021_S</v>
      </c>
      <c r="F22" s="22">
        <v>1</v>
      </c>
      <c r="G22" s="22">
        <v>1</v>
      </c>
      <c r="H22" s="22">
        <v>3</v>
      </c>
      <c r="I22" s="22" t="s">
        <v>245</v>
      </c>
      <c r="J22" s="22" t="s">
        <v>272</v>
      </c>
      <c r="K22" s="22" t="s">
        <v>91</v>
      </c>
      <c r="L22" s="23" t="s">
        <v>248</v>
      </c>
      <c r="M22" s="21" t="s">
        <v>260</v>
      </c>
      <c r="N22" s="24" t="s">
        <v>261</v>
      </c>
      <c r="O22" s="24" t="s">
        <v>250</v>
      </c>
      <c r="P22" s="25" t="s">
        <v>262</v>
      </c>
      <c r="Q22" s="24" t="s">
        <v>267</v>
      </c>
      <c r="R22" s="24" t="s">
        <v>250</v>
      </c>
      <c r="S22" s="25" t="s">
        <v>253</v>
      </c>
      <c r="T22" s="22"/>
      <c r="U22" s="22"/>
      <c r="V22" s="22"/>
      <c r="W22" s="21" t="s">
        <v>254</v>
      </c>
      <c r="X22" s="21" t="s">
        <v>255</v>
      </c>
      <c r="Y22" s="22"/>
      <c r="Z22" s="22"/>
      <c r="AA22" s="21" t="s">
        <v>256</v>
      </c>
      <c r="AB22" s="26" t="b">
        <f>TRUE()</f>
        <v>1</v>
      </c>
      <c r="AC22" s="27"/>
      <c r="AD22" s="27"/>
      <c r="AE22" s="28" t="str">
        <f t="shared" ca="1" si="3"/>
        <v>א'</v>
      </c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</row>
    <row r="23" spans="1:44" ht="15.75" customHeight="1">
      <c r="A23" s="20" t="s">
        <v>322</v>
      </c>
      <c r="B23" s="21" t="s">
        <v>323</v>
      </c>
      <c r="C23" s="22" t="str">
        <f t="shared" si="0"/>
        <v>SCN_022_H</v>
      </c>
      <c r="D23" s="22" t="str">
        <f t="shared" si="1"/>
        <v>SCN_022_R</v>
      </c>
      <c r="E23" s="22" t="str">
        <f t="shared" si="2"/>
        <v>SCN_022_S</v>
      </c>
      <c r="F23" s="22">
        <v>2</v>
      </c>
      <c r="G23" s="22">
        <v>1</v>
      </c>
      <c r="H23" s="22">
        <v>2</v>
      </c>
      <c r="I23" s="22" t="s">
        <v>259</v>
      </c>
      <c r="J23" s="22" t="s">
        <v>272</v>
      </c>
      <c r="K23" s="22" t="s">
        <v>100</v>
      </c>
      <c r="L23" s="23" t="s">
        <v>247</v>
      </c>
      <c r="M23" s="21" t="s">
        <v>248</v>
      </c>
      <c r="N23" s="24" t="s">
        <v>273</v>
      </c>
      <c r="O23" s="24" t="s">
        <v>250</v>
      </c>
      <c r="P23" s="25" t="s">
        <v>253</v>
      </c>
      <c r="Q23" s="24" t="s">
        <v>267</v>
      </c>
      <c r="R23" s="24" t="s">
        <v>250</v>
      </c>
      <c r="S23" s="25" t="s">
        <v>253</v>
      </c>
      <c r="T23" s="22"/>
      <c r="U23" s="22"/>
      <c r="V23" s="22"/>
      <c r="W23" s="21" t="s">
        <v>254</v>
      </c>
      <c r="X23" s="21" t="s">
        <v>255</v>
      </c>
      <c r="Y23" s="22">
        <v>3</v>
      </c>
      <c r="Z23" s="21" t="s">
        <v>263</v>
      </c>
      <c r="AA23" s="21" t="s">
        <v>324</v>
      </c>
      <c r="AB23" s="26" t="b">
        <f>TRUE()</f>
        <v>1</v>
      </c>
      <c r="AC23" s="27"/>
      <c r="AD23" s="27"/>
      <c r="AE23" s="28" t="str">
        <f t="shared" ca="1" si="3"/>
        <v>ב'</v>
      </c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</row>
    <row r="24" spans="1:44" ht="15.75" customHeight="1">
      <c r="A24" s="20" t="s">
        <v>325</v>
      </c>
      <c r="B24" s="21" t="s">
        <v>326</v>
      </c>
      <c r="C24" s="22" t="str">
        <f t="shared" si="0"/>
        <v>SCN_023_H</v>
      </c>
      <c r="D24" s="22" t="str">
        <f t="shared" si="1"/>
        <v>SCN_023_R</v>
      </c>
      <c r="E24" s="22" t="str">
        <f t="shared" si="2"/>
        <v>SCN_023_S</v>
      </c>
      <c r="F24" s="22">
        <v>1</v>
      </c>
      <c r="G24" s="22">
        <v>0</v>
      </c>
      <c r="H24" s="22">
        <v>2</v>
      </c>
      <c r="I24" s="22" t="s">
        <v>259</v>
      </c>
      <c r="J24" s="22" t="s">
        <v>272</v>
      </c>
      <c r="K24" s="22" t="s">
        <v>91</v>
      </c>
      <c r="L24" s="32" t="s">
        <v>260</v>
      </c>
      <c r="M24" s="21" t="s">
        <v>247</v>
      </c>
      <c r="N24" s="24" t="s">
        <v>273</v>
      </c>
      <c r="O24" s="24" t="s">
        <v>250</v>
      </c>
      <c r="P24" s="25" t="s">
        <v>262</v>
      </c>
      <c r="Q24" s="24" t="s">
        <v>277</v>
      </c>
      <c r="R24" s="24" t="s">
        <v>250</v>
      </c>
      <c r="S24" s="25" t="s">
        <v>251</v>
      </c>
      <c r="T24" s="22"/>
      <c r="U24" s="22"/>
      <c r="V24" s="22"/>
      <c r="W24" s="21" t="s">
        <v>254</v>
      </c>
      <c r="X24" s="21" t="s">
        <v>263</v>
      </c>
      <c r="Y24" s="22"/>
      <c r="Z24" s="22"/>
      <c r="AA24" s="21" t="s">
        <v>264</v>
      </c>
      <c r="AB24" s="26" t="b">
        <f>TRUE()</f>
        <v>1</v>
      </c>
      <c r="AC24" s="27"/>
      <c r="AD24" s="27"/>
      <c r="AE24" s="28" t="str">
        <f t="shared" ca="1" si="3"/>
        <v>ב'</v>
      </c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</row>
    <row r="25" spans="1:44" ht="15.75" customHeight="1">
      <c r="A25" s="20" t="s">
        <v>327</v>
      </c>
      <c r="B25" s="21" t="s">
        <v>328</v>
      </c>
      <c r="C25" s="22" t="str">
        <f t="shared" si="0"/>
        <v>SCN_024_H</v>
      </c>
      <c r="D25" s="22" t="str">
        <f t="shared" si="1"/>
        <v>SCN_024_R</v>
      </c>
      <c r="E25" s="22" t="str">
        <f t="shared" si="2"/>
        <v>SCN_024_S</v>
      </c>
      <c r="F25" s="22">
        <v>2</v>
      </c>
      <c r="G25" s="22">
        <v>0</v>
      </c>
      <c r="H25" s="22">
        <v>2</v>
      </c>
      <c r="I25" s="22" t="s">
        <v>259</v>
      </c>
      <c r="J25" s="22" t="s">
        <v>272</v>
      </c>
      <c r="K25" s="22" t="s">
        <v>100</v>
      </c>
      <c r="L25" s="32" t="s">
        <v>248</v>
      </c>
      <c r="M25" s="21" t="s">
        <v>260</v>
      </c>
      <c r="N25" s="24" t="s">
        <v>249</v>
      </c>
      <c r="O25" s="24" t="s">
        <v>250</v>
      </c>
      <c r="P25" s="25" t="s">
        <v>262</v>
      </c>
      <c r="Q25" s="24" t="s">
        <v>277</v>
      </c>
      <c r="R25" s="24" t="s">
        <v>250</v>
      </c>
      <c r="S25" s="25" t="s">
        <v>274</v>
      </c>
      <c r="T25" s="22"/>
      <c r="U25" s="22"/>
      <c r="V25" s="22"/>
      <c r="W25" s="21" t="s">
        <v>254</v>
      </c>
      <c r="X25" s="21" t="s">
        <v>263</v>
      </c>
      <c r="Y25" s="22">
        <v>1</v>
      </c>
      <c r="Z25" s="21" t="s">
        <v>255</v>
      </c>
      <c r="AA25" s="21" t="s">
        <v>329</v>
      </c>
      <c r="AB25" s="26" t="b">
        <f>TRUE()</f>
        <v>1</v>
      </c>
      <c r="AC25" s="27"/>
      <c r="AD25" s="27"/>
      <c r="AE25" s="28" t="str">
        <f t="shared" ca="1" si="3"/>
        <v>ב'</v>
      </c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</row>
    <row r="26" spans="1:44" ht="15.75" customHeight="1">
      <c r="A26" s="20" t="s">
        <v>330</v>
      </c>
      <c r="B26" s="21" t="s">
        <v>331</v>
      </c>
      <c r="C26" s="22" t="str">
        <f t="shared" si="0"/>
        <v>SCN_025_H</v>
      </c>
      <c r="D26" s="22" t="str">
        <f t="shared" si="1"/>
        <v>SCN_025_R</v>
      </c>
      <c r="E26" s="22" t="str">
        <f t="shared" si="2"/>
        <v>SCN_025_S</v>
      </c>
      <c r="F26" s="22">
        <v>1</v>
      </c>
      <c r="G26" s="22">
        <v>2</v>
      </c>
      <c r="H26" s="22">
        <v>2</v>
      </c>
      <c r="I26" s="22" t="s">
        <v>259</v>
      </c>
      <c r="J26" s="22" t="s">
        <v>272</v>
      </c>
      <c r="K26" s="22" t="s">
        <v>91</v>
      </c>
      <c r="L26" s="32" t="s">
        <v>260</v>
      </c>
      <c r="M26" s="21" t="s">
        <v>247</v>
      </c>
      <c r="N26" s="24" t="s">
        <v>249</v>
      </c>
      <c r="O26" s="24" t="s">
        <v>250</v>
      </c>
      <c r="P26" s="25" t="s">
        <v>251</v>
      </c>
      <c r="Q26" s="24" t="s">
        <v>252</v>
      </c>
      <c r="R26" s="24" t="s">
        <v>250</v>
      </c>
      <c r="S26" s="25" t="s">
        <v>251</v>
      </c>
      <c r="T26" s="22"/>
      <c r="U26" s="22"/>
      <c r="V26" s="22"/>
      <c r="W26" s="21" t="s">
        <v>254</v>
      </c>
      <c r="X26" s="21" t="s">
        <v>255</v>
      </c>
      <c r="Y26" s="22"/>
      <c r="Z26" s="22"/>
      <c r="AA26" s="21" t="s">
        <v>256</v>
      </c>
      <c r="AB26" s="26" t="b">
        <f>TRUE()</f>
        <v>1</v>
      </c>
      <c r="AC26" s="27"/>
      <c r="AD26" s="27"/>
      <c r="AE26" s="28" t="str">
        <f t="shared" ca="1" si="3"/>
        <v>ב'</v>
      </c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</row>
    <row r="27" spans="1:44" ht="15.75" customHeight="1">
      <c r="A27" s="20" t="s">
        <v>332</v>
      </c>
      <c r="B27" s="21" t="s">
        <v>333</v>
      </c>
      <c r="C27" s="22" t="str">
        <f t="shared" si="0"/>
        <v>SCN_026_H</v>
      </c>
      <c r="D27" s="22" t="str">
        <f t="shared" si="1"/>
        <v>SCN_026_R</v>
      </c>
      <c r="E27" s="22" t="str">
        <f t="shared" si="2"/>
        <v>SCN_026_S</v>
      </c>
      <c r="F27" s="22">
        <v>2</v>
      </c>
      <c r="G27" s="22">
        <v>1</v>
      </c>
      <c r="H27" s="22">
        <v>0</v>
      </c>
      <c r="I27" s="22" t="s">
        <v>245</v>
      </c>
      <c r="J27" s="22" t="s">
        <v>272</v>
      </c>
      <c r="K27" s="22" t="s">
        <v>100</v>
      </c>
      <c r="L27" s="32" t="s">
        <v>260</v>
      </c>
      <c r="M27" s="21" t="s">
        <v>248</v>
      </c>
      <c r="N27" s="24" t="s">
        <v>261</v>
      </c>
      <c r="O27" s="24" t="s">
        <v>250</v>
      </c>
      <c r="P27" s="25" t="s">
        <v>262</v>
      </c>
      <c r="Q27" s="24" t="s">
        <v>252</v>
      </c>
      <c r="R27" s="24" t="s">
        <v>250</v>
      </c>
      <c r="S27" s="25" t="s">
        <v>251</v>
      </c>
      <c r="T27" s="22"/>
      <c r="U27" s="22"/>
      <c r="V27" s="22"/>
      <c r="W27" s="21" t="s">
        <v>254</v>
      </c>
      <c r="X27" s="21" t="s">
        <v>268</v>
      </c>
      <c r="Y27" s="22">
        <v>3</v>
      </c>
      <c r="Z27" s="21" t="s">
        <v>255</v>
      </c>
      <c r="AA27" s="21" t="s">
        <v>295</v>
      </c>
      <c r="AB27" s="26" t="b">
        <f>TRUE()</f>
        <v>1</v>
      </c>
      <c r="AC27" s="27"/>
      <c r="AD27" s="27"/>
      <c r="AE27" s="28" t="str">
        <f t="shared" ca="1" si="3"/>
        <v>ג'</v>
      </c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</row>
    <row r="28" spans="1:44" ht="15.75" customHeight="1">
      <c r="A28" s="20" t="s">
        <v>334</v>
      </c>
      <c r="B28" s="21" t="s">
        <v>335</v>
      </c>
      <c r="C28" s="22" t="str">
        <f t="shared" si="0"/>
        <v>SCN_027_H</v>
      </c>
      <c r="D28" s="22" t="str">
        <f t="shared" si="1"/>
        <v>SCN_027_R</v>
      </c>
      <c r="E28" s="22" t="str">
        <f t="shared" si="2"/>
        <v>SCN_027_S</v>
      </c>
      <c r="F28" s="22">
        <v>2</v>
      </c>
      <c r="G28" s="22">
        <v>1</v>
      </c>
      <c r="H28" s="22">
        <v>3</v>
      </c>
      <c r="I28" s="22" t="s">
        <v>259</v>
      </c>
      <c r="J28" s="22" t="s">
        <v>272</v>
      </c>
      <c r="K28" s="22" t="s">
        <v>91</v>
      </c>
      <c r="L28" s="32" t="s">
        <v>248</v>
      </c>
      <c r="M28" s="21" t="s">
        <v>260</v>
      </c>
      <c r="N28" s="24" t="s">
        <v>261</v>
      </c>
      <c r="O28" s="24" t="s">
        <v>250</v>
      </c>
      <c r="P28" s="25" t="s">
        <v>251</v>
      </c>
      <c r="Q28" s="24" t="s">
        <v>267</v>
      </c>
      <c r="R28" s="24" t="s">
        <v>250</v>
      </c>
      <c r="S28" s="25" t="s">
        <v>262</v>
      </c>
      <c r="T28" s="22"/>
      <c r="U28" s="22"/>
      <c r="V28" s="22"/>
      <c r="W28" s="21" t="s">
        <v>254</v>
      </c>
      <c r="X28" s="21" t="s">
        <v>268</v>
      </c>
      <c r="Y28" s="22"/>
      <c r="Z28" s="22"/>
      <c r="AA28" s="21" t="s">
        <v>269</v>
      </c>
      <c r="AB28" s="26" t="b">
        <f>TRUE()</f>
        <v>1</v>
      </c>
      <c r="AC28" s="27"/>
      <c r="AD28" s="27"/>
      <c r="AE28" s="28" t="str">
        <f t="shared" ca="1" si="3"/>
        <v>ב'</v>
      </c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</row>
    <row r="29" spans="1:44" ht="15.75" customHeight="1">
      <c r="A29" s="20" t="s">
        <v>336</v>
      </c>
      <c r="B29" s="21" t="s">
        <v>337</v>
      </c>
      <c r="C29" s="22" t="str">
        <f t="shared" si="0"/>
        <v>SCN_028_H</v>
      </c>
      <c r="D29" s="22" t="str">
        <f t="shared" si="1"/>
        <v>SCN_028_R</v>
      </c>
      <c r="E29" s="22" t="str">
        <f t="shared" si="2"/>
        <v>SCN_028_S</v>
      </c>
      <c r="F29" s="22">
        <v>2</v>
      </c>
      <c r="G29" s="22">
        <v>1</v>
      </c>
      <c r="H29" s="22">
        <v>1</v>
      </c>
      <c r="I29" s="22" t="s">
        <v>259</v>
      </c>
      <c r="J29" s="22" t="s">
        <v>272</v>
      </c>
      <c r="K29" s="22" t="s">
        <v>100</v>
      </c>
      <c r="L29" s="32" t="s">
        <v>260</v>
      </c>
      <c r="M29" s="21" t="s">
        <v>247</v>
      </c>
      <c r="N29" s="24" t="s">
        <v>273</v>
      </c>
      <c r="O29" s="24" t="s">
        <v>250</v>
      </c>
      <c r="P29" s="25" t="s">
        <v>280</v>
      </c>
      <c r="Q29" s="24" t="s">
        <v>267</v>
      </c>
      <c r="R29" s="24" t="s">
        <v>250</v>
      </c>
      <c r="S29" s="25" t="s">
        <v>253</v>
      </c>
      <c r="T29" s="22"/>
      <c r="U29" s="22"/>
      <c r="V29" s="22"/>
      <c r="W29" s="21" t="s">
        <v>254</v>
      </c>
      <c r="X29" s="21" t="s">
        <v>263</v>
      </c>
      <c r="Y29" s="22">
        <v>3</v>
      </c>
      <c r="Z29" s="21" t="s">
        <v>268</v>
      </c>
      <c r="AA29" s="21" t="s">
        <v>338</v>
      </c>
      <c r="AB29" s="26" t="b">
        <f>TRUE()</f>
        <v>1</v>
      </c>
      <c r="AC29" s="27"/>
      <c r="AD29" s="27"/>
      <c r="AE29" s="28" t="str">
        <f t="shared" ca="1" si="3"/>
        <v>ב'</v>
      </c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</row>
    <row r="30" spans="1:44" ht="15.75" customHeight="1">
      <c r="A30" s="20" t="s">
        <v>339</v>
      </c>
      <c r="B30" s="21" t="s">
        <v>340</v>
      </c>
      <c r="C30" s="22" t="str">
        <f t="shared" si="0"/>
        <v>SCN_029_H</v>
      </c>
      <c r="D30" s="22" t="str">
        <f t="shared" si="1"/>
        <v>SCN_029_R</v>
      </c>
      <c r="E30" s="22" t="str">
        <f t="shared" si="2"/>
        <v>SCN_029_S</v>
      </c>
      <c r="F30" s="22">
        <v>2</v>
      </c>
      <c r="G30" s="22">
        <v>2</v>
      </c>
      <c r="H30" s="22">
        <v>1</v>
      </c>
      <c r="I30" s="22" t="s">
        <v>259</v>
      </c>
      <c r="J30" s="22" t="s">
        <v>272</v>
      </c>
      <c r="K30" s="22" t="s">
        <v>100</v>
      </c>
      <c r="L30" s="32" t="s">
        <v>247</v>
      </c>
      <c r="M30" s="21" t="s">
        <v>260</v>
      </c>
      <c r="N30" s="24" t="s">
        <v>273</v>
      </c>
      <c r="O30" s="24" t="s">
        <v>250</v>
      </c>
      <c r="P30" s="25" t="s">
        <v>280</v>
      </c>
      <c r="Q30" s="24" t="s">
        <v>277</v>
      </c>
      <c r="R30" s="24" t="s">
        <v>250</v>
      </c>
      <c r="S30" s="25" t="s">
        <v>251</v>
      </c>
      <c r="T30" s="22"/>
      <c r="U30" s="22"/>
      <c r="V30" s="22"/>
      <c r="W30" s="21" t="s">
        <v>254</v>
      </c>
      <c r="X30" s="21" t="s">
        <v>255</v>
      </c>
      <c r="Y30" s="22">
        <v>1</v>
      </c>
      <c r="Z30" s="21" t="s">
        <v>263</v>
      </c>
      <c r="AA30" s="21" t="s">
        <v>341</v>
      </c>
      <c r="AB30" s="26" t="b">
        <f>TRUE()</f>
        <v>1</v>
      </c>
      <c r="AC30" s="27"/>
      <c r="AD30" s="27"/>
      <c r="AE30" s="28" t="str">
        <f t="shared" ca="1" si="3"/>
        <v>ב'</v>
      </c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</row>
    <row r="31" spans="1:44" ht="15.75" customHeight="1">
      <c r="A31" s="20" t="s">
        <v>342</v>
      </c>
      <c r="B31" s="21" t="s">
        <v>343</v>
      </c>
      <c r="C31" s="22" t="str">
        <f t="shared" si="0"/>
        <v>SCN_030_H</v>
      </c>
      <c r="D31" s="22" t="str">
        <f t="shared" si="1"/>
        <v>SCN_030_R</v>
      </c>
      <c r="E31" s="22" t="str">
        <f t="shared" si="2"/>
        <v>SCN_030_S</v>
      </c>
      <c r="F31" s="22">
        <v>1</v>
      </c>
      <c r="G31" s="22">
        <v>3</v>
      </c>
      <c r="H31" s="22">
        <v>0</v>
      </c>
      <c r="I31" s="22" t="s">
        <v>259</v>
      </c>
      <c r="J31" s="22" t="s">
        <v>272</v>
      </c>
      <c r="K31" s="22" t="s">
        <v>91</v>
      </c>
      <c r="L31" s="32" t="s">
        <v>247</v>
      </c>
      <c r="M31" s="21" t="s">
        <v>248</v>
      </c>
      <c r="N31" s="24" t="s">
        <v>249</v>
      </c>
      <c r="O31" s="24" t="s">
        <v>250</v>
      </c>
      <c r="P31" s="25" t="s">
        <v>286</v>
      </c>
      <c r="Q31" s="24" t="s">
        <v>277</v>
      </c>
      <c r="R31" s="24" t="s">
        <v>250</v>
      </c>
      <c r="S31" s="25" t="s">
        <v>286</v>
      </c>
      <c r="T31" s="22"/>
      <c r="U31" s="22"/>
      <c r="V31" s="22"/>
      <c r="W31" s="21" t="s">
        <v>254</v>
      </c>
      <c r="X31" s="21" t="s">
        <v>268</v>
      </c>
      <c r="Y31" s="22"/>
      <c r="Z31" s="22"/>
      <c r="AA31" s="21" t="s">
        <v>269</v>
      </c>
      <c r="AB31" s="26" t="b">
        <f>TRUE()</f>
        <v>1</v>
      </c>
      <c r="AC31" s="27"/>
      <c r="AD31" s="27"/>
      <c r="AE31" s="28" t="str">
        <f t="shared" ca="1" si="3"/>
        <v>ג'</v>
      </c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</row>
    <row r="32" spans="1:44" ht="15.75" customHeight="1">
      <c r="A32" s="20" t="s">
        <v>344</v>
      </c>
      <c r="B32" s="21" t="s">
        <v>345</v>
      </c>
      <c r="C32" s="22" t="str">
        <f t="shared" si="0"/>
        <v>SCN_031_H</v>
      </c>
      <c r="D32" s="22" t="str">
        <f t="shared" si="1"/>
        <v>SCN_031_R</v>
      </c>
      <c r="E32" s="22" t="str">
        <f t="shared" si="2"/>
        <v>SCN_031_S</v>
      </c>
      <c r="F32" s="22">
        <v>1</v>
      </c>
      <c r="G32" s="22">
        <v>1</v>
      </c>
      <c r="H32" s="22">
        <v>1</v>
      </c>
      <c r="I32" s="22" t="s">
        <v>245</v>
      </c>
      <c r="J32" s="22" t="s">
        <v>246</v>
      </c>
      <c r="K32" s="22" t="s">
        <v>100</v>
      </c>
      <c r="L32" s="32" t="s">
        <v>247</v>
      </c>
      <c r="M32" s="21" t="s">
        <v>260</v>
      </c>
      <c r="N32" s="24" t="s">
        <v>249</v>
      </c>
      <c r="O32" s="24" t="s">
        <v>250</v>
      </c>
      <c r="P32" s="25" t="s">
        <v>274</v>
      </c>
      <c r="Q32" s="24" t="s">
        <v>252</v>
      </c>
      <c r="R32" s="24" t="s">
        <v>250</v>
      </c>
      <c r="S32" s="25" t="s">
        <v>262</v>
      </c>
      <c r="T32" s="22"/>
      <c r="U32" s="22"/>
      <c r="V32" s="22"/>
      <c r="W32" s="21" t="s">
        <v>254</v>
      </c>
      <c r="X32" s="21" t="s">
        <v>263</v>
      </c>
      <c r="Y32" s="22">
        <v>2</v>
      </c>
      <c r="Z32" s="21" t="s">
        <v>268</v>
      </c>
      <c r="AA32" s="21" t="s">
        <v>300</v>
      </c>
      <c r="AB32" s="26" t="b">
        <f>TRUE()</f>
        <v>1</v>
      </c>
      <c r="AC32" s="27"/>
      <c r="AD32" s="27"/>
      <c r="AE32" s="28" t="str">
        <f t="shared" ca="1" si="3"/>
        <v>ג'</v>
      </c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</row>
    <row r="33" spans="1:44" ht="15.75" customHeight="1">
      <c r="A33" s="20" t="s">
        <v>346</v>
      </c>
      <c r="B33" s="21" t="s">
        <v>258</v>
      </c>
      <c r="C33" s="22" t="str">
        <f t="shared" si="0"/>
        <v>SCN_032_H</v>
      </c>
      <c r="D33" s="22" t="str">
        <f t="shared" si="1"/>
        <v>SCN_032_R</v>
      </c>
      <c r="E33" s="22" t="str">
        <f t="shared" si="2"/>
        <v>SCN_032_S</v>
      </c>
      <c r="F33" s="22">
        <v>2</v>
      </c>
      <c r="G33" s="22">
        <v>1</v>
      </c>
      <c r="H33" s="22">
        <v>1</v>
      </c>
      <c r="I33" s="22" t="s">
        <v>259</v>
      </c>
      <c r="J33" s="22" t="s">
        <v>246</v>
      </c>
      <c r="K33" s="22" t="s">
        <v>100</v>
      </c>
      <c r="L33" s="32" t="s">
        <v>247</v>
      </c>
      <c r="M33" s="21" t="s">
        <v>248</v>
      </c>
      <c r="N33" s="33" t="s">
        <v>347</v>
      </c>
      <c r="O33" s="33" t="s">
        <v>348</v>
      </c>
      <c r="P33" s="34" t="s">
        <v>253</v>
      </c>
      <c r="Q33" s="33" t="s">
        <v>349</v>
      </c>
      <c r="R33" s="33" t="s">
        <v>348</v>
      </c>
      <c r="S33" s="34" t="s">
        <v>251</v>
      </c>
      <c r="T33" s="22"/>
      <c r="U33" s="22"/>
      <c r="V33" s="22"/>
      <c r="W33" s="21" t="s">
        <v>254</v>
      </c>
      <c r="X33" s="21" t="s">
        <v>255</v>
      </c>
      <c r="Y33" s="22">
        <v>2</v>
      </c>
      <c r="Z33" s="21" t="s">
        <v>263</v>
      </c>
      <c r="AA33" s="21" t="s">
        <v>303</v>
      </c>
      <c r="AB33" s="26" t="b">
        <f>TRUE()</f>
        <v>1</v>
      </c>
      <c r="AC33" s="27"/>
      <c r="AD33" s="27"/>
      <c r="AE33" s="28" t="str">
        <f t="shared" ca="1" si="3"/>
        <v>ב'</v>
      </c>
      <c r="AF33" s="27"/>
      <c r="AG33" s="27"/>
      <c r="AH33" s="27"/>
      <c r="AI33" s="27"/>
      <c r="AJ33" s="27"/>
      <c r="AK33" s="27"/>
      <c r="AL33" s="27"/>
      <c r="AM33" s="34"/>
      <c r="AN33" s="34"/>
      <c r="AO33" s="34"/>
      <c r="AP33" s="34"/>
      <c r="AQ33" s="34"/>
      <c r="AR33" s="34"/>
    </row>
    <row r="34" spans="1:44" ht="15.75" customHeight="1">
      <c r="A34" s="35" t="s">
        <v>350</v>
      </c>
      <c r="B34" s="36" t="s">
        <v>266</v>
      </c>
      <c r="C34" s="36" t="str">
        <f t="shared" si="0"/>
        <v>SCN_033_H</v>
      </c>
      <c r="D34" s="36" t="str">
        <f t="shared" si="1"/>
        <v>SCN_033_R</v>
      </c>
      <c r="E34" s="36" t="str">
        <f t="shared" si="2"/>
        <v>SCN_033_S</v>
      </c>
      <c r="F34" s="36">
        <v>3</v>
      </c>
      <c r="G34" s="36">
        <v>2</v>
      </c>
      <c r="H34" s="36">
        <v>1</v>
      </c>
      <c r="I34" s="37" t="s">
        <v>259</v>
      </c>
      <c r="J34" s="37" t="s">
        <v>246</v>
      </c>
      <c r="K34" s="22" t="s">
        <v>100</v>
      </c>
      <c r="L34" s="38" t="s">
        <v>248</v>
      </c>
      <c r="M34" s="21" t="s">
        <v>247</v>
      </c>
      <c r="N34" s="33" t="s">
        <v>347</v>
      </c>
      <c r="O34" s="33" t="s">
        <v>348</v>
      </c>
      <c r="P34" s="34" t="s">
        <v>262</v>
      </c>
      <c r="Q34" s="33" t="s">
        <v>351</v>
      </c>
      <c r="R34" s="33" t="s">
        <v>348</v>
      </c>
      <c r="S34" s="34" t="s">
        <v>253</v>
      </c>
      <c r="T34" s="37"/>
      <c r="U34" s="37"/>
      <c r="V34" s="37"/>
      <c r="W34" s="36" t="s">
        <v>254</v>
      </c>
      <c r="X34" s="21" t="s">
        <v>268</v>
      </c>
      <c r="Y34" s="22">
        <v>2</v>
      </c>
      <c r="Z34" s="21" t="s">
        <v>255</v>
      </c>
      <c r="AA34" s="21" t="s">
        <v>319</v>
      </c>
      <c r="AB34" s="39" t="b">
        <f>TRUE()</f>
        <v>1</v>
      </c>
      <c r="AC34" s="27"/>
      <c r="AD34" s="27"/>
      <c r="AE34" s="28" t="str">
        <f t="shared" ca="1" si="3"/>
        <v>ב'</v>
      </c>
      <c r="AF34" s="27"/>
      <c r="AG34" s="27"/>
      <c r="AH34" s="27"/>
      <c r="AI34" s="27"/>
      <c r="AJ34" s="27"/>
      <c r="AK34" s="27"/>
      <c r="AL34" s="27"/>
      <c r="AM34" s="34"/>
      <c r="AN34" s="34"/>
      <c r="AO34" s="34"/>
      <c r="AP34" s="34"/>
      <c r="AQ34" s="34"/>
      <c r="AR34" s="34"/>
    </row>
    <row r="35" spans="1:44" ht="15.75" customHeight="1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34"/>
      <c r="AN35" s="34"/>
      <c r="AO35" s="34"/>
      <c r="AP35" s="34"/>
      <c r="AQ35" s="34"/>
      <c r="AR35" s="34"/>
    </row>
    <row r="36" spans="1:44" ht="15.75" customHeight="1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</row>
    <row r="37" spans="1:44" ht="15.75" customHeight="1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7"/>
      <c r="T37" s="27"/>
      <c r="U37" s="27"/>
      <c r="V37" s="27"/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  <c r="AH37" s="27"/>
      <c r="AI37" s="27"/>
      <c r="AJ37" s="27"/>
      <c r="AK37" s="27"/>
      <c r="AL37" s="27"/>
      <c r="AM37" s="27"/>
      <c r="AN37" s="27"/>
      <c r="AO37" s="27"/>
      <c r="AP37" s="27"/>
      <c r="AQ37" s="27"/>
      <c r="AR37" s="27"/>
    </row>
    <row r="38" spans="1:44" ht="15.75" customHeight="1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</row>
    <row r="39" spans="1:44" ht="15.75" customHeight="1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7"/>
      <c r="T39" s="27"/>
      <c r="U39" s="27"/>
      <c r="V39" s="27"/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  <c r="AH39" s="27"/>
      <c r="AI39" s="27"/>
      <c r="AJ39" s="27"/>
      <c r="AK39" s="27"/>
      <c r="AL39" s="27"/>
      <c r="AM39" s="27"/>
      <c r="AN39" s="27"/>
      <c r="AO39" s="27"/>
      <c r="AP39" s="27"/>
      <c r="AQ39" s="27"/>
      <c r="AR39" s="27"/>
    </row>
    <row r="40" spans="1:44" ht="15.75" customHeight="1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</row>
    <row r="41" spans="1:44" ht="15.75" customHeight="1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</row>
    <row r="42" spans="1:44" ht="15.75" customHeight="1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</row>
    <row r="43" spans="1:44" ht="15.75" customHeight="1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</row>
    <row r="44" spans="1:44" ht="15.75" customHeight="1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</row>
    <row r="45" spans="1:44" ht="15.75" customHeight="1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</row>
    <row r="46" spans="1:44" ht="15.75" customHeight="1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</row>
    <row r="47" spans="1:44" ht="15.75" customHeight="1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</row>
    <row r="48" spans="1:44" ht="15.75" customHeight="1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</row>
    <row r="49" spans="1:44" ht="15.75" customHeight="1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</row>
    <row r="50" spans="1:44" ht="15.75" customHeight="1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</row>
    <row r="51" spans="1:44" ht="15.75" customHeight="1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</row>
    <row r="52" spans="1:44" ht="15.75" customHeight="1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</row>
    <row r="53" spans="1:44" ht="15.75" customHeight="1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</row>
    <row r="54" spans="1:44" ht="15.75" customHeight="1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</row>
    <row r="55" spans="1:44" ht="15.75" customHeight="1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</row>
    <row r="56" spans="1:44" ht="15.75" customHeight="1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</row>
    <row r="57" spans="1:44" ht="15.75" customHeight="1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</row>
    <row r="58" spans="1:44" ht="15.75" customHeight="1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</row>
    <row r="59" spans="1:44" ht="15.75" customHeight="1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</row>
    <row r="60" spans="1:44" ht="15.75" customHeight="1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</row>
    <row r="61" spans="1:44" ht="15.75" customHeight="1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</row>
    <row r="62" spans="1:44" ht="15.75" customHeight="1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</row>
    <row r="63" spans="1:44" ht="15.75" customHeight="1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</row>
    <row r="64" spans="1:44" ht="15.75" customHeight="1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</row>
    <row r="65" spans="1:44" ht="15.75" customHeight="1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</row>
    <row r="66" spans="1:44" ht="15.75" customHeight="1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</row>
    <row r="67" spans="1:44" ht="15.75" customHeight="1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</row>
    <row r="68" spans="1:44" ht="15.75" customHeight="1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</row>
    <row r="69" spans="1:44" ht="15.75" customHeight="1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</row>
    <row r="70" spans="1:44" ht="15.75" customHeight="1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</row>
    <row r="71" spans="1:44" ht="15.75" customHeight="1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</row>
    <row r="72" spans="1:44" ht="15.75" customHeight="1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</row>
    <row r="73" spans="1:44" ht="15.75" customHeight="1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</row>
    <row r="74" spans="1:44" ht="15.75" customHeight="1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</row>
    <row r="75" spans="1:44" ht="15.75" customHeight="1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</row>
    <row r="76" spans="1:44" ht="15.75" customHeight="1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</row>
    <row r="77" spans="1:44" ht="15.75" customHeight="1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</row>
    <row r="78" spans="1:44" ht="15.75" customHeight="1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</row>
    <row r="79" spans="1:44" ht="15.75" customHeight="1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</row>
    <row r="80" spans="1:44" ht="15.75" customHeight="1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</row>
    <row r="81" spans="1:44" ht="15.75" customHeight="1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</row>
    <row r="82" spans="1:44" ht="15.75" customHeight="1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</row>
    <row r="83" spans="1:44" ht="15.75" customHeight="1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</row>
    <row r="84" spans="1:44" ht="15.75" customHeight="1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</row>
    <row r="85" spans="1:44" ht="15.75" customHeight="1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</row>
    <row r="86" spans="1:44" ht="15.75" customHeight="1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</row>
    <row r="87" spans="1:44" ht="15.75" customHeight="1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</row>
    <row r="88" spans="1:44" ht="15.75" customHeight="1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</row>
    <row r="89" spans="1:44" ht="15.75" customHeight="1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</row>
    <row r="90" spans="1:44" ht="15.75" customHeight="1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</row>
    <row r="91" spans="1:44" ht="15.75" customHeight="1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</row>
    <row r="92" spans="1:44" ht="15.75" customHeight="1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</row>
    <row r="93" spans="1:44" ht="15.75" customHeight="1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</row>
    <row r="94" spans="1:44" ht="15.75" customHeight="1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</row>
    <row r="95" spans="1:44" ht="15.75" customHeight="1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</row>
    <row r="96" spans="1:44" ht="15.75" customHeight="1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</row>
    <row r="97" spans="1:44" ht="15.75" customHeight="1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</row>
    <row r="98" spans="1:44" ht="15.75" customHeight="1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</row>
    <row r="99" spans="1:44" ht="15.75" customHeight="1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</row>
    <row r="100" spans="1:44" ht="15.75" customHeight="1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</row>
    <row r="101" spans="1:44" ht="15.75" customHeight="1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</row>
    <row r="102" spans="1:44" ht="15.75" customHeight="1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</row>
    <row r="103" spans="1:44" ht="15.75" customHeight="1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</row>
    <row r="104" spans="1:44" ht="15.75" customHeight="1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</row>
    <row r="105" spans="1:44" ht="15.75" customHeight="1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</row>
    <row r="106" spans="1:44" ht="15.75" customHeight="1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</row>
    <row r="107" spans="1:44" ht="15.75" customHeight="1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</row>
    <row r="108" spans="1:44" ht="15.75" customHeight="1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  <c r="W108" s="27"/>
      <c r="X108" s="27"/>
      <c r="Y108" s="27"/>
      <c r="Z108" s="27"/>
      <c r="AA108" s="27"/>
      <c r="AB108" s="27"/>
      <c r="AC108" s="27"/>
      <c r="AD108" s="27"/>
      <c r="AE108" s="27"/>
      <c r="AF108" s="27"/>
      <c r="AG108" s="27"/>
      <c r="AH108" s="27"/>
      <c r="AI108" s="27"/>
      <c r="AJ108" s="27"/>
      <c r="AK108" s="27"/>
      <c r="AL108" s="27"/>
      <c r="AM108" s="27"/>
      <c r="AN108" s="27"/>
      <c r="AO108" s="27"/>
      <c r="AP108" s="27"/>
      <c r="AQ108" s="27"/>
      <c r="AR108" s="27"/>
    </row>
    <row r="109" spans="1:44" ht="15.75" customHeight="1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  <c r="W109" s="27"/>
      <c r="X109" s="27"/>
      <c r="Y109" s="27"/>
      <c r="Z109" s="27"/>
      <c r="AA109" s="27"/>
      <c r="AB109" s="27"/>
      <c r="AC109" s="27"/>
      <c r="AD109" s="27"/>
      <c r="AE109" s="27"/>
      <c r="AF109" s="27"/>
      <c r="AG109" s="27"/>
      <c r="AH109" s="27"/>
      <c r="AI109" s="27"/>
      <c r="AJ109" s="27"/>
      <c r="AK109" s="27"/>
      <c r="AL109" s="27"/>
      <c r="AM109" s="27"/>
      <c r="AN109" s="27"/>
      <c r="AO109" s="27"/>
      <c r="AP109" s="27"/>
      <c r="AQ109" s="27"/>
      <c r="AR109" s="27"/>
    </row>
    <row r="110" spans="1:44" ht="15.75" customHeight="1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  <c r="W110" s="27"/>
      <c r="X110" s="27"/>
      <c r="Y110" s="27"/>
      <c r="Z110" s="27"/>
      <c r="AA110" s="27"/>
      <c r="AB110" s="27"/>
      <c r="AC110" s="27"/>
      <c r="AD110" s="27"/>
      <c r="AE110" s="27"/>
      <c r="AF110" s="27"/>
      <c r="AG110" s="27"/>
      <c r="AH110" s="27"/>
      <c r="AI110" s="27"/>
      <c r="AJ110" s="27"/>
      <c r="AK110" s="27"/>
      <c r="AL110" s="27"/>
      <c r="AM110" s="27"/>
      <c r="AN110" s="27"/>
      <c r="AO110" s="27"/>
      <c r="AP110" s="27"/>
      <c r="AQ110" s="27"/>
      <c r="AR110" s="27"/>
    </row>
    <row r="111" spans="1:44" ht="15.75" customHeight="1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  <c r="W111" s="27"/>
      <c r="X111" s="27"/>
      <c r="Y111" s="27"/>
      <c r="Z111" s="27"/>
      <c r="AA111" s="27"/>
      <c r="AB111" s="27"/>
      <c r="AC111" s="27"/>
      <c r="AD111" s="27"/>
      <c r="AE111" s="27"/>
      <c r="AF111" s="27"/>
      <c r="AG111" s="27"/>
      <c r="AH111" s="27"/>
      <c r="AI111" s="27"/>
      <c r="AJ111" s="27"/>
      <c r="AK111" s="27"/>
      <c r="AL111" s="27"/>
      <c r="AM111" s="27"/>
      <c r="AN111" s="27"/>
      <c r="AO111" s="27"/>
      <c r="AP111" s="27"/>
      <c r="AQ111" s="27"/>
      <c r="AR111" s="27"/>
    </row>
    <row r="112" spans="1:44" ht="15.75" customHeight="1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7"/>
      <c r="T112" s="27"/>
      <c r="U112" s="27"/>
      <c r="V112" s="27"/>
      <c r="W112" s="27"/>
      <c r="X112" s="27"/>
      <c r="Y112" s="27"/>
      <c r="Z112" s="27"/>
      <c r="AA112" s="27"/>
      <c r="AB112" s="27"/>
      <c r="AC112" s="27"/>
      <c r="AD112" s="27"/>
      <c r="AE112" s="27"/>
      <c r="AF112" s="27"/>
      <c r="AG112" s="27"/>
      <c r="AH112" s="27"/>
      <c r="AI112" s="27"/>
      <c r="AJ112" s="27"/>
      <c r="AK112" s="27"/>
      <c r="AL112" s="27"/>
      <c r="AM112" s="27"/>
      <c r="AN112" s="27"/>
      <c r="AO112" s="27"/>
      <c r="AP112" s="27"/>
      <c r="AQ112" s="27"/>
      <c r="AR112" s="27"/>
    </row>
    <row r="113" spans="1:44" ht="15.75" customHeight="1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7"/>
      <c r="T113" s="27"/>
      <c r="U113" s="27"/>
      <c r="V113" s="27"/>
      <c r="W113" s="27"/>
      <c r="X113" s="27"/>
      <c r="Y113" s="27"/>
      <c r="Z113" s="27"/>
      <c r="AA113" s="27"/>
      <c r="AB113" s="27"/>
      <c r="AC113" s="27"/>
      <c r="AD113" s="27"/>
      <c r="AE113" s="27"/>
      <c r="AF113" s="27"/>
      <c r="AG113" s="27"/>
      <c r="AH113" s="27"/>
      <c r="AI113" s="27"/>
      <c r="AJ113" s="27"/>
      <c r="AK113" s="27"/>
      <c r="AL113" s="27"/>
      <c r="AM113" s="27"/>
      <c r="AN113" s="27"/>
      <c r="AO113" s="27"/>
      <c r="AP113" s="27"/>
      <c r="AQ113" s="27"/>
      <c r="AR113" s="27"/>
    </row>
    <row r="114" spans="1:44" ht="15.75" customHeight="1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7"/>
      <c r="T114" s="27"/>
      <c r="U114" s="27"/>
      <c r="V114" s="27"/>
      <c r="W114" s="27"/>
      <c r="X114" s="27"/>
      <c r="Y114" s="27"/>
      <c r="Z114" s="27"/>
      <c r="AA114" s="27"/>
      <c r="AB114" s="27"/>
      <c r="AC114" s="27"/>
      <c r="AD114" s="27"/>
      <c r="AE114" s="27"/>
      <c r="AF114" s="27"/>
      <c r="AG114" s="27"/>
      <c r="AH114" s="27"/>
      <c r="AI114" s="27"/>
      <c r="AJ114" s="27"/>
      <c r="AK114" s="27"/>
      <c r="AL114" s="27"/>
      <c r="AM114" s="27"/>
      <c r="AN114" s="27"/>
      <c r="AO114" s="27"/>
      <c r="AP114" s="27"/>
      <c r="AQ114" s="27"/>
      <c r="AR114" s="27"/>
    </row>
    <row r="115" spans="1:44" ht="15.75" customHeight="1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7"/>
      <c r="T115" s="27"/>
      <c r="U115" s="27"/>
      <c r="V115" s="27"/>
      <c r="W115" s="27"/>
      <c r="X115" s="27"/>
      <c r="Y115" s="27"/>
      <c r="Z115" s="27"/>
      <c r="AA115" s="27"/>
      <c r="AB115" s="27"/>
      <c r="AC115" s="27"/>
      <c r="AD115" s="27"/>
      <c r="AE115" s="27"/>
      <c r="AF115" s="27"/>
      <c r="AG115" s="27"/>
      <c r="AH115" s="27"/>
      <c r="AI115" s="27"/>
      <c r="AJ115" s="27"/>
      <c r="AK115" s="27"/>
      <c r="AL115" s="27"/>
      <c r="AM115" s="27"/>
      <c r="AN115" s="27"/>
      <c r="AO115" s="27"/>
      <c r="AP115" s="27"/>
      <c r="AQ115" s="27"/>
      <c r="AR115" s="27"/>
    </row>
    <row r="116" spans="1:44" ht="15.75" customHeight="1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7"/>
      <c r="T116" s="27"/>
      <c r="U116" s="27"/>
      <c r="V116" s="27"/>
      <c r="W116" s="27"/>
      <c r="X116" s="27"/>
      <c r="Y116" s="27"/>
      <c r="Z116" s="27"/>
      <c r="AA116" s="27"/>
      <c r="AB116" s="27"/>
      <c r="AC116" s="27"/>
      <c r="AD116" s="27"/>
      <c r="AE116" s="27"/>
      <c r="AF116" s="27"/>
      <c r="AG116" s="27"/>
      <c r="AH116" s="27"/>
      <c r="AI116" s="27"/>
      <c r="AJ116" s="27"/>
      <c r="AK116" s="27"/>
      <c r="AL116" s="27"/>
      <c r="AM116" s="27"/>
      <c r="AN116" s="27"/>
      <c r="AO116" s="27"/>
      <c r="AP116" s="27"/>
      <c r="AQ116" s="27"/>
      <c r="AR116" s="27"/>
    </row>
    <row r="117" spans="1:44" ht="15.75" customHeight="1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7"/>
      <c r="T117" s="27"/>
      <c r="U117" s="27"/>
      <c r="V117" s="27"/>
      <c r="W117" s="27"/>
      <c r="X117" s="27"/>
      <c r="Y117" s="27"/>
      <c r="Z117" s="27"/>
      <c r="AA117" s="27"/>
      <c r="AB117" s="27"/>
      <c r="AC117" s="27"/>
      <c r="AD117" s="27"/>
      <c r="AE117" s="27"/>
      <c r="AF117" s="27"/>
      <c r="AG117" s="27"/>
      <c r="AH117" s="27"/>
      <c r="AI117" s="27"/>
      <c r="AJ117" s="27"/>
      <c r="AK117" s="27"/>
      <c r="AL117" s="27"/>
      <c r="AM117" s="27"/>
      <c r="AN117" s="27"/>
      <c r="AO117" s="27"/>
      <c r="AP117" s="27"/>
      <c r="AQ117" s="27"/>
      <c r="AR117" s="27"/>
    </row>
    <row r="118" spans="1:44" ht="15.75" customHeight="1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7"/>
      <c r="T118" s="27"/>
      <c r="U118" s="27"/>
      <c r="V118" s="27"/>
      <c r="W118" s="27"/>
      <c r="X118" s="27"/>
      <c r="Y118" s="27"/>
      <c r="Z118" s="27"/>
      <c r="AA118" s="27"/>
      <c r="AB118" s="27"/>
      <c r="AC118" s="27"/>
      <c r="AD118" s="27"/>
      <c r="AE118" s="27"/>
      <c r="AF118" s="27"/>
      <c r="AG118" s="27"/>
      <c r="AH118" s="27"/>
      <c r="AI118" s="27"/>
      <c r="AJ118" s="27"/>
      <c r="AK118" s="27"/>
      <c r="AL118" s="27"/>
      <c r="AM118" s="27"/>
      <c r="AN118" s="27"/>
      <c r="AO118" s="27"/>
      <c r="AP118" s="27"/>
      <c r="AQ118" s="27"/>
      <c r="AR118" s="27"/>
    </row>
    <row r="119" spans="1:44" ht="15.75" customHeight="1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27"/>
      <c r="Y119" s="27"/>
      <c r="Z119" s="27"/>
      <c r="AA119" s="27"/>
      <c r="AB119" s="27"/>
      <c r="AC119" s="27"/>
      <c r="AD119" s="27"/>
      <c r="AE119" s="27"/>
      <c r="AF119" s="27"/>
      <c r="AG119" s="27"/>
      <c r="AH119" s="27"/>
      <c r="AI119" s="27"/>
      <c r="AJ119" s="27"/>
      <c r="AK119" s="27"/>
      <c r="AL119" s="27"/>
      <c r="AM119" s="27"/>
      <c r="AN119" s="27"/>
      <c r="AO119" s="27"/>
      <c r="AP119" s="27"/>
      <c r="AQ119" s="27"/>
      <c r="AR119" s="27"/>
    </row>
    <row r="120" spans="1:44" ht="15.75" customHeight="1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7"/>
      <c r="T120" s="27"/>
      <c r="U120" s="27"/>
      <c r="V120" s="27"/>
      <c r="W120" s="27"/>
      <c r="X120" s="27"/>
      <c r="Y120" s="27"/>
      <c r="Z120" s="27"/>
      <c r="AA120" s="27"/>
      <c r="AB120" s="27"/>
      <c r="AC120" s="27"/>
      <c r="AD120" s="27"/>
      <c r="AE120" s="27"/>
      <c r="AF120" s="27"/>
      <c r="AG120" s="27"/>
      <c r="AH120" s="27"/>
      <c r="AI120" s="27"/>
      <c r="AJ120" s="27"/>
      <c r="AK120" s="27"/>
      <c r="AL120" s="27"/>
      <c r="AM120" s="27"/>
      <c r="AN120" s="27"/>
      <c r="AO120" s="27"/>
      <c r="AP120" s="27"/>
      <c r="AQ120" s="27"/>
      <c r="AR120" s="27"/>
    </row>
    <row r="121" spans="1:44" ht="15.75" customHeight="1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7"/>
      <c r="T121" s="27"/>
      <c r="U121" s="27"/>
      <c r="V121" s="27"/>
      <c r="W121" s="27"/>
      <c r="X121" s="27"/>
      <c r="Y121" s="27"/>
      <c r="Z121" s="27"/>
      <c r="AA121" s="27"/>
      <c r="AB121" s="27"/>
      <c r="AC121" s="27"/>
      <c r="AD121" s="27"/>
      <c r="AE121" s="27"/>
      <c r="AF121" s="27"/>
      <c r="AG121" s="27"/>
      <c r="AH121" s="27"/>
      <c r="AI121" s="27"/>
      <c r="AJ121" s="27"/>
      <c r="AK121" s="27"/>
      <c r="AL121" s="27"/>
      <c r="AM121" s="27"/>
      <c r="AN121" s="27"/>
      <c r="AO121" s="27"/>
      <c r="AP121" s="27"/>
      <c r="AQ121" s="27"/>
      <c r="AR121" s="27"/>
    </row>
    <row r="122" spans="1:44" ht="15.75" customHeight="1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7"/>
      <c r="T122" s="27"/>
      <c r="U122" s="27"/>
      <c r="V122" s="27"/>
      <c r="W122" s="27"/>
      <c r="X122" s="27"/>
      <c r="Y122" s="27"/>
      <c r="Z122" s="27"/>
      <c r="AA122" s="27"/>
      <c r="AB122" s="27"/>
      <c r="AC122" s="27"/>
      <c r="AD122" s="27"/>
      <c r="AE122" s="27"/>
      <c r="AF122" s="27"/>
      <c r="AG122" s="27"/>
      <c r="AH122" s="27"/>
      <c r="AI122" s="27"/>
      <c r="AJ122" s="27"/>
      <c r="AK122" s="27"/>
      <c r="AL122" s="27"/>
      <c r="AM122" s="27"/>
      <c r="AN122" s="27"/>
      <c r="AO122" s="27"/>
      <c r="AP122" s="27"/>
      <c r="AQ122" s="27"/>
      <c r="AR122" s="27"/>
    </row>
    <row r="123" spans="1:44" ht="15.75" customHeight="1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  <c r="AA123" s="27"/>
      <c r="AB123" s="27"/>
      <c r="AC123" s="27"/>
      <c r="AD123" s="27"/>
      <c r="AE123" s="27"/>
      <c r="AF123" s="27"/>
      <c r="AG123" s="27"/>
      <c r="AH123" s="27"/>
      <c r="AI123" s="27"/>
      <c r="AJ123" s="27"/>
      <c r="AK123" s="27"/>
      <c r="AL123" s="27"/>
      <c r="AM123" s="27"/>
      <c r="AN123" s="27"/>
      <c r="AO123" s="27"/>
      <c r="AP123" s="27"/>
      <c r="AQ123" s="27"/>
      <c r="AR123" s="27"/>
    </row>
    <row r="124" spans="1:44" ht="15.75" customHeight="1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  <c r="AA124" s="27"/>
      <c r="AB124" s="27"/>
      <c r="AC124" s="27"/>
      <c r="AD124" s="27"/>
      <c r="AE124" s="27"/>
      <c r="AF124" s="27"/>
      <c r="AG124" s="27"/>
      <c r="AH124" s="27"/>
      <c r="AI124" s="27"/>
      <c r="AJ124" s="27"/>
      <c r="AK124" s="27"/>
      <c r="AL124" s="27"/>
      <c r="AM124" s="27"/>
      <c r="AN124" s="27"/>
      <c r="AO124" s="27"/>
      <c r="AP124" s="27"/>
      <c r="AQ124" s="27"/>
      <c r="AR124" s="27"/>
    </row>
    <row r="125" spans="1:44" ht="15.75" customHeight="1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  <c r="AA125" s="27"/>
      <c r="AB125" s="27"/>
      <c r="AC125" s="27"/>
      <c r="AD125" s="27"/>
      <c r="AE125" s="27"/>
      <c r="AF125" s="27"/>
      <c r="AG125" s="27"/>
      <c r="AH125" s="27"/>
      <c r="AI125" s="27"/>
      <c r="AJ125" s="27"/>
      <c r="AK125" s="27"/>
      <c r="AL125" s="27"/>
      <c r="AM125" s="27"/>
      <c r="AN125" s="27"/>
      <c r="AO125" s="27"/>
      <c r="AP125" s="27"/>
      <c r="AQ125" s="27"/>
      <c r="AR125" s="27"/>
    </row>
    <row r="126" spans="1:44" ht="15.75" customHeight="1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</row>
    <row r="127" spans="1:44" ht="15.75" customHeight="1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7"/>
      <c r="T127" s="27"/>
      <c r="U127" s="27"/>
      <c r="V127" s="27"/>
      <c r="W127" s="27"/>
      <c r="X127" s="27"/>
      <c r="Y127" s="27"/>
      <c r="Z127" s="27"/>
      <c r="AA127" s="27"/>
      <c r="AB127" s="27"/>
      <c r="AC127" s="27"/>
      <c r="AD127" s="27"/>
      <c r="AE127" s="27"/>
      <c r="AF127" s="27"/>
      <c r="AG127" s="27"/>
      <c r="AH127" s="27"/>
      <c r="AI127" s="27"/>
      <c r="AJ127" s="27"/>
      <c r="AK127" s="27"/>
      <c r="AL127" s="27"/>
      <c r="AM127" s="27"/>
      <c r="AN127" s="27"/>
      <c r="AO127" s="27"/>
      <c r="AP127" s="27"/>
      <c r="AQ127" s="27"/>
      <c r="AR127" s="27"/>
    </row>
    <row r="128" spans="1:44" ht="15.75" customHeight="1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7"/>
      <c r="T128" s="27"/>
      <c r="U128" s="27"/>
      <c r="V128" s="27"/>
      <c r="W128" s="27"/>
      <c r="X128" s="27"/>
      <c r="Y128" s="27"/>
      <c r="Z128" s="27"/>
      <c r="AA128" s="27"/>
      <c r="AB128" s="27"/>
      <c r="AC128" s="27"/>
      <c r="AD128" s="27"/>
      <c r="AE128" s="27"/>
      <c r="AF128" s="27"/>
      <c r="AG128" s="27"/>
      <c r="AH128" s="27"/>
      <c r="AI128" s="27"/>
      <c r="AJ128" s="27"/>
      <c r="AK128" s="27"/>
      <c r="AL128" s="27"/>
      <c r="AM128" s="27"/>
      <c r="AN128" s="27"/>
      <c r="AO128" s="27"/>
      <c r="AP128" s="27"/>
      <c r="AQ128" s="27"/>
      <c r="AR128" s="27"/>
    </row>
    <row r="129" spans="1:44" ht="15.75" customHeight="1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</row>
    <row r="130" spans="1:44" ht="15.75" customHeight="1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7"/>
      <c r="T130" s="27"/>
      <c r="U130" s="27"/>
      <c r="V130" s="27"/>
      <c r="W130" s="27"/>
      <c r="X130" s="27"/>
      <c r="Y130" s="27"/>
      <c r="Z130" s="27"/>
      <c r="AA130" s="27"/>
      <c r="AB130" s="27"/>
      <c r="AC130" s="27"/>
      <c r="AD130" s="27"/>
      <c r="AE130" s="27"/>
      <c r="AF130" s="27"/>
      <c r="AG130" s="27"/>
      <c r="AH130" s="27"/>
      <c r="AI130" s="27"/>
      <c r="AJ130" s="27"/>
      <c r="AK130" s="27"/>
      <c r="AL130" s="27"/>
      <c r="AM130" s="27"/>
      <c r="AN130" s="27"/>
      <c r="AO130" s="27"/>
      <c r="AP130" s="27"/>
      <c r="AQ130" s="27"/>
      <c r="AR130" s="27"/>
    </row>
    <row r="131" spans="1:44" ht="15.75" customHeight="1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7"/>
      <c r="T131" s="27"/>
      <c r="U131" s="27"/>
      <c r="V131" s="27"/>
      <c r="W131" s="27"/>
      <c r="X131" s="27"/>
      <c r="Y131" s="27"/>
      <c r="Z131" s="27"/>
      <c r="AA131" s="27"/>
      <c r="AB131" s="27"/>
      <c r="AC131" s="27"/>
      <c r="AD131" s="27"/>
      <c r="AE131" s="27"/>
      <c r="AF131" s="27"/>
      <c r="AG131" s="27"/>
      <c r="AH131" s="27"/>
      <c r="AI131" s="27"/>
      <c r="AJ131" s="27"/>
      <c r="AK131" s="27"/>
      <c r="AL131" s="27"/>
      <c r="AM131" s="27"/>
      <c r="AN131" s="27"/>
      <c r="AO131" s="27"/>
      <c r="AP131" s="27"/>
      <c r="AQ131" s="27"/>
      <c r="AR131" s="27"/>
    </row>
    <row r="132" spans="1:44" ht="15.75" customHeight="1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</row>
    <row r="133" spans="1:44" ht="15.75" customHeight="1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7"/>
      <c r="T133" s="27"/>
      <c r="U133" s="27"/>
      <c r="V133" s="27"/>
      <c r="W133" s="27"/>
      <c r="X133" s="27"/>
      <c r="Y133" s="27"/>
      <c r="Z133" s="27"/>
      <c r="AA133" s="27"/>
      <c r="AB133" s="27"/>
      <c r="AC133" s="27"/>
      <c r="AD133" s="27"/>
      <c r="AE133" s="27"/>
      <c r="AF133" s="27"/>
      <c r="AG133" s="27"/>
      <c r="AH133" s="27"/>
      <c r="AI133" s="27"/>
      <c r="AJ133" s="27"/>
      <c r="AK133" s="27"/>
      <c r="AL133" s="27"/>
      <c r="AM133" s="27"/>
      <c r="AN133" s="27"/>
      <c r="AO133" s="27"/>
      <c r="AP133" s="27"/>
      <c r="AQ133" s="27"/>
      <c r="AR133" s="27"/>
    </row>
    <row r="134" spans="1:44" ht="15.75" customHeight="1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7"/>
      <c r="T134" s="27"/>
      <c r="U134" s="27"/>
      <c r="V134" s="27"/>
      <c r="W134" s="27"/>
      <c r="X134" s="27"/>
      <c r="Y134" s="27"/>
      <c r="Z134" s="27"/>
      <c r="AA134" s="27"/>
      <c r="AB134" s="27"/>
      <c r="AC134" s="27"/>
      <c r="AD134" s="27"/>
      <c r="AE134" s="27"/>
      <c r="AF134" s="27"/>
      <c r="AG134" s="27"/>
      <c r="AH134" s="27"/>
      <c r="AI134" s="27"/>
      <c r="AJ134" s="27"/>
      <c r="AK134" s="27"/>
      <c r="AL134" s="27"/>
      <c r="AM134" s="27"/>
      <c r="AN134" s="27"/>
      <c r="AO134" s="27"/>
      <c r="AP134" s="27"/>
      <c r="AQ134" s="27"/>
      <c r="AR134" s="27"/>
    </row>
    <row r="135" spans="1:44" ht="15.75" customHeight="1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</row>
    <row r="136" spans="1:44" ht="15.75" customHeight="1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7"/>
      <c r="T136" s="27"/>
      <c r="U136" s="27"/>
      <c r="V136" s="27"/>
      <c r="W136" s="27"/>
      <c r="X136" s="27"/>
      <c r="Y136" s="27"/>
      <c r="Z136" s="27"/>
      <c r="AA136" s="27"/>
      <c r="AB136" s="27"/>
      <c r="AC136" s="27"/>
      <c r="AD136" s="27"/>
      <c r="AE136" s="27"/>
      <c r="AF136" s="27"/>
      <c r="AG136" s="27"/>
      <c r="AH136" s="27"/>
      <c r="AI136" s="27"/>
      <c r="AJ136" s="27"/>
      <c r="AK136" s="27"/>
      <c r="AL136" s="27"/>
      <c r="AM136" s="27"/>
      <c r="AN136" s="27"/>
      <c r="AO136" s="27"/>
      <c r="AP136" s="27"/>
      <c r="AQ136" s="27"/>
      <c r="AR136" s="27"/>
    </row>
    <row r="137" spans="1:44" ht="15.75" customHeight="1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7"/>
      <c r="T137" s="27"/>
      <c r="U137" s="27"/>
      <c r="V137" s="27"/>
      <c r="W137" s="27"/>
      <c r="X137" s="27"/>
      <c r="Y137" s="27"/>
      <c r="Z137" s="27"/>
      <c r="AA137" s="27"/>
      <c r="AB137" s="27"/>
      <c r="AC137" s="27"/>
      <c r="AD137" s="27"/>
      <c r="AE137" s="27"/>
      <c r="AF137" s="27"/>
      <c r="AG137" s="27"/>
      <c r="AH137" s="27"/>
      <c r="AI137" s="27"/>
      <c r="AJ137" s="27"/>
      <c r="AK137" s="27"/>
      <c r="AL137" s="27"/>
      <c r="AM137" s="27"/>
      <c r="AN137" s="27"/>
      <c r="AO137" s="27"/>
      <c r="AP137" s="27"/>
      <c r="AQ137" s="27"/>
      <c r="AR137" s="27"/>
    </row>
    <row r="138" spans="1:44" ht="15.75" customHeight="1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</row>
    <row r="139" spans="1:44" ht="15.75" customHeight="1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7"/>
      <c r="T139" s="27"/>
      <c r="U139" s="27"/>
      <c r="V139" s="27"/>
      <c r="W139" s="27"/>
      <c r="X139" s="27"/>
      <c r="Y139" s="27"/>
      <c r="Z139" s="27"/>
      <c r="AA139" s="27"/>
      <c r="AB139" s="27"/>
      <c r="AC139" s="27"/>
      <c r="AD139" s="27"/>
      <c r="AE139" s="27"/>
      <c r="AF139" s="27"/>
      <c r="AG139" s="27"/>
      <c r="AH139" s="27"/>
      <c r="AI139" s="27"/>
      <c r="AJ139" s="27"/>
      <c r="AK139" s="27"/>
      <c r="AL139" s="27"/>
      <c r="AM139" s="27"/>
      <c r="AN139" s="27"/>
      <c r="AO139" s="27"/>
      <c r="AP139" s="27"/>
      <c r="AQ139" s="27"/>
      <c r="AR139" s="27"/>
    </row>
    <row r="140" spans="1:44" ht="15.75" customHeight="1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7"/>
      <c r="T140" s="27"/>
      <c r="U140" s="27"/>
      <c r="V140" s="27"/>
      <c r="W140" s="27"/>
      <c r="X140" s="27"/>
      <c r="Y140" s="27"/>
      <c r="Z140" s="27"/>
      <c r="AA140" s="27"/>
      <c r="AB140" s="27"/>
      <c r="AC140" s="27"/>
      <c r="AD140" s="27"/>
      <c r="AE140" s="27"/>
      <c r="AF140" s="27"/>
      <c r="AG140" s="27"/>
      <c r="AH140" s="27"/>
      <c r="AI140" s="27"/>
      <c r="AJ140" s="27"/>
      <c r="AK140" s="27"/>
      <c r="AL140" s="27"/>
      <c r="AM140" s="27"/>
      <c r="AN140" s="27"/>
      <c r="AO140" s="27"/>
      <c r="AP140" s="27"/>
      <c r="AQ140" s="27"/>
      <c r="AR140" s="27"/>
    </row>
    <row r="141" spans="1:44" ht="15.75" customHeight="1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</row>
    <row r="142" spans="1:44" ht="15.75" customHeight="1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7"/>
      <c r="T142" s="27"/>
      <c r="U142" s="27"/>
      <c r="V142" s="27"/>
      <c r="W142" s="27"/>
      <c r="X142" s="27"/>
      <c r="Y142" s="27"/>
      <c r="Z142" s="27"/>
      <c r="AA142" s="27"/>
      <c r="AB142" s="27"/>
      <c r="AC142" s="27"/>
      <c r="AD142" s="27"/>
      <c r="AE142" s="27"/>
      <c r="AF142" s="27"/>
      <c r="AG142" s="27"/>
      <c r="AH142" s="27"/>
      <c r="AI142" s="27"/>
      <c r="AJ142" s="27"/>
      <c r="AK142" s="27"/>
      <c r="AL142" s="27"/>
      <c r="AM142" s="27"/>
      <c r="AN142" s="27"/>
      <c r="AO142" s="27"/>
      <c r="AP142" s="27"/>
      <c r="AQ142" s="27"/>
      <c r="AR142" s="27"/>
    </row>
    <row r="143" spans="1:44" ht="15.75" customHeight="1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7"/>
      <c r="T143" s="27"/>
      <c r="U143" s="27"/>
      <c r="V143" s="27"/>
      <c r="W143" s="27"/>
      <c r="X143" s="27"/>
      <c r="Y143" s="27"/>
      <c r="Z143" s="27"/>
      <c r="AA143" s="27"/>
      <c r="AB143" s="27"/>
      <c r="AC143" s="27"/>
      <c r="AD143" s="27"/>
      <c r="AE143" s="27"/>
      <c r="AF143" s="27"/>
      <c r="AG143" s="27"/>
      <c r="AH143" s="27"/>
      <c r="AI143" s="27"/>
      <c r="AJ143" s="27"/>
      <c r="AK143" s="27"/>
      <c r="AL143" s="27"/>
      <c r="AM143" s="27"/>
      <c r="AN143" s="27"/>
      <c r="AO143" s="27"/>
      <c r="AP143" s="27"/>
      <c r="AQ143" s="27"/>
      <c r="AR143" s="27"/>
    </row>
    <row r="144" spans="1:44" ht="15.75" customHeight="1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</row>
    <row r="145" spans="1:44" ht="15.75" customHeight="1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7"/>
      <c r="T145" s="27"/>
      <c r="U145" s="27"/>
      <c r="V145" s="27"/>
      <c r="W145" s="27"/>
      <c r="X145" s="27"/>
      <c r="Y145" s="27"/>
      <c r="Z145" s="27"/>
      <c r="AA145" s="27"/>
      <c r="AB145" s="27"/>
      <c r="AC145" s="27"/>
      <c r="AD145" s="27"/>
      <c r="AE145" s="27"/>
      <c r="AF145" s="27"/>
      <c r="AG145" s="27"/>
      <c r="AH145" s="27"/>
      <c r="AI145" s="27"/>
      <c r="AJ145" s="27"/>
      <c r="AK145" s="27"/>
      <c r="AL145" s="27"/>
      <c r="AM145" s="27"/>
      <c r="AN145" s="27"/>
      <c r="AO145" s="27"/>
      <c r="AP145" s="27"/>
      <c r="AQ145" s="27"/>
      <c r="AR145" s="27"/>
    </row>
    <row r="146" spans="1:44" ht="15.75" customHeight="1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7"/>
      <c r="T146" s="27"/>
      <c r="U146" s="27"/>
      <c r="V146" s="27"/>
      <c r="W146" s="27"/>
      <c r="X146" s="27"/>
      <c r="Y146" s="27"/>
      <c r="Z146" s="27"/>
      <c r="AA146" s="27"/>
      <c r="AB146" s="27"/>
      <c r="AC146" s="27"/>
      <c r="AD146" s="27"/>
      <c r="AE146" s="27"/>
      <c r="AF146" s="27"/>
      <c r="AG146" s="27"/>
      <c r="AH146" s="27"/>
      <c r="AI146" s="27"/>
      <c r="AJ146" s="27"/>
      <c r="AK146" s="27"/>
      <c r="AL146" s="27"/>
      <c r="AM146" s="27"/>
      <c r="AN146" s="27"/>
      <c r="AO146" s="27"/>
      <c r="AP146" s="27"/>
      <c r="AQ146" s="27"/>
      <c r="AR146" s="27"/>
    </row>
    <row r="147" spans="1:44" ht="15.75" customHeight="1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</row>
    <row r="148" spans="1:44" ht="15.75" customHeight="1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7"/>
      <c r="T148" s="27"/>
      <c r="U148" s="27"/>
      <c r="V148" s="27"/>
      <c r="W148" s="27"/>
      <c r="X148" s="27"/>
      <c r="Y148" s="27"/>
      <c r="Z148" s="27"/>
      <c r="AA148" s="27"/>
      <c r="AB148" s="27"/>
      <c r="AC148" s="27"/>
      <c r="AD148" s="27"/>
      <c r="AE148" s="27"/>
      <c r="AF148" s="27"/>
      <c r="AG148" s="27"/>
      <c r="AH148" s="27"/>
      <c r="AI148" s="27"/>
      <c r="AJ148" s="27"/>
      <c r="AK148" s="27"/>
      <c r="AL148" s="27"/>
      <c r="AM148" s="27"/>
      <c r="AN148" s="27"/>
      <c r="AO148" s="27"/>
      <c r="AP148" s="27"/>
      <c r="AQ148" s="27"/>
      <c r="AR148" s="27"/>
    </row>
    <row r="149" spans="1:44" ht="15.75" customHeight="1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7"/>
      <c r="T149" s="27"/>
      <c r="U149" s="27"/>
      <c r="V149" s="27"/>
      <c r="W149" s="27"/>
      <c r="X149" s="27"/>
      <c r="Y149" s="27"/>
      <c r="Z149" s="27"/>
      <c r="AA149" s="27"/>
      <c r="AB149" s="27"/>
      <c r="AC149" s="27"/>
      <c r="AD149" s="27"/>
      <c r="AE149" s="27"/>
      <c r="AF149" s="27"/>
      <c r="AG149" s="27"/>
      <c r="AH149" s="27"/>
      <c r="AI149" s="27"/>
      <c r="AJ149" s="27"/>
      <c r="AK149" s="27"/>
      <c r="AL149" s="27"/>
      <c r="AM149" s="27"/>
      <c r="AN149" s="27"/>
      <c r="AO149" s="27"/>
      <c r="AP149" s="27"/>
      <c r="AQ149" s="27"/>
      <c r="AR149" s="27"/>
    </row>
    <row r="150" spans="1:44" ht="15.75" customHeight="1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</row>
    <row r="151" spans="1:44" ht="15.75" customHeight="1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7"/>
      <c r="T151" s="27"/>
      <c r="U151" s="27"/>
      <c r="V151" s="27"/>
      <c r="W151" s="27"/>
      <c r="X151" s="27"/>
      <c r="Y151" s="27"/>
      <c r="Z151" s="27"/>
      <c r="AA151" s="27"/>
      <c r="AB151" s="27"/>
      <c r="AC151" s="27"/>
      <c r="AD151" s="27"/>
      <c r="AE151" s="27"/>
      <c r="AF151" s="27"/>
      <c r="AG151" s="27"/>
      <c r="AH151" s="27"/>
      <c r="AI151" s="27"/>
      <c r="AJ151" s="27"/>
      <c r="AK151" s="27"/>
      <c r="AL151" s="27"/>
      <c r="AM151" s="27"/>
      <c r="AN151" s="27"/>
      <c r="AO151" s="27"/>
      <c r="AP151" s="27"/>
      <c r="AQ151" s="27"/>
      <c r="AR151" s="27"/>
    </row>
    <row r="152" spans="1:44" ht="15.75" customHeight="1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7"/>
      <c r="T152" s="27"/>
      <c r="U152" s="27"/>
      <c r="V152" s="27"/>
      <c r="W152" s="27"/>
      <c r="X152" s="27"/>
      <c r="Y152" s="27"/>
      <c r="Z152" s="27"/>
      <c r="AA152" s="27"/>
      <c r="AB152" s="27"/>
      <c r="AC152" s="27"/>
      <c r="AD152" s="27"/>
      <c r="AE152" s="27"/>
      <c r="AF152" s="27"/>
      <c r="AG152" s="27"/>
      <c r="AH152" s="27"/>
      <c r="AI152" s="27"/>
      <c r="AJ152" s="27"/>
      <c r="AK152" s="27"/>
      <c r="AL152" s="27"/>
      <c r="AM152" s="27"/>
      <c r="AN152" s="27"/>
      <c r="AO152" s="27"/>
      <c r="AP152" s="27"/>
      <c r="AQ152" s="27"/>
      <c r="AR152" s="27"/>
    </row>
    <row r="153" spans="1:44" ht="15.75" customHeight="1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</row>
    <row r="154" spans="1:44" ht="15.75" customHeight="1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7"/>
      <c r="T154" s="27"/>
      <c r="U154" s="27"/>
      <c r="V154" s="27"/>
      <c r="W154" s="27"/>
      <c r="X154" s="27"/>
      <c r="Y154" s="27"/>
      <c r="Z154" s="27"/>
      <c r="AA154" s="27"/>
      <c r="AB154" s="27"/>
      <c r="AC154" s="27"/>
      <c r="AD154" s="27"/>
      <c r="AE154" s="27"/>
      <c r="AF154" s="27"/>
      <c r="AG154" s="27"/>
      <c r="AH154" s="27"/>
      <c r="AI154" s="27"/>
      <c r="AJ154" s="27"/>
      <c r="AK154" s="27"/>
      <c r="AL154" s="27"/>
      <c r="AM154" s="27"/>
      <c r="AN154" s="27"/>
      <c r="AO154" s="27"/>
      <c r="AP154" s="27"/>
      <c r="AQ154" s="27"/>
      <c r="AR154" s="27"/>
    </row>
    <row r="155" spans="1:44" ht="15.75" customHeight="1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7"/>
      <c r="T155" s="27"/>
      <c r="U155" s="27"/>
      <c r="V155" s="27"/>
      <c r="W155" s="27"/>
      <c r="X155" s="27"/>
      <c r="Y155" s="27"/>
      <c r="Z155" s="27"/>
      <c r="AA155" s="27"/>
      <c r="AB155" s="27"/>
      <c r="AC155" s="27"/>
      <c r="AD155" s="27"/>
      <c r="AE155" s="27"/>
      <c r="AF155" s="27"/>
      <c r="AG155" s="27"/>
      <c r="AH155" s="27"/>
      <c r="AI155" s="27"/>
      <c r="AJ155" s="27"/>
      <c r="AK155" s="27"/>
      <c r="AL155" s="27"/>
      <c r="AM155" s="27"/>
      <c r="AN155" s="27"/>
      <c r="AO155" s="27"/>
      <c r="AP155" s="27"/>
      <c r="AQ155" s="27"/>
      <c r="AR155" s="27"/>
    </row>
    <row r="156" spans="1:44" ht="15.75" customHeight="1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</row>
    <row r="157" spans="1:44" ht="15.75" customHeight="1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7"/>
      <c r="T157" s="27"/>
      <c r="U157" s="27"/>
      <c r="V157" s="27"/>
      <c r="W157" s="27"/>
      <c r="X157" s="27"/>
      <c r="Y157" s="27"/>
      <c r="Z157" s="27"/>
      <c r="AA157" s="27"/>
      <c r="AB157" s="27"/>
      <c r="AC157" s="27"/>
      <c r="AD157" s="27"/>
      <c r="AE157" s="27"/>
      <c r="AF157" s="27"/>
      <c r="AG157" s="27"/>
      <c r="AH157" s="27"/>
      <c r="AI157" s="27"/>
      <c r="AJ157" s="27"/>
      <c r="AK157" s="27"/>
      <c r="AL157" s="27"/>
      <c r="AM157" s="27"/>
      <c r="AN157" s="27"/>
      <c r="AO157" s="27"/>
      <c r="AP157" s="27"/>
      <c r="AQ157" s="27"/>
      <c r="AR157" s="27"/>
    </row>
    <row r="158" spans="1:44" ht="15.75" customHeight="1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7"/>
      <c r="T158" s="27"/>
      <c r="U158" s="27"/>
      <c r="V158" s="27"/>
      <c r="W158" s="27"/>
      <c r="X158" s="27"/>
      <c r="Y158" s="27"/>
      <c r="Z158" s="27"/>
      <c r="AA158" s="27"/>
      <c r="AB158" s="27"/>
      <c r="AC158" s="27"/>
      <c r="AD158" s="27"/>
      <c r="AE158" s="27"/>
      <c r="AF158" s="27"/>
      <c r="AG158" s="27"/>
      <c r="AH158" s="27"/>
      <c r="AI158" s="27"/>
      <c r="AJ158" s="27"/>
      <c r="AK158" s="27"/>
      <c r="AL158" s="27"/>
      <c r="AM158" s="27"/>
      <c r="AN158" s="27"/>
      <c r="AO158" s="27"/>
      <c r="AP158" s="27"/>
      <c r="AQ158" s="27"/>
      <c r="AR158" s="27"/>
    </row>
    <row r="159" spans="1:44" ht="15.75" customHeight="1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</row>
    <row r="160" spans="1:44" ht="15.75" customHeight="1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7"/>
      <c r="T160" s="27"/>
      <c r="U160" s="27"/>
      <c r="V160" s="27"/>
      <c r="W160" s="27"/>
      <c r="X160" s="27"/>
      <c r="Y160" s="27"/>
      <c r="Z160" s="27"/>
      <c r="AA160" s="27"/>
      <c r="AB160" s="27"/>
      <c r="AC160" s="27"/>
      <c r="AD160" s="27"/>
      <c r="AE160" s="27"/>
      <c r="AF160" s="27"/>
      <c r="AG160" s="27"/>
      <c r="AH160" s="27"/>
      <c r="AI160" s="27"/>
      <c r="AJ160" s="27"/>
      <c r="AK160" s="27"/>
      <c r="AL160" s="27"/>
      <c r="AM160" s="27"/>
      <c r="AN160" s="27"/>
      <c r="AO160" s="27"/>
      <c r="AP160" s="27"/>
      <c r="AQ160" s="27"/>
      <c r="AR160" s="27"/>
    </row>
    <row r="161" spans="1:44" ht="15.75" customHeight="1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7"/>
      <c r="T161" s="27"/>
      <c r="U161" s="27"/>
      <c r="V161" s="27"/>
      <c r="W161" s="27"/>
      <c r="X161" s="27"/>
      <c r="Y161" s="27"/>
      <c r="Z161" s="27"/>
      <c r="AA161" s="27"/>
      <c r="AB161" s="27"/>
      <c r="AC161" s="27"/>
      <c r="AD161" s="27"/>
      <c r="AE161" s="27"/>
      <c r="AF161" s="27"/>
      <c r="AG161" s="27"/>
      <c r="AH161" s="27"/>
      <c r="AI161" s="27"/>
      <c r="AJ161" s="27"/>
      <c r="AK161" s="27"/>
      <c r="AL161" s="27"/>
      <c r="AM161" s="27"/>
      <c r="AN161" s="27"/>
      <c r="AO161" s="27"/>
      <c r="AP161" s="27"/>
      <c r="AQ161" s="27"/>
      <c r="AR161" s="27"/>
    </row>
    <row r="162" spans="1:44" ht="15.75" customHeight="1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</row>
    <row r="163" spans="1:44" ht="15.75" customHeight="1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7"/>
      <c r="T163" s="27"/>
      <c r="U163" s="27"/>
      <c r="V163" s="27"/>
      <c r="W163" s="27"/>
      <c r="X163" s="27"/>
      <c r="Y163" s="27"/>
      <c r="Z163" s="27"/>
      <c r="AA163" s="27"/>
      <c r="AB163" s="27"/>
      <c r="AC163" s="27"/>
      <c r="AD163" s="27"/>
      <c r="AE163" s="27"/>
      <c r="AF163" s="27"/>
      <c r="AG163" s="27"/>
      <c r="AH163" s="27"/>
      <c r="AI163" s="27"/>
      <c r="AJ163" s="27"/>
      <c r="AK163" s="27"/>
      <c r="AL163" s="27"/>
      <c r="AM163" s="27"/>
      <c r="AN163" s="27"/>
      <c r="AO163" s="27"/>
      <c r="AP163" s="27"/>
      <c r="AQ163" s="27"/>
      <c r="AR163" s="27"/>
    </row>
    <row r="164" spans="1:44" ht="15.75" customHeight="1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7"/>
      <c r="T164" s="27"/>
      <c r="U164" s="27"/>
      <c r="V164" s="27"/>
      <c r="W164" s="27"/>
      <c r="X164" s="27"/>
      <c r="Y164" s="27"/>
      <c r="Z164" s="27"/>
      <c r="AA164" s="27"/>
      <c r="AB164" s="27"/>
      <c r="AC164" s="27"/>
      <c r="AD164" s="27"/>
      <c r="AE164" s="27"/>
      <c r="AF164" s="27"/>
      <c r="AG164" s="27"/>
      <c r="AH164" s="27"/>
      <c r="AI164" s="27"/>
      <c r="AJ164" s="27"/>
      <c r="AK164" s="27"/>
      <c r="AL164" s="27"/>
      <c r="AM164" s="27"/>
      <c r="AN164" s="27"/>
      <c r="AO164" s="27"/>
      <c r="AP164" s="27"/>
      <c r="AQ164" s="27"/>
      <c r="AR164" s="27"/>
    </row>
    <row r="165" spans="1:44" ht="15.75" customHeight="1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</row>
    <row r="166" spans="1:44" ht="15.75" customHeight="1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7"/>
      <c r="T166" s="27"/>
      <c r="U166" s="27"/>
      <c r="V166" s="27"/>
      <c r="W166" s="27"/>
      <c r="X166" s="27"/>
      <c r="Y166" s="27"/>
      <c r="Z166" s="27"/>
      <c r="AA166" s="27"/>
      <c r="AB166" s="27"/>
      <c r="AC166" s="27"/>
      <c r="AD166" s="27"/>
      <c r="AE166" s="27"/>
      <c r="AF166" s="27"/>
      <c r="AG166" s="27"/>
      <c r="AH166" s="27"/>
      <c r="AI166" s="27"/>
      <c r="AJ166" s="27"/>
      <c r="AK166" s="27"/>
      <c r="AL166" s="27"/>
      <c r="AM166" s="27"/>
      <c r="AN166" s="27"/>
      <c r="AO166" s="27"/>
      <c r="AP166" s="27"/>
      <c r="AQ166" s="27"/>
      <c r="AR166" s="27"/>
    </row>
    <row r="167" spans="1:44" ht="15.75" customHeight="1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7"/>
      <c r="T167" s="27"/>
      <c r="U167" s="27"/>
      <c r="V167" s="27"/>
      <c r="W167" s="27"/>
      <c r="X167" s="27"/>
      <c r="Y167" s="27"/>
      <c r="Z167" s="27"/>
      <c r="AA167" s="27"/>
      <c r="AB167" s="27"/>
      <c r="AC167" s="27"/>
      <c r="AD167" s="27"/>
      <c r="AE167" s="27"/>
      <c r="AF167" s="27"/>
      <c r="AG167" s="27"/>
      <c r="AH167" s="27"/>
      <c r="AI167" s="27"/>
      <c r="AJ167" s="27"/>
      <c r="AK167" s="27"/>
      <c r="AL167" s="27"/>
      <c r="AM167" s="27"/>
      <c r="AN167" s="27"/>
      <c r="AO167" s="27"/>
      <c r="AP167" s="27"/>
      <c r="AQ167" s="27"/>
      <c r="AR167" s="27"/>
    </row>
    <row r="168" spans="1:44" ht="15.75" customHeight="1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</row>
    <row r="169" spans="1:44" ht="15.75" customHeight="1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7"/>
      <c r="T169" s="27"/>
      <c r="U169" s="27"/>
      <c r="V169" s="27"/>
      <c r="W169" s="27"/>
      <c r="X169" s="27"/>
      <c r="Y169" s="27"/>
      <c r="Z169" s="27"/>
      <c r="AA169" s="27"/>
      <c r="AB169" s="27"/>
      <c r="AC169" s="27"/>
      <c r="AD169" s="27"/>
      <c r="AE169" s="27"/>
      <c r="AF169" s="27"/>
      <c r="AG169" s="27"/>
      <c r="AH169" s="27"/>
      <c r="AI169" s="27"/>
      <c r="AJ169" s="27"/>
      <c r="AK169" s="27"/>
      <c r="AL169" s="27"/>
      <c r="AM169" s="27"/>
      <c r="AN169" s="27"/>
      <c r="AO169" s="27"/>
      <c r="AP169" s="27"/>
      <c r="AQ169" s="27"/>
      <c r="AR169" s="27"/>
    </row>
    <row r="170" spans="1:44" ht="15.75" customHeight="1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7"/>
      <c r="T170" s="27"/>
      <c r="U170" s="27"/>
      <c r="V170" s="27"/>
      <c r="W170" s="27"/>
      <c r="X170" s="27"/>
      <c r="Y170" s="27"/>
      <c r="Z170" s="27"/>
      <c r="AA170" s="27"/>
      <c r="AB170" s="27"/>
      <c r="AC170" s="27"/>
      <c r="AD170" s="27"/>
      <c r="AE170" s="27"/>
      <c r="AF170" s="27"/>
      <c r="AG170" s="27"/>
      <c r="AH170" s="27"/>
      <c r="AI170" s="27"/>
      <c r="AJ170" s="27"/>
      <c r="AK170" s="27"/>
      <c r="AL170" s="27"/>
      <c r="AM170" s="27"/>
      <c r="AN170" s="27"/>
      <c r="AO170" s="27"/>
      <c r="AP170" s="27"/>
      <c r="AQ170" s="27"/>
      <c r="AR170" s="27"/>
    </row>
    <row r="171" spans="1:44" ht="15.75" customHeight="1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</row>
    <row r="172" spans="1:44" ht="15.75" customHeight="1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7"/>
      <c r="T172" s="27"/>
      <c r="U172" s="27"/>
      <c r="V172" s="27"/>
      <c r="W172" s="27"/>
      <c r="X172" s="27"/>
      <c r="Y172" s="27"/>
      <c r="Z172" s="27"/>
      <c r="AA172" s="27"/>
      <c r="AB172" s="27"/>
      <c r="AC172" s="27"/>
      <c r="AD172" s="27"/>
      <c r="AE172" s="27"/>
      <c r="AF172" s="27"/>
      <c r="AG172" s="27"/>
      <c r="AH172" s="27"/>
      <c r="AI172" s="27"/>
      <c r="AJ172" s="27"/>
      <c r="AK172" s="27"/>
      <c r="AL172" s="27"/>
      <c r="AM172" s="27"/>
      <c r="AN172" s="27"/>
      <c r="AO172" s="27"/>
      <c r="AP172" s="27"/>
      <c r="AQ172" s="27"/>
      <c r="AR172" s="27"/>
    </row>
    <row r="173" spans="1:44" ht="15.75" customHeight="1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7"/>
      <c r="T173" s="27"/>
      <c r="U173" s="27"/>
      <c r="V173" s="27"/>
      <c r="W173" s="27"/>
      <c r="X173" s="27"/>
      <c r="Y173" s="27"/>
      <c r="Z173" s="27"/>
      <c r="AA173" s="27"/>
      <c r="AB173" s="27"/>
      <c r="AC173" s="27"/>
      <c r="AD173" s="27"/>
      <c r="AE173" s="27"/>
      <c r="AF173" s="27"/>
      <c r="AG173" s="27"/>
      <c r="AH173" s="27"/>
      <c r="AI173" s="27"/>
      <c r="AJ173" s="27"/>
      <c r="AK173" s="27"/>
      <c r="AL173" s="27"/>
      <c r="AM173" s="27"/>
      <c r="AN173" s="27"/>
      <c r="AO173" s="27"/>
      <c r="AP173" s="27"/>
      <c r="AQ173" s="27"/>
      <c r="AR173" s="27"/>
    </row>
    <row r="174" spans="1:44" ht="15.75" customHeight="1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7"/>
      <c r="T174" s="27"/>
      <c r="U174" s="27"/>
      <c r="V174" s="27"/>
      <c r="W174" s="27"/>
      <c r="X174" s="27"/>
      <c r="Y174" s="27"/>
      <c r="Z174" s="27"/>
      <c r="AA174" s="27"/>
      <c r="AB174" s="27"/>
      <c r="AC174" s="27"/>
      <c r="AD174" s="27"/>
      <c r="AE174" s="27"/>
      <c r="AF174" s="27"/>
      <c r="AG174" s="27"/>
      <c r="AH174" s="27"/>
      <c r="AI174" s="27"/>
      <c r="AJ174" s="27"/>
      <c r="AK174" s="27"/>
      <c r="AL174" s="27"/>
      <c r="AM174" s="27"/>
      <c r="AN174" s="27"/>
      <c r="AO174" s="27"/>
      <c r="AP174" s="27"/>
      <c r="AQ174" s="27"/>
      <c r="AR174" s="27"/>
    </row>
    <row r="175" spans="1:44" ht="15.75" customHeight="1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</row>
    <row r="176" spans="1:44" ht="15.75" customHeight="1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7"/>
      <c r="T176" s="27"/>
      <c r="U176" s="27"/>
      <c r="V176" s="27"/>
      <c r="W176" s="27"/>
      <c r="X176" s="27"/>
      <c r="Y176" s="27"/>
      <c r="Z176" s="27"/>
      <c r="AA176" s="27"/>
      <c r="AB176" s="27"/>
      <c r="AC176" s="27"/>
      <c r="AD176" s="27"/>
      <c r="AE176" s="27"/>
      <c r="AF176" s="27"/>
      <c r="AG176" s="27"/>
      <c r="AH176" s="27"/>
      <c r="AI176" s="27"/>
      <c r="AJ176" s="27"/>
      <c r="AK176" s="27"/>
      <c r="AL176" s="27"/>
      <c r="AM176" s="27"/>
      <c r="AN176" s="27"/>
      <c r="AO176" s="27"/>
      <c r="AP176" s="27"/>
      <c r="AQ176" s="27"/>
      <c r="AR176" s="27"/>
    </row>
    <row r="177" spans="1:44" ht="15.75" customHeight="1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7"/>
      <c r="T177" s="27"/>
      <c r="U177" s="27"/>
      <c r="V177" s="27"/>
      <c r="W177" s="27"/>
      <c r="X177" s="27"/>
      <c r="Y177" s="27"/>
      <c r="Z177" s="27"/>
      <c r="AA177" s="27"/>
      <c r="AB177" s="27"/>
      <c r="AC177" s="27"/>
      <c r="AD177" s="27"/>
      <c r="AE177" s="27"/>
      <c r="AF177" s="27"/>
      <c r="AG177" s="27"/>
      <c r="AH177" s="27"/>
      <c r="AI177" s="27"/>
      <c r="AJ177" s="27"/>
      <c r="AK177" s="27"/>
      <c r="AL177" s="27"/>
      <c r="AM177" s="27"/>
      <c r="AN177" s="27"/>
      <c r="AO177" s="27"/>
      <c r="AP177" s="27"/>
      <c r="AQ177" s="27"/>
      <c r="AR177" s="27"/>
    </row>
    <row r="178" spans="1:44" ht="15.75" customHeight="1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</row>
    <row r="179" spans="1:44" ht="15.75" customHeight="1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7"/>
      <c r="T179" s="27"/>
      <c r="U179" s="27"/>
      <c r="V179" s="27"/>
      <c r="W179" s="27"/>
      <c r="X179" s="27"/>
      <c r="Y179" s="27"/>
      <c r="Z179" s="27"/>
      <c r="AA179" s="27"/>
      <c r="AB179" s="27"/>
      <c r="AC179" s="27"/>
      <c r="AD179" s="27"/>
      <c r="AE179" s="27"/>
      <c r="AF179" s="27"/>
      <c r="AG179" s="27"/>
      <c r="AH179" s="27"/>
      <c r="AI179" s="27"/>
      <c r="AJ179" s="27"/>
      <c r="AK179" s="27"/>
      <c r="AL179" s="27"/>
      <c r="AM179" s="27"/>
      <c r="AN179" s="27"/>
      <c r="AO179" s="27"/>
      <c r="AP179" s="27"/>
      <c r="AQ179" s="27"/>
      <c r="AR179" s="27"/>
    </row>
    <row r="180" spans="1:44" ht="15.75" customHeight="1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7"/>
      <c r="T180" s="27"/>
      <c r="U180" s="27"/>
      <c r="V180" s="27"/>
      <c r="W180" s="27"/>
      <c r="X180" s="27"/>
      <c r="Y180" s="27"/>
      <c r="Z180" s="27"/>
      <c r="AA180" s="27"/>
      <c r="AB180" s="27"/>
      <c r="AC180" s="27"/>
      <c r="AD180" s="27"/>
      <c r="AE180" s="27"/>
      <c r="AF180" s="27"/>
      <c r="AG180" s="27"/>
      <c r="AH180" s="27"/>
      <c r="AI180" s="27"/>
      <c r="AJ180" s="27"/>
      <c r="AK180" s="27"/>
      <c r="AL180" s="27"/>
      <c r="AM180" s="27"/>
      <c r="AN180" s="27"/>
      <c r="AO180" s="27"/>
      <c r="AP180" s="27"/>
      <c r="AQ180" s="27"/>
      <c r="AR180" s="27"/>
    </row>
    <row r="181" spans="1:44" ht="15.75" customHeight="1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</row>
    <row r="182" spans="1:44" ht="15.75" customHeight="1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7"/>
      <c r="T182" s="27"/>
      <c r="U182" s="27"/>
      <c r="V182" s="27"/>
      <c r="W182" s="27"/>
      <c r="X182" s="27"/>
      <c r="Y182" s="27"/>
      <c r="Z182" s="27"/>
      <c r="AA182" s="27"/>
      <c r="AB182" s="27"/>
      <c r="AC182" s="27"/>
      <c r="AD182" s="27"/>
      <c r="AE182" s="27"/>
      <c r="AF182" s="27"/>
      <c r="AG182" s="27"/>
      <c r="AH182" s="27"/>
      <c r="AI182" s="27"/>
      <c r="AJ182" s="27"/>
      <c r="AK182" s="27"/>
      <c r="AL182" s="27"/>
      <c r="AM182" s="27"/>
      <c r="AN182" s="27"/>
      <c r="AO182" s="27"/>
      <c r="AP182" s="27"/>
      <c r="AQ182" s="27"/>
      <c r="AR182" s="27"/>
    </row>
    <row r="183" spans="1:44" ht="15.75" customHeight="1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7"/>
      <c r="T183" s="27"/>
      <c r="U183" s="27"/>
      <c r="V183" s="27"/>
      <c r="W183" s="27"/>
      <c r="X183" s="27"/>
      <c r="Y183" s="27"/>
      <c r="Z183" s="27"/>
      <c r="AA183" s="27"/>
      <c r="AB183" s="27"/>
      <c r="AC183" s="27"/>
      <c r="AD183" s="27"/>
      <c r="AE183" s="27"/>
      <c r="AF183" s="27"/>
      <c r="AG183" s="27"/>
      <c r="AH183" s="27"/>
      <c r="AI183" s="27"/>
      <c r="AJ183" s="27"/>
      <c r="AK183" s="27"/>
      <c r="AL183" s="27"/>
      <c r="AM183" s="27"/>
      <c r="AN183" s="27"/>
      <c r="AO183" s="27"/>
      <c r="AP183" s="27"/>
      <c r="AQ183" s="27"/>
      <c r="AR183" s="27"/>
    </row>
    <row r="184" spans="1:44" ht="15.75" customHeight="1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</row>
    <row r="185" spans="1:44" ht="15.75" customHeight="1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7"/>
      <c r="T185" s="27"/>
      <c r="U185" s="27"/>
      <c r="V185" s="27"/>
      <c r="W185" s="27"/>
      <c r="X185" s="27"/>
      <c r="Y185" s="27"/>
      <c r="Z185" s="27"/>
      <c r="AA185" s="27"/>
      <c r="AB185" s="27"/>
      <c r="AC185" s="27"/>
      <c r="AD185" s="27"/>
      <c r="AE185" s="27"/>
      <c r="AF185" s="27"/>
      <c r="AG185" s="27"/>
      <c r="AH185" s="27"/>
      <c r="AI185" s="27"/>
      <c r="AJ185" s="27"/>
      <c r="AK185" s="27"/>
      <c r="AL185" s="27"/>
      <c r="AM185" s="27"/>
      <c r="AN185" s="27"/>
      <c r="AO185" s="27"/>
      <c r="AP185" s="27"/>
      <c r="AQ185" s="27"/>
      <c r="AR185" s="27"/>
    </row>
    <row r="186" spans="1:44" ht="15.75" customHeight="1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7"/>
      <c r="T186" s="27"/>
      <c r="U186" s="27"/>
      <c r="V186" s="27"/>
      <c r="W186" s="27"/>
      <c r="X186" s="27"/>
      <c r="Y186" s="27"/>
      <c r="Z186" s="27"/>
      <c r="AA186" s="27"/>
      <c r="AB186" s="27"/>
      <c r="AC186" s="27"/>
      <c r="AD186" s="27"/>
      <c r="AE186" s="27"/>
      <c r="AF186" s="27"/>
      <c r="AG186" s="27"/>
      <c r="AH186" s="27"/>
      <c r="AI186" s="27"/>
      <c r="AJ186" s="27"/>
      <c r="AK186" s="27"/>
      <c r="AL186" s="27"/>
      <c r="AM186" s="27"/>
      <c r="AN186" s="27"/>
      <c r="AO186" s="27"/>
      <c r="AP186" s="27"/>
      <c r="AQ186" s="27"/>
      <c r="AR186" s="27"/>
    </row>
    <row r="187" spans="1:44" ht="15.75" customHeight="1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</row>
    <row r="188" spans="1:44" ht="15.75" customHeight="1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7"/>
      <c r="T188" s="27"/>
      <c r="U188" s="27"/>
      <c r="V188" s="27"/>
      <c r="W188" s="27"/>
      <c r="X188" s="27"/>
      <c r="Y188" s="27"/>
      <c r="Z188" s="27"/>
      <c r="AA188" s="27"/>
      <c r="AB188" s="27"/>
      <c r="AC188" s="27"/>
      <c r="AD188" s="27"/>
      <c r="AE188" s="27"/>
      <c r="AF188" s="27"/>
      <c r="AG188" s="27"/>
      <c r="AH188" s="27"/>
      <c r="AI188" s="27"/>
      <c r="AJ188" s="27"/>
      <c r="AK188" s="27"/>
      <c r="AL188" s="27"/>
      <c r="AM188" s="27"/>
      <c r="AN188" s="27"/>
      <c r="AO188" s="27"/>
      <c r="AP188" s="27"/>
      <c r="AQ188" s="27"/>
      <c r="AR188" s="27"/>
    </row>
    <row r="189" spans="1:44" ht="15.75" customHeight="1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7"/>
      <c r="T189" s="27"/>
      <c r="U189" s="27"/>
      <c r="V189" s="27"/>
      <c r="W189" s="27"/>
      <c r="X189" s="27"/>
      <c r="Y189" s="27"/>
      <c r="Z189" s="27"/>
      <c r="AA189" s="27"/>
      <c r="AB189" s="27"/>
      <c r="AC189" s="27"/>
      <c r="AD189" s="27"/>
      <c r="AE189" s="27"/>
      <c r="AF189" s="27"/>
      <c r="AG189" s="27"/>
      <c r="AH189" s="27"/>
      <c r="AI189" s="27"/>
      <c r="AJ189" s="27"/>
      <c r="AK189" s="27"/>
      <c r="AL189" s="27"/>
      <c r="AM189" s="27"/>
      <c r="AN189" s="27"/>
      <c r="AO189" s="27"/>
      <c r="AP189" s="27"/>
      <c r="AQ189" s="27"/>
      <c r="AR189" s="27"/>
    </row>
    <row r="190" spans="1:44" ht="15.75" customHeight="1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</row>
    <row r="191" spans="1:44" ht="15.75" customHeight="1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7"/>
      <c r="T191" s="27"/>
      <c r="U191" s="27"/>
      <c r="V191" s="27"/>
      <c r="W191" s="27"/>
      <c r="X191" s="27"/>
      <c r="Y191" s="27"/>
      <c r="Z191" s="27"/>
      <c r="AA191" s="27"/>
      <c r="AB191" s="27"/>
      <c r="AC191" s="27"/>
      <c r="AD191" s="27"/>
      <c r="AE191" s="27"/>
      <c r="AF191" s="27"/>
      <c r="AG191" s="27"/>
      <c r="AH191" s="27"/>
      <c r="AI191" s="27"/>
      <c r="AJ191" s="27"/>
      <c r="AK191" s="27"/>
      <c r="AL191" s="27"/>
      <c r="AM191" s="27"/>
      <c r="AN191" s="27"/>
      <c r="AO191" s="27"/>
      <c r="AP191" s="27"/>
      <c r="AQ191" s="27"/>
      <c r="AR191" s="27"/>
    </row>
    <row r="192" spans="1:44" ht="15.75" customHeight="1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7"/>
      <c r="T192" s="27"/>
      <c r="U192" s="27"/>
      <c r="V192" s="27"/>
      <c r="W192" s="27"/>
      <c r="X192" s="27"/>
      <c r="Y192" s="27"/>
      <c r="Z192" s="27"/>
      <c r="AA192" s="27"/>
      <c r="AB192" s="27"/>
      <c r="AC192" s="27"/>
      <c r="AD192" s="27"/>
      <c r="AE192" s="27"/>
      <c r="AF192" s="27"/>
      <c r="AG192" s="27"/>
      <c r="AH192" s="27"/>
      <c r="AI192" s="27"/>
      <c r="AJ192" s="27"/>
      <c r="AK192" s="27"/>
      <c r="AL192" s="27"/>
      <c r="AM192" s="27"/>
      <c r="AN192" s="27"/>
      <c r="AO192" s="27"/>
      <c r="AP192" s="27"/>
      <c r="AQ192" s="27"/>
      <c r="AR192" s="27"/>
    </row>
    <row r="193" spans="1:44" ht="15.75" customHeight="1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</row>
    <row r="194" spans="1:44" ht="15.75" customHeight="1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7"/>
      <c r="T194" s="27"/>
      <c r="U194" s="27"/>
      <c r="V194" s="27"/>
      <c r="W194" s="27"/>
      <c r="X194" s="27"/>
      <c r="Y194" s="27"/>
      <c r="Z194" s="27"/>
      <c r="AA194" s="27"/>
      <c r="AB194" s="27"/>
      <c r="AC194" s="27"/>
      <c r="AD194" s="27"/>
      <c r="AE194" s="27"/>
      <c r="AF194" s="27"/>
      <c r="AG194" s="27"/>
      <c r="AH194" s="27"/>
      <c r="AI194" s="27"/>
      <c r="AJ194" s="27"/>
      <c r="AK194" s="27"/>
      <c r="AL194" s="27"/>
      <c r="AM194" s="27"/>
      <c r="AN194" s="27"/>
      <c r="AO194" s="27"/>
      <c r="AP194" s="27"/>
      <c r="AQ194" s="27"/>
      <c r="AR194" s="27"/>
    </row>
    <row r="195" spans="1:44" ht="15.75" customHeight="1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7"/>
      <c r="T195" s="27"/>
      <c r="U195" s="27"/>
      <c r="V195" s="27"/>
      <c r="W195" s="27"/>
      <c r="X195" s="27"/>
      <c r="Y195" s="27"/>
      <c r="Z195" s="27"/>
      <c r="AA195" s="27"/>
      <c r="AB195" s="27"/>
      <c r="AC195" s="27"/>
      <c r="AD195" s="27"/>
      <c r="AE195" s="27"/>
      <c r="AF195" s="27"/>
      <c r="AG195" s="27"/>
      <c r="AH195" s="27"/>
      <c r="AI195" s="27"/>
      <c r="AJ195" s="27"/>
      <c r="AK195" s="27"/>
      <c r="AL195" s="27"/>
      <c r="AM195" s="27"/>
      <c r="AN195" s="27"/>
      <c r="AO195" s="27"/>
      <c r="AP195" s="27"/>
      <c r="AQ195" s="27"/>
      <c r="AR195" s="27"/>
    </row>
    <row r="196" spans="1:44" ht="15.75" customHeight="1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</row>
    <row r="197" spans="1:44" ht="15.75" customHeight="1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7"/>
      <c r="T197" s="27"/>
      <c r="U197" s="27"/>
      <c r="V197" s="27"/>
      <c r="W197" s="27"/>
      <c r="X197" s="27"/>
      <c r="Y197" s="27"/>
      <c r="Z197" s="27"/>
      <c r="AA197" s="27"/>
      <c r="AB197" s="27"/>
      <c r="AC197" s="27"/>
      <c r="AD197" s="27"/>
      <c r="AE197" s="27"/>
      <c r="AF197" s="27"/>
      <c r="AG197" s="27"/>
      <c r="AH197" s="27"/>
      <c r="AI197" s="27"/>
      <c r="AJ197" s="27"/>
      <c r="AK197" s="27"/>
      <c r="AL197" s="27"/>
      <c r="AM197" s="27"/>
      <c r="AN197" s="27"/>
      <c r="AO197" s="27"/>
      <c r="AP197" s="27"/>
      <c r="AQ197" s="27"/>
      <c r="AR197" s="27"/>
    </row>
    <row r="198" spans="1:44" ht="15.75" customHeight="1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7"/>
      <c r="T198" s="27"/>
      <c r="U198" s="27"/>
      <c r="V198" s="27"/>
      <c r="W198" s="27"/>
      <c r="X198" s="27"/>
      <c r="Y198" s="27"/>
      <c r="Z198" s="27"/>
      <c r="AA198" s="27"/>
      <c r="AB198" s="27"/>
      <c r="AC198" s="27"/>
      <c r="AD198" s="27"/>
      <c r="AE198" s="27"/>
      <c r="AF198" s="27"/>
      <c r="AG198" s="27"/>
      <c r="AH198" s="27"/>
      <c r="AI198" s="27"/>
      <c r="AJ198" s="27"/>
      <c r="AK198" s="27"/>
      <c r="AL198" s="27"/>
      <c r="AM198" s="27"/>
      <c r="AN198" s="27"/>
      <c r="AO198" s="27"/>
      <c r="AP198" s="27"/>
      <c r="AQ198" s="27"/>
      <c r="AR198" s="27"/>
    </row>
    <row r="199" spans="1:44" ht="15.75" customHeight="1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7"/>
      <c r="T199" s="27"/>
      <c r="U199" s="27"/>
      <c r="V199" s="27"/>
      <c r="W199" s="27"/>
      <c r="X199" s="27"/>
      <c r="Y199" s="27"/>
      <c r="Z199" s="27"/>
      <c r="AA199" s="27"/>
      <c r="AB199" s="27"/>
      <c r="AC199" s="27"/>
      <c r="AD199" s="27"/>
      <c r="AE199" s="27"/>
      <c r="AF199" s="27"/>
      <c r="AG199" s="27"/>
      <c r="AH199" s="27"/>
      <c r="AI199" s="27"/>
      <c r="AJ199" s="27"/>
      <c r="AK199" s="27"/>
      <c r="AL199" s="27"/>
      <c r="AM199" s="27"/>
      <c r="AN199" s="27"/>
      <c r="AO199" s="27"/>
      <c r="AP199" s="27"/>
      <c r="AQ199" s="27"/>
      <c r="AR199" s="27"/>
    </row>
    <row r="200" spans="1:44" ht="15.75" customHeight="1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</row>
    <row r="201" spans="1:44" ht="15.75" customHeight="1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Z201" s="27"/>
      <c r="AA201" s="27"/>
      <c r="AB201" s="27"/>
      <c r="AC201" s="27"/>
      <c r="AD201" s="27"/>
      <c r="AE201" s="27"/>
      <c r="AF201" s="27"/>
      <c r="AG201" s="27"/>
      <c r="AH201" s="27"/>
      <c r="AI201" s="27"/>
      <c r="AJ201" s="27"/>
      <c r="AK201" s="27"/>
      <c r="AL201" s="27"/>
      <c r="AM201" s="27"/>
      <c r="AN201" s="27"/>
      <c r="AO201" s="27"/>
      <c r="AP201" s="27"/>
      <c r="AQ201" s="27"/>
      <c r="AR201" s="27"/>
    </row>
    <row r="202" spans="1:44" ht="15.75" customHeight="1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7"/>
      <c r="T202" s="27"/>
      <c r="U202" s="27"/>
      <c r="V202" s="27"/>
      <c r="W202" s="27"/>
      <c r="X202" s="27"/>
      <c r="Y202" s="27"/>
      <c r="Z202" s="27"/>
      <c r="AA202" s="27"/>
      <c r="AB202" s="27"/>
      <c r="AC202" s="27"/>
      <c r="AD202" s="27"/>
      <c r="AE202" s="27"/>
      <c r="AF202" s="27"/>
      <c r="AG202" s="27"/>
      <c r="AH202" s="27"/>
      <c r="AI202" s="27"/>
      <c r="AJ202" s="27"/>
      <c r="AK202" s="27"/>
      <c r="AL202" s="27"/>
      <c r="AM202" s="27"/>
      <c r="AN202" s="27"/>
      <c r="AO202" s="27"/>
      <c r="AP202" s="27"/>
      <c r="AQ202" s="27"/>
      <c r="AR202" s="27"/>
    </row>
    <row r="203" spans="1:44" ht="15.75" customHeight="1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</row>
    <row r="204" spans="1:44" ht="15.75" customHeight="1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7"/>
      <c r="T204" s="27"/>
      <c r="U204" s="27"/>
      <c r="V204" s="27"/>
      <c r="W204" s="27"/>
      <c r="X204" s="27"/>
      <c r="Y204" s="27"/>
      <c r="Z204" s="27"/>
      <c r="AA204" s="27"/>
      <c r="AB204" s="27"/>
      <c r="AC204" s="27"/>
      <c r="AD204" s="27"/>
      <c r="AE204" s="27"/>
      <c r="AF204" s="27"/>
      <c r="AG204" s="27"/>
      <c r="AH204" s="27"/>
      <c r="AI204" s="27"/>
      <c r="AJ204" s="27"/>
      <c r="AK204" s="27"/>
      <c r="AL204" s="27"/>
      <c r="AM204" s="27"/>
      <c r="AN204" s="27"/>
      <c r="AO204" s="27"/>
      <c r="AP204" s="27"/>
      <c r="AQ204" s="27"/>
      <c r="AR204" s="27"/>
    </row>
    <row r="205" spans="1:44" ht="15.75" customHeight="1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Z205" s="27"/>
      <c r="AA205" s="27"/>
      <c r="AB205" s="27"/>
      <c r="AC205" s="27"/>
      <c r="AD205" s="27"/>
      <c r="AE205" s="27"/>
      <c r="AF205" s="27"/>
      <c r="AG205" s="27"/>
      <c r="AH205" s="27"/>
      <c r="AI205" s="27"/>
      <c r="AJ205" s="27"/>
      <c r="AK205" s="27"/>
      <c r="AL205" s="27"/>
      <c r="AM205" s="27"/>
      <c r="AN205" s="27"/>
      <c r="AO205" s="27"/>
      <c r="AP205" s="27"/>
      <c r="AQ205" s="27"/>
      <c r="AR205" s="27"/>
    </row>
    <row r="206" spans="1:44" ht="15.75" customHeight="1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</row>
    <row r="207" spans="1:44" ht="15.75" customHeight="1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7"/>
      <c r="T207" s="27"/>
      <c r="U207" s="27"/>
      <c r="V207" s="27"/>
      <c r="W207" s="27"/>
      <c r="X207" s="27"/>
      <c r="Y207" s="27"/>
      <c r="Z207" s="27"/>
      <c r="AA207" s="27"/>
      <c r="AB207" s="27"/>
      <c r="AC207" s="27"/>
      <c r="AD207" s="27"/>
      <c r="AE207" s="27"/>
      <c r="AF207" s="27"/>
      <c r="AG207" s="27"/>
      <c r="AH207" s="27"/>
      <c r="AI207" s="27"/>
      <c r="AJ207" s="27"/>
      <c r="AK207" s="27"/>
      <c r="AL207" s="27"/>
      <c r="AM207" s="27"/>
      <c r="AN207" s="27"/>
      <c r="AO207" s="27"/>
      <c r="AP207" s="27"/>
      <c r="AQ207" s="27"/>
      <c r="AR207" s="27"/>
    </row>
    <row r="208" spans="1:44" ht="15.75" customHeight="1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7"/>
      <c r="T208" s="27"/>
      <c r="U208" s="27"/>
      <c r="V208" s="27"/>
      <c r="W208" s="27"/>
      <c r="X208" s="27"/>
      <c r="Y208" s="27"/>
      <c r="Z208" s="27"/>
      <c r="AA208" s="27"/>
      <c r="AB208" s="27"/>
      <c r="AC208" s="27"/>
      <c r="AD208" s="27"/>
      <c r="AE208" s="27"/>
      <c r="AF208" s="27"/>
      <c r="AG208" s="27"/>
      <c r="AH208" s="27"/>
      <c r="AI208" s="27"/>
      <c r="AJ208" s="27"/>
      <c r="AK208" s="27"/>
      <c r="AL208" s="27"/>
      <c r="AM208" s="27"/>
      <c r="AN208" s="27"/>
      <c r="AO208" s="27"/>
      <c r="AP208" s="27"/>
      <c r="AQ208" s="27"/>
      <c r="AR208" s="27"/>
    </row>
    <row r="209" spans="1:44" ht="15.75" customHeight="1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</row>
    <row r="210" spans="1:44" ht="15.75" customHeight="1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7"/>
      <c r="T210" s="27"/>
      <c r="U210" s="27"/>
      <c r="V210" s="27"/>
      <c r="W210" s="27"/>
      <c r="X210" s="27"/>
      <c r="Y210" s="27"/>
      <c r="Z210" s="27"/>
      <c r="AA210" s="27"/>
      <c r="AB210" s="27"/>
      <c r="AC210" s="27"/>
      <c r="AD210" s="27"/>
      <c r="AE210" s="27"/>
      <c r="AF210" s="27"/>
      <c r="AG210" s="27"/>
      <c r="AH210" s="27"/>
      <c r="AI210" s="27"/>
      <c r="AJ210" s="27"/>
      <c r="AK210" s="27"/>
      <c r="AL210" s="27"/>
      <c r="AM210" s="27"/>
      <c r="AN210" s="27"/>
      <c r="AO210" s="27"/>
      <c r="AP210" s="27"/>
      <c r="AQ210" s="27"/>
      <c r="AR210" s="27"/>
    </row>
    <row r="211" spans="1:44" ht="15.75" customHeight="1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7"/>
      <c r="T211" s="27"/>
      <c r="U211" s="27"/>
      <c r="V211" s="27"/>
      <c r="W211" s="27"/>
      <c r="X211" s="27"/>
      <c r="Y211" s="27"/>
      <c r="Z211" s="27"/>
      <c r="AA211" s="27"/>
      <c r="AB211" s="27"/>
      <c r="AC211" s="27"/>
      <c r="AD211" s="27"/>
      <c r="AE211" s="27"/>
      <c r="AF211" s="27"/>
      <c r="AG211" s="27"/>
      <c r="AH211" s="27"/>
      <c r="AI211" s="27"/>
      <c r="AJ211" s="27"/>
      <c r="AK211" s="27"/>
      <c r="AL211" s="27"/>
      <c r="AM211" s="27"/>
      <c r="AN211" s="27"/>
      <c r="AO211" s="27"/>
      <c r="AP211" s="27"/>
      <c r="AQ211" s="27"/>
      <c r="AR211" s="27"/>
    </row>
    <row r="212" spans="1:44" ht="15.75" customHeight="1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7"/>
      <c r="T212" s="27"/>
      <c r="U212" s="27"/>
      <c r="V212" s="27"/>
      <c r="W212" s="27"/>
      <c r="X212" s="27"/>
      <c r="Y212" s="27"/>
      <c r="Z212" s="27"/>
      <c r="AA212" s="27"/>
      <c r="AB212" s="27"/>
      <c r="AC212" s="27"/>
      <c r="AD212" s="27"/>
      <c r="AE212" s="27"/>
      <c r="AF212" s="27"/>
      <c r="AG212" s="27"/>
      <c r="AH212" s="27"/>
      <c r="AI212" s="27"/>
      <c r="AJ212" s="27"/>
      <c r="AK212" s="27"/>
      <c r="AL212" s="27"/>
      <c r="AM212" s="27"/>
      <c r="AN212" s="27"/>
      <c r="AO212" s="27"/>
      <c r="AP212" s="27"/>
      <c r="AQ212" s="27"/>
      <c r="AR212" s="27"/>
    </row>
    <row r="213" spans="1:44" ht="15.75" customHeight="1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</row>
    <row r="214" spans="1:44" ht="15.75" customHeight="1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Z214" s="27"/>
      <c r="AA214" s="27"/>
      <c r="AB214" s="27"/>
      <c r="AC214" s="27"/>
      <c r="AD214" s="27"/>
      <c r="AE214" s="27"/>
      <c r="AF214" s="27"/>
      <c r="AG214" s="27"/>
      <c r="AH214" s="27"/>
      <c r="AI214" s="27"/>
      <c r="AJ214" s="27"/>
      <c r="AK214" s="27"/>
      <c r="AL214" s="27"/>
      <c r="AM214" s="27"/>
      <c r="AN214" s="27"/>
      <c r="AO214" s="27"/>
      <c r="AP214" s="27"/>
      <c r="AQ214" s="27"/>
      <c r="AR214" s="27"/>
    </row>
    <row r="215" spans="1:44" ht="15.75" customHeight="1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7"/>
      <c r="T215" s="27"/>
      <c r="U215" s="27"/>
      <c r="V215" s="27"/>
      <c r="W215" s="27"/>
      <c r="X215" s="27"/>
      <c r="Y215" s="27"/>
      <c r="Z215" s="27"/>
      <c r="AA215" s="27"/>
      <c r="AB215" s="27"/>
      <c r="AC215" s="27"/>
      <c r="AD215" s="27"/>
      <c r="AE215" s="27"/>
      <c r="AF215" s="27"/>
      <c r="AG215" s="27"/>
      <c r="AH215" s="27"/>
      <c r="AI215" s="27"/>
      <c r="AJ215" s="27"/>
      <c r="AK215" s="27"/>
      <c r="AL215" s="27"/>
      <c r="AM215" s="27"/>
      <c r="AN215" s="27"/>
      <c r="AO215" s="27"/>
      <c r="AP215" s="27"/>
      <c r="AQ215" s="27"/>
      <c r="AR215" s="27"/>
    </row>
    <row r="216" spans="1:44" ht="15.75" customHeight="1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</row>
    <row r="217" spans="1:44" ht="15.75" customHeight="1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7"/>
      <c r="T217" s="27"/>
      <c r="U217" s="27"/>
      <c r="V217" s="27"/>
      <c r="W217" s="27"/>
      <c r="X217" s="27"/>
      <c r="Y217" s="27"/>
      <c r="Z217" s="27"/>
      <c r="AA217" s="27"/>
      <c r="AB217" s="27"/>
      <c r="AC217" s="27"/>
      <c r="AD217" s="27"/>
      <c r="AE217" s="27"/>
      <c r="AF217" s="27"/>
      <c r="AG217" s="27"/>
      <c r="AH217" s="27"/>
      <c r="AI217" s="27"/>
      <c r="AJ217" s="27"/>
      <c r="AK217" s="27"/>
      <c r="AL217" s="27"/>
      <c r="AM217" s="27"/>
      <c r="AN217" s="27"/>
      <c r="AO217" s="27"/>
      <c r="AP217" s="27"/>
      <c r="AQ217" s="27"/>
      <c r="AR217" s="27"/>
    </row>
    <row r="218" spans="1:44" ht="15.75" customHeight="1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7"/>
      <c r="T218" s="27"/>
      <c r="U218" s="27"/>
      <c r="V218" s="27"/>
      <c r="W218" s="27"/>
      <c r="X218" s="27"/>
      <c r="Y218" s="27"/>
      <c r="Z218" s="27"/>
      <c r="AA218" s="27"/>
      <c r="AB218" s="27"/>
      <c r="AC218" s="27"/>
      <c r="AD218" s="27"/>
      <c r="AE218" s="27"/>
      <c r="AF218" s="27"/>
      <c r="AG218" s="27"/>
      <c r="AH218" s="27"/>
      <c r="AI218" s="27"/>
      <c r="AJ218" s="27"/>
      <c r="AK218" s="27"/>
      <c r="AL218" s="27"/>
      <c r="AM218" s="27"/>
      <c r="AN218" s="27"/>
      <c r="AO218" s="27"/>
      <c r="AP218" s="27"/>
      <c r="AQ218" s="27"/>
      <c r="AR218" s="27"/>
    </row>
    <row r="219" spans="1:44" ht="15.75" customHeight="1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7"/>
      <c r="T219" s="27"/>
      <c r="U219" s="27"/>
      <c r="V219" s="27"/>
      <c r="W219" s="27"/>
      <c r="X219" s="27"/>
      <c r="Y219" s="27"/>
      <c r="Z219" s="27"/>
      <c r="AA219" s="27"/>
      <c r="AB219" s="27"/>
      <c r="AC219" s="27"/>
      <c r="AD219" s="27"/>
      <c r="AE219" s="27"/>
      <c r="AF219" s="27"/>
      <c r="AG219" s="27"/>
      <c r="AH219" s="27"/>
      <c r="AI219" s="27"/>
      <c r="AJ219" s="27"/>
      <c r="AK219" s="27"/>
      <c r="AL219" s="27"/>
      <c r="AM219" s="27"/>
      <c r="AN219" s="27"/>
      <c r="AO219" s="27"/>
      <c r="AP219" s="27"/>
      <c r="AQ219" s="27"/>
      <c r="AR219" s="27"/>
    </row>
    <row r="220" spans="1:44" ht="15.75" customHeight="1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</row>
    <row r="221" spans="1:44" ht="15.75" customHeight="1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7"/>
      <c r="T221" s="27"/>
      <c r="U221" s="27"/>
      <c r="V221" s="27"/>
      <c r="W221" s="27"/>
      <c r="X221" s="27"/>
      <c r="Y221" s="27"/>
      <c r="Z221" s="27"/>
      <c r="AA221" s="27"/>
      <c r="AB221" s="27"/>
      <c r="AC221" s="27"/>
      <c r="AD221" s="27"/>
      <c r="AE221" s="27"/>
      <c r="AF221" s="27"/>
      <c r="AG221" s="27"/>
      <c r="AH221" s="27"/>
      <c r="AI221" s="27"/>
      <c r="AJ221" s="27"/>
      <c r="AK221" s="27"/>
      <c r="AL221" s="27"/>
      <c r="AM221" s="27"/>
      <c r="AN221" s="27"/>
      <c r="AO221" s="27"/>
      <c r="AP221" s="27"/>
      <c r="AQ221" s="27"/>
      <c r="AR221" s="27"/>
    </row>
    <row r="222" spans="1:44" ht="15.75" customHeight="1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7"/>
      <c r="T222" s="27"/>
      <c r="U222" s="27"/>
      <c r="V222" s="27"/>
      <c r="W222" s="27"/>
      <c r="X222" s="27"/>
      <c r="Y222" s="27"/>
      <c r="Z222" s="27"/>
      <c r="AA222" s="27"/>
      <c r="AB222" s="27"/>
      <c r="AC222" s="27"/>
      <c r="AD222" s="27"/>
      <c r="AE222" s="27"/>
      <c r="AF222" s="27"/>
      <c r="AG222" s="27"/>
      <c r="AH222" s="27"/>
      <c r="AI222" s="27"/>
      <c r="AJ222" s="27"/>
      <c r="AK222" s="27"/>
      <c r="AL222" s="27"/>
      <c r="AM222" s="27"/>
      <c r="AN222" s="27"/>
      <c r="AO222" s="27"/>
      <c r="AP222" s="27"/>
      <c r="AQ222" s="27"/>
      <c r="AR222" s="27"/>
    </row>
    <row r="223" spans="1:44" ht="15.75" customHeight="1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</row>
    <row r="224" spans="1:44" ht="15.75" customHeight="1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7"/>
      <c r="T224" s="27"/>
      <c r="U224" s="27"/>
      <c r="V224" s="27"/>
      <c r="W224" s="27"/>
      <c r="X224" s="27"/>
      <c r="Y224" s="27"/>
      <c r="Z224" s="27"/>
      <c r="AA224" s="27"/>
      <c r="AB224" s="27"/>
      <c r="AC224" s="27"/>
      <c r="AD224" s="27"/>
      <c r="AE224" s="27"/>
      <c r="AF224" s="27"/>
      <c r="AG224" s="27"/>
      <c r="AH224" s="27"/>
      <c r="AI224" s="27"/>
      <c r="AJ224" s="27"/>
      <c r="AK224" s="27"/>
      <c r="AL224" s="27"/>
      <c r="AM224" s="27"/>
      <c r="AN224" s="27"/>
      <c r="AO224" s="27"/>
      <c r="AP224" s="27"/>
      <c r="AQ224" s="27"/>
      <c r="AR224" s="27"/>
    </row>
    <row r="225" spans="1:44" ht="15.75" customHeight="1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7"/>
      <c r="T225" s="27"/>
      <c r="U225" s="27"/>
      <c r="V225" s="27"/>
      <c r="W225" s="27"/>
      <c r="X225" s="27"/>
      <c r="Y225" s="27"/>
      <c r="Z225" s="27"/>
      <c r="AA225" s="27"/>
      <c r="AB225" s="27"/>
      <c r="AC225" s="27"/>
      <c r="AD225" s="27"/>
      <c r="AE225" s="27"/>
      <c r="AF225" s="27"/>
      <c r="AG225" s="27"/>
      <c r="AH225" s="27"/>
      <c r="AI225" s="27"/>
      <c r="AJ225" s="27"/>
      <c r="AK225" s="27"/>
      <c r="AL225" s="27"/>
      <c r="AM225" s="27"/>
      <c r="AN225" s="27"/>
      <c r="AO225" s="27"/>
      <c r="AP225" s="27"/>
      <c r="AQ225" s="27"/>
      <c r="AR225" s="27"/>
    </row>
    <row r="226" spans="1:44" ht="15.75" customHeight="1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7"/>
      <c r="T226" s="27"/>
      <c r="U226" s="27"/>
      <c r="V226" s="27"/>
      <c r="W226" s="27"/>
      <c r="X226" s="27"/>
      <c r="Y226" s="27"/>
      <c r="Z226" s="27"/>
      <c r="AA226" s="27"/>
      <c r="AB226" s="27"/>
      <c r="AC226" s="27"/>
      <c r="AD226" s="27"/>
      <c r="AE226" s="27"/>
      <c r="AF226" s="27"/>
      <c r="AG226" s="27"/>
      <c r="AH226" s="27"/>
      <c r="AI226" s="27"/>
      <c r="AJ226" s="27"/>
      <c r="AK226" s="27"/>
      <c r="AL226" s="27"/>
      <c r="AM226" s="27"/>
      <c r="AN226" s="27"/>
      <c r="AO226" s="27"/>
      <c r="AP226" s="27"/>
      <c r="AQ226" s="27"/>
      <c r="AR226" s="27"/>
    </row>
    <row r="227" spans="1:44" ht="15.75" customHeight="1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7"/>
      <c r="T227" s="27"/>
      <c r="U227" s="27"/>
      <c r="V227" s="27"/>
      <c r="W227" s="27"/>
      <c r="X227" s="27"/>
      <c r="Y227" s="27"/>
      <c r="Z227" s="27"/>
      <c r="AA227" s="27"/>
      <c r="AB227" s="27"/>
      <c r="AC227" s="27"/>
      <c r="AD227" s="27"/>
      <c r="AE227" s="27"/>
      <c r="AF227" s="27"/>
      <c r="AG227" s="27"/>
      <c r="AH227" s="27"/>
      <c r="AI227" s="27"/>
      <c r="AJ227" s="27"/>
      <c r="AK227" s="27"/>
      <c r="AL227" s="27"/>
      <c r="AM227" s="27"/>
      <c r="AN227" s="27"/>
      <c r="AO227" s="27"/>
      <c r="AP227" s="27"/>
      <c r="AQ227" s="27"/>
      <c r="AR227" s="27"/>
    </row>
    <row r="228" spans="1:44" ht="15.75" customHeight="1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7"/>
      <c r="T228" s="27"/>
      <c r="U228" s="27"/>
      <c r="V228" s="27"/>
      <c r="W228" s="27"/>
      <c r="X228" s="27"/>
      <c r="Y228" s="27"/>
      <c r="Z228" s="27"/>
      <c r="AA228" s="27"/>
      <c r="AB228" s="27"/>
      <c r="AC228" s="27"/>
      <c r="AD228" s="27"/>
      <c r="AE228" s="27"/>
      <c r="AF228" s="27"/>
      <c r="AG228" s="27"/>
      <c r="AH228" s="27"/>
      <c r="AI228" s="27"/>
      <c r="AJ228" s="27"/>
      <c r="AK228" s="27"/>
      <c r="AL228" s="27"/>
      <c r="AM228" s="27"/>
      <c r="AN228" s="27"/>
      <c r="AO228" s="27"/>
      <c r="AP228" s="27"/>
      <c r="AQ228" s="27"/>
      <c r="AR228" s="27"/>
    </row>
    <row r="229" spans="1:44" ht="15.75" customHeight="1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7"/>
      <c r="T229" s="27"/>
      <c r="U229" s="27"/>
      <c r="V229" s="27"/>
      <c r="W229" s="27"/>
      <c r="X229" s="27"/>
      <c r="Y229" s="27"/>
      <c r="Z229" s="27"/>
      <c r="AA229" s="27"/>
      <c r="AB229" s="27"/>
      <c r="AC229" s="27"/>
      <c r="AD229" s="27"/>
      <c r="AE229" s="27"/>
      <c r="AF229" s="27"/>
      <c r="AG229" s="27"/>
      <c r="AH229" s="27"/>
      <c r="AI229" s="27"/>
      <c r="AJ229" s="27"/>
      <c r="AK229" s="27"/>
      <c r="AL229" s="27"/>
      <c r="AM229" s="27"/>
      <c r="AN229" s="27"/>
      <c r="AO229" s="27"/>
      <c r="AP229" s="27"/>
      <c r="AQ229" s="27"/>
      <c r="AR229" s="27"/>
    </row>
    <row r="230" spans="1:44" ht="15.75" customHeight="1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7"/>
      <c r="T230" s="27"/>
      <c r="U230" s="27"/>
      <c r="V230" s="27"/>
      <c r="W230" s="27"/>
      <c r="X230" s="27"/>
      <c r="Y230" s="27"/>
      <c r="Z230" s="27"/>
      <c r="AA230" s="27"/>
      <c r="AB230" s="27"/>
      <c r="AC230" s="27"/>
      <c r="AD230" s="27"/>
      <c r="AE230" s="27"/>
      <c r="AF230" s="27"/>
      <c r="AG230" s="27"/>
      <c r="AH230" s="27"/>
      <c r="AI230" s="27"/>
      <c r="AJ230" s="27"/>
      <c r="AK230" s="27"/>
      <c r="AL230" s="27"/>
      <c r="AM230" s="27"/>
      <c r="AN230" s="27"/>
      <c r="AO230" s="27"/>
      <c r="AP230" s="27"/>
      <c r="AQ230" s="27"/>
      <c r="AR230" s="27"/>
    </row>
    <row r="231" spans="1:44" ht="15.75" customHeight="1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7"/>
      <c r="T231" s="27"/>
      <c r="U231" s="27"/>
      <c r="V231" s="27"/>
      <c r="W231" s="27"/>
      <c r="X231" s="27"/>
      <c r="Y231" s="27"/>
      <c r="Z231" s="27"/>
      <c r="AA231" s="27"/>
      <c r="AB231" s="27"/>
      <c r="AC231" s="27"/>
      <c r="AD231" s="27"/>
      <c r="AE231" s="27"/>
      <c r="AF231" s="27"/>
      <c r="AG231" s="27"/>
      <c r="AH231" s="27"/>
      <c r="AI231" s="27"/>
      <c r="AJ231" s="27"/>
      <c r="AK231" s="27"/>
      <c r="AL231" s="27"/>
      <c r="AM231" s="27"/>
      <c r="AN231" s="27"/>
      <c r="AO231" s="27"/>
      <c r="AP231" s="27"/>
      <c r="AQ231" s="27"/>
      <c r="AR231" s="27"/>
    </row>
    <row r="232" spans="1:44" ht="15.75" customHeight="1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7"/>
      <c r="T232" s="27"/>
      <c r="U232" s="27"/>
      <c r="V232" s="27"/>
      <c r="W232" s="27"/>
      <c r="X232" s="27"/>
      <c r="Y232" s="27"/>
      <c r="Z232" s="27"/>
      <c r="AA232" s="27"/>
      <c r="AB232" s="27"/>
      <c r="AC232" s="27"/>
      <c r="AD232" s="27"/>
      <c r="AE232" s="27"/>
      <c r="AF232" s="27"/>
      <c r="AG232" s="27"/>
      <c r="AH232" s="27"/>
      <c r="AI232" s="27"/>
      <c r="AJ232" s="27"/>
      <c r="AK232" s="27"/>
      <c r="AL232" s="27"/>
      <c r="AM232" s="27"/>
      <c r="AN232" s="27"/>
      <c r="AO232" s="27"/>
      <c r="AP232" s="27"/>
      <c r="AQ232" s="27"/>
      <c r="AR232" s="27"/>
    </row>
    <row r="233" spans="1:44" ht="15.75" customHeight="1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7"/>
      <c r="T233" s="27"/>
      <c r="U233" s="27"/>
      <c r="V233" s="27"/>
      <c r="W233" s="27"/>
      <c r="X233" s="27"/>
      <c r="Y233" s="27"/>
      <c r="Z233" s="27"/>
      <c r="AA233" s="27"/>
      <c r="AB233" s="27"/>
      <c r="AC233" s="27"/>
      <c r="AD233" s="27"/>
      <c r="AE233" s="27"/>
      <c r="AF233" s="27"/>
      <c r="AG233" s="27"/>
      <c r="AH233" s="27"/>
      <c r="AI233" s="27"/>
      <c r="AJ233" s="27"/>
      <c r="AK233" s="27"/>
      <c r="AL233" s="27"/>
      <c r="AM233" s="27"/>
      <c r="AN233" s="27"/>
      <c r="AO233" s="27"/>
      <c r="AP233" s="27"/>
      <c r="AQ233" s="27"/>
      <c r="AR233" s="27"/>
    </row>
    <row r="234" spans="1:44" ht="15.75" customHeight="1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7"/>
      <c r="T234" s="27"/>
      <c r="U234" s="27"/>
      <c r="V234" s="27"/>
      <c r="W234" s="27"/>
      <c r="X234" s="27"/>
      <c r="Y234" s="27"/>
      <c r="Z234" s="27"/>
      <c r="AA234" s="27"/>
      <c r="AB234" s="27"/>
      <c r="AC234" s="27"/>
      <c r="AD234" s="27"/>
      <c r="AE234" s="27"/>
      <c r="AF234" s="27"/>
      <c r="AG234" s="27"/>
      <c r="AH234" s="27"/>
      <c r="AI234" s="27"/>
      <c r="AJ234" s="27"/>
      <c r="AK234" s="27"/>
      <c r="AL234" s="27"/>
      <c r="AM234" s="27"/>
      <c r="AN234" s="27"/>
      <c r="AO234" s="27"/>
      <c r="AP234" s="27"/>
      <c r="AQ234" s="27"/>
      <c r="AR234" s="27"/>
    </row>
    <row r="235" spans="1:44" ht="15.75" customHeight="1"/>
    <row r="236" spans="1:44" ht="15.75" customHeight="1"/>
    <row r="237" spans="1:44" ht="15.75" customHeight="1"/>
    <row r="238" spans="1:44" ht="15.75" customHeight="1"/>
    <row r="239" spans="1:44" ht="15.75" customHeight="1"/>
    <row r="240" spans="1:4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2:I34">
    <cfRule type="containsText" dxfId="16" priority="2" operator="containsText" text="LTR">
      <formula>NOT(ISERROR(SEARCH("LTR",I2)))</formula>
    </cfRule>
    <cfRule type="containsText" dxfId="15" priority="3" operator="containsText" text="RTL">
      <formula>NOT(ISERROR(SEARCH("RTL",I2)))</formula>
    </cfRule>
  </conditionalFormatting>
  <conditionalFormatting sqref="K2:K34">
    <cfRule type="containsText" dxfId="14" priority="4" operator="containsText" text="E">
      <formula>NOT(ISERROR(SEARCH("E",K2)))</formula>
    </cfRule>
    <cfRule type="containsText" dxfId="13" priority="5" operator="containsText" text="H">
      <formula>NOT(ISERROR(SEARCH("H",K2)))</formula>
    </cfRule>
  </conditionalFormatting>
  <conditionalFormatting sqref="K7">
    <cfRule type="containsText" dxfId="12" priority="6" operator="containsText" text="מפת חום ← עמודות נערמות ← רדאר">
      <formula>NOT(ISERROR(SEARCH("מפת חום ← עמודות נערמות ← רדאר",K7)))</formula>
    </cfRule>
    <cfRule type="containsText" dxfId="11" priority="7" operator="containsText" text="רדאר ← מפת חום ← עמודות נערמות">
      <formula>NOT(ISERROR(SEARCH("רדאר ← מפת חום ← עמודות נערמות",K7)))</formula>
    </cfRule>
    <cfRule type="containsText" dxfId="10" priority="8" operator="containsText" text="עמודות נערמות ← רדאר ← מפת חום">
      <formula>NOT(ISERROR(SEARCH("עמודות נערמות ← רדאר ← מפת חום",K7)))</formula>
    </cfRule>
  </conditionalFormatting>
  <conditionalFormatting sqref="P2:P34 S2:S34">
    <cfRule type="containsText" dxfId="9" priority="9" operator="containsText" text=", ,">
      <formula>NOT(ISERROR(SEARCH(", ,",P2)))</formula>
    </cfRule>
  </conditionalFormatting>
  <dataValidations count="1">
    <dataValidation type="list" allowBlank="1" showErrorMessage="1" sqref="I2:I34" xr:uid="{00000000-0002-0000-0100-000000000000}">
      <formula1>"RTL,LTR"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00"/>
  <sheetViews>
    <sheetView rightToLeft="1" zoomScaleNormal="100" workbookViewId="0"/>
  </sheetViews>
  <sheetFormatPr defaultColWidth="14.42578125" defaultRowHeight="15" customHeight="1"/>
  <cols>
    <col min="1" max="1" width="16" customWidth="1"/>
    <col min="2" max="2" width="10" customWidth="1"/>
    <col min="3" max="3" width="33" customWidth="1"/>
    <col min="4" max="6" width="20" customWidth="1"/>
    <col min="7" max="7" width="12" customWidth="1"/>
    <col min="8" max="8" width="10" customWidth="1"/>
    <col min="9" max="9" width="11" customWidth="1"/>
  </cols>
  <sheetData>
    <row r="1" spans="1:9" ht="14.25" customHeight="1">
      <c r="A1" s="40" t="s">
        <v>0</v>
      </c>
      <c r="B1" s="40" t="s">
        <v>352</v>
      </c>
      <c r="C1" s="40" t="s">
        <v>353</v>
      </c>
      <c r="D1" s="40" t="s">
        <v>354</v>
      </c>
      <c r="E1" s="40" t="s">
        <v>355</v>
      </c>
      <c r="F1" s="40" t="s">
        <v>356</v>
      </c>
      <c r="G1" s="40" t="s">
        <v>357</v>
      </c>
      <c r="H1" s="40" t="s">
        <v>358</v>
      </c>
      <c r="I1" s="40" t="s">
        <v>359</v>
      </c>
    </row>
    <row r="2" spans="1:9" ht="28.5" customHeight="1">
      <c r="A2" s="41" t="s">
        <v>86</v>
      </c>
      <c r="B2" s="42" t="s">
        <v>360</v>
      </c>
      <c r="C2" s="43" t="s">
        <v>361</v>
      </c>
      <c r="D2" s="44" t="s">
        <v>362</v>
      </c>
      <c r="E2" s="45" t="s">
        <v>105</v>
      </c>
      <c r="F2" s="46" t="s">
        <v>111</v>
      </c>
      <c r="G2" s="41">
        <v>1</v>
      </c>
      <c r="H2" s="41">
        <v>2</v>
      </c>
      <c r="I2" s="41">
        <v>3</v>
      </c>
    </row>
    <row r="3" spans="1:9" ht="28.5" customHeight="1">
      <c r="A3" s="41" t="s">
        <v>130</v>
      </c>
      <c r="B3" s="42" t="s">
        <v>360</v>
      </c>
      <c r="C3" s="43" t="s">
        <v>363</v>
      </c>
      <c r="D3" s="45" t="s">
        <v>105</v>
      </c>
      <c r="E3" s="46" t="s">
        <v>111</v>
      </c>
      <c r="F3" s="44" t="s">
        <v>362</v>
      </c>
      <c r="G3" s="41">
        <v>1</v>
      </c>
      <c r="H3" s="41">
        <v>2</v>
      </c>
      <c r="I3" s="41">
        <v>3</v>
      </c>
    </row>
    <row r="4" spans="1:9" ht="28.5" customHeight="1">
      <c r="A4" s="41" t="s">
        <v>133</v>
      </c>
      <c r="B4" s="42" t="s">
        <v>360</v>
      </c>
      <c r="C4" s="43" t="s">
        <v>364</v>
      </c>
      <c r="D4" s="46" t="s">
        <v>111</v>
      </c>
      <c r="E4" s="44" t="s">
        <v>362</v>
      </c>
      <c r="F4" s="45" t="s">
        <v>105</v>
      </c>
      <c r="G4" s="41">
        <v>1</v>
      </c>
      <c r="H4" s="41">
        <v>2</v>
      </c>
      <c r="I4" s="41">
        <v>3</v>
      </c>
    </row>
    <row r="5" spans="1:9" ht="28.5" customHeight="1">
      <c r="A5" s="41" t="s">
        <v>134</v>
      </c>
      <c r="B5" s="42" t="s">
        <v>360</v>
      </c>
      <c r="C5" s="43" t="s">
        <v>361</v>
      </c>
      <c r="D5" s="44" t="s">
        <v>362</v>
      </c>
      <c r="E5" s="45" t="s">
        <v>105</v>
      </c>
      <c r="F5" s="46" t="s">
        <v>111</v>
      </c>
      <c r="G5" s="41">
        <v>1</v>
      </c>
      <c r="H5" s="41">
        <v>2</v>
      </c>
      <c r="I5" s="41">
        <v>3</v>
      </c>
    </row>
    <row r="6" spans="1:9" ht="28.5" customHeight="1">
      <c r="A6" s="41" t="s">
        <v>135</v>
      </c>
      <c r="B6" s="42" t="s">
        <v>360</v>
      </c>
      <c r="C6" s="43" t="s">
        <v>363</v>
      </c>
      <c r="D6" s="45" t="s">
        <v>105</v>
      </c>
      <c r="E6" s="46" t="s">
        <v>111</v>
      </c>
      <c r="F6" s="44" t="s">
        <v>362</v>
      </c>
      <c r="G6" s="41">
        <v>1</v>
      </c>
      <c r="H6" s="41">
        <v>2</v>
      </c>
      <c r="I6" s="41">
        <v>3</v>
      </c>
    </row>
    <row r="7" spans="1:9" ht="28.5" customHeight="1">
      <c r="A7" s="41" t="s">
        <v>136</v>
      </c>
      <c r="B7" s="42" t="s">
        <v>360</v>
      </c>
      <c r="C7" s="43" t="s">
        <v>364</v>
      </c>
      <c r="D7" s="46" t="s">
        <v>111</v>
      </c>
      <c r="E7" s="44" t="s">
        <v>362</v>
      </c>
      <c r="F7" s="45" t="s">
        <v>105</v>
      </c>
      <c r="G7" s="41">
        <v>1</v>
      </c>
      <c r="H7" s="41">
        <v>2</v>
      </c>
      <c r="I7" s="41">
        <v>3</v>
      </c>
    </row>
    <row r="8" spans="1:9" ht="28.5" customHeight="1">
      <c r="A8" s="41" t="s">
        <v>137</v>
      </c>
      <c r="B8" s="42" t="s">
        <v>360</v>
      </c>
      <c r="C8" s="43" t="s">
        <v>361</v>
      </c>
      <c r="D8" s="44" t="s">
        <v>362</v>
      </c>
      <c r="E8" s="45" t="s">
        <v>105</v>
      </c>
      <c r="F8" s="46" t="s">
        <v>111</v>
      </c>
      <c r="G8" s="41">
        <v>1</v>
      </c>
      <c r="H8" s="41">
        <v>2</v>
      </c>
      <c r="I8" s="41">
        <v>3</v>
      </c>
    </row>
    <row r="9" spans="1:9" ht="28.5" customHeight="1">
      <c r="A9" s="41" t="s">
        <v>138</v>
      </c>
      <c r="B9" s="42" t="s">
        <v>360</v>
      </c>
      <c r="C9" s="43" t="s">
        <v>363</v>
      </c>
      <c r="D9" s="45" t="s">
        <v>105</v>
      </c>
      <c r="E9" s="46" t="s">
        <v>111</v>
      </c>
      <c r="F9" s="44" t="s">
        <v>362</v>
      </c>
      <c r="G9" s="41">
        <v>1</v>
      </c>
      <c r="H9" s="41">
        <v>2</v>
      </c>
      <c r="I9" s="41">
        <v>3</v>
      </c>
    </row>
    <row r="10" spans="1:9" ht="28.5" customHeight="1">
      <c r="A10" s="41" t="s">
        <v>139</v>
      </c>
      <c r="B10" s="42" t="s">
        <v>360</v>
      </c>
      <c r="C10" s="43" t="s">
        <v>364</v>
      </c>
      <c r="D10" s="46" t="s">
        <v>111</v>
      </c>
      <c r="E10" s="44" t="s">
        <v>362</v>
      </c>
      <c r="F10" s="45" t="s">
        <v>105</v>
      </c>
      <c r="G10" s="41">
        <v>1</v>
      </c>
      <c r="H10" s="41">
        <v>2</v>
      </c>
      <c r="I10" s="41">
        <v>3</v>
      </c>
    </row>
    <row r="11" spans="1:9" ht="28.5" customHeight="1">
      <c r="A11" s="41" t="s">
        <v>140</v>
      </c>
      <c r="B11" s="42" t="s">
        <v>360</v>
      </c>
      <c r="C11" s="43" t="s">
        <v>361</v>
      </c>
      <c r="D11" s="44" t="s">
        <v>362</v>
      </c>
      <c r="E11" s="45" t="s">
        <v>105</v>
      </c>
      <c r="F11" s="46" t="s">
        <v>111</v>
      </c>
      <c r="G11" s="41">
        <v>1</v>
      </c>
      <c r="H11" s="41">
        <v>2</v>
      </c>
      <c r="I11" s="41">
        <v>3</v>
      </c>
    </row>
    <row r="12" spans="1:9" ht="28.5" customHeight="1">
      <c r="A12" s="41" t="s">
        <v>141</v>
      </c>
      <c r="B12" s="47" t="s">
        <v>365</v>
      </c>
      <c r="C12" s="43" t="s">
        <v>363</v>
      </c>
      <c r="D12" s="45" t="s">
        <v>105</v>
      </c>
      <c r="E12" s="46" t="s">
        <v>111</v>
      </c>
      <c r="F12" s="44" t="s">
        <v>362</v>
      </c>
      <c r="G12" s="41">
        <v>2</v>
      </c>
      <c r="H12" s="41">
        <v>3</v>
      </c>
      <c r="I12" s="41">
        <v>1</v>
      </c>
    </row>
    <row r="13" spans="1:9" ht="28.5" customHeight="1">
      <c r="A13" s="41" t="s">
        <v>169</v>
      </c>
      <c r="B13" s="47" t="s">
        <v>365</v>
      </c>
      <c r="C13" s="43" t="s">
        <v>364</v>
      </c>
      <c r="D13" s="46" t="s">
        <v>111</v>
      </c>
      <c r="E13" s="44" t="s">
        <v>362</v>
      </c>
      <c r="F13" s="45" t="s">
        <v>105</v>
      </c>
      <c r="G13" s="41">
        <v>2</v>
      </c>
      <c r="H13" s="41">
        <v>3</v>
      </c>
      <c r="I13" s="41">
        <v>1</v>
      </c>
    </row>
    <row r="14" spans="1:9" ht="28.5" customHeight="1">
      <c r="A14" s="41" t="s">
        <v>170</v>
      </c>
      <c r="B14" s="47" t="s">
        <v>365</v>
      </c>
      <c r="C14" s="43" t="s">
        <v>361</v>
      </c>
      <c r="D14" s="44" t="s">
        <v>362</v>
      </c>
      <c r="E14" s="45" t="s">
        <v>105</v>
      </c>
      <c r="F14" s="46" t="s">
        <v>111</v>
      </c>
      <c r="G14" s="41">
        <v>2</v>
      </c>
      <c r="H14" s="41">
        <v>3</v>
      </c>
      <c r="I14" s="41">
        <v>1</v>
      </c>
    </row>
    <row r="15" spans="1:9" ht="28.5" customHeight="1">
      <c r="A15" s="41" t="s">
        <v>171</v>
      </c>
      <c r="B15" s="47" t="s">
        <v>365</v>
      </c>
      <c r="C15" s="43" t="s">
        <v>363</v>
      </c>
      <c r="D15" s="45" t="s">
        <v>105</v>
      </c>
      <c r="E15" s="46" t="s">
        <v>111</v>
      </c>
      <c r="F15" s="44" t="s">
        <v>362</v>
      </c>
      <c r="G15" s="41">
        <v>2</v>
      </c>
      <c r="H15" s="41">
        <v>3</v>
      </c>
      <c r="I15" s="41">
        <v>1</v>
      </c>
    </row>
    <row r="16" spans="1:9" ht="28.5" customHeight="1">
      <c r="A16" s="41" t="s">
        <v>172</v>
      </c>
      <c r="B16" s="47" t="s">
        <v>365</v>
      </c>
      <c r="C16" s="43" t="s">
        <v>364</v>
      </c>
      <c r="D16" s="46" t="s">
        <v>111</v>
      </c>
      <c r="E16" s="44" t="s">
        <v>362</v>
      </c>
      <c r="F16" s="45" t="s">
        <v>105</v>
      </c>
      <c r="G16" s="41">
        <v>2</v>
      </c>
      <c r="H16" s="41">
        <v>3</v>
      </c>
      <c r="I16" s="41">
        <v>1</v>
      </c>
    </row>
    <row r="17" spans="1:9" ht="28.5" customHeight="1">
      <c r="A17" s="41" t="s">
        <v>173</v>
      </c>
      <c r="B17" s="47" t="s">
        <v>365</v>
      </c>
      <c r="C17" s="43" t="s">
        <v>361</v>
      </c>
      <c r="D17" s="44" t="s">
        <v>362</v>
      </c>
      <c r="E17" s="45" t="s">
        <v>105</v>
      </c>
      <c r="F17" s="46" t="s">
        <v>111</v>
      </c>
      <c r="G17" s="41">
        <v>2</v>
      </c>
      <c r="H17" s="41">
        <v>3</v>
      </c>
      <c r="I17" s="41">
        <v>1</v>
      </c>
    </row>
    <row r="18" spans="1:9" ht="28.5" customHeight="1">
      <c r="A18" s="41" t="s">
        <v>174</v>
      </c>
      <c r="B18" s="47" t="s">
        <v>365</v>
      </c>
      <c r="C18" s="43" t="s">
        <v>363</v>
      </c>
      <c r="D18" s="45" t="s">
        <v>105</v>
      </c>
      <c r="E18" s="46" t="s">
        <v>111</v>
      </c>
      <c r="F18" s="44" t="s">
        <v>362</v>
      </c>
      <c r="G18" s="41">
        <v>2</v>
      </c>
      <c r="H18" s="41">
        <v>3</v>
      </c>
      <c r="I18" s="41">
        <v>1</v>
      </c>
    </row>
    <row r="19" spans="1:9" ht="28.5" customHeight="1">
      <c r="A19" s="41" t="s">
        <v>175</v>
      </c>
      <c r="B19" s="47" t="s">
        <v>365</v>
      </c>
      <c r="C19" s="43" t="s">
        <v>364</v>
      </c>
      <c r="D19" s="46" t="s">
        <v>111</v>
      </c>
      <c r="E19" s="44" t="s">
        <v>362</v>
      </c>
      <c r="F19" s="45" t="s">
        <v>105</v>
      </c>
      <c r="G19" s="41">
        <v>2</v>
      </c>
      <c r="H19" s="41">
        <v>3</v>
      </c>
      <c r="I19" s="41">
        <v>1</v>
      </c>
    </row>
    <row r="20" spans="1:9" ht="28.5" customHeight="1">
      <c r="A20" s="41" t="s">
        <v>176</v>
      </c>
      <c r="B20" s="47" t="s">
        <v>365</v>
      </c>
      <c r="C20" s="43" t="s">
        <v>361</v>
      </c>
      <c r="D20" s="44" t="s">
        <v>362</v>
      </c>
      <c r="E20" s="45" t="s">
        <v>105</v>
      </c>
      <c r="F20" s="46" t="s">
        <v>111</v>
      </c>
      <c r="G20" s="41">
        <v>2</v>
      </c>
      <c r="H20" s="41">
        <v>3</v>
      </c>
      <c r="I20" s="41">
        <v>1</v>
      </c>
    </row>
    <row r="21" spans="1:9" ht="15.75" customHeight="1">
      <c r="A21" s="41" t="s">
        <v>177</v>
      </c>
      <c r="B21" s="47" t="s">
        <v>365</v>
      </c>
      <c r="C21" s="43" t="s">
        <v>363</v>
      </c>
      <c r="D21" s="45" t="s">
        <v>105</v>
      </c>
      <c r="E21" s="46" t="s">
        <v>111</v>
      </c>
      <c r="F21" s="44" t="s">
        <v>362</v>
      </c>
      <c r="G21" s="41">
        <v>2</v>
      </c>
      <c r="H21" s="41">
        <v>3</v>
      </c>
      <c r="I21" s="41">
        <v>1</v>
      </c>
    </row>
    <row r="22" spans="1:9" ht="15.75" customHeight="1">
      <c r="A22" s="41" t="s">
        <v>178</v>
      </c>
      <c r="B22" s="48" t="s">
        <v>366</v>
      </c>
      <c r="C22" s="43" t="s">
        <v>364</v>
      </c>
      <c r="D22" s="46" t="s">
        <v>111</v>
      </c>
      <c r="E22" s="44" t="s">
        <v>362</v>
      </c>
      <c r="F22" s="45" t="s">
        <v>105</v>
      </c>
      <c r="G22" s="41">
        <v>3</v>
      </c>
      <c r="H22" s="41">
        <v>1</v>
      </c>
      <c r="I22" s="41">
        <v>2</v>
      </c>
    </row>
    <row r="23" spans="1:9" ht="15.75" customHeight="1">
      <c r="A23" s="41" t="s">
        <v>206</v>
      </c>
      <c r="B23" s="48" t="s">
        <v>366</v>
      </c>
      <c r="C23" s="43" t="s">
        <v>361</v>
      </c>
      <c r="D23" s="44" t="s">
        <v>362</v>
      </c>
      <c r="E23" s="45" t="s">
        <v>105</v>
      </c>
      <c r="F23" s="46" t="s">
        <v>111</v>
      </c>
      <c r="G23" s="41">
        <v>3</v>
      </c>
      <c r="H23" s="41">
        <v>1</v>
      </c>
      <c r="I23" s="41">
        <v>2</v>
      </c>
    </row>
    <row r="24" spans="1:9" ht="15.75" customHeight="1">
      <c r="A24" s="41" t="s">
        <v>207</v>
      </c>
      <c r="B24" s="48" t="s">
        <v>366</v>
      </c>
      <c r="C24" s="43" t="s">
        <v>363</v>
      </c>
      <c r="D24" s="45" t="s">
        <v>105</v>
      </c>
      <c r="E24" s="46" t="s">
        <v>111</v>
      </c>
      <c r="F24" s="44" t="s">
        <v>362</v>
      </c>
      <c r="G24" s="41">
        <v>3</v>
      </c>
      <c r="H24" s="41">
        <v>1</v>
      </c>
      <c r="I24" s="41">
        <v>2</v>
      </c>
    </row>
    <row r="25" spans="1:9" ht="15.75" customHeight="1">
      <c r="A25" s="41" t="s">
        <v>208</v>
      </c>
      <c r="B25" s="48" t="s">
        <v>366</v>
      </c>
      <c r="C25" s="43" t="s">
        <v>364</v>
      </c>
      <c r="D25" s="46" t="s">
        <v>111</v>
      </c>
      <c r="E25" s="44" t="s">
        <v>362</v>
      </c>
      <c r="F25" s="45" t="s">
        <v>105</v>
      </c>
      <c r="G25" s="41">
        <v>3</v>
      </c>
      <c r="H25" s="41">
        <v>1</v>
      </c>
      <c r="I25" s="41">
        <v>2</v>
      </c>
    </row>
    <row r="26" spans="1:9" ht="15.75" customHeight="1">
      <c r="A26" s="41" t="s">
        <v>209</v>
      </c>
      <c r="B26" s="48" t="s">
        <v>366</v>
      </c>
      <c r="C26" s="43" t="s">
        <v>361</v>
      </c>
      <c r="D26" s="44" t="s">
        <v>362</v>
      </c>
      <c r="E26" s="45" t="s">
        <v>105</v>
      </c>
      <c r="F26" s="46" t="s">
        <v>111</v>
      </c>
      <c r="G26" s="41">
        <v>3</v>
      </c>
      <c r="H26" s="41">
        <v>1</v>
      </c>
      <c r="I26" s="41">
        <v>2</v>
      </c>
    </row>
    <row r="27" spans="1:9" ht="15.75" customHeight="1">
      <c r="A27" s="41" t="s">
        <v>210</v>
      </c>
      <c r="B27" s="48" t="s">
        <v>366</v>
      </c>
      <c r="C27" s="43" t="s">
        <v>363</v>
      </c>
      <c r="D27" s="45" t="s">
        <v>105</v>
      </c>
      <c r="E27" s="46" t="s">
        <v>111</v>
      </c>
      <c r="F27" s="44" t="s">
        <v>362</v>
      </c>
      <c r="G27" s="41">
        <v>3</v>
      </c>
      <c r="H27" s="41">
        <v>1</v>
      </c>
      <c r="I27" s="41">
        <v>2</v>
      </c>
    </row>
    <row r="28" spans="1:9" ht="15.75" customHeight="1">
      <c r="A28" s="41" t="s">
        <v>211</v>
      </c>
      <c r="B28" s="48" t="s">
        <v>366</v>
      </c>
      <c r="C28" s="43" t="s">
        <v>364</v>
      </c>
      <c r="D28" s="46" t="s">
        <v>111</v>
      </c>
      <c r="E28" s="44" t="s">
        <v>362</v>
      </c>
      <c r="F28" s="45" t="s">
        <v>105</v>
      </c>
      <c r="G28" s="41">
        <v>3</v>
      </c>
      <c r="H28" s="41">
        <v>1</v>
      </c>
      <c r="I28" s="41">
        <v>2</v>
      </c>
    </row>
    <row r="29" spans="1:9" ht="15.75" customHeight="1">
      <c r="A29" s="41" t="s">
        <v>212</v>
      </c>
      <c r="B29" s="48" t="s">
        <v>366</v>
      </c>
      <c r="C29" s="43" t="s">
        <v>361</v>
      </c>
      <c r="D29" s="44" t="s">
        <v>362</v>
      </c>
      <c r="E29" s="45" t="s">
        <v>105</v>
      </c>
      <c r="F29" s="46" t="s">
        <v>111</v>
      </c>
      <c r="G29" s="41">
        <v>3</v>
      </c>
      <c r="H29" s="41">
        <v>1</v>
      </c>
      <c r="I29" s="41">
        <v>2</v>
      </c>
    </row>
    <row r="30" spans="1:9" ht="15.75" customHeight="1">
      <c r="A30" s="41" t="s">
        <v>213</v>
      </c>
      <c r="B30" s="48" t="s">
        <v>366</v>
      </c>
      <c r="C30" s="43" t="s">
        <v>363</v>
      </c>
      <c r="D30" s="45" t="s">
        <v>105</v>
      </c>
      <c r="E30" s="46" t="s">
        <v>111</v>
      </c>
      <c r="F30" s="44" t="s">
        <v>362</v>
      </c>
      <c r="G30" s="41">
        <v>3</v>
      </c>
      <c r="H30" s="41">
        <v>1</v>
      </c>
      <c r="I30" s="41">
        <v>2</v>
      </c>
    </row>
    <row r="31" spans="1:9" ht="15.75" customHeight="1">
      <c r="A31" s="41" t="s">
        <v>214</v>
      </c>
      <c r="B31" s="48" t="s">
        <v>366</v>
      </c>
      <c r="C31" s="43" t="s">
        <v>364</v>
      </c>
      <c r="D31" s="46" t="s">
        <v>111</v>
      </c>
      <c r="E31" s="44" t="s">
        <v>362</v>
      </c>
      <c r="F31" s="45" t="s">
        <v>105</v>
      </c>
      <c r="G31" s="41">
        <v>3</v>
      </c>
      <c r="H31" s="41">
        <v>1</v>
      </c>
      <c r="I31" s="41">
        <v>2</v>
      </c>
    </row>
    <row r="32" spans="1:9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showGridLines="0" rightToLeft="1" tabSelected="1" zoomScaleNormal="100" workbookViewId="0">
      <pane ySplit="1" topLeftCell="A7" activePane="bottomLeft" state="frozen"/>
      <selection pane="bottomLeft" activeCell="K2" sqref="K2"/>
    </sheetView>
  </sheetViews>
  <sheetFormatPr defaultColWidth="14.42578125" defaultRowHeight="15" customHeight="1"/>
  <cols>
    <col min="1" max="1" width="11.28515625" customWidth="1"/>
    <col min="2" max="2" width="8" customWidth="1"/>
    <col min="3" max="4" width="10" customWidth="1"/>
    <col min="5" max="5" width="16" customWidth="1"/>
    <col min="6" max="7" width="10" customWidth="1"/>
    <col min="8" max="8" width="14" customWidth="1"/>
    <col min="9" max="10" width="10" customWidth="1"/>
    <col min="11" max="11" width="18" customWidth="1"/>
    <col min="12" max="12" width="22" customWidth="1"/>
    <col min="13" max="26" width="8.7109375" customWidth="1"/>
  </cols>
  <sheetData>
    <row r="1" spans="1:26" ht="30" customHeight="1">
      <c r="A1" s="49" t="s">
        <v>0</v>
      </c>
      <c r="B1" s="49" t="s">
        <v>367</v>
      </c>
      <c r="C1" s="49" t="s">
        <v>368</v>
      </c>
      <c r="D1" s="49" t="s">
        <v>369</v>
      </c>
      <c r="E1" s="49" t="s">
        <v>370</v>
      </c>
      <c r="F1" s="49" t="s">
        <v>371</v>
      </c>
      <c r="G1" s="49" t="s">
        <v>372</v>
      </c>
      <c r="H1" s="49" t="s">
        <v>373</v>
      </c>
      <c r="I1" s="49" t="s">
        <v>374</v>
      </c>
      <c r="J1" s="49" t="s">
        <v>375</v>
      </c>
      <c r="K1" s="49" t="s">
        <v>376</v>
      </c>
      <c r="L1" s="49" t="s">
        <v>377</v>
      </c>
      <c r="M1" s="13"/>
      <c r="N1" s="13"/>
      <c r="O1" s="13" t="s">
        <v>378</v>
      </c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spans="1:26" hidden="1">
      <c r="A2" s="8" t="s">
        <v>86</v>
      </c>
      <c r="B2" s="8">
        <v>1</v>
      </c>
      <c r="C2" s="9" t="s">
        <v>379</v>
      </c>
      <c r="D2" s="8"/>
      <c r="E2" s="9" t="s">
        <v>98</v>
      </c>
      <c r="F2" s="8"/>
      <c r="G2" s="8"/>
      <c r="H2" s="11" t="s">
        <v>90</v>
      </c>
      <c r="I2" s="8" t="s">
        <v>91</v>
      </c>
      <c r="J2" s="9" t="s">
        <v>380</v>
      </c>
      <c r="K2" s="8" t="str">
        <f>VLOOKUP(LEFT(H2,7),'קטלוג תרחישים'!$A:$M,12,FALSE())</f>
        <v>א'</v>
      </c>
      <c r="L2" s="8" t="str">
        <f>IF(J2="כן",K2,VLOOKUP(LEFT(H2,7),'קטלוג תרחישים'!$A:$M,13,FALSE()))</f>
        <v>א'</v>
      </c>
      <c r="M2" s="13"/>
      <c r="N2" s="50" t="s">
        <v>360</v>
      </c>
      <c r="O2" s="13" t="str">
        <f t="array" ref="O2">_xlfn.IFS(N2="A","א'", N2="B", "ב'", N2= "C", "ג'")</f>
        <v>א'</v>
      </c>
      <c r="P2" s="13">
        <f>IF(Table_2[[#This Row],[Correct_Answer]]=Table_2[[#This Row],[System_Recommendation]],1,0)</f>
        <v>1</v>
      </c>
      <c r="Q2" s="13"/>
      <c r="R2" s="13"/>
      <c r="S2" s="13"/>
      <c r="T2" s="13"/>
      <c r="U2" s="13"/>
      <c r="V2" s="13"/>
      <c r="W2" s="13"/>
      <c r="X2" s="13"/>
      <c r="Y2" s="13"/>
      <c r="Z2" s="13"/>
    </row>
    <row r="3" spans="1:26" hidden="1">
      <c r="A3" s="8" t="s">
        <v>86</v>
      </c>
      <c r="B3" s="8">
        <v>2</v>
      </c>
      <c r="C3" s="9" t="s">
        <v>379</v>
      </c>
      <c r="D3" s="8"/>
      <c r="E3" s="9" t="s">
        <v>98</v>
      </c>
      <c r="F3" s="8"/>
      <c r="G3" s="8"/>
      <c r="H3" s="11" t="s">
        <v>92</v>
      </c>
      <c r="I3" s="8" t="s">
        <v>91</v>
      </c>
      <c r="J3" s="9" t="s">
        <v>380</v>
      </c>
      <c r="K3" s="8" t="str">
        <f>VLOOKUP(LEFT(H3,7),'קטלוג תרחישים'!$A:$M,12,FALSE())</f>
        <v>א'</v>
      </c>
      <c r="L3" s="8" t="str">
        <f>IF(J3="כן",K3,VLOOKUP(LEFT(H3,7),'קטלוג תרחישים'!$A:$M,13,FALSE()))</f>
        <v>א'</v>
      </c>
      <c r="M3" s="13"/>
      <c r="N3" s="51" t="s">
        <v>360</v>
      </c>
      <c r="O3" s="13" t="str">
        <f t="array" ref="O3">_xlfn.IFS(N3="A","א'", N3="B", "ב'", N3= "C", "ג'")</f>
        <v>א'</v>
      </c>
      <c r="P3" s="13">
        <f>IF(Table_2[[#This Row],[Correct_Answer]]=Table_2[[#This Row],[System_Recommendation]],1,0)</f>
        <v>1</v>
      </c>
      <c r="Q3" s="13"/>
      <c r="R3" s="13"/>
      <c r="S3" s="13"/>
      <c r="T3" s="13"/>
      <c r="U3" s="13"/>
      <c r="V3" s="13"/>
      <c r="W3" s="13"/>
      <c r="X3" s="13"/>
      <c r="Y3" s="13"/>
      <c r="Z3" s="13"/>
    </row>
    <row r="4" spans="1:26" hidden="1">
      <c r="A4" s="8" t="s">
        <v>86</v>
      </c>
      <c r="B4" s="8">
        <v>3</v>
      </c>
      <c r="C4" s="9" t="s">
        <v>379</v>
      </c>
      <c r="D4" s="8"/>
      <c r="E4" s="9" t="s">
        <v>105</v>
      </c>
      <c r="F4" s="8"/>
      <c r="G4" s="8"/>
      <c r="H4" s="11" t="s">
        <v>93</v>
      </c>
      <c r="I4" s="8" t="s">
        <v>91</v>
      </c>
      <c r="J4" s="9" t="s">
        <v>380</v>
      </c>
      <c r="K4" s="8" t="str">
        <f>VLOOKUP(LEFT(H4,7),'קטלוג תרחישים'!$A:$M,12,FALSE())</f>
        <v>א'</v>
      </c>
      <c r="L4" s="8" t="str">
        <f>IF(J4="כן",K4,VLOOKUP(LEFT(H4,7),'קטלוג תרחישים'!$A:$M,13,FALSE()))</f>
        <v>א'</v>
      </c>
      <c r="M4" s="13"/>
      <c r="N4" s="50" t="s">
        <v>365</v>
      </c>
      <c r="O4" s="13" t="str">
        <f t="array" ref="O4">_xlfn.IFS(N4="A","א'", N4="B", "ב'", N4= "C", "ג'")</f>
        <v>ב'</v>
      </c>
      <c r="P4" s="13">
        <f>IF(Table_2[[#This Row],[Correct_Answer]]=Table_2[[#This Row],[System_Recommendation]],1,0)</f>
        <v>1</v>
      </c>
      <c r="Q4" s="13"/>
      <c r="R4" s="13"/>
      <c r="S4" s="13"/>
      <c r="T4" s="13"/>
      <c r="U4" s="13"/>
      <c r="V4" s="13"/>
      <c r="W4" s="13"/>
      <c r="X4" s="13"/>
      <c r="Y4" s="13"/>
      <c r="Z4" s="13"/>
    </row>
    <row r="5" spans="1:26" hidden="1">
      <c r="A5" s="8" t="s">
        <v>86</v>
      </c>
      <c r="B5" s="8">
        <v>4</v>
      </c>
      <c r="C5" s="9" t="s">
        <v>379</v>
      </c>
      <c r="D5" s="8"/>
      <c r="E5" s="9" t="s">
        <v>105</v>
      </c>
      <c r="F5" s="8"/>
      <c r="G5" s="8"/>
      <c r="H5" s="11" t="s">
        <v>94</v>
      </c>
      <c r="I5" s="8" t="s">
        <v>91</v>
      </c>
      <c r="J5" s="9" t="s">
        <v>380</v>
      </c>
      <c r="K5" s="8" t="str">
        <f>VLOOKUP(LEFT(H5,7),'קטלוג תרחישים'!$A:$M,12,FALSE())</f>
        <v>א'</v>
      </c>
      <c r="L5" s="8" t="str">
        <f>IF(J5="כן",K5,VLOOKUP(LEFT(H5,7),'קטלוג תרחישים'!$A:$M,13,FALSE()))</f>
        <v>א'</v>
      </c>
      <c r="M5" s="13"/>
      <c r="N5" s="51" t="s">
        <v>366</v>
      </c>
      <c r="O5" s="13" t="str">
        <f t="array" ref="O5">_xlfn.IFS(N5="A","א'", N5="B", "ב'", N5= "C", "ג'")</f>
        <v>ג'</v>
      </c>
      <c r="P5" s="13">
        <f>IF(Table_2[[#This Row],[Correct_Answer]]=Table_2[[#This Row],[System_Recommendation]],1,0)</f>
        <v>1</v>
      </c>
      <c r="Q5" s="13"/>
      <c r="R5" s="13"/>
      <c r="S5" s="13"/>
      <c r="T5" s="13"/>
      <c r="U5" s="13"/>
      <c r="V5" s="13"/>
      <c r="W5" s="13"/>
      <c r="X5" s="13"/>
      <c r="Y5" s="13"/>
      <c r="Z5" s="13"/>
    </row>
    <row r="6" spans="1:26" hidden="1">
      <c r="A6" s="8" t="s">
        <v>86</v>
      </c>
      <c r="B6" s="8">
        <v>5</v>
      </c>
      <c r="C6" s="9" t="s">
        <v>379</v>
      </c>
      <c r="D6" s="8"/>
      <c r="E6" s="9" t="s">
        <v>111</v>
      </c>
      <c r="F6" s="8"/>
      <c r="G6" s="8"/>
      <c r="H6" s="11" t="s">
        <v>95</v>
      </c>
      <c r="I6" s="8" t="s">
        <v>91</v>
      </c>
      <c r="J6" s="9" t="s">
        <v>380</v>
      </c>
      <c r="K6" s="8" t="str">
        <f>VLOOKUP(LEFT(H6,7),'קטלוג תרחישים'!$A:$M,12,FALSE())</f>
        <v>ב'</v>
      </c>
      <c r="L6" s="8" t="str">
        <f>IF(J6="כן",K6,VLOOKUP(LEFT(H6,7),'קטלוג תרחישים'!$A:$M,13,FALSE()))</f>
        <v>ב'</v>
      </c>
      <c r="M6" s="13"/>
      <c r="N6" s="50" t="s">
        <v>366</v>
      </c>
      <c r="O6" s="13" t="str">
        <f t="array" ref="O6">_xlfn.IFS(N6="A","א'", N6="B", "ב'", N6= "C", "ג'")</f>
        <v>ג'</v>
      </c>
      <c r="P6" s="13">
        <f>IF(Table_2[[#This Row],[Correct_Answer]]=Table_2[[#This Row],[System_Recommendation]],1,0)</f>
        <v>1</v>
      </c>
      <c r="Q6" s="13"/>
      <c r="R6" s="13"/>
      <c r="S6" s="13"/>
      <c r="T6" s="13"/>
      <c r="U6" s="13"/>
      <c r="V6" s="13"/>
      <c r="W6" s="13"/>
      <c r="X6" s="13"/>
      <c r="Y6" s="13"/>
      <c r="Z6" s="13"/>
    </row>
    <row r="7" spans="1:26">
      <c r="A7" s="8" t="s">
        <v>86</v>
      </c>
      <c r="B7" s="8">
        <v>6</v>
      </c>
      <c r="C7" s="9" t="s">
        <v>379</v>
      </c>
      <c r="D7" s="8"/>
      <c r="E7" s="9" t="s">
        <v>111</v>
      </c>
      <c r="F7" s="8"/>
      <c r="G7" s="8"/>
      <c r="H7" s="11" t="s">
        <v>96</v>
      </c>
      <c r="I7" s="8" t="s">
        <v>91</v>
      </c>
      <c r="J7" s="9" t="s">
        <v>380</v>
      </c>
      <c r="K7" s="8" t="str">
        <f>VLOOKUP(LEFT(H7,7),'קטלוג תרחישים'!$A:$M,12,FALSE())</f>
        <v>ב'</v>
      </c>
      <c r="L7" s="8" t="str">
        <f>IF(J7="כן",K7,VLOOKUP(LEFT(H7,7),'קטלוג תרחישים'!$A:$M,13,FALSE()))</f>
        <v>ב'</v>
      </c>
      <c r="M7" s="13"/>
      <c r="N7" s="51" t="s">
        <v>366</v>
      </c>
      <c r="O7" s="13" t="str">
        <f t="array" ref="O7">_xlfn.IFS(N7="A","א'", N7="B", "ב'", N7= "C", "ג'")</f>
        <v>ג'</v>
      </c>
      <c r="P7" s="13">
        <f>IF(Table_2[[#This Row],[Correct_Answer]]=Table_2[[#This Row],[System_Recommendation]],1,0)</f>
        <v>1</v>
      </c>
      <c r="Q7" s="13"/>
      <c r="R7" s="13"/>
      <c r="S7" s="13"/>
      <c r="T7" s="13"/>
      <c r="U7" s="13"/>
      <c r="V7" s="13"/>
      <c r="W7" s="13"/>
      <c r="X7" s="13"/>
      <c r="Y7" s="13"/>
      <c r="Z7" s="13"/>
    </row>
    <row r="8" spans="1:26" hidden="1">
      <c r="A8" s="8" t="s">
        <v>86</v>
      </c>
      <c r="B8" s="8">
        <v>7</v>
      </c>
      <c r="C8" s="9" t="s">
        <v>381</v>
      </c>
      <c r="D8" s="8">
        <v>1</v>
      </c>
      <c r="E8" s="9" t="s">
        <v>98</v>
      </c>
      <c r="F8" s="8" t="s">
        <v>382</v>
      </c>
      <c r="G8" s="8" t="s">
        <v>97</v>
      </c>
      <c r="H8" s="8" t="s">
        <v>99</v>
      </c>
      <c r="I8" s="8" t="s">
        <v>100</v>
      </c>
      <c r="J8" s="9" t="s">
        <v>380</v>
      </c>
      <c r="K8" s="8" t="str">
        <f>VLOOKUP(LEFT(H8,7),'קטלוג תרחישים'!$A:$M,12,FALSE())</f>
        <v>ג'</v>
      </c>
      <c r="L8" s="8" t="str">
        <f>IF(J8="כן",K8,VLOOKUP(LEFT(H8,7),'קטלוג תרחישים'!$A:$M,13,FALSE()))</f>
        <v>ג'</v>
      </c>
      <c r="M8" s="13"/>
      <c r="N8" s="50" t="s">
        <v>365</v>
      </c>
      <c r="O8" s="13" t="str">
        <f t="array" ref="O8">_xlfn.IFS(N8="A","א'", N8="B", "ב'", N8= "C", "ג'")</f>
        <v>ב'</v>
      </c>
      <c r="P8" s="13">
        <f>IF(Table_2[[#This Row],[Correct_Answer]]=Table_2[[#This Row],[System_Recommendation]],1,0)</f>
        <v>1</v>
      </c>
      <c r="Q8" s="13"/>
      <c r="R8" s="13"/>
      <c r="S8" s="13"/>
      <c r="T8" s="13"/>
      <c r="U8" s="13"/>
      <c r="V8" s="13"/>
      <c r="W8" s="13"/>
      <c r="X8" s="13"/>
      <c r="Y8" s="13"/>
      <c r="Z8" s="13"/>
    </row>
    <row r="9" spans="1:26" hidden="1">
      <c r="A9" s="8" t="s">
        <v>86</v>
      </c>
      <c r="B9" s="8">
        <v>8</v>
      </c>
      <c r="C9" s="9" t="s">
        <v>381</v>
      </c>
      <c r="D9" s="8">
        <v>1</v>
      </c>
      <c r="E9" s="9" t="s">
        <v>98</v>
      </c>
      <c r="F9" s="8" t="s">
        <v>382</v>
      </c>
      <c r="G9" s="8" t="s">
        <v>97</v>
      </c>
      <c r="H9" s="8" t="s">
        <v>101</v>
      </c>
      <c r="I9" s="8" t="s">
        <v>91</v>
      </c>
      <c r="J9" s="9" t="s">
        <v>380</v>
      </c>
      <c r="K9" s="8" t="str">
        <f>VLOOKUP(LEFT(H9,7),'קטלוג תרחישים'!$A:$M,12,FALSE())</f>
        <v>א'</v>
      </c>
      <c r="L9" s="8" t="str">
        <f>IF(J9="כן",K9,VLOOKUP(LEFT(H9,7),'קטלוג תרחישים'!$A:$M,13,FALSE()))</f>
        <v>א'</v>
      </c>
      <c r="M9" s="13"/>
      <c r="N9" s="51" t="s">
        <v>360</v>
      </c>
      <c r="O9" s="13" t="str">
        <f t="array" ref="O9">_xlfn.IFS(N9="A","א'", N9="B", "ב'", N9= "C", "ג'")</f>
        <v>א'</v>
      </c>
      <c r="P9" s="13">
        <f>IF(Table_2[[#This Row],[Correct_Answer]]=Table_2[[#This Row],[System_Recommendation]],1,0)</f>
        <v>1</v>
      </c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idden="1">
      <c r="A10" s="8" t="s">
        <v>86</v>
      </c>
      <c r="B10" s="8">
        <v>9</v>
      </c>
      <c r="C10" s="9" t="s">
        <v>381</v>
      </c>
      <c r="D10" s="8">
        <v>1</v>
      </c>
      <c r="E10" s="9" t="s">
        <v>98</v>
      </c>
      <c r="F10" s="8" t="s">
        <v>382</v>
      </c>
      <c r="G10" s="8" t="s">
        <v>97</v>
      </c>
      <c r="H10" s="8" t="s">
        <v>102</v>
      </c>
      <c r="I10" s="8" t="s">
        <v>100</v>
      </c>
      <c r="J10" s="9" t="s">
        <v>380</v>
      </c>
      <c r="K10" s="8" t="str">
        <f>VLOOKUP(LEFT(H10,7),'קטלוג תרחישים'!$A:$M,12,FALSE())</f>
        <v>ג'</v>
      </c>
      <c r="L10" s="8" t="str">
        <f>IF(J10="כן",K10,VLOOKUP(LEFT(H10,7),'קטלוג תרחישים'!$A:$M,13,FALSE()))</f>
        <v>ג'</v>
      </c>
      <c r="M10" s="13"/>
      <c r="N10" s="50" t="s">
        <v>366</v>
      </c>
      <c r="O10" s="13" t="str">
        <f t="array" ref="O10">_xlfn.IFS(N10="A","א'", N10="B", "ב'", N10= "C", "ג'")</f>
        <v>ג'</v>
      </c>
      <c r="P10" s="13">
        <f>IF(Table_2[[#This Row],[Correct_Answer]]=Table_2[[#This Row],[System_Recommendation]],1,0)</f>
        <v>1</v>
      </c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 spans="1:26" hidden="1">
      <c r="A11" s="8" t="s">
        <v>86</v>
      </c>
      <c r="B11" s="8">
        <v>10</v>
      </c>
      <c r="C11" s="9" t="s">
        <v>381</v>
      </c>
      <c r="D11" s="8">
        <v>1</v>
      </c>
      <c r="E11" s="9" t="s">
        <v>98</v>
      </c>
      <c r="F11" s="8" t="s">
        <v>382</v>
      </c>
      <c r="G11" s="8" t="s">
        <v>97</v>
      </c>
      <c r="H11" s="8" t="s">
        <v>103</v>
      </c>
      <c r="I11" s="8" t="s">
        <v>91</v>
      </c>
      <c r="J11" s="9" t="s">
        <v>383</v>
      </c>
      <c r="K11" s="8" t="str">
        <f>VLOOKUP(LEFT(H11,7),'קטלוג תרחישים'!$A:$M,12,FALSE())</f>
        <v>ב'</v>
      </c>
      <c r="L11" s="8" t="str">
        <f>IF(J11="כן",K11,VLOOKUP(LEFT(H11,7),'קטלוג תרחישים'!$A:$M,13,FALSE()))</f>
        <v>ג'</v>
      </c>
      <c r="M11" s="13"/>
      <c r="N11" s="51" t="s">
        <v>366</v>
      </c>
      <c r="O11" s="13" t="str">
        <f t="array" ref="O11">_xlfn.IFS(N11="A","א'", N11="B", "ב'", N11= "C", "ג'")</f>
        <v>ג'</v>
      </c>
      <c r="P11" s="13">
        <f>IF(Table_2[[#This Row],[Correct_Answer]]=Table_2[[#This Row],[System_Recommendation]],1,0)</f>
        <v>0</v>
      </c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 spans="1:26" hidden="1">
      <c r="A12" s="8" t="s">
        <v>86</v>
      </c>
      <c r="B12" s="8">
        <v>11</v>
      </c>
      <c r="C12" s="9" t="s">
        <v>381</v>
      </c>
      <c r="D12" s="8">
        <v>1</v>
      </c>
      <c r="E12" s="9" t="s">
        <v>98</v>
      </c>
      <c r="F12" s="8" t="s">
        <v>382</v>
      </c>
      <c r="G12" s="8" t="s">
        <v>97</v>
      </c>
      <c r="H12" s="8" t="s">
        <v>104</v>
      </c>
      <c r="I12" s="8" t="s">
        <v>100</v>
      </c>
      <c r="J12" s="9" t="s">
        <v>380</v>
      </c>
      <c r="K12" s="8" t="str">
        <f>VLOOKUP(LEFT(H12,7),'קטלוג תרחישים'!$A:$M,12,FALSE())</f>
        <v>ב'</v>
      </c>
      <c r="L12" s="8" t="str">
        <f>IF(J12="כן",K12,VLOOKUP(LEFT(H12,7),'קטלוג תרחישים'!$A:$M,13,FALSE()))</f>
        <v>ב'</v>
      </c>
      <c r="M12" s="13"/>
      <c r="N12" s="50" t="s">
        <v>365</v>
      </c>
      <c r="O12" s="13" t="str">
        <f t="array" ref="O12">_xlfn.IFS(N12="A","א'", N12="B", "ב'", N12= "C", "ג'")</f>
        <v>ב'</v>
      </c>
      <c r="P12" s="13">
        <f>IF(Table_2[[#This Row],[Correct_Answer]]=Table_2[[#This Row],[System_Recommendation]],1,0)</f>
        <v>1</v>
      </c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 spans="1:26" hidden="1">
      <c r="A13" s="8" t="s">
        <v>86</v>
      </c>
      <c r="B13" s="8">
        <v>12</v>
      </c>
      <c r="C13" s="9" t="s">
        <v>381</v>
      </c>
      <c r="D13" s="8">
        <v>2</v>
      </c>
      <c r="E13" s="9" t="s">
        <v>105</v>
      </c>
      <c r="F13" s="8" t="s">
        <v>382</v>
      </c>
      <c r="G13" s="8" t="s">
        <v>97</v>
      </c>
      <c r="H13" s="8" t="s">
        <v>106</v>
      </c>
      <c r="I13" s="8" t="s">
        <v>91</v>
      </c>
      <c r="J13" s="9" t="s">
        <v>383</v>
      </c>
      <c r="K13" s="8" t="str">
        <f>VLOOKUP(LEFT(H13,7),'קטלוג תרחישים'!$A:$M,12,FALSE())</f>
        <v>א'</v>
      </c>
      <c r="L13" s="8" t="str">
        <f>IF(J13="כן",K13,VLOOKUP(LEFT(H13,7),'קטלוג תרחישים'!$A:$M,13,FALSE()))</f>
        <v>ב'</v>
      </c>
      <c r="M13" s="13"/>
      <c r="N13" s="51" t="s">
        <v>365</v>
      </c>
      <c r="O13" s="13" t="str">
        <f t="array" ref="O13">_xlfn.IFS(N13="A","א'", N13="B", "ב'", N13= "C", "ג'")</f>
        <v>ב'</v>
      </c>
      <c r="P13" s="13">
        <f>IF(Table_2[[#This Row],[Correct_Answer]]=Table_2[[#This Row],[System_Recommendation]],1,0)</f>
        <v>0</v>
      </c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 spans="1:26" hidden="1">
      <c r="A14" s="8" t="s">
        <v>86</v>
      </c>
      <c r="B14" s="8">
        <v>13</v>
      </c>
      <c r="C14" s="9" t="s">
        <v>381</v>
      </c>
      <c r="D14" s="8">
        <v>2</v>
      </c>
      <c r="E14" s="9" t="s">
        <v>105</v>
      </c>
      <c r="F14" s="8" t="s">
        <v>382</v>
      </c>
      <c r="G14" s="8" t="s">
        <v>97</v>
      </c>
      <c r="H14" s="8" t="s">
        <v>107</v>
      </c>
      <c r="I14" s="8" t="s">
        <v>100</v>
      </c>
      <c r="J14" s="9" t="s">
        <v>380</v>
      </c>
      <c r="K14" s="8" t="str">
        <f>VLOOKUP(LEFT(H14,7),'קטלוג תרחישים'!$A:$M,12,FALSE())</f>
        <v>ב'</v>
      </c>
      <c r="L14" s="8" t="str">
        <f>IF(J14="כן",K14,VLOOKUP(LEFT(H14,7),'קטלוג תרחישים'!$A:$M,13,FALSE()))</f>
        <v>ב'</v>
      </c>
      <c r="M14" s="13"/>
      <c r="N14" s="50" t="s">
        <v>365</v>
      </c>
      <c r="O14" s="13" t="str">
        <f t="array" ref="O14">_xlfn.IFS(N14="A","א'", N14="B", "ב'", N14= "C", "ג'")</f>
        <v>ב'</v>
      </c>
      <c r="P14" s="13">
        <f>IF(Table_2[[#This Row],[Correct_Answer]]=Table_2[[#This Row],[System_Recommendation]],1,0)</f>
        <v>1</v>
      </c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 spans="1:26" hidden="1">
      <c r="A15" s="8" t="s">
        <v>86</v>
      </c>
      <c r="B15" s="8">
        <v>14</v>
      </c>
      <c r="C15" s="9" t="s">
        <v>381</v>
      </c>
      <c r="D15" s="8">
        <v>2</v>
      </c>
      <c r="E15" s="9" t="s">
        <v>105</v>
      </c>
      <c r="F15" s="8" t="s">
        <v>382</v>
      </c>
      <c r="G15" s="8" t="s">
        <v>97</v>
      </c>
      <c r="H15" s="8" t="s">
        <v>108</v>
      </c>
      <c r="I15" s="8" t="s">
        <v>91</v>
      </c>
      <c r="J15" s="9" t="s">
        <v>380</v>
      </c>
      <c r="K15" s="8" t="str">
        <f>VLOOKUP(LEFT(H15,7),'קטלוג תרחישים'!$A:$M,12,FALSE())</f>
        <v>ג'</v>
      </c>
      <c r="L15" s="8" t="str">
        <f>IF(J15="כן",K15,VLOOKUP(LEFT(H15,7),'קטלוג תרחישים'!$A:$M,13,FALSE()))</f>
        <v>ג'</v>
      </c>
      <c r="M15" s="13"/>
      <c r="N15" s="51" t="s">
        <v>360</v>
      </c>
      <c r="O15" s="13" t="str">
        <f t="array" ref="O15">_xlfn.IFS(N15="A","א'", N15="B", "ב'", N15= "C", "ג'")</f>
        <v>א'</v>
      </c>
      <c r="P15" s="13">
        <f>IF(Table_2[[#This Row],[Correct_Answer]]=Table_2[[#This Row],[System_Recommendation]],1,0)</f>
        <v>1</v>
      </c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 spans="1:26" hidden="1">
      <c r="A16" s="8" t="s">
        <v>86</v>
      </c>
      <c r="B16" s="8">
        <v>15</v>
      </c>
      <c r="C16" s="9" t="s">
        <v>381</v>
      </c>
      <c r="D16" s="8">
        <v>2</v>
      </c>
      <c r="E16" s="9" t="s">
        <v>105</v>
      </c>
      <c r="F16" s="8" t="s">
        <v>382</v>
      </c>
      <c r="G16" s="8" t="s">
        <v>97</v>
      </c>
      <c r="H16" s="8" t="s">
        <v>109</v>
      </c>
      <c r="I16" s="8" t="s">
        <v>100</v>
      </c>
      <c r="J16" s="9" t="s">
        <v>380</v>
      </c>
      <c r="K16" s="8" t="str">
        <f>VLOOKUP(LEFT(H16,7),'קטלוג תרחישים'!$A:$M,12,FALSE())</f>
        <v>ב'</v>
      </c>
      <c r="L16" s="8" t="str">
        <f>IF(J16="כן",K16,VLOOKUP(LEFT(H16,7),'קטלוג תרחישים'!$A:$M,13,FALSE()))</f>
        <v>ב'</v>
      </c>
      <c r="M16" s="13"/>
      <c r="N16" s="50" t="s">
        <v>366</v>
      </c>
      <c r="O16" s="13" t="str">
        <f t="array" ref="O16">_xlfn.IFS(N16="A","א'", N16="B", "ב'", N16= "C", "ג'")</f>
        <v>ג'</v>
      </c>
      <c r="P16" s="13">
        <f>IF(Table_2[[#This Row],[Correct_Answer]]=Table_2[[#This Row],[System_Recommendation]],1,0)</f>
        <v>1</v>
      </c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idden="1">
      <c r="A17" s="8" t="s">
        <v>86</v>
      </c>
      <c r="B17" s="8">
        <v>16</v>
      </c>
      <c r="C17" s="9" t="s">
        <v>381</v>
      </c>
      <c r="D17" s="8">
        <v>2</v>
      </c>
      <c r="E17" s="9" t="s">
        <v>105</v>
      </c>
      <c r="F17" s="8" t="s">
        <v>382</v>
      </c>
      <c r="G17" s="8" t="s">
        <v>97</v>
      </c>
      <c r="H17" s="8" t="s">
        <v>110</v>
      </c>
      <c r="I17" s="8" t="s">
        <v>91</v>
      </c>
      <c r="J17" s="9" t="s">
        <v>380</v>
      </c>
      <c r="K17" s="8" t="str">
        <f>VLOOKUP(LEFT(H17,7),'קטלוג תרחישים'!$A:$M,12,FALSE())</f>
        <v>ג'</v>
      </c>
      <c r="L17" s="8" t="str">
        <f>IF(J17="כן",K17,VLOOKUP(LEFT(H17,7),'קטלוג תרחישים'!$A:$M,13,FALSE()))</f>
        <v>ג'</v>
      </c>
      <c r="M17" s="13"/>
      <c r="N17" s="51" t="s">
        <v>365</v>
      </c>
      <c r="O17" s="13" t="str">
        <f t="array" ref="O17">_xlfn.IFS(N17="A","א'", N17="B", "ב'", N17= "C", "ג'")</f>
        <v>ב'</v>
      </c>
      <c r="P17" s="13">
        <f>IF(Table_2[[#This Row],[Correct_Answer]]=Table_2[[#This Row],[System_Recommendation]],1,0)</f>
        <v>1</v>
      </c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 spans="1:26" hidden="1">
      <c r="A18" s="8" t="s">
        <v>86</v>
      </c>
      <c r="B18" s="8">
        <v>17</v>
      </c>
      <c r="C18" s="9" t="s">
        <v>381</v>
      </c>
      <c r="D18" s="8">
        <v>3</v>
      </c>
      <c r="E18" s="9" t="s">
        <v>111</v>
      </c>
      <c r="F18" s="8" t="s">
        <v>382</v>
      </c>
      <c r="G18" s="8" t="s">
        <v>97</v>
      </c>
      <c r="H18" s="8" t="s">
        <v>112</v>
      </c>
      <c r="I18" s="8" t="s">
        <v>91</v>
      </c>
      <c r="J18" s="9" t="s">
        <v>380</v>
      </c>
      <c r="K18" s="8" t="str">
        <f>VLOOKUP(LEFT(H18,7),'קטלוג תרחישים'!$A:$M,12,FALSE())</f>
        <v>ב'</v>
      </c>
      <c r="L18" s="8" t="str">
        <f>IF(J18="כן",K18,VLOOKUP(LEFT(H18,7),'קטלוג תרחישים'!$A:$M,13,FALSE()))</f>
        <v>ב'</v>
      </c>
      <c r="M18" s="13"/>
      <c r="N18" s="50" t="s">
        <v>366</v>
      </c>
      <c r="O18" s="13" t="str">
        <f t="array" ref="O18">_xlfn.IFS(N18="A","א'", N18="B", "ב'", N18= "C", "ג'")</f>
        <v>ג'</v>
      </c>
      <c r="P18" s="13">
        <f>IF(Table_2[[#This Row],[Correct_Answer]]=Table_2[[#This Row],[System_Recommendation]],1,0)</f>
        <v>1</v>
      </c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 spans="1:26" hidden="1">
      <c r="A19" s="8" t="s">
        <v>86</v>
      </c>
      <c r="B19" s="8">
        <v>18</v>
      </c>
      <c r="C19" s="9" t="s">
        <v>381</v>
      </c>
      <c r="D19" s="8">
        <v>3</v>
      </c>
      <c r="E19" s="9" t="s">
        <v>111</v>
      </c>
      <c r="F19" s="8" t="s">
        <v>382</v>
      </c>
      <c r="G19" s="8" t="s">
        <v>97</v>
      </c>
      <c r="H19" s="8" t="s">
        <v>113</v>
      </c>
      <c r="I19" s="8" t="s">
        <v>100</v>
      </c>
      <c r="J19" s="9" t="s">
        <v>380</v>
      </c>
      <c r="K19" s="8" t="str">
        <f>VLOOKUP(LEFT(H19,7),'קטלוג תרחישים'!$A:$M,12,FALSE())</f>
        <v>ג'</v>
      </c>
      <c r="L19" s="8" t="str">
        <f>IF(J19="כן",K19,VLOOKUP(LEFT(H19,7),'קטלוג תרחישים'!$A:$M,13,FALSE()))</f>
        <v>ג'</v>
      </c>
      <c r="M19" s="13"/>
      <c r="N19" s="51" t="s">
        <v>360</v>
      </c>
      <c r="O19" s="13" t="str">
        <f t="array" ref="O19">_xlfn.IFS(N19="A","א'", N19="B", "ב'", N19= "C", "ג'")</f>
        <v>א'</v>
      </c>
      <c r="P19" s="13">
        <f>IF(Table_2[[#This Row],[Correct_Answer]]=Table_2[[#This Row],[System_Recommendation]],1,0)</f>
        <v>1</v>
      </c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 spans="1:26" hidden="1">
      <c r="A20" s="8" t="s">
        <v>86</v>
      </c>
      <c r="B20" s="8">
        <v>19</v>
      </c>
      <c r="C20" s="9" t="s">
        <v>381</v>
      </c>
      <c r="D20" s="8">
        <v>3</v>
      </c>
      <c r="E20" s="9" t="s">
        <v>111</v>
      </c>
      <c r="F20" s="8" t="s">
        <v>382</v>
      </c>
      <c r="G20" s="8" t="s">
        <v>97</v>
      </c>
      <c r="H20" s="8" t="s">
        <v>114</v>
      </c>
      <c r="I20" s="8" t="s">
        <v>91</v>
      </c>
      <c r="J20" s="9" t="s">
        <v>383</v>
      </c>
      <c r="K20" s="8" t="str">
        <f>VLOOKUP(LEFT(H20,7),'קטלוג תרחישים'!$A:$M,12,FALSE())</f>
        <v>ג'</v>
      </c>
      <c r="L20" s="8" t="str">
        <f>IF(J20="כן",K20,VLOOKUP(LEFT(H20,7),'קטלוג תרחישים'!$A:$M,13,FALSE()))</f>
        <v>ב'</v>
      </c>
      <c r="M20" s="13"/>
      <c r="N20" s="50" t="s">
        <v>366</v>
      </c>
      <c r="O20" s="13" t="str">
        <f t="array" ref="O20">_xlfn.IFS(N20="A","א'", N20="B", "ב'", N20= "C", "ג'")</f>
        <v>ג'</v>
      </c>
      <c r="P20" s="13">
        <f>IF(Table_2[[#This Row],[Correct_Answer]]=Table_2[[#This Row],[System_Recommendation]],1,0)</f>
        <v>0</v>
      </c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 spans="1:26" ht="15.75" hidden="1" customHeight="1">
      <c r="A21" s="8" t="s">
        <v>86</v>
      </c>
      <c r="B21" s="8">
        <v>20</v>
      </c>
      <c r="C21" s="9" t="s">
        <v>381</v>
      </c>
      <c r="D21" s="8">
        <v>3</v>
      </c>
      <c r="E21" s="9" t="s">
        <v>111</v>
      </c>
      <c r="F21" s="8" t="s">
        <v>382</v>
      </c>
      <c r="G21" s="8" t="s">
        <v>97</v>
      </c>
      <c r="H21" s="8" t="s">
        <v>115</v>
      </c>
      <c r="I21" s="8" t="s">
        <v>100</v>
      </c>
      <c r="J21" s="9" t="s">
        <v>380</v>
      </c>
      <c r="K21" s="8" t="str">
        <f>VLOOKUP(LEFT(H21,7),'קטלוג תרחישים'!$A:$M,12,FALSE())</f>
        <v>א'</v>
      </c>
      <c r="L21" s="8" t="str">
        <f>IF(J21="כן",K21,VLOOKUP(LEFT(H21,7),'קטלוג תרחישים'!$A:$M,13,FALSE()))</f>
        <v>א'</v>
      </c>
      <c r="M21" s="13"/>
      <c r="N21" s="51" t="s">
        <v>366</v>
      </c>
      <c r="O21" s="13" t="str">
        <f t="array" ref="O21">_xlfn.IFS(N21="A","א'", N21="B", "ב'", N21= "C", "ג'")</f>
        <v>ג'</v>
      </c>
      <c r="P21" s="13">
        <f>IF(Table_2[[#This Row],[Correct_Answer]]=Table_2[[#This Row],[System_Recommendation]],1,0)</f>
        <v>1</v>
      </c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 spans="1:26" ht="15.75" hidden="1" customHeight="1">
      <c r="A22" s="8" t="s">
        <v>86</v>
      </c>
      <c r="B22" s="8">
        <v>21</v>
      </c>
      <c r="C22" s="9" t="s">
        <v>381</v>
      </c>
      <c r="D22" s="8">
        <v>3</v>
      </c>
      <c r="E22" s="9" t="s">
        <v>111</v>
      </c>
      <c r="F22" s="8" t="s">
        <v>382</v>
      </c>
      <c r="G22" s="8" t="s">
        <v>97</v>
      </c>
      <c r="H22" s="8" t="s">
        <v>116</v>
      </c>
      <c r="I22" s="8" t="s">
        <v>91</v>
      </c>
      <c r="J22" s="9" t="s">
        <v>380</v>
      </c>
      <c r="K22" s="8" t="str">
        <f>VLOOKUP(LEFT(H22,7),'קטלוג תרחישים'!$A:$M,12,FALSE())</f>
        <v>ג'</v>
      </c>
      <c r="L22" s="8" t="str">
        <f>IF(J22="כן",K22,VLOOKUP(LEFT(H22,7),'קטלוג תרחישים'!$A:$M,13,FALSE()))</f>
        <v>ג'</v>
      </c>
      <c r="M22" s="13"/>
      <c r="N22" s="50" t="s">
        <v>365</v>
      </c>
      <c r="O22" s="13" t="str">
        <f t="array" ref="O22">_xlfn.IFS(N22="A","א'", N22="B", "ב'", N22= "C", "ג'")</f>
        <v>ב'</v>
      </c>
      <c r="P22" s="13">
        <f>IF(Table_2[[#This Row],[Correct_Answer]]=Table_2[[#This Row],[System_Recommendation]],1,0)</f>
        <v>1</v>
      </c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 spans="1:26" ht="15.75" hidden="1" customHeight="1">
      <c r="A23" s="8" t="s">
        <v>86</v>
      </c>
      <c r="B23" s="8">
        <v>22</v>
      </c>
      <c r="C23" s="9" t="s">
        <v>381</v>
      </c>
      <c r="D23" s="8">
        <v>1</v>
      </c>
      <c r="E23" s="9" t="s">
        <v>105</v>
      </c>
      <c r="F23" s="8" t="s">
        <v>384</v>
      </c>
      <c r="G23" s="8" t="s">
        <v>117</v>
      </c>
      <c r="H23" s="8" t="s">
        <v>118</v>
      </c>
      <c r="I23" s="8" t="s">
        <v>91</v>
      </c>
      <c r="J23" s="9" t="s">
        <v>380</v>
      </c>
      <c r="K23" s="8" t="str">
        <f>VLOOKUP(LEFT(H23,7),'קטלוג תרחישים'!$A:$M,12,FALSE())</f>
        <v>ג'</v>
      </c>
      <c r="L23" s="8" t="str">
        <f>IF(J23="כן",K23,VLOOKUP(LEFT(H23,7),'קטלוג תרחישים'!$A:$M,13,FALSE()))</f>
        <v>ג'</v>
      </c>
      <c r="M23" s="13"/>
      <c r="N23" s="51" t="s">
        <v>360</v>
      </c>
      <c r="O23" s="13" t="str">
        <f t="array" ref="O23">_xlfn.IFS(N23="A","א'", N23="B", "ב'", N23= "C", "ג'")</f>
        <v>א'</v>
      </c>
      <c r="P23" s="13">
        <f>IF(Table_2[[#This Row],[Correct_Answer]]=Table_2[[#This Row],[System_Recommendation]],1,0)</f>
        <v>1</v>
      </c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15.75" hidden="1" customHeight="1">
      <c r="A24" s="8" t="s">
        <v>86</v>
      </c>
      <c r="B24" s="8">
        <v>23</v>
      </c>
      <c r="C24" s="9" t="s">
        <v>381</v>
      </c>
      <c r="D24" s="8">
        <v>1</v>
      </c>
      <c r="E24" s="9" t="s">
        <v>105</v>
      </c>
      <c r="F24" s="8" t="s">
        <v>384</v>
      </c>
      <c r="G24" s="8" t="s">
        <v>117</v>
      </c>
      <c r="H24" s="8" t="s">
        <v>119</v>
      </c>
      <c r="I24" s="8" t="s">
        <v>100</v>
      </c>
      <c r="J24" s="9" t="s">
        <v>383</v>
      </c>
      <c r="K24" s="8" t="str">
        <f>VLOOKUP(LEFT(H24,7),'קטלוג תרחישים'!$A:$M,12,FALSE())</f>
        <v>א'</v>
      </c>
      <c r="L24" s="8" t="str">
        <f>IF(J24="כן",K24,VLOOKUP(LEFT(H24,7),'קטלוג תרחישים'!$A:$M,13,FALSE()))</f>
        <v>ב'</v>
      </c>
      <c r="M24" s="13"/>
      <c r="N24" s="50" t="s">
        <v>366</v>
      </c>
      <c r="O24" s="13" t="str">
        <f t="array" ref="O24">_xlfn.IFS(N24="A","א'", N24="B", "ב'", N24= "C", "ג'")</f>
        <v>ג'</v>
      </c>
      <c r="P24" s="13">
        <f>IF(Table_2[[#This Row],[Correct_Answer]]=Table_2[[#This Row],[System_Recommendation]],1,0)</f>
        <v>0</v>
      </c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 spans="1:26" ht="15.75" hidden="1" customHeight="1">
      <c r="A25" s="8" t="s">
        <v>86</v>
      </c>
      <c r="B25" s="8">
        <v>24</v>
      </c>
      <c r="C25" s="9" t="s">
        <v>381</v>
      </c>
      <c r="D25" s="8">
        <v>1</v>
      </c>
      <c r="E25" s="9" t="s">
        <v>105</v>
      </c>
      <c r="F25" s="8" t="s">
        <v>384</v>
      </c>
      <c r="G25" s="8" t="s">
        <v>117</v>
      </c>
      <c r="H25" s="8" t="s">
        <v>120</v>
      </c>
      <c r="I25" s="8" t="s">
        <v>91</v>
      </c>
      <c r="J25" s="9" t="s">
        <v>383</v>
      </c>
      <c r="K25" s="8" t="str">
        <f>VLOOKUP(LEFT(H25,7),'קטלוג תרחישים'!$A:$M,12,FALSE())</f>
        <v>ג'</v>
      </c>
      <c r="L25" s="8" t="str">
        <f>IF(J25="כן",K25,VLOOKUP(LEFT(H25,7),'קטלוג תרחישים'!$A:$M,13,FALSE()))</f>
        <v>א'</v>
      </c>
      <c r="M25" s="13"/>
      <c r="N25" s="51" t="s">
        <v>365</v>
      </c>
      <c r="O25" s="13" t="str">
        <f t="array" ref="O25">_xlfn.IFS(N25="A","א'", N25="B", "ב'", N25= "C", "ג'")</f>
        <v>ב'</v>
      </c>
      <c r="P25" s="13">
        <f>IF(Table_2[[#This Row],[Correct_Answer]]=Table_2[[#This Row],[System_Recommendation]],1,0)</f>
        <v>0</v>
      </c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 spans="1:26" ht="15.75" hidden="1" customHeight="1">
      <c r="A26" s="8" t="s">
        <v>86</v>
      </c>
      <c r="B26" s="8">
        <v>25</v>
      </c>
      <c r="C26" s="9" t="s">
        <v>381</v>
      </c>
      <c r="D26" s="8">
        <v>1</v>
      </c>
      <c r="E26" s="9" t="s">
        <v>105</v>
      </c>
      <c r="F26" s="8" t="s">
        <v>384</v>
      </c>
      <c r="G26" s="8" t="s">
        <v>117</v>
      </c>
      <c r="H26" s="8" t="s">
        <v>121</v>
      </c>
      <c r="I26" s="8" t="s">
        <v>100</v>
      </c>
      <c r="J26" s="9" t="s">
        <v>380</v>
      </c>
      <c r="K26" s="8" t="str">
        <f>VLOOKUP(LEFT(H26,7),'קטלוג תרחישים'!$A:$M,12,FALSE())</f>
        <v>ג'</v>
      </c>
      <c r="L26" s="8" t="str">
        <f>IF(J26="כן",K26,VLOOKUP(LEFT(H26,7),'קטלוג תרחישים'!$A:$M,13,FALSE()))</f>
        <v>ג'</v>
      </c>
      <c r="M26" s="13"/>
      <c r="N26" s="50" t="s">
        <v>366</v>
      </c>
      <c r="O26" s="13" t="str">
        <f t="array" ref="O26">_xlfn.IFS(N26="A","א'", N26="B", "ב'", N26= "C", "ג'")</f>
        <v>ג'</v>
      </c>
      <c r="P26" s="13">
        <f>IF(Table_2[[#This Row],[Correct_Answer]]=Table_2[[#This Row],[System_Recommendation]],1,0)</f>
        <v>1</v>
      </c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 spans="1:26" ht="15.75" hidden="1" customHeight="1">
      <c r="A27" s="8" t="s">
        <v>86</v>
      </c>
      <c r="B27" s="8">
        <v>26</v>
      </c>
      <c r="C27" s="9" t="s">
        <v>381</v>
      </c>
      <c r="D27" s="8">
        <v>2</v>
      </c>
      <c r="E27" s="9" t="s">
        <v>111</v>
      </c>
      <c r="F27" s="8" t="s">
        <v>384</v>
      </c>
      <c r="G27" s="8" t="s">
        <v>117</v>
      </c>
      <c r="H27" s="8" t="s">
        <v>122</v>
      </c>
      <c r="I27" s="8" t="s">
        <v>91</v>
      </c>
      <c r="J27" s="9" t="s">
        <v>383</v>
      </c>
      <c r="K27" s="8" t="str">
        <f>VLOOKUP(LEFT(H27,7),'קטלוג תרחישים'!$A:$M,12,FALSE())</f>
        <v>ג'</v>
      </c>
      <c r="L27" s="8" t="str">
        <f>IF(J27="כן",K27,VLOOKUP(LEFT(H27,7),'קטלוג תרחישים'!$A:$M,13,FALSE()))</f>
        <v>א'</v>
      </c>
      <c r="M27" s="13"/>
      <c r="N27" s="51" t="s">
        <v>366</v>
      </c>
      <c r="O27" s="13" t="str">
        <f t="array" ref="O27">_xlfn.IFS(N27="A","א'", N27="B", "ב'", N27= "C", "ג'")</f>
        <v>ג'</v>
      </c>
      <c r="P27" s="13">
        <f>IF(Table_2[[#This Row],[Correct_Answer]]=Table_2[[#This Row],[System_Recommendation]],1,0)</f>
        <v>0</v>
      </c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 spans="1:26" ht="15.75" hidden="1" customHeight="1">
      <c r="A28" s="8" t="s">
        <v>86</v>
      </c>
      <c r="B28" s="8">
        <v>27</v>
      </c>
      <c r="C28" s="9" t="s">
        <v>381</v>
      </c>
      <c r="D28" s="8">
        <v>2</v>
      </c>
      <c r="E28" s="9" t="s">
        <v>111</v>
      </c>
      <c r="F28" s="8" t="s">
        <v>384</v>
      </c>
      <c r="G28" s="8" t="s">
        <v>117</v>
      </c>
      <c r="H28" s="8" t="s">
        <v>123</v>
      </c>
      <c r="I28" s="8" t="s">
        <v>100</v>
      </c>
      <c r="J28" s="9" t="s">
        <v>380</v>
      </c>
      <c r="K28" s="8" t="str">
        <f>VLOOKUP(LEFT(H28,7),'קטלוג תרחישים'!$A:$M,12,FALSE())</f>
        <v>ב'</v>
      </c>
      <c r="L28" s="8" t="str">
        <f>IF(J28="כן",K28,VLOOKUP(LEFT(H28,7),'קטלוג תרחישים'!$A:$M,13,FALSE()))</f>
        <v>ב'</v>
      </c>
      <c r="M28" s="13"/>
      <c r="N28" s="50" t="s">
        <v>365</v>
      </c>
      <c r="O28" s="13" t="str">
        <f t="array" ref="O28">_xlfn.IFS(N28="A","א'", N28="B", "ב'", N28= "C", "ג'")</f>
        <v>ב'</v>
      </c>
      <c r="P28" s="13">
        <f>IF(Table_2[[#This Row],[Correct_Answer]]=Table_2[[#This Row],[System_Recommendation]],1,0)</f>
        <v>1</v>
      </c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 spans="1:26" ht="15.75" hidden="1" customHeight="1">
      <c r="A29" s="8" t="s">
        <v>86</v>
      </c>
      <c r="B29" s="8">
        <v>28</v>
      </c>
      <c r="C29" s="9" t="s">
        <v>381</v>
      </c>
      <c r="D29" s="8">
        <v>2</v>
      </c>
      <c r="E29" s="9" t="s">
        <v>111</v>
      </c>
      <c r="F29" s="8" t="s">
        <v>384</v>
      </c>
      <c r="G29" s="8" t="s">
        <v>117</v>
      </c>
      <c r="H29" s="8" t="s">
        <v>124</v>
      </c>
      <c r="I29" s="8" t="s">
        <v>91</v>
      </c>
      <c r="J29" s="9" t="s">
        <v>380</v>
      </c>
      <c r="K29" s="8" t="str">
        <f>VLOOKUP(LEFT(H29,7),'קטלוג תרחישים'!$A:$M,12,FALSE())</f>
        <v>ב'</v>
      </c>
      <c r="L29" s="8" t="str">
        <f>IF(J29="כן",K29,VLOOKUP(LEFT(H29,7),'קטלוג תרחישים'!$A:$M,13,FALSE()))</f>
        <v>ב'</v>
      </c>
      <c r="M29" s="13"/>
      <c r="N29" s="51" t="s">
        <v>366</v>
      </c>
      <c r="O29" s="13" t="str">
        <f t="array" ref="O29">_xlfn.IFS(N29="A","א'", N29="B", "ב'", N29= "C", "ג'")</f>
        <v>ג'</v>
      </c>
      <c r="P29" s="13">
        <f>IF(Table_2[[#This Row],[Correct_Answer]]=Table_2[[#This Row],[System_Recommendation]],1,0)</f>
        <v>1</v>
      </c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 spans="1:26" ht="15.75" hidden="1" customHeight="1">
      <c r="A30" s="8" t="s">
        <v>86</v>
      </c>
      <c r="B30" s="8">
        <v>29</v>
      </c>
      <c r="C30" s="9" t="s">
        <v>381</v>
      </c>
      <c r="D30" s="8">
        <v>2</v>
      </c>
      <c r="E30" s="9" t="s">
        <v>111</v>
      </c>
      <c r="F30" s="8" t="s">
        <v>384</v>
      </c>
      <c r="G30" s="8" t="s">
        <v>117</v>
      </c>
      <c r="H30" s="8" t="s">
        <v>125</v>
      </c>
      <c r="I30" s="8" t="s">
        <v>100</v>
      </c>
      <c r="J30" s="9" t="s">
        <v>383</v>
      </c>
      <c r="K30" s="8" t="str">
        <f>VLOOKUP(LEFT(H30,7),'קטלוג תרחישים'!$A:$M,12,FALSE())</f>
        <v>ג'</v>
      </c>
      <c r="L30" s="8" t="str">
        <f>IF(J30="כן",K30,VLOOKUP(LEFT(H30,7),'קטלוג תרחישים'!$A:$M,13,FALSE()))</f>
        <v>ב'</v>
      </c>
      <c r="M30" s="13"/>
      <c r="N30" s="50" t="s">
        <v>360</v>
      </c>
      <c r="O30" s="13" t="str">
        <f t="array" ref="O30">_xlfn.IFS(N30="A","א'", N30="B", "ב'", N30= "C", "ג'")</f>
        <v>א'</v>
      </c>
      <c r="P30" s="13">
        <f>IF(Table_2[[#This Row],[Correct_Answer]]=Table_2[[#This Row],[System_Recommendation]],1,0)</f>
        <v>0</v>
      </c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15.75" hidden="1" customHeight="1">
      <c r="A31" s="8" t="s">
        <v>86</v>
      </c>
      <c r="B31" s="8">
        <v>30</v>
      </c>
      <c r="C31" s="9" t="s">
        <v>381</v>
      </c>
      <c r="D31" s="8">
        <v>3</v>
      </c>
      <c r="E31" s="9" t="s">
        <v>98</v>
      </c>
      <c r="F31" s="8" t="s">
        <v>384</v>
      </c>
      <c r="G31" s="8" t="s">
        <v>117</v>
      </c>
      <c r="H31" s="8" t="s">
        <v>126</v>
      </c>
      <c r="I31" s="8" t="s">
        <v>91</v>
      </c>
      <c r="J31" s="9" t="s">
        <v>383</v>
      </c>
      <c r="K31" s="8" t="str">
        <f>VLOOKUP(LEFT(H31,7),'קטלוג תרחישים'!$A:$M,12,FALSE())</f>
        <v>ג'</v>
      </c>
      <c r="L31" s="8" t="str">
        <f>IF(J31="כן",K31,VLOOKUP(LEFT(H31,7),'קטלוג תרחישים'!$A:$M,13,FALSE()))</f>
        <v>א'</v>
      </c>
      <c r="M31" s="13"/>
      <c r="N31" s="51" t="s">
        <v>360</v>
      </c>
      <c r="O31" s="13" t="str">
        <f t="array" ref="O31">_xlfn.IFS(N31="A","א'", N31="B", "ב'", N31= "C", "ג'")</f>
        <v>א'</v>
      </c>
      <c r="P31" s="13">
        <f>IF(Table_2[[#This Row],[Correct_Answer]]=Table_2[[#This Row],[System_Recommendation]],1,0)</f>
        <v>0</v>
      </c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 spans="1:26" ht="15.75" hidden="1" customHeight="1">
      <c r="A32" s="8" t="s">
        <v>86</v>
      </c>
      <c r="B32" s="8">
        <v>31</v>
      </c>
      <c r="C32" s="9" t="s">
        <v>381</v>
      </c>
      <c r="D32" s="8">
        <v>3</v>
      </c>
      <c r="E32" s="9" t="s">
        <v>98</v>
      </c>
      <c r="F32" s="8" t="s">
        <v>384</v>
      </c>
      <c r="G32" s="8" t="s">
        <v>117</v>
      </c>
      <c r="H32" s="8" t="s">
        <v>127</v>
      </c>
      <c r="I32" s="8" t="s">
        <v>100</v>
      </c>
      <c r="J32" s="9" t="s">
        <v>383</v>
      </c>
      <c r="K32" s="8" t="str">
        <f>VLOOKUP(LEFT(H32,7),'קטלוג תרחישים'!$A:$M,12,FALSE())</f>
        <v>א'</v>
      </c>
      <c r="L32" s="8" t="str">
        <f>IF(J32="כן",K32,VLOOKUP(LEFT(H32,7),'קטלוג תרחישים'!$A:$M,13,FALSE()))</f>
        <v>ג'</v>
      </c>
      <c r="M32" s="13"/>
      <c r="N32" s="50" t="s">
        <v>360</v>
      </c>
      <c r="O32" s="13" t="str">
        <f t="array" ref="O32">_xlfn.IFS(N32="A","א'", N32="B", "ב'", N32= "C", "ג'")</f>
        <v>א'</v>
      </c>
      <c r="P32" s="13">
        <f>IF(Table_2[[#This Row],[Correct_Answer]]=Table_2[[#This Row],[System_Recommendation]],1,0)</f>
        <v>0</v>
      </c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 spans="1:26" ht="15.75" hidden="1" customHeight="1">
      <c r="A33" s="8" t="s">
        <v>86</v>
      </c>
      <c r="B33" s="8">
        <v>32</v>
      </c>
      <c r="C33" s="9" t="s">
        <v>381</v>
      </c>
      <c r="D33" s="8">
        <v>3</v>
      </c>
      <c r="E33" s="9" t="s">
        <v>98</v>
      </c>
      <c r="F33" s="8" t="s">
        <v>384</v>
      </c>
      <c r="G33" s="8" t="s">
        <v>117</v>
      </c>
      <c r="H33" s="8" t="s">
        <v>128</v>
      </c>
      <c r="I33" s="8" t="s">
        <v>91</v>
      </c>
      <c r="J33" s="9" t="s">
        <v>380</v>
      </c>
      <c r="K33" s="8" t="str">
        <f>VLOOKUP(LEFT(H33,7),'קטלוג תרחישים'!$A:$M,12,FALSE())</f>
        <v>ב'</v>
      </c>
      <c r="L33" s="8" t="str">
        <f>IF(J33="כן",K33,VLOOKUP(LEFT(H33,7),'קטלוג תרחישים'!$A:$M,13,FALSE()))</f>
        <v>ב'</v>
      </c>
      <c r="M33" s="13"/>
      <c r="N33" s="51" t="s">
        <v>365</v>
      </c>
      <c r="O33" s="13" t="str">
        <f t="array" ref="O33">_xlfn.IFS(N33="A","א'", N33="B", "ב'", N33= "C", "ג'")</f>
        <v>ב'</v>
      </c>
      <c r="P33" s="13">
        <f>IF(Table_2[[#This Row],[Correct_Answer]]=Table_2[[#This Row],[System_Recommendation]],1,0)</f>
        <v>1</v>
      </c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 spans="1:26" ht="15.75" hidden="1" customHeight="1">
      <c r="A34" s="8" t="s">
        <v>86</v>
      </c>
      <c r="B34" s="8">
        <v>33</v>
      </c>
      <c r="C34" s="9" t="s">
        <v>381</v>
      </c>
      <c r="D34" s="8">
        <v>3</v>
      </c>
      <c r="E34" s="9" t="s">
        <v>98</v>
      </c>
      <c r="F34" s="8" t="s">
        <v>384</v>
      </c>
      <c r="G34" s="8" t="s">
        <v>117</v>
      </c>
      <c r="H34" s="8" t="s">
        <v>129</v>
      </c>
      <c r="I34" s="8" t="s">
        <v>100</v>
      </c>
      <c r="J34" s="9" t="s">
        <v>380</v>
      </c>
      <c r="K34" s="8" t="str">
        <f>VLOOKUP(LEFT(H34,7),'קטלוג תרחישים'!$A:$M,12,FALSE())</f>
        <v>א'</v>
      </c>
      <c r="L34" s="8" t="str">
        <f>IF(J34="כן",K34,VLOOKUP(LEFT(H34,7),'קטלוג תרחישים'!$A:$M,13,FALSE()))</f>
        <v>א'</v>
      </c>
      <c r="M34" s="13"/>
      <c r="N34" s="50" t="s">
        <v>366</v>
      </c>
      <c r="O34" s="13" t="str">
        <f t="array" ref="O34">_xlfn.IFS(N34="A","א'", N34="B", "ב'", N34= "C", "ג'")</f>
        <v>ג'</v>
      </c>
      <c r="P34" s="13">
        <f>IF(Table_2[[#This Row],[Correct_Answer]]=Table_2[[#This Row],[System_Recommendation]],1,0)</f>
        <v>1</v>
      </c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15.75" hidden="1" customHeight="1">
      <c r="A35" s="8" t="s">
        <v>130</v>
      </c>
      <c r="B35" s="8">
        <v>1</v>
      </c>
      <c r="C35" s="9" t="s">
        <v>379</v>
      </c>
      <c r="D35" s="8"/>
      <c r="E35" s="9" t="s">
        <v>98</v>
      </c>
      <c r="F35" s="8"/>
      <c r="G35" s="8"/>
      <c r="H35" s="11" t="s">
        <v>90</v>
      </c>
      <c r="I35" s="8" t="s">
        <v>91</v>
      </c>
      <c r="J35" s="9" t="s">
        <v>380</v>
      </c>
      <c r="K35" s="8" t="str">
        <f>VLOOKUP(LEFT(H35,7),'קטלוג תרחישים'!$A:$M,12,FALSE())</f>
        <v>א'</v>
      </c>
      <c r="L35" s="8" t="str">
        <f>IF(J35="כן",K35,VLOOKUP(LEFT(H35,7),'קטלוג תרחישים'!$A:$M,13,FALSE()))</f>
        <v>א'</v>
      </c>
      <c r="M35" s="13"/>
      <c r="N35" s="51" t="s">
        <v>366</v>
      </c>
      <c r="O35" s="13" t="str">
        <f t="array" ref="O35">_xlfn.IFS(N35="A","א'", N35="B", "ב'", N35= "C", "ג'")</f>
        <v>ג'</v>
      </c>
      <c r="P35" s="13">
        <f>IF(Table_2[[#This Row],[Correct_Answer]]=Table_2[[#This Row],[System_Recommendation]],1,0)</f>
        <v>1</v>
      </c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 spans="1:26" ht="15.75" hidden="1" customHeight="1">
      <c r="A36" s="8" t="s">
        <v>130</v>
      </c>
      <c r="B36" s="8">
        <v>2</v>
      </c>
      <c r="C36" s="9" t="s">
        <v>379</v>
      </c>
      <c r="D36" s="8"/>
      <c r="E36" s="9" t="s">
        <v>98</v>
      </c>
      <c r="F36" s="8"/>
      <c r="G36" s="8"/>
      <c r="H36" s="11" t="s">
        <v>92</v>
      </c>
      <c r="I36" s="8" t="s">
        <v>91</v>
      </c>
      <c r="J36" s="9" t="s">
        <v>380</v>
      </c>
      <c r="K36" s="8" t="str">
        <f>VLOOKUP(LEFT(H36,7),'קטלוג תרחישים'!$A:$M,12,FALSE())</f>
        <v>א'</v>
      </c>
      <c r="L36" s="8" t="str">
        <f>IF(J36="כן",K36,VLOOKUP(LEFT(H36,7),'קטלוג תרחישים'!$A:$M,13,FALSE()))</f>
        <v>א'</v>
      </c>
      <c r="M36" s="13"/>
      <c r="N36" s="50" t="s">
        <v>360</v>
      </c>
      <c r="O36" s="13" t="str">
        <f t="array" ref="O36">_xlfn.IFS(N36="A","א'", N36="B", "ב'", N36= "C", "ג'")</f>
        <v>א'</v>
      </c>
      <c r="P36" s="13">
        <f>IF(Table_2[[#This Row],[Correct_Answer]]=Table_2[[#This Row],[System_Recommendation]],1,0)</f>
        <v>1</v>
      </c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 spans="1:26" ht="15.75" hidden="1" customHeight="1">
      <c r="A37" s="8" t="s">
        <v>130</v>
      </c>
      <c r="B37" s="8">
        <v>3</v>
      </c>
      <c r="C37" s="9" t="s">
        <v>379</v>
      </c>
      <c r="D37" s="8"/>
      <c r="E37" s="9" t="s">
        <v>105</v>
      </c>
      <c r="F37" s="8"/>
      <c r="G37" s="8"/>
      <c r="H37" s="11" t="s">
        <v>93</v>
      </c>
      <c r="I37" s="8" t="s">
        <v>91</v>
      </c>
      <c r="J37" s="9" t="s">
        <v>380</v>
      </c>
      <c r="K37" s="8" t="str">
        <f>VLOOKUP(LEFT(H37,7),'קטלוג תרחישים'!$A:$M,12,FALSE())</f>
        <v>א'</v>
      </c>
      <c r="L37" s="8" t="str">
        <f>IF(J37="כן",K37,VLOOKUP(LEFT(H37,7),'קטלוג תרחישים'!$A:$M,13,FALSE()))</f>
        <v>א'</v>
      </c>
      <c r="M37" s="13"/>
      <c r="N37" s="51" t="s">
        <v>360</v>
      </c>
      <c r="O37" s="13" t="str">
        <f t="array" ref="O37">_xlfn.IFS(N37="A","א'", N37="B", "ב'", N37= "C", "ג'")</f>
        <v>א'</v>
      </c>
      <c r="P37" s="13">
        <f>IF(Table_2[[#This Row],[Correct_Answer]]=Table_2[[#This Row],[System_Recommendation]],1,0)</f>
        <v>1</v>
      </c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15.75" hidden="1" customHeight="1">
      <c r="A38" s="8" t="s">
        <v>130</v>
      </c>
      <c r="B38" s="8">
        <v>4</v>
      </c>
      <c r="C38" s="9" t="s">
        <v>379</v>
      </c>
      <c r="D38" s="8"/>
      <c r="E38" s="9" t="s">
        <v>105</v>
      </c>
      <c r="F38" s="8"/>
      <c r="G38" s="8"/>
      <c r="H38" s="11" t="s">
        <v>94</v>
      </c>
      <c r="I38" s="8" t="s">
        <v>91</v>
      </c>
      <c r="J38" s="9" t="s">
        <v>380</v>
      </c>
      <c r="K38" s="8" t="str">
        <f>VLOOKUP(LEFT(H38,7),'קטלוג תרחישים'!$A:$M,12,FALSE())</f>
        <v>א'</v>
      </c>
      <c r="L38" s="8" t="str">
        <f>IF(J38="כן",K38,VLOOKUP(LEFT(H38,7),'קטלוג תרחישים'!$A:$M,13,FALSE()))</f>
        <v>א'</v>
      </c>
      <c r="M38" s="13"/>
      <c r="N38" s="50" t="s">
        <v>360</v>
      </c>
      <c r="O38" s="13" t="str">
        <f t="array" ref="O38">_xlfn.IFS(N38="A","א'", N38="B", "ב'", N38= "C", "ג'")</f>
        <v>א'</v>
      </c>
      <c r="P38" s="13">
        <f>IF(Table_2[[#This Row],[Correct_Answer]]=Table_2[[#This Row],[System_Recommendation]],1,0)</f>
        <v>1</v>
      </c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15.75" hidden="1" customHeight="1">
      <c r="A39" s="8" t="s">
        <v>130</v>
      </c>
      <c r="B39" s="8">
        <v>5</v>
      </c>
      <c r="C39" s="9" t="s">
        <v>379</v>
      </c>
      <c r="D39" s="8"/>
      <c r="E39" s="9" t="s">
        <v>111</v>
      </c>
      <c r="F39" s="8"/>
      <c r="G39" s="8"/>
      <c r="H39" s="11" t="s">
        <v>95</v>
      </c>
      <c r="I39" s="8" t="s">
        <v>91</v>
      </c>
      <c r="J39" s="9" t="s">
        <v>380</v>
      </c>
      <c r="K39" s="8" t="str">
        <f>VLOOKUP(LEFT(H39,7),'קטלוג תרחישים'!$A:$M,12,FALSE())</f>
        <v>ב'</v>
      </c>
      <c r="L39" s="8" t="str">
        <f>IF(J39="כן",K39,VLOOKUP(LEFT(H39,7),'קטלוג תרחישים'!$A:$M,13,FALSE()))</f>
        <v>ב'</v>
      </c>
      <c r="M39" s="13"/>
      <c r="N39" s="51" t="s">
        <v>365</v>
      </c>
      <c r="O39" s="13" t="str">
        <f t="array" ref="O39">_xlfn.IFS(N39="A","א'", N39="B", "ב'", N39= "C", "ג'")</f>
        <v>ב'</v>
      </c>
      <c r="P39" s="13">
        <f>IF(Table_2[[#This Row],[Correct_Answer]]=Table_2[[#This Row],[System_Recommendation]],1,0)</f>
        <v>1</v>
      </c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15.75" customHeight="1">
      <c r="A40" s="8" t="s">
        <v>130</v>
      </c>
      <c r="B40" s="8">
        <v>6</v>
      </c>
      <c r="C40" s="9" t="s">
        <v>379</v>
      </c>
      <c r="D40" s="8"/>
      <c r="E40" s="9" t="s">
        <v>111</v>
      </c>
      <c r="F40" s="8"/>
      <c r="G40" s="8"/>
      <c r="H40" s="11" t="s">
        <v>96</v>
      </c>
      <c r="I40" s="8" t="s">
        <v>91</v>
      </c>
      <c r="J40" s="9" t="s">
        <v>380</v>
      </c>
      <c r="K40" s="8" t="str">
        <f>VLOOKUP(LEFT(H40,7),'קטלוג תרחישים'!$A:$M,12,FALSE())</f>
        <v>ב'</v>
      </c>
      <c r="L40" s="8" t="str">
        <f>IF(J40="כן",K40,VLOOKUP(LEFT(H40,7),'קטלוג תרחישים'!$A:$M,13,FALSE()))</f>
        <v>ב'</v>
      </c>
      <c r="M40" s="13"/>
      <c r="N40" s="50" t="s">
        <v>365</v>
      </c>
      <c r="O40" s="13" t="str">
        <f t="array" ref="O40">_xlfn.IFS(N40="A","א'", N40="B", "ב'", N40= "C", "ג'")</f>
        <v>ב'</v>
      </c>
      <c r="P40" s="13">
        <f>IF(Table_2[[#This Row],[Correct_Answer]]=Table_2[[#This Row],[System_Recommendation]],1,0)</f>
        <v>1</v>
      </c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 spans="1:26" ht="15.75" hidden="1" customHeight="1">
      <c r="A41" s="8" t="s">
        <v>130</v>
      </c>
      <c r="B41" s="8">
        <v>7</v>
      </c>
      <c r="C41" s="9" t="s">
        <v>381</v>
      </c>
      <c r="D41" s="8">
        <v>1</v>
      </c>
      <c r="E41" s="9" t="s">
        <v>111</v>
      </c>
      <c r="F41" s="8" t="s">
        <v>382</v>
      </c>
      <c r="G41" s="8" t="s">
        <v>117</v>
      </c>
      <c r="H41" s="8" t="s">
        <v>122</v>
      </c>
      <c r="I41" s="8" t="s">
        <v>91</v>
      </c>
      <c r="J41" s="9" t="s">
        <v>380</v>
      </c>
      <c r="K41" s="8" t="str">
        <f>VLOOKUP(LEFT(H41,7),'קטלוג תרחישים'!$A:$M,12,FALSE())</f>
        <v>ג'</v>
      </c>
      <c r="L41" s="8" t="str">
        <f>IF(J41="כן",K41,VLOOKUP(LEFT(H41,7),'קטלוג תרחישים'!$A:$M,13,FALSE()))</f>
        <v>ג'</v>
      </c>
      <c r="M41" s="13"/>
      <c r="N41" s="51" t="s">
        <v>366</v>
      </c>
      <c r="O41" s="13" t="str">
        <f t="array" ref="O41">_xlfn.IFS(N41="A","א'", N41="B", "ב'", N41= "C", "ג'")</f>
        <v>ג'</v>
      </c>
      <c r="P41" s="13">
        <f>IF(Table_2[[#This Row],[Correct_Answer]]=Table_2[[#This Row],[System_Recommendation]],1,0)</f>
        <v>1</v>
      </c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 spans="1:26" ht="15.75" hidden="1" customHeight="1">
      <c r="A42" s="8" t="s">
        <v>130</v>
      </c>
      <c r="B42" s="8">
        <v>8</v>
      </c>
      <c r="C42" s="9" t="s">
        <v>381</v>
      </c>
      <c r="D42" s="8">
        <v>1</v>
      </c>
      <c r="E42" s="9" t="s">
        <v>111</v>
      </c>
      <c r="F42" s="8" t="s">
        <v>382</v>
      </c>
      <c r="G42" s="8" t="s">
        <v>117</v>
      </c>
      <c r="H42" s="8" t="s">
        <v>125</v>
      </c>
      <c r="I42" s="8" t="s">
        <v>100</v>
      </c>
      <c r="J42" s="9" t="s">
        <v>383</v>
      </c>
      <c r="K42" s="8" t="str">
        <f>VLOOKUP(LEFT(H42,7),'קטלוג תרחישים'!$A:$M,12,FALSE())</f>
        <v>ג'</v>
      </c>
      <c r="L42" s="8" t="str">
        <f>IF(J42="כן",K42,VLOOKUP(LEFT(H42,7),'קטלוג תרחישים'!$A:$M,13,FALSE()))</f>
        <v>ב'</v>
      </c>
      <c r="M42" s="13"/>
      <c r="N42" s="50" t="s">
        <v>366</v>
      </c>
      <c r="O42" s="13" t="str">
        <f t="array" ref="O42">_xlfn.IFS(N42="A","א'", N42="B", "ב'", N42= "C", "ג'")</f>
        <v>ג'</v>
      </c>
      <c r="P42" s="13">
        <f>IF(Table_2[[#This Row],[Correct_Answer]]=Table_2[[#This Row],[System_Recommendation]],1,0)</f>
        <v>0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 spans="1:26" ht="15.75" hidden="1" customHeight="1">
      <c r="A43" s="8" t="s">
        <v>130</v>
      </c>
      <c r="B43" s="8">
        <v>9</v>
      </c>
      <c r="C43" s="9" t="s">
        <v>381</v>
      </c>
      <c r="D43" s="8">
        <v>1</v>
      </c>
      <c r="E43" s="9" t="s">
        <v>111</v>
      </c>
      <c r="F43" s="8" t="s">
        <v>382</v>
      </c>
      <c r="G43" s="8" t="s">
        <v>117</v>
      </c>
      <c r="H43" s="8" t="s">
        <v>124</v>
      </c>
      <c r="I43" s="8" t="s">
        <v>91</v>
      </c>
      <c r="J43" s="9" t="s">
        <v>383</v>
      </c>
      <c r="K43" s="8" t="str">
        <f>VLOOKUP(LEFT(H43,7),'קטלוג תרחישים'!$A:$M,12,FALSE())</f>
        <v>ב'</v>
      </c>
      <c r="L43" s="8" t="str">
        <f>IF(J43="כן",K43,VLOOKUP(LEFT(H43,7),'קטלוג תרחישים'!$A:$M,13,FALSE()))</f>
        <v>א'</v>
      </c>
      <c r="M43" s="13"/>
      <c r="N43" s="51" t="s">
        <v>366</v>
      </c>
      <c r="O43" s="13" t="str">
        <f t="array" ref="O43">_xlfn.IFS(N43="A","א'", N43="B", "ב'", N43= "C", "ג'")</f>
        <v>ג'</v>
      </c>
      <c r="P43" s="13">
        <f>IF(Table_2[[#This Row],[Correct_Answer]]=Table_2[[#This Row],[System_Recommendation]],1,0)</f>
        <v>0</v>
      </c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 spans="1:26" ht="15.75" hidden="1" customHeight="1">
      <c r="A44" s="8" t="s">
        <v>130</v>
      </c>
      <c r="B44" s="8">
        <v>10</v>
      </c>
      <c r="C44" s="9" t="s">
        <v>381</v>
      </c>
      <c r="D44" s="8">
        <v>1</v>
      </c>
      <c r="E44" s="9" t="s">
        <v>111</v>
      </c>
      <c r="F44" s="8" t="s">
        <v>382</v>
      </c>
      <c r="G44" s="8" t="s">
        <v>117</v>
      </c>
      <c r="H44" s="8" t="s">
        <v>123</v>
      </c>
      <c r="I44" s="8" t="s">
        <v>100</v>
      </c>
      <c r="J44" s="9" t="s">
        <v>380</v>
      </c>
      <c r="K44" s="8" t="str">
        <f>VLOOKUP(LEFT(H44,7),'קטלוג תרחישים'!$A:$M,12,FALSE())</f>
        <v>ב'</v>
      </c>
      <c r="L44" s="8" t="str">
        <f>IF(J44="כן",K44,VLOOKUP(LEFT(H44,7),'קטלוג תרחישים'!$A:$M,13,FALSE()))</f>
        <v>ב'</v>
      </c>
      <c r="M44" s="13"/>
      <c r="N44" s="50" t="s">
        <v>365</v>
      </c>
      <c r="O44" s="13" t="str">
        <f t="array" ref="O44">_xlfn.IFS(N44="A","א'", N44="B", "ב'", N44= "C", "ג'")</f>
        <v>ב'</v>
      </c>
      <c r="P44" s="13">
        <f>IF(Table_2[[#This Row],[Correct_Answer]]=Table_2[[#This Row],[System_Recommendation]],1,0)</f>
        <v>1</v>
      </c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 spans="1:26" ht="15.75" hidden="1" customHeight="1">
      <c r="A45" s="8" t="s">
        <v>130</v>
      </c>
      <c r="B45" s="8">
        <v>11</v>
      </c>
      <c r="C45" s="9" t="s">
        <v>381</v>
      </c>
      <c r="D45" s="8">
        <v>2</v>
      </c>
      <c r="E45" s="9" t="s">
        <v>98</v>
      </c>
      <c r="F45" s="8" t="s">
        <v>382</v>
      </c>
      <c r="G45" s="8" t="s">
        <v>117</v>
      </c>
      <c r="H45" s="8" t="s">
        <v>126</v>
      </c>
      <c r="I45" s="8" t="s">
        <v>91</v>
      </c>
      <c r="J45" s="9" t="s">
        <v>380</v>
      </c>
      <c r="K45" s="8" t="str">
        <f>VLOOKUP(LEFT(H45,7),'קטלוג תרחישים'!$A:$M,12,FALSE())</f>
        <v>ג'</v>
      </c>
      <c r="L45" s="8" t="str">
        <f>IF(J45="כן",K45,VLOOKUP(LEFT(H45,7),'קטלוג תרחישים'!$A:$M,13,FALSE()))</f>
        <v>ג'</v>
      </c>
      <c r="M45" s="13"/>
      <c r="N45" s="51" t="s">
        <v>360</v>
      </c>
      <c r="O45" s="13" t="str">
        <f t="array" ref="O45">_xlfn.IFS(N45="A","א'", N45="B", "ב'", N45= "C", "ג'")</f>
        <v>א'</v>
      </c>
      <c r="P45" s="13">
        <f>IF(Table_2[[#This Row],[Correct_Answer]]=Table_2[[#This Row],[System_Recommendation]],1,0)</f>
        <v>1</v>
      </c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 spans="1:26" ht="15.75" hidden="1" customHeight="1">
      <c r="A46" s="8" t="s">
        <v>130</v>
      </c>
      <c r="B46" s="8">
        <v>12</v>
      </c>
      <c r="C46" s="9" t="s">
        <v>381</v>
      </c>
      <c r="D46" s="8">
        <v>2</v>
      </c>
      <c r="E46" s="9" t="s">
        <v>98</v>
      </c>
      <c r="F46" s="8" t="s">
        <v>382</v>
      </c>
      <c r="G46" s="8" t="s">
        <v>117</v>
      </c>
      <c r="H46" s="8" t="s">
        <v>129</v>
      </c>
      <c r="I46" s="8" t="s">
        <v>100</v>
      </c>
      <c r="J46" s="9" t="s">
        <v>380</v>
      </c>
      <c r="K46" s="8" t="str">
        <f>VLOOKUP(LEFT(H46,7),'קטלוג תרחישים'!$A:$M,12,FALSE())</f>
        <v>א'</v>
      </c>
      <c r="L46" s="8" t="str">
        <f>IF(J46="כן",K46,VLOOKUP(LEFT(H46,7),'קטלוג תרחישים'!$A:$M,13,FALSE()))</f>
        <v>א'</v>
      </c>
      <c r="M46" s="13"/>
      <c r="N46" s="50" t="s">
        <v>366</v>
      </c>
      <c r="O46" s="13" t="str">
        <f t="array" ref="O46">_xlfn.IFS(N46="A","א'", N46="B", "ב'", N46= "C", "ג'")</f>
        <v>ג'</v>
      </c>
      <c r="P46" s="13">
        <f>IF(Table_2[[#This Row],[Correct_Answer]]=Table_2[[#This Row],[System_Recommendation]],1,0)</f>
        <v>1</v>
      </c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 spans="1:26" ht="15.75" hidden="1" customHeight="1">
      <c r="A47" s="8" t="s">
        <v>130</v>
      </c>
      <c r="B47" s="8">
        <v>13</v>
      </c>
      <c r="C47" s="9" t="s">
        <v>381</v>
      </c>
      <c r="D47" s="8">
        <v>2</v>
      </c>
      <c r="E47" s="9" t="s">
        <v>98</v>
      </c>
      <c r="F47" s="8" t="s">
        <v>382</v>
      </c>
      <c r="G47" s="8" t="s">
        <v>117</v>
      </c>
      <c r="H47" s="8" t="s">
        <v>128</v>
      </c>
      <c r="I47" s="8" t="s">
        <v>91</v>
      </c>
      <c r="J47" s="9" t="s">
        <v>383</v>
      </c>
      <c r="K47" s="8" t="str">
        <f>VLOOKUP(LEFT(H47,7),'קטלוג תרחישים'!$A:$M,12,FALSE())</f>
        <v>ב'</v>
      </c>
      <c r="L47" s="8" t="str">
        <f>IF(J47="כן",K47,VLOOKUP(LEFT(H47,7),'קטלוג תרחישים'!$A:$M,13,FALSE()))</f>
        <v>ג'</v>
      </c>
      <c r="M47" s="13"/>
      <c r="N47" s="51" t="s">
        <v>366</v>
      </c>
      <c r="O47" s="13" t="str">
        <f t="array" ref="O47">_xlfn.IFS(N47="A","א'", N47="B", "ב'", N47= "C", "ג'")</f>
        <v>ג'</v>
      </c>
      <c r="P47" s="13">
        <f>IF(Table_2[[#This Row],[Correct_Answer]]=Table_2[[#This Row],[System_Recommendation]],1,0)</f>
        <v>0</v>
      </c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 spans="1:26" ht="15.75" hidden="1" customHeight="1">
      <c r="A48" s="8" t="s">
        <v>130</v>
      </c>
      <c r="B48" s="8">
        <v>14</v>
      </c>
      <c r="C48" s="9" t="s">
        <v>381</v>
      </c>
      <c r="D48" s="8">
        <v>2</v>
      </c>
      <c r="E48" s="9" t="s">
        <v>98</v>
      </c>
      <c r="F48" s="8" t="s">
        <v>382</v>
      </c>
      <c r="G48" s="8" t="s">
        <v>117</v>
      </c>
      <c r="H48" s="8" t="s">
        <v>127</v>
      </c>
      <c r="I48" s="8" t="s">
        <v>100</v>
      </c>
      <c r="J48" s="9" t="s">
        <v>383</v>
      </c>
      <c r="K48" s="8" t="str">
        <f>VLOOKUP(LEFT(H48,7),'קטלוג תרחישים'!$A:$M,12,FALSE())</f>
        <v>א'</v>
      </c>
      <c r="L48" s="8" t="str">
        <f>IF(J48="כן",K48,VLOOKUP(LEFT(H48,7),'קטלוג תרחישים'!$A:$M,13,FALSE()))</f>
        <v>ג'</v>
      </c>
      <c r="M48" s="13"/>
      <c r="N48" s="50" t="s">
        <v>365</v>
      </c>
      <c r="O48" s="13" t="str">
        <f t="array" ref="O48">_xlfn.IFS(N48="A","א'", N48="B", "ב'", N48= "C", "ג'")</f>
        <v>ב'</v>
      </c>
      <c r="P48" s="13">
        <f>IF(Table_2[[#This Row],[Correct_Answer]]=Table_2[[#This Row],[System_Recommendation]],1,0)</f>
        <v>0</v>
      </c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 spans="1:26" ht="15.75" hidden="1" customHeight="1">
      <c r="A49" s="8" t="s">
        <v>130</v>
      </c>
      <c r="B49" s="8">
        <v>15</v>
      </c>
      <c r="C49" s="9" t="s">
        <v>381</v>
      </c>
      <c r="D49" s="8">
        <v>3</v>
      </c>
      <c r="E49" s="9" t="s">
        <v>105</v>
      </c>
      <c r="F49" s="8" t="s">
        <v>382</v>
      </c>
      <c r="G49" s="8" t="s">
        <v>117</v>
      </c>
      <c r="H49" s="8" t="s">
        <v>118</v>
      </c>
      <c r="I49" s="8" t="s">
        <v>91</v>
      </c>
      <c r="J49" s="9" t="s">
        <v>380</v>
      </c>
      <c r="K49" s="8" t="str">
        <f>VLOOKUP(LEFT(H49,7),'קטלוג תרחישים'!$A:$M,12,FALSE())</f>
        <v>ג'</v>
      </c>
      <c r="L49" s="8" t="str">
        <f>IF(J49="כן",K49,VLOOKUP(LEFT(H49,7),'קטלוג תרחישים'!$A:$M,13,FALSE()))</f>
        <v>ג'</v>
      </c>
      <c r="M49" s="13"/>
      <c r="N49" s="51" t="s">
        <v>365</v>
      </c>
      <c r="O49" s="13" t="str">
        <f t="array" ref="O49">_xlfn.IFS(N49="A","א'", N49="B", "ב'", N49= "C", "ג'")</f>
        <v>ב'</v>
      </c>
      <c r="P49" s="13">
        <f>IF(Table_2[[#This Row],[Correct_Answer]]=Table_2[[#This Row],[System_Recommendation]],1,0)</f>
        <v>1</v>
      </c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 spans="1:26" ht="15.75" hidden="1" customHeight="1">
      <c r="A50" s="8" t="s">
        <v>130</v>
      </c>
      <c r="B50" s="8">
        <v>16</v>
      </c>
      <c r="C50" s="9" t="s">
        <v>381</v>
      </c>
      <c r="D50" s="8">
        <v>3</v>
      </c>
      <c r="E50" s="9" t="s">
        <v>105</v>
      </c>
      <c r="F50" s="8" t="s">
        <v>382</v>
      </c>
      <c r="G50" s="8" t="s">
        <v>117</v>
      </c>
      <c r="H50" s="8" t="s">
        <v>119</v>
      </c>
      <c r="I50" s="8" t="s">
        <v>100</v>
      </c>
      <c r="J50" s="9" t="s">
        <v>380</v>
      </c>
      <c r="K50" s="8" t="str">
        <f>VLOOKUP(LEFT(H50,7),'קטלוג תרחישים'!$A:$M,12,FALSE())</f>
        <v>א'</v>
      </c>
      <c r="L50" s="8" t="str">
        <f>IF(J50="כן",K50,VLOOKUP(LEFT(H50,7),'קטלוג תרחישים'!$A:$M,13,FALSE()))</f>
        <v>א'</v>
      </c>
      <c r="M50" s="13"/>
      <c r="N50" s="50" t="s">
        <v>365</v>
      </c>
      <c r="O50" s="13" t="str">
        <f t="array" ref="O50">_xlfn.IFS(N50="A","א'", N50="B", "ב'", N50= "C", "ג'")</f>
        <v>ב'</v>
      </c>
      <c r="P50" s="13">
        <f>IF(Table_2[[#This Row],[Correct_Answer]]=Table_2[[#This Row],[System_Recommendation]],1,0)</f>
        <v>1</v>
      </c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 spans="1:26" ht="15.75" hidden="1" customHeight="1">
      <c r="A51" s="8" t="s">
        <v>130</v>
      </c>
      <c r="B51" s="8">
        <v>17</v>
      </c>
      <c r="C51" s="9" t="s">
        <v>381</v>
      </c>
      <c r="D51" s="8">
        <v>3</v>
      </c>
      <c r="E51" s="9" t="s">
        <v>105</v>
      </c>
      <c r="F51" s="8" t="s">
        <v>382</v>
      </c>
      <c r="G51" s="8" t="s">
        <v>117</v>
      </c>
      <c r="H51" s="8" t="s">
        <v>120</v>
      </c>
      <c r="I51" s="8" t="s">
        <v>91</v>
      </c>
      <c r="J51" s="9" t="s">
        <v>383</v>
      </c>
      <c r="K51" s="8" t="str">
        <f>VLOOKUP(LEFT(H51,7),'קטלוג תרחישים'!$A:$M,12,FALSE())</f>
        <v>ג'</v>
      </c>
      <c r="L51" s="8" t="str">
        <f>IF(J51="כן",K51,VLOOKUP(LEFT(H51,7),'קטלוג תרחישים'!$A:$M,13,FALSE()))</f>
        <v>א'</v>
      </c>
      <c r="M51" s="13"/>
      <c r="N51" s="51" t="s">
        <v>360</v>
      </c>
      <c r="O51" s="13" t="str">
        <f t="array" ref="O51">_xlfn.IFS(N51="A","א'", N51="B", "ב'", N51= "C", "ג'")</f>
        <v>א'</v>
      </c>
      <c r="P51" s="13">
        <f>IF(Table_2[[#This Row],[Correct_Answer]]=Table_2[[#This Row],[System_Recommendation]],1,0)</f>
        <v>0</v>
      </c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 spans="1:26" ht="15.75" hidden="1" customHeight="1">
      <c r="A52" s="8" t="s">
        <v>130</v>
      </c>
      <c r="B52" s="8">
        <v>18</v>
      </c>
      <c r="C52" s="9" t="s">
        <v>381</v>
      </c>
      <c r="D52" s="8">
        <v>3</v>
      </c>
      <c r="E52" s="9" t="s">
        <v>105</v>
      </c>
      <c r="F52" s="8" t="s">
        <v>382</v>
      </c>
      <c r="G52" s="8" t="s">
        <v>117</v>
      </c>
      <c r="H52" s="8" t="s">
        <v>121</v>
      </c>
      <c r="I52" s="8" t="s">
        <v>100</v>
      </c>
      <c r="J52" s="9" t="s">
        <v>383</v>
      </c>
      <c r="K52" s="8" t="str">
        <f>VLOOKUP(LEFT(H52,7),'קטלוג תרחישים'!$A:$M,12,FALSE())</f>
        <v>ג'</v>
      </c>
      <c r="L52" s="8" t="str">
        <f>IF(J52="כן",K52,VLOOKUP(LEFT(H52,7),'קטלוג תרחישים'!$A:$M,13,FALSE()))</f>
        <v>ב'</v>
      </c>
      <c r="M52" s="13"/>
      <c r="N52" s="50" t="s">
        <v>366</v>
      </c>
      <c r="O52" s="13" t="str">
        <f t="array" ref="O52">_xlfn.IFS(N52="A","א'", N52="B", "ב'", N52= "C", "ג'")</f>
        <v>ג'</v>
      </c>
      <c r="P52" s="13">
        <f>IF(Table_2[[#This Row],[Correct_Answer]]=Table_2[[#This Row],[System_Recommendation]],1,0)</f>
        <v>0</v>
      </c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 spans="1:26" ht="15.75" hidden="1" customHeight="1">
      <c r="A53" s="8" t="s">
        <v>130</v>
      </c>
      <c r="B53" s="8">
        <v>19</v>
      </c>
      <c r="C53" s="9" t="s">
        <v>381</v>
      </c>
      <c r="D53" s="8">
        <v>1</v>
      </c>
      <c r="E53" s="9" t="s">
        <v>105</v>
      </c>
      <c r="F53" s="8" t="s">
        <v>384</v>
      </c>
      <c r="G53" s="8" t="s">
        <v>97</v>
      </c>
      <c r="H53" s="8" t="s">
        <v>110</v>
      </c>
      <c r="I53" s="8" t="s">
        <v>91</v>
      </c>
      <c r="J53" s="9" t="s">
        <v>380</v>
      </c>
      <c r="K53" s="8" t="str">
        <f>VLOOKUP(LEFT(H53,7),'קטלוג תרחישים'!$A:$M,12,FALSE())</f>
        <v>ג'</v>
      </c>
      <c r="L53" s="8" t="str">
        <f>IF(J53="כן",K53,VLOOKUP(LEFT(H53,7),'קטלוג תרחישים'!$A:$M,13,FALSE()))</f>
        <v>ג'</v>
      </c>
      <c r="M53" s="13"/>
      <c r="N53" s="51" t="s">
        <v>365</v>
      </c>
      <c r="O53" s="13" t="str">
        <f t="array" ref="O53">_xlfn.IFS(N53="A","א'", N53="B", "ב'", N53= "C", "ג'")</f>
        <v>ב'</v>
      </c>
      <c r="P53" s="13">
        <f>IF(Table_2[[#This Row],[Correct_Answer]]=Table_2[[#This Row],[System_Recommendation]],1,0)</f>
        <v>1</v>
      </c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 spans="1:26" ht="15.75" hidden="1" customHeight="1">
      <c r="A54" s="8" t="s">
        <v>130</v>
      </c>
      <c r="B54" s="8">
        <v>20</v>
      </c>
      <c r="C54" s="9" t="s">
        <v>381</v>
      </c>
      <c r="D54" s="8">
        <v>1</v>
      </c>
      <c r="E54" s="9" t="s">
        <v>105</v>
      </c>
      <c r="F54" s="8" t="s">
        <v>384</v>
      </c>
      <c r="G54" s="8" t="s">
        <v>97</v>
      </c>
      <c r="H54" s="8" t="s">
        <v>109</v>
      </c>
      <c r="I54" s="8" t="s">
        <v>100</v>
      </c>
      <c r="J54" s="9" t="s">
        <v>380</v>
      </c>
      <c r="K54" s="8" t="str">
        <f>VLOOKUP(LEFT(H54,7),'קטלוג תרחישים'!$A:$M,12,FALSE())</f>
        <v>ב'</v>
      </c>
      <c r="L54" s="8" t="str">
        <f>IF(J54="כן",K54,VLOOKUP(LEFT(H54,7),'קטלוג תרחישים'!$A:$M,13,FALSE()))</f>
        <v>ב'</v>
      </c>
      <c r="M54" s="13"/>
      <c r="N54" s="50" t="s">
        <v>366</v>
      </c>
      <c r="O54" s="13" t="str">
        <f t="array" ref="O54">_xlfn.IFS(N54="A","א'", N54="B", "ב'", N54= "C", "ג'")</f>
        <v>ג'</v>
      </c>
      <c r="P54" s="13">
        <f>IF(Table_2[[#This Row],[Correct_Answer]]=Table_2[[#This Row],[System_Recommendation]],1,0)</f>
        <v>1</v>
      </c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 spans="1:26" ht="15.75" hidden="1" customHeight="1">
      <c r="A55" s="8" t="s">
        <v>130</v>
      </c>
      <c r="B55" s="8">
        <v>21</v>
      </c>
      <c r="C55" s="9" t="s">
        <v>381</v>
      </c>
      <c r="D55" s="8">
        <v>1</v>
      </c>
      <c r="E55" s="9" t="s">
        <v>105</v>
      </c>
      <c r="F55" s="8" t="s">
        <v>384</v>
      </c>
      <c r="G55" s="8" t="s">
        <v>97</v>
      </c>
      <c r="H55" s="8" t="s">
        <v>106</v>
      </c>
      <c r="I55" s="8" t="s">
        <v>91</v>
      </c>
      <c r="J55" s="9" t="s">
        <v>380</v>
      </c>
      <c r="K55" s="8" t="str">
        <f>VLOOKUP(LEFT(H55,7),'קטלוג תרחישים'!$A:$M,12,FALSE())</f>
        <v>א'</v>
      </c>
      <c r="L55" s="8" t="str">
        <f>IF(J55="כן",K55,VLOOKUP(LEFT(H55,7),'קטלוג תרחישים'!$A:$M,13,FALSE()))</f>
        <v>א'</v>
      </c>
      <c r="M55" s="13"/>
      <c r="N55" s="51" t="s">
        <v>360</v>
      </c>
      <c r="O55" s="13" t="str">
        <f t="array" ref="O55">_xlfn.IFS(N55="A","א'", N55="B", "ב'", N55= "C", "ג'")</f>
        <v>א'</v>
      </c>
      <c r="P55" s="13">
        <f>IF(Table_2[[#This Row],[Correct_Answer]]=Table_2[[#This Row],[System_Recommendation]],1,0)</f>
        <v>1</v>
      </c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 spans="1:26" ht="15.75" hidden="1" customHeight="1">
      <c r="A56" s="8" t="s">
        <v>130</v>
      </c>
      <c r="B56" s="8">
        <v>22</v>
      </c>
      <c r="C56" s="9" t="s">
        <v>381</v>
      </c>
      <c r="D56" s="8">
        <v>1</v>
      </c>
      <c r="E56" s="9" t="s">
        <v>105</v>
      </c>
      <c r="F56" s="8" t="s">
        <v>384</v>
      </c>
      <c r="G56" s="8" t="s">
        <v>97</v>
      </c>
      <c r="H56" s="8" t="s">
        <v>107</v>
      </c>
      <c r="I56" s="8" t="s">
        <v>100</v>
      </c>
      <c r="J56" s="9" t="s">
        <v>383</v>
      </c>
      <c r="K56" s="8" t="str">
        <f>VLOOKUP(LEFT(H56,7),'קטלוג תרחישים'!$A:$M,12,FALSE())</f>
        <v>ב'</v>
      </c>
      <c r="L56" s="8" t="str">
        <f>IF(J56="כן",K56,VLOOKUP(LEFT(H56,7),'קטלוג תרחישים'!$A:$M,13,FALSE()))</f>
        <v>ג'</v>
      </c>
      <c r="M56" s="13"/>
      <c r="N56" s="50" t="s">
        <v>366</v>
      </c>
      <c r="O56" s="13" t="str">
        <f t="array" ref="O56">_xlfn.IFS(N56="A","א'", N56="B", "ב'", N56= "C", "ג'")</f>
        <v>ג'</v>
      </c>
      <c r="P56" s="13">
        <f>IF(Table_2[[#This Row],[Correct_Answer]]=Table_2[[#This Row],[System_Recommendation]],1,0)</f>
        <v>0</v>
      </c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 spans="1:26" ht="15.75" hidden="1" customHeight="1">
      <c r="A57" s="8" t="s">
        <v>130</v>
      </c>
      <c r="B57" s="8">
        <v>23</v>
      </c>
      <c r="C57" s="9" t="s">
        <v>381</v>
      </c>
      <c r="D57" s="8">
        <v>1</v>
      </c>
      <c r="E57" s="9" t="s">
        <v>105</v>
      </c>
      <c r="F57" s="8" t="s">
        <v>384</v>
      </c>
      <c r="G57" s="8" t="s">
        <v>97</v>
      </c>
      <c r="H57" s="8" t="s">
        <v>108</v>
      </c>
      <c r="I57" s="8" t="s">
        <v>91</v>
      </c>
      <c r="J57" s="9" t="s">
        <v>380</v>
      </c>
      <c r="K57" s="8" t="str">
        <f>VLOOKUP(LEFT(H57,7),'קטלוג תרחישים'!$A:$M,12,FALSE())</f>
        <v>ג'</v>
      </c>
      <c r="L57" s="8" t="str">
        <f>IF(J57="כן",K57,VLOOKUP(LEFT(H57,7),'קטלוג תרחישים'!$A:$M,13,FALSE()))</f>
        <v>ג'</v>
      </c>
      <c r="M57" s="13"/>
      <c r="N57" s="51" t="s">
        <v>366</v>
      </c>
      <c r="O57" s="13" t="str">
        <f t="array" ref="O57">_xlfn.IFS(N57="A","א'", N57="B", "ב'", N57= "C", "ג'")</f>
        <v>ג'</v>
      </c>
      <c r="P57" s="13">
        <f>IF(Table_2[[#This Row],[Correct_Answer]]=Table_2[[#This Row],[System_Recommendation]],1,0)</f>
        <v>1</v>
      </c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 spans="1:26" ht="15.75" hidden="1" customHeight="1">
      <c r="A58" s="8" t="s">
        <v>130</v>
      </c>
      <c r="B58" s="8">
        <v>24</v>
      </c>
      <c r="C58" s="9" t="s">
        <v>381</v>
      </c>
      <c r="D58" s="8">
        <v>2</v>
      </c>
      <c r="E58" s="9" t="s">
        <v>111</v>
      </c>
      <c r="F58" s="8" t="s">
        <v>384</v>
      </c>
      <c r="G58" s="8" t="s">
        <v>97</v>
      </c>
      <c r="H58" s="8" t="s">
        <v>112</v>
      </c>
      <c r="I58" s="8" t="s">
        <v>91</v>
      </c>
      <c r="J58" s="9" t="s">
        <v>380</v>
      </c>
      <c r="K58" s="8" t="str">
        <f>VLOOKUP(LEFT(H58,7),'קטלוג תרחישים'!$A:$M,12,FALSE())</f>
        <v>ב'</v>
      </c>
      <c r="L58" s="8" t="str">
        <f>IF(J58="כן",K58,VLOOKUP(LEFT(H58,7),'קטלוג תרחישים'!$A:$M,13,FALSE()))</f>
        <v>ב'</v>
      </c>
      <c r="M58" s="13"/>
      <c r="N58" s="50" t="s">
        <v>365</v>
      </c>
      <c r="O58" s="13" t="str">
        <f t="array" ref="O58">_xlfn.IFS(N58="A","א'", N58="B", "ב'", N58= "C", "ג'")</f>
        <v>ב'</v>
      </c>
      <c r="P58" s="13">
        <f>IF(Table_2[[#This Row],[Correct_Answer]]=Table_2[[#This Row],[System_Recommendation]],1,0)</f>
        <v>1</v>
      </c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 spans="1:26" ht="15.75" hidden="1" customHeight="1">
      <c r="A59" s="8" t="s">
        <v>130</v>
      </c>
      <c r="B59" s="8">
        <v>25</v>
      </c>
      <c r="C59" s="9" t="s">
        <v>381</v>
      </c>
      <c r="D59" s="8">
        <v>2</v>
      </c>
      <c r="E59" s="9" t="s">
        <v>111</v>
      </c>
      <c r="F59" s="8" t="s">
        <v>384</v>
      </c>
      <c r="G59" s="8" t="s">
        <v>97</v>
      </c>
      <c r="H59" s="8" t="s">
        <v>113</v>
      </c>
      <c r="I59" s="8" t="s">
        <v>100</v>
      </c>
      <c r="J59" s="9" t="s">
        <v>383</v>
      </c>
      <c r="K59" s="8" t="str">
        <f>VLOOKUP(LEFT(H59,7),'קטלוג תרחישים'!$A:$M,12,FALSE())</f>
        <v>ג'</v>
      </c>
      <c r="L59" s="8" t="str">
        <f>IF(J59="כן",K59,VLOOKUP(LEFT(H59,7),'קטלוג תרחישים'!$A:$M,13,FALSE()))</f>
        <v>ב'</v>
      </c>
      <c r="M59" s="13"/>
      <c r="N59" s="51" t="s">
        <v>360</v>
      </c>
      <c r="O59" s="13" t="str">
        <f t="array" ref="O59">_xlfn.IFS(N59="A","א'", N59="B", "ב'", N59= "C", "ג'")</f>
        <v>א'</v>
      </c>
      <c r="P59" s="13">
        <f>IF(Table_2[[#This Row],[Correct_Answer]]=Table_2[[#This Row],[System_Recommendation]],1,0)</f>
        <v>0</v>
      </c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 spans="1:26" ht="15.75" hidden="1" customHeight="1">
      <c r="A60" s="8" t="s">
        <v>130</v>
      </c>
      <c r="B60" s="8">
        <v>26</v>
      </c>
      <c r="C60" s="9" t="s">
        <v>381</v>
      </c>
      <c r="D60" s="8">
        <v>2</v>
      </c>
      <c r="E60" s="9" t="s">
        <v>111</v>
      </c>
      <c r="F60" s="8" t="s">
        <v>384</v>
      </c>
      <c r="G60" s="8" t="s">
        <v>97</v>
      </c>
      <c r="H60" s="8" t="s">
        <v>114</v>
      </c>
      <c r="I60" s="8" t="s">
        <v>91</v>
      </c>
      <c r="J60" s="9" t="s">
        <v>380</v>
      </c>
      <c r="K60" s="8" t="str">
        <f>VLOOKUP(LEFT(H60,7),'קטלוג תרחישים'!$A:$M,12,FALSE())</f>
        <v>ג'</v>
      </c>
      <c r="L60" s="8" t="str">
        <f>IF(J60="כן",K60,VLOOKUP(LEFT(H60,7),'קטלוג תרחישים'!$A:$M,13,FALSE()))</f>
        <v>ג'</v>
      </c>
      <c r="M60" s="13"/>
      <c r="N60" s="50" t="s">
        <v>366</v>
      </c>
      <c r="O60" s="13" t="str">
        <f t="array" ref="O60">_xlfn.IFS(N60="A","א'", N60="B", "ב'", N60= "C", "ג'")</f>
        <v>ג'</v>
      </c>
      <c r="P60" s="13">
        <f>IF(Table_2[[#This Row],[Correct_Answer]]=Table_2[[#This Row],[System_Recommendation]],1,0)</f>
        <v>1</v>
      </c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 spans="1:26" ht="15.75" hidden="1" customHeight="1">
      <c r="A61" s="8" t="s">
        <v>130</v>
      </c>
      <c r="B61" s="8">
        <v>27</v>
      </c>
      <c r="C61" s="9" t="s">
        <v>381</v>
      </c>
      <c r="D61" s="8">
        <v>2</v>
      </c>
      <c r="E61" s="9" t="s">
        <v>111</v>
      </c>
      <c r="F61" s="8" t="s">
        <v>384</v>
      </c>
      <c r="G61" s="8" t="s">
        <v>97</v>
      </c>
      <c r="H61" s="8" t="s">
        <v>115</v>
      </c>
      <c r="I61" s="8" t="s">
        <v>100</v>
      </c>
      <c r="J61" s="9" t="s">
        <v>380</v>
      </c>
      <c r="K61" s="8" t="str">
        <f>VLOOKUP(LEFT(H61,7),'קטלוג תרחישים'!$A:$M,12,FALSE())</f>
        <v>א'</v>
      </c>
      <c r="L61" s="8" t="str">
        <f>IF(J61="כן",K61,VLOOKUP(LEFT(H61,7),'קטלוג תרחישים'!$A:$M,13,FALSE()))</f>
        <v>א'</v>
      </c>
      <c r="M61" s="13"/>
      <c r="N61" s="51" t="s">
        <v>365</v>
      </c>
      <c r="O61" s="13" t="str">
        <f t="array" ref="O61">_xlfn.IFS(N61="A","א'", N61="B", "ב'", N61= "C", "ג'")</f>
        <v>ב'</v>
      </c>
      <c r="P61" s="13">
        <f>IF(Table_2[[#This Row],[Correct_Answer]]=Table_2[[#This Row],[System_Recommendation]],1,0)</f>
        <v>1</v>
      </c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 spans="1:26" ht="15.75" hidden="1" customHeight="1">
      <c r="A62" s="8" t="s">
        <v>130</v>
      </c>
      <c r="B62" s="8">
        <v>28</v>
      </c>
      <c r="C62" s="9" t="s">
        <v>381</v>
      </c>
      <c r="D62" s="8">
        <v>2</v>
      </c>
      <c r="E62" s="9" t="s">
        <v>111</v>
      </c>
      <c r="F62" s="8" t="s">
        <v>384</v>
      </c>
      <c r="G62" s="8" t="s">
        <v>97</v>
      </c>
      <c r="H62" s="8" t="s">
        <v>116</v>
      </c>
      <c r="I62" s="8" t="s">
        <v>91</v>
      </c>
      <c r="J62" s="9" t="s">
        <v>380</v>
      </c>
      <c r="K62" s="8" t="str">
        <f>VLOOKUP(LEFT(H62,7),'קטלוג תרחישים'!$A:$M,12,FALSE())</f>
        <v>ג'</v>
      </c>
      <c r="L62" s="8" t="str">
        <f>IF(J62="כן",K62,VLOOKUP(LEFT(H62,7),'קטלוג תרחישים'!$A:$M,13,FALSE()))</f>
        <v>ג'</v>
      </c>
      <c r="M62" s="13"/>
      <c r="N62" s="50" t="s">
        <v>366</v>
      </c>
      <c r="O62" s="13" t="str">
        <f t="array" ref="O62">_xlfn.IFS(N62="A","א'", N62="B", "ב'", N62= "C", "ג'")</f>
        <v>ג'</v>
      </c>
      <c r="P62" s="13">
        <f>IF(Table_2[[#This Row],[Correct_Answer]]=Table_2[[#This Row],[System_Recommendation]],1,0)</f>
        <v>1</v>
      </c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 spans="1:26" ht="15.75" hidden="1" customHeight="1">
      <c r="A63" s="8" t="s">
        <v>130</v>
      </c>
      <c r="B63" s="8">
        <v>29</v>
      </c>
      <c r="C63" s="9" t="s">
        <v>381</v>
      </c>
      <c r="D63" s="8">
        <v>3</v>
      </c>
      <c r="E63" s="9" t="s">
        <v>98</v>
      </c>
      <c r="F63" s="8" t="s">
        <v>384</v>
      </c>
      <c r="G63" s="8" t="s">
        <v>97</v>
      </c>
      <c r="H63" s="8" t="s">
        <v>104</v>
      </c>
      <c r="I63" s="8" t="s">
        <v>100</v>
      </c>
      <c r="J63" s="9" t="s">
        <v>380</v>
      </c>
      <c r="K63" s="8" t="str">
        <f>VLOOKUP(LEFT(H63,7),'קטלוג תרחישים'!$A:$M,12,FALSE())</f>
        <v>ב'</v>
      </c>
      <c r="L63" s="8" t="str">
        <f>IF(J63="כן",K63,VLOOKUP(LEFT(H63,7),'קטלוג תרחישים'!$A:$M,13,FALSE()))</f>
        <v>ב'</v>
      </c>
      <c r="M63" s="13"/>
      <c r="N63" s="51" t="s">
        <v>366</v>
      </c>
      <c r="O63" s="13" t="str">
        <f t="array" ref="O63">_xlfn.IFS(N63="A","א'", N63="B", "ב'", N63= "C", "ג'")</f>
        <v>ג'</v>
      </c>
      <c r="P63" s="13">
        <f>IF(Table_2[[#This Row],[Correct_Answer]]=Table_2[[#This Row],[System_Recommendation]],1,0)</f>
        <v>1</v>
      </c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 spans="1:26" ht="15.75" hidden="1" customHeight="1">
      <c r="A64" s="8" t="s">
        <v>130</v>
      </c>
      <c r="B64" s="8">
        <v>30</v>
      </c>
      <c r="C64" s="9" t="s">
        <v>381</v>
      </c>
      <c r="D64" s="8">
        <v>3</v>
      </c>
      <c r="E64" s="9" t="s">
        <v>98</v>
      </c>
      <c r="F64" s="8" t="s">
        <v>384</v>
      </c>
      <c r="G64" s="8" t="s">
        <v>97</v>
      </c>
      <c r="H64" s="8" t="s">
        <v>103</v>
      </c>
      <c r="I64" s="8" t="s">
        <v>91</v>
      </c>
      <c r="J64" s="9" t="s">
        <v>380</v>
      </c>
      <c r="K64" s="8" t="str">
        <f>VLOOKUP(LEFT(H64,7),'קטלוג תרחישים'!$A:$M,12,FALSE())</f>
        <v>ב'</v>
      </c>
      <c r="L64" s="8" t="str">
        <f>IF(J64="כן",K64,VLOOKUP(LEFT(H64,7),'קטלוג תרחישים'!$A:$M,13,FALSE()))</f>
        <v>ב'</v>
      </c>
      <c r="M64" s="13"/>
      <c r="N64" s="50" t="s">
        <v>365</v>
      </c>
      <c r="O64" s="13" t="str">
        <f t="array" ref="O64">_xlfn.IFS(N64="A","א'", N64="B", "ב'", N64= "C", "ג'")</f>
        <v>ב'</v>
      </c>
      <c r="P64" s="13">
        <f>IF(Table_2[[#This Row],[Correct_Answer]]=Table_2[[#This Row],[System_Recommendation]],1,0)</f>
        <v>1</v>
      </c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 spans="1:26" ht="15.75" hidden="1" customHeight="1">
      <c r="A65" s="8" t="s">
        <v>130</v>
      </c>
      <c r="B65" s="8">
        <v>31</v>
      </c>
      <c r="C65" s="9" t="s">
        <v>381</v>
      </c>
      <c r="D65" s="8">
        <v>3</v>
      </c>
      <c r="E65" s="9" t="s">
        <v>98</v>
      </c>
      <c r="F65" s="8" t="s">
        <v>384</v>
      </c>
      <c r="G65" s="8" t="s">
        <v>97</v>
      </c>
      <c r="H65" s="8" t="s">
        <v>102</v>
      </c>
      <c r="I65" s="8" t="s">
        <v>100</v>
      </c>
      <c r="J65" s="9" t="s">
        <v>380</v>
      </c>
      <c r="K65" s="8" t="str">
        <f>VLOOKUP(LEFT(H65,7),'קטלוג תרחישים'!$A:$M,12,FALSE())</f>
        <v>ג'</v>
      </c>
      <c r="L65" s="8" t="str">
        <f>IF(J65="כן",K65,VLOOKUP(LEFT(H65,7),'קטלוג תרחישים'!$A:$M,13,FALSE()))</f>
        <v>ג'</v>
      </c>
      <c r="M65" s="13"/>
      <c r="N65" s="51" t="s">
        <v>366</v>
      </c>
      <c r="O65" s="13" t="str">
        <f t="array" ref="O65">_xlfn.IFS(N65="A","א'", N65="B", "ב'", N65= "C", "ג'")</f>
        <v>ג'</v>
      </c>
      <c r="P65" s="13">
        <f>IF(Table_2[[#This Row],[Correct_Answer]]=Table_2[[#This Row],[System_Recommendation]],1,0)</f>
        <v>1</v>
      </c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 spans="1:26" ht="15.75" hidden="1" customHeight="1">
      <c r="A66" s="8" t="s">
        <v>130</v>
      </c>
      <c r="B66" s="8">
        <v>32</v>
      </c>
      <c r="C66" s="9" t="s">
        <v>381</v>
      </c>
      <c r="D66" s="8">
        <v>3</v>
      </c>
      <c r="E66" s="9" t="s">
        <v>98</v>
      </c>
      <c r="F66" s="8" t="s">
        <v>384</v>
      </c>
      <c r="G66" s="8" t="s">
        <v>97</v>
      </c>
      <c r="H66" s="8" t="s">
        <v>101</v>
      </c>
      <c r="I66" s="8" t="s">
        <v>91</v>
      </c>
      <c r="J66" s="9" t="s">
        <v>380</v>
      </c>
      <c r="K66" s="8" t="str">
        <f>VLOOKUP(LEFT(H66,7),'קטלוג תרחישים'!$A:$M,12,FALSE())</f>
        <v>א'</v>
      </c>
      <c r="L66" s="8" t="str">
        <f>IF(J66="כן",K66,VLOOKUP(LEFT(H66,7),'קטלוג תרחישים'!$A:$M,13,FALSE()))</f>
        <v>א'</v>
      </c>
      <c r="M66" s="13"/>
      <c r="N66" s="50" t="s">
        <v>360</v>
      </c>
      <c r="O66" s="13" t="str">
        <f t="array" ref="O66">_xlfn.IFS(N66="A","א'", N66="B", "ב'", N66= "C", "ג'")</f>
        <v>א'</v>
      </c>
      <c r="P66" s="13">
        <f>IF(Table_2[[#This Row],[Correct_Answer]]=Table_2[[#This Row],[System_Recommendation]],1,0)</f>
        <v>1</v>
      </c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 spans="1:26" ht="15.75" hidden="1" customHeight="1">
      <c r="A67" s="8" t="s">
        <v>130</v>
      </c>
      <c r="B67" s="8">
        <v>33</v>
      </c>
      <c r="C67" s="9" t="s">
        <v>381</v>
      </c>
      <c r="D67" s="8">
        <v>3</v>
      </c>
      <c r="E67" s="9" t="s">
        <v>98</v>
      </c>
      <c r="F67" s="8" t="s">
        <v>384</v>
      </c>
      <c r="G67" s="8" t="s">
        <v>97</v>
      </c>
      <c r="H67" s="8" t="s">
        <v>99</v>
      </c>
      <c r="I67" s="8" t="s">
        <v>100</v>
      </c>
      <c r="J67" s="9" t="s">
        <v>383</v>
      </c>
      <c r="K67" s="8" t="str">
        <f>VLOOKUP(LEFT(H67,7),'קטלוג תרחישים'!$A:$M,12,FALSE())</f>
        <v>ג'</v>
      </c>
      <c r="L67" s="8" t="str">
        <f>IF(J67="כן",K67,VLOOKUP(LEFT(H67,7),'קטלוג תרחישים'!$A:$M,13,FALSE()))</f>
        <v>א'</v>
      </c>
      <c r="M67" s="13"/>
      <c r="N67" s="51" t="s">
        <v>360</v>
      </c>
      <c r="O67" s="13" t="str">
        <f t="array" ref="O67">_xlfn.IFS(N67="A","א'", N67="B", "ב'", N67= "C", "ג'")</f>
        <v>א'</v>
      </c>
      <c r="P67" s="13">
        <f>IF(Table_2[[#This Row],[Correct_Answer]]=Table_2[[#This Row],[System_Recommendation]],1,0)</f>
        <v>0</v>
      </c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 spans="1:26" ht="15.75" hidden="1" customHeight="1">
      <c r="A68" s="8" t="s">
        <v>133</v>
      </c>
      <c r="B68" s="8">
        <v>1</v>
      </c>
      <c r="C68" s="9" t="s">
        <v>379</v>
      </c>
      <c r="D68" s="8"/>
      <c r="E68" s="9" t="s">
        <v>98</v>
      </c>
      <c r="F68" s="8"/>
      <c r="G68" s="8"/>
      <c r="H68" s="11" t="s">
        <v>90</v>
      </c>
      <c r="I68" s="8" t="s">
        <v>91</v>
      </c>
      <c r="J68" s="9" t="s">
        <v>380</v>
      </c>
      <c r="K68" s="8" t="str">
        <f>VLOOKUP(LEFT(H68,7),'קטלוג תרחישים'!$A:$M,12,FALSE())</f>
        <v>א'</v>
      </c>
      <c r="L68" s="8" t="str">
        <f>IF(J68="כן",K68,VLOOKUP(LEFT(H68,7),'קטלוג תרחישים'!$A:$M,13,FALSE()))</f>
        <v>א'</v>
      </c>
      <c r="M68" s="13"/>
      <c r="N68" s="50" t="s">
        <v>366</v>
      </c>
      <c r="O68" s="13" t="str">
        <f t="array" ref="O68">_xlfn.IFS(N68="A","א'", N68="B", "ב'", N68= "C", "ג'")</f>
        <v>ג'</v>
      </c>
      <c r="P68" s="13">
        <f>IF(Table_2[[#This Row],[Correct_Answer]]=Table_2[[#This Row],[System_Recommendation]],1,0)</f>
        <v>1</v>
      </c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 spans="1:26" ht="15.75" hidden="1" customHeight="1">
      <c r="A69" s="8" t="s">
        <v>133</v>
      </c>
      <c r="B69" s="8">
        <v>2</v>
      </c>
      <c r="C69" s="9" t="s">
        <v>379</v>
      </c>
      <c r="D69" s="8"/>
      <c r="E69" s="9" t="s">
        <v>98</v>
      </c>
      <c r="F69" s="8"/>
      <c r="G69" s="8"/>
      <c r="H69" s="11" t="s">
        <v>92</v>
      </c>
      <c r="I69" s="8" t="s">
        <v>91</v>
      </c>
      <c r="J69" s="9" t="s">
        <v>380</v>
      </c>
      <c r="K69" s="8" t="str">
        <f>VLOOKUP(LEFT(H69,7),'קטלוג תרחישים'!$A:$M,12,FALSE())</f>
        <v>א'</v>
      </c>
      <c r="L69" s="8" t="str">
        <f>IF(J69="כן",K69,VLOOKUP(LEFT(H69,7),'קטלוג תרחישים'!$A:$M,13,FALSE()))</f>
        <v>א'</v>
      </c>
      <c r="M69" s="13"/>
      <c r="N69" s="51" t="s">
        <v>366</v>
      </c>
      <c r="O69" s="13" t="str">
        <f t="array" ref="O69">_xlfn.IFS(N69="A","א'", N69="B", "ב'", N69= "C", "ג'")</f>
        <v>ג'</v>
      </c>
      <c r="P69" s="13">
        <f>IF(Table_2[[#This Row],[Correct_Answer]]=Table_2[[#This Row],[System_Recommendation]],1,0)</f>
        <v>1</v>
      </c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 spans="1:26" ht="15.75" hidden="1" customHeight="1">
      <c r="A70" s="8" t="s">
        <v>133</v>
      </c>
      <c r="B70" s="8">
        <v>3</v>
      </c>
      <c r="C70" s="9" t="s">
        <v>379</v>
      </c>
      <c r="D70" s="8"/>
      <c r="E70" s="9" t="s">
        <v>105</v>
      </c>
      <c r="F70" s="8"/>
      <c r="G70" s="8"/>
      <c r="H70" s="11" t="s">
        <v>93</v>
      </c>
      <c r="I70" s="8" t="s">
        <v>91</v>
      </c>
      <c r="J70" s="9" t="s">
        <v>380</v>
      </c>
      <c r="K70" s="8" t="str">
        <f>VLOOKUP(LEFT(H70,7),'קטלוג תרחישים'!$A:$M,12,FALSE())</f>
        <v>א'</v>
      </c>
      <c r="L70" s="8" t="str">
        <f>IF(J70="כן",K70,VLOOKUP(LEFT(H70,7),'קטלוג תרחישים'!$A:$M,13,FALSE()))</f>
        <v>א'</v>
      </c>
      <c r="M70" s="13"/>
      <c r="N70" s="50" t="s">
        <v>360</v>
      </c>
      <c r="O70" s="13" t="str">
        <f t="array" ref="O70">_xlfn.IFS(N70="A","א'", N70="B", "ב'", N70= "C", "ג'")</f>
        <v>א'</v>
      </c>
      <c r="P70" s="13">
        <f>IF(Table_2[[#This Row],[Correct_Answer]]=Table_2[[#This Row],[System_Recommendation]],1,0)</f>
        <v>1</v>
      </c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 spans="1:26" ht="15.75" hidden="1" customHeight="1">
      <c r="A71" s="8" t="s">
        <v>133</v>
      </c>
      <c r="B71" s="8">
        <v>4</v>
      </c>
      <c r="C71" s="9" t="s">
        <v>379</v>
      </c>
      <c r="D71" s="8"/>
      <c r="E71" s="9" t="s">
        <v>105</v>
      </c>
      <c r="F71" s="8"/>
      <c r="G71" s="8"/>
      <c r="H71" s="11" t="s">
        <v>94</v>
      </c>
      <c r="I71" s="8" t="s">
        <v>91</v>
      </c>
      <c r="J71" s="9" t="s">
        <v>380</v>
      </c>
      <c r="K71" s="8" t="str">
        <f>VLOOKUP(LEFT(H71,7),'קטלוג תרחישים'!$A:$M,12,FALSE())</f>
        <v>א'</v>
      </c>
      <c r="L71" s="8" t="str">
        <f>IF(J71="כן",K71,VLOOKUP(LEFT(H71,7),'קטלוג תרחישים'!$A:$M,13,FALSE()))</f>
        <v>א'</v>
      </c>
      <c r="M71" s="13"/>
      <c r="N71" s="51" t="s">
        <v>360</v>
      </c>
      <c r="O71" s="13" t="str">
        <f t="array" ref="O71">_xlfn.IFS(N71="A","א'", N71="B", "ב'", N71= "C", "ג'")</f>
        <v>א'</v>
      </c>
      <c r="P71" s="13">
        <f>IF(Table_2[[#This Row],[Correct_Answer]]=Table_2[[#This Row],[System_Recommendation]],1,0)</f>
        <v>1</v>
      </c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 spans="1:26" ht="15.75" hidden="1" customHeight="1">
      <c r="A72" s="8" t="s">
        <v>133</v>
      </c>
      <c r="B72" s="8">
        <v>5</v>
      </c>
      <c r="C72" s="9" t="s">
        <v>379</v>
      </c>
      <c r="D72" s="8"/>
      <c r="E72" s="9" t="s">
        <v>111</v>
      </c>
      <c r="F72" s="8"/>
      <c r="G72" s="8"/>
      <c r="H72" s="11" t="s">
        <v>95</v>
      </c>
      <c r="I72" s="8" t="s">
        <v>91</v>
      </c>
      <c r="J72" s="9" t="s">
        <v>380</v>
      </c>
      <c r="K72" s="8" t="str">
        <f>VLOOKUP(LEFT(H72,7),'קטלוג תרחישים'!$A:$M,12,FALSE())</f>
        <v>ב'</v>
      </c>
      <c r="L72" s="8" t="str">
        <f>IF(J72="כן",K72,VLOOKUP(LEFT(H72,7),'קטלוג תרחישים'!$A:$M,13,FALSE()))</f>
        <v>ב'</v>
      </c>
      <c r="M72" s="13"/>
      <c r="N72" s="50" t="s">
        <v>360</v>
      </c>
      <c r="O72" s="13" t="str">
        <f t="array" ref="O72">_xlfn.IFS(N72="A","א'", N72="B", "ב'", N72= "C", "ג'")</f>
        <v>א'</v>
      </c>
      <c r="P72" s="13">
        <f>IF(Table_2[[#This Row],[Correct_Answer]]=Table_2[[#This Row],[System_Recommendation]],1,0)</f>
        <v>1</v>
      </c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 spans="1:26" ht="15.75" customHeight="1">
      <c r="A73" s="8" t="s">
        <v>133</v>
      </c>
      <c r="B73" s="8">
        <v>6</v>
      </c>
      <c r="C73" s="9" t="s">
        <v>379</v>
      </c>
      <c r="D73" s="8"/>
      <c r="E73" s="9" t="s">
        <v>111</v>
      </c>
      <c r="F73" s="8"/>
      <c r="G73" s="8"/>
      <c r="H73" s="11" t="s">
        <v>96</v>
      </c>
      <c r="I73" s="8" t="s">
        <v>91</v>
      </c>
      <c r="J73" s="9" t="s">
        <v>380</v>
      </c>
      <c r="K73" s="8" t="str">
        <f>VLOOKUP(LEFT(H73,7),'קטלוג תרחישים'!$A:$M,12,FALSE())</f>
        <v>ב'</v>
      </c>
      <c r="L73" s="8" t="str">
        <f>IF(J73="כן",K73,VLOOKUP(LEFT(H73,7),'קטלוג תרחישים'!$A:$M,13,FALSE()))</f>
        <v>ב'</v>
      </c>
      <c r="M73" s="13"/>
      <c r="N73" s="51" t="s">
        <v>365</v>
      </c>
      <c r="O73" s="13" t="str">
        <f t="array" ref="O73">_xlfn.IFS(N73="A","א'", N73="B", "ב'", N73= "C", "ג'")</f>
        <v>ב'</v>
      </c>
      <c r="P73" s="13">
        <f>IF(Table_2[[#This Row],[Correct_Answer]]=Table_2[[#This Row],[System_Recommendation]],1,0)</f>
        <v>1</v>
      </c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 spans="1:26" ht="15.75" hidden="1" customHeight="1">
      <c r="A74" s="8" t="s">
        <v>133</v>
      </c>
      <c r="B74" s="8">
        <v>7</v>
      </c>
      <c r="C74" s="9" t="s">
        <v>381</v>
      </c>
      <c r="D74" s="8">
        <v>1</v>
      </c>
      <c r="E74" s="9" t="s">
        <v>111</v>
      </c>
      <c r="F74" s="8" t="s">
        <v>382</v>
      </c>
      <c r="G74" s="8" t="s">
        <v>97</v>
      </c>
      <c r="H74" s="8" t="s">
        <v>116</v>
      </c>
      <c r="I74" s="8" t="s">
        <v>91</v>
      </c>
      <c r="J74" s="9" t="s">
        <v>380</v>
      </c>
      <c r="K74" s="8" t="str">
        <f>VLOOKUP(LEFT(H74,7),'קטלוג תרחישים'!$A:$M,12,FALSE())</f>
        <v>ג'</v>
      </c>
      <c r="L74" s="8" t="str">
        <f>IF(J74="כן",K74,VLOOKUP(LEFT(H74,7),'קטלוג תרחישים'!$A:$M,13,FALSE()))</f>
        <v>ג'</v>
      </c>
      <c r="M74" s="13"/>
      <c r="N74" s="50" t="s">
        <v>365</v>
      </c>
      <c r="O74" s="13" t="str">
        <f t="array" ref="O74">_xlfn.IFS(N74="A","א'", N74="B", "ב'", N74= "C", "ג'")</f>
        <v>ב'</v>
      </c>
      <c r="P74" s="13">
        <f>IF(Table_2[[#This Row],[Correct_Answer]]=Table_2[[#This Row],[System_Recommendation]],1,0)</f>
        <v>1</v>
      </c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 spans="1:26" ht="15.75" hidden="1" customHeight="1">
      <c r="A75" s="8" t="s">
        <v>133</v>
      </c>
      <c r="B75" s="8">
        <v>8</v>
      </c>
      <c r="C75" s="9" t="s">
        <v>381</v>
      </c>
      <c r="D75" s="8">
        <v>1</v>
      </c>
      <c r="E75" s="9" t="s">
        <v>111</v>
      </c>
      <c r="F75" s="8" t="s">
        <v>382</v>
      </c>
      <c r="G75" s="8" t="s">
        <v>97</v>
      </c>
      <c r="H75" s="8" t="s">
        <v>115</v>
      </c>
      <c r="I75" s="8" t="s">
        <v>100</v>
      </c>
      <c r="J75" s="9" t="s">
        <v>380</v>
      </c>
      <c r="K75" s="8" t="str">
        <f>VLOOKUP(LEFT(H75,7),'קטלוג תרחישים'!$A:$M,12,FALSE())</f>
        <v>א'</v>
      </c>
      <c r="L75" s="8" t="str">
        <f>IF(J75="כן",K75,VLOOKUP(LEFT(H75,7),'קטלוג תרחישים'!$A:$M,13,FALSE()))</f>
        <v>א'</v>
      </c>
      <c r="M75" s="13"/>
      <c r="N75" s="51" t="s">
        <v>366</v>
      </c>
      <c r="O75" s="13" t="str">
        <f t="array" ref="O75">_xlfn.IFS(N75="A","א'", N75="B", "ב'", N75= "C", "ג'")</f>
        <v>ג'</v>
      </c>
      <c r="P75" s="13">
        <f>IF(Table_2[[#This Row],[Correct_Answer]]=Table_2[[#This Row],[System_Recommendation]],1,0)</f>
        <v>1</v>
      </c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 spans="1:26" ht="15.75" hidden="1" customHeight="1">
      <c r="A76" s="8" t="s">
        <v>133</v>
      </c>
      <c r="B76" s="8">
        <v>9</v>
      </c>
      <c r="C76" s="9" t="s">
        <v>381</v>
      </c>
      <c r="D76" s="8">
        <v>1</v>
      </c>
      <c r="E76" s="9" t="s">
        <v>111</v>
      </c>
      <c r="F76" s="8" t="s">
        <v>382</v>
      </c>
      <c r="G76" s="8" t="s">
        <v>97</v>
      </c>
      <c r="H76" s="8" t="s">
        <v>114</v>
      </c>
      <c r="I76" s="8" t="s">
        <v>91</v>
      </c>
      <c r="J76" s="9" t="s">
        <v>380</v>
      </c>
      <c r="K76" s="8" t="str">
        <f>VLOOKUP(LEFT(H76,7),'קטלוג תרחישים'!$A:$M,12,FALSE())</f>
        <v>ג'</v>
      </c>
      <c r="L76" s="8" t="str">
        <f>IF(J76="כן",K76,VLOOKUP(LEFT(H76,7),'קטלוג תרחישים'!$A:$M,13,FALSE()))</f>
        <v>ג'</v>
      </c>
      <c r="M76" s="13"/>
      <c r="N76" s="50" t="s">
        <v>366</v>
      </c>
      <c r="O76" s="13" t="str">
        <f t="array" ref="O76">_xlfn.IFS(N76="A","א'", N76="B", "ב'", N76= "C", "ג'")</f>
        <v>ג'</v>
      </c>
      <c r="P76" s="13">
        <f>IF(Table_2[[#This Row],[Correct_Answer]]=Table_2[[#This Row],[System_Recommendation]],1,0)</f>
        <v>1</v>
      </c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 spans="1:26" ht="15.75" hidden="1" customHeight="1">
      <c r="A77" s="8" t="s">
        <v>133</v>
      </c>
      <c r="B77" s="8">
        <v>10</v>
      </c>
      <c r="C77" s="9" t="s">
        <v>381</v>
      </c>
      <c r="D77" s="8">
        <v>1</v>
      </c>
      <c r="E77" s="9" t="s">
        <v>111</v>
      </c>
      <c r="F77" s="8" t="s">
        <v>382</v>
      </c>
      <c r="G77" s="8" t="s">
        <v>97</v>
      </c>
      <c r="H77" s="8" t="s">
        <v>113</v>
      </c>
      <c r="I77" s="8" t="s">
        <v>100</v>
      </c>
      <c r="J77" s="9" t="s">
        <v>380</v>
      </c>
      <c r="K77" s="8" t="str">
        <f>VLOOKUP(LEFT(H77,7),'קטלוג תרחישים'!$A:$M,12,FALSE())</f>
        <v>ג'</v>
      </c>
      <c r="L77" s="8" t="str">
        <f>IF(J77="כן",K77,VLOOKUP(LEFT(H77,7),'קטלוג תרחישים'!$A:$M,13,FALSE()))</f>
        <v>ג'</v>
      </c>
      <c r="M77" s="13"/>
      <c r="N77" s="51" t="s">
        <v>365</v>
      </c>
      <c r="O77" s="13" t="str">
        <f t="array" ref="O77">_xlfn.IFS(N77="A","א'", N77="B", "ב'", N77= "C", "ג'")</f>
        <v>ב'</v>
      </c>
      <c r="P77" s="13">
        <f>IF(Table_2[[#This Row],[Correct_Answer]]=Table_2[[#This Row],[System_Recommendation]],1,0)</f>
        <v>1</v>
      </c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 spans="1:26" ht="15.75" hidden="1" customHeight="1">
      <c r="A78" s="8" t="s">
        <v>133</v>
      </c>
      <c r="B78" s="8">
        <v>11</v>
      </c>
      <c r="C78" s="9" t="s">
        <v>381</v>
      </c>
      <c r="D78" s="8">
        <v>1</v>
      </c>
      <c r="E78" s="9" t="s">
        <v>111</v>
      </c>
      <c r="F78" s="8" t="s">
        <v>382</v>
      </c>
      <c r="G78" s="8" t="s">
        <v>97</v>
      </c>
      <c r="H78" s="8" t="s">
        <v>112</v>
      </c>
      <c r="I78" s="8" t="s">
        <v>91</v>
      </c>
      <c r="J78" s="9" t="s">
        <v>383</v>
      </c>
      <c r="K78" s="8" t="str">
        <f>VLOOKUP(LEFT(H78,7),'קטלוג תרחישים'!$A:$M,12,FALSE())</f>
        <v>ב'</v>
      </c>
      <c r="L78" s="8" t="str">
        <f>IF(J78="כן",K78,VLOOKUP(LEFT(H78,7),'קטלוג תרחישים'!$A:$M,13,FALSE()))</f>
        <v>א'</v>
      </c>
      <c r="M78" s="13"/>
      <c r="N78" s="50" t="s">
        <v>360</v>
      </c>
      <c r="O78" s="13" t="str">
        <f t="array" ref="O78">_xlfn.IFS(N78="A","א'", N78="B", "ב'", N78= "C", "ג'")</f>
        <v>א'</v>
      </c>
      <c r="P78" s="13">
        <f>IF(Table_2[[#This Row],[Correct_Answer]]=Table_2[[#This Row],[System_Recommendation]],1,0)</f>
        <v>0</v>
      </c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 spans="1:26" ht="15.75" hidden="1" customHeight="1">
      <c r="A79" s="8" t="s">
        <v>133</v>
      </c>
      <c r="B79" s="8">
        <v>12</v>
      </c>
      <c r="C79" s="9" t="s">
        <v>381</v>
      </c>
      <c r="D79" s="8">
        <v>2</v>
      </c>
      <c r="E79" s="9" t="s">
        <v>98</v>
      </c>
      <c r="F79" s="8" t="s">
        <v>382</v>
      </c>
      <c r="G79" s="8" t="s">
        <v>97</v>
      </c>
      <c r="H79" s="8" t="s">
        <v>104</v>
      </c>
      <c r="I79" s="8" t="s">
        <v>100</v>
      </c>
      <c r="J79" s="9" t="s">
        <v>380</v>
      </c>
      <c r="K79" s="8" t="str">
        <f>VLOOKUP(LEFT(H79,7),'קטלוג תרחישים'!$A:$M,12,FALSE())</f>
        <v>ב'</v>
      </c>
      <c r="L79" s="8" t="str">
        <f>IF(J79="כן",K79,VLOOKUP(LEFT(H79,7),'קטלוג תרחישים'!$A:$M,13,FALSE()))</f>
        <v>ב'</v>
      </c>
      <c r="M79" s="13"/>
      <c r="N79" s="51" t="s">
        <v>366</v>
      </c>
      <c r="O79" s="13" t="str">
        <f t="array" ref="O79">_xlfn.IFS(N79="A","א'", N79="B", "ב'", N79= "C", "ג'")</f>
        <v>ג'</v>
      </c>
      <c r="P79" s="13">
        <f>IF(Table_2[[#This Row],[Correct_Answer]]=Table_2[[#This Row],[System_Recommendation]],1,0)</f>
        <v>1</v>
      </c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 spans="1:26" ht="15.75" hidden="1" customHeight="1">
      <c r="A80" s="8" t="s">
        <v>133</v>
      </c>
      <c r="B80" s="8">
        <v>13</v>
      </c>
      <c r="C80" s="9" t="s">
        <v>381</v>
      </c>
      <c r="D80" s="8">
        <v>2</v>
      </c>
      <c r="E80" s="9" t="s">
        <v>98</v>
      </c>
      <c r="F80" s="8" t="s">
        <v>382</v>
      </c>
      <c r="G80" s="8" t="s">
        <v>97</v>
      </c>
      <c r="H80" s="8" t="s">
        <v>103</v>
      </c>
      <c r="I80" s="8" t="s">
        <v>91</v>
      </c>
      <c r="J80" s="9" t="s">
        <v>380</v>
      </c>
      <c r="K80" s="8" t="str">
        <f>VLOOKUP(LEFT(H80,7),'קטלוג תרחישים'!$A:$M,12,FALSE())</f>
        <v>ב'</v>
      </c>
      <c r="L80" s="8" t="str">
        <f>IF(J80="כן",K80,VLOOKUP(LEFT(H80,7),'קטלוג תרחישים'!$A:$M,13,FALSE()))</f>
        <v>ב'</v>
      </c>
      <c r="M80" s="13"/>
      <c r="N80" s="50" t="s">
        <v>366</v>
      </c>
      <c r="O80" s="13" t="str">
        <f t="array" ref="O80">_xlfn.IFS(N80="A","א'", N80="B", "ב'", N80= "C", "ג'")</f>
        <v>ג'</v>
      </c>
      <c r="P80" s="13">
        <f>IF(Table_2[[#This Row],[Correct_Answer]]=Table_2[[#This Row],[System_Recommendation]],1,0)</f>
        <v>1</v>
      </c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 spans="1:26" ht="15.75" hidden="1" customHeight="1">
      <c r="A81" s="8" t="s">
        <v>133</v>
      </c>
      <c r="B81" s="8">
        <v>14</v>
      </c>
      <c r="C81" s="9" t="s">
        <v>381</v>
      </c>
      <c r="D81" s="8">
        <v>2</v>
      </c>
      <c r="E81" s="9" t="s">
        <v>98</v>
      </c>
      <c r="F81" s="8" t="s">
        <v>382</v>
      </c>
      <c r="G81" s="8" t="s">
        <v>97</v>
      </c>
      <c r="H81" s="8" t="s">
        <v>102</v>
      </c>
      <c r="I81" s="8" t="s">
        <v>100</v>
      </c>
      <c r="J81" s="9" t="s">
        <v>380</v>
      </c>
      <c r="K81" s="8" t="str">
        <f>VLOOKUP(LEFT(H81,7),'קטלוג תרחישים'!$A:$M,12,FALSE())</f>
        <v>ג'</v>
      </c>
      <c r="L81" s="8" t="str">
        <f>IF(J81="כן",K81,VLOOKUP(LEFT(H81,7),'קטלוג תרחישים'!$A:$M,13,FALSE()))</f>
        <v>ג'</v>
      </c>
      <c r="M81" s="13"/>
      <c r="N81" s="51" t="s">
        <v>365</v>
      </c>
      <c r="O81" s="13" t="str">
        <f t="array" ref="O81">_xlfn.IFS(N81="A","א'", N81="B", "ב'", N81= "C", "ג'")</f>
        <v>ב'</v>
      </c>
      <c r="P81" s="13">
        <f>IF(Table_2[[#This Row],[Correct_Answer]]=Table_2[[#This Row],[System_Recommendation]],1,0)</f>
        <v>1</v>
      </c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 spans="1:26" ht="15.75" hidden="1" customHeight="1">
      <c r="A82" s="8" t="s">
        <v>133</v>
      </c>
      <c r="B82" s="8">
        <v>15</v>
      </c>
      <c r="C82" s="9" t="s">
        <v>381</v>
      </c>
      <c r="D82" s="8">
        <v>2</v>
      </c>
      <c r="E82" s="9" t="s">
        <v>98</v>
      </c>
      <c r="F82" s="8" t="s">
        <v>382</v>
      </c>
      <c r="G82" s="8" t="s">
        <v>97</v>
      </c>
      <c r="H82" s="8" t="s">
        <v>101</v>
      </c>
      <c r="I82" s="8" t="s">
        <v>91</v>
      </c>
      <c r="J82" s="9" t="s">
        <v>383</v>
      </c>
      <c r="K82" s="8" t="str">
        <f>VLOOKUP(LEFT(H82,7),'קטלוג תרחישים'!$A:$M,12,FALSE())</f>
        <v>א'</v>
      </c>
      <c r="L82" s="8" t="str">
        <f>IF(J82="כן",K82,VLOOKUP(LEFT(H82,7),'קטלוג תרחישים'!$A:$M,13,FALSE()))</f>
        <v>ב'</v>
      </c>
      <c r="M82" s="13"/>
      <c r="N82" s="50" t="s">
        <v>365</v>
      </c>
      <c r="O82" s="13" t="str">
        <f t="array" ref="O82">_xlfn.IFS(N82="A","א'", N82="B", "ב'", N82= "C", "ג'")</f>
        <v>ב'</v>
      </c>
      <c r="P82" s="13">
        <f>IF(Table_2[[#This Row],[Correct_Answer]]=Table_2[[#This Row],[System_Recommendation]],1,0)</f>
        <v>0</v>
      </c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 spans="1:26" ht="15.75" hidden="1" customHeight="1">
      <c r="A83" s="8" t="s">
        <v>133</v>
      </c>
      <c r="B83" s="8">
        <v>16</v>
      </c>
      <c r="C83" s="9" t="s">
        <v>381</v>
      </c>
      <c r="D83" s="8">
        <v>2</v>
      </c>
      <c r="E83" s="9" t="s">
        <v>98</v>
      </c>
      <c r="F83" s="8" t="s">
        <v>382</v>
      </c>
      <c r="G83" s="8" t="s">
        <v>97</v>
      </c>
      <c r="H83" s="8" t="s">
        <v>99</v>
      </c>
      <c r="I83" s="8" t="s">
        <v>100</v>
      </c>
      <c r="J83" s="9" t="s">
        <v>380</v>
      </c>
      <c r="K83" s="8" t="str">
        <f>VLOOKUP(LEFT(H83,7),'קטלוג תרחישים'!$A:$M,12,FALSE())</f>
        <v>ג'</v>
      </c>
      <c r="L83" s="8" t="str">
        <f>IF(J83="כן",K83,VLOOKUP(LEFT(H83,7),'קטלוג תרחישים'!$A:$M,13,FALSE()))</f>
        <v>ג'</v>
      </c>
      <c r="M83" s="13"/>
      <c r="N83" s="51" t="s">
        <v>365</v>
      </c>
      <c r="O83" s="13" t="str">
        <f t="array" ref="O83">_xlfn.IFS(N83="A","א'", N83="B", "ב'", N83= "C", "ג'")</f>
        <v>ב'</v>
      </c>
      <c r="P83" s="13">
        <f>IF(Table_2[[#This Row],[Correct_Answer]]=Table_2[[#This Row],[System_Recommendation]],1,0)</f>
        <v>1</v>
      </c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 spans="1:26" ht="15.75" hidden="1" customHeight="1">
      <c r="A84" s="8" t="s">
        <v>133</v>
      </c>
      <c r="B84" s="8">
        <v>17</v>
      </c>
      <c r="C84" s="9" t="s">
        <v>381</v>
      </c>
      <c r="D84" s="8">
        <v>3</v>
      </c>
      <c r="E84" s="9" t="s">
        <v>105</v>
      </c>
      <c r="F84" s="8" t="s">
        <v>382</v>
      </c>
      <c r="G84" s="8" t="s">
        <v>97</v>
      </c>
      <c r="H84" s="8" t="s">
        <v>106</v>
      </c>
      <c r="I84" s="8" t="s">
        <v>91</v>
      </c>
      <c r="J84" s="9" t="s">
        <v>380</v>
      </c>
      <c r="K84" s="8" t="str">
        <f>VLOOKUP(LEFT(H84,7),'קטלוג תרחישים'!$A:$M,12,FALSE())</f>
        <v>א'</v>
      </c>
      <c r="L84" s="8" t="str">
        <f>IF(J84="כן",K84,VLOOKUP(LEFT(H84,7),'קטלוג תרחישים'!$A:$M,13,FALSE()))</f>
        <v>א'</v>
      </c>
      <c r="M84" s="13"/>
      <c r="N84" s="50" t="s">
        <v>360</v>
      </c>
      <c r="O84" s="13" t="str">
        <f t="array" ref="O84">_xlfn.IFS(N84="A","א'", N84="B", "ב'", N84= "C", "ג'")</f>
        <v>א'</v>
      </c>
      <c r="P84" s="13">
        <f>IF(Table_2[[#This Row],[Correct_Answer]]=Table_2[[#This Row],[System_Recommendation]],1,0)</f>
        <v>1</v>
      </c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 spans="1:26" ht="15.75" hidden="1" customHeight="1">
      <c r="A85" s="8" t="s">
        <v>133</v>
      </c>
      <c r="B85" s="8">
        <v>18</v>
      </c>
      <c r="C85" s="9" t="s">
        <v>381</v>
      </c>
      <c r="D85" s="8">
        <v>3</v>
      </c>
      <c r="E85" s="9" t="s">
        <v>105</v>
      </c>
      <c r="F85" s="8" t="s">
        <v>382</v>
      </c>
      <c r="G85" s="8" t="s">
        <v>97</v>
      </c>
      <c r="H85" s="8" t="s">
        <v>107</v>
      </c>
      <c r="I85" s="8" t="s">
        <v>100</v>
      </c>
      <c r="J85" s="9" t="s">
        <v>380</v>
      </c>
      <c r="K85" s="8" t="str">
        <f>VLOOKUP(LEFT(H85,7),'קטלוג תרחישים'!$A:$M,12,FALSE())</f>
        <v>ב'</v>
      </c>
      <c r="L85" s="8" t="str">
        <f>IF(J85="כן",K85,VLOOKUP(LEFT(H85,7),'קטלוג תרחישים'!$A:$M,13,FALSE()))</f>
        <v>ב'</v>
      </c>
      <c r="M85" s="13"/>
      <c r="N85" s="51" t="s">
        <v>366</v>
      </c>
      <c r="O85" s="13" t="str">
        <f t="array" ref="O85">_xlfn.IFS(N85="A","א'", N85="B", "ב'", N85= "C", "ג'")</f>
        <v>ג'</v>
      </c>
      <c r="P85" s="13">
        <f>IF(Table_2[[#This Row],[Correct_Answer]]=Table_2[[#This Row],[System_Recommendation]],1,0)</f>
        <v>1</v>
      </c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 spans="1:26" ht="15.75" hidden="1" customHeight="1">
      <c r="A86" s="8" t="s">
        <v>133</v>
      </c>
      <c r="B86" s="8">
        <v>19</v>
      </c>
      <c r="C86" s="9" t="s">
        <v>381</v>
      </c>
      <c r="D86" s="8">
        <v>3</v>
      </c>
      <c r="E86" s="9" t="s">
        <v>105</v>
      </c>
      <c r="F86" s="8" t="s">
        <v>382</v>
      </c>
      <c r="G86" s="8" t="s">
        <v>97</v>
      </c>
      <c r="H86" s="8" t="s">
        <v>110</v>
      </c>
      <c r="I86" s="8" t="s">
        <v>91</v>
      </c>
      <c r="J86" s="9" t="s">
        <v>380</v>
      </c>
      <c r="K86" s="8" t="str">
        <f>VLOOKUP(LEFT(H86,7),'קטלוג תרחישים'!$A:$M,12,FALSE())</f>
        <v>ג'</v>
      </c>
      <c r="L86" s="8" t="str">
        <f>IF(J86="כן",K86,VLOOKUP(LEFT(H86,7),'קטלוג תרחישים'!$A:$M,13,FALSE()))</f>
        <v>ג'</v>
      </c>
      <c r="M86" s="13"/>
      <c r="N86" s="50" t="s">
        <v>365</v>
      </c>
      <c r="O86" s="13" t="str">
        <f t="array" ref="O86">_xlfn.IFS(N86="A","א'", N86="B", "ב'", N86= "C", "ג'")</f>
        <v>ב'</v>
      </c>
      <c r="P86" s="13">
        <f>IF(Table_2[[#This Row],[Correct_Answer]]=Table_2[[#This Row],[System_Recommendation]],1,0)</f>
        <v>1</v>
      </c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 spans="1:26" ht="15.75" hidden="1" customHeight="1">
      <c r="A87" s="8" t="s">
        <v>133</v>
      </c>
      <c r="B87" s="8">
        <v>20</v>
      </c>
      <c r="C87" s="9" t="s">
        <v>381</v>
      </c>
      <c r="D87" s="8">
        <v>3</v>
      </c>
      <c r="E87" s="9" t="s">
        <v>105</v>
      </c>
      <c r="F87" s="8" t="s">
        <v>382</v>
      </c>
      <c r="G87" s="8" t="s">
        <v>97</v>
      </c>
      <c r="H87" s="8" t="s">
        <v>109</v>
      </c>
      <c r="I87" s="8" t="s">
        <v>100</v>
      </c>
      <c r="J87" s="9" t="s">
        <v>380</v>
      </c>
      <c r="K87" s="8" t="str">
        <f>VLOOKUP(LEFT(H87,7),'קטלוג תרחישים'!$A:$M,12,FALSE())</f>
        <v>ב'</v>
      </c>
      <c r="L87" s="8" t="str">
        <f>IF(J87="כן",K87,VLOOKUP(LEFT(H87,7),'קטלוג תרחישים'!$A:$M,13,FALSE()))</f>
        <v>ב'</v>
      </c>
      <c r="M87" s="13"/>
      <c r="N87" s="51" t="s">
        <v>366</v>
      </c>
      <c r="O87" s="13" t="str">
        <f t="array" ref="O87">_xlfn.IFS(N87="A","א'", N87="B", "ב'", N87= "C", "ג'")</f>
        <v>ג'</v>
      </c>
      <c r="P87" s="13">
        <f>IF(Table_2[[#This Row],[Correct_Answer]]=Table_2[[#This Row],[System_Recommendation]],1,0)</f>
        <v>1</v>
      </c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 spans="1:26" ht="15.75" hidden="1" customHeight="1">
      <c r="A88" s="8" t="s">
        <v>133</v>
      </c>
      <c r="B88" s="8">
        <v>21</v>
      </c>
      <c r="C88" s="9" t="s">
        <v>381</v>
      </c>
      <c r="D88" s="8">
        <v>3</v>
      </c>
      <c r="E88" s="9" t="s">
        <v>105</v>
      </c>
      <c r="F88" s="8" t="s">
        <v>382</v>
      </c>
      <c r="G88" s="8" t="s">
        <v>97</v>
      </c>
      <c r="H88" s="8" t="s">
        <v>108</v>
      </c>
      <c r="I88" s="8" t="s">
        <v>91</v>
      </c>
      <c r="J88" s="9" t="s">
        <v>383</v>
      </c>
      <c r="K88" s="8" t="str">
        <f>VLOOKUP(LEFT(H88,7),'קטלוג תרחישים'!$A:$M,12,FALSE())</f>
        <v>ג'</v>
      </c>
      <c r="L88" s="8" t="str">
        <f>IF(J88="כן",K88,VLOOKUP(LEFT(H88,7),'קטלוג תרחישים'!$A:$M,13,FALSE()))</f>
        <v>א'</v>
      </c>
      <c r="M88" s="13"/>
      <c r="N88" s="50" t="s">
        <v>360</v>
      </c>
      <c r="O88" s="13" t="str">
        <f t="array" ref="O88">_xlfn.IFS(N88="A","א'", N88="B", "ב'", N88= "C", "ג'")</f>
        <v>א'</v>
      </c>
      <c r="P88" s="13">
        <f>IF(Table_2[[#This Row],[Correct_Answer]]=Table_2[[#This Row],[System_Recommendation]],1,0)</f>
        <v>0</v>
      </c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 spans="1:26" ht="15.75" hidden="1" customHeight="1">
      <c r="A89" s="8" t="s">
        <v>133</v>
      </c>
      <c r="B89" s="8">
        <v>22</v>
      </c>
      <c r="C89" s="9" t="s">
        <v>381</v>
      </c>
      <c r="D89" s="8">
        <v>1</v>
      </c>
      <c r="E89" s="9" t="s">
        <v>98</v>
      </c>
      <c r="F89" s="8" t="s">
        <v>384</v>
      </c>
      <c r="G89" s="8" t="s">
        <v>117</v>
      </c>
      <c r="H89" s="8" t="s">
        <v>126</v>
      </c>
      <c r="I89" s="8" t="s">
        <v>91</v>
      </c>
      <c r="J89" s="9" t="s">
        <v>380</v>
      </c>
      <c r="K89" s="8" t="str">
        <f>VLOOKUP(LEFT(H89,7),'קטלוג תרחישים'!$A:$M,12,FALSE())</f>
        <v>ג'</v>
      </c>
      <c r="L89" s="8" t="str">
        <f>IF(J89="כן",K89,VLOOKUP(LEFT(H89,7),'קטלוג תרחישים'!$A:$M,13,FALSE()))</f>
        <v>ג'</v>
      </c>
      <c r="M89" s="13"/>
      <c r="N89" s="51" t="s">
        <v>366</v>
      </c>
      <c r="O89" s="13" t="str">
        <f t="array" ref="O89">_xlfn.IFS(N89="A","א'", N89="B", "ב'", N89= "C", "ג'")</f>
        <v>ג'</v>
      </c>
      <c r="P89" s="13">
        <f>IF(Table_2[[#This Row],[Correct_Answer]]=Table_2[[#This Row],[System_Recommendation]],1,0)</f>
        <v>1</v>
      </c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 spans="1:26" ht="15.75" hidden="1" customHeight="1">
      <c r="A90" s="8" t="s">
        <v>133</v>
      </c>
      <c r="B90" s="8">
        <v>23</v>
      </c>
      <c r="C90" s="9" t="s">
        <v>381</v>
      </c>
      <c r="D90" s="8">
        <v>1</v>
      </c>
      <c r="E90" s="9" t="s">
        <v>98</v>
      </c>
      <c r="F90" s="8" t="s">
        <v>384</v>
      </c>
      <c r="G90" s="8" t="s">
        <v>117</v>
      </c>
      <c r="H90" s="8" t="s">
        <v>129</v>
      </c>
      <c r="I90" s="8" t="s">
        <v>100</v>
      </c>
      <c r="J90" s="9" t="s">
        <v>383</v>
      </c>
      <c r="K90" s="8" t="str">
        <f>VLOOKUP(LEFT(H90,7),'קטלוג תרחישים'!$A:$M,12,FALSE())</f>
        <v>א'</v>
      </c>
      <c r="L90" s="8" t="str">
        <f>IF(J90="כן",K90,VLOOKUP(LEFT(H90,7),'קטלוג תרחישים'!$A:$M,13,FALSE()))</f>
        <v>ב'</v>
      </c>
      <c r="M90" s="13"/>
      <c r="N90" s="50" t="s">
        <v>366</v>
      </c>
      <c r="O90" s="13" t="str">
        <f t="array" ref="O90">_xlfn.IFS(N90="A","א'", N90="B", "ב'", N90= "C", "ג'")</f>
        <v>ג'</v>
      </c>
      <c r="P90" s="13">
        <f>IF(Table_2[[#This Row],[Correct_Answer]]=Table_2[[#This Row],[System_Recommendation]],1,0)</f>
        <v>0</v>
      </c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 spans="1:26" ht="15.75" hidden="1" customHeight="1">
      <c r="A91" s="8" t="s">
        <v>133</v>
      </c>
      <c r="B91" s="8">
        <v>24</v>
      </c>
      <c r="C91" s="9" t="s">
        <v>381</v>
      </c>
      <c r="D91" s="8">
        <v>1</v>
      </c>
      <c r="E91" s="9" t="s">
        <v>98</v>
      </c>
      <c r="F91" s="8" t="s">
        <v>384</v>
      </c>
      <c r="G91" s="8" t="s">
        <v>117</v>
      </c>
      <c r="H91" s="8" t="s">
        <v>128</v>
      </c>
      <c r="I91" s="8" t="s">
        <v>91</v>
      </c>
      <c r="J91" s="9" t="s">
        <v>383</v>
      </c>
      <c r="K91" s="8" t="str">
        <f>VLOOKUP(LEFT(H91,7),'קטלוג תרחישים'!$A:$M,12,FALSE())</f>
        <v>ב'</v>
      </c>
      <c r="L91" s="8" t="str">
        <f>IF(J91="כן",K91,VLOOKUP(LEFT(H91,7),'קטלוג תרחישים'!$A:$M,13,FALSE()))</f>
        <v>ג'</v>
      </c>
      <c r="M91" s="13"/>
      <c r="N91" s="51" t="s">
        <v>365</v>
      </c>
      <c r="O91" s="13" t="str">
        <f t="array" ref="O91">_xlfn.IFS(N91="A","א'", N91="B", "ב'", N91= "C", "ג'")</f>
        <v>ב'</v>
      </c>
      <c r="P91" s="13">
        <f>IF(Table_2[[#This Row],[Correct_Answer]]=Table_2[[#This Row],[System_Recommendation]],1,0)</f>
        <v>0</v>
      </c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 spans="1:26" ht="15.75" hidden="1" customHeight="1">
      <c r="A92" s="8" t="s">
        <v>133</v>
      </c>
      <c r="B92" s="8">
        <v>25</v>
      </c>
      <c r="C92" s="9" t="s">
        <v>381</v>
      </c>
      <c r="D92" s="8">
        <v>1</v>
      </c>
      <c r="E92" s="9" t="s">
        <v>98</v>
      </c>
      <c r="F92" s="8" t="s">
        <v>384</v>
      </c>
      <c r="G92" s="8" t="s">
        <v>117</v>
      </c>
      <c r="H92" s="8" t="s">
        <v>127</v>
      </c>
      <c r="I92" s="8" t="s">
        <v>100</v>
      </c>
      <c r="J92" s="9" t="s">
        <v>380</v>
      </c>
      <c r="K92" s="8" t="str">
        <f>VLOOKUP(LEFT(H92,7),'קטלוג תרחישים'!$A:$M,12,FALSE())</f>
        <v>א'</v>
      </c>
      <c r="L92" s="8" t="str">
        <f>IF(J92="כן",K92,VLOOKUP(LEFT(H92,7),'קטלוג תרחישים'!$A:$M,13,FALSE()))</f>
        <v>א'</v>
      </c>
      <c r="M92" s="13"/>
      <c r="N92" s="50" t="s">
        <v>360</v>
      </c>
      <c r="O92" s="13" t="str">
        <f t="array" ref="O92">_xlfn.IFS(N92="A","א'", N92="B", "ב'", N92= "C", "ג'")</f>
        <v>א'</v>
      </c>
      <c r="P92" s="13">
        <f>IF(Table_2[[#This Row],[Correct_Answer]]=Table_2[[#This Row],[System_Recommendation]],1,0)</f>
        <v>1</v>
      </c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 spans="1:26" ht="15.75" hidden="1" customHeight="1">
      <c r="A93" s="8" t="s">
        <v>133</v>
      </c>
      <c r="B93" s="8">
        <v>26</v>
      </c>
      <c r="C93" s="9" t="s">
        <v>381</v>
      </c>
      <c r="D93" s="8">
        <v>2</v>
      </c>
      <c r="E93" s="9" t="s">
        <v>105</v>
      </c>
      <c r="F93" s="8" t="s">
        <v>384</v>
      </c>
      <c r="G93" s="8" t="s">
        <v>117</v>
      </c>
      <c r="H93" s="8" t="s">
        <v>120</v>
      </c>
      <c r="I93" s="8" t="s">
        <v>91</v>
      </c>
      <c r="J93" s="9" t="s">
        <v>380</v>
      </c>
      <c r="K93" s="8" t="str">
        <f>VLOOKUP(LEFT(H93,7),'קטלוג תרחישים'!$A:$M,12,FALSE())</f>
        <v>ג'</v>
      </c>
      <c r="L93" s="8" t="str">
        <f>IF(J93="כן",K93,VLOOKUP(LEFT(H93,7),'קטלוג תרחישים'!$A:$M,13,FALSE()))</f>
        <v>ג'</v>
      </c>
      <c r="M93" s="13"/>
      <c r="N93" s="51" t="s">
        <v>366</v>
      </c>
      <c r="O93" s="13" t="str">
        <f t="array" ref="O93">_xlfn.IFS(N93="A","א'", N93="B", "ב'", N93= "C", "ג'")</f>
        <v>ג'</v>
      </c>
      <c r="P93" s="13">
        <f>IF(Table_2[[#This Row],[Correct_Answer]]=Table_2[[#This Row],[System_Recommendation]],1,0)</f>
        <v>1</v>
      </c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 spans="1:26" ht="15.75" hidden="1" customHeight="1">
      <c r="A94" s="8" t="s">
        <v>133</v>
      </c>
      <c r="B94" s="8">
        <v>27</v>
      </c>
      <c r="C94" s="9" t="s">
        <v>381</v>
      </c>
      <c r="D94" s="8">
        <v>2</v>
      </c>
      <c r="E94" s="9" t="s">
        <v>105</v>
      </c>
      <c r="F94" s="8" t="s">
        <v>384</v>
      </c>
      <c r="G94" s="8" t="s">
        <v>117</v>
      </c>
      <c r="H94" s="8" t="s">
        <v>121</v>
      </c>
      <c r="I94" s="8" t="s">
        <v>100</v>
      </c>
      <c r="J94" s="9" t="s">
        <v>383</v>
      </c>
      <c r="K94" s="8" t="str">
        <f>VLOOKUP(LEFT(H94,7),'קטלוג תרחישים'!$A:$M,12,FALSE())</f>
        <v>ג'</v>
      </c>
      <c r="L94" s="8" t="str">
        <f>IF(J94="כן",K94,VLOOKUP(LEFT(H94,7),'קטלוג תרחישים'!$A:$M,13,FALSE()))</f>
        <v>ב'</v>
      </c>
      <c r="M94" s="13"/>
      <c r="N94" s="50" t="s">
        <v>365</v>
      </c>
      <c r="O94" s="13" t="str">
        <f t="array" ref="O94">_xlfn.IFS(N94="A","א'", N94="B", "ב'", N94= "C", "ג'")</f>
        <v>ב'</v>
      </c>
      <c r="P94" s="13">
        <f>IF(Table_2[[#This Row],[Correct_Answer]]=Table_2[[#This Row],[System_Recommendation]],1,0)</f>
        <v>0</v>
      </c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 spans="1:26" ht="15.75" hidden="1" customHeight="1">
      <c r="A95" s="8" t="s">
        <v>133</v>
      </c>
      <c r="B95" s="8">
        <v>28</v>
      </c>
      <c r="C95" s="9" t="s">
        <v>381</v>
      </c>
      <c r="D95" s="8">
        <v>2</v>
      </c>
      <c r="E95" s="9" t="s">
        <v>105</v>
      </c>
      <c r="F95" s="8" t="s">
        <v>384</v>
      </c>
      <c r="G95" s="8" t="s">
        <v>117</v>
      </c>
      <c r="H95" s="8" t="s">
        <v>118</v>
      </c>
      <c r="I95" s="8" t="s">
        <v>91</v>
      </c>
      <c r="J95" s="9" t="s">
        <v>383</v>
      </c>
      <c r="K95" s="8" t="str">
        <f>VLOOKUP(LEFT(H95,7),'קטלוג תרחישים'!$A:$M,12,FALSE())</f>
        <v>ג'</v>
      </c>
      <c r="L95" s="8" t="str">
        <f>IF(J95="כן",K95,VLOOKUP(LEFT(H95,7),'קטלוג תרחישים'!$A:$M,13,FALSE()))</f>
        <v>ב'</v>
      </c>
      <c r="M95" s="13"/>
      <c r="N95" s="51" t="s">
        <v>366</v>
      </c>
      <c r="O95" s="13" t="str">
        <f t="array" ref="O95">_xlfn.IFS(N95="A","א'", N95="B", "ב'", N95= "C", "ג'")</f>
        <v>ג'</v>
      </c>
      <c r="P95" s="13">
        <f>IF(Table_2[[#This Row],[Correct_Answer]]=Table_2[[#This Row],[System_Recommendation]],1,0)</f>
        <v>0</v>
      </c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 spans="1:26" ht="15.75" hidden="1" customHeight="1">
      <c r="A96" s="8" t="s">
        <v>133</v>
      </c>
      <c r="B96" s="8">
        <v>29</v>
      </c>
      <c r="C96" s="9" t="s">
        <v>381</v>
      </c>
      <c r="D96" s="8">
        <v>2</v>
      </c>
      <c r="E96" s="9" t="s">
        <v>105</v>
      </c>
      <c r="F96" s="8" t="s">
        <v>384</v>
      </c>
      <c r="G96" s="8" t="s">
        <v>117</v>
      </c>
      <c r="H96" s="8" t="s">
        <v>119</v>
      </c>
      <c r="I96" s="8" t="s">
        <v>100</v>
      </c>
      <c r="J96" s="9" t="s">
        <v>380</v>
      </c>
      <c r="K96" s="8" t="str">
        <f>VLOOKUP(LEFT(H96,7),'קטלוג תרחישים'!$A:$M,12,FALSE())</f>
        <v>א'</v>
      </c>
      <c r="L96" s="8" t="str">
        <f>IF(J96="כן",K96,VLOOKUP(LEFT(H96,7),'קטלוג תרחישים'!$A:$M,13,FALSE()))</f>
        <v>א'</v>
      </c>
      <c r="M96" s="13"/>
      <c r="N96" s="50" t="s">
        <v>366</v>
      </c>
      <c r="O96" s="13" t="str">
        <f t="array" ref="O96">_xlfn.IFS(N96="A","א'", N96="B", "ב'", N96= "C", "ג'")</f>
        <v>ג'</v>
      </c>
      <c r="P96" s="13">
        <f>IF(Table_2[[#This Row],[Correct_Answer]]=Table_2[[#This Row],[System_Recommendation]],1,0)</f>
        <v>1</v>
      </c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 spans="1:26" ht="15.75" hidden="1" customHeight="1">
      <c r="A97" s="8" t="s">
        <v>133</v>
      </c>
      <c r="B97" s="8">
        <v>30</v>
      </c>
      <c r="C97" s="9" t="s">
        <v>381</v>
      </c>
      <c r="D97" s="8">
        <v>3</v>
      </c>
      <c r="E97" s="9" t="s">
        <v>111</v>
      </c>
      <c r="F97" s="8" t="s">
        <v>384</v>
      </c>
      <c r="G97" s="8" t="s">
        <v>117</v>
      </c>
      <c r="H97" s="8" t="s">
        <v>122</v>
      </c>
      <c r="I97" s="8" t="s">
        <v>91</v>
      </c>
      <c r="J97" s="9" t="s">
        <v>380</v>
      </c>
      <c r="K97" s="8" t="str">
        <f>VLOOKUP(LEFT(H97,7),'קטלוג תרחישים'!$A:$M,12,FALSE())</f>
        <v>ג'</v>
      </c>
      <c r="L97" s="8" t="str">
        <f>IF(J97="כן",K97,VLOOKUP(LEFT(H97,7),'קטלוג תרחישים'!$A:$M,13,FALSE()))</f>
        <v>ג'</v>
      </c>
      <c r="M97" s="13"/>
      <c r="N97" s="51" t="s">
        <v>365</v>
      </c>
      <c r="O97" s="13" t="str">
        <f t="array" ref="O97">_xlfn.IFS(N97="A","א'", N97="B", "ב'", N97= "C", "ג'")</f>
        <v>ב'</v>
      </c>
      <c r="P97" s="13">
        <f>IF(Table_2[[#This Row],[Correct_Answer]]=Table_2[[#This Row],[System_Recommendation]],1,0)</f>
        <v>1</v>
      </c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 spans="1:26" ht="15.75" hidden="1" customHeight="1">
      <c r="A98" s="8" t="s">
        <v>133</v>
      </c>
      <c r="B98" s="8">
        <v>31</v>
      </c>
      <c r="C98" s="9" t="s">
        <v>381</v>
      </c>
      <c r="D98" s="8">
        <v>3</v>
      </c>
      <c r="E98" s="9" t="s">
        <v>111</v>
      </c>
      <c r="F98" s="8" t="s">
        <v>384</v>
      </c>
      <c r="G98" s="8" t="s">
        <v>117</v>
      </c>
      <c r="H98" s="8" t="s">
        <v>125</v>
      </c>
      <c r="I98" s="8" t="s">
        <v>100</v>
      </c>
      <c r="J98" s="9" t="s">
        <v>380</v>
      </c>
      <c r="K98" s="8" t="str">
        <f>VLOOKUP(LEFT(H98,7),'קטלוג תרחישים'!$A:$M,12,FALSE())</f>
        <v>ג'</v>
      </c>
      <c r="L98" s="8" t="str">
        <f>IF(J98="כן",K98,VLOOKUP(LEFT(H98,7),'קטלוג תרחישים'!$A:$M,13,FALSE()))</f>
        <v>ג'</v>
      </c>
      <c r="M98" s="13"/>
      <c r="N98" s="50" t="s">
        <v>366</v>
      </c>
      <c r="O98" s="13" t="str">
        <f t="array" ref="O98">_xlfn.IFS(N98="A","א'", N98="B", "ב'", N98= "C", "ג'")</f>
        <v>ג'</v>
      </c>
      <c r="P98" s="13">
        <f>IF(Table_2[[#This Row],[Correct_Answer]]=Table_2[[#This Row],[System_Recommendation]],1,0)</f>
        <v>1</v>
      </c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 spans="1:26" ht="15.75" hidden="1" customHeight="1">
      <c r="A99" s="8" t="s">
        <v>133</v>
      </c>
      <c r="B99" s="8">
        <v>32</v>
      </c>
      <c r="C99" s="9" t="s">
        <v>381</v>
      </c>
      <c r="D99" s="8">
        <v>3</v>
      </c>
      <c r="E99" s="9" t="s">
        <v>111</v>
      </c>
      <c r="F99" s="8" t="s">
        <v>384</v>
      </c>
      <c r="G99" s="8" t="s">
        <v>117</v>
      </c>
      <c r="H99" s="8" t="s">
        <v>124</v>
      </c>
      <c r="I99" s="8" t="s">
        <v>91</v>
      </c>
      <c r="J99" s="9" t="s">
        <v>383</v>
      </c>
      <c r="K99" s="8" t="str">
        <f>VLOOKUP(LEFT(H99,7),'קטלוג תרחישים'!$A:$M,12,FALSE())</f>
        <v>ב'</v>
      </c>
      <c r="L99" s="8" t="str">
        <f>IF(J99="כן",K99,VLOOKUP(LEFT(H99,7),'קטלוג תרחישים'!$A:$M,13,FALSE()))</f>
        <v>א'</v>
      </c>
      <c r="M99" s="13"/>
      <c r="N99" s="51" t="s">
        <v>360</v>
      </c>
      <c r="O99" s="13" t="str">
        <f t="array" ref="O99">_xlfn.IFS(N99="A","א'", N99="B", "ב'", N99= "C", "ג'")</f>
        <v>א'</v>
      </c>
      <c r="P99" s="13">
        <f>IF(Table_2[[#This Row],[Correct_Answer]]=Table_2[[#This Row],[System_Recommendation]],1,0)</f>
        <v>0</v>
      </c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 spans="1:26" ht="15.75" hidden="1" customHeight="1">
      <c r="A100" s="8" t="s">
        <v>133</v>
      </c>
      <c r="B100" s="8">
        <v>33</v>
      </c>
      <c r="C100" s="9" t="s">
        <v>381</v>
      </c>
      <c r="D100" s="8">
        <v>3</v>
      </c>
      <c r="E100" s="9" t="s">
        <v>111</v>
      </c>
      <c r="F100" s="8" t="s">
        <v>384</v>
      </c>
      <c r="G100" s="8" t="s">
        <v>117</v>
      </c>
      <c r="H100" s="8" t="s">
        <v>123</v>
      </c>
      <c r="I100" s="8" t="s">
        <v>100</v>
      </c>
      <c r="J100" s="9" t="s">
        <v>383</v>
      </c>
      <c r="K100" s="8" t="str">
        <f>VLOOKUP(LEFT(H100,7),'קטלוג תרחישים'!$A:$M,12,FALSE())</f>
        <v>ב'</v>
      </c>
      <c r="L100" s="8" t="str">
        <f>IF(J100="כן",K100,VLOOKUP(LEFT(H100,7),'קטלוג תרחישים'!$A:$M,13,FALSE()))</f>
        <v>א'</v>
      </c>
      <c r="M100" s="13"/>
      <c r="N100" s="50" t="s">
        <v>360</v>
      </c>
      <c r="O100" s="13" t="str">
        <f t="array" ref="O100">_xlfn.IFS(N100="A","א'", N100="B", "ב'", N100= "C", "ג'")</f>
        <v>א'</v>
      </c>
      <c r="P100" s="13">
        <f>IF(Table_2[[#This Row],[Correct_Answer]]=Table_2[[#This Row],[System_Recommendation]],1,0)</f>
        <v>0</v>
      </c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 spans="1:26" ht="15.75" hidden="1" customHeight="1">
      <c r="A101" s="8" t="s">
        <v>134</v>
      </c>
      <c r="B101" s="8">
        <v>1</v>
      </c>
      <c r="C101" s="9" t="s">
        <v>379</v>
      </c>
      <c r="D101" s="8"/>
      <c r="E101" s="9" t="s">
        <v>98</v>
      </c>
      <c r="F101" s="8"/>
      <c r="G101" s="8"/>
      <c r="H101" s="11" t="s">
        <v>90</v>
      </c>
      <c r="I101" s="8" t="s">
        <v>91</v>
      </c>
      <c r="J101" s="9" t="s">
        <v>380</v>
      </c>
      <c r="K101" s="8" t="str">
        <f>VLOOKUP(LEFT(H101,7),'קטלוג תרחישים'!$A:$M,12,FALSE())</f>
        <v>א'</v>
      </c>
      <c r="L101" s="8" t="str">
        <f>IF(J101="כן",K101,VLOOKUP(LEFT(H101,7),'קטלוג תרחישים'!$A:$M,13,FALSE()))</f>
        <v>א'</v>
      </c>
      <c r="M101" s="13"/>
      <c r="N101" s="51" t="s">
        <v>366</v>
      </c>
      <c r="O101" s="13" t="str">
        <f t="array" ref="O101">_xlfn.IFS(N101="A","א'", N101="B", "ב'", N101= "C", "ג'")</f>
        <v>ג'</v>
      </c>
      <c r="P101" s="13">
        <f>IF(Table_2[[#This Row],[Correct_Answer]]=Table_2[[#This Row],[System_Recommendation]],1,0)</f>
        <v>1</v>
      </c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 spans="1:26" ht="15.75" hidden="1" customHeight="1">
      <c r="A102" s="8" t="s">
        <v>134</v>
      </c>
      <c r="B102" s="8">
        <v>2</v>
      </c>
      <c r="C102" s="9" t="s">
        <v>379</v>
      </c>
      <c r="D102" s="8"/>
      <c r="E102" s="9" t="s">
        <v>98</v>
      </c>
      <c r="F102" s="8"/>
      <c r="G102" s="8"/>
      <c r="H102" s="11" t="s">
        <v>92</v>
      </c>
      <c r="I102" s="8" t="s">
        <v>91</v>
      </c>
      <c r="J102" s="9" t="s">
        <v>380</v>
      </c>
      <c r="K102" s="8" t="str">
        <f>VLOOKUP(LEFT(H102,7),'קטלוג תרחישים'!$A:$M,12,FALSE())</f>
        <v>א'</v>
      </c>
      <c r="L102" s="8" t="str">
        <f>IF(J102="כן",K102,VLOOKUP(LEFT(H102,7),'קטלוג תרחישים'!$A:$M,13,FALSE()))</f>
        <v>א'</v>
      </c>
      <c r="M102" s="13"/>
      <c r="N102" s="50" t="s">
        <v>366</v>
      </c>
      <c r="O102" s="13" t="str">
        <f t="array" ref="O102">_xlfn.IFS(N102="A","א'", N102="B", "ב'", N102= "C", "ג'")</f>
        <v>ג'</v>
      </c>
      <c r="P102" s="13">
        <f>IF(Table_2[[#This Row],[Correct_Answer]]=Table_2[[#This Row],[System_Recommendation]],1,0)</f>
        <v>1</v>
      </c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 spans="1:26" ht="15.75" hidden="1" customHeight="1">
      <c r="A103" s="8" t="s">
        <v>134</v>
      </c>
      <c r="B103" s="8">
        <v>3</v>
      </c>
      <c r="C103" s="9" t="s">
        <v>379</v>
      </c>
      <c r="D103" s="8"/>
      <c r="E103" s="9" t="s">
        <v>105</v>
      </c>
      <c r="F103" s="8"/>
      <c r="G103" s="8"/>
      <c r="H103" s="11" t="s">
        <v>93</v>
      </c>
      <c r="I103" s="8" t="s">
        <v>91</v>
      </c>
      <c r="J103" s="9" t="s">
        <v>380</v>
      </c>
      <c r="K103" s="8" t="str">
        <f>VLOOKUP(LEFT(H103,7),'קטלוג תרחישים'!$A:$M,12,FALSE())</f>
        <v>א'</v>
      </c>
      <c r="L103" s="8" t="str">
        <f>IF(J103="כן",K103,VLOOKUP(LEFT(H103,7),'קטלוג תרחישים'!$A:$M,13,FALSE()))</f>
        <v>א'</v>
      </c>
      <c r="M103" s="13"/>
      <c r="N103" s="51" t="s">
        <v>366</v>
      </c>
      <c r="O103" s="13" t="str">
        <f t="array" ref="O103">_xlfn.IFS(N103="A","א'", N103="B", "ב'", N103= "C", "ג'")</f>
        <v>ג'</v>
      </c>
      <c r="P103" s="13">
        <f>IF(Table_2[[#This Row],[Correct_Answer]]=Table_2[[#This Row],[System_Recommendation]],1,0)</f>
        <v>1</v>
      </c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 spans="1:26" ht="15.75" hidden="1" customHeight="1">
      <c r="A104" s="8" t="s">
        <v>134</v>
      </c>
      <c r="B104" s="8">
        <v>4</v>
      </c>
      <c r="C104" s="9" t="s">
        <v>379</v>
      </c>
      <c r="D104" s="8"/>
      <c r="E104" s="9" t="s">
        <v>105</v>
      </c>
      <c r="F104" s="8"/>
      <c r="G104" s="8"/>
      <c r="H104" s="11" t="s">
        <v>94</v>
      </c>
      <c r="I104" s="8" t="s">
        <v>91</v>
      </c>
      <c r="J104" s="9" t="s">
        <v>380</v>
      </c>
      <c r="K104" s="8" t="str">
        <f>VLOOKUP(LEFT(H104,7),'קטלוג תרחישים'!$A:$M,12,FALSE())</f>
        <v>א'</v>
      </c>
      <c r="L104" s="8" t="str">
        <f>IF(J104="כן",K104,VLOOKUP(LEFT(H104,7),'קטלוג תרחישים'!$A:$M,13,FALSE()))</f>
        <v>א'</v>
      </c>
      <c r="M104" s="13"/>
      <c r="N104" s="50" t="s">
        <v>360</v>
      </c>
      <c r="O104" s="13" t="str">
        <f t="array" ref="O104">_xlfn.IFS(N104="A","א'", N104="B", "ב'", N104= "C", "ג'")</f>
        <v>א'</v>
      </c>
      <c r="P104" s="13">
        <f>IF(Table_2[[#This Row],[Correct_Answer]]=Table_2[[#This Row],[System_Recommendation]],1,0)</f>
        <v>1</v>
      </c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 spans="1:26" ht="15.75" hidden="1" customHeight="1">
      <c r="A105" s="8" t="s">
        <v>134</v>
      </c>
      <c r="B105" s="8">
        <v>5</v>
      </c>
      <c r="C105" s="9" t="s">
        <v>379</v>
      </c>
      <c r="D105" s="8"/>
      <c r="E105" s="9" t="s">
        <v>111</v>
      </c>
      <c r="F105" s="8"/>
      <c r="G105" s="8"/>
      <c r="H105" s="11" t="s">
        <v>95</v>
      </c>
      <c r="I105" s="8" t="s">
        <v>91</v>
      </c>
      <c r="J105" s="9" t="s">
        <v>380</v>
      </c>
      <c r="K105" s="8" t="str">
        <f>VLOOKUP(LEFT(H105,7),'קטלוג תרחישים'!$A:$M,12,FALSE())</f>
        <v>ב'</v>
      </c>
      <c r="L105" s="8" t="str">
        <f>IF(J105="כן",K105,VLOOKUP(LEFT(H105,7),'קטלוג תרחישים'!$A:$M,13,FALSE()))</f>
        <v>ב'</v>
      </c>
      <c r="M105" s="13"/>
      <c r="N105" s="51" t="s">
        <v>360</v>
      </c>
      <c r="O105" s="13" t="str">
        <f t="array" ref="O105">_xlfn.IFS(N105="A","א'", N105="B", "ב'", N105= "C", "ג'")</f>
        <v>א'</v>
      </c>
      <c r="P105" s="13">
        <f>IF(Table_2[[#This Row],[Correct_Answer]]=Table_2[[#This Row],[System_Recommendation]],1,0)</f>
        <v>1</v>
      </c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 spans="1:26" ht="15.75" customHeight="1">
      <c r="A106" s="8" t="s">
        <v>134</v>
      </c>
      <c r="B106" s="8">
        <v>6</v>
      </c>
      <c r="C106" s="9" t="s">
        <v>379</v>
      </c>
      <c r="D106" s="8"/>
      <c r="E106" s="9" t="s">
        <v>111</v>
      </c>
      <c r="F106" s="8"/>
      <c r="G106" s="8"/>
      <c r="H106" s="11" t="s">
        <v>96</v>
      </c>
      <c r="I106" s="8" t="s">
        <v>91</v>
      </c>
      <c r="J106" s="9" t="s">
        <v>380</v>
      </c>
      <c r="K106" s="8" t="str">
        <f>VLOOKUP(LEFT(H106,7),'קטלוג תרחישים'!$A:$M,12,FALSE())</f>
        <v>ב'</v>
      </c>
      <c r="L106" s="8" t="str">
        <f>IF(J106="כן",K106,VLOOKUP(LEFT(H106,7),'קטלוג תרחישים'!$A:$M,13,FALSE()))</f>
        <v>ב'</v>
      </c>
      <c r="M106" s="13"/>
      <c r="N106" s="50" t="s">
        <v>360</v>
      </c>
      <c r="O106" s="13" t="str">
        <f t="array" ref="O106">_xlfn.IFS(N106="A","א'", N106="B", "ב'", N106= "C", "ג'")</f>
        <v>א'</v>
      </c>
      <c r="P106" s="13">
        <f>IF(Table_2[[#This Row],[Correct_Answer]]=Table_2[[#This Row],[System_Recommendation]],1,0)</f>
        <v>1</v>
      </c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 spans="1:26" ht="15.75" hidden="1" customHeight="1">
      <c r="A107" s="8" t="s">
        <v>134</v>
      </c>
      <c r="B107" s="8">
        <v>7</v>
      </c>
      <c r="C107" s="9" t="s">
        <v>381</v>
      </c>
      <c r="D107" s="8">
        <v>1</v>
      </c>
      <c r="E107" s="9" t="s">
        <v>105</v>
      </c>
      <c r="F107" s="8" t="s">
        <v>382</v>
      </c>
      <c r="G107" s="8" t="s">
        <v>117</v>
      </c>
      <c r="H107" s="8" t="s">
        <v>120</v>
      </c>
      <c r="I107" s="8" t="s">
        <v>91</v>
      </c>
      <c r="J107" s="9" t="s">
        <v>380</v>
      </c>
      <c r="K107" s="8" t="str">
        <f>VLOOKUP(LEFT(H107,7),'קטלוג תרחישים'!$A:$M,12,FALSE())</f>
        <v>ג'</v>
      </c>
      <c r="L107" s="8" t="str">
        <f>IF(J107="כן",K107,VLOOKUP(LEFT(H107,7),'קטלוג תרחישים'!$A:$M,13,FALSE()))</f>
        <v>ג'</v>
      </c>
      <c r="M107" s="13"/>
      <c r="N107" s="51" t="s">
        <v>365</v>
      </c>
      <c r="O107" s="13" t="str">
        <f t="array" ref="O107">_xlfn.IFS(N107="A","א'", N107="B", "ב'", N107= "C", "ג'")</f>
        <v>ב'</v>
      </c>
      <c r="P107" s="13">
        <f>IF(Table_2[[#This Row],[Correct_Answer]]=Table_2[[#This Row],[System_Recommendation]],1,0)</f>
        <v>1</v>
      </c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 spans="1:26" ht="15.75" hidden="1" customHeight="1">
      <c r="A108" s="8" t="s">
        <v>134</v>
      </c>
      <c r="B108" s="8">
        <v>8</v>
      </c>
      <c r="C108" s="9" t="s">
        <v>381</v>
      </c>
      <c r="D108" s="8">
        <v>1</v>
      </c>
      <c r="E108" s="9" t="s">
        <v>105</v>
      </c>
      <c r="F108" s="8" t="s">
        <v>382</v>
      </c>
      <c r="G108" s="8" t="s">
        <v>117</v>
      </c>
      <c r="H108" s="8" t="s">
        <v>121</v>
      </c>
      <c r="I108" s="8" t="s">
        <v>100</v>
      </c>
      <c r="J108" s="9" t="s">
        <v>380</v>
      </c>
      <c r="K108" s="8" t="str">
        <f>VLOOKUP(LEFT(H108,7),'קטלוג תרחישים'!$A:$M,12,FALSE())</f>
        <v>ג'</v>
      </c>
      <c r="L108" s="8" t="str">
        <f>IF(J108="כן",K108,VLOOKUP(LEFT(H108,7),'קטלוג תרחישים'!$A:$M,13,FALSE()))</f>
        <v>ג'</v>
      </c>
      <c r="M108" s="13"/>
      <c r="N108" s="50" t="s">
        <v>365</v>
      </c>
      <c r="O108" s="13" t="str">
        <f t="array" ref="O108">_xlfn.IFS(N108="A","א'", N108="B", "ב'", N108= "C", "ג'")</f>
        <v>ב'</v>
      </c>
      <c r="P108" s="13">
        <f>IF(Table_2[[#This Row],[Correct_Answer]]=Table_2[[#This Row],[System_Recommendation]],1,0)</f>
        <v>1</v>
      </c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 spans="1:26" ht="15.75" hidden="1" customHeight="1">
      <c r="A109" s="8" t="s">
        <v>134</v>
      </c>
      <c r="B109" s="8">
        <v>9</v>
      </c>
      <c r="C109" s="9" t="s">
        <v>381</v>
      </c>
      <c r="D109" s="8">
        <v>1</v>
      </c>
      <c r="E109" s="9" t="s">
        <v>105</v>
      </c>
      <c r="F109" s="8" t="s">
        <v>382</v>
      </c>
      <c r="G109" s="8" t="s">
        <v>117</v>
      </c>
      <c r="H109" s="8" t="s">
        <v>118</v>
      </c>
      <c r="I109" s="8" t="s">
        <v>91</v>
      </c>
      <c r="J109" s="9" t="s">
        <v>383</v>
      </c>
      <c r="K109" s="8" t="str">
        <f>VLOOKUP(LEFT(H109,7),'קטלוג תרחישים'!$A:$M,12,FALSE())</f>
        <v>ג'</v>
      </c>
      <c r="L109" s="8" t="str">
        <f>IF(J109="כן",K109,VLOOKUP(LEFT(H109,7),'קטלוג תרחישים'!$A:$M,13,FALSE()))</f>
        <v>ב'</v>
      </c>
      <c r="M109" s="13"/>
      <c r="N109" s="51" t="s">
        <v>366</v>
      </c>
      <c r="O109" s="13" t="str">
        <f t="array" ref="O109">_xlfn.IFS(N109="A","א'", N109="B", "ב'", N109= "C", "ג'")</f>
        <v>ג'</v>
      </c>
      <c r="P109" s="13">
        <f>IF(Table_2[[#This Row],[Correct_Answer]]=Table_2[[#This Row],[System_Recommendation]],1,0)</f>
        <v>0</v>
      </c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 spans="1:26" ht="15.75" hidden="1" customHeight="1">
      <c r="A110" s="8" t="s">
        <v>134</v>
      </c>
      <c r="B110" s="8">
        <v>10</v>
      </c>
      <c r="C110" s="9" t="s">
        <v>381</v>
      </c>
      <c r="D110" s="8">
        <v>1</v>
      </c>
      <c r="E110" s="9" t="s">
        <v>105</v>
      </c>
      <c r="F110" s="8" t="s">
        <v>382</v>
      </c>
      <c r="G110" s="8" t="s">
        <v>117</v>
      </c>
      <c r="H110" s="8" t="s">
        <v>119</v>
      </c>
      <c r="I110" s="8" t="s">
        <v>100</v>
      </c>
      <c r="J110" s="9" t="s">
        <v>383</v>
      </c>
      <c r="K110" s="8" t="str">
        <f>VLOOKUP(LEFT(H110,7),'קטלוג תרחישים'!$A:$M,12,FALSE())</f>
        <v>א'</v>
      </c>
      <c r="L110" s="8" t="str">
        <f>IF(J110="כן",K110,VLOOKUP(LEFT(H110,7),'קטלוג תרחישים'!$A:$M,13,FALSE()))</f>
        <v>ב'</v>
      </c>
      <c r="M110" s="13"/>
      <c r="N110" s="50" t="s">
        <v>365</v>
      </c>
      <c r="O110" s="13" t="str">
        <f t="array" ref="O110">_xlfn.IFS(N110="A","א'", N110="B", "ב'", N110= "C", "ג'")</f>
        <v>ב'</v>
      </c>
      <c r="P110" s="13">
        <f>IF(Table_2[[#This Row],[Correct_Answer]]=Table_2[[#This Row],[System_Recommendation]],1,0)</f>
        <v>0</v>
      </c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 spans="1:26" ht="15.75" hidden="1" customHeight="1">
      <c r="A111" s="8" t="s">
        <v>134</v>
      </c>
      <c r="B111" s="8">
        <v>11</v>
      </c>
      <c r="C111" s="9" t="s">
        <v>381</v>
      </c>
      <c r="D111" s="8">
        <v>2</v>
      </c>
      <c r="E111" s="9" t="s">
        <v>111</v>
      </c>
      <c r="F111" s="8" t="s">
        <v>382</v>
      </c>
      <c r="G111" s="8" t="s">
        <v>117</v>
      </c>
      <c r="H111" s="8" t="s">
        <v>124</v>
      </c>
      <c r="I111" s="8" t="s">
        <v>91</v>
      </c>
      <c r="J111" s="9" t="s">
        <v>380</v>
      </c>
      <c r="K111" s="8" t="str">
        <f>VLOOKUP(LEFT(H111,7),'קטלוג תרחישים'!$A:$M,12,FALSE())</f>
        <v>ב'</v>
      </c>
      <c r="L111" s="8" t="str">
        <f>IF(J111="כן",K111,VLOOKUP(LEFT(H111,7),'קטלוג תרחישים'!$A:$M,13,FALSE()))</f>
        <v>ב'</v>
      </c>
      <c r="M111" s="13"/>
      <c r="N111" s="51" t="s">
        <v>360</v>
      </c>
      <c r="O111" s="13" t="str">
        <f t="array" ref="O111">_xlfn.IFS(N111="A","א'", N111="B", "ב'", N111= "C", "ג'")</f>
        <v>א'</v>
      </c>
      <c r="P111" s="13">
        <f>IF(Table_2[[#This Row],[Correct_Answer]]=Table_2[[#This Row],[System_Recommendation]],1,0)</f>
        <v>1</v>
      </c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 spans="1:26" ht="15.75" hidden="1" customHeight="1">
      <c r="A112" s="8" t="s">
        <v>134</v>
      </c>
      <c r="B112" s="8">
        <v>12</v>
      </c>
      <c r="C112" s="9" t="s">
        <v>381</v>
      </c>
      <c r="D112" s="8">
        <v>2</v>
      </c>
      <c r="E112" s="9" t="s">
        <v>111</v>
      </c>
      <c r="F112" s="8" t="s">
        <v>382</v>
      </c>
      <c r="G112" s="8" t="s">
        <v>117</v>
      </c>
      <c r="H112" s="8" t="s">
        <v>125</v>
      </c>
      <c r="I112" s="8" t="s">
        <v>100</v>
      </c>
      <c r="J112" s="9" t="s">
        <v>380</v>
      </c>
      <c r="K112" s="8" t="str">
        <f>VLOOKUP(LEFT(H112,7),'קטלוג תרחישים'!$A:$M,12,FALSE())</f>
        <v>ג'</v>
      </c>
      <c r="L112" s="8" t="str">
        <f>IF(J112="כן",K112,VLOOKUP(LEFT(H112,7),'קטלוג תרחישים'!$A:$M,13,FALSE()))</f>
        <v>ג'</v>
      </c>
      <c r="M112" s="13"/>
      <c r="N112" s="50" t="s">
        <v>366</v>
      </c>
      <c r="O112" s="13" t="str">
        <f t="array" ref="O112">_xlfn.IFS(N112="A","א'", N112="B", "ב'", N112= "C", "ג'")</f>
        <v>ג'</v>
      </c>
      <c r="P112" s="13">
        <f>IF(Table_2[[#This Row],[Correct_Answer]]=Table_2[[#This Row],[System_Recommendation]],1,0)</f>
        <v>1</v>
      </c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 spans="1:26" ht="15.75" hidden="1" customHeight="1">
      <c r="A113" s="8" t="s">
        <v>134</v>
      </c>
      <c r="B113" s="8">
        <v>13</v>
      </c>
      <c r="C113" s="9" t="s">
        <v>381</v>
      </c>
      <c r="D113" s="8">
        <v>2</v>
      </c>
      <c r="E113" s="9" t="s">
        <v>111</v>
      </c>
      <c r="F113" s="8" t="s">
        <v>382</v>
      </c>
      <c r="G113" s="8" t="s">
        <v>117</v>
      </c>
      <c r="H113" s="8" t="s">
        <v>122</v>
      </c>
      <c r="I113" s="8" t="s">
        <v>91</v>
      </c>
      <c r="J113" s="9" t="s">
        <v>383</v>
      </c>
      <c r="K113" s="8" t="str">
        <f>VLOOKUP(LEFT(H113,7),'קטלוג תרחישים'!$A:$M,12,FALSE())</f>
        <v>ג'</v>
      </c>
      <c r="L113" s="8" t="str">
        <f>IF(J113="כן",K113,VLOOKUP(LEFT(H113,7),'קטלוג תרחישים'!$A:$M,13,FALSE()))</f>
        <v>א'</v>
      </c>
      <c r="M113" s="13"/>
      <c r="N113" s="51" t="s">
        <v>366</v>
      </c>
      <c r="O113" s="13" t="str">
        <f t="array" ref="O113">_xlfn.IFS(N113="A","א'", N113="B", "ב'", N113= "C", "ג'")</f>
        <v>ג'</v>
      </c>
      <c r="P113" s="13">
        <f>IF(Table_2[[#This Row],[Correct_Answer]]=Table_2[[#This Row],[System_Recommendation]],1,0)</f>
        <v>0</v>
      </c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 spans="1:26" ht="15.75" hidden="1" customHeight="1">
      <c r="A114" s="8" t="s">
        <v>134</v>
      </c>
      <c r="B114" s="8">
        <v>14</v>
      </c>
      <c r="C114" s="9" t="s">
        <v>381</v>
      </c>
      <c r="D114" s="8">
        <v>2</v>
      </c>
      <c r="E114" s="9" t="s">
        <v>111</v>
      </c>
      <c r="F114" s="8" t="s">
        <v>382</v>
      </c>
      <c r="G114" s="8" t="s">
        <v>117</v>
      </c>
      <c r="H114" s="8" t="s">
        <v>123</v>
      </c>
      <c r="I114" s="8" t="s">
        <v>100</v>
      </c>
      <c r="J114" s="9" t="s">
        <v>383</v>
      </c>
      <c r="K114" s="8" t="str">
        <f>VLOOKUP(LEFT(H114,7),'קטלוג תרחישים'!$A:$M,12,FALSE())</f>
        <v>ב'</v>
      </c>
      <c r="L114" s="8" t="str">
        <f>IF(J114="כן",K114,VLOOKUP(LEFT(H114,7),'קטלוג תרחישים'!$A:$M,13,FALSE()))</f>
        <v>א'</v>
      </c>
      <c r="M114" s="13"/>
      <c r="N114" s="50" t="s">
        <v>365</v>
      </c>
      <c r="O114" s="13" t="str">
        <f t="array" ref="O114">_xlfn.IFS(N114="A","א'", N114="B", "ב'", N114= "C", "ג'")</f>
        <v>ב'</v>
      </c>
      <c r="P114" s="13">
        <f>IF(Table_2[[#This Row],[Correct_Answer]]=Table_2[[#This Row],[System_Recommendation]],1,0)</f>
        <v>0</v>
      </c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 spans="1:26" ht="15.75" hidden="1" customHeight="1">
      <c r="A115" s="8" t="s">
        <v>134</v>
      </c>
      <c r="B115" s="8">
        <v>15</v>
      </c>
      <c r="C115" s="9" t="s">
        <v>381</v>
      </c>
      <c r="D115" s="8">
        <v>3</v>
      </c>
      <c r="E115" s="9" t="s">
        <v>98</v>
      </c>
      <c r="F115" s="8" t="s">
        <v>382</v>
      </c>
      <c r="G115" s="8" t="s">
        <v>117</v>
      </c>
      <c r="H115" s="8" t="s">
        <v>126</v>
      </c>
      <c r="I115" s="8" t="s">
        <v>91</v>
      </c>
      <c r="J115" s="9" t="s">
        <v>383</v>
      </c>
      <c r="K115" s="8" t="str">
        <f>VLOOKUP(LEFT(H115,7),'קטלוג תרחישים'!$A:$M,12,FALSE())</f>
        <v>ג'</v>
      </c>
      <c r="L115" s="8" t="str">
        <f>IF(J115="כן",K115,VLOOKUP(LEFT(H115,7),'קטלוג תרחישים'!$A:$M,13,FALSE()))</f>
        <v>א'</v>
      </c>
      <c r="M115" s="13"/>
      <c r="N115" s="51" t="s">
        <v>365</v>
      </c>
      <c r="O115" s="13" t="str">
        <f t="array" ref="O115">_xlfn.IFS(N115="A","א'", N115="B", "ב'", N115= "C", "ג'")</f>
        <v>ב'</v>
      </c>
      <c r="P115" s="13">
        <f>IF(Table_2[[#This Row],[Correct_Answer]]=Table_2[[#This Row],[System_Recommendation]],1,0)</f>
        <v>0</v>
      </c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 spans="1:26" ht="15.75" hidden="1" customHeight="1">
      <c r="A116" s="8" t="s">
        <v>134</v>
      </c>
      <c r="B116" s="8">
        <v>16</v>
      </c>
      <c r="C116" s="9" t="s">
        <v>381</v>
      </c>
      <c r="D116" s="8">
        <v>3</v>
      </c>
      <c r="E116" s="9" t="s">
        <v>98</v>
      </c>
      <c r="F116" s="8" t="s">
        <v>382</v>
      </c>
      <c r="G116" s="8" t="s">
        <v>117</v>
      </c>
      <c r="H116" s="8" t="s">
        <v>129</v>
      </c>
      <c r="I116" s="8" t="s">
        <v>100</v>
      </c>
      <c r="J116" s="9" t="s">
        <v>383</v>
      </c>
      <c r="K116" s="8" t="str">
        <f>VLOOKUP(LEFT(H116,7),'קטלוג תרחישים'!$A:$M,12,FALSE())</f>
        <v>א'</v>
      </c>
      <c r="L116" s="8" t="str">
        <f>IF(J116="כן",K116,VLOOKUP(LEFT(H116,7),'קטלוג תרחישים'!$A:$M,13,FALSE()))</f>
        <v>ב'</v>
      </c>
      <c r="M116" s="13"/>
      <c r="N116" s="50" t="s">
        <v>365</v>
      </c>
      <c r="O116" s="13" t="str">
        <f t="array" ref="O116">_xlfn.IFS(N116="A","א'", N116="B", "ב'", N116= "C", "ג'")</f>
        <v>ב'</v>
      </c>
      <c r="P116" s="13">
        <f>IF(Table_2[[#This Row],[Correct_Answer]]=Table_2[[#This Row],[System_Recommendation]],1,0)</f>
        <v>0</v>
      </c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 spans="1:26" ht="15.75" hidden="1" customHeight="1">
      <c r="A117" s="8" t="s">
        <v>134</v>
      </c>
      <c r="B117" s="8">
        <v>17</v>
      </c>
      <c r="C117" s="9" t="s">
        <v>381</v>
      </c>
      <c r="D117" s="8">
        <v>3</v>
      </c>
      <c r="E117" s="9" t="s">
        <v>98</v>
      </c>
      <c r="F117" s="8" t="s">
        <v>382</v>
      </c>
      <c r="G117" s="8" t="s">
        <v>117</v>
      </c>
      <c r="H117" s="8" t="s">
        <v>128</v>
      </c>
      <c r="I117" s="8" t="s">
        <v>91</v>
      </c>
      <c r="J117" s="9" t="s">
        <v>380</v>
      </c>
      <c r="K117" s="8" t="str">
        <f>VLOOKUP(LEFT(H117,7),'קטלוג תרחישים'!$A:$M,12,FALSE())</f>
        <v>ב'</v>
      </c>
      <c r="L117" s="8" t="str">
        <f>IF(J117="כן",K117,VLOOKUP(LEFT(H117,7),'קטלוג תרחישים'!$A:$M,13,FALSE()))</f>
        <v>ב'</v>
      </c>
      <c r="M117" s="13"/>
      <c r="N117" s="51" t="s">
        <v>360</v>
      </c>
      <c r="O117" s="13" t="str">
        <f t="array" ref="O117">_xlfn.IFS(N117="A","א'", N117="B", "ב'", N117= "C", "ג'")</f>
        <v>א'</v>
      </c>
      <c r="P117" s="13">
        <f>IF(Table_2[[#This Row],[Correct_Answer]]=Table_2[[#This Row],[System_Recommendation]],1,0)</f>
        <v>1</v>
      </c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 spans="1:26" ht="15.75" hidden="1" customHeight="1">
      <c r="A118" s="8" t="s">
        <v>134</v>
      </c>
      <c r="B118" s="8">
        <v>18</v>
      </c>
      <c r="C118" s="9" t="s">
        <v>381</v>
      </c>
      <c r="D118" s="8">
        <v>3</v>
      </c>
      <c r="E118" s="9" t="s">
        <v>98</v>
      </c>
      <c r="F118" s="8" t="s">
        <v>382</v>
      </c>
      <c r="G118" s="8" t="s">
        <v>117</v>
      </c>
      <c r="H118" s="8" t="s">
        <v>127</v>
      </c>
      <c r="I118" s="8" t="s">
        <v>100</v>
      </c>
      <c r="J118" s="9" t="s">
        <v>380</v>
      </c>
      <c r="K118" s="8" t="str">
        <f>VLOOKUP(LEFT(H118,7),'קטלוג תרחישים'!$A:$M,12,FALSE())</f>
        <v>א'</v>
      </c>
      <c r="L118" s="8" t="str">
        <f>IF(J118="כן",K118,VLOOKUP(LEFT(H118,7),'קטלוג תרחישים'!$A:$M,13,FALSE()))</f>
        <v>א'</v>
      </c>
      <c r="M118" s="13"/>
      <c r="N118" s="50" t="s">
        <v>366</v>
      </c>
      <c r="O118" s="13" t="str">
        <f t="array" ref="O118">_xlfn.IFS(N118="A","א'", N118="B", "ב'", N118= "C", "ג'")</f>
        <v>ג'</v>
      </c>
      <c r="P118" s="13">
        <f>IF(Table_2[[#This Row],[Correct_Answer]]=Table_2[[#This Row],[System_Recommendation]],1,0)</f>
        <v>1</v>
      </c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 spans="1:26" ht="15.75" hidden="1" customHeight="1">
      <c r="A119" s="8" t="s">
        <v>134</v>
      </c>
      <c r="B119" s="8">
        <v>19</v>
      </c>
      <c r="C119" s="9" t="s">
        <v>381</v>
      </c>
      <c r="D119" s="8">
        <v>1</v>
      </c>
      <c r="E119" s="9" t="s">
        <v>98</v>
      </c>
      <c r="F119" s="8" t="s">
        <v>384</v>
      </c>
      <c r="G119" s="8" t="s">
        <v>97</v>
      </c>
      <c r="H119" s="8" t="s">
        <v>102</v>
      </c>
      <c r="I119" s="8" t="s">
        <v>100</v>
      </c>
      <c r="J119" s="9" t="s">
        <v>380</v>
      </c>
      <c r="K119" s="8" t="str">
        <f>VLOOKUP(LEFT(H119,7),'קטלוג תרחישים'!$A:$M,12,FALSE())</f>
        <v>ג'</v>
      </c>
      <c r="L119" s="8" t="str">
        <f>IF(J119="כן",K119,VLOOKUP(LEFT(H119,7),'קטלוג תרחישים'!$A:$M,13,FALSE()))</f>
        <v>ג'</v>
      </c>
      <c r="M119" s="13"/>
      <c r="N119" s="51" t="s">
        <v>365</v>
      </c>
      <c r="O119" s="13" t="str">
        <f t="array" ref="O119">_xlfn.IFS(N119="A","א'", N119="B", "ב'", N119= "C", "ג'")</f>
        <v>ב'</v>
      </c>
      <c r="P119" s="13">
        <f>IF(Table_2[[#This Row],[Correct_Answer]]=Table_2[[#This Row],[System_Recommendation]],1,0)</f>
        <v>1</v>
      </c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 spans="1:26" ht="15.75" hidden="1" customHeight="1">
      <c r="A120" s="8" t="s">
        <v>134</v>
      </c>
      <c r="B120" s="8">
        <v>20</v>
      </c>
      <c r="C120" s="9" t="s">
        <v>381</v>
      </c>
      <c r="D120" s="8">
        <v>1</v>
      </c>
      <c r="E120" s="9" t="s">
        <v>98</v>
      </c>
      <c r="F120" s="8" t="s">
        <v>384</v>
      </c>
      <c r="G120" s="8" t="s">
        <v>97</v>
      </c>
      <c r="H120" s="8" t="s">
        <v>101</v>
      </c>
      <c r="I120" s="8" t="s">
        <v>91</v>
      </c>
      <c r="J120" s="9" t="s">
        <v>380</v>
      </c>
      <c r="K120" s="8" t="str">
        <f>VLOOKUP(LEFT(H120,7),'קטלוג תרחישים'!$A:$M,12,FALSE())</f>
        <v>א'</v>
      </c>
      <c r="L120" s="8" t="str">
        <f>IF(J120="כן",K120,VLOOKUP(LEFT(H120,7),'קטלוג תרחישים'!$A:$M,13,FALSE()))</f>
        <v>א'</v>
      </c>
      <c r="M120" s="13"/>
      <c r="N120" s="50" t="s">
        <v>366</v>
      </c>
      <c r="O120" s="13" t="str">
        <f t="array" ref="O120">_xlfn.IFS(N120="A","א'", N120="B", "ב'", N120= "C", "ג'")</f>
        <v>ג'</v>
      </c>
      <c r="P120" s="13">
        <f>IF(Table_2[[#This Row],[Correct_Answer]]=Table_2[[#This Row],[System_Recommendation]],1,0)</f>
        <v>1</v>
      </c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 spans="1:26" ht="15.75" hidden="1" customHeight="1">
      <c r="A121" s="8" t="s">
        <v>134</v>
      </c>
      <c r="B121" s="8">
        <v>21</v>
      </c>
      <c r="C121" s="9" t="s">
        <v>381</v>
      </c>
      <c r="D121" s="8">
        <v>1</v>
      </c>
      <c r="E121" s="9" t="s">
        <v>98</v>
      </c>
      <c r="F121" s="8" t="s">
        <v>384</v>
      </c>
      <c r="G121" s="8" t="s">
        <v>97</v>
      </c>
      <c r="H121" s="8" t="s">
        <v>104</v>
      </c>
      <c r="I121" s="8" t="s">
        <v>100</v>
      </c>
      <c r="J121" s="9" t="s">
        <v>383</v>
      </c>
      <c r="K121" s="8" t="str">
        <f>VLOOKUP(LEFT(H121,7),'קטלוג תרחישים'!$A:$M,12,FALSE())</f>
        <v>ב'</v>
      </c>
      <c r="L121" s="8" t="str">
        <f>IF(J121="כן",K121,VLOOKUP(LEFT(H121,7),'קטלוג תרחישים'!$A:$M,13,FALSE()))</f>
        <v>ג'</v>
      </c>
      <c r="M121" s="13"/>
      <c r="N121" s="51" t="s">
        <v>360</v>
      </c>
      <c r="O121" s="13" t="str">
        <f t="array" ref="O121">_xlfn.IFS(N121="A","א'", N121="B", "ב'", N121= "C", "ג'")</f>
        <v>א'</v>
      </c>
      <c r="P121" s="13">
        <f>IF(Table_2[[#This Row],[Correct_Answer]]=Table_2[[#This Row],[System_Recommendation]],1,0)</f>
        <v>0</v>
      </c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 spans="1:26" ht="15.75" hidden="1" customHeight="1">
      <c r="A122" s="8" t="s">
        <v>134</v>
      </c>
      <c r="B122" s="8">
        <v>22</v>
      </c>
      <c r="C122" s="9" t="s">
        <v>381</v>
      </c>
      <c r="D122" s="8">
        <v>1</v>
      </c>
      <c r="E122" s="9" t="s">
        <v>98</v>
      </c>
      <c r="F122" s="8" t="s">
        <v>384</v>
      </c>
      <c r="G122" s="8" t="s">
        <v>97</v>
      </c>
      <c r="H122" s="8" t="s">
        <v>103</v>
      </c>
      <c r="I122" s="8" t="s">
        <v>91</v>
      </c>
      <c r="J122" s="9" t="s">
        <v>380</v>
      </c>
      <c r="K122" s="8" t="str">
        <f>VLOOKUP(LEFT(H122,7),'קטלוג תרחישים'!$A:$M,12,FALSE())</f>
        <v>ב'</v>
      </c>
      <c r="L122" s="8" t="str">
        <f>IF(J122="כן",K122,VLOOKUP(LEFT(H122,7),'קטלוג תרחישים'!$A:$M,13,FALSE()))</f>
        <v>ב'</v>
      </c>
      <c r="M122" s="13"/>
      <c r="N122" s="50" t="s">
        <v>366</v>
      </c>
      <c r="O122" s="13" t="str">
        <f t="array" ref="O122">_xlfn.IFS(N122="A","א'", N122="B", "ב'", N122= "C", "ג'")</f>
        <v>ג'</v>
      </c>
      <c r="P122" s="13">
        <f>IF(Table_2[[#This Row],[Correct_Answer]]=Table_2[[#This Row],[System_Recommendation]],1,0)</f>
        <v>1</v>
      </c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 spans="1:26" ht="15.75" hidden="1" customHeight="1">
      <c r="A123" s="8" t="s">
        <v>134</v>
      </c>
      <c r="B123" s="8">
        <v>23</v>
      </c>
      <c r="C123" s="9" t="s">
        <v>381</v>
      </c>
      <c r="D123" s="8">
        <v>1</v>
      </c>
      <c r="E123" s="9" t="s">
        <v>98</v>
      </c>
      <c r="F123" s="8" t="s">
        <v>384</v>
      </c>
      <c r="G123" s="8" t="s">
        <v>97</v>
      </c>
      <c r="H123" s="8" t="s">
        <v>99</v>
      </c>
      <c r="I123" s="8" t="s">
        <v>100</v>
      </c>
      <c r="J123" s="9" t="s">
        <v>380</v>
      </c>
      <c r="K123" s="8" t="str">
        <f>VLOOKUP(LEFT(H123,7),'קטלוג תרחישים'!$A:$M,12,FALSE())</f>
        <v>ג'</v>
      </c>
      <c r="L123" s="8" t="str">
        <f>IF(J123="כן",K123,VLOOKUP(LEFT(H123,7),'קטלוג תרחישים'!$A:$M,13,FALSE()))</f>
        <v>ג'</v>
      </c>
      <c r="M123" s="13"/>
      <c r="N123" s="51" t="s">
        <v>366</v>
      </c>
      <c r="O123" s="13" t="str">
        <f t="array" ref="O123">_xlfn.IFS(N123="A","א'", N123="B", "ב'", N123= "C", "ג'")</f>
        <v>ג'</v>
      </c>
      <c r="P123" s="13">
        <f>IF(Table_2[[#This Row],[Correct_Answer]]=Table_2[[#This Row],[System_Recommendation]],1,0)</f>
        <v>1</v>
      </c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 spans="1:26" ht="15.75" hidden="1" customHeight="1">
      <c r="A124" s="8" t="s">
        <v>134</v>
      </c>
      <c r="B124" s="8">
        <v>24</v>
      </c>
      <c r="C124" s="9" t="s">
        <v>381</v>
      </c>
      <c r="D124" s="8">
        <v>2</v>
      </c>
      <c r="E124" s="9" t="s">
        <v>105</v>
      </c>
      <c r="F124" s="8" t="s">
        <v>384</v>
      </c>
      <c r="G124" s="8" t="s">
        <v>97</v>
      </c>
      <c r="H124" s="8" t="s">
        <v>106</v>
      </c>
      <c r="I124" s="8" t="s">
        <v>91</v>
      </c>
      <c r="J124" s="9" t="s">
        <v>380</v>
      </c>
      <c r="K124" s="8" t="str">
        <f>VLOOKUP(LEFT(H124,7),'קטלוג תרחישים'!$A:$M,12,FALSE())</f>
        <v>א'</v>
      </c>
      <c r="L124" s="8" t="str">
        <f>IF(J124="כן",K124,VLOOKUP(LEFT(H124,7),'קטלוג תרחישים'!$A:$M,13,FALSE()))</f>
        <v>א'</v>
      </c>
      <c r="M124" s="13"/>
      <c r="N124" s="50" t="s">
        <v>365</v>
      </c>
      <c r="O124" s="13" t="str">
        <f t="array" ref="O124">_xlfn.IFS(N124="A","א'", N124="B", "ב'", N124= "C", "ג'")</f>
        <v>ב'</v>
      </c>
      <c r="P124" s="13">
        <f>IF(Table_2[[#This Row],[Correct_Answer]]=Table_2[[#This Row],[System_Recommendation]],1,0)</f>
        <v>1</v>
      </c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 spans="1:26" ht="15.75" hidden="1" customHeight="1">
      <c r="A125" s="8" t="s">
        <v>134</v>
      </c>
      <c r="B125" s="8">
        <v>25</v>
      </c>
      <c r="C125" s="9" t="s">
        <v>381</v>
      </c>
      <c r="D125" s="8">
        <v>2</v>
      </c>
      <c r="E125" s="9" t="s">
        <v>105</v>
      </c>
      <c r="F125" s="8" t="s">
        <v>384</v>
      </c>
      <c r="G125" s="8" t="s">
        <v>97</v>
      </c>
      <c r="H125" s="8" t="s">
        <v>109</v>
      </c>
      <c r="I125" s="8" t="s">
        <v>100</v>
      </c>
      <c r="J125" s="9" t="s">
        <v>380</v>
      </c>
      <c r="K125" s="8" t="str">
        <f>VLOOKUP(LEFT(H125,7),'קטלוג תרחישים'!$A:$M,12,FALSE())</f>
        <v>ב'</v>
      </c>
      <c r="L125" s="8" t="str">
        <f>IF(J125="כן",K125,VLOOKUP(LEFT(H125,7),'קטלוג תרחישים'!$A:$M,13,FALSE()))</f>
        <v>ב'</v>
      </c>
      <c r="M125" s="13"/>
      <c r="N125" s="51" t="s">
        <v>360</v>
      </c>
      <c r="O125" s="13" t="str">
        <f t="array" ref="O125">_xlfn.IFS(N125="A","א'", N125="B", "ב'", N125= "C", "ג'")</f>
        <v>א'</v>
      </c>
      <c r="P125" s="13">
        <f>IF(Table_2[[#This Row],[Correct_Answer]]=Table_2[[#This Row],[System_Recommendation]],1,0)</f>
        <v>1</v>
      </c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 spans="1:26" ht="15.75" hidden="1" customHeight="1">
      <c r="A126" s="8" t="s">
        <v>134</v>
      </c>
      <c r="B126" s="8">
        <v>26</v>
      </c>
      <c r="C126" s="9" t="s">
        <v>381</v>
      </c>
      <c r="D126" s="8">
        <v>2</v>
      </c>
      <c r="E126" s="9" t="s">
        <v>105</v>
      </c>
      <c r="F126" s="8" t="s">
        <v>384</v>
      </c>
      <c r="G126" s="8" t="s">
        <v>97</v>
      </c>
      <c r="H126" s="8" t="s">
        <v>108</v>
      </c>
      <c r="I126" s="8" t="s">
        <v>91</v>
      </c>
      <c r="J126" s="9" t="s">
        <v>380</v>
      </c>
      <c r="K126" s="8" t="str">
        <f>VLOOKUP(LEFT(H126,7),'קטלוג תרחישים'!$A:$M,12,FALSE())</f>
        <v>ג'</v>
      </c>
      <c r="L126" s="8" t="str">
        <f>IF(J126="כן",K126,VLOOKUP(LEFT(H126,7),'קטלוג תרחישים'!$A:$M,13,FALSE()))</f>
        <v>ג'</v>
      </c>
      <c r="M126" s="13"/>
      <c r="N126" s="50" t="s">
        <v>366</v>
      </c>
      <c r="O126" s="13" t="str">
        <f t="array" ref="O126">_xlfn.IFS(N126="A","א'", N126="B", "ב'", N126= "C", "ג'")</f>
        <v>ג'</v>
      </c>
      <c r="P126" s="13">
        <f>IF(Table_2[[#This Row],[Correct_Answer]]=Table_2[[#This Row],[System_Recommendation]],1,0)</f>
        <v>1</v>
      </c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 spans="1:26" ht="15.75" hidden="1" customHeight="1">
      <c r="A127" s="8" t="s">
        <v>134</v>
      </c>
      <c r="B127" s="8">
        <v>27</v>
      </c>
      <c r="C127" s="9" t="s">
        <v>381</v>
      </c>
      <c r="D127" s="8">
        <v>2</v>
      </c>
      <c r="E127" s="9" t="s">
        <v>105</v>
      </c>
      <c r="F127" s="8" t="s">
        <v>384</v>
      </c>
      <c r="G127" s="8" t="s">
        <v>97</v>
      </c>
      <c r="H127" s="8" t="s">
        <v>107</v>
      </c>
      <c r="I127" s="8" t="s">
        <v>100</v>
      </c>
      <c r="J127" s="9" t="s">
        <v>380</v>
      </c>
      <c r="K127" s="8" t="str">
        <f>VLOOKUP(LEFT(H127,7),'קטלוג תרחישים'!$A:$M,12,FALSE())</f>
        <v>ב'</v>
      </c>
      <c r="L127" s="8" t="str">
        <f>IF(J127="כן",K127,VLOOKUP(LEFT(H127,7),'קטלוג תרחישים'!$A:$M,13,FALSE()))</f>
        <v>ב'</v>
      </c>
      <c r="M127" s="13"/>
      <c r="N127" s="51" t="s">
        <v>365</v>
      </c>
      <c r="O127" s="13" t="str">
        <f t="array" ref="O127">_xlfn.IFS(N127="A","א'", N127="B", "ב'", N127= "C", "ג'")</f>
        <v>ב'</v>
      </c>
      <c r="P127" s="13">
        <f>IF(Table_2[[#This Row],[Correct_Answer]]=Table_2[[#This Row],[System_Recommendation]],1,0)</f>
        <v>1</v>
      </c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 spans="1:26" ht="15.75" hidden="1" customHeight="1">
      <c r="A128" s="8" t="s">
        <v>134</v>
      </c>
      <c r="B128" s="8">
        <v>28</v>
      </c>
      <c r="C128" s="9" t="s">
        <v>381</v>
      </c>
      <c r="D128" s="8">
        <v>2</v>
      </c>
      <c r="E128" s="9" t="s">
        <v>105</v>
      </c>
      <c r="F128" s="8" t="s">
        <v>384</v>
      </c>
      <c r="G128" s="8" t="s">
        <v>97</v>
      </c>
      <c r="H128" s="8" t="s">
        <v>110</v>
      </c>
      <c r="I128" s="8" t="s">
        <v>91</v>
      </c>
      <c r="J128" s="9" t="s">
        <v>383</v>
      </c>
      <c r="K128" s="8" t="str">
        <f>VLOOKUP(LEFT(H128,7),'קטלוג תרחישים'!$A:$M,12,FALSE())</f>
        <v>ג'</v>
      </c>
      <c r="L128" s="8" t="str">
        <f>IF(J128="כן",K128,VLOOKUP(LEFT(H128,7),'קטלוג תרחישים'!$A:$M,13,FALSE()))</f>
        <v>א'</v>
      </c>
      <c r="M128" s="13"/>
      <c r="N128" s="50" t="s">
        <v>366</v>
      </c>
      <c r="O128" s="13" t="str">
        <f t="array" ref="O128">_xlfn.IFS(N128="A","א'", N128="B", "ב'", N128= "C", "ג'")</f>
        <v>ג'</v>
      </c>
      <c r="P128" s="13">
        <f>IF(Table_2[[#This Row],[Correct_Answer]]=Table_2[[#This Row],[System_Recommendation]],1,0)</f>
        <v>0</v>
      </c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 spans="1:26" ht="15.75" hidden="1" customHeight="1">
      <c r="A129" s="8" t="s">
        <v>134</v>
      </c>
      <c r="B129" s="8">
        <v>29</v>
      </c>
      <c r="C129" s="9" t="s">
        <v>381</v>
      </c>
      <c r="D129" s="8">
        <v>3</v>
      </c>
      <c r="E129" s="9" t="s">
        <v>111</v>
      </c>
      <c r="F129" s="8" t="s">
        <v>384</v>
      </c>
      <c r="G129" s="8" t="s">
        <v>97</v>
      </c>
      <c r="H129" s="8" t="s">
        <v>116</v>
      </c>
      <c r="I129" s="8" t="s">
        <v>91</v>
      </c>
      <c r="J129" s="9" t="s">
        <v>380</v>
      </c>
      <c r="K129" s="8" t="str">
        <f>VLOOKUP(LEFT(H129,7),'קטלוג תרחישים'!$A:$M,12,FALSE())</f>
        <v>ג'</v>
      </c>
      <c r="L129" s="8" t="str">
        <f>IF(J129="כן",K129,VLOOKUP(LEFT(H129,7),'קטלוג תרחישים'!$A:$M,13,FALSE()))</f>
        <v>ג'</v>
      </c>
      <c r="M129" s="13"/>
      <c r="N129" s="51" t="s">
        <v>366</v>
      </c>
      <c r="O129" s="13" t="str">
        <f t="array" ref="O129">_xlfn.IFS(N129="A","א'", N129="B", "ב'", N129= "C", "ג'")</f>
        <v>ג'</v>
      </c>
      <c r="P129" s="13">
        <f>IF(Table_2[[#This Row],[Correct_Answer]]=Table_2[[#This Row],[System_Recommendation]],1,0)</f>
        <v>1</v>
      </c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 spans="1:26" ht="15.75" hidden="1" customHeight="1">
      <c r="A130" s="8" t="s">
        <v>134</v>
      </c>
      <c r="B130" s="8">
        <v>30</v>
      </c>
      <c r="C130" s="9" t="s">
        <v>381</v>
      </c>
      <c r="D130" s="8">
        <v>3</v>
      </c>
      <c r="E130" s="9" t="s">
        <v>111</v>
      </c>
      <c r="F130" s="8" t="s">
        <v>384</v>
      </c>
      <c r="G130" s="8" t="s">
        <v>97</v>
      </c>
      <c r="H130" s="8" t="s">
        <v>113</v>
      </c>
      <c r="I130" s="8" t="s">
        <v>100</v>
      </c>
      <c r="J130" s="9" t="s">
        <v>380</v>
      </c>
      <c r="K130" s="8" t="str">
        <f>VLOOKUP(LEFT(H130,7),'קטלוג תרחישים'!$A:$M,12,FALSE())</f>
        <v>ג'</v>
      </c>
      <c r="L130" s="8" t="str">
        <f>IF(J130="כן",K130,VLOOKUP(LEFT(H130,7),'קטלוג תרחישים'!$A:$M,13,FALSE()))</f>
        <v>ג'</v>
      </c>
      <c r="M130" s="13"/>
      <c r="N130" s="50" t="s">
        <v>365</v>
      </c>
      <c r="O130" s="13" t="str">
        <f t="array" ref="O130">_xlfn.IFS(N130="A","א'", N130="B", "ב'", N130= "C", "ג'")</f>
        <v>ב'</v>
      </c>
      <c r="P130" s="13">
        <f>IF(Table_2[[#This Row],[Correct_Answer]]=Table_2[[#This Row],[System_Recommendation]],1,0)</f>
        <v>1</v>
      </c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 spans="1:26" ht="15.75" hidden="1" customHeight="1">
      <c r="A131" s="8" t="s">
        <v>134</v>
      </c>
      <c r="B131" s="8">
        <v>31</v>
      </c>
      <c r="C131" s="9" t="s">
        <v>381</v>
      </c>
      <c r="D131" s="8">
        <v>3</v>
      </c>
      <c r="E131" s="9" t="s">
        <v>111</v>
      </c>
      <c r="F131" s="8" t="s">
        <v>384</v>
      </c>
      <c r="G131" s="8" t="s">
        <v>97</v>
      </c>
      <c r="H131" s="8" t="s">
        <v>114</v>
      </c>
      <c r="I131" s="8" t="s">
        <v>91</v>
      </c>
      <c r="J131" s="9" t="s">
        <v>380</v>
      </c>
      <c r="K131" s="8" t="str">
        <f>VLOOKUP(LEFT(H131,7),'קטלוג תרחישים'!$A:$M,12,FALSE())</f>
        <v>ג'</v>
      </c>
      <c r="L131" s="8" t="str">
        <f>IF(J131="כן",K131,VLOOKUP(LEFT(H131,7),'קטלוג תרחישים'!$A:$M,13,FALSE()))</f>
        <v>ג'</v>
      </c>
      <c r="M131" s="13"/>
      <c r="N131" s="51" t="s">
        <v>366</v>
      </c>
      <c r="O131" s="13" t="str">
        <f t="array" ref="O131">_xlfn.IFS(N131="A","א'", N131="B", "ב'", N131= "C", "ג'")</f>
        <v>ג'</v>
      </c>
      <c r="P131" s="13">
        <f>IF(Table_2[[#This Row],[Correct_Answer]]=Table_2[[#This Row],[System_Recommendation]],1,0)</f>
        <v>1</v>
      </c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 spans="1:26" ht="15.75" hidden="1" customHeight="1">
      <c r="A132" s="8" t="s">
        <v>134</v>
      </c>
      <c r="B132" s="8">
        <v>32</v>
      </c>
      <c r="C132" s="9" t="s">
        <v>381</v>
      </c>
      <c r="D132" s="8">
        <v>3</v>
      </c>
      <c r="E132" s="9" t="s">
        <v>111</v>
      </c>
      <c r="F132" s="8" t="s">
        <v>384</v>
      </c>
      <c r="G132" s="8" t="s">
        <v>97</v>
      </c>
      <c r="H132" s="8" t="s">
        <v>115</v>
      </c>
      <c r="I132" s="8" t="s">
        <v>100</v>
      </c>
      <c r="J132" s="9" t="s">
        <v>383</v>
      </c>
      <c r="K132" s="8" t="str">
        <f>VLOOKUP(LEFT(H132,7),'קטלוג תרחישים'!$A:$M,12,FALSE())</f>
        <v>א'</v>
      </c>
      <c r="L132" s="8" t="str">
        <f>IF(J132="כן",K132,VLOOKUP(LEFT(H132,7),'קטלוג תרחישים'!$A:$M,13,FALSE()))</f>
        <v>ג'</v>
      </c>
      <c r="M132" s="13"/>
      <c r="N132" s="50" t="s">
        <v>360</v>
      </c>
      <c r="O132" s="13" t="str">
        <f t="array" ref="O132">_xlfn.IFS(N132="A","א'", N132="B", "ב'", N132= "C", "ג'")</f>
        <v>א'</v>
      </c>
      <c r="P132" s="13">
        <f>IF(Table_2[[#This Row],[Correct_Answer]]=Table_2[[#This Row],[System_Recommendation]],1,0)</f>
        <v>0</v>
      </c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 spans="1:26" ht="15.75" hidden="1" customHeight="1">
      <c r="A133" s="8" t="s">
        <v>134</v>
      </c>
      <c r="B133" s="8">
        <v>33</v>
      </c>
      <c r="C133" s="9" t="s">
        <v>381</v>
      </c>
      <c r="D133" s="8">
        <v>3</v>
      </c>
      <c r="E133" s="9" t="s">
        <v>111</v>
      </c>
      <c r="F133" s="8" t="s">
        <v>384</v>
      </c>
      <c r="G133" s="8" t="s">
        <v>97</v>
      </c>
      <c r="H133" s="8" t="s">
        <v>112</v>
      </c>
      <c r="I133" s="8" t="s">
        <v>91</v>
      </c>
      <c r="J133" s="9" t="s">
        <v>380</v>
      </c>
      <c r="K133" s="8" t="str">
        <f>VLOOKUP(LEFT(H133,7),'קטלוג תרחישים'!$A:$M,12,FALSE())</f>
        <v>ב'</v>
      </c>
      <c r="L133" s="8" t="str">
        <f>IF(J133="כן",K133,VLOOKUP(LEFT(H133,7),'קטלוג תרחישים'!$A:$M,13,FALSE()))</f>
        <v>ב'</v>
      </c>
      <c r="M133" s="13"/>
      <c r="N133" s="51" t="s">
        <v>360</v>
      </c>
      <c r="O133" s="13" t="str">
        <f t="array" ref="O133">_xlfn.IFS(N133="A","א'", N133="B", "ב'", N133= "C", "ג'")</f>
        <v>א'</v>
      </c>
      <c r="P133" s="13">
        <f>IF(Table_2[[#This Row],[Correct_Answer]]=Table_2[[#This Row],[System_Recommendation]],1,0)</f>
        <v>1</v>
      </c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 spans="1:26" ht="15.75" hidden="1" customHeight="1">
      <c r="A134" s="8" t="s">
        <v>135</v>
      </c>
      <c r="B134" s="8">
        <v>1</v>
      </c>
      <c r="C134" s="9" t="s">
        <v>379</v>
      </c>
      <c r="D134" s="8"/>
      <c r="E134" s="9" t="s">
        <v>98</v>
      </c>
      <c r="F134" s="8"/>
      <c r="G134" s="8"/>
      <c r="H134" s="11" t="s">
        <v>90</v>
      </c>
      <c r="I134" s="8" t="s">
        <v>91</v>
      </c>
      <c r="J134" s="9" t="s">
        <v>380</v>
      </c>
      <c r="K134" s="8" t="str">
        <f>VLOOKUP(LEFT(H134,7),'קטלוג תרחישים'!$A:$M,12,FALSE())</f>
        <v>א'</v>
      </c>
      <c r="L134" s="8" t="str">
        <f>IF(J134="כן",K134,VLOOKUP(LEFT(H134,7),'קטלוג תרחישים'!$A:$M,13,FALSE()))</f>
        <v>א'</v>
      </c>
      <c r="M134" s="13"/>
      <c r="N134" s="50" t="s">
        <v>366</v>
      </c>
      <c r="O134" s="13" t="str">
        <f t="array" ref="O134">_xlfn.IFS(N134="A","א'", N134="B", "ב'", N134= "C", "ג'")</f>
        <v>ג'</v>
      </c>
      <c r="P134" s="13">
        <f>IF(Table_2[[#This Row],[Correct_Answer]]=Table_2[[#This Row],[System_Recommendation]],1,0)</f>
        <v>1</v>
      </c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 spans="1:26" ht="15.75" hidden="1" customHeight="1">
      <c r="A135" s="8" t="s">
        <v>135</v>
      </c>
      <c r="B135" s="8">
        <v>2</v>
      </c>
      <c r="C135" s="9" t="s">
        <v>379</v>
      </c>
      <c r="D135" s="8"/>
      <c r="E135" s="9" t="s">
        <v>98</v>
      </c>
      <c r="F135" s="8"/>
      <c r="G135" s="8"/>
      <c r="H135" s="11" t="s">
        <v>92</v>
      </c>
      <c r="I135" s="8" t="s">
        <v>91</v>
      </c>
      <c r="J135" s="9" t="s">
        <v>380</v>
      </c>
      <c r="K135" s="8" t="str">
        <f>VLOOKUP(LEFT(H135,7),'קטלוג תרחישים'!$A:$M,12,FALSE())</f>
        <v>א'</v>
      </c>
      <c r="L135" s="8" t="str">
        <f>IF(J135="כן",K135,VLOOKUP(LEFT(H135,7),'קטלוג תרחישים'!$A:$M,13,FALSE()))</f>
        <v>א'</v>
      </c>
      <c r="M135" s="13"/>
      <c r="N135" s="51" t="s">
        <v>366</v>
      </c>
      <c r="O135" s="13" t="str">
        <f t="array" ref="O135">_xlfn.IFS(N135="A","א'", N135="B", "ב'", N135= "C", "ג'")</f>
        <v>ג'</v>
      </c>
      <c r="P135" s="13">
        <f>IF(Table_2[[#This Row],[Correct_Answer]]=Table_2[[#This Row],[System_Recommendation]],1,0)</f>
        <v>1</v>
      </c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 spans="1:26" ht="15.75" hidden="1" customHeight="1">
      <c r="A136" s="8" t="s">
        <v>135</v>
      </c>
      <c r="B136" s="8">
        <v>3</v>
      </c>
      <c r="C136" s="9" t="s">
        <v>379</v>
      </c>
      <c r="D136" s="8"/>
      <c r="E136" s="9" t="s">
        <v>105</v>
      </c>
      <c r="F136" s="8"/>
      <c r="G136" s="8"/>
      <c r="H136" s="11" t="s">
        <v>93</v>
      </c>
      <c r="I136" s="8" t="s">
        <v>91</v>
      </c>
      <c r="J136" s="9" t="s">
        <v>380</v>
      </c>
      <c r="K136" s="8" t="str">
        <f>VLOOKUP(LEFT(H136,7),'קטלוג תרחישים'!$A:$M,12,FALSE())</f>
        <v>א'</v>
      </c>
      <c r="L136" s="8" t="str">
        <f>IF(J136="כן",K136,VLOOKUP(LEFT(H136,7),'קטלוג תרחישים'!$A:$M,13,FALSE()))</f>
        <v>א'</v>
      </c>
      <c r="M136" s="13"/>
      <c r="N136" s="50" t="s">
        <v>366</v>
      </c>
      <c r="O136" s="13" t="str">
        <f t="array" ref="O136">_xlfn.IFS(N136="A","א'", N136="B", "ב'", N136= "C", "ג'")</f>
        <v>ג'</v>
      </c>
      <c r="P136" s="13">
        <f>IF(Table_2[[#This Row],[Correct_Answer]]=Table_2[[#This Row],[System_Recommendation]],1,0)</f>
        <v>1</v>
      </c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 spans="1:26" ht="15.75" hidden="1" customHeight="1">
      <c r="A137" s="8" t="s">
        <v>135</v>
      </c>
      <c r="B137" s="8">
        <v>4</v>
      </c>
      <c r="C137" s="9" t="s">
        <v>379</v>
      </c>
      <c r="D137" s="8"/>
      <c r="E137" s="9" t="s">
        <v>105</v>
      </c>
      <c r="F137" s="8"/>
      <c r="G137" s="8"/>
      <c r="H137" s="11" t="s">
        <v>94</v>
      </c>
      <c r="I137" s="8" t="s">
        <v>91</v>
      </c>
      <c r="J137" s="9" t="s">
        <v>380</v>
      </c>
      <c r="K137" s="8" t="str">
        <f>VLOOKUP(LEFT(H137,7),'קטלוג תרחישים'!$A:$M,12,FALSE())</f>
        <v>א'</v>
      </c>
      <c r="L137" s="8" t="str">
        <f>IF(J137="כן",K137,VLOOKUP(LEFT(H137,7),'קטלוג תרחישים'!$A:$M,13,FALSE()))</f>
        <v>א'</v>
      </c>
      <c r="M137" s="13"/>
      <c r="N137" s="51" t="s">
        <v>365</v>
      </c>
      <c r="O137" s="13" t="str">
        <f t="array" ref="O137">_xlfn.IFS(N137="A","א'", N137="B", "ב'", N137= "C", "ג'")</f>
        <v>ב'</v>
      </c>
      <c r="P137" s="13">
        <f>IF(Table_2[[#This Row],[Correct_Answer]]=Table_2[[#This Row],[System_Recommendation]],1,0)</f>
        <v>1</v>
      </c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 spans="1:26" ht="15.75" hidden="1" customHeight="1">
      <c r="A138" s="8" t="s">
        <v>135</v>
      </c>
      <c r="B138" s="8">
        <v>5</v>
      </c>
      <c r="C138" s="9" t="s">
        <v>379</v>
      </c>
      <c r="D138" s="8"/>
      <c r="E138" s="9" t="s">
        <v>111</v>
      </c>
      <c r="F138" s="8"/>
      <c r="G138" s="8"/>
      <c r="H138" s="11" t="s">
        <v>95</v>
      </c>
      <c r="I138" s="8" t="s">
        <v>91</v>
      </c>
      <c r="J138" s="9" t="s">
        <v>380</v>
      </c>
      <c r="K138" s="8" t="str">
        <f>VLOOKUP(LEFT(H138,7),'קטלוג תרחישים'!$A:$M,12,FALSE())</f>
        <v>ב'</v>
      </c>
      <c r="L138" s="8" t="str">
        <f>IF(J138="כן",K138,VLOOKUP(LEFT(H138,7),'קטלוג תרחישים'!$A:$M,13,FALSE()))</f>
        <v>ב'</v>
      </c>
      <c r="M138" s="13"/>
      <c r="N138" s="50" t="s">
        <v>360</v>
      </c>
      <c r="O138" s="13" t="str">
        <f t="array" ref="O138">_xlfn.IFS(N138="A","א'", N138="B", "ב'", N138= "C", "ג'")</f>
        <v>א'</v>
      </c>
      <c r="P138" s="13">
        <f>IF(Table_2[[#This Row],[Correct_Answer]]=Table_2[[#This Row],[System_Recommendation]],1,0)</f>
        <v>1</v>
      </c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 spans="1:26" ht="15.75" customHeight="1">
      <c r="A139" s="8" t="s">
        <v>135</v>
      </c>
      <c r="B139" s="8">
        <v>6</v>
      </c>
      <c r="C139" s="9" t="s">
        <v>379</v>
      </c>
      <c r="D139" s="8"/>
      <c r="E139" s="9" t="s">
        <v>111</v>
      </c>
      <c r="F139" s="8"/>
      <c r="G139" s="8"/>
      <c r="H139" s="11" t="s">
        <v>96</v>
      </c>
      <c r="I139" s="8" t="s">
        <v>91</v>
      </c>
      <c r="J139" s="9" t="s">
        <v>380</v>
      </c>
      <c r="K139" s="8" t="str">
        <f>VLOOKUP(LEFT(H139,7),'קטלוג תרחישים'!$A:$M,12,FALSE())</f>
        <v>ב'</v>
      </c>
      <c r="L139" s="8" t="str">
        <f>IF(J139="כן",K139,VLOOKUP(LEFT(H139,7),'קטלוג תרחישים'!$A:$M,13,FALSE()))</f>
        <v>ב'</v>
      </c>
      <c r="M139" s="13"/>
      <c r="N139" s="51" t="s">
        <v>360</v>
      </c>
      <c r="O139" s="13" t="str">
        <f t="array" ref="O139">_xlfn.IFS(N139="A","א'", N139="B", "ב'", N139= "C", "ג'")</f>
        <v>א'</v>
      </c>
      <c r="P139" s="13">
        <f>IF(Table_2[[#This Row],[Correct_Answer]]=Table_2[[#This Row],[System_Recommendation]],1,0)</f>
        <v>1</v>
      </c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 spans="1:26" ht="15.75" hidden="1" customHeight="1">
      <c r="A140" s="8" t="s">
        <v>135</v>
      </c>
      <c r="B140" s="8">
        <v>7</v>
      </c>
      <c r="C140" s="9" t="s">
        <v>381</v>
      </c>
      <c r="D140" s="8">
        <v>1</v>
      </c>
      <c r="E140" s="9" t="s">
        <v>105</v>
      </c>
      <c r="F140" s="8" t="s">
        <v>382</v>
      </c>
      <c r="G140" s="8" t="s">
        <v>97</v>
      </c>
      <c r="H140" s="8" t="s">
        <v>108</v>
      </c>
      <c r="I140" s="8" t="s">
        <v>91</v>
      </c>
      <c r="J140" s="9" t="s">
        <v>380</v>
      </c>
      <c r="K140" s="8" t="str">
        <f>VLOOKUP(LEFT(H140,7),'קטלוג תרחישים'!$A:$M,12,FALSE())</f>
        <v>ג'</v>
      </c>
      <c r="L140" s="8" t="str">
        <f>IF(J140="כן",K140,VLOOKUP(LEFT(H140,7),'קטלוג תרחישים'!$A:$M,13,FALSE()))</f>
        <v>ג'</v>
      </c>
      <c r="M140" s="13"/>
      <c r="N140" s="50" t="s">
        <v>360</v>
      </c>
      <c r="O140" s="13" t="str">
        <f t="array" ref="O140">_xlfn.IFS(N140="A","א'", N140="B", "ב'", N140= "C", "ג'")</f>
        <v>א'</v>
      </c>
      <c r="P140" s="13">
        <f>IF(Table_2[[#This Row],[Correct_Answer]]=Table_2[[#This Row],[System_Recommendation]],1,0)</f>
        <v>1</v>
      </c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 spans="1:26" ht="15.75" hidden="1" customHeight="1">
      <c r="A141" s="8" t="s">
        <v>135</v>
      </c>
      <c r="B141" s="8">
        <v>8</v>
      </c>
      <c r="C141" s="9" t="s">
        <v>381</v>
      </c>
      <c r="D141" s="8">
        <v>1</v>
      </c>
      <c r="E141" s="9" t="s">
        <v>105</v>
      </c>
      <c r="F141" s="8" t="s">
        <v>382</v>
      </c>
      <c r="G141" s="8" t="s">
        <v>97</v>
      </c>
      <c r="H141" s="8" t="s">
        <v>107</v>
      </c>
      <c r="I141" s="8" t="s">
        <v>100</v>
      </c>
      <c r="J141" s="9" t="s">
        <v>380</v>
      </c>
      <c r="K141" s="8" t="str">
        <f>VLOOKUP(LEFT(H141,7),'קטלוג תרחישים'!$A:$M,12,FALSE())</f>
        <v>ב'</v>
      </c>
      <c r="L141" s="8" t="str">
        <f>IF(J141="כן",K141,VLOOKUP(LEFT(H141,7),'קטלוג תרחישים'!$A:$M,13,FALSE()))</f>
        <v>ב'</v>
      </c>
      <c r="M141" s="13"/>
      <c r="N141" s="51" t="s">
        <v>365</v>
      </c>
      <c r="O141" s="13" t="str">
        <f t="array" ref="O141">_xlfn.IFS(N141="A","א'", N141="B", "ב'", N141= "C", "ג'")</f>
        <v>ב'</v>
      </c>
      <c r="P141" s="13">
        <f>IF(Table_2[[#This Row],[Correct_Answer]]=Table_2[[#This Row],[System_Recommendation]],1,0)</f>
        <v>1</v>
      </c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 spans="1:26" ht="15.75" hidden="1" customHeight="1">
      <c r="A142" s="8" t="s">
        <v>135</v>
      </c>
      <c r="B142" s="8">
        <v>9</v>
      </c>
      <c r="C142" s="9" t="s">
        <v>381</v>
      </c>
      <c r="D142" s="8">
        <v>1</v>
      </c>
      <c r="E142" s="9" t="s">
        <v>105</v>
      </c>
      <c r="F142" s="8" t="s">
        <v>382</v>
      </c>
      <c r="G142" s="8" t="s">
        <v>97</v>
      </c>
      <c r="H142" s="8" t="s">
        <v>110</v>
      </c>
      <c r="I142" s="8" t="s">
        <v>91</v>
      </c>
      <c r="J142" s="9" t="s">
        <v>380</v>
      </c>
      <c r="K142" s="8" t="str">
        <f>VLOOKUP(LEFT(H142,7),'קטלוג תרחישים'!$A:$M,12,FALSE())</f>
        <v>ג'</v>
      </c>
      <c r="L142" s="8" t="str">
        <f>IF(J142="כן",K142,VLOOKUP(LEFT(H142,7),'קטלוג תרחישים'!$A:$M,13,FALSE()))</f>
        <v>ג'</v>
      </c>
      <c r="M142" s="13"/>
      <c r="N142" s="50" t="s">
        <v>365</v>
      </c>
      <c r="O142" s="13" t="str">
        <f t="array" ref="O142">_xlfn.IFS(N142="A","א'", N142="B", "ב'", N142= "C", "ג'")</f>
        <v>ב'</v>
      </c>
      <c r="P142" s="13">
        <f>IF(Table_2[[#This Row],[Correct_Answer]]=Table_2[[#This Row],[System_Recommendation]],1,0)</f>
        <v>1</v>
      </c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 spans="1:26" ht="15.75" hidden="1" customHeight="1">
      <c r="A143" s="8" t="s">
        <v>135</v>
      </c>
      <c r="B143" s="8">
        <v>10</v>
      </c>
      <c r="C143" s="9" t="s">
        <v>381</v>
      </c>
      <c r="D143" s="8">
        <v>1</v>
      </c>
      <c r="E143" s="9" t="s">
        <v>105</v>
      </c>
      <c r="F143" s="8" t="s">
        <v>382</v>
      </c>
      <c r="G143" s="8" t="s">
        <v>97</v>
      </c>
      <c r="H143" s="8" t="s">
        <v>109</v>
      </c>
      <c r="I143" s="8" t="s">
        <v>100</v>
      </c>
      <c r="J143" s="9" t="s">
        <v>383</v>
      </c>
      <c r="K143" s="8" t="str">
        <f>VLOOKUP(LEFT(H143,7),'קטלוג תרחישים'!$A:$M,12,FALSE())</f>
        <v>ב'</v>
      </c>
      <c r="L143" s="8" t="str">
        <f>IF(J143="כן",K143,VLOOKUP(LEFT(H143,7),'קטלוג תרחישים'!$A:$M,13,FALSE()))</f>
        <v>א'</v>
      </c>
      <c r="M143" s="13"/>
      <c r="N143" s="51" t="s">
        <v>366</v>
      </c>
      <c r="O143" s="13" t="str">
        <f t="array" ref="O143">_xlfn.IFS(N143="A","א'", N143="B", "ב'", N143= "C", "ג'")</f>
        <v>ג'</v>
      </c>
      <c r="P143" s="13">
        <f>IF(Table_2[[#This Row],[Correct_Answer]]=Table_2[[#This Row],[System_Recommendation]],1,0)</f>
        <v>0</v>
      </c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 spans="1:26" ht="15.75" hidden="1" customHeight="1">
      <c r="A144" s="8" t="s">
        <v>135</v>
      </c>
      <c r="B144" s="8">
        <v>11</v>
      </c>
      <c r="C144" s="9" t="s">
        <v>381</v>
      </c>
      <c r="D144" s="8">
        <v>1</v>
      </c>
      <c r="E144" s="9" t="s">
        <v>105</v>
      </c>
      <c r="F144" s="8" t="s">
        <v>382</v>
      </c>
      <c r="G144" s="8" t="s">
        <v>97</v>
      </c>
      <c r="H144" s="8" t="s">
        <v>106</v>
      </c>
      <c r="I144" s="8" t="s">
        <v>91</v>
      </c>
      <c r="J144" s="9" t="s">
        <v>380</v>
      </c>
      <c r="K144" s="8" t="str">
        <f>VLOOKUP(LEFT(H144,7),'קטלוג תרחישים'!$A:$M,12,FALSE())</f>
        <v>א'</v>
      </c>
      <c r="L144" s="8" t="str">
        <f>IF(J144="כן",K144,VLOOKUP(LEFT(H144,7),'קטלוג תרחישים'!$A:$M,13,FALSE()))</f>
        <v>א'</v>
      </c>
      <c r="M144" s="13"/>
      <c r="N144" s="50" t="s">
        <v>360</v>
      </c>
      <c r="O144" s="13" t="str">
        <f t="array" ref="O144">_xlfn.IFS(N144="A","א'", N144="B", "ב'", N144= "C", "ג'")</f>
        <v>א'</v>
      </c>
      <c r="P144" s="13">
        <f>IF(Table_2[[#This Row],[Correct_Answer]]=Table_2[[#This Row],[System_Recommendation]],1,0)</f>
        <v>1</v>
      </c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 spans="1:26" ht="15.75" hidden="1" customHeight="1">
      <c r="A145" s="8" t="s">
        <v>135</v>
      </c>
      <c r="B145" s="8">
        <v>12</v>
      </c>
      <c r="C145" s="9" t="s">
        <v>381</v>
      </c>
      <c r="D145" s="8">
        <v>2</v>
      </c>
      <c r="E145" s="9" t="s">
        <v>111</v>
      </c>
      <c r="F145" s="8" t="s">
        <v>382</v>
      </c>
      <c r="G145" s="8" t="s">
        <v>97</v>
      </c>
      <c r="H145" s="8" t="s">
        <v>112</v>
      </c>
      <c r="I145" s="8" t="s">
        <v>91</v>
      </c>
      <c r="J145" s="9" t="s">
        <v>380</v>
      </c>
      <c r="K145" s="8" t="str">
        <f>VLOOKUP(LEFT(H145,7),'קטלוג תרחישים'!$A:$M,12,FALSE())</f>
        <v>ב'</v>
      </c>
      <c r="L145" s="8" t="str">
        <f>IF(J145="כן",K145,VLOOKUP(LEFT(H145,7),'קטלוג תרחישים'!$A:$M,13,FALSE()))</f>
        <v>ב'</v>
      </c>
      <c r="M145" s="13"/>
      <c r="N145" s="51" t="s">
        <v>366</v>
      </c>
      <c r="O145" s="13" t="str">
        <f t="array" ref="O145">_xlfn.IFS(N145="A","א'", N145="B", "ב'", N145= "C", "ג'")</f>
        <v>ג'</v>
      </c>
      <c r="P145" s="13">
        <f>IF(Table_2[[#This Row],[Correct_Answer]]=Table_2[[#This Row],[System_Recommendation]],1,0)</f>
        <v>1</v>
      </c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 spans="1:26" ht="15.75" hidden="1" customHeight="1">
      <c r="A146" s="8" t="s">
        <v>135</v>
      </c>
      <c r="B146" s="8">
        <v>13</v>
      </c>
      <c r="C146" s="9" t="s">
        <v>381</v>
      </c>
      <c r="D146" s="8">
        <v>2</v>
      </c>
      <c r="E146" s="9" t="s">
        <v>111</v>
      </c>
      <c r="F146" s="8" t="s">
        <v>382</v>
      </c>
      <c r="G146" s="8" t="s">
        <v>97</v>
      </c>
      <c r="H146" s="8" t="s">
        <v>115</v>
      </c>
      <c r="I146" s="8" t="s">
        <v>100</v>
      </c>
      <c r="J146" s="9" t="s">
        <v>380</v>
      </c>
      <c r="K146" s="8" t="str">
        <f>VLOOKUP(LEFT(H146,7),'קטלוג תרחישים'!$A:$M,12,FALSE())</f>
        <v>א'</v>
      </c>
      <c r="L146" s="8" t="str">
        <f>IF(J146="כן",K146,VLOOKUP(LEFT(H146,7),'קטלוג תרחישים'!$A:$M,13,FALSE()))</f>
        <v>א'</v>
      </c>
      <c r="M146" s="13"/>
      <c r="N146" s="50" t="s">
        <v>366</v>
      </c>
      <c r="O146" s="13" t="str">
        <f t="array" ref="O146">_xlfn.IFS(N146="A","א'", N146="B", "ב'", N146= "C", "ג'")</f>
        <v>ג'</v>
      </c>
      <c r="P146" s="13">
        <f>IF(Table_2[[#This Row],[Correct_Answer]]=Table_2[[#This Row],[System_Recommendation]],1,0)</f>
        <v>1</v>
      </c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 spans="1:26" ht="15.75" hidden="1" customHeight="1">
      <c r="A147" s="8" t="s">
        <v>135</v>
      </c>
      <c r="B147" s="8">
        <v>14</v>
      </c>
      <c r="C147" s="9" t="s">
        <v>381</v>
      </c>
      <c r="D147" s="8">
        <v>2</v>
      </c>
      <c r="E147" s="9" t="s">
        <v>111</v>
      </c>
      <c r="F147" s="8" t="s">
        <v>382</v>
      </c>
      <c r="G147" s="8" t="s">
        <v>97</v>
      </c>
      <c r="H147" s="8" t="s">
        <v>116</v>
      </c>
      <c r="I147" s="8" t="s">
        <v>91</v>
      </c>
      <c r="J147" s="9" t="s">
        <v>383</v>
      </c>
      <c r="K147" s="8" t="str">
        <f>VLOOKUP(LEFT(H147,7),'קטלוג תרחישים'!$A:$M,12,FALSE())</f>
        <v>ג'</v>
      </c>
      <c r="L147" s="8" t="str">
        <f>IF(J147="כן",K147,VLOOKUP(LEFT(H147,7),'קטלוג תרחישים'!$A:$M,13,FALSE()))</f>
        <v>ב'</v>
      </c>
      <c r="M147" s="13"/>
      <c r="N147" s="51" t="s">
        <v>365</v>
      </c>
      <c r="O147" s="13" t="str">
        <f t="array" ref="O147">_xlfn.IFS(N147="A","א'", N147="B", "ב'", N147= "C", "ג'")</f>
        <v>ב'</v>
      </c>
      <c r="P147" s="13">
        <f>IF(Table_2[[#This Row],[Correct_Answer]]=Table_2[[#This Row],[System_Recommendation]],1,0)</f>
        <v>0</v>
      </c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 spans="1:26" ht="15.75" hidden="1" customHeight="1">
      <c r="A148" s="8" t="s">
        <v>135</v>
      </c>
      <c r="B148" s="8">
        <v>15</v>
      </c>
      <c r="C148" s="9" t="s">
        <v>381</v>
      </c>
      <c r="D148" s="8">
        <v>2</v>
      </c>
      <c r="E148" s="9" t="s">
        <v>111</v>
      </c>
      <c r="F148" s="8" t="s">
        <v>382</v>
      </c>
      <c r="G148" s="8" t="s">
        <v>97</v>
      </c>
      <c r="H148" s="8" t="s">
        <v>113</v>
      </c>
      <c r="I148" s="8" t="s">
        <v>100</v>
      </c>
      <c r="J148" s="9" t="s">
        <v>380</v>
      </c>
      <c r="K148" s="8" t="str">
        <f>VLOOKUP(LEFT(H148,7),'קטלוג תרחישים'!$A:$M,12,FALSE())</f>
        <v>ג'</v>
      </c>
      <c r="L148" s="8" t="str">
        <f>IF(J148="כן",K148,VLOOKUP(LEFT(H148,7),'קטלוג תרחישים'!$A:$M,13,FALSE()))</f>
        <v>ג'</v>
      </c>
      <c r="M148" s="13"/>
      <c r="N148" s="50" t="s">
        <v>365</v>
      </c>
      <c r="O148" s="13" t="str">
        <f t="array" ref="O148">_xlfn.IFS(N148="A","א'", N148="B", "ב'", N148= "C", "ג'")</f>
        <v>ב'</v>
      </c>
      <c r="P148" s="13">
        <f>IF(Table_2[[#This Row],[Correct_Answer]]=Table_2[[#This Row],[System_Recommendation]],1,0)</f>
        <v>1</v>
      </c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 spans="1:26" ht="15.75" hidden="1" customHeight="1">
      <c r="A149" s="8" t="s">
        <v>135</v>
      </c>
      <c r="B149" s="8">
        <v>16</v>
      </c>
      <c r="C149" s="9" t="s">
        <v>381</v>
      </c>
      <c r="D149" s="8">
        <v>2</v>
      </c>
      <c r="E149" s="9" t="s">
        <v>111</v>
      </c>
      <c r="F149" s="8" t="s">
        <v>382</v>
      </c>
      <c r="G149" s="8" t="s">
        <v>97</v>
      </c>
      <c r="H149" s="8" t="s">
        <v>114</v>
      </c>
      <c r="I149" s="8" t="s">
        <v>91</v>
      </c>
      <c r="J149" s="9" t="s">
        <v>380</v>
      </c>
      <c r="K149" s="8" t="str">
        <f>VLOOKUP(LEFT(H149,7),'קטלוג תרחישים'!$A:$M,12,FALSE())</f>
        <v>ג'</v>
      </c>
      <c r="L149" s="8" t="str">
        <f>IF(J149="כן",K149,VLOOKUP(LEFT(H149,7),'קטלוג תרחישים'!$A:$M,13,FALSE()))</f>
        <v>ג'</v>
      </c>
      <c r="M149" s="13"/>
      <c r="N149" s="51" t="s">
        <v>365</v>
      </c>
      <c r="O149" s="13" t="str">
        <f t="array" ref="O149">_xlfn.IFS(N149="A","א'", N149="B", "ב'", N149= "C", "ג'")</f>
        <v>ב'</v>
      </c>
      <c r="P149" s="13">
        <f>IF(Table_2[[#This Row],[Correct_Answer]]=Table_2[[#This Row],[System_Recommendation]],1,0)</f>
        <v>1</v>
      </c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 spans="1:26" ht="15.75" hidden="1" customHeight="1">
      <c r="A150" s="8" t="s">
        <v>135</v>
      </c>
      <c r="B150" s="8">
        <v>17</v>
      </c>
      <c r="C150" s="9" t="s">
        <v>381</v>
      </c>
      <c r="D150" s="8">
        <v>3</v>
      </c>
      <c r="E150" s="9" t="s">
        <v>98</v>
      </c>
      <c r="F150" s="8" t="s">
        <v>382</v>
      </c>
      <c r="G150" s="8" t="s">
        <v>97</v>
      </c>
      <c r="H150" s="8" t="s">
        <v>104</v>
      </c>
      <c r="I150" s="8" t="s">
        <v>100</v>
      </c>
      <c r="J150" s="9" t="s">
        <v>380</v>
      </c>
      <c r="K150" s="8" t="str">
        <f>VLOOKUP(LEFT(H150,7),'קטלוג תרחישים'!$A:$M,12,FALSE())</f>
        <v>ב'</v>
      </c>
      <c r="L150" s="8" t="str">
        <f>IF(J150="כן",K150,VLOOKUP(LEFT(H150,7),'קטלוג תרחישים'!$A:$M,13,FALSE()))</f>
        <v>ב'</v>
      </c>
      <c r="M150" s="13"/>
      <c r="N150" s="50" t="s">
        <v>360</v>
      </c>
      <c r="O150" s="13" t="str">
        <f t="array" ref="O150">_xlfn.IFS(N150="A","א'", N150="B", "ב'", N150= "C", "ג'")</f>
        <v>א'</v>
      </c>
      <c r="P150" s="13">
        <f>IF(Table_2[[#This Row],[Correct_Answer]]=Table_2[[#This Row],[System_Recommendation]],1,0)</f>
        <v>1</v>
      </c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 spans="1:26" ht="15.75" hidden="1" customHeight="1">
      <c r="A151" s="8" t="s">
        <v>135</v>
      </c>
      <c r="B151" s="8">
        <v>18</v>
      </c>
      <c r="C151" s="9" t="s">
        <v>381</v>
      </c>
      <c r="D151" s="8">
        <v>3</v>
      </c>
      <c r="E151" s="9" t="s">
        <v>98</v>
      </c>
      <c r="F151" s="8" t="s">
        <v>382</v>
      </c>
      <c r="G151" s="8" t="s">
        <v>97</v>
      </c>
      <c r="H151" s="8" t="s">
        <v>103</v>
      </c>
      <c r="I151" s="8" t="s">
        <v>91</v>
      </c>
      <c r="J151" s="9" t="s">
        <v>380</v>
      </c>
      <c r="K151" s="8" t="str">
        <f>VLOOKUP(LEFT(H151,7),'קטלוג תרחישים'!$A:$M,12,FALSE())</f>
        <v>ב'</v>
      </c>
      <c r="L151" s="8" t="str">
        <f>IF(J151="כן",K151,VLOOKUP(LEFT(H151,7),'קטלוג תרחישים'!$A:$M,13,FALSE()))</f>
        <v>ב'</v>
      </c>
      <c r="M151" s="13"/>
      <c r="N151" s="51" t="s">
        <v>366</v>
      </c>
      <c r="O151" s="13" t="str">
        <f t="array" ref="O151">_xlfn.IFS(N151="A","א'", N151="B", "ב'", N151= "C", "ג'")</f>
        <v>ג'</v>
      </c>
      <c r="P151" s="13">
        <f>IF(Table_2[[#This Row],[Correct_Answer]]=Table_2[[#This Row],[System_Recommendation]],1,0)</f>
        <v>1</v>
      </c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 spans="1:26" ht="15.75" hidden="1" customHeight="1">
      <c r="A152" s="8" t="s">
        <v>135</v>
      </c>
      <c r="B152" s="8">
        <v>19</v>
      </c>
      <c r="C152" s="9" t="s">
        <v>381</v>
      </c>
      <c r="D152" s="8">
        <v>3</v>
      </c>
      <c r="E152" s="9" t="s">
        <v>98</v>
      </c>
      <c r="F152" s="8" t="s">
        <v>382</v>
      </c>
      <c r="G152" s="8" t="s">
        <v>97</v>
      </c>
      <c r="H152" s="8" t="s">
        <v>99</v>
      </c>
      <c r="I152" s="8" t="s">
        <v>100</v>
      </c>
      <c r="J152" s="9" t="s">
        <v>380</v>
      </c>
      <c r="K152" s="8" t="str">
        <f>VLOOKUP(LEFT(H152,7),'קטלוג תרחישים'!$A:$M,12,FALSE())</f>
        <v>ג'</v>
      </c>
      <c r="L152" s="8" t="str">
        <f>IF(J152="כן",K152,VLOOKUP(LEFT(H152,7),'קטלוג תרחישים'!$A:$M,13,FALSE()))</f>
        <v>ג'</v>
      </c>
      <c r="M152" s="13"/>
      <c r="N152" s="50" t="s">
        <v>365</v>
      </c>
      <c r="O152" s="13" t="str">
        <f t="array" ref="O152">_xlfn.IFS(N152="A","א'", N152="B", "ב'", N152= "C", "ג'")</f>
        <v>ב'</v>
      </c>
      <c r="P152" s="13">
        <f>IF(Table_2[[#This Row],[Correct_Answer]]=Table_2[[#This Row],[System_Recommendation]],1,0)</f>
        <v>1</v>
      </c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 spans="1:26" ht="15.75" hidden="1" customHeight="1">
      <c r="A153" s="8" t="s">
        <v>135</v>
      </c>
      <c r="B153" s="8">
        <v>20</v>
      </c>
      <c r="C153" s="9" t="s">
        <v>381</v>
      </c>
      <c r="D153" s="8">
        <v>3</v>
      </c>
      <c r="E153" s="9" t="s">
        <v>98</v>
      </c>
      <c r="F153" s="8" t="s">
        <v>382</v>
      </c>
      <c r="G153" s="8" t="s">
        <v>97</v>
      </c>
      <c r="H153" s="8" t="s">
        <v>101</v>
      </c>
      <c r="I153" s="8" t="s">
        <v>91</v>
      </c>
      <c r="J153" s="9" t="s">
        <v>380</v>
      </c>
      <c r="K153" s="8" t="str">
        <f>VLOOKUP(LEFT(H153,7),'קטלוג תרחישים'!$A:$M,12,FALSE())</f>
        <v>א'</v>
      </c>
      <c r="L153" s="8" t="str">
        <f>IF(J153="כן",K153,VLOOKUP(LEFT(H153,7),'קטלוג תרחישים'!$A:$M,13,FALSE()))</f>
        <v>א'</v>
      </c>
      <c r="M153" s="13"/>
      <c r="N153" s="51" t="s">
        <v>366</v>
      </c>
      <c r="O153" s="13" t="str">
        <f t="array" ref="O153">_xlfn.IFS(N153="A","א'", N153="B", "ב'", N153= "C", "ג'")</f>
        <v>ג'</v>
      </c>
      <c r="P153" s="13">
        <f>IF(Table_2[[#This Row],[Correct_Answer]]=Table_2[[#This Row],[System_Recommendation]],1,0)</f>
        <v>1</v>
      </c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 spans="1:26" ht="15.75" hidden="1" customHeight="1">
      <c r="A154" s="8" t="s">
        <v>135</v>
      </c>
      <c r="B154" s="8">
        <v>21</v>
      </c>
      <c r="C154" s="9" t="s">
        <v>381</v>
      </c>
      <c r="D154" s="8">
        <v>3</v>
      </c>
      <c r="E154" s="9" t="s">
        <v>98</v>
      </c>
      <c r="F154" s="8" t="s">
        <v>382</v>
      </c>
      <c r="G154" s="8" t="s">
        <v>97</v>
      </c>
      <c r="H154" s="8" t="s">
        <v>102</v>
      </c>
      <c r="I154" s="8" t="s">
        <v>100</v>
      </c>
      <c r="J154" s="9" t="s">
        <v>383</v>
      </c>
      <c r="K154" s="8" t="str">
        <f>VLOOKUP(LEFT(H154,7),'קטלוג תרחישים'!$A:$M,12,FALSE())</f>
        <v>ג'</v>
      </c>
      <c r="L154" s="8" t="str">
        <f>IF(J154="כן",K154,VLOOKUP(LEFT(H154,7),'קטלוג תרחישים'!$A:$M,13,FALSE()))</f>
        <v>ב'</v>
      </c>
      <c r="M154" s="13"/>
      <c r="N154" s="50" t="s">
        <v>360</v>
      </c>
      <c r="O154" s="13" t="str">
        <f t="array" ref="O154">_xlfn.IFS(N154="A","א'", N154="B", "ב'", N154= "C", "ג'")</f>
        <v>א'</v>
      </c>
      <c r="P154" s="13">
        <f>IF(Table_2[[#This Row],[Correct_Answer]]=Table_2[[#This Row],[System_Recommendation]],1,0)</f>
        <v>0</v>
      </c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 spans="1:26" ht="15.75" hidden="1" customHeight="1">
      <c r="A155" s="8" t="s">
        <v>135</v>
      </c>
      <c r="B155" s="8">
        <v>22</v>
      </c>
      <c r="C155" s="9" t="s">
        <v>381</v>
      </c>
      <c r="D155" s="8">
        <v>1</v>
      </c>
      <c r="E155" s="9" t="s">
        <v>111</v>
      </c>
      <c r="F155" s="8" t="s">
        <v>384</v>
      </c>
      <c r="G155" s="8" t="s">
        <v>117</v>
      </c>
      <c r="H155" s="8" t="s">
        <v>122</v>
      </c>
      <c r="I155" s="8" t="s">
        <v>91</v>
      </c>
      <c r="J155" s="9" t="s">
        <v>383</v>
      </c>
      <c r="K155" s="8" t="str">
        <f>VLOOKUP(LEFT(H155,7),'קטלוג תרחישים'!$A:$M,12,FALSE())</f>
        <v>ג'</v>
      </c>
      <c r="L155" s="8" t="str">
        <f>IF(J155="כן",K155,VLOOKUP(LEFT(H155,7),'קטלוג תרחישים'!$A:$M,13,FALSE()))</f>
        <v>א'</v>
      </c>
      <c r="M155" s="13"/>
      <c r="N155" s="51" t="s">
        <v>366</v>
      </c>
      <c r="O155" s="13" t="str">
        <f t="array" ref="O155">_xlfn.IFS(N155="A","א'", N155="B", "ב'", N155= "C", "ג'")</f>
        <v>ג'</v>
      </c>
      <c r="P155" s="13">
        <f>IF(Table_2[[#This Row],[Correct_Answer]]=Table_2[[#This Row],[System_Recommendation]],1,0)</f>
        <v>0</v>
      </c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 spans="1:26" ht="15.75" hidden="1" customHeight="1">
      <c r="A156" s="8" t="s">
        <v>135</v>
      </c>
      <c r="B156" s="8">
        <v>23</v>
      </c>
      <c r="C156" s="9" t="s">
        <v>381</v>
      </c>
      <c r="D156" s="8">
        <v>1</v>
      </c>
      <c r="E156" s="9" t="s">
        <v>111</v>
      </c>
      <c r="F156" s="8" t="s">
        <v>384</v>
      </c>
      <c r="G156" s="8" t="s">
        <v>117</v>
      </c>
      <c r="H156" s="8" t="s">
        <v>125</v>
      </c>
      <c r="I156" s="8" t="s">
        <v>100</v>
      </c>
      <c r="J156" s="9" t="s">
        <v>383</v>
      </c>
      <c r="K156" s="8" t="str">
        <f>VLOOKUP(LEFT(H156,7),'קטלוג תרחישים'!$A:$M,12,FALSE())</f>
        <v>ג'</v>
      </c>
      <c r="L156" s="8" t="str">
        <f>IF(J156="כן",K156,VLOOKUP(LEFT(H156,7),'קטלוג תרחישים'!$A:$M,13,FALSE()))</f>
        <v>ב'</v>
      </c>
      <c r="M156" s="13"/>
      <c r="N156" s="50" t="s">
        <v>366</v>
      </c>
      <c r="O156" s="13" t="str">
        <f t="array" ref="O156">_xlfn.IFS(N156="A","א'", N156="B", "ב'", N156= "C", "ג'")</f>
        <v>ג'</v>
      </c>
      <c r="P156" s="13">
        <f>IF(Table_2[[#This Row],[Correct_Answer]]=Table_2[[#This Row],[System_Recommendation]],1,0)</f>
        <v>0</v>
      </c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 spans="1:26" ht="15.75" hidden="1" customHeight="1">
      <c r="A157" s="8" t="s">
        <v>135</v>
      </c>
      <c r="B157" s="8">
        <v>24</v>
      </c>
      <c r="C157" s="9" t="s">
        <v>381</v>
      </c>
      <c r="D157" s="8">
        <v>1</v>
      </c>
      <c r="E157" s="9" t="s">
        <v>111</v>
      </c>
      <c r="F157" s="8" t="s">
        <v>384</v>
      </c>
      <c r="G157" s="8" t="s">
        <v>117</v>
      </c>
      <c r="H157" s="8" t="s">
        <v>124</v>
      </c>
      <c r="I157" s="8" t="s">
        <v>91</v>
      </c>
      <c r="J157" s="9" t="s">
        <v>380</v>
      </c>
      <c r="K157" s="8" t="str">
        <f>VLOOKUP(LEFT(H157,7),'קטלוג תרחישים'!$A:$M,12,FALSE())</f>
        <v>ב'</v>
      </c>
      <c r="L157" s="8" t="str">
        <f>IF(J157="כן",K157,VLOOKUP(LEFT(H157,7),'קטלוג תרחישים'!$A:$M,13,FALSE()))</f>
        <v>ב'</v>
      </c>
      <c r="M157" s="13"/>
      <c r="N157" s="51" t="s">
        <v>365</v>
      </c>
      <c r="O157" s="13" t="str">
        <f t="array" ref="O157">_xlfn.IFS(N157="A","א'", N157="B", "ב'", N157= "C", "ג'")</f>
        <v>ב'</v>
      </c>
      <c r="P157" s="13">
        <f>IF(Table_2[[#This Row],[Correct_Answer]]=Table_2[[#This Row],[System_Recommendation]],1,0)</f>
        <v>1</v>
      </c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 spans="1:26" ht="15.75" hidden="1" customHeight="1">
      <c r="A158" s="8" t="s">
        <v>135</v>
      </c>
      <c r="B158" s="8">
        <v>25</v>
      </c>
      <c r="C158" s="9" t="s">
        <v>381</v>
      </c>
      <c r="D158" s="8">
        <v>1</v>
      </c>
      <c r="E158" s="9" t="s">
        <v>111</v>
      </c>
      <c r="F158" s="8" t="s">
        <v>384</v>
      </c>
      <c r="G158" s="8" t="s">
        <v>117</v>
      </c>
      <c r="H158" s="8" t="s">
        <v>123</v>
      </c>
      <c r="I158" s="8" t="s">
        <v>100</v>
      </c>
      <c r="J158" s="9" t="s">
        <v>380</v>
      </c>
      <c r="K158" s="8" t="str">
        <f>VLOOKUP(LEFT(H158,7),'קטלוג תרחישים'!$A:$M,12,FALSE())</f>
        <v>ב'</v>
      </c>
      <c r="L158" s="8" t="str">
        <f>IF(J158="כן",K158,VLOOKUP(LEFT(H158,7),'קטלוג תרחישים'!$A:$M,13,FALSE()))</f>
        <v>ב'</v>
      </c>
      <c r="M158" s="13"/>
      <c r="N158" s="50" t="s">
        <v>360</v>
      </c>
      <c r="O158" s="13" t="str">
        <f t="array" ref="O158">_xlfn.IFS(N158="A","א'", N158="B", "ב'", N158= "C", "ג'")</f>
        <v>א'</v>
      </c>
      <c r="P158" s="13">
        <f>IF(Table_2[[#This Row],[Correct_Answer]]=Table_2[[#This Row],[System_Recommendation]],1,0)</f>
        <v>1</v>
      </c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 spans="1:26" ht="15.75" hidden="1" customHeight="1">
      <c r="A159" s="8" t="s">
        <v>135</v>
      </c>
      <c r="B159" s="8">
        <v>26</v>
      </c>
      <c r="C159" s="9" t="s">
        <v>381</v>
      </c>
      <c r="D159" s="8">
        <v>2</v>
      </c>
      <c r="E159" s="9" t="s">
        <v>98</v>
      </c>
      <c r="F159" s="8" t="s">
        <v>384</v>
      </c>
      <c r="G159" s="8" t="s">
        <v>117</v>
      </c>
      <c r="H159" s="8" t="s">
        <v>126</v>
      </c>
      <c r="I159" s="8" t="s">
        <v>91</v>
      </c>
      <c r="J159" s="9" t="s">
        <v>383</v>
      </c>
      <c r="K159" s="8" t="str">
        <f>VLOOKUP(LEFT(H159,7),'קטלוג תרחישים'!$A:$M,12,FALSE())</f>
        <v>ג'</v>
      </c>
      <c r="L159" s="8" t="str">
        <f>IF(J159="כן",K159,VLOOKUP(LEFT(H159,7),'קטלוג תרחישים'!$A:$M,13,FALSE()))</f>
        <v>א'</v>
      </c>
      <c r="M159" s="13"/>
      <c r="N159" s="51" t="s">
        <v>366</v>
      </c>
      <c r="O159" s="13" t="str">
        <f t="array" ref="O159">_xlfn.IFS(N159="A","א'", N159="B", "ב'", N159= "C", "ג'")</f>
        <v>ג'</v>
      </c>
      <c r="P159" s="13">
        <f>IF(Table_2[[#This Row],[Correct_Answer]]=Table_2[[#This Row],[System_Recommendation]],1,0)</f>
        <v>0</v>
      </c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 spans="1:26" ht="15.75" hidden="1" customHeight="1">
      <c r="A160" s="8" t="s">
        <v>135</v>
      </c>
      <c r="B160" s="8">
        <v>27</v>
      </c>
      <c r="C160" s="9" t="s">
        <v>381</v>
      </c>
      <c r="D160" s="8">
        <v>2</v>
      </c>
      <c r="E160" s="9" t="s">
        <v>98</v>
      </c>
      <c r="F160" s="8" t="s">
        <v>384</v>
      </c>
      <c r="G160" s="8" t="s">
        <v>117</v>
      </c>
      <c r="H160" s="8" t="s">
        <v>127</v>
      </c>
      <c r="I160" s="8" t="s">
        <v>100</v>
      </c>
      <c r="J160" s="9" t="s">
        <v>383</v>
      </c>
      <c r="K160" s="8" t="str">
        <f>VLOOKUP(LEFT(H160,7),'קטלוג תרחישים'!$A:$M,12,FALSE())</f>
        <v>א'</v>
      </c>
      <c r="L160" s="8" t="str">
        <f>IF(J160="כן",K160,VLOOKUP(LEFT(H160,7),'קטלוג תרחישים'!$A:$M,13,FALSE()))</f>
        <v>ג'</v>
      </c>
      <c r="M160" s="13"/>
      <c r="N160" s="50" t="s">
        <v>365</v>
      </c>
      <c r="O160" s="13" t="str">
        <f t="array" ref="O160">_xlfn.IFS(N160="A","א'", N160="B", "ב'", N160= "C", "ג'")</f>
        <v>ב'</v>
      </c>
      <c r="P160" s="13">
        <f>IF(Table_2[[#This Row],[Correct_Answer]]=Table_2[[#This Row],[System_Recommendation]],1,0)</f>
        <v>0</v>
      </c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 spans="1:26" ht="15.75" hidden="1" customHeight="1">
      <c r="A161" s="8" t="s">
        <v>135</v>
      </c>
      <c r="B161" s="8">
        <v>28</v>
      </c>
      <c r="C161" s="9" t="s">
        <v>381</v>
      </c>
      <c r="D161" s="8">
        <v>2</v>
      </c>
      <c r="E161" s="9" t="s">
        <v>98</v>
      </c>
      <c r="F161" s="8" t="s">
        <v>384</v>
      </c>
      <c r="G161" s="8" t="s">
        <v>117</v>
      </c>
      <c r="H161" s="8" t="s">
        <v>128</v>
      </c>
      <c r="I161" s="8" t="s">
        <v>91</v>
      </c>
      <c r="J161" s="9" t="s">
        <v>380</v>
      </c>
      <c r="K161" s="8" t="str">
        <f>VLOOKUP(LEFT(H161,7),'קטלוג תרחישים'!$A:$M,12,FALSE())</f>
        <v>ב'</v>
      </c>
      <c r="L161" s="8" t="str">
        <f>IF(J161="כן",K161,VLOOKUP(LEFT(H161,7),'קטלוג תרחישים'!$A:$M,13,FALSE()))</f>
        <v>ב'</v>
      </c>
      <c r="M161" s="13"/>
      <c r="N161" s="51" t="s">
        <v>366</v>
      </c>
      <c r="O161" s="13" t="str">
        <f t="array" ref="O161">_xlfn.IFS(N161="A","א'", N161="B", "ב'", N161= "C", "ג'")</f>
        <v>ג'</v>
      </c>
      <c r="P161" s="13">
        <f>IF(Table_2[[#This Row],[Correct_Answer]]=Table_2[[#This Row],[System_Recommendation]],1,0)</f>
        <v>1</v>
      </c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 spans="1:26" ht="15.75" hidden="1" customHeight="1">
      <c r="A162" s="8" t="s">
        <v>135</v>
      </c>
      <c r="B162" s="8">
        <v>29</v>
      </c>
      <c r="C162" s="9" t="s">
        <v>381</v>
      </c>
      <c r="D162" s="8">
        <v>2</v>
      </c>
      <c r="E162" s="9" t="s">
        <v>98</v>
      </c>
      <c r="F162" s="8" t="s">
        <v>384</v>
      </c>
      <c r="G162" s="8" t="s">
        <v>117</v>
      </c>
      <c r="H162" s="8" t="s">
        <v>129</v>
      </c>
      <c r="I162" s="8" t="s">
        <v>100</v>
      </c>
      <c r="J162" s="9" t="s">
        <v>380</v>
      </c>
      <c r="K162" s="8" t="str">
        <f>VLOOKUP(LEFT(H162,7),'קטלוג תרחישים'!$A:$M,12,FALSE())</f>
        <v>א'</v>
      </c>
      <c r="L162" s="8" t="str">
        <f>IF(J162="כן",K162,VLOOKUP(LEFT(H162,7),'קטלוג תרחישים'!$A:$M,13,FALSE()))</f>
        <v>א'</v>
      </c>
      <c r="M162" s="13"/>
      <c r="N162" s="50" t="s">
        <v>366</v>
      </c>
      <c r="O162" s="13" t="str">
        <f t="array" ref="O162">_xlfn.IFS(N162="A","א'", N162="B", "ב'", N162= "C", "ג'")</f>
        <v>ג'</v>
      </c>
      <c r="P162" s="13">
        <f>IF(Table_2[[#This Row],[Correct_Answer]]=Table_2[[#This Row],[System_Recommendation]],1,0)</f>
        <v>1</v>
      </c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 spans="1:26" ht="15.75" hidden="1" customHeight="1">
      <c r="A163" s="8" t="s">
        <v>135</v>
      </c>
      <c r="B163" s="8">
        <v>30</v>
      </c>
      <c r="C163" s="9" t="s">
        <v>381</v>
      </c>
      <c r="D163" s="8">
        <v>3</v>
      </c>
      <c r="E163" s="9" t="s">
        <v>105</v>
      </c>
      <c r="F163" s="8" t="s">
        <v>384</v>
      </c>
      <c r="G163" s="8" t="s">
        <v>117</v>
      </c>
      <c r="H163" s="8" t="s">
        <v>118</v>
      </c>
      <c r="I163" s="8" t="s">
        <v>91</v>
      </c>
      <c r="J163" s="9" t="s">
        <v>380</v>
      </c>
      <c r="K163" s="8" t="str">
        <f>VLOOKUP(LEFT(H163,7),'קטלוג תרחישים'!$A:$M,12,FALSE())</f>
        <v>ג'</v>
      </c>
      <c r="L163" s="8" t="str">
        <f>IF(J163="כן",K163,VLOOKUP(LEFT(H163,7),'קטלוג תרחישים'!$A:$M,13,FALSE()))</f>
        <v>ג'</v>
      </c>
      <c r="M163" s="13"/>
      <c r="N163" s="51" t="s">
        <v>365</v>
      </c>
      <c r="O163" s="13" t="str">
        <f t="array" ref="O163">_xlfn.IFS(N163="A","א'", N163="B", "ב'", N163= "C", "ג'")</f>
        <v>ב'</v>
      </c>
      <c r="P163" s="13">
        <f>IF(Table_2[[#This Row],[Correct_Answer]]=Table_2[[#This Row],[System_Recommendation]],1,0)</f>
        <v>1</v>
      </c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 spans="1:26" ht="15.75" hidden="1" customHeight="1">
      <c r="A164" s="8" t="s">
        <v>135</v>
      </c>
      <c r="B164" s="8">
        <v>31</v>
      </c>
      <c r="C164" s="9" t="s">
        <v>381</v>
      </c>
      <c r="D164" s="8">
        <v>3</v>
      </c>
      <c r="E164" s="9" t="s">
        <v>105</v>
      </c>
      <c r="F164" s="8" t="s">
        <v>384</v>
      </c>
      <c r="G164" s="8" t="s">
        <v>117</v>
      </c>
      <c r="H164" s="8" t="s">
        <v>119</v>
      </c>
      <c r="I164" s="8" t="s">
        <v>100</v>
      </c>
      <c r="J164" s="9" t="s">
        <v>383</v>
      </c>
      <c r="K164" s="8" t="str">
        <f>VLOOKUP(LEFT(H164,7),'קטלוג תרחישים'!$A:$M,12,FALSE())</f>
        <v>א'</v>
      </c>
      <c r="L164" s="8" t="str">
        <f>IF(J164="כן",K164,VLOOKUP(LEFT(H164,7),'קטלוג תרחישים'!$A:$M,13,FALSE()))</f>
        <v>ב'</v>
      </c>
      <c r="M164" s="13"/>
      <c r="N164" s="50" t="s">
        <v>366</v>
      </c>
      <c r="O164" s="13" t="str">
        <f t="array" ref="O164">_xlfn.IFS(N164="A","א'", N164="B", "ב'", N164= "C", "ג'")</f>
        <v>ג'</v>
      </c>
      <c r="P164" s="13">
        <f>IF(Table_2[[#This Row],[Correct_Answer]]=Table_2[[#This Row],[System_Recommendation]],1,0)</f>
        <v>0</v>
      </c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 spans="1:26" ht="15.75" hidden="1" customHeight="1">
      <c r="A165" s="8" t="s">
        <v>135</v>
      </c>
      <c r="B165" s="8">
        <v>32</v>
      </c>
      <c r="C165" s="9" t="s">
        <v>381</v>
      </c>
      <c r="D165" s="8">
        <v>3</v>
      </c>
      <c r="E165" s="9" t="s">
        <v>105</v>
      </c>
      <c r="F165" s="8" t="s">
        <v>384</v>
      </c>
      <c r="G165" s="8" t="s">
        <v>117</v>
      </c>
      <c r="H165" s="8" t="s">
        <v>120</v>
      </c>
      <c r="I165" s="8" t="s">
        <v>91</v>
      </c>
      <c r="J165" s="9" t="s">
        <v>383</v>
      </c>
      <c r="K165" s="8" t="str">
        <f>VLOOKUP(LEFT(H165,7),'קטלוג תרחישים'!$A:$M,12,FALSE())</f>
        <v>ג'</v>
      </c>
      <c r="L165" s="8" t="str">
        <f>IF(J165="כן",K165,VLOOKUP(LEFT(H165,7),'קטלוג תרחישים'!$A:$M,13,FALSE()))</f>
        <v>א'</v>
      </c>
      <c r="M165" s="13"/>
      <c r="N165" s="51" t="s">
        <v>360</v>
      </c>
      <c r="O165" s="13" t="str">
        <f t="array" ref="O165">_xlfn.IFS(N165="A","א'", N165="B", "ב'", N165= "C", "ג'")</f>
        <v>א'</v>
      </c>
      <c r="P165" s="13">
        <f>IF(Table_2[[#This Row],[Correct_Answer]]=Table_2[[#This Row],[System_Recommendation]],1,0)</f>
        <v>0</v>
      </c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 spans="1:26" ht="15.75" hidden="1" customHeight="1">
      <c r="A166" s="8" t="s">
        <v>135</v>
      </c>
      <c r="B166" s="8">
        <v>33</v>
      </c>
      <c r="C166" s="9" t="s">
        <v>381</v>
      </c>
      <c r="D166" s="8">
        <v>3</v>
      </c>
      <c r="E166" s="9" t="s">
        <v>105</v>
      </c>
      <c r="F166" s="8" t="s">
        <v>384</v>
      </c>
      <c r="G166" s="8" t="s">
        <v>117</v>
      </c>
      <c r="H166" s="8" t="s">
        <v>121</v>
      </c>
      <c r="I166" s="8" t="s">
        <v>100</v>
      </c>
      <c r="J166" s="9" t="s">
        <v>380</v>
      </c>
      <c r="K166" s="8" t="str">
        <f>VLOOKUP(LEFT(H166,7),'קטלוג תרחישים'!$A:$M,12,FALSE())</f>
        <v>ג'</v>
      </c>
      <c r="L166" s="8" t="str">
        <f>IF(J166="כן",K166,VLOOKUP(LEFT(H166,7),'קטלוג תרחישים'!$A:$M,13,FALSE()))</f>
        <v>ג'</v>
      </c>
      <c r="M166" s="13"/>
      <c r="N166" s="50" t="s">
        <v>360</v>
      </c>
      <c r="O166" s="13" t="str">
        <f t="array" ref="O166">_xlfn.IFS(N166="A","א'", N166="B", "ב'", N166= "C", "ג'")</f>
        <v>א'</v>
      </c>
      <c r="P166" s="13">
        <f>IF(Table_2[[#This Row],[Correct_Answer]]=Table_2[[#This Row],[System_Recommendation]],1,0)</f>
        <v>1</v>
      </c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 spans="1:26" ht="15.75" hidden="1" customHeight="1">
      <c r="A167" s="8" t="s">
        <v>136</v>
      </c>
      <c r="B167" s="8">
        <v>1</v>
      </c>
      <c r="C167" s="9" t="s">
        <v>379</v>
      </c>
      <c r="D167" s="8"/>
      <c r="E167" s="9" t="s">
        <v>98</v>
      </c>
      <c r="F167" s="8"/>
      <c r="G167" s="8"/>
      <c r="H167" s="11" t="s">
        <v>90</v>
      </c>
      <c r="I167" s="8" t="s">
        <v>91</v>
      </c>
      <c r="J167" s="9" t="s">
        <v>380</v>
      </c>
      <c r="K167" s="8" t="str">
        <f>VLOOKUP(LEFT(H167,7),'קטלוג תרחישים'!$A:$M,12,FALSE())</f>
        <v>א'</v>
      </c>
      <c r="L167" s="8" t="str">
        <f>IF(J167="כן",K167,VLOOKUP(LEFT(H167,7),'קטלוג תרחישים'!$A:$M,13,FALSE()))</f>
        <v>א'</v>
      </c>
      <c r="M167" s="13"/>
      <c r="N167" s="51" t="s">
        <v>366</v>
      </c>
      <c r="O167" s="13" t="str">
        <f t="array" ref="O167">_xlfn.IFS(N167="A","א'", N167="B", "ב'", N167= "C", "ג'")</f>
        <v>ג'</v>
      </c>
      <c r="P167" s="13">
        <f>IF(Table_2[[#This Row],[Correct_Answer]]=Table_2[[#This Row],[System_Recommendation]],1,0)</f>
        <v>1</v>
      </c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 spans="1:26" ht="15.75" hidden="1" customHeight="1">
      <c r="A168" s="8" t="s">
        <v>136</v>
      </c>
      <c r="B168" s="8">
        <v>2</v>
      </c>
      <c r="C168" s="9" t="s">
        <v>379</v>
      </c>
      <c r="D168" s="8"/>
      <c r="E168" s="9" t="s">
        <v>98</v>
      </c>
      <c r="F168" s="8"/>
      <c r="G168" s="8"/>
      <c r="H168" s="11" t="s">
        <v>92</v>
      </c>
      <c r="I168" s="8" t="s">
        <v>91</v>
      </c>
      <c r="J168" s="9" t="s">
        <v>380</v>
      </c>
      <c r="K168" s="8" t="str">
        <f>VLOOKUP(LEFT(H168,7),'קטלוג תרחישים'!$A:$M,12,FALSE())</f>
        <v>א'</v>
      </c>
      <c r="L168" s="8" t="str">
        <f>IF(J168="כן",K168,VLOOKUP(LEFT(H168,7),'קטלוג תרחישים'!$A:$M,13,FALSE()))</f>
        <v>א'</v>
      </c>
      <c r="M168" s="13"/>
      <c r="N168" s="50" t="s">
        <v>366</v>
      </c>
      <c r="O168" s="13" t="str">
        <f t="array" ref="O168">_xlfn.IFS(N168="A","א'", N168="B", "ב'", N168= "C", "ג'")</f>
        <v>ג'</v>
      </c>
      <c r="P168" s="13">
        <f>IF(Table_2[[#This Row],[Correct_Answer]]=Table_2[[#This Row],[System_Recommendation]],1,0)</f>
        <v>1</v>
      </c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 spans="1:26" ht="15.75" hidden="1" customHeight="1">
      <c r="A169" s="8" t="s">
        <v>136</v>
      </c>
      <c r="B169" s="8">
        <v>3</v>
      </c>
      <c r="C169" s="9" t="s">
        <v>379</v>
      </c>
      <c r="D169" s="8"/>
      <c r="E169" s="9" t="s">
        <v>105</v>
      </c>
      <c r="F169" s="8"/>
      <c r="G169" s="8"/>
      <c r="H169" s="11" t="s">
        <v>93</v>
      </c>
      <c r="I169" s="8" t="s">
        <v>91</v>
      </c>
      <c r="J169" s="9" t="s">
        <v>380</v>
      </c>
      <c r="K169" s="8" t="str">
        <f>VLOOKUP(LEFT(H169,7),'קטלוג תרחישים'!$A:$M,12,FALSE())</f>
        <v>א'</v>
      </c>
      <c r="L169" s="8" t="str">
        <f>IF(J169="כן",K169,VLOOKUP(LEFT(H169,7),'קטלוג תרחישים'!$A:$M,13,FALSE()))</f>
        <v>א'</v>
      </c>
      <c r="M169" s="13"/>
      <c r="N169" s="51" t="s">
        <v>366</v>
      </c>
      <c r="O169" s="13" t="str">
        <f t="array" ref="O169">_xlfn.IFS(N169="A","א'", N169="B", "ב'", N169= "C", "ג'")</f>
        <v>ג'</v>
      </c>
      <c r="P169" s="13">
        <f>IF(Table_2[[#This Row],[Correct_Answer]]=Table_2[[#This Row],[System_Recommendation]],1,0)</f>
        <v>1</v>
      </c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 spans="1:26" ht="15.75" hidden="1" customHeight="1">
      <c r="A170" s="8" t="s">
        <v>136</v>
      </c>
      <c r="B170" s="8">
        <v>4</v>
      </c>
      <c r="C170" s="9" t="s">
        <v>379</v>
      </c>
      <c r="D170" s="8"/>
      <c r="E170" s="9" t="s">
        <v>105</v>
      </c>
      <c r="F170" s="8"/>
      <c r="G170" s="8"/>
      <c r="H170" s="11" t="s">
        <v>94</v>
      </c>
      <c r="I170" s="8" t="s">
        <v>91</v>
      </c>
      <c r="J170" s="9" t="s">
        <v>380</v>
      </c>
      <c r="K170" s="8" t="str">
        <f>VLOOKUP(LEFT(H170,7),'קטלוג תרחישים'!$A:$M,12,FALSE())</f>
        <v>א'</v>
      </c>
      <c r="L170" s="8" t="str">
        <f>IF(J170="כן",K170,VLOOKUP(LEFT(H170,7),'קטלוג תרחישים'!$A:$M,13,FALSE()))</f>
        <v>א'</v>
      </c>
      <c r="M170" s="13"/>
      <c r="N170" s="50" t="s">
        <v>365</v>
      </c>
      <c r="O170" s="13" t="str">
        <f t="array" ref="O170">_xlfn.IFS(N170="A","א'", N170="B", "ב'", N170= "C", "ג'")</f>
        <v>ב'</v>
      </c>
      <c r="P170" s="13">
        <f>IF(Table_2[[#This Row],[Correct_Answer]]=Table_2[[#This Row],[System_Recommendation]],1,0)</f>
        <v>1</v>
      </c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 spans="1:26" ht="15.75" hidden="1" customHeight="1">
      <c r="A171" s="8" t="s">
        <v>136</v>
      </c>
      <c r="B171" s="8">
        <v>5</v>
      </c>
      <c r="C171" s="9" t="s">
        <v>379</v>
      </c>
      <c r="D171" s="8"/>
      <c r="E171" s="9" t="s">
        <v>111</v>
      </c>
      <c r="F171" s="8"/>
      <c r="G171" s="8"/>
      <c r="H171" s="11" t="s">
        <v>95</v>
      </c>
      <c r="I171" s="8" t="s">
        <v>91</v>
      </c>
      <c r="J171" s="9" t="s">
        <v>380</v>
      </c>
      <c r="K171" s="8" t="str">
        <f>VLOOKUP(LEFT(H171,7),'קטלוג תרחישים'!$A:$M,12,FALSE())</f>
        <v>ב'</v>
      </c>
      <c r="L171" s="8" t="str">
        <f>IF(J171="כן",K171,VLOOKUP(LEFT(H171,7),'קטלוג תרחישים'!$A:$M,13,FALSE()))</f>
        <v>ב'</v>
      </c>
      <c r="M171" s="13"/>
      <c r="N171" s="51" t="s">
        <v>360</v>
      </c>
      <c r="O171" s="13" t="str">
        <f t="array" ref="O171">_xlfn.IFS(N171="A","א'", N171="B", "ב'", N171= "C", "ג'")</f>
        <v>א'</v>
      </c>
      <c r="P171" s="13">
        <f>IF(Table_2[[#This Row],[Correct_Answer]]=Table_2[[#This Row],[System_Recommendation]],1,0)</f>
        <v>1</v>
      </c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 spans="1:26" ht="15.75" customHeight="1">
      <c r="A172" s="8" t="s">
        <v>136</v>
      </c>
      <c r="B172" s="8">
        <v>6</v>
      </c>
      <c r="C172" s="9" t="s">
        <v>379</v>
      </c>
      <c r="D172" s="8"/>
      <c r="E172" s="9" t="s">
        <v>111</v>
      </c>
      <c r="F172" s="8"/>
      <c r="G172" s="8"/>
      <c r="H172" s="11" t="s">
        <v>96</v>
      </c>
      <c r="I172" s="8" t="s">
        <v>91</v>
      </c>
      <c r="J172" s="9" t="s">
        <v>380</v>
      </c>
      <c r="K172" s="8" t="str">
        <f>VLOOKUP(LEFT(H172,7),'קטלוג תרחישים'!$A:$M,12,FALSE())</f>
        <v>ב'</v>
      </c>
      <c r="L172" s="8" t="str">
        <f>IF(J172="כן",K172,VLOOKUP(LEFT(H172,7),'קטלוג תרחישים'!$A:$M,13,FALSE()))</f>
        <v>ב'</v>
      </c>
      <c r="M172" s="13"/>
      <c r="N172" s="50" t="s">
        <v>360</v>
      </c>
      <c r="O172" s="13" t="str">
        <f t="array" ref="O172">_xlfn.IFS(N172="A","א'", N172="B", "ב'", N172= "C", "ג'")</f>
        <v>א'</v>
      </c>
      <c r="P172" s="13">
        <f>IF(Table_2[[#This Row],[Correct_Answer]]=Table_2[[#This Row],[System_Recommendation]],1,0)</f>
        <v>1</v>
      </c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 spans="1:26" ht="15.75" hidden="1" customHeight="1">
      <c r="A173" s="8" t="s">
        <v>136</v>
      </c>
      <c r="B173" s="8">
        <v>7</v>
      </c>
      <c r="C173" s="9" t="s">
        <v>381</v>
      </c>
      <c r="D173" s="8">
        <v>1</v>
      </c>
      <c r="E173" s="9" t="s">
        <v>98</v>
      </c>
      <c r="F173" s="8" t="s">
        <v>382</v>
      </c>
      <c r="G173" s="8" t="s">
        <v>117</v>
      </c>
      <c r="H173" s="8" t="s">
        <v>128</v>
      </c>
      <c r="I173" s="8" t="s">
        <v>91</v>
      </c>
      <c r="J173" s="9" t="s">
        <v>383</v>
      </c>
      <c r="K173" s="8" t="str">
        <f>VLOOKUP(LEFT(H173,7),'קטלוג תרחישים'!$A:$M,12,FALSE())</f>
        <v>ב'</v>
      </c>
      <c r="L173" s="8" t="str">
        <f>IF(J173="כן",K173,VLOOKUP(LEFT(H173,7),'קטלוג תרחישים'!$A:$M,13,FALSE()))</f>
        <v>ג'</v>
      </c>
      <c r="M173" s="13"/>
      <c r="N173" s="51" t="s">
        <v>360</v>
      </c>
      <c r="O173" s="13" t="str">
        <f t="array" ref="O173">_xlfn.IFS(N173="A","א'", N173="B", "ב'", N173= "C", "ג'")</f>
        <v>א'</v>
      </c>
      <c r="P173" s="13">
        <f>IF(Table_2[[#This Row],[Correct_Answer]]=Table_2[[#This Row],[System_Recommendation]],1,0)</f>
        <v>0</v>
      </c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 spans="1:26" ht="15.75" hidden="1" customHeight="1">
      <c r="A174" s="8" t="s">
        <v>136</v>
      </c>
      <c r="B174" s="8">
        <v>8</v>
      </c>
      <c r="C174" s="9" t="s">
        <v>381</v>
      </c>
      <c r="D174" s="8">
        <v>1</v>
      </c>
      <c r="E174" s="9" t="s">
        <v>98</v>
      </c>
      <c r="F174" s="8" t="s">
        <v>382</v>
      </c>
      <c r="G174" s="8" t="s">
        <v>117</v>
      </c>
      <c r="H174" s="8" t="s">
        <v>129</v>
      </c>
      <c r="I174" s="8" t="s">
        <v>100</v>
      </c>
      <c r="J174" s="9" t="s">
        <v>380</v>
      </c>
      <c r="K174" s="8" t="str">
        <f>VLOOKUP(LEFT(H174,7),'קטלוג תרחישים'!$A:$M,12,FALSE())</f>
        <v>א'</v>
      </c>
      <c r="L174" s="8" t="str">
        <f>IF(J174="כן",K174,VLOOKUP(LEFT(H174,7),'קטלוג תרחישים'!$A:$M,13,FALSE()))</f>
        <v>א'</v>
      </c>
      <c r="M174" s="13"/>
      <c r="N174" s="50" t="s">
        <v>360</v>
      </c>
      <c r="O174" s="13" t="str">
        <f t="array" ref="O174">_xlfn.IFS(N174="A","א'", N174="B", "ב'", N174= "C", "ג'")</f>
        <v>א'</v>
      </c>
      <c r="P174" s="13">
        <f>IF(Table_2[[#This Row],[Correct_Answer]]=Table_2[[#This Row],[System_Recommendation]],1,0)</f>
        <v>1</v>
      </c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 spans="1:26" ht="15.75" hidden="1" customHeight="1">
      <c r="A175" s="8" t="s">
        <v>136</v>
      </c>
      <c r="B175" s="8">
        <v>9</v>
      </c>
      <c r="C175" s="9" t="s">
        <v>381</v>
      </c>
      <c r="D175" s="8">
        <v>1</v>
      </c>
      <c r="E175" s="9" t="s">
        <v>98</v>
      </c>
      <c r="F175" s="8" t="s">
        <v>382</v>
      </c>
      <c r="G175" s="8" t="s">
        <v>117</v>
      </c>
      <c r="H175" s="8" t="s">
        <v>126</v>
      </c>
      <c r="I175" s="8" t="s">
        <v>91</v>
      </c>
      <c r="J175" s="9" t="s">
        <v>380</v>
      </c>
      <c r="K175" s="8" t="str">
        <f>VLOOKUP(LEFT(H175,7),'קטלוג תרחישים'!$A:$M,12,FALSE())</f>
        <v>ג'</v>
      </c>
      <c r="L175" s="8" t="str">
        <f>IF(J175="כן",K175,VLOOKUP(LEFT(H175,7),'קטלוג תרחישים'!$A:$M,13,FALSE()))</f>
        <v>ג'</v>
      </c>
      <c r="M175" s="13"/>
      <c r="N175" s="51" t="s">
        <v>365</v>
      </c>
      <c r="O175" s="13" t="str">
        <f t="array" ref="O175">_xlfn.IFS(N175="A","א'", N175="B", "ב'", N175= "C", "ג'")</f>
        <v>ב'</v>
      </c>
      <c r="P175" s="13">
        <f>IF(Table_2[[#This Row],[Correct_Answer]]=Table_2[[#This Row],[System_Recommendation]],1,0)</f>
        <v>1</v>
      </c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 spans="1:26" ht="15.75" hidden="1" customHeight="1">
      <c r="A176" s="8" t="s">
        <v>136</v>
      </c>
      <c r="B176" s="8">
        <v>10</v>
      </c>
      <c r="C176" s="9" t="s">
        <v>381</v>
      </c>
      <c r="D176" s="8">
        <v>1</v>
      </c>
      <c r="E176" s="9" t="s">
        <v>98</v>
      </c>
      <c r="F176" s="8" t="s">
        <v>382</v>
      </c>
      <c r="G176" s="8" t="s">
        <v>117</v>
      </c>
      <c r="H176" s="8" t="s">
        <v>127</v>
      </c>
      <c r="I176" s="8" t="s">
        <v>100</v>
      </c>
      <c r="J176" s="9" t="s">
        <v>383</v>
      </c>
      <c r="K176" s="8" t="str">
        <f>VLOOKUP(LEFT(H176,7),'קטלוג תרחישים'!$A:$M,12,FALSE())</f>
        <v>א'</v>
      </c>
      <c r="L176" s="8" t="str">
        <f>IF(J176="כן",K176,VLOOKUP(LEFT(H176,7),'קטלוג תרחישים'!$A:$M,13,FALSE()))</f>
        <v>ג'</v>
      </c>
      <c r="M176" s="13"/>
      <c r="N176" s="50" t="s">
        <v>365</v>
      </c>
      <c r="O176" s="13" t="str">
        <f t="array" ref="O176">_xlfn.IFS(N176="A","א'", N176="B", "ב'", N176= "C", "ג'")</f>
        <v>ב'</v>
      </c>
      <c r="P176" s="13">
        <f>IF(Table_2[[#This Row],[Correct_Answer]]=Table_2[[#This Row],[System_Recommendation]],1,0)</f>
        <v>0</v>
      </c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 spans="1:26" ht="15.75" hidden="1" customHeight="1">
      <c r="A177" s="8" t="s">
        <v>136</v>
      </c>
      <c r="B177" s="8">
        <v>11</v>
      </c>
      <c r="C177" s="9" t="s">
        <v>381</v>
      </c>
      <c r="D177" s="8">
        <v>2</v>
      </c>
      <c r="E177" s="9" t="s">
        <v>105</v>
      </c>
      <c r="F177" s="8" t="s">
        <v>382</v>
      </c>
      <c r="G177" s="8" t="s">
        <v>117</v>
      </c>
      <c r="H177" s="8" t="s">
        <v>120</v>
      </c>
      <c r="I177" s="8" t="s">
        <v>91</v>
      </c>
      <c r="J177" s="9" t="s">
        <v>383</v>
      </c>
      <c r="K177" s="8" t="str">
        <f>VLOOKUP(LEFT(H177,7),'קטלוג תרחישים'!$A:$M,12,FALSE())</f>
        <v>ג'</v>
      </c>
      <c r="L177" s="8" t="str">
        <f>IF(J177="כן",K177,VLOOKUP(LEFT(H177,7),'קטלוג תרחישים'!$A:$M,13,FALSE()))</f>
        <v>א'</v>
      </c>
      <c r="M177" s="13"/>
      <c r="N177" s="51" t="s">
        <v>366</v>
      </c>
      <c r="O177" s="13" t="str">
        <f t="array" ref="O177">_xlfn.IFS(N177="A","א'", N177="B", "ב'", N177= "C", "ג'")</f>
        <v>ג'</v>
      </c>
      <c r="P177" s="13">
        <f>IF(Table_2[[#This Row],[Correct_Answer]]=Table_2[[#This Row],[System_Recommendation]],1,0)</f>
        <v>0</v>
      </c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 spans="1:26" ht="15.75" hidden="1" customHeight="1">
      <c r="A178" s="8" t="s">
        <v>136</v>
      </c>
      <c r="B178" s="8">
        <v>12</v>
      </c>
      <c r="C178" s="9" t="s">
        <v>381</v>
      </c>
      <c r="D178" s="8">
        <v>2</v>
      </c>
      <c r="E178" s="9" t="s">
        <v>105</v>
      </c>
      <c r="F178" s="8" t="s">
        <v>382</v>
      </c>
      <c r="G178" s="8" t="s">
        <v>117</v>
      </c>
      <c r="H178" s="8" t="s">
        <v>121</v>
      </c>
      <c r="I178" s="8" t="s">
        <v>100</v>
      </c>
      <c r="J178" s="9" t="s">
        <v>383</v>
      </c>
      <c r="K178" s="8" t="str">
        <f>VLOOKUP(LEFT(H178,7),'קטלוג תרחישים'!$A:$M,12,FALSE())</f>
        <v>ג'</v>
      </c>
      <c r="L178" s="8" t="str">
        <f>IF(J178="כן",K178,VLOOKUP(LEFT(H178,7),'קטלוג תרחישים'!$A:$M,13,FALSE()))</f>
        <v>ב'</v>
      </c>
      <c r="M178" s="13"/>
      <c r="N178" s="50" t="s">
        <v>366</v>
      </c>
      <c r="O178" s="13" t="str">
        <f t="array" ref="O178">_xlfn.IFS(N178="A","א'", N178="B", "ב'", N178= "C", "ג'")</f>
        <v>ג'</v>
      </c>
      <c r="P178" s="13">
        <f>IF(Table_2[[#This Row],[Correct_Answer]]=Table_2[[#This Row],[System_Recommendation]],1,0)</f>
        <v>0</v>
      </c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 spans="1:26" ht="15.75" hidden="1" customHeight="1">
      <c r="A179" s="8" t="s">
        <v>136</v>
      </c>
      <c r="B179" s="8">
        <v>13</v>
      </c>
      <c r="C179" s="9" t="s">
        <v>381</v>
      </c>
      <c r="D179" s="8">
        <v>2</v>
      </c>
      <c r="E179" s="9" t="s">
        <v>105</v>
      </c>
      <c r="F179" s="8" t="s">
        <v>382</v>
      </c>
      <c r="G179" s="8" t="s">
        <v>117</v>
      </c>
      <c r="H179" s="8" t="s">
        <v>118</v>
      </c>
      <c r="I179" s="8" t="s">
        <v>91</v>
      </c>
      <c r="J179" s="9" t="s">
        <v>380</v>
      </c>
      <c r="K179" s="8" t="str">
        <f>VLOOKUP(LEFT(H179,7),'קטלוג תרחישים'!$A:$M,12,FALSE())</f>
        <v>ג'</v>
      </c>
      <c r="L179" s="8" t="str">
        <f>IF(J179="כן",K179,VLOOKUP(LEFT(H179,7),'קטלוג תרחישים'!$A:$M,13,FALSE()))</f>
        <v>ג'</v>
      </c>
      <c r="M179" s="13"/>
      <c r="N179" s="51" t="s">
        <v>366</v>
      </c>
      <c r="O179" s="13" t="str">
        <f t="array" ref="O179">_xlfn.IFS(N179="A","א'", N179="B", "ב'", N179= "C", "ג'")</f>
        <v>ג'</v>
      </c>
      <c r="P179" s="13">
        <f>IF(Table_2[[#This Row],[Correct_Answer]]=Table_2[[#This Row],[System_Recommendation]],1,0)</f>
        <v>1</v>
      </c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 spans="1:26" ht="15.75" hidden="1" customHeight="1">
      <c r="A180" s="8" t="s">
        <v>136</v>
      </c>
      <c r="B180" s="8">
        <v>14</v>
      </c>
      <c r="C180" s="9" t="s">
        <v>381</v>
      </c>
      <c r="D180" s="8">
        <v>2</v>
      </c>
      <c r="E180" s="9" t="s">
        <v>105</v>
      </c>
      <c r="F180" s="8" t="s">
        <v>382</v>
      </c>
      <c r="G180" s="8" t="s">
        <v>117</v>
      </c>
      <c r="H180" s="8" t="s">
        <v>119</v>
      </c>
      <c r="I180" s="8" t="s">
        <v>100</v>
      </c>
      <c r="J180" s="9" t="s">
        <v>380</v>
      </c>
      <c r="K180" s="8" t="str">
        <f>VLOOKUP(LEFT(H180,7),'קטלוג תרחישים'!$A:$M,12,FALSE())</f>
        <v>א'</v>
      </c>
      <c r="L180" s="8" t="str">
        <f>IF(J180="כן",K180,VLOOKUP(LEFT(H180,7),'קטלוג תרחישים'!$A:$M,13,FALSE()))</f>
        <v>א'</v>
      </c>
      <c r="M180" s="13"/>
      <c r="N180" s="50" t="s">
        <v>365</v>
      </c>
      <c r="O180" s="13" t="str">
        <f t="array" ref="O180">_xlfn.IFS(N180="A","א'", N180="B", "ב'", N180= "C", "ג'")</f>
        <v>ב'</v>
      </c>
      <c r="P180" s="13">
        <f>IF(Table_2[[#This Row],[Correct_Answer]]=Table_2[[#This Row],[System_Recommendation]],1,0)</f>
        <v>1</v>
      </c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 spans="1:26" ht="15.75" hidden="1" customHeight="1">
      <c r="A181" s="8" t="s">
        <v>136</v>
      </c>
      <c r="B181" s="8">
        <v>15</v>
      </c>
      <c r="C181" s="9" t="s">
        <v>381</v>
      </c>
      <c r="D181" s="8">
        <v>3</v>
      </c>
      <c r="E181" s="9" t="s">
        <v>111</v>
      </c>
      <c r="F181" s="8" t="s">
        <v>382</v>
      </c>
      <c r="G181" s="8" t="s">
        <v>117</v>
      </c>
      <c r="H181" s="8" t="s">
        <v>122</v>
      </c>
      <c r="I181" s="8" t="s">
        <v>91</v>
      </c>
      <c r="J181" s="9" t="s">
        <v>380</v>
      </c>
      <c r="K181" s="8" t="str">
        <f>VLOOKUP(LEFT(H181,7),'קטלוג תרחישים'!$A:$M,12,FALSE())</f>
        <v>ג'</v>
      </c>
      <c r="L181" s="8" t="str">
        <f>IF(J181="כן",K181,VLOOKUP(LEFT(H181,7),'קטלוג תרחישים'!$A:$M,13,FALSE()))</f>
        <v>ג'</v>
      </c>
      <c r="M181" s="13"/>
      <c r="N181" s="51" t="s">
        <v>365</v>
      </c>
      <c r="O181" s="13" t="str">
        <f t="array" ref="O181">_xlfn.IFS(N181="A","א'", N181="B", "ב'", N181= "C", "ג'")</f>
        <v>ב'</v>
      </c>
      <c r="P181" s="13">
        <f>IF(Table_2[[#This Row],[Correct_Answer]]=Table_2[[#This Row],[System_Recommendation]],1,0)</f>
        <v>1</v>
      </c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 spans="1:26" ht="15.75" hidden="1" customHeight="1">
      <c r="A182" s="8" t="s">
        <v>136</v>
      </c>
      <c r="B182" s="8">
        <v>16</v>
      </c>
      <c r="C182" s="9" t="s">
        <v>381</v>
      </c>
      <c r="D182" s="8">
        <v>3</v>
      </c>
      <c r="E182" s="9" t="s">
        <v>111</v>
      </c>
      <c r="F182" s="8" t="s">
        <v>382</v>
      </c>
      <c r="G182" s="8" t="s">
        <v>117</v>
      </c>
      <c r="H182" s="8" t="s">
        <v>125</v>
      </c>
      <c r="I182" s="8" t="s">
        <v>100</v>
      </c>
      <c r="J182" s="9" t="s">
        <v>383</v>
      </c>
      <c r="K182" s="8" t="str">
        <f>VLOOKUP(LEFT(H182,7),'קטלוג תרחישים'!$A:$M,12,FALSE())</f>
        <v>ג'</v>
      </c>
      <c r="L182" s="8" t="str">
        <f>IF(J182="כן",K182,VLOOKUP(LEFT(H182,7),'קטלוג תרחישים'!$A:$M,13,FALSE()))</f>
        <v>ב'</v>
      </c>
      <c r="M182" s="13"/>
      <c r="N182" s="50" t="s">
        <v>365</v>
      </c>
      <c r="O182" s="13" t="str">
        <f t="array" ref="O182">_xlfn.IFS(N182="A","א'", N182="B", "ב'", N182= "C", "ג'")</f>
        <v>ב'</v>
      </c>
      <c r="P182" s="13">
        <f>IF(Table_2[[#This Row],[Correct_Answer]]=Table_2[[#This Row],[System_Recommendation]],1,0)</f>
        <v>0</v>
      </c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 spans="1:26" ht="15.75" hidden="1" customHeight="1">
      <c r="A183" s="8" t="s">
        <v>136</v>
      </c>
      <c r="B183" s="8">
        <v>17</v>
      </c>
      <c r="C183" s="9" t="s">
        <v>381</v>
      </c>
      <c r="D183" s="8">
        <v>3</v>
      </c>
      <c r="E183" s="9" t="s">
        <v>111</v>
      </c>
      <c r="F183" s="8" t="s">
        <v>382</v>
      </c>
      <c r="G183" s="8" t="s">
        <v>117</v>
      </c>
      <c r="H183" s="8" t="s">
        <v>124</v>
      </c>
      <c r="I183" s="8" t="s">
        <v>91</v>
      </c>
      <c r="J183" s="9" t="s">
        <v>383</v>
      </c>
      <c r="K183" s="8" t="str">
        <f>VLOOKUP(LEFT(H183,7),'קטלוג תרחישים'!$A:$M,12,FALSE())</f>
        <v>ב'</v>
      </c>
      <c r="L183" s="8" t="str">
        <f>IF(J183="כן",K183,VLOOKUP(LEFT(H183,7),'קטלוג תרחישים'!$A:$M,13,FALSE()))</f>
        <v>א'</v>
      </c>
      <c r="M183" s="13"/>
      <c r="N183" s="51" t="s">
        <v>360</v>
      </c>
      <c r="O183" s="13" t="str">
        <f t="array" ref="O183">_xlfn.IFS(N183="A","א'", N183="B", "ב'", N183= "C", "ג'")</f>
        <v>א'</v>
      </c>
      <c r="P183" s="13">
        <f>IF(Table_2[[#This Row],[Correct_Answer]]=Table_2[[#This Row],[System_Recommendation]],1,0)</f>
        <v>0</v>
      </c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 spans="1:26" ht="15.75" hidden="1" customHeight="1">
      <c r="A184" s="8" t="s">
        <v>136</v>
      </c>
      <c r="B184" s="8">
        <v>18</v>
      </c>
      <c r="C184" s="9" t="s">
        <v>381</v>
      </c>
      <c r="D184" s="8">
        <v>3</v>
      </c>
      <c r="E184" s="9" t="s">
        <v>111</v>
      </c>
      <c r="F184" s="8" t="s">
        <v>382</v>
      </c>
      <c r="G184" s="8" t="s">
        <v>117</v>
      </c>
      <c r="H184" s="8" t="s">
        <v>123</v>
      </c>
      <c r="I184" s="8" t="s">
        <v>100</v>
      </c>
      <c r="J184" s="9" t="s">
        <v>380</v>
      </c>
      <c r="K184" s="8" t="str">
        <f>VLOOKUP(LEFT(H184,7),'קטלוג תרחישים'!$A:$M,12,FALSE())</f>
        <v>ב'</v>
      </c>
      <c r="L184" s="8" t="str">
        <f>IF(J184="כן",K184,VLOOKUP(LEFT(H184,7),'קטלוג תרחישים'!$A:$M,13,FALSE()))</f>
        <v>ב'</v>
      </c>
      <c r="M184" s="13"/>
      <c r="N184" s="50" t="s">
        <v>366</v>
      </c>
      <c r="O184" s="13" t="str">
        <f t="array" ref="O184">_xlfn.IFS(N184="A","א'", N184="B", "ב'", N184= "C", "ג'")</f>
        <v>ג'</v>
      </c>
      <c r="P184" s="13">
        <f>IF(Table_2[[#This Row],[Correct_Answer]]=Table_2[[#This Row],[System_Recommendation]],1,0)</f>
        <v>1</v>
      </c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 spans="1:26" ht="15.75" hidden="1" customHeight="1">
      <c r="A185" s="8" t="s">
        <v>136</v>
      </c>
      <c r="B185" s="8">
        <v>19</v>
      </c>
      <c r="C185" s="9" t="s">
        <v>381</v>
      </c>
      <c r="D185" s="8">
        <v>1</v>
      </c>
      <c r="E185" s="9" t="s">
        <v>111</v>
      </c>
      <c r="F185" s="8" t="s">
        <v>384</v>
      </c>
      <c r="G185" s="8" t="s">
        <v>97</v>
      </c>
      <c r="H185" s="8" t="s">
        <v>116</v>
      </c>
      <c r="I185" s="8" t="s">
        <v>91</v>
      </c>
      <c r="J185" s="9" t="s">
        <v>380</v>
      </c>
      <c r="K185" s="8" t="str">
        <f>VLOOKUP(LEFT(H185,7),'קטלוג תרחישים'!$A:$M,12,FALSE())</f>
        <v>ג'</v>
      </c>
      <c r="L185" s="8" t="str">
        <f>IF(J185="כן",K185,VLOOKUP(LEFT(H185,7),'קטלוג תרחישים'!$A:$M,13,FALSE()))</f>
        <v>ג'</v>
      </c>
      <c r="M185" s="13"/>
      <c r="N185" s="51" t="s">
        <v>365</v>
      </c>
      <c r="O185" s="13" t="str">
        <f t="array" ref="O185">_xlfn.IFS(N185="A","א'", N185="B", "ב'", N185= "C", "ג'")</f>
        <v>ב'</v>
      </c>
      <c r="P185" s="13">
        <f>IF(Table_2[[#This Row],[Correct_Answer]]=Table_2[[#This Row],[System_Recommendation]],1,0)</f>
        <v>1</v>
      </c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 spans="1:26" ht="15.75" hidden="1" customHeight="1">
      <c r="A186" s="8" t="s">
        <v>136</v>
      </c>
      <c r="B186" s="8">
        <v>20</v>
      </c>
      <c r="C186" s="9" t="s">
        <v>381</v>
      </c>
      <c r="D186" s="8">
        <v>1</v>
      </c>
      <c r="E186" s="9" t="s">
        <v>111</v>
      </c>
      <c r="F186" s="8" t="s">
        <v>384</v>
      </c>
      <c r="G186" s="8" t="s">
        <v>97</v>
      </c>
      <c r="H186" s="8" t="s">
        <v>113</v>
      </c>
      <c r="I186" s="8" t="s">
        <v>100</v>
      </c>
      <c r="J186" s="9" t="s">
        <v>380</v>
      </c>
      <c r="K186" s="8" t="str">
        <f>VLOOKUP(LEFT(H186,7),'קטלוג תרחישים'!$A:$M,12,FALSE())</f>
        <v>ג'</v>
      </c>
      <c r="L186" s="8" t="str">
        <f>IF(J186="כן",K186,VLOOKUP(LEFT(H186,7),'קטלוג תרחישים'!$A:$M,13,FALSE()))</f>
        <v>ג'</v>
      </c>
      <c r="M186" s="13"/>
      <c r="N186" s="50" t="s">
        <v>366</v>
      </c>
      <c r="O186" s="13" t="str">
        <f t="array" ref="O186">_xlfn.IFS(N186="A","א'", N186="B", "ב'", N186= "C", "ג'")</f>
        <v>ג'</v>
      </c>
      <c r="P186" s="13">
        <f>IF(Table_2[[#This Row],[Correct_Answer]]=Table_2[[#This Row],[System_Recommendation]],1,0)</f>
        <v>1</v>
      </c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 spans="1:26" ht="15.75" hidden="1" customHeight="1">
      <c r="A187" s="8" t="s">
        <v>136</v>
      </c>
      <c r="B187" s="8">
        <v>21</v>
      </c>
      <c r="C187" s="9" t="s">
        <v>381</v>
      </c>
      <c r="D187" s="8">
        <v>1</v>
      </c>
      <c r="E187" s="9" t="s">
        <v>111</v>
      </c>
      <c r="F187" s="8" t="s">
        <v>384</v>
      </c>
      <c r="G187" s="8" t="s">
        <v>97</v>
      </c>
      <c r="H187" s="8" t="s">
        <v>114</v>
      </c>
      <c r="I187" s="8" t="s">
        <v>91</v>
      </c>
      <c r="J187" s="9" t="s">
        <v>383</v>
      </c>
      <c r="K187" s="8" t="str">
        <f>VLOOKUP(LEFT(H187,7),'קטלוג תרחישים'!$A:$M,12,FALSE())</f>
        <v>ג'</v>
      </c>
      <c r="L187" s="8" t="str">
        <f>IF(J187="כן",K187,VLOOKUP(LEFT(H187,7),'קטלוג תרחישים'!$A:$M,13,FALSE()))</f>
        <v>ב'</v>
      </c>
      <c r="M187" s="13"/>
      <c r="N187" s="51" t="s">
        <v>360</v>
      </c>
      <c r="O187" s="13" t="str">
        <f t="array" ref="O187">_xlfn.IFS(N187="A","א'", N187="B", "ב'", N187= "C", "ג'")</f>
        <v>א'</v>
      </c>
      <c r="P187" s="13">
        <f>IF(Table_2[[#This Row],[Correct_Answer]]=Table_2[[#This Row],[System_Recommendation]],1,0)</f>
        <v>0</v>
      </c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 spans="1:26" ht="15.75" hidden="1" customHeight="1">
      <c r="A188" s="8" t="s">
        <v>136</v>
      </c>
      <c r="B188" s="8">
        <v>22</v>
      </c>
      <c r="C188" s="9" t="s">
        <v>381</v>
      </c>
      <c r="D188" s="8">
        <v>1</v>
      </c>
      <c r="E188" s="9" t="s">
        <v>111</v>
      </c>
      <c r="F188" s="8" t="s">
        <v>384</v>
      </c>
      <c r="G188" s="8" t="s">
        <v>97</v>
      </c>
      <c r="H188" s="8" t="s">
        <v>115</v>
      </c>
      <c r="I188" s="8" t="s">
        <v>100</v>
      </c>
      <c r="J188" s="9" t="s">
        <v>380</v>
      </c>
      <c r="K188" s="8" t="str">
        <f>VLOOKUP(LEFT(H188,7),'קטלוג תרחישים'!$A:$M,12,FALSE())</f>
        <v>א'</v>
      </c>
      <c r="L188" s="8" t="str">
        <f>IF(J188="כן",K188,VLOOKUP(LEFT(H188,7),'קטלוג תרחישים'!$A:$M,13,FALSE()))</f>
        <v>א'</v>
      </c>
      <c r="M188" s="13"/>
      <c r="N188" s="50" t="s">
        <v>366</v>
      </c>
      <c r="O188" s="13" t="str">
        <f t="array" ref="O188">_xlfn.IFS(N188="A","א'", N188="B", "ב'", N188= "C", "ג'")</f>
        <v>ג'</v>
      </c>
      <c r="P188" s="13">
        <f>IF(Table_2[[#This Row],[Correct_Answer]]=Table_2[[#This Row],[System_Recommendation]],1,0)</f>
        <v>1</v>
      </c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 spans="1:26" ht="15.75" hidden="1" customHeight="1">
      <c r="A189" s="8" t="s">
        <v>136</v>
      </c>
      <c r="B189" s="8">
        <v>23</v>
      </c>
      <c r="C189" s="9" t="s">
        <v>381</v>
      </c>
      <c r="D189" s="8">
        <v>1</v>
      </c>
      <c r="E189" s="9" t="s">
        <v>111</v>
      </c>
      <c r="F189" s="8" t="s">
        <v>384</v>
      </c>
      <c r="G189" s="8" t="s">
        <v>97</v>
      </c>
      <c r="H189" s="8" t="s">
        <v>112</v>
      </c>
      <c r="I189" s="8" t="s">
        <v>91</v>
      </c>
      <c r="J189" s="9" t="s">
        <v>380</v>
      </c>
      <c r="K189" s="8" t="str">
        <f>VLOOKUP(LEFT(H189,7),'קטלוג תרחישים'!$A:$M,12,FALSE())</f>
        <v>ב'</v>
      </c>
      <c r="L189" s="8" t="str">
        <f>IF(J189="כן",K189,VLOOKUP(LEFT(H189,7),'קטלוג תרחישים'!$A:$M,13,FALSE()))</f>
        <v>ב'</v>
      </c>
      <c r="M189" s="13"/>
      <c r="N189" s="51" t="s">
        <v>366</v>
      </c>
      <c r="O189" s="13" t="str">
        <f t="array" ref="O189">_xlfn.IFS(N189="A","א'", N189="B", "ב'", N189= "C", "ג'")</f>
        <v>ג'</v>
      </c>
      <c r="P189" s="13">
        <f>IF(Table_2[[#This Row],[Correct_Answer]]=Table_2[[#This Row],[System_Recommendation]],1,0)</f>
        <v>1</v>
      </c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 spans="1:26" ht="15.75" hidden="1" customHeight="1">
      <c r="A190" s="8" t="s">
        <v>136</v>
      </c>
      <c r="B190" s="8">
        <v>24</v>
      </c>
      <c r="C190" s="9" t="s">
        <v>381</v>
      </c>
      <c r="D190" s="8">
        <v>2</v>
      </c>
      <c r="E190" s="9" t="s">
        <v>98</v>
      </c>
      <c r="F190" s="8" t="s">
        <v>384</v>
      </c>
      <c r="G190" s="8" t="s">
        <v>97</v>
      </c>
      <c r="H190" s="8" t="s">
        <v>102</v>
      </c>
      <c r="I190" s="8" t="s">
        <v>100</v>
      </c>
      <c r="J190" s="9" t="s">
        <v>380</v>
      </c>
      <c r="K190" s="8" t="str">
        <f>VLOOKUP(LEFT(H190,7),'קטלוג תרחישים'!$A:$M,12,FALSE())</f>
        <v>ג'</v>
      </c>
      <c r="L190" s="8" t="str">
        <f>IF(J190="כן",K190,VLOOKUP(LEFT(H190,7),'קטלוג תרחישים'!$A:$M,13,FALSE()))</f>
        <v>ג'</v>
      </c>
      <c r="M190" s="13"/>
      <c r="N190" s="50" t="s">
        <v>365</v>
      </c>
      <c r="O190" s="13" t="str">
        <f t="array" ref="O190">_xlfn.IFS(N190="A","א'", N190="B", "ב'", N190= "C", "ג'")</f>
        <v>ב'</v>
      </c>
      <c r="P190" s="13">
        <f>IF(Table_2[[#This Row],[Correct_Answer]]=Table_2[[#This Row],[System_Recommendation]],1,0)</f>
        <v>1</v>
      </c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 spans="1:26" ht="15.75" hidden="1" customHeight="1">
      <c r="A191" s="8" t="s">
        <v>136</v>
      </c>
      <c r="B191" s="8">
        <v>25</v>
      </c>
      <c r="C191" s="9" t="s">
        <v>381</v>
      </c>
      <c r="D191" s="8">
        <v>2</v>
      </c>
      <c r="E191" s="9" t="s">
        <v>98</v>
      </c>
      <c r="F191" s="8" t="s">
        <v>384</v>
      </c>
      <c r="G191" s="8" t="s">
        <v>97</v>
      </c>
      <c r="H191" s="8" t="s">
        <v>103</v>
      </c>
      <c r="I191" s="8" t="s">
        <v>91</v>
      </c>
      <c r="J191" s="9" t="s">
        <v>383</v>
      </c>
      <c r="K191" s="8" t="str">
        <f>VLOOKUP(LEFT(H191,7),'קטלוג תרחישים'!$A:$M,12,FALSE())</f>
        <v>ב'</v>
      </c>
      <c r="L191" s="8" t="str">
        <f>IF(J191="כן",K191,VLOOKUP(LEFT(H191,7),'קטלוג תרחישים'!$A:$M,13,FALSE()))</f>
        <v>ג'</v>
      </c>
      <c r="M191" s="13"/>
      <c r="N191" s="51" t="s">
        <v>360</v>
      </c>
      <c r="O191" s="13" t="str">
        <f t="array" ref="O191">_xlfn.IFS(N191="A","א'", N191="B", "ב'", N191= "C", "ג'")</f>
        <v>א'</v>
      </c>
      <c r="P191" s="13">
        <f>IF(Table_2[[#This Row],[Correct_Answer]]=Table_2[[#This Row],[System_Recommendation]],1,0)</f>
        <v>0</v>
      </c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 spans="1:26" ht="15.75" hidden="1" customHeight="1">
      <c r="A192" s="8" t="s">
        <v>136</v>
      </c>
      <c r="B192" s="8">
        <v>26</v>
      </c>
      <c r="C192" s="9" t="s">
        <v>381</v>
      </c>
      <c r="D192" s="8">
        <v>2</v>
      </c>
      <c r="E192" s="9" t="s">
        <v>98</v>
      </c>
      <c r="F192" s="8" t="s">
        <v>384</v>
      </c>
      <c r="G192" s="8" t="s">
        <v>97</v>
      </c>
      <c r="H192" s="8" t="s">
        <v>104</v>
      </c>
      <c r="I192" s="8" t="s">
        <v>100</v>
      </c>
      <c r="J192" s="9" t="s">
        <v>380</v>
      </c>
      <c r="K192" s="8" t="str">
        <f>VLOOKUP(LEFT(H192,7),'קטלוג תרחישים'!$A:$M,12,FALSE())</f>
        <v>ב'</v>
      </c>
      <c r="L192" s="8" t="str">
        <f>IF(J192="כן",K192,VLOOKUP(LEFT(H192,7),'קטלוג תרחישים'!$A:$M,13,FALSE()))</f>
        <v>ב'</v>
      </c>
      <c r="M192" s="13"/>
      <c r="N192" s="50" t="s">
        <v>366</v>
      </c>
      <c r="O192" s="13" t="str">
        <f t="array" ref="O192">_xlfn.IFS(N192="A","א'", N192="B", "ב'", N192= "C", "ג'")</f>
        <v>ג'</v>
      </c>
      <c r="P192" s="13">
        <f>IF(Table_2[[#This Row],[Correct_Answer]]=Table_2[[#This Row],[System_Recommendation]],1,0)</f>
        <v>1</v>
      </c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 spans="1:26" ht="15.75" hidden="1" customHeight="1">
      <c r="A193" s="8" t="s">
        <v>136</v>
      </c>
      <c r="B193" s="8">
        <v>27</v>
      </c>
      <c r="C193" s="9" t="s">
        <v>381</v>
      </c>
      <c r="D193" s="8">
        <v>2</v>
      </c>
      <c r="E193" s="9" t="s">
        <v>98</v>
      </c>
      <c r="F193" s="8" t="s">
        <v>384</v>
      </c>
      <c r="G193" s="8" t="s">
        <v>97</v>
      </c>
      <c r="H193" s="8" t="s">
        <v>101</v>
      </c>
      <c r="I193" s="8" t="s">
        <v>91</v>
      </c>
      <c r="J193" s="9" t="s">
        <v>380</v>
      </c>
      <c r="K193" s="8" t="str">
        <f>VLOOKUP(LEFT(H193,7),'קטלוג תרחישים'!$A:$M,12,FALSE())</f>
        <v>א'</v>
      </c>
      <c r="L193" s="8" t="str">
        <f>IF(J193="כן",K193,VLOOKUP(LEFT(H193,7),'קטלוג תרחישים'!$A:$M,13,FALSE()))</f>
        <v>א'</v>
      </c>
      <c r="M193" s="13"/>
      <c r="N193" s="51" t="s">
        <v>365</v>
      </c>
      <c r="O193" s="13" t="str">
        <f t="array" ref="O193">_xlfn.IFS(N193="A","א'", N193="B", "ב'", N193= "C", "ג'")</f>
        <v>ב'</v>
      </c>
      <c r="P193" s="13">
        <f>IF(Table_2[[#This Row],[Correct_Answer]]=Table_2[[#This Row],[System_Recommendation]],1,0)</f>
        <v>1</v>
      </c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 spans="1:26" ht="15.75" hidden="1" customHeight="1">
      <c r="A194" s="8" t="s">
        <v>136</v>
      </c>
      <c r="B194" s="8">
        <v>28</v>
      </c>
      <c r="C194" s="9" t="s">
        <v>381</v>
      </c>
      <c r="D194" s="8">
        <v>2</v>
      </c>
      <c r="E194" s="9" t="s">
        <v>98</v>
      </c>
      <c r="F194" s="8" t="s">
        <v>384</v>
      </c>
      <c r="G194" s="8" t="s">
        <v>97</v>
      </c>
      <c r="H194" s="8" t="s">
        <v>99</v>
      </c>
      <c r="I194" s="8" t="s">
        <v>100</v>
      </c>
      <c r="J194" s="9" t="s">
        <v>380</v>
      </c>
      <c r="K194" s="8" t="str">
        <f>VLOOKUP(LEFT(H194,7),'קטלוג תרחישים'!$A:$M,12,FALSE())</f>
        <v>ג'</v>
      </c>
      <c r="L194" s="8" t="str">
        <f>IF(J194="כן",K194,VLOOKUP(LEFT(H194,7),'קטלוג תרחישים'!$A:$M,13,FALSE()))</f>
        <v>ג'</v>
      </c>
      <c r="M194" s="13"/>
      <c r="N194" s="50" t="s">
        <v>366</v>
      </c>
      <c r="O194" s="13" t="str">
        <f t="array" ref="O194">_xlfn.IFS(N194="A","א'", N194="B", "ב'", N194= "C", "ג'")</f>
        <v>ג'</v>
      </c>
      <c r="P194" s="13">
        <f>IF(Table_2[[#This Row],[Correct_Answer]]=Table_2[[#This Row],[System_Recommendation]],1,0)</f>
        <v>1</v>
      </c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 spans="1:26" ht="15.75" hidden="1" customHeight="1">
      <c r="A195" s="8" t="s">
        <v>136</v>
      </c>
      <c r="B195" s="8">
        <v>29</v>
      </c>
      <c r="C195" s="9" t="s">
        <v>381</v>
      </c>
      <c r="D195" s="8">
        <v>3</v>
      </c>
      <c r="E195" s="9" t="s">
        <v>105</v>
      </c>
      <c r="F195" s="8" t="s">
        <v>384</v>
      </c>
      <c r="G195" s="8" t="s">
        <v>97</v>
      </c>
      <c r="H195" s="8" t="s">
        <v>108</v>
      </c>
      <c r="I195" s="8" t="s">
        <v>91</v>
      </c>
      <c r="J195" s="9" t="s">
        <v>380</v>
      </c>
      <c r="K195" s="8" t="str">
        <f>VLOOKUP(LEFT(H195,7),'קטלוג תרחישים'!$A:$M,12,FALSE())</f>
        <v>ג'</v>
      </c>
      <c r="L195" s="8" t="str">
        <f>IF(J195="כן",K195,VLOOKUP(LEFT(H195,7),'קטלוג תרחישים'!$A:$M,13,FALSE()))</f>
        <v>ג'</v>
      </c>
      <c r="M195" s="13"/>
      <c r="N195" s="51" t="s">
        <v>366</v>
      </c>
      <c r="O195" s="13" t="str">
        <f t="array" ref="O195">_xlfn.IFS(N195="A","א'", N195="B", "ב'", N195= "C", "ג'")</f>
        <v>ג'</v>
      </c>
      <c r="P195" s="13">
        <f>IF(Table_2[[#This Row],[Correct_Answer]]=Table_2[[#This Row],[System_Recommendation]],1,0)</f>
        <v>1</v>
      </c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 spans="1:26" ht="15.75" hidden="1" customHeight="1">
      <c r="A196" s="8" t="s">
        <v>136</v>
      </c>
      <c r="B196" s="8">
        <v>30</v>
      </c>
      <c r="C196" s="9" t="s">
        <v>381</v>
      </c>
      <c r="D196" s="8">
        <v>3</v>
      </c>
      <c r="E196" s="9" t="s">
        <v>105</v>
      </c>
      <c r="F196" s="8" t="s">
        <v>384</v>
      </c>
      <c r="G196" s="8" t="s">
        <v>97</v>
      </c>
      <c r="H196" s="8" t="s">
        <v>107</v>
      </c>
      <c r="I196" s="8" t="s">
        <v>100</v>
      </c>
      <c r="J196" s="9" t="s">
        <v>380</v>
      </c>
      <c r="K196" s="8" t="str">
        <f>VLOOKUP(LEFT(H196,7),'קטלוג תרחישים'!$A:$M,12,FALSE())</f>
        <v>ב'</v>
      </c>
      <c r="L196" s="8" t="str">
        <f>IF(J196="כן",K196,VLOOKUP(LEFT(H196,7),'קטלוג תרחישים'!$A:$M,13,FALSE()))</f>
        <v>ב'</v>
      </c>
      <c r="M196" s="13"/>
      <c r="N196" s="50" t="s">
        <v>365</v>
      </c>
      <c r="O196" s="13" t="str">
        <f t="array" ref="O196">_xlfn.IFS(N196="A","א'", N196="B", "ב'", N196= "C", "ג'")</f>
        <v>ב'</v>
      </c>
      <c r="P196" s="13">
        <f>IF(Table_2[[#This Row],[Correct_Answer]]=Table_2[[#This Row],[System_Recommendation]],1,0)</f>
        <v>1</v>
      </c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 spans="1:26" ht="15.75" hidden="1" customHeight="1">
      <c r="A197" s="8" t="s">
        <v>136</v>
      </c>
      <c r="B197" s="8">
        <v>31</v>
      </c>
      <c r="C197" s="9" t="s">
        <v>381</v>
      </c>
      <c r="D197" s="8">
        <v>3</v>
      </c>
      <c r="E197" s="9" t="s">
        <v>105</v>
      </c>
      <c r="F197" s="8" t="s">
        <v>384</v>
      </c>
      <c r="G197" s="8" t="s">
        <v>97</v>
      </c>
      <c r="H197" s="8" t="s">
        <v>106</v>
      </c>
      <c r="I197" s="8" t="s">
        <v>91</v>
      </c>
      <c r="J197" s="9" t="s">
        <v>383</v>
      </c>
      <c r="K197" s="8" t="str">
        <f>VLOOKUP(LEFT(H197,7),'קטלוג תרחישים'!$A:$M,12,FALSE())</f>
        <v>א'</v>
      </c>
      <c r="L197" s="8" t="str">
        <f>IF(J197="כן",K197,VLOOKUP(LEFT(H197,7),'קטלוג תרחישים'!$A:$M,13,FALSE()))</f>
        <v>ב'</v>
      </c>
      <c r="M197" s="13"/>
      <c r="N197" s="51" t="s">
        <v>366</v>
      </c>
      <c r="O197" s="13" t="str">
        <f t="array" ref="O197">_xlfn.IFS(N197="A","א'", N197="B", "ב'", N197= "C", "ג'")</f>
        <v>ג'</v>
      </c>
      <c r="P197" s="13">
        <f>IF(Table_2[[#This Row],[Correct_Answer]]=Table_2[[#This Row],[System_Recommendation]],1,0)</f>
        <v>0</v>
      </c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 spans="1:26" ht="15.75" hidden="1" customHeight="1">
      <c r="A198" s="8" t="s">
        <v>136</v>
      </c>
      <c r="B198" s="8">
        <v>32</v>
      </c>
      <c r="C198" s="9" t="s">
        <v>381</v>
      </c>
      <c r="D198" s="8">
        <v>3</v>
      </c>
      <c r="E198" s="9" t="s">
        <v>105</v>
      </c>
      <c r="F198" s="8" t="s">
        <v>384</v>
      </c>
      <c r="G198" s="8" t="s">
        <v>97</v>
      </c>
      <c r="H198" s="8" t="s">
        <v>109</v>
      </c>
      <c r="I198" s="8" t="s">
        <v>100</v>
      </c>
      <c r="J198" s="9" t="s">
        <v>380</v>
      </c>
      <c r="K198" s="8" t="str">
        <f>VLOOKUP(LEFT(H198,7),'קטלוג תרחישים'!$A:$M,12,FALSE())</f>
        <v>ב'</v>
      </c>
      <c r="L198" s="8" t="str">
        <f>IF(J198="כן",K198,VLOOKUP(LEFT(H198,7),'קטלוג תרחישים'!$A:$M,13,FALSE()))</f>
        <v>ב'</v>
      </c>
      <c r="M198" s="13"/>
      <c r="N198" s="50" t="s">
        <v>360</v>
      </c>
      <c r="O198" s="13" t="str">
        <f t="array" ref="O198">_xlfn.IFS(N198="A","א'", N198="B", "ב'", N198= "C", "ג'")</f>
        <v>א'</v>
      </c>
      <c r="P198" s="13">
        <f>IF(Table_2[[#This Row],[Correct_Answer]]=Table_2[[#This Row],[System_Recommendation]],1,0)</f>
        <v>1</v>
      </c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 spans="1:26" ht="15.75" hidden="1" customHeight="1">
      <c r="A199" s="8" t="s">
        <v>136</v>
      </c>
      <c r="B199" s="8">
        <v>33</v>
      </c>
      <c r="C199" s="9" t="s">
        <v>381</v>
      </c>
      <c r="D199" s="8">
        <v>3</v>
      </c>
      <c r="E199" s="9" t="s">
        <v>105</v>
      </c>
      <c r="F199" s="8" t="s">
        <v>384</v>
      </c>
      <c r="G199" s="8" t="s">
        <v>97</v>
      </c>
      <c r="H199" s="8" t="s">
        <v>110</v>
      </c>
      <c r="I199" s="8" t="s">
        <v>91</v>
      </c>
      <c r="J199" s="9" t="s">
        <v>380</v>
      </c>
      <c r="K199" s="8" t="str">
        <f>VLOOKUP(LEFT(H199,7),'קטלוג תרחישים'!$A:$M,12,FALSE())</f>
        <v>ג'</v>
      </c>
      <c r="L199" s="8" t="str">
        <f>IF(J199="כן",K199,VLOOKUP(LEFT(H199,7),'קטלוג תרחישים'!$A:$M,13,FALSE()))</f>
        <v>ג'</v>
      </c>
      <c r="M199" s="13"/>
      <c r="N199" s="51" t="s">
        <v>360</v>
      </c>
      <c r="O199" s="13" t="str">
        <f t="array" ref="O199">_xlfn.IFS(N199="A","א'", N199="B", "ב'", N199= "C", "ג'")</f>
        <v>א'</v>
      </c>
      <c r="P199" s="13">
        <f>IF(Table_2[[#This Row],[Correct_Answer]]=Table_2[[#This Row],[System_Recommendation]],1,0)</f>
        <v>1</v>
      </c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 spans="1:26" ht="15.75" hidden="1" customHeight="1">
      <c r="A200" s="8" t="s">
        <v>137</v>
      </c>
      <c r="B200" s="8">
        <v>1</v>
      </c>
      <c r="C200" s="9" t="s">
        <v>379</v>
      </c>
      <c r="D200" s="8"/>
      <c r="E200" s="9" t="s">
        <v>98</v>
      </c>
      <c r="F200" s="8"/>
      <c r="G200" s="8"/>
      <c r="H200" s="11" t="s">
        <v>90</v>
      </c>
      <c r="I200" s="8" t="s">
        <v>91</v>
      </c>
      <c r="J200" s="9" t="s">
        <v>380</v>
      </c>
      <c r="K200" s="8" t="str">
        <f>VLOOKUP(LEFT(H200,7),'קטלוג תרחישים'!$A:$M,12,FALSE())</f>
        <v>א'</v>
      </c>
      <c r="L200" s="8" t="str">
        <f>IF(J200="כן",K200,VLOOKUP(LEFT(H200,7),'קטלוג תרחישים'!$A:$M,13,FALSE()))</f>
        <v>א'</v>
      </c>
      <c r="M200" s="13"/>
      <c r="N200" s="50" t="s">
        <v>366</v>
      </c>
      <c r="O200" s="13" t="str">
        <f t="array" ref="O200">_xlfn.IFS(N200="A","א'", N200="B", "ב'", N200= "C", "ג'")</f>
        <v>ג'</v>
      </c>
      <c r="P200" s="13">
        <f>IF(Table_2[[#This Row],[Correct_Answer]]=Table_2[[#This Row],[System_Recommendation]],1,0)</f>
        <v>1</v>
      </c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 spans="1:26" ht="15.75" hidden="1" customHeight="1">
      <c r="A201" s="8" t="s">
        <v>137</v>
      </c>
      <c r="B201" s="8">
        <v>2</v>
      </c>
      <c r="C201" s="9" t="s">
        <v>379</v>
      </c>
      <c r="D201" s="8"/>
      <c r="E201" s="9" t="s">
        <v>98</v>
      </c>
      <c r="F201" s="8"/>
      <c r="G201" s="8"/>
      <c r="H201" s="11" t="s">
        <v>92</v>
      </c>
      <c r="I201" s="8" t="s">
        <v>91</v>
      </c>
      <c r="J201" s="9" t="s">
        <v>380</v>
      </c>
      <c r="K201" s="8" t="str">
        <f>VLOOKUP(LEFT(H201,7),'קטלוג תרחישים'!$A:$M,12,FALSE())</f>
        <v>א'</v>
      </c>
      <c r="L201" s="8" t="str">
        <f>IF(J201="כן",K201,VLOOKUP(LEFT(H201,7),'קטלוג תרחישים'!$A:$M,13,FALSE()))</f>
        <v>א'</v>
      </c>
      <c r="M201" s="13"/>
      <c r="N201" s="51" t="s">
        <v>366</v>
      </c>
      <c r="O201" s="13" t="str">
        <f t="array" ref="O201">_xlfn.IFS(N201="A","א'", N201="B", "ב'", N201= "C", "ג'")</f>
        <v>ג'</v>
      </c>
      <c r="P201" s="13">
        <f>IF(Table_2[[#This Row],[Correct_Answer]]=Table_2[[#This Row],[System_Recommendation]],1,0)</f>
        <v>1</v>
      </c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 spans="1:26" ht="15.75" hidden="1" customHeight="1">
      <c r="A202" s="8" t="s">
        <v>137</v>
      </c>
      <c r="B202" s="8">
        <v>3</v>
      </c>
      <c r="C202" s="9" t="s">
        <v>379</v>
      </c>
      <c r="D202" s="8"/>
      <c r="E202" s="9" t="s">
        <v>105</v>
      </c>
      <c r="F202" s="8"/>
      <c r="G202" s="8"/>
      <c r="H202" s="11" t="s">
        <v>93</v>
      </c>
      <c r="I202" s="8" t="s">
        <v>91</v>
      </c>
      <c r="J202" s="9" t="s">
        <v>380</v>
      </c>
      <c r="K202" s="8" t="str">
        <f>VLOOKUP(LEFT(H202,7),'קטלוג תרחישים'!$A:$M,12,FALSE())</f>
        <v>א'</v>
      </c>
      <c r="L202" s="8" t="str">
        <f>IF(J202="כן",K202,VLOOKUP(LEFT(H202,7),'קטלוג תרחישים'!$A:$M,13,FALSE()))</f>
        <v>א'</v>
      </c>
      <c r="M202" s="13"/>
      <c r="N202" s="50" t="s">
        <v>366</v>
      </c>
      <c r="O202" s="13" t="str">
        <f t="array" ref="O202">_xlfn.IFS(N202="A","א'", N202="B", "ב'", N202= "C", "ג'")</f>
        <v>ג'</v>
      </c>
      <c r="P202" s="13">
        <f>IF(Table_2[[#This Row],[Correct_Answer]]=Table_2[[#This Row],[System_Recommendation]],1,0)</f>
        <v>1</v>
      </c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 spans="1:26" ht="15.75" hidden="1" customHeight="1">
      <c r="A203" s="8" t="s">
        <v>137</v>
      </c>
      <c r="B203" s="8">
        <v>4</v>
      </c>
      <c r="C203" s="9" t="s">
        <v>379</v>
      </c>
      <c r="D203" s="8"/>
      <c r="E203" s="9" t="s">
        <v>105</v>
      </c>
      <c r="F203" s="8"/>
      <c r="G203" s="8"/>
      <c r="H203" s="11" t="s">
        <v>94</v>
      </c>
      <c r="I203" s="8" t="s">
        <v>91</v>
      </c>
      <c r="J203" s="9" t="s">
        <v>380</v>
      </c>
      <c r="K203" s="8" t="str">
        <f>VLOOKUP(LEFT(H203,7),'קטלוג תרחישים'!$A:$M,12,FALSE())</f>
        <v>א'</v>
      </c>
      <c r="L203" s="8" t="str">
        <f>IF(J203="כן",K203,VLOOKUP(LEFT(H203,7),'קטלוג תרחישים'!$A:$M,13,FALSE()))</f>
        <v>א'</v>
      </c>
      <c r="M203" s="13"/>
      <c r="N203" s="51" t="s">
        <v>365</v>
      </c>
      <c r="O203" s="13" t="str">
        <f t="array" ref="O203">_xlfn.IFS(N203="A","א'", N203="B", "ב'", N203= "C", "ג'")</f>
        <v>ב'</v>
      </c>
      <c r="P203" s="13">
        <f>IF(Table_2[[#This Row],[Correct_Answer]]=Table_2[[#This Row],[System_Recommendation]],1,0)</f>
        <v>1</v>
      </c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 spans="1:26" ht="15.75" hidden="1" customHeight="1">
      <c r="A204" s="8" t="s">
        <v>137</v>
      </c>
      <c r="B204" s="8">
        <v>5</v>
      </c>
      <c r="C204" s="9" t="s">
        <v>379</v>
      </c>
      <c r="D204" s="8"/>
      <c r="E204" s="9" t="s">
        <v>111</v>
      </c>
      <c r="F204" s="8"/>
      <c r="G204" s="8"/>
      <c r="H204" s="11" t="s">
        <v>95</v>
      </c>
      <c r="I204" s="8" t="s">
        <v>91</v>
      </c>
      <c r="J204" s="9" t="s">
        <v>380</v>
      </c>
      <c r="K204" s="8" t="str">
        <f>VLOOKUP(LEFT(H204,7),'קטלוג תרחישים'!$A:$M,12,FALSE())</f>
        <v>ב'</v>
      </c>
      <c r="L204" s="8" t="str">
        <f>IF(J204="כן",K204,VLOOKUP(LEFT(H204,7),'קטלוג תרחישים'!$A:$M,13,FALSE()))</f>
        <v>ב'</v>
      </c>
      <c r="M204" s="13"/>
      <c r="N204" s="50" t="s">
        <v>360</v>
      </c>
      <c r="O204" s="13" t="str">
        <f t="array" ref="O204">_xlfn.IFS(N204="A","א'", N204="B", "ב'", N204= "C", "ג'")</f>
        <v>א'</v>
      </c>
      <c r="P204" s="13">
        <f>IF(Table_2[[#This Row],[Correct_Answer]]=Table_2[[#This Row],[System_Recommendation]],1,0)</f>
        <v>1</v>
      </c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 spans="1:26" ht="15.75" customHeight="1">
      <c r="A205" s="8" t="s">
        <v>137</v>
      </c>
      <c r="B205" s="8">
        <v>6</v>
      </c>
      <c r="C205" s="9" t="s">
        <v>379</v>
      </c>
      <c r="D205" s="8"/>
      <c r="E205" s="9" t="s">
        <v>111</v>
      </c>
      <c r="F205" s="8"/>
      <c r="G205" s="8"/>
      <c r="H205" s="11" t="s">
        <v>96</v>
      </c>
      <c r="I205" s="8" t="s">
        <v>91</v>
      </c>
      <c r="J205" s="9" t="s">
        <v>380</v>
      </c>
      <c r="K205" s="8" t="str">
        <f>VLOOKUP(LEFT(H205,7),'קטלוג תרחישים'!$A:$M,12,FALSE())</f>
        <v>ב'</v>
      </c>
      <c r="L205" s="8" t="str">
        <f>IF(J205="כן",K205,VLOOKUP(LEFT(H205,7),'קטלוג תרחישים'!$A:$M,13,FALSE()))</f>
        <v>ב'</v>
      </c>
      <c r="M205" s="13"/>
      <c r="N205" s="51" t="s">
        <v>366</v>
      </c>
      <c r="O205" s="13" t="str">
        <f t="array" ref="O205">_xlfn.IFS(N205="A","א'", N205="B", "ב'", N205= "C", "ג'")</f>
        <v>ג'</v>
      </c>
      <c r="P205" s="13">
        <f>IF(Table_2[[#This Row],[Correct_Answer]]=Table_2[[#This Row],[System_Recommendation]],1,0)</f>
        <v>1</v>
      </c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 spans="1:26" ht="15.75" hidden="1" customHeight="1">
      <c r="A206" s="8" t="s">
        <v>137</v>
      </c>
      <c r="B206" s="8">
        <v>7</v>
      </c>
      <c r="C206" s="9" t="s">
        <v>381</v>
      </c>
      <c r="D206" s="8">
        <v>1</v>
      </c>
      <c r="E206" s="9" t="s">
        <v>98</v>
      </c>
      <c r="F206" s="8" t="s">
        <v>382</v>
      </c>
      <c r="G206" s="8" t="s">
        <v>97</v>
      </c>
      <c r="H206" s="8" t="s">
        <v>102</v>
      </c>
      <c r="I206" s="8" t="s">
        <v>100</v>
      </c>
      <c r="J206" s="9" t="s">
        <v>380</v>
      </c>
      <c r="K206" s="8" t="str">
        <f>VLOOKUP(LEFT(H206,7),'קטלוג תרחישים'!$A:$M,12,FALSE())</f>
        <v>ג'</v>
      </c>
      <c r="L206" s="8" t="str">
        <f>IF(J206="כן",K206,VLOOKUP(LEFT(H206,7),'קטלוג תרחישים'!$A:$M,13,FALSE()))</f>
        <v>ג'</v>
      </c>
      <c r="M206" s="13"/>
      <c r="N206" s="50" t="s">
        <v>360</v>
      </c>
      <c r="O206" s="13" t="str">
        <f t="array" ref="O206">_xlfn.IFS(N206="A","א'", N206="B", "ב'", N206= "C", "ג'")</f>
        <v>א'</v>
      </c>
      <c r="P206" s="13">
        <f>IF(Table_2[[#This Row],[Correct_Answer]]=Table_2[[#This Row],[System_Recommendation]],1,0)</f>
        <v>1</v>
      </c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 spans="1:26" ht="15.75" hidden="1" customHeight="1">
      <c r="A207" s="8" t="s">
        <v>137</v>
      </c>
      <c r="B207" s="8">
        <v>8</v>
      </c>
      <c r="C207" s="9" t="s">
        <v>381</v>
      </c>
      <c r="D207" s="8">
        <v>1</v>
      </c>
      <c r="E207" s="9" t="s">
        <v>98</v>
      </c>
      <c r="F207" s="8" t="s">
        <v>382</v>
      </c>
      <c r="G207" s="8" t="s">
        <v>97</v>
      </c>
      <c r="H207" s="8" t="s">
        <v>101</v>
      </c>
      <c r="I207" s="8" t="s">
        <v>91</v>
      </c>
      <c r="J207" s="9" t="s">
        <v>380</v>
      </c>
      <c r="K207" s="8" t="str">
        <f>VLOOKUP(LEFT(H207,7),'קטלוג תרחישים'!$A:$M,12,FALSE())</f>
        <v>א'</v>
      </c>
      <c r="L207" s="8" t="str">
        <f>IF(J207="כן",K207,VLOOKUP(LEFT(H207,7),'קטלוג תרחישים'!$A:$M,13,FALSE()))</f>
        <v>א'</v>
      </c>
      <c r="M207" s="13"/>
      <c r="N207" s="51" t="s">
        <v>360</v>
      </c>
      <c r="O207" s="13" t="str">
        <f t="array" ref="O207">_xlfn.IFS(N207="A","א'", N207="B", "ב'", N207= "C", "ג'")</f>
        <v>א'</v>
      </c>
      <c r="P207" s="13">
        <f>IF(Table_2[[#This Row],[Correct_Answer]]=Table_2[[#This Row],[System_Recommendation]],1,0)</f>
        <v>1</v>
      </c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 spans="1:26" ht="15.75" hidden="1" customHeight="1">
      <c r="A208" s="8" t="s">
        <v>137</v>
      </c>
      <c r="B208" s="8">
        <v>9</v>
      </c>
      <c r="C208" s="9" t="s">
        <v>381</v>
      </c>
      <c r="D208" s="8">
        <v>1</v>
      </c>
      <c r="E208" s="9" t="s">
        <v>98</v>
      </c>
      <c r="F208" s="8" t="s">
        <v>382</v>
      </c>
      <c r="G208" s="8" t="s">
        <v>97</v>
      </c>
      <c r="H208" s="8" t="s">
        <v>104</v>
      </c>
      <c r="I208" s="8" t="s">
        <v>100</v>
      </c>
      <c r="J208" s="9" t="s">
        <v>380</v>
      </c>
      <c r="K208" s="8" t="str">
        <f>VLOOKUP(LEFT(H208,7),'קטלוג תרחישים'!$A:$M,12,FALSE())</f>
        <v>ב'</v>
      </c>
      <c r="L208" s="8" t="str">
        <f>IF(J208="כן",K208,VLOOKUP(LEFT(H208,7),'קטלוג תרחישים'!$A:$M,13,FALSE()))</f>
        <v>ב'</v>
      </c>
      <c r="M208" s="13"/>
      <c r="N208" s="50" t="s">
        <v>360</v>
      </c>
      <c r="O208" s="13" t="str">
        <f t="array" ref="O208">_xlfn.IFS(N208="A","א'", N208="B", "ב'", N208= "C", "ג'")</f>
        <v>א'</v>
      </c>
      <c r="P208" s="13">
        <f>IF(Table_2[[#This Row],[Correct_Answer]]=Table_2[[#This Row],[System_Recommendation]],1,0)</f>
        <v>1</v>
      </c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 spans="1:26" ht="15.75" hidden="1" customHeight="1">
      <c r="A209" s="8" t="s">
        <v>137</v>
      </c>
      <c r="B209" s="8">
        <v>10</v>
      </c>
      <c r="C209" s="9" t="s">
        <v>381</v>
      </c>
      <c r="D209" s="8">
        <v>1</v>
      </c>
      <c r="E209" s="9" t="s">
        <v>98</v>
      </c>
      <c r="F209" s="8" t="s">
        <v>382</v>
      </c>
      <c r="G209" s="8" t="s">
        <v>97</v>
      </c>
      <c r="H209" s="8" t="s">
        <v>103</v>
      </c>
      <c r="I209" s="8" t="s">
        <v>91</v>
      </c>
      <c r="J209" s="9" t="s">
        <v>380</v>
      </c>
      <c r="K209" s="8" t="str">
        <f>VLOOKUP(LEFT(H209,7),'קטלוג תרחישים'!$A:$M,12,FALSE())</f>
        <v>ב'</v>
      </c>
      <c r="L209" s="8" t="str">
        <f>IF(J209="כן",K209,VLOOKUP(LEFT(H209,7),'קטלוג תרחישים'!$A:$M,13,FALSE()))</f>
        <v>ב'</v>
      </c>
      <c r="M209" s="13"/>
      <c r="N209" s="51" t="s">
        <v>365</v>
      </c>
      <c r="O209" s="13" t="str">
        <f t="array" ref="O209">_xlfn.IFS(N209="A","א'", N209="B", "ב'", N209= "C", "ג'")</f>
        <v>ב'</v>
      </c>
      <c r="P209" s="13">
        <f>IF(Table_2[[#This Row],[Correct_Answer]]=Table_2[[#This Row],[System_Recommendation]],1,0)</f>
        <v>1</v>
      </c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 spans="1:26" ht="15.75" hidden="1" customHeight="1">
      <c r="A210" s="8" t="s">
        <v>137</v>
      </c>
      <c r="B210" s="8">
        <v>11</v>
      </c>
      <c r="C210" s="9" t="s">
        <v>381</v>
      </c>
      <c r="D210" s="8">
        <v>1</v>
      </c>
      <c r="E210" s="9" t="s">
        <v>98</v>
      </c>
      <c r="F210" s="8" t="s">
        <v>382</v>
      </c>
      <c r="G210" s="8" t="s">
        <v>97</v>
      </c>
      <c r="H210" s="8" t="s">
        <v>99</v>
      </c>
      <c r="I210" s="8" t="s">
        <v>100</v>
      </c>
      <c r="J210" s="9" t="s">
        <v>383</v>
      </c>
      <c r="K210" s="8" t="str">
        <f>VLOOKUP(LEFT(H210,7),'קטלוג תרחישים'!$A:$M,12,FALSE())</f>
        <v>ג'</v>
      </c>
      <c r="L210" s="8" t="str">
        <f>IF(J210="כן",K210,VLOOKUP(LEFT(H210,7),'קטלוג תרחישים'!$A:$M,13,FALSE()))</f>
        <v>א'</v>
      </c>
      <c r="M210" s="13"/>
      <c r="N210" s="50" t="s">
        <v>365</v>
      </c>
      <c r="O210" s="13" t="str">
        <f t="array" ref="O210">_xlfn.IFS(N210="A","א'", N210="B", "ב'", N210= "C", "ג'")</f>
        <v>ב'</v>
      </c>
      <c r="P210" s="13">
        <f>IF(Table_2[[#This Row],[Correct_Answer]]=Table_2[[#This Row],[System_Recommendation]],1,0)</f>
        <v>0</v>
      </c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 spans="1:26" ht="15.75" hidden="1" customHeight="1">
      <c r="A211" s="8" t="s">
        <v>137</v>
      </c>
      <c r="B211" s="8">
        <v>12</v>
      </c>
      <c r="C211" s="9" t="s">
        <v>381</v>
      </c>
      <c r="D211" s="8">
        <v>2</v>
      </c>
      <c r="E211" s="9" t="s">
        <v>105</v>
      </c>
      <c r="F211" s="8" t="s">
        <v>382</v>
      </c>
      <c r="G211" s="8" t="s">
        <v>97</v>
      </c>
      <c r="H211" s="8" t="s">
        <v>108</v>
      </c>
      <c r="I211" s="8" t="s">
        <v>91</v>
      </c>
      <c r="J211" s="9" t="s">
        <v>380</v>
      </c>
      <c r="K211" s="8" t="str">
        <f>VLOOKUP(LEFT(H211,7),'קטלוג תרחישים'!$A:$M,12,FALSE())</f>
        <v>ג'</v>
      </c>
      <c r="L211" s="8" t="str">
        <f>IF(J211="כן",K211,VLOOKUP(LEFT(H211,7),'קטלוג תרחישים'!$A:$M,13,FALSE()))</f>
        <v>ג'</v>
      </c>
      <c r="M211" s="13"/>
      <c r="N211" s="51" t="s">
        <v>366</v>
      </c>
      <c r="O211" s="13" t="str">
        <f t="array" ref="O211">_xlfn.IFS(N211="A","א'", N211="B", "ב'", N211= "C", "ג'")</f>
        <v>ג'</v>
      </c>
      <c r="P211" s="13">
        <f>IF(Table_2[[#This Row],[Correct_Answer]]=Table_2[[#This Row],[System_Recommendation]],1,0)</f>
        <v>1</v>
      </c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 spans="1:26" ht="15.75" hidden="1" customHeight="1">
      <c r="A212" s="8" t="s">
        <v>137</v>
      </c>
      <c r="B212" s="8">
        <v>13</v>
      </c>
      <c r="C212" s="9" t="s">
        <v>381</v>
      </c>
      <c r="D212" s="8">
        <v>2</v>
      </c>
      <c r="E212" s="9" t="s">
        <v>105</v>
      </c>
      <c r="F212" s="8" t="s">
        <v>382</v>
      </c>
      <c r="G212" s="8" t="s">
        <v>97</v>
      </c>
      <c r="H212" s="8" t="s">
        <v>109</v>
      </c>
      <c r="I212" s="8" t="s">
        <v>100</v>
      </c>
      <c r="J212" s="9" t="s">
        <v>380</v>
      </c>
      <c r="K212" s="8" t="str">
        <f>VLOOKUP(LEFT(H212,7),'קטלוג תרחישים'!$A:$M,12,FALSE())</f>
        <v>ב'</v>
      </c>
      <c r="L212" s="8" t="str">
        <f>IF(J212="כן",K212,VLOOKUP(LEFT(H212,7),'קטלוג תרחישים'!$A:$M,13,FALSE()))</f>
        <v>ב'</v>
      </c>
      <c r="M212" s="13"/>
      <c r="N212" s="50" t="s">
        <v>366</v>
      </c>
      <c r="O212" s="13" t="str">
        <f t="array" ref="O212">_xlfn.IFS(N212="A","א'", N212="B", "ב'", N212= "C", "ג'")</f>
        <v>ג'</v>
      </c>
      <c r="P212" s="13">
        <f>IF(Table_2[[#This Row],[Correct_Answer]]=Table_2[[#This Row],[System_Recommendation]],1,0)</f>
        <v>1</v>
      </c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 spans="1:26" ht="15.75" hidden="1" customHeight="1">
      <c r="A213" s="8" t="s">
        <v>137</v>
      </c>
      <c r="B213" s="8">
        <v>14</v>
      </c>
      <c r="C213" s="9" t="s">
        <v>381</v>
      </c>
      <c r="D213" s="8">
        <v>2</v>
      </c>
      <c r="E213" s="9" t="s">
        <v>105</v>
      </c>
      <c r="F213" s="8" t="s">
        <v>382</v>
      </c>
      <c r="G213" s="8" t="s">
        <v>97</v>
      </c>
      <c r="H213" s="8" t="s">
        <v>110</v>
      </c>
      <c r="I213" s="8" t="s">
        <v>91</v>
      </c>
      <c r="J213" s="9" t="s">
        <v>380</v>
      </c>
      <c r="K213" s="8" t="str">
        <f>VLOOKUP(LEFT(H213,7),'קטלוג תרחישים'!$A:$M,12,FALSE())</f>
        <v>ג'</v>
      </c>
      <c r="L213" s="8" t="str">
        <f>IF(J213="כן",K213,VLOOKUP(LEFT(H213,7),'קטלוג תרחישים'!$A:$M,13,FALSE()))</f>
        <v>ג'</v>
      </c>
      <c r="M213" s="13"/>
      <c r="N213" s="51" t="s">
        <v>365</v>
      </c>
      <c r="O213" s="13" t="str">
        <f t="array" ref="O213">_xlfn.IFS(N213="A","א'", N213="B", "ב'", N213= "C", "ג'")</f>
        <v>ב'</v>
      </c>
      <c r="P213" s="13">
        <f>IF(Table_2[[#This Row],[Correct_Answer]]=Table_2[[#This Row],[System_Recommendation]],1,0)</f>
        <v>1</v>
      </c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 spans="1:26" ht="15.75" hidden="1" customHeight="1">
      <c r="A214" s="8" t="s">
        <v>137</v>
      </c>
      <c r="B214" s="8">
        <v>15</v>
      </c>
      <c r="C214" s="9" t="s">
        <v>381</v>
      </c>
      <c r="D214" s="8">
        <v>2</v>
      </c>
      <c r="E214" s="9" t="s">
        <v>105</v>
      </c>
      <c r="F214" s="8" t="s">
        <v>382</v>
      </c>
      <c r="G214" s="8" t="s">
        <v>97</v>
      </c>
      <c r="H214" s="8" t="s">
        <v>107</v>
      </c>
      <c r="I214" s="8" t="s">
        <v>100</v>
      </c>
      <c r="J214" s="9" t="s">
        <v>383</v>
      </c>
      <c r="K214" s="8" t="str">
        <f>VLOOKUP(LEFT(H214,7),'קטלוג תרחישים'!$A:$M,12,FALSE())</f>
        <v>ב'</v>
      </c>
      <c r="L214" s="8" t="str">
        <f>IF(J214="כן",K214,VLOOKUP(LEFT(H214,7),'קטלוג תרחישים'!$A:$M,13,FALSE()))</f>
        <v>ג'</v>
      </c>
      <c r="M214" s="13"/>
      <c r="N214" s="50" t="s">
        <v>365</v>
      </c>
      <c r="O214" s="13" t="str">
        <f t="array" ref="O214">_xlfn.IFS(N214="A","א'", N214="B", "ב'", N214= "C", "ג'")</f>
        <v>ב'</v>
      </c>
      <c r="P214" s="13">
        <f>IF(Table_2[[#This Row],[Correct_Answer]]=Table_2[[#This Row],[System_Recommendation]],1,0)</f>
        <v>0</v>
      </c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 spans="1:26" ht="15.75" hidden="1" customHeight="1">
      <c r="A215" s="8" t="s">
        <v>137</v>
      </c>
      <c r="B215" s="8">
        <v>16</v>
      </c>
      <c r="C215" s="9" t="s">
        <v>381</v>
      </c>
      <c r="D215" s="8">
        <v>2</v>
      </c>
      <c r="E215" s="9" t="s">
        <v>105</v>
      </c>
      <c r="F215" s="8" t="s">
        <v>382</v>
      </c>
      <c r="G215" s="8" t="s">
        <v>97</v>
      </c>
      <c r="H215" s="8" t="s">
        <v>106</v>
      </c>
      <c r="I215" s="8" t="s">
        <v>91</v>
      </c>
      <c r="J215" s="9" t="s">
        <v>380</v>
      </c>
      <c r="K215" s="8" t="str">
        <f>VLOOKUP(LEFT(H215,7),'קטלוג תרחישים'!$A:$M,12,FALSE())</f>
        <v>א'</v>
      </c>
      <c r="L215" s="8" t="str">
        <f>IF(J215="כן",K215,VLOOKUP(LEFT(H215,7),'קטלוג תרחישים'!$A:$M,13,FALSE()))</f>
        <v>א'</v>
      </c>
      <c r="M215" s="13"/>
      <c r="N215" s="51" t="s">
        <v>365</v>
      </c>
      <c r="O215" s="13" t="str">
        <f t="array" ref="O215">_xlfn.IFS(N215="A","א'", N215="B", "ב'", N215= "C", "ג'")</f>
        <v>ב'</v>
      </c>
      <c r="P215" s="13">
        <f>IF(Table_2[[#This Row],[Correct_Answer]]=Table_2[[#This Row],[System_Recommendation]],1,0)</f>
        <v>1</v>
      </c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 spans="1:26" ht="15.75" hidden="1" customHeight="1">
      <c r="A216" s="8" t="s">
        <v>137</v>
      </c>
      <c r="B216" s="8">
        <v>17</v>
      </c>
      <c r="C216" s="9" t="s">
        <v>381</v>
      </c>
      <c r="D216" s="8">
        <v>3</v>
      </c>
      <c r="E216" s="9" t="s">
        <v>111</v>
      </c>
      <c r="F216" s="8" t="s">
        <v>382</v>
      </c>
      <c r="G216" s="8" t="s">
        <v>97</v>
      </c>
      <c r="H216" s="8" t="s">
        <v>114</v>
      </c>
      <c r="I216" s="8" t="s">
        <v>91</v>
      </c>
      <c r="J216" s="9" t="s">
        <v>380</v>
      </c>
      <c r="K216" s="8" t="str">
        <f>VLOOKUP(LEFT(H216,7),'קטלוג תרחישים'!$A:$M,12,FALSE())</f>
        <v>ג'</v>
      </c>
      <c r="L216" s="8" t="str">
        <f>IF(J216="כן",K216,VLOOKUP(LEFT(H216,7),'קטלוג תרחישים'!$A:$M,13,FALSE()))</f>
        <v>ג'</v>
      </c>
      <c r="M216" s="13"/>
      <c r="N216" s="50" t="s">
        <v>360</v>
      </c>
      <c r="O216" s="13" t="str">
        <f t="array" ref="O216">_xlfn.IFS(N216="A","א'", N216="B", "ב'", N216= "C", "ג'")</f>
        <v>א'</v>
      </c>
      <c r="P216" s="13">
        <f>IF(Table_2[[#This Row],[Correct_Answer]]=Table_2[[#This Row],[System_Recommendation]],1,0)</f>
        <v>1</v>
      </c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 spans="1:26" ht="15.75" hidden="1" customHeight="1">
      <c r="A217" s="8" t="s">
        <v>137</v>
      </c>
      <c r="B217" s="8">
        <v>18</v>
      </c>
      <c r="C217" s="9" t="s">
        <v>381</v>
      </c>
      <c r="D217" s="8">
        <v>3</v>
      </c>
      <c r="E217" s="9" t="s">
        <v>111</v>
      </c>
      <c r="F217" s="8" t="s">
        <v>382</v>
      </c>
      <c r="G217" s="8" t="s">
        <v>97</v>
      </c>
      <c r="H217" s="8" t="s">
        <v>113</v>
      </c>
      <c r="I217" s="8" t="s">
        <v>100</v>
      </c>
      <c r="J217" s="9" t="s">
        <v>383</v>
      </c>
      <c r="K217" s="8" t="str">
        <f>VLOOKUP(LEFT(H217,7),'קטלוג תרחישים'!$A:$M,12,FALSE())</f>
        <v>ג'</v>
      </c>
      <c r="L217" s="8" t="str">
        <f>IF(J217="כן",K217,VLOOKUP(LEFT(H217,7),'קטלוג תרחישים'!$A:$M,13,FALSE()))</f>
        <v>ב'</v>
      </c>
      <c r="M217" s="13"/>
      <c r="N217" s="51" t="s">
        <v>366</v>
      </c>
      <c r="O217" s="13" t="str">
        <f t="array" ref="O217">_xlfn.IFS(N217="A","א'", N217="B", "ב'", N217= "C", "ג'")</f>
        <v>ג'</v>
      </c>
      <c r="P217" s="13">
        <f>IF(Table_2[[#This Row],[Correct_Answer]]=Table_2[[#This Row],[System_Recommendation]],1,0)</f>
        <v>0</v>
      </c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 spans="1:26" ht="15.75" hidden="1" customHeight="1">
      <c r="A218" s="8" t="s">
        <v>137</v>
      </c>
      <c r="B218" s="8">
        <v>19</v>
      </c>
      <c r="C218" s="9" t="s">
        <v>381</v>
      </c>
      <c r="D218" s="8">
        <v>3</v>
      </c>
      <c r="E218" s="9" t="s">
        <v>111</v>
      </c>
      <c r="F218" s="8" t="s">
        <v>382</v>
      </c>
      <c r="G218" s="8" t="s">
        <v>97</v>
      </c>
      <c r="H218" s="8" t="s">
        <v>112</v>
      </c>
      <c r="I218" s="8" t="s">
        <v>91</v>
      </c>
      <c r="J218" s="9" t="s">
        <v>380</v>
      </c>
      <c r="K218" s="8" t="str">
        <f>VLOOKUP(LEFT(H218,7),'קטלוג תרחישים'!$A:$M,12,FALSE())</f>
        <v>ב'</v>
      </c>
      <c r="L218" s="8" t="str">
        <f>IF(J218="כן",K218,VLOOKUP(LEFT(H218,7),'קטלוג תרחישים'!$A:$M,13,FALSE()))</f>
        <v>ב'</v>
      </c>
      <c r="M218" s="13"/>
      <c r="N218" s="50" t="s">
        <v>365</v>
      </c>
      <c r="O218" s="13" t="str">
        <f t="array" ref="O218">_xlfn.IFS(N218="A","א'", N218="B", "ב'", N218= "C", "ג'")</f>
        <v>ב'</v>
      </c>
      <c r="P218" s="13">
        <f>IF(Table_2[[#This Row],[Correct_Answer]]=Table_2[[#This Row],[System_Recommendation]],1,0)</f>
        <v>1</v>
      </c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 spans="1:26" ht="15.75" hidden="1" customHeight="1">
      <c r="A219" s="8" t="s">
        <v>137</v>
      </c>
      <c r="B219" s="8">
        <v>20</v>
      </c>
      <c r="C219" s="9" t="s">
        <v>381</v>
      </c>
      <c r="D219" s="8">
        <v>3</v>
      </c>
      <c r="E219" s="9" t="s">
        <v>111</v>
      </c>
      <c r="F219" s="8" t="s">
        <v>382</v>
      </c>
      <c r="G219" s="8" t="s">
        <v>97</v>
      </c>
      <c r="H219" s="8" t="s">
        <v>115</v>
      </c>
      <c r="I219" s="8" t="s">
        <v>100</v>
      </c>
      <c r="J219" s="9" t="s">
        <v>380</v>
      </c>
      <c r="K219" s="8" t="str">
        <f>VLOOKUP(LEFT(H219,7),'קטלוג תרחישים'!$A:$M,12,FALSE())</f>
        <v>א'</v>
      </c>
      <c r="L219" s="8" t="str">
        <f>IF(J219="כן",K219,VLOOKUP(LEFT(H219,7),'קטלוג תרחישים'!$A:$M,13,FALSE()))</f>
        <v>א'</v>
      </c>
      <c r="M219" s="13"/>
      <c r="N219" s="51" t="s">
        <v>366</v>
      </c>
      <c r="O219" s="13" t="str">
        <f t="array" ref="O219">_xlfn.IFS(N219="A","א'", N219="B", "ב'", N219= "C", "ג'")</f>
        <v>ג'</v>
      </c>
      <c r="P219" s="13">
        <f>IF(Table_2[[#This Row],[Correct_Answer]]=Table_2[[#This Row],[System_Recommendation]],1,0)</f>
        <v>1</v>
      </c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 spans="1:26" ht="15.75" hidden="1" customHeight="1">
      <c r="A220" s="8" t="s">
        <v>137</v>
      </c>
      <c r="B220" s="8">
        <v>21</v>
      </c>
      <c r="C220" s="9" t="s">
        <v>381</v>
      </c>
      <c r="D220" s="8">
        <v>3</v>
      </c>
      <c r="E220" s="9" t="s">
        <v>111</v>
      </c>
      <c r="F220" s="8" t="s">
        <v>382</v>
      </c>
      <c r="G220" s="8" t="s">
        <v>97</v>
      </c>
      <c r="H220" s="8" t="s">
        <v>116</v>
      </c>
      <c r="I220" s="8" t="s">
        <v>91</v>
      </c>
      <c r="J220" s="9" t="s">
        <v>380</v>
      </c>
      <c r="K220" s="8" t="str">
        <f>VLOOKUP(LEFT(H220,7),'קטלוג תרחישים'!$A:$M,12,FALSE())</f>
        <v>ג'</v>
      </c>
      <c r="L220" s="8" t="str">
        <f>IF(J220="כן",K220,VLOOKUP(LEFT(H220,7),'קטלוג תרחישים'!$A:$M,13,FALSE()))</f>
        <v>ג'</v>
      </c>
      <c r="M220" s="13"/>
      <c r="N220" s="50" t="s">
        <v>360</v>
      </c>
      <c r="O220" s="13" t="str">
        <f t="array" ref="O220">_xlfn.IFS(N220="A","א'", N220="B", "ב'", N220= "C", "ג'")</f>
        <v>א'</v>
      </c>
      <c r="P220" s="13">
        <f>IF(Table_2[[#This Row],[Correct_Answer]]=Table_2[[#This Row],[System_Recommendation]],1,0)</f>
        <v>1</v>
      </c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 spans="1:26" ht="15.75" hidden="1" customHeight="1">
      <c r="A221" s="8" t="s">
        <v>137</v>
      </c>
      <c r="B221" s="8">
        <v>22</v>
      </c>
      <c r="C221" s="9" t="s">
        <v>381</v>
      </c>
      <c r="D221" s="8">
        <v>1</v>
      </c>
      <c r="E221" s="9" t="s">
        <v>105</v>
      </c>
      <c r="F221" s="8" t="s">
        <v>384</v>
      </c>
      <c r="G221" s="8" t="s">
        <v>117</v>
      </c>
      <c r="H221" s="8" t="s">
        <v>118</v>
      </c>
      <c r="I221" s="8" t="s">
        <v>91</v>
      </c>
      <c r="J221" s="9" t="s">
        <v>383</v>
      </c>
      <c r="K221" s="8" t="str">
        <f>VLOOKUP(LEFT(H221,7),'קטלוג תרחישים'!$A:$M,12,FALSE())</f>
        <v>ג'</v>
      </c>
      <c r="L221" s="8" t="str">
        <f>IF(J221="כן",K221,VLOOKUP(LEFT(H221,7),'קטלוג תרחישים'!$A:$M,13,FALSE()))</f>
        <v>ב'</v>
      </c>
      <c r="M221" s="13"/>
      <c r="N221" s="51" t="s">
        <v>366</v>
      </c>
      <c r="O221" s="13" t="str">
        <f t="array" ref="O221">_xlfn.IFS(N221="A","א'", N221="B", "ב'", N221= "C", "ג'")</f>
        <v>ג'</v>
      </c>
      <c r="P221" s="13">
        <f>IF(Table_2[[#This Row],[Correct_Answer]]=Table_2[[#This Row],[System_Recommendation]],1,0)</f>
        <v>0</v>
      </c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 spans="1:26" ht="15.75" hidden="1" customHeight="1">
      <c r="A222" s="8" t="s">
        <v>137</v>
      </c>
      <c r="B222" s="8">
        <v>23</v>
      </c>
      <c r="C222" s="9" t="s">
        <v>381</v>
      </c>
      <c r="D222" s="8">
        <v>1</v>
      </c>
      <c r="E222" s="9" t="s">
        <v>105</v>
      </c>
      <c r="F222" s="8" t="s">
        <v>384</v>
      </c>
      <c r="G222" s="8" t="s">
        <v>117</v>
      </c>
      <c r="H222" s="8" t="s">
        <v>119</v>
      </c>
      <c r="I222" s="8" t="s">
        <v>100</v>
      </c>
      <c r="J222" s="9" t="s">
        <v>380</v>
      </c>
      <c r="K222" s="8" t="str">
        <f>VLOOKUP(LEFT(H222,7),'קטלוג תרחישים'!$A:$M,12,FALSE())</f>
        <v>א'</v>
      </c>
      <c r="L222" s="8" t="str">
        <f>IF(J222="כן",K222,VLOOKUP(LEFT(H222,7),'קטלוג תרחישים'!$A:$M,13,FALSE()))</f>
        <v>א'</v>
      </c>
      <c r="M222" s="13"/>
      <c r="N222" s="50" t="s">
        <v>366</v>
      </c>
      <c r="O222" s="13" t="str">
        <f t="array" ref="O222">_xlfn.IFS(N222="A","א'", N222="B", "ב'", N222= "C", "ג'")</f>
        <v>ג'</v>
      </c>
      <c r="P222" s="13">
        <f>IF(Table_2[[#This Row],[Correct_Answer]]=Table_2[[#This Row],[System_Recommendation]],1,0)</f>
        <v>1</v>
      </c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 spans="1:26" ht="15.75" hidden="1" customHeight="1">
      <c r="A223" s="8" t="s">
        <v>137</v>
      </c>
      <c r="B223" s="8">
        <v>24</v>
      </c>
      <c r="C223" s="9" t="s">
        <v>381</v>
      </c>
      <c r="D223" s="8">
        <v>1</v>
      </c>
      <c r="E223" s="9" t="s">
        <v>105</v>
      </c>
      <c r="F223" s="8" t="s">
        <v>384</v>
      </c>
      <c r="G223" s="8" t="s">
        <v>117</v>
      </c>
      <c r="H223" s="8" t="s">
        <v>120</v>
      </c>
      <c r="I223" s="8" t="s">
        <v>91</v>
      </c>
      <c r="J223" s="9" t="s">
        <v>380</v>
      </c>
      <c r="K223" s="8" t="str">
        <f>VLOOKUP(LEFT(H223,7),'קטלוג תרחישים'!$A:$M,12,FALSE())</f>
        <v>ג'</v>
      </c>
      <c r="L223" s="8" t="str">
        <f>IF(J223="כן",K223,VLOOKUP(LEFT(H223,7),'קטלוג תרחישים'!$A:$M,13,FALSE()))</f>
        <v>ג'</v>
      </c>
      <c r="M223" s="13"/>
      <c r="N223" s="51" t="s">
        <v>365</v>
      </c>
      <c r="O223" s="13" t="str">
        <f t="array" ref="O223">_xlfn.IFS(N223="A","א'", N223="B", "ב'", N223= "C", "ג'")</f>
        <v>ב'</v>
      </c>
      <c r="P223" s="13">
        <f>IF(Table_2[[#This Row],[Correct_Answer]]=Table_2[[#This Row],[System_Recommendation]],1,0)</f>
        <v>1</v>
      </c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 spans="1:26" ht="15.75" hidden="1" customHeight="1">
      <c r="A224" s="8" t="s">
        <v>137</v>
      </c>
      <c r="B224" s="8">
        <v>25</v>
      </c>
      <c r="C224" s="9" t="s">
        <v>381</v>
      </c>
      <c r="D224" s="8">
        <v>1</v>
      </c>
      <c r="E224" s="9" t="s">
        <v>105</v>
      </c>
      <c r="F224" s="8" t="s">
        <v>384</v>
      </c>
      <c r="G224" s="8" t="s">
        <v>117</v>
      </c>
      <c r="H224" s="8" t="s">
        <v>121</v>
      </c>
      <c r="I224" s="8" t="s">
        <v>100</v>
      </c>
      <c r="J224" s="9" t="s">
        <v>383</v>
      </c>
      <c r="K224" s="8" t="str">
        <f>VLOOKUP(LEFT(H224,7),'קטלוג תרחישים'!$A:$M,12,FALSE())</f>
        <v>ג'</v>
      </c>
      <c r="L224" s="8" t="str">
        <f>IF(J224="כן",K224,VLOOKUP(LEFT(H224,7),'קטלוג תרחישים'!$A:$M,13,FALSE()))</f>
        <v>ב'</v>
      </c>
      <c r="M224" s="13"/>
      <c r="N224" s="50" t="s">
        <v>360</v>
      </c>
      <c r="O224" s="13" t="str">
        <f t="array" ref="O224">_xlfn.IFS(N224="A","א'", N224="B", "ב'", N224= "C", "ג'")</f>
        <v>א'</v>
      </c>
      <c r="P224" s="13">
        <f>IF(Table_2[[#This Row],[Correct_Answer]]=Table_2[[#This Row],[System_Recommendation]],1,0)</f>
        <v>0</v>
      </c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 spans="1:26" ht="15.75" hidden="1" customHeight="1">
      <c r="A225" s="8" t="s">
        <v>137</v>
      </c>
      <c r="B225" s="8">
        <v>26</v>
      </c>
      <c r="C225" s="9" t="s">
        <v>381</v>
      </c>
      <c r="D225" s="8">
        <v>2</v>
      </c>
      <c r="E225" s="9" t="s">
        <v>111</v>
      </c>
      <c r="F225" s="8" t="s">
        <v>384</v>
      </c>
      <c r="G225" s="8" t="s">
        <v>117</v>
      </c>
      <c r="H225" s="8" t="s">
        <v>122</v>
      </c>
      <c r="I225" s="8" t="s">
        <v>91</v>
      </c>
      <c r="J225" s="9" t="s">
        <v>380</v>
      </c>
      <c r="K225" s="8" t="str">
        <f>VLOOKUP(LEFT(H225,7),'קטלוג תרחישים'!$A:$M,12,FALSE())</f>
        <v>ג'</v>
      </c>
      <c r="L225" s="8" t="str">
        <f>IF(J225="כן",K225,VLOOKUP(LEFT(H225,7),'קטלוג תרחישים'!$A:$M,13,FALSE()))</f>
        <v>ג'</v>
      </c>
      <c r="M225" s="13"/>
      <c r="N225" s="51" t="s">
        <v>366</v>
      </c>
      <c r="O225" s="13" t="str">
        <f t="array" ref="O225">_xlfn.IFS(N225="A","א'", N225="B", "ב'", N225= "C", "ג'")</f>
        <v>ג'</v>
      </c>
      <c r="P225" s="13">
        <f>IF(Table_2[[#This Row],[Correct_Answer]]=Table_2[[#This Row],[System_Recommendation]],1,0)</f>
        <v>1</v>
      </c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 spans="1:26" ht="15.75" hidden="1" customHeight="1">
      <c r="A226" s="8" t="s">
        <v>137</v>
      </c>
      <c r="B226" s="8">
        <v>27</v>
      </c>
      <c r="C226" s="9" t="s">
        <v>381</v>
      </c>
      <c r="D226" s="8">
        <v>2</v>
      </c>
      <c r="E226" s="9" t="s">
        <v>111</v>
      </c>
      <c r="F226" s="8" t="s">
        <v>384</v>
      </c>
      <c r="G226" s="8" t="s">
        <v>117</v>
      </c>
      <c r="H226" s="8" t="s">
        <v>125</v>
      </c>
      <c r="I226" s="8" t="s">
        <v>100</v>
      </c>
      <c r="J226" s="9" t="s">
        <v>380</v>
      </c>
      <c r="K226" s="8" t="str">
        <f>VLOOKUP(LEFT(H226,7),'קטלוג תרחישים'!$A:$M,12,FALSE())</f>
        <v>ג'</v>
      </c>
      <c r="L226" s="8" t="str">
        <f>IF(J226="כן",K226,VLOOKUP(LEFT(H226,7),'קטלוג תרחישים'!$A:$M,13,FALSE()))</f>
        <v>ג'</v>
      </c>
      <c r="M226" s="13"/>
      <c r="N226" s="50" t="s">
        <v>365</v>
      </c>
      <c r="O226" s="13" t="str">
        <f t="array" ref="O226">_xlfn.IFS(N226="A","א'", N226="B", "ב'", N226= "C", "ג'")</f>
        <v>ב'</v>
      </c>
      <c r="P226" s="13">
        <f>IF(Table_2[[#This Row],[Correct_Answer]]=Table_2[[#This Row],[System_Recommendation]],1,0)</f>
        <v>1</v>
      </c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 spans="1:26" ht="15.75" hidden="1" customHeight="1">
      <c r="A227" s="8" t="s">
        <v>137</v>
      </c>
      <c r="B227" s="8">
        <v>28</v>
      </c>
      <c r="C227" s="9" t="s">
        <v>381</v>
      </c>
      <c r="D227" s="8">
        <v>2</v>
      </c>
      <c r="E227" s="9" t="s">
        <v>111</v>
      </c>
      <c r="F227" s="8" t="s">
        <v>384</v>
      </c>
      <c r="G227" s="8" t="s">
        <v>117</v>
      </c>
      <c r="H227" s="8" t="s">
        <v>124</v>
      </c>
      <c r="I227" s="8" t="s">
        <v>91</v>
      </c>
      <c r="J227" s="9" t="s">
        <v>383</v>
      </c>
      <c r="K227" s="8" t="str">
        <f>VLOOKUP(LEFT(H227,7),'קטלוג תרחישים'!$A:$M,12,FALSE())</f>
        <v>ב'</v>
      </c>
      <c r="L227" s="8" t="str">
        <f>IF(J227="כן",K227,VLOOKUP(LEFT(H227,7),'קטלוג תרחישים'!$A:$M,13,FALSE()))</f>
        <v>א'</v>
      </c>
      <c r="M227" s="13"/>
      <c r="N227" s="51" t="s">
        <v>366</v>
      </c>
      <c r="O227" s="13" t="str">
        <f t="array" ref="O227">_xlfn.IFS(N227="A","א'", N227="B", "ב'", N227= "C", "ג'")</f>
        <v>ג'</v>
      </c>
      <c r="P227" s="13">
        <f>IF(Table_2[[#This Row],[Correct_Answer]]=Table_2[[#This Row],[System_Recommendation]],1,0)</f>
        <v>0</v>
      </c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 spans="1:26" ht="15.75" hidden="1" customHeight="1">
      <c r="A228" s="8" t="s">
        <v>137</v>
      </c>
      <c r="B228" s="8">
        <v>29</v>
      </c>
      <c r="C228" s="9" t="s">
        <v>381</v>
      </c>
      <c r="D228" s="8">
        <v>2</v>
      </c>
      <c r="E228" s="9" t="s">
        <v>111</v>
      </c>
      <c r="F228" s="8" t="s">
        <v>384</v>
      </c>
      <c r="G228" s="8" t="s">
        <v>117</v>
      </c>
      <c r="H228" s="8" t="s">
        <v>123</v>
      </c>
      <c r="I228" s="8" t="s">
        <v>100</v>
      </c>
      <c r="J228" s="9" t="s">
        <v>383</v>
      </c>
      <c r="K228" s="8" t="str">
        <f>VLOOKUP(LEFT(H228,7),'קטלוג תרחישים'!$A:$M,12,FALSE())</f>
        <v>ב'</v>
      </c>
      <c r="L228" s="8" t="str">
        <f>IF(J228="כן",K228,VLOOKUP(LEFT(H228,7),'קטלוג תרחישים'!$A:$M,13,FALSE()))</f>
        <v>א'</v>
      </c>
      <c r="M228" s="13"/>
      <c r="N228" s="50" t="s">
        <v>366</v>
      </c>
      <c r="O228" s="13" t="str">
        <f t="array" ref="O228">_xlfn.IFS(N228="A","א'", N228="B", "ב'", N228= "C", "ג'")</f>
        <v>ג'</v>
      </c>
      <c r="P228" s="13">
        <f>IF(Table_2[[#This Row],[Correct_Answer]]=Table_2[[#This Row],[System_Recommendation]],1,0)</f>
        <v>0</v>
      </c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 spans="1:26" ht="15.75" hidden="1" customHeight="1">
      <c r="A229" s="8" t="s">
        <v>137</v>
      </c>
      <c r="B229" s="8">
        <v>30</v>
      </c>
      <c r="C229" s="9" t="s">
        <v>381</v>
      </c>
      <c r="D229" s="8">
        <v>3</v>
      </c>
      <c r="E229" s="9" t="s">
        <v>98</v>
      </c>
      <c r="F229" s="8" t="s">
        <v>384</v>
      </c>
      <c r="G229" s="8" t="s">
        <v>117</v>
      </c>
      <c r="H229" s="8" t="s">
        <v>128</v>
      </c>
      <c r="I229" s="8" t="s">
        <v>91</v>
      </c>
      <c r="J229" s="9" t="s">
        <v>383</v>
      </c>
      <c r="K229" s="8" t="str">
        <f>VLOOKUP(LEFT(H229,7),'קטלוג תרחישים'!$A:$M,12,FALSE())</f>
        <v>ב'</v>
      </c>
      <c r="L229" s="8" t="str">
        <f>IF(J229="כן",K229,VLOOKUP(LEFT(H229,7),'קטלוג תרחישים'!$A:$M,13,FALSE()))</f>
        <v>ג'</v>
      </c>
      <c r="M229" s="13"/>
      <c r="N229" s="51" t="s">
        <v>365</v>
      </c>
      <c r="O229" s="13" t="str">
        <f t="array" ref="O229">_xlfn.IFS(N229="A","א'", N229="B", "ב'", N229= "C", "ג'")</f>
        <v>ב'</v>
      </c>
      <c r="P229" s="13">
        <f>IF(Table_2[[#This Row],[Correct_Answer]]=Table_2[[#This Row],[System_Recommendation]],1,0)</f>
        <v>0</v>
      </c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 spans="1:26" ht="15.75" hidden="1" customHeight="1">
      <c r="A230" s="8" t="s">
        <v>137</v>
      </c>
      <c r="B230" s="8">
        <v>31</v>
      </c>
      <c r="C230" s="9" t="s">
        <v>381</v>
      </c>
      <c r="D230" s="8">
        <v>3</v>
      </c>
      <c r="E230" s="9" t="s">
        <v>98</v>
      </c>
      <c r="F230" s="8" t="s">
        <v>384</v>
      </c>
      <c r="G230" s="8" t="s">
        <v>117</v>
      </c>
      <c r="H230" s="8" t="s">
        <v>127</v>
      </c>
      <c r="I230" s="8" t="s">
        <v>100</v>
      </c>
      <c r="J230" s="9" t="s">
        <v>380</v>
      </c>
      <c r="K230" s="8" t="str">
        <f>VLOOKUP(LEFT(H230,7),'קטלוג תרחישים'!$A:$M,12,FALSE())</f>
        <v>א'</v>
      </c>
      <c r="L230" s="8" t="str">
        <f>IF(J230="כן",K230,VLOOKUP(LEFT(H230,7),'קטלוג תרחישים'!$A:$M,13,FALSE()))</f>
        <v>א'</v>
      </c>
      <c r="M230" s="13"/>
      <c r="N230" s="50" t="s">
        <v>366</v>
      </c>
      <c r="O230" s="13" t="str">
        <f t="array" ref="O230">_xlfn.IFS(N230="A","א'", N230="B", "ב'", N230= "C", "ג'")</f>
        <v>ג'</v>
      </c>
      <c r="P230" s="13">
        <f>IF(Table_2[[#This Row],[Correct_Answer]]=Table_2[[#This Row],[System_Recommendation]],1,0)</f>
        <v>1</v>
      </c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 spans="1:26" ht="15.75" hidden="1" customHeight="1">
      <c r="A231" s="8" t="s">
        <v>137</v>
      </c>
      <c r="B231" s="8">
        <v>32</v>
      </c>
      <c r="C231" s="9" t="s">
        <v>381</v>
      </c>
      <c r="D231" s="8">
        <v>3</v>
      </c>
      <c r="E231" s="9" t="s">
        <v>98</v>
      </c>
      <c r="F231" s="8" t="s">
        <v>384</v>
      </c>
      <c r="G231" s="8" t="s">
        <v>117</v>
      </c>
      <c r="H231" s="8" t="s">
        <v>126</v>
      </c>
      <c r="I231" s="8" t="s">
        <v>91</v>
      </c>
      <c r="J231" s="9" t="s">
        <v>380</v>
      </c>
      <c r="K231" s="8" t="str">
        <f>VLOOKUP(LEFT(H231,7),'קטלוג תרחישים'!$A:$M,12,FALSE())</f>
        <v>ג'</v>
      </c>
      <c r="L231" s="8" t="str">
        <f>IF(J231="כן",K231,VLOOKUP(LEFT(H231,7),'קטלוג תרחישים'!$A:$M,13,FALSE()))</f>
        <v>ג'</v>
      </c>
      <c r="M231" s="13"/>
      <c r="N231" s="51" t="s">
        <v>360</v>
      </c>
      <c r="O231" s="13" t="str">
        <f t="array" ref="O231">_xlfn.IFS(N231="A","א'", N231="B", "ב'", N231= "C", "ג'")</f>
        <v>א'</v>
      </c>
      <c r="P231" s="13">
        <f>IF(Table_2[[#This Row],[Correct_Answer]]=Table_2[[#This Row],[System_Recommendation]],1,0)</f>
        <v>1</v>
      </c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 spans="1:26" ht="15.75" hidden="1" customHeight="1">
      <c r="A232" s="8" t="s">
        <v>137</v>
      </c>
      <c r="B232" s="8">
        <v>33</v>
      </c>
      <c r="C232" s="9" t="s">
        <v>381</v>
      </c>
      <c r="D232" s="8">
        <v>3</v>
      </c>
      <c r="E232" s="9" t="s">
        <v>98</v>
      </c>
      <c r="F232" s="8" t="s">
        <v>384</v>
      </c>
      <c r="G232" s="8" t="s">
        <v>117</v>
      </c>
      <c r="H232" s="8" t="s">
        <v>129</v>
      </c>
      <c r="I232" s="8" t="s">
        <v>100</v>
      </c>
      <c r="J232" s="9" t="s">
        <v>383</v>
      </c>
      <c r="K232" s="8" t="str">
        <f>VLOOKUP(LEFT(H232,7),'קטלוג תרחישים'!$A:$M,12,FALSE())</f>
        <v>א'</v>
      </c>
      <c r="L232" s="8" t="str">
        <f>IF(J232="כן",K232,VLOOKUP(LEFT(H232,7),'קטלוג תרחישים'!$A:$M,13,FALSE()))</f>
        <v>ב'</v>
      </c>
      <c r="M232" s="13"/>
      <c r="N232" s="50" t="s">
        <v>360</v>
      </c>
      <c r="O232" s="13" t="str">
        <f t="array" ref="O232">_xlfn.IFS(N232="A","א'", N232="B", "ב'", N232= "C", "ג'")</f>
        <v>א'</v>
      </c>
      <c r="P232" s="13">
        <f>IF(Table_2[[#This Row],[Correct_Answer]]=Table_2[[#This Row],[System_Recommendation]],1,0)</f>
        <v>0</v>
      </c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 spans="1:26" ht="15.75" hidden="1" customHeight="1">
      <c r="A233" s="8" t="s">
        <v>138</v>
      </c>
      <c r="B233" s="8">
        <v>1</v>
      </c>
      <c r="C233" s="9" t="s">
        <v>379</v>
      </c>
      <c r="D233" s="8"/>
      <c r="E233" s="9" t="s">
        <v>98</v>
      </c>
      <c r="F233" s="8"/>
      <c r="G233" s="8"/>
      <c r="H233" s="11" t="s">
        <v>90</v>
      </c>
      <c r="I233" s="8" t="s">
        <v>91</v>
      </c>
      <c r="J233" s="9" t="s">
        <v>380</v>
      </c>
      <c r="K233" s="8" t="str">
        <f>VLOOKUP(LEFT(H233,7),'קטלוג תרחישים'!$A:$M,12,FALSE())</f>
        <v>א'</v>
      </c>
      <c r="L233" s="8" t="str">
        <f>IF(J233="כן",K233,VLOOKUP(LEFT(H233,7),'קטלוג תרחישים'!$A:$M,13,FALSE()))</f>
        <v>א'</v>
      </c>
      <c r="M233" s="13"/>
      <c r="N233" s="51" t="s">
        <v>366</v>
      </c>
      <c r="O233" s="13" t="str">
        <f t="array" ref="O233">_xlfn.IFS(N233="A","א'", N233="B", "ב'", N233= "C", "ג'")</f>
        <v>ג'</v>
      </c>
      <c r="P233" s="13">
        <f>IF(Table_2[[#This Row],[Correct_Answer]]=Table_2[[#This Row],[System_Recommendation]],1,0)</f>
        <v>1</v>
      </c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 spans="1:26" ht="15.75" hidden="1" customHeight="1">
      <c r="A234" s="8" t="s">
        <v>138</v>
      </c>
      <c r="B234" s="8">
        <v>2</v>
      </c>
      <c r="C234" s="9" t="s">
        <v>379</v>
      </c>
      <c r="D234" s="8"/>
      <c r="E234" s="9" t="s">
        <v>98</v>
      </c>
      <c r="F234" s="8"/>
      <c r="G234" s="8"/>
      <c r="H234" s="11" t="s">
        <v>92</v>
      </c>
      <c r="I234" s="8" t="s">
        <v>91</v>
      </c>
      <c r="J234" s="9" t="s">
        <v>380</v>
      </c>
      <c r="K234" s="8" t="str">
        <f>VLOOKUP(LEFT(H234,7),'קטלוג תרחישים'!$A:$M,12,FALSE())</f>
        <v>א'</v>
      </c>
      <c r="L234" s="8" t="str">
        <f>IF(J234="כן",K234,VLOOKUP(LEFT(H234,7),'קטלוג תרחישים'!$A:$M,13,FALSE()))</f>
        <v>א'</v>
      </c>
      <c r="M234" s="13"/>
      <c r="N234" s="50" t="s">
        <v>366</v>
      </c>
      <c r="O234" s="13" t="str">
        <f t="array" ref="O234">_xlfn.IFS(N234="A","א'", N234="B", "ב'", N234= "C", "ג'")</f>
        <v>ג'</v>
      </c>
      <c r="P234" s="13">
        <f>IF(Table_2[[#This Row],[Correct_Answer]]=Table_2[[#This Row],[System_Recommendation]],1,0)</f>
        <v>1</v>
      </c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 spans="1:26" ht="15.75" hidden="1" customHeight="1">
      <c r="A235" s="8" t="s">
        <v>138</v>
      </c>
      <c r="B235" s="8">
        <v>3</v>
      </c>
      <c r="C235" s="9" t="s">
        <v>379</v>
      </c>
      <c r="D235" s="8"/>
      <c r="E235" s="9" t="s">
        <v>105</v>
      </c>
      <c r="F235" s="8"/>
      <c r="G235" s="8"/>
      <c r="H235" s="11" t="s">
        <v>93</v>
      </c>
      <c r="I235" s="8" t="s">
        <v>91</v>
      </c>
      <c r="J235" s="9" t="s">
        <v>380</v>
      </c>
      <c r="K235" s="8" t="str">
        <f>VLOOKUP(LEFT(H235,7),'קטלוג תרחישים'!$A:$M,12,FALSE())</f>
        <v>א'</v>
      </c>
      <c r="L235" s="8" t="str">
        <f>IF(J235="כן",K235,VLOOKUP(LEFT(H235,7),'קטלוג תרחישים'!$A:$M,13,FALSE()))</f>
        <v>א'</v>
      </c>
      <c r="M235" s="13"/>
      <c r="N235" s="51" t="s">
        <v>366</v>
      </c>
      <c r="O235" s="13" t="str">
        <f t="array" ref="O235">_xlfn.IFS(N235="A","א'", N235="B", "ב'", N235= "C", "ג'")</f>
        <v>ג'</v>
      </c>
      <c r="P235" s="13">
        <f>IF(Table_2[[#This Row],[Correct_Answer]]=Table_2[[#This Row],[System_Recommendation]],1,0)</f>
        <v>1</v>
      </c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 spans="1:26" ht="15.75" hidden="1" customHeight="1">
      <c r="A236" s="8" t="s">
        <v>138</v>
      </c>
      <c r="B236" s="8">
        <v>4</v>
      </c>
      <c r="C236" s="9" t="s">
        <v>379</v>
      </c>
      <c r="D236" s="8"/>
      <c r="E236" s="9" t="s">
        <v>105</v>
      </c>
      <c r="F236" s="8"/>
      <c r="G236" s="8"/>
      <c r="H236" s="11" t="s">
        <v>94</v>
      </c>
      <c r="I236" s="8" t="s">
        <v>91</v>
      </c>
      <c r="J236" s="9" t="s">
        <v>380</v>
      </c>
      <c r="K236" s="8" t="str">
        <f>VLOOKUP(LEFT(H236,7),'קטלוג תרחישים'!$A:$M,12,FALSE())</f>
        <v>א'</v>
      </c>
      <c r="L236" s="8" t="str">
        <f>IF(J236="כן",K236,VLOOKUP(LEFT(H236,7),'קטלוג תרחישים'!$A:$M,13,FALSE()))</f>
        <v>א'</v>
      </c>
      <c r="M236" s="13"/>
      <c r="N236" s="50" t="s">
        <v>365</v>
      </c>
      <c r="O236" s="13" t="str">
        <f t="array" ref="O236">_xlfn.IFS(N236="A","א'", N236="B", "ב'", N236= "C", "ג'")</f>
        <v>ב'</v>
      </c>
      <c r="P236" s="13">
        <f>IF(Table_2[[#This Row],[Correct_Answer]]=Table_2[[#This Row],[System_Recommendation]],1,0)</f>
        <v>1</v>
      </c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 spans="1:26" ht="15.75" hidden="1" customHeight="1">
      <c r="A237" s="8" t="s">
        <v>138</v>
      </c>
      <c r="B237" s="8">
        <v>5</v>
      </c>
      <c r="C237" s="9" t="s">
        <v>379</v>
      </c>
      <c r="D237" s="8"/>
      <c r="E237" s="9" t="s">
        <v>111</v>
      </c>
      <c r="F237" s="8"/>
      <c r="G237" s="8"/>
      <c r="H237" s="11" t="s">
        <v>95</v>
      </c>
      <c r="I237" s="8" t="s">
        <v>91</v>
      </c>
      <c r="J237" s="9" t="s">
        <v>380</v>
      </c>
      <c r="K237" s="8" t="str">
        <f>VLOOKUP(LEFT(H237,7),'קטלוג תרחישים'!$A:$M,12,FALSE())</f>
        <v>ב'</v>
      </c>
      <c r="L237" s="8" t="str">
        <f>IF(J237="כן",K237,VLOOKUP(LEFT(H237,7),'קטלוג תרחישים'!$A:$M,13,FALSE()))</f>
        <v>ב'</v>
      </c>
      <c r="M237" s="13"/>
      <c r="N237" s="51" t="s">
        <v>360</v>
      </c>
      <c r="O237" s="13" t="str">
        <f t="array" ref="O237">_xlfn.IFS(N237="A","א'", N237="B", "ב'", N237= "C", "ג'")</f>
        <v>א'</v>
      </c>
      <c r="P237" s="13">
        <f>IF(Table_2[[#This Row],[Correct_Answer]]=Table_2[[#This Row],[System_Recommendation]],1,0)</f>
        <v>1</v>
      </c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 spans="1:26" ht="15.75" customHeight="1">
      <c r="A238" s="8" t="s">
        <v>138</v>
      </c>
      <c r="B238" s="8">
        <v>6</v>
      </c>
      <c r="C238" s="9" t="s">
        <v>379</v>
      </c>
      <c r="D238" s="8"/>
      <c r="E238" s="9" t="s">
        <v>111</v>
      </c>
      <c r="F238" s="8"/>
      <c r="G238" s="8"/>
      <c r="H238" s="11" t="s">
        <v>96</v>
      </c>
      <c r="I238" s="8" t="s">
        <v>91</v>
      </c>
      <c r="J238" s="9" t="s">
        <v>380</v>
      </c>
      <c r="K238" s="8" t="str">
        <f>VLOOKUP(LEFT(H238,7),'קטלוג תרחישים'!$A:$M,12,FALSE())</f>
        <v>ב'</v>
      </c>
      <c r="L238" s="8" t="str">
        <f>IF(J238="כן",K238,VLOOKUP(LEFT(H238,7),'קטלוג תרחישים'!$A:$M,13,FALSE()))</f>
        <v>ב'</v>
      </c>
      <c r="M238" s="13"/>
      <c r="N238" s="50" t="s">
        <v>366</v>
      </c>
      <c r="O238" s="13" t="str">
        <f t="array" ref="O238">_xlfn.IFS(N238="A","א'", N238="B", "ב'", N238= "C", "ג'")</f>
        <v>ג'</v>
      </c>
      <c r="P238" s="13">
        <f>IF(Table_2[[#This Row],[Correct_Answer]]=Table_2[[#This Row],[System_Recommendation]],1,0)</f>
        <v>1</v>
      </c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 spans="1:26" ht="15.75" hidden="1" customHeight="1">
      <c r="A239" s="8" t="s">
        <v>138</v>
      </c>
      <c r="B239" s="8">
        <v>7</v>
      </c>
      <c r="C239" s="9" t="s">
        <v>381</v>
      </c>
      <c r="D239" s="8">
        <v>1</v>
      </c>
      <c r="E239" s="9" t="s">
        <v>111</v>
      </c>
      <c r="F239" s="8" t="s">
        <v>382</v>
      </c>
      <c r="G239" s="8" t="s">
        <v>117</v>
      </c>
      <c r="H239" s="8" t="s">
        <v>124</v>
      </c>
      <c r="I239" s="8" t="s">
        <v>91</v>
      </c>
      <c r="J239" s="9" t="s">
        <v>380</v>
      </c>
      <c r="K239" s="8" t="str">
        <f>VLOOKUP(LEFT(H239,7),'קטלוג תרחישים'!$A:$M,12,FALSE())</f>
        <v>ב'</v>
      </c>
      <c r="L239" s="8" t="str">
        <f>IF(J239="כן",K239,VLOOKUP(LEFT(H239,7),'קטלוג תרחישים'!$A:$M,13,FALSE()))</f>
        <v>ב'</v>
      </c>
      <c r="M239" s="13"/>
      <c r="N239" s="51" t="s">
        <v>366</v>
      </c>
      <c r="O239" s="13" t="str">
        <f t="array" ref="O239">_xlfn.IFS(N239="A","א'", N239="B", "ב'", N239= "C", "ג'")</f>
        <v>ג'</v>
      </c>
      <c r="P239" s="13">
        <f>IF(Table_2[[#This Row],[Correct_Answer]]=Table_2[[#This Row],[System_Recommendation]],1,0)</f>
        <v>1</v>
      </c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 spans="1:26" ht="15.75" hidden="1" customHeight="1">
      <c r="A240" s="8" t="s">
        <v>138</v>
      </c>
      <c r="B240" s="8">
        <v>8</v>
      </c>
      <c r="C240" s="9" t="s">
        <v>381</v>
      </c>
      <c r="D240" s="8">
        <v>1</v>
      </c>
      <c r="E240" s="9" t="s">
        <v>111</v>
      </c>
      <c r="F240" s="8" t="s">
        <v>382</v>
      </c>
      <c r="G240" s="8" t="s">
        <v>117</v>
      </c>
      <c r="H240" s="8" t="s">
        <v>125</v>
      </c>
      <c r="I240" s="8" t="s">
        <v>100</v>
      </c>
      <c r="J240" s="9" t="s">
        <v>380</v>
      </c>
      <c r="K240" s="8" t="str">
        <f>VLOOKUP(LEFT(H240,7),'קטלוג תרחישים'!$A:$M,12,FALSE())</f>
        <v>ג'</v>
      </c>
      <c r="L240" s="8" t="str">
        <f>IF(J240="כן",K240,VLOOKUP(LEFT(H240,7),'קטלוג תרחישים'!$A:$M,13,FALSE()))</f>
        <v>ג'</v>
      </c>
      <c r="M240" s="13"/>
      <c r="N240" s="50" t="s">
        <v>360</v>
      </c>
      <c r="O240" s="13" t="str">
        <f t="array" ref="O240">_xlfn.IFS(N240="A","א'", N240="B", "ב'", N240= "C", "ג'")</f>
        <v>א'</v>
      </c>
      <c r="P240" s="13">
        <f>IF(Table_2[[#This Row],[Correct_Answer]]=Table_2[[#This Row],[System_Recommendation]],1,0)</f>
        <v>1</v>
      </c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 spans="1:26" ht="15.75" hidden="1" customHeight="1">
      <c r="A241" s="8" t="s">
        <v>138</v>
      </c>
      <c r="B241" s="8">
        <v>9</v>
      </c>
      <c r="C241" s="9" t="s">
        <v>381</v>
      </c>
      <c r="D241" s="8">
        <v>1</v>
      </c>
      <c r="E241" s="9" t="s">
        <v>111</v>
      </c>
      <c r="F241" s="8" t="s">
        <v>382</v>
      </c>
      <c r="G241" s="8" t="s">
        <v>117</v>
      </c>
      <c r="H241" s="8" t="s">
        <v>122</v>
      </c>
      <c r="I241" s="8" t="s">
        <v>91</v>
      </c>
      <c r="J241" s="9" t="s">
        <v>383</v>
      </c>
      <c r="K241" s="8" t="str">
        <f>VLOOKUP(LEFT(H241,7),'קטלוג תרחישים'!$A:$M,12,FALSE())</f>
        <v>ג'</v>
      </c>
      <c r="L241" s="8" t="str">
        <f>IF(J241="כן",K241,VLOOKUP(LEFT(H241,7),'קטלוג תרחישים'!$A:$M,13,FALSE()))</f>
        <v>א'</v>
      </c>
      <c r="M241" s="13"/>
      <c r="N241" s="51" t="s">
        <v>360</v>
      </c>
      <c r="O241" s="13" t="str">
        <f t="array" ref="O241">_xlfn.IFS(N241="A","א'", N241="B", "ב'", N241= "C", "ג'")</f>
        <v>א'</v>
      </c>
      <c r="P241" s="13">
        <f>IF(Table_2[[#This Row],[Correct_Answer]]=Table_2[[#This Row],[System_Recommendation]],1,0)</f>
        <v>0</v>
      </c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 spans="1:26" ht="15.75" hidden="1" customHeight="1">
      <c r="A242" s="8" t="s">
        <v>138</v>
      </c>
      <c r="B242" s="8">
        <v>10</v>
      </c>
      <c r="C242" s="9" t="s">
        <v>381</v>
      </c>
      <c r="D242" s="8">
        <v>1</v>
      </c>
      <c r="E242" s="9" t="s">
        <v>111</v>
      </c>
      <c r="F242" s="8" t="s">
        <v>382</v>
      </c>
      <c r="G242" s="8" t="s">
        <v>117</v>
      </c>
      <c r="H242" s="8" t="s">
        <v>123</v>
      </c>
      <c r="I242" s="8" t="s">
        <v>100</v>
      </c>
      <c r="J242" s="9" t="s">
        <v>383</v>
      </c>
      <c r="K242" s="8" t="str">
        <f>VLOOKUP(LEFT(H242,7),'קטלוג תרחישים'!$A:$M,12,FALSE())</f>
        <v>ב'</v>
      </c>
      <c r="L242" s="8" t="str">
        <f>IF(J242="כן",K242,VLOOKUP(LEFT(H242,7),'קטלוג תרחישים'!$A:$M,13,FALSE()))</f>
        <v>א'</v>
      </c>
      <c r="M242" s="13"/>
      <c r="N242" s="50" t="s">
        <v>360</v>
      </c>
      <c r="O242" s="13" t="str">
        <f t="array" ref="O242">_xlfn.IFS(N242="A","א'", N242="B", "ב'", N242= "C", "ג'")</f>
        <v>א'</v>
      </c>
      <c r="P242" s="13">
        <f>IF(Table_2[[#This Row],[Correct_Answer]]=Table_2[[#This Row],[System_Recommendation]],1,0)</f>
        <v>0</v>
      </c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 spans="1:26" ht="15.75" hidden="1" customHeight="1">
      <c r="A243" s="8" t="s">
        <v>138</v>
      </c>
      <c r="B243" s="8">
        <v>11</v>
      </c>
      <c r="C243" s="9" t="s">
        <v>381</v>
      </c>
      <c r="D243" s="8">
        <v>2</v>
      </c>
      <c r="E243" s="9" t="s">
        <v>98</v>
      </c>
      <c r="F243" s="8" t="s">
        <v>382</v>
      </c>
      <c r="G243" s="8" t="s">
        <v>117</v>
      </c>
      <c r="H243" s="8" t="s">
        <v>126</v>
      </c>
      <c r="I243" s="8" t="s">
        <v>91</v>
      </c>
      <c r="J243" s="9" t="s">
        <v>383</v>
      </c>
      <c r="K243" s="8" t="str">
        <f>VLOOKUP(LEFT(H243,7),'קטלוג תרחישים'!$A:$M,12,FALSE())</f>
        <v>ג'</v>
      </c>
      <c r="L243" s="8" t="str">
        <f>IF(J243="כן",K243,VLOOKUP(LEFT(H243,7),'קטלוג תרחישים'!$A:$M,13,FALSE()))</f>
        <v>א'</v>
      </c>
      <c r="M243" s="13"/>
      <c r="N243" s="51" t="s">
        <v>365</v>
      </c>
      <c r="O243" s="13" t="str">
        <f t="array" ref="O243">_xlfn.IFS(N243="A","א'", N243="B", "ב'", N243= "C", "ג'")</f>
        <v>ב'</v>
      </c>
      <c r="P243" s="13">
        <f>IF(Table_2[[#This Row],[Correct_Answer]]=Table_2[[#This Row],[System_Recommendation]],1,0)</f>
        <v>0</v>
      </c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 spans="1:26" ht="15.75" hidden="1" customHeight="1">
      <c r="A244" s="8" t="s">
        <v>138</v>
      </c>
      <c r="B244" s="8">
        <v>12</v>
      </c>
      <c r="C244" s="9" t="s">
        <v>381</v>
      </c>
      <c r="D244" s="8">
        <v>2</v>
      </c>
      <c r="E244" s="9" t="s">
        <v>98</v>
      </c>
      <c r="F244" s="8" t="s">
        <v>382</v>
      </c>
      <c r="G244" s="8" t="s">
        <v>117</v>
      </c>
      <c r="H244" s="8" t="s">
        <v>127</v>
      </c>
      <c r="I244" s="8" t="s">
        <v>100</v>
      </c>
      <c r="J244" s="9" t="s">
        <v>380</v>
      </c>
      <c r="K244" s="8" t="str">
        <f>VLOOKUP(LEFT(H244,7),'קטלוג תרחישים'!$A:$M,12,FALSE())</f>
        <v>א'</v>
      </c>
      <c r="L244" s="8" t="str">
        <f>IF(J244="כן",K244,VLOOKUP(LEFT(H244,7),'קטלוג תרחישים'!$A:$M,13,FALSE()))</f>
        <v>א'</v>
      </c>
      <c r="M244" s="13"/>
      <c r="N244" s="50" t="s">
        <v>365</v>
      </c>
      <c r="O244" s="13" t="str">
        <f t="array" ref="O244">_xlfn.IFS(N244="A","א'", N244="B", "ב'", N244= "C", "ג'")</f>
        <v>ב'</v>
      </c>
      <c r="P244" s="13">
        <f>IF(Table_2[[#This Row],[Correct_Answer]]=Table_2[[#This Row],[System_Recommendation]],1,0)</f>
        <v>1</v>
      </c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 spans="1:26" ht="15.75" hidden="1" customHeight="1">
      <c r="A245" s="8" t="s">
        <v>138</v>
      </c>
      <c r="B245" s="8">
        <v>13</v>
      </c>
      <c r="C245" s="9" t="s">
        <v>381</v>
      </c>
      <c r="D245" s="8">
        <v>2</v>
      </c>
      <c r="E245" s="9" t="s">
        <v>98</v>
      </c>
      <c r="F245" s="8" t="s">
        <v>382</v>
      </c>
      <c r="G245" s="8" t="s">
        <v>117</v>
      </c>
      <c r="H245" s="8" t="s">
        <v>128</v>
      </c>
      <c r="I245" s="8" t="s">
        <v>91</v>
      </c>
      <c r="J245" s="9" t="s">
        <v>380</v>
      </c>
      <c r="K245" s="8" t="str">
        <f>VLOOKUP(LEFT(H245,7),'קטלוג תרחישים'!$A:$M,12,FALSE())</f>
        <v>ב'</v>
      </c>
      <c r="L245" s="8" t="str">
        <f>IF(J245="כן",K245,VLOOKUP(LEFT(H245,7),'קטלוג תרחישים'!$A:$M,13,FALSE()))</f>
        <v>ב'</v>
      </c>
      <c r="M245" s="13"/>
      <c r="N245" s="51" t="s">
        <v>366</v>
      </c>
      <c r="O245" s="13" t="str">
        <f t="array" ref="O245">_xlfn.IFS(N245="A","א'", N245="B", "ב'", N245= "C", "ג'")</f>
        <v>ג'</v>
      </c>
      <c r="P245" s="13">
        <f>IF(Table_2[[#This Row],[Correct_Answer]]=Table_2[[#This Row],[System_Recommendation]],1,0)</f>
        <v>1</v>
      </c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 spans="1:26" ht="15.75" hidden="1" customHeight="1">
      <c r="A246" s="8" t="s">
        <v>138</v>
      </c>
      <c r="B246" s="8">
        <v>14</v>
      </c>
      <c r="C246" s="9" t="s">
        <v>381</v>
      </c>
      <c r="D246" s="8">
        <v>2</v>
      </c>
      <c r="E246" s="9" t="s">
        <v>98</v>
      </c>
      <c r="F246" s="8" t="s">
        <v>382</v>
      </c>
      <c r="G246" s="8" t="s">
        <v>117</v>
      </c>
      <c r="H246" s="8" t="s">
        <v>129</v>
      </c>
      <c r="I246" s="8" t="s">
        <v>100</v>
      </c>
      <c r="J246" s="9" t="s">
        <v>383</v>
      </c>
      <c r="K246" s="8" t="str">
        <f>VLOOKUP(LEFT(H246,7),'קטלוג תרחישים'!$A:$M,12,FALSE())</f>
        <v>א'</v>
      </c>
      <c r="L246" s="8" t="str">
        <f>IF(J246="כן",K246,VLOOKUP(LEFT(H246,7),'קטלוג תרחישים'!$A:$M,13,FALSE()))</f>
        <v>ב'</v>
      </c>
      <c r="M246" s="13"/>
      <c r="N246" s="50" t="s">
        <v>365</v>
      </c>
      <c r="O246" s="13" t="str">
        <f t="array" ref="O246">_xlfn.IFS(N246="A","א'", N246="B", "ב'", N246= "C", "ג'")</f>
        <v>ב'</v>
      </c>
      <c r="P246" s="13">
        <f>IF(Table_2[[#This Row],[Correct_Answer]]=Table_2[[#This Row],[System_Recommendation]],1,0)</f>
        <v>0</v>
      </c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 spans="1:26" ht="15.75" hidden="1" customHeight="1">
      <c r="A247" s="8" t="s">
        <v>138</v>
      </c>
      <c r="B247" s="8">
        <v>15</v>
      </c>
      <c r="C247" s="9" t="s">
        <v>381</v>
      </c>
      <c r="D247" s="8">
        <v>3</v>
      </c>
      <c r="E247" s="9" t="s">
        <v>105</v>
      </c>
      <c r="F247" s="8" t="s">
        <v>382</v>
      </c>
      <c r="G247" s="8" t="s">
        <v>117</v>
      </c>
      <c r="H247" s="8" t="s">
        <v>120</v>
      </c>
      <c r="I247" s="8" t="s">
        <v>91</v>
      </c>
      <c r="J247" s="9" t="s">
        <v>380</v>
      </c>
      <c r="K247" s="8" t="str">
        <f>VLOOKUP(LEFT(H247,7),'קטלוג תרחישים'!$A:$M,12,FALSE())</f>
        <v>ג'</v>
      </c>
      <c r="L247" s="8" t="str">
        <f>IF(J247="כן",K247,VLOOKUP(LEFT(H247,7),'קטלוג תרחישים'!$A:$M,13,FALSE()))</f>
        <v>ג'</v>
      </c>
      <c r="M247" s="13"/>
      <c r="N247" s="51" t="s">
        <v>365</v>
      </c>
      <c r="O247" s="13" t="str">
        <f t="array" ref="O247">_xlfn.IFS(N247="A","א'", N247="B", "ב'", N247= "C", "ג'")</f>
        <v>ב'</v>
      </c>
      <c r="P247" s="13">
        <f>IF(Table_2[[#This Row],[Correct_Answer]]=Table_2[[#This Row],[System_Recommendation]],1,0)</f>
        <v>1</v>
      </c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 spans="1:26" ht="15.75" hidden="1" customHeight="1">
      <c r="A248" s="8" t="s">
        <v>138</v>
      </c>
      <c r="B248" s="8">
        <v>16</v>
      </c>
      <c r="C248" s="9" t="s">
        <v>381</v>
      </c>
      <c r="D248" s="8">
        <v>3</v>
      </c>
      <c r="E248" s="9" t="s">
        <v>105</v>
      </c>
      <c r="F248" s="8" t="s">
        <v>382</v>
      </c>
      <c r="G248" s="8" t="s">
        <v>117</v>
      </c>
      <c r="H248" s="8" t="s">
        <v>119</v>
      </c>
      <c r="I248" s="8" t="s">
        <v>100</v>
      </c>
      <c r="J248" s="9" t="s">
        <v>383</v>
      </c>
      <c r="K248" s="8" t="str">
        <f>VLOOKUP(LEFT(H248,7),'קטלוג תרחישים'!$A:$M,12,FALSE())</f>
        <v>א'</v>
      </c>
      <c r="L248" s="8" t="str">
        <f>IF(J248="כן",K248,VLOOKUP(LEFT(H248,7),'קטלוג תרחישים'!$A:$M,13,FALSE()))</f>
        <v>ב'</v>
      </c>
      <c r="M248" s="13"/>
      <c r="N248" s="50" t="s">
        <v>365</v>
      </c>
      <c r="O248" s="13" t="str">
        <f t="array" ref="O248">_xlfn.IFS(N248="A","א'", N248="B", "ב'", N248= "C", "ג'")</f>
        <v>ב'</v>
      </c>
      <c r="P248" s="13">
        <f>IF(Table_2[[#This Row],[Correct_Answer]]=Table_2[[#This Row],[System_Recommendation]],1,0)</f>
        <v>0</v>
      </c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 spans="1:26" ht="15.75" hidden="1" customHeight="1">
      <c r="A249" s="8" t="s">
        <v>138</v>
      </c>
      <c r="B249" s="8">
        <v>17</v>
      </c>
      <c r="C249" s="9" t="s">
        <v>381</v>
      </c>
      <c r="D249" s="8">
        <v>3</v>
      </c>
      <c r="E249" s="9" t="s">
        <v>105</v>
      </c>
      <c r="F249" s="8" t="s">
        <v>382</v>
      </c>
      <c r="G249" s="8" t="s">
        <v>117</v>
      </c>
      <c r="H249" s="8" t="s">
        <v>118</v>
      </c>
      <c r="I249" s="8" t="s">
        <v>91</v>
      </c>
      <c r="J249" s="9" t="s">
        <v>383</v>
      </c>
      <c r="K249" s="8" t="str">
        <f>VLOOKUP(LEFT(H249,7),'קטלוג תרחישים'!$A:$M,12,FALSE())</f>
        <v>ג'</v>
      </c>
      <c r="L249" s="8" t="str">
        <f>IF(J249="כן",K249,VLOOKUP(LEFT(H249,7),'קטלוג תרחישים'!$A:$M,13,FALSE()))</f>
        <v>ב'</v>
      </c>
      <c r="M249" s="13"/>
      <c r="N249" s="51" t="s">
        <v>360</v>
      </c>
      <c r="O249" s="13" t="str">
        <f t="array" ref="O249">_xlfn.IFS(N249="A","א'", N249="B", "ב'", N249= "C", "ג'")</f>
        <v>א'</v>
      </c>
      <c r="P249" s="13">
        <f>IF(Table_2[[#This Row],[Correct_Answer]]=Table_2[[#This Row],[System_Recommendation]],1,0)</f>
        <v>0</v>
      </c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 spans="1:26" ht="15.75" hidden="1" customHeight="1">
      <c r="A250" s="8" t="s">
        <v>138</v>
      </c>
      <c r="B250" s="8">
        <v>18</v>
      </c>
      <c r="C250" s="9" t="s">
        <v>381</v>
      </c>
      <c r="D250" s="8">
        <v>3</v>
      </c>
      <c r="E250" s="9" t="s">
        <v>105</v>
      </c>
      <c r="F250" s="8" t="s">
        <v>382</v>
      </c>
      <c r="G250" s="8" t="s">
        <v>117</v>
      </c>
      <c r="H250" s="8" t="s">
        <v>121</v>
      </c>
      <c r="I250" s="8" t="s">
        <v>100</v>
      </c>
      <c r="J250" s="9" t="s">
        <v>380</v>
      </c>
      <c r="K250" s="8" t="str">
        <f>VLOOKUP(LEFT(H250,7),'קטלוג תרחישים'!$A:$M,12,FALSE())</f>
        <v>ג'</v>
      </c>
      <c r="L250" s="8" t="str">
        <f>IF(J250="כן",K250,VLOOKUP(LEFT(H250,7),'קטלוג תרחישים'!$A:$M,13,FALSE()))</f>
        <v>ג'</v>
      </c>
      <c r="M250" s="13"/>
      <c r="N250" s="50" t="s">
        <v>366</v>
      </c>
      <c r="O250" s="13" t="str">
        <f t="array" ref="O250">_xlfn.IFS(N250="A","א'", N250="B", "ב'", N250= "C", "ג'")</f>
        <v>ג'</v>
      </c>
      <c r="P250" s="13">
        <f>IF(Table_2[[#This Row],[Correct_Answer]]=Table_2[[#This Row],[System_Recommendation]],1,0)</f>
        <v>1</v>
      </c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 spans="1:26" ht="15.75" hidden="1" customHeight="1">
      <c r="A251" s="8" t="s">
        <v>138</v>
      </c>
      <c r="B251" s="8">
        <v>19</v>
      </c>
      <c r="C251" s="9" t="s">
        <v>381</v>
      </c>
      <c r="D251" s="8">
        <v>1</v>
      </c>
      <c r="E251" s="9" t="s">
        <v>105</v>
      </c>
      <c r="F251" s="8" t="s">
        <v>384</v>
      </c>
      <c r="G251" s="8" t="s">
        <v>97</v>
      </c>
      <c r="H251" s="8" t="s">
        <v>106</v>
      </c>
      <c r="I251" s="8" t="s">
        <v>91</v>
      </c>
      <c r="J251" s="9" t="s">
        <v>380</v>
      </c>
      <c r="K251" s="8" t="str">
        <f>VLOOKUP(LEFT(H251,7),'קטלוג תרחישים'!$A:$M,12,FALSE())</f>
        <v>א'</v>
      </c>
      <c r="L251" s="8" t="str">
        <f>IF(J251="כן",K251,VLOOKUP(LEFT(H251,7),'קטלוג תרחישים'!$A:$M,13,FALSE()))</f>
        <v>א'</v>
      </c>
      <c r="M251" s="13"/>
      <c r="N251" s="51" t="s">
        <v>365</v>
      </c>
      <c r="O251" s="13" t="str">
        <f t="array" ref="O251">_xlfn.IFS(N251="A","א'", N251="B", "ב'", N251= "C", "ג'")</f>
        <v>ב'</v>
      </c>
      <c r="P251" s="13">
        <f>IF(Table_2[[#This Row],[Correct_Answer]]=Table_2[[#This Row],[System_Recommendation]],1,0)</f>
        <v>1</v>
      </c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 spans="1:26" ht="15.75" hidden="1" customHeight="1">
      <c r="A252" s="8" t="s">
        <v>138</v>
      </c>
      <c r="B252" s="8">
        <v>20</v>
      </c>
      <c r="C252" s="9" t="s">
        <v>381</v>
      </c>
      <c r="D252" s="8">
        <v>1</v>
      </c>
      <c r="E252" s="9" t="s">
        <v>105</v>
      </c>
      <c r="F252" s="8" t="s">
        <v>384</v>
      </c>
      <c r="G252" s="8" t="s">
        <v>97</v>
      </c>
      <c r="H252" s="8" t="s">
        <v>109</v>
      </c>
      <c r="I252" s="8" t="s">
        <v>100</v>
      </c>
      <c r="J252" s="9" t="s">
        <v>380</v>
      </c>
      <c r="K252" s="8" t="str">
        <f>VLOOKUP(LEFT(H252,7),'קטלוג תרחישים'!$A:$M,12,FALSE())</f>
        <v>ב'</v>
      </c>
      <c r="L252" s="8" t="str">
        <f>IF(J252="כן",K252,VLOOKUP(LEFT(H252,7),'קטלוג תרחישים'!$A:$M,13,FALSE()))</f>
        <v>ב'</v>
      </c>
      <c r="M252" s="13"/>
      <c r="N252" s="50" t="s">
        <v>366</v>
      </c>
      <c r="O252" s="13" t="str">
        <f t="array" ref="O252">_xlfn.IFS(N252="A","א'", N252="B", "ב'", N252= "C", "ג'")</f>
        <v>ג'</v>
      </c>
      <c r="P252" s="13">
        <f>IF(Table_2[[#This Row],[Correct_Answer]]=Table_2[[#This Row],[System_Recommendation]],1,0)</f>
        <v>1</v>
      </c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 spans="1:26" ht="15.75" hidden="1" customHeight="1">
      <c r="A253" s="8" t="s">
        <v>138</v>
      </c>
      <c r="B253" s="8">
        <v>21</v>
      </c>
      <c r="C253" s="9" t="s">
        <v>381</v>
      </c>
      <c r="D253" s="8">
        <v>1</v>
      </c>
      <c r="E253" s="9" t="s">
        <v>105</v>
      </c>
      <c r="F253" s="8" t="s">
        <v>384</v>
      </c>
      <c r="G253" s="8" t="s">
        <v>97</v>
      </c>
      <c r="H253" s="8" t="s">
        <v>110</v>
      </c>
      <c r="I253" s="8" t="s">
        <v>91</v>
      </c>
      <c r="J253" s="9" t="s">
        <v>380</v>
      </c>
      <c r="K253" s="8" t="str">
        <f>VLOOKUP(LEFT(H253,7),'קטלוג תרחישים'!$A:$M,12,FALSE())</f>
        <v>ג'</v>
      </c>
      <c r="L253" s="8" t="str">
        <f>IF(J253="כן",K253,VLOOKUP(LEFT(H253,7),'קטלוג תרחישים'!$A:$M,13,FALSE()))</f>
        <v>ג'</v>
      </c>
      <c r="M253" s="13"/>
      <c r="N253" s="51" t="s">
        <v>360</v>
      </c>
      <c r="O253" s="13" t="str">
        <f t="array" ref="O253">_xlfn.IFS(N253="A","א'", N253="B", "ב'", N253= "C", "ג'")</f>
        <v>א'</v>
      </c>
      <c r="P253" s="13">
        <f>IF(Table_2[[#This Row],[Correct_Answer]]=Table_2[[#This Row],[System_Recommendation]],1,0)</f>
        <v>1</v>
      </c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 spans="1:26" ht="15.75" hidden="1" customHeight="1">
      <c r="A254" s="8" t="s">
        <v>138</v>
      </c>
      <c r="B254" s="8">
        <v>22</v>
      </c>
      <c r="C254" s="9" t="s">
        <v>381</v>
      </c>
      <c r="D254" s="8">
        <v>1</v>
      </c>
      <c r="E254" s="9" t="s">
        <v>105</v>
      </c>
      <c r="F254" s="8" t="s">
        <v>384</v>
      </c>
      <c r="G254" s="8" t="s">
        <v>97</v>
      </c>
      <c r="H254" s="8" t="s">
        <v>107</v>
      </c>
      <c r="I254" s="8" t="s">
        <v>100</v>
      </c>
      <c r="J254" s="9" t="s">
        <v>380</v>
      </c>
      <c r="K254" s="8" t="str">
        <f>VLOOKUP(LEFT(H254,7),'קטלוג תרחישים'!$A:$M,12,FALSE())</f>
        <v>ב'</v>
      </c>
      <c r="L254" s="8" t="str">
        <f>IF(J254="כן",K254,VLOOKUP(LEFT(H254,7),'קטלוג תרחישים'!$A:$M,13,FALSE()))</f>
        <v>ב'</v>
      </c>
      <c r="M254" s="13"/>
      <c r="N254" s="50" t="s">
        <v>366</v>
      </c>
      <c r="O254" s="13" t="str">
        <f t="array" ref="O254">_xlfn.IFS(N254="A","א'", N254="B", "ב'", N254= "C", "ג'")</f>
        <v>ג'</v>
      </c>
      <c r="P254" s="13">
        <f>IF(Table_2[[#This Row],[Correct_Answer]]=Table_2[[#This Row],[System_Recommendation]],1,0)</f>
        <v>1</v>
      </c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 spans="1:26" ht="15.75" hidden="1" customHeight="1">
      <c r="A255" s="8" t="s">
        <v>138</v>
      </c>
      <c r="B255" s="8">
        <v>23</v>
      </c>
      <c r="C255" s="9" t="s">
        <v>381</v>
      </c>
      <c r="D255" s="8">
        <v>1</v>
      </c>
      <c r="E255" s="9" t="s">
        <v>105</v>
      </c>
      <c r="F255" s="8" t="s">
        <v>384</v>
      </c>
      <c r="G255" s="8" t="s">
        <v>97</v>
      </c>
      <c r="H255" s="8" t="s">
        <v>108</v>
      </c>
      <c r="I255" s="8" t="s">
        <v>91</v>
      </c>
      <c r="J255" s="9" t="s">
        <v>383</v>
      </c>
      <c r="K255" s="8" t="str">
        <f>VLOOKUP(LEFT(H255,7),'קטלוג תרחישים'!$A:$M,12,FALSE())</f>
        <v>ג'</v>
      </c>
      <c r="L255" s="8" t="str">
        <f>IF(J255="כן",K255,VLOOKUP(LEFT(H255,7),'קטלוג תרחישים'!$A:$M,13,FALSE()))</f>
        <v>א'</v>
      </c>
      <c r="M255" s="13"/>
      <c r="N255" s="51" t="s">
        <v>366</v>
      </c>
      <c r="O255" s="13" t="str">
        <f t="array" ref="O255">_xlfn.IFS(N255="A","א'", N255="B", "ב'", N255= "C", "ג'")</f>
        <v>ג'</v>
      </c>
      <c r="P255" s="13">
        <f>IF(Table_2[[#This Row],[Correct_Answer]]=Table_2[[#This Row],[System_Recommendation]],1,0)</f>
        <v>0</v>
      </c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 spans="1:26" ht="15.75" hidden="1" customHeight="1">
      <c r="A256" s="8" t="s">
        <v>138</v>
      </c>
      <c r="B256" s="8">
        <v>24</v>
      </c>
      <c r="C256" s="9" t="s">
        <v>381</v>
      </c>
      <c r="D256" s="8">
        <v>2</v>
      </c>
      <c r="E256" s="9" t="s">
        <v>111</v>
      </c>
      <c r="F256" s="8" t="s">
        <v>384</v>
      </c>
      <c r="G256" s="8" t="s">
        <v>97</v>
      </c>
      <c r="H256" s="8" t="s">
        <v>114</v>
      </c>
      <c r="I256" s="8" t="s">
        <v>91</v>
      </c>
      <c r="J256" s="9" t="s">
        <v>380</v>
      </c>
      <c r="K256" s="8" t="str">
        <f>VLOOKUP(LEFT(H256,7),'קטלוג תרחישים'!$A:$M,12,FALSE())</f>
        <v>ג'</v>
      </c>
      <c r="L256" s="8" t="str">
        <f>IF(J256="כן",K256,VLOOKUP(LEFT(H256,7),'קטלוג תרחישים'!$A:$M,13,FALSE()))</f>
        <v>ג'</v>
      </c>
      <c r="M256" s="13"/>
      <c r="N256" s="50" t="s">
        <v>365</v>
      </c>
      <c r="O256" s="13" t="str">
        <f t="array" ref="O256">_xlfn.IFS(N256="A","א'", N256="B", "ב'", N256= "C", "ג'")</f>
        <v>ב'</v>
      </c>
      <c r="P256" s="13">
        <f>IF(Table_2[[#This Row],[Correct_Answer]]=Table_2[[#This Row],[System_Recommendation]],1,0)</f>
        <v>1</v>
      </c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 spans="1:26" ht="15.75" hidden="1" customHeight="1">
      <c r="A257" s="8" t="s">
        <v>138</v>
      </c>
      <c r="B257" s="8">
        <v>25</v>
      </c>
      <c r="C257" s="9" t="s">
        <v>381</v>
      </c>
      <c r="D257" s="8">
        <v>2</v>
      </c>
      <c r="E257" s="9" t="s">
        <v>111</v>
      </c>
      <c r="F257" s="8" t="s">
        <v>384</v>
      </c>
      <c r="G257" s="8" t="s">
        <v>97</v>
      </c>
      <c r="H257" s="8" t="s">
        <v>115</v>
      </c>
      <c r="I257" s="8" t="s">
        <v>100</v>
      </c>
      <c r="J257" s="9" t="s">
        <v>380</v>
      </c>
      <c r="K257" s="8" t="str">
        <f>VLOOKUP(LEFT(H257,7),'קטלוג תרחישים'!$A:$M,12,FALSE())</f>
        <v>א'</v>
      </c>
      <c r="L257" s="8" t="str">
        <f>IF(J257="כן",K257,VLOOKUP(LEFT(H257,7),'קטלוג תרחישים'!$A:$M,13,FALSE()))</f>
        <v>א'</v>
      </c>
      <c r="M257" s="13"/>
      <c r="N257" s="51" t="s">
        <v>360</v>
      </c>
      <c r="O257" s="13" t="str">
        <f t="array" ref="O257">_xlfn.IFS(N257="A","א'", N257="B", "ב'", N257= "C", "ג'")</f>
        <v>א'</v>
      </c>
      <c r="P257" s="13">
        <f>IF(Table_2[[#This Row],[Correct_Answer]]=Table_2[[#This Row],[System_Recommendation]],1,0)</f>
        <v>1</v>
      </c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 spans="1:26" ht="15.75" hidden="1" customHeight="1">
      <c r="A258" s="8" t="s">
        <v>138</v>
      </c>
      <c r="B258" s="8">
        <v>26</v>
      </c>
      <c r="C258" s="9" t="s">
        <v>381</v>
      </c>
      <c r="D258" s="8">
        <v>2</v>
      </c>
      <c r="E258" s="9" t="s">
        <v>111</v>
      </c>
      <c r="F258" s="8" t="s">
        <v>384</v>
      </c>
      <c r="G258" s="8" t="s">
        <v>97</v>
      </c>
      <c r="H258" s="8" t="s">
        <v>116</v>
      </c>
      <c r="I258" s="8" t="s">
        <v>91</v>
      </c>
      <c r="J258" s="9" t="s">
        <v>380</v>
      </c>
      <c r="K258" s="8" t="str">
        <f>VLOOKUP(LEFT(H258,7),'קטלוג תרחישים'!$A:$M,12,FALSE())</f>
        <v>ג'</v>
      </c>
      <c r="L258" s="8" t="str">
        <f>IF(J258="כן",K258,VLOOKUP(LEFT(H258,7),'קטלוג תרחישים'!$A:$M,13,FALSE()))</f>
        <v>ג'</v>
      </c>
      <c r="M258" s="13"/>
      <c r="N258" s="50" t="s">
        <v>366</v>
      </c>
      <c r="O258" s="13" t="str">
        <f t="array" ref="O258">_xlfn.IFS(N258="A","א'", N258="B", "ב'", N258= "C", "ג'")</f>
        <v>ג'</v>
      </c>
      <c r="P258" s="13">
        <f>IF(Table_2[[#This Row],[Correct_Answer]]=Table_2[[#This Row],[System_Recommendation]],1,0)</f>
        <v>1</v>
      </c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 spans="1:26" ht="15.75" hidden="1" customHeight="1">
      <c r="A259" s="8" t="s">
        <v>138</v>
      </c>
      <c r="B259" s="8">
        <v>27</v>
      </c>
      <c r="C259" s="9" t="s">
        <v>381</v>
      </c>
      <c r="D259" s="8">
        <v>2</v>
      </c>
      <c r="E259" s="9" t="s">
        <v>111</v>
      </c>
      <c r="F259" s="8" t="s">
        <v>384</v>
      </c>
      <c r="G259" s="8" t="s">
        <v>97</v>
      </c>
      <c r="H259" s="8" t="s">
        <v>113</v>
      </c>
      <c r="I259" s="8" t="s">
        <v>100</v>
      </c>
      <c r="J259" s="9" t="s">
        <v>380</v>
      </c>
      <c r="K259" s="8" t="str">
        <f>VLOOKUP(LEFT(H259,7),'קטלוג תרחישים'!$A:$M,12,FALSE())</f>
        <v>ג'</v>
      </c>
      <c r="L259" s="8" t="str">
        <f>IF(J259="כן",K259,VLOOKUP(LEFT(H259,7),'קטלוג תרחישים'!$A:$M,13,FALSE()))</f>
        <v>ג'</v>
      </c>
      <c r="M259" s="13"/>
      <c r="N259" s="51" t="s">
        <v>365</v>
      </c>
      <c r="O259" s="13" t="str">
        <f t="array" ref="O259">_xlfn.IFS(N259="A","א'", N259="B", "ב'", N259= "C", "ג'")</f>
        <v>ב'</v>
      </c>
      <c r="P259" s="13">
        <f>IF(Table_2[[#This Row],[Correct_Answer]]=Table_2[[#This Row],[System_Recommendation]],1,0)</f>
        <v>1</v>
      </c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 spans="1:26" ht="15.75" hidden="1" customHeight="1">
      <c r="A260" s="8" t="s">
        <v>138</v>
      </c>
      <c r="B260" s="8">
        <v>28</v>
      </c>
      <c r="C260" s="9" t="s">
        <v>381</v>
      </c>
      <c r="D260" s="8">
        <v>2</v>
      </c>
      <c r="E260" s="9" t="s">
        <v>111</v>
      </c>
      <c r="F260" s="8" t="s">
        <v>384</v>
      </c>
      <c r="G260" s="8" t="s">
        <v>97</v>
      </c>
      <c r="H260" s="8" t="s">
        <v>112</v>
      </c>
      <c r="I260" s="8" t="s">
        <v>91</v>
      </c>
      <c r="J260" s="9" t="s">
        <v>383</v>
      </c>
      <c r="K260" s="8" t="str">
        <f>VLOOKUP(LEFT(H260,7),'קטלוג תרחישים'!$A:$M,12,FALSE())</f>
        <v>ב'</v>
      </c>
      <c r="L260" s="8" t="str">
        <f>IF(J260="כן",K260,VLOOKUP(LEFT(H260,7),'קטלוג תרחישים'!$A:$M,13,FALSE()))</f>
        <v>א'</v>
      </c>
      <c r="M260" s="13"/>
      <c r="N260" s="50" t="s">
        <v>366</v>
      </c>
      <c r="O260" s="13" t="str">
        <f t="array" ref="O260">_xlfn.IFS(N260="A","א'", N260="B", "ב'", N260= "C", "ג'")</f>
        <v>ג'</v>
      </c>
      <c r="P260" s="13">
        <f>IF(Table_2[[#This Row],[Correct_Answer]]=Table_2[[#This Row],[System_Recommendation]],1,0)</f>
        <v>0</v>
      </c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 spans="1:26" ht="15.75" hidden="1" customHeight="1">
      <c r="A261" s="8" t="s">
        <v>138</v>
      </c>
      <c r="B261" s="8">
        <v>29</v>
      </c>
      <c r="C261" s="9" t="s">
        <v>381</v>
      </c>
      <c r="D261" s="8">
        <v>3</v>
      </c>
      <c r="E261" s="9" t="s">
        <v>98</v>
      </c>
      <c r="F261" s="8" t="s">
        <v>384</v>
      </c>
      <c r="G261" s="8" t="s">
        <v>97</v>
      </c>
      <c r="H261" s="8" t="s">
        <v>102</v>
      </c>
      <c r="I261" s="8" t="s">
        <v>100</v>
      </c>
      <c r="J261" s="9" t="s">
        <v>380</v>
      </c>
      <c r="K261" s="8" t="str">
        <f>VLOOKUP(LEFT(H261,7),'קטלוג תרחישים'!$A:$M,12,FALSE())</f>
        <v>ג'</v>
      </c>
      <c r="L261" s="8" t="str">
        <f>IF(J261="כן",K261,VLOOKUP(LEFT(H261,7),'קטלוג תרחישים'!$A:$M,13,FALSE()))</f>
        <v>ג'</v>
      </c>
      <c r="M261" s="13"/>
      <c r="N261" s="51" t="s">
        <v>366</v>
      </c>
      <c r="O261" s="13" t="str">
        <f t="array" ref="O261">_xlfn.IFS(N261="A","א'", N261="B", "ב'", N261= "C", "ג'")</f>
        <v>ג'</v>
      </c>
      <c r="P261" s="13">
        <f>IF(Table_2[[#This Row],[Correct_Answer]]=Table_2[[#This Row],[System_Recommendation]],1,0)</f>
        <v>1</v>
      </c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 spans="1:26" ht="15.75" hidden="1" customHeight="1">
      <c r="A262" s="8" t="s">
        <v>138</v>
      </c>
      <c r="B262" s="8">
        <v>30</v>
      </c>
      <c r="C262" s="9" t="s">
        <v>381</v>
      </c>
      <c r="D262" s="8">
        <v>3</v>
      </c>
      <c r="E262" s="9" t="s">
        <v>98</v>
      </c>
      <c r="F262" s="8" t="s">
        <v>384</v>
      </c>
      <c r="G262" s="8" t="s">
        <v>97</v>
      </c>
      <c r="H262" s="8" t="s">
        <v>103</v>
      </c>
      <c r="I262" s="8" t="s">
        <v>91</v>
      </c>
      <c r="J262" s="9" t="s">
        <v>380</v>
      </c>
      <c r="K262" s="8" t="str">
        <f>VLOOKUP(LEFT(H262,7),'קטלוג תרחישים'!$A:$M,12,FALSE())</f>
        <v>ב'</v>
      </c>
      <c r="L262" s="8" t="str">
        <f>IF(J262="כן",K262,VLOOKUP(LEFT(H262,7),'קטלוג תרחישים'!$A:$M,13,FALSE()))</f>
        <v>ב'</v>
      </c>
      <c r="M262" s="13"/>
      <c r="N262" s="50" t="s">
        <v>365</v>
      </c>
      <c r="O262" s="13" t="str">
        <f t="array" ref="O262">_xlfn.IFS(N262="A","א'", N262="B", "ב'", N262= "C", "ג'")</f>
        <v>ב'</v>
      </c>
      <c r="P262" s="13">
        <f>IF(Table_2[[#This Row],[Correct_Answer]]=Table_2[[#This Row],[System_Recommendation]],1,0)</f>
        <v>1</v>
      </c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 spans="1:26" ht="15.75" hidden="1" customHeight="1">
      <c r="A263" s="8" t="s">
        <v>138</v>
      </c>
      <c r="B263" s="8">
        <v>31</v>
      </c>
      <c r="C263" s="9" t="s">
        <v>381</v>
      </c>
      <c r="D263" s="8">
        <v>3</v>
      </c>
      <c r="E263" s="9" t="s">
        <v>98</v>
      </c>
      <c r="F263" s="8" t="s">
        <v>384</v>
      </c>
      <c r="G263" s="8" t="s">
        <v>97</v>
      </c>
      <c r="H263" s="8" t="s">
        <v>104</v>
      </c>
      <c r="I263" s="8" t="s">
        <v>100</v>
      </c>
      <c r="J263" s="9" t="s">
        <v>380</v>
      </c>
      <c r="K263" s="8" t="str">
        <f>VLOOKUP(LEFT(H263,7),'קטלוג תרחישים'!$A:$M,12,FALSE())</f>
        <v>ב'</v>
      </c>
      <c r="L263" s="8" t="str">
        <f>IF(J263="כן",K263,VLOOKUP(LEFT(H263,7),'קטלוג תרחישים'!$A:$M,13,FALSE()))</f>
        <v>ב'</v>
      </c>
      <c r="M263" s="13"/>
      <c r="N263" s="51" t="s">
        <v>366</v>
      </c>
      <c r="O263" s="13" t="str">
        <f t="array" ref="O263">_xlfn.IFS(N263="A","א'", N263="B", "ב'", N263= "C", "ג'")</f>
        <v>ג'</v>
      </c>
      <c r="P263" s="13">
        <f>IF(Table_2[[#This Row],[Correct_Answer]]=Table_2[[#This Row],[System_Recommendation]],1,0)</f>
        <v>1</v>
      </c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 spans="1:26" ht="15.75" hidden="1" customHeight="1">
      <c r="A264" s="8" t="s">
        <v>138</v>
      </c>
      <c r="B264" s="8">
        <v>32</v>
      </c>
      <c r="C264" s="9" t="s">
        <v>381</v>
      </c>
      <c r="D264" s="8">
        <v>3</v>
      </c>
      <c r="E264" s="9" t="s">
        <v>98</v>
      </c>
      <c r="F264" s="8" t="s">
        <v>384</v>
      </c>
      <c r="G264" s="8" t="s">
        <v>97</v>
      </c>
      <c r="H264" s="8" t="s">
        <v>101</v>
      </c>
      <c r="I264" s="8" t="s">
        <v>91</v>
      </c>
      <c r="J264" s="9" t="s">
        <v>383</v>
      </c>
      <c r="K264" s="8" t="str">
        <f>VLOOKUP(LEFT(H264,7),'קטלוג תרחישים'!$A:$M,12,FALSE())</f>
        <v>א'</v>
      </c>
      <c r="L264" s="8" t="str">
        <f>IF(J264="כן",K264,VLOOKUP(LEFT(H264,7),'קטלוג תרחישים'!$A:$M,13,FALSE()))</f>
        <v>ב'</v>
      </c>
      <c r="M264" s="13"/>
      <c r="N264" s="50" t="s">
        <v>360</v>
      </c>
      <c r="O264" s="13" t="str">
        <f t="array" ref="O264">_xlfn.IFS(N264="A","א'", N264="B", "ב'", N264= "C", "ג'")</f>
        <v>א'</v>
      </c>
      <c r="P264" s="13">
        <f>IF(Table_2[[#This Row],[Correct_Answer]]=Table_2[[#This Row],[System_Recommendation]],1,0)</f>
        <v>0</v>
      </c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 spans="1:26" ht="15.75" hidden="1" customHeight="1">
      <c r="A265" s="8" t="s">
        <v>138</v>
      </c>
      <c r="B265" s="8">
        <v>33</v>
      </c>
      <c r="C265" s="9" t="s">
        <v>381</v>
      </c>
      <c r="D265" s="8">
        <v>3</v>
      </c>
      <c r="E265" s="9" t="s">
        <v>98</v>
      </c>
      <c r="F265" s="8" t="s">
        <v>384</v>
      </c>
      <c r="G265" s="8" t="s">
        <v>97</v>
      </c>
      <c r="H265" s="8" t="s">
        <v>99</v>
      </c>
      <c r="I265" s="8" t="s">
        <v>100</v>
      </c>
      <c r="J265" s="9" t="s">
        <v>380</v>
      </c>
      <c r="K265" s="8" t="str">
        <f>VLOOKUP(LEFT(H265,7),'קטלוג תרחישים'!$A:$M,12,FALSE())</f>
        <v>ג'</v>
      </c>
      <c r="L265" s="8" t="str">
        <f>IF(J265="כן",K265,VLOOKUP(LEFT(H265,7),'קטלוג תרחישים'!$A:$M,13,FALSE()))</f>
        <v>ג'</v>
      </c>
      <c r="M265" s="13"/>
      <c r="N265" s="51" t="s">
        <v>360</v>
      </c>
      <c r="O265" s="13" t="str">
        <f t="array" ref="O265">_xlfn.IFS(N265="A","א'", N265="B", "ב'", N265= "C", "ג'")</f>
        <v>א'</v>
      </c>
      <c r="P265" s="13">
        <f>IF(Table_2[[#This Row],[Correct_Answer]]=Table_2[[#This Row],[System_Recommendation]],1,0)</f>
        <v>1</v>
      </c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 spans="1:26" ht="15.75" hidden="1" customHeight="1">
      <c r="A266" s="8" t="s">
        <v>139</v>
      </c>
      <c r="B266" s="8">
        <v>1</v>
      </c>
      <c r="C266" s="9" t="s">
        <v>379</v>
      </c>
      <c r="D266" s="8"/>
      <c r="E266" s="9" t="s">
        <v>98</v>
      </c>
      <c r="F266" s="8"/>
      <c r="G266" s="8"/>
      <c r="H266" s="11" t="s">
        <v>90</v>
      </c>
      <c r="I266" s="8" t="s">
        <v>91</v>
      </c>
      <c r="J266" s="9" t="s">
        <v>380</v>
      </c>
      <c r="K266" s="8" t="str">
        <f>VLOOKUP(LEFT(H266,7),'קטלוג תרחישים'!$A:$M,12,FALSE())</f>
        <v>א'</v>
      </c>
      <c r="L266" s="8" t="str">
        <f>IF(J266="כן",K266,VLOOKUP(LEFT(H266,7),'קטלוג תרחישים'!$A:$M,13,FALSE()))</f>
        <v>א'</v>
      </c>
      <c r="M266" s="13"/>
      <c r="N266" s="50" t="s">
        <v>366</v>
      </c>
      <c r="O266" s="13" t="str">
        <f t="array" ref="O266">_xlfn.IFS(N266="A","א'", N266="B", "ב'", N266= "C", "ג'")</f>
        <v>ג'</v>
      </c>
      <c r="P266" s="13">
        <f>IF(Table_2[[#This Row],[Correct_Answer]]=Table_2[[#This Row],[System_Recommendation]],1,0)</f>
        <v>1</v>
      </c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 spans="1:26" ht="15.75" hidden="1" customHeight="1">
      <c r="A267" s="8" t="s">
        <v>139</v>
      </c>
      <c r="B267" s="8">
        <v>2</v>
      </c>
      <c r="C267" s="9" t="s">
        <v>379</v>
      </c>
      <c r="D267" s="8"/>
      <c r="E267" s="9" t="s">
        <v>98</v>
      </c>
      <c r="F267" s="8"/>
      <c r="G267" s="8"/>
      <c r="H267" s="11" t="s">
        <v>92</v>
      </c>
      <c r="I267" s="8" t="s">
        <v>91</v>
      </c>
      <c r="J267" s="9" t="s">
        <v>380</v>
      </c>
      <c r="K267" s="8" t="str">
        <f>VLOOKUP(LEFT(H267,7),'קטלוג תרחישים'!$A:$M,12,FALSE())</f>
        <v>א'</v>
      </c>
      <c r="L267" s="8" t="str">
        <f>IF(J267="כן",K267,VLOOKUP(LEFT(H267,7),'קטלוג תרחישים'!$A:$M,13,FALSE()))</f>
        <v>א'</v>
      </c>
      <c r="M267" s="13"/>
      <c r="N267" s="51" t="s">
        <v>366</v>
      </c>
      <c r="O267" s="13" t="str">
        <f t="array" ref="O267">_xlfn.IFS(N267="A","א'", N267="B", "ב'", N267= "C", "ג'")</f>
        <v>ג'</v>
      </c>
      <c r="P267" s="13">
        <f>IF(Table_2[[#This Row],[Correct_Answer]]=Table_2[[#This Row],[System_Recommendation]],1,0)</f>
        <v>1</v>
      </c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 spans="1:26" ht="15.75" hidden="1" customHeight="1">
      <c r="A268" s="8" t="s">
        <v>139</v>
      </c>
      <c r="B268" s="8">
        <v>3</v>
      </c>
      <c r="C268" s="9" t="s">
        <v>379</v>
      </c>
      <c r="D268" s="8"/>
      <c r="E268" s="9" t="s">
        <v>105</v>
      </c>
      <c r="F268" s="8"/>
      <c r="G268" s="8"/>
      <c r="H268" s="11" t="s">
        <v>93</v>
      </c>
      <c r="I268" s="8" t="s">
        <v>91</v>
      </c>
      <c r="J268" s="9" t="s">
        <v>380</v>
      </c>
      <c r="K268" s="8" t="str">
        <f>VLOOKUP(LEFT(H268,7),'קטלוג תרחישים'!$A:$M,12,FALSE())</f>
        <v>א'</v>
      </c>
      <c r="L268" s="8" t="str">
        <f>IF(J268="כן",K268,VLOOKUP(LEFT(H268,7),'קטלוג תרחישים'!$A:$M,13,FALSE()))</f>
        <v>א'</v>
      </c>
      <c r="M268" s="13"/>
      <c r="N268" s="50" t="s">
        <v>366</v>
      </c>
      <c r="O268" s="13" t="str">
        <f t="array" ref="O268">_xlfn.IFS(N268="A","א'", N268="B", "ב'", N268= "C", "ג'")</f>
        <v>ג'</v>
      </c>
      <c r="P268" s="13">
        <f>IF(Table_2[[#This Row],[Correct_Answer]]=Table_2[[#This Row],[System_Recommendation]],1,0)</f>
        <v>1</v>
      </c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 spans="1:26" ht="15.75" hidden="1" customHeight="1">
      <c r="A269" s="8" t="s">
        <v>139</v>
      </c>
      <c r="B269" s="8">
        <v>4</v>
      </c>
      <c r="C269" s="9" t="s">
        <v>379</v>
      </c>
      <c r="D269" s="8"/>
      <c r="E269" s="9" t="s">
        <v>105</v>
      </c>
      <c r="F269" s="8"/>
      <c r="G269" s="8"/>
      <c r="H269" s="11" t="s">
        <v>94</v>
      </c>
      <c r="I269" s="8" t="s">
        <v>91</v>
      </c>
      <c r="J269" s="9" t="s">
        <v>380</v>
      </c>
      <c r="K269" s="8" t="str">
        <f>VLOOKUP(LEFT(H269,7),'קטלוג תרחישים'!$A:$M,12,FALSE())</f>
        <v>א'</v>
      </c>
      <c r="L269" s="8" t="str">
        <f>IF(J269="כן",K269,VLOOKUP(LEFT(H269,7),'קטלוג תרחישים'!$A:$M,13,FALSE()))</f>
        <v>א'</v>
      </c>
      <c r="M269" s="13"/>
      <c r="N269" s="51" t="s">
        <v>365</v>
      </c>
      <c r="O269" s="13" t="str">
        <f t="array" ref="O269">_xlfn.IFS(N269="A","א'", N269="B", "ב'", N269= "C", "ג'")</f>
        <v>ב'</v>
      </c>
      <c r="P269" s="13">
        <f>IF(Table_2[[#This Row],[Correct_Answer]]=Table_2[[#This Row],[System_Recommendation]],1,0)</f>
        <v>1</v>
      </c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 spans="1:26" ht="15.75" hidden="1" customHeight="1">
      <c r="A270" s="8" t="s">
        <v>139</v>
      </c>
      <c r="B270" s="8">
        <v>5</v>
      </c>
      <c r="C270" s="9" t="s">
        <v>379</v>
      </c>
      <c r="D270" s="8"/>
      <c r="E270" s="9" t="s">
        <v>111</v>
      </c>
      <c r="F270" s="8"/>
      <c r="G270" s="8"/>
      <c r="H270" s="11" t="s">
        <v>95</v>
      </c>
      <c r="I270" s="8" t="s">
        <v>91</v>
      </c>
      <c r="J270" s="9" t="s">
        <v>380</v>
      </c>
      <c r="K270" s="8" t="str">
        <f>VLOOKUP(LEFT(H270,7),'קטלוג תרחישים'!$A:$M,12,FALSE())</f>
        <v>ב'</v>
      </c>
      <c r="L270" s="8" t="str">
        <f>IF(J270="כן",K270,VLOOKUP(LEFT(H270,7),'קטלוג תרחישים'!$A:$M,13,FALSE()))</f>
        <v>ב'</v>
      </c>
      <c r="M270" s="13"/>
      <c r="N270" s="50" t="s">
        <v>360</v>
      </c>
      <c r="O270" s="13" t="str">
        <f t="array" ref="O270">_xlfn.IFS(N270="A","א'", N270="B", "ב'", N270= "C", "ג'")</f>
        <v>א'</v>
      </c>
      <c r="P270" s="13">
        <f>IF(Table_2[[#This Row],[Correct_Answer]]=Table_2[[#This Row],[System_Recommendation]],1,0)</f>
        <v>1</v>
      </c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 spans="1:26" ht="15.75" customHeight="1">
      <c r="A271" s="8" t="s">
        <v>139</v>
      </c>
      <c r="B271" s="8">
        <v>6</v>
      </c>
      <c r="C271" s="9" t="s">
        <v>379</v>
      </c>
      <c r="D271" s="8"/>
      <c r="E271" s="9" t="s">
        <v>111</v>
      </c>
      <c r="F271" s="8"/>
      <c r="G271" s="8"/>
      <c r="H271" s="11" t="s">
        <v>96</v>
      </c>
      <c r="I271" s="8" t="s">
        <v>91</v>
      </c>
      <c r="J271" s="9" t="s">
        <v>380</v>
      </c>
      <c r="K271" s="8" t="str">
        <f>VLOOKUP(LEFT(H271,7),'קטלוג תרחישים'!$A:$M,12,FALSE())</f>
        <v>ב'</v>
      </c>
      <c r="L271" s="8" t="str">
        <f>IF(J271="כן",K271,VLOOKUP(LEFT(H271,7),'קטלוג תרחישים'!$A:$M,13,FALSE()))</f>
        <v>ב'</v>
      </c>
      <c r="M271" s="13"/>
      <c r="N271" s="51" t="s">
        <v>366</v>
      </c>
      <c r="O271" s="13" t="str">
        <f t="array" ref="O271">_xlfn.IFS(N271="A","א'", N271="B", "ב'", N271= "C", "ג'")</f>
        <v>ג'</v>
      </c>
      <c r="P271" s="13">
        <f>IF(Table_2[[#This Row],[Correct_Answer]]=Table_2[[#This Row],[System_Recommendation]],1,0)</f>
        <v>1</v>
      </c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 spans="1:26" ht="15.75" hidden="1" customHeight="1">
      <c r="A272" s="8" t="s">
        <v>139</v>
      </c>
      <c r="B272" s="8">
        <v>7</v>
      </c>
      <c r="C272" s="9" t="s">
        <v>381</v>
      </c>
      <c r="D272" s="8">
        <v>1</v>
      </c>
      <c r="E272" s="9" t="s">
        <v>111</v>
      </c>
      <c r="F272" s="8" t="s">
        <v>382</v>
      </c>
      <c r="G272" s="8" t="s">
        <v>97</v>
      </c>
      <c r="H272" s="8" t="s">
        <v>116</v>
      </c>
      <c r="I272" s="8" t="s">
        <v>91</v>
      </c>
      <c r="J272" s="9" t="s">
        <v>380</v>
      </c>
      <c r="K272" s="8" t="str">
        <f>VLOOKUP(LEFT(H272,7),'קטלוג תרחישים'!$A:$M,12,FALSE())</f>
        <v>ג'</v>
      </c>
      <c r="L272" s="8" t="str">
        <f>IF(J272="כן",K272,VLOOKUP(LEFT(H272,7),'קטלוג תרחישים'!$A:$M,13,FALSE()))</f>
        <v>ג'</v>
      </c>
      <c r="M272" s="13"/>
      <c r="N272" s="50" t="s">
        <v>366</v>
      </c>
      <c r="O272" s="13" t="str">
        <f t="array" ref="O272">_xlfn.IFS(N272="A","א'", N272="B", "ב'", N272= "C", "ג'")</f>
        <v>ג'</v>
      </c>
      <c r="P272" s="13">
        <f>IF(Table_2[[#This Row],[Correct_Answer]]=Table_2[[#This Row],[System_Recommendation]],1,0)</f>
        <v>1</v>
      </c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 spans="1:26" ht="15.75" hidden="1" customHeight="1">
      <c r="A273" s="8" t="s">
        <v>139</v>
      </c>
      <c r="B273" s="8">
        <v>8</v>
      </c>
      <c r="C273" s="9" t="s">
        <v>381</v>
      </c>
      <c r="D273" s="8">
        <v>1</v>
      </c>
      <c r="E273" s="9" t="s">
        <v>111</v>
      </c>
      <c r="F273" s="8" t="s">
        <v>382</v>
      </c>
      <c r="G273" s="8" t="s">
        <v>97</v>
      </c>
      <c r="H273" s="8" t="s">
        <v>113</v>
      </c>
      <c r="I273" s="8" t="s">
        <v>100</v>
      </c>
      <c r="J273" s="9" t="s">
        <v>380</v>
      </c>
      <c r="K273" s="8" t="str">
        <f>VLOOKUP(LEFT(H273,7),'קטלוג תרחישים'!$A:$M,12,FALSE())</f>
        <v>ג'</v>
      </c>
      <c r="L273" s="8" t="str">
        <f>IF(J273="כן",K273,VLOOKUP(LEFT(H273,7),'קטלוג תרחישים'!$A:$M,13,FALSE()))</f>
        <v>ג'</v>
      </c>
      <c r="M273" s="13"/>
      <c r="N273" s="51" t="s">
        <v>360</v>
      </c>
      <c r="O273" s="13" t="str">
        <f t="array" ref="O273">_xlfn.IFS(N273="A","א'", N273="B", "ב'", N273= "C", "ג'")</f>
        <v>א'</v>
      </c>
      <c r="P273" s="13">
        <f>IF(Table_2[[#This Row],[Correct_Answer]]=Table_2[[#This Row],[System_Recommendation]],1,0)</f>
        <v>1</v>
      </c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 spans="1:26" ht="15.75" hidden="1" customHeight="1">
      <c r="A274" s="8" t="s">
        <v>139</v>
      </c>
      <c r="B274" s="8">
        <v>9</v>
      </c>
      <c r="C274" s="9" t="s">
        <v>381</v>
      </c>
      <c r="D274" s="8">
        <v>1</v>
      </c>
      <c r="E274" s="9" t="s">
        <v>111</v>
      </c>
      <c r="F274" s="8" t="s">
        <v>382</v>
      </c>
      <c r="G274" s="8" t="s">
        <v>97</v>
      </c>
      <c r="H274" s="8" t="s">
        <v>114</v>
      </c>
      <c r="I274" s="8" t="s">
        <v>91</v>
      </c>
      <c r="J274" s="9" t="s">
        <v>380</v>
      </c>
      <c r="K274" s="8" t="str">
        <f>VLOOKUP(LEFT(H274,7),'קטלוג תרחישים'!$A:$M,12,FALSE())</f>
        <v>ג'</v>
      </c>
      <c r="L274" s="8" t="str">
        <f>IF(J274="כן",K274,VLOOKUP(LEFT(H274,7),'קטלוג תרחישים'!$A:$M,13,FALSE()))</f>
        <v>ג'</v>
      </c>
      <c r="M274" s="13"/>
      <c r="N274" s="50" t="s">
        <v>360</v>
      </c>
      <c r="O274" s="13" t="str">
        <f t="array" ref="O274">_xlfn.IFS(N274="A","א'", N274="B", "ב'", N274= "C", "ג'")</f>
        <v>א'</v>
      </c>
      <c r="P274" s="13">
        <f>IF(Table_2[[#This Row],[Correct_Answer]]=Table_2[[#This Row],[System_Recommendation]],1,0)</f>
        <v>1</v>
      </c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 spans="1:26" ht="15.75" hidden="1" customHeight="1">
      <c r="A275" s="8" t="s">
        <v>139</v>
      </c>
      <c r="B275" s="8">
        <v>10</v>
      </c>
      <c r="C275" s="9" t="s">
        <v>381</v>
      </c>
      <c r="D275" s="8">
        <v>1</v>
      </c>
      <c r="E275" s="9" t="s">
        <v>111</v>
      </c>
      <c r="F275" s="8" t="s">
        <v>382</v>
      </c>
      <c r="G275" s="8" t="s">
        <v>97</v>
      </c>
      <c r="H275" s="8" t="s">
        <v>115</v>
      </c>
      <c r="I275" s="8" t="s">
        <v>100</v>
      </c>
      <c r="J275" s="9" t="s">
        <v>383</v>
      </c>
      <c r="K275" s="8" t="str">
        <f>VLOOKUP(LEFT(H275,7),'קטלוג תרחישים'!$A:$M,12,FALSE())</f>
        <v>א'</v>
      </c>
      <c r="L275" s="8" t="str">
        <f>IF(J275="כן",K275,VLOOKUP(LEFT(H275,7),'קטלוג תרחישים'!$A:$M,13,FALSE()))</f>
        <v>ג'</v>
      </c>
      <c r="M275" s="13"/>
      <c r="N275" s="51" t="s">
        <v>360</v>
      </c>
      <c r="O275" s="13" t="str">
        <f t="array" ref="O275">_xlfn.IFS(N275="A","א'", N275="B", "ב'", N275= "C", "ג'")</f>
        <v>א'</v>
      </c>
      <c r="P275" s="13">
        <f>IF(Table_2[[#This Row],[Correct_Answer]]=Table_2[[#This Row],[System_Recommendation]],1,0)</f>
        <v>0</v>
      </c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 spans="1:26" ht="15.75" hidden="1" customHeight="1">
      <c r="A276" s="8" t="s">
        <v>139</v>
      </c>
      <c r="B276" s="8">
        <v>11</v>
      </c>
      <c r="C276" s="9" t="s">
        <v>381</v>
      </c>
      <c r="D276" s="8">
        <v>1</v>
      </c>
      <c r="E276" s="9" t="s">
        <v>111</v>
      </c>
      <c r="F276" s="8" t="s">
        <v>382</v>
      </c>
      <c r="G276" s="8" t="s">
        <v>97</v>
      </c>
      <c r="H276" s="8" t="s">
        <v>112</v>
      </c>
      <c r="I276" s="8" t="s">
        <v>91</v>
      </c>
      <c r="J276" s="9" t="s">
        <v>380</v>
      </c>
      <c r="K276" s="8" t="str">
        <f>VLOOKUP(LEFT(H276,7),'קטלוג תרחישים'!$A:$M,12,FALSE())</f>
        <v>ב'</v>
      </c>
      <c r="L276" s="8" t="str">
        <f>IF(J276="כן",K276,VLOOKUP(LEFT(H276,7),'קטלוג תרחישים'!$A:$M,13,FALSE()))</f>
        <v>ב'</v>
      </c>
      <c r="M276" s="13"/>
      <c r="N276" s="50" t="s">
        <v>365</v>
      </c>
      <c r="O276" s="13" t="str">
        <f t="array" ref="O276">_xlfn.IFS(N276="A","א'", N276="B", "ב'", N276= "C", "ג'")</f>
        <v>ב'</v>
      </c>
      <c r="P276" s="13">
        <f>IF(Table_2[[#This Row],[Correct_Answer]]=Table_2[[#This Row],[System_Recommendation]],1,0)</f>
        <v>1</v>
      </c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 spans="1:26" ht="15.75" hidden="1" customHeight="1">
      <c r="A277" s="8" t="s">
        <v>139</v>
      </c>
      <c r="B277" s="8">
        <v>12</v>
      </c>
      <c r="C277" s="9" t="s">
        <v>381</v>
      </c>
      <c r="D277" s="8">
        <v>2</v>
      </c>
      <c r="E277" s="9" t="s">
        <v>98</v>
      </c>
      <c r="F277" s="8" t="s">
        <v>382</v>
      </c>
      <c r="G277" s="8" t="s">
        <v>97</v>
      </c>
      <c r="H277" s="8" t="s">
        <v>102</v>
      </c>
      <c r="I277" s="8" t="s">
        <v>100</v>
      </c>
      <c r="J277" s="9" t="s">
        <v>380</v>
      </c>
      <c r="K277" s="8" t="str">
        <f>VLOOKUP(LEFT(H277,7),'קטלוג תרחישים'!$A:$M,12,FALSE())</f>
        <v>ג'</v>
      </c>
      <c r="L277" s="8" t="str">
        <f>IF(J277="כן",K277,VLOOKUP(LEFT(H277,7),'קטלוג תרחישים'!$A:$M,13,FALSE()))</f>
        <v>ג'</v>
      </c>
      <c r="M277" s="13"/>
      <c r="N277" s="51" t="s">
        <v>365</v>
      </c>
      <c r="O277" s="13" t="str">
        <f t="array" ref="O277">_xlfn.IFS(N277="A","א'", N277="B", "ב'", N277= "C", "ג'")</f>
        <v>ב'</v>
      </c>
      <c r="P277" s="13">
        <f>IF(Table_2[[#This Row],[Correct_Answer]]=Table_2[[#This Row],[System_Recommendation]],1,0)</f>
        <v>1</v>
      </c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 spans="1:26" ht="15.75" hidden="1" customHeight="1">
      <c r="A278" s="8" t="s">
        <v>139</v>
      </c>
      <c r="B278" s="8">
        <v>13</v>
      </c>
      <c r="C278" s="9" t="s">
        <v>381</v>
      </c>
      <c r="D278" s="8">
        <v>2</v>
      </c>
      <c r="E278" s="9" t="s">
        <v>98</v>
      </c>
      <c r="F278" s="8" t="s">
        <v>382</v>
      </c>
      <c r="G278" s="8" t="s">
        <v>97</v>
      </c>
      <c r="H278" s="8" t="s">
        <v>103</v>
      </c>
      <c r="I278" s="8" t="s">
        <v>91</v>
      </c>
      <c r="J278" s="9" t="s">
        <v>380</v>
      </c>
      <c r="K278" s="8" t="str">
        <f>VLOOKUP(LEFT(H278,7),'קטלוג תרחישים'!$A:$M,12,FALSE())</f>
        <v>ב'</v>
      </c>
      <c r="L278" s="8" t="str">
        <f>IF(J278="כן",K278,VLOOKUP(LEFT(H278,7),'קטלוג תרחישים'!$A:$M,13,FALSE()))</f>
        <v>ב'</v>
      </c>
      <c r="M278" s="13"/>
      <c r="N278" s="50" t="s">
        <v>366</v>
      </c>
      <c r="O278" s="13" t="str">
        <f t="array" ref="O278">_xlfn.IFS(N278="A","א'", N278="B", "ב'", N278= "C", "ג'")</f>
        <v>ג'</v>
      </c>
      <c r="P278" s="13">
        <f>IF(Table_2[[#This Row],[Correct_Answer]]=Table_2[[#This Row],[System_Recommendation]],1,0)</f>
        <v>1</v>
      </c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 spans="1:26" ht="15.75" hidden="1" customHeight="1">
      <c r="A279" s="8" t="s">
        <v>139</v>
      </c>
      <c r="B279" s="8">
        <v>14</v>
      </c>
      <c r="C279" s="9" t="s">
        <v>381</v>
      </c>
      <c r="D279" s="8">
        <v>2</v>
      </c>
      <c r="E279" s="9" t="s">
        <v>98</v>
      </c>
      <c r="F279" s="8" t="s">
        <v>382</v>
      </c>
      <c r="G279" s="8" t="s">
        <v>97</v>
      </c>
      <c r="H279" s="8" t="s">
        <v>99</v>
      </c>
      <c r="I279" s="8" t="s">
        <v>100</v>
      </c>
      <c r="J279" s="9" t="s">
        <v>380</v>
      </c>
      <c r="K279" s="8" t="str">
        <f>VLOOKUP(LEFT(H279,7),'קטלוג תרחישים'!$A:$M,12,FALSE())</f>
        <v>ג'</v>
      </c>
      <c r="L279" s="8" t="str">
        <f>IF(J279="כן",K279,VLOOKUP(LEFT(H279,7),'קטלוג תרחישים'!$A:$M,13,FALSE()))</f>
        <v>ג'</v>
      </c>
      <c r="M279" s="13"/>
      <c r="N279" s="51" t="s">
        <v>365</v>
      </c>
      <c r="O279" s="13" t="str">
        <f t="array" ref="O279">_xlfn.IFS(N279="A","א'", N279="B", "ב'", N279= "C", "ג'")</f>
        <v>ב'</v>
      </c>
      <c r="P279" s="13">
        <f>IF(Table_2[[#This Row],[Correct_Answer]]=Table_2[[#This Row],[System_Recommendation]],1,0)</f>
        <v>1</v>
      </c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 spans="1:26" ht="15.75" hidden="1" customHeight="1">
      <c r="A280" s="8" t="s">
        <v>139</v>
      </c>
      <c r="B280" s="8">
        <v>15</v>
      </c>
      <c r="C280" s="9" t="s">
        <v>381</v>
      </c>
      <c r="D280" s="8">
        <v>2</v>
      </c>
      <c r="E280" s="9" t="s">
        <v>98</v>
      </c>
      <c r="F280" s="8" t="s">
        <v>382</v>
      </c>
      <c r="G280" s="8" t="s">
        <v>97</v>
      </c>
      <c r="H280" s="8" t="s">
        <v>101</v>
      </c>
      <c r="I280" s="8" t="s">
        <v>91</v>
      </c>
      <c r="J280" s="9" t="s">
        <v>380</v>
      </c>
      <c r="K280" s="8" t="str">
        <f>VLOOKUP(LEFT(H280,7),'קטלוג תרחישים'!$A:$M,12,FALSE())</f>
        <v>א'</v>
      </c>
      <c r="L280" s="8" t="str">
        <f>IF(J280="כן",K280,VLOOKUP(LEFT(H280,7),'קטלוג תרחישים'!$A:$M,13,FALSE()))</f>
        <v>א'</v>
      </c>
      <c r="M280" s="13"/>
      <c r="N280" s="50" t="s">
        <v>365</v>
      </c>
      <c r="O280" s="13" t="str">
        <f t="array" ref="O280">_xlfn.IFS(N280="A","א'", N280="B", "ב'", N280= "C", "ג'")</f>
        <v>ב'</v>
      </c>
      <c r="P280" s="13">
        <f>IF(Table_2[[#This Row],[Correct_Answer]]=Table_2[[#This Row],[System_Recommendation]],1,0)</f>
        <v>1</v>
      </c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 spans="1:26" ht="15.75" hidden="1" customHeight="1">
      <c r="A281" s="8" t="s">
        <v>139</v>
      </c>
      <c r="B281" s="8">
        <v>16</v>
      </c>
      <c r="C281" s="9" t="s">
        <v>381</v>
      </c>
      <c r="D281" s="8">
        <v>2</v>
      </c>
      <c r="E281" s="9" t="s">
        <v>98</v>
      </c>
      <c r="F281" s="8" t="s">
        <v>382</v>
      </c>
      <c r="G281" s="8" t="s">
        <v>97</v>
      </c>
      <c r="H281" s="8" t="s">
        <v>104</v>
      </c>
      <c r="I281" s="8" t="s">
        <v>100</v>
      </c>
      <c r="J281" s="9" t="s">
        <v>383</v>
      </c>
      <c r="K281" s="8" t="str">
        <f>VLOOKUP(LEFT(H281,7),'קטלוג תרחישים'!$A:$M,12,FALSE())</f>
        <v>ב'</v>
      </c>
      <c r="L281" s="8" t="str">
        <f>IF(J281="כן",K281,VLOOKUP(LEFT(H281,7),'קטלוג תרחישים'!$A:$M,13,FALSE()))</f>
        <v>ג'</v>
      </c>
      <c r="M281" s="13"/>
      <c r="N281" s="51" t="s">
        <v>365</v>
      </c>
      <c r="O281" s="13" t="str">
        <f t="array" ref="O281">_xlfn.IFS(N281="A","א'", N281="B", "ב'", N281= "C", "ג'")</f>
        <v>ב'</v>
      </c>
      <c r="P281" s="13">
        <f>IF(Table_2[[#This Row],[Correct_Answer]]=Table_2[[#This Row],[System_Recommendation]],1,0)</f>
        <v>0</v>
      </c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 spans="1:26" ht="15.75" hidden="1" customHeight="1">
      <c r="A282" s="8" t="s">
        <v>139</v>
      </c>
      <c r="B282" s="8">
        <v>17</v>
      </c>
      <c r="C282" s="9" t="s">
        <v>381</v>
      </c>
      <c r="D282" s="8">
        <v>3</v>
      </c>
      <c r="E282" s="9" t="s">
        <v>105</v>
      </c>
      <c r="F282" s="8" t="s">
        <v>382</v>
      </c>
      <c r="G282" s="8" t="s">
        <v>97</v>
      </c>
      <c r="H282" s="8" t="s">
        <v>106</v>
      </c>
      <c r="I282" s="8" t="s">
        <v>91</v>
      </c>
      <c r="J282" s="9" t="s">
        <v>380</v>
      </c>
      <c r="K282" s="8" t="str">
        <f>VLOOKUP(LEFT(H282,7),'קטלוג תרחישים'!$A:$M,12,FALSE())</f>
        <v>א'</v>
      </c>
      <c r="L282" s="8" t="str">
        <f>IF(J282="כן",K282,VLOOKUP(LEFT(H282,7),'קטלוג תרחישים'!$A:$M,13,FALSE()))</f>
        <v>א'</v>
      </c>
      <c r="M282" s="13"/>
      <c r="N282" s="50" t="s">
        <v>360</v>
      </c>
      <c r="O282" s="13" t="str">
        <f t="array" ref="O282">_xlfn.IFS(N282="A","א'", N282="B", "ב'", N282= "C", "ג'")</f>
        <v>א'</v>
      </c>
      <c r="P282" s="13">
        <f>IF(Table_2[[#This Row],[Correct_Answer]]=Table_2[[#This Row],[System_Recommendation]],1,0)</f>
        <v>1</v>
      </c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 spans="1:26" ht="15.75" hidden="1" customHeight="1">
      <c r="A283" s="8" t="s">
        <v>139</v>
      </c>
      <c r="B283" s="8">
        <v>18</v>
      </c>
      <c r="C283" s="9" t="s">
        <v>381</v>
      </c>
      <c r="D283" s="8">
        <v>3</v>
      </c>
      <c r="E283" s="9" t="s">
        <v>105</v>
      </c>
      <c r="F283" s="8" t="s">
        <v>382</v>
      </c>
      <c r="G283" s="8" t="s">
        <v>97</v>
      </c>
      <c r="H283" s="8" t="s">
        <v>107</v>
      </c>
      <c r="I283" s="8" t="s">
        <v>100</v>
      </c>
      <c r="J283" s="9" t="s">
        <v>380</v>
      </c>
      <c r="K283" s="8" t="str">
        <f>VLOOKUP(LEFT(H283,7),'קטלוג תרחישים'!$A:$M,12,FALSE())</f>
        <v>ב'</v>
      </c>
      <c r="L283" s="8" t="str">
        <f>IF(J283="כן",K283,VLOOKUP(LEFT(H283,7),'קטלוג תרחישים'!$A:$M,13,FALSE()))</f>
        <v>ב'</v>
      </c>
      <c r="M283" s="13"/>
      <c r="N283" s="51" t="s">
        <v>366</v>
      </c>
      <c r="O283" s="13" t="str">
        <f t="array" ref="O283">_xlfn.IFS(N283="A","א'", N283="B", "ב'", N283= "C", "ג'")</f>
        <v>ג'</v>
      </c>
      <c r="P283" s="13">
        <f>IF(Table_2[[#This Row],[Correct_Answer]]=Table_2[[#This Row],[System_Recommendation]],1,0)</f>
        <v>1</v>
      </c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 spans="1:26" ht="15.75" hidden="1" customHeight="1">
      <c r="A284" s="8" t="s">
        <v>139</v>
      </c>
      <c r="B284" s="8">
        <v>19</v>
      </c>
      <c r="C284" s="9" t="s">
        <v>381</v>
      </c>
      <c r="D284" s="8">
        <v>3</v>
      </c>
      <c r="E284" s="9" t="s">
        <v>105</v>
      </c>
      <c r="F284" s="8" t="s">
        <v>382</v>
      </c>
      <c r="G284" s="8" t="s">
        <v>97</v>
      </c>
      <c r="H284" s="8" t="s">
        <v>110</v>
      </c>
      <c r="I284" s="8" t="s">
        <v>91</v>
      </c>
      <c r="J284" s="9" t="s">
        <v>383</v>
      </c>
      <c r="K284" s="8" t="str">
        <f>VLOOKUP(LEFT(H284,7),'קטלוג תרחישים'!$A:$M,12,FALSE())</f>
        <v>ג'</v>
      </c>
      <c r="L284" s="8" t="str">
        <f>IF(J284="כן",K284,VLOOKUP(LEFT(H284,7),'קטלוג תרחישים'!$A:$M,13,FALSE()))</f>
        <v>א'</v>
      </c>
      <c r="M284" s="13"/>
      <c r="N284" s="50" t="s">
        <v>365</v>
      </c>
      <c r="O284" s="13" t="str">
        <f t="array" ref="O284">_xlfn.IFS(N284="A","א'", N284="B", "ב'", N284= "C", "ג'")</f>
        <v>ב'</v>
      </c>
      <c r="P284" s="13">
        <f>IF(Table_2[[#This Row],[Correct_Answer]]=Table_2[[#This Row],[System_Recommendation]],1,0)</f>
        <v>0</v>
      </c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 spans="1:26" ht="15.75" hidden="1" customHeight="1">
      <c r="A285" s="8" t="s">
        <v>139</v>
      </c>
      <c r="B285" s="8">
        <v>20</v>
      </c>
      <c r="C285" s="9" t="s">
        <v>381</v>
      </c>
      <c r="D285" s="8">
        <v>3</v>
      </c>
      <c r="E285" s="9" t="s">
        <v>105</v>
      </c>
      <c r="F285" s="8" t="s">
        <v>382</v>
      </c>
      <c r="G285" s="8" t="s">
        <v>97</v>
      </c>
      <c r="H285" s="8" t="s">
        <v>109</v>
      </c>
      <c r="I285" s="8" t="s">
        <v>100</v>
      </c>
      <c r="J285" s="9" t="s">
        <v>380</v>
      </c>
      <c r="K285" s="8" t="str">
        <f>VLOOKUP(LEFT(H285,7),'קטלוג תרחישים'!$A:$M,12,FALSE())</f>
        <v>ב'</v>
      </c>
      <c r="L285" s="8" t="str">
        <f>IF(J285="כן",K285,VLOOKUP(LEFT(H285,7),'קטלוג תרחישים'!$A:$M,13,FALSE()))</f>
        <v>ב'</v>
      </c>
      <c r="M285" s="13"/>
      <c r="N285" s="51" t="s">
        <v>366</v>
      </c>
      <c r="O285" s="13" t="str">
        <f t="array" ref="O285">_xlfn.IFS(N285="A","א'", N285="B", "ב'", N285= "C", "ג'")</f>
        <v>ג'</v>
      </c>
      <c r="P285" s="13">
        <f>IF(Table_2[[#This Row],[Correct_Answer]]=Table_2[[#This Row],[System_Recommendation]],1,0)</f>
        <v>1</v>
      </c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 spans="1:26" ht="15.75" hidden="1" customHeight="1">
      <c r="A286" s="8" t="s">
        <v>139</v>
      </c>
      <c r="B286" s="8">
        <v>21</v>
      </c>
      <c r="C286" s="9" t="s">
        <v>381</v>
      </c>
      <c r="D286" s="8">
        <v>3</v>
      </c>
      <c r="E286" s="9" t="s">
        <v>105</v>
      </c>
      <c r="F286" s="8" t="s">
        <v>382</v>
      </c>
      <c r="G286" s="8" t="s">
        <v>97</v>
      </c>
      <c r="H286" s="8" t="s">
        <v>108</v>
      </c>
      <c r="I286" s="8" t="s">
        <v>91</v>
      </c>
      <c r="J286" s="9" t="s">
        <v>380</v>
      </c>
      <c r="K286" s="8" t="str">
        <f>VLOOKUP(LEFT(H286,7),'קטלוג תרחישים'!$A:$M,12,FALSE())</f>
        <v>ג'</v>
      </c>
      <c r="L286" s="8" t="str">
        <f>IF(J286="כן",K286,VLOOKUP(LEFT(H286,7),'קטלוג תרחישים'!$A:$M,13,FALSE()))</f>
        <v>ג'</v>
      </c>
      <c r="M286" s="13"/>
      <c r="N286" s="50" t="s">
        <v>360</v>
      </c>
      <c r="O286" s="13" t="str">
        <f t="array" ref="O286">_xlfn.IFS(N286="A","א'", N286="B", "ב'", N286= "C", "ג'")</f>
        <v>א'</v>
      </c>
      <c r="P286" s="13">
        <f>IF(Table_2[[#This Row],[Correct_Answer]]=Table_2[[#This Row],[System_Recommendation]],1,0)</f>
        <v>1</v>
      </c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 spans="1:26" ht="15.75" hidden="1" customHeight="1">
      <c r="A287" s="8" t="s">
        <v>139</v>
      </c>
      <c r="B287" s="8">
        <v>22</v>
      </c>
      <c r="C287" s="9" t="s">
        <v>381</v>
      </c>
      <c r="D287" s="8">
        <v>1</v>
      </c>
      <c r="E287" s="9" t="s">
        <v>98</v>
      </c>
      <c r="F287" s="8" t="s">
        <v>384</v>
      </c>
      <c r="G287" s="8" t="s">
        <v>117</v>
      </c>
      <c r="H287" s="8" t="s">
        <v>126</v>
      </c>
      <c r="I287" s="8" t="s">
        <v>91</v>
      </c>
      <c r="J287" s="9" t="s">
        <v>383</v>
      </c>
      <c r="K287" s="8" t="str">
        <f>VLOOKUP(LEFT(H287,7),'קטלוג תרחישים'!$A:$M,12,FALSE())</f>
        <v>ג'</v>
      </c>
      <c r="L287" s="8" t="str">
        <f>IF(J287="כן",K287,VLOOKUP(LEFT(H287,7),'קטלוג תרחישים'!$A:$M,13,FALSE()))</f>
        <v>א'</v>
      </c>
      <c r="M287" s="13"/>
      <c r="N287" s="51" t="s">
        <v>366</v>
      </c>
      <c r="O287" s="13" t="str">
        <f t="array" ref="O287">_xlfn.IFS(N287="A","א'", N287="B", "ב'", N287= "C", "ג'")</f>
        <v>ג'</v>
      </c>
      <c r="P287" s="13">
        <f>IF(Table_2[[#This Row],[Correct_Answer]]=Table_2[[#This Row],[System_Recommendation]],1,0)</f>
        <v>0</v>
      </c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 spans="1:26" ht="15.75" hidden="1" customHeight="1">
      <c r="A288" s="8" t="s">
        <v>139</v>
      </c>
      <c r="B288" s="8">
        <v>23</v>
      </c>
      <c r="C288" s="9" t="s">
        <v>381</v>
      </c>
      <c r="D288" s="8">
        <v>1</v>
      </c>
      <c r="E288" s="9" t="s">
        <v>98</v>
      </c>
      <c r="F288" s="8" t="s">
        <v>384</v>
      </c>
      <c r="G288" s="8" t="s">
        <v>117</v>
      </c>
      <c r="H288" s="8" t="s">
        <v>129</v>
      </c>
      <c r="I288" s="8" t="s">
        <v>100</v>
      </c>
      <c r="J288" s="9" t="s">
        <v>380</v>
      </c>
      <c r="K288" s="8" t="str">
        <f>VLOOKUP(LEFT(H288,7),'קטלוג תרחישים'!$A:$M,12,FALSE())</f>
        <v>א'</v>
      </c>
      <c r="L288" s="8" t="str">
        <f>IF(J288="כן",K288,VLOOKUP(LEFT(H288,7),'קטלוג תרחישים'!$A:$M,13,FALSE()))</f>
        <v>א'</v>
      </c>
      <c r="M288" s="13"/>
      <c r="N288" s="50" t="s">
        <v>366</v>
      </c>
      <c r="O288" s="13" t="str">
        <f t="array" ref="O288">_xlfn.IFS(N288="A","א'", N288="B", "ב'", N288= "C", "ג'")</f>
        <v>ג'</v>
      </c>
      <c r="P288" s="13">
        <f>IF(Table_2[[#This Row],[Correct_Answer]]=Table_2[[#This Row],[System_Recommendation]],1,0)</f>
        <v>1</v>
      </c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 spans="1:26" ht="15.75" hidden="1" customHeight="1">
      <c r="A289" s="8" t="s">
        <v>139</v>
      </c>
      <c r="B289" s="8">
        <v>24</v>
      </c>
      <c r="C289" s="9" t="s">
        <v>381</v>
      </c>
      <c r="D289" s="8">
        <v>1</v>
      </c>
      <c r="E289" s="9" t="s">
        <v>98</v>
      </c>
      <c r="F289" s="8" t="s">
        <v>384</v>
      </c>
      <c r="G289" s="8" t="s">
        <v>117</v>
      </c>
      <c r="H289" s="8" t="s">
        <v>128</v>
      </c>
      <c r="I289" s="8" t="s">
        <v>91</v>
      </c>
      <c r="J289" s="9" t="s">
        <v>380</v>
      </c>
      <c r="K289" s="8" t="str">
        <f>VLOOKUP(LEFT(H289,7),'קטלוג תרחישים'!$A:$M,12,FALSE())</f>
        <v>ב'</v>
      </c>
      <c r="L289" s="8" t="str">
        <f>IF(J289="כן",K289,VLOOKUP(LEFT(H289,7),'קטלוג תרחישים'!$A:$M,13,FALSE()))</f>
        <v>ב'</v>
      </c>
      <c r="M289" s="13"/>
      <c r="N289" s="51" t="s">
        <v>365</v>
      </c>
      <c r="O289" s="13" t="str">
        <f t="array" ref="O289">_xlfn.IFS(N289="A","א'", N289="B", "ב'", N289= "C", "ג'")</f>
        <v>ב'</v>
      </c>
      <c r="P289" s="13">
        <f>IF(Table_2[[#This Row],[Correct_Answer]]=Table_2[[#This Row],[System_Recommendation]],1,0)</f>
        <v>1</v>
      </c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 spans="1:26" ht="15.75" hidden="1" customHeight="1">
      <c r="A290" s="8" t="s">
        <v>139</v>
      </c>
      <c r="B290" s="8">
        <v>25</v>
      </c>
      <c r="C290" s="9" t="s">
        <v>381</v>
      </c>
      <c r="D290" s="8">
        <v>1</v>
      </c>
      <c r="E290" s="9" t="s">
        <v>98</v>
      </c>
      <c r="F290" s="8" t="s">
        <v>384</v>
      </c>
      <c r="G290" s="8" t="s">
        <v>117</v>
      </c>
      <c r="H290" s="8" t="s">
        <v>127</v>
      </c>
      <c r="I290" s="8" t="s">
        <v>100</v>
      </c>
      <c r="J290" s="9" t="s">
        <v>383</v>
      </c>
      <c r="K290" s="8" t="str">
        <f>VLOOKUP(LEFT(H290,7),'קטלוג תרחישים'!$A:$M,12,FALSE())</f>
        <v>א'</v>
      </c>
      <c r="L290" s="8" t="str">
        <f>IF(J290="כן",K290,VLOOKUP(LEFT(H290,7),'קטלוג תרחישים'!$A:$M,13,FALSE()))</f>
        <v>ג'</v>
      </c>
      <c r="M290" s="13"/>
      <c r="N290" s="50" t="s">
        <v>360</v>
      </c>
      <c r="O290" s="13" t="str">
        <f t="array" ref="O290">_xlfn.IFS(N290="A","א'", N290="B", "ב'", N290= "C", "ג'")</f>
        <v>א'</v>
      </c>
      <c r="P290" s="13">
        <f>IF(Table_2[[#This Row],[Correct_Answer]]=Table_2[[#This Row],[System_Recommendation]],1,0)</f>
        <v>0</v>
      </c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 spans="1:26" ht="15.75" hidden="1" customHeight="1">
      <c r="A291" s="8" t="s">
        <v>139</v>
      </c>
      <c r="B291" s="8">
        <v>26</v>
      </c>
      <c r="C291" s="9" t="s">
        <v>381</v>
      </c>
      <c r="D291" s="8">
        <v>2</v>
      </c>
      <c r="E291" s="9" t="s">
        <v>105</v>
      </c>
      <c r="F291" s="8" t="s">
        <v>384</v>
      </c>
      <c r="G291" s="8" t="s">
        <v>117</v>
      </c>
      <c r="H291" s="8" t="s">
        <v>118</v>
      </c>
      <c r="I291" s="8" t="s">
        <v>91</v>
      </c>
      <c r="J291" s="9" t="s">
        <v>380</v>
      </c>
      <c r="K291" s="8" t="str">
        <f>VLOOKUP(LEFT(H291,7),'קטלוג תרחישים'!$A:$M,12,FALSE())</f>
        <v>ג'</v>
      </c>
      <c r="L291" s="8" t="str">
        <f>IF(J291="כן",K291,VLOOKUP(LEFT(H291,7),'קטלוג תרחישים'!$A:$M,13,FALSE()))</f>
        <v>ג'</v>
      </c>
      <c r="M291" s="13"/>
      <c r="N291" s="51" t="s">
        <v>366</v>
      </c>
      <c r="O291" s="13" t="str">
        <f t="array" ref="O291">_xlfn.IFS(N291="A","א'", N291="B", "ב'", N291= "C", "ג'")</f>
        <v>ג'</v>
      </c>
      <c r="P291" s="13">
        <f>IF(Table_2[[#This Row],[Correct_Answer]]=Table_2[[#This Row],[System_Recommendation]],1,0)</f>
        <v>1</v>
      </c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 spans="1:26" ht="15.75" hidden="1" customHeight="1">
      <c r="A292" s="8" t="s">
        <v>139</v>
      </c>
      <c r="B292" s="8">
        <v>27</v>
      </c>
      <c r="C292" s="9" t="s">
        <v>381</v>
      </c>
      <c r="D292" s="8">
        <v>2</v>
      </c>
      <c r="E292" s="9" t="s">
        <v>105</v>
      </c>
      <c r="F292" s="8" t="s">
        <v>384</v>
      </c>
      <c r="G292" s="8" t="s">
        <v>117</v>
      </c>
      <c r="H292" s="8" t="s">
        <v>121</v>
      </c>
      <c r="I292" s="8" t="s">
        <v>100</v>
      </c>
      <c r="J292" s="9" t="s">
        <v>380</v>
      </c>
      <c r="K292" s="8" t="str">
        <f>VLOOKUP(LEFT(H292,7),'קטלוג תרחישים'!$A:$M,12,FALSE())</f>
        <v>ג'</v>
      </c>
      <c r="L292" s="8" t="str">
        <f>IF(J292="כן",K292,VLOOKUP(LEFT(H292,7),'קטלוג תרחישים'!$A:$M,13,FALSE()))</f>
        <v>ג'</v>
      </c>
      <c r="M292" s="13"/>
      <c r="N292" s="50" t="s">
        <v>365</v>
      </c>
      <c r="O292" s="13" t="str">
        <f t="array" ref="O292">_xlfn.IFS(N292="A","א'", N292="B", "ב'", N292= "C", "ג'")</f>
        <v>ב'</v>
      </c>
      <c r="P292" s="13">
        <f>IF(Table_2[[#This Row],[Correct_Answer]]=Table_2[[#This Row],[System_Recommendation]],1,0)</f>
        <v>1</v>
      </c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 spans="1:26" ht="15.75" hidden="1" customHeight="1">
      <c r="A293" s="8" t="s">
        <v>139</v>
      </c>
      <c r="B293" s="8">
        <v>28</v>
      </c>
      <c r="C293" s="9" t="s">
        <v>381</v>
      </c>
      <c r="D293" s="8">
        <v>2</v>
      </c>
      <c r="E293" s="9" t="s">
        <v>105</v>
      </c>
      <c r="F293" s="8" t="s">
        <v>384</v>
      </c>
      <c r="G293" s="8" t="s">
        <v>117</v>
      </c>
      <c r="H293" s="8" t="s">
        <v>120</v>
      </c>
      <c r="I293" s="8" t="s">
        <v>91</v>
      </c>
      <c r="J293" s="9" t="s">
        <v>383</v>
      </c>
      <c r="K293" s="8" t="str">
        <f>VLOOKUP(LEFT(H293,7),'קטלוג תרחישים'!$A:$M,12,FALSE())</f>
        <v>ג'</v>
      </c>
      <c r="L293" s="8" t="str">
        <f>IF(J293="כן",K293,VLOOKUP(LEFT(H293,7),'קטלוג תרחישים'!$A:$M,13,FALSE()))</f>
        <v>א'</v>
      </c>
      <c r="M293" s="13"/>
      <c r="N293" s="51" t="s">
        <v>366</v>
      </c>
      <c r="O293" s="13" t="str">
        <f t="array" ref="O293">_xlfn.IFS(N293="A","א'", N293="B", "ב'", N293= "C", "ג'")</f>
        <v>ג'</v>
      </c>
      <c r="P293" s="13">
        <f>IF(Table_2[[#This Row],[Correct_Answer]]=Table_2[[#This Row],[System_Recommendation]],1,0)</f>
        <v>0</v>
      </c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 spans="1:26" ht="15.75" hidden="1" customHeight="1">
      <c r="A294" s="8" t="s">
        <v>139</v>
      </c>
      <c r="B294" s="8">
        <v>29</v>
      </c>
      <c r="C294" s="9" t="s">
        <v>381</v>
      </c>
      <c r="D294" s="8">
        <v>2</v>
      </c>
      <c r="E294" s="9" t="s">
        <v>105</v>
      </c>
      <c r="F294" s="8" t="s">
        <v>384</v>
      </c>
      <c r="G294" s="8" t="s">
        <v>117</v>
      </c>
      <c r="H294" s="8" t="s">
        <v>119</v>
      </c>
      <c r="I294" s="8" t="s">
        <v>100</v>
      </c>
      <c r="J294" s="9" t="s">
        <v>383</v>
      </c>
      <c r="K294" s="8" t="str">
        <f>VLOOKUP(LEFT(H294,7),'קטלוג תרחישים'!$A:$M,12,FALSE())</f>
        <v>א'</v>
      </c>
      <c r="L294" s="8" t="str">
        <f>IF(J294="כן",K294,VLOOKUP(LEFT(H294,7),'קטלוג תרחישים'!$A:$M,13,FALSE()))</f>
        <v>ב'</v>
      </c>
      <c r="M294" s="13"/>
      <c r="N294" s="50" t="s">
        <v>366</v>
      </c>
      <c r="O294" s="13" t="str">
        <f t="array" ref="O294">_xlfn.IFS(N294="A","א'", N294="B", "ב'", N294= "C", "ג'")</f>
        <v>ג'</v>
      </c>
      <c r="P294" s="13">
        <f>IF(Table_2[[#This Row],[Correct_Answer]]=Table_2[[#This Row],[System_Recommendation]],1,0)</f>
        <v>0</v>
      </c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 spans="1:26" ht="15.75" hidden="1" customHeight="1">
      <c r="A295" s="8" t="s">
        <v>139</v>
      </c>
      <c r="B295" s="8">
        <v>30</v>
      </c>
      <c r="C295" s="9" t="s">
        <v>381</v>
      </c>
      <c r="D295" s="8">
        <v>3</v>
      </c>
      <c r="E295" s="9" t="s">
        <v>111</v>
      </c>
      <c r="F295" s="8" t="s">
        <v>384</v>
      </c>
      <c r="G295" s="8" t="s">
        <v>117</v>
      </c>
      <c r="H295" s="8" t="s">
        <v>124</v>
      </c>
      <c r="I295" s="8" t="s">
        <v>91</v>
      </c>
      <c r="J295" s="9" t="s">
        <v>380</v>
      </c>
      <c r="K295" s="8" t="str">
        <f>VLOOKUP(LEFT(H295,7),'קטלוג תרחישים'!$A:$M,12,FALSE())</f>
        <v>ב'</v>
      </c>
      <c r="L295" s="8" t="str">
        <f>IF(J295="כן",K295,VLOOKUP(LEFT(H295,7),'קטלוג תרחישים'!$A:$M,13,FALSE()))</f>
        <v>ב'</v>
      </c>
      <c r="M295" s="13"/>
      <c r="N295" s="51" t="s">
        <v>365</v>
      </c>
      <c r="O295" s="13" t="str">
        <f t="array" ref="O295">_xlfn.IFS(N295="A","א'", N295="B", "ב'", N295= "C", "ג'")</f>
        <v>ב'</v>
      </c>
      <c r="P295" s="13">
        <f>IF(Table_2[[#This Row],[Correct_Answer]]=Table_2[[#This Row],[System_Recommendation]],1,0)</f>
        <v>1</v>
      </c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 spans="1:26" ht="15.75" hidden="1" customHeight="1">
      <c r="A296" s="8" t="s">
        <v>139</v>
      </c>
      <c r="B296" s="8">
        <v>31</v>
      </c>
      <c r="C296" s="9" t="s">
        <v>381</v>
      </c>
      <c r="D296" s="8">
        <v>3</v>
      </c>
      <c r="E296" s="9" t="s">
        <v>111</v>
      </c>
      <c r="F296" s="8" t="s">
        <v>384</v>
      </c>
      <c r="G296" s="8" t="s">
        <v>117</v>
      </c>
      <c r="H296" s="8" t="s">
        <v>123</v>
      </c>
      <c r="I296" s="8" t="s">
        <v>100</v>
      </c>
      <c r="J296" s="9" t="s">
        <v>380</v>
      </c>
      <c r="K296" s="8" t="str">
        <f>VLOOKUP(LEFT(H296,7),'קטלוג תרחישים'!$A:$M,12,FALSE())</f>
        <v>ב'</v>
      </c>
      <c r="L296" s="8" t="str">
        <f>IF(J296="כן",K296,VLOOKUP(LEFT(H296,7),'קטלוג תרחישים'!$A:$M,13,FALSE()))</f>
        <v>ב'</v>
      </c>
      <c r="M296" s="13"/>
      <c r="N296" s="50" t="s">
        <v>366</v>
      </c>
      <c r="O296" s="13" t="str">
        <f t="array" ref="O296">_xlfn.IFS(N296="A","א'", N296="B", "ב'", N296= "C", "ג'")</f>
        <v>ג'</v>
      </c>
      <c r="P296" s="13">
        <f>IF(Table_2[[#This Row],[Correct_Answer]]=Table_2[[#This Row],[System_Recommendation]],1,0)</f>
        <v>1</v>
      </c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 spans="1:26" ht="15.75" hidden="1" customHeight="1">
      <c r="A297" s="8" t="s">
        <v>139</v>
      </c>
      <c r="B297" s="8">
        <v>32</v>
      </c>
      <c r="C297" s="9" t="s">
        <v>381</v>
      </c>
      <c r="D297" s="8">
        <v>3</v>
      </c>
      <c r="E297" s="9" t="s">
        <v>111</v>
      </c>
      <c r="F297" s="8" t="s">
        <v>384</v>
      </c>
      <c r="G297" s="8" t="s">
        <v>117</v>
      </c>
      <c r="H297" s="8" t="s">
        <v>122</v>
      </c>
      <c r="I297" s="8" t="s">
        <v>91</v>
      </c>
      <c r="J297" s="9" t="s">
        <v>383</v>
      </c>
      <c r="K297" s="8" t="str">
        <f>VLOOKUP(LEFT(H297,7),'קטלוג תרחישים'!$A:$M,12,FALSE())</f>
        <v>ג'</v>
      </c>
      <c r="L297" s="8" t="str">
        <f>IF(J297="כן",K297,VLOOKUP(LEFT(H297,7),'קטלוג תרחישים'!$A:$M,13,FALSE()))</f>
        <v>א'</v>
      </c>
      <c r="M297" s="13"/>
      <c r="N297" s="51" t="s">
        <v>360</v>
      </c>
      <c r="O297" s="13" t="str">
        <f t="array" ref="O297">_xlfn.IFS(N297="A","א'", N297="B", "ב'", N297= "C", "ג'")</f>
        <v>א'</v>
      </c>
      <c r="P297" s="13">
        <f>IF(Table_2[[#This Row],[Correct_Answer]]=Table_2[[#This Row],[System_Recommendation]],1,0)</f>
        <v>0</v>
      </c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 spans="1:26" ht="15.75" hidden="1" customHeight="1">
      <c r="A298" s="8" t="s">
        <v>139</v>
      </c>
      <c r="B298" s="8">
        <v>33</v>
      </c>
      <c r="C298" s="9" t="s">
        <v>381</v>
      </c>
      <c r="D298" s="8">
        <v>3</v>
      </c>
      <c r="E298" s="9" t="s">
        <v>111</v>
      </c>
      <c r="F298" s="8" t="s">
        <v>384</v>
      </c>
      <c r="G298" s="8" t="s">
        <v>117</v>
      </c>
      <c r="H298" s="8" t="s">
        <v>125</v>
      </c>
      <c r="I298" s="8" t="s">
        <v>100</v>
      </c>
      <c r="J298" s="9" t="s">
        <v>383</v>
      </c>
      <c r="K298" s="8" t="str">
        <f>VLOOKUP(LEFT(H298,7),'קטלוג תרחישים'!$A:$M,12,FALSE())</f>
        <v>ג'</v>
      </c>
      <c r="L298" s="8" t="str">
        <f>IF(J298="כן",K298,VLOOKUP(LEFT(H298,7),'קטלוג תרחישים'!$A:$M,13,FALSE()))</f>
        <v>ב'</v>
      </c>
      <c r="M298" s="13"/>
      <c r="N298" s="50" t="s">
        <v>360</v>
      </c>
      <c r="O298" s="13" t="str">
        <f t="array" ref="O298">_xlfn.IFS(N298="A","א'", N298="B", "ב'", N298= "C", "ג'")</f>
        <v>א'</v>
      </c>
      <c r="P298" s="13">
        <f>IF(Table_2[[#This Row],[Correct_Answer]]=Table_2[[#This Row],[System_Recommendation]],1,0)</f>
        <v>0</v>
      </c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 spans="1:26" ht="15.75" hidden="1" customHeight="1">
      <c r="A299" s="8" t="s">
        <v>140</v>
      </c>
      <c r="B299" s="8">
        <v>1</v>
      </c>
      <c r="C299" s="9" t="s">
        <v>379</v>
      </c>
      <c r="D299" s="8"/>
      <c r="E299" s="9" t="s">
        <v>98</v>
      </c>
      <c r="F299" s="8"/>
      <c r="G299" s="8"/>
      <c r="H299" s="11" t="s">
        <v>90</v>
      </c>
      <c r="I299" s="8" t="s">
        <v>91</v>
      </c>
      <c r="J299" s="9" t="s">
        <v>380</v>
      </c>
      <c r="K299" s="8" t="str">
        <f>VLOOKUP(LEFT(H299,7),'קטלוג תרחישים'!$A:$M,12,FALSE())</f>
        <v>א'</v>
      </c>
      <c r="L299" s="8" t="str">
        <f>IF(J299="כן",K299,VLOOKUP(LEFT(H299,7),'קטלוג תרחישים'!$A:$M,13,FALSE()))</f>
        <v>א'</v>
      </c>
      <c r="M299" s="13"/>
      <c r="N299" s="51" t="s">
        <v>366</v>
      </c>
      <c r="O299" s="13" t="str">
        <f t="array" ref="O299">_xlfn.IFS(N299="A","א'", N299="B", "ב'", N299= "C", "ג'")</f>
        <v>ג'</v>
      </c>
      <c r="P299" s="13">
        <f>IF(Table_2[[#This Row],[Correct_Answer]]=Table_2[[#This Row],[System_Recommendation]],1,0)</f>
        <v>1</v>
      </c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 spans="1:26" ht="15.75" hidden="1" customHeight="1">
      <c r="A300" s="8" t="s">
        <v>140</v>
      </c>
      <c r="B300" s="8">
        <v>2</v>
      </c>
      <c r="C300" s="9" t="s">
        <v>379</v>
      </c>
      <c r="D300" s="8"/>
      <c r="E300" s="9" t="s">
        <v>98</v>
      </c>
      <c r="F300" s="8"/>
      <c r="G300" s="8"/>
      <c r="H300" s="11" t="s">
        <v>92</v>
      </c>
      <c r="I300" s="8" t="s">
        <v>91</v>
      </c>
      <c r="J300" s="9" t="s">
        <v>380</v>
      </c>
      <c r="K300" s="8" t="str">
        <f>VLOOKUP(LEFT(H300,7),'קטלוג תרחישים'!$A:$M,12,FALSE())</f>
        <v>א'</v>
      </c>
      <c r="L300" s="8" t="str">
        <f>IF(J300="כן",K300,VLOOKUP(LEFT(H300,7),'קטלוג תרחישים'!$A:$M,13,FALSE()))</f>
        <v>א'</v>
      </c>
      <c r="M300" s="13"/>
      <c r="N300" s="50" t="s">
        <v>366</v>
      </c>
      <c r="O300" s="13" t="str">
        <f t="array" ref="O300">_xlfn.IFS(N300="A","א'", N300="B", "ב'", N300= "C", "ג'")</f>
        <v>ג'</v>
      </c>
      <c r="P300" s="13">
        <f>IF(Table_2[[#This Row],[Correct_Answer]]=Table_2[[#This Row],[System_Recommendation]],1,0)</f>
        <v>1</v>
      </c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 spans="1:26" ht="15.75" hidden="1" customHeight="1">
      <c r="A301" s="8" t="s">
        <v>140</v>
      </c>
      <c r="B301" s="8">
        <v>3</v>
      </c>
      <c r="C301" s="9" t="s">
        <v>379</v>
      </c>
      <c r="D301" s="8"/>
      <c r="E301" s="9" t="s">
        <v>105</v>
      </c>
      <c r="F301" s="8"/>
      <c r="G301" s="8"/>
      <c r="H301" s="11" t="s">
        <v>93</v>
      </c>
      <c r="I301" s="8" t="s">
        <v>91</v>
      </c>
      <c r="J301" s="9" t="s">
        <v>380</v>
      </c>
      <c r="K301" s="8" t="str">
        <f>VLOOKUP(LEFT(H301,7),'קטלוג תרחישים'!$A:$M,12,FALSE())</f>
        <v>א'</v>
      </c>
      <c r="L301" s="8" t="str">
        <f>IF(J301="כן",K301,VLOOKUP(LEFT(H301,7),'קטלוג תרחישים'!$A:$M,13,FALSE()))</f>
        <v>א'</v>
      </c>
      <c r="M301" s="13"/>
      <c r="N301" s="51" t="s">
        <v>366</v>
      </c>
      <c r="O301" s="13" t="str">
        <f t="array" ref="O301">_xlfn.IFS(N301="A","א'", N301="B", "ב'", N301= "C", "ג'")</f>
        <v>ג'</v>
      </c>
      <c r="P301" s="13">
        <f>IF(Table_2[[#This Row],[Correct_Answer]]=Table_2[[#This Row],[System_Recommendation]],1,0)</f>
        <v>1</v>
      </c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 spans="1:26" ht="15.75" hidden="1" customHeight="1">
      <c r="A302" s="8" t="s">
        <v>140</v>
      </c>
      <c r="B302" s="8">
        <v>4</v>
      </c>
      <c r="C302" s="9" t="s">
        <v>379</v>
      </c>
      <c r="D302" s="8"/>
      <c r="E302" s="9" t="s">
        <v>105</v>
      </c>
      <c r="F302" s="8"/>
      <c r="G302" s="8"/>
      <c r="H302" s="11" t="s">
        <v>94</v>
      </c>
      <c r="I302" s="8" t="s">
        <v>91</v>
      </c>
      <c r="J302" s="9" t="s">
        <v>380</v>
      </c>
      <c r="K302" s="8" t="str">
        <f>VLOOKUP(LEFT(H302,7),'קטלוג תרחישים'!$A:$M,12,FALSE())</f>
        <v>א'</v>
      </c>
      <c r="L302" s="8" t="str">
        <f>IF(J302="כן",K302,VLOOKUP(LEFT(H302,7),'קטלוג תרחישים'!$A:$M,13,FALSE()))</f>
        <v>א'</v>
      </c>
      <c r="M302" s="13"/>
      <c r="N302" s="50" t="s">
        <v>365</v>
      </c>
      <c r="O302" s="13" t="str">
        <f t="array" ref="O302">_xlfn.IFS(N302="A","א'", N302="B", "ב'", N302= "C", "ג'")</f>
        <v>ב'</v>
      </c>
      <c r="P302" s="13">
        <f>IF(Table_2[[#This Row],[Correct_Answer]]=Table_2[[#This Row],[System_Recommendation]],1,0)</f>
        <v>1</v>
      </c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 spans="1:26" ht="15.75" hidden="1" customHeight="1">
      <c r="A303" s="8" t="s">
        <v>140</v>
      </c>
      <c r="B303" s="8">
        <v>5</v>
      </c>
      <c r="C303" s="9" t="s">
        <v>379</v>
      </c>
      <c r="D303" s="8"/>
      <c r="E303" s="9" t="s">
        <v>111</v>
      </c>
      <c r="F303" s="8"/>
      <c r="G303" s="8"/>
      <c r="H303" s="11" t="s">
        <v>95</v>
      </c>
      <c r="I303" s="8" t="s">
        <v>91</v>
      </c>
      <c r="J303" s="9" t="s">
        <v>380</v>
      </c>
      <c r="K303" s="8" t="str">
        <f>VLOOKUP(LEFT(H303,7),'קטלוג תרחישים'!$A:$M,12,FALSE())</f>
        <v>ב'</v>
      </c>
      <c r="L303" s="8" t="str">
        <f>IF(J303="כן",K303,VLOOKUP(LEFT(H303,7),'קטלוג תרחישים'!$A:$M,13,FALSE()))</f>
        <v>ב'</v>
      </c>
      <c r="M303" s="13"/>
      <c r="N303" s="51" t="s">
        <v>360</v>
      </c>
      <c r="O303" s="13" t="str">
        <f t="array" ref="O303">_xlfn.IFS(N303="A","א'", N303="B", "ב'", N303= "C", "ג'")</f>
        <v>א'</v>
      </c>
      <c r="P303" s="13">
        <f>IF(Table_2[[#This Row],[Correct_Answer]]=Table_2[[#This Row],[System_Recommendation]],1,0)</f>
        <v>1</v>
      </c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 spans="1:26" ht="15.75" customHeight="1">
      <c r="A304" s="8" t="s">
        <v>140</v>
      </c>
      <c r="B304" s="8">
        <v>6</v>
      </c>
      <c r="C304" s="9" t="s">
        <v>379</v>
      </c>
      <c r="D304" s="8"/>
      <c r="E304" s="9" t="s">
        <v>111</v>
      </c>
      <c r="F304" s="8"/>
      <c r="G304" s="8"/>
      <c r="H304" s="11" t="s">
        <v>96</v>
      </c>
      <c r="I304" s="8" t="s">
        <v>91</v>
      </c>
      <c r="J304" s="9" t="s">
        <v>380</v>
      </c>
      <c r="K304" s="8" t="str">
        <f>VLOOKUP(LEFT(H304,7),'קטלוג תרחישים'!$A:$M,12,FALSE())</f>
        <v>ב'</v>
      </c>
      <c r="L304" s="8" t="str">
        <f>IF(J304="כן",K304,VLOOKUP(LEFT(H304,7),'קטלוג תרחישים'!$A:$M,13,FALSE()))</f>
        <v>ב'</v>
      </c>
      <c r="M304" s="13"/>
      <c r="N304" s="50" t="s">
        <v>366</v>
      </c>
      <c r="O304" s="13" t="str">
        <f t="array" ref="O304">_xlfn.IFS(N304="A","א'", N304="B", "ב'", N304= "C", "ג'")</f>
        <v>ג'</v>
      </c>
      <c r="P304" s="13">
        <f>IF(Table_2[[#This Row],[Correct_Answer]]=Table_2[[#This Row],[System_Recommendation]],1,0)</f>
        <v>1</v>
      </c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 spans="1:26" ht="15.75" hidden="1" customHeight="1">
      <c r="A305" s="8" t="s">
        <v>140</v>
      </c>
      <c r="B305" s="8">
        <v>7</v>
      </c>
      <c r="C305" s="9" t="s">
        <v>381</v>
      </c>
      <c r="D305" s="8">
        <v>1</v>
      </c>
      <c r="E305" s="9" t="s">
        <v>105</v>
      </c>
      <c r="F305" s="8" t="s">
        <v>382</v>
      </c>
      <c r="G305" s="8" t="s">
        <v>117</v>
      </c>
      <c r="H305" s="8" t="s">
        <v>118</v>
      </c>
      <c r="I305" s="8" t="s">
        <v>91</v>
      </c>
      <c r="J305" s="9" t="s">
        <v>380</v>
      </c>
      <c r="K305" s="8" t="str">
        <f>VLOOKUP(LEFT(H305,7),'קטלוג תרחישים'!$A:$M,12,FALSE())</f>
        <v>ג'</v>
      </c>
      <c r="L305" s="8" t="str">
        <f>IF(J305="כן",K305,VLOOKUP(LEFT(H305,7),'קטלוג תרחישים'!$A:$M,13,FALSE()))</f>
        <v>ג'</v>
      </c>
      <c r="M305" s="13"/>
      <c r="N305" s="51" t="s">
        <v>366</v>
      </c>
      <c r="O305" s="13" t="str">
        <f t="array" ref="O305">_xlfn.IFS(N305="A","א'", N305="B", "ב'", N305= "C", "ג'")</f>
        <v>ג'</v>
      </c>
      <c r="P305" s="13">
        <f>IF(Table_2[[#This Row],[Correct_Answer]]=Table_2[[#This Row],[System_Recommendation]],1,0)</f>
        <v>1</v>
      </c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 spans="1:26" ht="15.75" hidden="1" customHeight="1">
      <c r="A306" s="8" t="s">
        <v>140</v>
      </c>
      <c r="B306" s="8">
        <v>8</v>
      </c>
      <c r="C306" s="9" t="s">
        <v>381</v>
      </c>
      <c r="D306" s="8">
        <v>1</v>
      </c>
      <c r="E306" s="9" t="s">
        <v>105</v>
      </c>
      <c r="F306" s="8" t="s">
        <v>382</v>
      </c>
      <c r="G306" s="8" t="s">
        <v>117</v>
      </c>
      <c r="H306" s="8" t="s">
        <v>121</v>
      </c>
      <c r="I306" s="8" t="s">
        <v>100</v>
      </c>
      <c r="J306" s="9" t="s">
        <v>383</v>
      </c>
      <c r="K306" s="8" t="str">
        <f>VLOOKUP(LEFT(H306,7),'קטלוג תרחישים'!$A:$M,12,FALSE())</f>
        <v>ג'</v>
      </c>
      <c r="L306" s="8" t="str">
        <f>IF(J306="כן",K306,VLOOKUP(LEFT(H306,7),'קטלוג תרחישים'!$A:$M,13,FALSE()))</f>
        <v>ב'</v>
      </c>
      <c r="M306" s="13"/>
      <c r="N306" s="50" t="s">
        <v>365</v>
      </c>
      <c r="O306" s="13" t="str">
        <f t="array" ref="O306">_xlfn.IFS(N306="A","א'", N306="B", "ב'", N306= "C", "ג'")</f>
        <v>ב'</v>
      </c>
      <c r="P306" s="13">
        <f>IF(Table_2[[#This Row],[Correct_Answer]]=Table_2[[#This Row],[System_Recommendation]],1,0)</f>
        <v>0</v>
      </c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 spans="1:26" ht="15.75" hidden="1" customHeight="1">
      <c r="A307" s="8" t="s">
        <v>140</v>
      </c>
      <c r="B307" s="8">
        <v>9</v>
      </c>
      <c r="C307" s="9" t="s">
        <v>381</v>
      </c>
      <c r="D307" s="8">
        <v>1</v>
      </c>
      <c r="E307" s="9" t="s">
        <v>105</v>
      </c>
      <c r="F307" s="8" t="s">
        <v>382</v>
      </c>
      <c r="G307" s="8" t="s">
        <v>117</v>
      </c>
      <c r="H307" s="8" t="s">
        <v>120</v>
      </c>
      <c r="I307" s="8" t="s">
        <v>91</v>
      </c>
      <c r="J307" s="9" t="s">
        <v>383</v>
      </c>
      <c r="K307" s="8" t="str">
        <f>VLOOKUP(LEFT(H307,7),'קטלוג תרחישים'!$A:$M,12,FALSE())</f>
        <v>ג'</v>
      </c>
      <c r="L307" s="8" t="str">
        <f>IF(J307="כן",K307,VLOOKUP(LEFT(H307,7),'קטלוג תרחישים'!$A:$M,13,FALSE()))</f>
        <v>א'</v>
      </c>
      <c r="M307" s="13"/>
      <c r="N307" s="51" t="s">
        <v>360</v>
      </c>
      <c r="O307" s="13" t="str">
        <f t="array" ref="O307">_xlfn.IFS(N307="A","א'", N307="B", "ב'", N307= "C", "ג'")</f>
        <v>א'</v>
      </c>
      <c r="P307" s="13">
        <f>IF(Table_2[[#This Row],[Correct_Answer]]=Table_2[[#This Row],[System_Recommendation]],1,0)</f>
        <v>0</v>
      </c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 spans="1:26" ht="15.75" hidden="1" customHeight="1">
      <c r="A308" s="8" t="s">
        <v>140</v>
      </c>
      <c r="B308" s="8">
        <v>10</v>
      </c>
      <c r="C308" s="9" t="s">
        <v>381</v>
      </c>
      <c r="D308" s="8">
        <v>1</v>
      </c>
      <c r="E308" s="9" t="s">
        <v>105</v>
      </c>
      <c r="F308" s="8" t="s">
        <v>382</v>
      </c>
      <c r="G308" s="8" t="s">
        <v>117</v>
      </c>
      <c r="H308" s="8" t="s">
        <v>119</v>
      </c>
      <c r="I308" s="8" t="s">
        <v>100</v>
      </c>
      <c r="J308" s="9" t="s">
        <v>380</v>
      </c>
      <c r="K308" s="8" t="str">
        <f>VLOOKUP(LEFT(H308,7),'קטלוג תרחישים'!$A:$M,12,FALSE())</f>
        <v>א'</v>
      </c>
      <c r="L308" s="8" t="str">
        <f>IF(J308="כן",K308,VLOOKUP(LEFT(H308,7),'קטלוג תרחישים'!$A:$M,13,FALSE()))</f>
        <v>א'</v>
      </c>
      <c r="M308" s="13"/>
      <c r="N308" s="50" t="s">
        <v>360</v>
      </c>
      <c r="O308" s="13" t="str">
        <f t="array" ref="O308">_xlfn.IFS(N308="A","א'", N308="B", "ב'", N308= "C", "ג'")</f>
        <v>א'</v>
      </c>
      <c r="P308" s="13">
        <f>IF(Table_2[[#This Row],[Correct_Answer]]=Table_2[[#This Row],[System_Recommendation]],1,0)</f>
        <v>1</v>
      </c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 spans="1:26" ht="15.75" hidden="1" customHeight="1">
      <c r="A309" s="8" t="s">
        <v>140</v>
      </c>
      <c r="B309" s="8">
        <v>11</v>
      </c>
      <c r="C309" s="9" t="s">
        <v>381</v>
      </c>
      <c r="D309" s="8">
        <v>2</v>
      </c>
      <c r="E309" s="9" t="s">
        <v>111</v>
      </c>
      <c r="F309" s="8" t="s">
        <v>382</v>
      </c>
      <c r="G309" s="8" t="s">
        <v>117</v>
      </c>
      <c r="H309" s="8" t="s">
        <v>124</v>
      </c>
      <c r="I309" s="8" t="s">
        <v>91</v>
      </c>
      <c r="J309" s="9" t="s">
        <v>383</v>
      </c>
      <c r="K309" s="8" t="str">
        <f>VLOOKUP(LEFT(H309,7),'קטלוג תרחישים'!$A:$M,12,FALSE())</f>
        <v>ב'</v>
      </c>
      <c r="L309" s="8" t="str">
        <f>IF(J309="כן",K309,VLOOKUP(LEFT(H309,7),'קטלוג תרחישים'!$A:$M,13,FALSE()))</f>
        <v>א'</v>
      </c>
      <c r="M309" s="13"/>
      <c r="N309" s="51" t="s">
        <v>360</v>
      </c>
      <c r="O309" s="13" t="str">
        <f t="array" ref="O309">_xlfn.IFS(N309="A","א'", N309="B", "ב'", N309= "C", "ג'")</f>
        <v>א'</v>
      </c>
      <c r="P309" s="13">
        <f>IF(Table_2[[#This Row],[Correct_Answer]]=Table_2[[#This Row],[System_Recommendation]],1,0)</f>
        <v>0</v>
      </c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 spans="1:26" ht="15.75" hidden="1" customHeight="1">
      <c r="A310" s="8" t="s">
        <v>140</v>
      </c>
      <c r="B310" s="8">
        <v>12</v>
      </c>
      <c r="C310" s="9" t="s">
        <v>381</v>
      </c>
      <c r="D310" s="8">
        <v>2</v>
      </c>
      <c r="E310" s="9" t="s">
        <v>111</v>
      </c>
      <c r="F310" s="8" t="s">
        <v>382</v>
      </c>
      <c r="G310" s="8" t="s">
        <v>117</v>
      </c>
      <c r="H310" s="8" t="s">
        <v>123</v>
      </c>
      <c r="I310" s="8" t="s">
        <v>100</v>
      </c>
      <c r="J310" s="9" t="s">
        <v>380</v>
      </c>
      <c r="K310" s="8" t="str">
        <f>VLOOKUP(LEFT(H310,7),'קטלוג תרחישים'!$A:$M,12,FALSE())</f>
        <v>ב'</v>
      </c>
      <c r="L310" s="8" t="str">
        <f>IF(J310="כן",K310,VLOOKUP(LEFT(H310,7),'קטלוג תרחישים'!$A:$M,13,FALSE()))</f>
        <v>ב'</v>
      </c>
      <c r="M310" s="13"/>
      <c r="N310" s="50" t="s">
        <v>365</v>
      </c>
      <c r="O310" s="13" t="str">
        <f t="array" ref="O310">_xlfn.IFS(N310="A","א'", N310="B", "ב'", N310= "C", "ג'")</f>
        <v>ב'</v>
      </c>
      <c r="P310" s="13">
        <f>IF(Table_2[[#This Row],[Correct_Answer]]=Table_2[[#This Row],[System_Recommendation]],1,0)</f>
        <v>1</v>
      </c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 spans="1:26" ht="15.75" hidden="1" customHeight="1">
      <c r="A311" s="8" t="s">
        <v>140</v>
      </c>
      <c r="B311" s="8">
        <v>13</v>
      </c>
      <c r="C311" s="9" t="s">
        <v>381</v>
      </c>
      <c r="D311" s="8">
        <v>2</v>
      </c>
      <c r="E311" s="9" t="s">
        <v>111</v>
      </c>
      <c r="F311" s="8" t="s">
        <v>382</v>
      </c>
      <c r="G311" s="8" t="s">
        <v>117</v>
      </c>
      <c r="H311" s="8" t="s">
        <v>122</v>
      </c>
      <c r="I311" s="8" t="s">
        <v>91</v>
      </c>
      <c r="J311" s="9" t="s">
        <v>380</v>
      </c>
      <c r="K311" s="8" t="str">
        <f>VLOOKUP(LEFT(H311,7),'קטלוג תרחישים'!$A:$M,12,FALSE())</f>
        <v>ג'</v>
      </c>
      <c r="L311" s="8" t="str">
        <f>IF(J311="כן",K311,VLOOKUP(LEFT(H311,7),'קטלוג תרחישים'!$A:$M,13,FALSE()))</f>
        <v>ג'</v>
      </c>
      <c r="M311" s="13"/>
      <c r="N311" s="51" t="s">
        <v>365</v>
      </c>
      <c r="O311" s="13" t="str">
        <f t="array" ref="O311">_xlfn.IFS(N311="A","א'", N311="B", "ב'", N311= "C", "ג'")</f>
        <v>ב'</v>
      </c>
      <c r="P311" s="13">
        <f>IF(Table_2[[#This Row],[Correct_Answer]]=Table_2[[#This Row],[System_Recommendation]],1,0)</f>
        <v>1</v>
      </c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 spans="1:26" ht="15.75" hidden="1" customHeight="1">
      <c r="A312" s="8" t="s">
        <v>140</v>
      </c>
      <c r="B312" s="8">
        <v>14</v>
      </c>
      <c r="C312" s="9" t="s">
        <v>381</v>
      </c>
      <c r="D312" s="8">
        <v>2</v>
      </c>
      <c r="E312" s="9" t="s">
        <v>111</v>
      </c>
      <c r="F312" s="8" t="s">
        <v>382</v>
      </c>
      <c r="G312" s="8" t="s">
        <v>117</v>
      </c>
      <c r="H312" s="8" t="s">
        <v>125</v>
      </c>
      <c r="I312" s="8" t="s">
        <v>100</v>
      </c>
      <c r="J312" s="9" t="s">
        <v>383</v>
      </c>
      <c r="K312" s="8" t="str">
        <f>VLOOKUP(LEFT(H312,7),'קטלוג תרחישים'!$A:$M,12,FALSE())</f>
        <v>ג'</v>
      </c>
      <c r="L312" s="8" t="str">
        <f>IF(J312="כן",K312,VLOOKUP(LEFT(H312,7),'קטלוג תרחישים'!$A:$M,13,FALSE()))</f>
        <v>ב'</v>
      </c>
      <c r="M312" s="13"/>
      <c r="N312" s="50" t="s">
        <v>366</v>
      </c>
      <c r="O312" s="13" t="str">
        <f t="array" ref="O312">_xlfn.IFS(N312="A","א'", N312="B", "ב'", N312= "C", "ג'")</f>
        <v>ג'</v>
      </c>
      <c r="P312" s="13">
        <f>IF(Table_2[[#This Row],[Correct_Answer]]=Table_2[[#This Row],[System_Recommendation]],1,0)</f>
        <v>0</v>
      </c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 spans="1:26" ht="15.75" hidden="1" customHeight="1">
      <c r="A313" s="8" t="s">
        <v>140</v>
      </c>
      <c r="B313" s="8">
        <v>15</v>
      </c>
      <c r="C313" s="9" t="s">
        <v>381</v>
      </c>
      <c r="D313" s="8">
        <v>3</v>
      </c>
      <c r="E313" s="9" t="s">
        <v>98</v>
      </c>
      <c r="F313" s="8" t="s">
        <v>382</v>
      </c>
      <c r="G313" s="8" t="s">
        <v>117</v>
      </c>
      <c r="H313" s="8" t="s">
        <v>128</v>
      </c>
      <c r="I313" s="8" t="s">
        <v>91</v>
      </c>
      <c r="J313" s="9" t="s">
        <v>383</v>
      </c>
      <c r="K313" s="8" t="str">
        <f>VLOOKUP(LEFT(H313,7),'קטלוג תרחישים'!$A:$M,12,FALSE())</f>
        <v>ב'</v>
      </c>
      <c r="L313" s="8" t="str">
        <f>IF(J313="כן",K313,VLOOKUP(LEFT(H313,7),'קטלוג תרחישים'!$A:$M,13,FALSE()))</f>
        <v>ג'</v>
      </c>
      <c r="M313" s="13"/>
      <c r="N313" s="51" t="s">
        <v>365</v>
      </c>
      <c r="O313" s="13" t="str">
        <f t="array" ref="O313">_xlfn.IFS(N313="A","א'", N313="B", "ב'", N313= "C", "ג'")</f>
        <v>ב'</v>
      </c>
      <c r="P313" s="13">
        <f>IF(Table_2[[#This Row],[Correct_Answer]]=Table_2[[#This Row],[System_Recommendation]],1,0)</f>
        <v>0</v>
      </c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 spans="1:26" ht="15.75" hidden="1" customHeight="1">
      <c r="A314" s="8" t="s">
        <v>140</v>
      </c>
      <c r="B314" s="8">
        <v>16</v>
      </c>
      <c r="C314" s="9" t="s">
        <v>381</v>
      </c>
      <c r="D314" s="8">
        <v>3</v>
      </c>
      <c r="E314" s="9" t="s">
        <v>98</v>
      </c>
      <c r="F314" s="8" t="s">
        <v>382</v>
      </c>
      <c r="G314" s="8" t="s">
        <v>117</v>
      </c>
      <c r="H314" s="8" t="s">
        <v>129</v>
      </c>
      <c r="I314" s="8" t="s">
        <v>100</v>
      </c>
      <c r="J314" s="9" t="s">
        <v>380</v>
      </c>
      <c r="K314" s="8" t="str">
        <f>VLOOKUP(LEFT(H314,7),'קטלוג תרחישים'!$A:$M,12,FALSE())</f>
        <v>א'</v>
      </c>
      <c r="L314" s="8" t="str">
        <f>IF(J314="כן",K314,VLOOKUP(LEFT(H314,7),'קטלוג תרחישים'!$A:$M,13,FALSE()))</f>
        <v>א'</v>
      </c>
      <c r="M314" s="13"/>
      <c r="N314" s="50" t="s">
        <v>365</v>
      </c>
      <c r="O314" s="13" t="str">
        <f t="array" ref="O314">_xlfn.IFS(N314="A","א'", N314="B", "ב'", N314= "C", "ג'")</f>
        <v>ב'</v>
      </c>
      <c r="P314" s="13">
        <f>IF(Table_2[[#This Row],[Correct_Answer]]=Table_2[[#This Row],[System_Recommendation]],1,0)</f>
        <v>1</v>
      </c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 spans="1:26" ht="15.75" hidden="1" customHeight="1">
      <c r="A315" s="8" t="s">
        <v>140</v>
      </c>
      <c r="B315" s="8">
        <v>17</v>
      </c>
      <c r="C315" s="9" t="s">
        <v>381</v>
      </c>
      <c r="D315" s="8">
        <v>3</v>
      </c>
      <c r="E315" s="9" t="s">
        <v>98</v>
      </c>
      <c r="F315" s="8" t="s">
        <v>382</v>
      </c>
      <c r="G315" s="8" t="s">
        <v>117</v>
      </c>
      <c r="H315" s="8" t="s">
        <v>126</v>
      </c>
      <c r="I315" s="8" t="s">
        <v>91</v>
      </c>
      <c r="J315" s="9" t="s">
        <v>380</v>
      </c>
      <c r="K315" s="8" t="str">
        <f>VLOOKUP(LEFT(H315,7),'קטלוג תרחישים'!$A:$M,12,FALSE())</f>
        <v>ג'</v>
      </c>
      <c r="L315" s="8" t="str">
        <f>IF(J315="כן",K315,VLOOKUP(LEFT(H315,7),'קטלוג תרחישים'!$A:$M,13,FALSE()))</f>
        <v>ג'</v>
      </c>
      <c r="M315" s="13"/>
      <c r="N315" s="51" t="s">
        <v>360</v>
      </c>
      <c r="O315" s="13" t="str">
        <f t="array" ref="O315">_xlfn.IFS(N315="A","א'", N315="B", "ב'", N315= "C", "ג'")</f>
        <v>א'</v>
      </c>
      <c r="P315" s="13">
        <f>IF(Table_2[[#This Row],[Correct_Answer]]=Table_2[[#This Row],[System_Recommendation]],1,0)</f>
        <v>1</v>
      </c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 spans="1:26" ht="15.75" hidden="1" customHeight="1">
      <c r="A316" s="8" t="s">
        <v>140</v>
      </c>
      <c r="B316" s="8">
        <v>18</v>
      </c>
      <c r="C316" s="9" t="s">
        <v>381</v>
      </c>
      <c r="D316" s="8">
        <v>3</v>
      </c>
      <c r="E316" s="9" t="s">
        <v>98</v>
      </c>
      <c r="F316" s="8" t="s">
        <v>382</v>
      </c>
      <c r="G316" s="8" t="s">
        <v>117</v>
      </c>
      <c r="H316" s="8" t="s">
        <v>127</v>
      </c>
      <c r="I316" s="8" t="s">
        <v>100</v>
      </c>
      <c r="J316" s="9" t="s">
        <v>383</v>
      </c>
      <c r="K316" s="8" t="str">
        <f>VLOOKUP(LEFT(H316,7),'קטלוג תרחישים'!$A:$M,12,FALSE())</f>
        <v>א'</v>
      </c>
      <c r="L316" s="8" t="str">
        <f>IF(J316="כן",K316,VLOOKUP(LEFT(H316,7),'קטלוג תרחישים'!$A:$M,13,FALSE()))</f>
        <v>ג'</v>
      </c>
      <c r="M316" s="13"/>
      <c r="N316" s="50" t="s">
        <v>366</v>
      </c>
      <c r="O316" s="13" t="str">
        <f t="array" ref="O316">_xlfn.IFS(N316="A","א'", N316="B", "ב'", N316= "C", "ג'")</f>
        <v>ג'</v>
      </c>
      <c r="P316" s="13">
        <f>IF(Table_2[[#This Row],[Correct_Answer]]=Table_2[[#This Row],[System_Recommendation]],1,0)</f>
        <v>0</v>
      </c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 spans="1:26" ht="15.75" hidden="1" customHeight="1">
      <c r="A317" s="8" t="s">
        <v>140</v>
      </c>
      <c r="B317" s="8">
        <v>19</v>
      </c>
      <c r="C317" s="9" t="s">
        <v>381</v>
      </c>
      <c r="D317" s="8">
        <v>1</v>
      </c>
      <c r="E317" s="9" t="s">
        <v>98</v>
      </c>
      <c r="F317" s="8" t="s">
        <v>384</v>
      </c>
      <c r="G317" s="8" t="s">
        <v>97</v>
      </c>
      <c r="H317" s="8" t="s">
        <v>99</v>
      </c>
      <c r="I317" s="8" t="s">
        <v>100</v>
      </c>
      <c r="J317" s="9" t="s">
        <v>380</v>
      </c>
      <c r="K317" s="8" t="str">
        <f>VLOOKUP(LEFT(H317,7),'קטלוג תרחישים'!$A:$M,12,FALSE())</f>
        <v>ג'</v>
      </c>
      <c r="L317" s="8" t="str">
        <f>IF(J317="כן",K317,VLOOKUP(LEFT(H317,7),'קטלוג תרחישים'!$A:$M,13,FALSE()))</f>
        <v>ג'</v>
      </c>
      <c r="M317" s="13"/>
      <c r="N317" s="51" t="s">
        <v>365</v>
      </c>
      <c r="O317" s="13" t="str">
        <f t="array" ref="O317">_xlfn.IFS(N317="A","א'", N317="B", "ב'", N317= "C", "ג'")</f>
        <v>ב'</v>
      </c>
      <c r="P317" s="13">
        <f>IF(Table_2[[#This Row],[Correct_Answer]]=Table_2[[#This Row],[System_Recommendation]],1,0)</f>
        <v>1</v>
      </c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 spans="1:26" ht="15.75" hidden="1" customHeight="1">
      <c r="A318" s="8" t="s">
        <v>140</v>
      </c>
      <c r="B318" s="8">
        <v>20</v>
      </c>
      <c r="C318" s="9" t="s">
        <v>381</v>
      </c>
      <c r="D318" s="8">
        <v>1</v>
      </c>
      <c r="E318" s="9" t="s">
        <v>98</v>
      </c>
      <c r="F318" s="8" t="s">
        <v>384</v>
      </c>
      <c r="G318" s="8" t="s">
        <v>97</v>
      </c>
      <c r="H318" s="8" t="s">
        <v>103</v>
      </c>
      <c r="I318" s="8" t="s">
        <v>91</v>
      </c>
      <c r="J318" s="9" t="s">
        <v>380</v>
      </c>
      <c r="K318" s="8" t="str">
        <f>VLOOKUP(LEFT(H318,7),'קטלוג תרחישים'!$A:$M,12,FALSE())</f>
        <v>ב'</v>
      </c>
      <c r="L318" s="8" t="str">
        <f>IF(J318="כן",K318,VLOOKUP(LEFT(H318,7),'קטלוג תרחישים'!$A:$M,13,FALSE()))</f>
        <v>ב'</v>
      </c>
      <c r="M318" s="13"/>
      <c r="N318" s="50" t="s">
        <v>366</v>
      </c>
      <c r="O318" s="13" t="str">
        <f t="array" ref="O318">_xlfn.IFS(N318="A","א'", N318="B", "ב'", N318= "C", "ג'")</f>
        <v>ג'</v>
      </c>
      <c r="P318" s="13">
        <f>IF(Table_2[[#This Row],[Correct_Answer]]=Table_2[[#This Row],[System_Recommendation]],1,0)</f>
        <v>1</v>
      </c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 spans="1:26" ht="15.75" hidden="1" customHeight="1">
      <c r="A319" s="8" t="s">
        <v>140</v>
      </c>
      <c r="B319" s="8">
        <v>21</v>
      </c>
      <c r="C319" s="9" t="s">
        <v>381</v>
      </c>
      <c r="D319" s="8">
        <v>1</v>
      </c>
      <c r="E319" s="9" t="s">
        <v>98</v>
      </c>
      <c r="F319" s="8" t="s">
        <v>384</v>
      </c>
      <c r="G319" s="8" t="s">
        <v>97</v>
      </c>
      <c r="H319" s="8" t="s">
        <v>102</v>
      </c>
      <c r="I319" s="8" t="s">
        <v>100</v>
      </c>
      <c r="J319" s="9" t="s">
        <v>383</v>
      </c>
      <c r="K319" s="8" t="str">
        <f>VLOOKUP(LEFT(H319,7),'קטלוג תרחישים'!$A:$M,12,FALSE())</f>
        <v>ג'</v>
      </c>
      <c r="L319" s="8" t="str">
        <f>IF(J319="כן",K319,VLOOKUP(LEFT(H319,7),'קטלוג תרחישים'!$A:$M,13,FALSE()))</f>
        <v>ב'</v>
      </c>
      <c r="M319" s="13"/>
      <c r="N319" s="51" t="s">
        <v>360</v>
      </c>
      <c r="O319" s="13" t="str">
        <f t="array" ref="O319">_xlfn.IFS(N319="A","א'", N319="B", "ב'", N319= "C", "ג'")</f>
        <v>א'</v>
      </c>
      <c r="P319" s="13">
        <f>IF(Table_2[[#This Row],[Correct_Answer]]=Table_2[[#This Row],[System_Recommendation]],1,0)</f>
        <v>0</v>
      </c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 spans="1:26" ht="15.75" hidden="1" customHeight="1">
      <c r="A320" s="8" t="s">
        <v>140</v>
      </c>
      <c r="B320" s="8">
        <v>22</v>
      </c>
      <c r="C320" s="9" t="s">
        <v>381</v>
      </c>
      <c r="D320" s="8">
        <v>1</v>
      </c>
      <c r="E320" s="9" t="s">
        <v>98</v>
      </c>
      <c r="F320" s="8" t="s">
        <v>384</v>
      </c>
      <c r="G320" s="8" t="s">
        <v>97</v>
      </c>
      <c r="H320" s="8" t="s">
        <v>101</v>
      </c>
      <c r="I320" s="8" t="s">
        <v>91</v>
      </c>
      <c r="J320" s="9" t="s">
        <v>380</v>
      </c>
      <c r="K320" s="8" t="str">
        <f>VLOOKUP(LEFT(H320,7),'קטלוג תרחישים'!$A:$M,12,FALSE())</f>
        <v>א'</v>
      </c>
      <c r="L320" s="8" t="str">
        <f>IF(J320="כן",K320,VLOOKUP(LEFT(H320,7),'קטלוג תרחישים'!$A:$M,13,FALSE()))</f>
        <v>א'</v>
      </c>
      <c r="M320" s="13"/>
      <c r="N320" s="50" t="s">
        <v>366</v>
      </c>
      <c r="O320" s="13" t="str">
        <f t="array" ref="O320">_xlfn.IFS(N320="A","א'", N320="B", "ב'", N320= "C", "ג'")</f>
        <v>ג'</v>
      </c>
      <c r="P320" s="13">
        <f>IF(Table_2[[#This Row],[Correct_Answer]]=Table_2[[#This Row],[System_Recommendation]],1,0)</f>
        <v>1</v>
      </c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 spans="1:26" ht="15.75" hidden="1" customHeight="1">
      <c r="A321" s="8" t="s">
        <v>140</v>
      </c>
      <c r="B321" s="8">
        <v>23</v>
      </c>
      <c r="C321" s="9" t="s">
        <v>381</v>
      </c>
      <c r="D321" s="8">
        <v>1</v>
      </c>
      <c r="E321" s="9" t="s">
        <v>98</v>
      </c>
      <c r="F321" s="8" t="s">
        <v>384</v>
      </c>
      <c r="G321" s="8" t="s">
        <v>97</v>
      </c>
      <c r="H321" s="8" t="s">
        <v>104</v>
      </c>
      <c r="I321" s="8" t="s">
        <v>100</v>
      </c>
      <c r="J321" s="9" t="s">
        <v>380</v>
      </c>
      <c r="K321" s="8" t="str">
        <f>VLOOKUP(LEFT(H321,7),'קטלוג תרחישים'!$A:$M,12,FALSE())</f>
        <v>ב'</v>
      </c>
      <c r="L321" s="8" t="str">
        <f>IF(J321="כן",K321,VLOOKUP(LEFT(H321,7),'קטלוג תרחישים'!$A:$M,13,FALSE()))</f>
        <v>ב'</v>
      </c>
      <c r="M321" s="13"/>
      <c r="N321" s="51" t="s">
        <v>366</v>
      </c>
      <c r="O321" s="13" t="str">
        <f t="array" ref="O321">_xlfn.IFS(N321="A","א'", N321="B", "ב'", N321= "C", "ג'")</f>
        <v>ג'</v>
      </c>
      <c r="P321" s="13">
        <f>IF(Table_2[[#This Row],[Correct_Answer]]=Table_2[[#This Row],[System_Recommendation]],1,0)</f>
        <v>1</v>
      </c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 spans="1:26" ht="15.75" hidden="1" customHeight="1">
      <c r="A322" s="8" t="s">
        <v>140</v>
      </c>
      <c r="B322" s="8">
        <v>24</v>
      </c>
      <c r="C322" s="9" t="s">
        <v>381</v>
      </c>
      <c r="D322" s="8">
        <v>2</v>
      </c>
      <c r="E322" s="9" t="s">
        <v>105</v>
      </c>
      <c r="F322" s="8" t="s">
        <v>384</v>
      </c>
      <c r="G322" s="8" t="s">
        <v>97</v>
      </c>
      <c r="H322" s="8" t="s">
        <v>106</v>
      </c>
      <c r="I322" s="8" t="s">
        <v>91</v>
      </c>
      <c r="J322" s="9" t="s">
        <v>380</v>
      </c>
      <c r="K322" s="8" t="str">
        <f>VLOOKUP(LEFT(H322,7),'קטלוג תרחישים'!$A:$M,12,FALSE())</f>
        <v>א'</v>
      </c>
      <c r="L322" s="8" t="str">
        <f>IF(J322="כן",K322,VLOOKUP(LEFT(H322,7),'קטלוג תרחישים'!$A:$M,13,FALSE()))</f>
        <v>א'</v>
      </c>
      <c r="M322" s="13"/>
      <c r="N322" s="50" t="s">
        <v>365</v>
      </c>
      <c r="O322" s="13" t="str">
        <f t="array" ref="O322">_xlfn.IFS(N322="A","א'", N322="B", "ב'", N322= "C", "ג'")</f>
        <v>ב'</v>
      </c>
      <c r="P322" s="13">
        <f>IF(Table_2[[#This Row],[Correct_Answer]]=Table_2[[#This Row],[System_Recommendation]],1,0)</f>
        <v>1</v>
      </c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 spans="1:26" ht="15.75" hidden="1" customHeight="1">
      <c r="A323" s="8" t="s">
        <v>140</v>
      </c>
      <c r="B323" s="8">
        <v>25</v>
      </c>
      <c r="C323" s="9" t="s">
        <v>381</v>
      </c>
      <c r="D323" s="8">
        <v>2</v>
      </c>
      <c r="E323" s="9" t="s">
        <v>105</v>
      </c>
      <c r="F323" s="8" t="s">
        <v>384</v>
      </c>
      <c r="G323" s="8" t="s">
        <v>97</v>
      </c>
      <c r="H323" s="8" t="s">
        <v>107</v>
      </c>
      <c r="I323" s="8" t="s">
        <v>100</v>
      </c>
      <c r="J323" s="9" t="s">
        <v>380</v>
      </c>
      <c r="K323" s="8" t="str">
        <f>VLOOKUP(LEFT(H323,7),'קטלוג תרחישים'!$A:$M,12,FALSE())</f>
        <v>ב'</v>
      </c>
      <c r="L323" s="8" t="str">
        <f>IF(J323="כן",K323,VLOOKUP(LEFT(H323,7),'קטלוג תרחישים'!$A:$M,13,FALSE()))</f>
        <v>ב'</v>
      </c>
      <c r="M323" s="13"/>
      <c r="N323" s="51" t="s">
        <v>360</v>
      </c>
      <c r="O323" s="13" t="str">
        <f t="array" ref="O323">_xlfn.IFS(N323="A","א'", N323="B", "ב'", N323= "C", "ג'")</f>
        <v>א'</v>
      </c>
      <c r="P323" s="13">
        <f>IF(Table_2[[#This Row],[Correct_Answer]]=Table_2[[#This Row],[System_Recommendation]],1,0)</f>
        <v>1</v>
      </c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 spans="1:26" ht="15.75" hidden="1" customHeight="1">
      <c r="A324" s="8" t="s">
        <v>140</v>
      </c>
      <c r="B324" s="8">
        <v>26</v>
      </c>
      <c r="C324" s="9" t="s">
        <v>381</v>
      </c>
      <c r="D324" s="8">
        <v>2</v>
      </c>
      <c r="E324" s="9" t="s">
        <v>105</v>
      </c>
      <c r="F324" s="8" t="s">
        <v>384</v>
      </c>
      <c r="G324" s="8" t="s">
        <v>97</v>
      </c>
      <c r="H324" s="8" t="s">
        <v>108</v>
      </c>
      <c r="I324" s="8" t="s">
        <v>91</v>
      </c>
      <c r="J324" s="9" t="s">
        <v>380</v>
      </c>
      <c r="K324" s="8" t="str">
        <f>VLOOKUP(LEFT(H324,7),'קטלוג תרחישים'!$A:$M,12,FALSE())</f>
        <v>ג'</v>
      </c>
      <c r="L324" s="8" t="str">
        <f>IF(J324="כן",K324,VLOOKUP(LEFT(H324,7),'קטלוג תרחישים'!$A:$M,13,FALSE()))</f>
        <v>ג'</v>
      </c>
      <c r="M324" s="13"/>
      <c r="N324" s="50" t="s">
        <v>366</v>
      </c>
      <c r="O324" s="13" t="str">
        <f t="array" ref="O324">_xlfn.IFS(N324="A","א'", N324="B", "ב'", N324= "C", "ג'")</f>
        <v>ג'</v>
      </c>
      <c r="P324" s="13">
        <f>IF(Table_2[[#This Row],[Correct_Answer]]=Table_2[[#This Row],[System_Recommendation]],1,0)</f>
        <v>1</v>
      </c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 spans="1:26" ht="15.75" hidden="1" customHeight="1">
      <c r="A325" s="8" t="s">
        <v>140</v>
      </c>
      <c r="B325" s="8">
        <v>27</v>
      </c>
      <c r="C325" s="9" t="s">
        <v>381</v>
      </c>
      <c r="D325" s="8">
        <v>2</v>
      </c>
      <c r="E325" s="9" t="s">
        <v>105</v>
      </c>
      <c r="F325" s="8" t="s">
        <v>384</v>
      </c>
      <c r="G325" s="8" t="s">
        <v>97</v>
      </c>
      <c r="H325" s="8" t="s">
        <v>109</v>
      </c>
      <c r="I325" s="8" t="s">
        <v>100</v>
      </c>
      <c r="J325" s="9" t="s">
        <v>383</v>
      </c>
      <c r="K325" s="8" t="str">
        <f>VLOOKUP(LEFT(H325,7),'קטלוג תרחישים'!$A:$M,12,FALSE())</f>
        <v>ב'</v>
      </c>
      <c r="L325" s="8" t="str">
        <f>IF(J325="כן",K325,VLOOKUP(LEFT(H325,7),'קטלוג תרחישים'!$A:$M,13,FALSE()))</f>
        <v>א'</v>
      </c>
      <c r="M325" s="13"/>
      <c r="N325" s="51" t="s">
        <v>365</v>
      </c>
      <c r="O325" s="13" t="str">
        <f t="array" ref="O325">_xlfn.IFS(N325="A","א'", N325="B", "ב'", N325= "C", "ג'")</f>
        <v>ב'</v>
      </c>
      <c r="P325" s="13">
        <f>IF(Table_2[[#This Row],[Correct_Answer]]=Table_2[[#This Row],[System_Recommendation]],1,0)</f>
        <v>0</v>
      </c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 spans="1:26" ht="15.75" hidden="1" customHeight="1">
      <c r="A326" s="8" t="s">
        <v>140</v>
      </c>
      <c r="B326" s="8">
        <v>28</v>
      </c>
      <c r="C326" s="9" t="s">
        <v>381</v>
      </c>
      <c r="D326" s="8">
        <v>2</v>
      </c>
      <c r="E326" s="9" t="s">
        <v>105</v>
      </c>
      <c r="F326" s="8" t="s">
        <v>384</v>
      </c>
      <c r="G326" s="8" t="s">
        <v>97</v>
      </c>
      <c r="H326" s="8" t="s">
        <v>110</v>
      </c>
      <c r="I326" s="8" t="s">
        <v>91</v>
      </c>
      <c r="J326" s="9" t="s">
        <v>380</v>
      </c>
      <c r="K326" s="8" t="str">
        <f>VLOOKUP(LEFT(H326,7),'קטלוג תרחישים'!$A:$M,12,FALSE())</f>
        <v>ג'</v>
      </c>
      <c r="L326" s="8" t="str">
        <f>IF(J326="כן",K326,VLOOKUP(LEFT(H326,7),'קטלוג תרחישים'!$A:$M,13,FALSE()))</f>
        <v>ג'</v>
      </c>
      <c r="M326" s="13"/>
      <c r="N326" s="50" t="s">
        <v>366</v>
      </c>
      <c r="O326" s="13" t="str">
        <f t="array" ref="O326">_xlfn.IFS(N326="A","א'", N326="B", "ב'", N326= "C", "ג'")</f>
        <v>ג'</v>
      </c>
      <c r="P326" s="13">
        <f>IF(Table_2[[#This Row],[Correct_Answer]]=Table_2[[#This Row],[System_Recommendation]],1,0)</f>
        <v>1</v>
      </c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 spans="1:26" ht="15.75" hidden="1" customHeight="1">
      <c r="A327" s="8" t="s">
        <v>140</v>
      </c>
      <c r="B327" s="8">
        <v>29</v>
      </c>
      <c r="C327" s="9" t="s">
        <v>381</v>
      </c>
      <c r="D327" s="8">
        <v>3</v>
      </c>
      <c r="E327" s="9" t="s">
        <v>111</v>
      </c>
      <c r="F327" s="8" t="s">
        <v>384</v>
      </c>
      <c r="G327" s="8" t="s">
        <v>97</v>
      </c>
      <c r="H327" s="8" t="s">
        <v>116</v>
      </c>
      <c r="I327" s="8" t="s">
        <v>91</v>
      </c>
      <c r="J327" s="9" t="s">
        <v>383</v>
      </c>
      <c r="K327" s="8" t="str">
        <f>VLOOKUP(LEFT(H327,7),'קטלוג תרחישים'!$A:$M,12,FALSE())</f>
        <v>ג'</v>
      </c>
      <c r="L327" s="8" t="str">
        <f>IF(J327="כן",K327,VLOOKUP(LEFT(H327,7),'קטלוג תרחישים'!$A:$M,13,FALSE()))</f>
        <v>ב'</v>
      </c>
      <c r="M327" s="13"/>
      <c r="N327" s="51" t="s">
        <v>366</v>
      </c>
      <c r="O327" s="13" t="str">
        <f t="array" ref="O327">_xlfn.IFS(N327="A","א'", N327="B", "ב'", N327= "C", "ג'")</f>
        <v>ג'</v>
      </c>
      <c r="P327" s="13">
        <f>IF(Table_2[[#This Row],[Correct_Answer]]=Table_2[[#This Row],[System_Recommendation]],1,0)</f>
        <v>0</v>
      </c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 spans="1:26" ht="15.75" hidden="1" customHeight="1">
      <c r="A328" s="8" t="s">
        <v>140</v>
      </c>
      <c r="B328" s="8">
        <v>30</v>
      </c>
      <c r="C328" s="9" t="s">
        <v>381</v>
      </c>
      <c r="D328" s="8">
        <v>3</v>
      </c>
      <c r="E328" s="9" t="s">
        <v>111</v>
      </c>
      <c r="F328" s="8" t="s">
        <v>384</v>
      </c>
      <c r="G328" s="8" t="s">
        <v>97</v>
      </c>
      <c r="H328" s="8" t="s">
        <v>115</v>
      </c>
      <c r="I328" s="8" t="s">
        <v>100</v>
      </c>
      <c r="J328" s="9" t="s">
        <v>380</v>
      </c>
      <c r="K328" s="8" t="str">
        <f>VLOOKUP(LEFT(H328,7),'קטלוג תרחישים'!$A:$M,12,FALSE())</f>
        <v>א'</v>
      </c>
      <c r="L328" s="8" t="str">
        <f>IF(J328="כן",K328,VLOOKUP(LEFT(H328,7),'קטלוג תרחישים'!$A:$M,13,FALSE()))</f>
        <v>א'</v>
      </c>
      <c r="M328" s="13"/>
      <c r="N328" s="50" t="s">
        <v>365</v>
      </c>
      <c r="O328" s="13" t="str">
        <f t="array" ref="O328">_xlfn.IFS(N328="A","א'", N328="B", "ב'", N328= "C", "ג'")</f>
        <v>ב'</v>
      </c>
      <c r="P328" s="13">
        <f>IF(Table_2[[#This Row],[Correct_Answer]]=Table_2[[#This Row],[System_Recommendation]],1,0)</f>
        <v>1</v>
      </c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 spans="1:26" ht="15.75" hidden="1" customHeight="1">
      <c r="A329" s="8" t="s">
        <v>140</v>
      </c>
      <c r="B329" s="8">
        <v>31</v>
      </c>
      <c r="C329" s="9" t="s">
        <v>381</v>
      </c>
      <c r="D329" s="8">
        <v>3</v>
      </c>
      <c r="E329" s="9" t="s">
        <v>111</v>
      </c>
      <c r="F329" s="8" t="s">
        <v>384</v>
      </c>
      <c r="G329" s="8" t="s">
        <v>97</v>
      </c>
      <c r="H329" s="8" t="s">
        <v>114</v>
      </c>
      <c r="I329" s="8" t="s">
        <v>91</v>
      </c>
      <c r="J329" s="9" t="s">
        <v>380</v>
      </c>
      <c r="K329" s="8" t="str">
        <f>VLOOKUP(LEFT(H329,7),'קטלוג תרחישים'!$A:$M,12,FALSE())</f>
        <v>ג'</v>
      </c>
      <c r="L329" s="8" t="str">
        <f>IF(J329="כן",K329,VLOOKUP(LEFT(H329,7),'קטלוג תרחישים'!$A:$M,13,FALSE()))</f>
        <v>ג'</v>
      </c>
      <c r="M329" s="13"/>
      <c r="N329" s="51" t="s">
        <v>366</v>
      </c>
      <c r="O329" s="13" t="str">
        <f t="array" ref="O329">_xlfn.IFS(N329="A","א'", N329="B", "ב'", N329= "C", "ג'")</f>
        <v>ג'</v>
      </c>
      <c r="P329" s="13">
        <f>IF(Table_2[[#This Row],[Correct_Answer]]=Table_2[[#This Row],[System_Recommendation]],1,0)</f>
        <v>1</v>
      </c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 spans="1:26" ht="15.75" hidden="1" customHeight="1">
      <c r="A330" s="8" t="s">
        <v>140</v>
      </c>
      <c r="B330" s="8">
        <v>32</v>
      </c>
      <c r="C330" s="9" t="s">
        <v>381</v>
      </c>
      <c r="D330" s="8">
        <v>3</v>
      </c>
      <c r="E330" s="9" t="s">
        <v>111</v>
      </c>
      <c r="F330" s="8" t="s">
        <v>384</v>
      </c>
      <c r="G330" s="8" t="s">
        <v>97</v>
      </c>
      <c r="H330" s="8" t="s">
        <v>113</v>
      </c>
      <c r="I330" s="8" t="s">
        <v>100</v>
      </c>
      <c r="J330" s="9" t="s">
        <v>380</v>
      </c>
      <c r="K330" s="8" t="str">
        <f>VLOOKUP(LEFT(H330,7),'קטלוג תרחישים'!$A:$M,12,FALSE())</f>
        <v>ג'</v>
      </c>
      <c r="L330" s="8" t="str">
        <f>IF(J330="כן",K330,VLOOKUP(LEFT(H330,7),'קטלוג תרחישים'!$A:$M,13,FALSE()))</f>
        <v>ג'</v>
      </c>
      <c r="M330" s="13"/>
      <c r="N330" s="50" t="s">
        <v>360</v>
      </c>
      <c r="O330" s="13" t="str">
        <f t="array" ref="O330">_xlfn.IFS(N330="A","א'", N330="B", "ב'", N330= "C", "ג'")</f>
        <v>א'</v>
      </c>
      <c r="P330" s="13">
        <f>IF(Table_2[[#This Row],[Correct_Answer]]=Table_2[[#This Row],[System_Recommendation]],1,0)</f>
        <v>1</v>
      </c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 spans="1:26" ht="15.75" hidden="1" customHeight="1">
      <c r="A331" s="8" t="s">
        <v>140</v>
      </c>
      <c r="B331" s="8">
        <v>33</v>
      </c>
      <c r="C331" s="9" t="s">
        <v>381</v>
      </c>
      <c r="D331" s="8">
        <v>3</v>
      </c>
      <c r="E331" s="9" t="s">
        <v>111</v>
      </c>
      <c r="F331" s="8" t="s">
        <v>384</v>
      </c>
      <c r="G331" s="8" t="s">
        <v>97</v>
      </c>
      <c r="H331" s="8" t="s">
        <v>112</v>
      </c>
      <c r="I331" s="8" t="s">
        <v>91</v>
      </c>
      <c r="J331" s="9" t="s">
        <v>380</v>
      </c>
      <c r="K331" s="8" t="str">
        <f>VLOOKUP(LEFT(H331,7),'קטלוג תרחישים'!$A:$M,12,FALSE())</f>
        <v>ב'</v>
      </c>
      <c r="L331" s="8" t="str">
        <f>IF(J331="כן",K331,VLOOKUP(LEFT(H331,7),'קטלוג תרחישים'!$A:$M,13,FALSE()))</f>
        <v>ב'</v>
      </c>
      <c r="M331" s="13"/>
      <c r="N331" s="51" t="s">
        <v>360</v>
      </c>
      <c r="O331" s="13" t="str">
        <f t="array" ref="O331">_xlfn.IFS(N331="A","א'", N331="B", "ב'", N331= "C", "ג'")</f>
        <v>א'</v>
      </c>
      <c r="P331" s="13">
        <f>IF(Table_2[[#This Row],[Correct_Answer]]=Table_2[[#This Row],[System_Recommendation]],1,0)</f>
        <v>1</v>
      </c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 spans="1:26" ht="15.75" hidden="1" customHeight="1">
      <c r="A332" s="8" t="s">
        <v>141</v>
      </c>
      <c r="B332" s="8">
        <v>1</v>
      </c>
      <c r="C332" s="9" t="s">
        <v>379</v>
      </c>
      <c r="D332" s="8"/>
      <c r="E332" s="9" t="s">
        <v>98</v>
      </c>
      <c r="F332" s="8"/>
      <c r="G332" s="8"/>
      <c r="H332" s="11" t="s">
        <v>90</v>
      </c>
      <c r="I332" s="8" t="s">
        <v>91</v>
      </c>
      <c r="J332" s="9" t="s">
        <v>380</v>
      </c>
      <c r="K332" s="8" t="str">
        <f>VLOOKUP(LEFT(H332,7),'קטלוג תרחישים'!$A:$M,12,FALSE())</f>
        <v>א'</v>
      </c>
      <c r="L332" s="8" t="str">
        <f>IF(J332="כן",K332,VLOOKUP(LEFT(H332,7),'קטלוג תרחישים'!$A:$M,13,FALSE()))</f>
        <v>א'</v>
      </c>
      <c r="M332" s="13"/>
      <c r="N332" s="50" t="s">
        <v>366</v>
      </c>
      <c r="O332" s="13" t="str">
        <f t="array" ref="O332">_xlfn.IFS(N332="A","א'", N332="B", "ב'", N332= "C", "ג'")</f>
        <v>ג'</v>
      </c>
      <c r="P332" s="13">
        <f>IF(Table_2[[#This Row],[Correct_Answer]]=Table_2[[#This Row],[System_Recommendation]],1,0)</f>
        <v>1</v>
      </c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 spans="1:26" ht="15.75" hidden="1" customHeight="1">
      <c r="A333" s="8" t="s">
        <v>141</v>
      </c>
      <c r="B333" s="8">
        <v>2</v>
      </c>
      <c r="C333" s="9" t="s">
        <v>379</v>
      </c>
      <c r="D333" s="8"/>
      <c r="E333" s="9" t="s">
        <v>98</v>
      </c>
      <c r="F333" s="8"/>
      <c r="G333" s="8"/>
      <c r="H333" s="11" t="s">
        <v>92</v>
      </c>
      <c r="I333" s="8" t="s">
        <v>91</v>
      </c>
      <c r="J333" s="9" t="s">
        <v>380</v>
      </c>
      <c r="K333" s="8" t="str">
        <f>VLOOKUP(LEFT(H333,7),'קטלוג תרחישים'!$A:$M,12,FALSE())</f>
        <v>א'</v>
      </c>
      <c r="L333" s="8" t="str">
        <f>IF(J333="כן",K333,VLOOKUP(LEFT(H333,7),'קטלוג תרחישים'!$A:$M,13,FALSE()))</f>
        <v>א'</v>
      </c>
      <c r="M333" s="13"/>
      <c r="N333" s="51" t="s">
        <v>366</v>
      </c>
      <c r="O333" s="13" t="str">
        <f t="array" ref="O333">_xlfn.IFS(N333="A","א'", N333="B", "ב'", N333= "C", "ג'")</f>
        <v>ג'</v>
      </c>
      <c r="P333" s="13">
        <f>IF(Table_2[[#This Row],[Correct_Answer]]=Table_2[[#This Row],[System_Recommendation]],1,0)</f>
        <v>1</v>
      </c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 spans="1:26" ht="15.75" hidden="1" customHeight="1">
      <c r="A334" s="8" t="s">
        <v>141</v>
      </c>
      <c r="B334" s="8">
        <v>3</v>
      </c>
      <c r="C334" s="9" t="s">
        <v>379</v>
      </c>
      <c r="D334" s="8"/>
      <c r="E334" s="9" t="s">
        <v>105</v>
      </c>
      <c r="F334" s="8"/>
      <c r="G334" s="8"/>
      <c r="H334" s="11" t="s">
        <v>93</v>
      </c>
      <c r="I334" s="8" t="s">
        <v>91</v>
      </c>
      <c r="J334" s="9" t="s">
        <v>380</v>
      </c>
      <c r="K334" s="8" t="str">
        <f>VLOOKUP(LEFT(H334,7),'קטלוג תרחישים'!$A:$M,12,FALSE())</f>
        <v>א'</v>
      </c>
      <c r="L334" s="8" t="str">
        <f>IF(J334="כן",K334,VLOOKUP(LEFT(H334,7),'קטלוג תרחישים'!$A:$M,13,FALSE()))</f>
        <v>א'</v>
      </c>
      <c r="M334" s="13"/>
      <c r="N334" s="50" t="s">
        <v>366</v>
      </c>
      <c r="O334" s="13" t="str">
        <f t="array" ref="O334">_xlfn.IFS(N334="A","א'", N334="B", "ב'", N334= "C", "ג'")</f>
        <v>ג'</v>
      </c>
      <c r="P334" s="13">
        <f>IF(Table_2[[#This Row],[Correct_Answer]]=Table_2[[#This Row],[System_Recommendation]],1,0)</f>
        <v>1</v>
      </c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 spans="1:26" ht="15.75" hidden="1" customHeight="1">
      <c r="A335" s="8" t="s">
        <v>141</v>
      </c>
      <c r="B335" s="8">
        <v>4</v>
      </c>
      <c r="C335" s="9" t="s">
        <v>379</v>
      </c>
      <c r="D335" s="8"/>
      <c r="E335" s="9" t="s">
        <v>105</v>
      </c>
      <c r="F335" s="8"/>
      <c r="G335" s="8"/>
      <c r="H335" s="11" t="s">
        <v>94</v>
      </c>
      <c r="I335" s="8" t="s">
        <v>91</v>
      </c>
      <c r="J335" s="9" t="s">
        <v>380</v>
      </c>
      <c r="K335" s="8" t="str">
        <f>VLOOKUP(LEFT(H335,7),'קטלוג תרחישים'!$A:$M,12,FALSE())</f>
        <v>א'</v>
      </c>
      <c r="L335" s="8" t="str">
        <f>IF(J335="כן",K335,VLOOKUP(LEFT(H335,7),'קטלוג תרחישים'!$A:$M,13,FALSE()))</f>
        <v>א'</v>
      </c>
      <c r="M335" s="13"/>
      <c r="N335" s="51" t="s">
        <v>365</v>
      </c>
      <c r="O335" s="13" t="str">
        <f t="array" ref="O335">_xlfn.IFS(N335="A","א'", N335="B", "ב'", N335= "C", "ג'")</f>
        <v>ב'</v>
      </c>
      <c r="P335" s="13">
        <f>IF(Table_2[[#This Row],[Correct_Answer]]=Table_2[[#This Row],[System_Recommendation]],1,0)</f>
        <v>1</v>
      </c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 spans="1:26" ht="15.75" hidden="1" customHeight="1">
      <c r="A336" s="8" t="s">
        <v>141</v>
      </c>
      <c r="B336" s="8">
        <v>5</v>
      </c>
      <c r="C336" s="9" t="s">
        <v>379</v>
      </c>
      <c r="D336" s="8"/>
      <c r="E336" s="9" t="s">
        <v>111</v>
      </c>
      <c r="F336" s="8"/>
      <c r="G336" s="8"/>
      <c r="H336" s="11" t="s">
        <v>95</v>
      </c>
      <c r="I336" s="8" t="s">
        <v>91</v>
      </c>
      <c r="J336" s="9" t="s">
        <v>380</v>
      </c>
      <c r="K336" s="8" t="str">
        <f>VLOOKUP(LEFT(H336,7),'קטלוג תרחישים'!$A:$M,12,FALSE())</f>
        <v>ב'</v>
      </c>
      <c r="L336" s="8" t="str">
        <f>IF(J336="כן",K336,VLOOKUP(LEFT(H336,7),'קטלוג תרחישים'!$A:$M,13,FALSE()))</f>
        <v>ב'</v>
      </c>
      <c r="M336" s="13"/>
      <c r="N336" s="50" t="s">
        <v>360</v>
      </c>
      <c r="O336" s="13" t="str">
        <f t="array" ref="O336">_xlfn.IFS(N336="A","א'", N336="B", "ב'", N336= "C", "ג'")</f>
        <v>א'</v>
      </c>
      <c r="P336" s="13">
        <f>IF(Table_2[[#This Row],[Correct_Answer]]=Table_2[[#This Row],[System_Recommendation]],1,0)</f>
        <v>1</v>
      </c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 spans="1:26" ht="15.75" customHeight="1">
      <c r="A337" s="8" t="s">
        <v>141</v>
      </c>
      <c r="B337" s="8">
        <v>6</v>
      </c>
      <c r="C337" s="9" t="s">
        <v>379</v>
      </c>
      <c r="D337" s="8"/>
      <c r="E337" s="9" t="s">
        <v>111</v>
      </c>
      <c r="F337" s="8"/>
      <c r="G337" s="8"/>
      <c r="H337" s="11" t="s">
        <v>96</v>
      </c>
      <c r="I337" s="8" t="s">
        <v>91</v>
      </c>
      <c r="J337" s="9" t="s">
        <v>380</v>
      </c>
      <c r="K337" s="8" t="str">
        <f>VLOOKUP(LEFT(H337,7),'קטלוג תרחישים'!$A:$M,12,FALSE())</f>
        <v>ב'</v>
      </c>
      <c r="L337" s="8" t="str">
        <f>IF(J337="כן",K337,VLOOKUP(LEFT(H337,7),'קטלוג תרחישים'!$A:$M,13,FALSE()))</f>
        <v>ב'</v>
      </c>
      <c r="M337" s="13"/>
      <c r="N337" s="51" t="s">
        <v>366</v>
      </c>
      <c r="O337" s="13" t="str">
        <f t="array" ref="O337">_xlfn.IFS(N337="A","א'", N337="B", "ב'", N337= "C", "ג'")</f>
        <v>ג'</v>
      </c>
      <c r="P337" s="13">
        <f>IF(Table_2[[#This Row],[Correct_Answer]]=Table_2[[#This Row],[System_Recommendation]],1,0)</f>
        <v>1</v>
      </c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 spans="1:26" ht="15.75" hidden="1" customHeight="1">
      <c r="A338" s="8" t="s">
        <v>141</v>
      </c>
      <c r="B338" s="8">
        <v>7</v>
      </c>
      <c r="C338" s="9" t="s">
        <v>381</v>
      </c>
      <c r="D338" s="8">
        <v>1</v>
      </c>
      <c r="E338" s="9" t="s">
        <v>105</v>
      </c>
      <c r="F338" s="8" t="s">
        <v>382</v>
      </c>
      <c r="G338" s="8" t="s">
        <v>97</v>
      </c>
      <c r="H338" s="8" t="s">
        <v>142</v>
      </c>
      <c r="I338" s="8" t="s">
        <v>100</v>
      </c>
      <c r="J338" s="9" t="s">
        <v>380</v>
      </c>
      <c r="K338" s="8" t="str">
        <f>VLOOKUP(LEFT(H338,7),'קטלוג תרחישים'!$A:$M,12,FALSE())</f>
        <v>ב'</v>
      </c>
      <c r="L338" s="8" t="str">
        <f>IF(J338="כן",K338,VLOOKUP(LEFT(H338,7),'קטלוג תרחישים'!$A:$M,13,FALSE()))</f>
        <v>ב'</v>
      </c>
      <c r="M338" s="13"/>
      <c r="N338" s="50" t="s">
        <v>366</v>
      </c>
      <c r="O338" s="13" t="str">
        <f t="array" ref="O338">_xlfn.IFS(N338="A","א'", N338="B", "ב'", N338= "C", "ג'")</f>
        <v>ג'</v>
      </c>
      <c r="P338" s="13">
        <f>IF(Table_2[[#This Row],[Correct_Answer]]=Table_2[[#This Row],[System_Recommendation]],1,0)</f>
        <v>1</v>
      </c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 spans="1:26" ht="15.75" hidden="1" customHeight="1">
      <c r="A339" s="8" t="s">
        <v>141</v>
      </c>
      <c r="B339" s="8">
        <v>8</v>
      </c>
      <c r="C339" s="9" t="s">
        <v>381</v>
      </c>
      <c r="D339" s="8">
        <v>1</v>
      </c>
      <c r="E339" s="9" t="s">
        <v>105</v>
      </c>
      <c r="F339" s="8" t="s">
        <v>382</v>
      </c>
      <c r="G339" s="8" t="s">
        <v>97</v>
      </c>
      <c r="H339" s="8" t="s">
        <v>143</v>
      </c>
      <c r="I339" s="8" t="s">
        <v>91</v>
      </c>
      <c r="J339" s="9" t="s">
        <v>380</v>
      </c>
      <c r="K339" s="8" t="str">
        <f>VLOOKUP(LEFT(H339,7),'קטלוג תרחישים'!$A:$M,12,FALSE())</f>
        <v>א'</v>
      </c>
      <c r="L339" s="8" t="str">
        <f>IF(J339="כן",K339,VLOOKUP(LEFT(H339,7),'קטלוג תרחישים'!$A:$M,13,FALSE()))</f>
        <v>א'</v>
      </c>
      <c r="M339" s="13"/>
      <c r="N339" s="51" t="s">
        <v>365</v>
      </c>
      <c r="O339" s="13" t="str">
        <f t="array" ref="O339">_xlfn.IFS(N339="A","א'", N339="B", "ב'", N339= "C", "ג'")</f>
        <v>ב'</v>
      </c>
      <c r="P339" s="13">
        <f>IF(Table_2[[#This Row],[Correct_Answer]]=Table_2[[#This Row],[System_Recommendation]],1,0)</f>
        <v>1</v>
      </c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 spans="1:26" ht="15.75" hidden="1" customHeight="1">
      <c r="A340" s="8" t="s">
        <v>141</v>
      </c>
      <c r="B340" s="8">
        <v>9</v>
      </c>
      <c r="C340" s="9" t="s">
        <v>381</v>
      </c>
      <c r="D340" s="8">
        <v>1</v>
      </c>
      <c r="E340" s="9" t="s">
        <v>105</v>
      </c>
      <c r="F340" s="8" t="s">
        <v>382</v>
      </c>
      <c r="G340" s="8" t="s">
        <v>97</v>
      </c>
      <c r="H340" s="8" t="s">
        <v>144</v>
      </c>
      <c r="I340" s="8" t="s">
        <v>100</v>
      </c>
      <c r="J340" s="9" t="s">
        <v>380</v>
      </c>
      <c r="K340" s="8" t="str">
        <f>VLOOKUP(LEFT(H340,7),'קטלוג תרחישים'!$A:$M,12,FALSE())</f>
        <v>ג'</v>
      </c>
      <c r="L340" s="8" t="str">
        <f>IF(J340="כן",K340,VLOOKUP(LEFT(H340,7),'קטלוג תרחישים'!$A:$M,13,FALSE()))</f>
        <v>ג'</v>
      </c>
      <c r="M340" s="13"/>
      <c r="N340" s="50" t="s">
        <v>365</v>
      </c>
      <c r="O340" s="13" t="str">
        <f t="array" ref="O340">_xlfn.IFS(N340="A","א'", N340="B", "ב'", N340= "C", "ג'")</f>
        <v>ב'</v>
      </c>
      <c r="P340" s="13">
        <f>IF(Table_2[[#This Row],[Correct_Answer]]=Table_2[[#This Row],[System_Recommendation]],1,0)</f>
        <v>1</v>
      </c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 spans="1:26" ht="15.75" hidden="1" customHeight="1">
      <c r="A341" s="8" t="s">
        <v>141</v>
      </c>
      <c r="B341" s="8">
        <v>10</v>
      </c>
      <c r="C341" s="9" t="s">
        <v>381</v>
      </c>
      <c r="D341" s="8">
        <v>1</v>
      </c>
      <c r="E341" s="9" t="s">
        <v>105</v>
      </c>
      <c r="F341" s="8" t="s">
        <v>382</v>
      </c>
      <c r="G341" s="8" t="s">
        <v>97</v>
      </c>
      <c r="H341" s="8" t="s">
        <v>145</v>
      </c>
      <c r="I341" s="8" t="s">
        <v>91</v>
      </c>
      <c r="J341" s="9" t="s">
        <v>383</v>
      </c>
      <c r="K341" s="8" t="str">
        <f>VLOOKUP(LEFT(H341,7),'קטלוג תרחישים'!$A:$M,12,FALSE())</f>
        <v>ב'</v>
      </c>
      <c r="L341" s="8" t="str">
        <f>IF(J341="כן",K341,VLOOKUP(LEFT(H341,7),'קטלוג תרחישים'!$A:$M,13,FALSE()))</f>
        <v>ג'</v>
      </c>
      <c r="M341" s="13"/>
      <c r="N341" s="51" t="s">
        <v>360</v>
      </c>
      <c r="O341" s="13" t="str">
        <f t="array" ref="O341">_xlfn.IFS(N341="A","א'", N341="B", "ב'", N341= "C", "ג'")</f>
        <v>א'</v>
      </c>
      <c r="P341" s="13">
        <f>IF(Table_2[[#This Row],[Correct_Answer]]=Table_2[[#This Row],[System_Recommendation]],1,0)</f>
        <v>0</v>
      </c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 spans="1:26" ht="15.75" hidden="1" customHeight="1">
      <c r="A342" s="8" t="s">
        <v>141</v>
      </c>
      <c r="B342" s="8">
        <v>11</v>
      </c>
      <c r="C342" s="9" t="s">
        <v>381</v>
      </c>
      <c r="D342" s="8">
        <v>1</v>
      </c>
      <c r="E342" s="9" t="s">
        <v>105</v>
      </c>
      <c r="F342" s="8" t="s">
        <v>382</v>
      </c>
      <c r="G342" s="8" t="s">
        <v>97</v>
      </c>
      <c r="H342" s="8" t="s">
        <v>146</v>
      </c>
      <c r="I342" s="8" t="s">
        <v>100</v>
      </c>
      <c r="J342" s="9" t="s">
        <v>380</v>
      </c>
      <c r="K342" s="8" t="str">
        <f>VLOOKUP(LEFT(H342,7),'קטלוג תרחישים'!$A:$M,12,FALSE())</f>
        <v>ג'</v>
      </c>
      <c r="L342" s="8" t="str">
        <f>IF(J342="כן",K342,VLOOKUP(LEFT(H342,7),'קטלוג תרחישים'!$A:$M,13,FALSE()))</f>
        <v>ג'</v>
      </c>
      <c r="M342" s="13"/>
      <c r="N342" s="50" t="s">
        <v>360</v>
      </c>
      <c r="O342" s="13" t="str">
        <f t="array" ref="O342">_xlfn.IFS(N342="A","א'", N342="B", "ב'", N342= "C", "ג'")</f>
        <v>א'</v>
      </c>
      <c r="P342" s="13">
        <f>IF(Table_2[[#This Row],[Correct_Answer]]=Table_2[[#This Row],[System_Recommendation]],1,0)</f>
        <v>1</v>
      </c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 spans="1:26" ht="15.75" hidden="1" customHeight="1">
      <c r="A343" s="8" t="s">
        <v>141</v>
      </c>
      <c r="B343" s="8">
        <v>12</v>
      </c>
      <c r="C343" s="9" t="s">
        <v>381</v>
      </c>
      <c r="D343" s="8">
        <v>2</v>
      </c>
      <c r="E343" s="9" t="s">
        <v>111</v>
      </c>
      <c r="F343" s="8" t="s">
        <v>382</v>
      </c>
      <c r="G343" s="8" t="s">
        <v>97</v>
      </c>
      <c r="H343" s="8" t="s">
        <v>147</v>
      </c>
      <c r="I343" s="8" t="s">
        <v>91</v>
      </c>
      <c r="J343" s="9" t="s">
        <v>380</v>
      </c>
      <c r="K343" s="8" t="str">
        <f>VLOOKUP(LEFT(H343,7),'קטלוג תרחישים'!$A:$M,12,FALSE())</f>
        <v>ג'</v>
      </c>
      <c r="L343" s="8" t="str">
        <f>IF(J343="כן",K343,VLOOKUP(LEFT(H343,7),'קטלוג תרחישים'!$A:$M,13,FALSE()))</f>
        <v>ג'</v>
      </c>
      <c r="M343" s="13"/>
      <c r="N343" s="51" t="s">
        <v>360</v>
      </c>
      <c r="O343" s="13" t="str">
        <f t="array" ref="O343">_xlfn.IFS(N343="A","א'", N343="B", "ב'", N343= "C", "ג'")</f>
        <v>א'</v>
      </c>
      <c r="P343" s="13">
        <f>IF(Table_2[[#This Row],[Correct_Answer]]=Table_2[[#This Row],[System_Recommendation]],1,0)</f>
        <v>1</v>
      </c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 spans="1:26" ht="15.75" hidden="1" customHeight="1">
      <c r="A344" s="8" t="s">
        <v>141</v>
      </c>
      <c r="B344" s="8">
        <v>13</v>
      </c>
      <c r="C344" s="9" t="s">
        <v>381</v>
      </c>
      <c r="D344" s="8">
        <v>2</v>
      </c>
      <c r="E344" s="9" t="s">
        <v>111</v>
      </c>
      <c r="F344" s="8" t="s">
        <v>382</v>
      </c>
      <c r="G344" s="8" t="s">
        <v>97</v>
      </c>
      <c r="H344" s="8" t="s">
        <v>148</v>
      </c>
      <c r="I344" s="8" t="s">
        <v>100</v>
      </c>
      <c r="J344" s="9" t="s">
        <v>380</v>
      </c>
      <c r="K344" s="8" t="str">
        <f>VLOOKUP(LEFT(H344,7),'קטלוג תרחישים'!$A:$M,12,FALSE())</f>
        <v>ב'</v>
      </c>
      <c r="L344" s="8" t="str">
        <f>IF(J344="כן",K344,VLOOKUP(LEFT(H344,7),'קטלוג תרחישים'!$A:$M,13,FALSE()))</f>
        <v>ב'</v>
      </c>
      <c r="M344" s="13"/>
      <c r="N344" s="50" t="s">
        <v>365</v>
      </c>
      <c r="O344" s="13" t="str">
        <f t="array" ref="O344">_xlfn.IFS(N344="A","א'", N344="B", "ב'", N344= "C", "ג'")</f>
        <v>ב'</v>
      </c>
      <c r="P344" s="13">
        <f>IF(Table_2[[#This Row],[Correct_Answer]]=Table_2[[#This Row],[System_Recommendation]],1,0)</f>
        <v>1</v>
      </c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 spans="1:26" ht="15.75" hidden="1" customHeight="1">
      <c r="A345" s="8" t="s">
        <v>141</v>
      </c>
      <c r="B345" s="8">
        <v>14</v>
      </c>
      <c r="C345" s="9" t="s">
        <v>381</v>
      </c>
      <c r="D345" s="8">
        <v>2</v>
      </c>
      <c r="E345" s="9" t="s">
        <v>111</v>
      </c>
      <c r="F345" s="8" t="s">
        <v>382</v>
      </c>
      <c r="G345" s="8" t="s">
        <v>97</v>
      </c>
      <c r="H345" s="8" t="s">
        <v>149</v>
      </c>
      <c r="I345" s="8" t="s">
        <v>91</v>
      </c>
      <c r="J345" s="9" t="s">
        <v>380</v>
      </c>
      <c r="K345" s="8" t="str">
        <f>VLOOKUP(LEFT(H345,7),'קטלוג תרחישים'!$A:$M,12,FALSE())</f>
        <v>ג'</v>
      </c>
      <c r="L345" s="8" t="str">
        <f>IF(J345="כן",K345,VLOOKUP(LEFT(H345,7),'קטלוג תרחישים'!$A:$M,13,FALSE()))</f>
        <v>ג'</v>
      </c>
      <c r="M345" s="13"/>
      <c r="N345" s="51" t="s">
        <v>365</v>
      </c>
      <c r="O345" s="13" t="str">
        <f t="array" ref="O345">_xlfn.IFS(N345="A","א'", N345="B", "ב'", N345= "C", "ג'")</f>
        <v>ב'</v>
      </c>
      <c r="P345" s="13">
        <f>IF(Table_2[[#This Row],[Correct_Answer]]=Table_2[[#This Row],[System_Recommendation]],1,0)</f>
        <v>1</v>
      </c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 spans="1:26" ht="15.75" hidden="1" customHeight="1">
      <c r="A346" s="8" t="s">
        <v>141</v>
      </c>
      <c r="B346" s="8">
        <v>15</v>
      </c>
      <c r="C346" s="9" t="s">
        <v>381</v>
      </c>
      <c r="D346" s="8">
        <v>2</v>
      </c>
      <c r="E346" s="9" t="s">
        <v>111</v>
      </c>
      <c r="F346" s="8" t="s">
        <v>382</v>
      </c>
      <c r="G346" s="8" t="s">
        <v>97</v>
      </c>
      <c r="H346" s="8" t="s">
        <v>150</v>
      </c>
      <c r="I346" s="8" t="s">
        <v>100</v>
      </c>
      <c r="J346" s="9" t="s">
        <v>380</v>
      </c>
      <c r="K346" s="8" t="str">
        <f>VLOOKUP(LEFT(H346,7),'קטלוג תרחישים'!$A:$M,12,FALSE())</f>
        <v>ב'</v>
      </c>
      <c r="L346" s="8" t="str">
        <f>IF(J346="כן",K346,VLOOKUP(LEFT(H346,7),'קטלוג תרחישים'!$A:$M,13,FALSE()))</f>
        <v>ב'</v>
      </c>
      <c r="M346" s="13"/>
      <c r="N346" s="50" t="s">
        <v>366</v>
      </c>
      <c r="O346" s="13" t="str">
        <f t="array" ref="O346">_xlfn.IFS(N346="A","א'", N346="B", "ב'", N346= "C", "ג'")</f>
        <v>ג'</v>
      </c>
      <c r="P346" s="13">
        <f>IF(Table_2[[#This Row],[Correct_Answer]]=Table_2[[#This Row],[System_Recommendation]],1,0)</f>
        <v>1</v>
      </c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 spans="1:26" ht="15.75" hidden="1" customHeight="1">
      <c r="A347" s="8" t="s">
        <v>141</v>
      </c>
      <c r="B347" s="8">
        <v>16</v>
      </c>
      <c r="C347" s="9" t="s">
        <v>381</v>
      </c>
      <c r="D347" s="8">
        <v>2</v>
      </c>
      <c r="E347" s="9" t="s">
        <v>111</v>
      </c>
      <c r="F347" s="8" t="s">
        <v>382</v>
      </c>
      <c r="G347" s="8" t="s">
        <v>97</v>
      </c>
      <c r="H347" s="8" t="s">
        <v>151</v>
      </c>
      <c r="I347" s="8" t="s">
        <v>91</v>
      </c>
      <c r="J347" s="9" t="s">
        <v>383</v>
      </c>
      <c r="K347" s="8" t="str">
        <f>VLOOKUP(LEFT(H347,7),'קטלוג תרחישים'!$A:$M,12,FALSE())</f>
        <v>א'</v>
      </c>
      <c r="L347" s="8" t="str">
        <f>IF(J347="כן",K347,VLOOKUP(LEFT(H347,7),'קטלוג תרחישים'!$A:$M,13,FALSE()))</f>
        <v>ב'</v>
      </c>
      <c r="M347" s="13"/>
      <c r="N347" s="51" t="s">
        <v>365</v>
      </c>
      <c r="O347" s="13" t="str">
        <f t="array" ref="O347">_xlfn.IFS(N347="A","א'", N347="B", "ב'", N347= "C", "ג'")</f>
        <v>ב'</v>
      </c>
      <c r="P347" s="13">
        <f>IF(Table_2[[#This Row],[Correct_Answer]]=Table_2[[#This Row],[System_Recommendation]],1,0)</f>
        <v>0</v>
      </c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 spans="1:26" ht="15.75" hidden="1" customHeight="1">
      <c r="A348" s="8" t="s">
        <v>141</v>
      </c>
      <c r="B348" s="8">
        <v>17</v>
      </c>
      <c r="C348" s="9" t="s">
        <v>381</v>
      </c>
      <c r="D348" s="8">
        <v>3</v>
      </c>
      <c r="E348" s="9" t="s">
        <v>98</v>
      </c>
      <c r="F348" s="8" t="s">
        <v>382</v>
      </c>
      <c r="G348" s="8" t="s">
        <v>97</v>
      </c>
      <c r="H348" s="8" t="s">
        <v>152</v>
      </c>
      <c r="I348" s="8" t="s">
        <v>91</v>
      </c>
      <c r="J348" s="9" t="s">
        <v>380</v>
      </c>
      <c r="K348" s="8" t="str">
        <f>VLOOKUP(LEFT(H348,7),'קטלוג תרחישים'!$A:$M,12,FALSE())</f>
        <v>ג'</v>
      </c>
      <c r="L348" s="8" t="str">
        <f>IF(J348="כן",K348,VLOOKUP(LEFT(H348,7),'קטלוג תרחישים'!$A:$M,13,FALSE()))</f>
        <v>ג'</v>
      </c>
      <c r="M348" s="13"/>
      <c r="N348" s="50" t="s">
        <v>360</v>
      </c>
      <c r="O348" s="13" t="str">
        <f t="array" ref="O348">_xlfn.IFS(N348="A","א'", N348="B", "ב'", N348= "C", "ג'")</f>
        <v>א'</v>
      </c>
      <c r="P348" s="13">
        <f>IF(Table_2[[#This Row],[Correct_Answer]]=Table_2[[#This Row],[System_Recommendation]],1,0)</f>
        <v>1</v>
      </c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 spans="1:26" ht="15.75" hidden="1" customHeight="1">
      <c r="A349" s="8" t="s">
        <v>141</v>
      </c>
      <c r="B349" s="8">
        <v>18</v>
      </c>
      <c r="C349" s="9" t="s">
        <v>381</v>
      </c>
      <c r="D349" s="8">
        <v>3</v>
      </c>
      <c r="E349" s="9" t="s">
        <v>98</v>
      </c>
      <c r="F349" s="8" t="s">
        <v>382</v>
      </c>
      <c r="G349" s="8" t="s">
        <v>97</v>
      </c>
      <c r="H349" s="8" t="s">
        <v>153</v>
      </c>
      <c r="I349" s="8" t="s">
        <v>100</v>
      </c>
      <c r="J349" s="9" t="s">
        <v>380</v>
      </c>
      <c r="K349" s="8" t="str">
        <f>VLOOKUP(LEFT(H349,7),'קטלוג תרחישים'!$A:$M,12,FALSE())</f>
        <v>א'</v>
      </c>
      <c r="L349" s="8" t="str">
        <f>IF(J349="כן",K349,VLOOKUP(LEFT(H349,7),'קטלוג תרחישים'!$A:$M,13,FALSE()))</f>
        <v>א'</v>
      </c>
      <c r="M349" s="13"/>
      <c r="N349" s="51" t="s">
        <v>366</v>
      </c>
      <c r="O349" s="13" t="str">
        <f t="array" ref="O349">_xlfn.IFS(N349="A","א'", N349="B", "ב'", N349= "C", "ג'")</f>
        <v>ג'</v>
      </c>
      <c r="P349" s="13">
        <f>IF(Table_2[[#This Row],[Correct_Answer]]=Table_2[[#This Row],[System_Recommendation]],1,0)</f>
        <v>1</v>
      </c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 spans="1:26" ht="15.75" hidden="1" customHeight="1">
      <c r="A350" s="8" t="s">
        <v>141</v>
      </c>
      <c r="B350" s="8">
        <v>19</v>
      </c>
      <c r="C350" s="9" t="s">
        <v>381</v>
      </c>
      <c r="D350" s="8">
        <v>3</v>
      </c>
      <c r="E350" s="9" t="s">
        <v>98</v>
      </c>
      <c r="F350" s="8" t="s">
        <v>382</v>
      </c>
      <c r="G350" s="8" t="s">
        <v>97</v>
      </c>
      <c r="H350" s="8" t="s">
        <v>154</v>
      </c>
      <c r="I350" s="8" t="s">
        <v>91</v>
      </c>
      <c r="J350" s="9" t="s">
        <v>383</v>
      </c>
      <c r="K350" s="8" t="str">
        <f>VLOOKUP(LEFT(H350,7),'קטלוג תרחישים'!$A:$M,12,FALSE())</f>
        <v>ג'</v>
      </c>
      <c r="L350" s="8" t="str">
        <f>IF(J350="כן",K350,VLOOKUP(LEFT(H350,7),'קטלוג תרחישים'!$A:$M,13,FALSE()))</f>
        <v>ב'</v>
      </c>
      <c r="M350" s="13"/>
      <c r="N350" s="50" t="s">
        <v>365</v>
      </c>
      <c r="O350" s="13" t="str">
        <f t="array" ref="O350">_xlfn.IFS(N350="A","א'", N350="B", "ב'", N350= "C", "ג'")</f>
        <v>ב'</v>
      </c>
      <c r="P350" s="13">
        <f>IF(Table_2[[#This Row],[Correct_Answer]]=Table_2[[#This Row],[System_Recommendation]],1,0)</f>
        <v>0</v>
      </c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 spans="1:26" ht="15.75" hidden="1" customHeight="1">
      <c r="A351" s="8" t="s">
        <v>141</v>
      </c>
      <c r="B351" s="8">
        <v>20</v>
      </c>
      <c r="C351" s="9" t="s">
        <v>381</v>
      </c>
      <c r="D351" s="8">
        <v>3</v>
      </c>
      <c r="E351" s="9" t="s">
        <v>98</v>
      </c>
      <c r="F351" s="8" t="s">
        <v>382</v>
      </c>
      <c r="G351" s="8" t="s">
        <v>97</v>
      </c>
      <c r="H351" s="8" t="s">
        <v>155</v>
      </c>
      <c r="I351" s="8" t="s">
        <v>100</v>
      </c>
      <c r="J351" s="9" t="s">
        <v>380</v>
      </c>
      <c r="K351" s="8" t="str">
        <f>VLOOKUP(LEFT(H351,7),'קטלוג תרחישים'!$A:$M,12,FALSE())</f>
        <v>ג'</v>
      </c>
      <c r="L351" s="8" t="str">
        <f>IF(J351="כן",K351,VLOOKUP(LEFT(H351,7),'קטלוג תרחישים'!$A:$M,13,FALSE()))</f>
        <v>ג'</v>
      </c>
      <c r="M351" s="13"/>
      <c r="N351" s="51" t="s">
        <v>366</v>
      </c>
      <c r="O351" s="13" t="str">
        <f t="array" ref="O351">_xlfn.IFS(N351="A","א'", N351="B", "ב'", N351= "C", "ג'")</f>
        <v>ג'</v>
      </c>
      <c r="P351" s="13">
        <f>IF(Table_2[[#This Row],[Correct_Answer]]=Table_2[[#This Row],[System_Recommendation]],1,0)</f>
        <v>1</v>
      </c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 spans="1:26" ht="15.75" hidden="1" customHeight="1">
      <c r="A352" s="8" t="s">
        <v>141</v>
      </c>
      <c r="B352" s="8">
        <v>21</v>
      </c>
      <c r="C352" s="9" t="s">
        <v>381</v>
      </c>
      <c r="D352" s="8">
        <v>3</v>
      </c>
      <c r="E352" s="9" t="s">
        <v>98</v>
      </c>
      <c r="F352" s="8" t="s">
        <v>382</v>
      </c>
      <c r="G352" s="8" t="s">
        <v>97</v>
      </c>
      <c r="H352" s="8" t="s">
        <v>156</v>
      </c>
      <c r="I352" s="8" t="s">
        <v>91</v>
      </c>
      <c r="J352" s="9" t="s">
        <v>380</v>
      </c>
      <c r="K352" s="8" t="str">
        <f>VLOOKUP(LEFT(H352,7),'קטלוג תרחישים'!$A:$M,12,FALSE())</f>
        <v>ב'</v>
      </c>
      <c r="L352" s="8" t="str">
        <f>IF(J352="כן",K352,VLOOKUP(LEFT(H352,7),'קטלוג תרחישים'!$A:$M,13,FALSE()))</f>
        <v>ב'</v>
      </c>
      <c r="M352" s="13"/>
      <c r="N352" s="50" t="s">
        <v>360</v>
      </c>
      <c r="O352" s="13" t="str">
        <f t="array" ref="O352">_xlfn.IFS(N352="A","א'", N352="B", "ב'", N352= "C", "ג'")</f>
        <v>א'</v>
      </c>
      <c r="P352" s="13">
        <f>IF(Table_2[[#This Row],[Correct_Answer]]=Table_2[[#This Row],[System_Recommendation]],1,0)</f>
        <v>1</v>
      </c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 spans="1:26" ht="15.75" hidden="1" customHeight="1">
      <c r="A353" s="8" t="s">
        <v>141</v>
      </c>
      <c r="B353" s="8">
        <v>22</v>
      </c>
      <c r="C353" s="9" t="s">
        <v>381</v>
      </c>
      <c r="D353" s="8">
        <v>1</v>
      </c>
      <c r="E353" s="9" t="s">
        <v>111</v>
      </c>
      <c r="F353" s="8" t="s">
        <v>384</v>
      </c>
      <c r="G353" s="8" t="s">
        <v>117</v>
      </c>
      <c r="H353" s="8" t="s">
        <v>157</v>
      </c>
      <c r="I353" s="8" t="s">
        <v>91</v>
      </c>
      <c r="J353" s="9" t="s">
        <v>380</v>
      </c>
      <c r="K353" s="8" t="str">
        <f>VLOOKUP(LEFT(H353,7),'קטלוג תרחישים'!$A:$M,12,FALSE())</f>
        <v>ג'</v>
      </c>
      <c r="L353" s="8" t="str">
        <f>IF(J353="כן",K353,VLOOKUP(LEFT(H353,7),'קטלוג תרחישים'!$A:$M,13,FALSE()))</f>
        <v>ג'</v>
      </c>
      <c r="M353" s="13"/>
      <c r="N353" s="51" t="s">
        <v>366</v>
      </c>
      <c r="O353" s="13" t="str">
        <f t="array" ref="O353">_xlfn.IFS(N353="A","א'", N353="B", "ב'", N353= "C", "ג'")</f>
        <v>ג'</v>
      </c>
      <c r="P353" s="13">
        <f>IF(Table_2[[#This Row],[Correct_Answer]]=Table_2[[#This Row],[System_Recommendation]],1,0)</f>
        <v>1</v>
      </c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 spans="1:26" ht="15.75" hidden="1" customHeight="1">
      <c r="A354" s="8" t="s">
        <v>141</v>
      </c>
      <c r="B354" s="8">
        <v>23</v>
      </c>
      <c r="C354" s="9" t="s">
        <v>381</v>
      </c>
      <c r="D354" s="8">
        <v>1</v>
      </c>
      <c r="E354" s="9" t="s">
        <v>111</v>
      </c>
      <c r="F354" s="8" t="s">
        <v>384</v>
      </c>
      <c r="G354" s="8" t="s">
        <v>117</v>
      </c>
      <c r="H354" s="8" t="s">
        <v>158</v>
      </c>
      <c r="I354" s="8" t="s">
        <v>100</v>
      </c>
      <c r="J354" s="9" t="s">
        <v>383</v>
      </c>
      <c r="K354" s="8" t="str">
        <f>VLOOKUP(LEFT(H354,7),'קטלוג תרחישים'!$A:$M,12,FALSE())</f>
        <v>ג'</v>
      </c>
      <c r="L354" s="8" t="str">
        <f>IF(J354="כן",K354,VLOOKUP(LEFT(H354,7),'קטלוג תרחישים'!$A:$M,13,FALSE()))</f>
        <v>ב'</v>
      </c>
      <c r="M354" s="13"/>
      <c r="N354" s="50" t="s">
        <v>366</v>
      </c>
      <c r="O354" s="13" t="str">
        <f t="array" ref="O354">_xlfn.IFS(N354="A","א'", N354="B", "ב'", N354= "C", "ג'")</f>
        <v>ג'</v>
      </c>
      <c r="P354" s="13">
        <f>IF(Table_2[[#This Row],[Correct_Answer]]=Table_2[[#This Row],[System_Recommendation]],1,0)</f>
        <v>0</v>
      </c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 spans="1:26" ht="15.75" hidden="1" customHeight="1">
      <c r="A355" s="8" t="s">
        <v>141</v>
      </c>
      <c r="B355" s="8">
        <v>24</v>
      </c>
      <c r="C355" s="9" t="s">
        <v>381</v>
      </c>
      <c r="D355" s="8">
        <v>1</v>
      </c>
      <c r="E355" s="9" t="s">
        <v>111</v>
      </c>
      <c r="F355" s="8" t="s">
        <v>384</v>
      </c>
      <c r="G355" s="8" t="s">
        <v>117</v>
      </c>
      <c r="H355" s="8" t="s">
        <v>159</v>
      </c>
      <c r="I355" s="8" t="s">
        <v>91</v>
      </c>
      <c r="J355" s="9" t="s">
        <v>383</v>
      </c>
      <c r="K355" s="8" t="str">
        <f>VLOOKUP(LEFT(H355,7),'קטלוג תרחישים'!$A:$M,12,FALSE())</f>
        <v>ג'</v>
      </c>
      <c r="L355" s="8" t="str">
        <f>IF(J355="כן",K355,VLOOKUP(LEFT(H355,7),'קטלוג תרחישים'!$A:$M,13,FALSE()))</f>
        <v>ב'</v>
      </c>
      <c r="M355" s="13"/>
      <c r="N355" s="51" t="s">
        <v>365</v>
      </c>
      <c r="O355" s="13" t="str">
        <f t="array" ref="O355">_xlfn.IFS(N355="A","א'", N355="B", "ב'", N355= "C", "ג'")</f>
        <v>ב'</v>
      </c>
      <c r="P355" s="13">
        <f>IF(Table_2[[#This Row],[Correct_Answer]]=Table_2[[#This Row],[System_Recommendation]],1,0)</f>
        <v>0</v>
      </c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 spans="1:26" ht="15.75" hidden="1" customHeight="1">
      <c r="A356" s="8" t="s">
        <v>141</v>
      </c>
      <c r="B356" s="8">
        <v>25</v>
      </c>
      <c r="C356" s="9" t="s">
        <v>381</v>
      </c>
      <c r="D356" s="8">
        <v>1</v>
      </c>
      <c r="E356" s="9" t="s">
        <v>111</v>
      </c>
      <c r="F356" s="8" t="s">
        <v>384</v>
      </c>
      <c r="G356" s="8" t="s">
        <v>117</v>
      </c>
      <c r="H356" s="8" t="s">
        <v>160</v>
      </c>
      <c r="I356" s="8" t="s">
        <v>100</v>
      </c>
      <c r="J356" s="9" t="s">
        <v>380</v>
      </c>
      <c r="K356" s="8" t="str">
        <f>VLOOKUP(LEFT(H356,7),'קטלוג תרחישים'!$A:$M,12,FALSE())</f>
        <v>א'</v>
      </c>
      <c r="L356" s="8" t="str">
        <f>IF(J356="כן",K356,VLOOKUP(LEFT(H356,7),'קטלוג תרחישים'!$A:$M,13,FALSE()))</f>
        <v>א'</v>
      </c>
      <c r="M356" s="13"/>
      <c r="N356" s="50" t="s">
        <v>360</v>
      </c>
      <c r="O356" s="13" t="str">
        <f t="array" ref="O356">_xlfn.IFS(N356="A","א'", N356="B", "ב'", N356= "C", "ג'")</f>
        <v>א'</v>
      </c>
      <c r="P356" s="13">
        <f>IF(Table_2[[#This Row],[Correct_Answer]]=Table_2[[#This Row],[System_Recommendation]],1,0)</f>
        <v>1</v>
      </c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 spans="1:26" ht="15.75" hidden="1" customHeight="1">
      <c r="A357" s="8" t="s">
        <v>141</v>
      </c>
      <c r="B357" s="8">
        <v>26</v>
      </c>
      <c r="C357" s="9" t="s">
        <v>381</v>
      </c>
      <c r="D357" s="8">
        <v>2</v>
      </c>
      <c r="E357" s="9" t="s">
        <v>98</v>
      </c>
      <c r="F357" s="8" t="s">
        <v>384</v>
      </c>
      <c r="G357" s="8" t="s">
        <v>117</v>
      </c>
      <c r="H357" s="8" t="s">
        <v>161</v>
      </c>
      <c r="I357" s="8" t="s">
        <v>91</v>
      </c>
      <c r="J357" s="9" t="s">
        <v>383</v>
      </c>
      <c r="K357" s="8" t="str">
        <f>VLOOKUP(LEFT(H357,7),'קטלוג תרחישים'!$A:$M,12,FALSE())</f>
        <v>ב'</v>
      </c>
      <c r="L357" s="8" t="str">
        <f>IF(J357="כן",K357,VLOOKUP(LEFT(H357,7),'קטלוג תרחישים'!$A:$M,13,FALSE()))</f>
        <v>א'</v>
      </c>
      <c r="M357" s="13"/>
      <c r="N357" s="51" t="s">
        <v>366</v>
      </c>
      <c r="O357" s="13" t="str">
        <f t="array" ref="O357">_xlfn.IFS(N357="A","א'", N357="B", "ב'", N357= "C", "ג'")</f>
        <v>ג'</v>
      </c>
      <c r="P357" s="13">
        <f>IF(Table_2[[#This Row],[Correct_Answer]]=Table_2[[#This Row],[System_Recommendation]],1,0)</f>
        <v>0</v>
      </c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 spans="1:26" ht="15.75" hidden="1" customHeight="1">
      <c r="A358" s="8" t="s">
        <v>141</v>
      </c>
      <c r="B358" s="8">
        <v>27</v>
      </c>
      <c r="C358" s="9" t="s">
        <v>381</v>
      </c>
      <c r="D358" s="8">
        <v>2</v>
      </c>
      <c r="E358" s="9" t="s">
        <v>98</v>
      </c>
      <c r="F358" s="8" t="s">
        <v>384</v>
      </c>
      <c r="G358" s="8" t="s">
        <v>117</v>
      </c>
      <c r="H358" s="8" t="s">
        <v>162</v>
      </c>
      <c r="I358" s="8" t="s">
        <v>100</v>
      </c>
      <c r="J358" s="9" t="s">
        <v>380</v>
      </c>
      <c r="K358" s="8" t="str">
        <f>VLOOKUP(LEFT(H358,7),'קטלוג תרחישים'!$A:$M,12,FALSE())</f>
        <v>ג'</v>
      </c>
      <c r="L358" s="8" t="str">
        <f>IF(J358="כן",K358,VLOOKUP(LEFT(H358,7),'קטלוג תרחישים'!$A:$M,13,FALSE()))</f>
        <v>ג'</v>
      </c>
      <c r="M358" s="13"/>
      <c r="N358" s="50" t="s">
        <v>365</v>
      </c>
      <c r="O358" s="13" t="str">
        <f t="array" ref="O358">_xlfn.IFS(N358="A","א'", N358="B", "ב'", N358= "C", "ג'")</f>
        <v>ב'</v>
      </c>
      <c r="P358" s="13">
        <f>IF(Table_2[[#This Row],[Correct_Answer]]=Table_2[[#This Row],[System_Recommendation]],1,0)</f>
        <v>1</v>
      </c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 spans="1:26" ht="15.75" hidden="1" customHeight="1">
      <c r="A359" s="8" t="s">
        <v>141</v>
      </c>
      <c r="B359" s="8">
        <v>28</v>
      </c>
      <c r="C359" s="9" t="s">
        <v>381</v>
      </c>
      <c r="D359" s="8">
        <v>2</v>
      </c>
      <c r="E359" s="9" t="s">
        <v>98</v>
      </c>
      <c r="F359" s="8" t="s">
        <v>384</v>
      </c>
      <c r="G359" s="8" t="s">
        <v>117</v>
      </c>
      <c r="H359" s="8" t="s">
        <v>163</v>
      </c>
      <c r="I359" s="8" t="s">
        <v>91</v>
      </c>
      <c r="J359" s="9" t="s">
        <v>380</v>
      </c>
      <c r="K359" s="8" t="str">
        <f>VLOOKUP(LEFT(H359,7),'קטלוג תרחישים'!$A:$M,12,FALSE())</f>
        <v>ג'</v>
      </c>
      <c r="L359" s="8" t="str">
        <f>IF(J359="כן",K359,VLOOKUP(LEFT(H359,7),'קטלוג תרחישים'!$A:$M,13,FALSE()))</f>
        <v>ג'</v>
      </c>
      <c r="M359" s="13"/>
      <c r="N359" s="51" t="s">
        <v>366</v>
      </c>
      <c r="O359" s="13" t="str">
        <f t="array" ref="O359">_xlfn.IFS(N359="A","א'", N359="B", "ב'", N359= "C", "ג'")</f>
        <v>ג'</v>
      </c>
      <c r="P359" s="13">
        <f>IF(Table_2[[#This Row],[Correct_Answer]]=Table_2[[#This Row],[System_Recommendation]],1,0)</f>
        <v>1</v>
      </c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 spans="1:26" ht="15.75" hidden="1" customHeight="1">
      <c r="A360" s="8" t="s">
        <v>141</v>
      </c>
      <c r="B360" s="8">
        <v>29</v>
      </c>
      <c r="C360" s="9" t="s">
        <v>381</v>
      </c>
      <c r="D360" s="8">
        <v>2</v>
      </c>
      <c r="E360" s="9" t="s">
        <v>98</v>
      </c>
      <c r="F360" s="8" t="s">
        <v>384</v>
      </c>
      <c r="G360" s="8" t="s">
        <v>117</v>
      </c>
      <c r="H360" s="8" t="s">
        <v>164</v>
      </c>
      <c r="I360" s="8" t="s">
        <v>100</v>
      </c>
      <c r="J360" s="9" t="s">
        <v>383</v>
      </c>
      <c r="K360" s="8" t="str">
        <f>VLOOKUP(LEFT(H360,7),'קטלוג תרחישים'!$A:$M,12,FALSE())</f>
        <v>ב'</v>
      </c>
      <c r="L360" s="8" t="str">
        <f>IF(J360="כן",K360,VLOOKUP(LEFT(H360,7),'קטלוג תרחישים'!$A:$M,13,FALSE()))</f>
        <v>א'</v>
      </c>
      <c r="M360" s="13"/>
      <c r="N360" s="50" t="s">
        <v>366</v>
      </c>
      <c r="O360" s="13" t="str">
        <f t="array" ref="O360">_xlfn.IFS(N360="A","א'", N360="B", "ב'", N360= "C", "ג'")</f>
        <v>ג'</v>
      </c>
      <c r="P360" s="13">
        <f>IF(Table_2[[#This Row],[Correct_Answer]]=Table_2[[#This Row],[System_Recommendation]],1,0)</f>
        <v>0</v>
      </c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 spans="1:26" ht="15.75" hidden="1" customHeight="1">
      <c r="A361" s="8" t="s">
        <v>141</v>
      </c>
      <c r="B361" s="8">
        <v>30</v>
      </c>
      <c r="C361" s="9" t="s">
        <v>381</v>
      </c>
      <c r="D361" s="8">
        <v>3</v>
      </c>
      <c r="E361" s="9" t="s">
        <v>105</v>
      </c>
      <c r="F361" s="8" t="s">
        <v>384</v>
      </c>
      <c r="G361" s="8" t="s">
        <v>117</v>
      </c>
      <c r="H361" s="8" t="s">
        <v>165</v>
      </c>
      <c r="I361" s="8" t="s">
        <v>91</v>
      </c>
      <c r="J361" s="9" t="s">
        <v>380</v>
      </c>
      <c r="K361" s="8" t="str">
        <f>VLOOKUP(LEFT(H361,7),'קטלוג תרחישים'!$A:$M,12,FALSE())</f>
        <v>ג'</v>
      </c>
      <c r="L361" s="8" t="str">
        <f>IF(J361="כן",K361,VLOOKUP(LEFT(H361,7),'קטלוג תרחישים'!$A:$M,13,FALSE()))</f>
        <v>ג'</v>
      </c>
      <c r="M361" s="13"/>
      <c r="N361" s="51" t="s">
        <v>365</v>
      </c>
      <c r="O361" s="13" t="str">
        <f t="array" ref="O361">_xlfn.IFS(N361="A","א'", N361="B", "ב'", N361= "C", "ג'")</f>
        <v>ב'</v>
      </c>
      <c r="P361" s="13">
        <f>IF(Table_2[[#This Row],[Correct_Answer]]=Table_2[[#This Row],[System_Recommendation]],1,0)</f>
        <v>1</v>
      </c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 spans="1:26" ht="15.75" hidden="1" customHeight="1">
      <c r="A362" s="8" t="s">
        <v>141</v>
      </c>
      <c r="B362" s="8">
        <v>31</v>
      </c>
      <c r="C362" s="9" t="s">
        <v>381</v>
      </c>
      <c r="D362" s="8">
        <v>3</v>
      </c>
      <c r="E362" s="9" t="s">
        <v>105</v>
      </c>
      <c r="F362" s="8" t="s">
        <v>384</v>
      </c>
      <c r="G362" s="8" t="s">
        <v>117</v>
      </c>
      <c r="H362" s="8" t="s">
        <v>166</v>
      </c>
      <c r="I362" s="8" t="s">
        <v>100</v>
      </c>
      <c r="J362" s="9" t="s">
        <v>380</v>
      </c>
      <c r="K362" s="8" t="str">
        <f>VLOOKUP(LEFT(H362,7),'קטלוג תרחישים'!$A:$M,12,FALSE())</f>
        <v>א'</v>
      </c>
      <c r="L362" s="8" t="str">
        <f>IF(J362="כן",K362,VLOOKUP(LEFT(H362,7),'קטלוג תרחישים'!$A:$M,13,FALSE()))</f>
        <v>א'</v>
      </c>
      <c r="M362" s="13"/>
      <c r="N362" s="50" t="s">
        <v>366</v>
      </c>
      <c r="O362" s="13" t="str">
        <f t="array" ref="O362">_xlfn.IFS(N362="A","א'", N362="B", "ב'", N362= "C", "ג'")</f>
        <v>ג'</v>
      </c>
      <c r="P362" s="13">
        <f>IF(Table_2[[#This Row],[Correct_Answer]]=Table_2[[#This Row],[System_Recommendation]],1,0)</f>
        <v>1</v>
      </c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 spans="1:26" ht="15.75" hidden="1" customHeight="1">
      <c r="A363" s="8" t="s">
        <v>141</v>
      </c>
      <c r="B363" s="8">
        <v>32</v>
      </c>
      <c r="C363" s="9" t="s">
        <v>381</v>
      </c>
      <c r="D363" s="8">
        <v>3</v>
      </c>
      <c r="E363" s="9" t="s">
        <v>105</v>
      </c>
      <c r="F363" s="8" t="s">
        <v>384</v>
      </c>
      <c r="G363" s="8" t="s">
        <v>117</v>
      </c>
      <c r="H363" s="8" t="s">
        <v>167</v>
      </c>
      <c r="I363" s="8" t="s">
        <v>91</v>
      </c>
      <c r="J363" s="9" t="s">
        <v>383</v>
      </c>
      <c r="K363" s="8" t="str">
        <f>VLOOKUP(LEFT(H363,7),'קטלוג תרחישים'!$A:$M,12,FALSE())</f>
        <v>ב'</v>
      </c>
      <c r="L363" s="8" t="str">
        <f>IF(J363="כן",K363,VLOOKUP(LEFT(H363,7),'קטלוג תרחישים'!$A:$M,13,FALSE()))</f>
        <v>ג'</v>
      </c>
      <c r="M363" s="13"/>
      <c r="N363" s="51" t="s">
        <v>360</v>
      </c>
      <c r="O363" s="13" t="str">
        <f t="array" ref="O363">_xlfn.IFS(N363="A","א'", N363="B", "ב'", N363= "C", "ג'")</f>
        <v>א'</v>
      </c>
      <c r="P363" s="13">
        <f>IF(Table_2[[#This Row],[Correct_Answer]]=Table_2[[#This Row],[System_Recommendation]],1,0)</f>
        <v>0</v>
      </c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 spans="1:26" ht="15.75" hidden="1" customHeight="1">
      <c r="A364" s="8" t="s">
        <v>141</v>
      </c>
      <c r="B364" s="8">
        <v>33</v>
      </c>
      <c r="C364" s="9" t="s">
        <v>381</v>
      </c>
      <c r="D364" s="8">
        <v>3</v>
      </c>
      <c r="E364" s="9" t="s">
        <v>105</v>
      </c>
      <c r="F364" s="8" t="s">
        <v>384</v>
      </c>
      <c r="G364" s="8" t="s">
        <v>117</v>
      </c>
      <c r="H364" s="8" t="s">
        <v>168</v>
      </c>
      <c r="I364" s="8" t="s">
        <v>100</v>
      </c>
      <c r="J364" s="9" t="s">
        <v>383</v>
      </c>
      <c r="K364" s="8" t="str">
        <f>VLOOKUP(LEFT(H364,7),'קטלוג תרחישים'!$A:$M,12,FALSE())</f>
        <v>א'</v>
      </c>
      <c r="L364" s="8" t="str">
        <f>IF(J364="כן",K364,VLOOKUP(LEFT(H364,7),'קטלוג תרחישים'!$A:$M,13,FALSE()))</f>
        <v>ב'</v>
      </c>
      <c r="M364" s="13"/>
      <c r="N364" s="50" t="s">
        <v>360</v>
      </c>
      <c r="O364" s="13" t="str">
        <f t="array" ref="O364">_xlfn.IFS(N364="A","א'", N364="B", "ב'", N364= "C", "ג'")</f>
        <v>א'</v>
      </c>
      <c r="P364" s="13">
        <f>IF(Table_2[[#This Row],[Correct_Answer]]=Table_2[[#This Row],[System_Recommendation]],1,0)</f>
        <v>0</v>
      </c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 spans="1:26" ht="15.75" hidden="1" customHeight="1">
      <c r="A365" s="8" t="s">
        <v>169</v>
      </c>
      <c r="B365" s="8">
        <v>1</v>
      </c>
      <c r="C365" s="9" t="s">
        <v>379</v>
      </c>
      <c r="D365" s="8"/>
      <c r="E365" s="9" t="s">
        <v>98</v>
      </c>
      <c r="F365" s="8"/>
      <c r="G365" s="8"/>
      <c r="H365" s="11" t="s">
        <v>90</v>
      </c>
      <c r="I365" s="8" t="s">
        <v>91</v>
      </c>
      <c r="J365" s="9" t="s">
        <v>380</v>
      </c>
      <c r="K365" s="8" t="str">
        <f>VLOOKUP(LEFT(H365,7),'קטלוג תרחישים'!$A:$M,12,FALSE())</f>
        <v>א'</v>
      </c>
      <c r="L365" s="8" t="str">
        <f>IF(J365="כן",K365,VLOOKUP(LEFT(H365,7),'קטלוג תרחישים'!$A:$M,13,FALSE()))</f>
        <v>א'</v>
      </c>
      <c r="M365" s="13"/>
      <c r="N365" s="51" t="s">
        <v>366</v>
      </c>
      <c r="O365" s="13" t="str">
        <f t="array" ref="O365">_xlfn.IFS(N365="A","א'", N365="B", "ב'", N365= "C", "ג'")</f>
        <v>ג'</v>
      </c>
      <c r="P365" s="13">
        <f>IF(Table_2[[#This Row],[Correct_Answer]]=Table_2[[#This Row],[System_Recommendation]],1,0)</f>
        <v>1</v>
      </c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 spans="1:26" ht="15.75" hidden="1" customHeight="1">
      <c r="A366" s="8" t="s">
        <v>169</v>
      </c>
      <c r="B366" s="8">
        <v>2</v>
      </c>
      <c r="C366" s="9" t="s">
        <v>379</v>
      </c>
      <c r="D366" s="8"/>
      <c r="E366" s="9" t="s">
        <v>98</v>
      </c>
      <c r="F366" s="8"/>
      <c r="G366" s="8"/>
      <c r="H366" s="11" t="s">
        <v>92</v>
      </c>
      <c r="I366" s="8" t="s">
        <v>91</v>
      </c>
      <c r="J366" s="9" t="s">
        <v>380</v>
      </c>
      <c r="K366" s="8" t="str">
        <f>VLOOKUP(LEFT(H366,7),'קטלוג תרחישים'!$A:$M,12,FALSE())</f>
        <v>א'</v>
      </c>
      <c r="L366" s="8" t="str">
        <f>IF(J366="כן",K366,VLOOKUP(LEFT(H366,7),'קטלוג תרחישים'!$A:$M,13,FALSE()))</f>
        <v>א'</v>
      </c>
      <c r="M366" s="13"/>
      <c r="N366" s="50" t="s">
        <v>366</v>
      </c>
      <c r="O366" s="13" t="str">
        <f t="array" ref="O366">_xlfn.IFS(N366="A","א'", N366="B", "ב'", N366= "C", "ג'")</f>
        <v>ג'</v>
      </c>
      <c r="P366" s="13">
        <f>IF(Table_2[[#This Row],[Correct_Answer]]=Table_2[[#This Row],[System_Recommendation]],1,0)</f>
        <v>1</v>
      </c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 spans="1:26" ht="15.75" hidden="1" customHeight="1">
      <c r="A367" s="8" t="s">
        <v>169</v>
      </c>
      <c r="B367" s="8">
        <v>3</v>
      </c>
      <c r="C367" s="9" t="s">
        <v>379</v>
      </c>
      <c r="D367" s="8"/>
      <c r="E367" s="9" t="s">
        <v>105</v>
      </c>
      <c r="F367" s="8"/>
      <c r="G367" s="8"/>
      <c r="H367" s="11" t="s">
        <v>93</v>
      </c>
      <c r="I367" s="8" t="s">
        <v>91</v>
      </c>
      <c r="J367" s="9" t="s">
        <v>380</v>
      </c>
      <c r="K367" s="8" t="str">
        <f>VLOOKUP(LEFT(H367,7),'קטלוג תרחישים'!$A:$M,12,FALSE())</f>
        <v>א'</v>
      </c>
      <c r="L367" s="8" t="str">
        <f>IF(J367="כן",K367,VLOOKUP(LEFT(H367,7),'קטלוג תרחישים'!$A:$M,13,FALSE()))</f>
        <v>א'</v>
      </c>
      <c r="M367" s="13"/>
      <c r="N367" s="51" t="s">
        <v>366</v>
      </c>
      <c r="O367" s="13" t="str">
        <f t="array" ref="O367">_xlfn.IFS(N367="A","א'", N367="B", "ב'", N367= "C", "ג'")</f>
        <v>ג'</v>
      </c>
      <c r="P367" s="13">
        <f>IF(Table_2[[#This Row],[Correct_Answer]]=Table_2[[#This Row],[System_Recommendation]],1,0)</f>
        <v>1</v>
      </c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 spans="1:26" ht="15.75" hidden="1" customHeight="1">
      <c r="A368" s="8" t="s">
        <v>169</v>
      </c>
      <c r="B368" s="8">
        <v>4</v>
      </c>
      <c r="C368" s="9" t="s">
        <v>379</v>
      </c>
      <c r="D368" s="8"/>
      <c r="E368" s="9" t="s">
        <v>105</v>
      </c>
      <c r="F368" s="8"/>
      <c r="G368" s="8"/>
      <c r="H368" s="11" t="s">
        <v>94</v>
      </c>
      <c r="I368" s="8" t="s">
        <v>91</v>
      </c>
      <c r="J368" s="9" t="s">
        <v>380</v>
      </c>
      <c r="K368" s="8" t="str">
        <f>VLOOKUP(LEFT(H368,7),'קטלוג תרחישים'!$A:$M,12,FALSE())</f>
        <v>א'</v>
      </c>
      <c r="L368" s="8" t="str">
        <f>IF(J368="כן",K368,VLOOKUP(LEFT(H368,7),'קטלוג תרחישים'!$A:$M,13,FALSE()))</f>
        <v>א'</v>
      </c>
      <c r="M368" s="13"/>
      <c r="N368" s="50" t="s">
        <v>365</v>
      </c>
      <c r="O368" s="13" t="str">
        <f t="array" ref="O368">_xlfn.IFS(N368="A","א'", N368="B", "ב'", N368= "C", "ג'")</f>
        <v>ב'</v>
      </c>
      <c r="P368" s="13">
        <f>IF(Table_2[[#This Row],[Correct_Answer]]=Table_2[[#This Row],[System_Recommendation]],1,0)</f>
        <v>1</v>
      </c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 spans="1:26" ht="15.75" hidden="1" customHeight="1">
      <c r="A369" s="8" t="s">
        <v>169</v>
      </c>
      <c r="B369" s="8">
        <v>5</v>
      </c>
      <c r="C369" s="9" t="s">
        <v>379</v>
      </c>
      <c r="D369" s="8"/>
      <c r="E369" s="9" t="s">
        <v>111</v>
      </c>
      <c r="F369" s="8"/>
      <c r="G369" s="8"/>
      <c r="H369" s="11" t="s">
        <v>95</v>
      </c>
      <c r="I369" s="8" t="s">
        <v>91</v>
      </c>
      <c r="J369" s="9" t="s">
        <v>380</v>
      </c>
      <c r="K369" s="8" t="str">
        <f>VLOOKUP(LEFT(H369,7),'קטלוג תרחישים'!$A:$M,12,FALSE())</f>
        <v>ב'</v>
      </c>
      <c r="L369" s="8" t="str">
        <f>IF(J369="כן",K369,VLOOKUP(LEFT(H369,7),'קטלוג תרחישים'!$A:$M,13,FALSE()))</f>
        <v>ב'</v>
      </c>
      <c r="M369" s="13"/>
      <c r="N369" s="51" t="s">
        <v>360</v>
      </c>
      <c r="O369" s="13" t="str">
        <f t="array" ref="O369">_xlfn.IFS(N369="A","א'", N369="B", "ב'", N369= "C", "ג'")</f>
        <v>א'</v>
      </c>
      <c r="P369" s="13">
        <f>IF(Table_2[[#This Row],[Correct_Answer]]=Table_2[[#This Row],[System_Recommendation]],1,0)</f>
        <v>1</v>
      </c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 spans="1:26" ht="15.75" customHeight="1">
      <c r="A370" s="8" t="s">
        <v>169</v>
      </c>
      <c r="B370" s="8">
        <v>6</v>
      </c>
      <c r="C370" s="9" t="s">
        <v>379</v>
      </c>
      <c r="D370" s="8"/>
      <c r="E370" s="9" t="s">
        <v>111</v>
      </c>
      <c r="F370" s="8"/>
      <c r="G370" s="8"/>
      <c r="H370" s="11" t="s">
        <v>96</v>
      </c>
      <c r="I370" s="8" t="s">
        <v>91</v>
      </c>
      <c r="J370" s="9" t="s">
        <v>380</v>
      </c>
      <c r="K370" s="8" t="str">
        <f>VLOOKUP(LEFT(H370,7),'קטלוג תרחישים'!$A:$M,12,FALSE())</f>
        <v>ב'</v>
      </c>
      <c r="L370" s="8" t="str">
        <f>IF(J370="כן",K370,VLOOKUP(LEFT(H370,7),'קטלוג תרחישים'!$A:$M,13,FALSE()))</f>
        <v>ב'</v>
      </c>
      <c r="M370" s="13"/>
      <c r="N370" s="50" t="s">
        <v>366</v>
      </c>
      <c r="O370" s="13" t="str">
        <f t="array" ref="O370">_xlfn.IFS(N370="A","א'", N370="B", "ב'", N370= "C", "ג'")</f>
        <v>ג'</v>
      </c>
      <c r="P370" s="13">
        <f>IF(Table_2[[#This Row],[Correct_Answer]]=Table_2[[#This Row],[System_Recommendation]],1,0)</f>
        <v>1</v>
      </c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 spans="1:26" ht="15.75" hidden="1" customHeight="1">
      <c r="A371" s="8" t="s">
        <v>169</v>
      </c>
      <c r="B371" s="8">
        <v>7</v>
      </c>
      <c r="C371" s="9" t="s">
        <v>381</v>
      </c>
      <c r="D371" s="8">
        <v>1</v>
      </c>
      <c r="E371" s="9" t="s">
        <v>98</v>
      </c>
      <c r="F371" s="8" t="s">
        <v>382</v>
      </c>
      <c r="G371" s="8" t="s">
        <v>117</v>
      </c>
      <c r="H371" s="8" t="s">
        <v>163</v>
      </c>
      <c r="I371" s="8" t="s">
        <v>91</v>
      </c>
      <c r="J371" s="9" t="s">
        <v>383</v>
      </c>
      <c r="K371" s="8" t="str">
        <f>VLOOKUP(LEFT(H371,7),'קטלוג תרחישים'!$A:$M,12,FALSE())</f>
        <v>ג'</v>
      </c>
      <c r="L371" s="8" t="str">
        <f>IF(J371="כן",K371,VLOOKUP(LEFT(H371,7),'קטלוג תרחישים'!$A:$M,13,FALSE()))</f>
        <v>א'</v>
      </c>
      <c r="M371" s="13"/>
      <c r="N371" s="51" t="s">
        <v>366</v>
      </c>
      <c r="O371" s="13" t="str">
        <f t="array" ref="O371">_xlfn.IFS(N371="A","א'", N371="B", "ב'", N371= "C", "ג'")</f>
        <v>ג'</v>
      </c>
      <c r="P371" s="13">
        <f>IF(Table_2[[#This Row],[Correct_Answer]]=Table_2[[#This Row],[System_Recommendation]],1,0)</f>
        <v>0</v>
      </c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 spans="1:26" ht="15.75" hidden="1" customHeight="1">
      <c r="A372" s="8" t="s">
        <v>169</v>
      </c>
      <c r="B372" s="8">
        <v>8</v>
      </c>
      <c r="C372" s="9" t="s">
        <v>381</v>
      </c>
      <c r="D372" s="8">
        <v>1</v>
      </c>
      <c r="E372" s="9" t="s">
        <v>98</v>
      </c>
      <c r="F372" s="8" t="s">
        <v>382</v>
      </c>
      <c r="G372" s="8" t="s">
        <v>117</v>
      </c>
      <c r="H372" s="8" t="s">
        <v>162</v>
      </c>
      <c r="I372" s="8" t="s">
        <v>100</v>
      </c>
      <c r="J372" s="9" t="s">
        <v>380</v>
      </c>
      <c r="K372" s="8" t="str">
        <f>VLOOKUP(LEFT(H372,7),'קטלוג תרחישים'!$A:$M,12,FALSE())</f>
        <v>ג'</v>
      </c>
      <c r="L372" s="8" t="str">
        <f>IF(J372="כן",K372,VLOOKUP(LEFT(H372,7),'קטלוג תרחישים'!$A:$M,13,FALSE()))</f>
        <v>ג'</v>
      </c>
      <c r="M372" s="13"/>
      <c r="N372" s="50" t="s">
        <v>365</v>
      </c>
      <c r="O372" s="13" t="str">
        <f t="array" ref="O372">_xlfn.IFS(N372="A","א'", N372="B", "ב'", N372= "C", "ג'")</f>
        <v>ב'</v>
      </c>
      <c r="P372" s="13">
        <f>IF(Table_2[[#This Row],[Correct_Answer]]=Table_2[[#This Row],[System_Recommendation]],1,0)</f>
        <v>1</v>
      </c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 spans="1:26" ht="15.75" hidden="1" customHeight="1">
      <c r="A373" s="8" t="s">
        <v>169</v>
      </c>
      <c r="B373" s="8">
        <v>9</v>
      </c>
      <c r="C373" s="9" t="s">
        <v>381</v>
      </c>
      <c r="D373" s="8">
        <v>1</v>
      </c>
      <c r="E373" s="9" t="s">
        <v>98</v>
      </c>
      <c r="F373" s="8" t="s">
        <v>382</v>
      </c>
      <c r="G373" s="8" t="s">
        <v>117</v>
      </c>
      <c r="H373" s="8" t="s">
        <v>161</v>
      </c>
      <c r="I373" s="8" t="s">
        <v>91</v>
      </c>
      <c r="J373" s="9" t="s">
        <v>380</v>
      </c>
      <c r="K373" s="8" t="str">
        <f>VLOOKUP(LEFT(H373,7),'קטלוג תרחישים'!$A:$M,12,FALSE())</f>
        <v>ב'</v>
      </c>
      <c r="L373" s="8" t="str">
        <f>IF(J373="כן",K373,VLOOKUP(LEFT(H373,7),'קטלוג תרחישים'!$A:$M,13,FALSE()))</f>
        <v>ב'</v>
      </c>
      <c r="M373" s="13"/>
      <c r="N373" s="51" t="s">
        <v>365</v>
      </c>
      <c r="O373" s="13" t="str">
        <f t="array" ref="O373">_xlfn.IFS(N373="A","א'", N373="B", "ב'", N373= "C", "ג'")</f>
        <v>ב'</v>
      </c>
      <c r="P373" s="13">
        <f>IF(Table_2[[#This Row],[Correct_Answer]]=Table_2[[#This Row],[System_Recommendation]],1,0)</f>
        <v>1</v>
      </c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 spans="1:26" ht="15.75" hidden="1" customHeight="1">
      <c r="A374" s="8" t="s">
        <v>169</v>
      </c>
      <c r="B374" s="8">
        <v>10</v>
      </c>
      <c r="C374" s="9" t="s">
        <v>381</v>
      </c>
      <c r="D374" s="8">
        <v>1</v>
      </c>
      <c r="E374" s="9" t="s">
        <v>98</v>
      </c>
      <c r="F374" s="8" t="s">
        <v>382</v>
      </c>
      <c r="G374" s="8" t="s">
        <v>117</v>
      </c>
      <c r="H374" s="8" t="s">
        <v>164</v>
      </c>
      <c r="I374" s="8" t="s">
        <v>100</v>
      </c>
      <c r="J374" s="9" t="s">
        <v>383</v>
      </c>
      <c r="K374" s="8" t="str">
        <f>VLOOKUP(LEFT(H374,7),'קטלוג תרחישים'!$A:$M,12,FALSE())</f>
        <v>ב'</v>
      </c>
      <c r="L374" s="8" t="str">
        <f>IF(J374="כן",K374,VLOOKUP(LEFT(H374,7),'קטלוג תרחישים'!$A:$M,13,FALSE()))</f>
        <v>א'</v>
      </c>
      <c r="M374" s="13"/>
      <c r="N374" s="50" t="s">
        <v>365</v>
      </c>
      <c r="O374" s="13" t="str">
        <f t="array" ref="O374">_xlfn.IFS(N374="A","א'", N374="B", "ב'", N374= "C", "ג'")</f>
        <v>ב'</v>
      </c>
      <c r="P374" s="13">
        <f>IF(Table_2[[#This Row],[Correct_Answer]]=Table_2[[#This Row],[System_Recommendation]],1,0)</f>
        <v>0</v>
      </c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 spans="1:26" ht="15.75" hidden="1" customHeight="1">
      <c r="A375" s="8" t="s">
        <v>169</v>
      </c>
      <c r="B375" s="8">
        <v>11</v>
      </c>
      <c r="C375" s="9" t="s">
        <v>381</v>
      </c>
      <c r="D375" s="8">
        <v>2</v>
      </c>
      <c r="E375" s="9" t="s">
        <v>105</v>
      </c>
      <c r="F375" s="8" t="s">
        <v>382</v>
      </c>
      <c r="G375" s="8" t="s">
        <v>117</v>
      </c>
      <c r="H375" s="8" t="s">
        <v>167</v>
      </c>
      <c r="I375" s="8" t="s">
        <v>91</v>
      </c>
      <c r="J375" s="9" t="s">
        <v>380</v>
      </c>
      <c r="K375" s="8" t="str">
        <f>VLOOKUP(LEFT(H375,7),'קטלוג תרחישים'!$A:$M,12,FALSE())</f>
        <v>ב'</v>
      </c>
      <c r="L375" s="8" t="str">
        <f>IF(J375="כן",K375,VLOOKUP(LEFT(H375,7),'קטלוג תרחישים'!$A:$M,13,FALSE()))</f>
        <v>ב'</v>
      </c>
      <c r="M375" s="13"/>
      <c r="N375" s="51" t="s">
        <v>360</v>
      </c>
      <c r="O375" s="13" t="str">
        <f t="array" ref="O375">_xlfn.IFS(N375="A","א'", N375="B", "ב'", N375= "C", "ג'")</f>
        <v>א'</v>
      </c>
      <c r="P375" s="13">
        <f>IF(Table_2[[#This Row],[Correct_Answer]]=Table_2[[#This Row],[System_Recommendation]],1,0)</f>
        <v>1</v>
      </c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 spans="1:26" ht="15.75" hidden="1" customHeight="1">
      <c r="A376" s="8" t="s">
        <v>169</v>
      </c>
      <c r="B376" s="8">
        <v>12</v>
      </c>
      <c r="C376" s="9" t="s">
        <v>381</v>
      </c>
      <c r="D376" s="8">
        <v>2</v>
      </c>
      <c r="E376" s="9" t="s">
        <v>105</v>
      </c>
      <c r="F376" s="8" t="s">
        <v>382</v>
      </c>
      <c r="G376" s="8" t="s">
        <v>117</v>
      </c>
      <c r="H376" s="8" t="s">
        <v>168</v>
      </c>
      <c r="I376" s="8" t="s">
        <v>100</v>
      </c>
      <c r="J376" s="9" t="s">
        <v>383</v>
      </c>
      <c r="K376" s="8" t="str">
        <f>VLOOKUP(LEFT(H376,7),'קטלוג תרחישים'!$A:$M,12,FALSE())</f>
        <v>א'</v>
      </c>
      <c r="L376" s="8" t="str">
        <f>IF(J376="כן",K376,VLOOKUP(LEFT(H376,7),'קטלוג תרחישים'!$A:$M,13,FALSE()))</f>
        <v>ב'</v>
      </c>
      <c r="M376" s="13"/>
      <c r="N376" s="50" t="s">
        <v>360</v>
      </c>
      <c r="O376" s="13" t="str">
        <f t="array" ref="O376">_xlfn.IFS(N376="A","א'", N376="B", "ב'", N376= "C", "ג'")</f>
        <v>א'</v>
      </c>
      <c r="P376" s="13">
        <f>IF(Table_2[[#This Row],[Correct_Answer]]=Table_2[[#This Row],[System_Recommendation]],1,0)</f>
        <v>0</v>
      </c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 spans="1:26" ht="15.75" hidden="1" customHeight="1">
      <c r="A377" s="8" t="s">
        <v>169</v>
      </c>
      <c r="B377" s="8">
        <v>13</v>
      </c>
      <c r="C377" s="9" t="s">
        <v>381</v>
      </c>
      <c r="D377" s="8">
        <v>2</v>
      </c>
      <c r="E377" s="9" t="s">
        <v>105</v>
      </c>
      <c r="F377" s="8" t="s">
        <v>382</v>
      </c>
      <c r="G377" s="8" t="s">
        <v>117</v>
      </c>
      <c r="H377" s="8" t="s">
        <v>165</v>
      </c>
      <c r="I377" s="8" t="s">
        <v>91</v>
      </c>
      <c r="J377" s="9" t="s">
        <v>383</v>
      </c>
      <c r="K377" s="8" t="str">
        <f>VLOOKUP(LEFT(H377,7),'קטלוג תרחישים'!$A:$M,12,FALSE())</f>
        <v>ג'</v>
      </c>
      <c r="L377" s="8" t="str">
        <f>IF(J377="כן",K377,VLOOKUP(LEFT(H377,7),'קטלוג תרחישים'!$A:$M,13,FALSE()))</f>
        <v>א'</v>
      </c>
      <c r="M377" s="13"/>
      <c r="N377" s="51" t="s">
        <v>360</v>
      </c>
      <c r="O377" s="13" t="str">
        <f t="array" ref="O377">_xlfn.IFS(N377="A","א'", N377="B", "ב'", N377= "C", "ג'")</f>
        <v>א'</v>
      </c>
      <c r="P377" s="13">
        <f>IF(Table_2[[#This Row],[Correct_Answer]]=Table_2[[#This Row],[System_Recommendation]],1,0)</f>
        <v>0</v>
      </c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 spans="1:26" ht="15.75" hidden="1" customHeight="1">
      <c r="A378" s="8" t="s">
        <v>169</v>
      </c>
      <c r="B378" s="8">
        <v>14</v>
      </c>
      <c r="C378" s="9" t="s">
        <v>381</v>
      </c>
      <c r="D378" s="8">
        <v>2</v>
      </c>
      <c r="E378" s="9" t="s">
        <v>105</v>
      </c>
      <c r="F378" s="8" t="s">
        <v>382</v>
      </c>
      <c r="G378" s="8" t="s">
        <v>117</v>
      </c>
      <c r="H378" s="8" t="s">
        <v>166</v>
      </c>
      <c r="I378" s="8" t="s">
        <v>100</v>
      </c>
      <c r="J378" s="9" t="s">
        <v>380</v>
      </c>
      <c r="K378" s="8" t="str">
        <f>VLOOKUP(LEFT(H378,7),'קטלוג תרחישים'!$A:$M,12,FALSE())</f>
        <v>א'</v>
      </c>
      <c r="L378" s="8" t="str">
        <f>IF(J378="כן",K378,VLOOKUP(LEFT(H378,7),'קטלוג תרחישים'!$A:$M,13,FALSE()))</f>
        <v>א'</v>
      </c>
      <c r="M378" s="13"/>
      <c r="N378" s="50" t="s">
        <v>365</v>
      </c>
      <c r="O378" s="13" t="str">
        <f t="array" ref="O378">_xlfn.IFS(N378="A","א'", N378="B", "ב'", N378= "C", "ג'")</f>
        <v>ב'</v>
      </c>
      <c r="P378" s="13">
        <f>IF(Table_2[[#This Row],[Correct_Answer]]=Table_2[[#This Row],[System_Recommendation]],1,0)</f>
        <v>1</v>
      </c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 spans="1:26" ht="15.75" hidden="1" customHeight="1">
      <c r="A379" s="8" t="s">
        <v>169</v>
      </c>
      <c r="B379" s="8">
        <v>15</v>
      </c>
      <c r="C379" s="9" t="s">
        <v>381</v>
      </c>
      <c r="D379" s="8">
        <v>3</v>
      </c>
      <c r="E379" s="9" t="s">
        <v>111</v>
      </c>
      <c r="F379" s="8" t="s">
        <v>382</v>
      </c>
      <c r="G379" s="8" t="s">
        <v>117</v>
      </c>
      <c r="H379" s="8" t="s">
        <v>157</v>
      </c>
      <c r="I379" s="8" t="s">
        <v>91</v>
      </c>
      <c r="J379" s="9" t="s">
        <v>380</v>
      </c>
      <c r="K379" s="8" t="str">
        <f>VLOOKUP(LEFT(H379,7),'קטלוג תרחישים'!$A:$M,12,FALSE())</f>
        <v>ג'</v>
      </c>
      <c r="L379" s="8" t="str">
        <f>IF(J379="כן",K379,VLOOKUP(LEFT(H379,7),'קטלוג תרחישים'!$A:$M,13,FALSE()))</f>
        <v>ג'</v>
      </c>
      <c r="M379" s="13"/>
      <c r="N379" s="51" t="s">
        <v>365</v>
      </c>
      <c r="O379" s="13" t="str">
        <f t="array" ref="O379">_xlfn.IFS(N379="A","א'", N379="B", "ב'", N379= "C", "ג'")</f>
        <v>ב'</v>
      </c>
      <c r="P379" s="13">
        <f>IF(Table_2[[#This Row],[Correct_Answer]]=Table_2[[#This Row],[System_Recommendation]],1,0)</f>
        <v>1</v>
      </c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 spans="1:26" ht="15.75" hidden="1" customHeight="1">
      <c r="A380" s="8" t="s">
        <v>169</v>
      </c>
      <c r="B380" s="8">
        <v>16</v>
      </c>
      <c r="C380" s="9" t="s">
        <v>381</v>
      </c>
      <c r="D380" s="8">
        <v>3</v>
      </c>
      <c r="E380" s="9" t="s">
        <v>111</v>
      </c>
      <c r="F380" s="8" t="s">
        <v>382</v>
      </c>
      <c r="G380" s="8" t="s">
        <v>117</v>
      </c>
      <c r="H380" s="8" t="s">
        <v>158</v>
      </c>
      <c r="I380" s="8" t="s">
        <v>100</v>
      </c>
      <c r="J380" s="9" t="s">
        <v>380</v>
      </c>
      <c r="K380" s="8" t="str">
        <f>VLOOKUP(LEFT(H380,7),'קטלוג תרחישים'!$A:$M,12,FALSE())</f>
        <v>ג'</v>
      </c>
      <c r="L380" s="8" t="str">
        <f>IF(J380="כן",K380,VLOOKUP(LEFT(H380,7),'קטלוג תרחישים'!$A:$M,13,FALSE()))</f>
        <v>ג'</v>
      </c>
      <c r="M380" s="13"/>
      <c r="N380" s="50" t="s">
        <v>366</v>
      </c>
      <c r="O380" s="13" t="str">
        <f t="array" ref="O380">_xlfn.IFS(N380="A","א'", N380="B", "ב'", N380= "C", "ג'")</f>
        <v>ג'</v>
      </c>
      <c r="P380" s="13">
        <f>IF(Table_2[[#This Row],[Correct_Answer]]=Table_2[[#This Row],[System_Recommendation]],1,0)</f>
        <v>1</v>
      </c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 spans="1:26" ht="15.75" hidden="1" customHeight="1">
      <c r="A381" s="8" t="s">
        <v>169</v>
      </c>
      <c r="B381" s="8">
        <v>17</v>
      </c>
      <c r="C381" s="9" t="s">
        <v>381</v>
      </c>
      <c r="D381" s="8">
        <v>3</v>
      </c>
      <c r="E381" s="9" t="s">
        <v>111</v>
      </c>
      <c r="F381" s="8" t="s">
        <v>382</v>
      </c>
      <c r="G381" s="8" t="s">
        <v>117</v>
      </c>
      <c r="H381" s="8" t="s">
        <v>159</v>
      </c>
      <c r="I381" s="8" t="s">
        <v>91</v>
      </c>
      <c r="J381" s="9" t="s">
        <v>383</v>
      </c>
      <c r="K381" s="8" t="str">
        <f>VLOOKUP(LEFT(H381,7),'קטלוג תרחישים'!$A:$M,12,FALSE())</f>
        <v>ג'</v>
      </c>
      <c r="L381" s="8" t="str">
        <f>IF(J381="כן",K381,VLOOKUP(LEFT(H381,7),'קטלוג תרחישים'!$A:$M,13,FALSE()))</f>
        <v>ב'</v>
      </c>
      <c r="M381" s="13"/>
      <c r="N381" s="51" t="s">
        <v>360</v>
      </c>
      <c r="O381" s="13" t="str">
        <f t="array" ref="O381">_xlfn.IFS(N381="A","א'", N381="B", "ב'", N381= "C", "ג'")</f>
        <v>א'</v>
      </c>
      <c r="P381" s="13">
        <f>IF(Table_2[[#This Row],[Correct_Answer]]=Table_2[[#This Row],[System_Recommendation]],1,0)</f>
        <v>0</v>
      </c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 spans="1:26" ht="15.75" hidden="1" customHeight="1">
      <c r="A382" s="8" t="s">
        <v>169</v>
      </c>
      <c r="B382" s="8">
        <v>18</v>
      </c>
      <c r="C382" s="9" t="s">
        <v>381</v>
      </c>
      <c r="D382" s="8">
        <v>3</v>
      </c>
      <c r="E382" s="9" t="s">
        <v>111</v>
      </c>
      <c r="F382" s="8" t="s">
        <v>382</v>
      </c>
      <c r="G382" s="8" t="s">
        <v>117</v>
      </c>
      <c r="H382" s="8" t="s">
        <v>160</v>
      </c>
      <c r="I382" s="8" t="s">
        <v>100</v>
      </c>
      <c r="J382" s="9" t="s">
        <v>383</v>
      </c>
      <c r="K382" s="8" t="str">
        <f>VLOOKUP(LEFT(H382,7),'קטלוג תרחישים'!$A:$M,12,FALSE())</f>
        <v>א'</v>
      </c>
      <c r="L382" s="8" t="str">
        <f>IF(J382="כן",K382,VLOOKUP(LEFT(H382,7),'קטלוג תרחישים'!$A:$M,13,FALSE()))</f>
        <v>ב'</v>
      </c>
      <c r="M382" s="13"/>
      <c r="N382" s="50" t="s">
        <v>366</v>
      </c>
      <c r="O382" s="13" t="str">
        <f t="array" ref="O382">_xlfn.IFS(N382="A","א'", N382="B", "ב'", N382= "C", "ג'")</f>
        <v>ג'</v>
      </c>
      <c r="P382" s="13">
        <f>IF(Table_2[[#This Row],[Correct_Answer]]=Table_2[[#This Row],[System_Recommendation]],1,0)</f>
        <v>0</v>
      </c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 spans="1:26" ht="15.75" hidden="1" customHeight="1">
      <c r="A383" s="8" t="s">
        <v>169</v>
      </c>
      <c r="B383" s="8">
        <v>19</v>
      </c>
      <c r="C383" s="9" t="s">
        <v>381</v>
      </c>
      <c r="D383" s="8">
        <v>1</v>
      </c>
      <c r="E383" s="9" t="s">
        <v>111</v>
      </c>
      <c r="F383" s="8" t="s">
        <v>384</v>
      </c>
      <c r="G383" s="8" t="s">
        <v>97</v>
      </c>
      <c r="H383" s="8" t="s">
        <v>151</v>
      </c>
      <c r="I383" s="8" t="s">
        <v>91</v>
      </c>
      <c r="J383" s="9" t="s">
        <v>380</v>
      </c>
      <c r="K383" s="8" t="str">
        <f>VLOOKUP(LEFT(H383,7),'קטלוג תרחישים'!$A:$M,12,FALSE())</f>
        <v>א'</v>
      </c>
      <c r="L383" s="8" t="str">
        <f>IF(J383="כן",K383,VLOOKUP(LEFT(H383,7),'קטלוג תרחישים'!$A:$M,13,FALSE()))</f>
        <v>א'</v>
      </c>
      <c r="M383" s="13"/>
      <c r="N383" s="51" t="s">
        <v>365</v>
      </c>
      <c r="O383" s="13" t="str">
        <f t="array" ref="O383">_xlfn.IFS(N383="A","א'", N383="B", "ב'", N383= "C", "ג'")</f>
        <v>ב'</v>
      </c>
      <c r="P383" s="13">
        <f>IF(Table_2[[#This Row],[Correct_Answer]]=Table_2[[#This Row],[System_Recommendation]],1,0)</f>
        <v>1</v>
      </c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 spans="1:26" ht="15.75" hidden="1" customHeight="1">
      <c r="A384" s="8" t="s">
        <v>169</v>
      </c>
      <c r="B384" s="8">
        <v>20</v>
      </c>
      <c r="C384" s="9" t="s">
        <v>381</v>
      </c>
      <c r="D384" s="8">
        <v>1</v>
      </c>
      <c r="E384" s="9" t="s">
        <v>111</v>
      </c>
      <c r="F384" s="8" t="s">
        <v>384</v>
      </c>
      <c r="G384" s="8" t="s">
        <v>97</v>
      </c>
      <c r="H384" s="8" t="s">
        <v>148</v>
      </c>
      <c r="I384" s="8" t="s">
        <v>100</v>
      </c>
      <c r="J384" s="9" t="s">
        <v>383</v>
      </c>
      <c r="K384" s="8" t="str">
        <f>VLOOKUP(LEFT(H384,7),'קטלוג תרחישים'!$A:$M,12,FALSE())</f>
        <v>ב'</v>
      </c>
      <c r="L384" s="8" t="str">
        <f>IF(J384="כן",K384,VLOOKUP(LEFT(H384,7),'קטלוג תרחישים'!$A:$M,13,FALSE()))</f>
        <v>ג'</v>
      </c>
      <c r="M384" s="13"/>
      <c r="N384" s="50" t="s">
        <v>366</v>
      </c>
      <c r="O384" s="13" t="str">
        <f t="array" ref="O384">_xlfn.IFS(N384="A","א'", N384="B", "ב'", N384= "C", "ג'")</f>
        <v>ג'</v>
      </c>
      <c r="P384" s="13">
        <f>IF(Table_2[[#This Row],[Correct_Answer]]=Table_2[[#This Row],[System_Recommendation]],1,0)</f>
        <v>0</v>
      </c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 spans="1:26" ht="15.75" hidden="1" customHeight="1">
      <c r="A385" s="8" t="s">
        <v>169</v>
      </c>
      <c r="B385" s="8">
        <v>21</v>
      </c>
      <c r="C385" s="9" t="s">
        <v>381</v>
      </c>
      <c r="D385" s="8">
        <v>1</v>
      </c>
      <c r="E385" s="9" t="s">
        <v>111</v>
      </c>
      <c r="F385" s="8" t="s">
        <v>384</v>
      </c>
      <c r="G385" s="8" t="s">
        <v>97</v>
      </c>
      <c r="H385" s="8" t="s">
        <v>147</v>
      </c>
      <c r="I385" s="8" t="s">
        <v>91</v>
      </c>
      <c r="J385" s="9" t="s">
        <v>380</v>
      </c>
      <c r="K385" s="8" t="str">
        <f>VLOOKUP(LEFT(H385,7),'קטלוג תרחישים'!$A:$M,12,FALSE())</f>
        <v>ג'</v>
      </c>
      <c r="L385" s="8" t="str">
        <f>IF(J385="כן",K385,VLOOKUP(LEFT(H385,7),'קטלוג תרחישים'!$A:$M,13,FALSE()))</f>
        <v>ג'</v>
      </c>
      <c r="M385" s="13"/>
      <c r="N385" s="51" t="s">
        <v>360</v>
      </c>
      <c r="O385" s="13" t="str">
        <f t="array" ref="O385">_xlfn.IFS(N385="A","א'", N385="B", "ב'", N385= "C", "ג'")</f>
        <v>א'</v>
      </c>
      <c r="P385" s="13">
        <f>IF(Table_2[[#This Row],[Correct_Answer]]=Table_2[[#This Row],[System_Recommendation]],1,0)</f>
        <v>1</v>
      </c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 spans="1:26" ht="15.75" hidden="1" customHeight="1">
      <c r="A386" s="8" t="s">
        <v>169</v>
      </c>
      <c r="B386" s="8">
        <v>22</v>
      </c>
      <c r="C386" s="9" t="s">
        <v>381</v>
      </c>
      <c r="D386" s="8">
        <v>1</v>
      </c>
      <c r="E386" s="9" t="s">
        <v>111</v>
      </c>
      <c r="F386" s="8" t="s">
        <v>384</v>
      </c>
      <c r="G386" s="8" t="s">
        <v>97</v>
      </c>
      <c r="H386" s="8" t="s">
        <v>150</v>
      </c>
      <c r="I386" s="8" t="s">
        <v>100</v>
      </c>
      <c r="J386" s="9" t="s">
        <v>380</v>
      </c>
      <c r="K386" s="8" t="str">
        <f>VLOOKUP(LEFT(H386,7),'קטלוג תרחישים'!$A:$M,12,FALSE())</f>
        <v>ב'</v>
      </c>
      <c r="L386" s="8" t="str">
        <f>IF(J386="כן",K386,VLOOKUP(LEFT(H386,7),'קטלוג תרחישים'!$A:$M,13,FALSE()))</f>
        <v>ב'</v>
      </c>
      <c r="M386" s="13"/>
      <c r="N386" s="50" t="s">
        <v>366</v>
      </c>
      <c r="O386" s="13" t="str">
        <f t="array" ref="O386">_xlfn.IFS(N386="A","א'", N386="B", "ב'", N386= "C", "ג'")</f>
        <v>ג'</v>
      </c>
      <c r="P386" s="13">
        <f>IF(Table_2[[#This Row],[Correct_Answer]]=Table_2[[#This Row],[System_Recommendation]],1,0)</f>
        <v>1</v>
      </c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 spans="1:26" ht="15.75" hidden="1" customHeight="1">
      <c r="A387" s="8" t="s">
        <v>169</v>
      </c>
      <c r="B387" s="8">
        <v>23</v>
      </c>
      <c r="C387" s="9" t="s">
        <v>381</v>
      </c>
      <c r="D387" s="8">
        <v>1</v>
      </c>
      <c r="E387" s="9" t="s">
        <v>111</v>
      </c>
      <c r="F387" s="8" t="s">
        <v>384</v>
      </c>
      <c r="G387" s="8" t="s">
        <v>97</v>
      </c>
      <c r="H387" s="8" t="s">
        <v>149</v>
      </c>
      <c r="I387" s="8" t="s">
        <v>91</v>
      </c>
      <c r="J387" s="9" t="s">
        <v>380</v>
      </c>
      <c r="K387" s="8" t="str">
        <f>VLOOKUP(LEFT(H387,7),'קטלוג תרחישים'!$A:$M,12,FALSE())</f>
        <v>ג'</v>
      </c>
      <c r="L387" s="8" t="str">
        <f>IF(J387="כן",K387,VLOOKUP(LEFT(H387,7),'קטלוג תרחישים'!$A:$M,13,FALSE()))</f>
        <v>ג'</v>
      </c>
      <c r="M387" s="13"/>
      <c r="N387" s="51" t="s">
        <v>366</v>
      </c>
      <c r="O387" s="13" t="str">
        <f t="array" ref="O387">_xlfn.IFS(N387="A","א'", N387="B", "ב'", N387= "C", "ג'")</f>
        <v>ג'</v>
      </c>
      <c r="P387" s="13">
        <f>IF(Table_2[[#This Row],[Correct_Answer]]=Table_2[[#This Row],[System_Recommendation]],1,0)</f>
        <v>1</v>
      </c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 spans="1:26" ht="15.75" hidden="1" customHeight="1">
      <c r="A388" s="8" t="s">
        <v>169</v>
      </c>
      <c r="B388" s="8">
        <v>24</v>
      </c>
      <c r="C388" s="9" t="s">
        <v>381</v>
      </c>
      <c r="D388" s="8">
        <v>2</v>
      </c>
      <c r="E388" s="9" t="s">
        <v>98</v>
      </c>
      <c r="F388" s="8" t="s">
        <v>384</v>
      </c>
      <c r="G388" s="8" t="s">
        <v>97</v>
      </c>
      <c r="H388" s="8" t="s">
        <v>154</v>
      </c>
      <c r="I388" s="8" t="s">
        <v>91</v>
      </c>
      <c r="J388" s="9" t="s">
        <v>380</v>
      </c>
      <c r="K388" s="8" t="str">
        <f>VLOOKUP(LEFT(H388,7),'קטלוג תרחישים'!$A:$M,12,FALSE())</f>
        <v>ג'</v>
      </c>
      <c r="L388" s="8" t="str">
        <f>IF(J388="כן",K388,VLOOKUP(LEFT(H388,7),'קטלוג תרחישים'!$A:$M,13,FALSE()))</f>
        <v>ג'</v>
      </c>
      <c r="M388" s="13"/>
      <c r="N388" s="50" t="s">
        <v>365</v>
      </c>
      <c r="O388" s="13" t="str">
        <f t="array" ref="O388">_xlfn.IFS(N388="A","א'", N388="B", "ב'", N388= "C", "ג'")</f>
        <v>ב'</v>
      </c>
      <c r="P388" s="13">
        <f>IF(Table_2[[#This Row],[Correct_Answer]]=Table_2[[#This Row],[System_Recommendation]],1,0)</f>
        <v>1</v>
      </c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 spans="1:26" ht="15.75" hidden="1" customHeight="1">
      <c r="A389" s="8" t="s">
        <v>169</v>
      </c>
      <c r="B389" s="8">
        <v>25</v>
      </c>
      <c r="C389" s="9" t="s">
        <v>381</v>
      </c>
      <c r="D389" s="8">
        <v>2</v>
      </c>
      <c r="E389" s="9" t="s">
        <v>98</v>
      </c>
      <c r="F389" s="8" t="s">
        <v>384</v>
      </c>
      <c r="G389" s="8" t="s">
        <v>97</v>
      </c>
      <c r="H389" s="8" t="s">
        <v>153</v>
      </c>
      <c r="I389" s="8" t="s">
        <v>100</v>
      </c>
      <c r="J389" s="9" t="s">
        <v>380</v>
      </c>
      <c r="K389" s="8" t="str">
        <f>VLOOKUP(LEFT(H389,7),'קטלוג תרחישים'!$A:$M,12,FALSE())</f>
        <v>א'</v>
      </c>
      <c r="L389" s="8" t="str">
        <f>IF(J389="כן",K389,VLOOKUP(LEFT(H389,7),'קטלוג תרחישים'!$A:$M,13,FALSE()))</f>
        <v>א'</v>
      </c>
      <c r="M389" s="13"/>
      <c r="N389" s="51" t="s">
        <v>360</v>
      </c>
      <c r="O389" s="13" t="str">
        <f t="array" ref="O389">_xlfn.IFS(N389="A","א'", N389="B", "ב'", N389= "C", "ג'")</f>
        <v>א'</v>
      </c>
      <c r="P389" s="13">
        <f>IF(Table_2[[#This Row],[Correct_Answer]]=Table_2[[#This Row],[System_Recommendation]],1,0)</f>
        <v>1</v>
      </c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 spans="1:26" ht="15.75" hidden="1" customHeight="1">
      <c r="A390" s="8" t="s">
        <v>169</v>
      </c>
      <c r="B390" s="8">
        <v>26</v>
      </c>
      <c r="C390" s="9" t="s">
        <v>381</v>
      </c>
      <c r="D390" s="8">
        <v>2</v>
      </c>
      <c r="E390" s="9" t="s">
        <v>98</v>
      </c>
      <c r="F390" s="8" t="s">
        <v>384</v>
      </c>
      <c r="G390" s="8" t="s">
        <v>97</v>
      </c>
      <c r="H390" s="8" t="s">
        <v>152</v>
      </c>
      <c r="I390" s="8" t="s">
        <v>91</v>
      </c>
      <c r="J390" s="9" t="s">
        <v>380</v>
      </c>
      <c r="K390" s="8" t="str">
        <f>VLOOKUP(LEFT(H390,7),'קטלוג תרחישים'!$A:$M,12,FALSE())</f>
        <v>ג'</v>
      </c>
      <c r="L390" s="8" t="str">
        <f>IF(J390="כן",K390,VLOOKUP(LEFT(H390,7),'קטלוג תרחישים'!$A:$M,13,FALSE()))</f>
        <v>ג'</v>
      </c>
      <c r="M390" s="13"/>
      <c r="N390" s="50" t="s">
        <v>366</v>
      </c>
      <c r="O390" s="13" t="str">
        <f t="array" ref="O390">_xlfn.IFS(N390="A","א'", N390="B", "ב'", N390= "C", "ג'")</f>
        <v>ג'</v>
      </c>
      <c r="P390" s="13">
        <f>IF(Table_2[[#This Row],[Correct_Answer]]=Table_2[[#This Row],[System_Recommendation]],1,0)</f>
        <v>1</v>
      </c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 spans="1:26" ht="15.75" hidden="1" customHeight="1">
      <c r="A391" s="8" t="s">
        <v>169</v>
      </c>
      <c r="B391" s="8">
        <v>27</v>
      </c>
      <c r="C391" s="9" t="s">
        <v>381</v>
      </c>
      <c r="D391" s="8">
        <v>2</v>
      </c>
      <c r="E391" s="9" t="s">
        <v>98</v>
      </c>
      <c r="F391" s="8" t="s">
        <v>384</v>
      </c>
      <c r="G391" s="8" t="s">
        <v>97</v>
      </c>
      <c r="H391" s="8" t="s">
        <v>155</v>
      </c>
      <c r="I391" s="8" t="s">
        <v>100</v>
      </c>
      <c r="J391" s="9" t="s">
        <v>383</v>
      </c>
      <c r="K391" s="8" t="str">
        <f>VLOOKUP(LEFT(H391,7),'קטלוג תרחישים'!$A:$M,12,FALSE())</f>
        <v>ג'</v>
      </c>
      <c r="L391" s="8" t="str">
        <f>IF(J391="כן",K391,VLOOKUP(LEFT(H391,7),'קטלוג תרחישים'!$A:$M,13,FALSE()))</f>
        <v>ב'</v>
      </c>
      <c r="M391" s="13"/>
      <c r="N391" s="51" t="s">
        <v>365</v>
      </c>
      <c r="O391" s="13" t="str">
        <f t="array" ref="O391">_xlfn.IFS(N391="A","א'", N391="B", "ב'", N391= "C", "ג'")</f>
        <v>ב'</v>
      </c>
      <c r="P391" s="13">
        <f>IF(Table_2[[#This Row],[Correct_Answer]]=Table_2[[#This Row],[System_Recommendation]],1,0)</f>
        <v>0</v>
      </c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 spans="1:26" ht="15.75" hidden="1" customHeight="1">
      <c r="A392" s="8" t="s">
        <v>169</v>
      </c>
      <c r="B392" s="8">
        <v>28</v>
      </c>
      <c r="C392" s="9" t="s">
        <v>381</v>
      </c>
      <c r="D392" s="8">
        <v>2</v>
      </c>
      <c r="E392" s="9" t="s">
        <v>98</v>
      </c>
      <c r="F392" s="8" t="s">
        <v>384</v>
      </c>
      <c r="G392" s="8" t="s">
        <v>97</v>
      </c>
      <c r="H392" s="8" t="s">
        <v>156</v>
      </c>
      <c r="I392" s="8" t="s">
        <v>91</v>
      </c>
      <c r="J392" s="9" t="s">
        <v>380</v>
      </c>
      <c r="K392" s="8" t="str">
        <f>VLOOKUP(LEFT(H392,7),'קטלוג תרחישים'!$A:$M,12,FALSE())</f>
        <v>ב'</v>
      </c>
      <c r="L392" s="8" t="str">
        <f>IF(J392="כן",K392,VLOOKUP(LEFT(H392,7),'קטלוג תרחישים'!$A:$M,13,FALSE()))</f>
        <v>ב'</v>
      </c>
      <c r="M392" s="13"/>
      <c r="N392" s="50" t="s">
        <v>366</v>
      </c>
      <c r="O392" s="13" t="str">
        <f t="array" ref="O392">_xlfn.IFS(N392="A","א'", N392="B", "ב'", N392= "C", "ג'")</f>
        <v>ג'</v>
      </c>
      <c r="P392" s="13">
        <f>IF(Table_2[[#This Row],[Correct_Answer]]=Table_2[[#This Row],[System_Recommendation]],1,0)</f>
        <v>1</v>
      </c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 spans="1:26" ht="15.75" hidden="1" customHeight="1">
      <c r="A393" s="8" t="s">
        <v>169</v>
      </c>
      <c r="B393" s="8">
        <v>29</v>
      </c>
      <c r="C393" s="9" t="s">
        <v>381</v>
      </c>
      <c r="D393" s="8">
        <v>3</v>
      </c>
      <c r="E393" s="9" t="s">
        <v>105</v>
      </c>
      <c r="F393" s="8" t="s">
        <v>384</v>
      </c>
      <c r="G393" s="8" t="s">
        <v>97</v>
      </c>
      <c r="H393" s="8" t="s">
        <v>146</v>
      </c>
      <c r="I393" s="8" t="s">
        <v>100</v>
      </c>
      <c r="J393" s="9" t="s">
        <v>383</v>
      </c>
      <c r="K393" s="8" t="str">
        <f>VLOOKUP(LEFT(H393,7),'קטלוג תרחישים'!$A:$M,12,FALSE())</f>
        <v>ג'</v>
      </c>
      <c r="L393" s="8" t="str">
        <f>IF(J393="כן",K393,VLOOKUP(LEFT(H393,7),'קטלוג תרחישים'!$A:$M,13,FALSE()))</f>
        <v>א'</v>
      </c>
      <c r="M393" s="13"/>
      <c r="N393" s="51" t="s">
        <v>366</v>
      </c>
      <c r="O393" s="13" t="str">
        <f t="array" ref="O393">_xlfn.IFS(N393="A","א'", N393="B", "ב'", N393= "C", "ג'")</f>
        <v>ג'</v>
      </c>
      <c r="P393" s="13">
        <f>IF(Table_2[[#This Row],[Correct_Answer]]=Table_2[[#This Row],[System_Recommendation]],1,0)</f>
        <v>0</v>
      </c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 spans="1:26" ht="15.75" hidden="1" customHeight="1">
      <c r="A394" s="8" t="s">
        <v>169</v>
      </c>
      <c r="B394" s="8">
        <v>30</v>
      </c>
      <c r="C394" s="9" t="s">
        <v>381</v>
      </c>
      <c r="D394" s="8">
        <v>3</v>
      </c>
      <c r="E394" s="9" t="s">
        <v>105</v>
      </c>
      <c r="F394" s="8" t="s">
        <v>384</v>
      </c>
      <c r="G394" s="8" t="s">
        <v>97</v>
      </c>
      <c r="H394" s="8" t="s">
        <v>145</v>
      </c>
      <c r="I394" s="8" t="s">
        <v>91</v>
      </c>
      <c r="J394" s="9" t="s">
        <v>380</v>
      </c>
      <c r="K394" s="8" t="str">
        <f>VLOOKUP(LEFT(H394,7),'קטלוג תרחישים'!$A:$M,12,FALSE())</f>
        <v>ב'</v>
      </c>
      <c r="L394" s="8" t="str">
        <f>IF(J394="כן",K394,VLOOKUP(LEFT(H394,7),'קטלוג תרחישים'!$A:$M,13,FALSE()))</f>
        <v>ב'</v>
      </c>
      <c r="M394" s="13"/>
      <c r="N394" s="50" t="s">
        <v>365</v>
      </c>
      <c r="O394" s="13" t="str">
        <f t="array" ref="O394">_xlfn.IFS(N394="A","א'", N394="B", "ב'", N394= "C", "ג'")</f>
        <v>ב'</v>
      </c>
      <c r="P394" s="13">
        <f>IF(Table_2[[#This Row],[Correct_Answer]]=Table_2[[#This Row],[System_Recommendation]],1,0)</f>
        <v>1</v>
      </c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 spans="1:26" ht="15.75" hidden="1" customHeight="1">
      <c r="A395" s="8" t="s">
        <v>169</v>
      </c>
      <c r="B395" s="8">
        <v>31</v>
      </c>
      <c r="C395" s="9" t="s">
        <v>381</v>
      </c>
      <c r="D395" s="8">
        <v>3</v>
      </c>
      <c r="E395" s="9" t="s">
        <v>105</v>
      </c>
      <c r="F395" s="8" t="s">
        <v>384</v>
      </c>
      <c r="G395" s="8" t="s">
        <v>97</v>
      </c>
      <c r="H395" s="8" t="s">
        <v>144</v>
      </c>
      <c r="I395" s="8" t="s">
        <v>100</v>
      </c>
      <c r="J395" s="9" t="s">
        <v>380</v>
      </c>
      <c r="K395" s="8" t="str">
        <f>VLOOKUP(LEFT(H395,7),'קטלוג תרחישים'!$A:$M,12,FALSE())</f>
        <v>ג'</v>
      </c>
      <c r="L395" s="8" t="str">
        <f>IF(J395="כן",K395,VLOOKUP(LEFT(H395,7),'קטלוג תרחישים'!$A:$M,13,FALSE()))</f>
        <v>ג'</v>
      </c>
      <c r="M395" s="13"/>
      <c r="N395" s="51" t="s">
        <v>366</v>
      </c>
      <c r="O395" s="13" t="str">
        <f t="array" ref="O395">_xlfn.IFS(N395="A","א'", N395="B", "ב'", N395= "C", "ג'")</f>
        <v>ג'</v>
      </c>
      <c r="P395" s="13">
        <f>IF(Table_2[[#This Row],[Correct_Answer]]=Table_2[[#This Row],[System_Recommendation]],1,0)</f>
        <v>1</v>
      </c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 spans="1:26" ht="15.75" hidden="1" customHeight="1">
      <c r="A396" s="8" t="s">
        <v>169</v>
      </c>
      <c r="B396" s="8">
        <v>32</v>
      </c>
      <c r="C396" s="9" t="s">
        <v>381</v>
      </c>
      <c r="D396" s="8">
        <v>3</v>
      </c>
      <c r="E396" s="9" t="s">
        <v>105</v>
      </c>
      <c r="F396" s="8" t="s">
        <v>384</v>
      </c>
      <c r="G396" s="8" t="s">
        <v>97</v>
      </c>
      <c r="H396" s="8" t="s">
        <v>143</v>
      </c>
      <c r="I396" s="8" t="s">
        <v>91</v>
      </c>
      <c r="J396" s="9" t="s">
        <v>380</v>
      </c>
      <c r="K396" s="8" t="str">
        <f>VLOOKUP(LEFT(H396,7),'קטלוג תרחישים'!$A:$M,12,FALSE())</f>
        <v>א'</v>
      </c>
      <c r="L396" s="8" t="str">
        <f>IF(J396="כן",K396,VLOOKUP(LEFT(H396,7),'קטלוג תרחישים'!$A:$M,13,FALSE()))</f>
        <v>א'</v>
      </c>
      <c r="M396" s="13"/>
      <c r="N396" s="50" t="s">
        <v>360</v>
      </c>
      <c r="O396" s="13" t="str">
        <f t="array" ref="O396">_xlfn.IFS(N396="A","א'", N396="B", "ב'", N396= "C", "ג'")</f>
        <v>א'</v>
      </c>
      <c r="P396" s="13">
        <f>IF(Table_2[[#This Row],[Correct_Answer]]=Table_2[[#This Row],[System_Recommendation]],1,0)</f>
        <v>1</v>
      </c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 spans="1:26" ht="15.75" hidden="1" customHeight="1">
      <c r="A397" s="8" t="s">
        <v>169</v>
      </c>
      <c r="B397" s="8">
        <v>33</v>
      </c>
      <c r="C397" s="9" t="s">
        <v>381</v>
      </c>
      <c r="D397" s="8">
        <v>3</v>
      </c>
      <c r="E397" s="9" t="s">
        <v>105</v>
      </c>
      <c r="F397" s="8" t="s">
        <v>384</v>
      </c>
      <c r="G397" s="8" t="s">
        <v>97</v>
      </c>
      <c r="H397" s="8" t="s">
        <v>142</v>
      </c>
      <c r="I397" s="8" t="s">
        <v>100</v>
      </c>
      <c r="J397" s="9" t="s">
        <v>380</v>
      </c>
      <c r="K397" s="8" t="str">
        <f>VLOOKUP(LEFT(H397,7),'קטלוג תרחישים'!$A:$M,12,FALSE())</f>
        <v>ב'</v>
      </c>
      <c r="L397" s="8" t="str">
        <f>IF(J397="כן",K397,VLOOKUP(LEFT(H397,7),'קטלוג תרחישים'!$A:$M,13,FALSE()))</f>
        <v>ב'</v>
      </c>
      <c r="M397" s="13"/>
      <c r="N397" s="51" t="s">
        <v>360</v>
      </c>
      <c r="O397" s="13" t="str">
        <f t="array" ref="O397">_xlfn.IFS(N397="A","א'", N397="B", "ב'", N397= "C", "ג'")</f>
        <v>א'</v>
      </c>
      <c r="P397" s="13">
        <f>IF(Table_2[[#This Row],[Correct_Answer]]=Table_2[[#This Row],[System_Recommendation]],1,0)</f>
        <v>1</v>
      </c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 spans="1:26" ht="15.75" hidden="1" customHeight="1">
      <c r="A398" s="8" t="s">
        <v>170</v>
      </c>
      <c r="B398" s="8">
        <v>1</v>
      </c>
      <c r="C398" s="9" t="s">
        <v>379</v>
      </c>
      <c r="D398" s="8"/>
      <c r="E398" s="9" t="s">
        <v>98</v>
      </c>
      <c r="F398" s="8"/>
      <c r="G398" s="8"/>
      <c r="H398" s="11" t="s">
        <v>90</v>
      </c>
      <c r="I398" s="8" t="s">
        <v>91</v>
      </c>
      <c r="J398" s="9" t="s">
        <v>380</v>
      </c>
      <c r="K398" s="8" t="str">
        <f>VLOOKUP(LEFT(H398,7),'קטלוג תרחישים'!$A:$M,12,FALSE())</f>
        <v>א'</v>
      </c>
      <c r="L398" s="8" t="str">
        <f>IF(J398="כן",K398,VLOOKUP(LEFT(H398,7),'קטלוג תרחישים'!$A:$M,13,FALSE()))</f>
        <v>א'</v>
      </c>
      <c r="M398" s="13"/>
      <c r="N398" s="50" t="s">
        <v>366</v>
      </c>
      <c r="O398" s="13" t="str">
        <f t="array" ref="O398">_xlfn.IFS(N398="A","א'", N398="B", "ב'", N398= "C", "ג'")</f>
        <v>ג'</v>
      </c>
      <c r="P398" s="13">
        <f>IF(Table_2[[#This Row],[Correct_Answer]]=Table_2[[#This Row],[System_Recommendation]],1,0)</f>
        <v>1</v>
      </c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 spans="1:26" ht="15.75" hidden="1" customHeight="1">
      <c r="A399" s="8" t="s">
        <v>170</v>
      </c>
      <c r="B399" s="8">
        <v>2</v>
      </c>
      <c r="C399" s="9" t="s">
        <v>379</v>
      </c>
      <c r="D399" s="8"/>
      <c r="E399" s="9" t="s">
        <v>98</v>
      </c>
      <c r="F399" s="8"/>
      <c r="G399" s="8"/>
      <c r="H399" s="11" t="s">
        <v>92</v>
      </c>
      <c r="I399" s="8" t="s">
        <v>91</v>
      </c>
      <c r="J399" s="9" t="s">
        <v>380</v>
      </c>
      <c r="K399" s="8" t="str">
        <f>VLOOKUP(LEFT(H399,7),'קטלוג תרחישים'!$A:$M,12,FALSE())</f>
        <v>א'</v>
      </c>
      <c r="L399" s="8" t="str">
        <f>IF(J399="כן",K399,VLOOKUP(LEFT(H399,7),'קטלוג תרחישים'!$A:$M,13,FALSE()))</f>
        <v>א'</v>
      </c>
      <c r="M399" s="13"/>
      <c r="N399" s="51" t="s">
        <v>366</v>
      </c>
      <c r="O399" s="13" t="str">
        <f t="array" ref="O399">_xlfn.IFS(N399="A","א'", N399="B", "ב'", N399= "C", "ג'")</f>
        <v>ג'</v>
      </c>
      <c r="P399" s="13">
        <f>IF(Table_2[[#This Row],[Correct_Answer]]=Table_2[[#This Row],[System_Recommendation]],1,0)</f>
        <v>1</v>
      </c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 spans="1:26" ht="15.75" hidden="1" customHeight="1">
      <c r="A400" s="8" t="s">
        <v>170</v>
      </c>
      <c r="B400" s="8">
        <v>3</v>
      </c>
      <c r="C400" s="9" t="s">
        <v>379</v>
      </c>
      <c r="D400" s="8"/>
      <c r="E400" s="9" t="s">
        <v>105</v>
      </c>
      <c r="F400" s="8"/>
      <c r="G400" s="8"/>
      <c r="H400" s="11" t="s">
        <v>93</v>
      </c>
      <c r="I400" s="8" t="s">
        <v>91</v>
      </c>
      <c r="J400" s="9" t="s">
        <v>380</v>
      </c>
      <c r="K400" s="8" t="str">
        <f>VLOOKUP(LEFT(H400,7),'קטלוג תרחישים'!$A:$M,12,FALSE())</f>
        <v>א'</v>
      </c>
      <c r="L400" s="8" t="str">
        <f>IF(J400="כן",K400,VLOOKUP(LEFT(H400,7),'קטלוג תרחישים'!$A:$M,13,FALSE()))</f>
        <v>א'</v>
      </c>
      <c r="M400" s="13"/>
      <c r="N400" s="50" t="s">
        <v>366</v>
      </c>
      <c r="O400" s="13" t="str">
        <f t="array" ref="O400">_xlfn.IFS(N400="A","א'", N400="B", "ב'", N400= "C", "ג'")</f>
        <v>ג'</v>
      </c>
      <c r="P400" s="13">
        <f>IF(Table_2[[#This Row],[Correct_Answer]]=Table_2[[#This Row],[System_Recommendation]],1,0)</f>
        <v>1</v>
      </c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 spans="1:26" ht="15.75" hidden="1" customHeight="1">
      <c r="A401" s="8" t="s">
        <v>170</v>
      </c>
      <c r="B401" s="8">
        <v>4</v>
      </c>
      <c r="C401" s="9" t="s">
        <v>379</v>
      </c>
      <c r="D401" s="8"/>
      <c r="E401" s="9" t="s">
        <v>105</v>
      </c>
      <c r="F401" s="8"/>
      <c r="G401" s="8"/>
      <c r="H401" s="11" t="s">
        <v>94</v>
      </c>
      <c r="I401" s="8" t="s">
        <v>91</v>
      </c>
      <c r="J401" s="9" t="s">
        <v>380</v>
      </c>
      <c r="K401" s="8" t="str">
        <f>VLOOKUP(LEFT(H401,7),'קטלוג תרחישים'!$A:$M,12,FALSE())</f>
        <v>א'</v>
      </c>
      <c r="L401" s="8" t="str">
        <f>IF(J401="כן",K401,VLOOKUP(LEFT(H401,7),'קטלוג תרחישים'!$A:$M,13,FALSE()))</f>
        <v>א'</v>
      </c>
      <c r="M401" s="13"/>
      <c r="N401" s="51" t="s">
        <v>365</v>
      </c>
      <c r="O401" s="13" t="str">
        <f t="array" ref="O401">_xlfn.IFS(N401="A","א'", N401="B", "ב'", N401= "C", "ג'")</f>
        <v>ב'</v>
      </c>
      <c r="P401" s="13">
        <f>IF(Table_2[[#This Row],[Correct_Answer]]=Table_2[[#This Row],[System_Recommendation]],1,0)</f>
        <v>1</v>
      </c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 spans="1:26" ht="15.75" hidden="1" customHeight="1">
      <c r="A402" s="8" t="s">
        <v>170</v>
      </c>
      <c r="B402" s="8">
        <v>5</v>
      </c>
      <c r="C402" s="9" t="s">
        <v>379</v>
      </c>
      <c r="D402" s="8"/>
      <c r="E402" s="9" t="s">
        <v>111</v>
      </c>
      <c r="F402" s="8"/>
      <c r="G402" s="8"/>
      <c r="H402" s="11" t="s">
        <v>95</v>
      </c>
      <c r="I402" s="8" t="s">
        <v>91</v>
      </c>
      <c r="J402" s="9" t="s">
        <v>380</v>
      </c>
      <c r="K402" s="8" t="str">
        <f>VLOOKUP(LEFT(H402,7),'קטלוג תרחישים'!$A:$M,12,FALSE())</f>
        <v>ב'</v>
      </c>
      <c r="L402" s="8" t="str">
        <f>IF(J402="כן",K402,VLOOKUP(LEFT(H402,7),'קטלוג תרחישים'!$A:$M,13,FALSE()))</f>
        <v>ב'</v>
      </c>
      <c r="M402" s="13"/>
      <c r="N402" s="50" t="s">
        <v>360</v>
      </c>
      <c r="O402" s="13" t="str">
        <f t="array" ref="O402">_xlfn.IFS(N402="A","א'", N402="B", "ב'", N402= "C", "ג'")</f>
        <v>א'</v>
      </c>
      <c r="P402" s="13">
        <f>IF(Table_2[[#This Row],[Correct_Answer]]=Table_2[[#This Row],[System_Recommendation]],1,0)</f>
        <v>1</v>
      </c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 spans="1:26" ht="15.75" customHeight="1">
      <c r="A403" s="8" t="s">
        <v>170</v>
      </c>
      <c r="B403" s="8">
        <v>6</v>
      </c>
      <c r="C403" s="9" t="s">
        <v>379</v>
      </c>
      <c r="D403" s="8"/>
      <c r="E403" s="9" t="s">
        <v>111</v>
      </c>
      <c r="F403" s="8"/>
      <c r="G403" s="8"/>
      <c r="H403" s="11" t="s">
        <v>96</v>
      </c>
      <c r="I403" s="8" t="s">
        <v>91</v>
      </c>
      <c r="J403" s="9" t="s">
        <v>380</v>
      </c>
      <c r="K403" s="8" t="str">
        <f>VLOOKUP(LEFT(H403,7),'קטלוג תרחישים'!$A:$M,12,FALSE())</f>
        <v>ב'</v>
      </c>
      <c r="L403" s="8" t="str">
        <f>IF(J403="כן",K403,VLOOKUP(LEFT(H403,7),'קטלוג תרחישים'!$A:$M,13,FALSE()))</f>
        <v>ב'</v>
      </c>
      <c r="M403" s="13"/>
      <c r="N403" s="51" t="s">
        <v>366</v>
      </c>
      <c r="O403" s="13" t="str">
        <f t="array" ref="O403">_xlfn.IFS(N403="A","א'", N403="B", "ב'", N403= "C", "ג'")</f>
        <v>ג'</v>
      </c>
      <c r="P403" s="13">
        <f>IF(Table_2[[#This Row],[Correct_Answer]]=Table_2[[#This Row],[System_Recommendation]],1,0)</f>
        <v>1</v>
      </c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 spans="1:26" ht="15.75" hidden="1" customHeight="1">
      <c r="A404" s="8" t="s">
        <v>170</v>
      </c>
      <c r="B404" s="8">
        <v>7</v>
      </c>
      <c r="C404" s="9" t="s">
        <v>381</v>
      </c>
      <c r="D404" s="8">
        <v>1</v>
      </c>
      <c r="E404" s="9" t="s">
        <v>98</v>
      </c>
      <c r="F404" s="8" t="s">
        <v>382</v>
      </c>
      <c r="G404" s="8" t="s">
        <v>97</v>
      </c>
      <c r="H404" s="8" t="s">
        <v>152</v>
      </c>
      <c r="I404" s="8" t="s">
        <v>91</v>
      </c>
      <c r="J404" s="9" t="s">
        <v>380</v>
      </c>
      <c r="K404" s="8" t="str">
        <f>VLOOKUP(LEFT(H404,7),'קטלוג תרחישים'!$A:$M,12,FALSE())</f>
        <v>ג'</v>
      </c>
      <c r="L404" s="8" t="str">
        <f>IF(J404="כן",K404,VLOOKUP(LEFT(H404,7),'קטלוג תרחישים'!$A:$M,13,FALSE()))</f>
        <v>ג'</v>
      </c>
      <c r="M404" s="13"/>
      <c r="N404" s="50" t="s">
        <v>366</v>
      </c>
      <c r="O404" s="13" t="str">
        <f t="array" ref="O404">_xlfn.IFS(N404="A","א'", N404="B", "ב'", N404= "C", "ג'")</f>
        <v>ג'</v>
      </c>
      <c r="P404" s="13">
        <f>IF(Table_2[[#This Row],[Correct_Answer]]=Table_2[[#This Row],[System_Recommendation]],1,0)</f>
        <v>1</v>
      </c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 spans="1:26" ht="15.75" hidden="1" customHeight="1">
      <c r="A405" s="8" t="s">
        <v>170</v>
      </c>
      <c r="B405" s="8">
        <v>8</v>
      </c>
      <c r="C405" s="9" t="s">
        <v>381</v>
      </c>
      <c r="D405" s="8">
        <v>1</v>
      </c>
      <c r="E405" s="9" t="s">
        <v>98</v>
      </c>
      <c r="F405" s="8" t="s">
        <v>382</v>
      </c>
      <c r="G405" s="8" t="s">
        <v>97</v>
      </c>
      <c r="H405" s="8" t="s">
        <v>155</v>
      </c>
      <c r="I405" s="8" t="s">
        <v>100</v>
      </c>
      <c r="J405" s="9" t="s">
        <v>380</v>
      </c>
      <c r="K405" s="8" t="str">
        <f>VLOOKUP(LEFT(H405,7),'קטלוג תרחישים'!$A:$M,12,FALSE())</f>
        <v>ג'</v>
      </c>
      <c r="L405" s="8" t="str">
        <f>IF(J405="כן",K405,VLOOKUP(LEFT(H405,7),'קטלוג תרחישים'!$A:$M,13,FALSE()))</f>
        <v>ג'</v>
      </c>
      <c r="M405" s="13"/>
      <c r="N405" s="51" t="s">
        <v>365</v>
      </c>
      <c r="O405" s="13" t="str">
        <f t="array" ref="O405">_xlfn.IFS(N405="A","א'", N405="B", "ב'", N405= "C", "ג'")</f>
        <v>ב'</v>
      </c>
      <c r="P405" s="13">
        <f>IF(Table_2[[#This Row],[Correct_Answer]]=Table_2[[#This Row],[System_Recommendation]],1,0)</f>
        <v>1</v>
      </c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 spans="1:26" ht="15.75" hidden="1" customHeight="1">
      <c r="A406" s="8" t="s">
        <v>170</v>
      </c>
      <c r="B406" s="8">
        <v>9</v>
      </c>
      <c r="C406" s="9" t="s">
        <v>381</v>
      </c>
      <c r="D406" s="8">
        <v>1</v>
      </c>
      <c r="E406" s="9" t="s">
        <v>98</v>
      </c>
      <c r="F406" s="8" t="s">
        <v>382</v>
      </c>
      <c r="G406" s="8" t="s">
        <v>97</v>
      </c>
      <c r="H406" s="8" t="s">
        <v>156</v>
      </c>
      <c r="I406" s="8" t="s">
        <v>91</v>
      </c>
      <c r="J406" s="9" t="s">
        <v>383</v>
      </c>
      <c r="K406" s="8" t="str">
        <f>VLOOKUP(LEFT(H406,7),'קטלוג תרחישים'!$A:$M,12,FALSE())</f>
        <v>ב'</v>
      </c>
      <c r="L406" s="8" t="str">
        <f>IF(J406="כן",K406,VLOOKUP(LEFT(H406,7),'קטלוג תרחישים'!$A:$M,13,FALSE()))</f>
        <v>א'</v>
      </c>
      <c r="M406" s="13"/>
      <c r="N406" s="50" t="s">
        <v>365</v>
      </c>
      <c r="O406" s="13" t="str">
        <f t="array" ref="O406">_xlfn.IFS(N406="A","א'", N406="B", "ב'", N406= "C", "ג'")</f>
        <v>ב'</v>
      </c>
      <c r="P406" s="13">
        <f>IF(Table_2[[#This Row],[Correct_Answer]]=Table_2[[#This Row],[System_Recommendation]],1,0)</f>
        <v>0</v>
      </c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 spans="1:26" ht="15.75" hidden="1" customHeight="1">
      <c r="A407" s="8" t="s">
        <v>170</v>
      </c>
      <c r="B407" s="8">
        <v>10</v>
      </c>
      <c r="C407" s="9" t="s">
        <v>381</v>
      </c>
      <c r="D407" s="8">
        <v>1</v>
      </c>
      <c r="E407" s="9" t="s">
        <v>98</v>
      </c>
      <c r="F407" s="8" t="s">
        <v>382</v>
      </c>
      <c r="G407" s="8" t="s">
        <v>97</v>
      </c>
      <c r="H407" s="8" t="s">
        <v>153</v>
      </c>
      <c r="I407" s="8" t="s">
        <v>100</v>
      </c>
      <c r="J407" s="9" t="s">
        <v>380</v>
      </c>
      <c r="K407" s="8" t="str">
        <f>VLOOKUP(LEFT(H407,7),'קטלוג תרחישים'!$A:$M,12,FALSE())</f>
        <v>א'</v>
      </c>
      <c r="L407" s="8" t="str">
        <f>IF(J407="כן",K407,VLOOKUP(LEFT(H407,7),'קטלוג תרחישים'!$A:$M,13,FALSE()))</f>
        <v>א'</v>
      </c>
      <c r="M407" s="13"/>
      <c r="N407" s="51" t="s">
        <v>365</v>
      </c>
      <c r="O407" s="13" t="str">
        <f t="array" ref="O407">_xlfn.IFS(N407="A","א'", N407="B", "ב'", N407= "C", "ג'")</f>
        <v>ב'</v>
      </c>
      <c r="P407" s="13">
        <f>IF(Table_2[[#This Row],[Correct_Answer]]=Table_2[[#This Row],[System_Recommendation]],1,0)</f>
        <v>1</v>
      </c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 spans="1:26" ht="15.75" hidden="1" customHeight="1">
      <c r="A408" s="8" t="s">
        <v>170</v>
      </c>
      <c r="B408" s="8">
        <v>11</v>
      </c>
      <c r="C408" s="9" t="s">
        <v>381</v>
      </c>
      <c r="D408" s="8">
        <v>1</v>
      </c>
      <c r="E408" s="9" t="s">
        <v>98</v>
      </c>
      <c r="F408" s="8" t="s">
        <v>382</v>
      </c>
      <c r="G408" s="8" t="s">
        <v>97</v>
      </c>
      <c r="H408" s="8" t="s">
        <v>154</v>
      </c>
      <c r="I408" s="8" t="s">
        <v>91</v>
      </c>
      <c r="J408" s="9" t="s">
        <v>380</v>
      </c>
      <c r="K408" s="8" t="str">
        <f>VLOOKUP(LEFT(H408,7),'קטלוג תרחישים'!$A:$M,12,FALSE())</f>
        <v>ג'</v>
      </c>
      <c r="L408" s="8" t="str">
        <f>IF(J408="כן",K408,VLOOKUP(LEFT(H408,7),'קטלוג תרחישים'!$A:$M,13,FALSE()))</f>
        <v>ג'</v>
      </c>
      <c r="M408" s="13"/>
      <c r="N408" s="50" t="s">
        <v>360</v>
      </c>
      <c r="O408" s="13" t="str">
        <f t="array" ref="O408">_xlfn.IFS(N408="A","א'", N408="B", "ב'", N408= "C", "ג'")</f>
        <v>א'</v>
      </c>
      <c r="P408" s="13">
        <f>IF(Table_2[[#This Row],[Correct_Answer]]=Table_2[[#This Row],[System_Recommendation]],1,0)</f>
        <v>1</v>
      </c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 spans="1:26" ht="15.75" hidden="1" customHeight="1">
      <c r="A409" s="8" t="s">
        <v>170</v>
      </c>
      <c r="B409" s="8">
        <v>12</v>
      </c>
      <c r="C409" s="9" t="s">
        <v>381</v>
      </c>
      <c r="D409" s="8">
        <v>2</v>
      </c>
      <c r="E409" s="9" t="s">
        <v>105</v>
      </c>
      <c r="F409" s="8" t="s">
        <v>382</v>
      </c>
      <c r="G409" s="8" t="s">
        <v>97</v>
      </c>
      <c r="H409" s="8" t="s">
        <v>144</v>
      </c>
      <c r="I409" s="8" t="s">
        <v>100</v>
      </c>
      <c r="J409" s="9" t="s">
        <v>380</v>
      </c>
      <c r="K409" s="8" t="str">
        <f>VLOOKUP(LEFT(H409,7),'קטלוג תרחישים'!$A:$M,12,FALSE())</f>
        <v>ג'</v>
      </c>
      <c r="L409" s="8" t="str">
        <f>IF(J409="כן",K409,VLOOKUP(LEFT(H409,7),'קטלוג תרחישים'!$A:$M,13,FALSE()))</f>
        <v>ג'</v>
      </c>
      <c r="M409" s="13"/>
      <c r="N409" s="51" t="s">
        <v>360</v>
      </c>
      <c r="O409" s="13" t="str">
        <f t="array" ref="O409">_xlfn.IFS(N409="A","א'", N409="B", "ב'", N409= "C", "ג'")</f>
        <v>א'</v>
      </c>
      <c r="P409" s="13">
        <f>IF(Table_2[[#This Row],[Correct_Answer]]=Table_2[[#This Row],[System_Recommendation]],1,0)</f>
        <v>1</v>
      </c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 spans="1:26" ht="15.75" hidden="1" customHeight="1">
      <c r="A410" s="8" t="s">
        <v>170</v>
      </c>
      <c r="B410" s="8">
        <v>13</v>
      </c>
      <c r="C410" s="9" t="s">
        <v>381</v>
      </c>
      <c r="D410" s="8">
        <v>2</v>
      </c>
      <c r="E410" s="9" t="s">
        <v>105</v>
      </c>
      <c r="F410" s="8" t="s">
        <v>382</v>
      </c>
      <c r="G410" s="8" t="s">
        <v>97</v>
      </c>
      <c r="H410" s="8" t="s">
        <v>143</v>
      </c>
      <c r="I410" s="8" t="s">
        <v>91</v>
      </c>
      <c r="J410" s="9" t="s">
        <v>383</v>
      </c>
      <c r="K410" s="8" t="str">
        <f>VLOOKUP(LEFT(H410,7),'קטלוג תרחישים'!$A:$M,12,FALSE())</f>
        <v>א'</v>
      </c>
      <c r="L410" s="8" t="str">
        <f>IF(J410="כן",K410,VLOOKUP(LEFT(H410,7),'קטלוג תרחישים'!$A:$M,13,FALSE()))</f>
        <v>ב'</v>
      </c>
      <c r="M410" s="13"/>
      <c r="N410" s="50" t="s">
        <v>360</v>
      </c>
      <c r="O410" s="13" t="str">
        <f t="array" ref="O410">_xlfn.IFS(N410="A","א'", N410="B", "ב'", N410= "C", "ג'")</f>
        <v>א'</v>
      </c>
      <c r="P410" s="13">
        <f>IF(Table_2[[#This Row],[Correct_Answer]]=Table_2[[#This Row],[System_Recommendation]],1,0)</f>
        <v>0</v>
      </c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 spans="1:26" ht="15.75" hidden="1" customHeight="1">
      <c r="A411" s="8" t="s">
        <v>170</v>
      </c>
      <c r="B411" s="8">
        <v>14</v>
      </c>
      <c r="C411" s="9" t="s">
        <v>381</v>
      </c>
      <c r="D411" s="8">
        <v>2</v>
      </c>
      <c r="E411" s="9" t="s">
        <v>105</v>
      </c>
      <c r="F411" s="8" t="s">
        <v>382</v>
      </c>
      <c r="G411" s="8" t="s">
        <v>97</v>
      </c>
      <c r="H411" s="8" t="s">
        <v>142</v>
      </c>
      <c r="I411" s="8" t="s">
        <v>100</v>
      </c>
      <c r="J411" s="9" t="s">
        <v>380</v>
      </c>
      <c r="K411" s="8" t="str">
        <f>VLOOKUP(LEFT(H411,7),'קטלוג תרחישים'!$A:$M,12,FALSE())</f>
        <v>ב'</v>
      </c>
      <c r="L411" s="8" t="str">
        <f>IF(J411="כן",K411,VLOOKUP(LEFT(H411,7),'קטלוג תרחישים'!$A:$M,13,FALSE()))</f>
        <v>ב'</v>
      </c>
      <c r="M411" s="13"/>
      <c r="N411" s="51" t="s">
        <v>360</v>
      </c>
      <c r="O411" s="13" t="str">
        <f t="array" ref="O411">_xlfn.IFS(N411="A","א'", N411="B", "ב'", N411= "C", "ג'")</f>
        <v>א'</v>
      </c>
      <c r="P411" s="13">
        <f>IF(Table_2[[#This Row],[Correct_Answer]]=Table_2[[#This Row],[System_Recommendation]],1,0)</f>
        <v>1</v>
      </c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 spans="1:26" ht="15.75" hidden="1" customHeight="1">
      <c r="A412" s="8" t="s">
        <v>170</v>
      </c>
      <c r="B412" s="8">
        <v>15</v>
      </c>
      <c r="C412" s="9" t="s">
        <v>381</v>
      </c>
      <c r="D412" s="8">
        <v>2</v>
      </c>
      <c r="E412" s="9" t="s">
        <v>105</v>
      </c>
      <c r="F412" s="8" t="s">
        <v>382</v>
      </c>
      <c r="G412" s="8" t="s">
        <v>97</v>
      </c>
      <c r="H412" s="8" t="s">
        <v>145</v>
      </c>
      <c r="I412" s="8" t="s">
        <v>91</v>
      </c>
      <c r="J412" s="9" t="s">
        <v>380</v>
      </c>
      <c r="K412" s="8" t="str">
        <f>VLOOKUP(LEFT(H412,7),'קטלוג תרחישים'!$A:$M,12,FALSE())</f>
        <v>ב'</v>
      </c>
      <c r="L412" s="8" t="str">
        <f>IF(J412="כן",K412,VLOOKUP(LEFT(H412,7),'קטלוג תרחישים'!$A:$M,13,FALSE()))</f>
        <v>ב'</v>
      </c>
      <c r="M412" s="13"/>
      <c r="N412" s="50" t="s">
        <v>365</v>
      </c>
      <c r="O412" s="13" t="str">
        <f t="array" ref="O412">_xlfn.IFS(N412="A","א'", N412="B", "ב'", N412= "C", "ג'")</f>
        <v>ב'</v>
      </c>
      <c r="P412" s="13">
        <f>IF(Table_2[[#This Row],[Correct_Answer]]=Table_2[[#This Row],[System_Recommendation]],1,0)</f>
        <v>1</v>
      </c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 spans="1:26" ht="15.75" hidden="1" customHeight="1">
      <c r="A413" s="8" t="s">
        <v>170</v>
      </c>
      <c r="B413" s="8">
        <v>16</v>
      </c>
      <c r="C413" s="9" t="s">
        <v>381</v>
      </c>
      <c r="D413" s="8">
        <v>2</v>
      </c>
      <c r="E413" s="9" t="s">
        <v>105</v>
      </c>
      <c r="F413" s="8" t="s">
        <v>382</v>
      </c>
      <c r="G413" s="8" t="s">
        <v>97</v>
      </c>
      <c r="H413" s="8" t="s">
        <v>146</v>
      </c>
      <c r="I413" s="8" t="s">
        <v>100</v>
      </c>
      <c r="J413" s="9" t="s">
        <v>380</v>
      </c>
      <c r="K413" s="8" t="str">
        <f>VLOOKUP(LEFT(H413,7),'קטלוג תרחישים'!$A:$M,12,FALSE())</f>
        <v>ג'</v>
      </c>
      <c r="L413" s="8" t="str">
        <f>IF(J413="כן",K413,VLOOKUP(LEFT(H413,7),'קטלוג תרחישים'!$A:$M,13,FALSE()))</f>
        <v>ג'</v>
      </c>
      <c r="M413" s="13"/>
      <c r="N413" s="51" t="s">
        <v>365</v>
      </c>
      <c r="O413" s="13" t="str">
        <f t="array" ref="O413">_xlfn.IFS(N413="A","א'", N413="B", "ב'", N413= "C", "ג'")</f>
        <v>ב'</v>
      </c>
      <c r="P413" s="13">
        <f>IF(Table_2[[#This Row],[Correct_Answer]]=Table_2[[#This Row],[System_Recommendation]],1,0)</f>
        <v>1</v>
      </c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 spans="1:26" ht="15.75" hidden="1" customHeight="1">
      <c r="A414" s="8" t="s">
        <v>170</v>
      </c>
      <c r="B414" s="8">
        <v>17</v>
      </c>
      <c r="C414" s="9" t="s">
        <v>381</v>
      </c>
      <c r="D414" s="8">
        <v>3</v>
      </c>
      <c r="E414" s="9" t="s">
        <v>111</v>
      </c>
      <c r="F414" s="8" t="s">
        <v>382</v>
      </c>
      <c r="G414" s="8" t="s">
        <v>97</v>
      </c>
      <c r="H414" s="8" t="s">
        <v>147</v>
      </c>
      <c r="I414" s="8" t="s">
        <v>91</v>
      </c>
      <c r="J414" s="9" t="s">
        <v>383</v>
      </c>
      <c r="K414" s="8" t="str">
        <f>VLOOKUP(LEFT(H414,7),'קטלוג תרחישים'!$A:$M,12,FALSE())</f>
        <v>ג'</v>
      </c>
      <c r="L414" s="8" t="str">
        <f>IF(J414="כן",K414,VLOOKUP(LEFT(H414,7),'קטלוג תרחישים'!$A:$M,13,FALSE()))</f>
        <v>א'</v>
      </c>
      <c r="M414" s="13"/>
      <c r="N414" s="50" t="s">
        <v>366</v>
      </c>
      <c r="O414" s="13" t="str">
        <f t="array" ref="O414">_xlfn.IFS(N414="A","א'", N414="B", "ב'", N414= "C", "ג'")</f>
        <v>ג'</v>
      </c>
      <c r="P414" s="13">
        <f>IF(Table_2[[#This Row],[Correct_Answer]]=Table_2[[#This Row],[System_Recommendation]],1,0)</f>
        <v>0</v>
      </c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 spans="1:26" ht="15.75" hidden="1" customHeight="1">
      <c r="A415" s="8" t="s">
        <v>170</v>
      </c>
      <c r="B415" s="8">
        <v>18</v>
      </c>
      <c r="C415" s="9" t="s">
        <v>381</v>
      </c>
      <c r="D415" s="8">
        <v>3</v>
      </c>
      <c r="E415" s="9" t="s">
        <v>111</v>
      </c>
      <c r="F415" s="8" t="s">
        <v>382</v>
      </c>
      <c r="G415" s="8" t="s">
        <v>97</v>
      </c>
      <c r="H415" s="8" t="s">
        <v>148</v>
      </c>
      <c r="I415" s="8" t="s">
        <v>100</v>
      </c>
      <c r="J415" s="9" t="s">
        <v>380</v>
      </c>
      <c r="K415" s="8" t="str">
        <f>VLOOKUP(LEFT(H415,7),'קטלוג תרחישים'!$A:$M,12,FALSE())</f>
        <v>ב'</v>
      </c>
      <c r="L415" s="8" t="str">
        <f>IF(J415="כן",K415,VLOOKUP(LEFT(H415,7),'קטלוג תרחישים'!$A:$M,13,FALSE()))</f>
        <v>ב'</v>
      </c>
      <c r="M415" s="13"/>
      <c r="N415" s="51" t="s">
        <v>366</v>
      </c>
      <c r="O415" s="13" t="str">
        <f t="array" ref="O415">_xlfn.IFS(N415="A","א'", N415="B", "ב'", N415= "C", "ג'")</f>
        <v>ג'</v>
      </c>
      <c r="P415" s="13">
        <f>IF(Table_2[[#This Row],[Correct_Answer]]=Table_2[[#This Row],[System_Recommendation]],1,0)</f>
        <v>1</v>
      </c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 spans="1:26" ht="15.75" hidden="1" customHeight="1">
      <c r="A416" s="8" t="s">
        <v>170</v>
      </c>
      <c r="B416" s="8">
        <v>19</v>
      </c>
      <c r="C416" s="9" t="s">
        <v>381</v>
      </c>
      <c r="D416" s="8">
        <v>3</v>
      </c>
      <c r="E416" s="9" t="s">
        <v>111</v>
      </c>
      <c r="F416" s="8" t="s">
        <v>382</v>
      </c>
      <c r="G416" s="8" t="s">
        <v>97</v>
      </c>
      <c r="H416" s="8" t="s">
        <v>151</v>
      </c>
      <c r="I416" s="8" t="s">
        <v>91</v>
      </c>
      <c r="J416" s="9" t="s">
        <v>380</v>
      </c>
      <c r="K416" s="8" t="str">
        <f>VLOOKUP(LEFT(H416,7),'קטלוג תרחישים'!$A:$M,12,FALSE())</f>
        <v>א'</v>
      </c>
      <c r="L416" s="8" t="str">
        <f>IF(J416="כן",K416,VLOOKUP(LEFT(H416,7),'קטלוג תרחישים'!$A:$M,13,FALSE()))</f>
        <v>א'</v>
      </c>
      <c r="M416" s="13"/>
      <c r="N416" s="50" t="s">
        <v>365</v>
      </c>
      <c r="O416" s="13" t="str">
        <f t="array" ref="O416">_xlfn.IFS(N416="A","א'", N416="B", "ב'", N416= "C", "ג'")</f>
        <v>ב'</v>
      </c>
      <c r="P416" s="13">
        <f>IF(Table_2[[#This Row],[Correct_Answer]]=Table_2[[#This Row],[System_Recommendation]],1,0)</f>
        <v>1</v>
      </c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 spans="1:26" ht="15.75" hidden="1" customHeight="1">
      <c r="A417" s="8" t="s">
        <v>170</v>
      </c>
      <c r="B417" s="8">
        <v>20</v>
      </c>
      <c r="C417" s="9" t="s">
        <v>381</v>
      </c>
      <c r="D417" s="8">
        <v>3</v>
      </c>
      <c r="E417" s="9" t="s">
        <v>111</v>
      </c>
      <c r="F417" s="8" t="s">
        <v>382</v>
      </c>
      <c r="G417" s="8" t="s">
        <v>97</v>
      </c>
      <c r="H417" s="8" t="s">
        <v>150</v>
      </c>
      <c r="I417" s="8" t="s">
        <v>100</v>
      </c>
      <c r="J417" s="9" t="s">
        <v>380</v>
      </c>
      <c r="K417" s="8" t="str">
        <f>VLOOKUP(LEFT(H417,7),'קטלוג תרחישים'!$A:$M,12,FALSE())</f>
        <v>ב'</v>
      </c>
      <c r="L417" s="8" t="str">
        <f>IF(J417="כן",K417,VLOOKUP(LEFT(H417,7),'קטלוג תרחישים'!$A:$M,13,FALSE()))</f>
        <v>ב'</v>
      </c>
      <c r="M417" s="13"/>
      <c r="N417" s="51" t="s">
        <v>366</v>
      </c>
      <c r="O417" s="13" t="str">
        <f t="array" ref="O417">_xlfn.IFS(N417="A","א'", N417="B", "ב'", N417= "C", "ג'")</f>
        <v>ג'</v>
      </c>
      <c r="P417" s="13">
        <f>IF(Table_2[[#This Row],[Correct_Answer]]=Table_2[[#This Row],[System_Recommendation]],1,0)</f>
        <v>1</v>
      </c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 spans="1:26" ht="15.75" hidden="1" customHeight="1">
      <c r="A418" s="8" t="s">
        <v>170</v>
      </c>
      <c r="B418" s="8">
        <v>21</v>
      </c>
      <c r="C418" s="9" t="s">
        <v>381</v>
      </c>
      <c r="D418" s="8">
        <v>3</v>
      </c>
      <c r="E418" s="9" t="s">
        <v>111</v>
      </c>
      <c r="F418" s="8" t="s">
        <v>382</v>
      </c>
      <c r="G418" s="8" t="s">
        <v>97</v>
      </c>
      <c r="H418" s="8" t="s">
        <v>149</v>
      </c>
      <c r="I418" s="8" t="s">
        <v>91</v>
      </c>
      <c r="J418" s="9" t="s">
        <v>380</v>
      </c>
      <c r="K418" s="8" t="str">
        <f>VLOOKUP(LEFT(H418,7),'קטלוג תרחישים'!$A:$M,12,FALSE())</f>
        <v>ג'</v>
      </c>
      <c r="L418" s="8" t="str">
        <f>IF(J418="כן",K418,VLOOKUP(LEFT(H418,7),'קטלוג תרחישים'!$A:$M,13,FALSE()))</f>
        <v>ג'</v>
      </c>
      <c r="M418" s="13"/>
      <c r="N418" s="50" t="s">
        <v>360</v>
      </c>
      <c r="O418" s="13" t="str">
        <f t="array" ref="O418">_xlfn.IFS(N418="A","א'", N418="B", "ב'", N418= "C", "ג'")</f>
        <v>א'</v>
      </c>
      <c r="P418" s="13">
        <f>IF(Table_2[[#This Row],[Correct_Answer]]=Table_2[[#This Row],[System_Recommendation]],1,0)</f>
        <v>1</v>
      </c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 spans="1:26" ht="15.75" hidden="1" customHeight="1">
      <c r="A419" s="8" t="s">
        <v>170</v>
      </c>
      <c r="B419" s="8">
        <v>22</v>
      </c>
      <c r="C419" s="9" t="s">
        <v>381</v>
      </c>
      <c r="D419" s="8">
        <v>1</v>
      </c>
      <c r="E419" s="9" t="s">
        <v>105</v>
      </c>
      <c r="F419" s="8" t="s">
        <v>384</v>
      </c>
      <c r="G419" s="8" t="s">
        <v>117</v>
      </c>
      <c r="H419" s="8" t="s">
        <v>167</v>
      </c>
      <c r="I419" s="8" t="s">
        <v>91</v>
      </c>
      <c r="J419" s="9" t="s">
        <v>380</v>
      </c>
      <c r="K419" s="8" t="str">
        <f>VLOOKUP(LEFT(H419,7),'קטלוג תרחישים'!$A:$M,12,FALSE())</f>
        <v>ב'</v>
      </c>
      <c r="L419" s="8" t="str">
        <f>IF(J419="כן",K419,VLOOKUP(LEFT(H419,7),'קטלוג תרחישים'!$A:$M,13,FALSE()))</f>
        <v>ב'</v>
      </c>
      <c r="M419" s="13"/>
      <c r="N419" s="51" t="s">
        <v>366</v>
      </c>
      <c r="O419" s="13" t="str">
        <f t="array" ref="O419">_xlfn.IFS(N419="A","א'", N419="B", "ב'", N419= "C", "ג'")</f>
        <v>ג'</v>
      </c>
      <c r="P419" s="13">
        <f>IF(Table_2[[#This Row],[Correct_Answer]]=Table_2[[#This Row],[System_Recommendation]],1,0)</f>
        <v>1</v>
      </c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 spans="1:26" ht="15.75" hidden="1" customHeight="1">
      <c r="A420" s="8" t="s">
        <v>170</v>
      </c>
      <c r="B420" s="8">
        <v>23</v>
      </c>
      <c r="C420" s="9" t="s">
        <v>381</v>
      </c>
      <c r="D420" s="8">
        <v>1</v>
      </c>
      <c r="E420" s="9" t="s">
        <v>105</v>
      </c>
      <c r="F420" s="8" t="s">
        <v>384</v>
      </c>
      <c r="G420" s="8" t="s">
        <v>117</v>
      </c>
      <c r="H420" s="8" t="s">
        <v>168</v>
      </c>
      <c r="I420" s="8" t="s">
        <v>100</v>
      </c>
      <c r="J420" s="9" t="s">
        <v>380</v>
      </c>
      <c r="K420" s="8" t="str">
        <f>VLOOKUP(LEFT(H420,7),'קטלוג תרחישים'!$A:$M,12,FALSE())</f>
        <v>א'</v>
      </c>
      <c r="L420" s="8" t="str">
        <f>IF(J420="כן",K420,VLOOKUP(LEFT(H420,7),'קטלוג תרחישים'!$A:$M,13,FALSE()))</f>
        <v>א'</v>
      </c>
      <c r="M420" s="13"/>
      <c r="N420" s="50" t="s">
        <v>366</v>
      </c>
      <c r="O420" s="13" t="str">
        <f t="array" ref="O420">_xlfn.IFS(N420="A","א'", N420="B", "ב'", N420= "C", "ג'")</f>
        <v>ג'</v>
      </c>
      <c r="P420" s="13">
        <f>IF(Table_2[[#This Row],[Correct_Answer]]=Table_2[[#This Row],[System_Recommendation]],1,0)</f>
        <v>1</v>
      </c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 spans="1:26" ht="15.75" hidden="1" customHeight="1">
      <c r="A421" s="8" t="s">
        <v>170</v>
      </c>
      <c r="B421" s="8">
        <v>24</v>
      </c>
      <c r="C421" s="9" t="s">
        <v>381</v>
      </c>
      <c r="D421" s="8">
        <v>1</v>
      </c>
      <c r="E421" s="9" t="s">
        <v>105</v>
      </c>
      <c r="F421" s="8" t="s">
        <v>384</v>
      </c>
      <c r="G421" s="8" t="s">
        <v>117</v>
      </c>
      <c r="H421" s="8" t="s">
        <v>165</v>
      </c>
      <c r="I421" s="8" t="s">
        <v>91</v>
      </c>
      <c r="J421" s="9" t="s">
        <v>383</v>
      </c>
      <c r="K421" s="8" t="str">
        <f>VLOOKUP(LEFT(H421,7),'קטלוג תרחישים'!$A:$M,12,FALSE())</f>
        <v>ג'</v>
      </c>
      <c r="L421" s="8" t="str">
        <f>IF(J421="כן",K421,VLOOKUP(LEFT(H421,7),'קטלוג תרחישים'!$A:$M,13,FALSE()))</f>
        <v>א'</v>
      </c>
      <c r="M421" s="13"/>
      <c r="N421" s="51" t="s">
        <v>365</v>
      </c>
      <c r="O421" s="13" t="str">
        <f t="array" ref="O421">_xlfn.IFS(N421="A","א'", N421="B", "ב'", N421= "C", "ג'")</f>
        <v>ב'</v>
      </c>
      <c r="P421" s="13">
        <f>IF(Table_2[[#This Row],[Correct_Answer]]=Table_2[[#This Row],[System_Recommendation]],1,0)</f>
        <v>0</v>
      </c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 spans="1:26" ht="15.75" hidden="1" customHeight="1">
      <c r="A422" s="8" t="s">
        <v>170</v>
      </c>
      <c r="B422" s="8">
        <v>25</v>
      </c>
      <c r="C422" s="9" t="s">
        <v>381</v>
      </c>
      <c r="D422" s="8">
        <v>1</v>
      </c>
      <c r="E422" s="9" t="s">
        <v>105</v>
      </c>
      <c r="F422" s="8" t="s">
        <v>384</v>
      </c>
      <c r="G422" s="8" t="s">
        <v>117</v>
      </c>
      <c r="H422" s="8" t="s">
        <v>166</v>
      </c>
      <c r="I422" s="8" t="s">
        <v>100</v>
      </c>
      <c r="J422" s="9" t="s">
        <v>383</v>
      </c>
      <c r="K422" s="8" t="str">
        <f>VLOOKUP(LEFT(H422,7),'קטלוג תרחישים'!$A:$M,12,FALSE())</f>
        <v>א'</v>
      </c>
      <c r="L422" s="8" t="str">
        <f>IF(J422="כן",K422,VLOOKUP(LEFT(H422,7),'קטלוג תרחישים'!$A:$M,13,FALSE()))</f>
        <v>ג'</v>
      </c>
      <c r="M422" s="13"/>
      <c r="N422" s="50" t="s">
        <v>360</v>
      </c>
      <c r="O422" s="13" t="str">
        <f t="array" ref="O422">_xlfn.IFS(N422="A","א'", N422="B", "ב'", N422= "C", "ג'")</f>
        <v>א'</v>
      </c>
      <c r="P422" s="13">
        <f>IF(Table_2[[#This Row],[Correct_Answer]]=Table_2[[#This Row],[System_Recommendation]],1,0)</f>
        <v>0</v>
      </c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 spans="1:26" ht="15.75" hidden="1" customHeight="1">
      <c r="A423" s="8" t="s">
        <v>170</v>
      </c>
      <c r="B423" s="8">
        <v>26</v>
      </c>
      <c r="C423" s="9" t="s">
        <v>381</v>
      </c>
      <c r="D423" s="8">
        <v>2</v>
      </c>
      <c r="E423" s="9" t="s">
        <v>111</v>
      </c>
      <c r="F423" s="8" t="s">
        <v>384</v>
      </c>
      <c r="G423" s="8" t="s">
        <v>117</v>
      </c>
      <c r="H423" s="8" t="s">
        <v>157</v>
      </c>
      <c r="I423" s="8" t="s">
        <v>91</v>
      </c>
      <c r="J423" s="9" t="s">
        <v>383</v>
      </c>
      <c r="K423" s="8" t="str">
        <f>VLOOKUP(LEFT(H423,7),'קטלוג תרחישים'!$A:$M,12,FALSE())</f>
        <v>ג'</v>
      </c>
      <c r="L423" s="8" t="str">
        <f>IF(J423="כן",K423,VLOOKUP(LEFT(H423,7),'קטלוג תרחישים'!$A:$M,13,FALSE()))</f>
        <v>א'</v>
      </c>
      <c r="M423" s="13"/>
      <c r="N423" s="51" t="s">
        <v>366</v>
      </c>
      <c r="O423" s="13" t="str">
        <f t="array" ref="O423">_xlfn.IFS(N423="A","א'", N423="B", "ב'", N423= "C", "ג'")</f>
        <v>ג'</v>
      </c>
      <c r="P423" s="13">
        <f>IF(Table_2[[#This Row],[Correct_Answer]]=Table_2[[#This Row],[System_Recommendation]],1,0)</f>
        <v>0</v>
      </c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 spans="1:26" ht="15.75" hidden="1" customHeight="1">
      <c r="A424" s="8" t="s">
        <v>170</v>
      </c>
      <c r="B424" s="8">
        <v>27</v>
      </c>
      <c r="C424" s="9" t="s">
        <v>381</v>
      </c>
      <c r="D424" s="8">
        <v>2</v>
      </c>
      <c r="E424" s="9" t="s">
        <v>111</v>
      </c>
      <c r="F424" s="8" t="s">
        <v>384</v>
      </c>
      <c r="G424" s="8" t="s">
        <v>117</v>
      </c>
      <c r="H424" s="8" t="s">
        <v>160</v>
      </c>
      <c r="I424" s="8" t="s">
        <v>100</v>
      </c>
      <c r="J424" s="9" t="s">
        <v>383</v>
      </c>
      <c r="K424" s="8" t="str">
        <f>VLOOKUP(LEFT(H424,7),'קטלוג תרחישים'!$A:$M,12,FALSE())</f>
        <v>א'</v>
      </c>
      <c r="L424" s="8" t="str">
        <f>IF(J424="כן",K424,VLOOKUP(LEFT(H424,7),'קטלוג תרחישים'!$A:$M,13,FALSE()))</f>
        <v>ב'</v>
      </c>
      <c r="M424" s="13"/>
      <c r="N424" s="50" t="s">
        <v>365</v>
      </c>
      <c r="O424" s="13" t="str">
        <f t="array" ref="O424">_xlfn.IFS(N424="A","א'", N424="B", "ב'", N424= "C", "ג'")</f>
        <v>ב'</v>
      </c>
      <c r="P424" s="13">
        <f>IF(Table_2[[#This Row],[Correct_Answer]]=Table_2[[#This Row],[System_Recommendation]],1,0)</f>
        <v>0</v>
      </c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 spans="1:26" ht="15.75" hidden="1" customHeight="1">
      <c r="A425" s="8" t="s">
        <v>170</v>
      </c>
      <c r="B425" s="8">
        <v>28</v>
      </c>
      <c r="C425" s="9" t="s">
        <v>381</v>
      </c>
      <c r="D425" s="8">
        <v>2</v>
      </c>
      <c r="E425" s="9" t="s">
        <v>111</v>
      </c>
      <c r="F425" s="8" t="s">
        <v>384</v>
      </c>
      <c r="G425" s="8" t="s">
        <v>117</v>
      </c>
      <c r="H425" s="8" t="s">
        <v>159</v>
      </c>
      <c r="I425" s="8" t="s">
        <v>91</v>
      </c>
      <c r="J425" s="9" t="s">
        <v>380</v>
      </c>
      <c r="K425" s="8" t="str">
        <f>VLOOKUP(LEFT(H425,7),'קטלוג תרחישים'!$A:$M,12,FALSE())</f>
        <v>ג'</v>
      </c>
      <c r="L425" s="8" t="str">
        <f>IF(J425="כן",K425,VLOOKUP(LEFT(H425,7),'קטלוג תרחישים'!$A:$M,13,FALSE()))</f>
        <v>ג'</v>
      </c>
      <c r="M425" s="13"/>
      <c r="N425" s="51" t="s">
        <v>366</v>
      </c>
      <c r="O425" s="13" t="str">
        <f t="array" ref="O425">_xlfn.IFS(N425="A","א'", N425="B", "ב'", N425= "C", "ג'")</f>
        <v>ג'</v>
      </c>
      <c r="P425" s="13">
        <f>IF(Table_2[[#This Row],[Correct_Answer]]=Table_2[[#This Row],[System_Recommendation]],1,0)</f>
        <v>1</v>
      </c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 spans="1:26" ht="15.75" hidden="1" customHeight="1">
      <c r="A426" s="8" t="s">
        <v>170</v>
      </c>
      <c r="B426" s="8">
        <v>29</v>
      </c>
      <c r="C426" s="9" t="s">
        <v>381</v>
      </c>
      <c r="D426" s="8">
        <v>2</v>
      </c>
      <c r="E426" s="9" t="s">
        <v>111</v>
      </c>
      <c r="F426" s="8" t="s">
        <v>384</v>
      </c>
      <c r="G426" s="8" t="s">
        <v>117</v>
      </c>
      <c r="H426" s="8" t="s">
        <v>158</v>
      </c>
      <c r="I426" s="8" t="s">
        <v>100</v>
      </c>
      <c r="J426" s="9" t="s">
        <v>380</v>
      </c>
      <c r="K426" s="8" t="str">
        <f>VLOOKUP(LEFT(H426,7),'קטלוג תרחישים'!$A:$M,12,FALSE())</f>
        <v>ג'</v>
      </c>
      <c r="L426" s="8" t="str">
        <f>IF(J426="כן",K426,VLOOKUP(LEFT(H426,7),'קטלוג תרחישים'!$A:$M,13,FALSE()))</f>
        <v>ג'</v>
      </c>
      <c r="M426" s="13"/>
      <c r="N426" s="50" t="s">
        <v>366</v>
      </c>
      <c r="O426" s="13" t="str">
        <f t="array" ref="O426">_xlfn.IFS(N426="A","א'", N426="B", "ב'", N426= "C", "ג'")</f>
        <v>ג'</v>
      </c>
      <c r="P426" s="13">
        <f>IF(Table_2[[#This Row],[Correct_Answer]]=Table_2[[#This Row],[System_Recommendation]],1,0)</f>
        <v>1</v>
      </c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 spans="1:26" ht="15.75" hidden="1" customHeight="1">
      <c r="A427" s="8" t="s">
        <v>170</v>
      </c>
      <c r="B427" s="8">
        <v>30</v>
      </c>
      <c r="C427" s="9" t="s">
        <v>381</v>
      </c>
      <c r="D427" s="8">
        <v>3</v>
      </c>
      <c r="E427" s="9" t="s">
        <v>98</v>
      </c>
      <c r="F427" s="8" t="s">
        <v>384</v>
      </c>
      <c r="G427" s="8" t="s">
        <v>117</v>
      </c>
      <c r="H427" s="8" t="s">
        <v>163</v>
      </c>
      <c r="I427" s="8" t="s">
        <v>91</v>
      </c>
      <c r="J427" s="9" t="s">
        <v>383</v>
      </c>
      <c r="K427" s="8" t="str">
        <f>VLOOKUP(LEFT(H427,7),'קטלוג תרחישים'!$A:$M,12,FALSE())</f>
        <v>ג'</v>
      </c>
      <c r="L427" s="8" t="str">
        <f>IF(J427="כן",K427,VLOOKUP(LEFT(H427,7),'קטלוג תרחישים'!$A:$M,13,FALSE()))</f>
        <v>א'</v>
      </c>
      <c r="M427" s="13"/>
      <c r="N427" s="51" t="s">
        <v>365</v>
      </c>
      <c r="O427" s="13" t="str">
        <f t="array" ref="O427">_xlfn.IFS(N427="A","א'", N427="B", "ב'", N427= "C", "ג'")</f>
        <v>ב'</v>
      </c>
      <c r="P427" s="13">
        <f>IF(Table_2[[#This Row],[Correct_Answer]]=Table_2[[#This Row],[System_Recommendation]],1,0)</f>
        <v>0</v>
      </c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 spans="1:26" ht="15.75" hidden="1" customHeight="1">
      <c r="A428" s="8" t="s">
        <v>170</v>
      </c>
      <c r="B428" s="8">
        <v>31</v>
      </c>
      <c r="C428" s="9" t="s">
        <v>381</v>
      </c>
      <c r="D428" s="8">
        <v>3</v>
      </c>
      <c r="E428" s="9" t="s">
        <v>98</v>
      </c>
      <c r="F428" s="8" t="s">
        <v>384</v>
      </c>
      <c r="G428" s="8" t="s">
        <v>117</v>
      </c>
      <c r="H428" s="8" t="s">
        <v>164</v>
      </c>
      <c r="I428" s="8" t="s">
        <v>100</v>
      </c>
      <c r="J428" s="9" t="s">
        <v>380</v>
      </c>
      <c r="K428" s="8" t="str">
        <f>VLOOKUP(LEFT(H428,7),'קטלוג תרחישים'!$A:$M,12,FALSE())</f>
        <v>ב'</v>
      </c>
      <c r="L428" s="8" t="str">
        <f>IF(J428="כן",K428,VLOOKUP(LEFT(H428,7),'קטלוג תרחישים'!$A:$M,13,FALSE()))</f>
        <v>ב'</v>
      </c>
      <c r="M428" s="13"/>
      <c r="N428" s="50" t="s">
        <v>366</v>
      </c>
      <c r="O428" s="13" t="str">
        <f t="array" ref="O428">_xlfn.IFS(N428="A","א'", N428="B", "ב'", N428= "C", "ג'")</f>
        <v>ג'</v>
      </c>
      <c r="P428" s="13">
        <f>IF(Table_2[[#This Row],[Correct_Answer]]=Table_2[[#This Row],[System_Recommendation]],1,0)</f>
        <v>1</v>
      </c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 spans="1:26" ht="15.75" hidden="1" customHeight="1">
      <c r="A429" s="8" t="s">
        <v>170</v>
      </c>
      <c r="B429" s="8">
        <v>32</v>
      </c>
      <c r="C429" s="9" t="s">
        <v>381</v>
      </c>
      <c r="D429" s="8">
        <v>3</v>
      </c>
      <c r="E429" s="9" t="s">
        <v>98</v>
      </c>
      <c r="F429" s="8" t="s">
        <v>384</v>
      </c>
      <c r="G429" s="8" t="s">
        <v>117</v>
      </c>
      <c r="H429" s="8" t="s">
        <v>161</v>
      </c>
      <c r="I429" s="8" t="s">
        <v>91</v>
      </c>
      <c r="J429" s="9" t="s">
        <v>380</v>
      </c>
      <c r="K429" s="8" t="str">
        <f>VLOOKUP(LEFT(H429,7),'קטלוג תרחישים'!$A:$M,12,FALSE())</f>
        <v>ב'</v>
      </c>
      <c r="L429" s="8" t="str">
        <f>IF(J429="כן",K429,VLOOKUP(LEFT(H429,7),'קטלוג תרחישים'!$A:$M,13,FALSE()))</f>
        <v>ב'</v>
      </c>
      <c r="M429" s="13"/>
      <c r="N429" s="51" t="s">
        <v>360</v>
      </c>
      <c r="O429" s="13" t="str">
        <f t="array" ref="O429">_xlfn.IFS(N429="A","א'", N429="B", "ב'", N429= "C", "ג'")</f>
        <v>א'</v>
      </c>
      <c r="P429" s="13">
        <f>IF(Table_2[[#This Row],[Correct_Answer]]=Table_2[[#This Row],[System_Recommendation]],1,0)</f>
        <v>1</v>
      </c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 spans="1:26" ht="15.75" hidden="1" customHeight="1">
      <c r="A430" s="8" t="s">
        <v>170</v>
      </c>
      <c r="B430" s="8">
        <v>33</v>
      </c>
      <c r="C430" s="9" t="s">
        <v>381</v>
      </c>
      <c r="D430" s="8">
        <v>3</v>
      </c>
      <c r="E430" s="9" t="s">
        <v>98</v>
      </c>
      <c r="F430" s="8" t="s">
        <v>384</v>
      </c>
      <c r="G430" s="8" t="s">
        <v>117</v>
      </c>
      <c r="H430" s="8" t="s">
        <v>162</v>
      </c>
      <c r="I430" s="8" t="s">
        <v>100</v>
      </c>
      <c r="J430" s="9" t="s">
        <v>383</v>
      </c>
      <c r="K430" s="8" t="str">
        <f>VLOOKUP(LEFT(H430,7),'קטלוג תרחישים'!$A:$M,12,FALSE())</f>
        <v>ג'</v>
      </c>
      <c r="L430" s="8" t="str">
        <f>IF(J430="כן",K430,VLOOKUP(LEFT(H430,7),'קטלוג תרחישים'!$A:$M,13,FALSE()))</f>
        <v>ב'</v>
      </c>
      <c r="M430" s="13"/>
      <c r="N430" s="50" t="s">
        <v>360</v>
      </c>
      <c r="O430" s="13" t="str">
        <f t="array" ref="O430">_xlfn.IFS(N430="A","א'", N430="B", "ב'", N430= "C", "ג'")</f>
        <v>א'</v>
      </c>
      <c r="P430" s="13">
        <f>IF(Table_2[[#This Row],[Correct_Answer]]=Table_2[[#This Row],[System_Recommendation]],1,0)</f>
        <v>0</v>
      </c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 spans="1:26" ht="15.75" hidden="1" customHeight="1">
      <c r="A431" s="8" t="s">
        <v>171</v>
      </c>
      <c r="B431" s="8">
        <v>1</v>
      </c>
      <c r="C431" s="9" t="s">
        <v>379</v>
      </c>
      <c r="D431" s="8"/>
      <c r="E431" s="9" t="s">
        <v>98</v>
      </c>
      <c r="F431" s="8"/>
      <c r="G431" s="8"/>
      <c r="H431" s="11" t="s">
        <v>90</v>
      </c>
      <c r="I431" s="8" t="s">
        <v>91</v>
      </c>
      <c r="J431" s="9" t="s">
        <v>380</v>
      </c>
      <c r="K431" s="8" t="str">
        <f>VLOOKUP(LEFT(H431,7),'קטלוג תרחישים'!$A:$M,12,FALSE())</f>
        <v>א'</v>
      </c>
      <c r="L431" s="8" t="str">
        <f>IF(J431="כן",K431,VLOOKUP(LEFT(H431,7),'קטלוג תרחישים'!$A:$M,13,FALSE()))</f>
        <v>א'</v>
      </c>
      <c r="M431" s="13"/>
      <c r="N431" s="51" t="s">
        <v>366</v>
      </c>
      <c r="O431" s="13" t="str">
        <f t="array" ref="O431">_xlfn.IFS(N431="A","א'", N431="B", "ב'", N431= "C", "ג'")</f>
        <v>ג'</v>
      </c>
      <c r="P431" s="13">
        <f>IF(Table_2[[#This Row],[Correct_Answer]]=Table_2[[#This Row],[System_Recommendation]],1,0)</f>
        <v>1</v>
      </c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 spans="1:26" ht="15.75" hidden="1" customHeight="1">
      <c r="A432" s="8" t="s">
        <v>171</v>
      </c>
      <c r="B432" s="8">
        <v>2</v>
      </c>
      <c r="C432" s="9" t="s">
        <v>379</v>
      </c>
      <c r="D432" s="8"/>
      <c r="E432" s="9" t="s">
        <v>98</v>
      </c>
      <c r="F432" s="8"/>
      <c r="G432" s="8"/>
      <c r="H432" s="11" t="s">
        <v>92</v>
      </c>
      <c r="I432" s="8" t="s">
        <v>91</v>
      </c>
      <c r="J432" s="9" t="s">
        <v>380</v>
      </c>
      <c r="K432" s="8" t="str">
        <f>VLOOKUP(LEFT(H432,7),'קטלוג תרחישים'!$A:$M,12,FALSE())</f>
        <v>א'</v>
      </c>
      <c r="L432" s="8" t="str">
        <f>IF(J432="כן",K432,VLOOKUP(LEFT(H432,7),'קטלוג תרחישים'!$A:$M,13,FALSE()))</f>
        <v>א'</v>
      </c>
      <c r="M432" s="13"/>
      <c r="N432" s="50" t="s">
        <v>366</v>
      </c>
      <c r="O432" s="13" t="str">
        <f t="array" ref="O432">_xlfn.IFS(N432="A","א'", N432="B", "ב'", N432= "C", "ג'")</f>
        <v>ג'</v>
      </c>
      <c r="P432" s="13">
        <f>IF(Table_2[[#This Row],[Correct_Answer]]=Table_2[[#This Row],[System_Recommendation]],1,0)</f>
        <v>1</v>
      </c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 spans="1:26" ht="15.75" hidden="1" customHeight="1">
      <c r="A433" s="8" t="s">
        <v>171</v>
      </c>
      <c r="B433" s="8">
        <v>3</v>
      </c>
      <c r="C433" s="9" t="s">
        <v>379</v>
      </c>
      <c r="D433" s="8"/>
      <c r="E433" s="9" t="s">
        <v>105</v>
      </c>
      <c r="F433" s="8"/>
      <c r="G433" s="8"/>
      <c r="H433" s="11" t="s">
        <v>93</v>
      </c>
      <c r="I433" s="8" t="s">
        <v>91</v>
      </c>
      <c r="J433" s="9" t="s">
        <v>380</v>
      </c>
      <c r="K433" s="8" t="str">
        <f>VLOOKUP(LEFT(H433,7),'קטלוג תרחישים'!$A:$M,12,FALSE())</f>
        <v>א'</v>
      </c>
      <c r="L433" s="8" t="str">
        <f>IF(J433="כן",K433,VLOOKUP(LEFT(H433,7),'קטלוג תרחישים'!$A:$M,13,FALSE()))</f>
        <v>א'</v>
      </c>
      <c r="M433" s="13"/>
      <c r="N433" s="51" t="s">
        <v>366</v>
      </c>
      <c r="O433" s="13" t="str">
        <f t="array" ref="O433">_xlfn.IFS(N433="A","א'", N433="B", "ב'", N433= "C", "ג'")</f>
        <v>ג'</v>
      </c>
      <c r="P433" s="13">
        <f>IF(Table_2[[#This Row],[Correct_Answer]]=Table_2[[#This Row],[System_Recommendation]],1,0)</f>
        <v>1</v>
      </c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 spans="1:26" ht="15.75" hidden="1" customHeight="1">
      <c r="A434" s="8" t="s">
        <v>171</v>
      </c>
      <c r="B434" s="8">
        <v>4</v>
      </c>
      <c r="C434" s="9" t="s">
        <v>379</v>
      </c>
      <c r="D434" s="8"/>
      <c r="E434" s="9" t="s">
        <v>105</v>
      </c>
      <c r="F434" s="8"/>
      <c r="G434" s="8"/>
      <c r="H434" s="11" t="s">
        <v>94</v>
      </c>
      <c r="I434" s="8" t="s">
        <v>91</v>
      </c>
      <c r="J434" s="9" t="s">
        <v>380</v>
      </c>
      <c r="K434" s="8" t="str">
        <f>VLOOKUP(LEFT(H434,7),'קטלוג תרחישים'!$A:$M,12,FALSE())</f>
        <v>א'</v>
      </c>
      <c r="L434" s="8" t="str">
        <f>IF(J434="כן",K434,VLOOKUP(LEFT(H434,7),'קטלוג תרחישים'!$A:$M,13,FALSE()))</f>
        <v>א'</v>
      </c>
      <c r="M434" s="13"/>
      <c r="N434" s="50" t="s">
        <v>365</v>
      </c>
      <c r="O434" s="13" t="str">
        <f t="array" ref="O434">_xlfn.IFS(N434="A","א'", N434="B", "ב'", N434= "C", "ג'")</f>
        <v>ב'</v>
      </c>
      <c r="P434" s="13">
        <f>IF(Table_2[[#This Row],[Correct_Answer]]=Table_2[[#This Row],[System_Recommendation]],1,0)</f>
        <v>1</v>
      </c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 spans="1:26" ht="15.75" hidden="1" customHeight="1">
      <c r="A435" s="8" t="s">
        <v>171</v>
      </c>
      <c r="B435" s="8">
        <v>5</v>
      </c>
      <c r="C435" s="9" t="s">
        <v>379</v>
      </c>
      <c r="D435" s="8"/>
      <c r="E435" s="9" t="s">
        <v>111</v>
      </c>
      <c r="F435" s="8"/>
      <c r="G435" s="8"/>
      <c r="H435" s="11" t="s">
        <v>95</v>
      </c>
      <c r="I435" s="8" t="s">
        <v>91</v>
      </c>
      <c r="J435" s="9" t="s">
        <v>380</v>
      </c>
      <c r="K435" s="8" t="str">
        <f>VLOOKUP(LEFT(H435,7),'קטלוג תרחישים'!$A:$M,12,FALSE())</f>
        <v>ב'</v>
      </c>
      <c r="L435" s="8" t="str">
        <f>IF(J435="כן",K435,VLOOKUP(LEFT(H435,7),'קטלוג תרחישים'!$A:$M,13,FALSE()))</f>
        <v>ב'</v>
      </c>
      <c r="M435" s="13"/>
      <c r="N435" s="51" t="s">
        <v>360</v>
      </c>
      <c r="O435" s="13" t="str">
        <f t="array" ref="O435">_xlfn.IFS(N435="A","א'", N435="B", "ב'", N435= "C", "ג'")</f>
        <v>א'</v>
      </c>
      <c r="P435" s="13">
        <f>IF(Table_2[[#This Row],[Correct_Answer]]=Table_2[[#This Row],[System_Recommendation]],1,0)</f>
        <v>1</v>
      </c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 spans="1:26" ht="15.75" customHeight="1">
      <c r="A436" s="8" t="s">
        <v>171</v>
      </c>
      <c r="B436" s="8">
        <v>6</v>
      </c>
      <c r="C436" s="9" t="s">
        <v>379</v>
      </c>
      <c r="D436" s="8"/>
      <c r="E436" s="9" t="s">
        <v>111</v>
      </c>
      <c r="F436" s="8"/>
      <c r="G436" s="8"/>
      <c r="H436" s="11" t="s">
        <v>96</v>
      </c>
      <c r="I436" s="8" t="s">
        <v>91</v>
      </c>
      <c r="J436" s="9" t="s">
        <v>380</v>
      </c>
      <c r="K436" s="8" t="str">
        <f>VLOOKUP(LEFT(H436,7),'קטלוג תרחישים'!$A:$M,12,FALSE())</f>
        <v>ב'</v>
      </c>
      <c r="L436" s="8" t="str">
        <f>IF(J436="כן",K436,VLOOKUP(LEFT(H436,7),'קטלוג תרחישים'!$A:$M,13,FALSE()))</f>
        <v>ב'</v>
      </c>
      <c r="M436" s="13"/>
      <c r="N436" s="50" t="s">
        <v>366</v>
      </c>
      <c r="O436" s="13" t="str">
        <f t="array" ref="O436">_xlfn.IFS(N436="A","א'", N436="B", "ב'", N436= "C", "ג'")</f>
        <v>ג'</v>
      </c>
      <c r="P436" s="13">
        <f>IF(Table_2[[#This Row],[Correct_Answer]]=Table_2[[#This Row],[System_Recommendation]],1,0)</f>
        <v>1</v>
      </c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 spans="1:26" ht="15.75" hidden="1" customHeight="1">
      <c r="A437" s="8" t="s">
        <v>171</v>
      </c>
      <c r="B437" s="8">
        <v>7</v>
      </c>
      <c r="C437" s="9" t="s">
        <v>381</v>
      </c>
      <c r="D437" s="8">
        <v>1</v>
      </c>
      <c r="E437" s="9" t="s">
        <v>111</v>
      </c>
      <c r="F437" s="8" t="s">
        <v>382</v>
      </c>
      <c r="G437" s="8" t="s">
        <v>117</v>
      </c>
      <c r="H437" s="8" t="s">
        <v>157</v>
      </c>
      <c r="I437" s="8" t="s">
        <v>91</v>
      </c>
      <c r="J437" s="9" t="s">
        <v>383</v>
      </c>
      <c r="K437" s="8" t="str">
        <f>VLOOKUP(LEFT(H437,7),'קטלוג תרחישים'!$A:$M,12,FALSE())</f>
        <v>ג'</v>
      </c>
      <c r="L437" s="8" t="str">
        <f>IF(J437="כן",K437,VLOOKUP(LEFT(H437,7),'קטלוג תרחישים'!$A:$M,13,FALSE()))</f>
        <v>א'</v>
      </c>
      <c r="M437" s="13"/>
      <c r="N437" s="51" t="s">
        <v>366</v>
      </c>
      <c r="O437" s="13" t="str">
        <f t="array" ref="O437">_xlfn.IFS(N437="A","א'", N437="B", "ב'", N437= "C", "ג'")</f>
        <v>ג'</v>
      </c>
      <c r="P437" s="13">
        <f>IF(Table_2[[#This Row],[Correct_Answer]]=Table_2[[#This Row],[System_Recommendation]],1,0)</f>
        <v>0</v>
      </c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 spans="1:26" ht="15.75" hidden="1" customHeight="1">
      <c r="A438" s="8" t="s">
        <v>171</v>
      </c>
      <c r="B438" s="8">
        <v>8</v>
      </c>
      <c r="C438" s="9" t="s">
        <v>381</v>
      </c>
      <c r="D438" s="8">
        <v>1</v>
      </c>
      <c r="E438" s="9" t="s">
        <v>111</v>
      </c>
      <c r="F438" s="8" t="s">
        <v>382</v>
      </c>
      <c r="G438" s="8" t="s">
        <v>117</v>
      </c>
      <c r="H438" s="8" t="s">
        <v>158</v>
      </c>
      <c r="I438" s="8" t="s">
        <v>100</v>
      </c>
      <c r="J438" s="9" t="s">
        <v>383</v>
      </c>
      <c r="K438" s="8" t="str">
        <f>VLOOKUP(LEFT(H438,7),'קטלוג תרחישים'!$A:$M,12,FALSE())</f>
        <v>ג'</v>
      </c>
      <c r="L438" s="8" t="str">
        <f>IF(J438="כן",K438,VLOOKUP(LEFT(H438,7),'קטלוג תרחישים'!$A:$M,13,FALSE()))</f>
        <v>ב'</v>
      </c>
      <c r="M438" s="13"/>
      <c r="N438" s="50" t="s">
        <v>365</v>
      </c>
      <c r="O438" s="13" t="str">
        <f t="array" ref="O438">_xlfn.IFS(N438="A","א'", N438="B", "ב'", N438= "C", "ג'")</f>
        <v>ב'</v>
      </c>
      <c r="P438" s="13">
        <f>IF(Table_2[[#This Row],[Correct_Answer]]=Table_2[[#This Row],[System_Recommendation]],1,0)</f>
        <v>0</v>
      </c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 spans="1:26" ht="15.75" hidden="1" customHeight="1">
      <c r="A439" s="8" t="s">
        <v>171</v>
      </c>
      <c r="B439" s="8">
        <v>9</v>
      </c>
      <c r="C439" s="9" t="s">
        <v>381</v>
      </c>
      <c r="D439" s="8">
        <v>1</v>
      </c>
      <c r="E439" s="9" t="s">
        <v>111</v>
      </c>
      <c r="F439" s="8" t="s">
        <v>382</v>
      </c>
      <c r="G439" s="8" t="s">
        <v>117</v>
      </c>
      <c r="H439" s="8" t="s">
        <v>159</v>
      </c>
      <c r="I439" s="8" t="s">
        <v>91</v>
      </c>
      <c r="J439" s="9" t="s">
        <v>380</v>
      </c>
      <c r="K439" s="8" t="str">
        <f>VLOOKUP(LEFT(H439,7),'קטלוג תרחישים'!$A:$M,12,FALSE())</f>
        <v>ג'</v>
      </c>
      <c r="L439" s="8" t="str">
        <f>IF(J439="כן",K439,VLOOKUP(LEFT(H439,7),'קטלוג תרחישים'!$A:$M,13,FALSE()))</f>
        <v>ג'</v>
      </c>
      <c r="M439" s="13"/>
      <c r="N439" s="51" t="s">
        <v>365</v>
      </c>
      <c r="O439" s="13" t="str">
        <f t="array" ref="O439">_xlfn.IFS(N439="A","א'", N439="B", "ב'", N439= "C", "ג'")</f>
        <v>ב'</v>
      </c>
      <c r="P439" s="13">
        <f>IF(Table_2[[#This Row],[Correct_Answer]]=Table_2[[#This Row],[System_Recommendation]],1,0)</f>
        <v>1</v>
      </c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 spans="1:26" ht="15.75" hidden="1" customHeight="1">
      <c r="A440" s="8" t="s">
        <v>171</v>
      </c>
      <c r="B440" s="8">
        <v>10</v>
      </c>
      <c r="C440" s="9" t="s">
        <v>381</v>
      </c>
      <c r="D440" s="8">
        <v>1</v>
      </c>
      <c r="E440" s="9" t="s">
        <v>111</v>
      </c>
      <c r="F440" s="8" t="s">
        <v>382</v>
      </c>
      <c r="G440" s="8" t="s">
        <v>117</v>
      </c>
      <c r="H440" s="8" t="s">
        <v>160</v>
      </c>
      <c r="I440" s="8" t="s">
        <v>100</v>
      </c>
      <c r="J440" s="9" t="s">
        <v>380</v>
      </c>
      <c r="K440" s="8" t="str">
        <f>VLOOKUP(LEFT(H440,7),'קטלוג תרחישים'!$A:$M,12,FALSE())</f>
        <v>א'</v>
      </c>
      <c r="L440" s="8" t="str">
        <f>IF(J440="כן",K440,VLOOKUP(LEFT(H440,7),'קטלוג תרחישים'!$A:$M,13,FALSE()))</f>
        <v>א'</v>
      </c>
      <c r="M440" s="13"/>
      <c r="N440" s="50" t="s">
        <v>365</v>
      </c>
      <c r="O440" s="13" t="str">
        <f t="array" ref="O440">_xlfn.IFS(N440="A","א'", N440="B", "ב'", N440= "C", "ג'")</f>
        <v>ב'</v>
      </c>
      <c r="P440" s="13">
        <f>IF(Table_2[[#This Row],[Correct_Answer]]=Table_2[[#This Row],[System_Recommendation]],1,0)</f>
        <v>1</v>
      </c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 spans="1:26" ht="15.75" hidden="1" customHeight="1">
      <c r="A441" s="8" t="s">
        <v>171</v>
      </c>
      <c r="B441" s="8">
        <v>11</v>
      </c>
      <c r="C441" s="9" t="s">
        <v>381</v>
      </c>
      <c r="D441" s="8">
        <v>2</v>
      </c>
      <c r="E441" s="9" t="s">
        <v>98</v>
      </c>
      <c r="F441" s="8" t="s">
        <v>382</v>
      </c>
      <c r="G441" s="8" t="s">
        <v>117</v>
      </c>
      <c r="H441" s="8" t="s">
        <v>161</v>
      </c>
      <c r="I441" s="8" t="s">
        <v>91</v>
      </c>
      <c r="J441" s="9" t="s">
        <v>383</v>
      </c>
      <c r="K441" s="8" t="str">
        <f>VLOOKUP(LEFT(H441,7),'קטלוג תרחישים'!$A:$M,12,FALSE())</f>
        <v>ב'</v>
      </c>
      <c r="L441" s="8" t="str">
        <f>IF(J441="כן",K441,VLOOKUP(LEFT(H441,7),'קטלוג תרחישים'!$A:$M,13,FALSE()))</f>
        <v>א'</v>
      </c>
      <c r="M441" s="13"/>
      <c r="N441" s="51" t="s">
        <v>360</v>
      </c>
      <c r="O441" s="13" t="str">
        <f t="array" ref="O441">_xlfn.IFS(N441="A","א'", N441="B", "ב'", N441= "C", "ג'")</f>
        <v>א'</v>
      </c>
      <c r="P441" s="13">
        <f>IF(Table_2[[#This Row],[Correct_Answer]]=Table_2[[#This Row],[System_Recommendation]],1,0)</f>
        <v>0</v>
      </c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 spans="1:26" ht="15.75" hidden="1" customHeight="1">
      <c r="A442" s="8" t="s">
        <v>171</v>
      </c>
      <c r="B442" s="8">
        <v>12</v>
      </c>
      <c r="C442" s="9" t="s">
        <v>381</v>
      </c>
      <c r="D442" s="8">
        <v>2</v>
      </c>
      <c r="E442" s="9" t="s">
        <v>98</v>
      </c>
      <c r="F442" s="8" t="s">
        <v>382</v>
      </c>
      <c r="G442" s="8" t="s">
        <v>117</v>
      </c>
      <c r="H442" s="8" t="s">
        <v>162</v>
      </c>
      <c r="I442" s="8" t="s">
        <v>100</v>
      </c>
      <c r="J442" s="9" t="s">
        <v>383</v>
      </c>
      <c r="K442" s="8" t="str">
        <f>VLOOKUP(LEFT(H442,7),'קטלוג תרחישים'!$A:$M,12,FALSE())</f>
        <v>ג'</v>
      </c>
      <c r="L442" s="8" t="str">
        <f>IF(J442="כן",K442,VLOOKUP(LEFT(H442,7),'קטלוג תרחישים'!$A:$M,13,FALSE()))</f>
        <v>ב'</v>
      </c>
      <c r="M442" s="13"/>
      <c r="N442" s="50" t="s">
        <v>366</v>
      </c>
      <c r="O442" s="13" t="str">
        <f t="array" ref="O442">_xlfn.IFS(N442="A","א'", N442="B", "ב'", N442= "C", "ג'")</f>
        <v>ג'</v>
      </c>
      <c r="P442" s="13">
        <f>IF(Table_2[[#This Row],[Correct_Answer]]=Table_2[[#This Row],[System_Recommendation]],1,0)</f>
        <v>0</v>
      </c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 spans="1:26" ht="15.75" hidden="1" customHeight="1">
      <c r="A443" s="8" t="s">
        <v>171</v>
      </c>
      <c r="B443" s="8">
        <v>13</v>
      </c>
      <c r="C443" s="9" t="s">
        <v>381</v>
      </c>
      <c r="D443" s="8">
        <v>2</v>
      </c>
      <c r="E443" s="9" t="s">
        <v>98</v>
      </c>
      <c r="F443" s="8" t="s">
        <v>382</v>
      </c>
      <c r="G443" s="8" t="s">
        <v>117</v>
      </c>
      <c r="H443" s="8" t="s">
        <v>163</v>
      </c>
      <c r="I443" s="8" t="s">
        <v>91</v>
      </c>
      <c r="J443" s="9" t="s">
        <v>380</v>
      </c>
      <c r="K443" s="8" t="str">
        <f>VLOOKUP(LEFT(H443,7),'קטלוג תרחישים'!$A:$M,12,FALSE())</f>
        <v>ג'</v>
      </c>
      <c r="L443" s="8" t="str">
        <f>IF(J443="כן",K443,VLOOKUP(LEFT(H443,7),'קטלוג תרחישים'!$A:$M,13,FALSE()))</f>
        <v>ג'</v>
      </c>
      <c r="M443" s="13"/>
      <c r="N443" s="51" t="s">
        <v>360</v>
      </c>
      <c r="O443" s="13" t="str">
        <f t="array" ref="O443">_xlfn.IFS(N443="A","א'", N443="B", "ב'", N443= "C", "ג'")</f>
        <v>א'</v>
      </c>
      <c r="P443" s="13">
        <f>IF(Table_2[[#This Row],[Correct_Answer]]=Table_2[[#This Row],[System_Recommendation]],1,0)</f>
        <v>1</v>
      </c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 spans="1:26" ht="15.75" hidden="1" customHeight="1">
      <c r="A444" s="8" t="s">
        <v>171</v>
      </c>
      <c r="B444" s="8">
        <v>14</v>
      </c>
      <c r="C444" s="9" t="s">
        <v>381</v>
      </c>
      <c r="D444" s="8">
        <v>2</v>
      </c>
      <c r="E444" s="9" t="s">
        <v>98</v>
      </c>
      <c r="F444" s="8" t="s">
        <v>382</v>
      </c>
      <c r="G444" s="8" t="s">
        <v>117</v>
      </c>
      <c r="H444" s="8" t="s">
        <v>164</v>
      </c>
      <c r="I444" s="8" t="s">
        <v>100</v>
      </c>
      <c r="J444" s="9" t="s">
        <v>380</v>
      </c>
      <c r="K444" s="8" t="str">
        <f>VLOOKUP(LEFT(H444,7),'קטלוג תרחישים'!$A:$M,12,FALSE())</f>
        <v>ב'</v>
      </c>
      <c r="L444" s="8" t="str">
        <f>IF(J444="כן",K444,VLOOKUP(LEFT(H444,7),'קטלוג תרחישים'!$A:$M,13,FALSE()))</f>
        <v>ב'</v>
      </c>
      <c r="M444" s="13"/>
      <c r="N444" s="50" t="s">
        <v>360</v>
      </c>
      <c r="O444" s="13" t="str">
        <f t="array" ref="O444">_xlfn.IFS(N444="A","א'", N444="B", "ב'", N444= "C", "ג'")</f>
        <v>א'</v>
      </c>
      <c r="P444" s="13">
        <f>IF(Table_2[[#This Row],[Correct_Answer]]=Table_2[[#This Row],[System_Recommendation]],1,0)</f>
        <v>1</v>
      </c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 spans="1:26" ht="15.75" hidden="1" customHeight="1">
      <c r="A445" s="8" t="s">
        <v>171</v>
      </c>
      <c r="B445" s="8">
        <v>15</v>
      </c>
      <c r="C445" s="9" t="s">
        <v>381</v>
      </c>
      <c r="D445" s="8">
        <v>3</v>
      </c>
      <c r="E445" s="9" t="s">
        <v>105</v>
      </c>
      <c r="F445" s="8" t="s">
        <v>382</v>
      </c>
      <c r="G445" s="8" t="s">
        <v>117</v>
      </c>
      <c r="H445" s="8" t="s">
        <v>167</v>
      </c>
      <c r="I445" s="8" t="s">
        <v>91</v>
      </c>
      <c r="J445" s="9" t="s">
        <v>383</v>
      </c>
      <c r="K445" s="8" t="str">
        <f>VLOOKUP(LEFT(H445,7),'קטלוג תרחישים'!$A:$M,12,FALSE())</f>
        <v>ב'</v>
      </c>
      <c r="L445" s="8" t="str">
        <f>IF(J445="כן",K445,VLOOKUP(LEFT(H445,7),'קטלוג תרחישים'!$A:$M,13,FALSE()))</f>
        <v>ג'</v>
      </c>
      <c r="M445" s="13"/>
      <c r="N445" s="51" t="s">
        <v>360</v>
      </c>
      <c r="O445" s="13" t="str">
        <f t="array" ref="O445">_xlfn.IFS(N445="A","א'", N445="B", "ב'", N445= "C", "ג'")</f>
        <v>א'</v>
      </c>
      <c r="P445" s="13">
        <f>IF(Table_2[[#This Row],[Correct_Answer]]=Table_2[[#This Row],[System_Recommendation]],1,0)</f>
        <v>0</v>
      </c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 spans="1:26" ht="15.75" hidden="1" customHeight="1">
      <c r="A446" s="8" t="s">
        <v>171</v>
      </c>
      <c r="B446" s="8">
        <v>16</v>
      </c>
      <c r="C446" s="9" t="s">
        <v>381</v>
      </c>
      <c r="D446" s="8">
        <v>3</v>
      </c>
      <c r="E446" s="9" t="s">
        <v>105</v>
      </c>
      <c r="F446" s="8" t="s">
        <v>382</v>
      </c>
      <c r="G446" s="8" t="s">
        <v>117</v>
      </c>
      <c r="H446" s="8" t="s">
        <v>166</v>
      </c>
      <c r="I446" s="8" t="s">
        <v>100</v>
      </c>
      <c r="J446" s="9" t="s">
        <v>383</v>
      </c>
      <c r="K446" s="8" t="str">
        <f>VLOOKUP(LEFT(H446,7),'קטלוג תרחישים'!$A:$M,12,FALSE())</f>
        <v>א'</v>
      </c>
      <c r="L446" s="8" t="str">
        <f>IF(J446="כן",K446,VLOOKUP(LEFT(H446,7),'קטלוג תרחישים'!$A:$M,13,FALSE()))</f>
        <v>ג'</v>
      </c>
      <c r="M446" s="13"/>
      <c r="N446" s="50" t="s">
        <v>365</v>
      </c>
      <c r="O446" s="13" t="str">
        <f t="array" ref="O446">_xlfn.IFS(N446="A","א'", N446="B", "ב'", N446= "C", "ג'")</f>
        <v>ב'</v>
      </c>
      <c r="P446" s="13">
        <f>IF(Table_2[[#This Row],[Correct_Answer]]=Table_2[[#This Row],[System_Recommendation]],1,0)</f>
        <v>0</v>
      </c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 spans="1:26" ht="15.75" hidden="1" customHeight="1">
      <c r="A447" s="8" t="s">
        <v>171</v>
      </c>
      <c r="B447" s="8">
        <v>17</v>
      </c>
      <c r="C447" s="9" t="s">
        <v>381</v>
      </c>
      <c r="D447" s="8">
        <v>3</v>
      </c>
      <c r="E447" s="9" t="s">
        <v>105</v>
      </c>
      <c r="F447" s="8" t="s">
        <v>382</v>
      </c>
      <c r="G447" s="8" t="s">
        <v>117</v>
      </c>
      <c r="H447" s="8" t="s">
        <v>165</v>
      </c>
      <c r="I447" s="8" t="s">
        <v>91</v>
      </c>
      <c r="J447" s="9" t="s">
        <v>380</v>
      </c>
      <c r="K447" s="8" t="str">
        <f>VLOOKUP(LEFT(H447,7),'קטלוג תרחישים'!$A:$M,12,FALSE())</f>
        <v>ג'</v>
      </c>
      <c r="L447" s="8" t="str">
        <f>IF(J447="כן",K447,VLOOKUP(LEFT(H447,7),'קטלוג תרחישים'!$A:$M,13,FALSE()))</f>
        <v>ג'</v>
      </c>
      <c r="M447" s="13"/>
      <c r="N447" s="51" t="s">
        <v>365</v>
      </c>
      <c r="O447" s="13" t="str">
        <f t="array" ref="O447">_xlfn.IFS(N447="A","א'", N447="B", "ב'", N447= "C", "ג'")</f>
        <v>ב'</v>
      </c>
      <c r="P447" s="13">
        <f>IF(Table_2[[#This Row],[Correct_Answer]]=Table_2[[#This Row],[System_Recommendation]],1,0)</f>
        <v>1</v>
      </c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 spans="1:26" ht="15.75" hidden="1" customHeight="1">
      <c r="A448" s="8" t="s">
        <v>171</v>
      </c>
      <c r="B448" s="8">
        <v>18</v>
      </c>
      <c r="C448" s="9" t="s">
        <v>381</v>
      </c>
      <c r="D448" s="8">
        <v>3</v>
      </c>
      <c r="E448" s="9" t="s">
        <v>105</v>
      </c>
      <c r="F448" s="8" t="s">
        <v>382</v>
      </c>
      <c r="G448" s="8" t="s">
        <v>117</v>
      </c>
      <c r="H448" s="8" t="s">
        <v>168</v>
      </c>
      <c r="I448" s="8" t="s">
        <v>100</v>
      </c>
      <c r="J448" s="9" t="s">
        <v>380</v>
      </c>
      <c r="K448" s="8" t="str">
        <f>VLOOKUP(LEFT(H448,7),'קטלוג תרחישים'!$A:$M,12,FALSE())</f>
        <v>א'</v>
      </c>
      <c r="L448" s="8" t="str">
        <f>IF(J448="כן",K448,VLOOKUP(LEFT(H448,7),'קטלוג תרחישים'!$A:$M,13,FALSE()))</f>
        <v>א'</v>
      </c>
      <c r="M448" s="13"/>
      <c r="N448" s="50" t="s">
        <v>366</v>
      </c>
      <c r="O448" s="13" t="str">
        <f t="array" ref="O448">_xlfn.IFS(N448="A","א'", N448="B", "ב'", N448= "C", "ג'")</f>
        <v>ג'</v>
      </c>
      <c r="P448" s="13">
        <f>IF(Table_2[[#This Row],[Correct_Answer]]=Table_2[[#This Row],[System_Recommendation]],1,0)</f>
        <v>1</v>
      </c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 spans="1:26" ht="15.75" hidden="1" customHeight="1">
      <c r="A449" s="8" t="s">
        <v>171</v>
      </c>
      <c r="B449" s="8">
        <v>19</v>
      </c>
      <c r="C449" s="9" t="s">
        <v>381</v>
      </c>
      <c r="D449" s="8">
        <v>1</v>
      </c>
      <c r="E449" s="9" t="s">
        <v>105</v>
      </c>
      <c r="F449" s="8" t="s">
        <v>384</v>
      </c>
      <c r="G449" s="8" t="s">
        <v>97</v>
      </c>
      <c r="H449" s="8" t="s">
        <v>146</v>
      </c>
      <c r="I449" s="8" t="s">
        <v>100</v>
      </c>
      <c r="J449" s="9" t="s">
        <v>380</v>
      </c>
      <c r="K449" s="8" t="str">
        <f>VLOOKUP(LEFT(H449,7),'קטלוג תרחישים'!$A:$M,12,FALSE())</f>
        <v>ג'</v>
      </c>
      <c r="L449" s="8" t="str">
        <f>IF(J449="כן",K449,VLOOKUP(LEFT(H449,7),'קטלוג תרחישים'!$A:$M,13,FALSE()))</f>
        <v>ג'</v>
      </c>
      <c r="M449" s="13"/>
      <c r="N449" s="51" t="s">
        <v>365</v>
      </c>
      <c r="O449" s="13" t="str">
        <f t="array" ref="O449">_xlfn.IFS(N449="A","א'", N449="B", "ב'", N449= "C", "ג'")</f>
        <v>ב'</v>
      </c>
      <c r="P449" s="13">
        <f>IF(Table_2[[#This Row],[Correct_Answer]]=Table_2[[#This Row],[System_Recommendation]],1,0)</f>
        <v>1</v>
      </c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 spans="1:26" ht="15.75" hidden="1" customHeight="1">
      <c r="A450" s="8" t="s">
        <v>171</v>
      </c>
      <c r="B450" s="8">
        <v>20</v>
      </c>
      <c r="C450" s="9" t="s">
        <v>381</v>
      </c>
      <c r="D450" s="8">
        <v>1</v>
      </c>
      <c r="E450" s="9" t="s">
        <v>105</v>
      </c>
      <c r="F450" s="8" t="s">
        <v>384</v>
      </c>
      <c r="G450" s="8" t="s">
        <v>97</v>
      </c>
      <c r="H450" s="8" t="s">
        <v>143</v>
      </c>
      <c r="I450" s="8" t="s">
        <v>91</v>
      </c>
      <c r="J450" s="9" t="s">
        <v>380</v>
      </c>
      <c r="K450" s="8" t="str">
        <f>VLOOKUP(LEFT(H450,7),'קטלוג תרחישים'!$A:$M,12,FALSE())</f>
        <v>א'</v>
      </c>
      <c r="L450" s="8" t="str">
        <f>IF(J450="כן",K450,VLOOKUP(LEFT(H450,7),'קטלוג תרחישים'!$A:$M,13,FALSE()))</f>
        <v>א'</v>
      </c>
      <c r="M450" s="13"/>
      <c r="N450" s="50" t="s">
        <v>366</v>
      </c>
      <c r="O450" s="13" t="str">
        <f t="array" ref="O450">_xlfn.IFS(N450="A","א'", N450="B", "ב'", N450= "C", "ג'")</f>
        <v>ג'</v>
      </c>
      <c r="P450" s="13">
        <f>IF(Table_2[[#This Row],[Correct_Answer]]=Table_2[[#This Row],[System_Recommendation]],1,0)</f>
        <v>1</v>
      </c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 spans="1:26" ht="15.75" hidden="1" customHeight="1">
      <c r="A451" s="8" t="s">
        <v>171</v>
      </c>
      <c r="B451" s="8">
        <v>21</v>
      </c>
      <c r="C451" s="9" t="s">
        <v>381</v>
      </c>
      <c r="D451" s="8">
        <v>1</v>
      </c>
      <c r="E451" s="9" t="s">
        <v>105</v>
      </c>
      <c r="F451" s="8" t="s">
        <v>384</v>
      </c>
      <c r="G451" s="8" t="s">
        <v>97</v>
      </c>
      <c r="H451" s="8" t="s">
        <v>144</v>
      </c>
      <c r="I451" s="8" t="s">
        <v>100</v>
      </c>
      <c r="J451" s="9" t="s">
        <v>380</v>
      </c>
      <c r="K451" s="8" t="str">
        <f>VLOOKUP(LEFT(H451,7),'קטלוג תרחישים'!$A:$M,12,FALSE())</f>
        <v>ג'</v>
      </c>
      <c r="L451" s="8" t="str">
        <f>IF(J451="כן",K451,VLOOKUP(LEFT(H451,7),'קטלוג תרחישים'!$A:$M,13,FALSE()))</f>
        <v>ג'</v>
      </c>
      <c r="M451" s="13"/>
      <c r="N451" s="51" t="s">
        <v>360</v>
      </c>
      <c r="O451" s="13" t="str">
        <f t="array" ref="O451">_xlfn.IFS(N451="A","א'", N451="B", "ב'", N451= "C", "ג'")</f>
        <v>א'</v>
      </c>
      <c r="P451" s="13">
        <f>IF(Table_2[[#This Row],[Correct_Answer]]=Table_2[[#This Row],[System_Recommendation]],1,0)</f>
        <v>1</v>
      </c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 spans="1:26" ht="15.75" hidden="1" customHeight="1">
      <c r="A452" s="8" t="s">
        <v>171</v>
      </c>
      <c r="B452" s="8">
        <v>22</v>
      </c>
      <c r="C452" s="9" t="s">
        <v>381</v>
      </c>
      <c r="D452" s="8">
        <v>1</v>
      </c>
      <c r="E452" s="9" t="s">
        <v>105</v>
      </c>
      <c r="F452" s="8" t="s">
        <v>384</v>
      </c>
      <c r="G452" s="8" t="s">
        <v>97</v>
      </c>
      <c r="H452" s="8" t="s">
        <v>145</v>
      </c>
      <c r="I452" s="8" t="s">
        <v>91</v>
      </c>
      <c r="J452" s="9" t="s">
        <v>380</v>
      </c>
      <c r="K452" s="8" t="str">
        <f>VLOOKUP(LEFT(H452,7),'קטלוג תרחישים'!$A:$M,12,FALSE())</f>
        <v>ב'</v>
      </c>
      <c r="L452" s="8" t="str">
        <f>IF(J452="כן",K452,VLOOKUP(LEFT(H452,7),'קטלוג תרחישים'!$A:$M,13,FALSE()))</f>
        <v>ב'</v>
      </c>
      <c r="M452" s="13"/>
      <c r="N452" s="50" t="s">
        <v>366</v>
      </c>
      <c r="O452" s="13" t="str">
        <f t="array" ref="O452">_xlfn.IFS(N452="A","א'", N452="B", "ב'", N452= "C", "ג'")</f>
        <v>ג'</v>
      </c>
      <c r="P452" s="13">
        <f>IF(Table_2[[#This Row],[Correct_Answer]]=Table_2[[#This Row],[System_Recommendation]],1,0)</f>
        <v>1</v>
      </c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 spans="1:26" ht="15.75" hidden="1" customHeight="1">
      <c r="A453" s="8" t="s">
        <v>171</v>
      </c>
      <c r="B453" s="8">
        <v>23</v>
      </c>
      <c r="C453" s="9" t="s">
        <v>381</v>
      </c>
      <c r="D453" s="8">
        <v>1</v>
      </c>
      <c r="E453" s="9" t="s">
        <v>105</v>
      </c>
      <c r="F453" s="8" t="s">
        <v>384</v>
      </c>
      <c r="G453" s="8" t="s">
        <v>97</v>
      </c>
      <c r="H453" s="8" t="s">
        <v>142</v>
      </c>
      <c r="I453" s="8" t="s">
        <v>100</v>
      </c>
      <c r="J453" s="9" t="s">
        <v>383</v>
      </c>
      <c r="K453" s="8" t="str">
        <f>VLOOKUP(LEFT(H453,7),'קטלוג תרחישים'!$A:$M,12,FALSE())</f>
        <v>ב'</v>
      </c>
      <c r="L453" s="8" t="str">
        <f>IF(J453="כן",K453,VLOOKUP(LEFT(H453,7),'קטלוג תרחישים'!$A:$M,13,FALSE()))</f>
        <v>ג'</v>
      </c>
      <c r="M453" s="13"/>
      <c r="N453" s="51" t="s">
        <v>366</v>
      </c>
      <c r="O453" s="13" t="str">
        <f t="array" ref="O453">_xlfn.IFS(N453="A","א'", N453="B", "ב'", N453= "C", "ג'")</f>
        <v>ג'</v>
      </c>
      <c r="P453" s="13">
        <f>IF(Table_2[[#This Row],[Correct_Answer]]=Table_2[[#This Row],[System_Recommendation]],1,0)</f>
        <v>0</v>
      </c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 spans="1:26" ht="15.75" hidden="1" customHeight="1">
      <c r="A454" s="8" t="s">
        <v>171</v>
      </c>
      <c r="B454" s="8">
        <v>24</v>
      </c>
      <c r="C454" s="9" t="s">
        <v>381</v>
      </c>
      <c r="D454" s="8">
        <v>2</v>
      </c>
      <c r="E454" s="9" t="s">
        <v>111</v>
      </c>
      <c r="F454" s="8" t="s">
        <v>384</v>
      </c>
      <c r="G454" s="8" t="s">
        <v>97</v>
      </c>
      <c r="H454" s="8" t="s">
        <v>149</v>
      </c>
      <c r="I454" s="8" t="s">
        <v>91</v>
      </c>
      <c r="J454" s="9" t="s">
        <v>383</v>
      </c>
      <c r="K454" s="8" t="str">
        <f>VLOOKUP(LEFT(H454,7),'קטלוג תרחישים'!$A:$M,12,FALSE())</f>
        <v>ג'</v>
      </c>
      <c r="L454" s="8" t="str">
        <f>IF(J454="כן",K454,VLOOKUP(LEFT(H454,7),'קטלוג תרחישים'!$A:$M,13,FALSE()))</f>
        <v>א'</v>
      </c>
      <c r="M454" s="13"/>
      <c r="N454" s="50" t="s">
        <v>365</v>
      </c>
      <c r="O454" s="13" t="str">
        <f t="array" ref="O454">_xlfn.IFS(N454="A","א'", N454="B", "ב'", N454= "C", "ג'")</f>
        <v>ב'</v>
      </c>
      <c r="P454" s="13">
        <f>IF(Table_2[[#This Row],[Correct_Answer]]=Table_2[[#This Row],[System_Recommendation]],1,0)</f>
        <v>0</v>
      </c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 spans="1:26" ht="15.75" hidden="1" customHeight="1">
      <c r="A455" s="8" t="s">
        <v>171</v>
      </c>
      <c r="B455" s="8">
        <v>25</v>
      </c>
      <c r="C455" s="9" t="s">
        <v>381</v>
      </c>
      <c r="D455" s="8">
        <v>2</v>
      </c>
      <c r="E455" s="9" t="s">
        <v>111</v>
      </c>
      <c r="F455" s="8" t="s">
        <v>384</v>
      </c>
      <c r="G455" s="8" t="s">
        <v>97</v>
      </c>
      <c r="H455" s="8" t="s">
        <v>150</v>
      </c>
      <c r="I455" s="8" t="s">
        <v>100</v>
      </c>
      <c r="J455" s="9" t="s">
        <v>380</v>
      </c>
      <c r="K455" s="8" t="str">
        <f>VLOOKUP(LEFT(H455,7),'קטלוג תרחישים'!$A:$M,12,FALSE())</f>
        <v>ב'</v>
      </c>
      <c r="L455" s="8" t="str">
        <f>IF(J455="כן",K455,VLOOKUP(LEFT(H455,7),'קטלוג תרחישים'!$A:$M,13,FALSE()))</f>
        <v>ב'</v>
      </c>
      <c r="M455" s="13"/>
      <c r="N455" s="51" t="s">
        <v>360</v>
      </c>
      <c r="O455" s="13" t="str">
        <f t="array" ref="O455">_xlfn.IFS(N455="A","א'", N455="B", "ב'", N455= "C", "ג'")</f>
        <v>א'</v>
      </c>
      <c r="P455" s="13">
        <f>IF(Table_2[[#This Row],[Correct_Answer]]=Table_2[[#This Row],[System_Recommendation]],1,0)</f>
        <v>1</v>
      </c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 spans="1:26" ht="15.75" hidden="1" customHeight="1">
      <c r="A456" s="8" t="s">
        <v>171</v>
      </c>
      <c r="B456" s="8">
        <v>26</v>
      </c>
      <c r="C456" s="9" t="s">
        <v>381</v>
      </c>
      <c r="D456" s="8">
        <v>2</v>
      </c>
      <c r="E456" s="9" t="s">
        <v>111</v>
      </c>
      <c r="F456" s="8" t="s">
        <v>384</v>
      </c>
      <c r="G456" s="8" t="s">
        <v>97</v>
      </c>
      <c r="H456" s="8" t="s">
        <v>151</v>
      </c>
      <c r="I456" s="8" t="s">
        <v>91</v>
      </c>
      <c r="J456" s="9" t="s">
        <v>380</v>
      </c>
      <c r="K456" s="8" t="str">
        <f>VLOOKUP(LEFT(H456,7),'קטלוג תרחישים'!$A:$M,12,FALSE())</f>
        <v>א'</v>
      </c>
      <c r="L456" s="8" t="str">
        <f>IF(J456="כן",K456,VLOOKUP(LEFT(H456,7),'קטלוג תרחישים'!$A:$M,13,FALSE()))</f>
        <v>א'</v>
      </c>
      <c r="M456" s="13"/>
      <c r="N456" s="50" t="s">
        <v>366</v>
      </c>
      <c r="O456" s="13" t="str">
        <f t="array" ref="O456">_xlfn.IFS(N456="A","א'", N456="B", "ב'", N456= "C", "ג'")</f>
        <v>ג'</v>
      </c>
      <c r="P456" s="13">
        <f>IF(Table_2[[#This Row],[Correct_Answer]]=Table_2[[#This Row],[System_Recommendation]],1,0)</f>
        <v>1</v>
      </c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 spans="1:26" ht="15.75" hidden="1" customHeight="1">
      <c r="A457" s="8" t="s">
        <v>171</v>
      </c>
      <c r="B457" s="8">
        <v>27</v>
      </c>
      <c r="C457" s="9" t="s">
        <v>381</v>
      </c>
      <c r="D457" s="8">
        <v>2</v>
      </c>
      <c r="E457" s="9" t="s">
        <v>111</v>
      </c>
      <c r="F457" s="8" t="s">
        <v>384</v>
      </c>
      <c r="G457" s="8" t="s">
        <v>97</v>
      </c>
      <c r="H457" s="8" t="s">
        <v>148</v>
      </c>
      <c r="I457" s="8" t="s">
        <v>100</v>
      </c>
      <c r="J457" s="9" t="s">
        <v>380</v>
      </c>
      <c r="K457" s="8" t="str">
        <f>VLOOKUP(LEFT(H457,7),'קטלוג תרחישים'!$A:$M,12,FALSE())</f>
        <v>ב'</v>
      </c>
      <c r="L457" s="8" t="str">
        <f>IF(J457="כן",K457,VLOOKUP(LEFT(H457,7),'קטלוג תרחישים'!$A:$M,13,FALSE()))</f>
        <v>ב'</v>
      </c>
      <c r="M457" s="13"/>
      <c r="N457" s="51" t="s">
        <v>365</v>
      </c>
      <c r="O457" s="13" t="str">
        <f t="array" ref="O457">_xlfn.IFS(N457="A","א'", N457="B", "ב'", N457= "C", "ג'")</f>
        <v>ב'</v>
      </c>
      <c r="P457" s="13">
        <f>IF(Table_2[[#This Row],[Correct_Answer]]=Table_2[[#This Row],[System_Recommendation]],1,0)</f>
        <v>1</v>
      </c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 spans="1:26" ht="15.75" hidden="1" customHeight="1">
      <c r="A458" s="8" t="s">
        <v>171</v>
      </c>
      <c r="B458" s="8">
        <v>28</v>
      </c>
      <c r="C458" s="9" t="s">
        <v>381</v>
      </c>
      <c r="D458" s="8">
        <v>2</v>
      </c>
      <c r="E458" s="9" t="s">
        <v>111</v>
      </c>
      <c r="F458" s="8" t="s">
        <v>384</v>
      </c>
      <c r="G458" s="8" t="s">
        <v>97</v>
      </c>
      <c r="H458" s="8" t="s">
        <v>147</v>
      </c>
      <c r="I458" s="8" t="s">
        <v>91</v>
      </c>
      <c r="J458" s="9" t="s">
        <v>380</v>
      </c>
      <c r="K458" s="8" t="str">
        <f>VLOOKUP(LEFT(H458,7),'קטלוג תרחישים'!$A:$M,12,FALSE())</f>
        <v>ג'</v>
      </c>
      <c r="L458" s="8" t="str">
        <f>IF(J458="כן",K458,VLOOKUP(LEFT(H458,7),'קטלוג תרחישים'!$A:$M,13,FALSE()))</f>
        <v>ג'</v>
      </c>
      <c r="M458" s="13"/>
      <c r="N458" s="50" t="s">
        <v>366</v>
      </c>
      <c r="O458" s="13" t="str">
        <f t="array" ref="O458">_xlfn.IFS(N458="A","א'", N458="B", "ב'", N458= "C", "ג'")</f>
        <v>ג'</v>
      </c>
      <c r="P458" s="13">
        <f>IF(Table_2[[#This Row],[Correct_Answer]]=Table_2[[#This Row],[System_Recommendation]],1,0)</f>
        <v>1</v>
      </c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 spans="1:26" ht="15.75" hidden="1" customHeight="1">
      <c r="A459" s="8" t="s">
        <v>171</v>
      </c>
      <c r="B459" s="8">
        <v>29</v>
      </c>
      <c r="C459" s="9" t="s">
        <v>381</v>
      </c>
      <c r="D459" s="8">
        <v>3</v>
      </c>
      <c r="E459" s="9" t="s">
        <v>98</v>
      </c>
      <c r="F459" s="8" t="s">
        <v>384</v>
      </c>
      <c r="G459" s="8" t="s">
        <v>97</v>
      </c>
      <c r="H459" s="8" t="s">
        <v>156</v>
      </c>
      <c r="I459" s="8" t="s">
        <v>91</v>
      </c>
      <c r="J459" s="9" t="s">
        <v>380</v>
      </c>
      <c r="K459" s="8" t="str">
        <f>VLOOKUP(LEFT(H459,7),'קטלוג תרחישים'!$A:$M,12,FALSE())</f>
        <v>ב'</v>
      </c>
      <c r="L459" s="8" t="str">
        <f>IF(J459="כן",K459,VLOOKUP(LEFT(H459,7),'קטלוג תרחישים'!$A:$M,13,FALSE()))</f>
        <v>ב'</v>
      </c>
      <c r="M459" s="13"/>
      <c r="N459" s="51" t="s">
        <v>366</v>
      </c>
      <c r="O459" s="13" t="str">
        <f t="array" ref="O459">_xlfn.IFS(N459="A","א'", N459="B", "ב'", N459= "C", "ג'")</f>
        <v>ג'</v>
      </c>
      <c r="P459" s="13">
        <f>IF(Table_2[[#This Row],[Correct_Answer]]=Table_2[[#This Row],[System_Recommendation]],1,0)</f>
        <v>1</v>
      </c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 spans="1:26" ht="15.75" hidden="1" customHeight="1">
      <c r="A460" s="8" t="s">
        <v>171</v>
      </c>
      <c r="B460" s="8">
        <v>30</v>
      </c>
      <c r="C460" s="9" t="s">
        <v>381</v>
      </c>
      <c r="D460" s="8">
        <v>3</v>
      </c>
      <c r="E460" s="9" t="s">
        <v>98</v>
      </c>
      <c r="F460" s="8" t="s">
        <v>384</v>
      </c>
      <c r="G460" s="8" t="s">
        <v>97</v>
      </c>
      <c r="H460" s="8" t="s">
        <v>155</v>
      </c>
      <c r="I460" s="8" t="s">
        <v>100</v>
      </c>
      <c r="J460" s="9" t="s">
        <v>380</v>
      </c>
      <c r="K460" s="8" t="str">
        <f>VLOOKUP(LEFT(H460,7),'קטלוג תרחישים'!$A:$M,12,FALSE())</f>
        <v>ג'</v>
      </c>
      <c r="L460" s="8" t="str">
        <f>IF(J460="כן",K460,VLOOKUP(LEFT(H460,7),'קטלוג תרחישים'!$A:$M,13,FALSE()))</f>
        <v>ג'</v>
      </c>
      <c r="M460" s="13"/>
      <c r="N460" s="50" t="s">
        <v>365</v>
      </c>
      <c r="O460" s="13" t="str">
        <f t="array" ref="O460">_xlfn.IFS(N460="A","א'", N460="B", "ב'", N460= "C", "ג'")</f>
        <v>ב'</v>
      </c>
      <c r="P460" s="13">
        <f>IF(Table_2[[#This Row],[Correct_Answer]]=Table_2[[#This Row],[System_Recommendation]],1,0)</f>
        <v>1</v>
      </c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 spans="1:26" ht="15.75" hidden="1" customHeight="1">
      <c r="A461" s="8" t="s">
        <v>171</v>
      </c>
      <c r="B461" s="8">
        <v>31</v>
      </c>
      <c r="C461" s="9" t="s">
        <v>381</v>
      </c>
      <c r="D461" s="8">
        <v>3</v>
      </c>
      <c r="E461" s="9" t="s">
        <v>98</v>
      </c>
      <c r="F461" s="8" t="s">
        <v>384</v>
      </c>
      <c r="G461" s="8" t="s">
        <v>97</v>
      </c>
      <c r="H461" s="8" t="s">
        <v>154</v>
      </c>
      <c r="I461" s="8" t="s">
        <v>91</v>
      </c>
      <c r="J461" s="9" t="s">
        <v>380</v>
      </c>
      <c r="K461" s="8" t="str">
        <f>VLOOKUP(LEFT(H461,7),'קטלוג תרחישים'!$A:$M,12,FALSE())</f>
        <v>ג'</v>
      </c>
      <c r="L461" s="8" t="str">
        <f>IF(J461="כן",K461,VLOOKUP(LEFT(H461,7),'קטלוג תרחישים'!$A:$M,13,FALSE()))</f>
        <v>ג'</v>
      </c>
      <c r="M461" s="13"/>
      <c r="N461" s="51" t="s">
        <v>366</v>
      </c>
      <c r="O461" s="13" t="str">
        <f t="array" ref="O461">_xlfn.IFS(N461="A","א'", N461="B", "ב'", N461= "C", "ג'")</f>
        <v>ג'</v>
      </c>
      <c r="P461" s="13">
        <f>IF(Table_2[[#This Row],[Correct_Answer]]=Table_2[[#This Row],[System_Recommendation]],1,0)</f>
        <v>1</v>
      </c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 spans="1:26" ht="15.75" hidden="1" customHeight="1">
      <c r="A462" s="8" t="s">
        <v>171</v>
      </c>
      <c r="B462" s="8">
        <v>32</v>
      </c>
      <c r="C462" s="9" t="s">
        <v>381</v>
      </c>
      <c r="D462" s="8">
        <v>3</v>
      </c>
      <c r="E462" s="9" t="s">
        <v>98</v>
      </c>
      <c r="F462" s="8" t="s">
        <v>384</v>
      </c>
      <c r="G462" s="8" t="s">
        <v>97</v>
      </c>
      <c r="H462" s="8" t="s">
        <v>153</v>
      </c>
      <c r="I462" s="8" t="s">
        <v>100</v>
      </c>
      <c r="J462" s="9" t="s">
        <v>383</v>
      </c>
      <c r="K462" s="8" t="str">
        <f>VLOOKUP(LEFT(H462,7),'קטלוג תרחישים'!$A:$M,12,FALSE())</f>
        <v>א'</v>
      </c>
      <c r="L462" s="8" t="str">
        <f>IF(J462="כן",K462,VLOOKUP(LEFT(H462,7),'קטלוג תרחישים'!$A:$M,13,FALSE()))</f>
        <v>ג'</v>
      </c>
      <c r="M462" s="13"/>
      <c r="N462" s="50" t="s">
        <v>360</v>
      </c>
      <c r="O462" s="13" t="str">
        <f t="array" ref="O462">_xlfn.IFS(N462="A","א'", N462="B", "ב'", N462= "C", "ג'")</f>
        <v>א'</v>
      </c>
      <c r="P462" s="13">
        <f>IF(Table_2[[#This Row],[Correct_Answer]]=Table_2[[#This Row],[System_Recommendation]],1,0)</f>
        <v>0</v>
      </c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 spans="1:26" ht="15.75" hidden="1" customHeight="1">
      <c r="A463" s="8" t="s">
        <v>171</v>
      </c>
      <c r="B463" s="8">
        <v>33</v>
      </c>
      <c r="C463" s="9" t="s">
        <v>381</v>
      </c>
      <c r="D463" s="8">
        <v>3</v>
      </c>
      <c r="E463" s="9" t="s">
        <v>98</v>
      </c>
      <c r="F463" s="8" t="s">
        <v>384</v>
      </c>
      <c r="G463" s="8" t="s">
        <v>97</v>
      </c>
      <c r="H463" s="8" t="s">
        <v>152</v>
      </c>
      <c r="I463" s="8" t="s">
        <v>91</v>
      </c>
      <c r="J463" s="9" t="s">
        <v>380</v>
      </c>
      <c r="K463" s="8" t="str">
        <f>VLOOKUP(LEFT(H463,7),'קטלוג תרחישים'!$A:$M,12,FALSE())</f>
        <v>ג'</v>
      </c>
      <c r="L463" s="8" t="str">
        <f>IF(J463="כן",K463,VLOOKUP(LEFT(H463,7),'קטלוג תרחישים'!$A:$M,13,FALSE()))</f>
        <v>ג'</v>
      </c>
      <c r="M463" s="13"/>
      <c r="N463" s="51" t="s">
        <v>360</v>
      </c>
      <c r="O463" s="13" t="str">
        <f t="array" ref="O463">_xlfn.IFS(N463="A","א'", N463="B", "ב'", N463= "C", "ג'")</f>
        <v>א'</v>
      </c>
      <c r="P463" s="13">
        <f>IF(Table_2[[#This Row],[Correct_Answer]]=Table_2[[#This Row],[System_Recommendation]],1,0)</f>
        <v>1</v>
      </c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 spans="1:26" ht="15.75" hidden="1" customHeight="1">
      <c r="A464" s="8" t="s">
        <v>172</v>
      </c>
      <c r="B464" s="8">
        <v>1</v>
      </c>
      <c r="C464" s="9" t="s">
        <v>379</v>
      </c>
      <c r="D464" s="8"/>
      <c r="E464" s="9" t="s">
        <v>98</v>
      </c>
      <c r="F464" s="8"/>
      <c r="G464" s="8"/>
      <c r="H464" s="11" t="s">
        <v>90</v>
      </c>
      <c r="I464" s="8" t="s">
        <v>91</v>
      </c>
      <c r="J464" s="9" t="s">
        <v>380</v>
      </c>
      <c r="K464" s="8" t="str">
        <f>VLOOKUP(LEFT(H464,7),'קטלוג תרחישים'!$A:$M,12,FALSE())</f>
        <v>א'</v>
      </c>
      <c r="L464" s="8" t="str">
        <f>IF(J464="כן",K464,VLOOKUP(LEFT(H464,7),'קטלוג תרחישים'!$A:$M,13,FALSE()))</f>
        <v>א'</v>
      </c>
      <c r="M464" s="13"/>
      <c r="N464" s="50" t="s">
        <v>366</v>
      </c>
      <c r="O464" s="13" t="str">
        <f t="array" ref="O464">_xlfn.IFS(N464="A","א'", N464="B", "ב'", N464= "C", "ג'")</f>
        <v>ג'</v>
      </c>
      <c r="P464" s="13">
        <f>IF(Table_2[[#This Row],[Correct_Answer]]=Table_2[[#This Row],[System_Recommendation]],1,0)</f>
        <v>1</v>
      </c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 spans="1:26" ht="15.75" hidden="1" customHeight="1">
      <c r="A465" s="8" t="s">
        <v>172</v>
      </c>
      <c r="B465" s="8">
        <v>2</v>
      </c>
      <c r="C465" s="9" t="s">
        <v>379</v>
      </c>
      <c r="D465" s="8"/>
      <c r="E465" s="9" t="s">
        <v>98</v>
      </c>
      <c r="F465" s="8"/>
      <c r="G465" s="8"/>
      <c r="H465" s="11" t="s">
        <v>92</v>
      </c>
      <c r="I465" s="8" t="s">
        <v>91</v>
      </c>
      <c r="J465" s="9" t="s">
        <v>380</v>
      </c>
      <c r="K465" s="8" t="str">
        <f>VLOOKUP(LEFT(H465,7),'קטלוג תרחישים'!$A:$M,12,FALSE())</f>
        <v>א'</v>
      </c>
      <c r="L465" s="8" t="str">
        <f>IF(J465="כן",K465,VLOOKUP(LEFT(H465,7),'קטלוג תרחישים'!$A:$M,13,FALSE()))</f>
        <v>א'</v>
      </c>
      <c r="M465" s="13"/>
      <c r="N465" s="51" t="s">
        <v>366</v>
      </c>
      <c r="O465" s="13" t="str">
        <f t="array" ref="O465">_xlfn.IFS(N465="A","א'", N465="B", "ב'", N465= "C", "ג'")</f>
        <v>ג'</v>
      </c>
      <c r="P465" s="13">
        <f>IF(Table_2[[#This Row],[Correct_Answer]]=Table_2[[#This Row],[System_Recommendation]],1,0)</f>
        <v>1</v>
      </c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 spans="1:26" ht="15.75" hidden="1" customHeight="1">
      <c r="A466" s="8" t="s">
        <v>172</v>
      </c>
      <c r="B466" s="8">
        <v>3</v>
      </c>
      <c r="C466" s="9" t="s">
        <v>379</v>
      </c>
      <c r="D466" s="8"/>
      <c r="E466" s="9" t="s">
        <v>105</v>
      </c>
      <c r="F466" s="8"/>
      <c r="G466" s="8"/>
      <c r="H466" s="11" t="s">
        <v>93</v>
      </c>
      <c r="I466" s="8" t="s">
        <v>91</v>
      </c>
      <c r="J466" s="9" t="s">
        <v>380</v>
      </c>
      <c r="K466" s="8" t="str">
        <f>VLOOKUP(LEFT(H466,7),'קטלוג תרחישים'!$A:$M,12,FALSE())</f>
        <v>א'</v>
      </c>
      <c r="L466" s="8" t="str">
        <f>IF(J466="כן",K466,VLOOKUP(LEFT(H466,7),'קטלוג תרחישים'!$A:$M,13,FALSE()))</f>
        <v>א'</v>
      </c>
      <c r="M466" s="13"/>
      <c r="N466" s="50" t="s">
        <v>366</v>
      </c>
      <c r="O466" s="13" t="str">
        <f t="array" ref="O466">_xlfn.IFS(N466="A","א'", N466="B", "ב'", N466= "C", "ג'")</f>
        <v>ג'</v>
      </c>
      <c r="P466" s="13">
        <f>IF(Table_2[[#This Row],[Correct_Answer]]=Table_2[[#This Row],[System_Recommendation]],1,0)</f>
        <v>1</v>
      </c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 spans="1:26" ht="15.75" hidden="1" customHeight="1">
      <c r="A467" s="8" t="s">
        <v>172</v>
      </c>
      <c r="B467" s="8">
        <v>4</v>
      </c>
      <c r="C467" s="9" t="s">
        <v>379</v>
      </c>
      <c r="D467" s="8"/>
      <c r="E467" s="9" t="s">
        <v>105</v>
      </c>
      <c r="F467" s="8"/>
      <c r="G467" s="8"/>
      <c r="H467" s="11" t="s">
        <v>94</v>
      </c>
      <c r="I467" s="8" t="s">
        <v>91</v>
      </c>
      <c r="J467" s="9" t="s">
        <v>380</v>
      </c>
      <c r="K467" s="8" t="str">
        <f>VLOOKUP(LEFT(H467,7),'קטלוג תרחישים'!$A:$M,12,FALSE())</f>
        <v>א'</v>
      </c>
      <c r="L467" s="8" t="str">
        <f>IF(J467="כן",K467,VLOOKUP(LEFT(H467,7),'קטלוג תרחישים'!$A:$M,13,FALSE()))</f>
        <v>א'</v>
      </c>
      <c r="M467" s="13"/>
      <c r="N467" s="51" t="s">
        <v>365</v>
      </c>
      <c r="O467" s="13" t="str">
        <f t="array" ref="O467">_xlfn.IFS(N467="A","א'", N467="B", "ב'", N467= "C", "ג'")</f>
        <v>ב'</v>
      </c>
      <c r="P467" s="13">
        <f>IF(Table_2[[#This Row],[Correct_Answer]]=Table_2[[#This Row],[System_Recommendation]],1,0)</f>
        <v>1</v>
      </c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 spans="1:26" ht="15.75" hidden="1" customHeight="1">
      <c r="A468" s="8" t="s">
        <v>172</v>
      </c>
      <c r="B468" s="8">
        <v>5</v>
      </c>
      <c r="C468" s="9" t="s">
        <v>379</v>
      </c>
      <c r="D468" s="8"/>
      <c r="E468" s="9" t="s">
        <v>111</v>
      </c>
      <c r="F468" s="8"/>
      <c r="G468" s="8"/>
      <c r="H468" s="11" t="s">
        <v>95</v>
      </c>
      <c r="I468" s="8" t="s">
        <v>91</v>
      </c>
      <c r="J468" s="9" t="s">
        <v>380</v>
      </c>
      <c r="K468" s="8" t="str">
        <f>VLOOKUP(LEFT(H468,7),'קטלוג תרחישים'!$A:$M,12,FALSE())</f>
        <v>ב'</v>
      </c>
      <c r="L468" s="8" t="str">
        <f>IF(J468="כן",K468,VLOOKUP(LEFT(H468,7),'קטלוג תרחישים'!$A:$M,13,FALSE()))</f>
        <v>ב'</v>
      </c>
      <c r="M468" s="13"/>
      <c r="N468" s="50" t="s">
        <v>360</v>
      </c>
      <c r="O468" s="13" t="str">
        <f t="array" ref="O468">_xlfn.IFS(N468="A","א'", N468="B", "ב'", N468= "C", "ג'")</f>
        <v>א'</v>
      </c>
      <c r="P468" s="13">
        <f>IF(Table_2[[#This Row],[Correct_Answer]]=Table_2[[#This Row],[System_Recommendation]],1,0)</f>
        <v>1</v>
      </c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 spans="1:26" ht="15.75" customHeight="1">
      <c r="A469" s="8" t="s">
        <v>172</v>
      </c>
      <c r="B469" s="8">
        <v>6</v>
      </c>
      <c r="C469" s="9" t="s">
        <v>379</v>
      </c>
      <c r="D469" s="8"/>
      <c r="E469" s="9" t="s">
        <v>111</v>
      </c>
      <c r="F469" s="8"/>
      <c r="G469" s="8"/>
      <c r="H469" s="11" t="s">
        <v>96</v>
      </c>
      <c r="I469" s="8" t="s">
        <v>91</v>
      </c>
      <c r="J469" s="9" t="s">
        <v>380</v>
      </c>
      <c r="K469" s="8" t="str">
        <f>VLOOKUP(LEFT(H469,7),'קטלוג תרחישים'!$A:$M,12,FALSE())</f>
        <v>ב'</v>
      </c>
      <c r="L469" s="8" t="str">
        <f>IF(J469="כן",K469,VLOOKUP(LEFT(H469,7),'קטלוג תרחישים'!$A:$M,13,FALSE()))</f>
        <v>ב'</v>
      </c>
      <c r="M469" s="13"/>
      <c r="N469" s="51" t="s">
        <v>366</v>
      </c>
      <c r="O469" s="13" t="str">
        <f t="array" ref="O469">_xlfn.IFS(N469="A","א'", N469="B", "ב'", N469= "C", "ג'")</f>
        <v>ג'</v>
      </c>
      <c r="P469" s="13">
        <f>IF(Table_2[[#This Row],[Correct_Answer]]=Table_2[[#This Row],[System_Recommendation]],1,0)</f>
        <v>1</v>
      </c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 spans="1:26" ht="15.75" hidden="1" customHeight="1">
      <c r="A470" s="8" t="s">
        <v>172</v>
      </c>
      <c r="B470" s="8">
        <v>7</v>
      </c>
      <c r="C470" s="9" t="s">
        <v>381</v>
      </c>
      <c r="D470" s="8">
        <v>1</v>
      </c>
      <c r="E470" s="9" t="s">
        <v>111</v>
      </c>
      <c r="F470" s="8" t="s">
        <v>382</v>
      </c>
      <c r="G470" s="8" t="s">
        <v>97</v>
      </c>
      <c r="H470" s="8" t="s">
        <v>149</v>
      </c>
      <c r="I470" s="8" t="s">
        <v>91</v>
      </c>
      <c r="J470" s="9" t="s">
        <v>380</v>
      </c>
      <c r="K470" s="8" t="str">
        <f>VLOOKUP(LEFT(H470,7),'קטלוג תרחישים'!$A:$M,12,FALSE())</f>
        <v>ג'</v>
      </c>
      <c r="L470" s="8" t="str">
        <f>IF(J470="כן",K470,VLOOKUP(LEFT(H470,7),'קטלוג תרחישים'!$A:$M,13,FALSE()))</f>
        <v>ג'</v>
      </c>
      <c r="M470" s="13"/>
      <c r="N470" s="50" t="s">
        <v>366</v>
      </c>
      <c r="O470" s="13" t="str">
        <f t="array" ref="O470">_xlfn.IFS(N470="A","א'", N470="B", "ב'", N470= "C", "ג'")</f>
        <v>ג'</v>
      </c>
      <c r="P470" s="13">
        <f>IF(Table_2[[#This Row],[Correct_Answer]]=Table_2[[#This Row],[System_Recommendation]],1,0)</f>
        <v>1</v>
      </c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 spans="1:26" ht="15.75" hidden="1" customHeight="1">
      <c r="A471" s="8" t="s">
        <v>172</v>
      </c>
      <c r="B471" s="8">
        <v>8</v>
      </c>
      <c r="C471" s="9" t="s">
        <v>381</v>
      </c>
      <c r="D471" s="8">
        <v>1</v>
      </c>
      <c r="E471" s="9" t="s">
        <v>111</v>
      </c>
      <c r="F471" s="8" t="s">
        <v>382</v>
      </c>
      <c r="G471" s="8" t="s">
        <v>97</v>
      </c>
      <c r="H471" s="8" t="s">
        <v>148</v>
      </c>
      <c r="I471" s="8" t="s">
        <v>100</v>
      </c>
      <c r="J471" s="9" t="s">
        <v>380</v>
      </c>
      <c r="K471" s="8" t="str">
        <f>VLOOKUP(LEFT(H471,7),'קטלוג תרחישים'!$A:$M,12,FALSE())</f>
        <v>ב'</v>
      </c>
      <c r="L471" s="8" t="str">
        <f>IF(J471="כן",K471,VLOOKUP(LEFT(H471,7),'קטלוג תרחישים'!$A:$M,13,FALSE()))</f>
        <v>ב'</v>
      </c>
      <c r="M471" s="13"/>
      <c r="N471" s="51" t="s">
        <v>365</v>
      </c>
      <c r="O471" s="13" t="str">
        <f t="array" ref="O471">_xlfn.IFS(N471="A","א'", N471="B", "ב'", N471= "C", "ג'")</f>
        <v>ב'</v>
      </c>
      <c r="P471" s="13">
        <f>IF(Table_2[[#This Row],[Correct_Answer]]=Table_2[[#This Row],[System_Recommendation]],1,0)</f>
        <v>1</v>
      </c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 spans="1:26" ht="15.75" hidden="1" customHeight="1">
      <c r="A472" s="8" t="s">
        <v>172</v>
      </c>
      <c r="B472" s="8">
        <v>9</v>
      </c>
      <c r="C472" s="9" t="s">
        <v>381</v>
      </c>
      <c r="D472" s="8">
        <v>1</v>
      </c>
      <c r="E472" s="9" t="s">
        <v>111</v>
      </c>
      <c r="F472" s="8" t="s">
        <v>382</v>
      </c>
      <c r="G472" s="8" t="s">
        <v>97</v>
      </c>
      <c r="H472" s="8" t="s">
        <v>147</v>
      </c>
      <c r="I472" s="8" t="s">
        <v>91</v>
      </c>
      <c r="J472" s="9" t="s">
        <v>380</v>
      </c>
      <c r="K472" s="8" t="str">
        <f>VLOOKUP(LEFT(H472,7),'קטלוג תרחישים'!$A:$M,12,FALSE())</f>
        <v>ג'</v>
      </c>
      <c r="L472" s="8" t="str">
        <f>IF(J472="כן",K472,VLOOKUP(LEFT(H472,7),'קטלוג תרחישים'!$A:$M,13,FALSE()))</f>
        <v>ג'</v>
      </c>
      <c r="M472" s="13"/>
      <c r="N472" s="50" t="s">
        <v>365</v>
      </c>
      <c r="O472" s="13" t="str">
        <f t="array" ref="O472">_xlfn.IFS(N472="A","א'", N472="B", "ב'", N472= "C", "ג'")</f>
        <v>ב'</v>
      </c>
      <c r="P472" s="13">
        <f>IF(Table_2[[#This Row],[Correct_Answer]]=Table_2[[#This Row],[System_Recommendation]],1,0)</f>
        <v>1</v>
      </c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 spans="1:26" ht="15.75" hidden="1" customHeight="1">
      <c r="A473" s="8" t="s">
        <v>172</v>
      </c>
      <c r="B473" s="8">
        <v>10</v>
      </c>
      <c r="C473" s="9" t="s">
        <v>381</v>
      </c>
      <c r="D473" s="8">
        <v>1</v>
      </c>
      <c r="E473" s="9" t="s">
        <v>111</v>
      </c>
      <c r="F473" s="8" t="s">
        <v>382</v>
      </c>
      <c r="G473" s="8" t="s">
        <v>97</v>
      </c>
      <c r="H473" s="8" t="s">
        <v>150</v>
      </c>
      <c r="I473" s="8" t="s">
        <v>100</v>
      </c>
      <c r="J473" s="9" t="s">
        <v>383</v>
      </c>
      <c r="K473" s="8" t="str">
        <f>VLOOKUP(LEFT(H473,7),'קטלוג תרחישים'!$A:$M,12,FALSE())</f>
        <v>ב'</v>
      </c>
      <c r="L473" s="8" t="str">
        <f>IF(J473="כן",K473,VLOOKUP(LEFT(H473,7),'קטלוג תרחישים'!$A:$M,13,FALSE()))</f>
        <v>א'</v>
      </c>
      <c r="M473" s="13"/>
      <c r="N473" s="51" t="s">
        <v>365</v>
      </c>
      <c r="O473" s="13" t="str">
        <f t="array" ref="O473">_xlfn.IFS(N473="A","א'", N473="B", "ב'", N473= "C", "ג'")</f>
        <v>ב'</v>
      </c>
      <c r="P473" s="13">
        <f>IF(Table_2[[#This Row],[Correct_Answer]]=Table_2[[#This Row],[System_Recommendation]],1,0)</f>
        <v>0</v>
      </c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 spans="1:26" ht="15.75" hidden="1" customHeight="1">
      <c r="A474" s="8" t="s">
        <v>172</v>
      </c>
      <c r="B474" s="8">
        <v>11</v>
      </c>
      <c r="C474" s="9" t="s">
        <v>381</v>
      </c>
      <c r="D474" s="8">
        <v>1</v>
      </c>
      <c r="E474" s="9" t="s">
        <v>111</v>
      </c>
      <c r="F474" s="8" t="s">
        <v>382</v>
      </c>
      <c r="G474" s="8" t="s">
        <v>97</v>
      </c>
      <c r="H474" s="8" t="s">
        <v>151</v>
      </c>
      <c r="I474" s="8" t="s">
        <v>91</v>
      </c>
      <c r="J474" s="9" t="s">
        <v>380</v>
      </c>
      <c r="K474" s="8" t="str">
        <f>VLOOKUP(LEFT(H474,7),'קטלוג תרחישים'!$A:$M,12,FALSE())</f>
        <v>א'</v>
      </c>
      <c r="L474" s="8" t="str">
        <f>IF(J474="כן",K474,VLOOKUP(LEFT(H474,7),'קטלוג תרחישים'!$A:$M,13,FALSE()))</f>
        <v>א'</v>
      </c>
      <c r="M474" s="13"/>
      <c r="N474" s="50" t="s">
        <v>360</v>
      </c>
      <c r="O474" s="13" t="str">
        <f t="array" ref="O474">_xlfn.IFS(N474="A","א'", N474="B", "ב'", N474= "C", "ג'")</f>
        <v>א'</v>
      </c>
      <c r="P474" s="13">
        <f>IF(Table_2[[#This Row],[Correct_Answer]]=Table_2[[#This Row],[System_Recommendation]],1,0)</f>
        <v>1</v>
      </c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 spans="1:26" ht="15.75" hidden="1" customHeight="1">
      <c r="A475" s="8" t="s">
        <v>172</v>
      </c>
      <c r="B475" s="8">
        <v>12</v>
      </c>
      <c r="C475" s="9" t="s">
        <v>381</v>
      </c>
      <c r="D475" s="8">
        <v>2</v>
      </c>
      <c r="E475" s="9" t="s">
        <v>98</v>
      </c>
      <c r="F475" s="8" t="s">
        <v>382</v>
      </c>
      <c r="G475" s="8" t="s">
        <v>97</v>
      </c>
      <c r="H475" s="8" t="s">
        <v>154</v>
      </c>
      <c r="I475" s="8" t="s">
        <v>91</v>
      </c>
      <c r="J475" s="9" t="s">
        <v>380</v>
      </c>
      <c r="K475" s="8" t="str">
        <f>VLOOKUP(LEFT(H475,7),'קטלוג תרחישים'!$A:$M,12,FALSE())</f>
        <v>ג'</v>
      </c>
      <c r="L475" s="8" t="str">
        <f>IF(J475="כן",K475,VLOOKUP(LEFT(H475,7),'קטלוג תרחישים'!$A:$M,13,FALSE()))</f>
        <v>ג'</v>
      </c>
      <c r="M475" s="13"/>
      <c r="N475" s="51" t="s">
        <v>366</v>
      </c>
      <c r="O475" s="13" t="str">
        <f t="array" ref="O475">_xlfn.IFS(N475="A","א'", N475="B", "ב'", N475= "C", "ג'")</f>
        <v>ג'</v>
      </c>
      <c r="P475" s="13">
        <f>IF(Table_2[[#This Row],[Correct_Answer]]=Table_2[[#This Row],[System_Recommendation]],1,0)</f>
        <v>1</v>
      </c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 spans="1:26" ht="15.75" hidden="1" customHeight="1">
      <c r="A476" s="8" t="s">
        <v>172</v>
      </c>
      <c r="B476" s="8">
        <v>13</v>
      </c>
      <c r="C476" s="9" t="s">
        <v>381</v>
      </c>
      <c r="D476" s="8">
        <v>2</v>
      </c>
      <c r="E476" s="9" t="s">
        <v>98</v>
      </c>
      <c r="F476" s="8" t="s">
        <v>382</v>
      </c>
      <c r="G476" s="8" t="s">
        <v>97</v>
      </c>
      <c r="H476" s="8" t="s">
        <v>155</v>
      </c>
      <c r="I476" s="8" t="s">
        <v>100</v>
      </c>
      <c r="J476" s="9" t="s">
        <v>380</v>
      </c>
      <c r="K476" s="8" t="str">
        <f>VLOOKUP(LEFT(H476,7),'קטלוג תרחישים'!$A:$M,12,FALSE())</f>
        <v>ג'</v>
      </c>
      <c r="L476" s="8" t="str">
        <f>IF(J476="כן",K476,VLOOKUP(LEFT(H476,7),'קטלוג תרחישים'!$A:$M,13,FALSE()))</f>
        <v>ג'</v>
      </c>
      <c r="M476" s="13"/>
      <c r="N476" s="50" t="s">
        <v>365</v>
      </c>
      <c r="O476" s="13" t="str">
        <f t="array" ref="O476">_xlfn.IFS(N476="A","א'", N476="B", "ב'", N476= "C", "ג'")</f>
        <v>ב'</v>
      </c>
      <c r="P476" s="13">
        <f>IF(Table_2[[#This Row],[Correct_Answer]]=Table_2[[#This Row],[System_Recommendation]],1,0)</f>
        <v>1</v>
      </c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 spans="1:26" ht="15.75" hidden="1" customHeight="1">
      <c r="A477" s="8" t="s">
        <v>172</v>
      </c>
      <c r="B477" s="8">
        <v>14</v>
      </c>
      <c r="C477" s="9" t="s">
        <v>381</v>
      </c>
      <c r="D477" s="8">
        <v>2</v>
      </c>
      <c r="E477" s="9" t="s">
        <v>98</v>
      </c>
      <c r="F477" s="8" t="s">
        <v>382</v>
      </c>
      <c r="G477" s="8" t="s">
        <v>97</v>
      </c>
      <c r="H477" s="8" t="s">
        <v>152</v>
      </c>
      <c r="I477" s="8" t="s">
        <v>91</v>
      </c>
      <c r="J477" s="9" t="s">
        <v>383</v>
      </c>
      <c r="K477" s="8" t="str">
        <f>VLOOKUP(LEFT(H477,7),'קטלוג תרחישים'!$A:$M,12,FALSE())</f>
        <v>ג'</v>
      </c>
      <c r="L477" s="8" t="str">
        <f>IF(J477="כן",K477,VLOOKUP(LEFT(H477,7),'קטלוג תרחישים'!$A:$M,13,FALSE()))</f>
        <v>ב'</v>
      </c>
      <c r="M477" s="13"/>
      <c r="N477" s="51" t="s">
        <v>360</v>
      </c>
      <c r="O477" s="13" t="str">
        <f t="array" ref="O477">_xlfn.IFS(N477="A","א'", N477="B", "ב'", N477= "C", "ג'")</f>
        <v>א'</v>
      </c>
      <c r="P477" s="13">
        <f>IF(Table_2[[#This Row],[Correct_Answer]]=Table_2[[#This Row],[System_Recommendation]],1,0)</f>
        <v>0</v>
      </c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 spans="1:26" ht="15.75" hidden="1" customHeight="1">
      <c r="A478" s="8" t="s">
        <v>172</v>
      </c>
      <c r="B478" s="8">
        <v>15</v>
      </c>
      <c r="C478" s="9" t="s">
        <v>381</v>
      </c>
      <c r="D478" s="8">
        <v>2</v>
      </c>
      <c r="E478" s="9" t="s">
        <v>98</v>
      </c>
      <c r="F478" s="8" t="s">
        <v>382</v>
      </c>
      <c r="G478" s="8" t="s">
        <v>97</v>
      </c>
      <c r="H478" s="8" t="s">
        <v>153</v>
      </c>
      <c r="I478" s="8" t="s">
        <v>100</v>
      </c>
      <c r="J478" s="9" t="s">
        <v>380</v>
      </c>
      <c r="K478" s="8" t="str">
        <f>VLOOKUP(LEFT(H478,7),'קטלוג תרחישים'!$A:$M,12,FALSE())</f>
        <v>א'</v>
      </c>
      <c r="L478" s="8" t="str">
        <f>IF(J478="כן",K478,VLOOKUP(LEFT(H478,7),'קטלוג תרחישים'!$A:$M,13,FALSE()))</f>
        <v>א'</v>
      </c>
      <c r="M478" s="13"/>
      <c r="N478" s="50" t="s">
        <v>360</v>
      </c>
      <c r="O478" s="13" t="str">
        <f t="array" ref="O478">_xlfn.IFS(N478="A","א'", N478="B", "ב'", N478= "C", "ג'")</f>
        <v>א'</v>
      </c>
      <c r="P478" s="13">
        <f>IF(Table_2[[#This Row],[Correct_Answer]]=Table_2[[#This Row],[System_Recommendation]],1,0)</f>
        <v>1</v>
      </c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 spans="1:26" ht="15.75" hidden="1" customHeight="1">
      <c r="A479" s="8" t="s">
        <v>172</v>
      </c>
      <c r="B479" s="8">
        <v>16</v>
      </c>
      <c r="C479" s="9" t="s">
        <v>381</v>
      </c>
      <c r="D479" s="8">
        <v>2</v>
      </c>
      <c r="E479" s="9" t="s">
        <v>98</v>
      </c>
      <c r="F479" s="8" t="s">
        <v>382</v>
      </c>
      <c r="G479" s="8" t="s">
        <v>97</v>
      </c>
      <c r="H479" s="8" t="s">
        <v>156</v>
      </c>
      <c r="I479" s="8" t="s">
        <v>91</v>
      </c>
      <c r="J479" s="9" t="s">
        <v>380</v>
      </c>
      <c r="K479" s="8" t="str">
        <f>VLOOKUP(LEFT(H479,7),'קטלוג תרחישים'!$A:$M,12,FALSE())</f>
        <v>ב'</v>
      </c>
      <c r="L479" s="8" t="str">
        <f>IF(J479="כן",K479,VLOOKUP(LEFT(H479,7),'קטלוג תרחישים'!$A:$M,13,FALSE()))</f>
        <v>ב'</v>
      </c>
      <c r="M479" s="13"/>
      <c r="N479" s="51" t="s">
        <v>360</v>
      </c>
      <c r="O479" s="13" t="str">
        <f t="array" ref="O479">_xlfn.IFS(N479="A","א'", N479="B", "ב'", N479= "C", "ג'")</f>
        <v>א'</v>
      </c>
      <c r="P479" s="13">
        <f>IF(Table_2[[#This Row],[Correct_Answer]]=Table_2[[#This Row],[System_Recommendation]],1,0)</f>
        <v>1</v>
      </c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 spans="1:26" ht="15.75" hidden="1" customHeight="1">
      <c r="A480" s="8" t="s">
        <v>172</v>
      </c>
      <c r="B480" s="8">
        <v>17</v>
      </c>
      <c r="C480" s="9" t="s">
        <v>381</v>
      </c>
      <c r="D480" s="8">
        <v>3</v>
      </c>
      <c r="E480" s="9" t="s">
        <v>105</v>
      </c>
      <c r="F480" s="8" t="s">
        <v>382</v>
      </c>
      <c r="G480" s="8" t="s">
        <v>97</v>
      </c>
      <c r="H480" s="8" t="s">
        <v>142</v>
      </c>
      <c r="I480" s="8" t="s">
        <v>100</v>
      </c>
      <c r="J480" s="9" t="s">
        <v>380</v>
      </c>
      <c r="K480" s="8" t="str">
        <f>VLOOKUP(LEFT(H480,7),'קטלוג תרחישים'!$A:$M,12,FALSE())</f>
        <v>ב'</v>
      </c>
      <c r="L480" s="8" t="str">
        <f>IF(J480="כן",K480,VLOOKUP(LEFT(H480,7),'קטלוג תרחישים'!$A:$M,13,FALSE()))</f>
        <v>ב'</v>
      </c>
      <c r="M480" s="13"/>
      <c r="N480" s="50" t="s">
        <v>365</v>
      </c>
      <c r="O480" s="13" t="str">
        <f t="array" ref="O480">_xlfn.IFS(N480="A","א'", N480="B", "ב'", N480= "C", "ג'")</f>
        <v>ב'</v>
      </c>
      <c r="P480" s="13">
        <f>IF(Table_2[[#This Row],[Correct_Answer]]=Table_2[[#This Row],[System_Recommendation]],1,0)</f>
        <v>1</v>
      </c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 spans="1:26" ht="15.75" hidden="1" customHeight="1">
      <c r="A481" s="8" t="s">
        <v>172</v>
      </c>
      <c r="B481" s="8">
        <v>18</v>
      </c>
      <c r="C481" s="9" t="s">
        <v>381</v>
      </c>
      <c r="D481" s="8">
        <v>3</v>
      </c>
      <c r="E481" s="9" t="s">
        <v>105</v>
      </c>
      <c r="F481" s="8" t="s">
        <v>382</v>
      </c>
      <c r="G481" s="8" t="s">
        <v>97</v>
      </c>
      <c r="H481" s="8" t="s">
        <v>143</v>
      </c>
      <c r="I481" s="8" t="s">
        <v>91</v>
      </c>
      <c r="J481" s="9" t="s">
        <v>380</v>
      </c>
      <c r="K481" s="8" t="str">
        <f>VLOOKUP(LEFT(H481,7),'קטלוג תרחישים'!$A:$M,12,FALSE())</f>
        <v>א'</v>
      </c>
      <c r="L481" s="8" t="str">
        <f>IF(J481="כן",K481,VLOOKUP(LEFT(H481,7),'קטלוג תרחישים'!$A:$M,13,FALSE()))</f>
        <v>א'</v>
      </c>
      <c r="M481" s="13"/>
      <c r="N481" s="51" t="s">
        <v>365</v>
      </c>
      <c r="O481" s="13" t="str">
        <f t="array" ref="O481">_xlfn.IFS(N481="A","א'", N481="B", "ב'", N481= "C", "ג'")</f>
        <v>ב'</v>
      </c>
      <c r="P481" s="13">
        <f>IF(Table_2[[#This Row],[Correct_Answer]]=Table_2[[#This Row],[System_Recommendation]],1,0)</f>
        <v>1</v>
      </c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 spans="1:26" ht="15.75" hidden="1" customHeight="1">
      <c r="A482" s="8" t="s">
        <v>172</v>
      </c>
      <c r="B482" s="8">
        <v>19</v>
      </c>
      <c r="C482" s="9" t="s">
        <v>381</v>
      </c>
      <c r="D482" s="8">
        <v>3</v>
      </c>
      <c r="E482" s="9" t="s">
        <v>105</v>
      </c>
      <c r="F482" s="8" t="s">
        <v>382</v>
      </c>
      <c r="G482" s="8" t="s">
        <v>97</v>
      </c>
      <c r="H482" s="8" t="s">
        <v>146</v>
      </c>
      <c r="I482" s="8" t="s">
        <v>100</v>
      </c>
      <c r="J482" s="9" t="s">
        <v>380</v>
      </c>
      <c r="K482" s="8" t="str">
        <f>VLOOKUP(LEFT(H482,7),'קטלוג תרחישים'!$A:$M,12,FALSE())</f>
        <v>ג'</v>
      </c>
      <c r="L482" s="8" t="str">
        <f>IF(J482="כן",K482,VLOOKUP(LEFT(H482,7),'קטלוג תרחישים'!$A:$M,13,FALSE()))</f>
        <v>ג'</v>
      </c>
      <c r="M482" s="13"/>
      <c r="N482" s="50" t="s">
        <v>366</v>
      </c>
      <c r="O482" s="13" t="str">
        <f t="array" ref="O482">_xlfn.IFS(N482="A","א'", N482="B", "ב'", N482= "C", "ג'")</f>
        <v>ג'</v>
      </c>
      <c r="P482" s="13">
        <f>IF(Table_2[[#This Row],[Correct_Answer]]=Table_2[[#This Row],[System_Recommendation]],1,0)</f>
        <v>1</v>
      </c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 spans="1:26" ht="15.75" hidden="1" customHeight="1">
      <c r="A483" s="8" t="s">
        <v>172</v>
      </c>
      <c r="B483" s="8">
        <v>20</v>
      </c>
      <c r="C483" s="9" t="s">
        <v>381</v>
      </c>
      <c r="D483" s="8">
        <v>3</v>
      </c>
      <c r="E483" s="9" t="s">
        <v>105</v>
      </c>
      <c r="F483" s="8" t="s">
        <v>382</v>
      </c>
      <c r="G483" s="8" t="s">
        <v>97</v>
      </c>
      <c r="H483" s="8" t="s">
        <v>145</v>
      </c>
      <c r="I483" s="8" t="s">
        <v>91</v>
      </c>
      <c r="J483" s="9" t="s">
        <v>380</v>
      </c>
      <c r="K483" s="8" t="str">
        <f>VLOOKUP(LEFT(H483,7),'קטלוג תרחישים'!$A:$M,12,FALSE())</f>
        <v>ב'</v>
      </c>
      <c r="L483" s="8" t="str">
        <f>IF(J483="כן",K483,VLOOKUP(LEFT(H483,7),'קטלוג תרחישים'!$A:$M,13,FALSE()))</f>
        <v>ב'</v>
      </c>
      <c r="M483" s="13"/>
      <c r="N483" s="51" t="s">
        <v>366</v>
      </c>
      <c r="O483" s="13" t="str">
        <f t="array" ref="O483">_xlfn.IFS(N483="A","א'", N483="B", "ב'", N483= "C", "ג'")</f>
        <v>ג'</v>
      </c>
      <c r="P483" s="13">
        <f>IF(Table_2[[#This Row],[Correct_Answer]]=Table_2[[#This Row],[System_Recommendation]],1,0)</f>
        <v>1</v>
      </c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 spans="1:26" ht="15.75" hidden="1" customHeight="1">
      <c r="A484" s="8" t="s">
        <v>172</v>
      </c>
      <c r="B484" s="8">
        <v>21</v>
      </c>
      <c r="C484" s="9" t="s">
        <v>381</v>
      </c>
      <c r="D484" s="8">
        <v>3</v>
      </c>
      <c r="E484" s="9" t="s">
        <v>105</v>
      </c>
      <c r="F484" s="8" t="s">
        <v>382</v>
      </c>
      <c r="G484" s="8" t="s">
        <v>97</v>
      </c>
      <c r="H484" s="8" t="s">
        <v>144</v>
      </c>
      <c r="I484" s="8" t="s">
        <v>100</v>
      </c>
      <c r="J484" s="9" t="s">
        <v>383</v>
      </c>
      <c r="K484" s="8" t="str">
        <f>VLOOKUP(LEFT(H484,7),'קטלוג תרחישים'!$A:$M,12,FALSE())</f>
        <v>ג'</v>
      </c>
      <c r="L484" s="8" t="str">
        <f>IF(J484="כן",K484,VLOOKUP(LEFT(H484,7),'קטלוג תרחישים'!$A:$M,13,FALSE()))</f>
        <v>ב'</v>
      </c>
      <c r="M484" s="13"/>
      <c r="N484" s="50" t="s">
        <v>360</v>
      </c>
      <c r="O484" s="13" t="str">
        <f t="array" ref="O484">_xlfn.IFS(N484="A","א'", N484="B", "ב'", N484= "C", "ג'")</f>
        <v>א'</v>
      </c>
      <c r="P484" s="13">
        <f>IF(Table_2[[#This Row],[Correct_Answer]]=Table_2[[#This Row],[System_Recommendation]],1,0)</f>
        <v>0</v>
      </c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 spans="1:26" ht="15.75" hidden="1" customHeight="1">
      <c r="A485" s="8" t="s">
        <v>172</v>
      </c>
      <c r="B485" s="8">
        <v>22</v>
      </c>
      <c r="C485" s="9" t="s">
        <v>381</v>
      </c>
      <c r="D485" s="8">
        <v>1</v>
      </c>
      <c r="E485" s="9" t="s">
        <v>98</v>
      </c>
      <c r="F485" s="8" t="s">
        <v>384</v>
      </c>
      <c r="G485" s="8" t="s">
        <v>117</v>
      </c>
      <c r="H485" s="8" t="s">
        <v>163</v>
      </c>
      <c r="I485" s="8" t="s">
        <v>91</v>
      </c>
      <c r="J485" s="9" t="s">
        <v>380</v>
      </c>
      <c r="K485" s="8" t="str">
        <f>VLOOKUP(LEFT(H485,7),'קטלוג תרחישים'!$A:$M,12,FALSE())</f>
        <v>ג'</v>
      </c>
      <c r="L485" s="8" t="str">
        <f>IF(J485="כן",K485,VLOOKUP(LEFT(H485,7),'קטלוג תרחישים'!$A:$M,13,FALSE()))</f>
        <v>ג'</v>
      </c>
      <c r="M485" s="13"/>
      <c r="N485" s="51" t="s">
        <v>366</v>
      </c>
      <c r="O485" s="13" t="str">
        <f t="array" ref="O485">_xlfn.IFS(N485="A","א'", N485="B", "ב'", N485= "C", "ג'")</f>
        <v>ג'</v>
      </c>
      <c r="P485" s="13">
        <f>IF(Table_2[[#This Row],[Correct_Answer]]=Table_2[[#This Row],[System_Recommendation]],1,0)</f>
        <v>1</v>
      </c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 spans="1:26" ht="15.75" hidden="1" customHeight="1">
      <c r="A486" s="8" t="s">
        <v>172</v>
      </c>
      <c r="B486" s="8">
        <v>23</v>
      </c>
      <c r="C486" s="9" t="s">
        <v>381</v>
      </c>
      <c r="D486" s="8">
        <v>1</v>
      </c>
      <c r="E486" s="9" t="s">
        <v>98</v>
      </c>
      <c r="F486" s="8" t="s">
        <v>384</v>
      </c>
      <c r="G486" s="8" t="s">
        <v>117</v>
      </c>
      <c r="H486" s="8" t="s">
        <v>162</v>
      </c>
      <c r="I486" s="8" t="s">
        <v>100</v>
      </c>
      <c r="J486" s="9" t="s">
        <v>380</v>
      </c>
      <c r="K486" s="8" t="str">
        <f>VLOOKUP(LEFT(H486,7),'קטלוג תרחישים'!$A:$M,12,FALSE())</f>
        <v>ג'</v>
      </c>
      <c r="L486" s="8" t="str">
        <f>IF(J486="כן",K486,VLOOKUP(LEFT(H486,7),'קטלוג תרחישים'!$A:$M,13,FALSE()))</f>
        <v>ג'</v>
      </c>
      <c r="M486" s="13"/>
      <c r="N486" s="50" t="s">
        <v>366</v>
      </c>
      <c r="O486" s="13" t="str">
        <f t="array" ref="O486">_xlfn.IFS(N486="A","א'", N486="B", "ב'", N486= "C", "ג'")</f>
        <v>ג'</v>
      </c>
      <c r="P486" s="13">
        <f>IF(Table_2[[#This Row],[Correct_Answer]]=Table_2[[#This Row],[System_Recommendation]],1,0)</f>
        <v>1</v>
      </c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 spans="1:26" ht="15.75" hidden="1" customHeight="1">
      <c r="A487" s="8" t="s">
        <v>172</v>
      </c>
      <c r="B487" s="8">
        <v>24</v>
      </c>
      <c r="C487" s="9" t="s">
        <v>381</v>
      </c>
      <c r="D487" s="8">
        <v>1</v>
      </c>
      <c r="E487" s="9" t="s">
        <v>98</v>
      </c>
      <c r="F487" s="8" t="s">
        <v>384</v>
      </c>
      <c r="G487" s="8" t="s">
        <v>117</v>
      </c>
      <c r="H487" s="8" t="s">
        <v>161</v>
      </c>
      <c r="I487" s="8" t="s">
        <v>91</v>
      </c>
      <c r="J487" s="9" t="s">
        <v>383</v>
      </c>
      <c r="K487" s="8" t="str">
        <f>VLOOKUP(LEFT(H487,7),'קטלוג תרחישים'!$A:$M,12,FALSE())</f>
        <v>ב'</v>
      </c>
      <c r="L487" s="8" t="str">
        <f>IF(J487="כן",K487,VLOOKUP(LEFT(H487,7),'קטלוג תרחישים'!$A:$M,13,FALSE()))</f>
        <v>א'</v>
      </c>
      <c r="M487" s="13"/>
      <c r="N487" s="51" t="s">
        <v>365</v>
      </c>
      <c r="O487" s="13" t="str">
        <f t="array" ref="O487">_xlfn.IFS(N487="A","א'", N487="B", "ב'", N487= "C", "ג'")</f>
        <v>ב'</v>
      </c>
      <c r="P487" s="13">
        <f>IF(Table_2[[#This Row],[Correct_Answer]]=Table_2[[#This Row],[System_Recommendation]],1,0)</f>
        <v>0</v>
      </c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 spans="1:26" ht="15.75" hidden="1" customHeight="1">
      <c r="A488" s="8" t="s">
        <v>172</v>
      </c>
      <c r="B488" s="8">
        <v>25</v>
      </c>
      <c r="C488" s="9" t="s">
        <v>381</v>
      </c>
      <c r="D488" s="8">
        <v>1</v>
      </c>
      <c r="E488" s="9" t="s">
        <v>98</v>
      </c>
      <c r="F488" s="8" t="s">
        <v>384</v>
      </c>
      <c r="G488" s="8" t="s">
        <v>117</v>
      </c>
      <c r="H488" s="8" t="s">
        <v>164</v>
      </c>
      <c r="I488" s="8" t="s">
        <v>100</v>
      </c>
      <c r="J488" s="9" t="s">
        <v>383</v>
      </c>
      <c r="K488" s="8" t="str">
        <f>VLOOKUP(LEFT(H488,7),'קטלוג תרחישים'!$A:$M,12,FALSE())</f>
        <v>ב'</v>
      </c>
      <c r="L488" s="8" t="str">
        <f>IF(J488="כן",K488,VLOOKUP(LEFT(H488,7),'קטלוג תרחישים'!$A:$M,13,FALSE()))</f>
        <v>א'</v>
      </c>
      <c r="M488" s="13"/>
      <c r="N488" s="50" t="s">
        <v>360</v>
      </c>
      <c r="O488" s="13" t="str">
        <f t="array" ref="O488">_xlfn.IFS(N488="A","א'", N488="B", "ב'", N488= "C", "ג'")</f>
        <v>א'</v>
      </c>
      <c r="P488" s="13">
        <f>IF(Table_2[[#This Row],[Correct_Answer]]=Table_2[[#This Row],[System_Recommendation]],1,0)</f>
        <v>0</v>
      </c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 spans="1:26" ht="15.75" hidden="1" customHeight="1">
      <c r="A489" s="8" t="s">
        <v>172</v>
      </c>
      <c r="B489" s="8">
        <v>26</v>
      </c>
      <c r="C489" s="9" t="s">
        <v>381</v>
      </c>
      <c r="D489" s="8">
        <v>2</v>
      </c>
      <c r="E489" s="9" t="s">
        <v>105</v>
      </c>
      <c r="F489" s="8" t="s">
        <v>384</v>
      </c>
      <c r="G489" s="8" t="s">
        <v>117</v>
      </c>
      <c r="H489" s="8" t="s">
        <v>167</v>
      </c>
      <c r="I489" s="8" t="s">
        <v>91</v>
      </c>
      <c r="J489" s="9" t="s">
        <v>383</v>
      </c>
      <c r="K489" s="8" t="str">
        <f>VLOOKUP(LEFT(H489,7),'קטלוג תרחישים'!$A:$M,12,FALSE())</f>
        <v>ב'</v>
      </c>
      <c r="L489" s="8" t="str">
        <f>IF(J489="כן",K489,VLOOKUP(LEFT(H489,7),'קטלוג תרחישים'!$A:$M,13,FALSE()))</f>
        <v>ג'</v>
      </c>
      <c r="M489" s="13"/>
      <c r="N489" s="51" t="s">
        <v>366</v>
      </c>
      <c r="O489" s="13" t="str">
        <f t="array" ref="O489">_xlfn.IFS(N489="A","א'", N489="B", "ב'", N489= "C", "ג'")</f>
        <v>ג'</v>
      </c>
      <c r="P489" s="13">
        <f>IF(Table_2[[#This Row],[Correct_Answer]]=Table_2[[#This Row],[System_Recommendation]],1,0)</f>
        <v>0</v>
      </c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 spans="1:26" ht="15.75" hidden="1" customHeight="1">
      <c r="A490" s="8" t="s">
        <v>172</v>
      </c>
      <c r="B490" s="8">
        <v>27</v>
      </c>
      <c r="C490" s="9" t="s">
        <v>381</v>
      </c>
      <c r="D490" s="8">
        <v>2</v>
      </c>
      <c r="E490" s="9" t="s">
        <v>105</v>
      </c>
      <c r="F490" s="8" t="s">
        <v>384</v>
      </c>
      <c r="G490" s="8" t="s">
        <v>117</v>
      </c>
      <c r="H490" s="8" t="s">
        <v>166</v>
      </c>
      <c r="I490" s="8" t="s">
        <v>100</v>
      </c>
      <c r="J490" s="9" t="s">
        <v>380</v>
      </c>
      <c r="K490" s="8" t="str">
        <f>VLOOKUP(LEFT(H490,7),'קטלוג תרחישים'!$A:$M,12,FALSE())</f>
        <v>א'</v>
      </c>
      <c r="L490" s="8" t="str">
        <f>IF(J490="כן",K490,VLOOKUP(LEFT(H490,7),'קטלוג תרחישים'!$A:$M,13,FALSE()))</f>
        <v>א'</v>
      </c>
      <c r="M490" s="13"/>
      <c r="N490" s="50" t="s">
        <v>365</v>
      </c>
      <c r="O490" s="13" t="str">
        <f t="array" ref="O490">_xlfn.IFS(N490="A","א'", N490="B", "ב'", N490= "C", "ג'")</f>
        <v>ב'</v>
      </c>
      <c r="P490" s="13">
        <f>IF(Table_2[[#This Row],[Correct_Answer]]=Table_2[[#This Row],[System_Recommendation]],1,0)</f>
        <v>1</v>
      </c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 spans="1:26" ht="15.75" hidden="1" customHeight="1">
      <c r="A491" s="8" t="s">
        <v>172</v>
      </c>
      <c r="B491" s="8">
        <v>28</v>
      </c>
      <c r="C491" s="9" t="s">
        <v>381</v>
      </c>
      <c r="D491" s="8">
        <v>2</v>
      </c>
      <c r="E491" s="9" t="s">
        <v>105</v>
      </c>
      <c r="F491" s="8" t="s">
        <v>384</v>
      </c>
      <c r="G491" s="8" t="s">
        <v>117</v>
      </c>
      <c r="H491" s="8" t="s">
        <v>165</v>
      </c>
      <c r="I491" s="8" t="s">
        <v>91</v>
      </c>
      <c r="J491" s="9" t="s">
        <v>380</v>
      </c>
      <c r="K491" s="8" t="str">
        <f>VLOOKUP(LEFT(H491,7),'קטלוג תרחישים'!$A:$M,12,FALSE())</f>
        <v>ג'</v>
      </c>
      <c r="L491" s="8" t="str">
        <f>IF(J491="כן",K491,VLOOKUP(LEFT(H491,7),'קטלוג תרחישים'!$A:$M,13,FALSE()))</f>
        <v>ג'</v>
      </c>
      <c r="M491" s="13"/>
      <c r="N491" s="51" t="s">
        <v>366</v>
      </c>
      <c r="O491" s="13" t="str">
        <f t="array" ref="O491">_xlfn.IFS(N491="A","א'", N491="B", "ב'", N491= "C", "ג'")</f>
        <v>ג'</v>
      </c>
      <c r="P491" s="13">
        <f>IF(Table_2[[#This Row],[Correct_Answer]]=Table_2[[#This Row],[System_Recommendation]],1,0)</f>
        <v>1</v>
      </c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 spans="1:26" ht="15.75" hidden="1" customHeight="1">
      <c r="A492" s="8" t="s">
        <v>172</v>
      </c>
      <c r="B492" s="8">
        <v>29</v>
      </c>
      <c r="C492" s="9" t="s">
        <v>381</v>
      </c>
      <c r="D492" s="8">
        <v>2</v>
      </c>
      <c r="E492" s="9" t="s">
        <v>105</v>
      </c>
      <c r="F492" s="8" t="s">
        <v>384</v>
      </c>
      <c r="G492" s="8" t="s">
        <v>117</v>
      </c>
      <c r="H492" s="8" t="s">
        <v>168</v>
      </c>
      <c r="I492" s="8" t="s">
        <v>100</v>
      </c>
      <c r="J492" s="9" t="s">
        <v>383</v>
      </c>
      <c r="K492" s="8" t="str">
        <f>VLOOKUP(LEFT(H492,7),'קטלוג תרחישים'!$A:$M,12,FALSE())</f>
        <v>א'</v>
      </c>
      <c r="L492" s="8" t="str">
        <f>IF(J492="כן",K492,VLOOKUP(LEFT(H492,7),'קטלוג תרחישים'!$A:$M,13,FALSE()))</f>
        <v>ב'</v>
      </c>
      <c r="M492" s="13"/>
      <c r="N492" s="50" t="s">
        <v>366</v>
      </c>
      <c r="O492" s="13" t="str">
        <f t="array" ref="O492">_xlfn.IFS(N492="A","א'", N492="B", "ב'", N492= "C", "ג'")</f>
        <v>ג'</v>
      </c>
      <c r="P492" s="13">
        <f>IF(Table_2[[#This Row],[Correct_Answer]]=Table_2[[#This Row],[System_Recommendation]],1,0)</f>
        <v>0</v>
      </c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 spans="1:26" ht="15.75" hidden="1" customHeight="1">
      <c r="A493" s="8" t="s">
        <v>172</v>
      </c>
      <c r="B493" s="8">
        <v>30</v>
      </c>
      <c r="C493" s="9" t="s">
        <v>381</v>
      </c>
      <c r="D493" s="8">
        <v>3</v>
      </c>
      <c r="E493" s="9" t="s">
        <v>111</v>
      </c>
      <c r="F493" s="8" t="s">
        <v>384</v>
      </c>
      <c r="G493" s="8" t="s">
        <v>117</v>
      </c>
      <c r="H493" s="8" t="s">
        <v>157</v>
      </c>
      <c r="I493" s="8" t="s">
        <v>91</v>
      </c>
      <c r="J493" s="9" t="s">
        <v>380</v>
      </c>
      <c r="K493" s="8" t="str">
        <f>VLOOKUP(LEFT(H493,7),'קטלוג תרחישים'!$A:$M,12,FALSE())</f>
        <v>ג'</v>
      </c>
      <c r="L493" s="8" t="str">
        <f>IF(J493="כן",K493,VLOOKUP(LEFT(H493,7),'קטלוג תרחישים'!$A:$M,13,FALSE()))</f>
        <v>ג'</v>
      </c>
      <c r="M493" s="13"/>
      <c r="N493" s="51" t="s">
        <v>365</v>
      </c>
      <c r="O493" s="13" t="str">
        <f t="array" ref="O493">_xlfn.IFS(N493="A","א'", N493="B", "ב'", N493= "C", "ג'")</f>
        <v>ב'</v>
      </c>
      <c r="P493" s="13">
        <f>IF(Table_2[[#This Row],[Correct_Answer]]=Table_2[[#This Row],[System_Recommendation]],1,0)</f>
        <v>1</v>
      </c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 spans="1:26" ht="15.75" hidden="1" customHeight="1">
      <c r="A494" s="8" t="s">
        <v>172</v>
      </c>
      <c r="B494" s="8">
        <v>31</v>
      </c>
      <c r="C494" s="9" t="s">
        <v>381</v>
      </c>
      <c r="D494" s="8">
        <v>3</v>
      </c>
      <c r="E494" s="9" t="s">
        <v>111</v>
      </c>
      <c r="F494" s="8" t="s">
        <v>384</v>
      </c>
      <c r="G494" s="8" t="s">
        <v>117</v>
      </c>
      <c r="H494" s="8" t="s">
        <v>158</v>
      </c>
      <c r="I494" s="8" t="s">
        <v>100</v>
      </c>
      <c r="J494" s="9" t="s">
        <v>383</v>
      </c>
      <c r="K494" s="8" t="str">
        <f>VLOOKUP(LEFT(H494,7),'קטלוג תרחישים'!$A:$M,12,FALSE())</f>
        <v>ג'</v>
      </c>
      <c r="L494" s="8" t="str">
        <f>IF(J494="כן",K494,VLOOKUP(LEFT(H494,7),'קטלוג תרחישים'!$A:$M,13,FALSE()))</f>
        <v>ב'</v>
      </c>
      <c r="M494" s="13"/>
      <c r="N494" s="50" t="s">
        <v>366</v>
      </c>
      <c r="O494" s="13" t="str">
        <f t="array" ref="O494">_xlfn.IFS(N494="A","א'", N494="B", "ב'", N494= "C", "ג'")</f>
        <v>ג'</v>
      </c>
      <c r="P494" s="13">
        <f>IF(Table_2[[#This Row],[Correct_Answer]]=Table_2[[#This Row],[System_Recommendation]],1,0)</f>
        <v>0</v>
      </c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 spans="1:26" ht="15.75" hidden="1" customHeight="1">
      <c r="A495" s="8" t="s">
        <v>172</v>
      </c>
      <c r="B495" s="8">
        <v>32</v>
      </c>
      <c r="C495" s="9" t="s">
        <v>381</v>
      </c>
      <c r="D495" s="8">
        <v>3</v>
      </c>
      <c r="E495" s="9" t="s">
        <v>111</v>
      </c>
      <c r="F495" s="8" t="s">
        <v>384</v>
      </c>
      <c r="G495" s="8" t="s">
        <v>117</v>
      </c>
      <c r="H495" s="8" t="s">
        <v>159</v>
      </c>
      <c r="I495" s="8" t="s">
        <v>91</v>
      </c>
      <c r="J495" s="9" t="s">
        <v>383</v>
      </c>
      <c r="K495" s="8" t="str">
        <f>VLOOKUP(LEFT(H495,7),'קטלוג תרחישים'!$A:$M,12,FALSE())</f>
        <v>ג'</v>
      </c>
      <c r="L495" s="8" t="str">
        <f>IF(J495="כן",K495,VLOOKUP(LEFT(H495,7),'קטלוג תרחישים'!$A:$M,13,FALSE()))</f>
        <v>ב'</v>
      </c>
      <c r="M495" s="13"/>
      <c r="N495" s="51" t="s">
        <v>360</v>
      </c>
      <c r="O495" s="13" t="str">
        <f t="array" ref="O495">_xlfn.IFS(N495="A","א'", N495="B", "ב'", N495= "C", "ג'")</f>
        <v>א'</v>
      </c>
      <c r="P495" s="13">
        <f>IF(Table_2[[#This Row],[Correct_Answer]]=Table_2[[#This Row],[System_Recommendation]],1,0)</f>
        <v>0</v>
      </c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 spans="1:26" ht="15.75" hidden="1" customHeight="1">
      <c r="A496" s="8" t="s">
        <v>172</v>
      </c>
      <c r="B496" s="8">
        <v>33</v>
      </c>
      <c r="C496" s="9" t="s">
        <v>381</v>
      </c>
      <c r="D496" s="8">
        <v>3</v>
      </c>
      <c r="E496" s="9" t="s">
        <v>111</v>
      </c>
      <c r="F496" s="8" t="s">
        <v>384</v>
      </c>
      <c r="G496" s="8" t="s">
        <v>117</v>
      </c>
      <c r="H496" s="8" t="s">
        <v>160</v>
      </c>
      <c r="I496" s="8" t="s">
        <v>100</v>
      </c>
      <c r="J496" s="9" t="s">
        <v>380</v>
      </c>
      <c r="K496" s="8" t="str">
        <f>VLOOKUP(LEFT(H496,7),'קטלוג תרחישים'!$A:$M,12,FALSE())</f>
        <v>א'</v>
      </c>
      <c r="L496" s="8" t="str">
        <f>IF(J496="כן",K496,VLOOKUP(LEFT(H496,7),'קטלוג תרחישים'!$A:$M,13,FALSE()))</f>
        <v>א'</v>
      </c>
      <c r="M496" s="13"/>
      <c r="N496" s="50" t="s">
        <v>360</v>
      </c>
      <c r="O496" s="13" t="str">
        <f t="array" ref="O496">_xlfn.IFS(N496="A","א'", N496="B", "ב'", N496= "C", "ג'")</f>
        <v>א'</v>
      </c>
      <c r="P496" s="13">
        <f>IF(Table_2[[#This Row],[Correct_Answer]]=Table_2[[#This Row],[System_Recommendation]],1,0)</f>
        <v>1</v>
      </c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 spans="1:26" ht="15.75" hidden="1" customHeight="1">
      <c r="A497" s="8" t="s">
        <v>173</v>
      </c>
      <c r="B497" s="8">
        <v>1</v>
      </c>
      <c r="C497" s="9" t="s">
        <v>379</v>
      </c>
      <c r="D497" s="8"/>
      <c r="E497" s="9" t="s">
        <v>98</v>
      </c>
      <c r="F497" s="8"/>
      <c r="G497" s="8"/>
      <c r="H497" s="11" t="s">
        <v>90</v>
      </c>
      <c r="I497" s="8" t="s">
        <v>91</v>
      </c>
      <c r="J497" s="9" t="s">
        <v>380</v>
      </c>
      <c r="K497" s="8" t="str">
        <f>VLOOKUP(LEFT(H497,7),'קטלוג תרחישים'!$A:$M,12,FALSE())</f>
        <v>א'</v>
      </c>
      <c r="L497" s="8" t="str">
        <f>IF(J497="כן",K497,VLOOKUP(LEFT(H497,7),'קטלוג תרחישים'!$A:$M,13,FALSE()))</f>
        <v>א'</v>
      </c>
      <c r="M497" s="13"/>
      <c r="N497" s="51" t="s">
        <v>366</v>
      </c>
      <c r="O497" s="13" t="str">
        <f t="array" ref="O497">_xlfn.IFS(N497="A","א'", N497="B", "ב'", N497= "C", "ג'")</f>
        <v>ג'</v>
      </c>
      <c r="P497" s="13">
        <f>IF(Table_2[[#This Row],[Correct_Answer]]=Table_2[[#This Row],[System_Recommendation]],1,0)</f>
        <v>1</v>
      </c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 spans="1:26" ht="15.75" hidden="1" customHeight="1">
      <c r="A498" s="8" t="s">
        <v>173</v>
      </c>
      <c r="B498" s="8">
        <v>2</v>
      </c>
      <c r="C498" s="9" t="s">
        <v>379</v>
      </c>
      <c r="D498" s="8"/>
      <c r="E498" s="9" t="s">
        <v>98</v>
      </c>
      <c r="F498" s="8"/>
      <c r="G498" s="8"/>
      <c r="H498" s="11" t="s">
        <v>92</v>
      </c>
      <c r="I498" s="8" t="s">
        <v>91</v>
      </c>
      <c r="J498" s="9" t="s">
        <v>380</v>
      </c>
      <c r="K498" s="8" t="str">
        <f>VLOOKUP(LEFT(H498,7),'קטלוג תרחישים'!$A:$M,12,FALSE())</f>
        <v>א'</v>
      </c>
      <c r="L498" s="8" t="str">
        <f>IF(J498="כן",K498,VLOOKUP(LEFT(H498,7),'קטלוג תרחישים'!$A:$M,13,FALSE()))</f>
        <v>א'</v>
      </c>
      <c r="M498" s="13"/>
      <c r="N498" s="50" t="s">
        <v>366</v>
      </c>
      <c r="O498" s="13" t="str">
        <f t="array" ref="O498">_xlfn.IFS(N498="A","א'", N498="B", "ב'", N498= "C", "ג'")</f>
        <v>ג'</v>
      </c>
      <c r="P498" s="13">
        <f>IF(Table_2[[#This Row],[Correct_Answer]]=Table_2[[#This Row],[System_Recommendation]],1,0)</f>
        <v>1</v>
      </c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 spans="1:26" ht="15.75" hidden="1" customHeight="1">
      <c r="A499" s="8" t="s">
        <v>173</v>
      </c>
      <c r="B499" s="8">
        <v>3</v>
      </c>
      <c r="C499" s="9" t="s">
        <v>379</v>
      </c>
      <c r="D499" s="8"/>
      <c r="E499" s="9" t="s">
        <v>105</v>
      </c>
      <c r="F499" s="8"/>
      <c r="G499" s="8"/>
      <c r="H499" s="11" t="s">
        <v>93</v>
      </c>
      <c r="I499" s="8" t="s">
        <v>91</v>
      </c>
      <c r="J499" s="9" t="s">
        <v>380</v>
      </c>
      <c r="K499" s="8" t="str">
        <f>VLOOKUP(LEFT(H499,7),'קטלוג תרחישים'!$A:$M,12,FALSE())</f>
        <v>א'</v>
      </c>
      <c r="L499" s="8" t="str">
        <f>IF(J499="כן",K499,VLOOKUP(LEFT(H499,7),'קטלוג תרחישים'!$A:$M,13,FALSE()))</f>
        <v>א'</v>
      </c>
      <c r="M499" s="13"/>
      <c r="N499" s="51" t="s">
        <v>366</v>
      </c>
      <c r="O499" s="13" t="str">
        <f t="array" ref="O499">_xlfn.IFS(N499="A","א'", N499="B", "ב'", N499= "C", "ג'")</f>
        <v>ג'</v>
      </c>
      <c r="P499" s="13">
        <f>IF(Table_2[[#This Row],[Correct_Answer]]=Table_2[[#This Row],[System_Recommendation]],1,0)</f>
        <v>1</v>
      </c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 spans="1:26" ht="15.75" hidden="1" customHeight="1">
      <c r="A500" s="8" t="s">
        <v>173</v>
      </c>
      <c r="B500" s="8">
        <v>4</v>
      </c>
      <c r="C500" s="9" t="s">
        <v>379</v>
      </c>
      <c r="D500" s="8"/>
      <c r="E500" s="9" t="s">
        <v>105</v>
      </c>
      <c r="F500" s="8"/>
      <c r="G500" s="8"/>
      <c r="H500" s="11" t="s">
        <v>94</v>
      </c>
      <c r="I500" s="8" t="s">
        <v>91</v>
      </c>
      <c r="J500" s="9" t="s">
        <v>380</v>
      </c>
      <c r="K500" s="8" t="str">
        <f>VLOOKUP(LEFT(H500,7),'קטלוג תרחישים'!$A:$M,12,FALSE())</f>
        <v>א'</v>
      </c>
      <c r="L500" s="8" t="str">
        <f>IF(J500="כן",K500,VLOOKUP(LEFT(H500,7),'קטלוג תרחישים'!$A:$M,13,FALSE()))</f>
        <v>א'</v>
      </c>
      <c r="M500" s="13"/>
      <c r="N500" s="50" t="s">
        <v>365</v>
      </c>
      <c r="O500" s="13" t="str">
        <f t="array" ref="O500">_xlfn.IFS(N500="A","א'", N500="B", "ב'", N500= "C", "ג'")</f>
        <v>ב'</v>
      </c>
      <c r="P500" s="13">
        <f>IF(Table_2[[#This Row],[Correct_Answer]]=Table_2[[#This Row],[System_Recommendation]],1,0)</f>
        <v>1</v>
      </c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 spans="1:26" ht="15.75" hidden="1" customHeight="1">
      <c r="A501" s="8" t="s">
        <v>173</v>
      </c>
      <c r="B501" s="8">
        <v>5</v>
      </c>
      <c r="C501" s="9" t="s">
        <v>379</v>
      </c>
      <c r="D501" s="8"/>
      <c r="E501" s="9" t="s">
        <v>111</v>
      </c>
      <c r="F501" s="8"/>
      <c r="G501" s="8"/>
      <c r="H501" s="11" t="s">
        <v>95</v>
      </c>
      <c r="I501" s="8" t="s">
        <v>91</v>
      </c>
      <c r="J501" s="9" t="s">
        <v>380</v>
      </c>
      <c r="K501" s="8" t="str">
        <f>VLOOKUP(LEFT(H501,7),'קטלוג תרחישים'!$A:$M,12,FALSE())</f>
        <v>ב'</v>
      </c>
      <c r="L501" s="8" t="str">
        <f>IF(J501="כן",K501,VLOOKUP(LEFT(H501,7),'קטלוג תרחישים'!$A:$M,13,FALSE()))</f>
        <v>ב'</v>
      </c>
      <c r="M501" s="13"/>
      <c r="N501" s="51" t="s">
        <v>360</v>
      </c>
      <c r="O501" s="13" t="str">
        <f t="array" ref="O501">_xlfn.IFS(N501="A","א'", N501="B", "ב'", N501= "C", "ג'")</f>
        <v>א'</v>
      </c>
      <c r="P501" s="13">
        <f>IF(Table_2[[#This Row],[Correct_Answer]]=Table_2[[#This Row],[System_Recommendation]],1,0)</f>
        <v>1</v>
      </c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 spans="1:26" ht="15.75" customHeight="1">
      <c r="A502" s="8" t="s">
        <v>173</v>
      </c>
      <c r="B502" s="8">
        <v>6</v>
      </c>
      <c r="C502" s="9" t="s">
        <v>379</v>
      </c>
      <c r="D502" s="8"/>
      <c r="E502" s="9" t="s">
        <v>111</v>
      </c>
      <c r="F502" s="8"/>
      <c r="G502" s="8"/>
      <c r="H502" s="11" t="s">
        <v>96</v>
      </c>
      <c r="I502" s="8" t="s">
        <v>91</v>
      </c>
      <c r="J502" s="9" t="s">
        <v>380</v>
      </c>
      <c r="K502" s="8" t="str">
        <f>VLOOKUP(LEFT(H502,7),'קטלוג תרחישים'!$A:$M,12,FALSE())</f>
        <v>ב'</v>
      </c>
      <c r="L502" s="8" t="str">
        <f>IF(J502="כן",K502,VLOOKUP(LEFT(H502,7),'קטלוג תרחישים'!$A:$M,13,FALSE()))</f>
        <v>ב'</v>
      </c>
      <c r="M502" s="13"/>
      <c r="N502" s="50" t="s">
        <v>366</v>
      </c>
      <c r="O502" s="13" t="str">
        <f t="array" ref="O502">_xlfn.IFS(N502="A","א'", N502="B", "ב'", N502= "C", "ג'")</f>
        <v>ג'</v>
      </c>
      <c r="P502" s="13">
        <f>IF(Table_2[[#This Row],[Correct_Answer]]=Table_2[[#This Row],[System_Recommendation]],1,0)</f>
        <v>1</v>
      </c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 spans="1:26" ht="15.75" hidden="1" customHeight="1">
      <c r="A503" s="8" t="s">
        <v>173</v>
      </c>
      <c r="B503" s="8">
        <v>7</v>
      </c>
      <c r="C503" s="9" t="s">
        <v>381</v>
      </c>
      <c r="D503" s="8">
        <v>1</v>
      </c>
      <c r="E503" s="9" t="s">
        <v>105</v>
      </c>
      <c r="F503" s="8" t="s">
        <v>382</v>
      </c>
      <c r="G503" s="8" t="s">
        <v>117</v>
      </c>
      <c r="H503" s="8" t="s">
        <v>167</v>
      </c>
      <c r="I503" s="8" t="s">
        <v>91</v>
      </c>
      <c r="J503" s="9" t="s">
        <v>380</v>
      </c>
      <c r="K503" s="8" t="str">
        <f>VLOOKUP(LEFT(H503,7),'קטלוג תרחישים'!$A:$M,12,FALSE())</f>
        <v>ב'</v>
      </c>
      <c r="L503" s="8" t="str">
        <f>IF(J503="כן",K503,VLOOKUP(LEFT(H503,7),'קטלוג תרחישים'!$A:$M,13,FALSE()))</f>
        <v>ב'</v>
      </c>
      <c r="M503" s="13"/>
      <c r="N503" s="51" t="s">
        <v>366</v>
      </c>
      <c r="O503" s="13" t="str">
        <f t="array" ref="O503">_xlfn.IFS(N503="A","א'", N503="B", "ב'", N503= "C", "ג'")</f>
        <v>ג'</v>
      </c>
      <c r="P503" s="13">
        <f>IF(Table_2[[#This Row],[Correct_Answer]]=Table_2[[#This Row],[System_Recommendation]],1,0)</f>
        <v>1</v>
      </c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 spans="1:26" ht="15.75" hidden="1" customHeight="1">
      <c r="A504" s="8" t="s">
        <v>173</v>
      </c>
      <c r="B504" s="8">
        <v>8</v>
      </c>
      <c r="C504" s="9" t="s">
        <v>381</v>
      </c>
      <c r="D504" s="8">
        <v>1</v>
      </c>
      <c r="E504" s="9" t="s">
        <v>105</v>
      </c>
      <c r="F504" s="8" t="s">
        <v>382</v>
      </c>
      <c r="G504" s="8" t="s">
        <v>117</v>
      </c>
      <c r="H504" s="8" t="s">
        <v>166</v>
      </c>
      <c r="I504" s="8" t="s">
        <v>100</v>
      </c>
      <c r="J504" s="9" t="s">
        <v>380</v>
      </c>
      <c r="K504" s="8" t="str">
        <f>VLOOKUP(LEFT(H504,7),'קטלוג תרחישים'!$A:$M,12,FALSE())</f>
        <v>א'</v>
      </c>
      <c r="L504" s="8" t="str">
        <f>IF(J504="כן",K504,VLOOKUP(LEFT(H504,7),'קטלוג תרחישים'!$A:$M,13,FALSE()))</f>
        <v>א'</v>
      </c>
      <c r="M504" s="13"/>
      <c r="N504" s="50" t="s">
        <v>365</v>
      </c>
      <c r="O504" s="13" t="str">
        <f t="array" ref="O504">_xlfn.IFS(N504="A","א'", N504="B", "ב'", N504= "C", "ג'")</f>
        <v>ב'</v>
      </c>
      <c r="P504" s="13">
        <f>IF(Table_2[[#This Row],[Correct_Answer]]=Table_2[[#This Row],[System_Recommendation]],1,0)</f>
        <v>1</v>
      </c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 spans="1:26" ht="15.75" hidden="1" customHeight="1">
      <c r="A505" s="8" t="s">
        <v>173</v>
      </c>
      <c r="B505" s="8">
        <v>9</v>
      </c>
      <c r="C505" s="9" t="s">
        <v>381</v>
      </c>
      <c r="D505" s="8">
        <v>1</v>
      </c>
      <c r="E505" s="9" t="s">
        <v>105</v>
      </c>
      <c r="F505" s="8" t="s">
        <v>382</v>
      </c>
      <c r="G505" s="8" t="s">
        <v>117</v>
      </c>
      <c r="H505" s="8" t="s">
        <v>165</v>
      </c>
      <c r="I505" s="8" t="s">
        <v>91</v>
      </c>
      <c r="J505" s="9" t="s">
        <v>383</v>
      </c>
      <c r="K505" s="8" t="str">
        <f>VLOOKUP(LEFT(H505,7),'קטלוג תרחישים'!$A:$M,12,FALSE())</f>
        <v>ג'</v>
      </c>
      <c r="L505" s="8" t="str">
        <f>IF(J505="כן",K505,VLOOKUP(LEFT(H505,7),'קטלוג תרחישים'!$A:$M,13,FALSE()))</f>
        <v>א'</v>
      </c>
      <c r="M505" s="13"/>
      <c r="N505" s="51" t="s">
        <v>365</v>
      </c>
      <c r="O505" s="13" t="str">
        <f t="array" ref="O505">_xlfn.IFS(N505="A","א'", N505="B", "ב'", N505= "C", "ג'")</f>
        <v>ב'</v>
      </c>
      <c r="P505" s="13">
        <f>IF(Table_2[[#This Row],[Correct_Answer]]=Table_2[[#This Row],[System_Recommendation]],1,0)</f>
        <v>0</v>
      </c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 spans="1:26" ht="15.75" hidden="1" customHeight="1">
      <c r="A506" s="8" t="s">
        <v>173</v>
      </c>
      <c r="B506" s="8">
        <v>10</v>
      </c>
      <c r="C506" s="9" t="s">
        <v>381</v>
      </c>
      <c r="D506" s="8">
        <v>1</v>
      </c>
      <c r="E506" s="9" t="s">
        <v>105</v>
      </c>
      <c r="F506" s="8" t="s">
        <v>382</v>
      </c>
      <c r="G506" s="8" t="s">
        <v>117</v>
      </c>
      <c r="H506" s="8" t="s">
        <v>168</v>
      </c>
      <c r="I506" s="8" t="s">
        <v>100</v>
      </c>
      <c r="J506" s="9" t="s">
        <v>383</v>
      </c>
      <c r="K506" s="8" t="str">
        <f>VLOOKUP(LEFT(H506,7),'קטלוג תרחישים'!$A:$M,12,FALSE())</f>
        <v>א'</v>
      </c>
      <c r="L506" s="8" t="str">
        <f>IF(J506="כן",K506,VLOOKUP(LEFT(H506,7),'קטלוג תרחישים'!$A:$M,13,FALSE()))</f>
        <v>ב'</v>
      </c>
      <c r="M506" s="13"/>
      <c r="N506" s="50" t="s">
        <v>365</v>
      </c>
      <c r="O506" s="13" t="str">
        <f t="array" ref="O506">_xlfn.IFS(N506="A","א'", N506="B", "ב'", N506= "C", "ג'")</f>
        <v>ב'</v>
      </c>
      <c r="P506" s="13">
        <f>IF(Table_2[[#This Row],[Correct_Answer]]=Table_2[[#This Row],[System_Recommendation]],1,0)</f>
        <v>0</v>
      </c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 spans="1:26" ht="15.75" hidden="1" customHeight="1">
      <c r="A507" s="8" t="s">
        <v>173</v>
      </c>
      <c r="B507" s="8">
        <v>11</v>
      </c>
      <c r="C507" s="9" t="s">
        <v>381</v>
      </c>
      <c r="D507" s="8">
        <v>2</v>
      </c>
      <c r="E507" s="9" t="s">
        <v>111</v>
      </c>
      <c r="F507" s="8" t="s">
        <v>382</v>
      </c>
      <c r="G507" s="8" t="s">
        <v>117</v>
      </c>
      <c r="H507" s="8" t="s">
        <v>157</v>
      </c>
      <c r="I507" s="8" t="s">
        <v>91</v>
      </c>
      <c r="J507" s="9" t="s">
        <v>380</v>
      </c>
      <c r="K507" s="8" t="str">
        <f>VLOOKUP(LEFT(H507,7),'קטלוג תרחישים'!$A:$M,12,FALSE())</f>
        <v>ג'</v>
      </c>
      <c r="L507" s="8" t="str">
        <f>IF(J507="כן",K507,VLOOKUP(LEFT(H507,7),'קטלוג תרחישים'!$A:$M,13,FALSE()))</f>
        <v>ג'</v>
      </c>
      <c r="M507" s="13"/>
      <c r="N507" s="51" t="s">
        <v>360</v>
      </c>
      <c r="O507" s="13" t="str">
        <f t="array" ref="O507">_xlfn.IFS(N507="A","א'", N507="B", "ב'", N507= "C", "ג'")</f>
        <v>א'</v>
      </c>
      <c r="P507" s="13">
        <f>IF(Table_2[[#This Row],[Correct_Answer]]=Table_2[[#This Row],[System_Recommendation]],1,0)</f>
        <v>1</v>
      </c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 spans="1:26" ht="15.75" hidden="1" customHeight="1">
      <c r="A508" s="8" t="s">
        <v>173</v>
      </c>
      <c r="B508" s="8">
        <v>12</v>
      </c>
      <c r="C508" s="9" t="s">
        <v>381</v>
      </c>
      <c r="D508" s="8">
        <v>2</v>
      </c>
      <c r="E508" s="9" t="s">
        <v>111</v>
      </c>
      <c r="F508" s="8" t="s">
        <v>382</v>
      </c>
      <c r="G508" s="8" t="s">
        <v>117</v>
      </c>
      <c r="H508" s="8" t="s">
        <v>158</v>
      </c>
      <c r="I508" s="8" t="s">
        <v>100</v>
      </c>
      <c r="J508" s="9" t="s">
        <v>380</v>
      </c>
      <c r="K508" s="8" t="str">
        <f>VLOOKUP(LEFT(H508,7),'קטלוג תרחישים'!$A:$M,12,FALSE())</f>
        <v>ג'</v>
      </c>
      <c r="L508" s="8" t="str">
        <f>IF(J508="כן",K508,VLOOKUP(LEFT(H508,7),'קטלוג תרחישים'!$A:$M,13,FALSE()))</f>
        <v>ג'</v>
      </c>
      <c r="M508" s="13"/>
      <c r="N508" s="50" t="s">
        <v>366</v>
      </c>
      <c r="O508" s="13" t="str">
        <f t="array" ref="O508">_xlfn.IFS(N508="A","א'", N508="B", "ב'", N508= "C", "ג'")</f>
        <v>ג'</v>
      </c>
      <c r="P508" s="13">
        <f>IF(Table_2[[#This Row],[Correct_Answer]]=Table_2[[#This Row],[System_Recommendation]],1,0)</f>
        <v>1</v>
      </c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 spans="1:26" ht="15.75" hidden="1" customHeight="1">
      <c r="A509" s="8" t="s">
        <v>173</v>
      </c>
      <c r="B509" s="8">
        <v>13</v>
      </c>
      <c r="C509" s="9" t="s">
        <v>381</v>
      </c>
      <c r="D509" s="8">
        <v>2</v>
      </c>
      <c r="E509" s="9" t="s">
        <v>111</v>
      </c>
      <c r="F509" s="8" t="s">
        <v>382</v>
      </c>
      <c r="G509" s="8" t="s">
        <v>117</v>
      </c>
      <c r="H509" s="8" t="s">
        <v>159</v>
      </c>
      <c r="I509" s="8" t="s">
        <v>91</v>
      </c>
      <c r="J509" s="9" t="s">
        <v>383</v>
      </c>
      <c r="K509" s="8" t="str">
        <f>VLOOKUP(LEFT(H509,7),'קטלוג תרחישים'!$A:$M,12,FALSE())</f>
        <v>ג'</v>
      </c>
      <c r="L509" s="8" t="str">
        <f>IF(J509="כן",K509,VLOOKUP(LEFT(H509,7),'קטלוג תרחישים'!$A:$M,13,FALSE()))</f>
        <v>ב'</v>
      </c>
      <c r="M509" s="13"/>
      <c r="N509" s="51" t="s">
        <v>365</v>
      </c>
      <c r="O509" s="13" t="str">
        <f t="array" ref="O509">_xlfn.IFS(N509="A","א'", N509="B", "ב'", N509= "C", "ג'")</f>
        <v>ב'</v>
      </c>
      <c r="P509" s="13">
        <f>IF(Table_2[[#This Row],[Correct_Answer]]=Table_2[[#This Row],[System_Recommendation]],1,0)</f>
        <v>0</v>
      </c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 spans="1:26" ht="15.75" hidden="1" customHeight="1">
      <c r="A510" s="8" t="s">
        <v>173</v>
      </c>
      <c r="B510" s="8">
        <v>14</v>
      </c>
      <c r="C510" s="9" t="s">
        <v>381</v>
      </c>
      <c r="D510" s="8">
        <v>2</v>
      </c>
      <c r="E510" s="9" t="s">
        <v>111</v>
      </c>
      <c r="F510" s="8" t="s">
        <v>382</v>
      </c>
      <c r="G510" s="8" t="s">
        <v>117</v>
      </c>
      <c r="H510" s="8" t="s">
        <v>160</v>
      </c>
      <c r="I510" s="8" t="s">
        <v>100</v>
      </c>
      <c r="J510" s="9" t="s">
        <v>383</v>
      </c>
      <c r="K510" s="8" t="str">
        <f>VLOOKUP(LEFT(H510,7),'קטלוג תרחישים'!$A:$M,12,FALSE())</f>
        <v>א'</v>
      </c>
      <c r="L510" s="8" t="str">
        <f>IF(J510="כן",K510,VLOOKUP(LEFT(H510,7),'קטלוג תרחישים'!$A:$M,13,FALSE()))</f>
        <v>ב'</v>
      </c>
      <c r="M510" s="13"/>
      <c r="N510" s="50" t="s">
        <v>366</v>
      </c>
      <c r="O510" s="13" t="str">
        <f t="array" ref="O510">_xlfn.IFS(N510="A","א'", N510="B", "ב'", N510= "C", "ג'")</f>
        <v>ג'</v>
      </c>
      <c r="P510" s="13">
        <f>IF(Table_2[[#This Row],[Correct_Answer]]=Table_2[[#This Row],[System_Recommendation]],1,0)</f>
        <v>0</v>
      </c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 spans="1:26" ht="15.75" hidden="1" customHeight="1">
      <c r="A511" s="8" t="s">
        <v>173</v>
      </c>
      <c r="B511" s="8">
        <v>15</v>
      </c>
      <c r="C511" s="9" t="s">
        <v>381</v>
      </c>
      <c r="D511" s="8">
        <v>3</v>
      </c>
      <c r="E511" s="9" t="s">
        <v>98</v>
      </c>
      <c r="F511" s="8" t="s">
        <v>382</v>
      </c>
      <c r="G511" s="8" t="s">
        <v>117</v>
      </c>
      <c r="H511" s="8" t="s">
        <v>161</v>
      </c>
      <c r="I511" s="8" t="s">
        <v>91</v>
      </c>
      <c r="J511" s="9" t="s">
        <v>380</v>
      </c>
      <c r="K511" s="8" t="str">
        <f>VLOOKUP(LEFT(H511,7),'קטלוג תרחישים'!$A:$M,12,FALSE())</f>
        <v>ב'</v>
      </c>
      <c r="L511" s="8" t="str">
        <f>IF(J511="כן",K511,VLOOKUP(LEFT(H511,7),'קטלוג תרחישים'!$A:$M,13,FALSE()))</f>
        <v>ב'</v>
      </c>
      <c r="M511" s="13"/>
      <c r="N511" s="51" t="s">
        <v>360</v>
      </c>
      <c r="O511" s="13" t="str">
        <f t="array" ref="O511">_xlfn.IFS(N511="A","א'", N511="B", "ב'", N511= "C", "ג'")</f>
        <v>א'</v>
      </c>
      <c r="P511" s="13">
        <f>IF(Table_2[[#This Row],[Correct_Answer]]=Table_2[[#This Row],[System_Recommendation]],1,0)</f>
        <v>1</v>
      </c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 spans="1:26" ht="15.75" hidden="1" customHeight="1">
      <c r="A512" s="8" t="s">
        <v>173</v>
      </c>
      <c r="B512" s="8">
        <v>16</v>
      </c>
      <c r="C512" s="9" t="s">
        <v>381</v>
      </c>
      <c r="D512" s="8">
        <v>3</v>
      </c>
      <c r="E512" s="9" t="s">
        <v>98</v>
      </c>
      <c r="F512" s="8" t="s">
        <v>382</v>
      </c>
      <c r="G512" s="8" t="s">
        <v>117</v>
      </c>
      <c r="H512" s="8" t="s">
        <v>162</v>
      </c>
      <c r="I512" s="8" t="s">
        <v>100</v>
      </c>
      <c r="J512" s="9" t="s">
        <v>380</v>
      </c>
      <c r="K512" s="8" t="str">
        <f>VLOOKUP(LEFT(H512,7),'קטלוג תרחישים'!$A:$M,12,FALSE())</f>
        <v>ג'</v>
      </c>
      <c r="L512" s="8" t="str">
        <f>IF(J512="כן",K512,VLOOKUP(LEFT(H512,7),'קטלוג תרחישים'!$A:$M,13,FALSE()))</f>
        <v>ג'</v>
      </c>
      <c r="M512" s="13"/>
      <c r="N512" s="50" t="s">
        <v>360</v>
      </c>
      <c r="O512" s="13" t="str">
        <f t="array" ref="O512">_xlfn.IFS(N512="A","א'", N512="B", "ב'", N512= "C", "ג'")</f>
        <v>א'</v>
      </c>
      <c r="P512" s="13">
        <f>IF(Table_2[[#This Row],[Correct_Answer]]=Table_2[[#This Row],[System_Recommendation]],1,0)</f>
        <v>1</v>
      </c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 spans="1:26" ht="15.75" hidden="1" customHeight="1">
      <c r="A513" s="8" t="s">
        <v>173</v>
      </c>
      <c r="B513" s="8">
        <v>17</v>
      </c>
      <c r="C513" s="9" t="s">
        <v>381</v>
      </c>
      <c r="D513" s="8">
        <v>3</v>
      </c>
      <c r="E513" s="9" t="s">
        <v>98</v>
      </c>
      <c r="F513" s="8" t="s">
        <v>382</v>
      </c>
      <c r="G513" s="8" t="s">
        <v>117</v>
      </c>
      <c r="H513" s="8" t="s">
        <v>163</v>
      </c>
      <c r="I513" s="8" t="s">
        <v>91</v>
      </c>
      <c r="J513" s="9" t="s">
        <v>383</v>
      </c>
      <c r="K513" s="8" t="str">
        <f>VLOOKUP(LEFT(H513,7),'קטלוג תרחישים'!$A:$M,12,FALSE())</f>
        <v>ג'</v>
      </c>
      <c r="L513" s="8" t="str">
        <f>IF(J513="כן",K513,VLOOKUP(LEFT(H513,7),'קטלוג תרחישים'!$A:$M,13,FALSE()))</f>
        <v>א'</v>
      </c>
      <c r="M513" s="13"/>
      <c r="N513" s="51" t="s">
        <v>360</v>
      </c>
      <c r="O513" s="13" t="str">
        <f t="array" ref="O513">_xlfn.IFS(N513="A","א'", N513="B", "ב'", N513= "C", "ג'")</f>
        <v>א'</v>
      </c>
      <c r="P513" s="13">
        <f>IF(Table_2[[#This Row],[Correct_Answer]]=Table_2[[#This Row],[System_Recommendation]],1,0)</f>
        <v>0</v>
      </c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 spans="1:26" ht="15.75" hidden="1" customHeight="1">
      <c r="A514" s="8" t="s">
        <v>173</v>
      </c>
      <c r="B514" s="8">
        <v>18</v>
      </c>
      <c r="C514" s="9" t="s">
        <v>381</v>
      </c>
      <c r="D514" s="8">
        <v>3</v>
      </c>
      <c r="E514" s="9" t="s">
        <v>98</v>
      </c>
      <c r="F514" s="8" t="s">
        <v>382</v>
      </c>
      <c r="G514" s="8" t="s">
        <v>117</v>
      </c>
      <c r="H514" s="8" t="s">
        <v>164</v>
      </c>
      <c r="I514" s="8" t="s">
        <v>100</v>
      </c>
      <c r="J514" s="9" t="s">
        <v>383</v>
      </c>
      <c r="K514" s="8" t="str">
        <f>VLOOKUP(LEFT(H514,7),'קטלוג תרחישים'!$A:$M,12,FALSE())</f>
        <v>ב'</v>
      </c>
      <c r="L514" s="8" t="str">
        <f>IF(J514="כן",K514,VLOOKUP(LEFT(H514,7),'קטלוג תרחישים'!$A:$M,13,FALSE()))</f>
        <v>א'</v>
      </c>
      <c r="M514" s="13"/>
      <c r="N514" s="50" t="s">
        <v>365</v>
      </c>
      <c r="O514" s="13" t="str">
        <f t="array" ref="O514">_xlfn.IFS(N514="A","א'", N514="B", "ב'", N514= "C", "ג'")</f>
        <v>ב'</v>
      </c>
      <c r="P514" s="13">
        <f>IF(Table_2[[#This Row],[Correct_Answer]]=Table_2[[#This Row],[System_Recommendation]],1,0)</f>
        <v>0</v>
      </c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 spans="1:26" ht="15.75" hidden="1" customHeight="1">
      <c r="A515" s="8" t="s">
        <v>173</v>
      </c>
      <c r="B515" s="8">
        <v>19</v>
      </c>
      <c r="C515" s="9" t="s">
        <v>381</v>
      </c>
      <c r="D515" s="8">
        <v>1</v>
      </c>
      <c r="E515" s="9" t="s">
        <v>98</v>
      </c>
      <c r="F515" s="8" t="s">
        <v>384</v>
      </c>
      <c r="G515" s="8" t="s">
        <v>97</v>
      </c>
      <c r="H515" s="8" t="s">
        <v>152</v>
      </c>
      <c r="I515" s="8" t="s">
        <v>91</v>
      </c>
      <c r="J515" s="9" t="s">
        <v>380</v>
      </c>
      <c r="K515" s="8" t="str">
        <f>VLOOKUP(LEFT(H515,7),'קטלוג תרחישים'!$A:$M,12,FALSE())</f>
        <v>ג'</v>
      </c>
      <c r="L515" s="8" t="str">
        <f>IF(J515="כן",K515,VLOOKUP(LEFT(H515,7),'קטלוג תרחישים'!$A:$M,13,FALSE()))</f>
        <v>ג'</v>
      </c>
      <c r="M515" s="13"/>
      <c r="N515" s="51" t="s">
        <v>365</v>
      </c>
      <c r="O515" s="13" t="str">
        <f t="array" ref="O515">_xlfn.IFS(N515="A","א'", N515="B", "ב'", N515= "C", "ג'")</f>
        <v>ב'</v>
      </c>
      <c r="P515" s="13">
        <f>IF(Table_2[[#This Row],[Correct_Answer]]=Table_2[[#This Row],[System_Recommendation]],1,0)</f>
        <v>1</v>
      </c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 spans="1:26" ht="15.75" hidden="1" customHeight="1">
      <c r="A516" s="8" t="s">
        <v>173</v>
      </c>
      <c r="B516" s="8">
        <v>20</v>
      </c>
      <c r="C516" s="9" t="s">
        <v>381</v>
      </c>
      <c r="D516" s="8">
        <v>1</v>
      </c>
      <c r="E516" s="9" t="s">
        <v>98</v>
      </c>
      <c r="F516" s="8" t="s">
        <v>384</v>
      </c>
      <c r="G516" s="8" t="s">
        <v>97</v>
      </c>
      <c r="H516" s="8" t="s">
        <v>153</v>
      </c>
      <c r="I516" s="8" t="s">
        <v>100</v>
      </c>
      <c r="J516" s="9" t="s">
        <v>380</v>
      </c>
      <c r="K516" s="8" t="str">
        <f>VLOOKUP(LEFT(H516,7),'קטלוג תרחישים'!$A:$M,12,FALSE())</f>
        <v>א'</v>
      </c>
      <c r="L516" s="8" t="str">
        <f>IF(J516="כן",K516,VLOOKUP(LEFT(H516,7),'קטלוג תרחישים'!$A:$M,13,FALSE()))</f>
        <v>א'</v>
      </c>
      <c r="M516" s="13"/>
      <c r="N516" s="50" t="s">
        <v>366</v>
      </c>
      <c r="O516" s="13" t="str">
        <f t="array" ref="O516">_xlfn.IFS(N516="A","א'", N516="B", "ב'", N516= "C", "ג'")</f>
        <v>ג'</v>
      </c>
      <c r="P516" s="13">
        <f>IF(Table_2[[#This Row],[Correct_Answer]]=Table_2[[#This Row],[System_Recommendation]],1,0)</f>
        <v>1</v>
      </c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 spans="1:26" ht="15.75" hidden="1" customHeight="1">
      <c r="A517" s="8" t="s">
        <v>173</v>
      </c>
      <c r="B517" s="8">
        <v>21</v>
      </c>
      <c r="C517" s="9" t="s">
        <v>381</v>
      </c>
      <c r="D517" s="8">
        <v>1</v>
      </c>
      <c r="E517" s="9" t="s">
        <v>98</v>
      </c>
      <c r="F517" s="8" t="s">
        <v>384</v>
      </c>
      <c r="G517" s="8" t="s">
        <v>97</v>
      </c>
      <c r="H517" s="8" t="s">
        <v>154</v>
      </c>
      <c r="I517" s="8" t="s">
        <v>91</v>
      </c>
      <c r="J517" s="9" t="s">
        <v>383</v>
      </c>
      <c r="K517" s="8" t="str">
        <f>VLOOKUP(LEFT(H517,7),'קטלוג תרחישים'!$A:$M,12,FALSE())</f>
        <v>ג'</v>
      </c>
      <c r="L517" s="8" t="str">
        <f>IF(J517="כן",K517,VLOOKUP(LEFT(H517,7),'קטלוג תרחישים'!$A:$M,13,FALSE()))</f>
        <v>ב'</v>
      </c>
      <c r="M517" s="13"/>
      <c r="N517" s="51" t="s">
        <v>360</v>
      </c>
      <c r="O517" s="13" t="str">
        <f t="array" ref="O517">_xlfn.IFS(N517="A","א'", N517="B", "ב'", N517= "C", "ג'")</f>
        <v>א'</v>
      </c>
      <c r="P517" s="13">
        <f>IF(Table_2[[#This Row],[Correct_Answer]]=Table_2[[#This Row],[System_Recommendation]],1,0)</f>
        <v>0</v>
      </c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 spans="1:26" ht="15.75" hidden="1" customHeight="1">
      <c r="A518" s="8" t="s">
        <v>173</v>
      </c>
      <c r="B518" s="8">
        <v>22</v>
      </c>
      <c r="C518" s="9" t="s">
        <v>381</v>
      </c>
      <c r="D518" s="8">
        <v>1</v>
      </c>
      <c r="E518" s="9" t="s">
        <v>98</v>
      </c>
      <c r="F518" s="8" t="s">
        <v>384</v>
      </c>
      <c r="G518" s="8" t="s">
        <v>97</v>
      </c>
      <c r="H518" s="8" t="s">
        <v>155</v>
      </c>
      <c r="I518" s="8" t="s">
        <v>100</v>
      </c>
      <c r="J518" s="9" t="s">
        <v>380</v>
      </c>
      <c r="K518" s="8" t="str">
        <f>VLOOKUP(LEFT(H518,7),'קטלוג תרחישים'!$A:$M,12,FALSE())</f>
        <v>ג'</v>
      </c>
      <c r="L518" s="8" t="str">
        <f>IF(J518="כן",K518,VLOOKUP(LEFT(H518,7),'קטלוג תרחישים'!$A:$M,13,FALSE()))</f>
        <v>ג'</v>
      </c>
      <c r="M518" s="13"/>
      <c r="N518" s="50" t="s">
        <v>366</v>
      </c>
      <c r="O518" s="13" t="str">
        <f t="array" ref="O518">_xlfn.IFS(N518="A","א'", N518="B", "ב'", N518= "C", "ג'")</f>
        <v>ג'</v>
      </c>
      <c r="P518" s="13">
        <f>IF(Table_2[[#This Row],[Correct_Answer]]=Table_2[[#This Row],[System_Recommendation]],1,0)</f>
        <v>1</v>
      </c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 spans="1:26" ht="15.75" hidden="1" customHeight="1">
      <c r="A519" s="8" t="s">
        <v>173</v>
      </c>
      <c r="B519" s="8">
        <v>23</v>
      </c>
      <c r="C519" s="9" t="s">
        <v>381</v>
      </c>
      <c r="D519" s="8">
        <v>1</v>
      </c>
      <c r="E519" s="9" t="s">
        <v>98</v>
      </c>
      <c r="F519" s="8" t="s">
        <v>384</v>
      </c>
      <c r="G519" s="8" t="s">
        <v>97</v>
      </c>
      <c r="H519" s="8" t="s">
        <v>156</v>
      </c>
      <c r="I519" s="8" t="s">
        <v>91</v>
      </c>
      <c r="J519" s="9" t="s">
        <v>380</v>
      </c>
      <c r="K519" s="8" t="str">
        <f>VLOOKUP(LEFT(H519,7),'קטלוג תרחישים'!$A:$M,12,FALSE())</f>
        <v>ב'</v>
      </c>
      <c r="L519" s="8" t="str">
        <f>IF(J519="כן",K519,VLOOKUP(LEFT(H519,7),'קטלוג תרחישים'!$A:$M,13,FALSE()))</f>
        <v>ב'</v>
      </c>
      <c r="M519" s="13"/>
      <c r="N519" s="51" t="s">
        <v>366</v>
      </c>
      <c r="O519" s="13" t="str">
        <f t="array" ref="O519">_xlfn.IFS(N519="A","א'", N519="B", "ב'", N519= "C", "ג'")</f>
        <v>ג'</v>
      </c>
      <c r="P519" s="13">
        <f>IF(Table_2[[#This Row],[Correct_Answer]]=Table_2[[#This Row],[System_Recommendation]],1,0)</f>
        <v>1</v>
      </c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 spans="1:26" ht="15.75" hidden="1" customHeight="1">
      <c r="A520" s="8" t="s">
        <v>173</v>
      </c>
      <c r="B520" s="8">
        <v>24</v>
      </c>
      <c r="C520" s="9" t="s">
        <v>381</v>
      </c>
      <c r="D520" s="8">
        <v>2</v>
      </c>
      <c r="E520" s="9" t="s">
        <v>105</v>
      </c>
      <c r="F520" s="8" t="s">
        <v>384</v>
      </c>
      <c r="G520" s="8" t="s">
        <v>97</v>
      </c>
      <c r="H520" s="8" t="s">
        <v>146</v>
      </c>
      <c r="I520" s="8" t="s">
        <v>100</v>
      </c>
      <c r="J520" s="9" t="s">
        <v>380</v>
      </c>
      <c r="K520" s="8" t="str">
        <f>VLOOKUP(LEFT(H520,7),'קטלוג תרחישים'!$A:$M,12,FALSE())</f>
        <v>ג'</v>
      </c>
      <c r="L520" s="8" t="str">
        <f>IF(J520="כן",K520,VLOOKUP(LEFT(H520,7),'קטלוג תרחישים'!$A:$M,13,FALSE()))</f>
        <v>ג'</v>
      </c>
      <c r="M520" s="13"/>
      <c r="N520" s="50" t="s">
        <v>365</v>
      </c>
      <c r="O520" s="13" t="str">
        <f t="array" ref="O520">_xlfn.IFS(N520="A","א'", N520="B", "ב'", N520= "C", "ג'")</f>
        <v>ב'</v>
      </c>
      <c r="P520" s="13">
        <f>IF(Table_2[[#This Row],[Correct_Answer]]=Table_2[[#This Row],[System_Recommendation]],1,0)</f>
        <v>1</v>
      </c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 spans="1:26" ht="15.75" hidden="1" customHeight="1">
      <c r="A521" s="8" t="s">
        <v>173</v>
      </c>
      <c r="B521" s="8">
        <v>25</v>
      </c>
      <c r="C521" s="9" t="s">
        <v>381</v>
      </c>
      <c r="D521" s="8">
        <v>2</v>
      </c>
      <c r="E521" s="9" t="s">
        <v>105</v>
      </c>
      <c r="F521" s="8" t="s">
        <v>384</v>
      </c>
      <c r="G521" s="8" t="s">
        <v>97</v>
      </c>
      <c r="H521" s="8" t="s">
        <v>145</v>
      </c>
      <c r="I521" s="8" t="s">
        <v>91</v>
      </c>
      <c r="J521" s="9" t="s">
        <v>383</v>
      </c>
      <c r="K521" s="8" t="str">
        <f>VLOOKUP(LEFT(H521,7),'קטלוג תרחישים'!$A:$M,12,FALSE())</f>
        <v>ב'</v>
      </c>
      <c r="L521" s="8" t="str">
        <f>IF(J521="כן",K521,VLOOKUP(LEFT(H521,7),'קטלוג תרחישים'!$A:$M,13,FALSE()))</f>
        <v>ג'</v>
      </c>
      <c r="M521" s="13"/>
      <c r="N521" s="51" t="s">
        <v>360</v>
      </c>
      <c r="O521" s="13" t="str">
        <f t="array" ref="O521">_xlfn.IFS(N521="A","א'", N521="B", "ב'", N521= "C", "ג'")</f>
        <v>א'</v>
      </c>
      <c r="P521" s="13">
        <f>IF(Table_2[[#This Row],[Correct_Answer]]=Table_2[[#This Row],[System_Recommendation]],1,0)</f>
        <v>0</v>
      </c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 spans="1:26" ht="15.75" hidden="1" customHeight="1">
      <c r="A522" s="8" t="s">
        <v>173</v>
      </c>
      <c r="B522" s="8">
        <v>26</v>
      </c>
      <c r="C522" s="9" t="s">
        <v>381</v>
      </c>
      <c r="D522" s="8">
        <v>2</v>
      </c>
      <c r="E522" s="9" t="s">
        <v>105</v>
      </c>
      <c r="F522" s="8" t="s">
        <v>384</v>
      </c>
      <c r="G522" s="8" t="s">
        <v>97</v>
      </c>
      <c r="H522" s="8" t="s">
        <v>142</v>
      </c>
      <c r="I522" s="8" t="s">
        <v>100</v>
      </c>
      <c r="J522" s="9" t="s">
        <v>380</v>
      </c>
      <c r="K522" s="8" t="str">
        <f>VLOOKUP(LEFT(H522,7),'קטלוג תרחישים'!$A:$M,12,FALSE())</f>
        <v>ב'</v>
      </c>
      <c r="L522" s="8" t="str">
        <f>IF(J522="כן",K522,VLOOKUP(LEFT(H522,7),'קטלוג תרחישים'!$A:$M,13,FALSE()))</f>
        <v>ב'</v>
      </c>
      <c r="M522" s="13"/>
      <c r="N522" s="50" t="s">
        <v>366</v>
      </c>
      <c r="O522" s="13" t="str">
        <f t="array" ref="O522">_xlfn.IFS(N522="A","א'", N522="B", "ב'", N522= "C", "ג'")</f>
        <v>ג'</v>
      </c>
      <c r="P522" s="13">
        <f>IF(Table_2[[#This Row],[Correct_Answer]]=Table_2[[#This Row],[System_Recommendation]],1,0)</f>
        <v>1</v>
      </c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 spans="1:26" ht="15.75" hidden="1" customHeight="1">
      <c r="A523" s="8" t="s">
        <v>173</v>
      </c>
      <c r="B523" s="8">
        <v>27</v>
      </c>
      <c r="C523" s="9" t="s">
        <v>381</v>
      </c>
      <c r="D523" s="8">
        <v>2</v>
      </c>
      <c r="E523" s="9" t="s">
        <v>105</v>
      </c>
      <c r="F523" s="8" t="s">
        <v>384</v>
      </c>
      <c r="G523" s="8" t="s">
        <v>97</v>
      </c>
      <c r="H523" s="8" t="s">
        <v>143</v>
      </c>
      <c r="I523" s="8" t="s">
        <v>91</v>
      </c>
      <c r="J523" s="9" t="s">
        <v>380</v>
      </c>
      <c r="K523" s="8" t="str">
        <f>VLOOKUP(LEFT(H523,7),'קטלוג תרחישים'!$A:$M,12,FALSE())</f>
        <v>א'</v>
      </c>
      <c r="L523" s="8" t="str">
        <f>IF(J523="כן",K523,VLOOKUP(LEFT(H523,7),'קטלוג תרחישים'!$A:$M,13,FALSE()))</f>
        <v>א'</v>
      </c>
      <c r="M523" s="13"/>
      <c r="N523" s="51" t="s">
        <v>365</v>
      </c>
      <c r="O523" s="13" t="str">
        <f t="array" ref="O523">_xlfn.IFS(N523="A","א'", N523="B", "ב'", N523= "C", "ג'")</f>
        <v>ב'</v>
      </c>
      <c r="P523" s="13">
        <f>IF(Table_2[[#This Row],[Correct_Answer]]=Table_2[[#This Row],[System_Recommendation]],1,0)</f>
        <v>1</v>
      </c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 spans="1:26" ht="15.75" hidden="1" customHeight="1">
      <c r="A524" s="8" t="s">
        <v>173</v>
      </c>
      <c r="B524" s="8">
        <v>28</v>
      </c>
      <c r="C524" s="9" t="s">
        <v>381</v>
      </c>
      <c r="D524" s="8">
        <v>2</v>
      </c>
      <c r="E524" s="9" t="s">
        <v>105</v>
      </c>
      <c r="F524" s="8" t="s">
        <v>384</v>
      </c>
      <c r="G524" s="8" t="s">
        <v>97</v>
      </c>
      <c r="H524" s="8" t="s">
        <v>144</v>
      </c>
      <c r="I524" s="8" t="s">
        <v>100</v>
      </c>
      <c r="J524" s="9" t="s">
        <v>380</v>
      </c>
      <c r="K524" s="8" t="str">
        <f>VLOOKUP(LEFT(H524,7),'קטלוג תרחישים'!$A:$M,12,FALSE())</f>
        <v>ג'</v>
      </c>
      <c r="L524" s="8" t="str">
        <f>IF(J524="כן",K524,VLOOKUP(LEFT(H524,7),'קטלוג תרחישים'!$A:$M,13,FALSE()))</f>
        <v>ג'</v>
      </c>
      <c r="M524" s="13"/>
      <c r="N524" s="50" t="s">
        <v>366</v>
      </c>
      <c r="O524" s="13" t="str">
        <f t="array" ref="O524">_xlfn.IFS(N524="A","א'", N524="B", "ב'", N524= "C", "ג'")</f>
        <v>ג'</v>
      </c>
      <c r="P524" s="13">
        <f>IF(Table_2[[#This Row],[Correct_Answer]]=Table_2[[#This Row],[System_Recommendation]],1,0)</f>
        <v>1</v>
      </c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 spans="1:26" ht="15.75" hidden="1" customHeight="1">
      <c r="A525" s="8" t="s">
        <v>173</v>
      </c>
      <c r="B525" s="8">
        <v>29</v>
      </c>
      <c r="C525" s="9" t="s">
        <v>381</v>
      </c>
      <c r="D525" s="8">
        <v>3</v>
      </c>
      <c r="E525" s="9" t="s">
        <v>111</v>
      </c>
      <c r="F525" s="8" t="s">
        <v>384</v>
      </c>
      <c r="G525" s="8" t="s">
        <v>97</v>
      </c>
      <c r="H525" s="8" t="s">
        <v>149</v>
      </c>
      <c r="I525" s="8" t="s">
        <v>91</v>
      </c>
      <c r="J525" s="9" t="s">
        <v>380</v>
      </c>
      <c r="K525" s="8" t="str">
        <f>VLOOKUP(LEFT(H525,7),'קטלוג תרחישים'!$A:$M,12,FALSE())</f>
        <v>ג'</v>
      </c>
      <c r="L525" s="8" t="str">
        <f>IF(J525="כן",K525,VLOOKUP(LEFT(H525,7),'קטלוג תרחישים'!$A:$M,13,FALSE()))</f>
        <v>ג'</v>
      </c>
      <c r="M525" s="13"/>
      <c r="N525" s="51" t="s">
        <v>366</v>
      </c>
      <c r="O525" s="13" t="str">
        <f t="array" ref="O525">_xlfn.IFS(N525="A","א'", N525="B", "ב'", N525= "C", "ג'")</f>
        <v>ג'</v>
      </c>
      <c r="P525" s="13">
        <f>IF(Table_2[[#This Row],[Correct_Answer]]=Table_2[[#This Row],[System_Recommendation]],1,0)</f>
        <v>1</v>
      </c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 spans="1:26" ht="15.75" hidden="1" customHeight="1">
      <c r="A526" s="8" t="s">
        <v>173</v>
      </c>
      <c r="B526" s="8">
        <v>30</v>
      </c>
      <c r="C526" s="9" t="s">
        <v>381</v>
      </c>
      <c r="D526" s="8">
        <v>3</v>
      </c>
      <c r="E526" s="9" t="s">
        <v>111</v>
      </c>
      <c r="F526" s="8" t="s">
        <v>384</v>
      </c>
      <c r="G526" s="8" t="s">
        <v>97</v>
      </c>
      <c r="H526" s="8" t="s">
        <v>148</v>
      </c>
      <c r="I526" s="8" t="s">
        <v>100</v>
      </c>
      <c r="J526" s="9" t="s">
        <v>380</v>
      </c>
      <c r="K526" s="8" t="str">
        <f>VLOOKUP(LEFT(H526,7),'קטלוג תרחישים'!$A:$M,12,FALSE())</f>
        <v>ב'</v>
      </c>
      <c r="L526" s="8" t="str">
        <f>IF(J526="כן",K526,VLOOKUP(LEFT(H526,7),'קטלוג תרחישים'!$A:$M,13,FALSE()))</f>
        <v>ב'</v>
      </c>
      <c r="M526" s="13"/>
      <c r="N526" s="50" t="s">
        <v>365</v>
      </c>
      <c r="O526" s="13" t="str">
        <f t="array" ref="O526">_xlfn.IFS(N526="A","א'", N526="B", "ב'", N526= "C", "ג'")</f>
        <v>ב'</v>
      </c>
      <c r="P526" s="13">
        <f>IF(Table_2[[#This Row],[Correct_Answer]]=Table_2[[#This Row],[System_Recommendation]],1,0)</f>
        <v>1</v>
      </c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 spans="1:26" ht="15.75" hidden="1" customHeight="1">
      <c r="A527" s="8" t="s">
        <v>173</v>
      </c>
      <c r="B527" s="8">
        <v>31</v>
      </c>
      <c r="C527" s="9" t="s">
        <v>381</v>
      </c>
      <c r="D527" s="8">
        <v>3</v>
      </c>
      <c r="E527" s="9" t="s">
        <v>111</v>
      </c>
      <c r="F527" s="8" t="s">
        <v>384</v>
      </c>
      <c r="G527" s="8" t="s">
        <v>97</v>
      </c>
      <c r="H527" s="8" t="s">
        <v>147</v>
      </c>
      <c r="I527" s="8" t="s">
        <v>91</v>
      </c>
      <c r="J527" s="9" t="s">
        <v>380</v>
      </c>
      <c r="K527" s="8" t="str">
        <f>VLOOKUP(LEFT(H527,7),'קטלוג תרחישים'!$A:$M,12,FALSE())</f>
        <v>ג'</v>
      </c>
      <c r="L527" s="8" t="str">
        <f>IF(J527="כן",K527,VLOOKUP(LEFT(H527,7),'קטלוג תרחישים'!$A:$M,13,FALSE()))</f>
        <v>ג'</v>
      </c>
      <c r="M527" s="13"/>
      <c r="N527" s="51" t="s">
        <v>366</v>
      </c>
      <c r="O527" s="13" t="str">
        <f t="array" ref="O527">_xlfn.IFS(N527="A","א'", N527="B", "ב'", N527= "C", "ג'")</f>
        <v>ג'</v>
      </c>
      <c r="P527" s="13">
        <f>IF(Table_2[[#This Row],[Correct_Answer]]=Table_2[[#This Row],[System_Recommendation]],1,0)</f>
        <v>1</v>
      </c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 spans="1:26" ht="15.75" hidden="1" customHeight="1">
      <c r="A528" s="8" t="s">
        <v>173</v>
      </c>
      <c r="B528" s="8">
        <v>32</v>
      </c>
      <c r="C528" s="9" t="s">
        <v>381</v>
      </c>
      <c r="D528" s="8">
        <v>3</v>
      </c>
      <c r="E528" s="9" t="s">
        <v>111</v>
      </c>
      <c r="F528" s="8" t="s">
        <v>384</v>
      </c>
      <c r="G528" s="8" t="s">
        <v>97</v>
      </c>
      <c r="H528" s="8" t="s">
        <v>150</v>
      </c>
      <c r="I528" s="8" t="s">
        <v>100</v>
      </c>
      <c r="J528" s="9" t="s">
        <v>380</v>
      </c>
      <c r="K528" s="8" t="str">
        <f>VLOOKUP(LEFT(H528,7),'קטלוג תרחישים'!$A:$M,12,FALSE())</f>
        <v>ב'</v>
      </c>
      <c r="L528" s="8" t="str">
        <f>IF(J528="כן",K528,VLOOKUP(LEFT(H528,7),'קטלוג תרחישים'!$A:$M,13,FALSE()))</f>
        <v>ב'</v>
      </c>
      <c r="M528" s="13"/>
      <c r="N528" s="50" t="s">
        <v>360</v>
      </c>
      <c r="O528" s="13" t="str">
        <f t="array" ref="O528">_xlfn.IFS(N528="A","א'", N528="B", "ב'", N528= "C", "ג'")</f>
        <v>א'</v>
      </c>
      <c r="P528" s="13">
        <f>IF(Table_2[[#This Row],[Correct_Answer]]=Table_2[[#This Row],[System_Recommendation]],1,0)</f>
        <v>1</v>
      </c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 spans="1:26" ht="15.75" hidden="1" customHeight="1">
      <c r="A529" s="8" t="s">
        <v>173</v>
      </c>
      <c r="B529" s="8">
        <v>33</v>
      </c>
      <c r="C529" s="9" t="s">
        <v>381</v>
      </c>
      <c r="D529" s="8">
        <v>3</v>
      </c>
      <c r="E529" s="9" t="s">
        <v>111</v>
      </c>
      <c r="F529" s="8" t="s">
        <v>384</v>
      </c>
      <c r="G529" s="8" t="s">
        <v>97</v>
      </c>
      <c r="H529" s="8" t="s">
        <v>151</v>
      </c>
      <c r="I529" s="8" t="s">
        <v>91</v>
      </c>
      <c r="J529" s="9" t="s">
        <v>383</v>
      </c>
      <c r="K529" s="8" t="str">
        <f>VLOOKUP(LEFT(H529,7),'קטלוג תרחישים'!$A:$M,12,FALSE())</f>
        <v>א'</v>
      </c>
      <c r="L529" s="8" t="str">
        <f>IF(J529="כן",K529,VLOOKUP(LEFT(H529,7),'קטלוג תרחישים'!$A:$M,13,FALSE()))</f>
        <v>ב'</v>
      </c>
      <c r="M529" s="13"/>
      <c r="N529" s="51" t="s">
        <v>360</v>
      </c>
      <c r="O529" s="13" t="str">
        <f t="array" ref="O529">_xlfn.IFS(N529="A","א'", N529="B", "ב'", N529= "C", "ג'")</f>
        <v>א'</v>
      </c>
      <c r="P529" s="13">
        <f>IF(Table_2[[#This Row],[Correct_Answer]]=Table_2[[#This Row],[System_Recommendation]],1,0)</f>
        <v>0</v>
      </c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 spans="1:26" ht="15.75" hidden="1" customHeight="1">
      <c r="A530" s="8" t="s">
        <v>174</v>
      </c>
      <c r="B530" s="8">
        <v>1</v>
      </c>
      <c r="C530" s="9" t="s">
        <v>379</v>
      </c>
      <c r="D530" s="8"/>
      <c r="E530" s="9" t="s">
        <v>98</v>
      </c>
      <c r="F530" s="8"/>
      <c r="G530" s="8"/>
      <c r="H530" s="11" t="s">
        <v>90</v>
      </c>
      <c r="I530" s="8" t="s">
        <v>91</v>
      </c>
      <c r="J530" s="9" t="s">
        <v>380</v>
      </c>
      <c r="K530" s="8" t="str">
        <f>VLOOKUP(LEFT(H530,7),'קטלוג תרחישים'!$A:$M,12,FALSE())</f>
        <v>א'</v>
      </c>
      <c r="L530" s="8" t="str">
        <f>IF(J530="כן",K530,VLOOKUP(LEFT(H530,7),'קטלוג תרחישים'!$A:$M,13,FALSE()))</f>
        <v>א'</v>
      </c>
      <c r="M530" s="13"/>
      <c r="N530" s="50" t="s">
        <v>366</v>
      </c>
      <c r="O530" s="13" t="str">
        <f t="array" ref="O530">_xlfn.IFS(N530="A","א'", N530="B", "ב'", N530= "C", "ג'")</f>
        <v>ג'</v>
      </c>
      <c r="P530" s="13">
        <f>IF(Table_2[[#This Row],[Correct_Answer]]=Table_2[[#This Row],[System_Recommendation]],1,0)</f>
        <v>1</v>
      </c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 spans="1:26" ht="15.75" hidden="1" customHeight="1">
      <c r="A531" s="8" t="s">
        <v>174</v>
      </c>
      <c r="B531" s="8">
        <v>2</v>
      </c>
      <c r="C531" s="9" t="s">
        <v>379</v>
      </c>
      <c r="D531" s="8"/>
      <c r="E531" s="9" t="s">
        <v>98</v>
      </c>
      <c r="F531" s="8"/>
      <c r="G531" s="8"/>
      <c r="H531" s="11" t="s">
        <v>92</v>
      </c>
      <c r="I531" s="8" t="s">
        <v>91</v>
      </c>
      <c r="J531" s="9" t="s">
        <v>380</v>
      </c>
      <c r="K531" s="8" t="str">
        <f>VLOOKUP(LEFT(H531,7),'קטלוג תרחישים'!$A:$M,12,FALSE())</f>
        <v>א'</v>
      </c>
      <c r="L531" s="8" t="str">
        <f>IF(J531="כן",K531,VLOOKUP(LEFT(H531,7),'קטלוג תרחישים'!$A:$M,13,FALSE()))</f>
        <v>א'</v>
      </c>
      <c r="M531" s="13"/>
      <c r="N531" s="51" t="s">
        <v>366</v>
      </c>
      <c r="O531" s="13" t="str">
        <f t="array" ref="O531">_xlfn.IFS(N531="A","א'", N531="B", "ב'", N531= "C", "ג'")</f>
        <v>ג'</v>
      </c>
      <c r="P531" s="13">
        <f>IF(Table_2[[#This Row],[Correct_Answer]]=Table_2[[#This Row],[System_Recommendation]],1,0)</f>
        <v>1</v>
      </c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 spans="1:26" ht="15.75" hidden="1" customHeight="1">
      <c r="A532" s="8" t="s">
        <v>174</v>
      </c>
      <c r="B532" s="8">
        <v>3</v>
      </c>
      <c r="C532" s="9" t="s">
        <v>379</v>
      </c>
      <c r="D532" s="8"/>
      <c r="E532" s="9" t="s">
        <v>105</v>
      </c>
      <c r="F532" s="8"/>
      <c r="G532" s="8"/>
      <c r="H532" s="11" t="s">
        <v>93</v>
      </c>
      <c r="I532" s="8" t="s">
        <v>91</v>
      </c>
      <c r="J532" s="9" t="s">
        <v>380</v>
      </c>
      <c r="K532" s="8" t="str">
        <f>VLOOKUP(LEFT(H532,7),'קטלוג תרחישים'!$A:$M,12,FALSE())</f>
        <v>א'</v>
      </c>
      <c r="L532" s="8" t="str">
        <f>IF(J532="כן",K532,VLOOKUP(LEFT(H532,7),'קטלוג תרחישים'!$A:$M,13,FALSE()))</f>
        <v>א'</v>
      </c>
      <c r="M532" s="13"/>
      <c r="N532" s="50" t="s">
        <v>366</v>
      </c>
      <c r="O532" s="13" t="str">
        <f t="array" ref="O532">_xlfn.IFS(N532="A","א'", N532="B", "ב'", N532= "C", "ג'")</f>
        <v>ג'</v>
      </c>
      <c r="P532" s="13">
        <f>IF(Table_2[[#This Row],[Correct_Answer]]=Table_2[[#This Row],[System_Recommendation]],1,0)</f>
        <v>1</v>
      </c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 spans="1:26" ht="15.75" hidden="1" customHeight="1">
      <c r="A533" s="8" t="s">
        <v>174</v>
      </c>
      <c r="B533" s="8">
        <v>4</v>
      </c>
      <c r="C533" s="9" t="s">
        <v>379</v>
      </c>
      <c r="D533" s="8"/>
      <c r="E533" s="9" t="s">
        <v>105</v>
      </c>
      <c r="F533" s="8"/>
      <c r="G533" s="8"/>
      <c r="H533" s="11" t="s">
        <v>94</v>
      </c>
      <c r="I533" s="8" t="s">
        <v>91</v>
      </c>
      <c r="J533" s="9" t="s">
        <v>380</v>
      </c>
      <c r="K533" s="8" t="str">
        <f>VLOOKUP(LEFT(H533,7),'קטלוג תרחישים'!$A:$M,12,FALSE())</f>
        <v>א'</v>
      </c>
      <c r="L533" s="8" t="str">
        <f>IF(J533="כן",K533,VLOOKUP(LEFT(H533,7),'קטלוג תרחישים'!$A:$M,13,FALSE()))</f>
        <v>א'</v>
      </c>
      <c r="M533" s="13"/>
      <c r="N533" s="51" t="s">
        <v>365</v>
      </c>
      <c r="O533" s="13" t="str">
        <f t="array" ref="O533">_xlfn.IFS(N533="A","א'", N533="B", "ב'", N533= "C", "ג'")</f>
        <v>ב'</v>
      </c>
      <c r="P533" s="13">
        <f>IF(Table_2[[#This Row],[Correct_Answer]]=Table_2[[#This Row],[System_Recommendation]],1,0)</f>
        <v>1</v>
      </c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 spans="1:26" ht="15.75" hidden="1" customHeight="1">
      <c r="A534" s="8" t="s">
        <v>174</v>
      </c>
      <c r="B534" s="8">
        <v>5</v>
      </c>
      <c r="C534" s="9" t="s">
        <v>379</v>
      </c>
      <c r="D534" s="8"/>
      <c r="E534" s="9" t="s">
        <v>111</v>
      </c>
      <c r="F534" s="8"/>
      <c r="G534" s="8"/>
      <c r="H534" s="11" t="s">
        <v>95</v>
      </c>
      <c r="I534" s="8" t="s">
        <v>91</v>
      </c>
      <c r="J534" s="9" t="s">
        <v>380</v>
      </c>
      <c r="K534" s="8" t="str">
        <f>VLOOKUP(LEFT(H534,7),'קטלוג תרחישים'!$A:$M,12,FALSE())</f>
        <v>ב'</v>
      </c>
      <c r="L534" s="8" t="str">
        <f>IF(J534="כן",K534,VLOOKUP(LEFT(H534,7),'קטלוג תרחישים'!$A:$M,13,FALSE()))</f>
        <v>ב'</v>
      </c>
      <c r="M534" s="13"/>
      <c r="N534" s="50" t="s">
        <v>360</v>
      </c>
      <c r="O534" s="13" t="str">
        <f t="array" ref="O534">_xlfn.IFS(N534="A","א'", N534="B", "ב'", N534= "C", "ג'")</f>
        <v>א'</v>
      </c>
      <c r="P534" s="13">
        <f>IF(Table_2[[#This Row],[Correct_Answer]]=Table_2[[#This Row],[System_Recommendation]],1,0)</f>
        <v>1</v>
      </c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 spans="1:26" ht="15.75" customHeight="1">
      <c r="A535" s="8" t="s">
        <v>174</v>
      </c>
      <c r="B535" s="8">
        <v>6</v>
      </c>
      <c r="C535" s="9" t="s">
        <v>379</v>
      </c>
      <c r="D535" s="8"/>
      <c r="E535" s="9" t="s">
        <v>111</v>
      </c>
      <c r="F535" s="8"/>
      <c r="G535" s="8"/>
      <c r="H535" s="11" t="s">
        <v>96</v>
      </c>
      <c r="I535" s="8" t="s">
        <v>91</v>
      </c>
      <c r="J535" s="9" t="s">
        <v>380</v>
      </c>
      <c r="K535" s="8" t="str">
        <f>VLOOKUP(LEFT(H535,7),'קטלוג תרחישים'!$A:$M,12,FALSE())</f>
        <v>ב'</v>
      </c>
      <c r="L535" s="8" t="str">
        <f>IF(J535="כן",K535,VLOOKUP(LEFT(H535,7),'קטלוג תרחישים'!$A:$M,13,FALSE()))</f>
        <v>ב'</v>
      </c>
      <c r="M535" s="13"/>
      <c r="N535" s="51" t="s">
        <v>366</v>
      </c>
      <c r="O535" s="13" t="str">
        <f t="array" ref="O535">_xlfn.IFS(N535="A","א'", N535="B", "ב'", N535= "C", "ג'")</f>
        <v>ג'</v>
      </c>
      <c r="P535" s="13">
        <f>IF(Table_2[[#This Row],[Correct_Answer]]=Table_2[[#This Row],[System_Recommendation]],1,0)</f>
        <v>1</v>
      </c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 spans="1:26" ht="15.75" hidden="1" customHeight="1">
      <c r="A536" s="8" t="s">
        <v>174</v>
      </c>
      <c r="B536" s="8">
        <v>7</v>
      </c>
      <c r="C536" s="9" t="s">
        <v>381</v>
      </c>
      <c r="D536" s="8">
        <v>1</v>
      </c>
      <c r="E536" s="9" t="s">
        <v>105</v>
      </c>
      <c r="F536" s="8" t="s">
        <v>382</v>
      </c>
      <c r="G536" s="8" t="s">
        <v>97</v>
      </c>
      <c r="H536" s="8" t="s">
        <v>146</v>
      </c>
      <c r="I536" s="8" t="s">
        <v>100</v>
      </c>
      <c r="J536" s="9" t="s">
        <v>383</v>
      </c>
      <c r="K536" s="8" t="str">
        <f>VLOOKUP(LEFT(H536,7),'קטלוג תרחישים'!$A:$M,12,FALSE())</f>
        <v>ג'</v>
      </c>
      <c r="L536" s="8" t="str">
        <f>IF(J536="כן",K536,VLOOKUP(LEFT(H536,7),'קטלוג תרחישים'!$A:$M,13,FALSE()))</f>
        <v>א'</v>
      </c>
      <c r="M536" s="13"/>
      <c r="N536" s="50" t="s">
        <v>366</v>
      </c>
      <c r="O536" s="13" t="str">
        <f t="array" ref="O536">_xlfn.IFS(N536="A","א'", N536="B", "ב'", N536= "C", "ג'")</f>
        <v>ג'</v>
      </c>
      <c r="P536" s="13">
        <f>IF(Table_2[[#This Row],[Correct_Answer]]=Table_2[[#This Row],[System_Recommendation]],1,0)</f>
        <v>0</v>
      </c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 spans="1:26" ht="15.75" hidden="1" customHeight="1">
      <c r="A537" s="8" t="s">
        <v>174</v>
      </c>
      <c r="B537" s="8">
        <v>8</v>
      </c>
      <c r="C537" s="9" t="s">
        <v>381</v>
      </c>
      <c r="D537" s="8">
        <v>1</v>
      </c>
      <c r="E537" s="9" t="s">
        <v>105</v>
      </c>
      <c r="F537" s="8" t="s">
        <v>382</v>
      </c>
      <c r="G537" s="8" t="s">
        <v>97</v>
      </c>
      <c r="H537" s="8" t="s">
        <v>143</v>
      </c>
      <c r="I537" s="8" t="s">
        <v>91</v>
      </c>
      <c r="J537" s="9" t="s">
        <v>380</v>
      </c>
      <c r="K537" s="8" t="str">
        <f>VLOOKUP(LEFT(H537,7),'קטלוג תרחישים'!$A:$M,12,FALSE())</f>
        <v>א'</v>
      </c>
      <c r="L537" s="8" t="str">
        <f>IF(J537="כן",K537,VLOOKUP(LEFT(H537,7),'קטלוג תרחישים'!$A:$M,13,FALSE()))</f>
        <v>א'</v>
      </c>
      <c r="M537" s="13"/>
      <c r="N537" s="51" t="s">
        <v>365</v>
      </c>
      <c r="O537" s="13" t="str">
        <f t="array" ref="O537">_xlfn.IFS(N537="A","א'", N537="B", "ב'", N537= "C", "ג'")</f>
        <v>ב'</v>
      </c>
      <c r="P537" s="13">
        <f>IF(Table_2[[#This Row],[Correct_Answer]]=Table_2[[#This Row],[System_Recommendation]],1,0)</f>
        <v>1</v>
      </c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 spans="1:26" ht="15.75" hidden="1" customHeight="1">
      <c r="A538" s="8" t="s">
        <v>174</v>
      </c>
      <c r="B538" s="8">
        <v>9</v>
      </c>
      <c r="C538" s="9" t="s">
        <v>381</v>
      </c>
      <c r="D538" s="8">
        <v>1</v>
      </c>
      <c r="E538" s="9" t="s">
        <v>105</v>
      </c>
      <c r="F538" s="8" t="s">
        <v>382</v>
      </c>
      <c r="G538" s="8" t="s">
        <v>97</v>
      </c>
      <c r="H538" s="8" t="s">
        <v>144</v>
      </c>
      <c r="I538" s="8" t="s">
        <v>100</v>
      </c>
      <c r="J538" s="9" t="s">
        <v>380</v>
      </c>
      <c r="K538" s="8" t="str">
        <f>VLOOKUP(LEFT(H538,7),'קטלוג תרחישים'!$A:$M,12,FALSE())</f>
        <v>ג'</v>
      </c>
      <c r="L538" s="8" t="str">
        <f>IF(J538="כן",K538,VLOOKUP(LEFT(H538,7),'קטלוג תרחישים'!$A:$M,13,FALSE()))</f>
        <v>ג'</v>
      </c>
      <c r="M538" s="13"/>
      <c r="N538" s="50" t="s">
        <v>365</v>
      </c>
      <c r="O538" s="13" t="str">
        <f t="array" ref="O538">_xlfn.IFS(N538="A","א'", N538="B", "ב'", N538= "C", "ג'")</f>
        <v>ב'</v>
      </c>
      <c r="P538" s="13">
        <f>IF(Table_2[[#This Row],[Correct_Answer]]=Table_2[[#This Row],[System_Recommendation]],1,0)</f>
        <v>1</v>
      </c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 spans="1:26" ht="15.75" hidden="1" customHeight="1">
      <c r="A539" s="8" t="s">
        <v>174</v>
      </c>
      <c r="B539" s="8">
        <v>10</v>
      </c>
      <c r="C539" s="9" t="s">
        <v>381</v>
      </c>
      <c r="D539" s="8">
        <v>1</v>
      </c>
      <c r="E539" s="9" t="s">
        <v>105</v>
      </c>
      <c r="F539" s="8" t="s">
        <v>382</v>
      </c>
      <c r="G539" s="8" t="s">
        <v>97</v>
      </c>
      <c r="H539" s="8" t="s">
        <v>145</v>
      </c>
      <c r="I539" s="8" t="s">
        <v>91</v>
      </c>
      <c r="J539" s="9" t="s">
        <v>380</v>
      </c>
      <c r="K539" s="8" t="str">
        <f>VLOOKUP(LEFT(H539,7),'קטלוג תרחישים'!$A:$M,12,FALSE())</f>
        <v>ב'</v>
      </c>
      <c r="L539" s="8" t="str">
        <f>IF(J539="כן",K539,VLOOKUP(LEFT(H539,7),'קטלוג תרחישים'!$A:$M,13,FALSE()))</f>
        <v>ב'</v>
      </c>
      <c r="M539" s="13"/>
      <c r="N539" s="51" t="s">
        <v>365</v>
      </c>
      <c r="O539" s="13" t="str">
        <f t="array" ref="O539">_xlfn.IFS(N539="A","א'", N539="B", "ב'", N539= "C", "ג'")</f>
        <v>ב'</v>
      </c>
      <c r="P539" s="13">
        <f>IF(Table_2[[#This Row],[Correct_Answer]]=Table_2[[#This Row],[System_Recommendation]],1,0)</f>
        <v>1</v>
      </c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 spans="1:26" ht="15.75" hidden="1" customHeight="1">
      <c r="A540" s="8" t="s">
        <v>174</v>
      </c>
      <c r="B540" s="8">
        <v>11</v>
      </c>
      <c r="C540" s="9" t="s">
        <v>381</v>
      </c>
      <c r="D540" s="8">
        <v>1</v>
      </c>
      <c r="E540" s="9" t="s">
        <v>105</v>
      </c>
      <c r="F540" s="8" t="s">
        <v>382</v>
      </c>
      <c r="G540" s="8" t="s">
        <v>97</v>
      </c>
      <c r="H540" s="8" t="s">
        <v>142</v>
      </c>
      <c r="I540" s="8" t="s">
        <v>100</v>
      </c>
      <c r="J540" s="9" t="s">
        <v>380</v>
      </c>
      <c r="K540" s="8" t="str">
        <f>VLOOKUP(LEFT(H540,7),'קטלוג תרחישים'!$A:$M,12,FALSE())</f>
        <v>ב'</v>
      </c>
      <c r="L540" s="8" t="str">
        <f>IF(J540="כן",K540,VLOOKUP(LEFT(H540,7),'קטלוג תרחישים'!$A:$M,13,FALSE()))</f>
        <v>ב'</v>
      </c>
      <c r="M540" s="13"/>
      <c r="N540" s="50" t="s">
        <v>360</v>
      </c>
      <c r="O540" s="13" t="str">
        <f t="array" ref="O540">_xlfn.IFS(N540="A","א'", N540="B", "ב'", N540= "C", "ג'")</f>
        <v>א'</v>
      </c>
      <c r="P540" s="13">
        <f>IF(Table_2[[#This Row],[Correct_Answer]]=Table_2[[#This Row],[System_Recommendation]],1,0)</f>
        <v>1</v>
      </c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 spans="1:26" ht="15.75" hidden="1" customHeight="1">
      <c r="A541" s="8" t="s">
        <v>174</v>
      </c>
      <c r="B541" s="8">
        <v>12</v>
      </c>
      <c r="C541" s="9" t="s">
        <v>381</v>
      </c>
      <c r="D541" s="8">
        <v>2</v>
      </c>
      <c r="E541" s="9" t="s">
        <v>111</v>
      </c>
      <c r="F541" s="8" t="s">
        <v>382</v>
      </c>
      <c r="G541" s="8" t="s">
        <v>97</v>
      </c>
      <c r="H541" s="8" t="s">
        <v>149</v>
      </c>
      <c r="I541" s="8" t="s">
        <v>91</v>
      </c>
      <c r="J541" s="9" t="s">
        <v>380</v>
      </c>
      <c r="K541" s="8" t="str">
        <f>VLOOKUP(LEFT(H541,7),'קטלוג תרחישים'!$A:$M,12,FALSE())</f>
        <v>ג'</v>
      </c>
      <c r="L541" s="8" t="str">
        <f>IF(J541="כן",K541,VLOOKUP(LEFT(H541,7),'קטלוג תרחישים'!$A:$M,13,FALSE()))</f>
        <v>ג'</v>
      </c>
      <c r="M541" s="13"/>
      <c r="N541" s="51" t="s">
        <v>366</v>
      </c>
      <c r="O541" s="13" t="str">
        <f t="array" ref="O541">_xlfn.IFS(N541="A","א'", N541="B", "ב'", N541= "C", "ג'")</f>
        <v>ג'</v>
      </c>
      <c r="P541" s="13">
        <f>IF(Table_2[[#This Row],[Correct_Answer]]=Table_2[[#This Row],[System_Recommendation]],1,0)</f>
        <v>1</v>
      </c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 spans="1:26" ht="15.75" hidden="1" customHeight="1">
      <c r="A542" s="8" t="s">
        <v>174</v>
      </c>
      <c r="B542" s="8">
        <v>13</v>
      </c>
      <c r="C542" s="9" t="s">
        <v>381</v>
      </c>
      <c r="D542" s="8">
        <v>2</v>
      </c>
      <c r="E542" s="9" t="s">
        <v>111</v>
      </c>
      <c r="F542" s="8" t="s">
        <v>382</v>
      </c>
      <c r="G542" s="8" t="s">
        <v>97</v>
      </c>
      <c r="H542" s="8" t="s">
        <v>150</v>
      </c>
      <c r="I542" s="8" t="s">
        <v>100</v>
      </c>
      <c r="J542" s="9" t="s">
        <v>380</v>
      </c>
      <c r="K542" s="8" t="str">
        <f>VLOOKUP(LEFT(H542,7),'קטלוג תרחישים'!$A:$M,12,FALSE())</f>
        <v>ב'</v>
      </c>
      <c r="L542" s="8" t="str">
        <f>IF(J542="כן",K542,VLOOKUP(LEFT(H542,7),'קטלוג תרחישים'!$A:$M,13,FALSE()))</f>
        <v>ב'</v>
      </c>
      <c r="M542" s="13"/>
      <c r="N542" s="50" t="s">
        <v>365</v>
      </c>
      <c r="O542" s="13" t="str">
        <f t="array" ref="O542">_xlfn.IFS(N542="A","א'", N542="B", "ב'", N542= "C", "ג'")</f>
        <v>ב'</v>
      </c>
      <c r="P542" s="13">
        <f>IF(Table_2[[#This Row],[Correct_Answer]]=Table_2[[#This Row],[System_Recommendation]],1,0)</f>
        <v>1</v>
      </c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 spans="1:26" ht="15.75" hidden="1" customHeight="1">
      <c r="A543" s="8" t="s">
        <v>174</v>
      </c>
      <c r="B543" s="8">
        <v>14</v>
      </c>
      <c r="C543" s="9" t="s">
        <v>381</v>
      </c>
      <c r="D543" s="8">
        <v>2</v>
      </c>
      <c r="E543" s="9" t="s">
        <v>111</v>
      </c>
      <c r="F543" s="8" t="s">
        <v>382</v>
      </c>
      <c r="G543" s="8" t="s">
        <v>97</v>
      </c>
      <c r="H543" s="8" t="s">
        <v>151</v>
      </c>
      <c r="I543" s="8" t="s">
        <v>91</v>
      </c>
      <c r="J543" s="9" t="s">
        <v>380</v>
      </c>
      <c r="K543" s="8" t="str">
        <f>VLOOKUP(LEFT(H543,7),'קטלוג תרחישים'!$A:$M,12,FALSE())</f>
        <v>א'</v>
      </c>
      <c r="L543" s="8" t="str">
        <f>IF(J543="כן",K543,VLOOKUP(LEFT(H543,7),'קטלוג תרחישים'!$A:$M,13,FALSE()))</f>
        <v>א'</v>
      </c>
      <c r="M543" s="13"/>
      <c r="N543" s="51" t="s">
        <v>366</v>
      </c>
      <c r="O543" s="13" t="str">
        <f t="array" ref="O543">_xlfn.IFS(N543="A","א'", N543="B", "ב'", N543= "C", "ג'")</f>
        <v>ג'</v>
      </c>
      <c r="P543" s="13">
        <f>IF(Table_2[[#This Row],[Correct_Answer]]=Table_2[[#This Row],[System_Recommendation]],1,0)</f>
        <v>1</v>
      </c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 spans="1:26" ht="15.75" hidden="1" customHeight="1">
      <c r="A544" s="8" t="s">
        <v>174</v>
      </c>
      <c r="B544" s="8">
        <v>15</v>
      </c>
      <c r="C544" s="9" t="s">
        <v>381</v>
      </c>
      <c r="D544" s="8">
        <v>2</v>
      </c>
      <c r="E544" s="9" t="s">
        <v>111</v>
      </c>
      <c r="F544" s="8" t="s">
        <v>382</v>
      </c>
      <c r="G544" s="8" t="s">
        <v>97</v>
      </c>
      <c r="H544" s="8" t="s">
        <v>148</v>
      </c>
      <c r="I544" s="8" t="s">
        <v>100</v>
      </c>
      <c r="J544" s="9" t="s">
        <v>383</v>
      </c>
      <c r="K544" s="8" t="str">
        <f>VLOOKUP(LEFT(H544,7),'קטלוג תרחישים'!$A:$M,12,FALSE())</f>
        <v>ב'</v>
      </c>
      <c r="L544" s="8" t="str">
        <f>IF(J544="כן",K544,VLOOKUP(LEFT(H544,7),'קטלוג תרחישים'!$A:$M,13,FALSE()))</f>
        <v>ג'</v>
      </c>
      <c r="M544" s="13"/>
      <c r="N544" s="50" t="s">
        <v>360</v>
      </c>
      <c r="O544" s="13" t="str">
        <f t="array" ref="O544">_xlfn.IFS(N544="A","א'", N544="B", "ב'", N544= "C", "ג'")</f>
        <v>א'</v>
      </c>
      <c r="P544" s="13">
        <f>IF(Table_2[[#This Row],[Correct_Answer]]=Table_2[[#This Row],[System_Recommendation]],1,0)</f>
        <v>0</v>
      </c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 spans="1:26" ht="15.75" hidden="1" customHeight="1">
      <c r="A545" s="8" t="s">
        <v>174</v>
      </c>
      <c r="B545" s="8">
        <v>16</v>
      </c>
      <c r="C545" s="9" t="s">
        <v>381</v>
      </c>
      <c r="D545" s="8">
        <v>2</v>
      </c>
      <c r="E545" s="9" t="s">
        <v>111</v>
      </c>
      <c r="F545" s="8" t="s">
        <v>382</v>
      </c>
      <c r="G545" s="8" t="s">
        <v>97</v>
      </c>
      <c r="H545" s="8" t="s">
        <v>147</v>
      </c>
      <c r="I545" s="8" t="s">
        <v>91</v>
      </c>
      <c r="J545" s="9" t="s">
        <v>380</v>
      </c>
      <c r="K545" s="8" t="str">
        <f>VLOOKUP(LEFT(H545,7),'קטלוג תרחישים'!$A:$M,12,FALSE())</f>
        <v>ג'</v>
      </c>
      <c r="L545" s="8" t="str">
        <f>IF(J545="כן",K545,VLOOKUP(LEFT(H545,7),'קטלוג תרחישים'!$A:$M,13,FALSE()))</f>
        <v>ג'</v>
      </c>
      <c r="M545" s="13"/>
      <c r="N545" s="51" t="s">
        <v>360</v>
      </c>
      <c r="O545" s="13" t="str">
        <f t="array" ref="O545">_xlfn.IFS(N545="A","א'", N545="B", "ב'", N545= "C", "ג'")</f>
        <v>א'</v>
      </c>
      <c r="P545" s="13">
        <f>IF(Table_2[[#This Row],[Correct_Answer]]=Table_2[[#This Row],[System_Recommendation]],1,0)</f>
        <v>1</v>
      </c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 spans="1:26" ht="15.75" hidden="1" customHeight="1">
      <c r="A546" s="8" t="s">
        <v>174</v>
      </c>
      <c r="B546" s="8">
        <v>17</v>
      </c>
      <c r="C546" s="9" t="s">
        <v>381</v>
      </c>
      <c r="D546" s="8">
        <v>3</v>
      </c>
      <c r="E546" s="9" t="s">
        <v>98</v>
      </c>
      <c r="F546" s="8" t="s">
        <v>382</v>
      </c>
      <c r="G546" s="8" t="s">
        <v>97</v>
      </c>
      <c r="H546" s="8" t="s">
        <v>154</v>
      </c>
      <c r="I546" s="8" t="s">
        <v>91</v>
      </c>
      <c r="J546" s="9" t="s">
        <v>380</v>
      </c>
      <c r="K546" s="8" t="str">
        <f>VLOOKUP(LEFT(H546,7),'קטלוג תרחישים'!$A:$M,12,FALSE())</f>
        <v>ג'</v>
      </c>
      <c r="L546" s="8" t="str">
        <f>IF(J546="כן",K546,VLOOKUP(LEFT(H546,7),'קטלוג תרחישים'!$A:$M,13,FALSE()))</f>
        <v>ג'</v>
      </c>
      <c r="M546" s="13"/>
      <c r="N546" s="50" t="s">
        <v>360</v>
      </c>
      <c r="O546" s="13" t="str">
        <f t="array" ref="O546">_xlfn.IFS(N546="A","א'", N546="B", "ב'", N546= "C", "ג'")</f>
        <v>א'</v>
      </c>
      <c r="P546" s="13">
        <f>IF(Table_2[[#This Row],[Correct_Answer]]=Table_2[[#This Row],[System_Recommendation]],1,0)</f>
        <v>1</v>
      </c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 spans="1:26" ht="15.75" hidden="1" customHeight="1">
      <c r="A547" s="8" t="s">
        <v>174</v>
      </c>
      <c r="B547" s="8">
        <v>18</v>
      </c>
      <c r="C547" s="9" t="s">
        <v>381</v>
      </c>
      <c r="D547" s="8">
        <v>3</v>
      </c>
      <c r="E547" s="9" t="s">
        <v>98</v>
      </c>
      <c r="F547" s="8" t="s">
        <v>382</v>
      </c>
      <c r="G547" s="8" t="s">
        <v>97</v>
      </c>
      <c r="H547" s="8" t="s">
        <v>155</v>
      </c>
      <c r="I547" s="8" t="s">
        <v>100</v>
      </c>
      <c r="J547" s="9" t="s">
        <v>383</v>
      </c>
      <c r="K547" s="8" t="str">
        <f>VLOOKUP(LEFT(H547,7),'קטלוג תרחישים'!$A:$M,12,FALSE())</f>
        <v>ג'</v>
      </c>
      <c r="L547" s="8" t="str">
        <f>IF(J547="כן",K547,VLOOKUP(LEFT(H547,7),'קטלוג תרחישים'!$A:$M,13,FALSE()))</f>
        <v>ב'</v>
      </c>
      <c r="M547" s="13"/>
      <c r="N547" s="51" t="s">
        <v>360</v>
      </c>
      <c r="O547" s="13" t="str">
        <f t="array" ref="O547">_xlfn.IFS(N547="A","א'", N547="B", "ב'", N547= "C", "ג'")</f>
        <v>א'</v>
      </c>
      <c r="P547" s="13">
        <f>IF(Table_2[[#This Row],[Correct_Answer]]=Table_2[[#This Row],[System_Recommendation]],1,0)</f>
        <v>0</v>
      </c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 spans="1:26" ht="15.75" hidden="1" customHeight="1">
      <c r="A548" s="8" t="s">
        <v>174</v>
      </c>
      <c r="B548" s="8">
        <v>19</v>
      </c>
      <c r="C548" s="9" t="s">
        <v>381</v>
      </c>
      <c r="D548" s="8">
        <v>3</v>
      </c>
      <c r="E548" s="9" t="s">
        <v>98</v>
      </c>
      <c r="F548" s="8" t="s">
        <v>382</v>
      </c>
      <c r="G548" s="8" t="s">
        <v>97</v>
      </c>
      <c r="H548" s="8" t="s">
        <v>156</v>
      </c>
      <c r="I548" s="8" t="s">
        <v>91</v>
      </c>
      <c r="J548" s="9" t="s">
        <v>380</v>
      </c>
      <c r="K548" s="8" t="str">
        <f>VLOOKUP(LEFT(H548,7),'קטלוג תרחישים'!$A:$M,12,FALSE())</f>
        <v>ב'</v>
      </c>
      <c r="L548" s="8" t="str">
        <f>IF(J548="כן",K548,VLOOKUP(LEFT(H548,7),'קטלוג תרחישים'!$A:$M,13,FALSE()))</f>
        <v>ב'</v>
      </c>
      <c r="M548" s="13"/>
      <c r="N548" s="50" t="s">
        <v>365</v>
      </c>
      <c r="O548" s="13" t="str">
        <f t="array" ref="O548">_xlfn.IFS(N548="A","א'", N548="B", "ב'", N548= "C", "ג'")</f>
        <v>ב'</v>
      </c>
      <c r="P548" s="13">
        <f>IF(Table_2[[#This Row],[Correct_Answer]]=Table_2[[#This Row],[System_Recommendation]],1,0)</f>
        <v>1</v>
      </c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 spans="1:26" ht="15.75" hidden="1" customHeight="1">
      <c r="A549" s="8" t="s">
        <v>174</v>
      </c>
      <c r="B549" s="8">
        <v>20</v>
      </c>
      <c r="C549" s="9" t="s">
        <v>381</v>
      </c>
      <c r="D549" s="8">
        <v>3</v>
      </c>
      <c r="E549" s="9" t="s">
        <v>98</v>
      </c>
      <c r="F549" s="8" t="s">
        <v>382</v>
      </c>
      <c r="G549" s="8" t="s">
        <v>97</v>
      </c>
      <c r="H549" s="8" t="s">
        <v>153</v>
      </c>
      <c r="I549" s="8" t="s">
        <v>100</v>
      </c>
      <c r="J549" s="9" t="s">
        <v>380</v>
      </c>
      <c r="K549" s="8" t="str">
        <f>VLOOKUP(LEFT(H549,7),'קטלוג תרחישים'!$A:$M,12,FALSE())</f>
        <v>א'</v>
      </c>
      <c r="L549" s="8" t="str">
        <f>IF(J549="כן",K549,VLOOKUP(LEFT(H549,7),'קטלוג תרחישים'!$A:$M,13,FALSE()))</f>
        <v>א'</v>
      </c>
      <c r="M549" s="13"/>
      <c r="N549" s="51" t="s">
        <v>365</v>
      </c>
      <c r="O549" s="13" t="str">
        <f t="array" ref="O549">_xlfn.IFS(N549="A","א'", N549="B", "ב'", N549= "C", "ג'")</f>
        <v>ב'</v>
      </c>
      <c r="P549" s="13">
        <f>IF(Table_2[[#This Row],[Correct_Answer]]=Table_2[[#This Row],[System_Recommendation]],1,0)</f>
        <v>1</v>
      </c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 spans="1:26" ht="15.75" hidden="1" customHeight="1">
      <c r="A550" s="8" t="s">
        <v>174</v>
      </c>
      <c r="B550" s="8">
        <v>21</v>
      </c>
      <c r="C550" s="9" t="s">
        <v>381</v>
      </c>
      <c r="D550" s="8">
        <v>3</v>
      </c>
      <c r="E550" s="9" t="s">
        <v>98</v>
      </c>
      <c r="F550" s="8" t="s">
        <v>382</v>
      </c>
      <c r="G550" s="8" t="s">
        <v>97</v>
      </c>
      <c r="H550" s="8" t="s">
        <v>152</v>
      </c>
      <c r="I550" s="8" t="s">
        <v>91</v>
      </c>
      <c r="J550" s="9" t="s">
        <v>380</v>
      </c>
      <c r="K550" s="8" t="str">
        <f>VLOOKUP(LEFT(H550,7),'קטלוג תרחישים'!$A:$M,12,FALSE())</f>
        <v>ג'</v>
      </c>
      <c r="L550" s="8" t="str">
        <f>IF(J550="כן",K550,VLOOKUP(LEFT(H550,7),'קטלוג תרחישים'!$A:$M,13,FALSE()))</f>
        <v>ג'</v>
      </c>
      <c r="M550" s="13"/>
      <c r="N550" s="50" t="s">
        <v>366</v>
      </c>
      <c r="O550" s="13" t="str">
        <f t="array" ref="O550">_xlfn.IFS(N550="A","א'", N550="B", "ב'", N550= "C", "ג'")</f>
        <v>ג'</v>
      </c>
      <c r="P550" s="13">
        <f>IF(Table_2[[#This Row],[Correct_Answer]]=Table_2[[#This Row],[System_Recommendation]],1,0)</f>
        <v>1</v>
      </c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 spans="1:26" ht="15.75" hidden="1" customHeight="1">
      <c r="A551" s="8" t="s">
        <v>174</v>
      </c>
      <c r="B551" s="8">
        <v>22</v>
      </c>
      <c r="C551" s="9" t="s">
        <v>381</v>
      </c>
      <c r="D551" s="8">
        <v>1</v>
      </c>
      <c r="E551" s="9" t="s">
        <v>111</v>
      </c>
      <c r="F551" s="8" t="s">
        <v>384</v>
      </c>
      <c r="G551" s="8" t="s">
        <v>117</v>
      </c>
      <c r="H551" s="8" t="s">
        <v>157</v>
      </c>
      <c r="I551" s="8" t="s">
        <v>91</v>
      </c>
      <c r="J551" s="9" t="s">
        <v>383</v>
      </c>
      <c r="K551" s="8" t="str">
        <f>VLOOKUP(LEFT(H551,7),'קטלוג תרחישים'!$A:$M,12,FALSE())</f>
        <v>ג'</v>
      </c>
      <c r="L551" s="8" t="str">
        <f>IF(J551="כן",K551,VLOOKUP(LEFT(H551,7),'קטלוג תרחישים'!$A:$M,13,FALSE()))</f>
        <v>א'</v>
      </c>
      <c r="M551" s="13"/>
      <c r="N551" s="51" t="s">
        <v>366</v>
      </c>
      <c r="O551" s="13" t="str">
        <f t="array" ref="O551">_xlfn.IFS(N551="A","א'", N551="B", "ב'", N551= "C", "ג'")</f>
        <v>ג'</v>
      </c>
      <c r="P551" s="13">
        <f>IF(Table_2[[#This Row],[Correct_Answer]]=Table_2[[#This Row],[System_Recommendation]],1,0)</f>
        <v>0</v>
      </c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 spans="1:26" ht="15.75" hidden="1" customHeight="1">
      <c r="A552" s="8" t="s">
        <v>174</v>
      </c>
      <c r="B552" s="8">
        <v>23</v>
      </c>
      <c r="C552" s="9" t="s">
        <v>381</v>
      </c>
      <c r="D552" s="8">
        <v>1</v>
      </c>
      <c r="E552" s="9" t="s">
        <v>111</v>
      </c>
      <c r="F552" s="8" t="s">
        <v>384</v>
      </c>
      <c r="G552" s="8" t="s">
        <v>117</v>
      </c>
      <c r="H552" s="8" t="s">
        <v>158</v>
      </c>
      <c r="I552" s="8" t="s">
        <v>100</v>
      </c>
      <c r="J552" s="9" t="s">
        <v>380</v>
      </c>
      <c r="K552" s="8" t="str">
        <f>VLOOKUP(LEFT(H552,7),'קטלוג תרחישים'!$A:$M,12,FALSE())</f>
        <v>ג'</v>
      </c>
      <c r="L552" s="8" t="str">
        <f>IF(J552="כן",K552,VLOOKUP(LEFT(H552,7),'קטלוג תרחישים'!$A:$M,13,FALSE()))</f>
        <v>ג'</v>
      </c>
      <c r="M552" s="13"/>
      <c r="N552" s="50" t="s">
        <v>366</v>
      </c>
      <c r="O552" s="13" t="str">
        <f t="array" ref="O552">_xlfn.IFS(N552="A","א'", N552="B", "ב'", N552= "C", "ג'")</f>
        <v>ג'</v>
      </c>
      <c r="P552" s="13">
        <f>IF(Table_2[[#This Row],[Correct_Answer]]=Table_2[[#This Row],[System_Recommendation]],1,0)</f>
        <v>1</v>
      </c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 spans="1:26" ht="15.75" hidden="1" customHeight="1">
      <c r="A553" s="8" t="s">
        <v>174</v>
      </c>
      <c r="B553" s="8">
        <v>24</v>
      </c>
      <c r="C553" s="9" t="s">
        <v>381</v>
      </c>
      <c r="D553" s="8">
        <v>1</v>
      </c>
      <c r="E553" s="9" t="s">
        <v>111</v>
      </c>
      <c r="F553" s="8" t="s">
        <v>384</v>
      </c>
      <c r="G553" s="8" t="s">
        <v>117</v>
      </c>
      <c r="H553" s="8" t="s">
        <v>159</v>
      </c>
      <c r="I553" s="8" t="s">
        <v>91</v>
      </c>
      <c r="J553" s="9" t="s">
        <v>380</v>
      </c>
      <c r="K553" s="8" t="str">
        <f>VLOOKUP(LEFT(H553,7),'קטלוג תרחישים'!$A:$M,12,FALSE())</f>
        <v>ג'</v>
      </c>
      <c r="L553" s="8" t="str">
        <f>IF(J553="כן",K553,VLOOKUP(LEFT(H553,7),'קטלוג תרחישים'!$A:$M,13,FALSE()))</f>
        <v>ג'</v>
      </c>
      <c r="M553" s="13"/>
      <c r="N553" s="51" t="s">
        <v>365</v>
      </c>
      <c r="O553" s="13" t="str">
        <f t="array" ref="O553">_xlfn.IFS(N553="A","א'", N553="B", "ב'", N553= "C", "ג'")</f>
        <v>ב'</v>
      </c>
      <c r="P553" s="13">
        <f>IF(Table_2[[#This Row],[Correct_Answer]]=Table_2[[#This Row],[System_Recommendation]],1,0)</f>
        <v>1</v>
      </c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 spans="1:26" ht="15.75" hidden="1" customHeight="1">
      <c r="A554" s="8" t="s">
        <v>174</v>
      </c>
      <c r="B554" s="8">
        <v>25</v>
      </c>
      <c r="C554" s="9" t="s">
        <v>381</v>
      </c>
      <c r="D554" s="8">
        <v>1</v>
      </c>
      <c r="E554" s="9" t="s">
        <v>111</v>
      </c>
      <c r="F554" s="8" t="s">
        <v>384</v>
      </c>
      <c r="G554" s="8" t="s">
        <v>117</v>
      </c>
      <c r="H554" s="8" t="s">
        <v>160</v>
      </c>
      <c r="I554" s="8" t="s">
        <v>100</v>
      </c>
      <c r="J554" s="9" t="s">
        <v>383</v>
      </c>
      <c r="K554" s="8" t="str">
        <f>VLOOKUP(LEFT(H554,7),'קטלוג תרחישים'!$A:$M,12,FALSE())</f>
        <v>א'</v>
      </c>
      <c r="L554" s="8" t="str">
        <f>IF(J554="כן",K554,VLOOKUP(LEFT(H554,7),'קטלוג תרחישים'!$A:$M,13,FALSE()))</f>
        <v>ב'</v>
      </c>
      <c r="M554" s="13"/>
      <c r="N554" s="50" t="s">
        <v>360</v>
      </c>
      <c r="O554" s="13" t="str">
        <f t="array" ref="O554">_xlfn.IFS(N554="A","א'", N554="B", "ב'", N554= "C", "ג'")</f>
        <v>א'</v>
      </c>
      <c r="P554" s="13">
        <f>IF(Table_2[[#This Row],[Correct_Answer]]=Table_2[[#This Row],[System_Recommendation]],1,0)</f>
        <v>0</v>
      </c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 spans="1:26" ht="15.75" hidden="1" customHeight="1">
      <c r="A555" s="8" t="s">
        <v>174</v>
      </c>
      <c r="B555" s="8">
        <v>26</v>
      </c>
      <c r="C555" s="9" t="s">
        <v>381</v>
      </c>
      <c r="D555" s="8">
        <v>2</v>
      </c>
      <c r="E555" s="9" t="s">
        <v>98</v>
      </c>
      <c r="F555" s="8" t="s">
        <v>384</v>
      </c>
      <c r="G555" s="8" t="s">
        <v>117</v>
      </c>
      <c r="H555" s="8" t="s">
        <v>161</v>
      </c>
      <c r="I555" s="8" t="s">
        <v>91</v>
      </c>
      <c r="J555" s="9" t="s">
        <v>380</v>
      </c>
      <c r="K555" s="8" t="str">
        <f>VLOOKUP(LEFT(H555,7),'קטלוג תרחישים'!$A:$M,12,FALSE())</f>
        <v>ב'</v>
      </c>
      <c r="L555" s="8" t="str">
        <f>IF(J555="כן",K555,VLOOKUP(LEFT(H555,7),'קטלוג תרחישים'!$A:$M,13,FALSE()))</f>
        <v>ב'</v>
      </c>
      <c r="M555" s="13"/>
      <c r="N555" s="51" t="s">
        <v>366</v>
      </c>
      <c r="O555" s="13" t="str">
        <f t="array" ref="O555">_xlfn.IFS(N555="A","א'", N555="B", "ב'", N555= "C", "ג'")</f>
        <v>ג'</v>
      </c>
      <c r="P555" s="13">
        <f>IF(Table_2[[#This Row],[Correct_Answer]]=Table_2[[#This Row],[System_Recommendation]],1,0)</f>
        <v>1</v>
      </c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 spans="1:26" ht="15.75" hidden="1" customHeight="1">
      <c r="A556" s="8" t="s">
        <v>174</v>
      </c>
      <c r="B556" s="8">
        <v>27</v>
      </c>
      <c r="C556" s="9" t="s">
        <v>381</v>
      </c>
      <c r="D556" s="8">
        <v>2</v>
      </c>
      <c r="E556" s="9" t="s">
        <v>98</v>
      </c>
      <c r="F556" s="8" t="s">
        <v>384</v>
      </c>
      <c r="G556" s="8" t="s">
        <v>117</v>
      </c>
      <c r="H556" s="8" t="s">
        <v>162</v>
      </c>
      <c r="I556" s="8" t="s">
        <v>100</v>
      </c>
      <c r="J556" s="9" t="s">
        <v>383</v>
      </c>
      <c r="K556" s="8" t="str">
        <f>VLOOKUP(LEFT(H556,7),'קטלוג תרחישים'!$A:$M,12,FALSE())</f>
        <v>ג'</v>
      </c>
      <c r="L556" s="8" t="str">
        <f>IF(J556="כן",K556,VLOOKUP(LEFT(H556,7),'קטלוג תרחישים'!$A:$M,13,FALSE()))</f>
        <v>ב'</v>
      </c>
      <c r="M556" s="13"/>
      <c r="N556" s="50" t="s">
        <v>365</v>
      </c>
      <c r="O556" s="13" t="str">
        <f t="array" ref="O556">_xlfn.IFS(N556="A","א'", N556="B", "ב'", N556= "C", "ג'")</f>
        <v>ב'</v>
      </c>
      <c r="P556" s="13">
        <f>IF(Table_2[[#This Row],[Correct_Answer]]=Table_2[[#This Row],[System_Recommendation]],1,0)</f>
        <v>0</v>
      </c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 spans="1:26" ht="15.75" hidden="1" customHeight="1">
      <c r="A557" s="8" t="s">
        <v>174</v>
      </c>
      <c r="B557" s="8">
        <v>28</v>
      </c>
      <c r="C557" s="9" t="s">
        <v>381</v>
      </c>
      <c r="D557" s="8">
        <v>2</v>
      </c>
      <c r="E557" s="9" t="s">
        <v>98</v>
      </c>
      <c r="F557" s="8" t="s">
        <v>384</v>
      </c>
      <c r="G557" s="8" t="s">
        <v>117</v>
      </c>
      <c r="H557" s="8" t="s">
        <v>163</v>
      </c>
      <c r="I557" s="8" t="s">
        <v>91</v>
      </c>
      <c r="J557" s="9" t="s">
        <v>383</v>
      </c>
      <c r="K557" s="8" t="str">
        <f>VLOOKUP(LEFT(H557,7),'קטלוג תרחישים'!$A:$M,12,FALSE())</f>
        <v>ג'</v>
      </c>
      <c r="L557" s="8" t="str">
        <f>IF(J557="כן",K557,VLOOKUP(LEFT(H557,7),'קטלוג תרחישים'!$A:$M,13,FALSE()))</f>
        <v>א'</v>
      </c>
      <c r="M557" s="13"/>
      <c r="N557" s="51" t="s">
        <v>366</v>
      </c>
      <c r="O557" s="13" t="str">
        <f t="array" ref="O557">_xlfn.IFS(N557="A","א'", N557="B", "ב'", N557= "C", "ג'")</f>
        <v>ג'</v>
      </c>
      <c r="P557" s="13">
        <f>IF(Table_2[[#This Row],[Correct_Answer]]=Table_2[[#This Row],[System_Recommendation]],1,0)</f>
        <v>0</v>
      </c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 spans="1:26" ht="15.75" hidden="1" customHeight="1">
      <c r="A558" s="8" t="s">
        <v>174</v>
      </c>
      <c r="B558" s="8">
        <v>29</v>
      </c>
      <c r="C558" s="9" t="s">
        <v>381</v>
      </c>
      <c r="D558" s="8">
        <v>2</v>
      </c>
      <c r="E558" s="9" t="s">
        <v>98</v>
      </c>
      <c r="F558" s="8" t="s">
        <v>384</v>
      </c>
      <c r="G558" s="8" t="s">
        <v>117</v>
      </c>
      <c r="H558" s="8" t="s">
        <v>164</v>
      </c>
      <c r="I558" s="8" t="s">
        <v>100</v>
      </c>
      <c r="J558" s="9" t="s">
        <v>380</v>
      </c>
      <c r="K558" s="8" t="str">
        <f>VLOOKUP(LEFT(H558,7),'קטלוג תרחישים'!$A:$M,12,FALSE())</f>
        <v>ב'</v>
      </c>
      <c r="L558" s="8" t="str">
        <f>IF(J558="כן",K558,VLOOKUP(LEFT(H558,7),'קטלוג תרחישים'!$A:$M,13,FALSE()))</f>
        <v>ב'</v>
      </c>
      <c r="M558" s="13"/>
      <c r="N558" s="50" t="s">
        <v>366</v>
      </c>
      <c r="O558" s="13" t="str">
        <f t="array" ref="O558">_xlfn.IFS(N558="A","א'", N558="B", "ב'", N558= "C", "ג'")</f>
        <v>ג'</v>
      </c>
      <c r="P558" s="13">
        <f>IF(Table_2[[#This Row],[Correct_Answer]]=Table_2[[#This Row],[System_Recommendation]],1,0)</f>
        <v>1</v>
      </c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 spans="1:26" ht="15.75" hidden="1" customHeight="1">
      <c r="A559" s="8" t="s">
        <v>174</v>
      </c>
      <c r="B559" s="8">
        <v>30</v>
      </c>
      <c r="C559" s="9" t="s">
        <v>381</v>
      </c>
      <c r="D559" s="8">
        <v>3</v>
      </c>
      <c r="E559" s="9" t="s">
        <v>105</v>
      </c>
      <c r="F559" s="8" t="s">
        <v>384</v>
      </c>
      <c r="G559" s="8" t="s">
        <v>117</v>
      </c>
      <c r="H559" s="8" t="s">
        <v>167</v>
      </c>
      <c r="I559" s="8" t="s">
        <v>91</v>
      </c>
      <c r="J559" s="9" t="s">
        <v>380</v>
      </c>
      <c r="K559" s="8" t="str">
        <f>VLOOKUP(LEFT(H559,7),'קטלוג תרחישים'!$A:$M,12,FALSE())</f>
        <v>ב'</v>
      </c>
      <c r="L559" s="8" t="str">
        <f>IF(J559="כן",K559,VLOOKUP(LEFT(H559,7),'קטלוג תרחישים'!$A:$M,13,FALSE()))</f>
        <v>ב'</v>
      </c>
      <c r="M559" s="13"/>
      <c r="N559" s="51" t="s">
        <v>365</v>
      </c>
      <c r="O559" s="13" t="str">
        <f t="array" ref="O559">_xlfn.IFS(N559="A","א'", N559="B", "ב'", N559= "C", "ג'")</f>
        <v>ב'</v>
      </c>
      <c r="P559" s="13">
        <f>IF(Table_2[[#This Row],[Correct_Answer]]=Table_2[[#This Row],[System_Recommendation]],1,0)</f>
        <v>1</v>
      </c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 spans="1:26" ht="15.75" hidden="1" customHeight="1">
      <c r="A560" s="8" t="s">
        <v>174</v>
      </c>
      <c r="B560" s="8">
        <v>31</v>
      </c>
      <c r="C560" s="9" t="s">
        <v>381</v>
      </c>
      <c r="D560" s="8">
        <v>3</v>
      </c>
      <c r="E560" s="9" t="s">
        <v>105</v>
      </c>
      <c r="F560" s="8" t="s">
        <v>384</v>
      </c>
      <c r="G560" s="8" t="s">
        <v>117</v>
      </c>
      <c r="H560" s="8" t="s">
        <v>166</v>
      </c>
      <c r="I560" s="8" t="s">
        <v>100</v>
      </c>
      <c r="J560" s="9" t="s">
        <v>383</v>
      </c>
      <c r="K560" s="8" t="str">
        <f>VLOOKUP(LEFT(H560,7),'קטלוג תרחישים'!$A:$M,12,FALSE())</f>
        <v>א'</v>
      </c>
      <c r="L560" s="8" t="str">
        <f>IF(J560="כן",K560,VLOOKUP(LEFT(H560,7),'קטלוג תרחישים'!$A:$M,13,FALSE()))</f>
        <v>ג'</v>
      </c>
      <c r="M560" s="13"/>
      <c r="N560" s="50" t="s">
        <v>366</v>
      </c>
      <c r="O560" s="13" t="str">
        <f t="array" ref="O560">_xlfn.IFS(N560="A","א'", N560="B", "ב'", N560= "C", "ג'")</f>
        <v>ג'</v>
      </c>
      <c r="P560" s="13">
        <f>IF(Table_2[[#This Row],[Correct_Answer]]=Table_2[[#This Row],[System_Recommendation]],1,0)</f>
        <v>0</v>
      </c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 spans="1:26" ht="15.75" hidden="1" customHeight="1">
      <c r="A561" s="8" t="s">
        <v>174</v>
      </c>
      <c r="B561" s="8">
        <v>32</v>
      </c>
      <c r="C561" s="9" t="s">
        <v>381</v>
      </c>
      <c r="D561" s="8">
        <v>3</v>
      </c>
      <c r="E561" s="9" t="s">
        <v>105</v>
      </c>
      <c r="F561" s="8" t="s">
        <v>384</v>
      </c>
      <c r="G561" s="8" t="s">
        <v>117</v>
      </c>
      <c r="H561" s="8" t="s">
        <v>165</v>
      </c>
      <c r="I561" s="8" t="s">
        <v>91</v>
      </c>
      <c r="J561" s="9" t="s">
        <v>383</v>
      </c>
      <c r="K561" s="8" t="str">
        <f>VLOOKUP(LEFT(H561,7),'קטלוג תרחישים'!$A:$M,12,FALSE())</f>
        <v>ג'</v>
      </c>
      <c r="L561" s="8" t="str">
        <f>IF(J561="כן",K561,VLOOKUP(LEFT(H561,7),'קטלוג תרחישים'!$A:$M,13,FALSE()))</f>
        <v>א'</v>
      </c>
      <c r="M561" s="13"/>
      <c r="N561" s="51" t="s">
        <v>360</v>
      </c>
      <c r="O561" s="13" t="str">
        <f t="array" ref="O561">_xlfn.IFS(N561="A","א'", N561="B", "ב'", N561= "C", "ג'")</f>
        <v>א'</v>
      </c>
      <c r="P561" s="13">
        <f>IF(Table_2[[#This Row],[Correct_Answer]]=Table_2[[#This Row],[System_Recommendation]],1,0)</f>
        <v>0</v>
      </c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 spans="1:26" ht="15.75" hidden="1" customHeight="1">
      <c r="A562" s="8" t="s">
        <v>174</v>
      </c>
      <c r="B562" s="8">
        <v>33</v>
      </c>
      <c r="C562" s="9" t="s">
        <v>381</v>
      </c>
      <c r="D562" s="8">
        <v>3</v>
      </c>
      <c r="E562" s="9" t="s">
        <v>105</v>
      </c>
      <c r="F562" s="8" t="s">
        <v>384</v>
      </c>
      <c r="G562" s="8" t="s">
        <v>117</v>
      </c>
      <c r="H562" s="8" t="s">
        <v>168</v>
      </c>
      <c r="I562" s="8" t="s">
        <v>100</v>
      </c>
      <c r="J562" s="9" t="s">
        <v>380</v>
      </c>
      <c r="K562" s="8" t="str">
        <f>VLOOKUP(LEFT(H562,7),'קטלוג תרחישים'!$A:$M,12,FALSE())</f>
        <v>א'</v>
      </c>
      <c r="L562" s="8" t="str">
        <f>IF(J562="כן",K562,VLOOKUP(LEFT(H562,7),'קטלוג תרחישים'!$A:$M,13,FALSE()))</f>
        <v>א'</v>
      </c>
      <c r="M562" s="13"/>
      <c r="N562" s="50" t="s">
        <v>360</v>
      </c>
      <c r="O562" s="13" t="str">
        <f t="array" ref="O562">_xlfn.IFS(N562="A","א'", N562="B", "ב'", N562= "C", "ג'")</f>
        <v>א'</v>
      </c>
      <c r="P562" s="13">
        <f>IF(Table_2[[#This Row],[Correct_Answer]]=Table_2[[#This Row],[System_Recommendation]],1,0)</f>
        <v>1</v>
      </c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 spans="1:26" ht="15.75" hidden="1" customHeight="1">
      <c r="A563" s="8" t="s">
        <v>175</v>
      </c>
      <c r="B563" s="8">
        <v>1</v>
      </c>
      <c r="C563" s="9" t="s">
        <v>379</v>
      </c>
      <c r="D563" s="8"/>
      <c r="E563" s="9" t="s">
        <v>98</v>
      </c>
      <c r="F563" s="8"/>
      <c r="G563" s="8"/>
      <c r="H563" s="11" t="s">
        <v>90</v>
      </c>
      <c r="I563" s="8" t="s">
        <v>91</v>
      </c>
      <c r="J563" s="9" t="s">
        <v>380</v>
      </c>
      <c r="K563" s="8" t="str">
        <f>VLOOKUP(LEFT(H563,7),'קטלוג תרחישים'!$A:$M,12,FALSE())</f>
        <v>א'</v>
      </c>
      <c r="L563" s="8" t="str">
        <f>IF(J563="כן",K563,VLOOKUP(LEFT(H563,7),'קטלוג תרחישים'!$A:$M,13,FALSE()))</f>
        <v>א'</v>
      </c>
      <c r="M563" s="13"/>
      <c r="N563" s="51" t="s">
        <v>366</v>
      </c>
      <c r="O563" s="13" t="str">
        <f t="array" ref="O563">_xlfn.IFS(N563="A","א'", N563="B", "ב'", N563= "C", "ג'")</f>
        <v>ג'</v>
      </c>
      <c r="P563" s="13">
        <f>IF(Table_2[[#This Row],[Correct_Answer]]=Table_2[[#This Row],[System_Recommendation]],1,0)</f>
        <v>1</v>
      </c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 spans="1:26" ht="15.75" hidden="1" customHeight="1">
      <c r="A564" s="8" t="s">
        <v>175</v>
      </c>
      <c r="B564" s="8">
        <v>2</v>
      </c>
      <c r="C564" s="9" t="s">
        <v>379</v>
      </c>
      <c r="D564" s="8"/>
      <c r="E564" s="9" t="s">
        <v>98</v>
      </c>
      <c r="F564" s="8"/>
      <c r="G564" s="8"/>
      <c r="H564" s="11" t="s">
        <v>92</v>
      </c>
      <c r="I564" s="8" t="s">
        <v>91</v>
      </c>
      <c r="J564" s="9" t="s">
        <v>380</v>
      </c>
      <c r="K564" s="8" t="str">
        <f>VLOOKUP(LEFT(H564,7),'קטלוג תרחישים'!$A:$M,12,FALSE())</f>
        <v>א'</v>
      </c>
      <c r="L564" s="8" t="str">
        <f>IF(J564="כן",K564,VLOOKUP(LEFT(H564,7),'קטלוג תרחישים'!$A:$M,13,FALSE()))</f>
        <v>א'</v>
      </c>
      <c r="M564" s="13"/>
      <c r="N564" s="50" t="s">
        <v>366</v>
      </c>
      <c r="O564" s="13" t="str">
        <f t="array" ref="O564">_xlfn.IFS(N564="A","א'", N564="B", "ב'", N564= "C", "ג'")</f>
        <v>ג'</v>
      </c>
      <c r="P564" s="13">
        <f>IF(Table_2[[#This Row],[Correct_Answer]]=Table_2[[#This Row],[System_Recommendation]],1,0)</f>
        <v>1</v>
      </c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 spans="1:26" ht="15.75" hidden="1" customHeight="1">
      <c r="A565" s="8" t="s">
        <v>175</v>
      </c>
      <c r="B565" s="8">
        <v>3</v>
      </c>
      <c r="C565" s="9" t="s">
        <v>379</v>
      </c>
      <c r="D565" s="8"/>
      <c r="E565" s="9" t="s">
        <v>105</v>
      </c>
      <c r="F565" s="8"/>
      <c r="G565" s="8"/>
      <c r="H565" s="11" t="s">
        <v>93</v>
      </c>
      <c r="I565" s="8" t="s">
        <v>91</v>
      </c>
      <c r="J565" s="9" t="s">
        <v>380</v>
      </c>
      <c r="K565" s="8" t="str">
        <f>VLOOKUP(LEFT(H565,7),'קטלוג תרחישים'!$A:$M,12,FALSE())</f>
        <v>א'</v>
      </c>
      <c r="L565" s="8" t="str">
        <f>IF(J565="כן",K565,VLOOKUP(LEFT(H565,7),'קטלוג תרחישים'!$A:$M,13,FALSE()))</f>
        <v>א'</v>
      </c>
      <c r="M565" s="13"/>
      <c r="N565" s="51" t="s">
        <v>366</v>
      </c>
      <c r="O565" s="13" t="str">
        <f t="array" ref="O565">_xlfn.IFS(N565="A","א'", N565="B", "ב'", N565= "C", "ג'")</f>
        <v>ג'</v>
      </c>
      <c r="P565" s="13">
        <f>IF(Table_2[[#This Row],[Correct_Answer]]=Table_2[[#This Row],[System_Recommendation]],1,0)</f>
        <v>1</v>
      </c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 spans="1:26" ht="15.75" hidden="1" customHeight="1">
      <c r="A566" s="8" t="s">
        <v>175</v>
      </c>
      <c r="B566" s="8">
        <v>4</v>
      </c>
      <c r="C566" s="9" t="s">
        <v>379</v>
      </c>
      <c r="D566" s="8"/>
      <c r="E566" s="9" t="s">
        <v>105</v>
      </c>
      <c r="F566" s="8"/>
      <c r="G566" s="8"/>
      <c r="H566" s="11" t="s">
        <v>94</v>
      </c>
      <c r="I566" s="8" t="s">
        <v>91</v>
      </c>
      <c r="J566" s="9" t="s">
        <v>380</v>
      </c>
      <c r="K566" s="8" t="str">
        <f>VLOOKUP(LEFT(H566,7),'קטלוג תרחישים'!$A:$M,12,FALSE())</f>
        <v>א'</v>
      </c>
      <c r="L566" s="8" t="str">
        <f>IF(J566="כן",K566,VLOOKUP(LEFT(H566,7),'קטלוג תרחישים'!$A:$M,13,FALSE()))</f>
        <v>א'</v>
      </c>
      <c r="M566" s="13"/>
      <c r="N566" s="50" t="s">
        <v>365</v>
      </c>
      <c r="O566" s="13" t="str">
        <f t="array" ref="O566">_xlfn.IFS(N566="A","א'", N566="B", "ב'", N566= "C", "ג'")</f>
        <v>ב'</v>
      </c>
      <c r="P566" s="13">
        <f>IF(Table_2[[#This Row],[Correct_Answer]]=Table_2[[#This Row],[System_Recommendation]],1,0)</f>
        <v>1</v>
      </c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 spans="1:26" ht="15.75" hidden="1" customHeight="1">
      <c r="A567" s="8" t="s">
        <v>175</v>
      </c>
      <c r="B567" s="8">
        <v>5</v>
      </c>
      <c r="C567" s="9" t="s">
        <v>379</v>
      </c>
      <c r="D567" s="8"/>
      <c r="E567" s="9" t="s">
        <v>111</v>
      </c>
      <c r="F567" s="8"/>
      <c r="G567" s="8"/>
      <c r="H567" s="11" t="s">
        <v>95</v>
      </c>
      <c r="I567" s="8" t="s">
        <v>91</v>
      </c>
      <c r="J567" s="9" t="s">
        <v>380</v>
      </c>
      <c r="K567" s="8" t="str">
        <f>VLOOKUP(LEFT(H567,7),'קטלוג תרחישים'!$A:$M,12,FALSE())</f>
        <v>ב'</v>
      </c>
      <c r="L567" s="8" t="str">
        <f>IF(J567="כן",K567,VLOOKUP(LEFT(H567,7),'קטלוג תרחישים'!$A:$M,13,FALSE()))</f>
        <v>ב'</v>
      </c>
      <c r="M567" s="13"/>
      <c r="N567" s="51" t="s">
        <v>360</v>
      </c>
      <c r="O567" s="13" t="str">
        <f t="array" ref="O567">_xlfn.IFS(N567="A","א'", N567="B", "ב'", N567= "C", "ג'")</f>
        <v>א'</v>
      </c>
      <c r="P567" s="13">
        <f>IF(Table_2[[#This Row],[Correct_Answer]]=Table_2[[#This Row],[System_Recommendation]],1,0)</f>
        <v>1</v>
      </c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 spans="1:26" ht="15.75" customHeight="1">
      <c r="A568" s="8" t="s">
        <v>175</v>
      </c>
      <c r="B568" s="8">
        <v>6</v>
      </c>
      <c r="C568" s="9" t="s">
        <v>379</v>
      </c>
      <c r="D568" s="8"/>
      <c r="E568" s="9" t="s">
        <v>111</v>
      </c>
      <c r="F568" s="8"/>
      <c r="G568" s="8"/>
      <c r="H568" s="11" t="s">
        <v>96</v>
      </c>
      <c r="I568" s="8" t="s">
        <v>91</v>
      </c>
      <c r="J568" s="9" t="s">
        <v>380</v>
      </c>
      <c r="K568" s="8" t="str">
        <f>VLOOKUP(LEFT(H568,7),'קטלוג תרחישים'!$A:$M,12,FALSE())</f>
        <v>ב'</v>
      </c>
      <c r="L568" s="8" t="str">
        <f>IF(J568="כן",K568,VLOOKUP(LEFT(H568,7),'קטלוג תרחישים'!$A:$M,13,FALSE()))</f>
        <v>ב'</v>
      </c>
      <c r="M568" s="13"/>
      <c r="N568" s="50" t="s">
        <v>366</v>
      </c>
      <c r="O568" s="13" t="str">
        <f t="array" ref="O568">_xlfn.IFS(N568="A","א'", N568="B", "ב'", N568= "C", "ג'")</f>
        <v>ג'</v>
      </c>
      <c r="P568" s="13">
        <f>IF(Table_2[[#This Row],[Correct_Answer]]=Table_2[[#This Row],[System_Recommendation]],1,0)</f>
        <v>1</v>
      </c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 spans="1:26" ht="15.75" hidden="1" customHeight="1">
      <c r="A569" s="8" t="s">
        <v>175</v>
      </c>
      <c r="B569" s="8">
        <v>7</v>
      </c>
      <c r="C569" s="9" t="s">
        <v>381</v>
      </c>
      <c r="D569" s="8">
        <v>1</v>
      </c>
      <c r="E569" s="9" t="s">
        <v>98</v>
      </c>
      <c r="F569" s="8" t="s">
        <v>382</v>
      </c>
      <c r="G569" s="8" t="s">
        <v>117</v>
      </c>
      <c r="H569" s="8" t="s">
        <v>161</v>
      </c>
      <c r="I569" s="8" t="s">
        <v>91</v>
      </c>
      <c r="J569" s="9" t="s">
        <v>383</v>
      </c>
      <c r="K569" s="8" t="str">
        <f>VLOOKUP(LEFT(H569,7),'קטלוג תרחישים'!$A:$M,12,FALSE())</f>
        <v>ב'</v>
      </c>
      <c r="L569" s="8" t="str">
        <f>IF(J569="כן",K569,VLOOKUP(LEFT(H569,7),'קטלוג תרחישים'!$A:$M,13,FALSE()))</f>
        <v>א'</v>
      </c>
      <c r="M569" s="13"/>
      <c r="N569" s="51" t="s">
        <v>366</v>
      </c>
      <c r="O569" s="13" t="str">
        <f t="array" ref="O569">_xlfn.IFS(N569="A","א'", N569="B", "ב'", N569= "C", "ג'")</f>
        <v>ג'</v>
      </c>
      <c r="P569" s="13">
        <f>IF(Table_2[[#This Row],[Correct_Answer]]=Table_2[[#This Row],[System_Recommendation]],1,0)</f>
        <v>0</v>
      </c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 spans="1:26" ht="15.75" hidden="1" customHeight="1">
      <c r="A570" s="8" t="s">
        <v>175</v>
      </c>
      <c r="B570" s="8">
        <v>8</v>
      </c>
      <c r="C570" s="9" t="s">
        <v>381</v>
      </c>
      <c r="D570" s="8">
        <v>1</v>
      </c>
      <c r="E570" s="9" t="s">
        <v>98</v>
      </c>
      <c r="F570" s="8" t="s">
        <v>382</v>
      </c>
      <c r="G570" s="8" t="s">
        <v>117</v>
      </c>
      <c r="H570" s="8" t="s">
        <v>164</v>
      </c>
      <c r="I570" s="8" t="s">
        <v>100</v>
      </c>
      <c r="J570" s="9" t="s">
        <v>380</v>
      </c>
      <c r="K570" s="8" t="str">
        <f>VLOOKUP(LEFT(H570,7),'קטלוג תרחישים'!$A:$M,12,FALSE())</f>
        <v>ב'</v>
      </c>
      <c r="L570" s="8" t="str">
        <f>IF(J570="כן",K570,VLOOKUP(LEFT(H570,7),'קטלוג תרחישים'!$A:$M,13,FALSE()))</f>
        <v>ב'</v>
      </c>
      <c r="M570" s="13"/>
      <c r="N570" s="50" t="s">
        <v>365</v>
      </c>
      <c r="O570" s="13" t="str">
        <f t="array" ref="O570">_xlfn.IFS(N570="A","א'", N570="B", "ב'", N570= "C", "ג'")</f>
        <v>ב'</v>
      </c>
      <c r="P570" s="13">
        <f>IF(Table_2[[#This Row],[Correct_Answer]]=Table_2[[#This Row],[System_Recommendation]],1,0)</f>
        <v>1</v>
      </c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 spans="1:26" ht="15.75" hidden="1" customHeight="1">
      <c r="A571" s="8" t="s">
        <v>175</v>
      </c>
      <c r="B571" s="8">
        <v>9</v>
      </c>
      <c r="C571" s="9" t="s">
        <v>381</v>
      </c>
      <c r="D571" s="8">
        <v>1</v>
      </c>
      <c r="E571" s="9" t="s">
        <v>98</v>
      </c>
      <c r="F571" s="8" t="s">
        <v>382</v>
      </c>
      <c r="G571" s="8" t="s">
        <v>117</v>
      </c>
      <c r="H571" s="8" t="s">
        <v>163</v>
      </c>
      <c r="I571" s="8" t="s">
        <v>91</v>
      </c>
      <c r="J571" s="9" t="s">
        <v>380</v>
      </c>
      <c r="K571" s="8" t="str">
        <f>VLOOKUP(LEFT(H571,7),'קטלוג תרחישים'!$A:$M,12,FALSE())</f>
        <v>ג'</v>
      </c>
      <c r="L571" s="8" t="str">
        <f>IF(J571="כן",K571,VLOOKUP(LEFT(H571,7),'קטלוג תרחישים'!$A:$M,13,FALSE()))</f>
        <v>ג'</v>
      </c>
      <c r="M571" s="13"/>
      <c r="N571" s="51" t="s">
        <v>365</v>
      </c>
      <c r="O571" s="13" t="str">
        <f t="array" ref="O571">_xlfn.IFS(N571="A","א'", N571="B", "ב'", N571= "C", "ג'")</f>
        <v>ב'</v>
      </c>
      <c r="P571" s="13">
        <f>IF(Table_2[[#This Row],[Correct_Answer]]=Table_2[[#This Row],[System_Recommendation]],1,0)</f>
        <v>1</v>
      </c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 spans="1:26" ht="15.75" hidden="1" customHeight="1">
      <c r="A572" s="8" t="s">
        <v>175</v>
      </c>
      <c r="B572" s="8">
        <v>10</v>
      </c>
      <c r="C572" s="9" t="s">
        <v>381</v>
      </c>
      <c r="D572" s="8">
        <v>1</v>
      </c>
      <c r="E572" s="9" t="s">
        <v>98</v>
      </c>
      <c r="F572" s="8" t="s">
        <v>382</v>
      </c>
      <c r="G572" s="8" t="s">
        <v>117</v>
      </c>
      <c r="H572" s="8" t="s">
        <v>162</v>
      </c>
      <c r="I572" s="8" t="s">
        <v>100</v>
      </c>
      <c r="J572" s="9" t="s">
        <v>383</v>
      </c>
      <c r="K572" s="8" t="str">
        <f>VLOOKUP(LEFT(H572,7),'קטלוג תרחישים'!$A:$M,12,FALSE())</f>
        <v>ג'</v>
      </c>
      <c r="L572" s="8" t="str">
        <f>IF(J572="כן",K572,VLOOKUP(LEFT(H572,7),'קטלוג תרחישים'!$A:$M,13,FALSE()))</f>
        <v>ב'</v>
      </c>
      <c r="M572" s="13"/>
      <c r="N572" s="50" t="s">
        <v>365</v>
      </c>
      <c r="O572" s="13" t="str">
        <f t="array" ref="O572">_xlfn.IFS(N572="A","א'", N572="B", "ב'", N572= "C", "ג'")</f>
        <v>ב'</v>
      </c>
      <c r="P572" s="13">
        <f>IF(Table_2[[#This Row],[Correct_Answer]]=Table_2[[#This Row],[System_Recommendation]],1,0)</f>
        <v>0</v>
      </c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 spans="1:26" ht="15.75" hidden="1" customHeight="1">
      <c r="A573" s="8" t="s">
        <v>175</v>
      </c>
      <c r="B573" s="8">
        <v>11</v>
      </c>
      <c r="C573" s="9" t="s">
        <v>381</v>
      </c>
      <c r="D573" s="8">
        <v>2</v>
      </c>
      <c r="E573" s="9" t="s">
        <v>105</v>
      </c>
      <c r="F573" s="8" t="s">
        <v>382</v>
      </c>
      <c r="G573" s="8" t="s">
        <v>117</v>
      </c>
      <c r="H573" s="8" t="s">
        <v>165</v>
      </c>
      <c r="I573" s="8" t="s">
        <v>91</v>
      </c>
      <c r="J573" s="9" t="s">
        <v>380</v>
      </c>
      <c r="K573" s="8" t="str">
        <f>VLOOKUP(LEFT(H573,7),'קטלוג תרחישים'!$A:$M,12,FALSE())</f>
        <v>ג'</v>
      </c>
      <c r="L573" s="8" t="str">
        <f>IF(J573="כן",K573,VLOOKUP(LEFT(H573,7),'קטלוג תרחישים'!$A:$M,13,FALSE()))</f>
        <v>ג'</v>
      </c>
      <c r="M573" s="13"/>
      <c r="N573" s="51" t="s">
        <v>360</v>
      </c>
      <c r="O573" s="13" t="str">
        <f t="array" ref="O573">_xlfn.IFS(N573="A","א'", N573="B", "ב'", N573= "C", "ג'")</f>
        <v>א'</v>
      </c>
      <c r="P573" s="13">
        <f>IF(Table_2[[#This Row],[Correct_Answer]]=Table_2[[#This Row],[System_Recommendation]],1,0)</f>
        <v>1</v>
      </c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 spans="1:26" ht="15.75" hidden="1" customHeight="1">
      <c r="A574" s="8" t="s">
        <v>175</v>
      </c>
      <c r="B574" s="8">
        <v>12</v>
      </c>
      <c r="C574" s="9" t="s">
        <v>381</v>
      </c>
      <c r="D574" s="8">
        <v>2</v>
      </c>
      <c r="E574" s="9" t="s">
        <v>105</v>
      </c>
      <c r="F574" s="8" t="s">
        <v>382</v>
      </c>
      <c r="G574" s="8" t="s">
        <v>117</v>
      </c>
      <c r="H574" s="8" t="s">
        <v>168</v>
      </c>
      <c r="I574" s="8" t="s">
        <v>100</v>
      </c>
      <c r="J574" s="9" t="s">
        <v>380</v>
      </c>
      <c r="K574" s="8" t="str">
        <f>VLOOKUP(LEFT(H574,7),'קטלוג תרחישים'!$A:$M,12,FALSE())</f>
        <v>א'</v>
      </c>
      <c r="L574" s="8" t="str">
        <f>IF(J574="כן",K574,VLOOKUP(LEFT(H574,7),'קטלוג תרחישים'!$A:$M,13,FALSE()))</f>
        <v>א'</v>
      </c>
      <c r="M574" s="13"/>
      <c r="N574" s="50" t="s">
        <v>366</v>
      </c>
      <c r="O574" s="13" t="str">
        <f t="array" ref="O574">_xlfn.IFS(N574="A","א'", N574="B", "ב'", N574= "C", "ג'")</f>
        <v>ג'</v>
      </c>
      <c r="P574" s="13">
        <f>IF(Table_2[[#This Row],[Correct_Answer]]=Table_2[[#This Row],[System_Recommendation]],1,0)</f>
        <v>1</v>
      </c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 spans="1:26" ht="15.75" hidden="1" customHeight="1">
      <c r="A575" s="8" t="s">
        <v>175</v>
      </c>
      <c r="B575" s="8">
        <v>13</v>
      </c>
      <c r="C575" s="9" t="s">
        <v>381</v>
      </c>
      <c r="D575" s="8">
        <v>2</v>
      </c>
      <c r="E575" s="9" t="s">
        <v>105</v>
      </c>
      <c r="F575" s="8" t="s">
        <v>382</v>
      </c>
      <c r="G575" s="8" t="s">
        <v>117</v>
      </c>
      <c r="H575" s="8" t="s">
        <v>167</v>
      </c>
      <c r="I575" s="8" t="s">
        <v>91</v>
      </c>
      <c r="J575" s="9" t="s">
        <v>383</v>
      </c>
      <c r="K575" s="8" t="str">
        <f>VLOOKUP(LEFT(H575,7),'קטלוג תרחישים'!$A:$M,12,FALSE())</f>
        <v>ב'</v>
      </c>
      <c r="L575" s="8" t="str">
        <f>IF(J575="כן",K575,VLOOKUP(LEFT(H575,7),'קטלוג תרחישים'!$A:$M,13,FALSE()))</f>
        <v>ג'</v>
      </c>
      <c r="M575" s="13"/>
      <c r="N575" s="51" t="s">
        <v>365</v>
      </c>
      <c r="O575" s="13" t="str">
        <f t="array" ref="O575">_xlfn.IFS(N575="A","א'", N575="B", "ב'", N575= "C", "ג'")</f>
        <v>ב'</v>
      </c>
      <c r="P575" s="13">
        <f>IF(Table_2[[#This Row],[Correct_Answer]]=Table_2[[#This Row],[System_Recommendation]],1,0)</f>
        <v>0</v>
      </c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 spans="1:26" ht="15.75" hidden="1" customHeight="1">
      <c r="A576" s="8" t="s">
        <v>175</v>
      </c>
      <c r="B576" s="8">
        <v>14</v>
      </c>
      <c r="C576" s="9" t="s">
        <v>381</v>
      </c>
      <c r="D576" s="8">
        <v>2</v>
      </c>
      <c r="E576" s="9" t="s">
        <v>105</v>
      </c>
      <c r="F576" s="8" t="s">
        <v>382</v>
      </c>
      <c r="G576" s="8" t="s">
        <v>117</v>
      </c>
      <c r="H576" s="8" t="s">
        <v>166</v>
      </c>
      <c r="I576" s="8" t="s">
        <v>100</v>
      </c>
      <c r="J576" s="9" t="s">
        <v>383</v>
      </c>
      <c r="K576" s="8" t="str">
        <f>VLOOKUP(LEFT(H576,7),'קטלוג תרחישים'!$A:$M,12,FALSE())</f>
        <v>א'</v>
      </c>
      <c r="L576" s="8" t="str">
        <f>IF(J576="כן",K576,VLOOKUP(LEFT(H576,7),'קטלוג תרחישים'!$A:$M,13,FALSE()))</f>
        <v>ג'</v>
      </c>
      <c r="M576" s="13"/>
      <c r="N576" s="50" t="s">
        <v>366</v>
      </c>
      <c r="O576" s="13" t="str">
        <f t="array" ref="O576">_xlfn.IFS(N576="A","א'", N576="B", "ב'", N576= "C", "ג'")</f>
        <v>ג'</v>
      </c>
      <c r="P576" s="13">
        <f>IF(Table_2[[#This Row],[Correct_Answer]]=Table_2[[#This Row],[System_Recommendation]],1,0)</f>
        <v>0</v>
      </c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 spans="1:26" ht="15.75" hidden="1" customHeight="1">
      <c r="A577" s="8" t="s">
        <v>175</v>
      </c>
      <c r="B577" s="8">
        <v>15</v>
      </c>
      <c r="C577" s="9" t="s">
        <v>381</v>
      </c>
      <c r="D577" s="8">
        <v>3</v>
      </c>
      <c r="E577" s="9" t="s">
        <v>111</v>
      </c>
      <c r="F577" s="8" t="s">
        <v>382</v>
      </c>
      <c r="G577" s="8" t="s">
        <v>117</v>
      </c>
      <c r="H577" s="8" t="s">
        <v>159</v>
      </c>
      <c r="I577" s="8" t="s">
        <v>91</v>
      </c>
      <c r="J577" s="9" t="s">
        <v>380</v>
      </c>
      <c r="K577" s="8" t="str">
        <f>VLOOKUP(LEFT(H577,7),'קטלוג תרחישים'!$A:$M,12,FALSE())</f>
        <v>ג'</v>
      </c>
      <c r="L577" s="8" t="str">
        <f>IF(J577="כן",K577,VLOOKUP(LEFT(H577,7),'קטלוג תרחישים'!$A:$M,13,FALSE()))</f>
        <v>ג'</v>
      </c>
      <c r="M577" s="13"/>
      <c r="N577" s="51" t="s">
        <v>360</v>
      </c>
      <c r="O577" s="13" t="str">
        <f t="array" ref="O577">_xlfn.IFS(N577="A","א'", N577="B", "ב'", N577= "C", "ג'")</f>
        <v>א'</v>
      </c>
      <c r="P577" s="13">
        <f>IF(Table_2[[#This Row],[Correct_Answer]]=Table_2[[#This Row],[System_Recommendation]],1,0)</f>
        <v>1</v>
      </c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 spans="1:26" ht="15.75" hidden="1" customHeight="1">
      <c r="A578" s="8" t="s">
        <v>175</v>
      </c>
      <c r="B578" s="8">
        <v>16</v>
      </c>
      <c r="C578" s="9" t="s">
        <v>381</v>
      </c>
      <c r="D578" s="8">
        <v>3</v>
      </c>
      <c r="E578" s="9" t="s">
        <v>111</v>
      </c>
      <c r="F578" s="8" t="s">
        <v>382</v>
      </c>
      <c r="G578" s="8" t="s">
        <v>117</v>
      </c>
      <c r="H578" s="8" t="s">
        <v>160</v>
      </c>
      <c r="I578" s="8" t="s">
        <v>100</v>
      </c>
      <c r="J578" s="9" t="s">
        <v>380</v>
      </c>
      <c r="K578" s="8" t="str">
        <f>VLOOKUP(LEFT(H578,7),'קטלוג תרחישים'!$A:$M,12,FALSE())</f>
        <v>א'</v>
      </c>
      <c r="L578" s="8" t="str">
        <f>IF(J578="כן",K578,VLOOKUP(LEFT(H578,7),'קטלוג תרחישים'!$A:$M,13,FALSE()))</f>
        <v>א'</v>
      </c>
      <c r="M578" s="13"/>
      <c r="N578" s="50" t="s">
        <v>366</v>
      </c>
      <c r="O578" s="13" t="str">
        <f t="array" ref="O578">_xlfn.IFS(N578="A","א'", N578="B", "ב'", N578= "C", "ג'")</f>
        <v>ג'</v>
      </c>
      <c r="P578" s="13">
        <f>IF(Table_2[[#This Row],[Correct_Answer]]=Table_2[[#This Row],[System_Recommendation]],1,0)</f>
        <v>1</v>
      </c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 spans="1:26" ht="15.75" hidden="1" customHeight="1">
      <c r="A579" s="8" t="s">
        <v>175</v>
      </c>
      <c r="B579" s="8">
        <v>17</v>
      </c>
      <c r="C579" s="9" t="s">
        <v>381</v>
      </c>
      <c r="D579" s="8">
        <v>3</v>
      </c>
      <c r="E579" s="9" t="s">
        <v>111</v>
      </c>
      <c r="F579" s="8" t="s">
        <v>382</v>
      </c>
      <c r="G579" s="8" t="s">
        <v>117</v>
      </c>
      <c r="H579" s="8" t="s">
        <v>157</v>
      </c>
      <c r="I579" s="8" t="s">
        <v>91</v>
      </c>
      <c r="J579" s="9" t="s">
        <v>383</v>
      </c>
      <c r="K579" s="8" t="str">
        <f>VLOOKUP(LEFT(H579,7),'קטלוג תרחישים'!$A:$M,12,FALSE())</f>
        <v>ג'</v>
      </c>
      <c r="L579" s="8" t="str">
        <f>IF(J579="כן",K579,VLOOKUP(LEFT(H579,7),'קטלוג תרחישים'!$A:$M,13,FALSE()))</f>
        <v>א'</v>
      </c>
      <c r="M579" s="13"/>
      <c r="N579" s="51" t="s">
        <v>360</v>
      </c>
      <c r="O579" s="13" t="str">
        <f t="array" ref="O579">_xlfn.IFS(N579="A","א'", N579="B", "ב'", N579= "C", "ג'")</f>
        <v>א'</v>
      </c>
      <c r="P579" s="13">
        <f>IF(Table_2[[#This Row],[Correct_Answer]]=Table_2[[#This Row],[System_Recommendation]],1,0)</f>
        <v>0</v>
      </c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 spans="1:26" ht="15.75" hidden="1" customHeight="1">
      <c r="A580" s="8" t="s">
        <v>175</v>
      </c>
      <c r="B580" s="8">
        <v>18</v>
      </c>
      <c r="C580" s="9" t="s">
        <v>381</v>
      </c>
      <c r="D580" s="8">
        <v>3</v>
      </c>
      <c r="E580" s="9" t="s">
        <v>111</v>
      </c>
      <c r="F580" s="8" t="s">
        <v>382</v>
      </c>
      <c r="G580" s="8" t="s">
        <v>117</v>
      </c>
      <c r="H580" s="8" t="s">
        <v>158</v>
      </c>
      <c r="I580" s="8" t="s">
        <v>100</v>
      </c>
      <c r="J580" s="9" t="s">
        <v>383</v>
      </c>
      <c r="K580" s="8" t="str">
        <f>VLOOKUP(LEFT(H580,7),'קטלוג תרחישים'!$A:$M,12,FALSE())</f>
        <v>ג'</v>
      </c>
      <c r="L580" s="8" t="str">
        <f>IF(J580="כן",K580,VLOOKUP(LEFT(H580,7),'קטלוג תרחישים'!$A:$M,13,FALSE()))</f>
        <v>ב'</v>
      </c>
      <c r="M580" s="13"/>
      <c r="N580" s="50" t="s">
        <v>360</v>
      </c>
      <c r="O580" s="13" t="str">
        <f t="array" ref="O580">_xlfn.IFS(N580="A","א'", N580="B", "ב'", N580= "C", "ג'")</f>
        <v>א'</v>
      </c>
      <c r="P580" s="13">
        <f>IF(Table_2[[#This Row],[Correct_Answer]]=Table_2[[#This Row],[System_Recommendation]],1,0)</f>
        <v>0</v>
      </c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 spans="1:26" ht="15.75" hidden="1" customHeight="1">
      <c r="A581" s="8" t="s">
        <v>175</v>
      </c>
      <c r="B581" s="8">
        <v>19</v>
      </c>
      <c r="C581" s="9" t="s">
        <v>381</v>
      </c>
      <c r="D581" s="8">
        <v>1</v>
      </c>
      <c r="E581" s="9" t="s">
        <v>111</v>
      </c>
      <c r="F581" s="8" t="s">
        <v>384</v>
      </c>
      <c r="G581" s="8" t="s">
        <v>97</v>
      </c>
      <c r="H581" s="8" t="s">
        <v>151</v>
      </c>
      <c r="I581" s="8" t="s">
        <v>91</v>
      </c>
      <c r="J581" s="9" t="s">
        <v>380</v>
      </c>
      <c r="K581" s="8" t="str">
        <f>VLOOKUP(LEFT(H581,7),'קטלוג תרחישים'!$A:$M,12,FALSE())</f>
        <v>א'</v>
      </c>
      <c r="L581" s="8" t="str">
        <f>IF(J581="כן",K581,VLOOKUP(LEFT(H581,7),'קטלוג תרחישים'!$A:$M,13,FALSE()))</f>
        <v>א'</v>
      </c>
      <c r="M581" s="13"/>
      <c r="N581" s="51" t="s">
        <v>360</v>
      </c>
      <c r="O581" s="13" t="str">
        <f t="array" ref="O581">_xlfn.IFS(N581="A","א'", N581="B", "ב'", N581= "C", "ג'")</f>
        <v>א'</v>
      </c>
      <c r="P581" s="13">
        <f>IF(Table_2[[#This Row],[Correct_Answer]]=Table_2[[#This Row],[System_Recommendation]],1,0)</f>
        <v>1</v>
      </c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 spans="1:26" ht="15.75" hidden="1" customHeight="1">
      <c r="A582" s="8" t="s">
        <v>175</v>
      </c>
      <c r="B582" s="8">
        <v>20</v>
      </c>
      <c r="C582" s="9" t="s">
        <v>381</v>
      </c>
      <c r="D582" s="8">
        <v>1</v>
      </c>
      <c r="E582" s="9" t="s">
        <v>111</v>
      </c>
      <c r="F582" s="8" t="s">
        <v>384</v>
      </c>
      <c r="G582" s="8" t="s">
        <v>97</v>
      </c>
      <c r="H582" s="8" t="s">
        <v>150</v>
      </c>
      <c r="I582" s="8" t="s">
        <v>100</v>
      </c>
      <c r="J582" s="9" t="s">
        <v>380</v>
      </c>
      <c r="K582" s="8" t="str">
        <f>VLOOKUP(LEFT(H582,7),'קטלוג תרחישים'!$A:$M,12,FALSE())</f>
        <v>ב'</v>
      </c>
      <c r="L582" s="8" t="str">
        <f>IF(J582="כן",K582,VLOOKUP(LEFT(H582,7),'קטלוג תרחישים'!$A:$M,13,FALSE()))</f>
        <v>ב'</v>
      </c>
      <c r="M582" s="13"/>
      <c r="N582" s="50" t="s">
        <v>365</v>
      </c>
      <c r="O582" s="13" t="str">
        <f t="array" ref="O582">_xlfn.IFS(N582="A","א'", N582="B", "ב'", N582= "C", "ג'")</f>
        <v>ב'</v>
      </c>
      <c r="P582" s="13">
        <f>IF(Table_2[[#This Row],[Correct_Answer]]=Table_2[[#This Row],[System_Recommendation]],1,0)</f>
        <v>1</v>
      </c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 spans="1:26" ht="15.75" hidden="1" customHeight="1">
      <c r="A583" s="8" t="s">
        <v>175</v>
      </c>
      <c r="B583" s="8">
        <v>21</v>
      </c>
      <c r="C583" s="9" t="s">
        <v>381</v>
      </c>
      <c r="D583" s="8">
        <v>1</v>
      </c>
      <c r="E583" s="9" t="s">
        <v>111</v>
      </c>
      <c r="F583" s="8" t="s">
        <v>384</v>
      </c>
      <c r="G583" s="8" t="s">
        <v>97</v>
      </c>
      <c r="H583" s="8" t="s">
        <v>149</v>
      </c>
      <c r="I583" s="8" t="s">
        <v>91</v>
      </c>
      <c r="J583" s="9" t="s">
        <v>380</v>
      </c>
      <c r="K583" s="8" t="str">
        <f>VLOOKUP(LEFT(H583,7),'קטלוג תרחישים'!$A:$M,12,FALSE())</f>
        <v>ג'</v>
      </c>
      <c r="L583" s="8" t="str">
        <f>IF(J583="כן",K583,VLOOKUP(LEFT(H583,7),'קטלוג תרחישים'!$A:$M,13,FALSE()))</f>
        <v>ג'</v>
      </c>
      <c r="M583" s="13"/>
      <c r="N583" s="51" t="s">
        <v>365</v>
      </c>
      <c r="O583" s="13" t="str">
        <f t="array" ref="O583">_xlfn.IFS(N583="A","א'", N583="B", "ב'", N583= "C", "ג'")</f>
        <v>ב'</v>
      </c>
      <c r="P583" s="13">
        <f>IF(Table_2[[#This Row],[Correct_Answer]]=Table_2[[#This Row],[System_Recommendation]],1,0)</f>
        <v>1</v>
      </c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 spans="1:26" ht="15.75" hidden="1" customHeight="1">
      <c r="A584" s="8" t="s">
        <v>175</v>
      </c>
      <c r="B584" s="8">
        <v>22</v>
      </c>
      <c r="C584" s="9" t="s">
        <v>381</v>
      </c>
      <c r="D584" s="8">
        <v>1</v>
      </c>
      <c r="E584" s="9" t="s">
        <v>111</v>
      </c>
      <c r="F584" s="8" t="s">
        <v>384</v>
      </c>
      <c r="G584" s="8" t="s">
        <v>97</v>
      </c>
      <c r="H584" s="8" t="s">
        <v>148</v>
      </c>
      <c r="I584" s="8" t="s">
        <v>100</v>
      </c>
      <c r="J584" s="9" t="s">
        <v>380</v>
      </c>
      <c r="K584" s="8" t="str">
        <f>VLOOKUP(LEFT(H584,7),'קטלוג תרחישים'!$A:$M,12,FALSE())</f>
        <v>ב'</v>
      </c>
      <c r="L584" s="8" t="str">
        <f>IF(J584="כן",K584,VLOOKUP(LEFT(H584,7),'קטלוג תרחישים'!$A:$M,13,FALSE()))</f>
        <v>ב'</v>
      </c>
      <c r="M584" s="13"/>
      <c r="N584" s="50" t="s">
        <v>366</v>
      </c>
      <c r="O584" s="13" t="str">
        <f t="array" ref="O584">_xlfn.IFS(N584="A","א'", N584="B", "ב'", N584= "C", "ג'")</f>
        <v>ג'</v>
      </c>
      <c r="P584" s="13">
        <f>IF(Table_2[[#This Row],[Correct_Answer]]=Table_2[[#This Row],[System_Recommendation]],1,0)</f>
        <v>1</v>
      </c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 spans="1:26" ht="15.75" hidden="1" customHeight="1">
      <c r="A585" s="8" t="s">
        <v>175</v>
      </c>
      <c r="B585" s="8">
        <v>23</v>
      </c>
      <c r="C585" s="9" t="s">
        <v>381</v>
      </c>
      <c r="D585" s="8">
        <v>1</v>
      </c>
      <c r="E585" s="9" t="s">
        <v>111</v>
      </c>
      <c r="F585" s="8" t="s">
        <v>384</v>
      </c>
      <c r="G585" s="8" t="s">
        <v>97</v>
      </c>
      <c r="H585" s="8" t="s">
        <v>147</v>
      </c>
      <c r="I585" s="8" t="s">
        <v>91</v>
      </c>
      <c r="J585" s="9" t="s">
        <v>383</v>
      </c>
      <c r="K585" s="8" t="str">
        <f>VLOOKUP(LEFT(H585,7),'קטלוג תרחישים'!$A:$M,12,FALSE())</f>
        <v>ג'</v>
      </c>
      <c r="L585" s="8" t="str">
        <f>IF(J585="כן",K585,VLOOKUP(LEFT(H585,7),'קטלוג תרחישים'!$A:$M,13,FALSE()))</f>
        <v>א'</v>
      </c>
      <c r="M585" s="13"/>
      <c r="N585" s="51" t="s">
        <v>366</v>
      </c>
      <c r="O585" s="13" t="str">
        <f t="array" ref="O585">_xlfn.IFS(N585="A","א'", N585="B", "ב'", N585= "C", "ג'")</f>
        <v>ג'</v>
      </c>
      <c r="P585" s="13">
        <f>IF(Table_2[[#This Row],[Correct_Answer]]=Table_2[[#This Row],[System_Recommendation]],1,0)</f>
        <v>0</v>
      </c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 spans="1:26" ht="15.75" hidden="1" customHeight="1">
      <c r="A586" s="8" t="s">
        <v>175</v>
      </c>
      <c r="B586" s="8">
        <v>24</v>
      </c>
      <c r="C586" s="9" t="s">
        <v>381</v>
      </c>
      <c r="D586" s="8">
        <v>2</v>
      </c>
      <c r="E586" s="9" t="s">
        <v>98</v>
      </c>
      <c r="F586" s="8" t="s">
        <v>384</v>
      </c>
      <c r="G586" s="8" t="s">
        <v>97</v>
      </c>
      <c r="H586" s="8" t="s">
        <v>154</v>
      </c>
      <c r="I586" s="8" t="s">
        <v>91</v>
      </c>
      <c r="J586" s="9" t="s">
        <v>380</v>
      </c>
      <c r="K586" s="8" t="str">
        <f>VLOOKUP(LEFT(H586,7),'קטלוג תרחישים'!$A:$M,12,FALSE())</f>
        <v>ג'</v>
      </c>
      <c r="L586" s="8" t="str">
        <f>IF(J586="כן",K586,VLOOKUP(LEFT(H586,7),'קטלוג תרחישים'!$A:$M,13,FALSE()))</f>
        <v>ג'</v>
      </c>
      <c r="M586" s="13"/>
      <c r="N586" s="50" t="s">
        <v>365</v>
      </c>
      <c r="O586" s="13" t="str">
        <f t="array" ref="O586">_xlfn.IFS(N586="A","א'", N586="B", "ב'", N586= "C", "ג'")</f>
        <v>ב'</v>
      </c>
      <c r="P586" s="13">
        <f>IF(Table_2[[#This Row],[Correct_Answer]]=Table_2[[#This Row],[System_Recommendation]],1,0)</f>
        <v>1</v>
      </c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 spans="1:26" ht="15.75" hidden="1" customHeight="1">
      <c r="A587" s="8" t="s">
        <v>175</v>
      </c>
      <c r="B587" s="8">
        <v>25</v>
      </c>
      <c r="C587" s="9" t="s">
        <v>381</v>
      </c>
      <c r="D587" s="8">
        <v>2</v>
      </c>
      <c r="E587" s="9" t="s">
        <v>98</v>
      </c>
      <c r="F587" s="8" t="s">
        <v>384</v>
      </c>
      <c r="G587" s="8" t="s">
        <v>97</v>
      </c>
      <c r="H587" s="8" t="s">
        <v>153</v>
      </c>
      <c r="I587" s="8" t="s">
        <v>100</v>
      </c>
      <c r="J587" s="9" t="s">
        <v>380</v>
      </c>
      <c r="K587" s="8" t="str">
        <f>VLOOKUP(LEFT(H587,7),'קטלוג תרחישים'!$A:$M,12,FALSE())</f>
        <v>א'</v>
      </c>
      <c r="L587" s="8" t="str">
        <f>IF(J587="כן",K587,VLOOKUP(LEFT(H587,7),'קטלוג תרחישים'!$A:$M,13,FALSE()))</f>
        <v>א'</v>
      </c>
      <c r="M587" s="13"/>
      <c r="N587" s="51" t="s">
        <v>360</v>
      </c>
      <c r="O587" s="13" t="str">
        <f t="array" ref="O587">_xlfn.IFS(N587="A","א'", N587="B", "ב'", N587= "C", "ג'")</f>
        <v>א'</v>
      </c>
      <c r="P587" s="13">
        <f>IF(Table_2[[#This Row],[Correct_Answer]]=Table_2[[#This Row],[System_Recommendation]],1,0)</f>
        <v>1</v>
      </c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 spans="1:26" ht="15.75" hidden="1" customHeight="1">
      <c r="A588" s="8" t="s">
        <v>175</v>
      </c>
      <c r="B588" s="8">
        <v>26</v>
      </c>
      <c r="C588" s="9" t="s">
        <v>381</v>
      </c>
      <c r="D588" s="8">
        <v>2</v>
      </c>
      <c r="E588" s="9" t="s">
        <v>98</v>
      </c>
      <c r="F588" s="8" t="s">
        <v>384</v>
      </c>
      <c r="G588" s="8" t="s">
        <v>97</v>
      </c>
      <c r="H588" s="8" t="s">
        <v>152</v>
      </c>
      <c r="I588" s="8" t="s">
        <v>91</v>
      </c>
      <c r="J588" s="9" t="s">
        <v>380</v>
      </c>
      <c r="K588" s="8" t="str">
        <f>VLOOKUP(LEFT(H588,7),'קטלוג תרחישים'!$A:$M,12,FALSE())</f>
        <v>ג'</v>
      </c>
      <c r="L588" s="8" t="str">
        <f>IF(J588="כן",K588,VLOOKUP(LEFT(H588,7),'קטלוג תרחישים'!$A:$M,13,FALSE()))</f>
        <v>ג'</v>
      </c>
      <c r="M588" s="13"/>
      <c r="N588" s="50" t="s">
        <v>366</v>
      </c>
      <c r="O588" s="13" t="str">
        <f t="array" ref="O588">_xlfn.IFS(N588="A","א'", N588="B", "ב'", N588= "C", "ג'")</f>
        <v>ג'</v>
      </c>
      <c r="P588" s="13">
        <f>IF(Table_2[[#This Row],[Correct_Answer]]=Table_2[[#This Row],[System_Recommendation]],1,0)</f>
        <v>1</v>
      </c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 spans="1:26" ht="15.75" hidden="1" customHeight="1">
      <c r="A589" s="8" t="s">
        <v>175</v>
      </c>
      <c r="B589" s="8">
        <v>27</v>
      </c>
      <c r="C589" s="9" t="s">
        <v>381</v>
      </c>
      <c r="D589" s="8">
        <v>2</v>
      </c>
      <c r="E589" s="9" t="s">
        <v>98</v>
      </c>
      <c r="F589" s="8" t="s">
        <v>384</v>
      </c>
      <c r="G589" s="8" t="s">
        <v>97</v>
      </c>
      <c r="H589" s="8" t="s">
        <v>155</v>
      </c>
      <c r="I589" s="8" t="s">
        <v>100</v>
      </c>
      <c r="J589" s="9" t="s">
        <v>380</v>
      </c>
      <c r="K589" s="8" t="str">
        <f>VLOOKUP(LEFT(H589,7),'קטלוג תרחישים'!$A:$M,12,FALSE())</f>
        <v>ג'</v>
      </c>
      <c r="L589" s="8" t="str">
        <f>IF(J589="כן",K589,VLOOKUP(LEFT(H589,7),'קטלוג תרחישים'!$A:$M,13,FALSE()))</f>
        <v>ג'</v>
      </c>
      <c r="M589" s="13"/>
      <c r="N589" s="51" t="s">
        <v>365</v>
      </c>
      <c r="O589" s="13" t="str">
        <f t="array" ref="O589">_xlfn.IFS(N589="A","א'", N589="B", "ב'", N589= "C", "ג'")</f>
        <v>ב'</v>
      </c>
      <c r="P589" s="13">
        <f>IF(Table_2[[#This Row],[Correct_Answer]]=Table_2[[#This Row],[System_Recommendation]],1,0)</f>
        <v>1</v>
      </c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 spans="1:26" ht="15.75" hidden="1" customHeight="1">
      <c r="A590" s="8" t="s">
        <v>175</v>
      </c>
      <c r="B590" s="8">
        <v>28</v>
      </c>
      <c r="C590" s="9" t="s">
        <v>381</v>
      </c>
      <c r="D590" s="8">
        <v>2</v>
      </c>
      <c r="E590" s="9" t="s">
        <v>98</v>
      </c>
      <c r="F590" s="8" t="s">
        <v>384</v>
      </c>
      <c r="G590" s="8" t="s">
        <v>97</v>
      </c>
      <c r="H590" s="8" t="s">
        <v>156</v>
      </c>
      <c r="I590" s="8" t="s">
        <v>91</v>
      </c>
      <c r="J590" s="9" t="s">
        <v>383</v>
      </c>
      <c r="K590" s="8" t="str">
        <f>VLOOKUP(LEFT(H590,7),'קטלוג תרחישים'!$A:$M,12,FALSE())</f>
        <v>ב'</v>
      </c>
      <c r="L590" s="8" t="str">
        <f>IF(J590="כן",K590,VLOOKUP(LEFT(H590,7),'קטלוג תרחישים'!$A:$M,13,FALSE()))</f>
        <v>א'</v>
      </c>
      <c r="M590" s="13"/>
      <c r="N590" s="50" t="s">
        <v>366</v>
      </c>
      <c r="O590" s="13" t="str">
        <f t="array" ref="O590">_xlfn.IFS(N590="A","א'", N590="B", "ב'", N590= "C", "ג'")</f>
        <v>ג'</v>
      </c>
      <c r="P590" s="13">
        <f>IF(Table_2[[#This Row],[Correct_Answer]]=Table_2[[#This Row],[System_Recommendation]],1,0)</f>
        <v>0</v>
      </c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 spans="1:26" ht="15.75" hidden="1" customHeight="1">
      <c r="A591" s="8" t="s">
        <v>175</v>
      </c>
      <c r="B591" s="8">
        <v>29</v>
      </c>
      <c r="C591" s="9" t="s">
        <v>381</v>
      </c>
      <c r="D591" s="8">
        <v>3</v>
      </c>
      <c r="E591" s="9" t="s">
        <v>105</v>
      </c>
      <c r="F591" s="8" t="s">
        <v>384</v>
      </c>
      <c r="G591" s="8" t="s">
        <v>97</v>
      </c>
      <c r="H591" s="8" t="s">
        <v>146</v>
      </c>
      <c r="I591" s="8" t="s">
        <v>100</v>
      </c>
      <c r="J591" s="9" t="s">
        <v>380</v>
      </c>
      <c r="K591" s="8" t="str">
        <f>VLOOKUP(LEFT(H591,7),'קטלוג תרחישים'!$A:$M,12,FALSE())</f>
        <v>ג'</v>
      </c>
      <c r="L591" s="8" t="str">
        <f>IF(J591="כן",K591,VLOOKUP(LEFT(H591,7),'קטלוג תרחישים'!$A:$M,13,FALSE()))</f>
        <v>ג'</v>
      </c>
      <c r="M591" s="13"/>
      <c r="N591" s="51" t="s">
        <v>366</v>
      </c>
      <c r="O591" s="13" t="str">
        <f t="array" ref="O591">_xlfn.IFS(N591="A","א'", N591="B", "ב'", N591= "C", "ג'")</f>
        <v>ג'</v>
      </c>
      <c r="P591" s="13">
        <f>IF(Table_2[[#This Row],[Correct_Answer]]=Table_2[[#This Row],[System_Recommendation]],1,0)</f>
        <v>1</v>
      </c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 spans="1:26" ht="15.75" hidden="1" customHeight="1">
      <c r="A592" s="8" t="s">
        <v>175</v>
      </c>
      <c r="B592" s="8">
        <v>30</v>
      </c>
      <c r="C592" s="9" t="s">
        <v>381</v>
      </c>
      <c r="D592" s="8">
        <v>3</v>
      </c>
      <c r="E592" s="9" t="s">
        <v>105</v>
      </c>
      <c r="F592" s="8" t="s">
        <v>384</v>
      </c>
      <c r="G592" s="8" t="s">
        <v>97</v>
      </c>
      <c r="H592" s="8" t="s">
        <v>143</v>
      </c>
      <c r="I592" s="8" t="s">
        <v>91</v>
      </c>
      <c r="J592" s="9" t="s">
        <v>383</v>
      </c>
      <c r="K592" s="8" t="str">
        <f>VLOOKUP(LEFT(H592,7),'קטלוג תרחישים'!$A:$M,12,FALSE())</f>
        <v>א'</v>
      </c>
      <c r="L592" s="8" t="str">
        <f>IF(J592="כן",K592,VLOOKUP(LEFT(H592,7),'קטלוג תרחישים'!$A:$M,13,FALSE()))</f>
        <v>ב'</v>
      </c>
      <c r="M592" s="13"/>
      <c r="N592" s="50" t="s">
        <v>365</v>
      </c>
      <c r="O592" s="13" t="str">
        <f t="array" ref="O592">_xlfn.IFS(N592="A","א'", N592="B", "ב'", N592= "C", "ג'")</f>
        <v>ב'</v>
      </c>
      <c r="P592" s="13">
        <f>IF(Table_2[[#This Row],[Correct_Answer]]=Table_2[[#This Row],[System_Recommendation]],1,0)</f>
        <v>0</v>
      </c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 spans="1:26" ht="15.75" hidden="1" customHeight="1">
      <c r="A593" s="8" t="s">
        <v>175</v>
      </c>
      <c r="B593" s="8">
        <v>31</v>
      </c>
      <c r="C593" s="9" t="s">
        <v>381</v>
      </c>
      <c r="D593" s="8">
        <v>3</v>
      </c>
      <c r="E593" s="9" t="s">
        <v>105</v>
      </c>
      <c r="F593" s="8" t="s">
        <v>384</v>
      </c>
      <c r="G593" s="8" t="s">
        <v>97</v>
      </c>
      <c r="H593" s="8" t="s">
        <v>142</v>
      </c>
      <c r="I593" s="8" t="s">
        <v>100</v>
      </c>
      <c r="J593" s="9" t="s">
        <v>380</v>
      </c>
      <c r="K593" s="8" t="str">
        <f>VLOOKUP(LEFT(H593,7),'קטלוג תרחישים'!$A:$M,12,FALSE())</f>
        <v>ב'</v>
      </c>
      <c r="L593" s="8" t="str">
        <f>IF(J593="כן",K593,VLOOKUP(LEFT(H593,7),'קטלוג תרחישים'!$A:$M,13,FALSE()))</f>
        <v>ב'</v>
      </c>
      <c r="M593" s="13"/>
      <c r="N593" s="51" t="s">
        <v>366</v>
      </c>
      <c r="O593" s="13" t="str">
        <f t="array" ref="O593">_xlfn.IFS(N593="A","א'", N593="B", "ב'", N593= "C", "ג'")</f>
        <v>ג'</v>
      </c>
      <c r="P593" s="13">
        <f>IF(Table_2[[#This Row],[Correct_Answer]]=Table_2[[#This Row],[System_Recommendation]],1,0)</f>
        <v>1</v>
      </c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 spans="1:26" ht="15.75" hidden="1" customHeight="1">
      <c r="A594" s="8" t="s">
        <v>175</v>
      </c>
      <c r="B594" s="8">
        <v>32</v>
      </c>
      <c r="C594" s="9" t="s">
        <v>381</v>
      </c>
      <c r="D594" s="8">
        <v>3</v>
      </c>
      <c r="E594" s="9" t="s">
        <v>105</v>
      </c>
      <c r="F594" s="8" t="s">
        <v>384</v>
      </c>
      <c r="G594" s="8" t="s">
        <v>97</v>
      </c>
      <c r="H594" s="8" t="s">
        <v>145</v>
      </c>
      <c r="I594" s="8" t="s">
        <v>91</v>
      </c>
      <c r="J594" s="9" t="s">
        <v>380</v>
      </c>
      <c r="K594" s="8" t="str">
        <f>VLOOKUP(LEFT(H594,7),'קטלוג תרחישים'!$A:$M,12,FALSE())</f>
        <v>ב'</v>
      </c>
      <c r="L594" s="8" t="str">
        <f>IF(J594="כן",K594,VLOOKUP(LEFT(H594,7),'קטלוג תרחישים'!$A:$M,13,FALSE()))</f>
        <v>ב'</v>
      </c>
      <c r="M594" s="13"/>
      <c r="N594" s="50" t="s">
        <v>360</v>
      </c>
      <c r="O594" s="13" t="str">
        <f t="array" ref="O594">_xlfn.IFS(N594="A","א'", N594="B", "ב'", N594= "C", "ג'")</f>
        <v>א'</v>
      </c>
      <c r="P594" s="13">
        <f>IF(Table_2[[#This Row],[Correct_Answer]]=Table_2[[#This Row],[System_Recommendation]],1,0)</f>
        <v>1</v>
      </c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 spans="1:26" ht="15.75" hidden="1" customHeight="1">
      <c r="A595" s="8" t="s">
        <v>175</v>
      </c>
      <c r="B595" s="8">
        <v>33</v>
      </c>
      <c r="C595" s="9" t="s">
        <v>381</v>
      </c>
      <c r="D595" s="8">
        <v>3</v>
      </c>
      <c r="E595" s="9" t="s">
        <v>105</v>
      </c>
      <c r="F595" s="8" t="s">
        <v>384</v>
      </c>
      <c r="G595" s="8" t="s">
        <v>97</v>
      </c>
      <c r="H595" s="8" t="s">
        <v>144</v>
      </c>
      <c r="I595" s="8" t="s">
        <v>100</v>
      </c>
      <c r="J595" s="9" t="s">
        <v>380</v>
      </c>
      <c r="K595" s="8" t="str">
        <f>VLOOKUP(LEFT(H595,7),'קטלוג תרחישים'!$A:$M,12,FALSE())</f>
        <v>ג'</v>
      </c>
      <c r="L595" s="8" t="str">
        <f>IF(J595="כן",K595,VLOOKUP(LEFT(H595,7),'קטלוג תרחישים'!$A:$M,13,FALSE()))</f>
        <v>ג'</v>
      </c>
      <c r="M595" s="13"/>
      <c r="N595" s="51" t="s">
        <v>360</v>
      </c>
      <c r="O595" s="13" t="str">
        <f t="array" ref="O595">_xlfn.IFS(N595="A","א'", N595="B", "ב'", N595= "C", "ג'")</f>
        <v>א'</v>
      </c>
      <c r="P595" s="13">
        <f>IF(Table_2[[#This Row],[Correct_Answer]]=Table_2[[#This Row],[System_Recommendation]],1,0)</f>
        <v>1</v>
      </c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 spans="1:26" ht="15.75" hidden="1" customHeight="1">
      <c r="A596" s="8" t="s">
        <v>176</v>
      </c>
      <c r="B596" s="8">
        <v>1</v>
      </c>
      <c r="C596" s="9" t="s">
        <v>379</v>
      </c>
      <c r="D596" s="8"/>
      <c r="E596" s="9" t="s">
        <v>98</v>
      </c>
      <c r="F596" s="8"/>
      <c r="G596" s="8"/>
      <c r="H596" s="11" t="s">
        <v>90</v>
      </c>
      <c r="I596" s="8" t="s">
        <v>91</v>
      </c>
      <c r="J596" s="9" t="s">
        <v>380</v>
      </c>
      <c r="K596" s="8" t="str">
        <f>VLOOKUP(LEFT(H596,7),'קטלוג תרחישים'!$A:$M,12,FALSE())</f>
        <v>א'</v>
      </c>
      <c r="L596" s="8" t="str">
        <f>IF(J596="כן",K596,VLOOKUP(LEFT(H596,7),'קטלוג תרחישים'!$A:$M,13,FALSE()))</f>
        <v>א'</v>
      </c>
      <c r="M596" s="13"/>
      <c r="N596" s="50" t="s">
        <v>366</v>
      </c>
      <c r="O596" s="13" t="str">
        <f t="array" ref="O596">_xlfn.IFS(N596="A","א'", N596="B", "ב'", N596= "C", "ג'")</f>
        <v>ג'</v>
      </c>
      <c r="P596" s="13">
        <f>IF(Table_2[[#This Row],[Correct_Answer]]=Table_2[[#This Row],[System_Recommendation]],1,0)</f>
        <v>1</v>
      </c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 spans="1:26" ht="15.75" hidden="1" customHeight="1">
      <c r="A597" s="8" t="s">
        <v>176</v>
      </c>
      <c r="B597" s="8">
        <v>2</v>
      </c>
      <c r="C597" s="9" t="s">
        <v>379</v>
      </c>
      <c r="D597" s="8"/>
      <c r="E597" s="9" t="s">
        <v>98</v>
      </c>
      <c r="F597" s="8"/>
      <c r="G597" s="8"/>
      <c r="H597" s="11" t="s">
        <v>92</v>
      </c>
      <c r="I597" s="8" t="s">
        <v>91</v>
      </c>
      <c r="J597" s="9" t="s">
        <v>380</v>
      </c>
      <c r="K597" s="8" t="str">
        <f>VLOOKUP(LEFT(H597,7),'קטלוג תרחישים'!$A:$M,12,FALSE())</f>
        <v>א'</v>
      </c>
      <c r="L597" s="8" t="str">
        <f>IF(J597="כן",K597,VLOOKUP(LEFT(H597,7),'קטלוג תרחישים'!$A:$M,13,FALSE()))</f>
        <v>א'</v>
      </c>
      <c r="M597" s="13"/>
      <c r="N597" s="51" t="s">
        <v>366</v>
      </c>
      <c r="O597" s="13" t="str">
        <f t="array" ref="O597">_xlfn.IFS(N597="A","א'", N597="B", "ב'", N597= "C", "ג'")</f>
        <v>ג'</v>
      </c>
      <c r="P597" s="13">
        <f>IF(Table_2[[#This Row],[Correct_Answer]]=Table_2[[#This Row],[System_Recommendation]],1,0)</f>
        <v>1</v>
      </c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 spans="1:26" ht="15.75" hidden="1" customHeight="1">
      <c r="A598" s="8" t="s">
        <v>176</v>
      </c>
      <c r="B598" s="8">
        <v>3</v>
      </c>
      <c r="C598" s="9" t="s">
        <v>379</v>
      </c>
      <c r="D598" s="8"/>
      <c r="E598" s="9" t="s">
        <v>105</v>
      </c>
      <c r="F598" s="8"/>
      <c r="G598" s="8"/>
      <c r="H598" s="11" t="s">
        <v>93</v>
      </c>
      <c r="I598" s="8" t="s">
        <v>91</v>
      </c>
      <c r="J598" s="9" t="s">
        <v>380</v>
      </c>
      <c r="K598" s="8" t="str">
        <f>VLOOKUP(LEFT(H598,7),'קטלוג תרחישים'!$A:$M,12,FALSE())</f>
        <v>א'</v>
      </c>
      <c r="L598" s="8" t="str">
        <f>IF(J598="כן",K598,VLOOKUP(LEFT(H598,7),'קטלוג תרחישים'!$A:$M,13,FALSE()))</f>
        <v>א'</v>
      </c>
      <c r="M598" s="13"/>
      <c r="N598" s="50" t="s">
        <v>366</v>
      </c>
      <c r="O598" s="13" t="str">
        <f t="array" ref="O598">_xlfn.IFS(N598="A","א'", N598="B", "ב'", N598= "C", "ג'")</f>
        <v>ג'</v>
      </c>
      <c r="P598" s="13">
        <f>IF(Table_2[[#This Row],[Correct_Answer]]=Table_2[[#This Row],[System_Recommendation]],1,0)</f>
        <v>1</v>
      </c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 spans="1:26" ht="15.75" hidden="1" customHeight="1">
      <c r="A599" s="8" t="s">
        <v>176</v>
      </c>
      <c r="B599" s="8">
        <v>4</v>
      </c>
      <c r="C599" s="9" t="s">
        <v>379</v>
      </c>
      <c r="D599" s="8"/>
      <c r="E599" s="9" t="s">
        <v>105</v>
      </c>
      <c r="F599" s="8"/>
      <c r="G599" s="8"/>
      <c r="H599" s="11" t="s">
        <v>94</v>
      </c>
      <c r="I599" s="8" t="s">
        <v>91</v>
      </c>
      <c r="J599" s="9" t="s">
        <v>380</v>
      </c>
      <c r="K599" s="8" t="str">
        <f>VLOOKUP(LEFT(H599,7),'קטלוג תרחישים'!$A:$M,12,FALSE())</f>
        <v>א'</v>
      </c>
      <c r="L599" s="8" t="str">
        <f>IF(J599="כן",K599,VLOOKUP(LEFT(H599,7),'קטלוג תרחישים'!$A:$M,13,FALSE()))</f>
        <v>א'</v>
      </c>
      <c r="M599" s="13"/>
      <c r="N599" s="51" t="s">
        <v>365</v>
      </c>
      <c r="O599" s="13" t="str">
        <f t="array" ref="O599">_xlfn.IFS(N599="A","א'", N599="B", "ב'", N599= "C", "ג'")</f>
        <v>ב'</v>
      </c>
      <c r="P599" s="13">
        <f>IF(Table_2[[#This Row],[Correct_Answer]]=Table_2[[#This Row],[System_Recommendation]],1,0)</f>
        <v>1</v>
      </c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 spans="1:26" ht="15.75" hidden="1" customHeight="1">
      <c r="A600" s="8" t="s">
        <v>176</v>
      </c>
      <c r="B600" s="8">
        <v>5</v>
      </c>
      <c r="C600" s="9" t="s">
        <v>379</v>
      </c>
      <c r="D600" s="8"/>
      <c r="E600" s="9" t="s">
        <v>111</v>
      </c>
      <c r="F600" s="8"/>
      <c r="G600" s="8"/>
      <c r="H600" s="11" t="s">
        <v>95</v>
      </c>
      <c r="I600" s="8" t="s">
        <v>91</v>
      </c>
      <c r="J600" s="9" t="s">
        <v>380</v>
      </c>
      <c r="K600" s="8" t="str">
        <f>VLOOKUP(LEFT(H600,7),'קטלוג תרחישים'!$A:$M,12,FALSE())</f>
        <v>ב'</v>
      </c>
      <c r="L600" s="8" t="str">
        <f>IF(J600="כן",K600,VLOOKUP(LEFT(H600,7),'קטלוג תרחישים'!$A:$M,13,FALSE()))</f>
        <v>ב'</v>
      </c>
      <c r="M600" s="13"/>
      <c r="N600" s="50" t="s">
        <v>360</v>
      </c>
      <c r="O600" s="13" t="str">
        <f t="array" ref="O600">_xlfn.IFS(N600="A","א'", N600="B", "ב'", N600= "C", "ג'")</f>
        <v>א'</v>
      </c>
      <c r="P600" s="13">
        <f>IF(Table_2[[#This Row],[Correct_Answer]]=Table_2[[#This Row],[System_Recommendation]],1,0)</f>
        <v>1</v>
      </c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 spans="1:26" ht="15.75" customHeight="1">
      <c r="A601" s="8" t="s">
        <v>176</v>
      </c>
      <c r="B601" s="8">
        <v>6</v>
      </c>
      <c r="C601" s="9" t="s">
        <v>379</v>
      </c>
      <c r="D601" s="8"/>
      <c r="E601" s="9" t="s">
        <v>111</v>
      </c>
      <c r="F601" s="8"/>
      <c r="G601" s="8"/>
      <c r="H601" s="11" t="s">
        <v>96</v>
      </c>
      <c r="I601" s="8" t="s">
        <v>91</v>
      </c>
      <c r="J601" s="9" t="s">
        <v>380</v>
      </c>
      <c r="K601" s="8" t="str">
        <f>VLOOKUP(LEFT(H601,7),'קטלוג תרחישים'!$A:$M,12,FALSE())</f>
        <v>ב'</v>
      </c>
      <c r="L601" s="8" t="str">
        <f>IF(J601="כן",K601,VLOOKUP(LEFT(H601,7),'קטלוג תרחישים'!$A:$M,13,FALSE()))</f>
        <v>ב'</v>
      </c>
      <c r="M601" s="13"/>
      <c r="N601" s="51" t="s">
        <v>366</v>
      </c>
      <c r="O601" s="13" t="str">
        <f t="array" ref="O601">_xlfn.IFS(N601="A","א'", N601="B", "ב'", N601= "C", "ג'")</f>
        <v>ג'</v>
      </c>
      <c r="P601" s="13">
        <f>IF(Table_2[[#This Row],[Correct_Answer]]=Table_2[[#This Row],[System_Recommendation]],1,0)</f>
        <v>1</v>
      </c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 spans="1:26" ht="15.75" hidden="1" customHeight="1">
      <c r="A602" s="8" t="s">
        <v>176</v>
      </c>
      <c r="B602" s="8">
        <v>7</v>
      </c>
      <c r="C602" s="9" t="s">
        <v>381</v>
      </c>
      <c r="D602" s="8">
        <v>1</v>
      </c>
      <c r="E602" s="9" t="s">
        <v>98</v>
      </c>
      <c r="F602" s="8" t="s">
        <v>382</v>
      </c>
      <c r="G602" s="8" t="s">
        <v>97</v>
      </c>
      <c r="H602" s="8" t="s">
        <v>152</v>
      </c>
      <c r="I602" s="8" t="s">
        <v>91</v>
      </c>
      <c r="J602" s="9" t="s">
        <v>380</v>
      </c>
      <c r="K602" s="8" t="str">
        <f>VLOOKUP(LEFT(H602,7),'קטלוג תרחישים'!$A:$M,12,FALSE())</f>
        <v>ג'</v>
      </c>
      <c r="L602" s="8" t="str">
        <f>IF(J602="כן",K602,VLOOKUP(LEFT(H602,7),'קטלוג תרחישים'!$A:$M,13,FALSE()))</f>
        <v>ג'</v>
      </c>
      <c r="M602" s="13"/>
      <c r="N602" s="50" t="s">
        <v>366</v>
      </c>
      <c r="O602" s="13" t="str">
        <f t="array" ref="O602">_xlfn.IFS(N602="A","א'", N602="B", "ב'", N602= "C", "ג'")</f>
        <v>ג'</v>
      </c>
      <c r="P602" s="13">
        <f>IF(Table_2[[#This Row],[Correct_Answer]]=Table_2[[#This Row],[System_Recommendation]],1,0)</f>
        <v>1</v>
      </c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 spans="1:26" ht="15.75" hidden="1" customHeight="1">
      <c r="A603" s="8" t="s">
        <v>176</v>
      </c>
      <c r="B603" s="8">
        <v>8</v>
      </c>
      <c r="C603" s="9" t="s">
        <v>381</v>
      </c>
      <c r="D603" s="8">
        <v>1</v>
      </c>
      <c r="E603" s="9" t="s">
        <v>98</v>
      </c>
      <c r="F603" s="8" t="s">
        <v>382</v>
      </c>
      <c r="G603" s="8" t="s">
        <v>97</v>
      </c>
      <c r="H603" s="8" t="s">
        <v>155</v>
      </c>
      <c r="I603" s="8" t="s">
        <v>100</v>
      </c>
      <c r="J603" s="9" t="s">
        <v>380</v>
      </c>
      <c r="K603" s="8" t="str">
        <f>VLOOKUP(LEFT(H603,7),'קטלוג תרחישים'!$A:$M,12,FALSE())</f>
        <v>ג'</v>
      </c>
      <c r="L603" s="8" t="str">
        <f>IF(J603="כן",K603,VLOOKUP(LEFT(H603,7),'קטלוג תרחישים'!$A:$M,13,FALSE()))</f>
        <v>ג'</v>
      </c>
      <c r="M603" s="13"/>
      <c r="N603" s="51" t="s">
        <v>365</v>
      </c>
      <c r="O603" s="13" t="str">
        <f t="array" ref="O603">_xlfn.IFS(N603="A","א'", N603="B", "ב'", N603= "C", "ג'")</f>
        <v>ב'</v>
      </c>
      <c r="P603" s="13">
        <f>IF(Table_2[[#This Row],[Correct_Answer]]=Table_2[[#This Row],[System_Recommendation]],1,0)</f>
        <v>1</v>
      </c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 spans="1:26" ht="15.75" hidden="1" customHeight="1">
      <c r="A604" s="8" t="s">
        <v>176</v>
      </c>
      <c r="B604" s="8">
        <v>9</v>
      </c>
      <c r="C604" s="9" t="s">
        <v>381</v>
      </c>
      <c r="D604" s="8">
        <v>1</v>
      </c>
      <c r="E604" s="9" t="s">
        <v>98</v>
      </c>
      <c r="F604" s="8" t="s">
        <v>382</v>
      </c>
      <c r="G604" s="8" t="s">
        <v>97</v>
      </c>
      <c r="H604" s="8" t="s">
        <v>156</v>
      </c>
      <c r="I604" s="8" t="s">
        <v>91</v>
      </c>
      <c r="J604" s="9" t="s">
        <v>380</v>
      </c>
      <c r="K604" s="8" t="str">
        <f>VLOOKUP(LEFT(H604,7),'קטלוג תרחישים'!$A:$M,12,FALSE())</f>
        <v>ב'</v>
      </c>
      <c r="L604" s="8" t="str">
        <f>IF(J604="כן",K604,VLOOKUP(LEFT(H604,7),'קטלוג תרחישים'!$A:$M,13,FALSE()))</f>
        <v>ב'</v>
      </c>
      <c r="M604" s="13"/>
      <c r="N604" s="50" t="s">
        <v>365</v>
      </c>
      <c r="O604" s="13" t="str">
        <f t="array" ref="O604">_xlfn.IFS(N604="A","א'", N604="B", "ב'", N604= "C", "ג'")</f>
        <v>ב'</v>
      </c>
      <c r="P604" s="13">
        <f>IF(Table_2[[#This Row],[Correct_Answer]]=Table_2[[#This Row],[System_Recommendation]],1,0)</f>
        <v>1</v>
      </c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 spans="1:26" ht="15.75" hidden="1" customHeight="1">
      <c r="A605" s="8" t="s">
        <v>176</v>
      </c>
      <c r="B605" s="8">
        <v>10</v>
      </c>
      <c r="C605" s="9" t="s">
        <v>381</v>
      </c>
      <c r="D605" s="8">
        <v>1</v>
      </c>
      <c r="E605" s="9" t="s">
        <v>98</v>
      </c>
      <c r="F605" s="8" t="s">
        <v>382</v>
      </c>
      <c r="G605" s="8" t="s">
        <v>97</v>
      </c>
      <c r="H605" s="8" t="s">
        <v>153</v>
      </c>
      <c r="I605" s="8" t="s">
        <v>100</v>
      </c>
      <c r="J605" s="9" t="s">
        <v>383</v>
      </c>
      <c r="K605" s="8" t="str">
        <f>VLOOKUP(LEFT(H605,7),'קטלוג תרחישים'!$A:$M,12,FALSE())</f>
        <v>א'</v>
      </c>
      <c r="L605" s="8" t="str">
        <f>IF(J605="כן",K605,VLOOKUP(LEFT(H605,7),'קטלוג תרחישים'!$A:$M,13,FALSE()))</f>
        <v>ג'</v>
      </c>
      <c r="M605" s="13"/>
      <c r="N605" s="51" t="s">
        <v>365</v>
      </c>
      <c r="O605" s="13" t="str">
        <f t="array" ref="O605">_xlfn.IFS(N605="A","א'", N605="B", "ב'", N605= "C", "ג'")</f>
        <v>ב'</v>
      </c>
      <c r="P605" s="13">
        <f>IF(Table_2[[#This Row],[Correct_Answer]]=Table_2[[#This Row],[System_Recommendation]],1,0)</f>
        <v>0</v>
      </c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 spans="1:26" ht="15.75" hidden="1" customHeight="1">
      <c r="A606" s="8" t="s">
        <v>176</v>
      </c>
      <c r="B606" s="8">
        <v>11</v>
      </c>
      <c r="C606" s="9" t="s">
        <v>381</v>
      </c>
      <c r="D606" s="8">
        <v>1</v>
      </c>
      <c r="E606" s="9" t="s">
        <v>98</v>
      </c>
      <c r="F606" s="8" t="s">
        <v>382</v>
      </c>
      <c r="G606" s="8" t="s">
        <v>97</v>
      </c>
      <c r="H606" s="8" t="s">
        <v>154</v>
      </c>
      <c r="I606" s="8" t="s">
        <v>91</v>
      </c>
      <c r="J606" s="9" t="s">
        <v>380</v>
      </c>
      <c r="K606" s="8" t="str">
        <f>VLOOKUP(LEFT(H606,7),'קטלוג תרחישים'!$A:$M,12,FALSE())</f>
        <v>ג'</v>
      </c>
      <c r="L606" s="8" t="str">
        <f>IF(J606="כן",K606,VLOOKUP(LEFT(H606,7),'קטלוג תרחישים'!$A:$M,13,FALSE()))</f>
        <v>ג'</v>
      </c>
      <c r="M606" s="13"/>
      <c r="N606" s="50" t="s">
        <v>360</v>
      </c>
      <c r="O606" s="13" t="str">
        <f t="array" ref="O606">_xlfn.IFS(N606="A","א'", N606="B", "ב'", N606= "C", "ג'")</f>
        <v>א'</v>
      </c>
      <c r="P606" s="13">
        <f>IF(Table_2[[#This Row],[Correct_Answer]]=Table_2[[#This Row],[System_Recommendation]],1,0)</f>
        <v>1</v>
      </c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 spans="1:26" ht="15.75" hidden="1" customHeight="1">
      <c r="A607" s="8" t="s">
        <v>176</v>
      </c>
      <c r="B607" s="8">
        <v>12</v>
      </c>
      <c r="C607" s="9" t="s">
        <v>381</v>
      </c>
      <c r="D607" s="8">
        <v>2</v>
      </c>
      <c r="E607" s="9" t="s">
        <v>105</v>
      </c>
      <c r="F607" s="8" t="s">
        <v>382</v>
      </c>
      <c r="G607" s="8" t="s">
        <v>97</v>
      </c>
      <c r="H607" s="8" t="s">
        <v>146</v>
      </c>
      <c r="I607" s="8" t="s">
        <v>100</v>
      </c>
      <c r="J607" s="9" t="s">
        <v>380</v>
      </c>
      <c r="K607" s="8" t="str">
        <f>VLOOKUP(LEFT(H607,7),'קטלוג תרחישים'!$A:$M,12,FALSE())</f>
        <v>ג'</v>
      </c>
      <c r="L607" s="8" t="str">
        <f>IF(J607="כן",K607,VLOOKUP(LEFT(H607,7),'קטלוג תרחישים'!$A:$M,13,FALSE()))</f>
        <v>ג'</v>
      </c>
      <c r="M607" s="13"/>
      <c r="N607" s="51" t="s">
        <v>366</v>
      </c>
      <c r="O607" s="13" t="str">
        <f t="array" ref="O607">_xlfn.IFS(N607="A","א'", N607="B", "ב'", N607= "C", "ג'")</f>
        <v>ג'</v>
      </c>
      <c r="P607" s="13">
        <f>IF(Table_2[[#This Row],[Correct_Answer]]=Table_2[[#This Row],[System_Recommendation]],1,0)</f>
        <v>1</v>
      </c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 spans="1:26" ht="15.75" hidden="1" customHeight="1">
      <c r="A608" s="8" t="s">
        <v>176</v>
      </c>
      <c r="B608" s="8">
        <v>13</v>
      </c>
      <c r="C608" s="9" t="s">
        <v>381</v>
      </c>
      <c r="D608" s="8">
        <v>2</v>
      </c>
      <c r="E608" s="9" t="s">
        <v>105</v>
      </c>
      <c r="F608" s="8" t="s">
        <v>382</v>
      </c>
      <c r="G608" s="8" t="s">
        <v>97</v>
      </c>
      <c r="H608" s="8" t="s">
        <v>145</v>
      </c>
      <c r="I608" s="8" t="s">
        <v>91</v>
      </c>
      <c r="J608" s="9" t="s">
        <v>380</v>
      </c>
      <c r="K608" s="8" t="str">
        <f>VLOOKUP(LEFT(H608,7),'קטלוג תרחישים'!$A:$M,12,FALSE())</f>
        <v>ב'</v>
      </c>
      <c r="L608" s="8" t="str">
        <f>IF(J608="כן",K608,VLOOKUP(LEFT(H608,7),'קטלוג תרחישים'!$A:$M,13,FALSE()))</f>
        <v>ב'</v>
      </c>
      <c r="M608" s="13"/>
      <c r="N608" s="50" t="s">
        <v>365</v>
      </c>
      <c r="O608" s="13" t="str">
        <f t="array" ref="O608">_xlfn.IFS(N608="A","א'", N608="B", "ב'", N608= "C", "ג'")</f>
        <v>ב'</v>
      </c>
      <c r="P608" s="13">
        <f>IF(Table_2[[#This Row],[Correct_Answer]]=Table_2[[#This Row],[System_Recommendation]],1,0)</f>
        <v>1</v>
      </c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 spans="1:26" ht="15.75" hidden="1" customHeight="1">
      <c r="A609" s="8" t="s">
        <v>176</v>
      </c>
      <c r="B609" s="8">
        <v>14</v>
      </c>
      <c r="C609" s="9" t="s">
        <v>381</v>
      </c>
      <c r="D609" s="8">
        <v>2</v>
      </c>
      <c r="E609" s="9" t="s">
        <v>105</v>
      </c>
      <c r="F609" s="8" t="s">
        <v>382</v>
      </c>
      <c r="G609" s="8" t="s">
        <v>97</v>
      </c>
      <c r="H609" s="8" t="s">
        <v>142</v>
      </c>
      <c r="I609" s="8" t="s">
        <v>100</v>
      </c>
      <c r="J609" s="9" t="s">
        <v>383</v>
      </c>
      <c r="K609" s="8" t="str">
        <f>VLOOKUP(LEFT(H609,7),'קטלוג תרחישים'!$A:$M,12,FALSE())</f>
        <v>ב'</v>
      </c>
      <c r="L609" s="8" t="str">
        <f>IF(J609="כן",K609,VLOOKUP(LEFT(H609,7),'קטלוג תרחישים'!$A:$M,13,FALSE()))</f>
        <v>ג'</v>
      </c>
      <c r="M609" s="13"/>
      <c r="N609" s="51" t="s">
        <v>366</v>
      </c>
      <c r="O609" s="13" t="str">
        <f t="array" ref="O609">_xlfn.IFS(N609="A","א'", N609="B", "ב'", N609= "C", "ג'")</f>
        <v>ג'</v>
      </c>
      <c r="P609" s="13">
        <f>IF(Table_2[[#This Row],[Correct_Answer]]=Table_2[[#This Row],[System_Recommendation]],1,0)</f>
        <v>0</v>
      </c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 spans="1:26" ht="15.75" hidden="1" customHeight="1">
      <c r="A610" s="8" t="s">
        <v>176</v>
      </c>
      <c r="B610" s="8">
        <v>15</v>
      </c>
      <c r="C610" s="9" t="s">
        <v>381</v>
      </c>
      <c r="D610" s="8">
        <v>2</v>
      </c>
      <c r="E610" s="9" t="s">
        <v>105</v>
      </c>
      <c r="F610" s="8" t="s">
        <v>382</v>
      </c>
      <c r="G610" s="8" t="s">
        <v>97</v>
      </c>
      <c r="H610" s="8" t="s">
        <v>143</v>
      </c>
      <c r="I610" s="8" t="s">
        <v>91</v>
      </c>
      <c r="J610" s="9" t="s">
        <v>380</v>
      </c>
      <c r="K610" s="8" t="str">
        <f>VLOOKUP(LEFT(H610,7),'קטלוג תרחישים'!$A:$M,12,FALSE())</f>
        <v>א'</v>
      </c>
      <c r="L610" s="8" t="str">
        <f>IF(J610="כן",K610,VLOOKUP(LEFT(H610,7),'קטלוג תרחישים'!$A:$M,13,FALSE()))</f>
        <v>א'</v>
      </c>
      <c r="M610" s="13"/>
      <c r="N610" s="50" t="s">
        <v>360</v>
      </c>
      <c r="O610" s="13" t="str">
        <f t="array" ref="O610">_xlfn.IFS(N610="A","א'", N610="B", "ב'", N610= "C", "ג'")</f>
        <v>א'</v>
      </c>
      <c r="P610" s="13">
        <f>IF(Table_2[[#This Row],[Correct_Answer]]=Table_2[[#This Row],[System_Recommendation]],1,0)</f>
        <v>1</v>
      </c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 spans="1:26" ht="15.75" hidden="1" customHeight="1">
      <c r="A611" s="8" t="s">
        <v>176</v>
      </c>
      <c r="B611" s="8">
        <v>16</v>
      </c>
      <c r="C611" s="9" t="s">
        <v>381</v>
      </c>
      <c r="D611" s="8">
        <v>2</v>
      </c>
      <c r="E611" s="9" t="s">
        <v>105</v>
      </c>
      <c r="F611" s="8" t="s">
        <v>382</v>
      </c>
      <c r="G611" s="8" t="s">
        <v>97</v>
      </c>
      <c r="H611" s="8" t="s">
        <v>144</v>
      </c>
      <c r="I611" s="8" t="s">
        <v>100</v>
      </c>
      <c r="J611" s="9" t="s">
        <v>380</v>
      </c>
      <c r="K611" s="8" t="str">
        <f>VLOOKUP(LEFT(H611,7),'קטלוג תרחישים'!$A:$M,12,FALSE())</f>
        <v>ג'</v>
      </c>
      <c r="L611" s="8" t="str">
        <f>IF(J611="כן",K611,VLOOKUP(LEFT(H611,7),'קטלוג תרחישים'!$A:$M,13,FALSE()))</f>
        <v>ג'</v>
      </c>
      <c r="M611" s="13"/>
      <c r="N611" s="51" t="s">
        <v>366</v>
      </c>
      <c r="O611" s="13" t="str">
        <f t="array" ref="O611">_xlfn.IFS(N611="A","א'", N611="B", "ב'", N611= "C", "ג'")</f>
        <v>ג'</v>
      </c>
      <c r="P611" s="13">
        <f>IF(Table_2[[#This Row],[Correct_Answer]]=Table_2[[#This Row],[System_Recommendation]],1,0)</f>
        <v>1</v>
      </c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 spans="1:26" ht="15.75" hidden="1" customHeight="1">
      <c r="A612" s="8" t="s">
        <v>176</v>
      </c>
      <c r="B612" s="8">
        <v>17</v>
      </c>
      <c r="C612" s="9" t="s">
        <v>381</v>
      </c>
      <c r="D612" s="8">
        <v>3</v>
      </c>
      <c r="E612" s="9" t="s">
        <v>111</v>
      </c>
      <c r="F612" s="8" t="s">
        <v>382</v>
      </c>
      <c r="G612" s="8" t="s">
        <v>97</v>
      </c>
      <c r="H612" s="8" t="s">
        <v>147</v>
      </c>
      <c r="I612" s="8" t="s">
        <v>91</v>
      </c>
      <c r="J612" s="9" t="s">
        <v>380</v>
      </c>
      <c r="K612" s="8" t="str">
        <f>VLOOKUP(LEFT(H612,7),'קטלוג תרחישים'!$A:$M,12,FALSE())</f>
        <v>ג'</v>
      </c>
      <c r="L612" s="8" t="str">
        <f>IF(J612="כן",K612,VLOOKUP(LEFT(H612,7),'קטלוג תרחישים'!$A:$M,13,FALSE()))</f>
        <v>ג'</v>
      </c>
      <c r="M612" s="13"/>
      <c r="N612" s="50" t="s">
        <v>360</v>
      </c>
      <c r="O612" s="13" t="str">
        <f t="array" ref="O612">_xlfn.IFS(N612="A","א'", N612="B", "ב'", N612= "C", "ג'")</f>
        <v>א'</v>
      </c>
      <c r="P612" s="13">
        <f>IF(Table_2[[#This Row],[Correct_Answer]]=Table_2[[#This Row],[System_Recommendation]],1,0)</f>
        <v>1</v>
      </c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 spans="1:26" ht="15.75" hidden="1" customHeight="1">
      <c r="A613" s="8" t="s">
        <v>176</v>
      </c>
      <c r="B613" s="8">
        <v>18</v>
      </c>
      <c r="C613" s="9" t="s">
        <v>381</v>
      </c>
      <c r="D613" s="8">
        <v>3</v>
      </c>
      <c r="E613" s="9" t="s">
        <v>111</v>
      </c>
      <c r="F613" s="8" t="s">
        <v>382</v>
      </c>
      <c r="G613" s="8" t="s">
        <v>97</v>
      </c>
      <c r="H613" s="8" t="s">
        <v>150</v>
      </c>
      <c r="I613" s="8" t="s">
        <v>100</v>
      </c>
      <c r="J613" s="9" t="s">
        <v>380</v>
      </c>
      <c r="K613" s="8" t="str">
        <f>VLOOKUP(LEFT(H613,7),'קטלוג תרחישים'!$A:$M,12,FALSE())</f>
        <v>ב'</v>
      </c>
      <c r="L613" s="8" t="str">
        <f>IF(J613="כן",K613,VLOOKUP(LEFT(H613,7),'קטלוג תרחישים'!$A:$M,13,FALSE()))</f>
        <v>ב'</v>
      </c>
      <c r="M613" s="13"/>
      <c r="N613" s="51" t="s">
        <v>360</v>
      </c>
      <c r="O613" s="13" t="str">
        <f t="array" ref="O613">_xlfn.IFS(N613="A","א'", N613="B", "ב'", N613= "C", "ג'")</f>
        <v>א'</v>
      </c>
      <c r="P613" s="13">
        <f>IF(Table_2[[#This Row],[Correct_Answer]]=Table_2[[#This Row],[System_Recommendation]],1,0)</f>
        <v>1</v>
      </c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 spans="1:26" ht="15.75" hidden="1" customHeight="1">
      <c r="A614" s="8" t="s">
        <v>176</v>
      </c>
      <c r="B614" s="8">
        <v>19</v>
      </c>
      <c r="C614" s="9" t="s">
        <v>381</v>
      </c>
      <c r="D614" s="8">
        <v>3</v>
      </c>
      <c r="E614" s="9" t="s">
        <v>111</v>
      </c>
      <c r="F614" s="8" t="s">
        <v>382</v>
      </c>
      <c r="G614" s="8" t="s">
        <v>97</v>
      </c>
      <c r="H614" s="8" t="s">
        <v>151</v>
      </c>
      <c r="I614" s="8" t="s">
        <v>91</v>
      </c>
      <c r="J614" s="9" t="s">
        <v>380</v>
      </c>
      <c r="K614" s="8" t="str">
        <f>VLOOKUP(LEFT(H614,7),'קטלוג תרחישים'!$A:$M,12,FALSE())</f>
        <v>א'</v>
      </c>
      <c r="L614" s="8" t="str">
        <f>IF(J614="כן",K614,VLOOKUP(LEFT(H614,7),'קטלוג תרחישים'!$A:$M,13,FALSE()))</f>
        <v>א'</v>
      </c>
      <c r="M614" s="13"/>
      <c r="N614" s="50" t="s">
        <v>360</v>
      </c>
      <c r="O614" s="13" t="str">
        <f t="array" ref="O614">_xlfn.IFS(N614="A","א'", N614="B", "ב'", N614= "C", "ג'")</f>
        <v>א'</v>
      </c>
      <c r="P614" s="13">
        <f>IF(Table_2[[#This Row],[Correct_Answer]]=Table_2[[#This Row],[System_Recommendation]],1,0)</f>
        <v>1</v>
      </c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 spans="1:26" ht="15.75" hidden="1" customHeight="1">
      <c r="A615" s="8" t="s">
        <v>176</v>
      </c>
      <c r="B615" s="8">
        <v>20</v>
      </c>
      <c r="C615" s="9" t="s">
        <v>381</v>
      </c>
      <c r="D615" s="8">
        <v>3</v>
      </c>
      <c r="E615" s="9" t="s">
        <v>111</v>
      </c>
      <c r="F615" s="8" t="s">
        <v>382</v>
      </c>
      <c r="G615" s="8" t="s">
        <v>97</v>
      </c>
      <c r="H615" s="8" t="s">
        <v>148</v>
      </c>
      <c r="I615" s="8" t="s">
        <v>100</v>
      </c>
      <c r="J615" s="9" t="s">
        <v>380</v>
      </c>
      <c r="K615" s="8" t="str">
        <f>VLOOKUP(LEFT(H615,7),'קטלוג תרחישים'!$A:$M,12,FALSE())</f>
        <v>ב'</v>
      </c>
      <c r="L615" s="8" t="str">
        <f>IF(J615="כן",K615,VLOOKUP(LEFT(H615,7),'קטלוג תרחישים'!$A:$M,13,FALSE()))</f>
        <v>ב'</v>
      </c>
      <c r="M615" s="13"/>
      <c r="N615" s="51" t="s">
        <v>365</v>
      </c>
      <c r="O615" s="13" t="str">
        <f t="array" ref="O615">_xlfn.IFS(N615="A","א'", N615="B", "ב'", N615= "C", "ג'")</f>
        <v>ב'</v>
      </c>
      <c r="P615" s="13">
        <f>IF(Table_2[[#This Row],[Correct_Answer]]=Table_2[[#This Row],[System_Recommendation]],1,0)</f>
        <v>1</v>
      </c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 spans="1:26" ht="15.75" hidden="1" customHeight="1">
      <c r="A616" s="8" t="s">
        <v>176</v>
      </c>
      <c r="B616" s="8">
        <v>21</v>
      </c>
      <c r="C616" s="9" t="s">
        <v>381</v>
      </c>
      <c r="D616" s="8">
        <v>3</v>
      </c>
      <c r="E616" s="9" t="s">
        <v>111</v>
      </c>
      <c r="F616" s="8" t="s">
        <v>382</v>
      </c>
      <c r="G616" s="8" t="s">
        <v>97</v>
      </c>
      <c r="H616" s="8" t="s">
        <v>149</v>
      </c>
      <c r="I616" s="8" t="s">
        <v>91</v>
      </c>
      <c r="J616" s="9" t="s">
        <v>383</v>
      </c>
      <c r="K616" s="8" t="str">
        <f>VLOOKUP(LEFT(H616,7),'קטלוג תרחישים'!$A:$M,12,FALSE())</f>
        <v>ג'</v>
      </c>
      <c r="L616" s="8" t="str">
        <f>IF(J616="כן",K616,VLOOKUP(LEFT(H616,7),'קטלוג תרחישים'!$A:$M,13,FALSE()))</f>
        <v>א'</v>
      </c>
      <c r="M616" s="13"/>
      <c r="N616" s="50" t="s">
        <v>365</v>
      </c>
      <c r="O616" s="13" t="str">
        <f t="array" ref="O616">_xlfn.IFS(N616="A","א'", N616="B", "ב'", N616= "C", "ג'")</f>
        <v>ב'</v>
      </c>
      <c r="P616" s="13">
        <f>IF(Table_2[[#This Row],[Correct_Answer]]=Table_2[[#This Row],[System_Recommendation]],1,0)</f>
        <v>0</v>
      </c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 spans="1:26" ht="15.75" hidden="1" customHeight="1">
      <c r="A617" s="8" t="s">
        <v>176</v>
      </c>
      <c r="B617" s="8">
        <v>22</v>
      </c>
      <c r="C617" s="9" t="s">
        <v>381</v>
      </c>
      <c r="D617" s="8">
        <v>1</v>
      </c>
      <c r="E617" s="9" t="s">
        <v>105</v>
      </c>
      <c r="F617" s="8" t="s">
        <v>384</v>
      </c>
      <c r="G617" s="8" t="s">
        <v>117</v>
      </c>
      <c r="H617" s="8" t="s">
        <v>167</v>
      </c>
      <c r="I617" s="8" t="s">
        <v>91</v>
      </c>
      <c r="J617" s="9" t="s">
        <v>383</v>
      </c>
      <c r="K617" s="8" t="str">
        <f>VLOOKUP(LEFT(H617,7),'קטלוג תרחישים'!$A:$M,12,FALSE())</f>
        <v>ב'</v>
      </c>
      <c r="L617" s="8" t="str">
        <f>IF(J617="כן",K617,VLOOKUP(LEFT(H617,7),'קטלוג תרחישים'!$A:$M,13,FALSE()))</f>
        <v>ג'</v>
      </c>
      <c r="M617" s="13"/>
      <c r="N617" s="51" t="s">
        <v>366</v>
      </c>
      <c r="O617" s="13" t="str">
        <f t="array" ref="O617">_xlfn.IFS(N617="A","א'", N617="B", "ב'", N617= "C", "ג'")</f>
        <v>ג'</v>
      </c>
      <c r="P617" s="13">
        <f>IF(Table_2[[#This Row],[Correct_Answer]]=Table_2[[#This Row],[System_Recommendation]],1,0)</f>
        <v>0</v>
      </c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 spans="1:26" ht="15.75" hidden="1" customHeight="1">
      <c r="A618" s="8" t="s">
        <v>176</v>
      </c>
      <c r="B618" s="8">
        <v>23</v>
      </c>
      <c r="C618" s="9" t="s">
        <v>381</v>
      </c>
      <c r="D618" s="8">
        <v>1</v>
      </c>
      <c r="E618" s="9" t="s">
        <v>105</v>
      </c>
      <c r="F618" s="8" t="s">
        <v>384</v>
      </c>
      <c r="G618" s="8" t="s">
        <v>117</v>
      </c>
      <c r="H618" s="8" t="s">
        <v>168</v>
      </c>
      <c r="I618" s="8" t="s">
        <v>100</v>
      </c>
      <c r="J618" s="9" t="s">
        <v>383</v>
      </c>
      <c r="K618" s="8" t="str">
        <f>VLOOKUP(LEFT(H618,7),'קטלוג תרחישים'!$A:$M,12,FALSE())</f>
        <v>א'</v>
      </c>
      <c r="L618" s="8" t="str">
        <f>IF(J618="כן",K618,VLOOKUP(LEFT(H618,7),'קטלוג תרחישים'!$A:$M,13,FALSE()))</f>
        <v>ב'</v>
      </c>
      <c r="M618" s="13"/>
      <c r="N618" s="50" t="s">
        <v>366</v>
      </c>
      <c r="O618" s="13" t="str">
        <f t="array" ref="O618">_xlfn.IFS(N618="A","א'", N618="B", "ב'", N618= "C", "ג'")</f>
        <v>ג'</v>
      </c>
      <c r="P618" s="13">
        <f>IF(Table_2[[#This Row],[Correct_Answer]]=Table_2[[#This Row],[System_Recommendation]],1,0)</f>
        <v>0</v>
      </c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 spans="1:26" ht="15.75" hidden="1" customHeight="1">
      <c r="A619" s="8" t="s">
        <v>176</v>
      </c>
      <c r="B619" s="8">
        <v>24</v>
      </c>
      <c r="C619" s="9" t="s">
        <v>381</v>
      </c>
      <c r="D619" s="8">
        <v>1</v>
      </c>
      <c r="E619" s="9" t="s">
        <v>105</v>
      </c>
      <c r="F619" s="8" t="s">
        <v>384</v>
      </c>
      <c r="G619" s="8" t="s">
        <v>117</v>
      </c>
      <c r="H619" s="8" t="s">
        <v>165</v>
      </c>
      <c r="I619" s="8" t="s">
        <v>91</v>
      </c>
      <c r="J619" s="9" t="s">
        <v>380</v>
      </c>
      <c r="K619" s="8" t="str">
        <f>VLOOKUP(LEFT(H619,7),'קטלוג תרחישים'!$A:$M,12,FALSE())</f>
        <v>ג'</v>
      </c>
      <c r="L619" s="8" t="str">
        <f>IF(J619="כן",K619,VLOOKUP(LEFT(H619,7),'קטלוג תרחישים'!$A:$M,13,FALSE()))</f>
        <v>ג'</v>
      </c>
      <c r="M619" s="13"/>
      <c r="N619" s="51" t="s">
        <v>365</v>
      </c>
      <c r="O619" s="13" t="str">
        <f t="array" ref="O619">_xlfn.IFS(N619="A","א'", N619="B", "ב'", N619= "C", "ג'")</f>
        <v>ב'</v>
      </c>
      <c r="P619" s="13">
        <f>IF(Table_2[[#This Row],[Correct_Answer]]=Table_2[[#This Row],[System_Recommendation]],1,0)</f>
        <v>1</v>
      </c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 spans="1:26" ht="15.75" hidden="1" customHeight="1">
      <c r="A620" s="8" t="s">
        <v>176</v>
      </c>
      <c r="B620" s="8">
        <v>25</v>
      </c>
      <c r="C620" s="9" t="s">
        <v>381</v>
      </c>
      <c r="D620" s="8">
        <v>1</v>
      </c>
      <c r="E620" s="9" t="s">
        <v>105</v>
      </c>
      <c r="F620" s="8" t="s">
        <v>384</v>
      </c>
      <c r="G620" s="8" t="s">
        <v>117</v>
      </c>
      <c r="H620" s="8" t="s">
        <v>166</v>
      </c>
      <c r="I620" s="8" t="s">
        <v>100</v>
      </c>
      <c r="J620" s="9" t="s">
        <v>380</v>
      </c>
      <c r="K620" s="8" t="str">
        <f>VLOOKUP(LEFT(H620,7),'קטלוג תרחישים'!$A:$M,12,FALSE())</f>
        <v>א'</v>
      </c>
      <c r="L620" s="8" t="str">
        <f>IF(J620="כן",K620,VLOOKUP(LEFT(H620,7),'קטלוג תרחישים'!$A:$M,13,FALSE()))</f>
        <v>א'</v>
      </c>
      <c r="M620" s="13"/>
      <c r="N620" s="50" t="s">
        <v>360</v>
      </c>
      <c r="O620" s="13" t="str">
        <f t="array" ref="O620">_xlfn.IFS(N620="A","א'", N620="B", "ב'", N620= "C", "ג'")</f>
        <v>א'</v>
      </c>
      <c r="P620" s="13">
        <f>IF(Table_2[[#This Row],[Correct_Answer]]=Table_2[[#This Row],[System_Recommendation]],1,0)</f>
        <v>1</v>
      </c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 spans="1:26" ht="15.75" hidden="1" customHeight="1">
      <c r="A621" s="8" t="s">
        <v>176</v>
      </c>
      <c r="B621" s="8">
        <v>26</v>
      </c>
      <c r="C621" s="9" t="s">
        <v>381</v>
      </c>
      <c r="D621" s="8">
        <v>2</v>
      </c>
      <c r="E621" s="9" t="s">
        <v>111</v>
      </c>
      <c r="F621" s="8" t="s">
        <v>384</v>
      </c>
      <c r="G621" s="8" t="s">
        <v>117</v>
      </c>
      <c r="H621" s="8" t="s">
        <v>157</v>
      </c>
      <c r="I621" s="8" t="s">
        <v>91</v>
      </c>
      <c r="J621" s="9" t="s">
        <v>380</v>
      </c>
      <c r="K621" s="8" t="str">
        <f>VLOOKUP(LEFT(H621,7),'קטלוג תרחישים'!$A:$M,12,FALSE())</f>
        <v>ג'</v>
      </c>
      <c r="L621" s="8" t="str">
        <f>IF(J621="כן",K621,VLOOKUP(LEFT(H621,7),'קטלוג תרחישים'!$A:$M,13,FALSE()))</f>
        <v>ג'</v>
      </c>
      <c r="M621" s="13"/>
      <c r="N621" s="51" t="s">
        <v>366</v>
      </c>
      <c r="O621" s="13" t="str">
        <f t="array" ref="O621">_xlfn.IFS(N621="A","א'", N621="B", "ב'", N621= "C", "ג'")</f>
        <v>ג'</v>
      </c>
      <c r="P621" s="13">
        <f>IF(Table_2[[#This Row],[Correct_Answer]]=Table_2[[#This Row],[System_Recommendation]],1,0)</f>
        <v>1</v>
      </c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 spans="1:26" ht="15.75" hidden="1" customHeight="1">
      <c r="A622" s="8" t="s">
        <v>176</v>
      </c>
      <c r="B622" s="8">
        <v>27</v>
      </c>
      <c r="C622" s="9" t="s">
        <v>381</v>
      </c>
      <c r="D622" s="8">
        <v>2</v>
      </c>
      <c r="E622" s="9" t="s">
        <v>111</v>
      </c>
      <c r="F622" s="8" t="s">
        <v>384</v>
      </c>
      <c r="G622" s="8" t="s">
        <v>117</v>
      </c>
      <c r="H622" s="8" t="s">
        <v>158</v>
      </c>
      <c r="I622" s="8" t="s">
        <v>100</v>
      </c>
      <c r="J622" s="9" t="s">
        <v>383</v>
      </c>
      <c r="K622" s="8" t="str">
        <f>VLOOKUP(LEFT(H622,7),'קטלוג תרחישים'!$A:$M,12,FALSE())</f>
        <v>ג'</v>
      </c>
      <c r="L622" s="8" t="str">
        <f>IF(J622="כן",K622,VLOOKUP(LEFT(H622,7),'קטלוג תרחישים'!$A:$M,13,FALSE()))</f>
        <v>ב'</v>
      </c>
      <c r="M622" s="13"/>
      <c r="N622" s="50" t="s">
        <v>365</v>
      </c>
      <c r="O622" s="13" t="str">
        <f t="array" ref="O622">_xlfn.IFS(N622="A","א'", N622="B", "ב'", N622= "C", "ג'")</f>
        <v>ב'</v>
      </c>
      <c r="P622" s="13">
        <f>IF(Table_2[[#This Row],[Correct_Answer]]=Table_2[[#This Row],[System_Recommendation]],1,0)</f>
        <v>0</v>
      </c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 spans="1:26" ht="15.75" hidden="1" customHeight="1">
      <c r="A623" s="8" t="s">
        <v>176</v>
      </c>
      <c r="B623" s="8">
        <v>28</v>
      </c>
      <c r="C623" s="9" t="s">
        <v>381</v>
      </c>
      <c r="D623" s="8">
        <v>2</v>
      </c>
      <c r="E623" s="9" t="s">
        <v>111</v>
      </c>
      <c r="F623" s="8" t="s">
        <v>384</v>
      </c>
      <c r="G623" s="8" t="s">
        <v>117</v>
      </c>
      <c r="H623" s="8" t="s">
        <v>159</v>
      </c>
      <c r="I623" s="8" t="s">
        <v>91</v>
      </c>
      <c r="J623" s="9" t="s">
        <v>383</v>
      </c>
      <c r="K623" s="8" t="str">
        <f>VLOOKUP(LEFT(H623,7),'קטלוג תרחישים'!$A:$M,12,FALSE())</f>
        <v>ג'</v>
      </c>
      <c r="L623" s="8" t="str">
        <f>IF(J623="כן",K623,VLOOKUP(LEFT(H623,7),'קטלוג תרחישים'!$A:$M,13,FALSE()))</f>
        <v>ב'</v>
      </c>
      <c r="M623" s="13"/>
      <c r="N623" s="51" t="s">
        <v>366</v>
      </c>
      <c r="O623" s="13" t="str">
        <f t="array" ref="O623">_xlfn.IFS(N623="A","א'", N623="B", "ב'", N623= "C", "ג'")</f>
        <v>ג'</v>
      </c>
      <c r="P623" s="13">
        <f>IF(Table_2[[#This Row],[Correct_Answer]]=Table_2[[#This Row],[System_Recommendation]],1,0)</f>
        <v>0</v>
      </c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 spans="1:26" ht="15.75" hidden="1" customHeight="1">
      <c r="A624" s="8" t="s">
        <v>176</v>
      </c>
      <c r="B624" s="8">
        <v>29</v>
      </c>
      <c r="C624" s="9" t="s">
        <v>381</v>
      </c>
      <c r="D624" s="8">
        <v>2</v>
      </c>
      <c r="E624" s="9" t="s">
        <v>111</v>
      </c>
      <c r="F624" s="8" t="s">
        <v>384</v>
      </c>
      <c r="G624" s="8" t="s">
        <v>117</v>
      </c>
      <c r="H624" s="8" t="s">
        <v>160</v>
      </c>
      <c r="I624" s="8" t="s">
        <v>100</v>
      </c>
      <c r="J624" s="9" t="s">
        <v>380</v>
      </c>
      <c r="K624" s="8" t="str">
        <f>VLOOKUP(LEFT(H624,7),'קטלוג תרחישים'!$A:$M,12,FALSE())</f>
        <v>א'</v>
      </c>
      <c r="L624" s="8" t="str">
        <f>IF(J624="כן",K624,VLOOKUP(LEFT(H624,7),'קטלוג תרחישים'!$A:$M,13,FALSE()))</f>
        <v>א'</v>
      </c>
      <c r="M624" s="13"/>
      <c r="N624" s="50" t="s">
        <v>366</v>
      </c>
      <c r="O624" s="13" t="str">
        <f t="array" ref="O624">_xlfn.IFS(N624="A","א'", N624="B", "ב'", N624= "C", "ג'")</f>
        <v>ג'</v>
      </c>
      <c r="P624" s="13">
        <f>IF(Table_2[[#This Row],[Correct_Answer]]=Table_2[[#This Row],[System_Recommendation]],1,0)</f>
        <v>1</v>
      </c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 spans="1:26" ht="15.75" hidden="1" customHeight="1">
      <c r="A625" s="8" t="s">
        <v>176</v>
      </c>
      <c r="B625" s="8">
        <v>30</v>
      </c>
      <c r="C625" s="9" t="s">
        <v>381</v>
      </c>
      <c r="D625" s="8">
        <v>3</v>
      </c>
      <c r="E625" s="9" t="s">
        <v>98</v>
      </c>
      <c r="F625" s="8" t="s">
        <v>384</v>
      </c>
      <c r="G625" s="8" t="s">
        <v>117</v>
      </c>
      <c r="H625" s="8" t="s">
        <v>161</v>
      </c>
      <c r="I625" s="8" t="s">
        <v>91</v>
      </c>
      <c r="J625" s="9" t="s">
        <v>383</v>
      </c>
      <c r="K625" s="8" t="str">
        <f>VLOOKUP(LEFT(H625,7),'קטלוג תרחישים'!$A:$M,12,FALSE())</f>
        <v>ב'</v>
      </c>
      <c r="L625" s="8" t="str">
        <f>IF(J625="כן",K625,VLOOKUP(LEFT(H625,7),'קטלוג תרחישים'!$A:$M,13,FALSE()))</f>
        <v>א'</v>
      </c>
      <c r="M625" s="13"/>
      <c r="N625" s="51" t="s">
        <v>365</v>
      </c>
      <c r="O625" s="13" t="str">
        <f t="array" ref="O625">_xlfn.IFS(N625="A","א'", N625="B", "ב'", N625= "C", "ג'")</f>
        <v>ב'</v>
      </c>
      <c r="P625" s="13">
        <f>IF(Table_2[[#This Row],[Correct_Answer]]=Table_2[[#This Row],[System_Recommendation]],1,0)</f>
        <v>0</v>
      </c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 spans="1:26" ht="15.75" hidden="1" customHeight="1">
      <c r="A626" s="8" t="s">
        <v>176</v>
      </c>
      <c r="B626" s="8">
        <v>31</v>
      </c>
      <c r="C626" s="9" t="s">
        <v>381</v>
      </c>
      <c r="D626" s="8">
        <v>3</v>
      </c>
      <c r="E626" s="9" t="s">
        <v>98</v>
      </c>
      <c r="F626" s="8" t="s">
        <v>384</v>
      </c>
      <c r="G626" s="8" t="s">
        <v>117</v>
      </c>
      <c r="H626" s="8" t="s">
        <v>162</v>
      </c>
      <c r="I626" s="8" t="s">
        <v>100</v>
      </c>
      <c r="J626" s="9" t="s">
        <v>380</v>
      </c>
      <c r="K626" s="8" t="str">
        <f>VLOOKUP(LEFT(H626,7),'קטלוג תרחישים'!$A:$M,12,FALSE())</f>
        <v>ג'</v>
      </c>
      <c r="L626" s="8" t="str">
        <f>IF(J626="כן",K626,VLOOKUP(LEFT(H626,7),'קטלוג תרחישים'!$A:$M,13,FALSE()))</f>
        <v>ג'</v>
      </c>
      <c r="M626" s="13"/>
      <c r="N626" s="50" t="s">
        <v>366</v>
      </c>
      <c r="O626" s="13" t="str">
        <f t="array" ref="O626">_xlfn.IFS(N626="A","א'", N626="B", "ב'", N626= "C", "ג'")</f>
        <v>ג'</v>
      </c>
      <c r="P626" s="13">
        <f>IF(Table_2[[#This Row],[Correct_Answer]]=Table_2[[#This Row],[System_Recommendation]],1,0)</f>
        <v>1</v>
      </c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 spans="1:26" ht="15.75" hidden="1" customHeight="1">
      <c r="A627" s="8" t="s">
        <v>176</v>
      </c>
      <c r="B627" s="8">
        <v>32</v>
      </c>
      <c r="C627" s="9" t="s">
        <v>381</v>
      </c>
      <c r="D627" s="8">
        <v>3</v>
      </c>
      <c r="E627" s="9" t="s">
        <v>98</v>
      </c>
      <c r="F627" s="8" t="s">
        <v>384</v>
      </c>
      <c r="G627" s="8" t="s">
        <v>117</v>
      </c>
      <c r="H627" s="8" t="s">
        <v>163</v>
      </c>
      <c r="I627" s="8" t="s">
        <v>91</v>
      </c>
      <c r="J627" s="9" t="s">
        <v>380</v>
      </c>
      <c r="K627" s="8" t="str">
        <f>VLOOKUP(LEFT(H627,7),'קטלוג תרחישים'!$A:$M,12,FALSE())</f>
        <v>ג'</v>
      </c>
      <c r="L627" s="8" t="str">
        <f>IF(J627="כן",K627,VLOOKUP(LEFT(H627,7),'קטלוג תרחישים'!$A:$M,13,FALSE()))</f>
        <v>ג'</v>
      </c>
      <c r="M627" s="13"/>
      <c r="N627" s="51" t="s">
        <v>360</v>
      </c>
      <c r="O627" s="13" t="str">
        <f t="array" ref="O627">_xlfn.IFS(N627="A","א'", N627="B", "ב'", N627= "C", "ג'")</f>
        <v>א'</v>
      </c>
      <c r="P627" s="13">
        <f>IF(Table_2[[#This Row],[Correct_Answer]]=Table_2[[#This Row],[System_Recommendation]],1,0)</f>
        <v>1</v>
      </c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 spans="1:26" ht="15.75" hidden="1" customHeight="1">
      <c r="A628" s="8" t="s">
        <v>176</v>
      </c>
      <c r="B628" s="8">
        <v>33</v>
      </c>
      <c r="C628" s="9" t="s">
        <v>381</v>
      </c>
      <c r="D628" s="8">
        <v>3</v>
      </c>
      <c r="E628" s="9" t="s">
        <v>98</v>
      </c>
      <c r="F628" s="8" t="s">
        <v>384</v>
      </c>
      <c r="G628" s="8" t="s">
        <v>117</v>
      </c>
      <c r="H628" s="8" t="s">
        <v>164</v>
      </c>
      <c r="I628" s="8" t="s">
        <v>100</v>
      </c>
      <c r="J628" s="9" t="s">
        <v>383</v>
      </c>
      <c r="K628" s="8" t="str">
        <f>VLOOKUP(LEFT(H628,7),'קטלוג תרחישים'!$A:$M,12,FALSE())</f>
        <v>ב'</v>
      </c>
      <c r="L628" s="8" t="str">
        <f>IF(J628="כן",K628,VLOOKUP(LEFT(H628,7),'קטלוג תרחישים'!$A:$M,13,FALSE()))</f>
        <v>א'</v>
      </c>
      <c r="M628" s="13"/>
      <c r="N628" s="50" t="s">
        <v>360</v>
      </c>
      <c r="O628" s="13" t="str">
        <f t="array" ref="O628">_xlfn.IFS(N628="A","א'", N628="B", "ב'", N628= "C", "ג'")</f>
        <v>א'</v>
      </c>
      <c r="P628" s="13">
        <f>IF(Table_2[[#This Row],[Correct_Answer]]=Table_2[[#This Row],[System_Recommendation]],1,0)</f>
        <v>0</v>
      </c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 spans="1:26" ht="15.75" hidden="1" customHeight="1">
      <c r="A629" s="8" t="s">
        <v>177</v>
      </c>
      <c r="B629" s="8">
        <v>1</v>
      </c>
      <c r="C629" s="9" t="s">
        <v>379</v>
      </c>
      <c r="D629" s="8"/>
      <c r="E629" s="9" t="s">
        <v>98</v>
      </c>
      <c r="F629" s="8"/>
      <c r="G629" s="8"/>
      <c r="H629" s="11" t="s">
        <v>90</v>
      </c>
      <c r="I629" s="8" t="s">
        <v>91</v>
      </c>
      <c r="J629" s="9" t="s">
        <v>380</v>
      </c>
      <c r="K629" s="8" t="str">
        <f>VLOOKUP(LEFT(H629,7),'קטלוג תרחישים'!$A:$M,12,FALSE())</f>
        <v>א'</v>
      </c>
      <c r="L629" s="8" t="str">
        <f>IF(J629="כן",K629,VLOOKUP(LEFT(H629,7),'קטלוג תרחישים'!$A:$M,13,FALSE()))</f>
        <v>א'</v>
      </c>
      <c r="M629" s="13"/>
      <c r="N629" s="51" t="s">
        <v>366</v>
      </c>
      <c r="O629" s="13" t="str">
        <f t="array" ref="O629">_xlfn.IFS(N629="A","א'", N629="B", "ב'", N629= "C", "ג'")</f>
        <v>ג'</v>
      </c>
      <c r="P629" s="13">
        <f>IF(Table_2[[#This Row],[Correct_Answer]]=Table_2[[#This Row],[System_Recommendation]],1,0)</f>
        <v>1</v>
      </c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 spans="1:26" ht="15.75" hidden="1" customHeight="1">
      <c r="A630" s="8" t="s">
        <v>177</v>
      </c>
      <c r="B630" s="8">
        <v>2</v>
      </c>
      <c r="C630" s="9" t="s">
        <v>379</v>
      </c>
      <c r="D630" s="8"/>
      <c r="E630" s="9" t="s">
        <v>98</v>
      </c>
      <c r="F630" s="8"/>
      <c r="G630" s="8"/>
      <c r="H630" s="11" t="s">
        <v>92</v>
      </c>
      <c r="I630" s="8" t="s">
        <v>91</v>
      </c>
      <c r="J630" s="9" t="s">
        <v>380</v>
      </c>
      <c r="K630" s="8" t="str">
        <f>VLOOKUP(LEFT(H630,7),'קטלוג תרחישים'!$A:$M,12,FALSE())</f>
        <v>א'</v>
      </c>
      <c r="L630" s="8" t="str">
        <f>IF(J630="כן",K630,VLOOKUP(LEFT(H630,7),'קטלוג תרחישים'!$A:$M,13,FALSE()))</f>
        <v>א'</v>
      </c>
      <c r="M630" s="13"/>
      <c r="N630" s="50" t="s">
        <v>366</v>
      </c>
      <c r="O630" s="13" t="str">
        <f t="array" ref="O630">_xlfn.IFS(N630="A","א'", N630="B", "ב'", N630= "C", "ג'")</f>
        <v>ג'</v>
      </c>
      <c r="P630" s="13">
        <f>IF(Table_2[[#This Row],[Correct_Answer]]=Table_2[[#This Row],[System_Recommendation]],1,0)</f>
        <v>1</v>
      </c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 spans="1:26" ht="15.75" hidden="1" customHeight="1">
      <c r="A631" s="8" t="s">
        <v>177</v>
      </c>
      <c r="B631" s="8">
        <v>3</v>
      </c>
      <c r="C631" s="9" t="s">
        <v>379</v>
      </c>
      <c r="D631" s="8"/>
      <c r="E631" s="9" t="s">
        <v>105</v>
      </c>
      <c r="F631" s="8"/>
      <c r="G631" s="8"/>
      <c r="H631" s="11" t="s">
        <v>93</v>
      </c>
      <c r="I631" s="8" t="s">
        <v>91</v>
      </c>
      <c r="J631" s="9" t="s">
        <v>380</v>
      </c>
      <c r="K631" s="8" t="str">
        <f>VLOOKUP(LEFT(H631,7),'קטלוג תרחישים'!$A:$M,12,FALSE())</f>
        <v>א'</v>
      </c>
      <c r="L631" s="8" t="str">
        <f>IF(J631="כן",K631,VLOOKUP(LEFT(H631,7),'קטלוג תרחישים'!$A:$M,13,FALSE()))</f>
        <v>א'</v>
      </c>
      <c r="M631" s="13"/>
      <c r="N631" s="51" t="s">
        <v>366</v>
      </c>
      <c r="O631" s="13" t="str">
        <f t="array" ref="O631">_xlfn.IFS(N631="A","א'", N631="B", "ב'", N631= "C", "ג'")</f>
        <v>ג'</v>
      </c>
      <c r="P631" s="13">
        <f>IF(Table_2[[#This Row],[Correct_Answer]]=Table_2[[#This Row],[System_Recommendation]],1,0)</f>
        <v>1</v>
      </c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 spans="1:26" ht="15.75" hidden="1" customHeight="1">
      <c r="A632" s="8" t="s">
        <v>177</v>
      </c>
      <c r="B632" s="8">
        <v>4</v>
      </c>
      <c r="C632" s="9" t="s">
        <v>379</v>
      </c>
      <c r="D632" s="8"/>
      <c r="E632" s="9" t="s">
        <v>105</v>
      </c>
      <c r="F632" s="8"/>
      <c r="G632" s="8"/>
      <c r="H632" s="11" t="s">
        <v>94</v>
      </c>
      <c r="I632" s="8" t="s">
        <v>91</v>
      </c>
      <c r="J632" s="9" t="s">
        <v>380</v>
      </c>
      <c r="K632" s="8" t="str">
        <f>VLOOKUP(LEFT(H632,7),'קטלוג תרחישים'!$A:$M,12,FALSE())</f>
        <v>א'</v>
      </c>
      <c r="L632" s="8" t="str">
        <f>IF(J632="כן",K632,VLOOKUP(LEFT(H632,7),'קטלוג תרחישים'!$A:$M,13,FALSE()))</f>
        <v>א'</v>
      </c>
      <c r="M632" s="13"/>
      <c r="N632" s="50" t="s">
        <v>365</v>
      </c>
      <c r="O632" s="13" t="str">
        <f t="array" ref="O632">_xlfn.IFS(N632="A","א'", N632="B", "ב'", N632= "C", "ג'")</f>
        <v>ב'</v>
      </c>
      <c r="P632" s="13">
        <f>IF(Table_2[[#This Row],[Correct_Answer]]=Table_2[[#This Row],[System_Recommendation]],1,0)</f>
        <v>1</v>
      </c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 spans="1:26" ht="15.75" hidden="1" customHeight="1">
      <c r="A633" s="8" t="s">
        <v>177</v>
      </c>
      <c r="B633" s="8">
        <v>5</v>
      </c>
      <c r="C633" s="9" t="s">
        <v>379</v>
      </c>
      <c r="D633" s="8"/>
      <c r="E633" s="9" t="s">
        <v>111</v>
      </c>
      <c r="F633" s="8"/>
      <c r="G633" s="8"/>
      <c r="H633" s="11" t="s">
        <v>95</v>
      </c>
      <c r="I633" s="8" t="s">
        <v>91</v>
      </c>
      <c r="J633" s="9" t="s">
        <v>380</v>
      </c>
      <c r="K633" s="8" t="str">
        <f>VLOOKUP(LEFT(H633,7),'קטלוג תרחישים'!$A:$M,12,FALSE())</f>
        <v>ב'</v>
      </c>
      <c r="L633" s="8" t="str">
        <f>IF(J633="כן",K633,VLOOKUP(LEFT(H633,7),'קטלוג תרחישים'!$A:$M,13,FALSE()))</f>
        <v>ב'</v>
      </c>
      <c r="M633" s="13"/>
      <c r="N633" s="51" t="s">
        <v>360</v>
      </c>
      <c r="O633" s="13" t="str">
        <f t="array" ref="O633">_xlfn.IFS(N633="A","א'", N633="B", "ב'", N633= "C", "ג'")</f>
        <v>א'</v>
      </c>
      <c r="P633" s="13">
        <f>IF(Table_2[[#This Row],[Correct_Answer]]=Table_2[[#This Row],[System_Recommendation]],1,0)</f>
        <v>1</v>
      </c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 spans="1:26" ht="15.75" customHeight="1">
      <c r="A634" s="8" t="s">
        <v>177</v>
      </c>
      <c r="B634" s="8">
        <v>6</v>
      </c>
      <c r="C634" s="9" t="s">
        <v>379</v>
      </c>
      <c r="D634" s="8"/>
      <c r="E634" s="9" t="s">
        <v>111</v>
      </c>
      <c r="F634" s="8"/>
      <c r="G634" s="8"/>
      <c r="H634" s="11" t="s">
        <v>96</v>
      </c>
      <c r="I634" s="8" t="s">
        <v>91</v>
      </c>
      <c r="J634" s="9" t="s">
        <v>380</v>
      </c>
      <c r="K634" s="8" t="str">
        <f>VLOOKUP(LEFT(H634,7),'קטלוג תרחישים'!$A:$M,12,FALSE())</f>
        <v>ב'</v>
      </c>
      <c r="L634" s="8" t="str">
        <f>IF(J634="כן",K634,VLOOKUP(LEFT(H634,7),'קטלוג תרחישים'!$A:$M,13,FALSE()))</f>
        <v>ב'</v>
      </c>
      <c r="M634" s="13"/>
      <c r="N634" s="50" t="s">
        <v>366</v>
      </c>
      <c r="O634" s="13" t="str">
        <f t="array" ref="O634">_xlfn.IFS(N634="A","א'", N634="B", "ב'", N634= "C", "ג'")</f>
        <v>ג'</v>
      </c>
      <c r="P634" s="13">
        <f>IF(Table_2[[#This Row],[Correct_Answer]]=Table_2[[#This Row],[System_Recommendation]],1,0)</f>
        <v>1</v>
      </c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 spans="1:26" ht="15.75" hidden="1" customHeight="1">
      <c r="A635" s="8" t="s">
        <v>177</v>
      </c>
      <c r="B635" s="8">
        <v>7</v>
      </c>
      <c r="C635" s="9" t="s">
        <v>381</v>
      </c>
      <c r="D635" s="8">
        <v>1</v>
      </c>
      <c r="E635" s="9" t="s">
        <v>111</v>
      </c>
      <c r="F635" s="8" t="s">
        <v>382</v>
      </c>
      <c r="G635" s="8" t="s">
        <v>117</v>
      </c>
      <c r="H635" s="8" t="s">
        <v>157</v>
      </c>
      <c r="I635" s="8" t="s">
        <v>91</v>
      </c>
      <c r="J635" s="9" t="s">
        <v>380</v>
      </c>
      <c r="K635" s="8" t="str">
        <f>VLOOKUP(LEFT(H635,7),'קטלוג תרחישים'!$A:$M,12,FALSE())</f>
        <v>ג'</v>
      </c>
      <c r="L635" s="8" t="str">
        <f>IF(J635="כן",K635,VLOOKUP(LEFT(H635,7),'קטלוג תרחישים'!$A:$M,13,FALSE()))</f>
        <v>ג'</v>
      </c>
      <c r="M635" s="13"/>
      <c r="N635" s="51" t="s">
        <v>366</v>
      </c>
      <c r="O635" s="13" t="str">
        <f t="array" ref="O635">_xlfn.IFS(N635="A","א'", N635="B", "ב'", N635= "C", "ג'")</f>
        <v>ג'</v>
      </c>
      <c r="P635" s="13">
        <f>IF(Table_2[[#This Row],[Correct_Answer]]=Table_2[[#This Row],[System_Recommendation]],1,0)</f>
        <v>1</v>
      </c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 spans="1:26" ht="15.75" hidden="1" customHeight="1">
      <c r="A636" s="8" t="s">
        <v>177</v>
      </c>
      <c r="B636" s="8">
        <v>8</v>
      </c>
      <c r="C636" s="9" t="s">
        <v>381</v>
      </c>
      <c r="D636" s="8">
        <v>1</v>
      </c>
      <c r="E636" s="9" t="s">
        <v>111</v>
      </c>
      <c r="F636" s="8" t="s">
        <v>382</v>
      </c>
      <c r="G636" s="8" t="s">
        <v>117</v>
      </c>
      <c r="H636" s="8" t="s">
        <v>160</v>
      </c>
      <c r="I636" s="8" t="s">
        <v>100</v>
      </c>
      <c r="J636" s="9" t="s">
        <v>383</v>
      </c>
      <c r="K636" s="8" t="str">
        <f>VLOOKUP(LEFT(H636,7),'קטלוג תרחישים'!$A:$M,12,FALSE())</f>
        <v>א'</v>
      </c>
      <c r="L636" s="8" t="str">
        <f>IF(J636="כן",K636,VLOOKUP(LEFT(H636,7),'קטלוג תרחישים'!$A:$M,13,FALSE()))</f>
        <v>ב'</v>
      </c>
      <c r="M636" s="13"/>
      <c r="N636" s="50" t="s">
        <v>365</v>
      </c>
      <c r="O636" s="13" t="str">
        <f t="array" ref="O636">_xlfn.IFS(N636="A","א'", N636="B", "ב'", N636= "C", "ג'")</f>
        <v>ב'</v>
      </c>
      <c r="P636" s="13">
        <f>IF(Table_2[[#This Row],[Correct_Answer]]=Table_2[[#This Row],[System_Recommendation]],1,0)</f>
        <v>0</v>
      </c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 spans="1:26" ht="15.75" hidden="1" customHeight="1">
      <c r="A637" s="8" t="s">
        <v>177</v>
      </c>
      <c r="B637" s="8">
        <v>9</v>
      </c>
      <c r="C637" s="9" t="s">
        <v>381</v>
      </c>
      <c r="D637" s="8">
        <v>1</v>
      </c>
      <c r="E637" s="9" t="s">
        <v>111</v>
      </c>
      <c r="F637" s="8" t="s">
        <v>382</v>
      </c>
      <c r="G637" s="8" t="s">
        <v>117</v>
      </c>
      <c r="H637" s="8" t="s">
        <v>159</v>
      </c>
      <c r="I637" s="8" t="s">
        <v>91</v>
      </c>
      <c r="J637" s="9" t="s">
        <v>383</v>
      </c>
      <c r="K637" s="8" t="str">
        <f>VLOOKUP(LEFT(H637,7),'קטלוג תרחישים'!$A:$M,12,FALSE())</f>
        <v>ג'</v>
      </c>
      <c r="L637" s="8" t="str">
        <f>IF(J637="כן",K637,VLOOKUP(LEFT(H637,7),'קטלוג תרחישים'!$A:$M,13,FALSE()))</f>
        <v>ב'</v>
      </c>
      <c r="M637" s="13"/>
      <c r="N637" s="51" t="s">
        <v>365</v>
      </c>
      <c r="O637" s="13" t="str">
        <f t="array" ref="O637">_xlfn.IFS(N637="A","א'", N637="B", "ב'", N637= "C", "ג'")</f>
        <v>ב'</v>
      </c>
      <c r="P637" s="13">
        <f>IF(Table_2[[#This Row],[Correct_Answer]]=Table_2[[#This Row],[System_Recommendation]],1,0)</f>
        <v>0</v>
      </c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 spans="1:26" ht="15.75" hidden="1" customHeight="1">
      <c r="A638" s="8" t="s">
        <v>177</v>
      </c>
      <c r="B638" s="8">
        <v>10</v>
      </c>
      <c r="C638" s="9" t="s">
        <v>381</v>
      </c>
      <c r="D638" s="8">
        <v>1</v>
      </c>
      <c r="E638" s="9" t="s">
        <v>111</v>
      </c>
      <c r="F638" s="8" t="s">
        <v>382</v>
      </c>
      <c r="G638" s="8" t="s">
        <v>117</v>
      </c>
      <c r="H638" s="8" t="s">
        <v>158</v>
      </c>
      <c r="I638" s="8" t="s">
        <v>100</v>
      </c>
      <c r="J638" s="9" t="s">
        <v>380</v>
      </c>
      <c r="K638" s="8" t="str">
        <f>VLOOKUP(LEFT(H638,7),'קטלוג תרחישים'!$A:$M,12,FALSE())</f>
        <v>ג'</v>
      </c>
      <c r="L638" s="8" t="str">
        <f>IF(J638="כן",K638,VLOOKUP(LEFT(H638,7),'קטלוג תרחישים'!$A:$M,13,FALSE()))</f>
        <v>ג'</v>
      </c>
      <c r="M638" s="13"/>
      <c r="N638" s="50" t="s">
        <v>365</v>
      </c>
      <c r="O638" s="13" t="str">
        <f t="array" ref="O638">_xlfn.IFS(N638="A","א'", N638="B", "ב'", N638= "C", "ג'")</f>
        <v>ב'</v>
      </c>
      <c r="P638" s="13">
        <f>IF(Table_2[[#This Row],[Correct_Answer]]=Table_2[[#This Row],[System_Recommendation]],1,0)</f>
        <v>1</v>
      </c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 spans="1:26" ht="15.75" hidden="1" customHeight="1">
      <c r="A639" s="8" t="s">
        <v>177</v>
      </c>
      <c r="B639" s="8">
        <v>11</v>
      </c>
      <c r="C639" s="9" t="s">
        <v>381</v>
      </c>
      <c r="D639" s="8">
        <v>2</v>
      </c>
      <c r="E639" s="9" t="s">
        <v>98</v>
      </c>
      <c r="F639" s="8" t="s">
        <v>382</v>
      </c>
      <c r="G639" s="8" t="s">
        <v>117</v>
      </c>
      <c r="H639" s="8" t="s">
        <v>163</v>
      </c>
      <c r="I639" s="8" t="s">
        <v>91</v>
      </c>
      <c r="J639" s="9" t="s">
        <v>383</v>
      </c>
      <c r="K639" s="8" t="str">
        <f>VLOOKUP(LEFT(H639,7),'קטלוג תרחישים'!$A:$M,12,FALSE())</f>
        <v>ג'</v>
      </c>
      <c r="L639" s="8" t="str">
        <f>IF(J639="כן",K639,VLOOKUP(LEFT(H639,7),'קטלוג תרחישים'!$A:$M,13,FALSE()))</f>
        <v>א'</v>
      </c>
      <c r="M639" s="13"/>
      <c r="N639" s="51" t="s">
        <v>360</v>
      </c>
      <c r="O639" s="13" t="str">
        <f t="array" ref="O639">_xlfn.IFS(N639="A","א'", N639="B", "ב'", N639= "C", "ג'")</f>
        <v>א'</v>
      </c>
      <c r="P639" s="13">
        <f>IF(Table_2[[#This Row],[Correct_Answer]]=Table_2[[#This Row],[System_Recommendation]],1,0)</f>
        <v>0</v>
      </c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 spans="1:26" ht="15.75" hidden="1" customHeight="1">
      <c r="A640" s="8" t="s">
        <v>177</v>
      </c>
      <c r="B640" s="8">
        <v>12</v>
      </c>
      <c r="C640" s="9" t="s">
        <v>381</v>
      </c>
      <c r="D640" s="8">
        <v>2</v>
      </c>
      <c r="E640" s="9" t="s">
        <v>98</v>
      </c>
      <c r="F640" s="8" t="s">
        <v>382</v>
      </c>
      <c r="G640" s="8" t="s">
        <v>117</v>
      </c>
      <c r="H640" s="8" t="s">
        <v>162</v>
      </c>
      <c r="I640" s="8" t="s">
        <v>100</v>
      </c>
      <c r="J640" s="9" t="s">
        <v>380</v>
      </c>
      <c r="K640" s="8" t="str">
        <f>VLOOKUP(LEFT(H640,7),'קטלוג תרחישים'!$A:$M,12,FALSE())</f>
        <v>ג'</v>
      </c>
      <c r="L640" s="8" t="str">
        <f>IF(J640="כן",K640,VLOOKUP(LEFT(H640,7),'קטלוג תרחישים'!$A:$M,13,FALSE()))</f>
        <v>ג'</v>
      </c>
      <c r="M640" s="13"/>
      <c r="N640" s="50" t="s">
        <v>366</v>
      </c>
      <c r="O640" s="13" t="str">
        <f t="array" ref="O640">_xlfn.IFS(N640="A","א'", N640="B", "ב'", N640= "C", "ג'")</f>
        <v>ג'</v>
      </c>
      <c r="P640" s="13">
        <f>IF(Table_2[[#This Row],[Correct_Answer]]=Table_2[[#This Row],[System_Recommendation]],1,0)</f>
        <v>1</v>
      </c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 spans="1:26" ht="15.75" hidden="1" customHeight="1">
      <c r="A641" s="8" t="s">
        <v>177</v>
      </c>
      <c r="B641" s="8">
        <v>13</v>
      </c>
      <c r="C641" s="9" t="s">
        <v>381</v>
      </c>
      <c r="D641" s="8">
        <v>2</v>
      </c>
      <c r="E641" s="9" t="s">
        <v>98</v>
      </c>
      <c r="F641" s="8" t="s">
        <v>382</v>
      </c>
      <c r="G641" s="8" t="s">
        <v>117</v>
      </c>
      <c r="H641" s="8" t="s">
        <v>161</v>
      </c>
      <c r="I641" s="8" t="s">
        <v>91</v>
      </c>
      <c r="J641" s="9" t="s">
        <v>380</v>
      </c>
      <c r="K641" s="8" t="str">
        <f>VLOOKUP(LEFT(H641,7),'קטלוג תרחישים'!$A:$M,12,FALSE())</f>
        <v>ב'</v>
      </c>
      <c r="L641" s="8" t="str">
        <f>IF(J641="כן",K641,VLOOKUP(LEFT(H641,7),'קטלוג תרחישים'!$A:$M,13,FALSE()))</f>
        <v>ב'</v>
      </c>
      <c r="M641" s="13"/>
      <c r="N641" s="51" t="s">
        <v>365</v>
      </c>
      <c r="O641" s="13" t="str">
        <f t="array" ref="O641">_xlfn.IFS(N641="A","א'", N641="B", "ב'", N641= "C", "ג'")</f>
        <v>ב'</v>
      </c>
      <c r="P641" s="13">
        <f>IF(Table_2[[#This Row],[Correct_Answer]]=Table_2[[#This Row],[System_Recommendation]],1,0)</f>
        <v>1</v>
      </c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 spans="1:26" ht="15.75" hidden="1" customHeight="1">
      <c r="A642" s="8" t="s">
        <v>177</v>
      </c>
      <c r="B642" s="8">
        <v>14</v>
      </c>
      <c r="C642" s="9" t="s">
        <v>381</v>
      </c>
      <c r="D642" s="8">
        <v>2</v>
      </c>
      <c r="E642" s="9" t="s">
        <v>98</v>
      </c>
      <c r="F642" s="8" t="s">
        <v>382</v>
      </c>
      <c r="G642" s="8" t="s">
        <v>117</v>
      </c>
      <c r="H642" s="8" t="s">
        <v>164</v>
      </c>
      <c r="I642" s="8" t="s">
        <v>100</v>
      </c>
      <c r="J642" s="9" t="s">
        <v>383</v>
      </c>
      <c r="K642" s="8" t="str">
        <f>VLOOKUP(LEFT(H642,7),'קטלוג תרחישים'!$A:$M,12,FALSE())</f>
        <v>ב'</v>
      </c>
      <c r="L642" s="8" t="str">
        <f>IF(J642="כן",K642,VLOOKUP(LEFT(H642,7),'קטלוג תרחישים'!$A:$M,13,FALSE()))</f>
        <v>א'</v>
      </c>
      <c r="M642" s="13"/>
      <c r="N642" s="50" t="s">
        <v>366</v>
      </c>
      <c r="O642" s="13" t="str">
        <f t="array" ref="O642">_xlfn.IFS(N642="A","א'", N642="B", "ב'", N642= "C", "ג'")</f>
        <v>ג'</v>
      </c>
      <c r="P642" s="13">
        <f>IF(Table_2[[#This Row],[Correct_Answer]]=Table_2[[#This Row],[System_Recommendation]],1,0)</f>
        <v>0</v>
      </c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 spans="1:26" ht="15.75" hidden="1" customHeight="1">
      <c r="A643" s="8" t="s">
        <v>177</v>
      </c>
      <c r="B643" s="8">
        <v>15</v>
      </c>
      <c r="C643" s="9" t="s">
        <v>381</v>
      </c>
      <c r="D643" s="8">
        <v>3</v>
      </c>
      <c r="E643" s="9" t="s">
        <v>105</v>
      </c>
      <c r="F643" s="8" t="s">
        <v>382</v>
      </c>
      <c r="G643" s="8" t="s">
        <v>117</v>
      </c>
      <c r="H643" s="8" t="s">
        <v>165</v>
      </c>
      <c r="I643" s="8" t="s">
        <v>91</v>
      </c>
      <c r="J643" s="9" t="s">
        <v>383</v>
      </c>
      <c r="K643" s="8" t="str">
        <f>VLOOKUP(LEFT(H643,7),'קטלוג תרחישים'!$A:$M,12,FALSE())</f>
        <v>ג'</v>
      </c>
      <c r="L643" s="8" t="str">
        <f>IF(J643="כן",K643,VLOOKUP(LEFT(H643,7),'קטלוג תרחישים'!$A:$M,13,FALSE()))</f>
        <v>א'</v>
      </c>
      <c r="M643" s="13"/>
      <c r="N643" s="51" t="s">
        <v>360</v>
      </c>
      <c r="O643" s="13" t="str">
        <f t="array" ref="O643">_xlfn.IFS(N643="A","א'", N643="B", "ב'", N643= "C", "ג'")</f>
        <v>א'</v>
      </c>
      <c r="P643" s="13">
        <f>IF(Table_2[[#This Row],[Correct_Answer]]=Table_2[[#This Row],[System_Recommendation]],1,0)</f>
        <v>0</v>
      </c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 spans="1:26" ht="15.75" hidden="1" customHeight="1">
      <c r="A644" s="8" t="s">
        <v>177</v>
      </c>
      <c r="B644" s="8">
        <v>16</v>
      </c>
      <c r="C644" s="9" t="s">
        <v>381</v>
      </c>
      <c r="D644" s="8">
        <v>3</v>
      </c>
      <c r="E644" s="9" t="s">
        <v>105</v>
      </c>
      <c r="F644" s="8" t="s">
        <v>382</v>
      </c>
      <c r="G644" s="8" t="s">
        <v>117</v>
      </c>
      <c r="H644" s="8" t="s">
        <v>168</v>
      </c>
      <c r="I644" s="8" t="s">
        <v>100</v>
      </c>
      <c r="J644" s="9" t="s">
        <v>383</v>
      </c>
      <c r="K644" s="8" t="str">
        <f>VLOOKUP(LEFT(H644,7),'קטלוג תרחישים'!$A:$M,12,FALSE())</f>
        <v>א'</v>
      </c>
      <c r="L644" s="8" t="str">
        <f>IF(J644="כן",K644,VLOOKUP(LEFT(H644,7),'קטלוג תרחישים'!$A:$M,13,FALSE()))</f>
        <v>ב'</v>
      </c>
      <c r="M644" s="13"/>
      <c r="N644" s="50" t="s">
        <v>366</v>
      </c>
      <c r="O644" s="13" t="str">
        <f t="array" ref="O644">_xlfn.IFS(N644="A","א'", N644="B", "ב'", N644= "C", "ג'")</f>
        <v>ג'</v>
      </c>
      <c r="P644" s="13">
        <f>IF(Table_2[[#This Row],[Correct_Answer]]=Table_2[[#This Row],[System_Recommendation]],1,0)</f>
        <v>0</v>
      </c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 spans="1:26" ht="15.75" hidden="1" customHeight="1">
      <c r="A645" s="8" t="s">
        <v>177</v>
      </c>
      <c r="B645" s="8">
        <v>17</v>
      </c>
      <c r="C645" s="9" t="s">
        <v>381</v>
      </c>
      <c r="D645" s="8">
        <v>3</v>
      </c>
      <c r="E645" s="9" t="s">
        <v>105</v>
      </c>
      <c r="F645" s="8" t="s">
        <v>382</v>
      </c>
      <c r="G645" s="8" t="s">
        <v>117</v>
      </c>
      <c r="H645" s="8" t="s">
        <v>167</v>
      </c>
      <c r="I645" s="8" t="s">
        <v>91</v>
      </c>
      <c r="J645" s="9" t="s">
        <v>380</v>
      </c>
      <c r="K645" s="8" t="str">
        <f>VLOOKUP(LEFT(H645,7),'קטלוג תרחישים'!$A:$M,12,FALSE())</f>
        <v>ב'</v>
      </c>
      <c r="L645" s="8" t="str">
        <f>IF(J645="כן",K645,VLOOKUP(LEFT(H645,7),'קטלוג תרחישים'!$A:$M,13,FALSE()))</f>
        <v>ב'</v>
      </c>
      <c r="M645" s="13"/>
      <c r="N645" s="51" t="s">
        <v>366</v>
      </c>
      <c r="O645" s="13" t="str">
        <f t="array" ref="O645">_xlfn.IFS(N645="A","א'", N645="B", "ב'", N645= "C", "ג'")</f>
        <v>ג'</v>
      </c>
      <c r="P645" s="13">
        <f>IF(Table_2[[#This Row],[Correct_Answer]]=Table_2[[#This Row],[System_Recommendation]],1,0)</f>
        <v>1</v>
      </c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 spans="1:26" ht="15.75" hidden="1" customHeight="1">
      <c r="A646" s="8" t="s">
        <v>177</v>
      </c>
      <c r="B646" s="8">
        <v>18</v>
      </c>
      <c r="C646" s="9" t="s">
        <v>381</v>
      </c>
      <c r="D646" s="8">
        <v>3</v>
      </c>
      <c r="E646" s="9" t="s">
        <v>105</v>
      </c>
      <c r="F646" s="8" t="s">
        <v>382</v>
      </c>
      <c r="G646" s="8" t="s">
        <v>117</v>
      </c>
      <c r="H646" s="8" t="s">
        <v>166</v>
      </c>
      <c r="I646" s="8" t="s">
        <v>100</v>
      </c>
      <c r="J646" s="9" t="s">
        <v>380</v>
      </c>
      <c r="K646" s="8" t="str">
        <f>VLOOKUP(LEFT(H646,7),'קטלוג תרחישים'!$A:$M,12,FALSE())</f>
        <v>א'</v>
      </c>
      <c r="L646" s="8" t="str">
        <f>IF(J646="כן",K646,VLOOKUP(LEFT(H646,7),'קטלוג תרחישים'!$A:$M,13,FALSE()))</f>
        <v>א'</v>
      </c>
      <c r="M646" s="13"/>
      <c r="N646" s="50" t="s">
        <v>360</v>
      </c>
      <c r="O646" s="13" t="str">
        <f t="array" ref="O646">_xlfn.IFS(N646="A","א'", N646="B", "ב'", N646= "C", "ג'")</f>
        <v>א'</v>
      </c>
      <c r="P646" s="13">
        <f>IF(Table_2[[#This Row],[Correct_Answer]]=Table_2[[#This Row],[System_Recommendation]],1,0)</f>
        <v>1</v>
      </c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 spans="1:26" ht="15.75" hidden="1" customHeight="1">
      <c r="A647" s="8" t="s">
        <v>177</v>
      </c>
      <c r="B647" s="8">
        <v>19</v>
      </c>
      <c r="C647" s="9" t="s">
        <v>381</v>
      </c>
      <c r="D647" s="8">
        <v>1</v>
      </c>
      <c r="E647" s="9" t="s">
        <v>105</v>
      </c>
      <c r="F647" s="8" t="s">
        <v>384</v>
      </c>
      <c r="G647" s="8" t="s">
        <v>97</v>
      </c>
      <c r="H647" s="8" t="s">
        <v>142</v>
      </c>
      <c r="I647" s="8" t="s">
        <v>100</v>
      </c>
      <c r="J647" s="9" t="s">
        <v>380</v>
      </c>
      <c r="K647" s="8" t="str">
        <f>VLOOKUP(LEFT(H647,7),'קטלוג תרחישים'!$A:$M,12,FALSE())</f>
        <v>ב'</v>
      </c>
      <c r="L647" s="8" t="str">
        <f>IF(J647="כן",K647,VLOOKUP(LEFT(H647,7),'קטלוג תרחישים'!$A:$M,13,FALSE()))</f>
        <v>ב'</v>
      </c>
      <c r="M647" s="13"/>
      <c r="N647" s="51" t="s">
        <v>360</v>
      </c>
      <c r="O647" s="13" t="str">
        <f t="array" ref="O647">_xlfn.IFS(N647="A","א'", N647="B", "ב'", N647= "C", "ג'")</f>
        <v>א'</v>
      </c>
      <c r="P647" s="13">
        <f>IF(Table_2[[#This Row],[Correct_Answer]]=Table_2[[#This Row],[System_Recommendation]],1,0)</f>
        <v>1</v>
      </c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 spans="1:26" ht="15.75" hidden="1" customHeight="1">
      <c r="A648" s="8" t="s">
        <v>177</v>
      </c>
      <c r="B648" s="8">
        <v>20</v>
      </c>
      <c r="C648" s="9" t="s">
        <v>381</v>
      </c>
      <c r="D648" s="8">
        <v>1</v>
      </c>
      <c r="E648" s="9" t="s">
        <v>105</v>
      </c>
      <c r="F648" s="8" t="s">
        <v>384</v>
      </c>
      <c r="G648" s="8" t="s">
        <v>97</v>
      </c>
      <c r="H648" s="8" t="s">
        <v>145</v>
      </c>
      <c r="I648" s="8" t="s">
        <v>91</v>
      </c>
      <c r="J648" s="9" t="s">
        <v>380</v>
      </c>
      <c r="K648" s="8" t="str">
        <f>VLOOKUP(LEFT(H648,7),'קטלוג תרחישים'!$A:$M,12,FALSE())</f>
        <v>ב'</v>
      </c>
      <c r="L648" s="8" t="str">
        <f>IF(J648="כן",K648,VLOOKUP(LEFT(H648,7),'קטלוג תרחישים'!$A:$M,13,FALSE()))</f>
        <v>ב'</v>
      </c>
      <c r="M648" s="13"/>
      <c r="N648" s="50" t="s">
        <v>360</v>
      </c>
      <c r="O648" s="13" t="str">
        <f t="array" ref="O648">_xlfn.IFS(N648="A","א'", N648="B", "ב'", N648= "C", "ג'")</f>
        <v>א'</v>
      </c>
      <c r="P648" s="13">
        <f>IF(Table_2[[#This Row],[Correct_Answer]]=Table_2[[#This Row],[System_Recommendation]],1,0)</f>
        <v>1</v>
      </c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 spans="1:26" ht="15.75" hidden="1" customHeight="1">
      <c r="A649" s="8" t="s">
        <v>177</v>
      </c>
      <c r="B649" s="8">
        <v>21</v>
      </c>
      <c r="C649" s="9" t="s">
        <v>381</v>
      </c>
      <c r="D649" s="8">
        <v>1</v>
      </c>
      <c r="E649" s="9" t="s">
        <v>105</v>
      </c>
      <c r="F649" s="8" t="s">
        <v>384</v>
      </c>
      <c r="G649" s="8" t="s">
        <v>97</v>
      </c>
      <c r="H649" s="8" t="s">
        <v>144</v>
      </c>
      <c r="I649" s="8" t="s">
        <v>100</v>
      </c>
      <c r="J649" s="9" t="s">
        <v>383</v>
      </c>
      <c r="K649" s="8" t="str">
        <f>VLOOKUP(LEFT(H649,7),'קטלוג תרחישים'!$A:$M,12,FALSE())</f>
        <v>ג'</v>
      </c>
      <c r="L649" s="8" t="str">
        <f>IF(J649="כן",K649,VLOOKUP(LEFT(H649,7),'קטלוג תרחישים'!$A:$M,13,FALSE()))</f>
        <v>ב'</v>
      </c>
      <c r="M649" s="13"/>
      <c r="N649" s="51" t="s">
        <v>365</v>
      </c>
      <c r="O649" s="13" t="str">
        <f t="array" ref="O649">_xlfn.IFS(N649="A","א'", N649="B", "ב'", N649= "C", "ג'")</f>
        <v>ב'</v>
      </c>
      <c r="P649" s="13">
        <f>IF(Table_2[[#This Row],[Correct_Answer]]=Table_2[[#This Row],[System_Recommendation]],1,0)</f>
        <v>0</v>
      </c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 spans="1:26" ht="15.75" hidden="1" customHeight="1">
      <c r="A650" s="8" t="s">
        <v>177</v>
      </c>
      <c r="B650" s="8">
        <v>22</v>
      </c>
      <c r="C650" s="9" t="s">
        <v>381</v>
      </c>
      <c r="D650" s="8">
        <v>1</v>
      </c>
      <c r="E650" s="9" t="s">
        <v>105</v>
      </c>
      <c r="F650" s="8" t="s">
        <v>384</v>
      </c>
      <c r="G650" s="8" t="s">
        <v>97</v>
      </c>
      <c r="H650" s="8" t="s">
        <v>143</v>
      </c>
      <c r="I650" s="8" t="s">
        <v>91</v>
      </c>
      <c r="J650" s="9" t="s">
        <v>380</v>
      </c>
      <c r="K650" s="8" t="str">
        <f>VLOOKUP(LEFT(H650,7),'קטלוג תרחישים'!$A:$M,12,FALSE())</f>
        <v>א'</v>
      </c>
      <c r="L650" s="8" t="str">
        <f>IF(J650="כן",K650,VLOOKUP(LEFT(H650,7),'קטלוג תרחישים'!$A:$M,13,FALSE()))</f>
        <v>א'</v>
      </c>
      <c r="M650" s="13"/>
      <c r="N650" s="50" t="s">
        <v>365</v>
      </c>
      <c r="O650" s="13" t="str">
        <f t="array" ref="O650">_xlfn.IFS(N650="A","א'", N650="B", "ב'", N650= "C", "ג'")</f>
        <v>ב'</v>
      </c>
      <c r="P650" s="13">
        <f>IF(Table_2[[#This Row],[Correct_Answer]]=Table_2[[#This Row],[System_Recommendation]],1,0)</f>
        <v>1</v>
      </c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 spans="1:26" ht="15.75" hidden="1" customHeight="1">
      <c r="A651" s="8" t="s">
        <v>177</v>
      </c>
      <c r="B651" s="8">
        <v>23</v>
      </c>
      <c r="C651" s="9" t="s">
        <v>381</v>
      </c>
      <c r="D651" s="8">
        <v>1</v>
      </c>
      <c r="E651" s="9" t="s">
        <v>105</v>
      </c>
      <c r="F651" s="8" t="s">
        <v>384</v>
      </c>
      <c r="G651" s="8" t="s">
        <v>97</v>
      </c>
      <c r="H651" s="8" t="s">
        <v>146</v>
      </c>
      <c r="I651" s="8" t="s">
        <v>100</v>
      </c>
      <c r="J651" s="9" t="s">
        <v>380</v>
      </c>
      <c r="K651" s="8" t="str">
        <f>VLOOKUP(LEFT(H651,7),'קטלוג תרחישים'!$A:$M,12,FALSE())</f>
        <v>ג'</v>
      </c>
      <c r="L651" s="8" t="str">
        <f>IF(J651="כן",K651,VLOOKUP(LEFT(H651,7),'קטלוג תרחישים'!$A:$M,13,FALSE()))</f>
        <v>ג'</v>
      </c>
      <c r="M651" s="13"/>
      <c r="N651" s="51" t="s">
        <v>366</v>
      </c>
      <c r="O651" s="13" t="str">
        <f t="array" ref="O651">_xlfn.IFS(N651="A","א'", N651="B", "ב'", N651= "C", "ג'")</f>
        <v>ג'</v>
      </c>
      <c r="P651" s="13">
        <f>IF(Table_2[[#This Row],[Correct_Answer]]=Table_2[[#This Row],[System_Recommendation]],1,0)</f>
        <v>1</v>
      </c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 spans="1:26" ht="15.75" hidden="1" customHeight="1">
      <c r="A652" s="8" t="s">
        <v>177</v>
      </c>
      <c r="B652" s="8">
        <v>24</v>
      </c>
      <c r="C652" s="9" t="s">
        <v>381</v>
      </c>
      <c r="D652" s="8">
        <v>2</v>
      </c>
      <c r="E652" s="9" t="s">
        <v>111</v>
      </c>
      <c r="F652" s="8" t="s">
        <v>384</v>
      </c>
      <c r="G652" s="8" t="s">
        <v>97</v>
      </c>
      <c r="H652" s="8" t="s">
        <v>147</v>
      </c>
      <c r="I652" s="8" t="s">
        <v>91</v>
      </c>
      <c r="J652" s="9" t="s">
        <v>380</v>
      </c>
      <c r="K652" s="8" t="str">
        <f>VLOOKUP(LEFT(H652,7),'קטלוג תרחישים'!$A:$M,12,FALSE())</f>
        <v>ג'</v>
      </c>
      <c r="L652" s="8" t="str">
        <f>IF(J652="כן",K652,VLOOKUP(LEFT(H652,7),'קטלוג תרחישים'!$A:$M,13,FALSE()))</f>
        <v>ג'</v>
      </c>
      <c r="M652" s="13"/>
      <c r="N652" s="50" t="s">
        <v>365</v>
      </c>
      <c r="O652" s="13" t="str">
        <f t="array" ref="O652">_xlfn.IFS(N652="A","א'", N652="B", "ב'", N652= "C", "ג'")</f>
        <v>ב'</v>
      </c>
      <c r="P652" s="13">
        <f>IF(Table_2[[#This Row],[Correct_Answer]]=Table_2[[#This Row],[System_Recommendation]],1,0)</f>
        <v>1</v>
      </c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 spans="1:26" ht="15.75" hidden="1" customHeight="1">
      <c r="A653" s="8" t="s">
        <v>177</v>
      </c>
      <c r="B653" s="8">
        <v>25</v>
      </c>
      <c r="C653" s="9" t="s">
        <v>381</v>
      </c>
      <c r="D653" s="8">
        <v>2</v>
      </c>
      <c r="E653" s="9" t="s">
        <v>111</v>
      </c>
      <c r="F653" s="8" t="s">
        <v>384</v>
      </c>
      <c r="G653" s="8" t="s">
        <v>97</v>
      </c>
      <c r="H653" s="8" t="s">
        <v>148</v>
      </c>
      <c r="I653" s="8" t="s">
        <v>100</v>
      </c>
      <c r="J653" s="9" t="s">
        <v>380</v>
      </c>
      <c r="K653" s="8" t="str">
        <f>VLOOKUP(LEFT(H653,7),'קטלוג תרחישים'!$A:$M,12,FALSE())</f>
        <v>ב'</v>
      </c>
      <c r="L653" s="8" t="str">
        <f>IF(J653="כן",K653,VLOOKUP(LEFT(H653,7),'קטלוג תרחישים'!$A:$M,13,FALSE()))</f>
        <v>ב'</v>
      </c>
      <c r="M653" s="13"/>
      <c r="N653" s="51" t="s">
        <v>360</v>
      </c>
      <c r="O653" s="13" t="str">
        <f t="array" ref="O653">_xlfn.IFS(N653="A","א'", N653="B", "ב'", N653= "C", "ג'")</f>
        <v>א'</v>
      </c>
      <c r="P653" s="13">
        <f>IF(Table_2[[#This Row],[Correct_Answer]]=Table_2[[#This Row],[System_Recommendation]],1,0)</f>
        <v>1</v>
      </c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 spans="1:26" ht="15.75" hidden="1" customHeight="1">
      <c r="A654" s="8" t="s">
        <v>177</v>
      </c>
      <c r="B654" s="8">
        <v>26</v>
      </c>
      <c r="C654" s="9" t="s">
        <v>381</v>
      </c>
      <c r="D654" s="8">
        <v>2</v>
      </c>
      <c r="E654" s="9" t="s">
        <v>111</v>
      </c>
      <c r="F654" s="8" t="s">
        <v>384</v>
      </c>
      <c r="G654" s="8" t="s">
        <v>97</v>
      </c>
      <c r="H654" s="8" t="s">
        <v>149</v>
      </c>
      <c r="I654" s="8" t="s">
        <v>91</v>
      </c>
      <c r="J654" s="9" t="s">
        <v>380</v>
      </c>
      <c r="K654" s="8" t="str">
        <f>VLOOKUP(LEFT(H654,7),'קטלוג תרחישים'!$A:$M,12,FALSE())</f>
        <v>ג'</v>
      </c>
      <c r="L654" s="8" t="str">
        <f>IF(J654="כן",K654,VLOOKUP(LEFT(H654,7),'קטלוג תרחישים'!$A:$M,13,FALSE()))</f>
        <v>ג'</v>
      </c>
      <c r="M654" s="13"/>
      <c r="N654" s="50" t="s">
        <v>366</v>
      </c>
      <c r="O654" s="13" t="str">
        <f t="array" ref="O654">_xlfn.IFS(N654="A","א'", N654="B", "ב'", N654= "C", "ג'")</f>
        <v>ג'</v>
      </c>
      <c r="P654" s="13">
        <f>IF(Table_2[[#This Row],[Correct_Answer]]=Table_2[[#This Row],[System_Recommendation]],1,0)</f>
        <v>1</v>
      </c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 spans="1:26" ht="15.75" hidden="1" customHeight="1">
      <c r="A655" s="8" t="s">
        <v>177</v>
      </c>
      <c r="B655" s="8">
        <v>27</v>
      </c>
      <c r="C655" s="9" t="s">
        <v>381</v>
      </c>
      <c r="D655" s="8">
        <v>2</v>
      </c>
      <c r="E655" s="9" t="s">
        <v>111</v>
      </c>
      <c r="F655" s="8" t="s">
        <v>384</v>
      </c>
      <c r="G655" s="8" t="s">
        <v>97</v>
      </c>
      <c r="H655" s="8" t="s">
        <v>150</v>
      </c>
      <c r="I655" s="8" t="s">
        <v>100</v>
      </c>
      <c r="J655" s="9" t="s">
        <v>383</v>
      </c>
      <c r="K655" s="8" t="str">
        <f>VLOOKUP(LEFT(H655,7),'קטלוג תרחישים'!$A:$M,12,FALSE())</f>
        <v>ב'</v>
      </c>
      <c r="L655" s="8" t="str">
        <f>IF(J655="כן",K655,VLOOKUP(LEFT(H655,7),'קטלוג תרחישים'!$A:$M,13,FALSE()))</f>
        <v>א'</v>
      </c>
      <c r="M655" s="13"/>
      <c r="N655" s="51" t="s">
        <v>365</v>
      </c>
      <c r="O655" s="13" t="str">
        <f t="array" ref="O655">_xlfn.IFS(N655="A","א'", N655="B", "ב'", N655= "C", "ג'")</f>
        <v>ב'</v>
      </c>
      <c r="P655" s="13">
        <f>IF(Table_2[[#This Row],[Correct_Answer]]=Table_2[[#This Row],[System_Recommendation]],1,0)</f>
        <v>0</v>
      </c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 spans="1:26" ht="15.75" hidden="1" customHeight="1">
      <c r="A656" s="8" t="s">
        <v>177</v>
      </c>
      <c r="B656" s="8">
        <v>28</v>
      </c>
      <c r="C656" s="9" t="s">
        <v>381</v>
      </c>
      <c r="D656" s="8">
        <v>2</v>
      </c>
      <c r="E656" s="9" t="s">
        <v>111</v>
      </c>
      <c r="F656" s="8" t="s">
        <v>384</v>
      </c>
      <c r="G656" s="8" t="s">
        <v>97</v>
      </c>
      <c r="H656" s="8" t="s">
        <v>151</v>
      </c>
      <c r="I656" s="8" t="s">
        <v>91</v>
      </c>
      <c r="J656" s="9" t="s">
        <v>380</v>
      </c>
      <c r="K656" s="8" t="str">
        <f>VLOOKUP(LEFT(H656,7),'קטלוג תרחישים'!$A:$M,12,FALSE())</f>
        <v>א'</v>
      </c>
      <c r="L656" s="8" t="str">
        <f>IF(J656="כן",K656,VLOOKUP(LEFT(H656,7),'קטלוג תרחישים'!$A:$M,13,FALSE()))</f>
        <v>א'</v>
      </c>
      <c r="M656" s="13"/>
      <c r="N656" s="50" t="s">
        <v>366</v>
      </c>
      <c r="O656" s="13" t="str">
        <f t="array" ref="O656">_xlfn.IFS(N656="A","א'", N656="B", "ב'", N656= "C", "ג'")</f>
        <v>ג'</v>
      </c>
      <c r="P656" s="13">
        <f>IF(Table_2[[#This Row],[Correct_Answer]]=Table_2[[#This Row],[System_Recommendation]],1,0)</f>
        <v>1</v>
      </c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 spans="1:26" ht="15.75" hidden="1" customHeight="1">
      <c r="A657" s="8" t="s">
        <v>177</v>
      </c>
      <c r="B657" s="8">
        <v>29</v>
      </c>
      <c r="C657" s="9" t="s">
        <v>381</v>
      </c>
      <c r="D657" s="8">
        <v>3</v>
      </c>
      <c r="E657" s="9" t="s">
        <v>98</v>
      </c>
      <c r="F657" s="8" t="s">
        <v>384</v>
      </c>
      <c r="G657" s="8" t="s">
        <v>97</v>
      </c>
      <c r="H657" s="8" t="s">
        <v>154</v>
      </c>
      <c r="I657" s="8" t="s">
        <v>91</v>
      </c>
      <c r="J657" s="9" t="s">
        <v>380</v>
      </c>
      <c r="K657" s="8" t="str">
        <f>VLOOKUP(LEFT(H657,7),'קטלוג תרחישים'!$A:$M,12,FALSE())</f>
        <v>ג'</v>
      </c>
      <c r="L657" s="8" t="str">
        <f>IF(J657="כן",K657,VLOOKUP(LEFT(H657,7),'קטלוג תרחישים'!$A:$M,13,FALSE()))</f>
        <v>ג'</v>
      </c>
      <c r="M657" s="13"/>
      <c r="N657" s="51" t="s">
        <v>366</v>
      </c>
      <c r="O657" s="13" t="str">
        <f t="array" ref="O657">_xlfn.IFS(N657="A","א'", N657="B", "ב'", N657= "C", "ג'")</f>
        <v>ג'</v>
      </c>
      <c r="P657" s="13">
        <f>IF(Table_2[[#This Row],[Correct_Answer]]=Table_2[[#This Row],[System_Recommendation]],1,0)</f>
        <v>1</v>
      </c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 spans="1:26" ht="15.75" hidden="1" customHeight="1">
      <c r="A658" s="8" t="s">
        <v>177</v>
      </c>
      <c r="B658" s="8">
        <v>30</v>
      </c>
      <c r="C658" s="9" t="s">
        <v>381</v>
      </c>
      <c r="D658" s="8">
        <v>3</v>
      </c>
      <c r="E658" s="9" t="s">
        <v>98</v>
      </c>
      <c r="F658" s="8" t="s">
        <v>384</v>
      </c>
      <c r="G658" s="8" t="s">
        <v>97</v>
      </c>
      <c r="H658" s="8" t="s">
        <v>153</v>
      </c>
      <c r="I658" s="8" t="s">
        <v>100</v>
      </c>
      <c r="J658" s="9" t="s">
        <v>380</v>
      </c>
      <c r="K658" s="8" t="str">
        <f>VLOOKUP(LEFT(H658,7),'קטלוג תרחישים'!$A:$M,12,FALSE())</f>
        <v>א'</v>
      </c>
      <c r="L658" s="8" t="str">
        <f>IF(J658="כן",K658,VLOOKUP(LEFT(H658,7),'קטלוג תרחישים'!$A:$M,13,FALSE()))</f>
        <v>א'</v>
      </c>
      <c r="M658" s="13"/>
      <c r="N658" s="50" t="s">
        <v>365</v>
      </c>
      <c r="O658" s="13" t="str">
        <f t="array" ref="O658">_xlfn.IFS(N658="A","א'", N658="B", "ב'", N658= "C", "ג'")</f>
        <v>ב'</v>
      </c>
      <c r="P658" s="13">
        <f>IF(Table_2[[#This Row],[Correct_Answer]]=Table_2[[#This Row],[System_Recommendation]],1,0)</f>
        <v>1</v>
      </c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 spans="1:26" ht="15.75" hidden="1" customHeight="1">
      <c r="A659" s="8" t="s">
        <v>177</v>
      </c>
      <c r="B659" s="8">
        <v>31</v>
      </c>
      <c r="C659" s="9" t="s">
        <v>381</v>
      </c>
      <c r="D659" s="8">
        <v>3</v>
      </c>
      <c r="E659" s="9" t="s">
        <v>98</v>
      </c>
      <c r="F659" s="8" t="s">
        <v>384</v>
      </c>
      <c r="G659" s="8" t="s">
        <v>97</v>
      </c>
      <c r="H659" s="8" t="s">
        <v>156</v>
      </c>
      <c r="I659" s="8" t="s">
        <v>91</v>
      </c>
      <c r="J659" s="9" t="s">
        <v>380</v>
      </c>
      <c r="K659" s="8" t="str">
        <f>VLOOKUP(LEFT(H659,7),'קטלוג תרחישים'!$A:$M,12,FALSE())</f>
        <v>ב'</v>
      </c>
      <c r="L659" s="8" t="str">
        <f>IF(J659="כן",K659,VLOOKUP(LEFT(H659,7),'קטלוג תרחישים'!$A:$M,13,FALSE()))</f>
        <v>ב'</v>
      </c>
      <c r="M659" s="13"/>
      <c r="N659" s="51" t="s">
        <v>366</v>
      </c>
      <c r="O659" s="13" t="str">
        <f t="array" ref="O659">_xlfn.IFS(N659="A","א'", N659="B", "ב'", N659= "C", "ג'")</f>
        <v>ג'</v>
      </c>
      <c r="P659" s="13">
        <f>IF(Table_2[[#This Row],[Correct_Answer]]=Table_2[[#This Row],[System_Recommendation]],1,0)</f>
        <v>1</v>
      </c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 spans="1:26" ht="15.75" hidden="1" customHeight="1">
      <c r="A660" s="8" t="s">
        <v>177</v>
      </c>
      <c r="B660" s="8">
        <v>32</v>
      </c>
      <c r="C660" s="9" t="s">
        <v>381</v>
      </c>
      <c r="D660" s="8">
        <v>3</v>
      </c>
      <c r="E660" s="9" t="s">
        <v>98</v>
      </c>
      <c r="F660" s="8" t="s">
        <v>384</v>
      </c>
      <c r="G660" s="8" t="s">
        <v>97</v>
      </c>
      <c r="H660" s="8" t="s">
        <v>155</v>
      </c>
      <c r="I660" s="8" t="s">
        <v>100</v>
      </c>
      <c r="J660" s="9" t="s">
        <v>380</v>
      </c>
      <c r="K660" s="8" t="str">
        <f>VLOOKUP(LEFT(H660,7),'קטלוג תרחישים'!$A:$M,12,FALSE())</f>
        <v>ג'</v>
      </c>
      <c r="L660" s="8" t="str">
        <f>IF(J660="כן",K660,VLOOKUP(LEFT(H660,7),'קטלוג תרחישים'!$A:$M,13,FALSE()))</f>
        <v>ג'</v>
      </c>
      <c r="M660" s="13"/>
      <c r="N660" s="50" t="s">
        <v>360</v>
      </c>
      <c r="O660" s="13" t="str">
        <f t="array" ref="O660">_xlfn.IFS(N660="A","א'", N660="B", "ב'", N660= "C", "ג'")</f>
        <v>א'</v>
      </c>
      <c r="P660" s="13">
        <f>IF(Table_2[[#This Row],[Correct_Answer]]=Table_2[[#This Row],[System_Recommendation]],1,0)</f>
        <v>1</v>
      </c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 spans="1:26" ht="15.75" hidden="1" customHeight="1">
      <c r="A661" s="8" t="s">
        <v>177</v>
      </c>
      <c r="B661" s="8">
        <v>33</v>
      </c>
      <c r="C661" s="9" t="s">
        <v>381</v>
      </c>
      <c r="D661" s="8">
        <v>3</v>
      </c>
      <c r="E661" s="9" t="s">
        <v>98</v>
      </c>
      <c r="F661" s="8" t="s">
        <v>384</v>
      </c>
      <c r="G661" s="8" t="s">
        <v>97</v>
      </c>
      <c r="H661" s="8" t="s">
        <v>152</v>
      </c>
      <c r="I661" s="8" t="s">
        <v>91</v>
      </c>
      <c r="J661" s="9" t="s">
        <v>383</v>
      </c>
      <c r="K661" s="8" t="str">
        <f>VLOOKUP(LEFT(H661,7),'קטלוג תרחישים'!$A:$M,12,FALSE())</f>
        <v>ג'</v>
      </c>
      <c r="L661" s="8" t="str">
        <f>IF(J661="כן",K661,VLOOKUP(LEFT(H661,7),'קטלוג תרחישים'!$A:$M,13,FALSE()))</f>
        <v>ב'</v>
      </c>
      <c r="M661" s="13"/>
      <c r="N661" s="51" t="s">
        <v>360</v>
      </c>
      <c r="O661" s="13" t="str">
        <f t="array" ref="O661">_xlfn.IFS(N661="A","א'", N661="B", "ב'", N661= "C", "ג'")</f>
        <v>א'</v>
      </c>
      <c r="P661" s="13">
        <f>IF(Table_2[[#This Row],[Correct_Answer]]=Table_2[[#This Row],[System_Recommendation]],1,0)</f>
        <v>0</v>
      </c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 spans="1:26" ht="15.75" hidden="1" customHeight="1">
      <c r="A662" s="8" t="s">
        <v>178</v>
      </c>
      <c r="B662" s="8">
        <v>1</v>
      </c>
      <c r="C662" s="9" t="s">
        <v>379</v>
      </c>
      <c r="D662" s="8"/>
      <c r="E662" s="9" t="s">
        <v>98</v>
      </c>
      <c r="F662" s="8"/>
      <c r="G662" s="8"/>
      <c r="H662" s="11" t="s">
        <v>90</v>
      </c>
      <c r="I662" s="8" t="s">
        <v>91</v>
      </c>
      <c r="J662" s="9" t="s">
        <v>380</v>
      </c>
      <c r="K662" s="8" t="str">
        <f>VLOOKUP(LEFT(H662,7),'קטלוג תרחישים'!$A:$M,12,FALSE())</f>
        <v>א'</v>
      </c>
      <c r="L662" s="8" t="str">
        <f>IF(J662="כן",K662,VLOOKUP(LEFT(H662,7),'קטלוג תרחישים'!$A:$M,13,FALSE()))</f>
        <v>א'</v>
      </c>
      <c r="M662" s="13"/>
      <c r="N662" s="50" t="s">
        <v>366</v>
      </c>
      <c r="O662" s="13" t="str">
        <f t="array" ref="O662">_xlfn.IFS(N662="A","א'", N662="B", "ב'", N662= "C", "ג'")</f>
        <v>ג'</v>
      </c>
      <c r="P662" s="13">
        <f>IF(Table_2[[#This Row],[Correct_Answer]]=Table_2[[#This Row],[System_Recommendation]],1,0)</f>
        <v>1</v>
      </c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 spans="1:26" ht="15.75" hidden="1" customHeight="1">
      <c r="A663" s="8" t="s">
        <v>178</v>
      </c>
      <c r="B663" s="8">
        <v>2</v>
      </c>
      <c r="C663" s="9" t="s">
        <v>379</v>
      </c>
      <c r="D663" s="8"/>
      <c r="E663" s="9" t="s">
        <v>98</v>
      </c>
      <c r="F663" s="8"/>
      <c r="G663" s="8"/>
      <c r="H663" s="11" t="s">
        <v>92</v>
      </c>
      <c r="I663" s="8" t="s">
        <v>91</v>
      </c>
      <c r="J663" s="9" t="s">
        <v>380</v>
      </c>
      <c r="K663" s="8" t="str">
        <f>VLOOKUP(LEFT(H663,7),'קטלוג תרחישים'!$A:$M,12,FALSE())</f>
        <v>א'</v>
      </c>
      <c r="L663" s="8" t="str">
        <f>IF(J663="כן",K663,VLOOKUP(LEFT(H663,7),'קטלוג תרחישים'!$A:$M,13,FALSE()))</f>
        <v>א'</v>
      </c>
      <c r="M663" s="13"/>
      <c r="N663" s="51" t="s">
        <v>366</v>
      </c>
      <c r="O663" s="13" t="str">
        <f t="array" ref="O663">_xlfn.IFS(N663="A","א'", N663="B", "ב'", N663= "C", "ג'")</f>
        <v>ג'</v>
      </c>
      <c r="P663" s="13">
        <f>IF(Table_2[[#This Row],[Correct_Answer]]=Table_2[[#This Row],[System_Recommendation]],1,0)</f>
        <v>1</v>
      </c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 spans="1:26" ht="15.75" hidden="1" customHeight="1">
      <c r="A664" s="8" t="s">
        <v>178</v>
      </c>
      <c r="B664" s="8">
        <v>3</v>
      </c>
      <c r="C664" s="9" t="s">
        <v>379</v>
      </c>
      <c r="D664" s="8"/>
      <c r="E664" s="9" t="s">
        <v>105</v>
      </c>
      <c r="F664" s="8"/>
      <c r="G664" s="8"/>
      <c r="H664" s="11" t="s">
        <v>93</v>
      </c>
      <c r="I664" s="8" t="s">
        <v>91</v>
      </c>
      <c r="J664" s="9" t="s">
        <v>380</v>
      </c>
      <c r="K664" s="8" t="str">
        <f>VLOOKUP(LEFT(H664,7),'קטלוג תרחישים'!$A:$M,12,FALSE())</f>
        <v>א'</v>
      </c>
      <c r="L664" s="8" t="str">
        <f>IF(J664="כן",K664,VLOOKUP(LEFT(H664,7),'קטלוג תרחישים'!$A:$M,13,FALSE()))</f>
        <v>א'</v>
      </c>
      <c r="M664" s="13"/>
      <c r="N664" s="50" t="s">
        <v>366</v>
      </c>
      <c r="O664" s="13" t="str">
        <f t="array" ref="O664">_xlfn.IFS(N664="A","א'", N664="B", "ב'", N664= "C", "ג'")</f>
        <v>ג'</v>
      </c>
      <c r="P664" s="13">
        <f>IF(Table_2[[#This Row],[Correct_Answer]]=Table_2[[#This Row],[System_Recommendation]],1,0)</f>
        <v>1</v>
      </c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 spans="1:26" ht="15.75" hidden="1" customHeight="1">
      <c r="A665" s="8" t="s">
        <v>178</v>
      </c>
      <c r="B665" s="8">
        <v>4</v>
      </c>
      <c r="C665" s="9" t="s">
        <v>379</v>
      </c>
      <c r="D665" s="8"/>
      <c r="E665" s="9" t="s">
        <v>105</v>
      </c>
      <c r="F665" s="8"/>
      <c r="G665" s="8"/>
      <c r="H665" s="11" t="s">
        <v>94</v>
      </c>
      <c r="I665" s="8" t="s">
        <v>91</v>
      </c>
      <c r="J665" s="9" t="s">
        <v>380</v>
      </c>
      <c r="K665" s="8" t="str">
        <f>VLOOKUP(LEFT(H665,7),'קטלוג תרחישים'!$A:$M,12,FALSE())</f>
        <v>א'</v>
      </c>
      <c r="L665" s="8" t="str">
        <f>IF(J665="כן",K665,VLOOKUP(LEFT(H665,7),'קטלוג תרחישים'!$A:$M,13,FALSE()))</f>
        <v>א'</v>
      </c>
      <c r="M665" s="13"/>
      <c r="N665" s="51" t="s">
        <v>365</v>
      </c>
      <c r="O665" s="13" t="str">
        <f t="array" ref="O665">_xlfn.IFS(N665="A","א'", N665="B", "ב'", N665= "C", "ג'")</f>
        <v>ב'</v>
      </c>
      <c r="P665" s="13">
        <f>IF(Table_2[[#This Row],[Correct_Answer]]=Table_2[[#This Row],[System_Recommendation]],1,0)</f>
        <v>1</v>
      </c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 spans="1:26" ht="15.75" hidden="1" customHeight="1">
      <c r="A666" s="8" t="s">
        <v>178</v>
      </c>
      <c r="B666" s="8">
        <v>5</v>
      </c>
      <c r="C666" s="9" t="s">
        <v>379</v>
      </c>
      <c r="D666" s="8"/>
      <c r="E666" s="9" t="s">
        <v>111</v>
      </c>
      <c r="F666" s="8"/>
      <c r="G666" s="8"/>
      <c r="H666" s="11" t="s">
        <v>95</v>
      </c>
      <c r="I666" s="8" t="s">
        <v>91</v>
      </c>
      <c r="J666" s="9" t="s">
        <v>380</v>
      </c>
      <c r="K666" s="8" t="str">
        <f>VLOOKUP(LEFT(H666,7),'קטלוג תרחישים'!$A:$M,12,FALSE())</f>
        <v>ב'</v>
      </c>
      <c r="L666" s="8" t="str">
        <f>IF(J666="כן",K666,VLOOKUP(LEFT(H666,7),'קטלוג תרחישים'!$A:$M,13,FALSE()))</f>
        <v>ב'</v>
      </c>
      <c r="M666" s="13"/>
      <c r="N666" s="50" t="s">
        <v>360</v>
      </c>
      <c r="O666" s="13" t="str">
        <f t="array" ref="O666">_xlfn.IFS(N666="A","א'", N666="B", "ב'", N666= "C", "ג'")</f>
        <v>א'</v>
      </c>
      <c r="P666" s="13">
        <f>IF(Table_2[[#This Row],[Correct_Answer]]=Table_2[[#This Row],[System_Recommendation]],1,0)</f>
        <v>1</v>
      </c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 spans="1:26" ht="15.75" customHeight="1">
      <c r="A667" s="8" t="s">
        <v>178</v>
      </c>
      <c r="B667" s="8">
        <v>6</v>
      </c>
      <c r="C667" s="9" t="s">
        <v>379</v>
      </c>
      <c r="D667" s="8"/>
      <c r="E667" s="9" t="s">
        <v>111</v>
      </c>
      <c r="F667" s="8"/>
      <c r="G667" s="8"/>
      <c r="H667" s="11" t="s">
        <v>96</v>
      </c>
      <c r="I667" s="8" t="s">
        <v>91</v>
      </c>
      <c r="J667" s="9" t="s">
        <v>380</v>
      </c>
      <c r="K667" s="8" t="str">
        <f>VLOOKUP(LEFT(H667,7),'קטלוג תרחישים'!$A:$M,12,FALSE())</f>
        <v>ב'</v>
      </c>
      <c r="L667" s="8" t="str">
        <f>IF(J667="כן",K667,VLOOKUP(LEFT(H667,7),'קטלוג תרחישים'!$A:$M,13,FALSE()))</f>
        <v>ב'</v>
      </c>
      <c r="M667" s="13"/>
      <c r="N667" s="51" t="s">
        <v>366</v>
      </c>
      <c r="O667" s="13" t="str">
        <f t="array" ref="O667">_xlfn.IFS(N667="A","א'", N667="B", "ב'", N667= "C", "ג'")</f>
        <v>ג'</v>
      </c>
      <c r="P667" s="13">
        <f>IF(Table_2[[#This Row],[Correct_Answer]]=Table_2[[#This Row],[System_Recommendation]],1,0)</f>
        <v>1</v>
      </c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 spans="1:26" ht="15.75" hidden="1" customHeight="1">
      <c r="A668" s="8" t="s">
        <v>178</v>
      </c>
      <c r="B668" s="8">
        <v>7</v>
      </c>
      <c r="C668" s="9" t="s">
        <v>381</v>
      </c>
      <c r="D668" s="8">
        <v>1</v>
      </c>
      <c r="E668" s="9" t="s">
        <v>111</v>
      </c>
      <c r="F668" s="8" t="s">
        <v>382</v>
      </c>
      <c r="G668" s="8" t="s">
        <v>97</v>
      </c>
      <c r="H668" s="8" t="s">
        <v>179</v>
      </c>
      <c r="I668" s="8" t="s">
        <v>100</v>
      </c>
      <c r="J668" s="9" t="s">
        <v>380</v>
      </c>
      <c r="K668" s="8" t="str">
        <f>VLOOKUP(LEFT(H668,7),'קטלוג תרחישים'!$A:$M,12,FALSE())</f>
        <v>ב'</v>
      </c>
      <c r="L668" s="8" t="str">
        <f>IF(J668="כן",K668,VLOOKUP(LEFT(H668,7),'קטלוג תרחישים'!$A:$M,13,FALSE()))</f>
        <v>ב'</v>
      </c>
      <c r="M668" s="13"/>
      <c r="N668" s="50" t="s">
        <v>366</v>
      </c>
      <c r="O668" s="13" t="str">
        <f t="array" ref="O668">_xlfn.IFS(N668="A","א'", N668="B", "ב'", N668= "C", "ג'")</f>
        <v>ג'</v>
      </c>
      <c r="P668" s="13">
        <f>IF(Table_2[[#This Row],[Correct_Answer]]=Table_2[[#This Row],[System_Recommendation]],1,0)</f>
        <v>1</v>
      </c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 spans="1:26" ht="15.75" hidden="1" customHeight="1">
      <c r="A669" s="8" t="s">
        <v>178</v>
      </c>
      <c r="B669" s="8">
        <v>8</v>
      </c>
      <c r="C669" s="9" t="s">
        <v>381</v>
      </c>
      <c r="D669" s="8">
        <v>1</v>
      </c>
      <c r="E669" s="9" t="s">
        <v>111</v>
      </c>
      <c r="F669" s="8" t="s">
        <v>382</v>
      </c>
      <c r="G669" s="8" t="s">
        <v>97</v>
      </c>
      <c r="H669" s="8" t="s">
        <v>180</v>
      </c>
      <c r="I669" s="8" t="s">
        <v>91</v>
      </c>
      <c r="J669" s="9" t="s">
        <v>380</v>
      </c>
      <c r="K669" s="8" t="str">
        <f>VLOOKUP(LEFT(H669,7),'קטלוג תרחישים'!$A:$M,12,FALSE())</f>
        <v>א'</v>
      </c>
      <c r="L669" s="8" t="str">
        <f>IF(J669="כן",K669,VLOOKUP(LEFT(H669,7),'קטלוג תרחישים'!$A:$M,13,FALSE()))</f>
        <v>א'</v>
      </c>
      <c r="M669" s="13"/>
      <c r="N669" s="51" t="s">
        <v>365</v>
      </c>
      <c r="O669" s="13" t="str">
        <f t="array" ref="O669">_xlfn.IFS(N669="A","א'", N669="B", "ב'", N669= "C", "ג'")</f>
        <v>ב'</v>
      </c>
      <c r="P669" s="13">
        <f>IF(Table_2[[#This Row],[Correct_Answer]]=Table_2[[#This Row],[System_Recommendation]],1,0)</f>
        <v>1</v>
      </c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 spans="1:26" ht="15.75" hidden="1" customHeight="1">
      <c r="A670" s="8" t="s">
        <v>178</v>
      </c>
      <c r="B670" s="8">
        <v>9</v>
      </c>
      <c r="C670" s="9" t="s">
        <v>381</v>
      </c>
      <c r="D670" s="8">
        <v>1</v>
      </c>
      <c r="E670" s="9" t="s">
        <v>111</v>
      </c>
      <c r="F670" s="8" t="s">
        <v>382</v>
      </c>
      <c r="G670" s="8" t="s">
        <v>97</v>
      </c>
      <c r="H670" s="8" t="s">
        <v>181</v>
      </c>
      <c r="I670" s="8" t="s">
        <v>100</v>
      </c>
      <c r="J670" s="9" t="s">
        <v>380</v>
      </c>
      <c r="K670" s="8" t="str">
        <f>VLOOKUP(LEFT(H670,7),'קטלוג תרחישים'!$A:$M,12,FALSE())</f>
        <v>ג'</v>
      </c>
      <c r="L670" s="8" t="str">
        <f>IF(J670="כן",K670,VLOOKUP(LEFT(H670,7),'קטלוג תרחישים'!$A:$M,13,FALSE()))</f>
        <v>ג'</v>
      </c>
      <c r="M670" s="13"/>
      <c r="N670" s="50" t="s">
        <v>365</v>
      </c>
      <c r="O670" s="13" t="str">
        <f t="array" ref="O670">_xlfn.IFS(N670="A","א'", N670="B", "ב'", N670= "C", "ג'")</f>
        <v>ב'</v>
      </c>
      <c r="P670" s="13">
        <f>IF(Table_2[[#This Row],[Correct_Answer]]=Table_2[[#This Row],[System_Recommendation]],1,0)</f>
        <v>1</v>
      </c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 spans="1:26" ht="15.75" hidden="1" customHeight="1">
      <c r="A671" s="8" t="s">
        <v>178</v>
      </c>
      <c r="B671" s="8">
        <v>10</v>
      </c>
      <c r="C671" s="9" t="s">
        <v>381</v>
      </c>
      <c r="D671" s="8">
        <v>1</v>
      </c>
      <c r="E671" s="9" t="s">
        <v>111</v>
      </c>
      <c r="F671" s="8" t="s">
        <v>382</v>
      </c>
      <c r="G671" s="8" t="s">
        <v>97</v>
      </c>
      <c r="H671" s="8" t="s">
        <v>182</v>
      </c>
      <c r="I671" s="8" t="s">
        <v>91</v>
      </c>
      <c r="J671" s="9" t="s">
        <v>383</v>
      </c>
      <c r="K671" s="8" t="str">
        <f>VLOOKUP(LEFT(H671,7),'קטלוג תרחישים'!$A:$M,12,FALSE())</f>
        <v>ב'</v>
      </c>
      <c r="L671" s="8" t="str">
        <f>IF(J671="כן",K671,VLOOKUP(LEFT(H671,7),'קטלוג תרחישים'!$A:$M,13,FALSE()))</f>
        <v>ג'</v>
      </c>
      <c r="M671" s="13"/>
      <c r="N671" s="51" t="s">
        <v>365</v>
      </c>
      <c r="O671" s="13" t="str">
        <f t="array" ref="O671">_xlfn.IFS(N671="A","א'", N671="B", "ב'", N671= "C", "ג'")</f>
        <v>ב'</v>
      </c>
      <c r="P671" s="13">
        <f>IF(Table_2[[#This Row],[Correct_Answer]]=Table_2[[#This Row],[System_Recommendation]],1,0)</f>
        <v>0</v>
      </c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 spans="1:26" ht="15.75" hidden="1" customHeight="1">
      <c r="A672" s="8" t="s">
        <v>178</v>
      </c>
      <c r="B672" s="8">
        <v>11</v>
      </c>
      <c r="C672" s="9" t="s">
        <v>381</v>
      </c>
      <c r="D672" s="8">
        <v>1</v>
      </c>
      <c r="E672" s="9" t="s">
        <v>111</v>
      </c>
      <c r="F672" s="8" t="s">
        <v>382</v>
      </c>
      <c r="G672" s="8" t="s">
        <v>97</v>
      </c>
      <c r="H672" s="8" t="s">
        <v>183</v>
      </c>
      <c r="I672" s="8" t="s">
        <v>100</v>
      </c>
      <c r="J672" s="9" t="s">
        <v>380</v>
      </c>
      <c r="K672" s="8" t="str">
        <f>VLOOKUP(LEFT(H672,7),'קטלוג תרחישים'!$A:$M,12,FALSE())</f>
        <v>ג'</v>
      </c>
      <c r="L672" s="8" t="str">
        <f>IF(J672="כן",K672,VLOOKUP(LEFT(H672,7),'קטלוג תרחישים'!$A:$M,13,FALSE()))</f>
        <v>ג'</v>
      </c>
      <c r="M672" s="13"/>
      <c r="N672" s="50" t="s">
        <v>360</v>
      </c>
      <c r="O672" s="13" t="str">
        <f t="array" ref="O672">_xlfn.IFS(N672="A","א'", N672="B", "ב'", N672= "C", "ג'")</f>
        <v>א'</v>
      </c>
      <c r="P672" s="13">
        <f>IF(Table_2[[#This Row],[Correct_Answer]]=Table_2[[#This Row],[System_Recommendation]],1,0)</f>
        <v>1</v>
      </c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 spans="1:26" ht="15.75" hidden="1" customHeight="1">
      <c r="A673" s="8" t="s">
        <v>178</v>
      </c>
      <c r="B673" s="8">
        <v>12</v>
      </c>
      <c r="C673" s="9" t="s">
        <v>381</v>
      </c>
      <c r="D673" s="8">
        <v>2</v>
      </c>
      <c r="E673" s="9" t="s">
        <v>98</v>
      </c>
      <c r="F673" s="8" t="s">
        <v>382</v>
      </c>
      <c r="G673" s="8" t="s">
        <v>97</v>
      </c>
      <c r="H673" s="8" t="s">
        <v>184</v>
      </c>
      <c r="I673" s="8" t="s">
        <v>91</v>
      </c>
      <c r="J673" s="9" t="s">
        <v>380</v>
      </c>
      <c r="K673" s="8" t="str">
        <f>VLOOKUP(LEFT(H673,7),'קטלוג תרחישים'!$A:$M,12,FALSE())</f>
        <v>ג'</v>
      </c>
      <c r="L673" s="8" t="str">
        <f>IF(J673="כן",K673,VLOOKUP(LEFT(H673,7),'קטלוג תרחישים'!$A:$M,13,FALSE()))</f>
        <v>ג'</v>
      </c>
      <c r="M673" s="13"/>
      <c r="N673" s="51" t="s">
        <v>366</v>
      </c>
      <c r="O673" s="13" t="str">
        <f t="array" ref="O673">_xlfn.IFS(N673="A","א'", N673="B", "ב'", N673= "C", "ג'")</f>
        <v>ג'</v>
      </c>
      <c r="P673" s="13">
        <f>IF(Table_2[[#This Row],[Correct_Answer]]=Table_2[[#This Row],[System_Recommendation]],1,0)</f>
        <v>1</v>
      </c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 spans="1:26" ht="15.75" hidden="1" customHeight="1">
      <c r="A674" s="8" t="s">
        <v>178</v>
      </c>
      <c r="B674" s="8">
        <v>13</v>
      </c>
      <c r="C674" s="9" t="s">
        <v>381</v>
      </c>
      <c r="D674" s="8">
        <v>2</v>
      </c>
      <c r="E674" s="9" t="s">
        <v>98</v>
      </c>
      <c r="F674" s="8" t="s">
        <v>382</v>
      </c>
      <c r="G674" s="8" t="s">
        <v>97</v>
      </c>
      <c r="H674" s="8" t="s">
        <v>185</v>
      </c>
      <c r="I674" s="8" t="s">
        <v>100</v>
      </c>
      <c r="J674" s="9" t="s">
        <v>380</v>
      </c>
      <c r="K674" s="8" t="str">
        <f>VLOOKUP(LEFT(H674,7),'קטלוג תרחישים'!$A:$M,12,FALSE())</f>
        <v>ב'</v>
      </c>
      <c r="L674" s="8" t="str">
        <f>IF(J674="כן",K674,VLOOKUP(LEFT(H674,7),'קטלוג תרחישים'!$A:$M,13,FALSE()))</f>
        <v>ב'</v>
      </c>
      <c r="M674" s="13"/>
      <c r="N674" s="50" t="s">
        <v>365</v>
      </c>
      <c r="O674" s="13" t="str">
        <f t="array" ref="O674">_xlfn.IFS(N674="A","א'", N674="B", "ב'", N674= "C", "ג'")</f>
        <v>ב'</v>
      </c>
      <c r="P674" s="13">
        <f>IF(Table_2[[#This Row],[Correct_Answer]]=Table_2[[#This Row],[System_Recommendation]],1,0)</f>
        <v>1</v>
      </c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 spans="1:26" ht="15.75" hidden="1" customHeight="1">
      <c r="A675" s="8" t="s">
        <v>178</v>
      </c>
      <c r="B675" s="8">
        <v>14</v>
      </c>
      <c r="C675" s="9" t="s">
        <v>381</v>
      </c>
      <c r="D675" s="8">
        <v>2</v>
      </c>
      <c r="E675" s="9" t="s">
        <v>98</v>
      </c>
      <c r="F675" s="8" t="s">
        <v>382</v>
      </c>
      <c r="G675" s="8" t="s">
        <v>97</v>
      </c>
      <c r="H675" s="8" t="s">
        <v>186</v>
      </c>
      <c r="I675" s="8" t="s">
        <v>91</v>
      </c>
      <c r="J675" s="9" t="s">
        <v>383</v>
      </c>
      <c r="K675" s="8" t="str">
        <f>VLOOKUP(LEFT(H675,7),'קטלוג תרחישים'!$A:$M,12,FALSE())</f>
        <v>א'</v>
      </c>
      <c r="L675" s="8" t="str">
        <f>IF(J675="כן",K675,VLOOKUP(LEFT(H675,7),'קטלוג תרחישים'!$A:$M,13,FALSE()))</f>
        <v>ב'</v>
      </c>
      <c r="M675" s="13"/>
      <c r="N675" s="51" t="s">
        <v>366</v>
      </c>
      <c r="O675" s="13" t="str">
        <f t="array" ref="O675">_xlfn.IFS(N675="A","א'", N675="B", "ב'", N675= "C", "ג'")</f>
        <v>ג'</v>
      </c>
      <c r="P675" s="13">
        <f>IF(Table_2[[#This Row],[Correct_Answer]]=Table_2[[#This Row],[System_Recommendation]],1,0)</f>
        <v>0</v>
      </c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 spans="1:26" ht="15.75" hidden="1" customHeight="1">
      <c r="A676" s="8" t="s">
        <v>178</v>
      </c>
      <c r="B676" s="8">
        <v>15</v>
      </c>
      <c r="C676" s="9" t="s">
        <v>381</v>
      </c>
      <c r="D676" s="8">
        <v>2</v>
      </c>
      <c r="E676" s="9" t="s">
        <v>98</v>
      </c>
      <c r="F676" s="8" t="s">
        <v>382</v>
      </c>
      <c r="G676" s="8" t="s">
        <v>97</v>
      </c>
      <c r="H676" s="8" t="s">
        <v>187</v>
      </c>
      <c r="I676" s="8" t="s">
        <v>100</v>
      </c>
      <c r="J676" s="9" t="s">
        <v>380</v>
      </c>
      <c r="K676" s="8" t="str">
        <f>VLOOKUP(LEFT(H676,7),'קטלוג תרחישים'!$A:$M,12,FALSE())</f>
        <v>ב'</v>
      </c>
      <c r="L676" s="8" t="str">
        <f>IF(J676="כן",K676,VLOOKUP(LEFT(H676,7),'קטלוג תרחישים'!$A:$M,13,FALSE()))</f>
        <v>ב'</v>
      </c>
      <c r="M676" s="13"/>
      <c r="N676" s="50" t="s">
        <v>360</v>
      </c>
      <c r="O676" s="13" t="str">
        <f t="array" ref="O676">_xlfn.IFS(N676="A","א'", N676="B", "ב'", N676= "C", "ג'")</f>
        <v>א'</v>
      </c>
      <c r="P676" s="13">
        <f>IF(Table_2[[#This Row],[Correct_Answer]]=Table_2[[#This Row],[System_Recommendation]],1,0)</f>
        <v>1</v>
      </c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 spans="1:26" ht="15.75" hidden="1" customHeight="1">
      <c r="A677" s="8" t="s">
        <v>178</v>
      </c>
      <c r="B677" s="8">
        <v>16</v>
      </c>
      <c r="C677" s="9" t="s">
        <v>381</v>
      </c>
      <c r="D677" s="8">
        <v>2</v>
      </c>
      <c r="E677" s="9" t="s">
        <v>98</v>
      </c>
      <c r="F677" s="8" t="s">
        <v>382</v>
      </c>
      <c r="G677" s="8" t="s">
        <v>97</v>
      </c>
      <c r="H677" s="8" t="s">
        <v>188</v>
      </c>
      <c r="I677" s="8" t="s">
        <v>91</v>
      </c>
      <c r="J677" s="9" t="s">
        <v>380</v>
      </c>
      <c r="K677" s="8" t="str">
        <f>VLOOKUP(LEFT(H677,7),'קטלוג תרחישים'!$A:$M,12,FALSE())</f>
        <v>ג'</v>
      </c>
      <c r="L677" s="8" t="str">
        <f>IF(J677="כן",K677,VLOOKUP(LEFT(H677,7),'קטלוג תרחישים'!$A:$M,13,FALSE()))</f>
        <v>ג'</v>
      </c>
      <c r="M677" s="13"/>
      <c r="N677" s="51" t="s">
        <v>366</v>
      </c>
      <c r="O677" s="13" t="str">
        <f t="array" ref="O677">_xlfn.IFS(N677="A","א'", N677="B", "ב'", N677= "C", "ג'")</f>
        <v>ג'</v>
      </c>
      <c r="P677" s="13">
        <f>IF(Table_2[[#This Row],[Correct_Answer]]=Table_2[[#This Row],[System_Recommendation]],1,0)</f>
        <v>1</v>
      </c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 spans="1:26" ht="15.75" hidden="1" customHeight="1">
      <c r="A678" s="8" t="s">
        <v>178</v>
      </c>
      <c r="B678" s="8">
        <v>17</v>
      </c>
      <c r="C678" s="9" t="s">
        <v>381</v>
      </c>
      <c r="D678" s="8">
        <v>3</v>
      </c>
      <c r="E678" s="9" t="s">
        <v>105</v>
      </c>
      <c r="F678" s="8" t="s">
        <v>382</v>
      </c>
      <c r="G678" s="8" t="s">
        <v>97</v>
      </c>
      <c r="H678" s="8" t="s">
        <v>189</v>
      </c>
      <c r="I678" s="8" t="s">
        <v>91</v>
      </c>
      <c r="J678" s="9" t="s">
        <v>380</v>
      </c>
      <c r="K678" s="8" t="str">
        <f>VLOOKUP(LEFT(H678,7),'קטלוג תרחישים'!$A:$M,12,FALSE())</f>
        <v>ג'</v>
      </c>
      <c r="L678" s="8" t="str">
        <f>IF(J678="כן",K678,VLOOKUP(LEFT(H678,7),'קטלוג תרחישים'!$A:$M,13,FALSE()))</f>
        <v>ג'</v>
      </c>
      <c r="M678" s="13"/>
      <c r="N678" s="50" t="s">
        <v>366</v>
      </c>
      <c r="O678" s="13" t="str">
        <f t="array" ref="O678">_xlfn.IFS(N678="A","א'", N678="B", "ב'", N678= "C", "ג'")</f>
        <v>ג'</v>
      </c>
      <c r="P678" s="13">
        <f>IF(Table_2[[#This Row],[Correct_Answer]]=Table_2[[#This Row],[System_Recommendation]],1,0)</f>
        <v>1</v>
      </c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 spans="1:26" ht="15.75" hidden="1" customHeight="1">
      <c r="A679" s="8" t="s">
        <v>178</v>
      </c>
      <c r="B679" s="8">
        <v>18</v>
      </c>
      <c r="C679" s="9" t="s">
        <v>381</v>
      </c>
      <c r="D679" s="8">
        <v>3</v>
      </c>
      <c r="E679" s="9" t="s">
        <v>105</v>
      </c>
      <c r="F679" s="8" t="s">
        <v>382</v>
      </c>
      <c r="G679" s="8" t="s">
        <v>97</v>
      </c>
      <c r="H679" s="8" t="s">
        <v>190</v>
      </c>
      <c r="I679" s="8" t="s">
        <v>100</v>
      </c>
      <c r="J679" s="9" t="s">
        <v>380</v>
      </c>
      <c r="K679" s="8" t="str">
        <f>VLOOKUP(LEFT(H679,7),'קטלוג תרחישים'!$A:$M,12,FALSE())</f>
        <v>ג'</v>
      </c>
      <c r="L679" s="8" t="str">
        <f>IF(J679="כן",K679,VLOOKUP(LEFT(H679,7),'קטלוג תרחישים'!$A:$M,13,FALSE()))</f>
        <v>ג'</v>
      </c>
      <c r="M679" s="13"/>
      <c r="N679" s="51" t="s">
        <v>365</v>
      </c>
      <c r="O679" s="13" t="str">
        <f t="array" ref="O679">_xlfn.IFS(N679="A","א'", N679="B", "ב'", N679= "C", "ג'")</f>
        <v>ב'</v>
      </c>
      <c r="P679" s="13">
        <f>IF(Table_2[[#This Row],[Correct_Answer]]=Table_2[[#This Row],[System_Recommendation]],1,0)</f>
        <v>1</v>
      </c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 spans="1:26" ht="15.75" hidden="1" customHeight="1">
      <c r="A680" s="8" t="s">
        <v>178</v>
      </c>
      <c r="B680" s="8">
        <v>19</v>
      </c>
      <c r="C680" s="9" t="s">
        <v>381</v>
      </c>
      <c r="D680" s="8">
        <v>3</v>
      </c>
      <c r="E680" s="9" t="s">
        <v>105</v>
      </c>
      <c r="F680" s="8" t="s">
        <v>382</v>
      </c>
      <c r="G680" s="8" t="s">
        <v>97</v>
      </c>
      <c r="H680" s="8" t="s">
        <v>191</v>
      </c>
      <c r="I680" s="8" t="s">
        <v>91</v>
      </c>
      <c r="J680" s="9" t="s">
        <v>383</v>
      </c>
      <c r="K680" s="8" t="str">
        <f>VLOOKUP(LEFT(H680,7),'קטלוג תרחישים'!$A:$M,12,FALSE())</f>
        <v>ג'</v>
      </c>
      <c r="L680" s="8" t="str">
        <f>IF(J680="כן",K680,VLOOKUP(LEFT(H680,7),'קטלוג תרחישים'!$A:$M,13,FALSE()))</f>
        <v>ב'</v>
      </c>
      <c r="M680" s="13"/>
      <c r="N680" s="50" t="s">
        <v>360</v>
      </c>
      <c r="O680" s="13" t="str">
        <f t="array" ref="O680">_xlfn.IFS(N680="A","א'", N680="B", "ב'", N680= "C", "ג'")</f>
        <v>א'</v>
      </c>
      <c r="P680" s="13">
        <f>IF(Table_2[[#This Row],[Correct_Answer]]=Table_2[[#This Row],[System_Recommendation]],1,0)</f>
        <v>0</v>
      </c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 spans="1:26" ht="15.75" hidden="1" customHeight="1">
      <c r="A681" s="8" t="s">
        <v>178</v>
      </c>
      <c r="B681" s="8">
        <v>20</v>
      </c>
      <c r="C681" s="9" t="s">
        <v>381</v>
      </c>
      <c r="D681" s="8">
        <v>3</v>
      </c>
      <c r="E681" s="9" t="s">
        <v>105</v>
      </c>
      <c r="F681" s="8" t="s">
        <v>382</v>
      </c>
      <c r="G681" s="8" t="s">
        <v>97</v>
      </c>
      <c r="H681" s="8" t="s">
        <v>192</v>
      </c>
      <c r="I681" s="8" t="s">
        <v>100</v>
      </c>
      <c r="J681" s="9" t="s">
        <v>380</v>
      </c>
      <c r="K681" s="8" t="str">
        <f>VLOOKUP(LEFT(H681,7),'קטלוג תרחישים'!$A:$M,12,FALSE())</f>
        <v>א'</v>
      </c>
      <c r="L681" s="8" t="str">
        <f>IF(J681="כן",K681,VLOOKUP(LEFT(H681,7),'קטלוג תרחישים'!$A:$M,13,FALSE()))</f>
        <v>א'</v>
      </c>
      <c r="M681" s="13"/>
      <c r="N681" s="51" t="s">
        <v>360</v>
      </c>
      <c r="O681" s="13" t="str">
        <f t="array" ref="O681">_xlfn.IFS(N681="A","א'", N681="B", "ב'", N681= "C", "ג'")</f>
        <v>א'</v>
      </c>
      <c r="P681" s="13">
        <f>IF(Table_2[[#This Row],[Correct_Answer]]=Table_2[[#This Row],[System_Recommendation]],1,0)</f>
        <v>1</v>
      </c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 spans="1:26" ht="15.75" hidden="1" customHeight="1">
      <c r="A682" s="8" t="s">
        <v>178</v>
      </c>
      <c r="B682" s="8">
        <v>21</v>
      </c>
      <c r="C682" s="9" t="s">
        <v>381</v>
      </c>
      <c r="D682" s="8">
        <v>3</v>
      </c>
      <c r="E682" s="9" t="s">
        <v>105</v>
      </c>
      <c r="F682" s="8" t="s">
        <v>382</v>
      </c>
      <c r="G682" s="8" t="s">
        <v>97</v>
      </c>
      <c r="H682" s="8" t="s">
        <v>193</v>
      </c>
      <c r="I682" s="8" t="s">
        <v>91</v>
      </c>
      <c r="J682" s="9" t="s">
        <v>380</v>
      </c>
      <c r="K682" s="8" t="str">
        <f>VLOOKUP(LEFT(H682,7),'קטלוג תרחישים'!$A:$M,12,FALSE())</f>
        <v>ב'</v>
      </c>
      <c r="L682" s="8" t="str">
        <f>IF(J682="כן",K682,VLOOKUP(LEFT(H682,7),'קטלוג תרחישים'!$A:$M,13,FALSE()))</f>
        <v>ב'</v>
      </c>
      <c r="M682" s="13"/>
      <c r="N682" s="50" t="s">
        <v>360</v>
      </c>
      <c r="O682" s="13" t="str">
        <f t="array" ref="O682">_xlfn.IFS(N682="A","א'", N682="B", "ב'", N682= "C", "ג'")</f>
        <v>א'</v>
      </c>
      <c r="P682" s="13">
        <f>IF(Table_2[[#This Row],[Correct_Answer]]=Table_2[[#This Row],[System_Recommendation]],1,0)</f>
        <v>1</v>
      </c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 spans="1:26" ht="15.75" hidden="1" customHeight="1">
      <c r="A683" s="8" t="s">
        <v>178</v>
      </c>
      <c r="B683" s="8">
        <v>22</v>
      </c>
      <c r="C683" s="9" t="s">
        <v>381</v>
      </c>
      <c r="D683" s="8">
        <v>1</v>
      </c>
      <c r="E683" s="9" t="s">
        <v>98</v>
      </c>
      <c r="F683" s="8" t="s">
        <v>384</v>
      </c>
      <c r="G683" s="8" t="s">
        <v>117</v>
      </c>
      <c r="H683" s="8" t="s">
        <v>194</v>
      </c>
      <c r="I683" s="8" t="s">
        <v>91</v>
      </c>
      <c r="J683" s="9" t="s">
        <v>380</v>
      </c>
      <c r="K683" s="8" t="str">
        <f>VLOOKUP(LEFT(H683,7),'קטלוג תרחישים'!$A:$M,12,FALSE())</f>
        <v>ג'</v>
      </c>
      <c r="L683" s="8" t="str">
        <f>IF(J683="כן",K683,VLOOKUP(LEFT(H683,7),'קטלוג תרחישים'!$A:$M,13,FALSE()))</f>
        <v>ג'</v>
      </c>
      <c r="M683" s="13"/>
      <c r="N683" s="51" t="s">
        <v>365</v>
      </c>
      <c r="O683" s="13" t="str">
        <f t="array" ref="O683">_xlfn.IFS(N683="A","א'", N683="B", "ב'", N683= "C", "ג'")</f>
        <v>ב'</v>
      </c>
      <c r="P683" s="13">
        <f>IF(Table_2[[#This Row],[Correct_Answer]]=Table_2[[#This Row],[System_Recommendation]],1,0)</f>
        <v>1</v>
      </c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 spans="1:26" ht="15.75" hidden="1" customHeight="1">
      <c r="A684" s="8" t="s">
        <v>178</v>
      </c>
      <c r="B684" s="8">
        <v>23</v>
      </c>
      <c r="C684" s="9" t="s">
        <v>381</v>
      </c>
      <c r="D684" s="8">
        <v>1</v>
      </c>
      <c r="E684" s="9" t="s">
        <v>98</v>
      </c>
      <c r="F684" s="8" t="s">
        <v>384</v>
      </c>
      <c r="G684" s="8" t="s">
        <v>117</v>
      </c>
      <c r="H684" s="8" t="s">
        <v>195</v>
      </c>
      <c r="I684" s="8" t="s">
        <v>100</v>
      </c>
      <c r="J684" s="9" t="s">
        <v>380</v>
      </c>
      <c r="K684" s="8" t="str">
        <f>VLOOKUP(LEFT(H684,7),'קטלוג תרחישים'!$A:$M,12,FALSE())</f>
        <v>ג'</v>
      </c>
      <c r="L684" s="8" t="str">
        <f>IF(J684="כן",K684,VLOOKUP(LEFT(H684,7),'קטלוג תרחישים'!$A:$M,13,FALSE()))</f>
        <v>ג'</v>
      </c>
      <c r="M684" s="13"/>
      <c r="N684" s="50" t="s">
        <v>365</v>
      </c>
      <c r="O684" s="13" t="str">
        <f t="array" ref="O684">_xlfn.IFS(N684="A","א'", N684="B", "ב'", N684= "C", "ג'")</f>
        <v>ב'</v>
      </c>
      <c r="P684" s="13">
        <f>IF(Table_2[[#This Row],[Correct_Answer]]=Table_2[[#This Row],[System_Recommendation]],1,0)</f>
        <v>1</v>
      </c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 spans="1:26" ht="15.75" hidden="1" customHeight="1">
      <c r="A685" s="8" t="s">
        <v>178</v>
      </c>
      <c r="B685" s="8">
        <v>24</v>
      </c>
      <c r="C685" s="9" t="s">
        <v>381</v>
      </c>
      <c r="D685" s="8">
        <v>1</v>
      </c>
      <c r="E685" s="9" t="s">
        <v>98</v>
      </c>
      <c r="F685" s="8" t="s">
        <v>384</v>
      </c>
      <c r="G685" s="8" t="s">
        <v>117</v>
      </c>
      <c r="H685" s="8" t="s">
        <v>196</v>
      </c>
      <c r="I685" s="8" t="s">
        <v>91</v>
      </c>
      <c r="J685" s="9" t="s">
        <v>383</v>
      </c>
      <c r="K685" s="8" t="str">
        <f>VLOOKUP(LEFT(H685,7),'קטלוג תרחישים'!$A:$M,12,FALSE())</f>
        <v>ג'</v>
      </c>
      <c r="L685" s="8" t="str">
        <f>IF(J685="כן",K685,VLOOKUP(LEFT(H685,7),'קטלוג תרחישים'!$A:$M,13,FALSE()))</f>
        <v>א'</v>
      </c>
      <c r="M685" s="13"/>
      <c r="N685" s="51" t="s">
        <v>366</v>
      </c>
      <c r="O685" s="13" t="str">
        <f t="array" ref="O685">_xlfn.IFS(N685="A","א'", N685="B", "ב'", N685= "C", "ג'")</f>
        <v>ג'</v>
      </c>
      <c r="P685" s="13">
        <f>IF(Table_2[[#This Row],[Correct_Answer]]=Table_2[[#This Row],[System_Recommendation]],1,0)</f>
        <v>0</v>
      </c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 spans="1:26" ht="15.75" hidden="1" customHeight="1">
      <c r="A686" s="8" t="s">
        <v>178</v>
      </c>
      <c r="B686" s="8">
        <v>25</v>
      </c>
      <c r="C686" s="9" t="s">
        <v>381</v>
      </c>
      <c r="D686" s="8">
        <v>1</v>
      </c>
      <c r="E686" s="9" t="s">
        <v>98</v>
      </c>
      <c r="F686" s="8" t="s">
        <v>384</v>
      </c>
      <c r="G686" s="8" t="s">
        <v>117</v>
      </c>
      <c r="H686" s="8" t="s">
        <v>197</v>
      </c>
      <c r="I686" s="8" t="s">
        <v>100</v>
      </c>
      <c r="J686" s="9" t="s">
        <v>383</v>
      </c>
      <c r="K686" s="8" t="str">
        <f>VLOOKUP(LEFT(H686,7),'קטלוג תרחישים'!$A:$M,12,FALSE())</f>
        <v>א'</v>
      </c>
      <c r="L686" s="8" t="str">
        <f>IF(J686="כן",K686,VLOOKUP(LEFT(H686,7),'קטלוג תרחישים'!$A:$M,13,FALSE()))</f>
        <v>ב'</v>
      </c>
      <c r="M686" s="13"/>
      <c r="N686" s="50" t="s">
        <v>360</v>
      </c>
      <c r="O686" s="13" t="str">
        <f t="array" ref="O686">_xlfn.IFS(N686="A","א'", N686="B", "ב'", N686= "C", "ג'")</f>
        <v>א'</v>
      </c>
      <c r="P686" s="13">
        <f>IF(Table_2[[#This Row],[Correct_Answer]]=Table_2[[#This Row],[System_Recommendation]],1,0)</f>
        <v>0</v>
      </c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 spans="1:26" ht="15.75" hidden="1" customHeight="1">
      <c r="A687" s="8" t="s">
        <v>178</v>
      </c>
      <c r="B687" s="8">
        <v>26</v>
      </c>
      <c r="C687" s="9" t="s">
        <v>381</v>
      </c>
      <c r="D687" s="8">
        <v>2</v>
      </c>
      <c r="E687" s="9" t="s">
        <v>105</v>
      </c>
      <c r="F687" s="8" t="s">
        <v>384</v>
      </c>
      <c r="G687" s="8" t="s">
        <v>117</v>
      </c>
      <c r="H687" s="8" t="s">
        <v>198</v>
      </c>
      <c r="I687" s="8" t="s">
        <v>91</v>
      </c>
      <c r="J687" s="9" t="s">
        <v>380</v>
      </c>
      <c r="K687" s="8" t="str">
        <f>VLOOKUP(LEFT(H687,7),'קטלוג תרחישים'!$A:$M,12,FALSE())</f>
        <v>ב'</v>
      </c>
      <c r="L687" s="8" t="str">
        <f>IF(J687="כן",K687,VLOOKUP(LEFT(H687,7),'קטלוג תרחישים'!$A:$M,13,FALSE()))</f>
        <v>ב'</v>
      </c>
      <c r="M687" s="13"/>
      <c r="N687" s="51" t="s">
        <v>366</v>
      </c>
      <c r="O687" s="13" t="str">
        <f t="array" ref="O687">_xlfn.IFS(N687="A","א'", N687="B", "ב'", N687= "C", "ג'")</f>
        <v>ג'</v>
      </c>
      <c r="P687" s="13">
        <f>IF(Table_2[[#This Row],[Correct_Answer]]=Table_2[[#This Row],[System_Recommendation]],1,0)</f>
        <v>1</v>
      </c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 spans="1:26" ht="15.75" hidden="1" customHeight="1">
      <c r="A688" s="8" t="s">
        <v>178</v>
      </c>
      <c r="B688" s="8">
        <v>27</v>
      </c>
      <c r="C688" s="9" t="s">
        <v>381</v>
      </c>
      <c r="D688" s="8">
        <v>2</v>
      </c>
      <c r="E688" s="9" t="s">
        <v>105</v>
      </c>
      <c r="F688" s="8" t="s">
        <v>384</v>
      </c>
      <c r="G688" s="8" t="s">
        <v>117</v>
      </c>
      <c r="H688" s="8" t="s">
        <v>199</v>
      </c>
      <c r="I688" s="8" t="s">
        <v>100</v>
      </c>
      <c r="J688" s="9" t="s">
        <v>383</v>
      </c>
      <c r="K688" s="8" t="str">
        <f>VLOOKUP(LEFT(H688,7),'קטלוג תרחישים'!$A:$M,12,FALSE())</f>
        <v>ג'</v>
      </c>
      <c r="L688" s="8" t="str">
        <f>IF(J688="כן",K688,VLOOKUP(LEFT(H688,7),'קטלוג תרחישים'!$A:$M,13,FALSE()))</f>
        <v>ב'</v>
      </c>
      <c r="M688" s="13"/>
      <c r="N688" s="50" t="s">
        <v>365</v>
      </c>
      <c r="O688" s="13" t="str">
        <f t="array" ref="O688">_xlfn.IFS(N688="A","א'", N688="B", "ב'", N688= "C", "ג'")</f>
        <v>ב'</v>
      </c>
      <c r="P688" s="13">
        <f>IF(Table_2[[#This Row],[Correct_Answer]]=Table_2[[#This Row],[System_Recommendation]],1,0)</f>
        <v>0</v>
      </c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 spans="1:26" ht="15.75" hidden="1" customHeight="1">
      <c r="A689" s="8" t="s">
        <v>178</v>
      </c>
      <c r="B689" s="8">
        <v>28</v>
      </c>
      <c r="C689" s="9" t="s">
        <v>381</v>
      </c>
      <c r="D689" s="8">
        <v>2</v>
      </c>
      <c r="E689" s="9" t="s">
        <v>105</v>
      </c>
      <c r="F689" s="8" t="s">
        <v>384</v>
      </c>
      <c r="G689" s="8" t="s">
        <v>117</v>
      </c>
      <c r="H689" s="8" t="s">
        <v>200</v>
      </c>
      <c r="I689" s="8" t="s">
        <v>91</v>
      </c>
      <c r="J689" s="9" t="s">
        <v>383</v>
      </c>
      <c r="K689" s="8" t="str">
        <f>VLOOKUP(LEFT(H689,7),'קטלוג תרחישים'!$A:$M,12,FALSE())</f>
        <v>ג'</v>
      </c>
      <c r="L689" s="8" t="str">
        <f>IF(J689="כן",K689,VLOOKUP(LEFT(H689,7),'קטלוג תרחישים'!$A:$M,13,FALSE()))</f>
        <v>א'</v>
      </c>
      <c r="M689" s="13"/>
      <c r="N689" s="51" t="s">
        <v>366</v>
      </c>
      <c r="O689" s="13" t="str">
        <f t="array" ref="O689">_xlfn.IFS(N689="A","א'", N689="B", "ב'", N689= "C", "ג'")</f>
        <v>ג'</v>
      </c>
      <c r="P689" s="13">
        <f>IF(Table_2[[#This Row],[Correct_Answer]]=Table_2[[#This Row],[System_Recommendation]],1,0)</f>
        <v>0</v>
      </c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 spans="1:26" ht="15.75" hidden="1" customHeight="1">
      <c r="A690" s="8" t="s">
        <v>178</v>
      </c>
      <c r="B690" s="8">
        <v>29</v>
      </c>
      <c r="C690" s="9" t="s">
        <v>381</v>
      </c>
      <c r="D690" s="8">
        <v>2</v>
      </c>
      <c r="E690" s="9" t="s">
        <v>105</v>
      </c>
      <c r="F690" s="8" t="s">
        <v>384</v>
      </c>
      <c r="G690" s="8" t="s">
        <v>117</v>
      </c>
      <c r="H690" s="8" t="s">
        <v>201</v>
      </c>
      <c r="I690" s="8" t="s">
        <v>100</v>
      </c>
      <c r="J690" s="9" t="s">
        <v>380</v>
      </c>
      <c r="K690" s="8" t="str">
        <f>VLOOKUP(LEFT(H690,7),'קטלוג תרחישים'!$A:$M,12,FALSE())</f>
        <v>ב'</v>
      </c>
      <c r="L690" s="8" t="str">
        <f>IF(J690="כן",K690,VLOOKUP(LEFT(H690,7),'קטלוג תרחישים'!$A:$M,13,FALSE()))</f>
        <v>ב'</v>
      </c>
      <c r="M690" s="13"/>
      <c r="N690" s="50" t="s">
        <v>366</v>
      </c>
      <c r="O690" s="13" t="str">
        <f t="array" ref="O690">_xlfn.IFS(N690="A","א'", N690="B", "ב'", N690= "C", "ג'")</f>
        <v>ג'</v>
      </c>
      <c r="P690" s="13">
        <f>IF(Table_2[[#This Row],[Correct_Answer]]=Table_2[[#This Row],[System_Recommendation]],1,0)</f>
        <v>1</v>
      </c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 spans="1:26" ht="15.75" hidden="1" customHeight="1">
      <c r="A691" s="8" t="s">
        <v>178</v>
      </c>
      <c r="B691" s="8">
        <v>30</v>
      </c>
      <c r="C691" s="9" t="s">
        <v>381</v>
      </c>
      <c r="D691" s="8">
        <v>3</v>
      </c>
      <c r="E691" s="9" t="s">
        <v>111</v>
      </c>
      <c r="F691" s="8" t="s">
        <v>384</v>
      </c>
      <c r="G691" s="8" t="s">
        <v>117</v>
      </c>
      <c r="H691" s="8" t="s">
        <v>202</v>
      </c>
      <c r="I691" s="8" t="s">
        <v>91</v>
      </c>
      <c r="J691" s="9" t="s">
        <v>383</v>
      </c>
      <c r="K691" s="8" t="str">
        <f>VLOOKUP(LEFT(H691,7),'קטלוג תרחישים'!$A:$M,12,FALSE())</f>
        <v>ג'</v>
      </c>
      <c r="L691" s="8" t="str">
        <f>IF(J691="כן",K691,VLOOKUP(LEFT(H691,7),'קטלוג תרחישים'!$A:$M,13,FALSE()))</f>
        <v>א'</v>
      </c>
      <c r="M691" s="13"/>
      <c r="N691" s="51" t="s">
        <v>365</v>
      </c>
      <c r="O691" s="13" t="str">
        <f t="array" ref="O691">_xlfn.IFS(N691="A","א'", N691="B", "ב'", N691= "C", "ג'")</f>
        <v>ב'</v>
      </c>
      <c r="P691" s="13">
        <f>IF(Table_2[[#This Row],[Correct_Answer]]=Table_2[[#This Row],[System_Recommendation]],1,0)</f>
        <v>0</v>
      </c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 spans="1:26" ht="15.75" hidden="1" customHeight="1">
      <c r="A692" s="8" t="s">
        <v>178</v>
      </c>
      <c r="B692" s="8">
        <v>31</v>
      </c>
      <c r="C692" s="9" t="s">
        <v>381</v>
      </c>
      <c r="D692" s="8">
        <v>3</v>
      </c>
      <c r="E692" s="9" t="s">
        <v>111</v>
      </c>
      <c r="F692" s="8" t="s">
        <v>384</v>
      </c>
      <c r="G692" s="8" t="s">
        <v>117</v>
      </c>
      <c r="H692" s="8" t="s">
        <v>203</v>
      </c>
      <c r="I692" s="8" t="s">
        <v>100</v>
      </c>
      <c r="J692" s="9" t="s">
        <v>380</v>
      </c>
      <c r="K692" s="8" t="str">
        <f>VLOOKUP(LEFT(H692,7),'קטלוג תרחישים'!$A:$M,12,FALSE())</f>
        <v>א'</v>
      </c>
      <c r="L692" s="8" t="str">
        <f>IF(J692="כן",K692,VLOOKUP(LEFT(H692,7),'קטלוג תרחישים'!$A:$M,13,FALSE()))</f>
        <v>א'</v>
      </c>
      <c r="M692" s="13"/>
      <c r="N692" s="50" t="s">
        <v>366</v>
      </c>
      <c r="O692" s="13" t="str">
        <f t="array" ref="O692">_xlfn.IFS(N692="A","א'", N692="B", "ב'", N692= "C", "ג'")</f>
        <v>ג'</v>
      </c>
      <c r="P692" s="13">
        <f>IF(Table_2[[#This Row],[Correct_Answer]]=Table_2[[#This Row],[System_Recommendation]],1,0)</f>
        <v>1</v>
      </c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 spans="1:26" ht="15.75" hidden="1" customHeight="1">
      <c r="A693" s="8" t="s">
        <v>178</v>
      </c>
      <c r="B693" s="8">
        <v>32</v>
      </c>
      <c r="C693" s="9" t="s">
        <v>381</v>
      </c>
      <c r="D693" s="8">
        <v>3</v>
      </c>
      <c r="E693" s="9" t="s">
        <v>111</v>
      </c>
      <c r="F693" s="8" t="s">
        <v>384</v>
      </c>
      <c r="G693" s="8" t="s">
        <v>117</v>
      </c>
      <c r="H693" s="8" t="s">
        <v>204</v>
      </c>
      <c r="I693" s="8" t="s">
        <v>91</v>
      </c>
      <c r="J693" s="9" t="s">
        <v>380</v>
      </c>
      <c r="K693" s="8" t="str">
        <f>VLOOKUP(LEFT(H693,7),'קטלוג תרחישים'!$A:$M,12,FALSE())</f>
        <v>ב'</v>
      </c>
      <c r="L693" s="8" t="str">
        <f>IF(J693="כן",K693,VLOOKUP(LEFT(H693,7),'קטלוג תרחישים'!$A:$M,13,FALSE()))</f>
        <v>ב'</v>
      </c>
      <c r="M693" s="13"/>
      <c r="N693" s="51" t="s">
        <v>360</v>
      </c>
      <c r="O693" s="13" t="str">
        <f t="array" ref="O693">_xlfn.IFS(N693="A","א'", N693="B", "ב'", N693= "C", "ג'")</f>
        <v>א'</v>
      </c>
      <c r="P693" s="13">
        <f>IF(Table_2[[#This Row],[Correct_Answer]]=Table_2[[#This Row],[System_Recommendation]],1,0)</f>
        <v>1</v>
      </c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 spans="1:26" ht="15.75" hidden="1" customHeight="1">
      <c r="A694" s="8" t="s">
        <v>178</v>
      </c>
      <c r="B694" s="8">
        <v>33</v>
      </c>
      <c r="C694" s="9" t="s">
        <v>381</v>
      </c>
      <c r="D694" s="8">
        <v>3</v>
      </c>
      <c r="E694" s="9" t="s">
        <v>111</v>
      </c>
      <c r="F694" s="8" t="s">
        <v>384</v>
      </c>
      <c r="G694" s="8" t="s">
        <v>117</v>
      </c>
      <c r="H694" s="8" t="s">
        <v>205</v>
      </c>
      <c r="I694" s="8" t="s">
        <v>100</v>
      </c>
      <c r="J694" s="9" t="s">
        <v>383</v>
      </c>
      <c r="K694" s="8" t="str">
        <f>VLOOKUP(LEFT(H694,7),'קטלוג תרחישים'!$A:$M,12,FALSE())</f>
        <v>א'</v>
      </c>
      <c r="L694" s="8" t="str">
        <f>IF(J694="כן",K694,VLOOKUP(LEFT(H694,7),'קטלוג תרחישים'!$A:$M,13,FALSE()))</f>
        <v>ג'</v>
      </c>
      <c r="M694" s="13"/>
      <c r="N694" s="50" t="s">
        <v>360</v>
      </c>
      <c r="O694" s="13" t="str">
        <f t="array" ref="O694">_xlfn.IFS(N694="A","א'", N694="B", "ב'", N694= "C", "ג'")</f>
        <v>א'</v>
      </c>
      <c r="P694" s="13">
        <f>IF(Table_2[[#This Row],[Correct_Answer]]=Table_2[[#This Row],[System_Recommendation]],1,0)</f>
        <v>0</v>
      </c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 spans="1:26" ht="15.75" hidden="1" customHeight="1">
      <c r="A695" s="8" t="s">
        <v>206</v>
      </c>
      <c r="B695" s="8">
        <v>1</v>
      </c>
      <c r="C695" s="9" t="s">
        <v>379</v>
      </c>
      <c r="D695" s="8"/>
      <c r="E695" s="9" t="s">
        <v>98</v>
      </c>
      <c r="F695" s="8"/>
      <c r="G695" s="8"/>
      <c r="H695" s="11" t="s">
        <v>90</v>
      </c>
      <c r="I695" s="8" t="s">
        <v>91</v>
      </c>
      <c r="J695" s="9" t="s">
        <v>380</v>
      </c>
      <c r="K695" s="8" t="str">
        <f>VLOOKUP(LEFT(H695,7),'קטלוג תרחישים'!$A:$M,12,FALSE())</f>
        <v>א'</v>
      </c>
      <c r="L695" s="8" t="str">
        <f>IF(J695="כן",K695,VLOOKUP(LEFT(H695,7),'קטלוג תרחישים'!$A:$M,13,FALSE()))</f>
        <v>א'</v>
      </c>
      <c r="M695" s="13"/>
      <c r="N695" s="51" t="s">
        <v>366</v>
      </c>
      <c r="O695" s="13" t="str">
        <f t="array" ref="O695">_xlfn.IFS(N695="A","א'", N695="B", "ב'", N695= "C", "ג'")</f>
        <v>ג'</v>
      </c>
      <c r="P695" s="13">
        <f>IF(Table_2[[#This Row],[Correct_Answer]]=Table_2[[#This Row],[System_Recommendation]],1,0)</f>
        <v>1</v>
      </c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 spans="1:26" ht="15.75" hidden="1" customHeight="1">
      <c r="A696" s="8" t="s">
        <v>206</v>
      </c>
      <c r="B696" s="8">
        <v>2</v>
      </c>
      <c r="C696" s="9" t="s">
        <v>379</v>
      </c>
      <c r="D696" s="8"/>
      <c r="E696" s="9" t="s">
        <v>98</v>
      </c>
      <c r="F696" s="8"/>
      <c r="G696" s="8"/>
      <c r="H696" s="11" t="s">
        <v>92</v>
      </c>
      <c r="I696" s="8" t="s">
        <v>91</v>
      </c>
      <c r="J696" s="9" t="s">
        <v>380</v>
      </c>
      <c r="K696" s="8" t="str">
        <f>VLOOKUP(LEFT(H696,7),'קטלוג תרחישים'!$A:$M,12,FALSE())</f>
        <v>א'</v>
      </c>
      <c r="L696" s="8" t="str">
        <f>IF(J696="כן",K696,VLOOKUP(LEFT(H696,7),'קטלוג תרחישים'!$A:$M,13,FALSE()))</f>
        <v>א'</v>
      </c>
      <c r="M696" s="13"/>
      <c r="N696" s="50" t="s">
        <v>366</v>
      </c>
      <c r="O696" s="13" t="str">
        <f t="array" ref="O696">_xlfn.IFS(N696="A","א'", N696="B", "ב'", N696= "C", "ג'")</f>
        <v>ג'</v>
      </c>
      <c r="P696" s="13">
        <f>IF(Table_2[[#This Row],[Correct_Answer]]=Table_2[[#This Row],[System_Recommendation]],1,0)</f>
        <v>1</v>
      </c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 spans="1:26" ht="15.75" hidden="1" customHeight="1">
      <c r="A697" s="8" t="s">
        <v>206</v>
      </c>
      <c r="B697" s="8">
        <v>3</v>
      </c>
      <c r="C697" s="9" t="s">
        <v>379</v>
      </c>
      <c r="D697" s="8"/>
      <c r="E697" s="9" t="s">
        <v>105</v>
      </c>
      <c r="F697" s="8"/>
      <c r="G697" s="8"/>
      <c r="H697" s="11" t="s">
        <v>93</v>
      </c>
      <c r="I697" s="8" t="s">
        <v>91</v>
      </c>
      <c r="J697" s="9" t="s">
        <v>380</v>
      </c>
      <c r="K697" s="8" t="str">
        <f>VLOOKUP(LEFT(H697,7),'קטלוג תרחישים'!$A:$M,12,FALSE())</f>
        <v>א'</v>
      </c>
      <c r="L697" s="8" t="str">
        <f>IF(J697="כן",K697,VLOOKUP(LEFT(H697,7),'קטלוג תרחישים'!$A:$M,13,FALSE()))</f>
        <v>א'</v>
      </c>
      <c r="M697" s="13"/>
      <c r="N697" s="51" t="s">
        <v>366</v>
      </c>
      <c r="O697" s="13" t="str">
        <f t="array" ref="O697">_xlfn.IFS(N697="A","א'", N697="B", "ב'", N697= "C", "ג'")</f>
        <v>ג'</v>
      </c>
      <c r="P697" s="13">
        <f>IF(Table_2[[#This Row],[Correct_Answer]]=Table_2[[#This Row],[System_Recommendation]],1,0)</f>
        <v>1</v>
      </c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 spans="1:26" ht="15.75" hidden="1" customHeight="1">
      <c r="A698" s="8" t="s">
        <v>206</v>
      </c>
      <c r="B698" s="8">
        <v>4</v>
      </c>
      <c r="C698" s="9" t="s">
        <v>379</v>
      </c>
      <c r="D698" s="8"/>
      <c r="E698" s="9" t="s">
        <v>105</v>
      </c>
      <c r="F698" s="8"/>
      <c r="G698" s="8"/>
      <c r="H698" s="11" t="s">
        <v>94</v>
      </c>
      <c r="I698" s="8" t="s">
        <v>91</v>
      </c>
      <c r="J698" s="9" t="s">
        <v>380</v>
      </c>
      <c r="K698" s="8" t="str">
        <f>VLOOKUP(LEFT(H698,7),'קטלוג תרחישים'!$A:$M,12,FALSE())</f>
        <v>א'</v>
      </c>
      <c r="L698" s="8" t="str">
        <f>IF(J698="כן",K698,VLOOKUP(LEFT(H698,7),'קטלוג תרחישים'!$A:$M,13,FALSE()))</f>
        <v>א'</v>
      </c>
      <c r="M698" s="13"/>
      <c r="N698" s="50" t="s">
        <v>365</v>
      </c>
      <c r="O698" s="13" t="str">
        <f t="array" ref="O698">_xlfn.IFS(N698="A","א'", N698="B", "ב'", N698= "C", "ג'")</f>
        <v>ב'</v>
      </c>
      <c r="P698" s="13">
        <f>IF(Table_2[[#This Row],[Correct_Answer]]=Table_2[[#This Row],[System_Recommendation]],1,0)</f>
        <v>1</v>
      </c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 spans="1:26" ht="15.75" hidden="1" customHeight="1">
      <c r="A699" s="8" t="s">
        <v>206</v>
      </c>
      <c r="B699" s="8">
        <v>5</v>
      </c>
      <c r="C699" s="9" t="s">
        <v>379</v>
      </c>
      <c r="D699" s="8"/>
      <c r="E699" s="9" t="s">
        <v>111</v>
      </c>
      <c r="F699" s="8"/>
      <c r="G699" s="8"/>
      <c r="H699" s="11" t="s">
        <v>95</v>
      </c>
      <c r="I699" s="8" t="s">
        <v>91</v>
      </c>
      <c r="J699" s="9" t="s">
        <v>380</v>
      </c>
      <c r="K699" s="8" t="str">
        <f>VLOOKUP(LEFT(H699,7),'קטלוג תרחישים'!$A:$M,12,FALSE())</f>
        <v>ב'</v>
      </c>
      <c r="L699" s="8" t="str">
        <f>IF(J699="כן",K699,VLOOKUP(LEFT(H699,7),'קטלוג תרחישים'!$A:$M,13,FALSE()))</f>
        <v>ב'</v>
      </c>
      <c r="M699" s="13"/>
      <c r="N699" s="51" t="s">
        <v>360</v>
      </c>
      <c r="O699" s="13" t="str">
        <f t="array" ref="O699">_xlfn.IFS(N699="A","א'", N699="B", "ב'", N699= "C", "ג'")</f>
        <v>א'</v>
      </c>
      <c r="P699" s="13">
        <f>IF(Table_2[[#This Row],[Correct_Answer]]=Table_2[[#This Row],[System_Recommendation]],1,0)</f>
        <v>1</v>
      </c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 spans="1:26" ht="15.75" customHeight="1">
      <c r="A700" s="8" t="s">
        <v>206</v>
      </c>
      <c r="B700" s="8">
        <v>6</v>
      </c>
      <c r="C700" s="9" t="s">
        <v>379</v>
      </c>
      <c r="D700" s="8"/>
      <c r="E700" s="9" t="s">
        <v>111</v>
      </c>
      <c r="F700" s="8"/>
      <c r="G700" s="8"/>
      <c r="H700" s="11" t="s">
        <v>96</v>
      </c>
      <c r="I700" s="8" t="s">
        <v>91</v>
      </c>
      <c r="J700" s="9" t="s">
        <v>380</v>
      </c>
      <c r="K700" s="8" t="str">
        <f>VLOOKUP(LEFT(H700,7),'קטלוג תרחישים'!$A:$M,12,FALSE())</f>
        <v>ב'</v>
      </c>
      <c r="L700" s="8" t="str">
        <f>IF(J700="כן",K700,VLOOKUP(LEFT(H700,7),'קטלוג תרחישים'!$A:$M,13,FALSE()))</f>
        <v>ב'</v>
      </c>
      <c r="M700" s="13"/>
      <c r="N700" s="50" t="s">
        <v>366</v>
      </c>
      <c r="O700" s="13" t="str">
        <f t="array" ref="O700">_xlfn.IFS(N700="A","א'", N700="B", "ב'", N700= "C", "ג'")</f>
        <v>ג'</v>
      </c>
      <c r="P700" s="13">
        <f>IF(Table_2[[#This Row],[Correct_Answer]]=Table_2[[#This Row],[System_Recommendation]],1,0)</f>
        <v>1</v>
      </c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 spans="1:26" ht="15.75" hidden="1" customHeight="1">
      <c r="A701" s="8" t="s">
        <v>206</v>
      </c>
      <c r="B701" s="8">
        <v>7</v>
      </c>
      <c r="C701" s="9" t="s">
        <v>381</v>
      </c>
      <c r="D701" s="8">
        <v>1</v>
      </c>
      <c r="E701" s="9" t="s">
        <v>105</v>
      </c>
      <c r="F701" s="8" t="s">
        <v>382</v>
      </c>
      <c r="G701" s="8" t="s">
        <v>117</v>
      </c>
      <c r="H701" s="8" t="s">
        <v>200</v>
      </c>
      <c r="I701" s="8" t="s">
        <v>91</v>
      </c>
      <c r="J701" s="9" t="s">
        <v>380</v>
      </c>
      <c r="K701" s="8" t="str">
        <f>VLOOKUP(LEFT(H701,7),'קטלוג תרחישים'!$A:$M,12,FALSE())</f>
        <v>ג'</v>
      </c>
      <c r="L701" s="8" t="str">
        <f>IF(J701="כן",K701,VLOOKUP(LEFT(H701,7),'קטלוג תרחישים'!$A:$M,13,FALSE()))</f>
        <v>ג'</v>
      </c>
      <c r="M701" s="13"/>
      <c r="N701" s="51" t="s">
        <v>366</v>
      </c>
      <c r="O701" s="13" t="str">
        <f t="array" ref="O701">_xlfn.IFS(N701="A","א'", N701="B", "ב'", N701= "C", "ג'")</f>
        <v>ג'</v>
      </c>
      <c r="P701" s="13">
        <f>IF(Table_2[[#This Row],[Correct_Answer]]=Table_2[[#This Row],[System_Recommendation]],1,0)</f>
        <v>1</v>
      </c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 spans="1:26" ht="15.75" hidden="1" customHeight="1">
      <c r="A702" s="8" t="s">
        <v>206</v>
      </c>
      <c r="B702" s="8">
        <v>8</v>
      </c>
      <c r="C702" s="9" t="s">
        <v>381</v>
      </c>
      <c r="D702" s="8">
        <v>1</v>
      </c>
      <c r="E702" s="9" t="s">
        <v>105</v>
      </c>
      <c r="F702" s="8" t="s">
        <v>382</v>
      </c>
      <c r="G702" s="8" t="s">
        <v>117</v>
      </c>
      <c r="H702" s="8" t="s">
        <v>201</v>
      </c>
      <c r="I702" s="8" t="s">
        <v>100</v>
      </c>
      <c r="J702" s="9" t="s">
        <v>380</v>
      </c>
      <c r="K702" s="8" t="str">
        <f>VLOOKUP(LEFT(H702,7),'קטלוג תרחישים'!$A:$M,12,FALSE())</f>
        <v>ב'</v>
      </c>
      <c r="L702" s="8" t="str">
        <f>IF(J702="כן",K702,VLOOKUP(LEFT(H702,7),'קטלוג תרחישים'!$A:$M,13,FALSE()))</f>
        <v>ב'</v>
      </c>
      <c r="M702" s="13"/>
      <c r="N702" s="50" t="s">
        <v>365</v>
      </c>
      <c r="O702" s="13" t="str">
        <f t="array" ref="O702">_xlfn.IFS(N702="A","א'", N702="B", "ב'", N702= "C", "ג'")</f>
        <v>ב'</v>
      </c>
      <c r="P702" s="13">
        <f>IF(Table_2[[#This Row],[Correct_Answer]]=Table_2[[#This Row],[System_Recommendation]],1,0)</f>
        <v>1</v>
      </c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 spans="1:26" ht="15.75" hidden="1" customHeight="1">
      <c r="A703" s="8" t="s">
        <v>206</v>
      </c>
      <c r="B703" s="8">
        <v>9</v>
      </c>
      <c r="C703" s="9" t="s">
        <v>381</v>
      </c>
      <c r="D703" s="8">
        <v>1</v>
      </c>
      <c r="E703" s="9" t="s">
        <v>105</v>
      </c>
      <c r="F703" s="8" t="s">
        <v>382</v>
      </c>
      <c r="G703" s="8" t="s">
        <v>117</v>
      </c>
      <c r="H703" s="8" t="s">
        <v>198</v>
      </c>
      <c r="I703" s="8" t="s">
        <v>91</v>
      </c>
      <c r="J703" s="9" t="s">
        <v>383</v>
      </c>
      <c r="K703" s="8" t="str">
        <f>VLOOKUP(LEFT(H703,7),'קטלוג תרחישים'!$A:$M,12,FALSE())</f>
        <v>ב'</v>
      </c>
      <c r="L703" s="8" t="str">
        <f>IF(J703="כן",K703,VLOOKUP(LEFT(H703,7),'קטלוג תרחישים'!$A:$M,13,FALSE()))</f>
        <v>א'</v>
      </c>
      <c r="M703" s="13"/>
      <c r="N703" s="51" t="s">
        <v>365</v>
      </c>
      <c r="O703" s="13" t="str">
        <f t="array" ref="O703">_xlfn.IFS(N703="A","א'", N703="B", "ב'", N703= "C", "ג'")</f>
        <v>ב'</v>
      </c>
      <c r="P703" s="13">
        <f>IF(Table_2[[#This Row],[Correct_Answer]]=Table_2[[#This Row],[System_Recommendation]],1,0)</f>
        <v>0</v>
      </c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 spans="1:26" ht="15.75" hidden="1" customHeight="1">
      <c r="A704" s="8" t="s">
        <v>206</v>
      </c>
      <c r="B704" s="8">
        <v>10</v>
      </c>
      <c r="C704" s="9" t="s">
        <v>381</v>
      </c>
      <c r="D704" s="8">
        <v>1</v>
      </c>
      <c r="E704" s="9" t="s">
        <v>105</v>
      </c>
      <c r="F704" s="8" t="s">
        <v>382</v>
      </c>
      <c r="G704" s="8" t="s">
        <v>117</v>
      </c>
      <c r="H704" s="8" t="s">
        <v>199</v>
      </c>
      <c r="I704" s="8" t="s">
        <v>100</v>
      </c>
      <c r="J704" s="9" t="s">
        <v>383</v>
      </c>
      <c r="K704" s="8" t="str">
        <f>VLOOKUP(LEFT(H704,7),'קטלוג תרחישים'!$A:$M,12,FALSE())</f>
        <v>ג'</v>
      </c>
      <c r="L704" s="8" t="str">
        <f>IF(J704="כן",K704,VLOOKUP(LEFT(H704,7),'קטלוג תרחישים'!$A:$M,13,FALSE()))</f>
        <v>ב'</v>
      </c>
      <c r="M704" s="13"/>
      <c r="N704" s="50" t="s">
        <v>365</v>
      </c>
      <c r="O704" s="13" t="str">
        <f t="array" ref="O704">_xlfn.IFS(N704="A","א'", N704="B", "ב'", N704= "C", "ג'")</f>
        <v>ב'</v>
      </c>
      <c r="P704" s="13">
        <f>IF(Table_2[[#This Row],[Correct_Answer]]=Table_2[[#This Row],[System_Recommendation]],1,0)</f>
        <v>0</v>
      </c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 spans="1:26" ht="15.75" hidden="1" customHeight="1">
      <c r="A705" s="8" t="s">
        <v>206</v>
      </c>
      <c r="B705" s="8">
        <v>11</v>
      </c>
      <c r="C705" s="9" t="s">
        <v>381</v>
      </c>
      <c r="D705" s="8">
        <v>2</v>
      </c>
      <c r="E705" s="9" t="s">
        <v>111</v>
      </c>
      <c r="F705" s="8" t="s">
        <v>382</v>
      </c>
      <c r="G705" s="8" t="s">
        <v>117</v>
      </c>
      <c r="H705" s="8" t="s">
        <v>204</v>
      </c>
      <c r="I705" s="8" t="s">
        <v>91</v>
      </c>
      <c r="J705" s="9" t="s">
        <v>383</v>
      </c>
      <c r="K705" s="8" t="str">
        <f>VLOOKUP(LEFT(H705,7),'קטלוג תרחישים'!$A:$M,12,FALSE())</f>
        <v>ב'</v>
      </c>
      <c r="L705" s="8" t="str">
        <f>IF(J705="כן",K705,VLOOKUP(LEFT(H705,7),'קטלוג תרחישים'!$A:$M,13,FALSE()))</f>
        <v>ג'</v>
      </c>
      <c r="M705" s="13"/>
      <c r="N705" s="51" t="s">
        <v>360</v>
      </c>
      <c r="O705" s="13" t="str">
        <f t="array" ref="O705">_xlfn.IFS(N705="A","א'", N705="B", "ב'", N705= "C", "ג'")</f>
        <v>א'</v>
      </c>
      <c r="P705" s="13">
        <f>IF(Table_2[[#This Row],[Correct_Answer]]=Table_2[[#This Row],[System_Recommendation]],1,0)</f>
        <v>0</v>
      </c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 spans="1:26" ht="15.75" hidden="1" customHeight="1">
      <c r="A706" s="8" t="s">
        <v>206</v>
      </c>
      <c r="B706" s="8">
        <v>12</v>
      </c>
      <c r="C706" s="9" t="s">
        <v>381</v>
      </c>
      <c r="D706" s="8">
        <v>2</v>
      </c>
      <c r="E706" s="9" t="s">
        <v>111</v>
      </c>
      <c r="F706" s="8" t="s">
        <v>382</v>
      </c>
      <c r="G706" s="8" t="s">
        <v>117</v>
      </c>
      <c r="H706" s="8" t="s">
        <v>205</v>
      </c>
      <c r="I706" s="8" t="s">
        <v>100</v>
      </c>
      <c r="J706" s="9" t="s">
        <v>383</v>
      </c>
      <c r="K706" s="8" t="str">
        <f>VLOOKUP(LEFT(H706,7),'קטלוג תרחישים'!$A:$M,12,FALSE())</f>
        <v>א'</v>
      </c>
      <c r="L706" s="8" t="str">
        <f>IF(J706="כן",K706,VLOOKUP(LEFT(H706,7),'קטלוג תרחישים'!$A:$M,13,FALSE()))</f>
        <v>ג'</v>
      </c>
      <c r="M706" s="13"/>
      <c r="N706" s="50" t="s">
        <v>366</v>
      </c>
      <c r="O706" s="13" t="str">
        <f t="array" ref="O706">_xlfn.IFS(N706="A","א'", N706="B", "ב'", N706= "C", "ג'")</f>
        <v>ג'</v>
      </c>
      <c r="P706" s="13">
        <f>IF(Table_2[[#This Row],[Correct_Answer]]=Table_2[[#This Row],[System_Recommendation]],1,0)</f>
        <v>0</v>
      </c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 spans="1:26" ht="15.75" hidden="1" customHeight="1">
      <c r="A707" s="8" t="s">
        <v>206</v>
      </c>
      <c r="B707" s="8">
        <v>13</v>
      </c>
      <c r="C707" s="9" t="s">
        <v>381</v>
      </c>
      <c r="D707" s="8">
        <v>2</v>
      </c>
      <c r="E707" s="9" t="s">
        <v>111</v>
      </c>
      <c r="F707" s="8" t="s">
        <v>382</v>
      </c>
      <c r="G707" s="8" t="s">
        <v>117</v>
      </c>
      <c r="H707" s="8" t="s">
        <v>202</v>
      </c>
      <c r="I707" s="8" t="s">
        <v>91</v>
      </c>
      <c r="J707" s="9" t="s">
        <v>380</v>
      </c>
      <c r="K707" s="8" t="str">
        <f>VLOOKUP(LEFT(H707,7),'קטלוג תרחישים'!$A:$M,12,FALSE())</f>
        <v>ג'</v>
      </c>
      <c r="L707" s="8" t="str">
        <f>IF(J707="כן",K707,VLOOKUP(LEFT(H707,7),'קטלוג תרחישים'!$A:$M,13,FALSE()))</f>
        <v>ג'</v>
      </c>
      <c r="M707" s="13"/>
      <c r="N707" s="51" t="s">
        <v>365</v>
      </c>
      <c r="O707" s="13" t="str">
        <f t="array" ref="O707">_xlfn.IFS(N707="A","א'", N707="B", "ב'", N707= "C", "ג'")</f>
        <v>ב'</v>
      </c>
      <c r="P707" s="13">
        <f>IF(Table_2[[#This Row],[Correct_Answer]]=Table_2[[#This Row],[System_Recommendation]],1,0)</f>
        <v>1</v>
      </c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 spans="1:26" ht="15.75" hidden="1" customHeight="1">
      <c r="A708" s="8" t="s">
        <v>206</v>
      </c>
      <c r="B708" s="8">
        <v>14</v>
      </c>
      <c r="C708" s="9" t="s">
        <v>381</v>
      </c>
      <c r="D708" s="8">
        <v>2</v>
      </c>
      <c r="E708" s="9" t="s">
        <v>111</v>
      </c>
      <c r="F708" s="8" t="s">
        <v>382</v>
      </c>
      <c r="G708" s="8" t="s">
        <v>117</v>
      </c>
      <c r="H708" s="8" t="s">
        <v>203</v>
      </c>
      <c r="I708" s="8" t="s">
        <v>100</v>
      </c>
      <c r="J708" s="9" t="s">
        <v>380</v>
      </c>
      <c r="K708" s="8" t="str">
        <f>VLOOKUP(LEFT(H708,7),'קטלוג תרחישים'!$A:$M,12,FALSE())</f>
        <v>א'</v>
      </c>
      <c r="L708" s="8" t="str">
        <f>IF(J708="כן",K708,VLOOKUP(LEFT(H708,7),'קטלוג תרחישים'!$A:$M,13,FALSE()))</f>
        <v>א'</v>
      </c>
      <c r="M708" s="13"/>
      <c r="N708" s="50" t="s">
        <v>366</v>
      </c>
      <c r="O708" s="13" t="str">
        <f t="array" ref="O708">_xlfn.IFS(N708="A","א'", N708="B", "ב'", N708= "C", "ג'")</f>
        <v>ג'</v>
      </c>
      <c r="P708" s="13">
        <f>IF(Table_2[[#This Row],[Correct_Answer]]=Table_2[[#This Row],[System_Recommendation]],1,0)</f>
        <v>1</v>
      </c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 spans="1:26" ht="15.75" hidden="1" customHeight="1">
      <c r="A709" s="8" t="s">
        <v>206</v>
      </c>
      <c r="B709" s="8">
        <v>15</v>
      </c>
      <c r="C709" s="9" t="s">
        <v>381</v>
      </c>
      <c r="D709" s="8">
        <v>3</v>
      </c>
      <c r="E709" s="9" t="s">
        <v>98</v>
      </c>
      <c r="F709" s="8" t="s">
        <v>382</v>
      </c>
      <c r="G709" s="8" t="s">
        <v>117</v>
      </c>
      <c r="H709" s="8" t="s">
        <v>194</v>
      </c>
      <c r="I709" s="8" t="s">
        <v>91</v>
      </c>
      <c r="J709" s="9" t="s">
        <v>380</v>
      </c>
      <c r="K709" s="8" t="str">
        <f>VLOOKUP(LEFT(H709,7),'קטלוג תרחישים'!$A:$M,12,FALSE())</f>
        <v>ג'</v>
      </c>
      <c r="L709" s="8" t="str">
        <f>IF(J709="כן",K709,VLOOKUP(LEFT(H709,7),'קטלוג תרחישים'!$A:$M,13,FALSE()))</f>
        <v>ג'</v>
      </c>
      <c r="M709" s="13"/>
      <c r="N709" s="51" t="s">
        <v>360</v>
      </c>
      <c r="O709" s="13" t="str">
        <f t="array" ref="O709">_xlfn.IFS(N709="A","א'", N709="B", "ב'", N709= "C", "ג'")</f>
        <v>א'</v>
      </c>
      <c r="P709" s="13">
        <f>IF(Table_2[[#This Row],[Correct_Answer]]=Table_2[[#This Row],[System_Recommendation]],1,0)</f>
        <v>1</v>
      </c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 spans="1:26" ht="15.75" hidden="1" customHeight="1">
      <c r="A710" s="8" t="s">
        <v>206</v>
      </c>
      <c r="B710" s="8">
        <v>16</v>
      </c>
      <c r="C710" s="9" t="s">
        <v>381</v>
      </c>
      <c r="D710" s="8">
        <v>3</v>
      </c>
      <c r="E710" s="9" t="s">
        <v>98</v>
      </c>
      <c r="F710" s="8" t="s">
        <v>382</v>
      </c>
      <c r="G710" s="8" t="s">
        <v>117</v>
      </c>
      <c r="H710" s="8" t="s">
        <v>195</v>
      </c>
      <c r="I710" s="8" t="s">
        <v>100</v>
      </c>
      <c r="J710" s="9" t="s">
        <v>383</v>
      </c>
      <c r="K710" s="8" t="str">
        <f>VLOOKUP(LEFT(H710,7),'קטלוג תרחישים'!$A:$M,12,FALSE())</f>
        <v>ג'</v>
      </c>
      <c r="L710" s="8" t="str">
        <f>IF(J710="כן",K710,VLOOKUP(LEFT(H710,7),'קטלוג תרחישים'!$A:$M,13,FALSE()))</f>
        <v>ב'</v>
      </c>
      <c r="M710" s="13"/>
      <c r="N710" s="50" t="s">
        <v>366</v>
      </c>
      <c r="O710" s="13" t="str">
        <f t="array" ref="O710">_xlfn.IFS(N710="A","א'", N710="B", "ב'", N710= "C", "ג'")</f>
        <v>ג'</v>
      </c>
      <c r="P710" s="13">
        <f>IF(Table_2[[#This Row],[Correct_Answer]]=Table_2[[#This Row],[System_Recommendation]],1,0)</f>
        <v>0</v>
      </c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 spans="1:26" ht="15.75" hidden="1" customHeight="1">
      <c r="A711" s="8" t="s">
        <v>206</v>
      </c>
      <c r="B711" s="8">
        <v>17</v>
      </c>
      <c r="C711" s="9" t="s">
        <v>381</v>
      </c>
      <c r="D711" s="8">
        <v>3</v>
      </c>
      <c r="E711" s="9" t="s">
        <v>98</v>
      </c>
      <c r="F711" s="8" t="s">
        <v>382</v>
      </c>
      <c r="G711" s="8" t="s">
        <v>117</v>
      </c>
      <c r="H711" s="8" t="s">
        <v>196</v>
      </c>
      <c r="I711" s="8" t="s">
        <v>91</v>
      </c>
      <c r="J711" s="9" t="s">
        <v>383</v>
      </c>
      <c r="K711" s="8" t="str">
        <f>VLOOKUP(LEFT(H711,7),'קטלוג תרחישים'!$A:$M,12,FALSE())</f>
        <v>ג'</v>
      </c>
      <c r="L711" s="8" t="str">
        <f>IF(J711="כן",K711,VLOOKUP(LEFT(H711,7),'קטלוג תרחישים'!$A:$M,13,FALSE()))</f>
        <v>א'</v>
      </c>
      <c r="M711" s="13"/>
      <c r="N711" s="51" t="s">
        <v>366</v>
      </c>
      <c r="O711" s="13" t="str">
        <f t="array" ref="O711">_xlfn.IFS(N711="A","א'", N711="B", "ב'", N711= "C", "ג'")</f>
        <v>ג'</v>
      </c>
      <c r="P711" s="13">
        <f>IF(Table_2[[#This Row],[Correct_Answer]]=Table_2[[#This Row],[System_Recommendation]],1,0)</f>
        <v>0</v>
      </c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 spans="1:26" ht="15.75" hidden="1" customHeight="1">
      <c r="A712" s="8" t="s">
        <v>206</v>
      </c>
      <c r="B712" s="8">
        <v>18</v>
      </c>
      <c r="C712" s="9" t="s">
        <v>381</v>
      </c>
      <c r="D712" s="8">
        <v>3</v>
      </c>
      <c r="E712" s="9" t="s">
        <v>98</v>
      </c>
      <c r="F712" s="8" t="s">
        <v>382</v>
      </c>
      <c r="G712" s="8" t="s">
        <v>117</v>
      </c>
      <c r="H712" s="8" t="s">
        <v>197</v>
      </c>
      <c r="I712" s="8" t="s">
        <v>100</v>
      </c>
      <c r="J712" s="9" t="s">
        <v>380</v>
      </c>
      <c r="K712" s="8" t="str">
        <f>VLOOKUP(LEFT(H712,7),'קטלוג תרחישים'!$A:$M,12,FALSE())</f>
        <v>א'</v>
      </c>
      <c r="L712" s="8" t="str">
        <f>IF(J712="כן",K712,VLOOKUP(LEFT(H712,7),'קטלוג תרחישים'!$A:$M,13,FALSE()))</f>
        <v>א'</v>
      </c>
      <c r="M712" s="13"/>
      <c r="N712" s="50" t="s">
        <v>365</v>
      </c>
      <c r="O712" s="13" t="str">
        <f t="array" ref="O712">_xlfn.IFS(N712="A","א'", N712="B", "ב'", N712= "C", "ג'")</f>
        <v>ב'</v>
      </c>
      <c r="P712" s="13">
        <f>IF(Table_2[[#This Row],[Correct_Answer]]=Table_2[[#This Row],[System_Recommendation]],1,0)</f>
        <v>1</v>
      </c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 spans="1:26" ht="15.75" hidden="1" customHeight="1">
      <c r="A713" s="8" t="s">
        <v>206</v>
      </c>
      <c r="B713" s="8">
        <v>19</v>
      </c>
      <c r="C713" s="9" t="s">
        <v>381</v>
      </c>
      <c r="D713" s="8">
        <v>1</v>
      </c>
      <c r="E713" s="9" t="s">
        <v>98</v>
      </c>
      <c r="F713" s="8" t="s">
        <v>384</v>
      </c>
      <c r="G713" s="8" t="s">
        <v>97</v>
      </c>
      <c r="H713" s="8" t="s">
        <v>188</v>
      </c>
      <c r="I713" s="8" t="s">
        <v>91</v>
      </c>
      <c r="J713" s="9" t="s">
        <v>380</v>
      </c>
      <c r="K713" s="8" t="str">
        <f>VLOOKUP(LEFT(H713,7),'קטלוג תרחישים'!$A:$M,12,FALSE())</f>
        <v>ג'</v>
      </c>
      <c r="L713" s="8" t="str">
        <f>IF(J713="כן",K713,VLOOKUP(LEFT(H713,7),'קטלוג תרחישים'!$A:$M,13,FALSE()))</f>
        <v>ג'</v>
      </c>
      <c r="M713" s="13"/>
      <c r="N713" s="51" t="s">
        <v>360</v>
      </c>
      <c r="O713" s="13" t="str">
        <f t="array" ref="O713">_xlfn.IFS(N713="A","א'", N713="B", "ב'", N713= "C", "ג'")</f>
        <v>א'</v>
      </c>
      <c r="P713" s="13">
        <f>IF(Table_2[[#This Row],[Correct_Answer]]=Table_2[[#This Row],[System_Recommendation]],1,0)</f>
        <v>1</v>
      </c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 spans="1:26" ht="15.75" hidden="1" customHeight="1">
      <c r="A714" s="8" t="s">
        <v>206</v>
      </c>
      <c r="B714" s="8">
        <v>20</v>
      </c>
      <c r="C714" s="9" t="s">
        <v>381</v>
      </c>
      <c r="D714" s="8">
        <v>1</v>
      </c>
      <c r="E714" s="9" t="s">
        <v>98</v>
      </c>
      <c r="F714" s="8" t="s">
        <v>384</v>
      </c>
      <c r="G714" s="8" t="s">
        <v>97</v>
      </c>
      <c r="H714" s="8" t="s">
        <v>187</v>
      </c>
      <c r="I714" s="8" t="s">
        <v>100</v>
      </c>
      <c r="J714" s="9" t="s">
        <v>380</v>
      </c>
      <c r="K714" s="8" t="str">
        <f>VLOOKUP(LEFT(H714,7),'קטלוג תרחישים'!$A:$M,12,FALSE())</f>
        <v>ב'</v>
      </c>
      <c r="L714" s="8" t="str">
        <f>IF(J714="כן",K714,VLOOKUP(LEFT(H714,7),'קטלוג תרחישים'!$A:$M,13,FALSE()))</f>
        <v>ב'</v>
      </c>
      <c r="M714" s="13"/>
      <c r="N714" s="50" t="s">
        <v>360</v>
      </c>
      <c r="O714" s="13" t="str">
        <f t="array" ref="O714">_xlfn.IFS(N714="A","א'", N714="B", "ב'", N714= "C", "ג'")</f>
        <v>א'</v>
      </c>
      <c r="P714" s="13">
        <f>IF(Table_2[[#This Row],[Correct_Answer]]=Table_2[[#This Row],[System_Recommendation]],1,0)</f>
        <v>1</v>
      </c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 spans="1:26" ht="15.75" hidden="1" customHeight="1">
      <c r="A715" s="8" t="s">
        <v>206</v>
      </c>
      <c r="B715" s="8">
        <v>21</v>
      </c>
      <c r="C715" s="9" t="s">
        <v>381</v>
      </c>
      <c r="D715" s="8">
        <v>1</v>
      </c>
      <c r="E715" s="9" t="s">
        <v>98</v>
      </c>
      <c r="F715" s="8" t="s">
        <v>384</v>
      </c>
      <c r="G715" s="8" t="s">
        <v>97</v>
      </c>
      <c r="H715" s="8" t="s">
        <v>184</v>
      </c>
      <c r="I715" s="8" t="s">
        <v>91</v>
      </c>
      <c r="J715" s="9" t="s">
        <v>380</v>
      </c>
      <c r="K715" s="8" t="str">
        <f>VLOOKUP(LEFT(H715,7),'קטלוג תרחישים'!$A:$M,12,FALSE())</f>
        <v>ג'</v>
      </c>
      <c r="L715" s="8" t="str">
        <f>IF(J715="כן",K715,VLOOKUP(LEFT(H715,7),'קטלוג תרחישים'!$A:$M,13,FALSE()))</f>
        <v>ג'</v>
      </c>
      <c r="M715" s="13"/>
      <c r="N715" s="51" t="s">
        <v>360</v>
      </c>
      <c r="O715" s="13" t="str">
        <f t="array" ref="O715">_xlfn.IFS(N715="A","א'", N715="B", "ב'", N715= "C", "ג'")</f>
        <v>א'</v>
      </c>
      <c r="P715" s="13">
        <f>IF(Table_2[[#This Row],[Correct_Answer]]=Table_2[[#This Row],[System_Recommendation]],1,0)</f>
        <v>1</v>
      </c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 spans="1:26" ht="15.75" hidden="1" customHeight="1">
      <c r="A716" s="8" t="s">
        <v>206</v>
      </c>
      <c r="B716" s="8">
        <v>22</v>
      </c>
      <c r="C716" s="9" t="s">
        <v>381</v>
      </c>
      <c r="D716" s="8">
        <v>1</v>
      </c>
      <c r="E716" s="9" t="s">
        <v>98</v>
      </c>
      <c r="F716" s="8" t="s">
        <v>384</v>
      </c>
      <c r="G716" s="8" t="s">
        <v>97</v>
      </c>
      <c r="H716" s="8" t="s">
        <v>185</v>
      </c>
      <c r="I716" s="8" t="s">
        <v>100</v>
      </c>
      <c r="J716" s="9" t="s">
        <v>383</v>
      </c>
      <c r="K716" s="8" t="str">
        <f>VLOOKUP(LEFT(H716,7),'קטלוג תרחישים'!$A:$M,12,FALSE())</f>
        <v>ב'</v>
      </c>
      <c r="L716" s="8" t="str">
        <f>IF(J716="כן",K716,VLOOKUP(LEFT(H716,7),'קטלוג תרחישים'!$A:$M,13,FALSE()))</f>
        <v>ג'</v>
      </c>
      <c r="M716" s="13"/>
      <c r="N716" s="50" t="s">
        <v>360</v>
      </c>
      <c r="O716" s="13" t="str">
        <f t="array" ref="O716">_xlfn.IFS(N716="A","א'", N716="B", "ב'", N716= "C", "ג'")</f>
        <v>א'</v>
      </c>
      <c r="P716" s="13">
        <f>IF(Table_2[[#This Row],[Correct_Answer]]=Table_2[[#This Row],[System_Recommendation]],1,0)</f>
        <v>0</v>
      </c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 spans="1:26" ht="15.75" hidden="1" customHeight="1">
      <c r="A717" s="8" t="s">
        <v>206</v>
      </c>
      <c r="B717" s="8">
        <v>23</v>
      </c>
      <c r="C717" s="9" t="s">
        <v>381</v>
      </c>
      <c r="D717" s="8">
        <v>1</v>
      </c>
      <c r="E717" s="9" t="s">
        <v>98</v>
      </c>
      <c r="F717" s="8" t="s">
        <v>384</v>
      </c>
      <c r="G717" s="8" t="s">
        <v>97</v>
      </c>
      <c r="H717" s="8" t="s">
        <v>186</v>
      </c>
      <c r="I717" s="8" t="s">
        <v>91</v>
      </c>
      <c r="J717" s="9" t="s">
        <v>380</v>
      </c>
      <c r="K717" s="8" t="str">
        <f>VLOOKUP(LEFT(H717,7),'קטלוג תרחישים'!$A:$M,12,FALSE())</f>
        <v>א'</v>
      </c>
      <c r="L717" s="8" t="str">
        <f>IF(J717="כן",K717,VLOOKUP(LEFT(H717,7),'קטלוג תרחישים'!$A:$M,13,FALSE()))</f>
        <v>א'</v>
      </c>
      <c r="M717" s="13"/>
      <c r="N717" s="51" t="s">
        <v>365</v>
      </c>
      <c r="O717" s="13" t="str">
        <f t="array" ref="O717">_xlfn.IFS(N717="A","א'", N717="B", "ב'", N717= "C", "ג'")</f>
        <v>ב'</v>
      </c>
      <c r="P717" s="13">
        <f>IF(Table_2[[#This Row],[Correct_Answer]]=Table_2[[#This Row],[System_Recommendation]],1,0)</f>
        <v>1</v>
      </c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 spans="1:26" ht="15.75" hidden="1" customHeight="1">
      <c r="A718" s="8" t="s">
        <v>206</v>
      </c>
      <c r="B718" s="8">
        <v>24</v>
      </c>
      <c r="C718" s="9" t="s">
        <v>381</v>
      </c>
      <c r="D718" s="8">
        <v>2</v>
      </c>
      <c r="E718" s="9" t="s">
        <v>105</v>
      </c>
      <c r="F718" s="8" t="s">
        <v>384</v>
      </c>
      <c r="G718" s="8" t="s">
        <v>97</v>
      </c>
      <c r="H718" s="8" t="s">
        <v>193</v>
      </c>
      <c r="I718" s="8" t="s">
        <v>91</v>
      </c>
      <c r="J718" s="9" t="s">
        <v>380</v>
      </c>
      <c r="K718" s="8" t="str">
        <f>VLOOKUP(LEFT(H718,7),'קטלוג תרחישים'!$A:$M,12,FALSE())</f>
        <v>ב'</v>
      </c>
      <c r="L718" s="8" t="str">
        <f>IF(J718="כן",K718,VLOOKUP(LEFT(H718,7),'קטלוג תרחישים'!$A:$M,13,FALSE()))</f>
        <v>ב'</v>
      </c>
      <c r="M718" s="13"/>
      <c r="N718" s="50" t="s">
        <v>365</v>
      </c>
      <c r="O718" s="13" t="str">
        <f t="array" ref="O718">_xlfn.IFS(N718="A","א'", N718="B", "ב'", N718= "C", "ג'")</f>
        <v>ב'</v>
      </c>
      <c r="P718" s="13">
        <f>IF(Table_2[[#This Row],[Correct_Answer]]=Table_2[[#This Row],[System_Recommendation]],1,0)</f>
        <v>1</v>
      </c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 spans="1:26" ht="15.75" hidden="1" customHeight="1">
      <c r="A719" s="8" t="s">
        <v>206</v>
      </c>
      <c r="B719" s="8">
        <v>25</v>
      </c>
      <c r="C719" s="9" t="s">
        <v>381</v>
      </c>
      <c r="D719" s="8">
        <v>2</v>
      </c>
      <c r="E719" s="9" t="s">
        <v>105</v>
      </c>
      <c r="F719" s="8" t="s">
        <v>384</v>
      </c>
      <c r="G719" s="8" t="s">
        <v>97</v>
      </c>
      <c r="H719" s="8" t="s">
        <v>192</v>
      </c>
      <c r="I719" s="8" t="s">
        <v>100</v>
      </c>
      <c r="J719" s="9" t="s">
        <v>380</v>
      </c>
      <c r="K719" s="8" t="str">
        <f>VLOOKUP(LEFT(H719,7),'קטלוג תרחישים'!$A:$M,12,FALSE())</f>
        <v>א'</v>
      </c>
      <c r="L719" s="8" t="str">
        <f>IF(J719="כן",K719,VLOOKUP(LEFT(H719,7),'קטלוג תרחישים'!$A:$M,13,FALSE()))</f>
        <v>א'</v>
      </c>
      <c r="M719" s="13"/>
      <c r="N719" s="51" t="s">
        <v>366</v>
      </c>
      <c r="O719" s="13" t="str">
        <f t="array" ref="O719">_xlfn.IFS(N719="A","א'", N719="B", "ב'", N719= "C", "ג'")</f>
        <v>ג'</v>
      </c>
      <c r="P719" s="13">
        <f>IF(Table_2[[#This Row],[Correct_Answer]]=Table_2[[#This Row],[System_Recommendation]],1,0)</f>
        <v>1</v>
      </c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 spans="1:26" ht="15.75" hidden="1" customHeight="1">
      <c r="A720" s="8" t="s">
        <v>206</v>
      </c>
      <c r="B720" s="8">
        <v>26</v>
      </c>
      <c r="C720" s="9" t="s">
        <v>381</v>
      </c>
      <c r="D720" s="8">
        <v>2</v>
      </c>
      <c r="E720" s="9" t="s">
        <v>105</v>
      </c>
      <c r="F720" s="8" t="s">
        <v>384</v>
      </c>
      <c r="G720" s="8" t="s">
        <v>97</v>
      </c>
      <c r="H720" s="8" t="s">
        <v>189</v>
      </c>
      <c r="I720" s="8" t="s">
        <v>91</v>
      </c>
      <c r="J720" s="9" t="s">
        <v>380</v>
      </c>
      <c r="K720" s="8" t="str">
        <f>VLOOKUP(LEFT(H720,7),'קטלוג תרחישים'!$A:$M,12,FALSE())</f>
        <v>ג'</v>
      </c>
      <c r="L720" s="8" t="str">
        <f>IF(J720="כן",K720,VLOOKUP(LEFT(H720,7),'קטלוג תרחישים'!$A:$M,13,FALSE()))</f>
        <v>ג'</v>
      </c>
      <c r="M720" s="13"/>
      <c r="N720" s="50" t="s">
        <v>366</v>
      </c>
      <c r="O720" s="13" t="str">
        <f t="array" ref="O720">_xlfn.IFS(N720="A","א'", N720="B", "ב'", N720= "C", "ג'")</f>
        <v>ג'</v>
      </c>
      <c r="P720" s="13">
        <f>IF(Table_2[[#This Row],[Correct_Answer]]=Table_2[[#This Row],[System_Recommendation]],1,0)</f>
        <v>1</v>
      </c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 spans="1:26" ht="15.75" hidden="1" customHeight="1">
      <c r="A721" s="8" t="s">
        <v>206</v>
      </c>
      <c r="B721" s="8">
        <v>27</v>
      </c>
      <c r="C721" s="9" t="s">
        <v>381</v>
      </c>
      <c r="D721" s="8">
        <v>2</v>
      </c>
      <c r="E721" s="9" t="s">
        <v>105</v>
      </c>
      <c r="F721" s="8" t="s">
        <v>384</v>
      </c>
      <c r="G721" s="8" t="s">
        <v>97</v>
      </c>
      <c r="H721" s="8" t="s">
        <v>190</v>
      </c>
      <c r="I721" s="8" t="s">
        <v>100</v>
      </c>
      <c r="J721" s="9" t="s">
        <v>383</v>
      </c>
      <c r="K721" s="8" t="str">
        <f>VLOOKUP(LEFT(H721,7),'קטלוג תרחישים'!$A:$M,12,FALSE())</f>
        <v>ג'</v>
      </c>
      <c r="L721" s="8" t="str">
        <f>IF(J721="כן",K721,VLOOKUP(LEFT(H721,7),'קטלוג תרחישים'!$A:$M,13,FALSE()))</f>
        <v>ב'</v>
      </c>
      <c r="M721" s="13"/>
      <c r="N721" s="51" t="s">
        <v>365</v>
      </c>
      <c r="O721" s="13" t="str">
        <f t="array" ref="O721">_xlfn.IFS(N721="A","א'", N721="B", "ב'", N721= "C", "ג'")</f>
        <v>ב'</v>
      </c>
      <c r="P721" s="13">
        <f>IF(Table_2[[#This Row],[Correct_Answer]]=Table_2[[#This Row],[System_Recommendation]],1,0)</f>
        <v>0</v>
      </c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 spans="1:26" ht="15.75" hidden="1" customHeight="1">
      <c r="A722" s="8" t="s">
        <v>206</v>
      </c>
      <c r="B722" s="8">
        <v>28</v>
      </c>
      <c r="C722" s="9" t="s">
        <v>381</v>
      </c>
      <c r="D722" s="8">
        <v>2</v>
      </c>
      <c r="E722" s="9" t="s">
        <v>105</v>
      </c>
      <c r="F722" s="8" t="s">
        <v>384</v>
      </c>
      <c r="G722" s="8" t="s">
        <v>97</v>
      </c>
      <c r="H722" s="8" t="s">
        <v>191</v>
      </c>
      <c r="I722" s="8" t="s">
        <v>91</v>
      </c>
      <c r="J722" s="9" t="s">
        <v>380</v>
      </c>
      <c r="K722" s="8" t="str">
        <f>VLOOKUP(LEFT(H722,7),'קטלוג תרחישים'!$A:$M,12,FALSE())</f>
        <v>ג'</v>
      </c>
      <c r="L722" s="8" t="str">
        <f>IF(J722="כן",K722,VLOOKUP(LEFT(H722,7),'קטלוג תרחישים'!$A:$M,13,FALSE()))</f>
        <v>ג'</v>
      </c>
      <c r="M722" s="13"/>
      <c r="N722" s="50" t="s">
        <v>366</v>
      </c>
      <c r="O722" s="13" t="str">
        <f t="array" ref="O722">_xlfn.IFS(N722="A","א'", N722="B", "ב'", N722= "C", "ג'")</f>
        <v>ג'</v>
      </c>
      <c r="P722" s="13">
        <f>IF(Table_2[[#This Row],[Correct_Answer]]=Table_2[[#This Row],[System_Recommendation]],1,0)</f>
        <v>1</v>
      </c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 spans="1:26" ht="15.75" hidden="1" customHeight="1">
      <c r="A723" s="8" t="s">
        <v>206</v>
      </c>
      <c r="B723" s="8">
        <v>29</v>
      </c>
      <c r="C723" s="9" t="s">
        <v>381</v>
      </c>
      <c r="D723" s="8">
        <v>3</v>
      </c>
      <c r="E723" s="9" t="s">
        <v>111</v>
      </c>
      <c r="F723" s="8" t="s">
        <v>384</v>
      </c>
      <c r="G723" s="8" t="s">
        <v>97</v>
      </c>
      <c r="H723" s="8" t="s">
        <v>181</v>
      </c>
      <c r="I723" s="8" t="s">
        <v>100</v>
      </c>
      <c r="J723" s="9" t="s">
        <v>383</v>
      </c>
      <c r="K723" s="8" t="str">
        <f>VLOOKUP(LEFT(H723,7),'קטלוג תרחישים'!$A:$M,12,FALSE())</f>
        <v>ג'</v>
      </c>
      <c r="L723" s="8" t="str">
        <f>IF(J723="כן",K723,VLOOKUP(LEFT(H723,7),'קטלוג תרחישים'!$A:$M,13,FALSE()))</f>
        <v>א'</v>
      </c>
      <c r="M723" s="13"/>
      <c r="N723" s="51" t="s">
        <v>366</v>
      </c>
      <c r="O723" s="13" t="str">
        <f t="array" ref="O723">_xlfn.IFS(N723="A","א'", N723="B", "ב'", N723= "C", "ג'")</f>
        <v>ג'</v>
      </c>
      <c r="P723" s="13">
        <f>IF(Table_2[[#This Row],[Correct_Answer]]=Table_2[[#This Row],[System_Recommendation]],1,0)</f>
        <v>0</v>
      </c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 spans="1:26" ht="15.75" hidden="1" customHeight="1">
      <c r="A724" s="8" t="s">
        <v>206</v>
      </c>
      <c r="B724" s="8">
        <v>30</v>
      </c>
      <c r="C724" s="9" t="s">
        <v>381</v>
      </c>
      <c r="D724" s="8">
        <v>3</v>
      </c>
      <c r="E724" s="9" t="s">
        <v>111</v>
      </c>
      <c r="F724" s="8" t="s">
        <v>384</v>
      </c>
      <c r="G724" s="8" t="s">
        <v>97</v>
      </c>
      <c r="H724" s="8" t="s">
        <v>180</v>
      </c>
      <c r="I724" s="8" t="s">
        <v>91</v>
      </c>
      <c r="J724" s="9" t="s">
        <v>380</v>
      </c>
      <c r="K724" s="8" t="str">
        <f>VLOOKUP(LEFT(H724,7),'קטלוג תרחישים'!$A:$M,12,FALSE())</f>
        <v>א'</v>
      </c>
      <c r="L724" s="8" t="str">
        <f>IF(J724="כן",K724,VLOOKUP(LEFT(H724,7),'קטלוג תרחישים'!$A:$M,13,FALSE()))</f>
        <v>א'</v>
      </c>
      <c r="M724" s="13"/>
      <c r="N724" s="50" t="s">
        <v>365</v>
      </c>
      <c r="O724" s="13" t="str">
        <f t="array" ref="O724">_xlfn.IFS(N724="A","א'", N724="B", "ב'", N724= "C", "ג'")</f>
        <v>ב'</v>
      </c>
      <c r="P724" s="13">
        <f>IF(Table_2[[#This Row],[Correct_Answer]]=Table_2[[#This Row],[System_Recommendation]],1,0)</f>
        <v>1</v>
      </c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 spans="1:26" ht="15.75" hidden="1" customHeight="1">
      <c r="A725" s="8" t="s">
        <v>206</v>
      </c>
      <c r="B725" s="8">
        <v>31</v>
      </c>
      <c r="C725" s="9" t="s">
        <v>381</v>
      </c>
      <c r="D725" s="8">
        <v>3</v>
      </c>
      <c r="E725" s="9" t="s">
        <v>111</v>
      </c>
      <c r="F725" s="8" t="s">
        <v>384</v>
      </c>
      <c r="G725" s="8" t="s">
        <v>97</v>
      </c>
      <c r="H725" s="8" t="s">
        <v>183</v>
      </c>
      <c r="I725" s="8" t="s">
        <v>100</v>
      </c>
      <c r="J725" s="9" t="s">
        <v>380</v>
      </c>
      <c r="K725" s="8" t="str">
        <f>VLOOKUP(LEFT(H725,7),'קטלוג תרחישים'!$A:$M,12,FALSE())</f>
        <v>ג'</v>
      </c>
      <c r="L725" s="8" t="str">
        <f>IF(J725="כן",K725,VLOOKUP(LEFT(H725,7),'קטלוג תרחישים'!$A:$M,13,FALSE()))</f>
        <v>ג'</v>
      </c>
      <c r="M725" s="13"/>
      <c r="N725" s="51" t="s">
        <v>366</v>
      </c>
      <c r="O725" s="13" t="str">
        <f t="array" ref="O725">_xlfn.IFS(N725="A","א'", N725="B", "ב'", N725= "C", "ג'")</f>
        <v>ג'</v>
      </c>
      <c r="P725" s="13">
        <f>IF(Table_2[[#This Row],[Correct_Answer]]=Table_2[[#This Row],[System_Recommendation]],1,0)</f>
        <v>1</v>
      </c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 spans="1:26" ht="15.75" hidden="1" customHeight="1">
      <c r="A726" s="8" t="s">
        <v>206</v>
      </c>
      <c r="B726" s="8">
        <v>32</v>
      </c>
      <c r="C726" s="9" t="s">
        <v>381</v>
      </c>
      <c r="D726" s="8">
        <v>3</v>
      </c>
      <c r="E726" s="9" t="s">
        <v>111</v>
      </c>
      <c r="F726" s="8" t="s">
        <v>384</v>
      </c>
      <c r="G726" s="8" t="s">
        <v>97</v>
      </c>
      <c r="H726" s="8" t="s">
        <v>182</v>
      </c>
      <c r="I726" s="8" t="s">
        <v>91</v>
      </c>
      <c r="J726" s="9" t="s">
        <v>380</v>
      </c>
      <c r="K726" s="8" t="str">
        <f>VLOOKUP(LEFT(H726,7),'קטלוג תרחישים'!$A:$M,12,FALSE())</f>
        <v>ב'</v>
      </c>
      <c r="L726" s="8" t="str">
        <f>IF(J726="כן",K726,VLOOKUP(LEFT(H726,7),'קטלוג תרחישים'!$A:$M,13,FALSE()))</f>
        <v>ב'</v>
      </c>
      <c r="M726" s="13"/>
      <c r="N726" s="50" t="s">
        <v>360</v>
      </c>
      <c r="O726" s="13" t="str">
        <f t="array" ref="O726">_xlfn.IFS(N726="A","א'", N726="B", "ב'", N726= "C", "ג'")</f>
        <v>א'</v>
      </c>
      <c r="P726" s="13">
        <f>IF(Table_2[[#This Row],[Correct_Answer]]=Table_2[[#This Row],[System_Recommendation]],1,0)</f>
        <v>1</v>
      </c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 spans="1:26" ht="15.75" hidden="1" customHeight="1">
      <c r="A727" s="8" t="s">
        <v>206</v>
      </c>
      <c r="B727" s="8">
        <v>33</v>
      </c>
      <c r="C727" s="9" t="s">
        <v>381</v>
      </c>
      <c r="D727" s="8">
        <v>3</v>
      </c>
      <c r="E727" s="9" t="s">
        <v>111</v>
      </c>
      <c r="F727" s="8" t="s">
        <v>384</v>
      </c>
      <c r="G727" s="8" t="s">
        <v>97</v>
      </c>
      <c r="H727" s="8" t="s">
        <v>179</v>
      </c>
      <c r="I727" s="8" t="s">
        <v>100</v>
      </c>
      <c r="J727" s="9" t="s">
        <v>380</v>
      </c>
      <c r="K727" s="8" t="str">
        <f>VLOOKUP(LEFT(H727,7),'קטלוג תרחישים'!$A:$M,12,FALSE())</f>
        <v>ב'</v>
      </c>
      <c r="L727" s="8" t="str">
        <f>IF(J727="כן",K727,VLOOKUP(LEFT(H727,7),'קטלוג תרחישים'!$A:$M,13,FALSE()))</f>
        <v>ב'</v>
      </c>
      <c r="M727" s="13"/>
      <c r="N727" s="51" t="s">
        <v>360</v>
      </c>
      <c r="O727" s="13" t="str">
        <f t="array" ref="O727">_xlfn.IFS(N727="A","א'", N727="B", "ב'", N727= "C", "ג'")</f>
        <v>א'</v>
      </c>
      <c r="P727" s="13">
        <f>IF(Table_2[[#This Row],[Correct_Answer]]=Table_2[[#This Row],[System_Recommendation]],1,0)</f>
        <v>1</v>
      </c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 spans="1:26" ht="15.75" hidden="1" customHeight="1">
      <c r="A728" s="8" t="s">
        <v>207</v>
      </c>
      <c r="B728" s="8">
        <v>1</v>
      </c>
      <c r="C728" s="9" t="s">
        <v>379</v>
      </c>
      <c r="D728" s="8"/>
      <c r="E728" s="9" t="s">
        <v>98</v>
      </c>
      <c r="F728" s="8"/>
      <c r="G728" s="8"/>
      <c r="H728" s="11" t="s">
        <v>90</v>
      </c>
      <c r="I728" s="8" t="s">
        <v>91</v>
      </c>
      <c r="J728" s="9" t="s">
        <v>380</v>
      </c>
      <c r="K728" s="8" t="str">
        <f>VLOOKUP(LEFT(H728,7),'קטלוג תרחישים'!$A:$M,12,FALSE())</f>
        <v>א'</v>
      </c>
      <c r="L728" s="8" t="str">
        <f>IF(J728="כן",K728,VLOOKUP(LEFT(H728,7),'קטלוג תרחישים'!$A:$M,13,FALSE()))</f>
        <v>א'</v>
      </c>
      <c r="M728" s="13"/>
      <c r="N728" s="50" t="s">
        <v>366</v>
      </c>
      <c r="O728" s="13" t="str">
        <f t="array" ref="O728">_xlfn.IFS(N728="A","א'", N728="B", "ב'", N728= "C", "ג'")</f>
        <v>ג'</v>
      </c>
      <c r="P728" s="13">
        <f>IF(Table_2[[#This Row],[Correct_Answer]]=Table_2[[#This Row],[System_Recommendation]],1,0)</f>
        <v>1</v>
      </c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 spans="1:26" ht="15.75" hidden="1" customHeight="1">
      <c r="A729" s="8" t="s">
        <v>207</v>
      </c>
      <c r="B729" s="8">
        <v>2</v>
      </c>
      <c r="C729" s="9" t="s">
        <v>379</v>
      </c>
      <c r="D729" s="8"/>
      <c r="E729" s="9" t="s">
        <v>98</v>
      </c>
      <c r="F729" s="8"/>
      <c r="G729" s="8"/>
      <c r="H729" s="11" t="s">
        <v>92</v>
      </c>
      <c r="I729" s="8" t="s">
        <v>91</v>
      </c>
      <c r="J729" s="9" t="s">
        <v>380</v>
      </c>
      <c r="K729" s="8" t="str">
        <f>VLOOKUP(LEFT(H729,7),'קטלוג תרחישים'!$A:$M,12,FALSE())</f>
        <v>א'</v>
      </c>
      <c r="L729" s="8" t="str">
        <f>IF(J729="כן",K729,VLOOKUP(LEFT(H729,7),'קטלוג תרחישים'!$A:$M,13,FALSE()))</f>
        <v>א'</v>
      </c>
      <c r="M729" s="13"/>
      <c r="N729" s="51" t="s">
        <v>366</v>
      </c>
      <c r="O729" s="13" t="str">
        <f t="array" ref="O729">_xlfn.IFS(N729="A","א'", N729="B", "ב'", N729= "C", "ג'")</f>
        <v>ג'</v>
      </c>
      <c r="P729" s="13">
        <f>IF(Table_2[[#This Row],[Correct_Answer]]=Table_2[[#This Row],[System_Recommendation]],1,0)</f>
        <v>1</v>
      </c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 spans="1:26" ht="15.75" hidden="1" customHeight="1">
      <c r="A730" s="8" t="s">
        <v>207</v>
      </c>
      <c r="B730" s="8">
        <v>3</v>
      </c>
      <c r="C730" s="9" t="s">
        <v>379</v>
      </c>
      <c r="D730" s="8"/>
      <c r="E730" s="9" t="s">
        <v>105</v>
      </c>
      <c r="F730" s="8"/>
      <c r="G730" s="8"/>
      <c r="H730" s="11" t="s">
        <v>93</v>
      </c>
      <c r="I730" s="8" t="s">
        <v>91</v>
      </c>
      <c r="J730" s="9" t="s">
        <v>380</v>
      </c>
      <c r="K730" s="8" t="str">
        <f>VLOOKUP(LEFT(H730,7),'קטלוג תרחישים'!$A:$M,12,FALSE())</f>
        <v>א'</v>
      </c>
      <c r="L730" s="8" t="str">
        <f>IF(J730="כן",K730,VLOOKUP(LEFT(H730,7),'קטלוג תרחישים'!$A:$M,13,FALSE()))</f>
        <v>א'</v>
      </c>
      <c r="M730" s="13"/>
      <c r="N730" s="50" t="s">
        <v>366</v>
      </c>
      <c r="O730" s="13" t="str">
        <f t="array" ref="O730">_xlfn.IFS(N730="A","א'", N730="B", "ב'", N730= "C", "ג'")</f>
        <v>ג'</v>
      </c>
      <c r="P730" s="13">
        <f>IF(Table_2[[#This Row],[Correct_Answer]]=Table_2[[#This Row],[System_Recommendation]],1,0)</f>
        <v>1</v>
      </c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 spans="1:26" ht="15.75" hidden="1" customHeight="1">
      <c r="A731" s="8" t="s">
        <v>207</v>
      </c>
      <c r="B731" s="8">
        <v>4</v>
      </c>
      <c r="C731" s="9" t="s">
        <v>379</v>
      </c>
      <c r="D731" s="8"/>
      <c r="E731" s="9" t="s">
        <v>105</v>
      </c>
      <c r="F731" s="8"/>
      <c r="G731" s="8"/>
      <c r="H731" s="11" t="s">
        <v>94</v>
      </c>
      <c r="I731" s="8" t="s">
        <v>91</v>
      </c>
      <c r="J731" s="9" t="s">
        <v>380</v>
      </c>
      <c r="K731" s="8" t="str">
        <f>VLOOKUP(LEFT(H731,7),'קטלוג תרחישים'!$A:$M,12,FALSE())</f>
        <v>א'</v>
      </c>
      <c r="L731" s="8" t="str">
        <f>IF(J731="כן",K731,VLOOKUP(LEFT(H731,7),'קטלוג תרחישים'!$A:$M,13,FALSE()))</f>
        <v>א'</v>
      </c>
      <c r="M731" s="13"/>
      <c r="N731" s="51" t="s">
        <v>365</v>
      </c>
      <c r="O731" s="13" t="str">
        <f t="array" ref="O731">_xlfn.IFS(N731="A","א'", N731="B", "ב'", N731= "C", "ג'")</f>
        <v>ב'</v>
      </c>
      <c r="P731" s="13">
        <f>IF(Table_2[[#This Row],[Correct_Answer]]=Table_2[[#This Row],[System_Recommendation]],1,0)</f>
        <v>1</v>
      </c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 spans="1:26" ht="15.75" hidden="1" customHeight="1">
      <c r="A732" s="8" t="s">
        <v>207</v>
      </c>
      <c r="B732" s="8">
        <v>5</v>
      </c>
      <c r="C732" s="9" t="s">
        <v>379</v>
      </c>
      <c r="D732" s="8"/>
      <c r="E732" s="9" t="s">
        <v>111</v>
      </c>
      <c r="F732" s="8"/>
      <c r="G732" s="8"/>
      <c r="H732" s="11" t="s">
        <v>95</v>
      </c>
      <c r="I732" s="8" t="s">
        <v>91</v>
      </c>
      <c r="J732" s="9" t="s">
        <v>380</v>
      </c>
      <c r="K732" s="8" t="str">
        <f>VLOOKUP(LEFT(H732,7),'קטלוג תרחישים'!$A:$M,12,FALSE())</f>
        <v>ב'</v>
      </c>
      <c r="L732" s="8" t="str">
        <f>IF(J732="כן",K732,VLOOKUP(LEFT(H732,7),'קטלוג תרחישים'!$A:$M,13,FALSE()))</f>
        <v>ב'</v>
      </c>
      <c r="M732" s="13"/>
      <c r="N732" s="50" t="s">
        <v>360</v>
      </c>
      <c r="O732" s="13" t="str">
        <f t="array" ref="O732">_xlfn.IFS(N732="A","א'", N732="B", "ב'", N732= "C", "ג'")</f>
        <v>א'</v>
      </c>
      <c r="P732" s="13">
        <f>IF(Table_2[[#This Row],[Correct_Answer]]=Table_2[[#This Row],[System_Recommendation]],1,0)</f>
        <v>1</v>
      </c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 spans="1:26" ht="15.75" customHeight="1">
      <c r="A733" s="8" t="s">
        <v>207</v>
      </c>
      <c r="B733" s="8">
        <v>6</v>
      </c>
      <c r="C733" s="9" t="s">
        <v>379</v>
      </c>
      <c r="D733" s="8"/>
      <c r="E733" s="9" t="s">
        <v>111</v>
      </c>
      <c r="F733" s="8"/>
      <c r="G733" s="8"/>
      <c r="H733" s="11" t="s">
        <v>96</v>
      </c>
      <c r="I733" s="8" t="s">
        <v>91</v>
      </c>
      <c r="J733" s="9" t="s">
        <v>380</v>
      </c>
      <c r="K733" s="8" t="str">
        <f>VLOOKUP(LEFT(H733,7),'קטלוג תרחישים'!$A:$M,12,FALSE())</f>
        <v>ב'</v>
      </c>
      <c r="L733" s="8" t="str">
        <f>IF(J733="כן",K733,VLOOKUP(LEFT(H733,7),'קטלוג תרחישים'!$A:$M,13,FALSE()))</f>
        <v>ב'</v>
      </c>
      <c r="M733" s="13"/>
      <c r="N733" s="51" t="s">
        <v>366</v>
      </c>
      <c r="O733" s="13" t="str">
        <f t="array" ref="O733">_xlfn.IFS(N733="A","א'", N733="B", "ב'", N733= "C", "ג'")</f>
        <v>ג'</v>
      </c>
      <c r="P733" s="13">
        <f>IF(Table_2[[#This Row],[Correct_Answer]]=Table_2[[#This Row],[System_Recommendation]],1,0)</f>
        <v>1</v>
      </c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 spans="1:26" ht="15.75" hidden="1" customHeight="1">
      <c r="A734" s="8" t="s">
        <v>207</v>
      </c>
      <c r="B734" s="8">
        <v>7</v>
      </c>
      <c r="C734" s="9" t="s">
        <v>381</v>
      </c>
      <c r="D734" s="8">
        <v>1</v>
      </c>
      <c r="E734" s="9" t="s">
        <v>105</v>
      </c>
      <c r="F734" s="8" t="s">
        <v>382</v>
      </c>
      <c r="G734" s="8" t="s">
        <v>97</v>
      </c>
      <c r="H734" s="8" t="s">
        <v>191</v>
      </c>
      <c r="I734" s="8" t="s">
        <v>91</v>
      </c>
      <c r="J734" s="9" t="s">
        <v>380</v>
      </c>
      <c r="K734" s="8" t="str">
        <f>VLOOKUP(LEFT(H734,7),'קטלוג תרחישים'!$A:$M,12,FALSE())</f>
        <v>ג'</v>
      </c>
      <c r="L734" s="8" t="str">
        <f>IF(J734="כן",K734,VLOOKUP(LEFT(H734,7),'קטלוג תרחישים'!$A:$M,13,FALSE()))</f>
        <v>ג'</v>
      </c>
      <c r="M734" s="13"/>
      <c r="N734" s="50" t="s">
        <v>366</v>
      </c>
      <c r="O734" s="13" t="str">
        <f t="array" ref="O734">_xlfn.IFS(N734="A","א'", N734="B", "ב'", N734= "C", "ג'")</f>
        <v>ג'</v>
      </c>
      <c r="P734" s="13">
        <f>IF(Table_2[[#This Row],[Correct_Answer]]=Table_2[[#This Row],[System_Recommendation]],1,0)</f>
        <v>1</v>
      </c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 spans="1:26" ht="15.75" hidden="1" customHeight="1">
      <c r="A735" s="8" t="s">
        <v>207</v>
      </c>
      <c r="B735" s="8">
        <v>8</v>
      </c>
      <c r="C735" s="9" t="s">
        <v>381</v>
      </c>
      <c r="D735" s="8">
        <v>1</v>
      </c>
      <c r="E735" s="9" t="s">
        <v>105</v>
      </c>
      <c r="F735" s="8" t="s">
        <v>382</v>
      </c>
      <c r="G735" s="8" t="s">
        <v>97</v>
      </c>
      <c r="H735" s="8" t="s">
        <v>192</v>
      </c>
      <c r="I735" s="8" t="s">
        <v>100</v>
      </c>
      <c r="J735" s="9" t="s">
        <v>380</v>
      </c>
      <c r="K735" s="8" t="str">
        <f>VLOOKUP(LEFT(H735,7),'קטלוג תרחישים'!$A:$M,12,FALSE())</f>
        <v>א'</v>
      </c>
      <c r="L735" s="8" t="str">
        <f>IF(J735="כן",K735,VLOOKUP(LEFT(H735,7),'קטלוג תרחישים'!$A:$M,13,FALSE()))</f>
        <v>א'</v>
      </c>
      <c r="M735" s="13"/>
      <c r="N735" s="51" t="s">
        <v>365</v>
      </c>
      <c r="O735" s="13" t="str">
        <f t="array" ref="O735">_xlfn.IFS(N735="A","א'", N735="B", "ב'", N735= "C", "ג'")</f>
        <v>ב'</v>
      </c>
      <c r="P735" s="13">
        <f>IF(Table_2[[#This Row],[Correct_Answer]]=Table_2[[#This Row],[System_Recommendation]],1,0)</f>
        <v>1</v>
      </c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 spans="1:26" ht="15.75" hidden="1" customHeight="1">
      <c r="A736" s="8" t="s">
        <v>207</v>
      </c>
      <c r="B736" s="8">
        <v>9</v>
      </c>
      <c r="C736" s="9" t="s">
        <v>381</v>
      </c>
      <c r="D736" s="8">
        <v>1</v>
      </c>
      <c r="E736" s="9" t="s">
        <v>105</v>
      </c>
      <c r="F736" s="8" t="s">
        <v>382</v>
      </c>
      <c r="G736" s="8" t="s">
        <v>97</v>
      </c>
      <c r="H736" s="8" t="s">
        <v>193</v>
      </c>
      <c r="I736" s="8" t="s">
        <v>91</v>
      </c>
      <c r="J736" s="9" t="s">
        <v>383</v>
      </c>
      <c r="K736" s="8" t="str">
        <f>VLOOKUP(LEFT(H736,7),'קטלוג תרחישים'!$A:$M,12,FALSE())</f>
        <v>ב'</v>
      </c>
      <c r="L736" s="8" t="str">
        <f>IF(J736="כן",K736,VLOOKUP(LEFT(H736,7),'קטלוג תרחישים'!$A:$M,13,FALSE()))</f>
        <v>א'</v>
      </c>
      <c r="M736" s="13"/>
      <c r="N736" s="50" t="s">
        <v>365</v>
      </c>
      <c r="O736" s="13" t="str">
        <f t="array" ref="O736">_xlfn.IFS(N736="A","א'", N736="B", "ב'", N736= "C", "ג'")</f>
        <v>ב'</v>
      </c>
      <c r="P736" s="13">
        <f>IF(Table_2[[#This Row],[Correct_Answer]]=Table_2[[#This Row],[System_Recommendation]],1,0)</f>
        <v>0</v>
      </c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 spans="1:26" ht="15.75" hidden="1" customHeight="1">
      <c r="A737" s="8" t="s">
        <v>207</v>
      </c>
      <c r="B737" s="8">
        <v>10</v>
      </c>
      <c r="C737" s="9" t="s">
        <v>381</v>
      </c>
      <c r="D737" s="8">
        <v>1</v>
      </c>
      <c r="E737" s="9" t="s">
        <v>105</v>
      </c>
      <c r="F737" s="8" t="s">
        <v>382</v>
      </c>
      <c r="G737" s="8" t="s">
        <v>97</v>
      </c>
      <c r="H737" s="8" t="s">
        <v>190</v>
      </c>
      <c r="I737" s="8" t="s">
        <v>100</v>
      </c>
      <c r="J737" s="9" t="s">
        <v>380</v>
      </c>
      <c r="K737" s="8" t="str">
        <f>VLOOKUP(LEFT(H737,7),'קטלוג תרחישים'!$A:$M,12,FALSE())</f>
        <v>ג'</v>
      </c>
      <c r="L737" s="8" t="str">
        <f>IF(J737="כן",K737,VLOOKUP(LEFT(H737,7),'קטלוג תרחישים'!$A:$M,13,FALSE()))</f>
        <v>ג'</v>
      </c>
      <c r="M737" s="13"/>
      <c r="N737" s="51" t="s">
        <v>365</v>
      </c>
      <c r="O737" s="13" t="str">
        <f t="array" ref="O737">_xlfn.IFS(N737="A","א'", N737="B", "ב'", N737= "C", "ג'")</f>
        <v>ב'</v>
      </c>
      <c r="P737" s="13">
        <f>IF(Table_2[[#This Row],[Correct_Answer]]=Table_2[[#This Row],[System_Recommendation]],1,0)</f>
        <v>1</v>
      </c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 spans="1:26" ht="15.75" hidden="1" customHeight="1">
      <c r="A738" s="8" t="s">
        <v>207</v>
      </c>
      <c r="B738" s="8">
        <v>11</v>
      </c>
      <c r="C738" s="9" t="s">
        <v>381</v>
      </c>
      <c r="D738" s="8">
        <v>1</v>
      </c>
      <c r="E738" s="9" t="s">
        <v>105</v>
      </c>
      <c r="F738" s="8" t="s">
        <v>382</v>
      </c>
      <c r="G738" s="8" t="s">
        <v>97</v>
      </c>
      <c r="H738" s="8" t="s">
        <v>189</v>
      </c>
      <c r="I738" s="8" t="s">
        <v>91</v>
      </c>
      <c r="J738" s="9" t="s">
        <v>380</v>
      </c>
      <c r="K738" s="8" t="str">
        <f>VLOOKUP(LEFT(H738,7),'קטלוג תרחישים'!$A:$M,12,FALSE())</f>
        <v>ג'</v>
      </c>
      <c r="L738" s="8" t="str">
        <f>IF(J738="כן",K738,VLOOKUP(LEFT(H738,7),'קטלוג תרחישים'!$A:$M,13,FALSE()))</f>
        <v>ג'</v>
      </c>
      <c r="M738" s="13"/>
      <c r="N738" s="50" t="s">
        <v>360</v>
      </c>
      <c r="O738" s="13" t="str">
        <f t="array" ref="O738">_xlfn.IFS(N738="A","א'", N738="B", "ב'", N738= "C", "ג'")</f>
        <v>א'</v>
      </c>
      <c r="P738" s="13">
        <f>IF(Table_2[[#This Row],[Correct_Answer]]=Table_2[[#This Row],[System_Recommendation]],1,0)</f>
        <v>1</v>
      </c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 spans="1:26" ht="15.75" hidden="1" customHeight="1">
      <c r="A739" s="8" t="s">
        <v>207</v>
      </c>
      <c r="B739" s="8">
        <v>12</v>
      </c>
      <c r="C739" s="9" t="s">
        <v>381</v>
      </c>
      <c r="D739" s="8">
        <v>2</v>
      </c>
      <c r="E739" s="9" t="s">
        <v>111</v>
      </c>
      <c r="F739" s="8" t="s">
        <v>382</v>
      </c>
      <c r="G739" s="8" t="s">
        <v>97</v>
      </c>
      <c r="H739" s="8" t="s">
        <v>181</v>
      </c>
      <c r="I739" s="8" t="s">
        <v>100</v>
      </c>
      <c r="J739" s="9" t="s">
        <v>380</v>
      </c>
      <c r="K739" s="8" t="str">
        <f>VLOOKUP(LEFT(H739,7),'קטלוג תרחישים'!$A:$M,12,FALSE())</f>
        <v>ג'</v>
      </c>
      <c r="L739" s="8" t="str">
        <f>IF(J739="כן",K739,VLOOKUP(LEFT(H739,7),'קטלוג תרחישים'!$A:$M,13,FALSE()))</f>
        <v>ג'</v>
      </c>
      <c r="M739" s="13"/>
      <c r="N739" s="51" t="s">
        <v>366</v>
      </c>
      <c r="O739" s="13" t="str">
        <f t="array" ref="O739">_xlfn.IFS(N739="A","א'", N739="B", "ב'", N739= "C", "ג'")</f>
        <v>ג'</v>
      </c>
      <c r="P739" s="13">
        <f>IF(Table_2[[#This Row],[Correct_Answer]]=Table_2[[#This Row],[System_Recommendation]],1,0)</f>
        <v>1</v>
      </c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 spans="1:26" ht="15.75" hidden="1" customHeight="1">
      <c r="A740" s="8" t="s">
        <v>207</v>
      </c>
      <c r="B740" s="8">
        <v>13</v>
      </c>
      <c r="C740" s="9" t="s">
        <v>381</v>
      </c>
      <c r="D740" s="8">
        <v>2</v>
      </c>
      <c r="E740" s="9" t="s">
        <v>111</v>
      </c>
      <c r="F740" s="8" t="s">
        <v>382</v>
      </c>
      <c r="G740" s="8" t="s">
        <v>97</v>
      </c>
      <c r="H740" s="8" t="s">
        <v>182</v>
      </c>
      <c r="I740" s="8" t="s">
        <v>91</v>
      </c>
      <c r="J740" s="9" t="s">
        <v>380</v>
      </c>
      <c r="K740" s="8" t="str">
        <f>VLOOKUP(LEFT(H740,7),'קטלוג תרחישים'!$A:$M,12,FALSE())</f>
        <v>ב'</v>
      </c>
      <c r="L740" s="8" t="str">
        <f>IF(J740="כן",K740,VLOOKUP(LEFT(H740,7),'קטלוג תרחישים'!$A:$M,13,FALSE()))</f>
        <v>ב'</v>
      </c>
      <c r="M740" s="13"/>
      <c r="N740" s="50" t="s">
        <v>365</v>
      </c>
      <c r="O740" s="13" t="str">
        <f t="array" ref="O740">_xlfn.IFS(N740="A","א'", N740="B", "ב'", N740= "C", "ג'")</f>
        <v>ב'</v>
      </c>
      <c r="P740" s="13">
        <f>IF(Table_2[[#This Row],[Correct_Answer]]=Table_2[[#This Row],[System_Recommendation]],1,0)</f>
        <v>1</v>
      </c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 spans="1:26" ht="15.75" hidden="1" customHeight="1">
      <c r="A741" s="8" t="s">
        <v>207</v>
      </c>
      <c r="B741" s="8">
        <v>14</v>
      </c>
      <c r="C741" s="9" t="s">
        <v>381</v>
      </c>
      <c r="D741" s="8">
        <v>2</v>
      </c>
      <c r="E741" s="9" t="s">
        <v>111</v>
      </c>
      <c r="F741" s="8" t="s">
        <v>382</v>
      </c>
      <c r="G741" s="8" t="s">
        <v>97</v>
      </c>
      <c r="H741" s="8" t="s">
        <v>183</v>
      </c>
      <c r="I741" s="8" t="s">
        <v>100</v>
      </c>
      <c r="J741" s="9" t="s">
        <v>380</v>
      </c>
      <c r="K741" s="8" t="str">
        <f>VLOOKUP(LEFT(H741,7),'קטלוג תרחישים'!$A:$M,12,FALSE())</f>
        <v>ג'</v>
      </c>
      <c r="L741" s="8" t="str">
        <f>IF(J741="כן",K741,VLOOKUP(LEFT(H741,7),'קטלוג תרחישים'!$A:$M,13,FALSE()))</f>
        <v>ג'</v>
      </c>
      <c r="M741" s="13"/>
      <c r="N741" s="51" t="s">
        <v>366</v>
      </c>
      <c r="O741" s="13" t="str">
        <f t="array" ref="O741">_xlfn.IFS(N741="A","א'", N741="B", "ב'", N741= "C", "ג'")</f>
        <v>ג'</v>
      </c>
      <c r="P741" s="13">
        <f>IF(Table_2[[#This Row],[Correct_Answer]]=Table_2[[#This Row],[System_Recommendation]],1,0)</f>
        <v>1</v>
      </c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 spans="1:26" ht="15.75" hidden="1" customHeight="1">
      <c r="A742" s="8" t="s">
        <v>207</v>
      </c>
      <c r="B742" s="8">
        <v>15</v>
      </c>
      <c r="C742" s="9" t="s">
        <v>381</v>
      </c>
      <c r="D742" s="8">
        <v>2</v>
      </c>
      <c r="E742" s="9" t="s">
        <v>111</v>
      </c>
      <c r="F742" s="8" t="s">
        <v>382</v>
      </c>
      <c r="G742" s="8" t="s">
        <v>97</v>
      </c>
      <c r="H742" s="8" t="s">
        <v>180</v>
      </c>
      <c r="I742" s="8" t="s">
        <v>91</v>
      </c>
      <c r="J742" s="9" t="s">
        <v>383</v>
      </c>
      <c r="K742" s="8" t="str">
        <f>VLOOKUP(LEFT(H742,7),'קטלוג תרחישים'!$A:$M,12,FALSE())</f>
        <v>א'</v>
      </c>
      <c r="L742" s="8" t="str">
        <f>IF(J742="כן",K742,VLOOKUP(LEFT(H742,7),'קטלוג תרחישים'!$A:$M,13,FALSE()))</f>
        <v>ב'</v>
      </c>
      <c r="M742" s="13"/>
      <c r="N742" s="50" t="s">
        <v>360</v>
      </c>
      <c r="O742" s="13" t="str">
        <f t="array" ref="O742">_xlfn.IFS(N742="A","א'", N742="B", "ב'", N742= "C", "ג'")</f>
        <v>א'</v>
      </c>
      <c r="P742" s="13">
        <f>IF(Table_2[[#This Row],[Correct_Answer]]=Table_2[[#This Row],[System_Recommendation]],1,0)</f>
        <v>0</v>
      </c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 spans="1:26" ht="15.75" hidden="1" customHeight="1">
      <c r="A743" s="8" t="s">
        <v>207</v>
      </c>
      <c r="B743" s="8">
        <v>16</v>
      </c>
      <c r="C743" s="9" t="s">
        <v>381</v>
      </c>
      <c r="D743" s="8">
        <v>2</v>
      </c>
      <c r="E743" s="9" t="s">
        <v>111</v>
      </c>
      <c r="F743" s="8" t="s">
        <v>382</v>
      </c>
      <c r="G743" s="8" t="s">
        <v>97</v>
      </c>
      <c r="H743" s="8" t="s">
        <v>179</v>
      </c>
      <c r="I743" s="8" t="s">
        <v>100</v>
      </c>
      <c r="J743" s="9" t="s">
        <v>380</v>
      </c>
      <c r="K743" s="8" t="str">
        <f>VLOOKUP(LEFT(H743,7),'קטלוג תרחישים'!$A:$M,12,FALSE())</f>
        <v>ב'</v>
      </c>
      <c r="L743" s="8" t="str">
        <f>IF(J743="כן",K743,VLOOKUP(LEFT(H743,7),'קטלוג תרחישים'!$A:$M,13,FALSE()))</f>
        <v>ב'</v>
      </c>
      <c r="M743" s="13"/>
      <c r="N743" s="51" t="s">
        <v>366</v>
      </c>
      <c r="O743" s="13" t="str">
        <f t="array" ref="O743">_xlfn.IFS(N743="A","א'", N743="B", "ב'", N743= "C", "ג'")</f>
        <v>ג'</v>
      </c>
      <c r="P743" s="13">
        <f>IF(Table_2[[#This Row],[Correct_Answer]]=Table_2[[#This Row],[System_Recommendation]],1,0)</f>
        <v>1</v>
      </c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 spans="1:26" ht="15.75" hidden="1" customHeight="1">
      <c r="A744" s="8" t="s">
        <v>207</v>
      </c>
      <c r="B744" s="8">
        <v>17</v>
      </c>
      <c r="C744" s="9" t="s">
        <v>381</v>
      </c>
      <c r="D744" s="8">
        <v>3</v>
      </c>
      <c r="E744" s="9" t="s">
        <v>98</v>
      </c>
      <c r="F744" s="8" t="s">
        <v>382</v>
      </c>
      <c r="G744" s="8" t="s">
        <v>97</v>
      </c>
      <c r="H744" s="8" t="s">
        <v>184</v>
      </c>
      <c r="I744" s="8" t="s">
        <v>91</v>
      </c>
      <c r="J744" s="9" t="s">
        <v>380</v>
      </c>
      <c r="K744" s="8" t="str">
        <f>VLOOKUP(LEFT(H744,7),'קטלוג תרחישים'!$A:$M,12,FALSE())</f>
        <v>ג'</v>
      </c>
      <c r="L744" s="8" t="str">
        <f>IF(J744="כן",K744,VLOOKUP(LEFT(H744,7),'קטלוג תרחישים'!$A:$M,13,FALSE()))</f>
        <v>ג'</v>
      </c>
      <c r="M744" s="13"/>
      <c r="N744" s="50" t="s">
        <v>366</v>
      </c>
      <c r="O744" s="13" t="str">
        <f t="array" ref="O744">_xlfn.IFS(N744="A","א'", N744="B", "ב'", N744= "C", "ג'")</f>
        <v>ג'</v>
      </c>
      <c r="P744" s="13">
        <f>IF(Table_2[[#This Row],[Correct_Answer]]=Table_2[[#This Row],[System_Recommendation]],1,0)</f>
        <v>1</v>
      </c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 spans="1:26" ht="15.75" hidden="1" customHeight="1">
      <c r="A745" s="8" t="s">
        <v>207</v>
      </c>
      <c r="B745" s="8">
        <v>18</v>
      </c>
      <c r="C745" s="9" t="s">
        <v>381</v>
      </c>
      <c r="D745" s="8">
        <v>3</v>
      </c>
      <c r="E745" s="9" t="s">
        <v>98</v>
      </c>
      <c r="F745" s="8" t="s">
        <v>382</v>
      </c>
      <c r="G745" s="8" t="s">
        <v>97</v>
      </c>
      <c r="H745" s="8" t="s">
        <v>185</v>
      </c>
      <c r="I745" s="8" t="s">
        <v>100</v>
      </c>
      <c r="J745" s="9" t="s">
        <v>380</v>
      </c>
      <c r="K745" s="8" t="str">
        <f>VLOOKUP(LEFT(H745,7),'קטלוג תרחישים'!$A:$M,12,FALSE())</f>
        <v>ב'</v>
      </c>
      <c r="L745" s="8" t="str">
        <f>IF(J745="כן",K745,VLOOKUP(LEFT(H745,7),'קטלוג תרחישים'!$A:$M,13,FALSE()))</f>
        <v>ב'</v>
      </c>
      <c r="M745" s="13"/>
      <c r="N745" s="51" t="s">
        <v>365</v>
      </c>
      <c r="O745" s="13" t="str">
        <f t="array" ref="O745">_xlfn.IFS(N745="A","א'", N745="B", "ב'", N745= "C", "ג'")</f>
        <v>ב'</v>
      </c>
      <c r="P745" s="13">
        <f>IF(Table_2[[#This Row],[Correct_Answer]]=Table_2[[#This Row],[System_Recommendation]],1,0)</f>
        <v>1</v>
      </c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 spans="1:26" ht="15.75" hidden="1" customHeight="1">
      <c r="A746" s="8" t="s">
        <v>207</v>
      </c>
      <c r="B746" s="8">
        <v>19</v>
      </c>
      <c r="C746" s="9" t="s">
        <v>381</v>
      </c>
      <c r="D746" s="8">
        <v>3</v>
      </c>
      <c r="E746" s="9" t="s">
        <v>98</v>
      </c>
      <c r="F746" s="8" t="s">
        <v>382</v>
      </c>
      <c r="G746" s="8" t="s">
        <v>97</v>
      </c>
      <c r="H746" s="8" t="s">
        <v>186</v>
      </c>
      <c r="I746" s="8" t="s">
        <v>91</v>
      </c>
      <c r="J746" s="9" t="s">
        <v>380</v>
      </c>
      <c r="K746" s="8" t="str">
        <f>VLOOKUP(LEFT(H746,7),'קטלוג תרחישים'!$A:$M,12,FALSE())</f>
        <v>א'</v>
      </c>
      <c r="L746" s="8" t="str">
        <f>IF(J746="כן",K746,VLOOKUP(LEFT(H746,7),'קטלוג תרחישים'!$A:$M,13,FALSE()))</f>
        <v>א'</v>
      </c>
      <c r="M746" s="13"/>
      <c r="N746" s="50" t="s">
        <v>360</v>
      </c>
      <c r="O746" s="13" t="str">
        <f t="array" ref="O746">_xlfn.IFS(N746="A","א'", N746="B", "ב'", N746= "C", "ג'")</f>
        <v>א'</v>
      </c>
      <c r="P746" s="13">
        <f>IF(Table_2[[#This Row],[Correct_Answer]]=Table_2[[#This Row],[System_Recommendation]],1,0)</f>
        <v>1</v>
      </c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 spans="1:26" ht="15.75" hidden="1" customHeight="1">
      <c r="A747" s="8" t="s">
        <v>207</v>
      </c>
      <c r="B747" s="8">
        <v>20</v>
      </c>
      <c r="C747" s="9" t="s">
        <v>381</v>
      </c>
      <c r="D747" s="8">
        <v>3</v>
      </c>
      <c r="E747" s="9" t="s">
        <v>98</v>
      </c>
      <c r="F747" s="8" t="s">
        <v>382</v>
      </c>
      <c r="G747" s="8" t="s">
        <v>97</v>
      </c>
      <c r="H747" s="8" t="s">
        <v>187</v>
      </c>
      <c r="I747" s="8" t="s">
        <v>100</v>
      </c>
      <c r="J747" s="9" t="s">
        <v>380</v>
      </c>
      <c r="K747" s="8" t="str">
        <f>VLOOKUP(LEFT(H747,7),'קטלוג תרחישים'!$A:$M,12,FALSE())</f>
        <v>ב'</v>
      </c>
      <c r="L747" s="8" t="str">
        <f>IF(J747="כן",K747,VLOOKUP(LEFT(H747,7),'קטלוג תרחישים'!$A:$M,13,FALSE()))</f>
        <v>ב'</v>
      </c>
      <c r="M747" s="13"/>
      <c r="N747" s="51" t="s">
        <v>366</v>
      </c>
      <c r="O747" s="13" t="str">
        <f t="array" ref="O747">_xlfn.IFS(N747="A","א'", N747="B", "ב'", N747= "C", "ג'")</f>
        <v>ג'</v>
      </c>
      <c r="P747" s="13">
        <f>IF(Table_2[[#This Row],[Correct_Answer]]=Table_2[[#This Row],[System_Recommendation]],1,0)</f>
        <v>1</v>
      </c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 spans="1:26" ht="15.75" hidden="1" customHeight="1">
      <c r="A748" s="8" t="s">
        <v>207</v>
      </c>
      <c r="B748" s="8">
        <v>21</v>
      </c>
      <c r="C748" s="9" t="s">
        <v>381</v>
      </c>
      <c r="D748" s="8">
        <v>3</v>
      </c>
      <c r="E748" s="9" t="s">
        <v>98</v>
      </c>
      <c r="F748" s="8" t="s">
        <v>382</v>
      </c>
      <c r="G748" s="8" t="s">
        <v>97</v>
      </c>
      <c r="H748" s="8" t="s">
        <v>188</v>
      </c>
      <c r="I748" s="8" t="s">
        <v>91</v>
      </c>
      <c r="J748" s="9" t="s">
        <v>383</v>
      </c>
      <c r="K748" s="8" t="str">
        <f>VLOOKUP(LEFT(H748,7),'קטלוג תרחישים'!$A:$M,12,FALSE())</f>
        <v>ג'</v>
      </c>
      <c r="L748" s="8" t="str">
        <f>IF(J748="כן",K748,VLOOKUP(LEFT(H748,7),'קטלוג תרחישים'!$A:$M,13,FALSE()))</f>
        <v>א'</v>
      </c>
      <c r="M748" s="13"/>
      <c r="N748" s="50" t="s">
        <v>360</v>
      </c>
      <c r="O748" s="13" t="str">
        <f t="array" ref="O748">_xlfn.IFS(N748="A","א'", N748="B", "ב'", N748= "C", "ג'")</f>
        <v>א'</v>
      </c>
      <c r="P748" s="13">
        <f>IF(Table_2[[#This Row],[Correct_Answer]]=Table_2[[#This Row],[System_Recommendation]],1,0)</f>
        <v>0</v>
      </c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 spans="1:26" ht="15.75" hidden="1" customHeight="1">
      <c r="A749" s="8" t="s">
        <v>207</v>
      </c>
      <c r="B749" s="8">
        <v>22</v>
      </c>
      <c r="C749" s="9" t="s">
        <v>381</v>
      </c>
      <c r="D749" s="8">
        <v>1</v>
      </c>
      <c r="E749" s="9" t="s">
        <v>111</v>
      </c>
      <c r="F749" s="8" t="s">
        <v>384</v>
      </c>
      <c r="G749" s="8" t="s">
        <v>117</v>
      </c>
      <c r="H749" s="8" t="s">
        <v>202</v>
      </c>
      <c r="I749" s="8" t="s">
        <v>91</v>
      </c>
      <c r="J749" s="9" t="s">
        <v>380</v>
      </c>
      <c r="K749" s="8" t="str">
        <f>VLOOKUP(LEFT(H749,7),'קטלוג תרחישים'!$A:$M,12,FALSE())</f>
        <v>ג'</v>
      </c>
      <c r="L749" s="8" t="str">
        <f>IF(J749="כן",K749,VLOOKUP(LEFT(H749,7),'קטלוג תרחישים'!$A:$M,13,FALSE()))</f>
        <v>ג'</v>
      </c>
      <c r="M749" s="13"/>
      <c r="N749" s="51" t="s">
        <v>360</v>
      </c>
      <c r="O749" s="13" t="str">
        <f t="array" ref="O749">_xlfn.IFS(N749="A","א'", N749="B", "ב'", N749= "C", "ג'")</f>
        <v>א'</v>
      </c>
      <c r="P749" s="13">
        <f>IF(Table_2[[#This Row],[Correct_Answer]]=Table_2[[#This Row],[System_Recommendation]],1,0)</f>
        <v>1</v>
      </c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 spans="1:26" ht="15.75" hidden="1" customHeight="1">
      <c r="A750" s="8" t="s">
        <v>207</v>
      </c>
      <c r="B750" s="8">
        <v>23</v>
      </c>
      <c r="C750" s="9" t="s">
        <v>381</v>
      </c>
      <c r="D750" s="8">
        <v>1</v>
      </c>
      <c r="E750" s="9" t="s">
        <v>111</v>
      </c>
      <c r="F750" s="8" t="s">
        <v>384</v>
      </c>
      <c r="G750" s="8" t="s">
        <v>117</v>
      </c>
      <c r="H750" s="8" t="s">
        <v>205</v>
      </c>
      <c r="I750" s="8" t="s">
        <v>100</v>
      </c>
      <c r="J750" s="9" t="s">
        <v>380</v>
      </c>
      <c r="K750" s="8" t="str">
        <f>VLOOKUP(LEFT(H750,7),'קטלוג תרחישים'!$A:$M,12,FALSE())</f>
        <v>א'</v>
      </c>
      <c r="L750" s="8" t="str">
        <f>IF(J750="כן",K750,VLOOKUP(LEFT(H750,7),'קטלוג תרחישים'!$A:$M,13,FALSE()))</f>
        <v>א'</v>
      </c>
      <c r="M750" s="13"/>
      <c r="N750" s="50" t="s">
        <v>360</v>
      </c>
      <c r="O750" s="13" t="str">
        <f t="array" ref="O750">_xlfn.IFS(N750="A","א'", N750="B", "ב'", N750= "C", "ג'")</f>
        <v>א'</v>
      </c>
      <c r="P750" s="13">
        <f>IF(Table_2[[#This Row],[Correct_Answer]]=Table_2[[#This Row],[System_Recommendation]],1,0)</f>
        <v>1</v>
      </c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 spans="1:26" ht="15.75" hidden="1" customHeight="1">
      <c r="A751" s="8" t="s">
        <v>207</v>
      </c>
      <c r="B751" s="8">
        <v>24</v>
      </c>
      <c r="C751" s="9" t="s">
        <v>381</v>
      </c>
      <c r="D751" s="8">
        <v>1</v>
      </c>
      <c r="E751" s="9" t="s">
        <v>111</v>
      </c>
      <c r="F751" s="8" t="s">
        <v>384</v>
      </c>
      <c r="G751" s="8" t="s">
        <v>117</v>
      </c>
      <c r="H751" s="8" t="s">
        <v>204</v>
      </c>
      <c r="I751" s="8" t="s">
        <v>91</v>
      </c>
      <c r="J751" s="9" t="s">
        <v>383</v>
      </c>
      <c r="K751" s="8" t="str">
        <f>VLOOKUP(LEFT(H751,7),'קטלוג תרחישים'!$A:$M,12,FALSE())</f>
        <v>ב'</v>
      </c>
      <c r="L751" s="8" t="str">
        <f>IF(J751="כן",K751,VLOOKUP(LEFT(H751,7),'קטלוג תרחישים'!$A:$M,13,FALSE()))</f>
        <v>ג'</v>
      </c>
      <c r="M751" s="13"/>
      <c r="N751" s="51" t="s">
        <v>365</v>
      </c>
      <c r="O751" s="13" t="str">
        <f t="array" ref="O751">_xlfn.IFS(N751="A","א'", N751="B", "ב'", N751= "C", "ג'")</f>
        <v>ב'</v>
      </c>
      <c r="P751" s="13">
        <f>IF(Table_2[[#This Row],[Correct_Answer]]=Table_2[[#This Row],[System_Recommendation]],1,0)</f>
        <v>0</v>
      </c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 spans="1:26" ht="15.75" hidden="1" customHeight="1">
      <c r="A752" s="8" t="s">
        <v>207</v>
      </c>
      <c r="B752" s="8">
        <v>25</v>
      </c>
      <c r="C752" s="9" t="s">
        <v>381</v>
      </c>
      <c r="D752" s="8">
        <v>1</v>
      </c>
      <c r="E752" s="9" t="s">
        <v>111</v>
      </c>
      <c r="F752" s="8" t="s">
        <v>384</v>
      </c>
      <c r="G752" s="8" t="s">
        <v>117</v>
      </c>
      <c r="H752" s="8" t="s">
        <v>203</v>
      </c>
      <c r="I752" s="8" t="s">
        <v>100</v>
      </c>
      <c r="J752" s="9" t="s">
        <v>383</v>
      </c>
      <c r="K752" s="8" t="str">
        <f>VLOOKUP(LEFT(H752,7),'קטלוג תרחישים'!$A:$M,12,FALSE())</f>
        <v>א'</v>
      </c>
      <c r="L752" s="8" t="str">
        <f>IF(J752="כן",K752,VLOOKUP(LEFT(H752,7),'קטלוג תרחישים'!$A:$M,13,FALSE()))</f>
        <v>ב'</v>
      </c>
      <c r="M752" s="13"/>
      <c r="N752" s="50" t="s">
        <v>365</v>
      </c>
      <c r="O752" s="13" t="str">
        <f t="array" ref="O752">_xlfn.IFS(N752="A","א'", N752="B", "ב'", N752= "C", "ג'")</f>
        <v>ב'</v>
      </c>
      <c r="P752" s="13">
        <f>IF(Table_2[[#This Row],[Correct_Answer]]=Table_2[[#This Row],[System_Recommendation]],1,0)</f>
        <v>0</v>
      </c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 spans="1:26" ht="15.75" hidden="1" customHeight="1">
      <c r="A753" s="8" t="s">
        <v>207</v>
      </c>
      <c r="B753" s="8">
        <v>26</v>
      </c>
      <c r="C753" s="9" t="s">
        <v>381</v>
      </c>
      <c r="D753" s="8">
        <v>2</v>
      </c>
      <c r="E753" s="9" t="s">
        <v>98</v>
      </c>
      <c r="F753" s="8" t="s">
        <v>384</v>
      </c>
      <c r="G753" s="8" t="s">
        <v>117</v>
      </c>
      <c r="H753" s="8" t="s">
        <v>196</v>
      </c>
      <c r="I753" s="8" t="s">
        <v>91</v>
      </c>
      <c r="J753" s="9" t="s">
        <v>380</v>
      </c>
      <c r="K753" s="8" t="str">
        <f>VLOOKUP(LEFT(H753,7),'קטלוג תרחישים'!$A:$M,12,FALSE())</f>
        <v>ג'</v>
      </c>
      <c r="L753" s="8" t="str">
        <f>IF(J753="כן",K753,VLOOKUP(LEFT(H753,7),'קטלוג תרחישים'!$A:$M,13,FALSE()))</f>
        <v>ג'</v>
      </c>
      <c r="M753" s="13"/>
      <c r="N753" s="51" t="s">
        <v>366</v>
      </c>
      <c r="O753" s="13" t="str">
        <f t="array" ref="O753">_xlfn.IFS(N753="A","א'", N753="B", "ב'", N753= "C", "ג'")</f>
        <v>ג'</v>
      </c>
      <c r="P753" s="13">
        <f>IF(Table_2[[#This Row],[Correct_Answer]]=Table_2[[#This Row],[System_Recommendation]],1,0)</f>
        <v>1</v>
      </c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 spans="1:26" ht="15.75" hidden="1" customHeight="1">
      <c r="A754" s="8" t="s">
        <v>207</v>
      </c>
      <c r="B754" s="8">
        <v>27</v>
      </c>
      <c r="C754" s="9" t="s">
        <v>381</v>
      </c>
      <c r="D754" s="8">
        <v>2</v>
      </c>
      <c r="E754" s="9" t="s">
        <v>98</v>
      </c>
      <c r="F754" s="8" t="s">
        <v>384</v>
      </c>
      <c r="G754" s="8" t="s">
        <v>117</v>
      </c>
      <c r="H754" s="8" t="s">
        <v>197</v>
      </c>
      <c r="I754" s="8" t="s">
        <v>100</v>
      </c>
      <c r="J754" s="9" t="s">
        <v>380</v>
      </c>
      <c r="K754" s="8" t="str">
        <f>VLOOKUP(LEFT(H754,7),'קטלוג תרחישים'!$A:$M,12,FALSE())</f>
        <v>א'</v>
      </c>
      <c r="L754" s="8" t="str">
        <f>IF(J754="כן",K754,VLOOKUP(LEFT(H754,7),'קטלוג תרחישים'!$A:$M,13,FALSE()))</f>
        <v>א'</v>
      </c>
      <c r="M754" s="13"/>
      <c r="N754" s="50" t="s">
        <v>365</v>
      </c>
      <c r="O754" s="13" t="str">
        <f t="array" ref="O754">_xlfn.IFS(N754="A","א'", N754="B", "ב'", N754= "C", "ג'")</f>
        <v>ב'</v>
      </c>
      <c r="P754" s="13">
        <f>IF(Table_2[[#This Row],[Correct_Answer]]=Table_2[[#This Row],[System_Recommendation]],1,0)</f>
        <v>1</v>
      </c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 spans="1:26" ht="15.75" hidden="1" customHeight="1">
      <c r="A755" s="8" t="s">
        <v>207</v>
      </c>
      <c r="B755" s="8">
        <v>28</v>
      </c>
      <c r="C755" s="9" t="s">
        <v>381</v>
      </c>
      <c r="D755" s="8">
        <v>2</v>
      </c>
      <c r="E755" s="9" t="s">
        <v>98</v>
      </c>
      <c r="F755" s="8" t="s">
        <v>384</v>
      </c>
      <c r="G755" s="8" t="s">
        <v>117</v>
      </c>
      <c r="H755" s="8" t="s">
        <v>194</v>
      </c>
      <c r="I755" s="8" t="s">
        <v>91</v>
      </c>
      <c r="J755" s="9" t="s">
        <v>383</v>
      </c>
      <c r="K755" s="8" t="str">
        <f>VLOOKUP(LEFT(H755,7),'קטלוג תרחישים'!$A:$M,12,FALSE())</f>
        <v>ג'</v>
      </c>
      <c r="L755" s="8" t="str">
        <f>IF(J755="כן",K755,VLOOKUP(LEFT(H755,7),'קטלוג תרחישים'!$A:$M,13,FALSE()))</f>
        <v>ב'</v>
      </c>
      <c r="M755" s="13"/>
      <c r="N755" s="51" t="s">
        <v>366</v>
      </c>
      <c r="O755" s="13" t="str">
        <f t="array" ref="O755">_xlfn.IFS(N755="A","א'", N755="B", "ב'", N755= "C", "ג'")</f>
        <v>ג'</v>
      </c>
      <c r="P755" s="13">
        <f>IF(Table_2[[#This Row],[Correct_Answer]]=Table_2[[#This Row],[System_Recommendation]],1,0)</f>
        <v>0</v>
      </c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 spans="1:26" ht="15.75" hidden="1" customHeight="1">
      <c r="A756" s="8" t="s">
        <v>207</v>
      </c>
      <c r="B756" s="8">
        <v>29</v>
      </c>
      <c r="C756" s="9" t="s">
        <v>381</v>
      </c>
      <c r="D756" s="8">
        <v>2</v>
      </c>
      <c r="E756" s="9" t="s">
        <v>98</v>
      </c>
      <c r="F756" s="8" t="s">
        <v>384</v>
      </c>
      <c r="G756" s="8" t="s">
        <v>117</v>
      </c>
      <c r="H756" s="8" t="s">
        <v>195</v>
      </c>
      <c r="I756" s="8" t="s">
        <v>100</v>
      </c>
      <c r="J756" s="9" t="s">
        <v>383</v>
      </c>
      <c r="K756" s="8" t="str">
        <f>VLOOKUP(LEFT(H756,7),'קטלוג תרחישים'!$A:$M,12,FALSE())</f>
        <v>ג'</v>
      </c>
      <c r="L756" s="8" t="str">
        <f>IF(J756="כן",K756,VLOOKUP(LEFT(H756,7),'קטלוג תרחישים'!$A:$M,13,FALSE()))</f>
        <v>ב'</v>
      </c>
      <c r="M756" s="13"/>
      <c r="N756" s="50" t="s">
        <v>366</v>
      </c>
      <c r="O756" s="13" t="str">
        <f t="array" ref="O756">_xlfn.IFS(N756="A","א'", N756="B", "ב'", N756= "C", "ג'")</f>
        <v>ג'</v>
      </c>
      <c r="P756" s="13">
        <f>IF(Table_2[[#This Row],[Correct_Answer]]=Table_2[[#This Row],[System_Recommendation]],1,0)</f>
        <v>0</v>
      </c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 spans="1:26" ht="15.75" hidden="1" customHeight="1">
      <c r="A757" s="8" t="s">
        <v>207</v>
      </c>
      <c r="B757" s="8">
        <v>30</v>
      </c>
      <c r="C757" s="9" t="s">
        <v>381</v>
      </c>
      <c r="D757" s="8">
        <v>3</v>
      </c>
      <c r="E757" s="9" t="s">
        <v>105</v>
      </c>
      <c r="F757" s="8" t="s">
        <v>384</v>
      </c>
      <c r="G757" s="8" t="s">
        <v>117</v>
      </c>
      <c r="H757" s="8" t="s">
        <v>200</v>
      </c>
      <c r="I757" s="8" t="s">
        <v>91</v>
      </c>
      <c r="J757" s="9" t="s">
        <v>380</v>
      </c>
      <c r="K757" s="8" t="str">
        <f>VLOOKUP(LEFT(H757,7),'קטלוג תרחישים'!$A:$M,12,FALSE())</f>
        <v>ג'</v>
      </c>
      <c r="L757" s="8" t="str">
        <f>IF(J757="כן",K757,VLOOKUP(LEFT(H757,7),'קטלוג תרחישים'!$A:$M,13,FALSE()))</f>
        <v>ג'</v>
      </c>
      <c r="M757" s="13"/>
      <c r="N757" s="51" t="s">
        <v>365</v>
      </c>
      <c r="O757" s="13" t="str">
        <f t="array" ref="O757">_xlfn.IFS(N757="A","א'", N757="B", "ב'", N757= "C", "ג'")</f>
        <v>ב'</v>
      </c>
      <c r="P757" s="13">
        <f>IF(Table_2[[#This Row],[Correct_Answer]]=Table_2[[#This Row],[System_Recommendation]],1,0)</f>
        <v>1</v>
      </c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 spans="1:26" ht="15.75" hidden="1" customHeight="1">
      <c r="A758" s="8" t="s">
        <v>207</v>
      </c>
      <c r="B758" s="8">
        <v>31</v>
      </c>
      <c r="C758" s="9" t="s">
        <v>381</v>
      </c>
      <c r="D758" s="8">
        <v>3</v>
      </c>
      <c r="E758" s="9" t="s">
        <v>105</v>
      </c>
      <c r="F758" s="8" t="s">
        <v>384</v>
      </c>
      <c r="G758" s="8" t="s">
        <v>117</v>
      </c>
      <c r="H758" s="8" t="s">
        <v>201</v>
      </c>
      <c r="I758" s="8" t="s">
        <v>100</v>
      </c>
      <c r="J758" s="9" t="s">
        <v>383</v>
      </c>
      <c r="K758" s="8" t="str">
        <f>VLOOKUP(LEFT(H758,7),'קטלוג תרחישים'!$A:$M,12,FALSE())</f>
        <v>ב'</v>
      </c>
      <c r="L758" s="8" t="str">
        <f>IF(J758="כן",K758,VLOOKUP(LEFT(H758,7),'קטלוג תרחישים'!$A:$M,13,FALSE()))</f>
        <v>א'</v>
      </c>
      <c r="M758" s="13"/>
      <c r="N758" s="50" t="s">
        <v>366</v>
      </c>
      <c r="O758" s="13" t="str">
        <f t="array" ref="O758">_xlfn.IFS(N758="A","א'", N758="B", "ב'", N758= "C", "ג'")</f>
        <v>ג'</v>
      </c>
      <c r="P758" s="13">
        <f>IF(Table_2[[#This Row],[Correct_Answer]]=Table_2[[#This Row],[System_Recommendation]],1,0)</f>
        <v>0</v>
      </c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 spans="1:26" ht="15.75" hidden="1" customHeight="1">
      <c r="A759" s="8" t="s">
        <v>207</v>
      </c>
      <c r="B759" s="8">
        <v>32</v>
      </c>
      <c r="C759" s="9" t="s">
        <v>381</v>
      </c>
      <c r="D759" s="8">
        <v>3</v>
      </c>
      <c r="E759" s="9" t="s">
        <v>105</v>
      </c>
      <c r="F759" s="8" t="s">
        <v>384</v>
      </c>
      <c r="G759" s="8" t="s">
        <v>117</v>
      </c>
      <c r="H759" s="8" t="s">
        <v>198</v>
      </c>
      <c r="I759" s="8" t="s">
        <v>91</v>
      </c>
      <c r="J759" s="9" t="s">
        <v>383</v>
      </c>
      <c r="K759" s="8" t="str">
        <f>VLOOKUP(LEFT(H759,7),'קטלוג תרחישים'!$A:$M,12,FALSE())</f>
        <v>ב'</v>
      </c>
      <c r="L759" s="8" t="str">
        <f>IF(J759="כן",K759,VLOOKUP(LEFT(H759,7),'קטלוג תרחישים'!$A:$M,13,FALSE()))</f>
        <v>א'</v>
      </c>
      <c r="M759" s="13"/>
      <c r="N759" s="51" t="s">
        <v>360</v>
      </c>
      <c r="O759" s="13" t="str">
        <f t="array" ref="O759">_xlfn.IFS(N759="A","א'", N759="B", "ב'", N759= "C", "ג'")</f>
        <v>א'</v>
      </c>
      <c r="P759" s="13">
        <f>IF(Table_2[[#This Row],[Correct_Answer]]=Table_2[[#This Row],[System_Recommendation]],1,0)</f>
        <v>0</v>
      </c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 spans="1:26" ht="15.75" hidden="1" customHeight="1">
      <c r="A760" s="8" t="s">
        <v>207</v>
      </c>
      <c r="B760" s="8">
        <v>33</v>
      </c>
      <c r="C760" s="9" t="s">
        <v>381</v>
      </c>
      <c r="D760" s="8">
        <v>3</v>
      </c>
      <c r="E760" s="9" t="s">
        <v>105</v>
      </c>
      <c r="F760" s="8" t="s">
        <v>384</v>
      </c>
      <c r="G760" s="8" t="s">
        <v>117</v>
      </c>
      <c r="H760" s="8" t="s">
        <v>199</v>
      </c>
      <c r="I760" s="8" t="s">
        <v>100</v>
      </c>
      <c r="J760" s="9" t="s">
        <v>380</v>
      </c>
      <c r="K760" s="8" t="str">
        <f>VLOOKUP(LEFT(H760,7),'קטלוג תרחישים'!$A:$M,12,FALSE())</f>
        <v>ג'</v>
      </c>
      <c r="L760" s="8" t="str">
        <f>IF(J760="כן",K760,VLOOKUP(LEFT(H760,7),'קטלוג תרחישים'!$A:$M,13,FALSE()))</f>
        <v>ג'</v>
      </c>
      <c r="M760" s="13"/>
      <c r="N760" s="50" t="s">
        <v>360</v>
      </c>
      <c r="O760" s="13" t="str">
        <f t="array" ref="O760">_xlfn.IFS(N760="A","א'", N760="B", "ב'", N760= "C", "ג'")</f>
        <v>א'</v>
      </c>
      <c r="P760" s="13">
        <f>IF(Table_2[[#This Row],[Correct_Answer]]=Table_2[[#This Row],[System_Recommendation]],1,0)</f>
        <v>1</v>
      </c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 spans="1:26" ht="15.75" hidden="1" customHeight="1">
      <c r="A761" s="8" t="s">
        <v>208</v>
      </c>
      <c r="B761" s="8">
        <v>1</v>
      </c>
      <c r="C761" s="9" t="s">
        <v>379</v>
      </c>
      <c r="D761" s="8"/>
      <c r="E761" s="9" t="s">
        <v>98</v>
      </c>
      <c r="F761" s="8"/>
      <c r="G761" s="8"/>
      <c r="H761" s="11" t="s">
        <v>90</v>
      </c>
      <c r="I761" s="8" t="s">
        <v>91</v>
      </c>
      <c r="J761" s="9" t="s">
        <v>380</v>
      </c>
      <c r="K761" s="8" t="str">
        <f>VLOOKUP(LEFT(H761,7),'קטלוג תרחישים'!$A:$M,12,FALSE())</f>
        <v>א'</v>
      </c>
      <c r="L761" s="8" t="str">
        <f>IF(J761="כן",K761,VLOOKUP(LEFT(H761,7),'קטלוג תרחישים'!$A:$M,13,FALSE()))</f>
        <v>א'</v>
      </c>
      <c r="M761" s="13"/>
      <c r="N761" s="51" t="s">
        <v>366</v>
      </c>
      <c r="O761" s="13" t="str">
        <f t="array" ref="O761">_xlfn.IFS(N761="A","א'", N761="B", "ב'", N761= "C", "ג'")</f>
        <v>ג'</v>
      </c>
      <c r="P761" s="13">
        <f>IF(Table_2[[#This Row],[Correct_Answer]]=Table_2[[#This Row],[System_Recommendation]],1,0)</f>
        <v>1</v>
      </c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 spans="1:26" ht="15.75" hidden="1" customHeight="1">
      <c r="A762" s="8" t="s">
        <v>208</v>
      </c>
      <c r="B762" s="8">
        <v>2</v>
      </c>
      <c r="C762" s="9" t="s">
        <v>379</v>
      </c>
      <c r="D762" s="8"/>
      <c r="E762" s="9" t="s">
        <v>98</v>
      </c>
      <c r="F762" s="8"/>
      <c r="G762" s="8"/>
      <c r="H762" s="11" t="s">
        <v>92</v>
      </c>
      <c r="I762" s="8" t="s">
        <v>91</v>
      </c>
      <c r="J762" s="9" t="s">
        <v>380</v>
      </c>
      <c r="K762" s="8" t="str">
        <f>VLOOKUP(LEFT(H762,7),'קטלוג תרחישים'!$A:$M,12,FALSE())</f>
        <v>א'</v>
      </c>
      <c r="L762" s="8" t="str">
        <f>IF(J762="כן",K762,VLOOKUP(LEFT(H762,7),'קטלוג תרחישים'!$A:$M,13,FALSE()))</f>
        <v>א'</v>
      </c>
      <c r="M762" s="13"/>
      <c r="N762" s="50" t="s">
        <v>366</v>
      </c>
      <c r="O762" s="13" t="str">
        <f t="array" ref="O762">_xlfn.IFS(N762="A","א'", N762="B", "ב'", N762= "C", "ג'")</f>
        <v>ג'</v>
      </c>
      <c r="P762" s="13">
        <f>IF(Table_2[[#This Row],[Correct_Answer]]=Table_2[[#This Row],[System_Recommendation]],1,0)</f>
        <v>1</v>
      </c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 spans="1:26" ht="15.75" hidden="1" customHeight="1">
      <c r="A763" s="8" t="s">
        <v>208</v>
      </c>
      <c r="B763" s="8">
        <v>3</v>
      </c>
      <c r="C763" s="9" t="s">
        <v>379</v>
      </c>
      <c r="D763" s="8"/>
      <c r="E763" s="9" t="s">
        <v>105</v>
      </c>
      <c r="F763" s="8"/>
      <c r="G763" s="8"/>
      <c r="H763" s="11" t="s">
        <v>93</v>
      </c>
      <c r="I763" s="8" t="s">
        <v>91</v>
      </c>
      <c r="J763" s="9" t="s">
        <v>380</v>
      </c>
      <c r="K763" s="8" t="str">
        <f>VLOOKUP(LEFT(H763,7),'קטלוג תרחישים'!$A:$M,12,FALSE())</f>
        <v>א'</v>
      </c>
      <c r="L763" s="8" t="str">
        <f>IF(J763="כן",K763,VLOOKUP(LEFT(H763,7),'קטלוג תרחישים'!$A:$M,13,FALSE()))</f>
        <v>א'</v>
      </c>
      <c r="M763" s="13"/>
      <c r="N763" s="51" t="s">
        <v>366</v>
      </c>
      <c r="O763" s="13" t="str">
        <f t="array" ref="O763">_xlfn.IFS(N763="A","א'", N763="B", "ב'", N763= "C", "ג'")</f>
        <v>ג'</v>
      </c>
      <c r="P763" s="13">
        <f>IF(Table_2[[#This Row],[Correct_Answer]]=Table_2[[#This Row],[System_Recommendation]],1,0)</f>
        <v>1</v>
      </c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 spans="1:26" ht="15.75" hidden="1" customHeight="1">
      <c r="A764" s="8" t="s">
        <v>208</v>
      </c>
      <c r="B764" s="8">
        <v>4</v>
      </c>
      <c r="C764" s="9" t="s">
        <v>379</v>
      </c>
      <c r="D764" s="8"/>
      <c r="E764" s="9" t="s">
        <v>105</v>
      </c>
      <c r="F764" s="8"/>
      <c r="G764" s="8"/>
      <c r="H764" s="11" t="s">
        <v>94</v>
      </c>
      <c r="I764" s="8" t="s">
        <v>91</v>
      </c>
      <c r="J764" s="9" t="s">
        <v>380</v>
      </c>
      <c r="K764" s="8" t="str">
        <f>VLOOKUP(LEFT(H764,7),'קטלוג תרחישים'!$A:$M,12,FALSE())</f>
        <v>א'</v>
      </c>
      <c r="L764" s="8" t="str">
        <f>IF(J764="כן",K764,VLOOKUP(LEFT(H764,7),'קטלוג תרחישים'!$A:$M,13,FALSE()))</f>
        <v>א'</v>
      </c>
      <c r="M764" s="13"/>
      <c r="N764" s="50" t="s">
        <v>365</v>
      </c>
      <c r="O764" s="13" t="str">
        <f t="array" ref="O764">_xlfn.IFS(N764="A","א'", N764="B", "ב'", N764= "C", "ג'")</f>
        <v>ב'</v>
      </c>
      <c r="P764" s="13">
        <f>IF(Table_2[[#This Row],[Correct_Answer]]=Table_2[[#This Row],[System_Recommendation]],1,0)</f>
        <v>1</v>
      </c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 spans="1:26" ht="15.75" hidden="1" customHeight="1">
      <c r="A765" s="8" t="s">
        <v>208</v>
      </c>
      <c r="B765" s="8">
        <v>5</v>
      </c>
      <c r="C765" s="9" t="s">
        <v>379</v>
      </c>
      <c r="D765" s="8"/>
      <c r="E765" s="9" t="s">
        <v>111</v>
      </c>
      <c r="F765" s="8"/>
      <c r="G765" s="8"/>
      <c r="H765" s="11" t="s">
        <v>95</v>
      </c>
      <c r="I765" s="8" t="s">
        <v>91</v>
      </c>
      <c r="J765" s="9" t="s">
        <v>380</v>
      </c>
      <c r="K765" s="8" t="str">
        <f>VLOOKUP(LEFT(H765,7),'קטלוג תרחישים'!$A:$M,12,FALSE())</f>
        <v>ב'</v>
      </c>
      <c r="L765" s="8" t="str">
        <f>IF(J765="כן",K765,VLOOKUP(LEFT(H765,7),'קטלוג תרחישים'!$A:$M,13,FALSE()))</f>
        <v>ב'</v>
      </c>
      <c r="M765" s="13"/>
      <c r="N765" s="51" t="s">
        <v>360</v>
      </c>
      <c r="O765" s="13" t="str">
        <f t="array" ref="O765">_xlfn.IFS(N765="A","א'", N765="B", "ב'", N765= "C", "ג'")</f>
        <v>א'</v>
      </c>
      <c r="P765" s="13">
        <f>IF(Table_2[[#This Row],[Correct_Answer]]=Table_2[[#This Row],[System_Recommendation]],1,0)</f>
        <v>1</v>
      </c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 spans="1:26" ht="15.75" customHeight="1">
      <c r="A766" s="8" t="s">
        <v>208</v>
      </c>
      <c r="B766" s="8">
        <v>6</v>
      </c>
      <c r="C766" s="9" t="s">
        <v>379</v>
      </c>
      <c r="D766" s="8"/>
      <c r="E766" s="9" t="s">
        <v>111</v>
      </c>
      <c r="F766" s="8"/>
      <c r="G766" s="8"/>
      <c r="H766" s="11" t="s">
        <v>96</v>
      </c>
      <c r="I766" s="8" t="s">
        <v>91</v>
      </c>
      <c r="J766" s="9" t="s">
        <v>380</v>
      </c>
      <c r="K766" s="8" t="str">
        <f>VLOOKUP(LEFT(H766,7),'קטלוג תרחישים'!$A:$M,12,FALSE())</f>
        <v>ב'</v>
      </c>
      <c r="L766" s="8" t="str">
        <f>IF(J766="כן",K766,VLOOKUP(LEFT(H766,7),'קטלוג תרחישים'!$A:$M,13,FALSE()))</f>
        <v>ב'</v>
      </c>
      <c r="M766" s="13"/>
      <c r="N766" s="50" t="s">
        <v>366</v>
      </c>
      <c r="O766" s="13" t="str">
        <f t="array" ref="O766">_xlfn.IFS(N766="A","א'", N766="B", "ב'", N766= "C", "ג'")</f>
        <v>ג'</v>
      </c>
      <c r="P766" s="13">
        <f>IF(Table_2[[#This Row],[Correct_Answer]]=Table_2[[#This Row],[System_Recommendation]],1,0)</f>
        <v>1</v>
      </c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 spans="1:26" ht="15.75" hidden="1" customHeight="1">
      <c r="A767" s="8" t="s">
        <v>208</v>
      </c>
      <c r="B767" s="8">
        <v>7</v>
      </c>
      <c r="C767" s="9" t="s">
        <v>381</v>
      </c>
      <c r="D767" s="8">
        <v>1</v>
      </c>
      <c r="E767" s="9" t="s">
        <v>98</v>
      </c>
      <c r="F767" s="8" t="s">
        <v>382</v>
      </c>
      <c r="G767" s="8" t="s">
        <v>117</v>
      </c>
      <c r="H767" s="8" t="s">
        <v>194</v>
      </c>
      <c r="I767" s="8" t="s">
        <v>91</v>
      </c>
      <c r="J767" s="9" t="s">
        <v>383</v>
      </c>
      <c r="K767" s="8" t="str">
        <f>VLOOKUP(LEFT(H767,7),'קטלוג תרחישים'!$A:$M,12,FALSE())</f>
        <v>ג'</v>
      </c>
      <c r="L767" s="8" t="str">
        <f>IF(J767="כן",K767,VLOOKUP(LEFT(H767,7),'קטלוג תרחישים'!$A:$M,13,FALSE()))</f>
        <v>ב'</v>
      </c>
      <c r="M767" s="13"/>
      <c r="N767" s="51" t="s">
        <v>366</v>
      </c>
      <c r="O767" s="13" t="str">
        <f t="array" ref="O767">_xlfn.IFS(N767="A","א'", N767="B", "ב'", N767= "C", "ג'")</f>
        <v>ג'</v>
      </c>
      <c r="P767" s="13">
        <f>IF(Table_2[[#This Row],[Correct_Answer]]=Table_2[[#This Row],[System_Recommendation]],1,0)</f>
        <v>0</v>
      </c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 spans="1:26" ht="15.75" hidden="1" customHeight="1">
      <c r="A768" s="8" t="s">
        <v>208</v>
      </c>
      <c r="B768" s="8">
        <v>8</v>
      </c>
      <c r="C768" s="9" t="s">
        <v>381</v>
      </c>
      <c r="D768" s="8">
        <v>1</v>
      </c>
      <c r="E768" s="9" t="s">
        <v>98</v>
      </c>
      <c r="F768" s="8" t="s">
        <v>382</v>
      </c>
      <c r="G768" s="8" t="s">
        <v>117</v>
      </c>
      <c r="H768" s="8" t="s">
        <v>195</v>
      </c>
      <c r="I768" s="8" t="s">
        <v>100</v>
      </c>
      <c r="J768" s="9" t="s">
        <v>380</v>
      </c>
      <c r="K768" s="8" t="str">
        <f>VLOOKUP(LEFT(H768,7),'קטלוג תרחישים'!$A:$M,12,FALSE())</f>
        <v>ג'</v>
      </c>
      <c r="L768" s="8" t="str">
        <f>IF(J768="כן",K768,VLOOKUP(LEFT(H768,7),'קטלוג תרחישים'!$A:$M,13,FALSE()))</f>
        <v>ג'</v>
      </c>
      <c r="M768" s="13"/>
      <c r="N768" s="50" t="s">
        <v>365</v>
      </c>
      <c r="O768" s="13" t="str">
        <f t="array" ref="O768">_xlfn.IFS(N768="A","א'", N768="B", "ב'", N768= "C", "ג'")</f>
        <v>ב'</v>
      </c>
      <c r="P768" s="13">
        <f>IF(Table_2[[#This Row],[Correct_Answer]]=Table_2[[#This Row],[System_Recommendation]],1,0)</f>
        <v>1</v>
      </c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 spans="1:26" ht="15.75" hidden="1" customHeight="1">
      <c r="A769" s="8" t="s">
        <v>208</v>
      </c>
      <c r="B769" s="8">
        <v>9</v>
      </c>
      <c r="C769" s="9" t="s">
        <v>381</v>
      </c>
      <c r="D769" s="8">
        <v>1</v>
      </c>
      <c r="E769" s="9" t="s">
        <v>98</v>
      </c>
      <c r="F769" s="8" t="s">
        <v>382</v>
      </c>
      <c r="G769" s="8" t="s">
        <v>117</v>
      </c>
      <c r="H769" s="8" t="s">
        <v>196</v>
      </c>
      <c r="I769" s="8" t="s">
        <v>91</v>
      </c>
      <c r="J769" s="9" t="s">
        <v>380</v>
      </c>
      <c r="K769" s="8" t="str">
        <f>VLOOKUP(LEFT(H769,7),'קטלוג תרחישים'!$A:$M,12,FALSE())</f>
        <v>ג'</v>
      </c>
      <c r="L769" s="8" t="str">
        <f>IF(J769="כן",K769,VLOOKUP(LEFT(H769,7),'קטלוג תרחישים'!$A:$M,13,FALSE()))</f>
        <v>ג'</v>
      </c>
      <c r="M769" s="13"/>
      <c r="N769" s="51" t="s">
        <v>365</v>
      </c>
      <c r="O769" s="13" t="str">
        <f t="array" ref="O769">_xlfn.IFS(N769="A","א'", N769="B", "ב'", N769= "C", "ג'")</f>
        <v>ב'</v>
      </c>
      <c r="P769" s="13">
        <f>IF(Table_2[[#This Row],[Correct_Answer]]=Table_2[[#This Row],[System_Recommendation]],1,0)</f>
        <v>1</v>
      </c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 spans="1:26" ht="15.75" hidden="1" customHeight="1">
      <c r="A770" s="8" t="s">
        <v>208</v>
      </c>
      <c r="B770" s="8">
        <v>10</v>
      </c>
      <c r="C770" s="9" t="s">
        <v>381</v>
      </c>
      <c r="D770" s="8">
        <v>1</v>
      </c>
      <c r="E770" s="9" t="s">
        <v>98</v>
      </c>
      <c r="F770" s="8" t="s">
        <v>382</v>
      </c>
      <c r="G770" s="8" t="s">
        <v>117</v>
      </c>
      <c r="H770" s="8" t="s">
        <v>197</v>
      </c>
      <c r="I770" s="8" t="s">
        <v>100</v>
      </c>
      <c r="J770" s="9" t="s">
        <v>383</v>
      </c>
      <c r="K770" s="8" t="str">
        <f>VLOOKUP(LEFT(H770,7),'קטלוג תרחישים'!$A:$M,12,FALSE())</f>
        <v>א'</v>
      </c>
      <c r="L770" s="8" t="str">
        <f>IF(J770="כן",K770,VLOOKUP(LEFT(H770,7),'קטלוג תרחישים'!$A:$M,13,FALSE()))</f>
        <v>ב'</v>
      </c>
      <c r="M770" s="13"/>
      <c r="N770" s="50" t="s">
        <v>365</v>
      </c>
      <c r="O770" s="13" t="str">
        <f t="array" ref="O770">_xlfn.IFS(N770="A","א'", N770="B", "ב'", N770= "C", "ג'")</f>
        <v>ב'</v>
      </c>
      <c r="P770" s="13">
        <f>IF(Table_2[[#This Row],[Correct_Answer]]=Table_2[[#This Row],[System_Recommendation]],1,0)</f>
        <v>0</v>
      </c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 spans="1:26" ht="15.75" hidden="1" customHeight="1">
      <c r="A771" s="8" t="s">
        <v>208</v>
      </c>
      <c r="B771" s="8">
        <v>11</v>
      </c>
      <c r="C771" s="9" t="s">
        <v>381</v>
      </c>
      <c r="D771" s="8">
        <v>2</v>
      </c>
      <c r="E771" s="9" t="s">
        <v>105</v>
      </c>
      <c r="F771" s="8" t="s">
        <v>382</v>
      </c>
      <c r="G771" s="8" t="s">
        <v>117</v>
      </c>
      <c r="H771" s="8" t="s">
        <v>200</v>
      </c>
      <c r="I771" s="8" t="s">
        <v>91</v>
      </c>
      <c r="J771" s="9" t="s">
        <v>383</v>
      </c>
      <c r="K771" s="8" t="str">
        <f>VLOOKUP(LEFT(H771,7),'קטלוג תרחישים'!$A:$M,12,FALSE())</f>
        <v>ג'</v>
      </c>
      <c r="L771" s="8" t="str">
        <f>IF(J771="כן",K771,VLOOKUP(LEFT(H771,7),'קטלוג תרחישים'!$A:$M,13,FALSE()))</f>
        <v>א'</v>
      </c>
      <c r="M771" s="13"/>
      <c r="N771" s="51" t="s">
        <v>360</v>
      </c>
      <c r="O771" s="13" t="str">
        <f t="array" ref="O771">_xlfn.IFS(N771="A","א'", N771="B", "ב'", N771= "C", "ג'")</f>
        <v>א'</v>
      </c>
      <c r="P771" s="13">
        <f>IF(Table_2[[#This Row],[Correct_Answer]]=Table_2[[#This Row],[System_Recommendation]],1,0)</f>
        <v>0</v>
      </c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 spans="1:26" ht="15.75" hidden="1" customHeight="1">
      <c r="A772" s="8" t="s">
        <v>208</v>
      </c>
      <c r="B772" s="8">
        <v>12</v>
      </c>
      <c r="C772" s="9" t="s">
        <v>381</v>
      </c>
      <c r="D772" s="8">
        <v>2</v>
      </c>
      <c r="E772" s="9" t="s">
        <v>105</v>
      </c>
      <c r="F772" s="8" t="s">
        <v>382</v>
      </c>
      <c r="G772" s="8" t="s">
        <v>117</v>
      </c>
      <c r="H772" s="8" t="s">
        <v>199</v>
      </c>
      <c r="I772" s="8" t="s">
        <v>100</v>
      </c>
      <c r="J772" s="9" t="s">
        <v>380</v>
      </c>
      <c r="K772" s="8" t="str">
        <f>VLOOKUP(LEFT(H772,7),'קטלוג תרחישים'!$A:$M,12,FALSE())</f>
        <v>ג'</v>
      </c>
      <c r="L772" s="8" t="str">
        <f>IF(J772="כן",K772,VLOOKUP(LEFT(H772,7),'קטלוג תרחישים'!$A:$M,13,FALSE()))</f>
        <v>ג'</v>
      </c>
      <c r="M772" s="13"/>
      <c r="N772" s="50" t="s">
        <v>366</v>
      </c>
      <c r="O772" s="13" t="str">
        <f t="array" ref="O772">_xlfn.IFS(N772="A","א'", N772="B", "ב'", N772= "C", "ג'")</f>
        <v>ג'</v>
      </c>
      <c r="P772" s="13">
        <f>IF(Table_2[[#This Row],[Correct_Answer]]=Table_2[[#This Row],[System_Recommendation]],1,0)</f>
        <v>1</v>
      </c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 spans="1:26" ht="15.75" hidden="1" customHeight="1">
      <c r="A773" s="8" t="s">
        <v>208</v>
      </c>
      <c r="B773" s="8">
        <v>13</v>
      </c>
      <c r="C773" s="9" t="s">
        <v>381</v>
      </c>
      <c r="D773" s="8">
        <v>2</v>
      </c>
      <c r="E773" s="9" t="s">
        <v>105</v>
      </c>
      <c r="F773" s="8" t="s">
        <v>382</v>
      </c>
      <c r="G773" s="8" t="s">
        <v>117</v>
      </c>
      <c r="H773" s="8" t="s">
        <v>198</v>
      </c>
      <c r="I773" s="8" t="s">
        <v>91</v>
      </c>
      <c r="J773" s="9" t="s">
        <v>380</v>
      </c>
      <c r="K773" s="8" t="str">
        <f>VLOOKUP(LEFT(H773,7),'קטלוג תרחישים'!$A:$M,12,FALSE())</f>
        <v>ב'</v>
      </c>
      <c r="L773" s="8" t="str">
        <f>IF(J773="כן",K773,VLOOKUP(LEFT(H773,7),'קטלוג תרחישים'!$A:$M,13,FALSE()))</f>
        <v>ב'</v>
      </c>
      <c r="M773" s="13"/>
      <c r="N773" s="51" t="s">
        <v>365</v>
      </c>
      <c r="O773" s="13" t="str">
        <f t="array" ref="O773">_xlfn.IFS(N773="A","א'", N773="B", "ב'", N773= "C", "ג'")</f>
        <v>ב'</v>
      </c>
      <c r="P773" s="13">
        <f>IF(Table_2[[#This Row],[Correct_Answer]]=Table_2[[#This Row],[System_Recommendation]],1,0)</f>
        <v>1</v>
      </c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 spans="1:26" ht="15.75" hidden="1" customHeight="1">
      <c r="A774" s="8" t="s">
        <v>208</v>
      </c>
      <c r="B774" s="8">
        <v>14</v>
      </c>
      <c r="C774" s="9" t="s">
        <v>381</v>
      </c>
      <c r="D774" s="8">
        <v>2</v>
      </c>
      <c r="E774" s="9" t="s">
        <v>105</v>
      </c>
      <c r="F774" s="8" t="s">
        <v>382</v>
      </c>
      <c r="G774" s="8" t="s">
        <v>117</v>
      </c>
      <c r="H774" s="8" t="s">
        <v>201</v>
      </c>
      <c r="I774" s="8" t="s">
        <v>100</v>
      </c>
      <c r="J774" s="9" t="s">
        <v>383</v>
      </c>
      <c r="K774" s="8" t="str">
        <f>VLOOKUP(LEFT(H774,7),'קטלוג תרחישים'!$A:$M,12,FALSE())</f>
        <v>ב'</v>
      </c>
      <c r="L774" s="8" t="str">
        <f>IF(J774="כן",K774,VLOOKUP(LEFT(H774,7),'קטלוג תרחישים'!$A:$M,13,FALSE()))</f>
        <v>א'</v>
      </c>
      <c r="M774" s="13"/>
      <c r="N774" s="50" t="s">
        <v>366</v>
      </c>
      <c r="O774" s="13" t="str">
        <f t="array" ref="O774">_xlfn.IFS(N774="A","א'", N774="B", "ב'", N774= "C", "ג'")</f>
        <v>ג'</v>
      </c>
      <c r="P774" s="13">
        <f>IF(Table_2[[#This Row],[Correct_Answer]]=Table_2[[#This Row],[System_Recommendation]],1,0)</f>
        <v>0</v>
      </c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 spans="1:26" ht="15.75" hidden="1" customHeight="1">
      <c r="A775" s="8" t="s">
        <v>208</v>
      </c>
      <c r="B775" s="8">
        <v>15</v>
      </c>
      <c r="C775" s="9" t="s">
        <v>381</v>
      </c>
      <c r="D775" s="8">
        <v>3</v>
      </c>
      <c r="E775" s="9" t="s">
        <v>111</v>
      </c>
      <c r="F775" s="8" t="s">
        <v>382</v>
      </c>
      <c r="G775" s="8" t="s">
        <v>117</v>
      </c>
      <c r="H775" s="8" t="s">
        <v>202</v>
      </c>
      <c r="I775" s="8" t="s">
        <v>91</v>
      </c>
      <c r="J775" s="9" t="s">
        <v>383</v>
      </c>
      <c r="K775" s="8" t="str">
        <f>VLOOKUP(LEFT(H775,7),'קטלוג תרחישים'!$A:$M,12,FALSE())</f>
        <v>ג'</v>
      </c>
      <c r="L775" s="8" t="str">
        <f>IF(J775="כן",K775,VLOOKUP(LEFT(H775,7),'קטלוג תרחישים'!$A:$M,13,FALSE()))</f>
        <v>א'</v>
      </c>
      <c r="M775" s="13"/>
      <c r="N775" s="51" t="s">
        <v>360</v>
      </c>
      <c r="O775" s="13" t="str">
        <f t="array" ref="O775">_xlfn.IFS(N775="A","א'", N775="B", "ב'", N775= "C", "ג'")</f>
        <v>א'</v>
      </c>
      <c r="P775" s="13">
        <f>IF(Table_2[[#This Row],[Correct_Answer]]=Table_2[[#This Row],[System_Recommendation]],1,0)</f>
        <v>0</v>
      </c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 spans="1:26" ht="15.75" hidden="1" customHeight="1">
      <c r="A776" s="8" t="s">
        <v>208</v>
      </c>
      <c r="B776" s="8">
        <v>16</v>
      </c>
      <c r="C776" s="9" t="s">
        <v>381</v>
      </c>
      <c r="D776" s="8">
        <v>3</v>
      </c>
      <c r="E776" s="9" t="s">
        <v>111</v>
      </c>
      <c r="F776" s="8" t="s">
        <v>382</v>
      </c>
      <c r="G776" s="8" t="s">
        <v>117</v>
      </c>
      <c r="H776" s="8" t="s">
        <v>203</v>
      </c>
      <c r="I776" s="8" t="s">
        <v>100</v>
      </c>
      <c r="J776" s="9" t="s">
        <v>383</v>
      </c>
      <c r="K776" s="8" t="str">
        <f>VLOOKUP(LEFT(H776,7),'קטלוג תרחישים'!$A:$M,12,FALSE())</f>
        <v>א'</v>
      </c>
      <c r="L776" s="8" t="str">
        <f>IF(J776="כן",K776,VLOOKUP(LEFT(H776,7),'קטלוג תרחישים'!$A:$M,13,FALSE()))</f>
        <v>ב'</v>
      </c>
      <c r="M776" s="13"/>
      <c r="N776" s="50" t="s">
        <v>366</v>
      </c>
      <c r="O776" s="13" t="str">
        <f t="array" ref="O776">_xlfn.IFS(N776="A","א'", N776="B", "ב'", N776= "C", "ג'")</f>
        <v>ג'</v>
      </c>
      <c r="P776" s="13">
        <f>IF(Table_2[[#This Row],[Correct_Answer]]=Table_2[[#This Row],[System_Recommendation]],1,0)</f>
        <v>0</v>
      </c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 spans="1:26" ht="15.75" hidden="1" customHeight="1">
      <c r="A777" s="8" t="s">
        <v>208</v>
      </c>
      <c r="B777" s="8">
        <v>17</v>
      </c>
      <c r="C777" s="9" t="s">
        <v>381</v>
      </c>
      <c r="D777" s="8">
        <v>3</v>
      </c>
      <c r="E777" s="9" t="s">
        <v>111</v>
      </c>
      <c r="F777" s="8" t="s">
        <v>382</v>
      </c>
      <c r="G777" s="8" t="s">
        <v>117</v>
      </c>
      <c r="H777" s="8" t="s">
        <v>204</v>
      </c>
      <c r="I777" s="8" t="s">
        <v>91</v>
      </c>
      <c r="J777" s="9" t="s">
        <v>380</v>
      </c>
      <c r="K777" s="8" t="str">
        <f>VLOOKUP(LEFT(H777,7),'קטלוג תרחישים'!$A:$M,12,FALSE())</f>
        <v>ב'</v>
      </c>
      <c r="L777" s="8" t="str">
        <f>IF(J777="כן",K777,VLOOKUP(LEFT(H777,7),'קטלוג תרחישים'!$A:$M,13,FALSE()))</f>
        <v>ב'</v>
      </c>
      <c r="M777" s="13"/>
      <c r="N777" s="51" t="s">
        <v>366</v>
      </c>
      <c r="O777" s="13" t="str">
        <f t="array" ref="O777">_xlfn.IFS(N777="A","א'", N777="B", "ב'", N777= "C", "ג'")</f>
        <v>ג'</v>
      </c>
      <c r="P777" s="13">
        <f>IF(Table_2[[#This Row],[Correct_Answer]]=Table_2[[#This Row],[System_Recommendation]],1,0)</f>
        <v>1</v>
      </c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 spans="1:26" ht="15.75" hidden="1" customHeight="1">
      <c r="A778" s="8" t="s">
        <v>208</v>
      </c>
      <c r="B778" s="8">
        <v>18</v>
      </c>
      <c r="C778" s="9" t="s">
        <v>381</v>
      </c>
      <c r="D778" s="8">
        <v>3</v>
      </c>
      <c r="E778" s="9" t="s">
        <v>111</v>
      </c>
      <c r="F778" s="8" t="s">
        <v>382</v>
      </c>
      <c r="G778" s="8" t="s">
        <v>117</v>
      </c>
      <c r="H778" s="8" t="s">
        <v>205</v>
      </c>
      <c r="I778" s="8" t="s">
        <v>100</v>
      </c>
      <c r="J778" s="9" t="s">
        <v>380</v>
      </c>
      <c r="K778" s="8" t="str">
        <f>VLOOKUP(LEFT(H778,7),'קטלוג תרחישים'!$A:$M,12,FALSE())</f>
        <v>א'</v>
      </c>
      <c r="L778" s="8" t="str">
        <f>IF(J778="כן",K778,VLOOKUP(LEFT(H778,7),'קטלוג תרחישים'!$A:$M,13,FALSE()))</f>
        <v>א'</v>
      </c>
      <c r="M778" s="13"/>
      <c r="N778" s="50" t="s">
        <v>365</v>
      </c>
      <c r="O778" s="13" t="str">
        <f t="array" ref="O778">_xlfn.IFS(N778="A","א'", N778="B", "ב'", N778= "C", "ג'")</f>
        <v>ב'</v>
      </c>
      <c r="P778" s="13">
        <f>IF(Table_2[[#This Row],[Correct_Answer]]=Table_2[[#This Row],[System_Recommendation]],1,0)</f>
        <v>1</v>
      </c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 spans="1:26" ht="15.75" hidden="1" customHeight="1">
      <c r="A779" s="8" t="s">
        <v>208</v>
      </c>
      <c r="B779" s="8">
        <v>19</v>
      </c>
      <c r="C779" s="9" t="s">
        <v>381</v>
      </c>
      <c r="D779" s="8">
        <v>1</v>
      </c>
      <c r="E779" s="9" t="s">
        <v>111</v>
      </c>
      <c r="F779" s="8" t="s">
        <v>384</v>
      </c>
      <c r="G779" s="8" t="s">
        <v>97</v>
      </c>
      <c r="H779" s="8" t="s">
        <v>183</v>
      </c>
      <c r="I779" s="8" t="s">
        <v>100</v>
      </c>
      <c r="J779" s="9" t="s">
        <v>380</v>
      </c>
      <c r="K779" s="8" t="str">
        <f>VLOOKUP(LEFT(H779,7),'קטלוג תרחישים'!$A:$M,12,FALSE())</f>
        <v>ג'</v>
      </c>
      <c r="L779" s="8" t="str">
        <f>IF(J779="כן",K779,VLOOKUP(LEFT(H779,7),'קטלוג תרחישים'!$A:$M,13,FALSE()))</f>
        <v>ג'</v>
      </c>
      <c r="M779" s="13"/>
      <c r="N779" s="51" t="s">
        <v>360</v>
      </c>
      <c r="O779" s="13" t="str">
        <f t="array" ref="O779">_xlfn.IFS(N779="A","א'", N779="B", "ב'", N779= "C", "ג'")</f>
        <v>א'</v>
      </c>
      <c r="P779" s="13">
        <f>IF(Table_2[[#This Row],[Correct_Answer]]=Table_2[[#This Row],[System_Recommendation]],1,0)</f>
        <v>1</v>
      </c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 spans="1:26" ht="15.75" hidden="1" customHeight="1">
      <c r="A780" s="8" t="s">
        <v>208</v>
      </c>
      <c r="B780" s="8">
        <v>20</v>
      </c>
      <c r="C780" s="9" t="s">
        <v>381</v>
      </c>
      <c r="D780" s="8">
        <v>1</v>
      </c>
      <c r="E780" s="9" t="s">
        <v>111</v>
      </c>
      <c r="F780" s="8" t="s">
        <v>384</v>
      </c>
      <c r="G780" s="8" t="s">
        <v>97</v>
      </c>
      <c r="H780" s="8" t="s">
        <v>182</v>
      </c>
      <c r="I780" s="8" t="s">
        <v>91</v>
      </c>
      <c r="J780" s="9" t="s">
        <v>380</v>
      </c>
      <c r="K780" s="8" t="str">
        <f>VLOOKUP(LEFT(H780,7),'קטלוג תרחישים'!$A:$M,12,FALSE())</f>
        <v>ב'</v>
      </c>
      <c r="L780" s="8" t="str">
        <f>IF(J780="כן",K780,VLOOKUP(LEFT(H780,7),'קטלוג תרחישים'!$A:$M,13,FALSE()))</f>
        <v>ב'</v>
      </c>
      <c r="M780" s="13"/>
      <c r="N780" s="50" t="s">
        <v>366</v>
      </c>
      <c r="O780" s="13" t="str">
        <f t="array" ref="O780">_xlfn.IFS(N780="A","א'", N780="B", "ב'", N780= "C", "ג'")</f>
        <v>ג'</v>
      </c>
      <c r="P780" s="13">
        <f>IF(Table_2[[#This Row],[Correct_Answer]]=Table_2[[#This Row],[System_Recommendation]],1,0)</f>
        <v>1</v>
      </c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 spans="1:26" ht="15.75" hidden="1" customHeight="1">
      <c r="A781" s="8" t="s">
        <v>208</v>
      </c>
      <c r="B781" s="8">
        <v>21</v>
      </c>
      <c r="C781" s="9" t="s">
        <v>381</v>
      </c>
      <c r="D781" s="8">
        <v>1</v>
      </c>
      <c r="E781" s="9" t="s">
        <v>111</v>
      </c>
      <c r="F781" s="8" t="s">
        <v>384</v>
      </c>
      <c r="G781" s="8" t="s">
        <v>97</v>
      </c>
      <c r="H781" s="8" t="s">
        <v>179</v>
      </c>
      <c r="I781" s="8" t="s">
        <v>100</v>
      </c>
      <c r="J781" s="9" t="s">
        <v>383</v>
      </c>
      <c r="K781" s="8" t="str">
        <f>VLOOKUP(LEFT(H781,7),'קטלוג תרחישים'!$A:$M,12,FALSE())</f>
        <v>ב'</v>
      </c>
      <c r="L781" s="8" t="str">
        <f>IF(J781="כן",K781,VLOOKUP(LEFT(H781,7),'קטלוג תרחישים'!$A:$M,13,FALSE()))</f>
        <v>ג'</v>
      </c>
      <c r="M781" s="13"/>
      <c r="N781" s="51" t="s">
        <v>365</v>
      </c>
      <c r="O781" s="13" t="str">
        <f t="array" ref="O781">_xlfn.IFS(N781="A","א'", N781="B", "ב'", N781= "C", "ג'")</f>
        <v>ב'</v>
      </c>
      <c r="P781" s="13">
        <f>IF(Table_2[[#This Row],[Correct_Answer]]=Table_2[[#This Row],[System_Recommendation]],1,0)</f>
        <v>0</v>
      </c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 spans="1:26" ht="15.75" hidden="1" customHeight="1">
      <c r="A782" s="8" t="s">
        <v>208</v>
      </c>
      <c r="B782" s="8">
        <v>22</v>
      </c>
      <c r="C782" s="9" t="s">
        <v>381</v>
      </c>
      <c r="D782" s="8">
        <v>1</v>
      </c>
      <c r="E782" s="9" t="s">
        <v>111</v>
      </c>
      <c r="F782" s="8" t="s">
        <v>384</v>
      </c>
      <c r="G782" s="8" t="s">
        <v>97</v>
      </c>
      <c r="H782" s="8" t="s">
        <v>180</v>
      </c>
      <c r="I782" s="8" t="s">
        <v>91</v>
      </c>
      <c r="J782" s="9" t="s">
        <v>380</v>
      </c>
      <c r="K782" s="8" t="str">
        <f>VLOOKUP(LEFT(H782,7),'קטלוג תרחישים'!$A:$M,12,FALSE())</f>
        <v>א'</v>
      </c>
      <c r="L782" s="8" t="str">
        <f>IF(J782="כן",K782,VLOOKUP(LEFT(H782,7),'קטלוג תרחישים'!$A:$M,13,FALSE()))</f>
        <v>א'</v>
      </c>
      <c r="M782" s="13"/>
      <c r="N782" s="50" t="s">
        <v>360</v>
      </c>
      <c r="O782" s="13" t="str">
        <f t="array" ref="O782">_xlfn.IFS(N782="A","א'", N782="B", "ב'", N782= "C", "ג'")</f>
        <v>א'</v>
      </c>
      <c r="P782" s="13">
        <f>IF(Table_2[[#This Row],[Correct_Answer]]=Table_2[[#This Row],[System_Recommendation]],1,0)</f>
        <v>1</v>
      </c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 spans="1:26" ht="15.75" hidden="1" customHeight="1">
      <c r="A783" s="8" t="s">
        <v>208</v>
      </c>
      <c r="B783" s="8">
        <v>23</v>
      </c>
      <c r="C783" s="9" t="s">
        <v>381</v>
      </c>
      <c r="D783" s="8">
        <v>1</v>
      </c>
      <c r="E783" s="9" t="s">
        <v>111</v>
      </c>
      <c r="F783" s="8" t="s">
        <v>384</v>
      </c>
      <c r="G783" s="8" t="s">
        <v>97</v>
      </c>
      <c r="H783" s="8" t="s">
        <v>181</v>
      </c>
      <c r="I783" s="8" t="s">
        <v>100</v>
      </c>
      <c r="J783" s="9" t="s">
        <v>380</v>
      </c>
      <c r="K783" s="8" t="str">
        <f>VLOOKUP(LEFT(H783,7),'קטלוג תרחישים'!$A:$M,12,FALSE())</f>
        <v>ג'</v>
      </c>
      <c r="L783" s="8" t="str">
        <f>IF(J783="כן",K783,VLOOKUP(LEFT(H783,7),'קטלוג תרחישים'!$A:$M,13,FALSE()))</f>
        <v>ג'</v>
      </c>
      <c r="M783" s="13"/>
      <c r="N783" s="51" t="s">
        <v>360</v>
      </c>
      <c r="O783" s="13" t="str">
        <f t="array" ref="O783">_xlfn.IFS(N783="A","א'", N783="B", "ב'", N783= "C", "ג'")</f>
        <v>א'</v>
      </c>
      <c r="P783" s="13">
        <f>IF(Table_2[[#This Row],[Correct_Answer]]=Table_2[[#This Row],[System_Recommendation]],1,0)</f>
        <v>1</v>
      </c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 spans="1:26" ht="15.75" hidden="1" customHeight="1">
      <c r="A784" s="8" t="s">
        <v>208</v>
      </c>
      <c r="B784" s="8">
        <v>24</v>
      </c>
      <c r="C784" s="9" t="s">
        <v>381</v>
      </c>
      <c r="D784" s="8">
        <v>2</v>
      </c>
      <c r="E784" s="9" t="s">
        <v>98</v>
      </c>
      <c r="F784" s="8" t="s">
        <v>384</v>
      </c>
      <c r="G784" s="8" t="s">
        <v>97</v>
      </c>
      <c r="H784" s="8" t="s">
        <v>184</v>
      </c>
      <c r="I784" s="8" t="s">
        <v>91</v>
      </c>
      <c r="J784" s="9" t="s">
        <v>383</v>
      </c>
      <c r="K784" s="8" t="str">
        <f>VLOOKUP(LEFT(H784,7),'קטלוג תרחישים'!$A:$M,12,FALSE())</f>
        <v>ג'</v>
      </c>
      <c r="L784" s="8" t="str">
        <f>IF(J784="כן",K784,VLOOKUP(LEFT(H784,7),'קטלוג תרחישים'!$A:$M,13,FALSE()))</f>
        <v>א'</v>
      </c>
      <c r="M784" s="13"/>
      <c r="N784" s="50" t="s">
        <v>360</v>
      </c>
      <c r="O784" s="13" t="str">
        <f t="array" ref="O784">_xlfn.IFS(N784="A","א'", N784="B", "ב'", N784= "C", "ג'")</f>
        <v>א'</v>
      </c>
      <c r="P784" s="13">
        <f>IF(Table_2[[#This Row],[Correct_Answer]]=Table_2[[#This Row],[System_Recommendation]],1,0)</f>
        <v>0</v>
      </c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 spans="1:26" ht="15.75" hidden="1" customHeight="1">
      <c r="A785" s="8" t="s">
        <v>208</v>
      </c>
      <c r="B785" s="8">
        <v>25</v>
      </c>
      <c r="C785" s="9" t="s">
        <v>381</v>
      </c>
      <c r="D785" s="8">
        <v>2</v>
      </c>
      <c r="E785" s="9" t="s">
        <v>98</v>
      </c>
      <c r="F785" s="8" t="s">
        <v>384</v>
      </c>
      <c r="G785" s="8" t="s">
        <v>97</v>
      </c>
      <c r="H785" s="8" t="s">
        <v>187</v>
      </c>
      <c r="I785" s="8" t="s">
        <v>100</v>
      </c>
      <c r="J785" s="9" t="s">
        <v>380</v>
      </c>
      <c r="K785" s="8" t="str">
        <f>VLOOKUP(LEFT(H785,7),'קטלוג תרחישים'!$A:$M,12,FALSE())</f>
        <v>ב'</v>
      </c>
      <c r="L785" s="8" t="str">
        <f>IF(J785="כן",K785,VLOOKUP(LEFT(H785,7),'קטלוג תרחישים'!$A:$M,13,FALSE()))</f>
        <v>ב'</v>
      </c>
      <c r="M785" s="13"/>
      <c r="N785" s="51" t="s">
        <v>365</v>
      </c>
      <c r="O785" s="13" t="str">
        <f t="array" ref="O785">_xlfn.IFS(N785="A","א'", N785="B", "ב'", N785= "C", "ג'")</f>
        <v>ב'</v>
      </c>
      <c r="P785" s="13">
        <f>IF(Table_2[[#This Row],[Correct_Answer]]=Table_2[[#This Row],[System_Recommendation]],1,0)</f>
        <v>1</v>
      </c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 spans="1:26" ht="15.75" hidden="1" customHeight="1">
      <c r="A786" s="8" t="s">
        <v>208</v>
      </c>
      <c r="B786" s="8">
        <v>26</v>
      </c>
      <c r="C786" s="9" t="s">
        <v>381</v>
      </c>
      <c r="D786" s="8">
        <v>2</v>
      </c>
      <c r="E786" s="9" t="s">
        <v>98</v>
      </c>
      <c r="F786" s="8" t="s">
        <v>384</v>
      </c>
      <c r="G786" s="8" t="s">
        <v>97</v>
      </c>
      <c r="H786" s="8" t="s">
        <v>186</v>
      </c>
      <c r="I786" s="8" t="s">
        <v>91</v>
      </c>
      <c r="J786" s="9" t="s">
        <v>380</v>
      </c>
      <c r="K786" s="8" t="str">
        <f>VLOOKUP(LEFT(H786,7),'קטלוג תרחישים'!$A:$M,12,FALSE())</f>
        <v>א'</v>
      </c>
      <c r="L786" s="8" t="str">
        <f>IF(J786="כן",K786,VLOOKUP(LEFT(H786,7),'קטלוג תרחישים'!$A:$M,13,FALSE()))</f>
        <v>א'</v>
      </c>
      <c r="M786" s="13"/>
      <c r="N786" s="50" t="s">
        <v>365</v>
      </c>
      <c r="O786" s="13" t="str">
        <f t="array" ref="O786">_xlfn.IFS(N786="A","א'", N786="B", "ב'", N786= "C", "ג'")</f>
        <v>ב'</v>
      </c>
      <c r="P786" s="13">
        <f>IF(Table_2[[#This Row],[Correct_Answer]]=Table_2[[#This Row],[System_Recommendation]],1,0)</f>
        <v>1</v>
      </c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 spans="1:26" ht="15.75" hidden="1" customHeight="1">
      <c r="A787" s="8" t="s">
        <v>208</v>
      </c>
      <c r="B787" s="8">
        <v>27</v>
      </c>
      <c r="C787" s="9" t="s">
        <v>381</v>
      </c>
      <c r="D787" s="8">
        <v>2</v>
      </c>
      <c r="E787" s="9" t="s">
        <v>98</v>
      </c>
      <c r="F787" s="8" t="s">
        <v>384</v>
      </c>
      <c r="G787" s="8" t="s">
        <v>97</v>
      </c>
      <c r="H787" s="8" t="s">
        <v>185</v>
      </c>
      <c r="I787" s="8" t="s">
        <v>100</v>
      </c>
      <c r="J787" s="9" t="s">
        <v>380</v>
      </c>
      <c r="K787" s="8" t="str">
        <f>VLOOKUP(LEFT(H787,7),'קטלוג תרחישים'!$A:$M,12,FALSE())</f>
        <v>ב'</v>
      </c>
      <c r="L787" s="8" t="str">
        <f>IF(J787="כן",K787,VLOOKUP(LEFT(H787,7),'קטלוג תרחישים'!$A:$M,13,FALSE()))</f>
        <v>ב'</v>
      </c>
      <c r="M787" s="13"/>
      <c r="N787" s="51" t="s">
        <v>366</v>
      </c>
      <c r="O787" s="13" t="str">
        <f t="array" ref="O787">_xlfn.IFS(N787="A","א'", N787="B", "ב'", N787= "C", "ג'")</f>
        <v>ג'</v>
      </c>
      <c r="P787" s="13">
        <f>IF(Table_2[[#This Row],[Correct_Answer]]=Table_2[[#This Row],[System_Recommendation]],1,0)</f>
        <v>1</v>
      </c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 spans="1:26" ht="15.75" hidden="1" customHeight="1">
      <c r="A788" s="8" t="s">
        <v>208</v>
      </c>
      <c r="B788" s="8">
        <v>28</v>
      </c>
      <c r="C788" s="9" t="s">
        <v>381</v>
      </c>
      <c r="D788" s="8">
        <v>2</v>
      </c>
      <c r="E788" s="9" t="s">
        <v>98</v>
      </c>
      <c r="F788" s="8" t="s">
        <v>384</v>
      </c>
      <c r="G788" s="8" t="s">
        <v>97</v>
      </c>
      <c r="H788" s="8" t="s">
        <v>188</v>
      </c>
      <c r="I788" s="8" t="s">
        <v>91</v>
      </c>
      <c r="J788" s="9" t="s">
        <v>380</v>
      </c>
      <c r="K788" s="8" t="str">
        <f>VLOOKUP(LEFT(H788,7),'קטלוג תרחישים'!$A:$M,12,FALSE())</f>
        <v>ג'</v>
      </c>
      <c r="L788" s="8" t="str">
        <f>IF(J788="כן",K788,VLOOKUP(LEFT(H788,7),'קטלוג תרחישים'!$A:$M,13,FALSE()))</f>
        <v>ג'</v>
      </c>
      <c r="M788" s="13"/>
      <c r="N788" s="50" t="s">
        <v>366</v>
      </c>
      <c r="O788" s="13" t="str">
        <f t="array" ref="O788">_xlfn.IFS(N788="A","א'", N788="B", "ב'", N788= "C", "ג'")</f>
        <v>ג'</v>
      </c>
      <c r="P788" s="13">
        <f>IF(Table_2[[#This Row],[Correct_Answer]]=Table_2[[#This Row],[System_Recommendation]],1,0)</f>
        <v>1</v>
      </c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 spans="1:26" ht="15.75" hidden="1" customHeight="1">
      <c r="A789" s="8" t="s">
        <v>208</v>
      </c>
      <c r="B789" s="8">
        <v>29</v>
      </c>
      <c r="C789" s="9" t="s">
        <v>381</v>
      </c>
      <c r="D789" s="8">
        <v>3</v>
      </c>
      <c r="E789" s="9" t="s">
        <v>105</v>
      </c>
      <c r="F789" s="8" t="s">
        <v>384</v>
      </c>
      <c r="G789" s="8" t="s">
        <v>97</v>
      </c>
      <c r="H789" s="8" t="s">
        <v>191</v>
      </c>
      <c r="I789" s="8" t="s">
        <v>91</v>
      </c>
      <c r="J789" s="9" t="s">
        <v>380</v>
      </c>
      <c r="K789" s="8" t="str">
        <f>VLOOKUP(LEFT(H789,7),'קטלוג תרחישים'!$A:$M,12,FALSE())</f>
        <v>ג'</v>
      </c>
      <c r="L789" s="8" t="str">
        <f>IF(J789="כן",K789,VLOOKUP(LEFT(H789,7),'קטלוג תרחישים'!$A:$M,13,FALSE()))</f>
        <v>ג'</v>
      </c>
      <c r="M789" s="13"/>
      <c r="N789" s="51" t="s">
        <v>366</v>
      </c>
      <c r="O789" s="13" t="str">
        <f t="array" ref="O789">_xlfn.IFS(N789="A","א'", N789="B", "ב'", N789= "C", "ג'")</f>
        <v>ג'</v>
      </c>
      <c r="P789" s="13">
        <f>IF(Table_2[[#This Row],[Correct_Answer]]=Table_2[[#This Row],[System_Recommendation]],1,0)</f>
        <v>1</v>
      </c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 spans="1:26" ht="15.75" hidden="1" customHeight="1">
      <c r="A790" s="8" t="s">
        <v>208</v>
      </c>
      <c r="B790" s="8">
        <v>30</v>
      </c>
      <c r="C790" s="9" t="s">
        <v>381</v>
      </c>
      <c r="D790" s="8">
        <v>3</v>
      </c>
      <c r="E790" s="9" t="s">
        <v>105</v>
      </c>
      <c r="F790" s="8" t="s">
        <v>384</v>
      </c>
      <c r="G790" s="8" t="s">
        <v>97</v>
      </c>
      <c r="H790" s="8" t="s">
        <v>192</v>
      </c>
      <c r="I790" s="8" t="s">
        <v>100</v>
      </c>
      <c r="J790" s="9" t="s">
        <v>383</v>
      </c>
      <c r="K790" s="8" t="str">
        <f>VLOOKUP(LEFT(H790,7),'קטלוג תרחישים'!$A:$M,12,FALSE())</f>
        <v>א'</v>
      </c>
      <c r="L790" s="8" t="str">
        <f>IF(J790="כן",K790,VLOOKUP(LEFT(H790,7),'קטלוג תרחישים'!$A:$M,13,FALSE()))</f>
        <v>ג'</v>
      </c>
      <c r="M790" s="13"/>
      <c r="N790" s="50" t="s">
        <v>365</v>
      </c>
      <c r="O790" s="13" t="str">
        <f t="array" ref="O790">_xlfn.IFS(N790="A","א'", N790="B", "ב'", N790= "C", "ג'")</f>
        <v>ב'</v>
      </c>
      <c r="P790" s="13">
        <f>IF(Table_2[[#This Row],[Correct_Answer]]=Table_2[[#This Row],[System_Recommendation]],1,0)</f>
        <v>0</v>
      </c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 spans="1:26" ht="15.75" hidden="1" customHeight="1">
      <c r="A791" s="8" t="s">
        <v>208</v>
      </c>
      <c r="B791" s="8">
        <v>31</v>
      </c>
      <c r="C791" s="9" t="s">
        <v>381</v>
      </c>
      <c r="D791" s="8">
        <v>3</v>
      </c>
      <c r="E791" s="9" t="s">
        <v>105</v>
      </c>
      <c r="F791" s="8" t="s">
        <v>384</v>
      </c>
      <c r="G791" s="8" t="s">
        <v>97</v>
      </c>
      <c r="H791" s="8" t="s">
        <v>189</v>
      </c>
      <c r="I791" s="8" t="s">
        <v>91</v>
      </c>
      <c r="J791" s="9" t="s">
        <v>380</v>
      </c>
      <c r="K791" s="8" t="str">
        <f>VLOOKUP(LEFT(H791,7),'קטלוג תרחישים'!$A:$M,12,FALSE())</f>
        <v>ג'</v>
      </c>
      <c r="L791" s="8" t="str">
        <f>IF(J791="כן",K791,VLOOKUP(LEFT(H791,7),'קטלוג תרחישים'!$A:$M,13,FALSE()))</f>
        <v>ג'</v>
      </c>
      <c r="M791" s="13"/>
      <c r="N791" s="51" t="s">
        <v>366</v>
      </c>
      <c r="O791" s="13" t="str">
        <f t="array" ref="O791">_xlfn.IFS(N791="A","א'", N791="B", "ב'", N791= "C", "ג'")</f>
        <v>ג'</v>
      </c>
      <c r="P791" s="13">
        <f>IF(Table_2[[#This Row],[Correct_Answer]]=Table_2[[#This Row],[System_Recommendation]],1,0)</f>
        <v>1</v>
      </c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 spans="1:26" ht="15.75" hidden="1" customHeight="1">
      <c r="A792" s="8" t="s">
        <v>208</v>
      </c>
      <c r="B792" s="8">
        <v>32</v>
      </c>
      <c r="C792" s="9" t="s">
        <v>381</v>
      </c>
      <c r="D792" s="8">
        <v>3</v>
      </c>
      <c r="E792" s="9" t="s">
        <v>105</v>
      </c>
      <c r="F792" s="8" t="s">
        <v>384</v>
      </c>
      <c r="G792" s="8" t="s">
        <v>97</v>
      </c>
      <c r="H792" s="8" t="s">
        <v>190</v>
      </c>
      <c r="I792" s="8" t="s">
        <v>100</v>
      </c>
      <c r="J792" s="9" t="s">
        <v>380</v>
      </c>
      <c r="K792" s="8" t="str">
        <f>VLOOKUP(LEFT(H792,7),'קטלוג תרחישים'!$A:$M,12,FALSE())</f>
        <v>ג'</v>
      </c>
      <c r="L792" s="8" t="str">
        <f>IF(J792="כן",K792,VLOOKUP(LEFT(H792,7),'קטלוג תרחישים'!$A:$M,13,FALSE()))</f>
        <v>ג'</v>
      </c>
      <c r="M792" s="13"/>
      <c r="N792" s="50" t="s">
        <v>360</v>
      </c>
      <c r="O792" s="13" t="str">
        <f t="array" ref="O792">_xlfn.IFS(N792="A","א'", N792="B", "ב'", N792= "C", "ג'")</f>
        <v>א'</v>
      </c>
      <c r="P792" s="13">
        <f>IF(Table_2[[#This Row],[Correct_Answer]]=Table_2[[#This Row],[System_Recommendation]],1,0)</f>
        <v>1</v>
      </c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 spans="1:26" ht="15.75" hidden="1" customHeight="1">
      <c r="A793" s="8" t="s">
        <v>208</v>
      </c>
      <c r="B793" s="8">
        <v>33</v>
      </c>
      <c r="C793" s="9" t="s">
        <v>381</v>
      </c>
      <c r="D793" s="8">
        <v>3</v>
      </c>
      <c r="E793" s="9" t="s">
        <v>105</v>
      </c>
      <c r="F793" s="8" t="s">
        <v>384</v>
      </c>
      <c r="G793" s="8" t="s">
        <v>97</v>
      </c>
      <c r="H793" s="8" t="s">
        <v>193</v>
      </c>
      <c r="I793" s="8" t="s">
        <v>91</v>
      </c>
      <c r="J793" s="9" t="s">
        <v>380</v>
      </c>
      <c r="K793" s="8" t="str">
        <f>VLOOKUP(LEFT(H793,7),'קטלוג תרחישים'!$A:$M,12,FALSE())</f>
        <v>ב'</v>
      </c>
      <c r="L793" s="8" t="str">
        <f>IF(J793="כן",K793,VLOOKUP(LEFT(H793,7),'קטלוג תרחישים'!$A:$M,13,FALSE()))</f>
        <v>ב'</v>
      </c>
      <c r="M793" s="13"/>
      <c r="N793" s="51" t="s">
        <v>360</v>
      </c>
      <c r="O793" s="13" t="str">
        <f t="array" ref="O793">_xlfn.IFS(N793="A","א'", N793="B", "ב'", N793= "C", "ג'")</f>
        <v>א'</v>
      </c>
      <c r="P793" s="13">
        <f>IF(Table_2[[#This Row],[Correct_Answer]]=Table_2[[#This Row],[System_Recommendation]],1,0)</f>
        <v>1</v>
      </c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 spans="1:26" ht="15.75" hidden="1" customHeight="1">
      <c r="A794" s="8" t="s">
        <v>209</v>
      </c>
      <c r="B794" s="8">
        <v>1</v>
      </c>
      <c r="C794" s="9" t="s">
        <v>379</v>
      </c>
      <c r="D794" s="8"/>
      <c r="E794" s="9" t="s">
        <v>98</v>
      </c>
      <c r="F794" s="8"/>
      <c r="G794" s="8"/>
      <c r="H794" s="11" t="s">
        <v>90</v>
      </c>
      <c r="I794" s="8" t="s">
        <v>91</v>
      </c>
      <c r="J794" s="9" t="s">
        <v>380</v>
      </c>
      <c r="K794" s="8" t="str">
        <f>VLOOKUP(LEFT(H794,7),'קטלוג תרחישים'!$A:$M,12,FALSE())</f>
        <v>א'</v>
      </c>
      <c r="L794" s="8" t="str">
        <f>IF(J794="כן",K794,VLOOKUP(LEFT(H794,7),'קטלוג תרחישים'!$A:$M,13,FALSE()))</f>
        <v>א'</v>
      </c>
      <c r="M794" s="13"/>
      <c r="N794" s="50" t="s">
        <v>366</v>
      </c>
      <c r="O794" s="13" t="str">
        <f t="array" ref="O794">_xlfn.IFS(N794="A","א'", N794="B", "ב'", N794= "C", "ג'")</f>
        <v>ג'</v>
      </c>
      <c r="P794" s="13">
        <f>IF(Table_2[[#This Row],[Correct_Answer]]=Table_2[[#This Row],[System_Recommendation]],1,0)</f>
        <v>1</v>
      </c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 spans="1:26" ht="15.75" hidden="1" customHeight="1">
      <c r="A795" s="8" t="s">
        <v>209</v>
      </c>
      <c r="B795" s="8">
        <v>2</v>
      </c>
      <c r="C795" s="9" t="s">
        <v>379</v>
      </c>
      <c r="D795" s="8"/>
      <c r="E795" s="9" t="s">
        <v>98</v>
      </c>
      <c r="F795" s="8"/>
      <c r="G795" s="8"/>
      <c r="H795" s="11" t="s">
        <v>92</v>
      </c>
      <c r="I795" s="8" t="s">
        <v>91</v>
      </c>
      <c r="J795" s="9" t="s">
        <v>380</v>
      </c>
      <c r="K795" s="8" t="str">
        <f>VLOOKUP(LEFT(H795,7),'קטלוג תרחישים'!$A:$M,12,FALSE())</f>
        <v>א'</v>
      </c>
      <c r="L795" s="8" t="str">
        <f>IF(J795="כן",K795,VLOOKUP(LEFT(H795,7),'קטלוג תרחישים'!$A:$M,13,FALSE()))</f>
        <v>א'</v>
      </c>
      <c r="M795" s="13"/>
      <c r="N795" s="51" t="s">
        <v>366</v>
      </c>
      <c r="O795" s="13" t="str">
        <f t="array" ref="O795">_xlfn.IFS(N795="A","א'", N795="B", "ב'", N795= "C", "ג'")</f>
        <v>ג'</v>
      </c>
      <c r="P795" s="13">
        <f>IF(Table_2[[#This Row],[Correct_Answer]]=Table_2[[#This Row],[System_Recommendation]],1,0)</f>
        <v>1</v>
      </c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 spans="1:26" ht="15.75" hidden="1" customHeight="1">
      <c r="A796" s="8" t="s">
        <v>209</v>
      </c>
      <c r="B796" s="8">
        <v>3</v>
      </c>
      <c r="C796" s="9" t="s">
        <v>379</v>
      </c>
      <c r="D796" s="8"/>
      <c r="E796" s="9" t="s">
        <v>105</v>
      </c>
      <c r="F796" s="8"/>
      <c r="G796" s="8"/>
      <c r="H796" s="11" t="s">
        <v>93</v>
      </c>
      <c r="I796" s="8" t="s">
        <v>91</v>
      </c>
      <c r="J796" s="9" t="s">
        <v>380</v>
      </c>
      <c r="K796" s="8" t="str">
        <f>VLOOKUP(LEFT(H796,7),'קטלוג תרחישים'!$A:$M,12,FALSE())</f>
        <v>א'</v>
      </c>
      <c r="L796" s="8" t="str">
        <f>IF(J796="כן",K796,VLOOKUP(LEFT(H796,7),'קטלוג תרחישים'!$A:$M,13,FALSE()))</f>
        <v>א'</v>
      </c>
      <c r="M796" s="13"/>
      <c r="N796" s="50" t="s">
        <v>366</v>
      </c>
      <c r="O796" s="13" t="str">
        <f t="array" ref="O796">_xlfn.IFS(N796="A","א'", N796="B", "ב'", N796= "C", "ג'")</f>
        <v>ג'</v>
      </c>
      <c r="P796" s="13">
        <f>IF(Table_2[[#This Row],[Correct_Answer]]=Table_2[[#This Row],[System_Recommendation]],1,0)</f>
        <v>1</v>
      </c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 spans="1:26" ht="15.75" hidden="1" customHeight="1">
      <c r="A797" s="8" t="s">
        <v>209</v>
      </c>
      <c r="B797" s="8">
        <v>4</v>
      </c>
      <c r="C797" s="9" t="s">
        <v>379</v>
      </c>
      <c r="D797" s="8"/>
      <c r="E797" s="9" t="s">
        <v>105</v>
      </c>
      <c r="F797" s="8"/>
      <c r="G797" s="8"/>
      <c r="H797" s="11" t="s">
        <v>94</v>
      </c>
      <c r="I797" s="8" t="s">
        <v>91</v>
      </c>
      <c r="J797" s="9" t="s">
        <v>380</v>
      </c>
      <c r="K797" s="8" t="str">
        <f>VLOOKUP(LEFT(H797,7),'קטלוג תרחישים'!$A:$M,12,FALSE())</f>
        <v>א'</v>
      </c>
      <c r="L797" s="8" t="str">
        <f>IF(J797="כן",K797,VLOOKUP(LEFT(H797,7),'קטלוג תרחישים'!$A:$M,13,FALSE()))</f>
        <v>א'</v>
      </c>
      <c r="M797" s="13"/>
      <c r="N797" s="51" t="s">
        <v>365</v>
      </c>
      <c r="O797" s="13" t="str">
        <f t="array" ref="O797">_xlfn.IFS(N797="A","א'", N797="B", "ב'", N797= "C", "ג'")</f>
        <v>ב'</v>
      </c>
      <c r="P797" s="13">
        <f>IF(Table_2[[#This Row],[Correct_Answer]]=Table_2[[#This Row],[System_Recommendation]],1,0)</f>
        <v>1</v>
      </c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 spans="1:26" ht="15.75" hidden="1" customHeight="1">
      <c r="A798" s="8" t="s">
        <v>209</v>
      </c>
      <c r="B798" s="8">
        <v>5</v>
      </c>
      <c r="C798" s="9" t="s">
        <v>379</v>
      </c>
      <c r="D798" s="8"/>
      <c r="E798" s="9" t="s">
        <v>111</v>
      </c>
      <c r="F798" s="8"/>
      <c r="G798" s="8"/>
      <c r="H798" s="11" t="s">
        <v>95</v>
      </c>
      <c r="I798" s="8" t="s">
        <v>91</v>
      </c>
      <c r="J798" s="9" t="s">
        <v>380</v>
      </c>
      <c r="K798" s="8" t="str">
        <f>VLOOKUP(LEFT(H798,7),'קטלוג תרחישים'!$A:$M,12,FALSE())</f>
        <v>ב'</v>
      </c>
      <c r="L798" s="8" t="str">
        <f>IF(J798="כן",K798,VLOOKUP(LEFT(H798,7),'קטלוג תרחישים'!$A:$M,13,FALSE()))</f>
        <v>ב'</v>
      </c>
      <c r="M798" s="13"/>
      <c r="N798" s="50" t="s">
        <v>360</v>
      </c>
      <c r="O798" s="13" t="str">
        <f t="array" ref="O798">_xlfn.IFS(N798="A","א'", N798="B", "ב'", N798= "C", "ג'")</f>
        <v>א'</v>
      </c>
      <c r="P798" s="13">
        <f>IF(Table_2[[#This Row],[Correct_Answer]]=Table_2[[#This Row],[System_Recommendation]],1,0)</f>
        <v>1</v>
      </c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 spans="1:26" ht="15.75" customHeight="1">
      <c r="A799" s="8" t="s">
        <v>209</v>
      </c>
      <c r="B799" s="8">
        <v>6</v>
      </c>
      <c r="C799" s="9" t="s">
        <v>379</v>
      </c>
      <c r="D799" s="8"/>
      <c r="E799" s="9" t="s">
        <v>111</v>
      </c>
      <c r="F799" s="8"/>
      <c r="G799" s="8"/>
      <c r="H799" s="11" t="s">
        <v>96</v>
      </c>
      <c r="I799" s="8" t="s">
        <v>91</v>
      </c>
      <c r="J799" s="9" t="s">
        <v>380</v>
      </c>
      <c r="K799" s="8" t="str">
        <f>VLOOKUP(LEFT(H799,7),'קטלוג תרחישים'!$A:$M,12,FALSE())</f>
        <v>ב'</v>
      </c>
      <c r="L799" s="8" t="str">
        <f>IF(J799="כן",K799,VLOOKUP(LEFT(H799,7),'קטלוג תרחישים'!$A:$M,13,FALSE()))</f>
        <v>ב'</v>
      </c>
      <c r="M799" s="13"/>
      <c r="N799" s="51" t="s">
        <v>366</v>
      </c>
      <c r="O799" s="13" t="str">
        <f t="array" ref="O799">_xlfn.IFS(N799="A","א'", N799="B", "ב'", N799= "C", "ג'")</f>
        <v>ג'</v>
      </c>
      <c r="P799" s="13">
        <f>IF(Table_2[[#This Row],[Correct_Answer]]=Table_2[[#This Row],[System_Recommendation]],1,0)</f>
        <v>1</v>
      </c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 spans="1:26" ht="15.75" hidden="1" customHeight="1">
      <c r="A800" s="8" t="s">
        <v>209</v>
      </c>
      <c r="B800" s="8">
        <v>7</v>
      </c>
      <c r="C800" s="9" t="s">
        <v>381</v>
      </c>
      <c r="D800" s="8">
        <v>1</v>
      </c>
      <c r="E800" s="9" t="s">
        <v>98</v>
      </c>
      <c r="F800" s="8" t="s">
        <v>382</v>
      </c>
      <c r="G800" s="8" t="s">
        <v>97</v>
      </c>
      <c r="H800" s="8" t="s">
        <v>184</v>
      </c>
      <c r="I800" s="8" t="s">
        <v>91</v>
      </c>
      <c r="J800" s="9" t="s">
        <v>380</v>
      </c>
      <c r="K800" s="8" t="str">
        <f>VLOOKUP(LEFT(H800,7),'קטלוג תרחישים'!$A:$M,12,FALSE())</f>
        <v>ג'</v>
      </c>
      <c r="L800" s="8" t="str">
        <f>IF(J800="כן",K800,VLOOKUP(LEFT(H800,7),'קטלוג תרחישים'!$A:$M,13,FALSE()))</f>
        <v>ג'</v>
      </c>
      <c r="M800" s="13"/>
      <c r="N800" s="50" t="s">
        <v>366</v>
      </c>
      <c r="O800" s="13" t="str">
        <f t="array" ref="O800">_xlfn.IFS(N800="A","א'", N800="B", "ב'", N800= "C", "ג'")</f>
        <v>ג'</v>
      </c>
      <c r="P800" s="13">
        <f>IF(Table_2[[#This Row],[Correct_Answer]]=Table_2[[#This Row],[System_Recommendation]],1,0)</f>
        <v>1</v>
      </c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 spans="1:26" ht="15.75" hidden="1" customHeight="1">
      <c r="A801" s="8" t="s">
        <v>209</v>
      </c>
      <c r="B801" s="8">
        <v>8</v>
      </c>
      <c r="C801" s="9" t="s">
        <v>381</v>
      </c>
      <c r="D801" s="8">
        <v>1</v>
      </c>
      <c r="E801" s="9" t="s">
        <v>98</v>
      </c>
      <c r="F801" s="8" t="s">
        <v>382</v>
      </c>
      <c r="G801" s="8" t="s">
        <v>97</v>
      </c>
      <c r="H801" s="8" t="s">
        <v>185</v>
      </c>
      <c r="I801" s="8" t="s">
        <v>100</v>
      </c>
      <c r="J801" s="9" t="s">
        <v>380</v>
      </c>
      <c r="K801" s="8" t="str">
        <f>VLOOKUP(LEFT(H801,7),'קטלוג תרחישים'!$A:$M,12,FALSE())</f>
        <v>ב'</v>
      </c>
      <c r="L801" s="8" t="str">
        <f>IF(J801="כן",K801,VLOOKUP(LEFT(H801,7),'קטלוג תרחישים'!$A:$M,13,FALSE()))</f>
        <v>ב'</v>
      </c>
      <c r="M801" s="13"/>
      <c r="N801" s="51" t="s">
        <v>365</v>
      </c>
      <c r="O801" s="13" t="str">
        <f t="array" ref="O801">_xlfn.IFS(N801="A","א'", N801="B", "ב'", N801= "C", "ג'")</f>
        <v>ב'</v>
      </c>
      <c r="P801" s="13">
        <f>IF(Table_2[[#This Row],[Correct_Answer]]=Table_2[[#This Row],[System_Recommendation]],1,0)</f>
        <v>1</v>
      </c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 spans="1:26" ht="15.75" hidden="1" customHeight="1">
      <c r="A802" s="8" t="s">
        <v>209</v>
      </c>
      <c r="B802" s="8">
        <v>9</v>
      </c>
      <c r="C802" s="9" t="s">
        <v>381</v>
      </c>
      <c r="D802" s="8">
        <v>1</v>
      </c>
      <c r="E802" s="9" t="s">
        <v>98</v>
      </c>
      <c r="F802" s="8" t="s">
        <v>382</v>
      </c>
      <c r="G802" s="8" t="s">
        <v>97</v>
      </c>
      <c r="H802" s="8" t="s">
        <v>186</v>
      </c>
      <c r="I802" s="8" t="s">
        <v>91</v>
      </c>
      <c r="J802" s="9" t="s">
        <v>380</v>
      </c>
      <c r="K802" s="8" t="str">
        <f>VLOOKUP(LEFT(H802,7),'קטלוג תרחישים'!$A:$M,12,FALSE())</f>
        <v>א'</v>
      </c>
      <c r="L802" s="8" t="str">
        <f>IF(J802="כן",K802,VLOOKUP(LEFT(H802,7),'קטלוג תרחישים'!$A:$M,13,FALSE()))</f>
        <v>א'</v>
      </c>
      <c r="M802" s="13"/>
      <c r="N802" s="50" t="s">
        <v>365</v>
      </c>
      <c r="O802" s="13" t="str">
        <f t="array" ref="O802">_xlfn.IFS(N802="A","א'", N802="B", "ב'", N802= "C", "ג'")</f>
        <v>ב'</v>
      </c>
      <c r="P802" s="13">
        <f>IF(Table_2[[#This Row],[Correct_Answer]]=Table_2[[#This Row],[System_Recommendation]],1,0)</f>
        <v>1</v>
      </c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 spans="1:26" ht="15.75" hidden="1" customHeight="1">
      <c r="A803" s="8" t="s">
        <v>209</v>
      </c>
      <c r="B803" s="8">
        <v>10</v>
      </c>
      <c r="C803" s="9" t="s">
        <v>381</v>
      </c>
      <c r="D803" s="8">
        <v>1</v>
      </c>
      <c r="E803" s="9" t="s">
        <v>98</v>
      </c>
      <c r="F803" s="8" t="s">
        <v>382</v>
      </c>
      <c r="G803" s="8" t="s">
        <v>97</v>
      </c>
      <c r="H803" s="8" t="s">
        <v>187</v>
      </c>
      <c r="I803" s="8" t="s">
        <v>100</v>
      </c>
      <c r="J803" s="9" t="s">
        <v>383</v>
      </c>
      <c r="K803" s="8" t="str">
        <f>VLOOKUP(LEFT(H803,7),'קטלוג תרחישים'!$A:$M,12,FALSE())</f>
        <v>ב'</v>
      </c>
      <c r="L803" s="8" t="str">
        <f>IF(J803="כן",K803,VLOOKUP(LEFT(H803,7),'קטלוג תרחישים'!$A:$M,13,FALSE()))</f>
        <v>א'</v>
      </c>
      <c r="M803" s="13"/>
      <c r="N803" s="51" t="s">
        <v>365</v>
      </c>
      <c r="O803" s="13" t="str">
        <f t="array" ref="O803">_xlfn.IFS(N803="A","א'", N803="B", "ב'", N803= "C", "ג'")</f>
        <v>ב'</v>
      </c>
      <c r="P803" s="13">
        <f>IF(Table_2[[#This Row],[Correct_Answer]]=Table_2[[#This Row],[System_Recommendation]],1,0)</f>
        <v>0</v>
      </c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 spans="1:26" ht="15.75" hidden="1" customHeight="1">
      <c r="A804" s="8" t="s">
        <v>209</v>
      </c>
      <c r="B804" s="8">
        <v>11</v>
      </c>
      <c r="C804" s="9" t="s">
        <v>381</v>
      </c>
      <c r="D804" s="8">
        <v>1</v>
      </c>
      <c r="E804" s="9" t="s">
        <v>98</v>
      </c>
      <c r="F804" s="8" t="s">
        <v>382</v>
      </c>
      <c r="G804" s="8" t="s">
        <v>97</v>
      </c>
      <c r="H804" s="8" t="s">
        <v>188</v>
      </c>
      <c r="I804" s="8" t="s">
        <v>91</v>
      </c>
      <c r="J804" s="9" t="s">
        <v>380</v>
      </c>
      <c r="K804" s="8" t="str">
        <f>VLOOKUP(LEFT(H804,7),'קטלוג תרחישים'!$A:$M,12,FALSE())</f>
        <v>ג'</v>
      </c>
      <c r="L804" s="8" t="str">
        <f>IF(J804="כן",K804,VLOOKUP(LEFT(H804,7),'קטלוג תרחישים'!$A:$M,13,FALSE()))</f>
        <v>ג'</v>
      </c>
      <c r="M804" s="13"/>
      <c r="N804" s="50" t="s">
        <v>360</v>
      </c>
      <c r="O804" s="13" t="str">
        <f t="array" ref="O804">_xlfn.IFS(N804="A","א'", N804="B", "ב'", N804= "C", "ג'")</f>
        <v>א'</v>
      </c>
      <c r="P804" s="13">
        <f>IF(Table_2[[#This Row],[Correct_Answer]]=Table_2[[#This Row],[System_Recommendation]],1,0)</f>
        <v>1</v>
      </c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 spans="1:26" ht="15.75" hidden="1" customHeight="1">
      <c r="A805" s="8" t="s">
        <v>209</v>
      </c>
      <c r="B805" s="8">
        <v>12</v>
      </c>
      <c r="C805" s="9" t="s">
        <v>381</v>
      </c>
      <c r="D805" s="8">
        <v>2</v>
      </c>
      <c r="E805" s="9" t="s">
        <v>105</v>
      </c>
      <c r="F805" s="8" t="s">
        <v>382</v>
      </c>
      <c r="G805" s="8" t="s">
        <v>97</v>
      </c>
      <c r="H805" s="8" t="s">
        <v>189</v>
      </c>
      <c r="I805" s="8" t="s">
        <v>91</v>
      </c>
      <c r="J805" s="9" t="s">
        <v>383</v>
      </c>
      <c r="K805" s="8" t="str">
        <f>VLOOKUP(LEFT(H805,7),'קטלוג תרחישים'!$A:$M,12,FALSE())</f>
        <v>ג'</v>
      </c>
      <c r="L805" s="8" t="str">
        <f>IF(J805="כן",K805,VLOOKUP(LEFT(H805,7),'קטלוג תרחישים'!$A:$M,13,FALSE()))</f>
        <v>ב'</v>
      </c>
      <c r="M805" s="13"/>
      <c r="N805" s="51" t="s">
        <v>366</v>
      </c>
      <c r="O805" s="13" t="str">
        <f t="array" ref="O805">_xlfn.IFS(N805="A","א'", N805="B", "ב'", N805= "C", "ג'")</f>
        <v>ג'</v>
      </c>
      <c r="P805" s="13">
        <f>IF(Table_2[[#This Row],[Correct_Answer]]=Table_2[[#This Row],[System_Recommendation]],1,0)</f>
        <v>0</v>
      </c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 spans="1:26" ht="15.75" hidden="1" customHeight="1">
      <c r="A806" s="8" t="s">
        <v>209</v>
      </c>
      <c r="B806" s="8">
        <v>13</v>
      </c>
      <c r="C806" s="9" t="s">
        <v>381</v>
      </c>
      <c r="D806" s="8">
        <v>2</v>
      </c>
      <c r="E806" s="9" t="s">
        <v>105</v>
      </c>
      <c r="F806" s="8" t="s">
        <v>382</v>
      </c>
      <c r="G806" s="8" t="s">
        <v>97</v>
      </c>
      <c r="H806" s="8" t="s">
        <v>190</v>
      </c>
      <c r="I806" s="8" t="s">
        <v>100</v>
      </c>
      <c r="J806" s="9" t="s">
        <v>380</v>
      </c>
      <c r="K806" s="8" t="str">
        <f>VLOOKUP(LEFT(H806,7),'קטלוג תרחישים'!$A:$M,12,FALSE())</f>
        <v>ג'</v>
      </c>
      <c r="L806" s="8" t="str">
        <f>IF(J806="כן",K806,VLOOKUP(LEFT(H806,7),'קטלוג תרחישים'!$A:$M,13,FALSE()))</f>
        <v>ג'</v>
      </c>
      <c r="M806" s="13"/>
      <c r="N806" s="50" t="s">
        <v>365</v>
      </c>
      <c r="O806" s="13" t="str">
        <f t="array" ref="O806">_xlfn.IFS(N806="A","א'", N806="B", "ב'", N806= "C", "ג'")</f>
        <v>ב'</v>
      </c>
      <c r="P806" s="13">
        <f>IF(Table_2[[#This Row],[Correct_Answer]]=Table_2[[#This Row],[System_Recommendation]],1,0)</f>
        <v>1</v>
      </c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 spans="1:26" ht="15.75" hidden="1" customHeight="1">
      <c r="A807" s="8" t="s">
        <v>209</v>
      </c>
      <c r="B807" s="8">
        <v>14</v>
      </c>
      <c r="C807" s="9" t="s">
        <v>381</v>
      </c>
      <c r="D807" s="8">
        <v>2</v>
      </c>
      <c r="E807" s="9" t="s">
        <v>105</v>
      </c>
      <c r="F807" s="8" t="s">
        <v>382</v>
      </c>
      <c r="G807" s="8" t="s">
        <v>97</v>
      </c>
      <c r="H807" s="8" t="s">
        <v>193</v>
      </c>
      <c r="I807" s="8" t="s">
        <v>91</v>
      </c>
      <c r="J807" s="9" t="s">
        <v>380</v>
      </c>
      <c r="K807" s="8" t="str">
        <f>VLOOKUP(LEFT(H807,7),'קטלוג תרחישים'!$A:$M,12,FALSE())</f>
        <v>ב'</v>
      </c>
      <c r="L807" s="8" t="str">
        <f>IF(J807="כן",K807,VLOOKUP(LEFT(H807,7),'קטלוג תרחישים'!$A:$M,13,FALSE()))</f>
        <v>ב'</v>
      </c>
      <c r="M807" s="13"/>
      <c r="N807" s="51" t="s">
        <v>366</v>
      </c>
      <c r="O807" s="13" t="str">
        <f t="array" ref="O807">_xlfn.IFS(N807="A","א'", N807="B", "ב'", N807= "C", "ג'")</f>
        <v>ג'</v>
      </c>
      <c r="P807" s="13">
        <f>IF(Table_2[[#This Row],[Correct_Answer]]=Table_2[[#This Row],[System_Recommendation]],1,0)</f>
        <v>1</v>
      </c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 spans="1:26" ht="15.75" hidden="1" customHeight="1">
      <c r="A808" s="8" t="s">
        <v>209</v>
      </c>
      <c r="B808" s="8">
        <v>15</v>
      </c>
      <c r="C808" s="9" t="s">
        <v>381</v>
      </c>
      <c r="D808" s="8">
        <v>2</v>
      </c>
      <c r="E808" s="9" t="s">
        <v>105</v>
      </c>
      <c r="F808" s="8" t="s">
        <v>382</v>
      </c>
      <c r="G808" s="8" t="s">
        <v>97</v>
      </c>
      <c r="H808" s="8" t="s">
        <v>192</v>
      </c>
      <c r="I808" s="8" t="s">
        <v>100</v>
      </c>
      <c r="J808" s="9" t="s">
        <v>380</v>
      </c>
      <c r="K808" s="8" t="str">
        <f>VLOOKUP(LEFT(H808,7),'קטלוג תרחישים'!$A:$M,12,FALSE())</f>
        <v>א'</v>
      </c>
      <c r="L808" s="8" t="str">
        <f>IF(J808="כן",K808,VLOOKUP(LEFT(H808,7),'קטלוג תרחישים'!$A:$M,13,FALSE()))</f>
        <v>א'</v>
      </c>
      <c r="M808" s="13"/>
      <c r="N808" s="50" t="s">
        <v>360</v>
      </c>
      <c r="O808" s="13" t="str">
        <f t="array" ref="O808">_xlfn.IFS(N808="A","א'", N808="B", "ב'", N808= "C", "ג'")</f>
        <v>א'</v>
      </c>
      <c r="P808" s="13">
        <f>IF(Table_2[[#This Row],[Correct_Answer]]=Table_2[[#This Row],[System_Recommendation]],1,0)</f>
        <v>1</v>
      </c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 spans="1:26" ht="15.75" hidden="1" customHeight="1">
      <c r="A809" s="8" t="s">
        <v>209</v>
      </c>
      <c r="B809" s="8">
        <v>16</v>
      </c>
      <c r="C809" s="9" t="s">
        <v>381</v>
      </c>
      <c r="D809" s="8">
        <v>2</v>
      </c>
      <c r="E809" s="9" t="s">
        <v>105</v>
      </c>
      <c r="F809" s="8" t="s">
        <v>382</v>
      </c>
      <c r="G809" s="8" t="s">
        <v>97</v>
      </c>
      <c r="H809" s="8" t="s">
        <v>191</v>
      </c>
      <c r="I809" s="8" t="s">
        <v>91</v>
      </c>
      <c r="J809" s="9" t="s">
        <v>380</v>
      </c>
      <c r="K809" s="8" t="str">
        <f>VLOOKUP(LEFT(H809,7),'קטלוג תרחישים'!$A:$M,12,FALSE())</f>
        <v>ג'</v>
      </c>
      <c r="L809" s="8" t="str">
        <f>IF(J809="כן",K809,VLOOKUP(LEFT(H809,7),'קטלוג תרחישים'!$A:$M,13,FALSE()))</f>
        <v>ג'</v>
      </c>
      <c r="M809" s="13"/>
      <c r="N809" s="51" t="s">
        <v>366</v>
      </c>
      <c r="O809" s="13" t="str">
        <f t="array" ref="O809">_xlfn.IFS(N809="A","א'", N809="B", "ב'", N809= "C", "ג'")</f>
        <v>ג'</v>
      </c>
      <c r="P809" s="13">
        <f>IF(Table_2[[#This Row],[Correct_Answer]]=Table_2[[#This Row],[System_Recommendation]],1,0)</f>
        <v>1</v>
      </c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 spans="1:26" ht="15.75" hidden="1" customHeight="1">
      <c r="A810" s="8" t="s">
        <v>209</v>
      </c>
      <c r="B810" s="8">
        <v>17</v>
      </c>
      <c r="C810" s="9" t="s">
        <v>381</v>
      </c>
      <c r="D810" s="8">
        <v>3</v>
      </c>
      <c r="E810" s="9" t="s">
        <v>111</v>
      </c>
      <c r="F810" s="8" t="s">
        <v>382</v>
      </c>
      <c r="G810" s="8" t="s">
        <v>97</v>
      </c>
      <c r="H810" s="8" t="s">
        <v>181</v>
      </c>
      <c r="I810" s="8" t="s">
        <v>100</v>
      </c>
      <c r="J810" s="9" t="s">
        <v>380</v>
      </c>
      <c r="K810" s="8" t="str">
        <f>VLOOKUP(LEFT(H810,7),'קטלוג תרחישים'!$A:$M,12,FALSE())</f>
        <v>ג'</v>
      </c>
      <c r="L810" s="8" t="str">
        <f>IF(J810="כן",K810,VLOOKUP(LEFT(H810,7),'קטלוג תרחישים'!$A:$M,13,FALSE()))</f>
        <v>ג'</v>
      </c>
      <c r="M810" s="13"/>
      <c r="N810" s="50" t="s">
        <v>366</v>
      </c>
      <c r="O810" s="13" t="str">
        <f t="array" ref="O810">_xlfn.IFS(N810="A","א'", N810="B", "ב'", N810= "C", "ג'")</f>
        <v>ג'</v>
      </c>
      <c r="P810" s="13">
        <f>IF(Table_2[[#This Row],[Correct_Answer]]=Table_2[[#This Row],[System_Recommendation]],1,0)</f>
        <v>1</v>
      </c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 spans="1:26" ht="15.75" hidden="1" customHeight="1">
      <c r="A811" s="8" t="s">
        <v>209</v>
      </c>
      <c r="B811" s="8">
        <v>18</v>
      </c>
      <c r="C811" s="9" t="s">
        <v>381</v>
      </c>
      <c r="D811" s="8">
        <v>3</v>
      </c>
      <c r="E811" s="9" t="s">
        <v>111</v>
      </c>
      <c r="F811" s="8" t="s">
        <v>382</v>
      </c>
      <c r="G811" s="8" t="s">
        <v>97</v>
      </c>
      <c r="H811" s="8" t="s">
        <v>180</v>
      </c>
      <c r="I811" s="8" t="s">
        <v>91</v>
      </c>
      <c r="J811" s="9" t="s">
        <v>380</v>
      </c>
      <c r="K811" s="8" t="str">
        <f>VLOOKUP(LEFT(H811,7),'קטלוג תרחישים'!$A:$M,12,FALSE())</f>
        <v>א'</v>
      </c>
      <c r="L811" s="8" t="str">
        <f>IF(J811="כן",K811,VLOOKUP(LEFT(H811,7),'קטלוג תרחישים'!$A:$M,13,FALSE()))</f>
        <v>א'</v>
      </c>
      <c r="M811" s="13"/>
      <c r="N811" s="51" t="s">
        <v>365</v>
      </c>
      <c r="O811" s="13" t="str">
        <f t="array" ref="O811">_xlfn.IFS(N811="A","א'", N811="B", "ב'", N811= "C", "ג'")</f>
        <v>ב'</v>
      </c>
      <c r="P811" s="13">
        <f>IF(Table_2[[#This Row],[Correct_Answer]]=Table_2[[#This Row],[System_Recommendation]],1,0)</f>
        <v>1</v>
      </c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 spans="1:26" ht="15.75" hidden="1" customHeight="1">
      <c r="A812" s="8" t="s">
        <v>209</v>
      </c>
      <c r="B812" s="8">
        <v>19</v>
      </c>
      <c r="C812" s="9" t="s">
        <v>381</v>
      </c>
      <c r="D812" s="8">
        <v>3</v>
      </c>
      <c r="E812" s="9" t="s">
        <v>111</v>
      </c>
      <c r="F812" s="8" t="s">
        <v>382</v>
      </c>
      <c r="G812" s="8" t="s">
        <v>97</v>
      </c>
      <c r="H812" s="8" t="s">
        <v>183</v>
      </c>
      <c r="I812" s="8" t="s">
        <v>100</v>
      </c>
      <c r="J812" s="9" t="s">
        <v>383</v>
      </c>
      <c r="K812" s="8" t="str">
        <f>VLOOKUP(LEFT(H812,7),'קטלוג תרחישים'!$A:$M,12,FALSE())</f>
        <v>ג'</v>
      </c>
      <c r="L812" s="8" t="str">
        <f>IF(J812="כן",K812,VLOOKUP(LEFT(H812,7),'קטלוג תרחישים'!$A:$M,13,FALSE()))</f>
        <v>ב'</v>
      </c>
      <c r="M812" s="13"/>
      <c r="N812" s="50" t="s">
        <v>360</v>
      </c>
      <c r="O812" s="13" t="str">
        <f t="array" ref="O812">_xlfn.IFS(N812="A","א'", N812="B", "ב'", N812= "C", "ג'")</f>
        <v>א'</v>
      </c>
      <c r="P812" s="13">
        <f>IF(Table_2[[#This Row],[Correct_Answer]]=Table_2[[#This Row],[System_Recommendation]],1,0)</f>
        <v>0</v>
      </c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 spans="1:26" ht="15.75" hidden="1" customHeight="1">
      <c r="A813" s="8" t="s">
        <v>209</v>
      </c>
      <c r="B813" s="8">
        <v>20</v>
      </c>
      <c r="C813" s="9" t="s">
        <v>381</v>
      </c>
      <c r="D813" s="8">
        <v>3</v>
      </c>
      <c r="E813" s="9" t="s">
        <v>111</v>
      </c>
      <c r="F813" s="8" t="s">
        <v>382</v>
      </c>
      <c r="G813" s="8" t="s">
        <v>97</v>
      </c>
      <c r="H813" s="8" t="s">
        <v>182</v>
      </c>
      <c r="I813" s="8" t="s">
        <v>91</v>
      </c>
      <c r="J813" s="9" t="s">
        <v>380</v>
      </c>
      <c r="K813" s="8" t="str">
        <f>VLOOKUP(LEFT(H813,7),'קטלוג תרחישים'!$A:$M,12,FALSE())</f>
        <v>ב'</v>
      </c>
      <c r="L813" s="8" t="str">
        <f>IF(J813="כן",K813,VLOOKUP(LEFT(H813,7),'קטלוג תרחישים'!$A:$M,13,FALSE()))</f>
        <v>ב'</v>
      </c>
      <c r="M813" s="13"/>
      <c r="N813" s="51" t="s">
        <v>366</v>
      </c>
      <c r="O813" s="13" t="str">
        <f t="array" ref="O813">_xlfn.IFS(N813="A","א'", N813="B", "ב'", N813= "C", "ג'")</f>
        <v>ג'</v>
      </c>
      <c r="P813" s="13">
        <f>IF(Table_2[[#This Row],[Correct_Answer]]=Table_2[[#This Row],[System_Recommendation]],1,0)</f>
        <v>1</v>
      </c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 spans="1:26" ht="15.75" hidden="1" customHeight="1">
      <c r="A814" s="8" t="s">
        <v>209</v>
      </c>
      <c r="B814" s="8">
        <v>21</v>
      </c>
      <c r="C814" s="9" t="s">
        <v>381</v>
      </c>
      <c r="D814" s="8">
        <v>3</v>
      </c>
      <c r="E814" s="9" t="s">
        <v>111</v>
      </c>
      <c r="F814" s="8" t="s">
        <v>382</v>
      </c>
      <c r="G814" s="8" t="s">
        <v>97</v>
      </c>
      <c r="H814" s="8" t="s">
        <v>179</v>
      </c>
      <c r="I814" s="8" t="s">
        <v>100</v>
      </c>
      <c r="J814" s="9" t="s">
        <v>380</v>
      </c>
      <c r="K814" s="8" t="str">
        <f>VLOOKUP(LEFT(H814,7),'קטלוג תרחישים'!$A:$M,12,FALSE())</f>
        <v>ב'</v>
      </c>
      <c r="L814" s="8" t="str">
        <f>IF(J814="כן",K814,VLOOKUP(LEFT(H814,7),'קטלוג תרחישים'!$A:$M,13,FALSE()))</f>
        <v>ב'</v>
      </c>
      <c r="M814" s="13"/>
      <c r="N814" s="50" t="s">
        <v>365</v>
      </c>
      <c r="O814" s="13" t="str">
        <f t="array" ref="O814">_xlfn.IFS(N814="A","א'", N814="B", "ב'", N814= "C", "ג'")</f>
        <v>ב'</v>
      </c>
      <c r="P814" s="13">
        <f>IF(Table_2[[#This Row],[Correct_Answer]]=Table_2[[#This Row],[System_Recommendation]],1,0)</f>
        <v>1</v>
      </c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 spans="1:26" ht="15.75" hidden="1" customHeight="1">
      <c r="A815" s="8" t="s">
        <v>209</v>
      </c>
      <c r="B815" s="8">
        <v>22</v>
      </c>
      <c r="C815" s="9" t="s">
        <v>381</v>
      </c>
      <c r="D815" s="8">
        <v>1</v>
      </c>
      <c r="E815" s="9" t="s">
        <v>105</v>
      </c>
      <c r="F815" s="8" t="s">
        <v>384</v>
      </c>
      <c r="G815" s="8" t="s">
        <v>117</v>
      </c>
      <c r="H815" s="8" t="s">
        <v>200</v>
      </c>
      <c r="I815" s="8" t="s">
        <v>91</v>
      </c>
      <c r="J815" s="9" t="s">
        <v>383</v>
      </c>
      <c r="K815" s="8" t="str">
        <f>VLOOKUP(LEFT(H815,7),'קטלוג תרחישים'!$A:$M,12,FALSE())</f>
        <v>ג'</v>
      </c>
      <c r="L815" s="8" t="str">
        <f>IF(J815="כן",K815,VLOOKUP(LEFT(H815,7),'קטלוג תרחישים'!$A:$M,13,FALSE()))</f>
        <v>א'</v>
      </c>
      <c r="M815" s="13"/>
      <c r="N815" s="51" t="s">
        <v>360</v>
      </c>
      <c r="O815" s="13" t="str">
        <f t="array" ref="O815">_xlfn.IFS(N815="A","א'", N815="B", "ב'", N815= "C", "ג'")</f>
        <v>א'</v>
      </c>
      <c r="P815" s="13">
        <f>IF(Table_2[[#This Row],[Correct_Answer]]=Table_2[[#This Row],[System_Recommendation]],1,0)</f>
        <v>0</v>
      </c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 spans="1:26" ht="15.75" hidden="1" customHeight="1">
      <c r="A816" s="8" t="s">
        <v>209</v>
      </c>
      <c r="B816" s="8">
        <v>23</v>
      </c>
      <c r="C816" s="9" t="s">
        <v>381</v>
      </c>
      <c r="D816" s="8">
        <v>1</v>
      </c>
      <c r="E816" s="9" t="s">
        <v>105</v>
      </c>
      <c r="F816" s="8" t="s">
        <v>384</v>
      </c>
      <c r="G816" s="8" t="s">
        <v>117</v>
      </c>
      <c r="H816" s="8" t="s">
        <v>201</v>
      </c>
      <c r="I816" s="8" t="s">
        <v>100</v>
      </c>
      <c r="J816" s="9" t="s">
        <v>380</v>
      </c>
      <c r="K816" s="8" t="str">
        <f>VLOOKUP(LEFT(H816,7),'קטלוג תרחישים'!$A:$M,12,FALSE())</f>
        <v>ב'</v>
      </c>
      <c r="L816" s="8" t="str">
        <f>IF(J816="כן",K816,VLOOKUP(LEFT(H816,7),'קטלוג תרחישים'!$A:$M,13,FALSE()))</f>
        <v>ב'</v>
      </c>
      <c r="M816" s="13"/>
      <c r="N816" s="50" t="s">
        <v>360</v>
      </c>
      <c r="O816" s="13" t="str">
        <f t="array" ref="O816">_xlfn.IFS(N816="A","א'", N816="B", "ב'", N816= "C", "ג'")</f>
        <v>א'</v>
      </c>
      <c r="P816" s="13">
        <f>IF(Table_2[[#This Row],[Correct_Answer]]=Table_2[[#This Row],[System_Recommendation]],1,0)</f>
        <v>1</v>
      </c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 spans="1:26" ht="15.75" hidden="1" customHeight="1">
      <c r="A817" s="8" t="s">
        <v>209</v>
      </c>
      <c r="B817" s="8">
        <v>24</v>
      </c>
      <c r="C817" s="9" t="s">
        <v>381</v>
      </c>
      <c r="D817" s="8">
        <v>1</v>
      </c>
      <c r="E817" s="9" t="s">
        <v>105</v>
      </c>
      <c r="F817" s="8" t="s">
        <v>384</v>
      </c>
      <c r="G817" s="8" t="s">
        <v>117</v>
      </c>
      <c r="H817" s="8" t="s">
        <v>198</v>
      </c>
      <c r="I817" s="8" t="s">
        <v>91</v>
      </c>
      <c r="J817" s="9" t="s">
        <v>380</v>
      </c>
      <c r="K817" s="8" t="str">
        <f>VLOOKUP(LEFT(H817,7),'קטלוג תרחישים'!$A:$M,12,FALSE())</f>
        <v>ב'</v>
      </c>
      <c r="L817" s="8" t="str">
        <f>IF(J817="כן",K817,VLOOKUP(LEFT(H817,7),'קטלוג תרחישים'!$A:$M,13,FALSE()))</f>
        <v>ב'</v>
      </c>
      <c r="M817" s="13"/>
      <c r="N817" s="51" t="s">
        <v>360</v>
      </c>
      <c r="O817" s="13" t="str">
        <f t="array" ref="O817">_xlfn.IFS(N817="A","א'", N817="B", "ב'", N817= "C", "ג'")</f>
        <v>א'</v>
      </c>
      <c r="P817" s="13">
        <f>IF(Table_2[[#This Row],[Correct_Answer]]=Table_2[[#This Row],[System_Recommendation]],1,0)</f>
        <v>1</v>
      </c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 spans="1:26" ht="15.75" hidden="1" customHeight="1">
      <c r="A818" s="8" t="s">
        <v>209</v>
      </c>
      <c r="B818" s="8">
        <v>25</v>
      </c>
      <c r="C818" s="9" t="s">
        <v>381</v>
      </c>
      <c r="D818" s="8">
        <v>1</v>
      </c>
      <c r="E818" s="9" t="s">
        <v>105</v>
      </c>
      <c r="F818" s="8" t="s">
        <v>384</v>
      </c>
      <c r="G818" s="8" t="s">
        <v>117</v>
      </c>
      <c r="H818" s="8" t="s">
        <v>199</v>
      </c>
      <c r="I818" s="8" t="s">
        <v>100</v>
      </c>
      <c r="J818" s="9" t="s">
        <v>383</v>
      </c>
      <c r="K818" s="8" t="str">
        <f>VLOOKUP(LEFT(H818,7),'קטלוג תרחישים'!$A:$M,12,FALSE())</f>
        <v>ג'</v>
      </c>
      <c r="L818" s="8" t="str">
        <f>IF(J818="כן",K818,VLOOKUP(LEFT(H818,7),'קטלוג תרחישים'!$A:$M,13,FALSE()))</f>
        <v>ב'</v>
      </c>
      <c r="M818" s="13"/>
      <c r="N818" s="50" t="s">
        <v>365</v>
      </c>
      <c r="O818" s="13" t="str">
        <f t="array" ref="O818">_xlfn.IFS(N818="A","א'", N818="B", "ב'", N818= "C", "ג'")</f>
        <v>ב'</v>
      </c>
      <c r="P818" s="13">
        <f>IF(Table_2[[#This Row],[Correct_Answer]]=Table_2[[#This Row],[System_Recommendation]],1,0)</f>
        <v>0</v>
      </c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 spans="1:26" ht="15.75" hidden="1" customHeight="1">
      <c r="A819" s="8" t="s">
        <v>209</v>
      </c>
      <c r="B819" s="8">
        <v>26</v>
      </c>
      <c r="C819" s="9" t="s">
        <v>381</v>
      </c>
      <c r="D819" s="8">
        <v>2</v>
      </c>
      <c r="E819" s="9" t="s">
        <v>111</v>
      </c>
      <c r="F819" s="8" t="s">
        <v>384</v>
      </c>
      <c r="G819" s="8" t="s">
        <v>117</v>
      </c>
      <c r="H819" s="8" t="s">
        <v>204</v>
      </c>
      <c r="I819" s="8" t="s">
        <v>91</v>
      </c>
      <c r="J819" s="9" t="s">
        <v>380</v>
      </c>
      <c r="K819" s="8" t="str">
        <f>VLOOKUP(LEFT(H819,7),'קטלוג תרחישים'!$A:$M,12,FALSE())</f>
        <v>ב'</v>
      </c>
      <c r="L819" s="8" t="str">
        <f>IF(J819="כן",K819,VLOOKUP(LEFT(H819,7),'קטלוג תרחישים'!$A:$M,13,FALSE()))</f>
        <v>ב'</v>
      </c>
      <c r="M819" s="13"/>
      <c r="N819" s="51" t="s">
        <v>365</v>
      </c>
      <c r="O819" s="13" t="str">
        <f t="array" ref="O819">_xlfn.IFS(N819="A","א'", N819="B", "ב'", N819= "C", "ג'")</f>
        <v>ב'</v>
      </c>
      <c r="P819" s="13">
        <f>IF(Table_2[[#This Row],[Correct_Answer]]=Table_2[[#This Row],[System_Recommendation]],1,0)</f>
        <v>1</v>
      </c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 spans="1:26" ht="15.75" hidden="1" customHeight="1">
      <c r="A820" s="8" t="s">
        <v>209</v>
      </c>
      <c r="B820" s="8">
        <v>27</v>
      </c>
      <c r="C820" s="9" t="s">
        <v>381</v>
      </c>
      <c r="D820" s="8">
        <v>2</v>
      </c>
      <c r="E820" s="9" t="s">
        <v>111</v>
      </c>
      <c r="F820" s="8" t="s">
        <v>384</v>
      </c>
      <c r="G820" s="8" t="s">
        <v>117</v>
      </c>
      <c r="H820" s="8" t="s">
        <v>203</v>
      </c>
      <c r="I820" s="8" t="s">
        <v>100</v>
      </c>
      <c r="J820" s="9" t="s">
        <v>380</v>
      </c>
      <c r="K820" s="8" t="str">
        <f>VLOOKUP(LEFT(H820,7),'קטלוג תרחישים'!$A:$M,12,FALSE())</f>
        <v>א'</v>
      </c>
      <c r="L820" s="8" t="str">
        <f>IF(J820="כן",K820,VLOOKUP(LEFT(H820,7),'קטלוג תרחישים'!$A:$M,13,FALSE()))</f>
        <v>א'</v>
      </c>
      <c r="M820" s="13"/>
      <c r="N820" s="50" t="s">
        <v>366</v>
      </c>
      <c r="O820" s="13" t="str">
        <f t="array" ref="O820">_xlfn.IFS(N820="A","א'", N820="B", "ב'", N820= "C", "ג'")</f>
        <v>ג'</v>
      </c>
      <c r="P820" s="13">
        <f>IF(Table_2[[#This Row],[Correct_Answer]]=Table_2[[#This Row],[System_Recommendation]],1,0)</f>
        <v>1</v>
      </c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 spans="1:26" ht="15.75" hidden="1" customHeight="1">
      <c r="A821" s="8" t="s">
        <v>209</v>
      </c>
      <c r="B821" s="8">
        <v>28</v>
      </c>
      <c r="C821" s="9" t="s">
        <v>381</v>
      </c>
      <c r="D821" s="8">
        <v>2</v>
      </c>
      <c r="E821" s="9" t="s">
        <v>111</v>
      </c>
      <c r="F821" s="8" t="s">
        <v>384</v>
      </c>
      <c r="G821" s="8" t="s">
        <v>117</v>
      </c>
      <c r="H821" s="8" t="s">
        <v>202</v>
      </c>
      <c r="I821" s="8" t="s">
        <v>91</v>
      </c>
      <c r="J821" s="9" t="s">
        <v>383</v>
      </c>
      <c r="K821" s="8" t="str">
        <f>VLOOKUP(LEFT(H821,7),'קטלוג תרחישים'!$A:$M,12,FALSE())</f>
        <v>ג'</v>
      </c>
      <c r="L821" s="8" t="str">
        <f>IF(J821="כן",K821,VLOOKUP(LEFT(H821,7),'קטלוג תרחישים'!$A:$M,13,FALSE()))</f>
        <v>א'</v>
      </c>
      <c r="M821" s="13"/>
      <c r="N821" s="51" t="s">
        <v>366</v>
      </c>
      <c r="O821" s="13" t="str">
        <f t="array" ref="O821">_xlfn.IFS(N821="A","א'", N821="B", "ב'", N821= "C", "ג'")</f>
        <v>ג'</v>
      </c>
      <c r="P821" s="13">
        <f>IF(Table_2[[#This Row],[Correct_Answer]]=Table_2[[#This Row],[System_Recommendation]],1,0)</f>
        <v>0</v>
      </c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 spans="1:26" ht="15.75" hidden="1" customHeight="1">
      <c r="A822" s="8" t="s">
        <v>209</v>
      </c>
      <c r="B822" s="8">
        <v>29</v>
      </c>
      <c r="C822" s="9" t="s">
        <v>381</v>
      </c>
      <c r="D822" s="8">
        <v>2</v>
      </c>
      <c r="E822" s="9" t="s">
        <v>111</v>
      </c>
      <c r="F822" s="8" t="s">
        <v>384</v>
      </c>
      <c r="G822" s="8" t="s">
        <v>117</v>
      </c>
      <c r="H822" s="8" t="s">
        <v>205</v>
      </c>
      <c r="I822" s="8" t="s">
        <v>100</v>
      </c>
      <c r="J822" s="9" t="s">
        <v>383</v>
      </c>
      <c r="K822" s="8" t="str">
        <f>VLOOKUP(LEFT(H822,7),'קטלוג תרחישים'!$A:$M,12,FALSE())</f>
        <v>א'</v>
      </c>
      <c r="L822" s="8" t="str">
        <f>IF(J822="כן",K822,VLOOKUP(LEFT(H822,7),'קטלוג תרחישים'!$A:$M,13,FALSE()))</f>
        <v>ג'</v>
      </c>
      <c r="M822" s="13"/>
      <c r="N822" s="50" t="s">
        <v>366</v>
      </c>
      <c r="O822" s="13" t="str">
        <f t="array" ref="O822">_xlfn.IFS(N822="A","א'", N822="B", "ב'", N822= "C", "ג'")</f>
        <v>ג'</v>
      </c>
      <c r="P822" s="13">
        <f>IF(Table_2[[#This Row],[Correct_Answer]]=Table_2[[#This Row],[System_Recommendation]],1,0)</f>
        <v>0</v>
      </c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 spans="1:26" ht="15.75" hidden="1" customHeight="1">
      <c r="A823" s="8" t="s">
        <v>209</v>
      </c>
      <c r="B823" s="8">
        <v>30</v>
      </c>
      <c r="C823" s="9" t="s">
        <v>381</v>
      </c>
      <c r="D823" s="8">
        <v>3</v>
      </c>
      <c r="E823" s="9" t="s">
        <v>98</v>
      </c>
      <c r="F823" s="8" t="s">
        <v>384</v>
      </c>
      <c r="G823" s="8" t="s">
        <v>117</v>
      </c>
      <c r="H823" s="8" t="s">
        <v>194</v>
      </c>
      <c r="I823" s="8" t="s">
        <v>91</v>
      </c>
      <c r="J823" s="9" t="s">
        <v>380</v>
      </c>
      <c r="K823" s="8" t="str">
        <f>VLOOKUP(LEFT(H823,7),'קטלוג תרחישים'!$A:$M,12,FALSE())</f>
        <v>ג'</v>
      </c>
      <c r="L823" s="8" t="str">
        <f>IF(J823="כן",K823,VLOOKUP(LEFT(H823,7),'קטלוג תרחישים'!$A:$M,13,FALSE()))</f>
        <v>ג'</v>
      </c>
      <c r="M823" s="13"/>
      <c r="N823" s="51" t="s">
        <v>365</v>
      </c>
      <c r="O823" s="13" t="str">
        <f t="array" ref="O823">_xlfn.IFS(N823="A","א'", N823="B", "ב'", N823= "C", "ג'")</f>
        <v>ב'</v>
      </c>
      <c r="P823" s="13">
        <f>IF(Table_2[[#This Row],[Correct_Answer]]=Table_2[[#This Row],[System_Recommendation]],1,0)</f>
        <v>1</v>
      </c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 spans="1:26" ht="15.75" hidden="1" customHeight="1">
      <c r="A824" s="8" t="s">
        <v>209</v>
      </c>
      <c r="B824" s="8">
        <v>31</v>
      </c>
      <c r="C824" s="9" t="s">
        <v>381</v>
      </c>
      <c r="D824" s="8">
        <v>3</v>
      </c>
      <c r="E824" s="9" t="s">
        <v>98</v>
      </c>
      <c r="F824" s="8" t="s">
        <v>384</v>
      </c>
      <c r="G824" s="8" t="s">
        <v>117</v>
      </c>
      <c r="H824" s="8" t="s">
        <v>195</v>
      </c>
      <c r="I824" s="8" t="s">
        <v>100</v>
      </c>
      <c r="J824" s="9" t="s">
        <v>380</v>
      </c>
      <c r="K824" s="8" t="str">
        <f>VLOOKUP(LEFT(H824,7),'קטלוג תרחישים'!$A:$M,12,FALSE())</f>
        <v>ג'</v>
      </c>
      <c r="L824" s="8" t="str">
        <f>IF(J824="כן",K824,VLOOKUP(LEFT(H824,7),'קטלוג תרחישים'!$A:$M,13,FALSE()))</f>
        <v>ג'</v>
      </c>
      <c r="M824" s="13"/>
      <c r="N824" s="50" t="s">
        <v>366</v>
      </c>
      <c r="O824" s="13" t="str">
        <f t="array" ref="O824">_xlfn.IFS(N824="A","א'", N824="B", "ב'", N824= "C", "ג'")</f>
        <v>ג'</v>
      </c>
      <c r="P824" s="13">
        <f>IF(Table_2[[#This Row],[Correct_Answer]]=Table_2[[#This Row],[System_Recommendation]],1,0)</f>
        <v>1</v>
      </c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 spans="1:26" ht="15.75" hidden="1" customHeight="1">
      <c r="A825" s="8" t="s">
        <v>209</v>
      </c>
      <c r="B825" s="8">
        <v>32</v>
      </c>
      <c r="C825" s="9" t="s">
        <v>381</v>
      </c>
      <c r="D825" s="8">
        <v>3</v>
      </c>
      <c r="E825" s="9" t="s">
        <v>98</v>
      </c>
      <c r="F825" s="8" t="s">
        <v>384</v>
      </c>
      <c r="G825" s="8" t="s">
        <v>117</v>
      </c>
      <c r="H825" s="8" t="s">
        <v>196</v>
      </c>
      <c r="I825" s="8" t="s">
        <v>91</v>
      </c>
      <c r="J825" s="9" t="s">
        <v>383</v>
      </c>
      <c r="K825" s="8" t="str">
        <f>VLOOKUP(LEFT(H825,7),'קטלוג תרחישים'!$A:$M,12,FALSE())</f>
        <v>ג'</v>
      </c>
      <c r="L825" s="8" t="str">
        <f>IF(J825="כן",K825,VLOOKUP(LEFT(H825,7),'קטלוג תרחישים'!$A:$M,13,FALSE()))</f>
        <v>א'</v>
      </c>
      <c r="M825" s="13"/>
      <c r="N825" s="51" t="s">
        <v>360</v>
      </c>
      <c r="O825" s="13" t="str">
        <f t="array" ref="O825">_xlfn.IFS(N825="A","א'", N825="B", "ב'", N825= "C", "ג'")</f>
        <v>א'</v>
      </c>
      <c r="P825" s="13">
        <f>IF(Table_2[[#This Row],[Correct_Answer]]=Table_2[[#This Row],[System_Recommendation]],1,0)</f>
        <v>0</v>
      </c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 spans="1:26" ht="15.75" hidden="1" customHeight="1">
      <c r="A826" s="8" t="s">
        <v>209</v>
      </c>
      <c r="B826" s="8">
        <v>33</v>
      </c>
      <c r="C826" s="9" t="s">
        <v>381</v>
      </c>
      <c r="D826" s="8">
        <v>3</v>
      </c>
      <c r="E826" s="9" t="s">
        <v>98</v>
      </c>
      <c r="F826" s="8" t="s">
        <v>384</v>
      </c>
      <c r="G826" s="8" t="s">
        <v>117</v>
      </c>
      <c r="H826" s="8" t="s">
        <v>197</v>
      </c>
      <c r="I826" s="8" t="s">
        <v>100</v>
      </c>
      <c r="J826" s="9" t="s">
        <v>383</v>
      </c>
      <c r="K826" s="8" t="str">
        <f>VLOOKUP(LEFT(H826,7),'קטלוג תרחישים'!$A:$M,12,FALSE())</f>
        <v>א'</v>
      </c>
      <c r="L826" s="8" t="str">
        <f>IF(J826="כן",K826,VLOOKUP(LEFT(H826,7),'קטלוג תרחישים'!$A:$M,13,FALSE()))</f>
        <v>ב'</v>
      </c>
      <c r="M826" s="13"/>
      <c r="N826" s="50" t="s">
        <v>360</v>
      </c>
      <c r="O826" s="13" t="str">
        <f t="array" ref="O826">_xlfn.IFS(N826="A","א'", N826="B", "ב'", N826= "C", "ג'")</f>
        <v>א'</v>
      </c>
      <c r="P826" s="13">
        <f>IF(Table_2[[#This Row],[Correct_Answer]]=Table_2[[#This Row],[System_Recommendation]],1,0)</f>
        <v>0</v>
      </c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 spans="1:26" ht="15.75" hidden="1" customHeight="1">
      <c r="A827" s="8" t="s">
        <v>210</v>
      </c>
      <c r="B827" s="8">
        <v>1</v>
      </c>
      <c r="C827" s="9" t="s">
        <v>379</v>
      </c>
      <c r="D827" s="8"/>
      <c r="E827" s="9" t="s">
        <v>98</v>
      </c>
      <c r="F827" s="8"/>
      <c r="G827" s="8"/>
      <c r="H827" s="11" t="s">
        <v>90</v>
      </c>
      <c r="I827" s="8" t="s">
        <v>91</v>
      </c>
      <c r="J827" s="9" t="s">
        <v>380</v>
      </c>
      <c r="K827" s="8" t="str">
        <f>VLOOKUP(LEFT(H827,7),'קטלוג תרחישים'!$A:$M,12,FALSE())</f>
        <v>א'</v>
      </c>
      <c r="L827" s="8" t="str">
        <f>IF(J827="כן",K827,VLOOKUP(LEFT(H827,7),'קטלוג תרחישים'!$A:$M,13,FALSE()))</f>
        <v>א'</v>
      </c>
      <c r="M827" s="13"/>
      <c r="N827" s="51" t="s">
        <v>366</v>
      </c>
      <c r="O827" s="13" t="str">
        <f t="array" ref="O827">_xlfn.IFS(N827="A","א'", N827="B", "ב'", N827= "C", "ג'")</f>
        <v>ג'</v>
      </c>
      <c r="P827" s="13">
        <f>IF(Table_2[[#This Row],[Correct_Answer]]=Table_2[[#This Row],[System_Recommendation]],1,0)</f>
        <v>1</v>
      </c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 spans="1:26" ht="15.75" hidden="1" customHeight="1">
      <c r="A828" s="8" t="s">
        <v>210</v>
      </c>
      <c r="B828" s="8">
        <v>2</v>
      </c>
      <c r="C828" s="9" t="s">
        <v>379</v>
      </c>
      <c r="D828" s="8"/>
      <c r="E828" s="9" t="s">
        <v>98</v>
      </c>
      <c r="F828" s="8"/>
      <c r="G828" s="8"/>
      <c r="H828" s="11" t="s">
        <v>92</v>
      </c>
      <c r="I828" s="8" t="s">
        <v>91</v>
      </c>
      <c r="J828" s="9" t="s">
        <v>380</v>
      </c>
      <c r="K828" s="8" t="str">
        <f>VLOOKUP(LEFT(H828,7),'קטלוג תרחישים'!$A:$M,12,FALSE())</f>
        <v>א'</v>
      </c>
      <c r="L828" s="8" t="str">
        <f>IF(J828="כן",K828,VLOOKUP(LEFT(H828,7),'קטלוג תרחישים'!$A:$M,13,FALSE()))</f>
        <v>א'</v>
      </c>
      <c r="M828" s="13"/>
      <c r="N828" s="50" t="s">
        <v>366</v>
      </c>
      <c r="O828" s="13" t="str">
        <f t="array" ref="O828">_xlfn.IFS(N828="A","א'", N828="B", "ב'", N828= "C", "ג'")</f>
        <v>ג'</v>
      </c>
      <c r="P828" s="13">
        <f>IF(Table_2[[#This Row],[Correct_Answer]]=Table_2[[#This Row],[System_Recommendation]],1,0)</f>
        <v>1</v>
      </c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 spans="1:26" ht="15.75" hidden="1" customHeight="1">
      <c r="A829" s="8" t="s">
        <v>210</v>
      </c>
      <c r="B829" s="8">
        <v>3</v>
      </c>
      <c r="C829" s="9" t="s">
        <v>379</v>
      </c>
      <c r="D829" s="8"/>
      <c r="E829" s="9" t="s">
        <v>105</v>
      </c>
      <c r="F829" s="8"/>
      <c r="G829" s="8"/>
      <c r="H829" s="11" t="s">
        <v>93</v>
      </c>
      <c r="I829" s="8" t="s">
        <v>91</v>
      </c>
      <c r="J829" s="9" t="s">
        <v>380</v>
      </c>
      <c r="K829" s="8" t="str">
        <f>VLOOKUP(LEFT(H829,7),'קטלוג תרחישים'!$A:$M,12,FALSE())</f>
        <v>א'</v>
      </c>
      <c r="L829" s="8" t="str">
        <f>IF(J829="כן",K829,VLOOKUP(LEFT(H829,7),'קטלוג תרחישים'!$A:$M,13,FALSE()))</f>
        <v>א'</v>
      </c>
      <c r="M829" s="13"/>
      <c r="N829" s="51" t="s">
        <v>366</v>
      </c>
      <c r="O829" s="13" t="str">
        <f t="array" ref="O829">_xlfn.IFS(N829="A","א'", N829="B", "ב'", N829= "C", "ג'")</f>
        <v>ג'</v>
      </c>
      <c r="P829" s="13">
        <f>IF(Table_2[[#This Row],[Correct_Answer]]=Table_2[[#This Row],[System_Recommendation]],1,0)</f>
        <v>1</v>
      </c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 spans="1:26" ht="15.75" hidden="1" customHeight="1">
      <c r="A830" s="8" t="s">
        <v>210</v>
      </c>
      <c r="B830" s="8">
        <v>4</v>
      </c>
      <c r="C830" s="9" t="s">
        <v>379</v>
      </c>
      <c r="D830" s="8"/>
      <c r="E830" s="9" t="s">
        <v>105</v>
      </c>
      <c r="F830" s="8"/>
      <c r="G830" s="8"/>
      <c r="H830" s="11" t="s">
        <v>94</v>
      </c>
      <c r="I830" s="8" t="s">
        <v>91</v>
      </c>
      <c r="J830" s="9" t="s">
        <v>380</v>
      </c>
      <c r="K830" s="8" t="str">
        <f>VLOOKUP(LEFT(H830,7),'קטלוג תרחישים'!$A:$M,12,FALSE())</f>
        <v>א'</v>
      </c>
      <c r="L830" s="8" t="str">
        <f>IF(J830="כן",K830,VLOOKUP(LEFT(H830,7),'קטלוג תרחישים'!$A:$M,13,FALSE()))</f>
        <v>א'</v>
      </c>
      <c r="M830" s="13"/>
      <c r="N830" s="50" t="s">
        <v>365</v>
      </c>
      <c r="O830" s="13" t="str">
        <f t="array" ref="O830">_xlfn.IFS(N830="A","א'", N830="B", "ב'", N830= "C", "ג'")</f>
        <v>ב'</v>
      </c>
      <c r="P830" s="13">
        <f>IF(Table_2[[#This Row],[Correct_Answer]]=Table_2[[#This Row],[System_Recommendation]],1,0)</f>
        <v>1</v>
      </c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 spans="1:26" ht="15.75" hidden="1" customHeight="1">
      <c r="A831" s="8" t="s">
        <v>210</v>
      </c>
      <c r="B831" s="8">
        <v>5</v>
      </c>
      <c r="C831" s="9" t="s">
        <v>379</v>
      </c>
      <c r="D831" s="8"/>
      <c r="E831" s="9" t="s">
        <v>111</v>
      </c>
      <c r="F831" s="8"/>
      <c r="G831" s="8"/>
      <c r="H831" s="11" t="s">
        <v>95</v>
      </c>
      <c r="I831" s="8" t="s">
        <v>91</v>
      </c>
      <c r="J831" s="9" t="s">
        <v>380</v>
      </c>
      <c r="K831" s="8" t="str">
        <f>VLOOKUP(LEFT(H831,7),'קטלוג תרחישים'!$A:$M,12,FALSE())</f>
        <v>ב'</v>
      </c>
      <c r="L831" s="8" t="str">
        <f>IF(J831="כן",K831,VLOOKUP(LEFT(H831,7),'קטלוג תרחישים'!$A:$M,13,FALSE()))</f>
        <v>ב'</v>
      </c>
      <c r="M831" s="13"/>
      <c r="N831" s="51" t="s">
        <v>360</v>
      </c>
      <c r="O831" s="13" t="str">
        <f t="array" ref="O831">_xlfn.IFS(N831="A","א'", N831="B", "ב'", N831= "C", "ג'")</f>
        <v>א'</v>
      </c>
      <c r="P831" s="13">
        <f>IF(Table_2[[#This Row],[Correct_Answer]]=Table_2[[#This Row],[System_Recommendation]],1,0)</f>
        <v>1</v>
      </c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 spans="1:26" ht="15.75" customHeight="1">
      <c r="A832" s="8" t="s">
        <v>210</v>
      </c>
      <c r="B832" s="8">
        <v>6</v>
      </c>
      <c r="C832" s="9" t="s">
        <v>379</v>
      </c>
      <c r="D832" s="8"/>
      <c r="E832" s="9" t="s">
        <v>111</v>
      </c>
      <c r="F832" s="8"/>
      <c r="G832" s="8"/>
      <c r="H832" s="11" t="s">
        <v>96</v>
      </c>
      <c r="I832" s="8" t="s">
        <v>91</v>
      </c>
      <c r="J832" s="9" t="s">
        <v>380</v>
      </c>
      <c r="K832" s="8" t="str">
        <f>VLOOKUP(LEFT(H832,7),'קטלוג תרחישים'!$A:$M,12,FALSE())</f>
        <v>ב'</v>
      </c>
      <c r="L832" s="8" t="str">
        <f>IF(J832="כן",K832,VLOOKUP(LEFT(H832,7),'קטלוג תרחישים'!$A:$M,13,FALSE()))</f>
        <v>ב'</v>
      </c>
      <c r="M832" s="13"/>
      <c r="N832" s="50" t="s">
        <v>366</v>
      </c>
      <c r="O832" s="13" t="str">
        <f t="array" ref="O832">_xlfn.IFS(N832="A","א'", N832="B", "ב'", N832= "C", "ג'")</f>
        <v>ג'</v>
      </c>
      <c r="P832" s="13">
        <f>IF(Table_2[[#This Row],[Correct_Answer]]=Table_2[[#This Row],[System_Recommendation]],1,0)</f>
        <v>1</v>
      </c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 spans="1:26" ht="15.75" hidden="1" customHeight="1">
      <c r="A833" s="8" t="s">
        <v>210</v>
      </c>
      <c r="B833" s="8">
        <v>7</v>
      </c>
      <c r="C833" s="9" t="s">
        <v>381</v>
      </c>
      <c r="D833" s="8">
        <v>1</v>
      </c>
      <c r="E833" s="9" t="s">
        <v>111</v>
      </c>
      <c r="F833" s="8" t="s">
        <v>382</v>
      </c>
      <c r="G833" s="8" t="s">
        <v>117</v>
      </c>
      <c r="H833" s="8" t="s">
        <v>204</v>
      </c>
      <c r="I833" s="8" t="s">
        <v>91</v>
      </c>
      <c r="J833" s="9" t="s">
        <v>383</v>
      </c>
      <c r="K833" s="8" t="str">
        <f>VLOOKUP(LEFT(H833,7),'קטלוג תרחישים'!$A:$M,12,FALSE())</f>
        <v>ב'</v>
      </c>
      <c r="L833" s="8" t="str">
        <f>IF(J833="כן",K833,VLOOKUP(LEFT(H833,7),'קטלוג תרחישים'!$A:$M,13,FALSE()))</f>
        <v>ג'</v>
      </c>
      <c r="M833" s="13"/>
      <c r="N833" s="51" t="s">
        <v>366</v>
      </c>
      <c r="O833" s="13" t="str">
        <f t="array" ref="O833">_xlfn.IFS(N833="A","א'", N833="B", "ב'", N833= "C", "ג'")</f>
        <v>ג'</v>
      </c>
      <c r="P833" s="13">
        <f>IF(Table_2[[#This Row],[Correct_Answer]]=Table_2[[#This Row],[System_Recommendation]],1,0)</f>
        <v>0</v>
      </c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 spans="1:26" ht="15.75" hidden="1" customHeight="1">
      <c r="A834" s="8" t="s">
        <v>210</v>
      </c>
      <c r="B834" s="8">
        <v>8</v>
      </c>
      <c r="C834" s="9" t="s">
        <v>381</v>
      </c>
      <c r="D834" s="8">
        <v>1</v>
      </c>
      <c r="E834" s="9" t="s">
        <v>111</v>
      </c>
      <c r="F834" s="8" t="s">
        <v>382</v>
      </c>
      <c r="G834" s="8" t="s">
        <v>117</v>
      </c>
      <c r="H834" s="8" t="s">
        <v>205</v>
      </c>
      <c r="I834" s="8" t="s">
        <v>100</v>
      </c>
      <c r="J834" s="9" t="s">
        <v>383</v>
      </c>
      <c r="K834" s="8" t="str">
        <f>VLOOKUP(LEFT(H834,7),'קטלוג תרחישים'!$A:$M,12,FALSE())</f>
        <v>א'</v>
      </c>
      <c r="L834" s="8" t="str">
        <f>IF(J834="כן",K834,VLOOKUP(LEFT(H834,7),'קטלוג תרחישים'!$A:$M,13,FALSE()))</f>
        <v>ג'</v>
      </c>
      <c r="M834" s="13"/>
      <c r="N834" s="50" t="s">
        <v>365</v>
      </c>
      <c r="O834" s="13" t="str">
        <f t="array" ref="O834">_xlfn.IFS(N834="A","א'", N834="B", "ב'", N834= "C", "ג'")</f>
        <v>ב'</v>
      </c>
      <c r="P834" s="13">
        <f>IF(Table_2[[#This Row],[Correct_Answer]]=Table_2[[#This Row],[System_Recommendation]],1,0)</f>
        <v>0</v>
      </c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 spans="1:26" ht="15.75" hidden="1" customHeight="1">
      <c r="A835" s="8" t="s">
        <v>210</v>
      </c>
      <c r="B835" s="8">
        <v>9</v>
      </c>
      <c r="C835" s="9" t="s">
        <v>381</v>
      </c>
      <c r="D835" s="8">
        <v>1</v>
      </c>
      <c r="E835" s="9" t="s">
        <v>111</v>
      </c>
      <c r="F835" s="8" t="s">
        <v>382</v>
      </c>
      <c r="G835" s="8" t="s">
        <v>117</v>
      </c>
      <c r="H835" s="8" t="s">
        <v>202</v>
      </c>
      <c r="I835" s="8" t="s">
        <v>91</v>
      </c>
      <c r="J835" s="9" t="s">
        <v>380</v>
      </c>
      <c r="K835" s="8" t="str">
        <f>VLOOKUP(LEFT(H835,7),'קטלוג תרחישים'!$A:$M,12,FALSE())</f>
        <v>ג'</v>
      </c>
      <c r="L835" s="8" t="str">
        <f>IF(J835="כן",K835,VLOOKUP(LEFT(H835,7),'קטלוג תרחישים'!$A:$M,13,FALSE()))</f>
        <v>ג'</v>
      </c>
      <c r="M835" s="13"/>
      <c r="N835" s="51" t="s">
        <v>365</v>
      </c>
      <c r="O835" s="13" t="str">
        <f t="array" ref="O835">_xlfn.IFS(N835="A","א'", N835="B", "ב'", N835= "C", "ג'")</f>
        <v>ב'</v>
      </c>
      <c r="P835" s="13">
        <f>IF(Table_2[[#This Row],[Correct_Answer]]=Table_2[[#This Row],[System_Recommendation]],1,0)</f>
        <v>1</v>
      </c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 spans="1:26" ht="15.75" hidden="1" customHeight="1">
      <c r="A836" s="8" t="s">
        <v>210</v>
      </c>
      <c r="B836" s="8">
        <v>10</v>
      </c>
      <c r="C836" s="9" t="s">
        <v>381</v>
      </c>
      <c r="D836" s="8">
        <v>1</v>
      </c>
      <c r="E836" s="9" t="s">
        <v>111</v>
      </c>
      <c r="F836" s="8" t="s">
        <v>382</v>
      </c>
      <c r="G836" s="8" t="s">
        <v>117</v>
      </c>
      <c r="H836" s="8" t="s">
        <v>203</v>
      </c>
      <c r="I836" s="8" t="s">
        <v>100</v>
      </c>
      <c r="J836" s="9" t="s">
        <v>380</v>
      </c>
      <c r="K836" s="8" t="str">
        <f>VLOOKUP(LEFT(H836,7),'קטלוג תרחישים'!$A:$M,12,FALSE())</f>
        <v>א'</v>
      </c>
      <c r="L836" s="8" t="str">
        <f>IF(J836="כן",K836,VLOOKUP(LEFT(H836,7),'קטלוג תרחישים'!$A:$M,13,FALSE()))</f>
        <v>א'</v>
      </c>
      <c r="M836" s="13"/>
      <c r="N836" s="50" t="s">
        <v>365</v>
      </c>
      <c r="O836" s="13" t="str">
        <f t="array" ref="O836">_xlfn.IFS(N836="A","א'", N836="B", "ב'", N836= "C", "ג'")</f>
        <v>ב'</v>
      </c>
      <c r="P836" s="13">
        <f>IF(Table_2[[#This Row],[Correct_Answer]]=Table_2[[#This Row],[System_Recommendation]],1,0)</f>
        <v>1</v>
      </c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 spans="1:26" ht="15.75" hidden="1" customHeight="1">
      <c r="A837" s="8" t="s">
        <v>210</v>
      </c>
      <c r="B837" s="8">
        <v>11</v>
      </c>
      <c r="C837" s="9" t="s">
        <v>381</v>
      </c>
      <c r="D837" s="8">
        <v>2</v>
      </c>
      <c r="E837" s="9" t="s">
        <v>98</v>
      </c>
      <c r="F837" s="8" t="s">
        <v>382</v>
      </c>
      <c r="G837" s="8" t="s">
        <v>117</v>
      </c>
      <c r="H837" s="8" t="s">
        <v>196</v>
      </c>
      <c r="I837" s="8" t="s">
        <v>91</v>
      </c>
      <c r="J837" s="9" t="s">
        <v>383</v>
      </c>
      <c r="K837" s="8" t="str">
        <f>VLOOKUP(LEFT(H837,7),'קטלוג תרחישים'!$A:$M,12,FALSE())</f>
        <v>ג'</v>
      </c>
      <c r="L837" s="8" t="str">
        <f>IF(J837="כן",K837,VLOOKUP(LEFT(H837,7),'קטלוג תרחישים'!$A:$M,13,FALSE()))</f>
        <v>א'</v>
      </c>
      <c r="M837" s="13"/>
      <c r="N837" s="51" t="s">
        <v>360</v>
      </c>
      <c r="O837" s="13" t="str">
        <f t="array" ref="O837">_xlfn.IFS(N837="A","א'", N837="B", "ב'", N837= "C", "ג'")</f>
        <v>א'</v>
      </c>
      <c r="P837" s="13">
        <f>IF(Table_2[[#This Row],[Correct_Answer]]=Table_2[[#This Row],[System_Recommendation]],1,0)</f>
        <v>0</v>
      </c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 spans="1:26" ht="15.75" hidden="1" customHeight="1">
      <c r="A838" s="8" t="s">
        <v>210</v>
      </c>
      <c r="B838" s="8">
        <v>12</v>
      </c>
      <c r="C838" s="9" t="s">
        <v>381</v>
      </c>
      <c r="D838" s="8">
        <v>2</v>
      </c>
      <c r="E838" s="9" t="s">
        <v>98</v>
      </c>
      <c r="F838" s="8" t="s">
        <v>382</v>
      </c>
      <c r="G838" s="8" t="s">
        <v>117</v>
      </c>
      <c r="H838" s="8" t="s">
        <v>195</v>
      </c>
      <c r="I838" s="8" t="s">
        <v>100</v>
      </c>
      <c r="J838" s="9" t="s">
        <v>383</v>
      </c>
      <c r="K838" s="8" t="str">
        <f>VLOOKUP(LEFT(H838,7),'קטלוג תרחישים'!$A:$M,12,FALSE())</f>
        <v>ג'</v>
      </c>
      <c r="L838" s="8" t="str">
        <f>IF(J838="כן",K838,VLOOKUP(LEFT(H838,7),'קטלוג תרחישים'!$A:$M,13,FALSE()))</f>
        <v>ב'</v>
      </c>
      <c r="M838" s="13"/>
      <c r="N838" s="50" t="s">
        <v>366</v>
      </c>
      <c r="O838" s="13" t="str">
        <f t="array" ref="O838">_xlfn.IFS(N838="A","א'", N838="B", "ב'", N838= "C", "ג'")</f>
        <v>ג'</v>
      </c>
      <c r="P838" s="13">
        <f>IF(Table_2[[#This Row],[Correct_Answer]]=Table_2[[#This Row],[System_Recommendation]],1,0)</f>
        <v>0</v>
      </c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 spans="1:26" ht="15.75" hidden="1" customHeight="1">
      <c r="A839" s="8" t="s">
        <v>210</v>
      </c>
      <c r="B839" s="8">
        <v>13</v>
      </c>
      <c r="C839" s="9" t="s">
        <v>381</v>
      </c>
      <c r="D839" s="8">
        <v>2</v>
      </c>
      <c r="E839" s="9" t="s">
        <v>98</v>
      </c>
      <c r="F839" s="8" t="s">
        <v>382</v>
      </c>
      <c r="G839" s="8" t="s">
        <v>117</v>
      </c>
      <c r="H839" s="8" t="s">
        <v>194</v>
      </c>
      <c r="I839" s="8" t="s">
        <v>91</v>
      </c>
      <c r="J839" s="9" t="s">
        <v>380</v>
      </c>
      <c r="K839" s="8" t="str">
        <f>VLOOKUP(LEFT(H839,7),'קטלוג תרחישים'!$A:$M,12,FALSE())</f>
        <v>ג'</v>
      </c>
      <c r="L839" s="8" t="str">
        <f>IF(J839="כן",K839,VLOOKUP(LEFT(H839,7),'קטלוג תרחישים'!$A:$M,13,FALSE()))</f>
        <v>ג'</v>
      </c>
      <c r="M839" s="13"/>
      <c r="N839" s="51" t="s">
        <v>365</v>
      </c>
      <c r="O839" s="13" t="str">
        <f t="array" ref="O839">_xlfn.IFS(N839="A","א'", N839="B", "ב'", N839= "C", "ג'")</f>
        <v>ב'</v>
      </c>
      <c r="P839" s="13">
        <f>IF(Table_2[[#This Row],[Correct_Answer]]=Table_2[[#This Row],[System_Recommendation]],1,0)</f>
        <v>1</v>
      </c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 spans="1:26" ht="15.75" hidden="1" customHeight="1">
      <c r="A840" s="8" t="s">
        <v>210</v>
      </c>
      <c r="B840" s="8">
        <v>14</v>
      </c>
      <c r="C840" s="9" t="s">
        <v>381</v>
      </c>
      <c r="D840" s="8">
        <v>2</v>
      </c>
      <c r="E840" s="9" t="s">
        <v>98</v>
      </c>
      <c r="F840" s="8" t="s">
        <v>382</v>
      </c>
      <c r="G840" s="8" t="s">
        <v>117</v>
      </c>
      <c r="H840" s="8" t="s">
        <v>197</v>
      </c>
      <c r="I840" s="8" t="s">
        <v>100</v>
      </c>
      <c r="J840" s="9" t="s">
        <v>380</v>
      </c>
      <c r="K840" s="8" t="str">
        <f>VLOOKUP(LEFT(H840,7),'קטלוג תרחישים'!$A:$M,12,FALSE())</f>
        <v>א'</v>
      </c>
      <c r="L840" s="8" t="str">
        <f>IF(J840="כן",K840,VLOOKUP(LEFT(H840,7),'קטלוג תרחישים'!$A:$M,13,FALSE()))</f>
        <v>א'</v>
      </c>
      <c r="M840" s="13"/>
      <c r="N840" s="50" t="s">
        <v>366</v>
      </c>
      <c r="O840" s="13" t="str">
        <f t="array" ref="O840">_xlfn.IFS(N840="A","א'", N840="B", "ב'", N840= "C", "ג'")</f>
        <v>ג'</v>
      </c>
      <c r="P840" s="13">
        <f>IF(Table_2[[#This Row],[Correct_Answer]]=Table_2[[#This Row],[System_Recommendation]],1,0)</f>
        <v>1</v>
      </c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 spans="1:26" ht="15.75" hidden="1" customHeight="1">
      <c r="A841" s="8" t="s">
        <v>210</v>
      </c>
      <c r="B841" s="8">
        <v>15</v>
      </c>
      <c r="C841" s="9" t="s">
        <v>381</v>
      </c>
      <c r="D841" s="8">
        <v>3</v>
      </c>
      <c r="E841" s="9" t="s">
        <v>105</v>
      </c>
      <c r="F841" s="8" t="s">
        <v>382</v>
      </c>
      <c r="G841" s="8" t="s">
        <v>117</v>
      </c>
      <c r="H841" s="8" t="s">
        <v>198</v>
      </c>
      <c r="I841" s="8" t="s">
        <v>91</v>
      </c>
      <c r="J841" s="9" t="s">
        <v>383</v>
      </c>
      <c r="K841" s="8" t="str">
        <f>VLOOKUP(LEFT(H841,7),'קטלוג תרחישים'!$A:$M,12,FALSE())</f>
        <v>ב'</v>
      </c>
      <c r="L841" s="8" t="str">
        <f>IF(J841="כן",K841,VLOOKUP(LEFT(H841,7),'קטלוג תרחישים'!$A:$M,13,FALSE()))</f>
        <v>א'</v>
      </c>
      <c r="M841" s="13"/>
      <c r="N841" s="51" t="s">
        <v>360</v>
      </c>
      <c r="O841" s="13" t="str">
        <f t="array" ref="O841">_xlfn.IFS(N841="A","א'", N841="B", "ב'", N841= "C", "ג'")</f>
        <v>א'</v>
      </c>
      <c r="P841" s="13">
        <f>IF(Table_2[[#This Row],[Correct_Answer]]=Table_2[[#This Row],[System_Recommendation]],1,0)</f>
        <v>0</v>
      </c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 spans="1:26" ht="15.75" hidden="1" customHeight="1">
      <c r="A842" s="8" t="s">
        <v>210</v>
      </c>
      <c r="B842" s="8">
        <v>16</v>
      </c>
      <c r="C842" s="9" t="s">
        <v>381</v>
      </c>
      <c r="D842" s="8">
        <v>3</v>
      </c>
      <c r="E842" s="9" t="s">
        <v>105</v>
      </c>
      <c r="F842" s="8" t="s">
        <v>382</v>
      </c>
      <c r="G842" s="8" t="s">
        <v>117</v>
      </c>
      <c r="H842" s="8" t="s">
        <v>201</v>
      </c>
      <c r="I842" s="8" t="s">
        <v>100</v>
      </c>
      <c r="J842" s="9" t="s">
        <v>380</v>
      </c>
      <c r="K842" s="8" t="str">
        <f>VLOOKUP(LEFT(H842,7),'קטלוג תרחישים'!$A:$M,12,FALSE())</f>
        <v>ב'</v>
      </c>
      <c r="L842" s="8" t="str">
        <f>IF(J842="כן",K842,VLOOKUP(LEFT(H842,7),'קטלוג תרחישים'!$A:$M,13,FALSE()))</f>
        <v>ב'</v>
      </c>
      <c r="M842" s="13"/>
      <c r="N842" s="50" t="s">
        <v>366</v>
      </c>
      <c r="O842" s="13" t="str">
        <f t="array" ref="O842">_xlfn.IFS(N842="A","א'", N842="B", "ב'", N842= "C", "ג'")</f>
        <v>ג'</v>
      </c>
      <c r="P842" s="13">
        <f>IF(Table_2[[#This Row],[Correct_Answer]]=Table_2[[#This Row],[System_Recommendation]],1,0)</f>
        <v>1</v>
      </c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 spans="1:26" ht="15.75" hidden="1" customHeight="1">
      <c r="A843" s="8" t="s">
        <v>210</v>
      </c>
      <c r="B843" s="8">
        <v>17</v>
      </c>
      <c r="C843" s="9" t="s">
        <v>381</v>
      </c>
      <c r="D843" s="8">
        <v>3</v>
      </c>
      <c r="E843" s="9" t="s">
        <v>105</v>
      </c>
      <c r="F843" s="8" t="s">
        <v>382</v>
      </c>
      <c r="G843" s="8" t="s">
        <v>117</v>
      </c>
      <c r="H843" s="8" t="s">
        <v>200</v>
      </c>
      <c r="I843" s="8" t="s">
        <v>91</v>
      </c>
      <c r="J843" s="9" t="s">
        <v>380</v>
      </c>
      <c r="K843" s="8" t="str">
        <f>VLOOKUP(LEFT(H843,7),'קטלוג תרחישים'!$A:$M,12,FALSE())</f>
        <v>ג'</v>
      </c>
      <c r="L843" s="8" t="str">
        <f>IF(J843="כן",K843,VLOOKUP(LEFT(H843,7),'קטלוג תרחישים'!$A:$M,13,FALSE()))</f>
        <v>ג'</v>
      </c>
      <c r="M843" s="13"/>
      <c r="N843" s="51" t="s">
        <v>366</v>
      </c>
      <c r="O843" s="13" t="str">
        <f t="array" ref="O843">_xlfn.IFS(N843="A","א'", N843="B", "ב'", N843= "C", "ג'")</f>
        <v>ג'</v>
      </c>
      <c r="P843" s="13">
        <f>IF(Table_2[[#This Row],[Correct_Answer]]=Table_2[[#This Row],[System_Recommendation]],1,0)</f>
        <v>1</v>
      </c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 spans="1:26" ht="15.75" hidden="1" customHeight="1">
      <c r="A844" s="8" t="s">
        <v>210</v>
      </c>
      <c r="B844" s="8">
        <v>18</v>
      </c>
      <c r="C844" s="9" t="s">
        <v>381</v>
      </c>
      <c r="D844" s="8">
        <v>3</v>
      </c>
      <c r="E844" s="9" t="s">
        <v>105</v>
      </c>
      <c r="F844" s="8" t="s">
        <v>382</v>
      </c>
      <c r="G844" s="8" t="s">
        <v>117</v>
      </c>
      <c r="H844" s="8" t="s">
        <v>199</v>
      </c>
      <c r="I844" s="8" t="s">
        <v>100</v>
      </c>
      <c r="J844" s="9" t="s">
        <v>383</v>
      </c>
      <c r="K844" s="8" t="str">
        <f>VLOOKUP(LEFT(H844,7),'קטלוג תרחישים'!$A:$M,12,FALSE())</f>
        <v>ג'</v>
      </c>
      <c r="L844" s="8" t="str">
        <f>IF(J844="כן",K844,VLOOKUP(LEFT(H844,7),'קטלוג תרחישים'!$A:$M,13,FALSE()))</f>
        <v>ב'</v>
      </c>
      <c r="M844" s="13"/>
      <c r="N844" s="50" t="s">
        <v>365</v>
      </c>
      <c r="O844" s="13" t="str">
        <f t="array" ref="O844">_xlfn.IFS(N844="A","א'", N844="B", "ב'", N844= "C", "ג'")</f>
        <v>ב'</v>
      </c>
      <c r="P844" s="13">
        <f>IF(Table_2[[#This Row],[Correct_Answer]]=Table_2[[#This Row],[System_Recommendation]],1,0)</f>
        <v>0</v>
      </c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 spans="1:26" ht="15.75" hidden="1" customHeight="1">
      <c r="A845" s="8" t="s">
        <v>210</v>
      </c>
      <c r="B845" s="8">
        <v>19</v>
      </c>
      <c r="C845" s="9" t="s">
        <v>381</v>
      </c>
      <c r="D845" s="8">
        <v>1</v>
      </c>
      <c r="E845" s="9" t="s">
        <v>105</v>
      </c>
      <c r="F845" s="8" t="s">
        <v>384</v>
      </c>
      <c r="G845" s="8" t="s">
        <v>97</v>
      </c>
      <c r="H845" s="8" t="s">
        <v>189</v>
      </c>
      <c r="I845" s="8" t="s">
        <v>91</v>
      </c>
      <c r="J845" s="9" t="s">
        <v>380</v>
      </c>
      <c r="K845" s="8" t="str">
        <f>VLOOKUP(LEFT(H845,7),'קטלוג תרחישים'!$A:$M,12,FALSE())</f>
        <v>ג'</v>
      </c>
      <c r="L845" s="8" t="str">
        <f>IF(J845="כן",K845,VLOOKUP(LEFT(H845,7),'קטלוג תרחישים'!$A:$M,13,FALSE()))</f>
        <v>ג'</v>
      </c>
      <c r="M845" s="13"/>
      <c r="N845" s="51" t="s">
        <v>360</v>
      </c>
      <c r="O845" s="13" t="str">
        <f t="array" ref="O845">_xlfn.IFS(N845="A","א'", N845="B", "ב'", N845= "C", "ג'")</f>
        <v>א'</v>
      </c>
      <c r="P845" s="13">
        <f>IF(Table_2[[#This Row],[Correct_Answer]]=Table_2[[#This Row],[System_Recommendation]],1,0)</f>
        <v>1</v>
      </c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 spans="1:26" ht="15.75" hidden="1" customHeight="1">
      <c r="A846" s="8" t="s">
        <v>210</v>
      </c>
      <c r="B846" s="8">
        <v>20</v>
      </c>
      <c r="C846" s="9" t="s">
        <v>381</v>
      </c>
      <c r="D846" s="8">
        <v>1</v>
      </c>
      <c r="E846" s="9" t="s">
        <v>105</v>
      </c>
      <c r="F846" s="8" t="s">
        <v>384</v>
      </c>
      <c r="G846" s="8" t="s">
        <v>97</v>
      </c>
      <c r="H846" s="8" t="s">
        <v>192</v>
      </c>
      <c r="I846" s="8" t="s">
        <v>100</v>
      </c>
      <c r="J846" s="9" t="s">
        <v>380</v>
      </c>
      <c r="K846" s="8" t="str">
        <f>VLOOKUP(LEFT(H846,7),'קטלוג תרחישים'!$A:$M,12,FALSE())</f>
        <v>א'</v>
      </c>
      <c r="L846" s="8" t="str">
        <f>IF(J846="כן",K846,VLOOKUP(LEFT(H846,7),'קטלוג תרחישים'!$A:$M,13,FALSE()))</f>
        <v>א'</v>
      </c>
      <c r="M846" s="13"/>
      <c r="N846" s="50" t="s">
        <v>366</v>
      </c>
      <c r="O846" s="13" t="str">
        <f t="array" ref="O846">_xlfn.IFS(N846="A","א'", N846="B", "ב'", N846= "C", "ג'")</f>
        <v>ג'</v>
      </c>
      <c r="P846" s="13">
        <f>IF(Table_2[[#This Row],[Correct_Answer]]=Table_2[[#This Row],[System_Recommendation]],1,0)</f>
        <v>1</v>
      </c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 spans="1:26" ht="15.75" hidden="1" customHeight="1">
      <c r="A847" s="8" t="s">
        <v>210</v>
      </c>
      <c r="B847" s="8">
        <v>21</v>
      </c>
      <c r="C847" s="9" t="s">
        <v>381</v>
      </c>
      <c r="D847" s="8">
        <v>1</v>
      </c>
      <c r="E847" s="9" t="s">
        <v>105</v>
      </c>
      <c r="F847" s="8" t="s">
        <v>384</v>
      </c>
      <c r="G847" s="8" t="s">
        <v>97</v>
      </c>
      <c r="H847" s="8" t="s">
        <v>191</v>
      </c>
      <c r="I847" s="8" t="s">
        <v>91</v>
      </c>
      <c r="J847" s="9" t="s">
        <v>383</v>
      </c>
      <c r="K847" s="8" t="str">
        <f>VLOOKUP(LEFT(H847,7),'קטלוג תרחישים'!$A:$M,12,FALSE())</f>
        <v>ג'</v>
      </c>
      <c r="L847" s="8" t="str">
        <f>IF(J847="כן",K847,VLOOKUP(LEFT(H847,7),'קטלוג תרחישים'!$A:$M,13,FALSE()))</f>
        <v>ב'</v>
      </c>
      <c r="M847" s="13"/>
      <c r="N847" s="51" t="s">
        <v>365</v>
      </c>
      <c r="O847" s="13" t="str">
        <f t="array" ref="O847">_xlfn.IFS(N847="A","א'", N847="B", "ב'", N847= "C", "ג'")</f>
        <v>ב'</v>
      </c>
      <c r="P847" s="13">
        <f>IF(Table_2[[#This Row],[Correct_Answer]]=Table_2[[#This Row],[System_Recommendation]],1,0)</f>
        <v>0</v>
      </c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 spans="1:26" ht="15.75" hidden="1" customHeight="1">
      <c r="A848" s="8" t="s">
        <v>210</v>
      </c>
      <c r="B848" s="8">
        <v>22</v>
      </c>
      <c r="C848" s="9" t="s">
        <v>381</v>
      </c>
      <c r="D848" s="8">
        <v>1</v>
      </c>
      <c r="E848" s="9" t="s">
        <v>105</v>
      </c>
      <c r="F848" s="8" t="s">
        <v>384</v>
      </c>
      <c r="G848" s="8" t="s">
        <v>97</v>
      </c>
      <c r="H848" s="8" t="s">
        <v>190</v>
      </c>
      <c r="I848" s="8" t="s">
        <v>100</v>
      </c>
      <c r="J848" s="9" t="s">
        <v>380</v>
      </c>
      <c r="K848" s="8" t="str">
        <f>VLOOKUP(LEFT(H848,7),'קטלוג תרחישים'!$A:$M,12,FALSE())</f>
        <v>ג'</v>
      </c>
      <c r="L848" s="8" t="str">
        <f>IF(J848="כן",K848,VLOOKUP(LEFT(H848,7),'קטלוג תרחישים'!$A:$M,13,FALSE()))</f>
        <v>ג'</v>
      </c>
      <c r="M848" s="13"/>
      <c r="N848" s="50" t="s">
        <v>366</v>
      </c>
      <c r="O848" s="13" t="str">
        <f t="array" ref="O848">_xlfn.IFS(N848="A","א'", N848="B", "ב'", N848= "C", "ג'")</f>
        <v>ג'</v>
      </c>
      <c r="P848" s="13">
        <f>IF(Table_2[[#This Row],[Correct_Answer]]=Table_2[[#This Row],[System_Recommendation]],1,0)</f>
        <v>1</v>
      </c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 spans="1:26" ht="15.75" hidden="1" customHeight="1">
      <c r="A849" s="8" t="s">
        <v>210</v>
      </c>
      <c r="B849" s="8">
        <v>23</v>
      </c>
      <c r="C849" s="9" t="s">
        <v>381</v>
      </c>
      <c r="D849" s="8">
        <v>1</v>
      </c>
      <c r="E849" s="9" t="s">
        <v>105</v>
      </c>
      <c r="F849" s="8" t="s">
        <v>384</v>
      </c>
      <c r="G849" s="8" t="s">
        <v>97</v>
      </c>
      <c r="H849" s="8" t="s">
        <v>193</v>
      </c>
      <c r="I849" s="8" t="s">
        <v>91</v>
      </c>
      <c r="J849" s="9" t="s">
        <v>380</v>
      </c>
      <c r="K849" s="8" t="str">
        <f>VLOOKUP(LEFT(H849,7),'קטלוג תרחישים'!$A:$M,12,FALSE())</f>
        <v>ב'</v>
      </c>
      <c r="L849" s="8" t="str">
        <f>IF(J849="כן",K849,VLOOKUP(LEFT(H849,7),'קטלוג תרחישים'!$A:$M,13,FALSE()))</f>
        <v>ב'</v>
      </c>
      <c r="M849" s="13"/>
      <c r="N849" s="51" t="s">
        <v>366</v>
      </c>
      <c r="O849" s="13" t="str">
        <f t="array" ref="O849">_xlfn.IFS(N849="A","א'", N849="B", "ב'", N849= "C", "ג'")</f>
        <v>ג'</v>
      </c>
      <c r="P849" s="13">
        <f>IF(Table_2[[#This Row],[Correct_Answer]]=Table_2[[#This Row],[System_Recommendation]],1,0)</f>
        <v>1</v>
      </c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 spans="1:26" ht="15.75" hidden="1" customHeight="1">
      <c r="A850" s="8" t="s">
        <v>210</v>
      </c>
      <c r="B850" s="8">
        <v>24</v>
      </c>
      <c r="C850" s="9" t="s">
        <v>381</v>
      </c>
      <c r="D850" s="8">
        <v>2</v>
      </c>
      <c r="E850" s="9" t="s">
        <v>111</v>
      </c>
      <c r="F850" s="8" t="s">
        <v>384</v>
      </c>
      <c r="G850" s="8" t="s">
        <v>97</v>
      </c>
      <c r="H850" s="8" t="s">
        <v>179</v>
      </c>
      <c r="I850" s="8" t="s">
        <v>100</v>
      </c>
      <c r="J850" s="9" t="s">
        <v>380</v>
      </c>
      <c r="K850" s="8" t="str">
        <f>VLOOKUP(LEFT(H850,7),'קטלוג תרחישים'!$A:$M,12,FALSE())</f>
        <v>ב'</v>
      </c>
      <c r="L850" s="8" t="str">
        <f>IF(J850="כן",K850,VLOOKUP(LEFT(H850,7),'קטלוג תרחישים'!$A:$M,13,FALSE()))</f>
        <v>ב'</v>
      </c>
      <c r="M850" s="13"/>
      <c r="N850" s="50" t="s">
        <v>360</v>
      </c>
      <c r="O850" s="13" t="str">
        <f t="array" ref="O850">_xlfn.IFS(N850="A","א'", N850="B", "ב'", N850= "C", "ג'")</f>
        <v>א'</v>
      </c>
      <c r="P850" s="13">
        <f>IF(Table_2[[#This Row],[Correct_Answer]]=Table_2[[#This Row],[System_Recommendation]],1,0)</f>
        <v>1</v>
      </c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 spans="1:26" ht="15.75" hidden="1" customHeight="1">
      <c r="A851" s="8" t="s">
        <v>210</v>
      </c>
      <c r="B851" s="8">
        <v>25</v>
      </c>
      <c r="C851" s="9" t="s">
        <v>381</v>
      </c>
      <c r="D851" s="8">
        <v>2</v>
      </c>
      <c r="E851" s="9" t="s">
        <v>111</v>
      </c>
      <c r="F851" s="8" t="s">
        <v>384</v>
      </c>
      <c r="G851" s="8" t="s">
        <v>97</v>
      </c>
      <c r="H851" s="8" t="s">
        <v>182</v>
      </c>
      <c r="I851" s="8" t="s">
        <v>91</v>
      </c>
      <c r="J851" s="9" t="s">
        <v>383</v>
      </c>
      <c r="K851" s="8" t="str">
        <f>VLOOKUP(LEFT(H851,7),'קטלוג תרחישים'!$A:$M,12,FALSE())</f>
        <v>ב'</v>
      </c>
      <c r="L851" s="8" t="str">
        <f>IF(J851="כן",K851,VLOOKUP(LEFT(H851,7),'קטלוג תרחישים'!$A:$M,13,FALSE()))</f>
        <v>ג'</v>
      </c>
      <c r="M851" s="13"/>
      <c r="N851" s="51" t="s">
        <v>360</v>
      </c>
      <c r="O851" s="13" t="str">
        <f t="array" ref="O851">_xlfn.IFS(N851="A","א'", N851="B", "ב'", N851= "C", "ג'")</f>
        <v>א'</v>
      </c>
      <c r="P851" s="13">
        <f>IF(Table_2[[#This Row],[Correct_Answer]]=Table_2[[#This Row],[System_Recommendation]],1,0)</f>
        <v>0</v>
      </c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 spans="1:26" ht="15.75" hidden="1" customHeight="1">
      <c r="A852" s="8" t="s">
        <v>210</v>
      </c>
      <c r="B852" s="8">
        <v>26</v>
      </c>
      <c r="C852" s="9" t="s">
        <v>381</v>
      </c>
      <c r="D852" s="8">
        <v>2</v>
      </c>
      <c r="E852" s="9" t="s">
        <v>111</v>
      </c>
      <c r="F852" s="8" t="s">
        <v>384</v>
      </c>
      <c r="G852" s="8" t="s">
        <v>97</v>
      </c>
      <c r="H852" s="8" t="s">
        <v>181</v>
      </c>
      <c r="I852" s="8" t="s">
        <v>100</v>
      </c>
      <c r="J852" s="9" t="s">
        <v>380</v>
      </c>
      <c r="K852" s="8" t="str">
        <f>VLOOKUP(LEFT(H852,7),'קטלוג תרחישים'!$A:$M,12,FALSE())</f>
        <v>ג'</v>
      </c>
      <c r="L852" s="8" t="str">
        <f>IF(J852="כן",K852,VLOOKUP(LEFT(H852,7),'קטלוג תרחישים'!$A:$M,13,FALSE()))</f>
        <v>ג'</v>
      </c>
      <c r="M852" s="13"/>
      <c r="N852" s="50" t="s">
        <v>360</v>
      </c>
      <c r="O852" s="13" t="str">
        <f t="array" ref="O852">_xlfn.IFS(N852="A","א'", N852="B", "ב'", N852= "C", "ג'")</f>
        <v>א'</v>
      </c>
      <c r="P852" s="13">
        <f>IF(Table_2[[#This Row],[Correct_Answer]]=Table_2[[#This Row],[System_Recommendation]],1,0)</f>
        <v>1</v>
      </c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 spans="1:26" ht="15.75" hidden="1" customHeight="1">
      <c r="A853" s="8" t="s">
        <v>210</v>
      </c>
      <c r="B853" s="8">
        <v>27</v>
      </c>
      <c r="C853" s="9" t="s">
        <v>381</v>
      </c>
      <c r="D853" s="8">
        <v>2</v>
      </c>
      <c r="E853" s="9" t="s">
        <v>111</v>
      </c>
      <c r="F853" s="8" t="s">
        <v>384</v>
      </c>
      <c r="G853" s="8" t="s">
        <v>97</v>
      </c>
      <c r="H853" s="8" t="s">
        <v>180</v>
      </c>
      <c r="I853" s="8" t="s">
        <v>91</v>
      </c>
      <c r="J853" s="9" t="s">
        <v>380</v>
      </c>
      <c r="K853" s="8" t="str">
        <f>VLOOKUP(LEFT(H853,7),'קטלוג תרחישים'!$A:$M,12,FALSE())</f>
        <v>א'</v>
      </c>
      <c r="L853" s="8" t="str">
        <f>IF(J853="כן",K853,VLOOKUP(LEFT(H853,7),'קטלוג תרחישים'!$A:$M,13,FALSE()))</f>
        <v>א'</v>
      </c>
      <c r="M853" s="13"/>
      <c r="N853" s="51" t="s">
        <v>365</v>
      </c>
      <c r="O853" s="13" t="str">
        <f t="array" ref="O853">_xlfn.IFS(N853="A","א'", N853="B", "ב'", N853= "C", "ג'")</f>
        <v>ב'</v>
      </c>
      <c r="P853" s="13">
        <f>IF(Table_2[[#This Row],[Correct_Answer]]=Table_2[[#This Row],[System_Recommendation]],1,0)</f>
        <v>1</v>
      </c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 spans="1:26" ht="15.75" hidden="1" customHeight="1">
      <c r="A854" s="8" t="s">
        <v>210</v>
      </c>
      <c r="B854" s="8">
        <v>28</v>
      </c>
      <c r="C854" s="9" t="s">
        <v>381</v>
      </c>
      <c r="D854" s="8">
        <v>2</v>
      </c>
      <c r="E854" s="9" t="s">
        <v>111</v>
      </c>
      <c r="F854" s="8" t="s">
        <v>384</v>
      </c>
      <c r="G854" s="8" t="s">
        <v>97</v>
      </c>
      <c r="H854" s="8" t="s">
        <v>183</v>
      </c>
      <c r="I854" s="8" t="s">
        <v>100</v>
      </c>
      <c r="J854" s="9" t="s">
        <v>380</v>
      </c>
      <c r="K854" s="8" t="str">
        <f>VLOOKUP(LEFT(H854,7),'קטלוג תרחישים'!$A:$M,12,FALSE())</f>
        <v>ג'</v>
      </c>
      <c r="L854" s="8" t="str">
        <f>IF(J854="כן",K854,VLOOKUP(LEFT(H854,7),'קטלוג תרחישים'!$A:$M,13,FALSE()))</f>
        <v>ג'</v>
      </c>
      <c r="M854" s="13"/>
      <c r="N854" s="50" t="s">
        <v>365</v>
      </c>
      <c r="O854" s="13" t="str">
        <f t="array" ref="O854">_xlfn.IFS(N854="A","א'", N854="B", "ב'", N854= "C", "ג'")</f>
        <v>ב'</v>
      </c>
      <c r="P854" s="13">
        <f>IF(Table_2[[#This Row],[Correct_Answer]]=Table_2[[#This Row],[System_Recommendation]],1,0)</f>
        <v>1</v>
      </c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 spans="1:26" ht="15.75" hidden="1" customHeight="1">
      <c r="A855" s="8" t="s">
        <v>210</v>
      </c>
      <c r="B855" s="8">
        <v>29</v>
      </c>
      <c r="C855" s="9" t="s">
        <v>381</v>
      </c>
      <c r="D855" s="8">
        <v>3</v>
      </c>
      <c r="E855" s="9" t="s">
        <v>98</v>
      </c>
      <c r="F855" s="8" t="s">
        <v>384</v>
      </c>
      <c r="G855" s="8" t="s">
        <v>97</v>
      </c>
      <c r="H855" s="8" t="s">
        <v>186</v>
      </c>
      <c r="I855" s="8" t="s">
        <v>91</v>
      </c>
      <c r="J855" s="9" t="s">
        <v>383</v>
      </c>
      <c r="K855" s="8" t="str">
        <f>VLOOKUP(LEFT(H855,7),'קטלוג תרחישים'!$A:$M,12,FALSE())</f>
        <v>א'</v>
      </c>
      <c r="L855" s="8" t="str">
        <f>IF(J855="כן",K855,VLOOKUP(LEFT(H855,7),'קטלוג תרחישים'!$A:$M,13,FALSE()))</f>
        <v>ב'</v>
      </c>
      <c r="M855" s="13"/>
      <c r="N855" s="51" t="s">
        <v>366</v>
      </c>
      <c r="O855" s="13" t="str">
        <f t="array" ref="O855">_xlfn.IFS(N855="A","א'", N855="B", "ב'", N855= "C", "ג'")</f>
        <v>ג'</v>
      </c>
      <c r="P855" s="13">
        <f>IF(Table_2[[#This Row],[Correct_Answer]]=Table_2[[#This Row],[System_Recommendation]],1,0)</f>
        <v>0</v>
      </c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 spans="1:26" ht="15.75" hidden="1" customHeight="1">
      <c r="A856" s="8" t="s">
        <v>210</v>
      </c>
      <c r="B856" s="8">
        <v>30</v>
      </c>
      <c r="C856" s="9" t="s">
        <v>381</v>
      </c>
      <c r="D856" s="8">
        <v>3</v>
      </c>
      <c r="E856" s="9" t="s">
        <v>98</v>
      </c>
      <c r="F856" s="8" t="s">
        <v>384</v>
      </c>
      <c r="G856" s="8" t="s">
        <v>97</v>
      </c>
      <c r="H856" s="8" t="s">
        <v>185</v>
      </c>
      <c r="I856" s="8" t="s">
        <v>100</v>
      </c>
      <c r="J856" s="9" t="s">
        <v>380</v>
      </c>
      <c r="K856" s="8" t="str">
        <f>VLOOKUP(LEFT(H856,7),'קטלוג תרחישים'!$A:$M,12,FALSE())</f>
        <v>ב'</v>
      </c>
      <c r="L856" s="8" t="str">
        <f>IF(J856="כן",K856,VLOOKUP(LEFT(H856,7),'קטלוג תרחישים'!$A:$M,13,FALSE()))</f>
        <v>ב'</v>
      </c>
      <c r="M856" s="13"/>
      <c r="N856" s="50" t="s">
        <v>365</v>
      </c>
      <c r="O856" s="13" t="str">
        <f t="array" ref="O856">_xlfn.IFS(N856="A","א'", N856="B", "ב'", N856= "C", "ג'")</f>
        <v>ב'</v>
      </c>
      <c r="P856" s="13">
        <f>IF(Table_2[[#This Row],[Correct_Answer]]=Table_2[[#This Row],[System_Recommendation]],1,0)</f>
        <v>1</v>
      </c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 spans="1:26" ht="15.75" hidden="1" customHeight="1">
      <c r="A857" s="8" t="s">
        <v>210</v>
      </c>
      <c r="B857" s="8">
        <v>31</v>
      </c>
      <c r="C857" s="9" t="s">
        <v>381</v>
      </c>
      <c r="D857" s="8">
        <v>3</v>
      </c>
      <c r="E857" s="9" t="s">
        <v>98</v>
      </c>
      <c r="F857" s="8" t="s">
        <v>384</v>
      </c>
      <c r="G857" s="8" t="s">
        <v>97</v>
      </c>
      <c r="H857" s="8" t="s">
        <v>184</v>
      </c>
      <c r="I857" s="8" t="s">
        <v>91</v>
      </c>
      <c r="J857" s="9" t="s">
        <v>380</v>
      </c>
      <c r="K857" s="8" t="str">
        <f>VLOOKUP(LEFT(H857,7),'קטלוג תרחישים'!$A:$M,12,FALSE())</f>
        <v>ג'</v>
      </c>
      <c r="L857" s="8" t="str">
        <f>IF(J857="כן",K857,VLOOKUP(LEFT(H857,7),'קטלוג תרחישים'!$A:$M,13,FALSE()))</f>
        <v>ג'</v>
      </c>
      <c r="M857" s="13"/>
      <c r="N857" s="51" t="s">
        <v>366</v>
      </c>
      <c r="O857" s="13" t="str">
        <f t="array" ref="O857">_xlfn.IFS(N857="A","א'", N857="B", "ב'", N857= "C", "ג'")</f>
        <v>ג'</v>
      </c>
      <c r="P857" s="13">
        <f>IF(Table_2[[#This Row],[Correct_Answer]]=Table_2[[#This Row],[System_Recommendation]],1,0)</f>
        <v>1</v>
      </c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 spans="1:26" ht="15.75" hidden="1" customHeight="1">
      <c r="A858" s="8" t="s">
        <v>210</v>
      </c>
      <c r="B858" s="8">
        <v>32</v>
      </c>
      <c r="C858" s="9" t="s">
        <v>381</v>
      </c>
      <c r="D858" s="8">
        <v>3</v>
      </c>
      <c r="E858" s="9" t="s">
        <v>98</v>
      </c>
      <c r="F858" s="8" t="s">
        <v>384</v>
      </c>
      <c r="G858" s="8" t="s">
        <v>97</v>
      </c>
      <c r="H858" s="8" t="s">
        <v>187</v>
      </c>
      <c r="I858" s="8" t="s">
        <v>100</v>
      </c>
      <c r="J858" s="9" t="s">
        <v>380</v>
      </c>
      <c r="K858" s="8" t="str">
        <f>VLOOKUP(LEFT(H858,7),'קטלוג תרחישים'!$A:$M,12,FALSE())</f>
        <v>ב'</v>
      </c>
      <c r="L858" s="8" t="str">
        <f>IF(J858="כן",K858,VLOOKUP(LEFT(H858,7),'קטלוג תרחישים'!$A:$M,13,FALSE()))</f>
        <v>ב'</v>
      </c>
      <c r="M858" s="13"/>
      <c r="N858" s="50" t="s">
        <v>360</v>
      </c>
      <c r="O858" s="13" t="str">
        <f t="array" ref="O858">_xlfn.IFS(N858="A","א'", N858="B", "ב'", N858= "C", "ג'")</f>
        <v>א'</v>
      </c>
      <c r="P858" s="13">
        <f>IF(Table_2[[#This Row],[Correct_Answer]]=Table_2[[#This Row],[System_Recommendation]],1,0)</f>
        <v>1</v>
      </c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 spans="1:26" ht="15.75" hidden="1" customHeight="1">
      <c r="A859" s="8" t="s">
        <v>210</v>
      </c>
      <c r="B859" s="8">
        <v>33</v>
      </c>
      <c r="C859" s="9" t="s">
        <v>381</v>
      </c>
      <c r="D859" s="8">
        <v>3</v>
      </c>
      <c r="E859" s="9" t="s">
        <v>98</v>
      </c>
      <c r="F859" s="8" t="s">
        <v>384</v>
      </c>
      <c r="G859" s="8" t="s">
        <v>97</v>
      </c>
      <c r="H859" s="8" t="s">
        <v>188</v>
      </c>
      <c r="I859" s="8" t="s">
        <v>91</v>
      </c>
      <c r="J859" s="9" t="s">
        <v>380</v>
      </c>
      <c r="K859" s="8" t="str">
        <f>VLOOKUP(LEFT(H859,7),'קטלוג תרחישים'!$A:$M,12,FALSE())</f>
        <v>ג'</v>
      </c>
      <c r="L859" s="8" t="str">
        <f>IF(J859="כן",K859,VLOOKUP(LEFT(H859,7),'קטלוג תרחישים'!$A:$M,13,FALSE()))</f>
        <v>ג'</v>
      </c>
      <c r="M859" s="13"/>
      <c r="N859" s="51" t="s">
        <v>360</v>
      </c>
      <c r="O859" s="13" t="str">
        <f t="array" ref="O859">_xlfn.IFS(N859="A","א'", N859="B", "ב'", N859= "C", "ג'")</f>
        <v>א'</v>
      </c>
      <c r="P859" s="13">
        <f>IF(Table_2[[#This Row],[Correct_Answer]]=Table_2[[#This Row],[System_Recommendation]],1,0)</f>
        <v>1</v>
      </c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 spans="1:26" ht="15.75" hidden="1" customHeight="1">
      <c r="A860" s="8" t="s">
        <v>211</v>
      </c>
      <c r="B860" s="8">
        <v>1</v>
      </c>
      <c r="C860" s="9" t="s">
        <v>379</v>
      </c>
      <c r="D860" s="8"/>
      <c r="E860" s="9" t="s">
        <v>98</v>
      </c>
      <c r="F860" s="8"/>
      <c r="G860" s="8"/>
      <c r="H860" s="11" t="s">
        <v>90</v>
      </c>
      <c r="I860" s="8" t="s">
        <v>91</v>
      </c>
      <c r="J860" s="9" t="s">
        <v>380</v>
      </c>
      <c r="K860" s="8" t="str">
        <f>VLOOKUP(LEFT(H860,7),'קטלוג תרחישים'!$A:$M,12,FALSE())</f>
        <v>א'</v>
      </c>
      <c r="L860" s="8" t="str">
        <f>IF(J860="כן",K860,VLOOKUP(LEFT(H860,7),'קטלוג תרחישים'!$A:$M,13,FALSE()))</f>
        <v>א'</v>
      </c>
      <c r="M860" s="13"/>
      <c r="N860" s="50" t="s">
        <v>366</v>
      </c>
      <c r="O860" s="13" t="str">
        <f t="array" ref="O860">_xlfn.IFS(N860="A","א'", N860="B", "ב'", N860= "C", "ג'")</f>
        <v>ג'</v>
      </c>
      <c r="P860" s="13">
        <f>IF(Table_2[[#This Row],[Correct_Answer]]=Table_2[[#This Row],[System_Recommendation]],1,0)</f>
        <v>1</v>
      </c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 spans="1:26" ht="15.75" hidden="1" customHeight="1">
      <c r="A861" s="8" t="s">
        <v>211</v>
      </c>
      <c r="B861" s="8">
        <v>2</v>
      </c>
      <c r="C861" s="9" t="s">
        <v>379</v>
      </c>
      <c r="D861" s="8"/>
      <c r="E861" s="9" t="s">
        <v>98</v>
      </c>
      <c r="F861" s="8"/>
      <c r="G861" s="8"/>
      <c r="H861" s="11" t="s">
        <v>92</v>
      </c>
      <c r="I861" s="8" t="s">
        <v>91</v>
      </c>
      <c r="J861" s="9" t="s">
        <v>380</v>
      </c>
      <c r="K861" s="8" t="str">
        <f>VLOOKUP(LEFT(H861,7),'קטלוג תרחישים'!$A:$M,12,FALSE())</f>
        <v>א'</v>
      </c>
      <c r="L861" s="8" t="str">
        <f>IF(J861="כן",K861,VLOOKUP(LEFT(H861,7),'קטלוג תרחישים'!$A:$M,13,FALSE()))</f>
        <v>א'</v>
      </c>
      <c r="M861" s="13"/>
      <c r="N861" s="51" t="s">
        <v>366</v>
      </c>
      <c r="O861" s="13" t="str">
        <f t="array" ref="O861">_xlfn.IFS(N861="A","א'", N861="B", "ב'", N861= "C", "ג'")</f>
        <v>ג'</v>
      </c>
      <c r="P861" s="13">
        <f>IF(Table_2[[#This Row],[Correct_Answer]]=Table_2[[#This Row],[System_Recommendation]],1,0)</f>
        <v>1</v>
      </c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 spans="1:26" ht="15.75" hidden="1" customHeight="1">
      <c r="A862" s="8" t="s">
        <v>211</v>
      </c>
      <c r="B862" s="8">
        <v>3</v>
      </c>
      <c r="C862" s="9" t="s">
        <v>379</v>
      </c>
      <c r="D862" s="8"/>
      <c r="E862" s="9" t="s">
        <v>105</v>
      </c>
      <c r="F862" s="8"/>
      <c r="G862" s="8"/>
      <c r="H862" s="11" t="s">
        <v>93</v>
      </c>
      <c r="I862" s="8" t="s">
        <v>91</v>
      </c>
      <c r="J862" s="9" t="s">
        <v>380</v>
      </c>
      <c r="K862" s="8" t="str">
        <f>VLOOKUP(LEFT(H862,7),'קטלוג תרחישים'!$A:$M,12,FALSE())</f>
        <v>א'</v>
      </c>
      <c r="L862" s="8" t="str">
        <f>IF(J862="כן",K862,VLOOKUP(LEFT(H862,7),'קטלוג תרחישים'!$A:$M,13,FALSE()))</f>
        <v>א'</v>
      </c>
      <c r="M862" s="13"/>
      <c r="N862" s="50" t="s">
        <v>366</v>
      </c>
      <c r="O862" s="13" t="str">
        <f t="array" ref="O862">_xlfn.IFS(N862="A","א'", N862="B", "ב'", N862= "C", "ג'")</f>
        <v>ג'</v>
      </c>
      <c r="P862" s="13">
        <f>IF(Table_2[[#This Row],[Correct_Answer]]=Table_2[[#This Row],[System_Recommendation]],1,0)</f>
        <v>1</v>
      </c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 spans="1:26" ht="15.75" hidden="1" customHeight="1">
      <c r="A863" s="8" t="s">
        <v>211</v>
      </c>
      <c r="B863" s="8">
        <v>4</v>
      </c>
      <c r="C863" s="9" t="s">
        <v>379</v>
      </c>
      <c r="D863" s="8"/>
      <c r="E863" s="9" t="s">
        <v>105</v>
      </c>
      <c r="F863" s="8"/>
      <c r="G863" s="8"/>
      <c r="H863" s="11" t="s">
        <v>94</v>
      </c>
      <c r="I863" s="8" t="s">
        <v>91</v>
      </c>
      <c r="J863" s="9" t="s">
        <v>380</v>
      </c>
      <c r="K863" s="8" t="str">
        <f>VLOOKUP(LEFT(H863,7),'קטלוג תרחישים'!$A:$M,12,FALSE())</f>
        <v>א'</v>
      </c>
      <c r="L863" s="8" t="str">
        <f>IF(J863="כן",K863,VLOOKUP(LEFT(H863,7),'קטלוג תרחישים'!$A:$M,13,FALSE()))</f>
        <v>א'</v>
      </c>
      <c r="M863" s="13"/>
      <c r="N863" s="51" t="s">
        <v>365</v>
      </c>
      <c r="O863" s="13" t="str">
        <f t="array" ref="O863">_xlfn.IFS(N863="A","א'", N863="B", "ב'", N863= "C", "ג'")</f>
        <v>ב'</v>
      </c>
      <c r="P863" s="13">
        <f>IF(Table_2[[#This Row],[Correct_Answer]]=Table_2[[#This Row],[System_Recommendation]],1,0)</f>
        <v>1</v>
      </c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 spans="1:26" ht="15.75" hidden="1" customHeight="1">
      <c r="A864" s="8" t="s">
        <v>211</v>
      </c>
      <c r="B864" s="8">
        <v>5</v>
      </c>
      <c r="C864" s="9" t="s">
        <v>379</v>
      </c>
      <c r="D864" s="8"/>
      <c r="E864" s="9" t="s">
        <v>111</v>
      </c>
      <c r="F864" s="8"/>
      <c r="G864" s="8"/>
      <c r="H864" s="11" t="s">
        <v>95</v>
      </c>
      <c r="I864" s="8" t="s">
        <v>91</v>
      </c>
      <c r="J864" s="9" t="s">
        <v>380</v>
      </c>
      <c r="K864" s="8" t="str">
        <f>VLOOKUP(LEFT(H864,7),'קטלוג תרחישים'!$A:$M,12,FALSE())</f>
        <v>ב'</v>
      </c>
      <c r="L864" s="8" t="str">
        <f>IF(J864="כן",K864,VLOOKUP(LEFT(H864,7),'קטלוג תרחישים'!$A:$M,13,FALSE()))</f>
        <v>ב'</v>
      </c>
      <c r="M864" s="13"/>
      <c r="N864" s="50" t="s">
        <v>360</v>
      </c>
      <c r="O864" s="13" t="str">
        <f t="array" ref="O864">_xlfn.IFS(N864="A","א'", N864="B", "ב'", N864= "C", "ג'")</f>
        <v>א'</v>
      </c>
      <c r="P864" s="13">
        <f>IF(Table_2[[#This Row],[Correct_Answer]]=Table_2[[#This Row],[System_Recommendation]],1,0)</f>
        <v>1</v>
      </c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 spans="1:26" ht="15.75" customHeight="1">
      <c r="A865" s="8" t="s">
        <v>211</v>
      </c>
      <c r="B865" s="8">
        <v>6</v>
      </c>
      <c r="C865" s="9" t="s">
        <v>379</v>
      </c>
      <c r="D865" s="8"/>
      <c r="E865" s="9" t="s">
        <v>111</v>
      </c>
      <c r="F865" s="8"/>
      <c r="G865" s="8"/>
      <c r="H865" s="11" t="s">
        <v>96</v>
      </c>
      <c r="I865" s="8" t="s">
        <v>91</v>
      </c>
      <c r="J865" s="9" t="s">
        <v>380</v>
      </c>
      <c r="K865" s="8" t="str">
        <f>VLOOKUP(LEFT(H865,7),'קטלוג תרחישים'!$A:$M,12,FALSE())</f>
        <v>ב'</v>
      </c>
      <c r="L865" s="8" t="str">
        <f>IF(J865="כן",K865,VLOOKUP(LEFT(H865,7),'קטלוג תרחישים'!$A:$M,13,FALSE()))</f>
        <v>ב'</v>
      </c>
      <c r="M865" s="13"/>
      <c r="N865" s="51" t="s">
        <v>366</v>
      </c>
      <c r="O865" s="13" t="str">
        <f t="array" ref="O865">_xlfn.IFS(N865="A","א'", N865="B", "ב'", N865= "C", "ג'")</f>
        <v>ג'</v>
      </c>
      <c r="P865" s="13">
        <f>IF(Table_2[[#This Row],[Correct_Answer]]=Table_2[[#This Row],[System_Recommendation]],1,0)</f>
        <v>1</v>
      </c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 spans="1:26" ht="15.75" hidden="1" customHeight="1">
      <c r="A866" s="8" t="s">
        <v>211</v>
      </c>
      <c r="B866" s="8">
        <v>7</v>
      </c>
      <c r="C866" s="9" t="s">
        <v>381</v>
      </c>
      <c r="D866" s="8">
        <v>1</v>
      </c>
      <c r="E866" s="9" t="s">
        <v>111</v>
      </c>
      <c r="F866" s="8" t="s">
        <v>382</v>
      </c>
      <c r="G866" s="8" t="s">
        <v>97</v>
      </c>
      <c r="H866" s="8" t="s">
        <v>183</v>
      </c>
      <c r="I866" s="8" t="s">
        <v>100</v>
      </c>
      <c r="J866" s="9" t="s">
        <v>380</v>
      </c>
      <c r="K866" s="8" t="str">
        <f>VLOOKUP(LEFT(H866,7),'קטלוג תרחישים'!$A:$M,12,FALSE())</f>
        <v>ג'</v>
      </c>
      <c r="L866" s="8" t="str">
        <f>IF(J866="כן",K866,VLOOKUP(LEFT(H866,7),'קטלוג תרחישים'!$A:$M,13,FALSE()))</f>
        <v>ג'</v>
      </c>
      <c r="M866" s="13"/>
      <c r="N866" s="50" t="s">
        <v>366</v>
      </c>
      <c r="O866" s="13" t="str">
        <f t="array" ref="O866">_xlfn.IFS(N866="A","א'", N866="B", "ב'", N866= "C", "ג'")</f>
        <v>ג'</v>
      </c>
      <c r="P866" s="13">
        <f>IF(Table_2[[#This Row],[Correct_Answer]]=Table_2[[#This Row],[System_Recommendation]],1,0)</f>
        <v>1</v>
      </c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 spans="1:26" ht="15.75" hidden="1" customHeight="1">
      <c r="A867" s="8" t="s">
        <v>211</v>
      </c>
      <c r="B867" s="8">
        <v>8</v>
      </c>
      <c r="C867" s="9" t="s">
        <v>381</v>
      </c>
      <c r="D867" s="8">
        <v>1</v>
      </c>
      <c r="E867" s="9" t="s">
        <v>111</v>
      </c>
      <c r="F867" s="8" t="s">
        <v>382</v>
      </c>
      <c r="G867" s="8" t="s">
        <v>97</v>
      </c>
      <c r="H867" s="8" t="s">
        <v>180</v>
      </c>
      <c r="I867" s="8" t="s">
        <v>91</v>
      </c>
      <c r="J867" s="9" t="s">
        <v>380</v>
      </c>
      <c r="K867" s="8" t="str">
        <f>VLOOKUP(LEFT(H867,7),'קטלוג תרחישים'!$A:$M,12,FALSE())</f>
        <v>א'</v>
      </c>
      <c r="L867" s="8" t="str">
        <f>IF(J867="כן",K867,VLOOKUP(LEFT(H867,7),'קטלוג תרחישים'!$A:$M,13,FALSE()))</f>
        <v>א'</v>
      </c>
      <c r="M867" s="13"/>
      <c r="N867" s="51" t="s">
        <v>365</v>
      </c>
      <c r="O867" s="13" t="str">
        <f t="array" ref="O867">_xlfn.IFS(N867="A","א'", N867="B", "ב'", N867= "C", "ג'")</f>
        <v>ב'</v>
      </c>
      <c r="P867" s="13">
        <f>IF(Table_2[[#This Row],[Correct_Answer]]=Table_2[[#This Row],[System_Recommendation]],1,0)</f>
        <v>1</v>
      </c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 spans="1:26" ht="15.75" hidden="1" customHeight="1">
      <c r="A868" s="8" t="s">
        <v>211</v>
      </c>
      <c r="B868" s="8">
        <v>9</v>
      </c>
      <c r="C868" s="9" t="s">
        <v>381</v>
      </c>
      <c r="D868" s="8">
        <v>1</v>
      </c>
      <c r="E868" s="9" t="s">
        <v>111</v>
      </c>
      <c r="F868" s="8" t="s">
        <v>382</v>
      </c>
      <c r="G868" s="8" t="s">
        <v>97</v>
      </c>
      <c r="H868" s="8" t="s">
        <v>181</v>
      </c>
      <c r="I868" s="8" t="s">
        <v>100</v>
      </c>
      <c r="J868" s="9" t="s">
        <v>383</v>
      </c>
      <c r="K868" s="8" t="str">
        <f>VLOOKUP(LEFT(H868,7),'קטלוג תרחישים'!$A:$M,12,FALSE())</f>
        <v>ג'</v>
      </c>
      <c r="L868" s="8" t="str">
        <f>IF(J868="כן",K868,VLOOKUP(LEFT(H868,7),'קטלוג תרחישים'!$A:$M,13,FALSE()))</f>
        <v>א'</v>
      </c>
      <c r="M868" s="13"/>
      <c r="N868" s="50" t="s">
        <v>365</v>
      </c>
      <c r="O868" s="13" t="str">
        <f t="array" ref="O868">_xlfn.IFS(N868="A","א'", N868="B", "ב'", N868= "C", "ג'")</f>
        <v>ב'</v>
      </c>
      <c r="P868" s="13">
        <f>IF(Table_2[[#This Row],[Correct_Answer]]=Table_2[[#This Row],[System_Recommendation]],1,0)</f>
        <v>0</v>
      </c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 spans="1:26" ht="15.75" hidden="1" customHeight="1">
      <c r="A869" s="8" t="s">
        <v>211</v>
      </c>
      <c r="B869" s="8">
        <v>10</v>
      </c>
      <c r="C869" s="9" t="s">
        <v>381</v>
      </c>
      <c r="D869" s="8">
        <v>1</v>
      </c>
      <c r="E869" s="9" t="s">
        <v>111</v>
      </c>
      <c r="F869" s="8" t="s">
        <v>382</v>
      </c>
      <c r="G869" s="8" t="s">
        <v>97</v>
      </c>
      <c r="H869" s="8" t="s">
        <v>182</v>
      </c>
      <c r="I869" s="8" t="s">
        <v>91</v>
      </c>
      <c r="J869" s="9" t="s">
        <v>380</v>
      </c>
      <c r="K869" s="8" t="str">
        <f>VLOOKUP(LEFT(H869,7),'קטלוג תרחישים'!$A:$M,12,FALSE())</f>
        <v>ב'</v>
      </c>
      <c r="L869" s="8" t="str">
        <f>IF(J869="כן",K869,VLOOKUP(LEFT(H869,7),'קטלוג תרחישים'!$A:$M,13,FALSE()))</f>
        <v>ב'</v>
      </c>
      <c r="M869" s="13"/>
      <c r="N869" s="51" t="s">
        <v>365</v>
      </c>
      <c r="O869" s="13" t="str">
        <f t="array" ref="O869">_xlfn.IFS(N869="A","א'", N869="B", "ב'", N869= "C", "ג'")</f>
        <v>ב'</v>
      </c>
      <c r="P869" s="13">
        <f>IF(Table_2[[#This Row],[Correct_Answer]]=Table_2[[#This Row],[System_Recommendation]],1,0)</f>
        <v>1</v>
      </c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 spans="1:26" ht="15.75" hidden="1" customHeight="1">
      <c r="A870" s="8" t="s">
        <v>211</v>
      </c>
      <c r="B870" s="8">
        <v>11</v>
      </c>
      <c r="C870" s="9" t="s">
        <v>381</v>
      </c>
      <c r="D870" s="8">
        <v>1</v>
      </c>
      <c r="E870" s="9" t="s">
        <v>111</v>
      </c>
      <c r="F870" s="8" t="s">
        <v>382</v>
      </c>
      <c r="G870" s="8" t="s">
        <v>97</v>
      </c>
      <c r="H870" s="8" t="s">
        <v>179</v>
      </c>
      <c r="I870" s="8" t="s">
        <v>100</v>
      </c>
      <c r="J870" s="9" t="s">
        <v>380</v>
      </c>
      <c r="K870" s="8" t="str">
        <f>VLOOKUP(LEFT(H870,7),'קטלוג תרחישים'!$A:$M,12,FALSE())</f>
        <v>ב'</v>
      </c>
      <c r="L870" s="8" t="str">
        <f>IF(J870="כן",K870,VLOOKUP(LEFT(H870,7),'קטלוג תרחישים'!$A:$M,13,FALSE()))</f>
        <v>ב'</v>
      </c>
      <c r="M870" s="13"/>
      <c r="N870" s="50" t="s">
        <v>360</v>
      </c>
      <c r="O870" s="13" t="str">
        <f t="array" ref="O870">_xlfn.IFS(N870="A","א'", N870="B", "ב'", N870= "C", "ג'")</f>
        <v>א'</v>
      </c>
      <c r="P870" s="13">
        <f>IF(Table_2[[#This Row],[Correct_Answer]]=Table_2[[#This Row],[System_Recommendation]],1,0)</f>
        <v>1</v>
      </c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 spans="1:26" ht="15.75" hidden="1" customHeight="1">
      <c r="A871" s="8" t="s">
        <v>211</v>
      </c>
      <c r="B871" s="8">
        <v>12</v>
      </c>
      <c r="C871" s="9" t="s">
        <v>381</v>
      </c>
      <c r="D871" s="8">
        <v>2</v>
      </c>
      <c r="E871" s="9" t="s">
        <v>98</v>
      </c>
      <c r="F871" s="8" t="s">
        <v>382</v>
      </c>
      <c r="G871" s="8" t="s">
        <v>97</v>
      </c>
      <c r="H871" s="8" t="s">
        <v>186</v>
      </c>
      <c r="I871" s="8" t="s">
        <v>91</v>
      </c>
      <c r="J871" s="9" t="s">
        <v>380</v>
      </c>
      <c r="K871" s="8" t="str">
        <f>VLOOKUP(LEFT(H871,7),'קטלוג תרחישים'!$A:$M,12,FALSE())</f>
        <v>א'</v>
      </c>
      <c r="L871" s="8" t="str">
        <f>IF(J871="כן",K871,VLOOKUP(LEFT(H871,7),'קטלוג תרחישים'!$A:$M,13,FALSE()))</f>
        <v>א'</v>
      </c>
      <c r="M871" s="13"/>
      <c r="N871" s="51" t="s">
        <v>366</v>
      </c>
      <c r="O871" s="13" t="str">
        <f t="array" ref="O871">_xlfn.IFS(N871="A","א'", N871="B", "ב'", N871= "C", "ג'")</f>
        <v>ג'</v>
      </c>
      <c r="P871" s="13">
        <f>IF(Table_2[[#This Row],[Correct_Answer]]=Table_2[[#This Row],[System_Recommendation]],1,0)</f>
        <v>1</v>
      </c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 spans="1:26" ht="15.75" hidden="1" customHeight="1">
      <c r="A872" s="8" t="s">
        <v>211</v>
      </c>
      <c r="B872" s="8">
        <v>13</v>
      </c>
      <c r="C872" s="9" t="s">
        <v>381</v>
      </c>
      <c r="D872" s="8">
        <v>2</v>
      </c>
      <c r="E872" s="9" t="s">
        <v>98</v>
      </c>
      <c r="F872" s="8" t="s">
        <v>382</v>
      </c>
      <c r="G872" s="8" t="s">
        <v>97</v>
      </c>
      <c r="H872" s="8" t="s">
        <v>187</v>
      </c>
      <c r="I872" s="8" t="s">
        <v>100</v>
      </c>
      <c r="J872" s="9" t="s">
        <v>380</v>
      </c>
      <c r="K872" s="8" t="str">
        <f>VLOOKUP(LEFT(H872,7),'קטלוג תרחישים'!$A:$M,12,FALSE())</f>
        <v>ב'</v>
      </c>
      <c r="L872" s="8" t="str">
        <f>IF(J872="כן",K872,VLOOKUP(LEFT(H872,7),'קטלוג תרחישים'!$A:$M,13,FALSE()))</f>
        <v>ב'</v>
      </c>
      <c r="M872" s="13"/>
      <c r="N872" s="50" t="s">
        <v>365</v>
      </c>
      <c r="O872" s="13" t="str">
        <f t="array" ref="O872">_xlfn.IFS(N872="A","א'", N872="B", "ב'", N872= "C", "ג'")</f>
        <v>ב'</v>
      </c>
      <c r="P872" s="13">
        <f>IF(Table_2[[#This Row],[Correct_Answer]]=Table_2[[#This Row],[System_Recommendation]],1,0)</f>
        <v>1</v>
      </c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 spans="1:26" ht="15.75" hidden="1" customHeight="1">
      <c r="A873" s="8" t="s">
        <v>211</v>
      </c>
      <c r="B873" s="8">
        <v>14</v>
      </c>
      <c r="C873" s="9" t="s">
        <v>381</v>
      </c>
      <c r="D873" s="8">
        <v>2</v>
      </c>
      <c r="E873" s="9" t="s">
        <v>98</v>
      </c>
      <c r="F873" s="8" t="s">
        <v>382</v>
      </c>
      <c r="G873" s="8" t="s">
        <v>97</v>
      </c>
      <c r="H873" s="8" t="s">
        <v>184</v>
      </c>
      <c r="I873" s="8" t="s">
        <v>91</v>
      </c>
      <c r="J873" s="9" t="s">
        <v>380</v>
      </c>
      <c r="K873" s="8" t="str">
        <f>VLOOKUP(LEFT(H873,7),'קטלוג תרחישים'!$A:$M,12,FALSE())</f>
        <v>ג'</v>
      </c>
      <c r="L873" s="8" t="str">
        <f>IF(J873="כן",K873,VLOOKUP(LEFT(H873,7),'קטלוג תרחישים'!$A:$M,13,FALSE()))</f>
        <v>ג'</v>
      </c>
      <c r="M873" s="13"/>
      <c r="N873" s="51" t="s">
        <v>366</v>
      </c>
      <c r="O873" s="13" t="str">
        <f t="array" ref="O873">_xlfn.IFS(N873="A","א'", N873="B", "ב'", N873= "C", "ג'")</f>
        <v>ג'</v>
      </c>
      <c r="P873" s="13">
        <f>IF(Table_2[[#This Row],[Correct_Answer]]=Table_2[[#This Row],[System_Recommendation]],1,0)</f>
        <v>1</v>
      </c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 spans="1:26" ht="15.75" hidden="1" customHeight="1">
      <c r="A874" s="8" t="s">
        <v>211</v>
      </c>
      <c r="B874" s="8">
        <v>15</v>
      </c>
      <c r="C874" s="9" t="s">
        <v>381</v>
      </c>
      <c r="D874" s="8">
        <v>2</v>
      </c>
      <c r="E874" s="9" t="s">
        <v>98</v>
      </c>
      <c r="F874" s="8" t="s">
        <v>382</v>
      </c>
      <c r="G874" s="8" t="s">
        <v>97</v>
      </c>
      <c r="H874" s="8" t="s">
        <v>185</v>
      </c>
      <c r="I874" s="8" t="s">
        <v>100</v>
      </c>
      <c r="J874" s="9" t="s">
        <v>383</v>
      </c>
      <c r="K874" s="8" t="str">
        <f>VLOOKUP(LEFT(H874,7),'קטלוג תרחישים'!$A:$M,12,FALSE())</f>
        <v>ב'</v>
      </c>
      <c r="L874" s="8" t="str">
        <f>IF(J874="כן",K874,VLOOKUP(LEFT(H874,7),'קטלוג תרחישים'!$A:$M,13,FALSE()))</f>
        <v>ג'</v>
      </c>
      <c r="M874" s="13"/>
      <c r="N874" s="50" t="s">
        <v>360</v>
      </c>
      <c r="O874" s="13" t="str">
        <f t="array" ref="O874">_xlfn.IFS(N874="A","א'", N874="B", "ב'", N874= "C", "ג'")</f>
        <v>א'</v>
      </c>
      <c r="P874" s="13">
        <f>IF(Table_2[[#This Row],[Correct_Answer]]=Table_2[[#This Row],[System_Recommendation]],1,0)</f>
        <v>0</v>
      </c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 spans="1:26" ht="15.75" hidden="1" customHeight="1">
      <c r="A875" s="8" t="s">
        <v>211</v>
      </c>
      <c r="B875" s="8">
        <v>16</v>
      </c>
      <c r="C875" s="9" t="s">
        <v>381</v>
      </c>
      <c r="D875" s="8">
        <v>2</v>
      </c>
      <c r="E875" s="9" t="s">
        <v>98</v>
      </c>
      <c r="F875" s="8" t="s">
        <v>382</v>
      </c>
      <c r="G875" s="8" t="s">
        <v>97</v>
      </c>
      <c r="H875" s="8" t="s">
        <v>188</v>
      </c>
      <c r="I875" s="8" t="s">
        <v>91</v>
      </c>
      <c r="J875" s="9" t="s">
        <v>380</v>
      </c>
      <c r="K875" s="8" t="str">
        <f>VLOOKUP(LEFT(H875,7),'קטלוג תרחישים'!$A:$M,12,FALSE())</f>
        <v>ג'</v>
      </c>
      <c r="L875" s="8" t="str">
        <f>IF(J875="כן",K875,VLOOKUP(LEFT(H875,7),'קטלוג תרחישים'!$A:$M,13,FALSE()))</f>
        <v>ג'</v>
      </c>
      <c r="M875" s="13"/>
      <c r="N875" s="51" t="s">
        <v>366</v>
      </c>
      <c r="O875" s="13" t="str">
        <f t="array" ref="O875">_xlfn.IFS(N875="A","א'", N875="B", "ב'", N875= "C", "ג'")</f>
        <v>ג'</v>
      </c>
      <c r="P875" s="13">
        <f>IF(Table_2[[#This Row],[Correct_Answer]]=Table_2[[#This Row],[System_Recommendation]],1,0)</f>
        <v>1</v>
      </c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 spans="1:26" ht="15.75" hidden="1" customHeight="1">
      <c r="A876" s="8" t="s">
        <v>211</v>
      </c>
      <c r="B876" s="8">
        <v>17</v>
      </c>
      <c r="C876" s="9" t="s">
        <v>381</v>
      </c>
      <c r="D876" s="8">
        <v>3</v>
      </c>
      <c r="E876" s="9" t="s">
        <v>105</v>
      </c>
      <c r="F876" s="8" t="s">
        <v>382</v>
      </c>
      <c r="G876" s="8" t="s">
        <v>97</v>
      </c>
      <c r="H876" s="8" t="s">
        <v>193</v>
      </c>
      <c r="I876" s="8" t="s">
        <v>91</v>
      </c>
      <c r="J876" s="9" t="s">
        <v>380</v>
      </c>
      <c r="K876" s="8" t="str">
        <f>VLOOKUP(LEFT(H876,7),'קטלוג תרחישים'!$A:$M,12,FALSE())</f>
        <v>ב'</v>
      </c>
      <c r="L876" s="8" t="str">
        <f>IF(J876="כן",K876,VLOOKUP(LEFT(H876,7),'קטלוג תרחישים'!$A:$M,13,FALSE()))</f>
        <v>ב'</v>
      </c>
      <c r="M876" s="13"/>
      <c r="N876" s="50" t="s">
        <v>366</v>
      </c>
      <c r="O876" s="13" t="str">
        <f t="array" ref="O876">_xlfn.IFS(N876="A","א'", N876="B", "ב'", N876= "C", "ג'")</f>
        <v>ג'</v>
      </c>
      <c r="P876" s="13">
        <f>IF(Table_2[[#This Row],[Correct_Answer]]=Table_2[[#This Row],[System_Recommendation]],1,0)</f>
        <v>1</v>
      </c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 spans="1:26" ht="15.75" hidden="1" customHeight="1">
      <c r="A877" s="8" t="s">
        <v>211</v>
      </c>
      <c r="B877" s="8">
        <v>18</v>
      </c>
      <c r="C877" s="9" t="s">
        <v>381</v>
      </c>
      <c r="D877" s="8">
        <v>3</v>
      </c>
      <c r="E877" s="9" t="s">
        <v>105</v>
      </c>
      <c r="F877" s="8" t="s">
        <v>382</v>
      </c>
      <c r="G877" s="8" t="s">
        <v>97</v>
      </c>
      <c r="H877" s="8" t="s">
        <v>192</v>
      </c>
      <c r="I877" s="8" t="s">
        <v>100</v>
      </c>
      <c r="J877" s="9" t="s">
        <v>380</v>
      </c>
      <c r="K877" s="8" t="str">
        <f>VLOOKUP(LEFT(H877,7),'קטלוג תרחישים'!$A:$M,12,FALSE())</f>
        <v>א'</v>
      </c>
      <c r="L877" s="8" t="str">
        <f>IF(J877="כן",K877,VLOOKUP(LEFT(H877,7),'קטלוג תרחישים'!$A:$M,13,FALSE()))</f>
        <v>א'</v>
      </c>
      <c r="M877" s="13"/>
      <c r="N877" s="51" t="s">
        <v>365</v>
      </c>
      <c r="O877" s="13" t="str">
        <f t="array" ref="O877">_xlfn.IFS(N877="A","א'", N877="B", "ב'", N877= "C", "ג'")</f>
        <v>ב'</v>
      </c>
      <c r="P877" s="13">
        <f>IF(Table_2[[#This Row],[Correct_Answer]]=Table_2[[#This Row],[System_Recommendation]],1,0)</f>
        <v>1</v>
      </c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 spans="1:26" ht="15.75" hidden="1" customHeight="1">
      <c r="A878" s="8" t="s">
        <v>211</v>
      </c>
      <c r="B878" s="8">
        <v>19</v>
      </c>
      <c r="C878" s="9" t="s">
        <v>381</v>
      </c>
      <c r="D878" s="8">
        <v>3</v>
      </c>
      <c r="E878" s="9" t="s">
        <v>105</v>
      </c>
      <c r="F878" s="8" t="s">
        <v>382</v>
      </c>
      <c r="G878" s="8" t="s">
        <v>97</v>
      </c>
      <c r="H878" s="8" t="s">
        <v>189</v>
      </c>
      <c r="I878" s="8" t="s">
        <v>91</v>
      </c>
      <c r="J878" s="9" t="s">
        <v>380</v>
      </c>
      <c r="K878" s="8" t="str">
        <f>VLOOKUP(LEFT(H878,7),'קטלוג תרחישים'!$A:$M,12,FALSE())</f>
        <v>ג'</v>
      </c>
      <c r="L878" s="8" t="str">
        <f>IF(J878="כן",K878,VLOOKUP(LEFT(H878,7),'קטלוג תרחישים'!$A:$M,13,FALSE()))</f>
        <v>ג'</v>
      </c>
      <c r="M878" s="13"/>
      <c r="N878" s="50" t="s">
        <v>360</v>
      </c>
      <c r="O878" s="13" t="str">
        <f t="array" ref="O878">_xlfn.IFS(N878="A","א'", N878="B", "ב'", N878= "C", "ג'")</f>
        <v>א'</v>
      </c>
      <c r="P878" s="13">
        <f>IF(Table_2[[#This Row],[Correct_Answer]]=Table_2[[#This Row],[System_Recommendation]],1,0)</f>
        <v>1</v>
      </c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 spans="1:26" ht="15.75" hidden="1" customHeight="1">
      <c r="A879" s="8" t="s">
        <v>211</v>
      </c>
      <c r="B879" s="8">
        <v>20</v>
      </c>
      <c r="C879" s="9" t="s">
        <v>381</v>
      </c>
      <c r="D879" s="8">
        <v>3</v>
      </c>
      <c r="E879" s="9" t="s">
        <v>105</v>
      </c>
      <c r="F879" s="8" t="s">
        <v>382</v>
      </c>
      <c r="G879" s="8" t="s">
        <v>97</v>
      </c>
      <c r="H879" s="8" t="s">
        <v>190</v>
      </c>
      <c r="I879" s="8" t="s">
        <v>100</v>
      </c>
      <c r="J879" s="9" t="s">
        <v>383</v>
      </c>
      <c r="K879" s="8" t="str">
        <f>VLOOKUP(LEFT(H879,7),'קטלוג תרחישים'!$A:$M,12,FALSE())</f>
        <v>ג'</v>
      </c>
      <c r="L879" s="8" t="str">
        <f>IF(J879="כן",K879,VLOOKUP(LEFT(H879,7),'קטלוג תרחישים'!$A:$M,13,FALSE()))</f>
        <v>ב'</v>
      </c>
      <c r="M879" s="13"/>
      <c r="N879" s="51" t="s">
        <v>366</v>
      </c>
      <c r="O879" s="13" t="str">
        <f t="array" ref="O879">_xlfn.IFS(N879="A","א'", N879="B", "ב'", N879= "C", "ג'")</f>
        <v>ג'</v>
      </c>
      <c r="P879" s="13">
        <f>IF(Table_2[[#This Row],[Correct_Answer]]=Table_2[[#This Row],[System_Recommendation]],1,0)</f>
        <v>0</v>
      </c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 spans="1:26" ht="15.75" hidden="1" customHeight="1">
      <c r="A880" s="8" t="s">
        <v>211</v>
      </c>
      <c r="B880" s="8">
        <v>21</v>
      </c>
      <c r="C880" s="9" t="s">
        <v>381</v>
      </c>
      <c r="D880" s="8">
        <v>3</v>
      </c>
      <c r="E880" s="9" t="s">
        <v>105</v>
      </c>
      <c r="F880" s="8" t="s">
        <v>382</v>
      </c>
      <c r="G880" s="8" t="s">
        <v>97</v>
      </c>
      <c r="H880" s="8" t="s">
        <v>191</v>
      </c>
      <c r="I880" s="8" t="s">
        <v>91</v>
      </c>
      <c r="J880" s="9" t="s">
        <v>380</v>
      </c>
      <c r="K880" s="8" t="str">
        <f>VLOOKUP(LEFT(H880,7),'קטלוג תרחישים'!$A:$M,12,FALSE())</f>
        <v>ג'</v>
      </c>
      <c r="L880" s="8" t="str">
        <f>IF(J880="כן",K880,VLOOKUP(LEFT(H880,7),'קטלוג תרחישים'!$A:$M,13,FALSE()))</f>
        <v>ג'</v>
      </c>
      <c r="M880" s="13"/>
      <c r="N880" s="50" t="s">
        <v>365</v>
      </c>
      <c r="O880" s="13" t="str">
        <f t="array" ref="O880">_xlfn.IFS(N880="A","א'", N880="B", "ב'", N880= "C", "ג'")</f>
        <v>ב'</v>
      </c>
      <c r="P880" s="13">
        <f>IF(Table_2[[#This Row],[Correct_Answer]]=Table_2[[#This Row],[System_Recommendation]],1,0)</f>
        <v>1</v>
      </c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 spans="1:26" ht="15.75" hidden="1" customHeight="1">
      <c r="A881" s="8" t="s">
        <v>211</v>
      </c>
      <c r="B881" s="8">
        <v>22</v>
      </c>
      <c r="C881" s="9" t="s">
        <v>381</v>
      </c>
      <c r="D881" s="8">
        <v>1</v>
      </c>
      <c r="E881" s="9" t="s">
        <v>98</v>
      </c>
      <c r="F881" s="8" t="s">
        <v>384</v>
      </c>
      <c r="G881" s="8" t="s">
        <v>117</v>
      </c>
      <c r="H881" s="8" t="s">
        <v>196</v>
      </c>
      <c r="I881" s="8" t="s">
        <v>91</v>
      </c>
      <c r="J881" s="9" t="s">
        <v>380</v>
      </c>
      <c r="K881" s="8" t="str">
        <f>VLOOKUP(LEFT(H881,7),'קטלוג תרחישים'!$A:$M,12,FALSE())</f>
        <v>ג'</v>
      </c>
      <c r="L881" s="8" t="str">
        <f>IF(J881="כן",K881,VLOOKUP(LEFT(H881,7),'קטלוג תרחישים'!$A:$M,13,FALSE()))</f>
        <v>ג'</v>
      </c>
      <c r="M881" s="13"/>
      <c r="N881" s="51" t="s">
        <v>366</v>
      </c>
      <c r="O881" s="13" t="str">
        <f t="array" ref="O881">_xlfn.IFS(N881="A","א'", N881="B", "ב'", N881= "C", "ג'")</f>
        <v>ג'</v>
      </c>
      <c r="P881" s="13">
        <f>IF(Table_2[[#This Row],[Correct_Answer]]=Table_2[[#This Row],[System_Recommendation]],1,0)</f>
        <v>1</v>
      </c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 spans="1:26" ht="15.75" hidden="1" customHeight="1">
      <c r="A882" s="8" t="s">
        <v>211</v>
      </c>
      <c r="B882" s="8">
        <v>23</v>
      </c>
      <c r="C882" s="9" t="s">
        <v>381</v>
      </c>
      <c r="D882" s="8">
        <v>1</v>
      </c>
      <c r="E882" s="9" t="s">
        <v>98</v>
      </c>
      <c r="F882" s="8" t="s">
        <v>384</v>
      </c>
      <c r="G882" s="8" t="s">
        <v>117</v>
      </c>
      <c r="H882" s="8" t="s">
        <v>195</v>
      </c>
      <c r="I882" s="8" t="s">
        <v>100</v>
      </c>
      <c r="J882" s="9" t="s">
        <v>383</v>
      </c>
      <c r="K882" s="8" t="str">
        <f>VLOOKUP(LEFT(H882,7),'קטלוג תרחישים'!$A:$M,12,FALSE())</f>
        <v>ג'</v>
      </c>
      <c r="L882" s="8" t="str">
        <f>IF(J882="כן",K882,VLOOKUP(LEFT(H882,7),'קטלוג תרחישים'!$A:$M,13,FALSE()))</f>
        <v>ב'</v>
      </c>
      <c r="M882" s="13"/>
      <c r="N882" s="50" t="s">
        <v>366</v>
      </c>
      <c r="O882" s="13" t="str">
        <f t="array" ref="O882">_xlfn.IFS(N882="A","א'", N882="B", "ב'", N882= "C", "ג'")</f>
        <v>ג'</v>
      </c>
      <c r="P882" s="13">
        <f>IF(Table_2[[#This Row],[Correct_Answer]]=Table_2[[#This Row],[System_Recommendation]],1,0)</f>
        <v>0</v>
      </c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 spans="1:26" ht="15.75" hidden="1" customHeight="1">
      <c r="A883" s="8" t="s">
        <v>211</v>
      </c>
      <c r="B883" s="8">
        <v>24</v>
      </c>
      <c r="C883" s="9" t="s">
        <v>381</v>
      </c>
      <c r="D883" s="8">
        <v>1</v>
      </c>
      <c r="E883" s="9" t="s">
        <v>98</v>
      </c>
      <c r="F883" s="8" t="s">
        <v>384</v>
      </c>
      <c r="G883" s="8" t="s">
        <v>117</v>
      </c>
      <c r="H883" s="8" t="s">
        <v>194</v>
      </c>
      <c r="I883" s="8" t="s">
        <v>91</v>
      </c>
      <c r="J883" s="9" t="s">
        <v>383</v>
      </c>
      <c r="K883" s="8" t="str">
        <f>VLOOKUP(LEFT(H883,7),'קטלוג תרחישים'!$A:$M,12,FALSE())</f>
        <v>ג'</v>
      </c>
      <c r="L883" s="8" t="str">
        <f>IF(J883="כן",K883,VLOOKUP(LEFT(H883,7),'קטלוג תרחישים'!$A:$M,13,FALSE()))</f>
        <v>ב'</v>
      </c>
      <c r="M883" s="13"/>
      <c r="N883" s="51" t="s">
        <v>365</v>
      </c>
      <c r="O883" s="13" t="str">
        <f t="array" ref="O883">_xlfn.IFS(N883="A","א'", N883="B", "ב'", N883= "C", "ג'")</f>
        <v>ב'</v>
      </c>
      <c r="P883" s="13">
        <f>IF(Table_2[[#This Row],[Correct_Answer]]=Table_2[[#This Row],[System_Recommendation]],1,0)</f>
        <v>0</v>
      </c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 spans="1:26" ht="15.75" hidden="1" customHeight="1">
      <c r="A884" s="8" t="s">
        <v>211</v>
      </c>
      <c r="B884" s="8">
        <v>25</v>
      </c>
      <c r="C884" s="9" t="s">
        <v>381</v>
      </c>
      <c r="D884" s="8">
        <v>1</v>
      </c>
      <c r="E884" s="9" t="s">
        <v>98</v>
      </c>
      <c r="F884" s="8" t="s">
        <v>384</v>
      </c>
      <c r="G884" s="8" t="s">
        <v>117</v>
      </c>
      <c r="H884" s="8" t="s">
        <v>197</v>
      </c>
      <c r="I884" s="8" t="s">
        <v>100</v>
      </c>
      <c r="J884" s="9" t="s">
        <v>380</v>
      </c>
      <c r="K884" s="8" t="str">
        <f>VLOOKUP(LEFT(H884,7),'קטלוג תרחישים'!$A:$M,12,FALSE())</f>
        <v>א'</v>
      </c>
      <c r="L884" s="8" t="str">
        <f>IF(J884="כן",K884,VLOOKUP(LEFT(H884,7),'קטלוג תרחישים'!$A:$M,13,FALSE()))</f>
        <v>א'</v>
      </c>
      <c r="M884" s="13"/>
      <c r="N884" s="50" t="s">
        <v>360</v>
      </c>
      <c r="O884" s="13" t="str">
        <f t="array" ref="O884">_xlfn.IFS(N884="A","א'", N884="B", "ב'", N884= "C", "ג'")</f>
        <v>א'</v>
      </c>
      <c r="P884" s="13">
        <f>IF(Table_2[[#This Row],[Correct_Answer]]=Table_2[[#This Row],[System_Recommendation]],1,0)</f>
        <v>1</v>
      </c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 spans="1:26" ht="15.75" hidden="1" customHeight="1">
      <c r="A885" s="8" t="s">
        <v>211</v>
      </c>
      <c r="B885" s="8">
        <v>26</v>
      </c>
      <c r="C885" s="9" t="s">
        <v>381</v>
      </c>
      <c r="D885" s="8">
        <v>2</v>
      </c>
      <c r="E885" s="9" t="s">
        <v>105</v>
      </c>
      <c r="F885" s="8" t="s">
        <v>384</v>
      </c>
      <c r="G885" s="8" t="s">
        <v>117</v>
      </c>
      <c r="H885" s="8" t="s">
        <v>198</v>
      </c>
      <c r="I885" s="8" t="s">
        <v>91</v>
      </c>
      <c r="J885" s="9" t="s">
        <v>383</v>
      </c>
      <c r="K885" s="8" t="str">
        <f>VLOOKUP(LEFT(H885,7),'קטלוג תרחישים'!$A:$M,12,FALSE())</f>
        <v>ב'</v>
      </c>
      <c r="L885" s="8" t="str">
        <f>IF(J885="כן",K885,VLOOKUP(LEFT(H885,7),'קטלוג תרחישים'!$A:$M,13,FALSE()))</f>
        <v>א'</v>
      </c>
      <c r="M885" s="13"/>
      <c r="N885" s="51" t="s">
        <v>360</v>
      </c>
      <c r="O885" s="13" t="str">
        <f t="array" ref="O885">_xlfn.IFS(N885="A","א'", N885="B", "ב'", N885= "C", "ג'")</f>
        <v>א'</v>
      </c>
      <c r="P885" s="13">
        <f>IF(Table_2[[#This Row],[Correct_Answer]]=Table_2[[#This Row],[System_Recommendation]],1,0)</f>
        <v>0</v>
      </c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 spans="1:26" ht="15.75" hidden="1" customHeight="1">
      <c r="A886" s="8" t="s">
        <v>211</v>
      </c>
      <c r="B886" s="8">
        <v>27</v>
      </c>
      <c r="C886" s="9" t="s">
        <v>381</v>
      </c>
      <c r="D886" s="8">
        <v>2</v>
      </c>
      <c r="E886" s="9" t="s">
        <v>105</v>
      </c>
      <c r="F886" s="8" t="s">
        <v>384</v>
      </c>
      <c r="G886" s="8" t="s">
        <v>117</v>
      </c>
      <c r="H886" s="8" t="s">
        <v>199</v>
      </c>
      <c r="I886" s="8" t="s">
        <v>100</v>
      </c>
      <c r="J886" s="9" t="s">
        <v>380</v>
      </c>
      <c r="K886" s="8" t="str">
        <f>VLOOKUP(LEFT(H886,7),'קטלוג תרחישים'!$A:$M,12,FALSE())</f>
        <v>ג'</v>
      </c>
      <c r="L886" s="8" t="str">
        <f>IF(J886="כן",K886,VLOOKUP(LEFT(H886,7),'קטלוג תרחישים'!$A:$M,13,FALSE()))</f>
        <v>ג'</v>
      </c>
      <c r="M886" s="13"/>
      <c r="N886" s="50" t="s">
        <v>360</v>
      </c>
      <c r="O886" s="13" t="str">
        <f t="array" ref="O886">_xlfn.IFS(N886="A","א'", N886="B", "ב'", N886= "C", "ג'")</f>
        <v>א'</v>
      </c>
      <c r="P886" s="13">
        <f>IF(Table_2[[#This Row],[Correct_Answer]]=Table_2[[#This Row],[System_Recommendation]],1,0)</f>
        <v>1</v>
      </c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 spans="1:26" ht="15.75" hidden="1" customHeight="1">
      <c r="A887" s="8" t="s">
        <v>211</v>
      </c>
      <c r="B887" s="8">
        <v>28</v>
      </c>
      <c r="C887" s="9" t="s">
        <v>381</v>
      </c>
      <c r="D887" s="8">
        <v>2</v>
      </c>
      <c r="E887" s="9" t="s">
        <v>105</v>
      </c>
      <c r="F887" s="8" t="s">
        <v>384</v>
      </c>
      <c r="G887" s="8" t="s">
        <v>117</v>
      </c>
      <c r="H887" s="8" t="s">
        <v>200</v>
      </c>
      <c r="I887" s="8" t="s">
        <v>91</v>
      </c>
      <c r="J887" s="9" t="s">
        <v>380</v>
      </c>
      <c r="K887" s="8" t="str">
        <f>VLOOKUP(LEFT(H887,7),'קטלוג תרחישים'!$A:$M,12,FALSE())</f>
        <v>ג'</v>
      </c>
      <c r="L887" s="8" t="str">
        <f>IF(J887="כן",K887,VLOOKUP(LEFT(H887,7),'קטלוג תרחישים'!$A:$M,13,FALSE()))</f>
        <v>ג'</v>
      </c>
      <c r="M887" s="13"/>
      <c r="N887" s="51" t="s">
        <v>365</v>
      </c>
      <c r="O887" s="13" t="str">
        <f t="array" ref="O887">_xlfn.IFS(N887="A","א'", N887="B", "ב'", N887= "C", "ג'")</f>
        <v>ב'</v>
      </c>
      <c r="P887" s="13">
        <f>IF(Table_2[[#This Row],[Correct_Answer]]=Table_2[[#This Row],[System_Recommendation]],1,0)</f>
        <v>1</v>
      </c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 spans="1:26" ht="15.75" hidden="1" customHeight="1">
      <c r="A888" s="8" t="s">
        <v>211</v>
      </c>
      <c r="B888" s="8">
        <v>29</v>
      </c>
      <c r="C888" s="9" t="s">
        <v>381</v>
      </c>
      <c r="D888" s="8">
        <v>2</v>
      </c>
      <c r="E888" s="9" t="s">
        <v>105</v>
      </c>
      <c r="F888" s="8" t="s">
        <v>384</v>
      </c>
      <c r="G888" s="8" t="s">
        <v>117</v>
      </c>
      <c r="H888" s="8" t="s">
        <v>201</v>
      </c>
      <c r="I888" s="8" t="s">
        <v>100</v>
      </c>
      <c r="J888" s="9" t="s">
        <v>383</v>
      </c>
      <c r="K888" s="8" t="str">
        <f>VLOOKUP(LEFT(H888,7),'קטלוג תרחישים'!$A:$M,12,FALSE())</f>
        <v>ב'</v>
      </c>
      <c r="L888" s="8" t="str">
        <f>IF(J888="כן",K888,VLOOKUP(LEFT(H888,7),'קטלוג תרחישים'!$A:$M,13,FALSE()))</f>
        <v>א'</v>
      </c>
      <c r="M888" s="13"/>
      <c r="N888" s="50" t="s">
        <v>365</v>
      </c>
      <c r="O888" s="13" t="str">
        <f t="array" ref="O888">_xlfn.IFS(N888="A","א'", N888="B", "ב'", N888= "C", "ג'")</f>
        <v>ב'</v>
      </c>
      <c r="P888" s="13">
        <f>IF(Table_2[[#This Row],[Correct_Answer]]=Table_2[[#This Row],[System_Recommendation]],1,0)</f>
        <v>0</v>
      </c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 spans="1:26" ht="15.75" hidden="1" customHeight="1">
      <c r="A889" s="8" t="s">
        <v>211</v>
      </c>
      <c r="B889" s="8">
        <v>30</v>
      </c>
      <c r="C889" s="9" t="s">
        <v>381</v>
      </c>
      <c r="D889" s="8">
        <v>3</v>
      </c>
      <c r="E889" s="9" t="s">
        <v>111</v>
      </c>
      <c r="F889" s="8" t="s">
        <v>384</v>
      </c>
      <c r="G889" s="8" t="s">
        <v>117</v>
      </c>
      <c r="H889" s="8" t="s">
        <v>204</v>
      </c>
      <c r="I889" s="8" t="s">
        <v>91</v>
      </c>
      <c r="J889" s="9" t="s">
        <v>383</v>
      </c>
      <c r="K889" s="8" t="str">
        <f>VLOOKUP(LEFT(H889,7),'קטלוג תרחישים'!$A:$M,12,FALSE())</f>
        <v>ב'</v>
      </c>
      <c r="L889" s="8" t="str">
        <f>IF(J889="כן",K889,VLOOKUP(LEFT(H889,7),'קטלוג תרחישים'!$A:$M,13,FALSE()))</f>
        <v>ג'</v>
      </c>
      <c r="M889" s="13"/>
      <c r="N889" s="51" t="s">
        <v>366</v>
      </c>
      <c r="O889" s="13" t="str">
        <f t="array" ref="O889">_xlfn.IFS(N889="A","א'", N889="B", "ב'", N889= "C", "ג'")</f>
        <v>ג'</v>
      </c>
      <c r="P889" s="13">
        <f>IF(Table_2[[#This Row],[Correct_Answer]]=Table_2[[#This Row],[System_Recommendation]],1,0)</f>
        <v>0</v>
      </c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 spans="1:26" ht="15.75" hidden="1" customHeight="1">
      <c r="A890" s="8" t="s">
        <v>211</v>
      </c>
      <c r="B890" s="8">
        <v>31</v>
      </c>
      <c r="C890" s="9" t="s">
        <v>381</v>
      </c>
      <c r="D890" s="8">
        <v>3</v>
      </c>
      <c r="E890" s="9" t="s">
        <v>111</v>
      </c>
      <c r="F890" s="8" t="s">
        <v>384</v>
      </c>
      <c r="G890" s="8" t="s">
        <v>117</v>
      </c>
      <c r="H890" s="8" t="s">
        <v>205</v>
      </c>
      <c r="I890" s="8" t="s">
        <v>100</v>
      </c>
      <c r="J890" s="9" t="s">
        <v>380</v>
      </c>
      <c r="K890" s="8" t="str">
        <f>VLOOKUP(LEFT(H890,7),'קטלוג תרחישים'!$A:$M,12,FALSE())</f>
        <v>א'</v>
      </c>
      <c r="L890" s="8" t="str">
        <f>IF(J890="כן",K890,VLOOKUP(LEFT(H890,7),'קטלוג תרחישים'!$A:$M,13,FALSE()))</f>
        <v>א'</v>
      </c>
      <c r="M890" s="13"/>
      <c r="N890" s="50" t="s">
        <v>366</v>
      </c>
      <c r="O890" s="13" t="str">
        <f t="array" ref="O890">_xlfn.IFS(N890="A","א'", N890="B", "ב'", N890= "C", "ג'")</f>
        <v>ג'</v>
      </c>
      <c r="P890" s="13">
        <f>IF(Table_2[[#This Row],[Correct_Answer]]=Table_2[[#This Row],[System_Recommendation]],1,0)</f>
        <v>1</v>
      </c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 spans="1:26" ht="15.75" hidden="1" customHeight="1">
      <c r="A891" s="8" t="s">
        <v>211</v>
      </c>
      <c r="B891" s="8">
        <v>32</v>
      </c>
      <c r="C891" s="9" t="s">
        <v>381</v>
      </c>
      <c r="D891" s="8">
        <v>3</v>
      </c>
      <c r="E891" s="9" t="s">
        <v>111</v>
      </c>
      <c r="F891" s="8" t="s">
        <v>384</v>
      </c>
      <c r="G891" s="8" t="s">
        <v>117</v>
      </c>
      <c r="H891" s="8" t="s">
        <v>202</v>
      </c>
      <c r="I891" s="8" t="s">
        <v>91</v>
      </c>
      <c r="J891" s="9" t="s">
        <v>380</v>
      </c>
      <c r="K891" s="8" t="str">
        <f>VLOOKUP(LEFT(H891,7),'קטלוג תרחישים'!$A:$M,12,FALSE())</f>
        <v>ג'</v>
      </c>
      <c r="L891" s="8" t="str">
        <f>IF(J891="כן",K891,VLOOKUP(LEFT(H891,7),'קטלוג תרחישים'!$A:$M,13,FALSE()))</f>
        <v>ג'</v>
      </c>
      <c r="M891" s="13"/>
      <c r="N891" s="51" t="s">
        <v>360</v>
      </c>
      <c r="O891" s="13" t="str">
        <f t="array" ref="O891">_xlfn.IFS(N891="A","א'", N891="B", "ב'", N891= "C", "ג'")</f>
        <v>א'</v>
      </c>
      <c r="P891" s="13">
        <f>IF(Table_2[[#This Row],[Correct_Answer]]=Table_2[[#This Row],[System_Recommendation]],1,0)</f>
        <v>1</v>
      </c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 spans="1:26" ht="15.75" hidden="1" customHeight="1">
      <c r="A892" s="8" t="s">
        <v>211</v>
      </c>
      <c r="B892" s="8">
        <v>33</v>
      </c>
      <c r="C892" s="9" t="s">
        <v>381</v>
      </c>
      <c r="D892" s="8">
        <v>3</v>
      </c>
      <c r="E892" s="9" t="s">
        <v>111</v>
      </c>
      <c r="F892" s="8" t="s">
        <v>384</v>
      </c>
      <c r="G892" s="8" t="s">
        <v>117</v>
      </c>
      <c r="H892" s="8" t="s">
        <v>203</v>
      </c>
      <c r="I892" s="8" t="s">
        <v>100</v>
      </c>
      <c r="J892" s="9" t="s">
        <v>383</v>
      </c>
      <c r="K892" s="8" t="str">
        <f>VLOOKUP(LEFT(H892,7),'קטלוג תרחישים'!$A:$M,12,FALSE())</f>
        <v>א'</v>
      </c>
      <c r="L892" s="8" t="str">
        <f>IF(J892="כן",K892,VLOOKUP(LEFT(H892,7),'קטלוג תרחישים'!$A:$M,13,FALSE()))</f>
        <v>ב'</v>
      </c>
      <c r="M892" s="13"/>
      <c r="N892" s="50" t="s">
        <v>360</v>
      </c>
      <c r="O892" s="13" t="str">
        <f t="array" ref="O892">_xlfn.IFS(N892="A","א'", N892="B", "ב'", N892= "C", "ג'")</f>
        <v>א'</v>
      </c>
      <c r="P892" s="13">
        <f>IF(Table_2[[#This Row],[Correct_Answer]]=Table_2[[#This Row],[System_Recommendation]],1,0)</f>
        <v>0</v>
      </c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 spans="1:26" ht="15.75" hidden="1" customHeight="1">
      <c r="A893" s="8" t="s">
        <v>212</v>
      </c>
      <c r="B893" s="8">
        <v>1</v>
      </c>
      <c r="C893" s="9" t="s">
        <v>379</v>
      </c>
      <c r="D893" s="8"/>
      <c r="E893" s="9" t="s">
        <v>98</v>
      </c>
      <c r="F893" s="8"/>
      <c r="G893" s="8"/>
      <c r="H893" s="11" t="s">
        <v>90</v>
      </c>
      <c r="I893" s="8" t="s">
        <v>91</v>
      </c>
      <c r="J893" s="9" t="s">
        <v>380</v>
      </c>
      <c r="K893" s="8" t="str">
        <f>VLOOKUP(LEFT(H893,7),'קטלוג תרחישים'!$A:$M,12,FALSE())</f>
        <v>א'</v>
      </c>
      <c r="L893" s="8" t="str">
        <f>IF(J893="כן",K893,VLOOKUP(LEFT(H893,7),'קטלוג תרחישים'!$A:$M,13,FALSE()))</f>
        <v>א'</v>
      </c>
      <c r="M893" s="13"/>
      <c r="N893" s="51" t="s">
        <v>366</v>
      </c>
      <c r="O893" s="13" t="str">
        <f t="array" ref="O893">_xlfn.IFS(N893="A","א'", N893="B", "ב'", N893= "C", "ג'")</f>
        <v>ג'</v>
      </c>
      <c r="P893" s="13">
        <f>IF(Table_2[[#This Row],[Correct_Answer]]=Table_2[[#This Row],[System_Recommendation]],1,0)</f>
        <v>1</v>
      </c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 spans="1:26" ht="15.75" hidden="1" customHeight="1">
      <c r="A894" s="8" t="s">
        <v>212</v>
      </c>
      <c r="B894" s="8">
        <v>2</v>
      </c>
      <c r="C894" s="9" t="s">
        <v>379</v>
      </c>
      <c r="D894" s="8"/>
      <c r="E894" s="9" t="s">
        <v>98</v>
      </c>
      <c r="F894" s="8"/>
      <c r="G894" s="8"/>
      <c r="H894" s="11" t="s">
        <v>92</v>
      </c>
      <c r="I894" s="8" t="s">
        <v>91</v>
      </c>
      <c r="J894" s="9" t="s">
        <v>380</v>
      </c>
      <c r="K894" s="8" t="str">
        <f>VLOOKUP(LEFT(H894,7),'קטלוג תרחישים'!$A:$M,12,FALSE())</f>
        <v>א'</v>
      </c>
      <c r="L894" s="8" t="str">
        <f>IF(J894="כן",K894,VLOOKUP(LEFT(H894,7),'קטלוג תרחישים'!$A:$M,13,FALSE()))</f>
        <v>א'</v>
      </c>
      <c r="M894" s="13"/>
      <c r="N894" s="50" t="s">
        <v>366</v>
      </c>
      <c r="O894" s="13" t="str">
        <f t="array" ref="O894">_xlfn.IFS(N894="A","א'", N894="B", "ב'", N894= "C", "ג'")</f>
        <v>ג'</v>
      </c>
      <c r="P894" s="13">
        <f>IF(Table_2[[#This Row],[Correct_Answer]]=Table_2[[#This Row],[System_Recommendation]],1,0)</f>
        <v>1</v>
      </c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 spans="1:26" ht="15.75" hidden="1" customHeight="1">
      <c r="A895" s="8" t="s">
        <v>212</v>
      </c>
      <c r="B895" s="8">
        <v>3</v>
      </c>
      <c r="C895" s="9" t="s">
        <v>379</v>
      </c>
      <c r="D895" s="8"/>
      <c r="E895" s="9" t="s">
        <v>105</v>
      </c>
      <c r="F895" s="8"/>
      <c r="G895" s="8"/>
      <c r="H895" s="11" t="s">
        <v>93</v>
      </c>
      <c r="I895" s="8" t="s">
        <v>91</v>
      </c>
      <c r="J895" s="9" t="s">
        <v>380</v>
      </c>
      <c r="K895" s="8" t="str">
        <f>VLOOKUP(LEFT(H895,7),'קטלוג תרחישים'!$A:$M,12,FALSE())</f>
        <v>א'</v>
      </c>
      <c r="L895" s="8" t="str">
        <f>IF(J895="כן",K895,VLOOKUP(LEFT(H895,7),'קטלוג תרחישים'!$A:$M,13,FALSE()))</f>
        <v>א'</v>
      </c>
      <c r="M895" s="13"/>
      <c r="N895" s="51" t="s">
        <v>366</v>
      </c>
      <c r="O895" s="13" t="str">
        <f t="array" ref="O895">_xlfn.IFS(N895="A","א'", N895="B", "ב'", N895= "C", "ג'")</f>
        <v>ג'</v>
      </c>
      <c r="P895" s="13">
        <f>IF(Table_2[[#This Row],[Correct_Answer]]=Table_2[[#This Row],[System_Recommendation]],1,0)</f>
        <v>1</v>
      </c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 spans="1:26" ht="15.75" hidden="1" customHeight="1">
      <c r="A896" s="8" t="s">
        <v>212</v>
      </c>
      <c r="B896" s="8">
        <v>4</v>
      </c>
      <c r="C896" s="9" t="s">
        <v>379</v>
      </c>
      <c r="D896" s="8"/>
      <c r="E896" s="9" t="s">
        <v>105</v>
      </c>
      <c r="F896" s="8"/>
      <c r="G896" s="8"/>
      <c r="H896" s="11" t="s">
        <v>94</v>
      </c>
      <c r="I896" s="8" t="s">
        <v>91</v>
      </c>
      <c r="J896" s="9" t="s">
        <v>380</v>
      </c>
      <c r="K896" s="8" t="str">
        <f>VLOOKUP(LEFT(H896,7),'קטלוג תרחישים'!$A:$M,12,FALSE())</f>
        <v>א'</v>
      </c>
      <c r="L896" s="8" t="str">
        <f>IF(J896="כן",K896,VLOOKUP(LEFT(H896,7),'קטלוג תרחישים'!$A:$M,13,FALSE()))</f>
        <v>א'</v>
      </c>
      <c r="M896" s="13"/>
      <c r="N896" s="50" t="s">
        <v>365</v>
      </c>
      <c r="O896" s="13" t="str">
        <f t="array" ref="O896">_xlfn.IFS(N896="A","א'", N896="B", "ב'", N896= "C", "ג'")</f>
        <v>ב'</v>
      </c>
      <c r="P896" s="13">
        <f>IF(Table_2[[#This Row],[Correct_Answer]]=Table_2[[#This Row],[System_Recommendation]],1,0)</f>
        <v>1</v>
      </c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 spans="1:26" ht="15.75" hidden="1" customHeight="1">
      <c r="A897" s="8" t="s">
        <v>212</v>
      </c>
      <c r="B897" s="8">
        <v>5</v>
      </c>
      <c r="C897" s="9" t="s">
        <v>379</v>
      </c>
      <c r="D897" s="8"/>
      <c r="E897" s="9" t="s">
        <v>111</v>
      </c>
      <c r="F897" s="8"/>
      <c r="G897" s="8"/>
      <c r="H897" s="11" t="s">
        <v>95</v>
      </c>
      <c r="I897" s="8" t="s">
        <v>91</v>
      </c>
      <c r="J897" s="9" t="s">
        <v>380</v>
      </c>
      <c r="K897" s="8" t="str">
        <f>VLOOKUP(LEFT(H897,7),'קטלוג תרחישים'!$A:$M,12,FALSE())</f>
        <v>ב'</v>
      </c>
      <c r="L897" s="8" t="str">
        <f>IF(J897="כן",K897,VLOOKUP(LEFT(H897,7),'קטלוג תרחישים'!$A:$M,13,FALSE()))</f>
        <v>ב'</v>
      </c>
      <c r="M897" s="13"/>
      <c r="N897" s="51" t="s">
        <v>360</v>
      </c>
      <c r="O897" s="13" t="str">
        <f t="array" ref="O897">_xlfn.IFS(N897="A","א'", N897="B", "ב'", N897= "C", "ג'")</f>
        <v>א'</v>
      </c>
      <c r="P897" s="13">
        <f>IF(Table_2[[#This Row],[Correct_Answer]]=Table_2[[#This Row],[System_Recommendation]],1,0)</f>
        <v>1</v>
      </c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 spans="1:26" ht="15.75" customHeight="1">
      <c r="A898" s="8" t="s">
        <v>212</v>
      </c>
      <c r="B898" s="8">
        <v>6</v>
      </c>
      <c r="C898" s="9" t="s">
        <v>379</v>
      </c>
      <c r="D898" s="8"/>
      <c r="E898" s="9" t="s">
        <v>111</v>
      </c>
      <c r="F898" s="8"/>
      <c r="G898" s="8"/>
      <c r="H898" s="11" t="s">
        <v>96</v>
      </c>
      <c r="I898" s="8" t="s">
        <v>91</v>
      </c>
      <c r="J898" s="9" t="s">
        <v>380</v>
      </c>
      <c r="K898" s="8" t="str">
        <f>VLOOKUP(LEFT(H898,7),'קטלוג תרחישים'!$A:$M,12,FALSE())</f>
        <v>ב'</v>
      </c>
      <c r="L898" s="8" t="str">
        <f>IF(J898="כן",K898,VLOOKUP(LEFT(H898,7),'קטלוג תרחישים'!$A:$M,13,FALSE()))</f>
        <v>ב'</v>
      </c>
      <c r="M898" s="13"/>
      <c r="N898" s="50" t="s">
        <v>366</v>
      </c>
      <c r="O898" s="13" t="str">
        <f t="array" ref="O898">_xlfn.IFS(N898="A","א'", N898="B", "ב'", N898= "C", "ג'")</f>
        <v>ג'</v>
      </c>
      <c r="P898" s="13">
        <f>IF(Table_2[[#This Row],[Correct_Answer]]=Table_2[[#This Row],[System_Recommendation]],1,0)</f>
        <v>1</v>
      </c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 spans="1:26" ht="15.75" hidden="1" customHeight="1">
      <c r="A899" s="8" t="s">
        <v>212</v>
      </c>
      <c r="B899" s="8">
        <v>7</v>
      </c>
      <c r="C899" s="9" t="s">
        <v>381</v>
      </c>
      <c r="D899" s="8">
        <v>1</v>
      </c>
      <c r="E899" s="9" t="s">
        <v>105</v>
      </c>
      <c r="F899" s="8" t="s">
        <v>382</v>
      </c>
      <c r="G899" s="8" t="s">
        <v>117</v>
      </c>
      <c r="H899" s="8" t="s">
        <v>200</v>
      </c>
      <c r="I899" s="8" t="s">
        <v>91</v>
      </c>
      <c r="J899" s="9" t="s">
        <v>383</v>
      </c>
      <c r="K899" s="8" t="str">
        <f>VLOOKUP(LEFT(H899,7),'קטלוג תרחישים'!$A:$M,12,FALSE())</f>
        <v>ג'</v>
      </c>
      <c r="L899" s="8" t="str">
        <f>IF(J899="כן",K899,VLOOKUP(LEFT(H899,7),'קטלוג תרחישים'!$A:$M,13,FALSE()))</f>
        <v>א'</v>
      </c>
      <c r="M899" s="13"/>
      <c r="N899" s="51" t="s">
        <v>366</v>
      </c>
      <c r="O899" s="13" t="str">
        <f t="array" ref="O899">_xlfn.IFS(N899="A","א'", N899="B", "ב'", N899= "C", "ג'")</f>
        <v>ג'</v>
      </c>
      <c r="P899" s="13">
        <f>IF(Table_2[[#This Row],[Correct_Answer]]=Table_2[[#This Row],[System_Recommendation]],1,0)</f>
        <v>0</v>
      </c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 spans="1:26" ht="15.75" hidden="1" customHeight="1">
      <c r="A900" s="8" t="s">
        <v>212</v>
      </c>
      <c r="B900" s="8">
        <v>8</v>
      </c>
      <c r="C900" s="9" t="s">
        <v>381</v>
      </c>
      <c r="D900" s="8">
        <v>1</v>
      </c>
      <c r="E900" s="9" t="s">
        <v>105</v>
      </c>
      <c r="F900" s="8" t="s">
        <v>382</v>
      </c>
      <c r="G900" s="8" t="s">
        <v>117</v>
      </c>
      <c r="H900" s="8" t="s">
        <v>201</v>
      </c>
      <c r="I900" s="8" t="s">
        <v>100</v>
      </c>
      <c r="J900" s="9" t="s">
        <v>383</v>
      </c>
      <c r="K900" s="8" t="str">
        <f>VLOOKUP(LEFT(H900,7),'קטלוג תרחישים'!$A:$M,12,FALSE())</f>
        <v>ב'</v>
      </c>
      <c r="L900" s="8" t="str">
        <f>IF(J900="כן",K900,VLOOKUP(LEFT(H900,7),'קטלוג תרחישים'!$A:$M,13,FALSE()))</f>
        <v>א'</v>
      </c>
      <c r="M900" s="13"/>
      <c r="N900" s="50" t="s">
        <v>365</v>
      </c>
      <c r="O900" s="13" t="str">
        <f t="array" ref="O900">_xlfn.IFS(N900="A","א'", N900="B", "ב'", N900= "C", "ג'")</f>
        <v>ב'</v>
      </c>
      <c r="P900" s="13">
        <f>IF(Table_2[[#This Row],[Correct_Answer]]=Table_2[[#This Row],[System_Recommendation]],1,0)</f>
        <v>0</v>
      </c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 spans="1:26" ht="15.75" hidden="1" customHeight="1">
      <c r="A901" s="8" t="s">
        <v>212</v>
      </c>
      <c r="B901" s="8">
        <v>9</v>
      </c>
      <c r="C901" s="9" t="s">
        <v>381</v>
      </c>
      <c r="D901" s="8">
        <v>1</v>
      </c>
      <c r="E901" s="9" t="s">
        <v>105</v>
      </c>
      <c r="F901" s="8" t="s">
        <v>382</v>
      </c>
      <c r="G901" s="8" t="s">
        <v>117</v>
      </c>
      <c r="H901" s="8" t="s">
        <v>198</v>
      </c>
      <c r="I901" s="8" t="s">
        <v>91</v>
      </c>
      <c r="J901" s="9" t="s">
        <v>380</v>
      </c>
      <c r="K901" s="8" t="str">
        <f>VLOOKUP(LEFT(H901,7),'קטלוג תרחישים'!$A:$M,12,FALSE())</f>
        <v>ב'</v>
      </c>
      <c r="L901" s="8" t="str">
        <f>IF(J901="כן",K901,VLOOKUP(LEFT(H901,7),'קטלוג תרחישים'!$A:$M,13,FALSE()))</f>
        <v>ב'</v>
      </c>
      <c r="M901" s="13"/>
      <c r="N901" s="51" t="s">
        <v>365</v>
      </c>
      <c r="O901" s="13" t="str">
        <f t="array" ref="O901">_xlfn.IFS(N901="A","א'", N901="B", "ב'", N901= "C", "ג'")</f>
        <v>ב'</v>
      </c>
      <c r="P901" s="13">
        <f>IF(Table_2[[#This Row],[Correct_Answer]]=Table_2[[#This Row],[System_Recommendation]],1,0)</f>
        <v>1</v>
      </c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 spans="1:26" ht="15.75" hidden="1" customHeight="1">
      <c r="A902" s="8" t="s">
        <v>212</v>
      </c>
      <c r="B902" s="8">
        <v>10</v>
      </c>
      <c r="C902" s="9" t="s">
        <v>381</v>
      </c>
      <c r="D902" s="8">
        <v>1</v>
      </c>
      <c r="E902" s="9" t="s">
        <v>105</v>
      </c>
      <c r="F902" s="8" t="s">
        <v>382</v>
      </c>
      <c r="G902" s="8" t="s">
        <v>117</v>
      </c>
      <c r="H902" s="8" t="s">
        <v>199</v>
      </c>
      <c r="I902" s="8" t="s">
        <v>100</v>
      </c>
      <c r="J902" s="9" t="s">
        <v>380</v>
      </c>
      <c r="K902" s="8" t="str">
        <f>VLOOKUP(LEFT(H902,7),'קטלוג תרחישים'!$A:$M,12,FALSE())</f>
        <v>ג'</v>
      </c>
      <c r="L902" s="8" t="str">
        <f>IF(J902="כן",K902,VLOOKUP(LEFT(H902,7),'קטלוג תרחישים'!$A:$M,13,FALSE()))</f>
        <v>ג'</v>
      </c>
      <c r="M902" s="13"/>
      <c r="N902" s="50" t="s">
        <v>365</v>
      </c>
      <c r="O902" s="13" t="str">
        <f t="array" ref="O902">_xlfn.IFS(N902="A","א'", N902="B", "ב'", N902= "C", "ג'")</f>
        <v>ב'</v>
      </c>
      <c r="P902" s="13">
        <f>IF(Table_2[[#This Row],[Correct_Answer]]=Table_2[[#This Row],[System_Recommendation]],1,0)</f>
        <v>1</v>
      </c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 spans="1:26" ht="15.75" hidden="1" customHeight="1">
      <c r="A903" s="8" t="s">
        <v>212</v>
      </c>
      <c r="B903" s="8">
        <v>11</v>
      </c>
      <c r="C903" s="9" t="s">
        <v>381</v>
      </c>
      <c r="D903" s="8">
        <v>2</v>
      </c>
      <c r="E903" s="9" t="s">
        <v>111</v>
      </c>
      <c r="F903" s="8" t="s">
        <v>382</v>
      </c>
      <c r="G903" s="8" t="s">
        <v>117</v>
      </c>
      <c r="H903" s="8" t="s">
        <v>204</v>
      </c>
      <c r="I903" s="8" t="s">
        <v>91</v>
      </c>
      <c r="J903" s="9" t="s">
        <v>380</v>
      </c>
      <c r="K903" s="8" t="str">
        <f>VLOOKUP(LEFT(H903,7),'קטלוג תרחישים'!$A:$M,12,FALSE())</f>
        <v>ב'</v>
      </c>
      <c r="L903" s="8" t="str">
        <f>IF(J903="כן",K903,VLOOKUP(LEFT(H903,7),'קטלוג תרחישים'!$A:$M,13,FALSE()))</f>
        <v>ב'</v>
      </c>
      <c r="M903" s="13"/>
      <c r="N903" s="51" t="s">
        <v>360</v>
      </c>
      <c r="O903" s="13" t="str">
        <f t="array" ref="O903">_xlfn.IFS(N903="A","א'", N903="B", "ב'", N903= "C", "ג'")</f>
        <v>א'</v>
      </c>
      <c r="P903" s="13">
        <f>IF(Table_2[[#This Row],[Correct_Answer]]=Table_2[[#This Row],[System_Recommendation]],1,0)</f>
        <v>1</v>
      </c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 spans="1:26" ht="15.75" hidden="1" customHeight="1">
      <c r="A904" s="8" t="s">
        <v>212</v>
      </c>
      <c r="B904" s="8">
        <v>12</v>
      </c>
      <c r="C904" s="9" t="s">
        <v>381</v>
      </c>
      <c r="D904" s="8">
        <v>2</v>
      </c>
      <c r="E904" s="9" t="s">
        <v>111</v>
      </c>
      <c r="F904" s="8" t="s">
        <v>382</v>
      </c>
      <c r="G904" s="8" t="s">
        <v>117</v>
      </c>
      <c r="H904" s="8" t="s">
        <v>205</v>
      </c>
      <c r="I904" s="8" t="s">
        <v>100</v>
      </c>
      <c r="J904" s="9" t="s">
        <v>380</v>
      </c>
      <c r="K904" s="8" t="str">
        <f>VLOOKUP(LEFT(H904,7),'קטלוג תרחישים'!$A:$M,12,FALSE())</f>
        <v>א'</v>
      </c>
      <c r="L904" s="8" t="str">
        <f>IF(J904="כן",K904,VLOOKUP(LEFT(H904,7),'קטלוג תרחישים'!$A:$M,13,FALSE()))</f>
        <v>א'</v>
      </c>
      <c r="M904" s="13"/>
      <c r="N904" s="50" t="s">
        <v>366</v>
      </c>
      <c r="O904" s="13" t="str">
        <f t="array" ref="O904">_xlfn.IFS(N904="A","א'", N904="B", "ב'", N904= "C", "ג'")</f>
        <v>ג'</v>
      </c>
      <c r="P904" s="13">
        <f>IF(Table_2[[#This Row],[Correct_Answer]]=Table_2[[#This Row],[System_Recommendation]],1,0)</f>
        <v>1</v>
      </c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 spans="1:26" ht="15.75" hidden="1" customHeight="1">
      <c r="A905" s="8" t="s">
        <v>212</v>
      </c>
      <c r="B905" s="8">
        <v>13</v>
      </c>
      <c r="C905" s="9" t="s">
        <v>381</v>
      </c>
      <c r="D905" s="8">
        <v>2</v>
      </c>
      <c r="E905" s="9" t="s">
        <v>111</v>
      </c>
      <c r="F905" s="8" t="s">
        <v>382</v>
      </c>
      <c r="G905" s="8" t="s">
        <v>117</v>
      </c>
      <c r="H905" s="8" t="s">
        <v>202</v>
      </c>
      <c r="I905" s="8" t="s">
        <v>91</v>
      </c>
      <c r="J905" s="9" t="s">
        <v>383</v>
      </c>
      <c r="K905" s="8" t="str">
        <f>VLOOKUP(LEFT(H905,7),'קטלוג תרחישים'!$A:$M,12,FALSE())</f>
        <v>ג'</v>
      </c>
      <c r="L905" s="8" t="str">
        <f>IF(J905="כן",K905,VLOOKUP(LEFT(H905,7),'קטלוג תרחישים'!$A:$M,13,FALSE()))</f>
        <v>א'</v>
      </c>
      <c r="M905" s="13"/>
      <c r="N905" s="51" t="s">
        <v>365</v>
      </c>
      <c r="O905" s="13" t="str">
        <f t="array" ref="O905">_xlfn.IFS(N905="A","א'", N905="B", "ב'", N905= "C", "ג'")</f>
        <v>ב'</v>
      </c>
      <c r="P905" s="13">
        <f>IF(Table_2[[#This Row],[Correct_Answer]]=Table_2[[#This Row],[System_Recommendation]],1,0)</f>
        <v>0</v>
      </c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 spans="1:26" ht="15.75" hidden="1" customHeight="1">
      <c r="A906" s="8" t="s">
        <v>212</v>
      </c>
      <c r="B906" s="8">
        <v>14</v>
      </c>
      <c r="C906" s="9" t="s">
        <v>381</v>
      </c>
      <c r="D906" s="8">
        <v>2</v>
      </c>
      <c r="E906" s="9" t="s">
        <v>111</v>
      </c>
      <c r="F906" s="8" t="s">
        <v>382</v>
      </c>
      <c r="G906" s="8" t="s">
        <v>117</v>
      </c>
      <c r="H906" s="8" t="s">
        <v>203</v>
      </c>
      <c r="I906" s="8" t="s">
        <v>100</v>
      </c>
      <c r="J906" s="9" t="s">
        <v>383</v>
      </c>
      <c r="K906" s="8" t="str">
        <f>VLOOKUP(LEFT(H906,7),'קטלוג תרחישים'!$A:$M,12,FALSE())</f>
        <v>א'</v>
      </c>
      <c r="L906" s="8" t="str">
        <f>IF(J906="כן",K906,VLOOKUP(LEFT(H906,7),'קטלוג תרחישים'!$A:$M,13,FALSE()))</f>
        <v>ב'</v>
      </c>
      <c r="M906" s="13"/>
      <c r="N906" s="50" t="s">
        <v>366</v>
      </c>
      <c r="O906" s="13" t="str">
        <f t="array" ref="O906">_xlfn.IFS(N906="A","א'", N906="B", "ב'", N906= "C", "ג'")</f>
        <v>ג'</v>
      </c>
      <c r="P906" s="13">
        <f>IF(Table_2[[#This Row],[Correct_Answer]]=Table_2[[#This Row],[System_Recommendation]],1,0)</f>
        <v>0</v>
      </c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 spans="1:26" ht="15.75" hidden="1" customHeight="1">
      <c r="A907" s="8" t="s">
        <v>212</v>
      </c>
      <c r="B907" s="8">
        <v>15</v>
      </c>
      <c r="C907" s="9" t="s">
        <v>381</v>
      </c>
      <c r="D907" s="8">
        <v>3</v>
      </c>
      <c r="E907" s="9" t="s">
        <v>98</v>
      </c>
      <c r="F907" s="8" t="s">
        <v>382</v>
      </c>
      <c r="G907" s="8" t="s">
        <v>117</v>
      </c>
      <c r="H907" s="8" t="s">
        <v>196</v>
      </c>
      <c r="I907" s="8" t="s">
        <v>91</v>
      </c>
      <c r="J907" s="9" t="s">
        <v>380</v>
      </c>
      <c r="K907" s="8" t="str">
        <f>VLOOKUP(LEFT(H907,7),'קטלוג תרחישים'!$A:$M,12,FALSE())</f>
        <v>ג'</v>
      </c>
      <c r="L907" s="8" t="str">
        <f>IF(J907="כן",K907,VLOOKUP(LEFT(H907,7),'קטלוג תרחישים'!$A:$M,13,FALSE()))</f>
        <v>ג'</v>
      </c>
      <c r="M907" s="13"/>
      <c r="N907" s="51" t="s">
        <v>360</v>
      </c>
      <c r="O907" s="13" t="str">
        <f t="array" ref="O907">_xlfn.IFS(N907="A","א'", N907="B", "ב'", N907= "C", "ג'")</f>
        <v>א'</v>
      </c>
      <c r="P907" s="13">
        <f>IF(Table_2[[#This Row],[Correct_Answer]]=Table_2[[#This Row],[System_Recommendation]],1,0)</f>
        <v>1</v>
      </c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 spans="1:26" ht="15.75" hidden="1" customHeight="1">
      <c r="A908" s="8" t="s">
        <v>212</v>
      </c>
      <c r="B908" s="8">
        <v>16</v>
      </c>
      <c r="C908" s="9" t="s">
        <v>381</v>
      </c>
      <c r="D908" s="8">
        <v>3</v>
      </c>
      <c r="E908" s="9" t="s">
        <v>98</v>
      </c>
      <c r="F908" s="8" t="s">
        <v>382</v>
      </c>
      <c r="G908" s="8" t="s">
        <v>117</v>
      </c>
      <c r="H908" s="8" t="s">
        <v>197</v>
      </c>
      <c r="I908" s="8" t="s">
        <v>100</v>
      </c>
      <c r="J908" s="9" t="s">
        <v>383</v>
      </c>
      <c r="K908" s="8" t="str">
        <f>VLOOKUP(LEFT(H908,7),'קטלוג תרחישים'!$A:$M,12,FALSE())</f>
        <v>א'</v>
      </c>
      <c r="L908" s="8" t="str">
        <f>IF(J908="כן",K908,VLOOKUP(LEFT(H908,7),'קטלוג תרחישים'!$A:$M,13,FALSE()))</f>
        <v>ב'</v>
      </c>
      <c r="M908" s="13"/>
      <c r="N908" s="50" t="s">
        <v>366</v>
      </c>
      <c r="O908" s="13" t="str">
        <f t="array" ref="O908">_xlfn.IFS(N908="A","א'", N908="B", "ב'", N908= "C", "ג'")</f>
        <v>ג'</v>
      </c>
      <c r="P908" s="13">
        <f>IF(Table_2[[#This Row],[Correct_Answer]]=Table_2[[#This Row],[System_Recommendation]],1,0)</f>
        <v>0</v>
      </c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 spans="1:26" ht="15.75" hidden="1" customHeight="1">
      <c r="A909" s="8" t="s">
        <v>212</v>
      </c>
      <c r="B909" s="8">
        <v>17</v>
      </c>
      <c r="C909" s="9" t="s">
        <v>381</v>
      </c>
      <c r="D909" s="8">
        <v>3</v>
      </c>
      <c r="E909" s="9" t="s">
        <v>98</v>
      </c>
      <c r="F909" s="8" t="s">
        <v>382</v>
      </c>
      <c r="G909" s="8" t="s">
        <v>117</v>
      </c>
      <c r="H909" s="8" t="s">
        <v>194</v>
      </c>
      <c r="I909" s="8" t="s">
        <v>91</v>
      </c>
      <c r="J909" s="9" t="s">
        <v>383</v>
      </c>
      <c r="K909" s="8" t="str">
        <f>VLOOKUP(LEFT(H909,7),'קטלוג תרחישים'!$A:$M,12,FALSE())</f>
        <v>ג'</v>
      </c>
      <c r="L909" s="8" t="str">
        <f>IF(J909="כן",K909,VLOOKUP(LEFT(H909,7),'קטלוג תרחישים'!$A:$M,13,FALSE()))</f>
        <v>ב'</v>
      </c>
      <c r="M909" s="13"/>
      <c r="N909" s="51" t="s">
        <v>366</v>
      </c>
      <c r="O909" s="13" t="str">
        <f t="array" ref="O909">_xlfn.IFS(N909="A","א'", N909="B", "ב'", N909= "C", "ג'")</f>
        <v>ג'</v>
      </c>
      <c r="P909" s="13">
        <f>IF(Table_2[[#This Row],[Correct_Answer]]=Table_2[[#This Row],[System_Recommendation]],1,0)</f>
        <v>0</v>
      </c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 spans="1:26" ht="15.75" hidden="1" customHeight="1">
      <c r="A910" s="8" t="s">
        <v>212</v>
      </c>
      <c r="B910" s="8">
        <v>18</v>
      </c>
      <c r="C910" s="9" t="s">
        <v>381</v>
      </c>
      <c r="D910" s="8">
        <v>3</v>
      </c>
      <c r="E910" s="9" t="s">
        <v>98</v>
      </c>
      <c r="F910" s="8" t="s">
        <v>382</v>
      </c>
      <c r="G910" s="8" t="s">
        <v>117</v>
      </c>
      <c r="H910" s="8" t="s">
        <v>195</v>
      </c>
      <c r="I910" s="8" t="s">
        <v>100</v>
      </c>
      <c r="J910" s="9" t="s">
        <v>380</v>
      </c>
      <c r="K910" s="8" t="str">
        <f>VLOOKUP(LEFT(H910,7),'קטלוג תרחישים'!$A:$M,12,FALSE())</f>
        <v>ג'</v>
      </c>
      <c r="L910" s="8" t="str">
        <f>IF(J910="כן",K910,VLOOKUP(LEFT(H910,7),'קטלוג תרחישים'!$A:$M,13,FALSE()))</f>
        <v>ג'</v>
      </c>
      <c r="M910" s="13"/>
      <c r="N910" s="50" t="s">
        <v>365</v>
      </c>
      <c r="O910" s="13" t="str">
        <f t="array" ref="O910">_xlfn.IFS(N910="A","א'", N910="B", "ב'", N910= "C", "ג'")</f>
        <v>ב'</v>
      </c>
      <c r="P910" s="13">
        <f>IF(Table_2[[#This Row],[Correct_Answer]]=Table_2[[#This Row],[System_Recommendation]],1,0)</f>
        <v>1</v>
      </c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 spans="1:26" ht="15.75" hidden="1" customHeight="1">
      <c r="A911" s="8" t="s">
        <v>212</v>
      </c>
      <c r="B911" s="8">
        <v>19</v>
      </c>
      <c r="C911" s="9" t="s">
        <v>381</v>
      </c>
      <c r="D911" s="8">
        <v>1</v>
      </c>
      <c r="E911" s="9" t="s">
        <v>98</v>
      </c>
      <c r="F911" s="8" t="s">
        <v>384</v>
      </c>
      <c r="G911" s="8" t="s">
        <v>97</v>
      </c>
      <c r="H911" s="8" t="s">
        <v>188</v>
      </c>
      <c r="I911" s="8" t="s">
        <v>91</v>
      </c>
      <c r="J911" s="9" t="s">
        <v>383</v>
      </c>
      <c r="K911" s="8" t="str">
        <f>VLOOKUP(LEFT(H911,7),'קטלוג תרחישים'!$A:$M,12,FALSE())</f>
        <v>ג'</v>
      </c>
      <c r="L911" s="8" t="str">
        <f>IF(J911="כן",K911,VLOOKUP(LEFT(H911,7),'קטלוג תרחישים'!$A:$M,13,FALSE()))</f>
        <v>א'</v>
      </c>
      <c r="M911" s="13"/>
      <c r="N911" s="51" t="s">
        <v>360</v>
      </c>
      <c r="O911" s="13" t="str">
        <f t="array" ref="O911">_xlfn.IFS(N911="A","א'", N911="B", "ב'", N911= "C", "ג'")</f>
        <v>א'</v>
      </c>
      <c r="P911" s="13">
        <f>IF(Table_2[[#This Row],[Correct_Answer]]=Table_2[[#This Row],[System_Recommendation]],1,0)</f>
        <v>0</v>
      </c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 spans="1:26" ht="15.75" hidden="1" customHeight="1">
      <c r="A912" s="8" t="s">
        <v>212</v>
      </c>
      <c r="B912" s="8">
        <v>20</v>
      </c>
      <c r="C912" s="9" t="s">
        <v>381</v>
      </c>
      <c r="D912" s="8">
        <v>1</v>
      </c>
      <c r="E912" s="9" t="s">
        <v>98</v>
      </c>
      <c r="F912" s="8" t="s">
        <v>384</v>
      </c>
      <c r="G912" s="8" t="s">
        <v>97</v>
      </c>
      <c r="H912" s="8" t="s">
        <v>187</v>
      </c>
      <c r="I912" s="8" t="s">
        <v>100</v>
      </c>
      <c r="J912" s="9" t="s">
        <v>380</v>
      </c>
      <c r="K912" s="8" t="str">
        <f>VLOOKUP(LEFT(H912,7),'קטלוג תרחישים'!$A:$M,12,FALSE())</f>
        <v>ב'</v>
      </c>
      <c r="L912" s="8" t="str">
        <f>IF(J912="כן",K912,VLOOKUP(LEFT(H912,7),'קטלוג תרחישים'!$A:$M,13,FALSE()))</f>
        <v>ב'</v>
      </c>
      <c r="M912" s="13"/>
      <c r="N912" s="50" t="s">
        <v>366</v>
      </c>
      <c r="O912" s="13" t="str">
        <f t="array" ref="O912">_xlfn.IFS(N912="A","א'", N912="B", "ב'", N912= "C", "ג'")</f>
        <v>ג'</v>
      </c>
      <c r="P912" s="13">
        <f>IF(Table_2[[#This Row],[Correct_Answer]]=Table_2[[#This Row],[System_Recommendation]],1,0)</f>
        <v>1</v>
      </c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 spans="1:26" ht="15.75" hidden="1" customHeight="1">
      <c r="A913" s="8" t="s">
        <v>212</v>
      </c>
      <c r="B913" s="8">
        <v>21</v>
      </c>
      <c r="C913" s="9" t="s">
        <v>381</v>
      </c>
      <c r="D913" s="8">
        <v>1</v>
      </c>
      <c r="E913" s="9" t="s">
        <v>98</v>
      </c>
      <c r="F913" s="8" t="s">
        <v>384</v>
      </c>
      <c r="G913" s="8" t="s">
        <v>97</v>
      </c>
      <c r="H913" s="8" t="s">
        <v>184</v>
      </c>
      <c r="I913" s="8" t="s">
        <v>91</v>
      </c>
      <c r="J913" s="9" t="s">
        <v>380</v>
      </c>
      <c r="K913" s="8" t="str">
        <f>VLOOKUP(LEFT(H913,7),'קטלוג תרחישים'!$A:$M,12,FALSE())</f>
        <v>ג'</v>
      </c>
      <c r="L913" s="8" t="str">
        <f>IF(J913="כן",K913,VLOOKUP(LEFT(H913,7),'קטלוג תרחישים'!$A:$M,13,FALSE()))</f>
        <v>ג'</v>
      </c>
      <c r="M913" s="13"/>
      <c r="N913" s="51" t="s">
        <v>365</v>
      </c>
      <c r="O913" s="13" t="str">
        <f t="array" ref="O913">_xlfn.IFS(N913="A","א'", N913="B", "ב'", N913= "C", "ג'")</f>
        <v>ב'</v>
      </c>
      <c r="P913" s="13">
        <f>IF(Table_2[[#This Row],[Correct_Answer]]=Table_2[[#This Row],[System_Recommendation]],1,0)</f>
        <v>1</v>
      </c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 spans="1:26" ht="15.75" hidden="1" customHeight="1">
      <c r="A914" s="8" t="s">
        <v>212</v>
      </c>
      <c r="B914" s="8">
        <v>22</v>
      </c>
      <c r="C914" s="9" t="s">
        <v>381</v>
      </c>
      <c r="D914" s="8">
        <v>1</v>
      </c>
      <c r="E914" s="9" t="s">
        <v>98</v>
      </c>
      <c r="F914" s="8" t="s">
        <v>384</v>
      </c>
      <c r="G914" s="8" t="s">
        <v>97</v>
      </c>
      <c r="H914" s="8" t="s">
        <v>185</v>
      </c>
      <c r="I914" s="8" t="s">
        <v>100</v>
      </c>
      <c r="J914" s="9" t="s">
        <v>380</v>
      </c>
      <c r="K914" s="8" t="str">
        <f>VLOOKUP(LEFT(H914,7),'קטלוג תרחישים'!$A:$M,12,FALSE())</f>
        <v>ב'</v>
      </c>
      <c r="L914" s="8" t="str">
        <f>IF(J914="כן",K914,VLOOKUP(LEFT(H914,7),'קטלוג תרחישים'!$A:$M,13,FALSE()))</f>
        <v>ב'</v>
      </c>
      <c r="M914" s="13"/>
      <c r="N914" s="50" t="s">
        <v>366</v>
      </c>
      <c r="O914" s="13" t="str">
        <f t="array" ref="O914">_xlfn.IFS(N914="A","א'", N914="B", "ב'", N914= "C", "ג'")</f>
        <v>ג'</v>
      </c>
      <c r="P914" s="13">
        <f>IF(Table_2[[#This Row],[Correct_Answer]]=Table_2[[#This Row],[System_Recommendation]],1,0)</f>
        <v>1</v>
      </c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 spans="1:26" ht="15.75" hidden="1" customHeight="1">
      <c r="A915" s="8" t="s">
        <v>212</v>
      </c>
      <c r="B915" s="8">
        <v>23</v>
      </c>
      <c r="C915" s="9" t="s">
        <v>381</v>
      </c>
      <c r="D915" s="8">
        <v>1</v>
      </c>
      <c r="E915" s="9" t="s">
        <v>98</v>
      </c>
      <c r="F915" s="8" t="s">
        <v>384</v>
      </c>
      <c r="G915" s="8" t="s">
        <v>97</v>
      </c>
      <c r="H915" s="8" t="s">
        <v>186</v>
      </c>
      <c r="I915" s="8" t="s">
        <v>91</v>
      </c>
      <c r="J915" s="9" t="s">
        <v>380</v>
      </c>
      <c r="K915" s="8" t="str">
        <f>VLOOKUP(LEFT(H915,7),'קטלוג תרחישים'!$A:$M,12,FALSE())</f>
        <v>א'</v>
      </c>
      <c r="L915" s="8" t="str">
        <f>IF(J915="כן",K915,VLOOKUP(LEFT(H915,7),'קטלוג תרחישים'!$A:$M,13,FALSE()))</f>
        <v>א'</v>
      </c>
      <c r="M915" s="13"/>
      <c r="N915" s="51" t="s">
        <v>366</v>
      </c>
      <c r="O915" s="13" t="str">
        <f t="array" ref="O915">_xlfn.IFS(N915="A","א'", N915="B", "ב'", N915= "C", "ג'")</f>
        <v>ג'</v>
      </c>
      <c r="P915" s="13">
        <f>IF(Table_2[[#This Row],[Correct_Answer]]=Table_2[[#This Row],[System_Recommendation]],1,0)</f>
        <v>1</v>
      </c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 spans="1:26" ht="15.75" hidden="1" customHeight="1">
      <c r="A916" s="8" t="s">
        <v>212</v>
      </c>
      <c r="B916" s="8">
        <v>24</v>
      </c>
      <c r="C916" s="9" t="s">
        <v>381</v>
      </c>
      <c r="D916" s="8">
        <v>2</v>
      </c>
      <c r="E916" s="9" t="s">
        <v>105</v>
      </c>
      <c r="F916" s="8" t="s">
        <v>384</v>
      </c>
      <c r="G916" s="8" t="s">
        <v>97</v>
      </c>
      <c r="H916" s="8" t="s">
        <v>191</v>
      </c>
      <c r="I916" s="8" t="s">
        <v>91</v>
      </c>
      <c r="J916" s="9" t="s">
        <v>380</v>
      </c>
      <c r="K916" s="8" t="str">
        <f>VLOOKUP(LEFT(H916,7),'קטלוג תרחישים'!$A:$M,12,FALSE())</f>
        <v>ג'</v>
      </c>
      <c r="L916" s="8" t="str">
        <f>IF(J916="כן",K916,VLOOKUP(LEFT(H916,7),'קטלוג תרחישים'!$A:$M,13,FALSE()))</f>
        <v>ג'</v>
      </c>
      <c r="M916" s="13"/>
      <c r="N916" s="50" t="s">
        <v>365</v>
      </c>
      <c r="O916" s="13" t="str">
        <f t="array" ref="O916">_xlfn.IFS(N916="A","א'", N916="B", "ב'", N916= "C", "ג'")</f>
        <v>ב'</v>
      </c>
      <c r="P916" s="13">
        <f>IF(Table_2[[#This Row],[Correct_Answer]]=Table_2[[#This Row],[System_Recommendation]],1,0)</f>
        <v>1</v>
      </c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 spans="1:26" ht="15.75" hidden="1" customHeight="1">
      <c r="A917" s="8" t="s">
        <v>212</v>
      </c>
      <c r="B917" s="8">
        <v>25</v>
      </c>
      <c r="C917" s="9" t="s">
        <v>381</v>
      </c>
      <c r="D917" s="8">
        <v>2</v>
      </c>
      <c r="E917" s="9" t="s">
        <v>105</v>
      </c>
      <c r="F917" s="8" t="s">
        <v>384</v>
      </c>
      <c r="G917" s="8" t="s">
        <v>97</v>
      </c>
      <c r="H917" s="8" t="s">
        <v>190</v>
      </c>
      <c r="I917" s="8" t="s">
        <v>100</v>
      </c>
      <c r="J917" s="9" t="s">
        <v>380</v>
      </c>
      <c r="K917" s="8" t="str">
        <f>VLOOKUP(LEFT(H917,7),'קטלוג תרחישים'!$A:$M,12,FALSE())</f>
        <v>ג'</v>
      </c>
      <c r="L917" s="8" t="str">
        <f>IF(J917="כן",K917,VLOOKUP(LEFT(H917,7),'קטלוג תרחישים'!$A:$M,13,FALSE()))</f>
        <v>ג'</v>
      </c>
      <c r="M917" s="13"/>
      <c r="N917" s="51" t="s">
        <v>366</v>
      </c>
      <c r="O917" s="13" t="str">
        <f t="array" ref="O917">_xlfn.IFS(N917="A","א'", N917="B", "ב'", N917= "C", "ג'")</f>
        <v>ג'</v>
      </c>
      <c r="P917" s="13">
        <f>IF(Table_2[[#This Row],[Correct_Answer]]=Table_2[[#This Row],[System_Recommendation]],1,0)</f>
        <v>1</v>
      </c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 spans="1:26" ht="15.75" hidden="1" customHeight="1">
      <c r="A918" s="8" t="s">
        <v>212</v>
      </c>
      <c r="B918" s="8">
        <v>26</v>
      </c>
      <c r="C918" s="9" t="s">
        <v>381</v>
      </c>
      <c r="D918" s="8">
        <v>2</v>
      </c>
      <c r="E918" s="9" t="s">
        <v>105</v>
      </c>
      <c r="F918" s="8" t="s">
        <v>384</v>
      </c>
      <c r="G918" s="8" t="s">
        <v>97</v>
      </c>
      <c r="H918" s="8" t="s">
        <v>193</v>
      </c>
      <c r="I918" s="8" t="s">
        <v>91</v>
      </c>
      <c r="J918" s="9" t="s">
        <v>383</v>
      </c>
      <c r="K918" s="8" t="str">
        <f>VLOOKUP(LEFT(H918,7),'קטלוג תרחישים'!$A:$M,12,FALSE())</f>
        <v>ב'</v>
      </c>
      <c r="L918" s="8" t="str">
        <f>IF(J918="כן",K918,VLOOKUP(LEFT(H918,7),'קטלוג תרחישים'!$A:$M,13,FALSE()))</f>
        <v>א'</v>
      </c>
      <c r="M918" s="13"/>
      <c r="N918" s="50" t="s">
        <v>360</v>
      </c>
      <c r="O918" s="13" t="str">
        <f t="array" ref="O918">_xlfn.IFS(N918="A","א'", N918="B", "ב'", N918= "C", "ג'")</f>
        <v>א'</v>
      </c>
      <c r="P918" s="13">
        <f>IF(Table_2[[#This Row],[Correct_Answer]]=Table_2[[#This Row],[System_Recommendation]],1,0)</f>
        <v>0</v>
      </c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 spans="1:26" ht="15.75" hidden="1" customHeight="1">
      <c r="A919" s="8" t="s">
        <v>212</v>
      </c>
      <c r="B919" s="8">
        <v>27</v>
      </c>
      <c r="C919" s="9" t="s">
        <v>381</v>
      </c>
      <c r="D919" s="8">
        <v>2</v>
      </c>
      <c r="E919" s="9" t="s">
        <v>105</v>
      </c>
      <c r="F919" s="8" t="s">
        <v>384</v>
      </c>
      <c r="G919" s="8" t="s">
        <v>97</v>
      </c>
      <c r="H919" s="8" t="s">
        <v>192</v>
      </c>
      <c r="I919" s="8" t="s">
        <v>100</v>
      </c>
      <c r="J919" s="9" t="s">
        <v>380</v>
      </c>
      <c r="K919" s="8" t="str">
        <f>VLOOKUP(LEFT(H919,7),'קטלוג תרחישים'!$A:$M,12,FALSE())</f>
        <v>א'</v>
      </c>
      <c r="L919" s="8" t="str">
        <f>IF(J919="כן",K919,VLOOKUP(LEFT(H919,7),'קטלוג תרחישים'!$A:$M,13,FALSE()))</f>
        <v>א'</v>
      </c>
      <c r="M919" s="13"/>
      <c r="N919" s="51" t="s">
        <v>360</v>
      </c>
      <c r="O919" s="13" t="str">
        <f t="array" ref="O919">_xlfn.IFS(N919="A","א'", N919="B", "ב'", N919= "C", "ג'")</f>
        <v>א'</v>
      </c>
      <c r="P919" s="13">
        <f>IF(Table_2[[#This Row],[Correct_Answer]]=Table_2[[#This Row],[System_Recommendation]],1,0)</f>
        <v>1</v>
      </c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 spans="1:26" ht="15.75" hidden="1" customHeight="1">
      <c r="A920" s="8" t="s">
        <v>212</v>
      </c>
      <c r="B920" s="8">
        <v>28</v>
      </c>
      <c r="C920" s="9" t="s">
        <v>381</v>
      </c>
      <c r="D920" s="8">
        <v>2</v>
      </c>
      <c r="E920" s="9" t="s">
        <v>105</v>
      </c>
      <c r="F920" s="8" t="s">
        <v>384</v>
      </c>
      <c r="G920" s="8" t="s">
        <v>97</v>
      </c>
      <c r="H920" s="8" t="s">
        <v>189</v>
      </c>
      <c r="I920" s="8" t="s">
        <v>91</v>
      </c>
      <c r="J920" s="9" t="s">
        <v>380</v>
      </c>
      <c r="K920" s="8" t="str">
        <f>VLOOKUP(LEFT(H920,7),'קטלוג תרחישים'!$A:$M,12,FALSE())</f>
        <v>ג'</v>
      </c>
      <c r="L920" s="8" t="str">
        <f>IF(J920="כן",K920,VLOOKUP(LEFT(H920,7),'קטלוג תרחישים'!$A:$M,13,FALSE()))</f>
        <v>ג'</v>
      </c>
      <c r="M920" s="13"/>
      <c r="N920" s="50" t="s">
        <v>360</v>
      </c>
      <c r="O920" s="13" t="str">
        <f t="array" ref="O920">_xlfn.IFS(N920="A","א'", N920="B", "ב'", N920= "C", "ג'")</f>
        <v>א'</v>
      </c>
      <c r="P920" s="13">
        <f>IF(Table_2[[#This Row],[Correct_Answer]]=Table_2[[#This Row],[System_Recommendation]],1,0)</f>
        <v>1</v>
      </c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 spans="1:26" ht="15.75" hidden="1" customHeight="1">
      <c r="A921" s="8" t="s">
        <v>212</v>
      </c>
      <c r="B921" s="8">
        <v>29</v>
      </c>
      <c r="C921" s="9" t="s">
        <v>381</v>
      </c>
      <c r="D921" s="8">
        <v>3</v>
      </c>
      <c r="E921" s="9" t="s">
        <v>111</v>
      </c>
      <c r="F921" s="8" t="s">
        <v>384</v>
      </c>
      <c r="G921" s="8" t="s">
        <v>97</v>
      </c>
      <c r="H921" s="8" t="s">
        <v>183</v>
      </c>
      <c r="I921" s="8" t="s">
        <v>100</v>
      </c>
      <c r="J921" s="9" t="s">
        <v>380</v>
      </c>
      <c r="K921" s="8" t="str">
        <f>VLOOKUP(LEFT(H921,7),'קטלוג תרחישים'!$A:$M,12,FALSE())</f>
        <v>ג'</v>
      </c>
      <c r="L921" s="8" t="str">
        <f>IF(J921="כן",K921,VLOOKUP(LEFT(H921,7),'קטלוג תרחישים'!$A:$M,13,FALSE()))</f>
        <v>ג'</v>
      </c>
      <c r="M921" s="13"/>
      <c r="N921" s="51" t="s">
        <v>365</v>
      </c>
      <c r="O921" s="13" t="str">
        <f t="array" ref="O921">_xlfn.IFS(N921="A","א'", N921="B", "ב'", N921= "C", "ג'")</f>
        <v>ב'</v>
      </c>
      <c r="P921" s="13">
        <f>IF(Table_2[[#This Row],[Correct_Answer]]=Table_2[[#This Row],[System_Recommendation]],1,0)</f>
        <v>1</v>
      </c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 spans="1:26" ht="15.75" hidden="1" customHeight="1">
      <c r="A922" s="8" t="s">
        <v>212</v>
      </c>
      <c r="B922" s="8">
        <v>30</v>
      </c>
      <c r="C922" s="9" t="s">
        <v>381</v>
      </c>
      <c r="D922" s="8">
        <v>3</v>
      </c>
      <c r="E922" s="9" t="s">
        <v>111</v>
      </c>
      <c r="F922" s="8" t="s">
        <v>384</v>
      </c>
      <c r="G922" s="8" t="s">
        <v>97</v>
      </c>
      <c r="H922" s="8" t="s">
        <v>180</v>
      </c>
      <c r="I922" s="8" t="s">
        <v>91</v>
      </c>
      <c r="J922" s="9" t="s">
        <v>383</v>
      </c>
      <c r="K922" s="8" t="str">
        <f>VLOOKUP(LEFT(H922,7),'קטלוג תרחישים'!$A:$M,12,FALSE())</f>
        <v>א'</v>
      </c>
      <c r="L922" s="8" t="str">
        <f>IF(J922="כן",K922,VLOOKUP(LEFT(H922,7),'קטלוג תרחישים'!$A:$M,13,FALSE()))</f>
        <v>ב'</v>
      </c>
      <c r="M922" s="13"/>
      <c r="N922" s="50" t="s">
        <v>365</v>
      </c>
      <c r="O922" s="13" t="str">
        <f t="array" ref="O922">_xlfn.IFS(N922="A","א'", N922="B", "ב'", N922= "C", "ג'")</f>
        <v>ב'</v>
      </c>
      <c r="P922" s="13">
        <f>IF(Table_2[[#This Row],[Correct_Answer]]=Table_2[[#This Row],[System_Recommendation]],1,0)</f>
        <v>0</v>
      </c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 spans="1:26" ht="15.75" hidden="1" customHeight="1">
      <c r="A923" s="8" t="s">
        <v>212</v>
      </c>
      <c r="B923" s="8">
        <v>31</v>
      </c>
      <c r="C923" s="9" t="s">
        <v>381</v>
      </c>
      <c r="D923" s="8">
        <v>3</v>
      </c>
      <c r="E923" s="9" t="s">
        <v>111</v>
      </c>
      <c r="F923" s="8" t="s">
        <v>384</v>
      </c>
      <c r="G923" s="8" t="s">
        <v>97</v>
      </c>
      <c r="H923" s="8" t="s">
        <v>181</v>
      </c>
      <c r="I923" s="8" t="s">
        <v>100</v>
      </c>
      <c r="J923" s="9" t="s">
        <v>380</v>
      </c>
      <c r="K923" s="8" t="str">
        <f>VLOOKUP(LEFT(H923,7),'קטלוג תרחישים'!$A:$M,12,FALSE())</f>
        <v>ג'</v>
      </c>
      <c r="L923" s="8" t="str">
        <f>IF(J923="כן",K923,VLOOKUP(LEFT(H923,7),'קטלוג תרחישים'!$A:$M,13,FALSE()))</f>
        <v>ג'</v>
      </c>
      <c r="M923" s="13"/>
      <c r="N923" s="51" t="s">
        <v>366</v>
      </c>
      <c r="O923" s="13" t="str">
        <f t="array" ref="O923">_xlfn.IFS(N923="A","א'", N923="B", "ב'", N923= "C", "ג'")</f>
        <v>ג'</v>
      </c>
      <c r="P923" s="13">
        <f>IF(Table_2[[#This Row],[Correct_Answer]]=Table_2[[#This Row],[System_Recommendation]],1,0)</f>
        <v>1</v>
      </c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 spans="1:26" ht="15.75" hidden="1" customHeight="1">
      <c r="A924" s="8" t="s">
        <v>212</v>
      </c>
      <c r="B924" s="8">
        <v>32</v>
      </c>
      <c r="C924" s="9" t="s">
        <v>381</v>
      </c>
      <c r="D924" s="8">
        <v>3</v>
      </c>
      <c r="E924" s="9" t="s">
        <v>111</v>
      </c>
      <c r="F924" s="8" t="s">
        <v>384</v>
      </c>
      <c r="G924" s="8" t="s">
        <v>97</v>
      </c>
      <c r="H924" s="8" t="s">
        <v>182</v>
      </c>
      <c r="I924" s="8" t="s">
        <v>91</v>
      </c>
      <c r="J924" s="9" t="s">
        <v>380</v>
      </c>
      <c r="K924" s="8" t="str">
        <f>VLOOKUP(LEFT(H924,7),'קטלוג תרחישים'!$A:$M,12,FALSE())</f>
        <v>ב'</v>
      </c>
      <c r="L924" s="8" t="str">
        <f>IF(J924="כן",K924,VLOOKUP(LEFT(H924,7),'קטלוג תרחישים'!$A:$M,13,FALSE()))</f>
        <v>ב'</v>
      </c>
      <c r="M924" s="13"/>
      <c r="N924" s="50" t="s">
        <v>360</v>
      </c>
      <c r="O924" s="13" t="str">
        <f t="array" ref="O924">_xlfn.IFS(N924="A","א'", N924="B", "ב'", N924= "C", "ג'")</f>
        <v>א'</v>
      </c>
      <c r="P924" s="13">
        <f>IF(Table_2[[#This Row],[Correct_Answer]]=Table_2[[#This Row],[System_Recommendation]],1,0)</f>
        <v>1</v>
      </c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 spans="1:26" ht="15.75" hidden="1" customHeight="1">
      <c r="A925" s="8" t="s">
        <v>212</v>
      </c>
      <c r="B925" s="8">
        <v>33</v>
      </c>
      <c r="C925" s="9" t="s">
        <v>381</v>
      </c>
      <c r="D925" s="8">
        <v>3</v>
      </c>
      <c r="E925" s="9" t="s">
        <v>111</v>
      </c>
      <c r="F925" s="8" t="s">
        <v>384</v>
      </c>
      <c r="G925" s="8" t="s">
        <v>97</v>
      </c>
      <c r="H925" s="8" t="s">
        <v>179</v>
      </c>
      <c r="I925" s="8" t="s">
        <v>100</v>
      </c>
      <c r="J925" s="9" t="s">
        <v>380</v>
      </c>
      <c r="K925" s="8" t="str">
        <f>VLOOKUP(LEFT(H925,7),'קטלוג תרחישים'!$A:$M,12,FALSE())</f>
        <v>ב'</v>
      </c>
      <c r="L925" s="8" t="str">
        <f>IF(J925="כן",K925,VLOOKUP(LEFT(H925,7),'קטלוג תרחישים'!$A:$M,13,FALSE()))</f>
        <v>ב'</v>
      </c>
      <c r="M925" s="13"/>
      <c r="N925" s="51" t="s">
        <v>360</v>
      </c>
      <c r="O925" s="13" t="str">
        <f t="array" ref="O925">_xlfn.IFS(N925="A","א'", N925="B", "ב'", N925= "C", "ג'")</f>
        <v>א'</v>
      </c>
      <c r="P925" s="13">
        <f>IF(Table_2[[#This Row],[Correct_Answer]]=Table_2[[#This Row],[System_Recommendation]],1,0)</f>
        <v>1</v>
      </c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 spans="1:26" ht="15.75" hidden="1" customHeight="1">
      <c r="A926" s="8" t="s">
        <v>213</v>
      </c>
      <c r="B926" s="8">
        <v>1</v>
      </c>
      <c r="C926" s="9" t="s">
        <v>379</v>
      </c>
      <c r="D926" s="8"/>
      <c r="E926" s="9" t="s">
        <v>98</v>
      </c>
      <c r="F926" s="8"/>
      <c r="G926" s="8"/>
      <c r="H926" s="11" t="s">
        <v>90</v>
      </c>
      <c r="I926" s="8" t="s">
        <v>91</v>
      </c>
      <c r="J926" s="9" t="s">
        <v>380</v>
      </c>
      <c r="K926" s="8" t="str">
        <f>VLOOKUP(LEFT(H926,7),'קטלוג תרחישים'!$A:$M,12,FALSE())</f>
        <v>א'</v>
      </c>
      <c r="L926" s="8" t="str">
        <f>IF(J926="כן",K926,VLOOKUP(LEFT(H926,7),'קטלוג תרחישים'!$A:$M,13,FALSE()))</f>
        <v>א'</v>
      </c>
      <c r="M926" s="13"/>
      <c r="N926" s="50" t="s">
        <v>366</v>
      </c>
      <c r="O926" s="13" t="str">
        <f t="array" ref="O926">_xlfn.IFS(N926="A","א'", N926="B", "ב'", N926= "C", "ג'")</f>
        <v>ג'</v>
      </c>
      <c r="P926" s="13">
        <f>IF(Table_2[[#This Row],[Correct_Answer]]=Table_2[[#This Row],[System_Recommendation]],1,0)</f>
        <v>1</v>
      </c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 spans="1:26" ht="15.75" hidden="1" customHeight="1">
      <c r="A927" s="8" t="s">
        <v>213</v>
      </c>
      <c r="B927" s="8">
        <v>2</v>
      </c>
      <c r="C927" s="9" t="s">
        <v>379</v>
      </c>
      <c r="D927" s="8"/>
      <c r="E927" s="9" t="s">
        <v>98</v>
      </c>
      <c r="F927" s="8"/>
      <c r="G927" s="8"/>
      <c r="H927" s="11" t="s">
        <v>92</v>
      </c>
      <c r="I927" s="8" t="s">
        <v>91</v>
      </c>
      <c r="J927" s="9" t="s">
        <v>380</v>
      </c>
      <c r="K927" s="8" t="str">
        <f>VLOOKUP(LEFT(H927,7),'קטלוג תרחישים'!$A:$M,12,FALSE())</f>
        <v>א'</v>
      </c>
      <c r="L927" s="8" t="str">
        <f>IF(J927="כן",K927,VLOOKUP(LEFT(H927,7),'קטלוג תרחישים'!$A:$M,13,FALSE()))</f>
        <v>א'</v>
      </c>
      <c r="M927" s="13"/>
      <c r="N927" s="51" t="s">
        <v>366</v>
      </c>
      <c r="O927" s="13" t="str">
        <f t="array" ref="O927">_xlfn.IFS(N927="A","א'", N927="B", "ב'", N927= "C", "ג'")</f>
        <v>ג'</v>
      </c>
      <c r="P927" s="13">
        <f>IF(Table_2[[#This Row],[Correct_Answer]]=Table_2[[#This Row],[System_Recommendation]],1,0)</f>
        <v>1</v>
      </c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 spans="1:26" ht="15.75" hidden="1" customHeight="1">
      <c r="A928" s="8" t="s">
        <v>213</v>
      </c>
      <c r="B928" s="8">
        <v>3</v>
      </c>
      <c r="C928" s="9" t="s">
        <v>379</v>
      </c>
      <c r="D928" s="8"/>
      <c r="E928" s="9" t="s">
        <v>105</v>
      </c>
      <c r="F928" s="8"/>
      <c r="G928" s="8"/>
      <c r="H928" s="11" t="s">
        <v>93</v>
      </c>
      <c r="I928" s="8" t="s">
        <v>91</v>
      </c>
      <c r="J928" s="9" t="s">
        <v>380</v>
      </c>
      <c r="K928" s="8" t="str">
        <f>VLOOKUP(LEFT(H928,7),'קטלוג תרחישים'!$A:$M,12,FALSE())</f>
        <v>א'</v>
      </c>
      <c r="L928" s="8" t="str">
        <f>IF(J928="כן",K928,VLOOKUP(LEFT(H928,7),'קטלוג תרחישים'!$A:$M,13,FALSE()))</f>
        <v>א'</v>
      </c>
      <c r="M928" s="13"/>
      <c r="N928" s="50" t="s">
        <v>366</v>
      </c>
      <c r="O928" s="13" t="str">
        <f t="array" ref="O928">_xlfn.IFS(N928="A","א'", N928="B", "ב'", N928= "C", "ג'")</f>
        <v>ג'</v>
      </c>
      <c r="P928" s="13">
        <f>IF(Table_2[[#This Row],[Correct_Answer]]=Table_2[[#This Row],[System_Recommendation]],1,0)</f>
        <v>1</v>
      </c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 spans="1:26" ht="15.75" hidden="1" customHeight="1">
      <c r="A929" s="8" t="s">
        <v>213</v>
      </c>
      <c r="B929" s="8">
        <v>4</v>
      </c>
      <c r="C929" s="9" t="s">
        <v>379</v>
      </c>
      <c r="D929" s="8"/>
      <c r="E929" s="9" t="s">
        <v>105</v>
      </c>
      <c r="F929" s="8"/>
      <c r="G929" s="8"/>
      <c r="H929" s="11" t="s">
        <v>94</v>
      </c>
      <c r="I929" s="8" t="s">
        <v>91</v>
      </c>
      <c r="J929" s="9" t="s">
        <v>380</v>
      </c>
      <c r="K929" s="8" t="str">
        <f>VLOOKUP(LEFT(H929,7),'קטלוג תרחישים'!$A:$M,12,FALSE())</f>
        <v>א'</v>
      </c>
      <c r="L929" s="8" t="str">
        <f>IF(J929="כן",K929,VLOOKUP(LEFT(H929,7),'קטלוג תרחישים'!$A:$M,13,FALSE()))</f>
        <v>א'</v>
      </c>
      <c r="M929" s="13"/>
      <c r="N929" s="51" t="s">
        <v>365</v>
      </c>
      <c r="O929" s="13" t="str">
        <f t="array" ref="O929">_xlfn.IFS(N929="A","א'", N929="B", "ב'", N929= "C", "ג'")</f>
        <v>ב'</v>
      </c>
      <c r="P929" s="13">
        <f>IF(Table_2[[#This Row],[Correct_Answer]]=Table_2[[#This Row],[System_Recommendation]],1,0)</f>
        <v>1</v>
      </c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 spans="1:26" ht="15.75" hidden="1" customHeight="1">
      <c r="A930" s="8" t="s">
        <v>213</v>
      </c>
      <c r="B930" s="8">
        <v>5</v>
      </c>
      <c r="C930" s="9" t="s">
        <v>379</v>
      </c>
      <c r="D930" s="8"/>
      <c r="E930" s="9" t="s">
        <v>111</v>
      </c>
      <c r="F930" s="8"/>
      <c r="G930" s="8"/>
      <c r="H930" s="11" t="s">
        <v>95</v>
      </c>
      <c r="I930" s="8" t="s">
        <v>91</v>
      </c>
      <c r="J930" s="9" t="s">
        <v>380</v>
      </c>
      <c r="K930" s="8" t="str">
        <f>VLOOKUP(LEFT(H930,7),'קטלוג תרחישים'!$A:$M,12,FALSE())</f>
        <v>ב'</v>
      </c>
      <c r="L930" s="8" t="str">
        <f>IF(J930="כן",K930,VLOOKUP(LEFT(H930,7),'קטלוג תרחישים'!$A:$M,13,FALSE()))</f>
        <v>ב'</v>
      </c>
      <c r="M930" s="13"/>
      <c r="N930" s="50" t="s">
        <v>360</v>
      </c>
      <c r="O930" s="13" t="str">
        <f t="array" ref="O930">_xlfn.IFS(N930="A","א'", N930="B", "ב'", N930= "C", "ג'")</f>
        <v>א'</v>
      </c>
      <c r="P930" s="13">
        <f>IF(Table_2[[#This Row],[Correct_Answer]]=Table_2[[#This Row],[System_Recommendation]],1,0)</f>
        <v>1</v>
      </c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 spans="1:26" ht="15.75" customHeight="1">
      <c r="A931" s="8" t="s">
        <v>213</v>
      </c>
      <c r="B931" s="8">
        <v>6</v>
      </c>
      <c r="C931" s="9" t="s">
        <v>379</v>
      </c>
      <c r="D931" s="8"/>
      <c r="E931" s="9" t="s">
        <v>111</v>
      </c>
      <c r="F931" s="8"/>
      <c r="G931" s="8"/>
      <c r="H931" s="11" t="s">
        <v>96</v>
      </c>
      <c r="I931" s="8" t="s">
        <v>91</v>
      </c>
      <c r="J931" s="9" t="s">
        <v>380</v>
      </c>
      <c r="K931" s="8" t="str">
        <f>VLOOKUP(LEFT(H931,7),'קטלוג תרחישים'!$A:$M,12,FALSE())</f>
        <v>ב'</v>
      </c>
      <c r="L931" s="8" t="str">
        <f>IF(J931="כן",K931,VLOOKUP(LEFT(H931,7),'קטלוג תרחישים'!$A:$M,13,FALSE()))</f>
        <v>ב'</v>
      </c>
      <c r="M931" s="13"/>
      <c r="N931" s="51" t="s">
        <v>366</v>
      </c>
      <c r="O931" s="13" t="str">
        <f t="array" ref="O931">_xlfn.IFS(N931="A","א'", N931="B", "ב'", N931= "C", "ג'")</f>
        <v>ג'</v>
      </c>
      <c r="P931" s="13">
        <f>IF(Table_2[[#This Row],[Correct_Answer]]=Table_2[[#This Row],[System_Recommendation]],1,0)</f>
        <v>1</v>
      </c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 spans="1:26" ht="15.75" hidden="1" customHeight="1">
      <c r="A932" s="8" t="s">
        <v>213</v>
      </c>
      <c r="B932" s="8">
        <v>7</v>
      </c>
      <c r="C932" s="9" t="s">
        <v>381</v>
      </c>
      <c r="D932" s="8">
        <v>1</v>
      </c>
      <c r="E932" s="9" t="s">
        <v>105</v>
      </c>
      <c r="F932" s="8" t="s">
        <v>382</v>
      </c>
      <c r="G932" s="8" t="s">
        <v>97</v>
      </c>
      <c r="H932" s="8" t="s">
        <v>191</v>
      </c>
      <c r="I932" s="8" t="s">
        <v>91</v>
      </c>
      <c r="J932" s="9" t="s">
        <v>380</v>
      </c>
      <c r="K932" s="8" t="str">
        <f>VLOOKUP(LEFT(H932,7),'קטלוג תרחישים'!$A:$M,12,FALSE())</f>
        <v>ג'</v>
      </c>
      <c r="L932" s="8" t="str">
        <f>IF(J932="כן",K932,VLOOKUP(LEFT(H932,7),'קטלוג תרחישים'!$A:$M,13,FALSE()))</f>
        <v>ג'</v>
      </c>
      <c r="M932" s="13"/>
      <c r="N932" s="50" t="s">
        <v>366</v>
      </c>
      <c r="O932" s="13" t="str">
        <f t="array" ref="O932">_xlfn.IFS(N932="A","א'", N932="B", "ב'", N932= "C", "ג'")</f>
        <v>ג'</v>
      </c>
      <c r="P932" s="13">
        <f>IF(Table_2[[#This Row],[Correct_Answer]]=Table_2[[#This Row],[System_Recommendation]],1,0)</f>
        <v>1</v>
      </c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 spans="1:26" ht="15.75" hidden="1" customHeight="1">
      <c r="A933" s="8" t="s">
        <v>213</v>
      </c>
      <c r="B933" s="8">
        <v>8</v>
      </c>
      <c r="C933" s="9" t="s">
        <v>381</v>
      </c>
      <c r="D933" s="8">
        <v>1</v>
      </c>
      <c r="E933" s="9" t="s">
        <v>105</v>
      </c>
      <c r="F933" s="8" t="s">
        <v>382</v>
      </c>
      <c r="G933" s="8" t="s">
        <v>97</v>
      </c>
      <c r="H933" s="8" t="s">
        <v>190</v>
      </c>
      <c r="I933" s="8" t="s">
        <v>100</v>
      </c>
      <c r="J933" s="9" t="s">
        <v>380</v>
      </c>
      <c r="K933" s="8" t="str">
        <f>VLOOKUP(LEFT(H933,7),'קטלוג תרחישים'!$A:$M,12,FALSE())</f>
        <v>ג'</v>
      </c>
      <c r="L933" s="8" t="str">
        <f>IF(J933="כן",K933,VLOOKUP(LEFT(H933,7),'קטלוג תרחישים'!$A:$M,13,FALSE()))</f>
        <v>ג'</v>
      </c>
      <c r="M933" s="13"/>
      <c r="N933" s="51" t="s">
        <v>365</v>
      </c>
      <c r="O933" s="13" t="str">
        <f t="array" ref="O933">_xlfn.IFS(N933="A","א'", N933="B", "ב'", N933= "C", "ג'")</f>
        <v>ב'</v>
      </c>
      <c r="P933" s="13">
        <f>IF(Table_2[[#This Row],[Correct_Answer]]=Table_2[[#This Row],[System_Recommendation]],1,0)</f>
        <v>1</v>
      </c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 spans="1:26" ht="15.75" hidden="1" customHeight="1">
      <c r="A934" s="8" t="s">
        <v>213</v>
      </c>
      <c r="B934" s="8">
        <v>9</v>
      </c>
      <c r="C934" s="9" t="s">
        <v>381</v>
      </c>
      <c r="D934" s="8">
        <v>1</v>
      </c>
      <c r="E934" s="9" t="s">
        <v>105</v>
      </c>
      <c r="F934" s="8" t="s">
        <v>382</v>
      </c>
      <c r="G934" s="8" t="s">
        <v>97</v>
      </c>
      <c r="H934" s="8" t="s">
        <v>189</v>
      </c>
      <c r="I934" s="8" t="s">
        <v>91</v>
      </c>
      <c r="J934" s="9" t="s">
        <v>380</v>
      </c>
      <c r="K934" s="8" t="str">
        <f>VLOOKUP(LEFT(H934,7),'קטלוג תרחישים'!$A:$M,12,FALSE())</f>
        <v>ג'</v>
      </c>
      <c r="L934" s="8" t="str">
        <f>IF(J934="כן",K934,VLOOKUP(LEFT(H934,7),'קטלוג תרחישים'!$A:$M,13,FALSE()))</f>
        <v>ג'</v>
      </c>
      <c r="M934" s="13"/>
      <c r="N934" s="50" t="s">
        <v>365</v>
      </c>
      <c r="O934" s="13" t="str">
        <f t="array" ref="O934">_xlfn.IFS(N934="A","א'", N934="B", "ב'", N934= "C", "ג'")</f>
        <v>ב'</v>
      </c>
      <c r="P934" s="13">
        <f>IF(Table_2[[#This Row],[Correct_Answer]]=Table_2[[#This Row],[System_Recommendation]],1,0)</f>
        <v>1</v>
      </c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 spans="1:26" ht="15.75" hidden="1" customHeight="1">
      <c r="A935" s="8" t="s">
        <v>213</v>
      </c>
      <c r="B935" s="8">
        <v>10</v>
      </c>
      <c r="C935" s="9" t="s">
        <v>381</v>
      </c>
      <c r="D935" s="8">
        <v>1</v>
      </c>
      <c r="E935" s="9" t="s">
        <v>105</v>
      </c>
      <c r="F935" s="8" t="s">
        <v>382</v>
      </c>
      <c r="G935" s="8" t="s">
        <v>97</v>
      </c>
      <c r="H935" s="8" t="s">
        <v>192</v>
      </c>
      <c r="I935" s="8" t="s">
        <v>100</v>
      </c>
      <c r="J935" s="9" t="s">
        <v>383</v>
      </c>
      <c r="K935" s="8" t="str">
        <f>VLOOKUP(LEFT(H935,7),'קטלוג תרחישים'!$A:$M,12,FALSE())</f>
        <v>א'</v>
      </c>
      <c r="L935" s="8" t="str">
        <f>IF(J935="כן",K935,VLOOKUP(LEFT(H935,7),'קטלוג תרחישים'!$A:$M,13,FALSE()))</f>
        <v>ג'</v>
      </c>
      <c r="M935" s="13"/>
      <c r="N935" s="51" t="s">
        <v>365</v>
      </c>
      <c r="O935" s="13" t="str">
        <f t="array" ref="O935">_xlfn.IFS(N935="A","א'", N935="B", "ב'", N935= "C", "ג'")</f>
        <v>ב'</v>
      </c>
      <c r="P935" s="13">
        <f>IF(Table_2[[#This Row],[Correct_Answer]]=Table_2[[#This Row],[System_Recommendation]],1,0)</f>
        <v>0</v>
      </c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 spans="1:26" ht="15.75" hidden="1" customHeight="1">
      <c r="A936" s="8" t="s">
        <v>213</v>
      </c>
      <c r="B936" s="8">
        <v>11</v>
      </c>
      <c r="C936" s="9" t="s">
        <v>381</v>
      </c>
      <c r="D936" s="8">
        <v>1</v>
      </c>
      <c r="E936" s="9" t="s">
        <v>105</v>
      </c>
      <c r="F936" s="8" t="s">
        <v>382</v>
      </c>
      <c r="G936" s="8" t="s">
        <v>97</v>
      </c>
      <c r="H936" s="8" t="s">
        <v>193</v>
      </c>
      <c r="I936" s="8" t="s">
        <v>91</v>
      </c>
      <c r="J936" s="9" t="s">
        <v>380</v>
      </c>
      <c r="K936" s="8" t="str">
        <f>VLOOKUP(LEFT(H936,7),'קטלוג תרחישים'!$A:$M,12,FALSE())</f>
        <v>ב'</v>
      </c>
      <c r="L936" s="8" t="str">
        <f>IF(J936="כן",K936,VLOOKUP(LEFT(H936,7),'קטלוג תרחישים'!$A:$M,13,FALSE()))</f>
        <v>ב'</v>
      </c>
      <c r="M936" s="13"/>
      <c r="N936" s="50" t="s">
        <v>360</v>
      </c>
      <c r="O936" s="13" t="str">
        <f t="array" ref="O936">_xlfn.IFS(N936="A","א'", N936="B", "ב'", N936= "C", "ג'")</f>
        <v>א'</v>
      </c>
      <c r="P936" s="13">
        <f>IF(Table_2[[#This Row],[Correct_Answer]]=Table_2[[#This Row],[System_Recommendation]],1,0)</f>
        <v>1</v>
      </c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 spans="1:26" ht="15.75" hidden="1" customHeight="1">
      <c r="A937" s="8" t="s">
        <v>213</v>
      </c>
      <c r="B937" s="8">
        <v>12</v>
      </c>
      <c r="C937" s="9" t="s">
        <v>381</v>
      </c>
      <c r="D937" s="8">
        <v>2</v>
      </c>
      <c r="E937" s="9" t="s">
        <v>111</v>
      </c>
      <c r="F937" s="8" t="s">
        <v>382</v>
      </c>
      <c r="G937" s="8" t="s">
        <v>97</v>
      </c>
      <c r="H937" s="8" t="s">
        <v>181</v>
      </c>
      <c r="I937" s="8" t="s">
        <v>100</v>
      </c>
      <c r="J937" s="9" t="s">
        <v>380</v>
      </c>
      <c r="K937" s="8" t="str">
        <f>VLOOKUP(LEFT(H937,7),'קטלוג תרחישים'!$A:$M,12,FALSE())</f>
        <v>ג'</v>
      </c>
      <c r="L937" s="8" t="str">
        <f>IF(J937="כן",K937,VLOOKUP(LEFT(H937,7),'קטלוג תרחישים'!$A:$M,13,FALSE()))</f>
        <v>ג'</v>
      </c>
      <c r="M937" s="13"/>
      <c r="N937" s="51" t="s">
        <v>366</v>
      </c>
      <c r="O937" s="13" t="str">
        <f t="array" ref="O937">_xlfn.IFS(N937="A","א'", N937="B", "ב'", N937= "C", "ג'")</f>
        <v>ג'</v>
      </c>
      <c r="P937" s="13">
        <f>IF(Table_2[[#This Row],[Correct_Answer]]=Table_2[[#This Row],[System_Recommendation]],1,0)</f>
        <v>1</v>
      </c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 spans="1:26" ht="15.75" hidden="1" customHeight="1">
      <c r="A938" s="8" t="s">
        <v>213</v>
      </c>
      <c r="B938" s="8">
        <v>13</v>
      </c>
      <c r="C938" s="9" t="s">
        <v>381</v>
      </c>
      <c r="D938" s="8">
        <v>2</v>
      </c>
      <c r="E938" s="9" t="s">
        <v>111</v>
      </c>
      <c r="F938" s="8" t="s">
        <v>382</v>
      </c>
      <c r="G938" s="8" t="s">
        <v>97</v>
      </c>
      <c r="H938" s="8" t="s">
        <v>180</v>
      </c>
      <c r="I938" s="8" t="s">
        <v>91</v>
      </c>
      <c r="J938" s="9" t="s">
        <v>380</v>
      </c>
      <c r="K938" s="8" t="str">
        <f>VLOOKUP(LEFT(H938,7),'קטלוג תרחישים'!$A:$M,12,FALSE())</f>
        <v>א'</v>
      </c>
      <c r="L938" s="8" t="str">
        <f>IF(J938="כן",K938,VLOOKUP(LEFT(H938,7),'קטלוג תרחישים'!$A:$M,13,FALSE()))</f>
        <v>א'</v>
      </c>
      <c r="M938" s="13"/>
      <c r="N938" s="50" t="s">
        <v>365</v>
      </c>
      <c r="O938" s="13" t="str">
        <f t="array" ref="O938">_xlfn.IFS(N938="A","א'", N938="B", "ב'", N938= "C", "ג'")</f>
        <v>ב'</v>
      </c>
      <c r="P938" s="13">
        <f>IF(Table_2[[#This Row],[Correct_Answer]]=Table_2[[#This Row],[System_Recommendation]],1,0)</f>
        <v>1</v>
      </c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 spans="1:26" ht="15.75" hidden="1" customHeight="1">
      <c r="A939" s="8" t="s">
        <v>213</v>
      </c>
      <c r="B939" s="8">
        <v>14</v>
      </c>
      <c r="C939" s="9" t="s">
        <v>381</v>
      </c>
      <c r="D939" s="8">
        <v>2</v>
      </c>
      <c r="E939" s="9" t="s">
        <v>111</v>
      </c>
      <c r="F939" s="8" t="s">
        <v>382</v>
      </c>
      <c r="G939" s="8" t="s">
        <v>97</v>
      </c>
      <c r="H939" s="8" t="s">
        <v>179</v>
      </c>
      <c r="I939" s="8" t="s">
        <v>100</v>
      </c>
      <c r="J939" s="9" t="s">
        <v>383</v>
      </c>
      <c r="K939" s="8" t="str">
        <f>VLOOKUP(LEFT(H939,7),'קטלוג תרחישים'!$A:$M,12,FALSE())</f>
        <v>ב'</v>
      </c>
      <c r="L939" s="8" t="str">
        <f>IF(J939="כן",K939,VLOOKUP(LEFT(H939,7),'קטלוג תרחישים'!$A:$M,13,FALSE()))</f>
        <v>ג'</v>
      </c>
      <c r="M939" s="13"/>
      <c r="N939" s="51" t="s">
        <v>366</v>
      </c>
      <c r="O939" s="13" t="str">
        <f t="array" ref="O939">_xlfn.IFS(N939="A","א'", N939="B", "ב'", N939= "C", "ג'")</f>
        <v>ג'</v>
      </c>
      <c r="P939" s="13">
        <f>IF(Table_2[[#This Row],[Correct_Answer]]=Table_2[[#This Row],[System_Recommendation]],1,0)</f>
        <v>0</v>
      </c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 spans="1:26" ht="15.75" hidden="1" customHeight="1">
      <c r="A940" s="8" t="s">
        <v>213</v>
      </c>
      <c r="B940" s="8">
        <v>15</v>
      </c>
      <c r="C940" s="9" t="s">
        <v>381</v>
      </c>
      <c r="D940" s="8">
        <v>2</v>
      </c>
      <c r="E940" s="9" t="s">
        <v>111</v>
      </c>
      <c r="F940" s="8" t="s">
        <v>382</v>
      </c>
      <c r="G940" s="8" t="s">
        <v>97</v>
      </c>
      <c r="H940" s="8" t="s">
        <v>182</v>
      </c>
      <c r="I940" s="8" t="s">
        <v>91</v>
      </c>
      <c r="J940" s="9" t="s">
        <v>380</v>
      </c>
      <c r="K940" s="8" t="str">
        <f>VLOOKUP(LEFT(H940,7),'קטלוג תרחישים'!$A:$M,12,FALSE())</f>
        <v>ב'</v>
      </c>
      <c r="L940" s="8" t="str">
        <f>IF(J940="כן",K940,VLOOKUP(LEFT(H940,7),'קטלוג תרחישים'!$A:$M,13,FALSE()))</f>
        <v>ב'</v>
      </c>
      <c r="M940" s="13"/>
      <c r="N940" s="50" t="s">
        <v>360</v>
      </c>
      <c r="O940" s="13" t="str">
        <f t="array" ref="O940">_xlfn.IFS(N940="A","א'", N940="B", "ב'", N940= "C", "ג'")</f>
        <v>א'</v>
      </c>
      <c r="P940" s="13">
        <f>IF(Table_2[[#This Row],[Correct_Answer]]=Table_2[[#This Row],[System_Recommendation]],1,0)</f>
        <v>1</v>
      </c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 spans="1:26" ht="15.75" hidden="1" customHeight="1">
      <c r="A941" s="8" t="s">
        <v>213</v>
      </c>
      <c r="B941" s="8">
        <v>16</v>
      </c>
      <c r="C941" s="9" t="s">
        <v>381</v>
      </c>
      <c r="D941" s="8">
        <v>2</v>
      </c>
      <c r="E941" s="9" t="s">
        <v>111</v>
      </c>
      <c r="F941" s="8" t="s">
        <v>382</v>
      </c>
      <c r="G941" s="8" t="s">
        <v>97</v>
      </c>
      <c r="H941" s="8" t="s">
        <v>183</v>
      </c>
      <c r="I941" s="8" t="s">
        <v>100</v>
      </c>
      <c r="J941" s="9" t="s">
        <v>380</v>
      </c>
      <c r="K941" s="8" t="str">
        <f>VLOOKUP(LEFT(H941,7),'קטלוג תרחישים'!$A:$M,12,FALSE())</f>
        <v>ג'</v>
      </c>
      <c r="L941" s="8" t="str">
        <f>IF(J941="כן",K941,VLOOKUP(LEFT(H941,7),'קטלוג תרחישים'!$A:$M,13,FALSE()))</f>
        <v>ג'</v>
      </c>
      <c r="M941" s="13"/>
      <c r="N941" s="51" t="s">
        <v>366</v>
      </c>
      <c r="O941" s="13" t="str">
        <f t="array" ref="O941">_xlfn.IFS(N941="A","א'", N941="B", "ב'", N941= "C", "ג'")</f>
        <v>ג'</v>
      </c>
      <c r="P941" s="13">
        <f>IF(Table_2[[#This Row],[Correct_Answer]]=Table_2[[#This Row],[System_Recommendation]],1,0)</f>
        <v>1</v>
      </c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 spans="1:26" ht="15.75" hidden="1" customHeight="1">
      <c r="A942" s="8" t="s">
        <v>213</v>
      </c>
      <c r="B942" s="8">
        <v>17</v>
      </c>
      <c r="C942" s="9" t="s">
        <v>381</v>
      </c>
      <c r="D942" s="8">
        <v>3</v>
      </c>
      <c r="E942" s="9" t="s">
        <v>98</v>
      </c>
      <c r="F942" s="8" t="s">
        <v>382</v>
      </c>
      <c r="G942" s="8" t="s">
        <v>97</v>
      </c>
      <c r="H942" s="8" t="s">
        <v>188</v>
      </c>
      <c r="I942" s="8" t="s">
        <v>91</v>
      </c>
      <c r="J942" s="9" t="s">
        <v>380</v>
      </c>
      <c r="K942" s="8" t="str">
        <f>VLOOKUP(LEFT(H942,7),'קטלוג תרחישים'!$A:$M,12,FALSE())</f>
        <v>ג'</v>
      </c>
      <c r="L942" s="8" t="str">
        <f>IF(J942="כן",K942,VLOOKUP(LEFT(H942,7),'קטלוג תרחישים'!$A:$M,13,FALSE()))</f>
        <v>ג'</v>
      </c>
      <c r="M942" s="13"/>
      <c r="N942" s="50" t="s">
        <v>366</v>
      </c>
      <c r="O942" s="13" t="str">
        <f t="array" ref="O942">_xlfn.IFS(N942="A","א'", N942="B", "ב'", N942= "C", "ג'")</f>
        <v>ג'</v>
      </c>
      <c r="P942" s="13">
        <f>IF(Table_2[[#This Row],[Correct_Answer]]=Table_2[[#This Row],[System_Recommendation]],1,0)</f>
        <v>1</v>
      </c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 spans="1:26" ht="15.75" hidden="1" customHeight="1">
      <c r="A943" s="8" t="s">
        <v>213</v>
      </c>
      <c r="B943" s="8">
        <v>18</v>
      </c>
      <c r="C943" s="9" t="s">
        <v>381</v>
      </c>
      <c r="D943" s="8">
        <v>3</v>
      </c>
      <c r="E943" s="9" t="s">
        <v>98</v>
      </c>
      <c r="F943" s="8" t="s">
        <v>382</v>
      </c>
      <c r="G943" s="8" t="s">
        <v>97</v>
      </c>
      <c r="H943" s="8" t="s">
        <v>187</v>
      </c>
      <c r="I943" s="8" t="s">
        <v>100</v>
      </c>
      <c r="J943" s="9" t="s">
        <v>380</v>
      </c>
      <c r="K943" s="8" t="str">
        <f>VLOOKUP(LEFT(H943,7),'קטלוג תרחישים'!$A:$M,12,FALSE())</f>
        <v>ב'</v>
      </c>
      <c r="L943" s="8" t="str">
        <f>IF(J943="כן",K943,VLOOKUP(LEFT(H943,7),'קטלוג תרחישים'!$A:$M,13,FALSE()))</f>
        <v>ב'</v>
      </c>
      <c r="M943" s="13"/>
      <c r="N943" s="51" t="s">
        <v>365</v>
      </c>
      <c r="O943" s="13" t="str">
        <f t="array" ref="O943">_xlfn.IFS(N943="A","א'", N943="B", "ב'", N943= "C", "ג'")</f>
        <v>ב'</v>
      </c>
      <c r="P943" s="13">
        <f>IF(Table_2[[#This Row],[Correct_Answer]]=Table_2[[#This Row],[System_Recommendation]],1,0)</f>
        <v>1</v>
      </c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 spans="1:26" ht="15.75" hidden="1" customHeight="1">
      <c r="A944" s="8" t="s">
        <v>213</v>
      </c>
      <c r="B944" s="8">
        <v>19</v>
      </c>
      <c r="C944" s="9" t="s">
        <v>381</v>
      </c>
      <c r="D944" s="8">
        <v>3</v>
      </c>
      <c r="E944" s="9" t="s">
        <v>98</v>
      </c>
      <c r="F944" s="8" t="s">
        <v>382</v>
      </c>
      <c r="G944" s="8" t="s">
        <v>97</v>
      </c>
      <c r="H944" s="8" t="s">
        <v>184</v>
      </c>
      <c r="I944" s="8" t="s">
        <v>91</v>
      </c>
      <c r="J944" s="9" t="s">
        <v>383</v>
      </c>
      <c r="K944" s="8" t="str">
        <f>VLOOKUP(LEFT(H944,7),'קטלוג תרחישים'!$A:$M,12,FALSE())</f>
        <v>ג'</v>
      </c>
      <c r="L944" s="8" t="str">
        <f>IF(J944="כן",K944,VLOOKUP(LEFT(H944,7),'קטלוג תרחישים'!$A:$M,13,FALSE()))</f>
        <v>א'</v>
      </c>
      <c r="M944" s="13"/>
      <c r="N944" s="50" t="s">
        <v>360</v>
      </c>
      <c r="O944" s="13" t="str">
        <f t="array" ref="O944">_xlfn.IFS(N944="A","א'", N944="B", "ב'", N944= "C", "ג'")</f>
        <v>א'</v>
      </c>
      <c r="P944" s="13">
        <f>IF(Table_2[[#This Row],[Correct_Answer]]=Table_2[[#This Row],[System_Recommendation]],1,0)</f>
        <v>0</v>
      </c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 spans="1:26" ht="15.75" hidden="1" customHeight="1">
      <c r="A945" s="8" t="s">
        <v>213</v>
      </c>
      <c r="B945" s="8">
        <v>20</v>
      </c>
      <c r="C945" s="9" t="s">
        <v>381</v>
      </c>
      <c r="D945" s="8">
        <v>3</v>
      </c>
      <c r="E945" s="9" t="s">
        <v>98</v>
      </c>
      <c r="F945" s="8" t="s">
        <v>382</v>
      </c>
      <c r="G945" s="8" t="s">
        <v>97</v>
      </c>
      <c r="H945" s="8" t="s">
        <v>185</v>
      </c>
      <c r="I945" s="8" t="s">
        <v>100</v>
      </c>
      <c r="J945" s="9" t="s">
        <v>380</v>
      </c>
      <c r="K945" s="8" t="str">
        <f>VLOOKUP(LEFT(H945,7),'קטלוג תרחישים'!$A:$M,12,FALSE())</f>
        <v>ב'</v>
      </c>
      <c r="L945" s="8" t="str">
        <f>IF(J945="כן",K945,VLOOKUP(LEFT(H945,7),'קטלוג תרחישים'!$A:$M,13,FALSE()))</f>
        <v>ב'</v>
      </c>
      <c r="M945" s="13"/>
      <c r="N945" s="51" t="s">
        <v>366</v>
      </c>
      <c r="O945" s="13" t="str">
        <f t="array" ref="O945">_xlfn.IFS(N945="A","א'", N945="B", "ב'", N945= "C", "ג'")</f>
        <v>ג'</v>
      </c>
      <c r="P945" s="13">
        <f>IF(Table_2[[#This Row],[Correct_Answer]]=Table_2[[#This Row],[System_Recommendation]],1,0)</f>
        <v>1</v>
      </c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 spans="1:26" ht="15.75" hidden="1" customHeight="1">
      <c r="A946" s="8" t="s">
        <v>213</v>
      </c>
      <c r="B946" s="8">
        <v>21</v>
      </c>
      <c r="C946" s="9" t="s">
        <v>381</v>
      </c>
      <c r="D946" s="8">
        <v>3</v>
      </c>
      <c r="E946" s="9" t="s">
        <v>98</v>
      </c>
      <c r="F946" s="8" t="s">
        <v>382</v>
      </c>
      <c r="G946" s="8" t="s">
        <v>97</v>
      </c>
      <c r="H946" s="8" t="s">
        <v>186</v>
      </c>
      <c r="I946" s="8" t="s">
        <v>91</v>
      </c>
      <c r="J946" s="9" t="s">
        <v>380</v>
      </c>
      <c r="K946" s="8" t="str">
        <f>VLOOKUP(LEFT(H946,7),'קטלוג תרחישים'!$A:$M,12,FALSE())</f>
        <v>א'</v>
      </c>
      <c r="L946" s="8" t="str">
        <f>IF(J946="כן",K946,VLOOKUP(LEFT(H946,7),'קטלוג תרחישים'!$A:$M,13,FALSE()))</f>
        <v>א'</v>
      </c>
      <c r="M946" s="13"/>
      <c r="N946" s="50" t="s">
        <v>365</v>
      </c>
      <c r="O946" s="13" t="str">
        <f t="array" ref="O946">_xlfn.IFS(N946="A","א'", N946="B", "ב'", N946= "C", "ג'")</f>
        <v>ב'</v>
      </c>
      <c r="P946" s="13">
        <f>IF(Table_2[[#This Row],[Correct_Answer]]=Table_2[[#This Row],[System_Recommendation]],1,0)</f>
        <v>1</v>
      </c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 spans="1:26" ht="15.75" hidden="1" customHeight="1">
      <c r="A947" s="8" t="s">
        <v>213</v>
      </c>
      <c r="B947" s="8">
        <v>22</v>
      </c>
      <c r="C947" s="9" t="s">
        <v>381</v>
      </c>
      <c r="D947" s="8">
        <v>1</v>
      </c>
      <c r="E947" s="9" t="s">
        <v>111</v>
      </c>
      <c r="F947" s="8" t="s">
        <v>384</v>
      </c>
      <c r="G947" s="8" t="s">
        <v>117</v>
      </c>
      <c r="H947" s="8" t="s">
        <v>204</v>
      </c>
      <c r="I947" s="8" t="s">
        <v>91</v>
      </c>
      <c r="J947" s="9" t="s">
        <v>380</v>
      </c>
      <c r="K947" s="8" t="str">
        <f>VLOOKUP(LEFT(H947,7),'קטלוג תרחישים'!$A:$M,12,FALSE())</f>
        <v>ב'</v>
      </c>
      <c r="L947" s="8" t="str">
        <f>IF(J947="כן",K947,VLOOKUP(LEFT(H947,7),'קטלוג תרחישים'!$A:$M,13,FALSE()))</f>
        <v>ב'</v>
      </c>
      <c r="M947" s="13"/>
      <c r="N947" s="51" t="s">
        <v>366</v>
      </c>
      <c r="O947" s="13" t="str">
        <f t="array" ref="O947">_xlfn.IFS(N947="A","א'", N947="B", "ב'", N947= "C", "ג'")</f>
        <v>ג'</v>
      </c>
      <c r="P947" s="13">
        <f>IF(Table_2[[#This Row],[Correct_Answer]]=Table_2[[#This Row],[System_Recommendation]],1,0)</f>
        <v>1</v>
      </c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 spans="1:26" ht="15.75" hidden="1" customHeight="1">
      <c r="A948" s="8" t="s">
        <v>213</v>
      </c>
      <c r="B948" s="8">
        <v>23</v>
      </c>
      <c r="C948" s="9" t="s">
        <v>381</v>
      </c>
      <c r="D948" s="8">
        <v>1</v>
      </c>
      <c r="E948" s="9" t="s">
        <v>111</v>
      </c>
      <c r="F948" s="8" t="s">
        <v>384</v>
      </c>
      <c r="G948" s="8" t="s">
        <v>117</v>
      </c>
      <c r="H948" s="8" t="s">
        <v>205</v>
      </c>
      <c r="I948" s="8" t="s">
        <v>100</v>
      </c>
      <c r="J948" s="9" t="s">
        <v>383</v>
      </c>
      <c r="K948" s="8" t="str">
        <f>VLOOKUP(LEFT(H948,7),'קטלוג תרחישים'!$A:$M,12,FALSE())</f>
        <v>א'</v>
      </c>
      <c r="L948" s="8" t="str">
        <f>IF(J948="כן",K948,VLOOKUP(LEFT(H948,7),'קטלוג תרחישים'!$A:$M,13,FALSE()))</f>
        <v>ג'</v>
      </c>
      <c r="M948" s="13"/>
      <c r="N948" s="50" t="s">
        <v>366</v>
      </c>
      <c r="O948" s="13" t="str">
        <f t="array" ref="O948">_xlfn.IFS(N948="A","א'", N948="B", "ב'", N948= "C", "ג'")</f>
        <v>ג'</v>
      </c>
      <c r="P948" s="13">
        <f>IF(Table_2[[#This Row],[Correct_Answer]]=Table_2[[#This Row],[System_Recommendation]],1,0)</f>
        <v>0</v>
      </c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 spans="1:26" ht="15.75" hidden="1" customHeight="1">
      <c r="A949" s="8" t="s">
        <v>213</v>
      </c>
      <c r="B949" s="8">
        <v>24</v>
      </c>
      <c r="C949" s="9" t="s">
        <v>381</v>
      </c>
      <c r="D949" s="8">
        <v>1</v>
      </c>
      <c r="E949" s="9" t="s">
        <v>111</v>
      </c>
      <c r="F949" s="8" t="s">
        <v>384</v>
      </c>
      <c r="G949" s="8" t="s">
        <v>117</v>
      </c>
      <c r="H949" s="8" t="s">
        <v>202</v>
      </c>
      <c r="I949" s="8" t="s">
        <v>91</v>
      </c>
      <c r="J949" s="9" t="s">
        <v>383</v>
      </c>
      <c r="K949" s="8" t="str">
        <f>VLOOKUP(LEFT(H949,7),'קטלוג תרחישים'!$A:$M,12,FALSE())</f>
        <v>ג'</v>
      </c>
      <c r="L949" s="8" t="str">
        <f>IF(J949="כן",K949,VLOOKUP(LEFT(H949,7),'קטלוג תרחישים'!$A:$M,13,FALSE()))</f>
        <v>א'</v>
      </c>
      <c r="M949" s="13"/>
      <c r="N949" s="51" t="s">
        <v>365</v>
      </c>
      <c r="O949" s="13" t="str">
        <f t="array" ref="O949">_xlfn.IFS(N949="A","א'", N949="B", "ב'", N949= "C", "ג'")</f>
        <v>ב'</v>
      </c>
      <c r="P949" s="13">
        <f>IF(Table_2[[#This Row],[Correct_Answer]]=Table_2[[#This Row],[System_Recommendation]],1,0)</f>
        <v>0</v>
      </c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 spans="1:26" ht="15.75" hidden="1" customHeight="1">
      <c r="A950" s="8" t="s">
        <v>213</v>
      </c>
      <c r="B950" s="8">
        <v>25</v>
      </c>
      <c r="C950" s="9" t="s">
        <v>381</v>
      </c>
      <c r="D950" s="8">
        <v>1</v>
      </c>
      <c r="E950" s="9" t="s">
        <v>111</v>
      </c>
      <c r="F950" s="8" t="s">
        <v>384</v>
      </c>
      <c r="G950" s="8" t="s">
        <v>117</v>
      </c>
      <c r="H950" s="8" t="s">
        <v>203</v>
      </c>
      <c r="I950" s="8" t="s">
        <v>100</v>
      </c>
      <c r="J950" s="9" t="s">
        <v>380</v>
      </c>
      <c r="K950" s="8" t="str">
        <f>VLOOKUP(LEFT(H950,7),'קטלוג תרחישים'!$A:$M,12,FALSE())</f>
        <v>א'</v>
      </c>
      <c r="L950" s="8" t="str">
        <f>IF(J950="כן",K950,VLOOKUP(LEFT(H950,7),'קטלוג תרחישים'!$A:$M,13,FALSE()))</f>
        <v>א'</v>
      </c>
      <c r="M950" s="13"/>
      <c r="N950" s="50" t="s">
        <v>366</v>
      </c>
      <c r="O950" s="13" t="str">
        <f t="array" ref="O950">_xlfn.IFS(N950="A","א'", N950="B", "ב'", N950= "C", "ג'")</f>
        <v>ג'</v>
      </c>
      <c r="P950" s="13">
        <f>IF(Table_2[[#This Row],[Correct_Answer]]=Table_2[[#This Row],[System_Recommendation]],1,0)</f>
        <v>1</v>
      </c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 spans="1:26" ht="15.75" hidden="1" customHeight="1">
      <c r="A951" s="8" t="s">
        <v>213</v>
      </c>
      <c r="B951" s="8">
        <v>26</v>
      </c>
      <c r="C951" s="9" t="s">
        <v>381</v>
      </c>
      <c r="D951" s="8">
        <v>2</v>
      </c>
      <c r="E951" s="9" t="s">
        <v>98</v>
      </c>
      <c r="F951" s="8" t="s">
        <v>384</v>
      </c>
      <c r="G951" s="8" t="s">
        <v>117</v>
      </c>
      <c r="H951" s="8" t="s">
        <v>196</v>
      </c>
      <c r="I951" s="8" t="s">
        <v>91</v>
      </c>
      <c r="J951" s="9" t="s">
        <v>383</v>
      </c>
      <c r="K951" s="8" t="str">
        <f>VLOOKUP(LEFT(H951,7),'קטלוג תרחישים'!$A:$M,12,FALSE())</f>
        <v>ג'</v>
      </c>
      <c r="L951" s="8" t="str">
        <f>IF(J951="כן",K951,VLOOKUP(LEFT(H951,7),'קטלוג תרחישים'!$A:$M,13,FALSE()))</f>
        <v>א'</v>
      </c>
      <c r="M951" s="13"/>
      <c r="N951" s="51" t="s">
        <v>360</v>
      </c>
      <c r="O951" s="13" t="str">
        <f t="array" ref="O951">_xlfn.IFS(N951="A","א'", N951="B", "ב'", N951= "C", "ג'")</f>
        <v>א'</v>
      </c>
      <c r="P951" s="13">
        <f>IF(Table_2[[#This Row],[Correct_Answer]]=Table_2[[#This Row],[System_Recommendation]],1,0)</f>
        <v>0</v>
      </c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 spans="1:26" ht="15.75" hidden="1" customHeight="1">
      <c r="A952" s="8" t="s">
        <v>213</v>
      </c>
      <c r="B952" s="8">
        <v>27</v>
      </c>
      <c r="C952" s="9" t="s">
        <v>381</v>
      </c>
      <c r="D952" s="8">
        <v>2</v>
      </c>
      <c r="E952" s="9" t="s">
        <v>98</v>
      </c>
      <c r="F952" s="8" t="s">
        <v>384</v>
      </c>
      <c r="G952" s="8" t="s">
        <v>117</v>
      </c>
      <c r="H952" s="8" t="s">
        <v>195</v>
      </c>
      <c r="I952" s="8" t="s">
        <v>100</v>
      </c>
      <c r="J952" s="9" t="s">
        <v>380</v>
      </c>
      <c r="K952" s="8" t="str">
        <f>VLOOKUP(LEFT(H952,7),'קטלוג תרחישים'!$A:$M,12,FALSE())</f>
        <v>ג'</v>
      </c>
      <c r="L952" s="8" t="str">
        <f>IF(J952="כן",K952,VLOOKUP(LEFT(H952,7),'קטלוג תרחישים'!$A:$M,13,FALSE()))</f>
        <v>ג'</v>
      </c>
      <c r="M952" s="13"/>
      <c r="N952" s="50" t="s">
        <v>360</v>
      </c>
      <c r="O952" s="13" t="str">
        <f t="array" ref="O952">_xlfn.IFS(N952="A","א'", N952="B", "ב'", N952= "C", "ג'")</f>
        <v>א'</v>
      </c>
      <c r="P952" s="13">
        <f>IF(Table_2[[#This Row],[Correct_Answer]]=Table_2[[#This Row],[System_Recommendation]],1,0)</f>
        <v>1</v>
      </c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 spans="1:26" ht="15.75" hidden="1" customHeight="1">
      <c r="A953" s="8" t="s">
        <v>213</v>
      </c>
      <c r="B953" s="8">
        <v>28</v>
      </c>
      <c r="C953" s="9" t="s">
        <v>381</v>
      </c>
      <c r="D953" s="8">
        <v>2</v>
      </c>
      <c r="E953" s="9" t="s">
        <v>98</v>
      </c>
      <c r="F953" s="8" t="s">
        <v>384</v>
      </c>
      <c r="G953" s="8" t="s">
        <v>117</v>
      </c>
      <c r="H953" s="8" t="s">
        <v>194</v>
      </c>
      <c r="I953" s="8" t="s">
        <v>91</v>
      </c>
      <c r="J953" s="9" t="s">
        <v>380</v>
      </c>
      <c r="K953" s="8" t="str">
        <f>VLOOKUP(LEFT(H953,7),'קטלוג תרחישים'!$A:$M,12,FALSE())</f>
        <v>ג'</v>
      </c>
      <c r="L953" s="8" t="str">
        <f>IF(J953="כן",K953,VLOOKUP(LEFT(H953,7),'קטלוג תרחישים'!$A:$M,13,FALSE()))</f>
        <v>ג'</v>
      </c>
      <c r="M953" s="13"/>
      <c r="N953" s="51" t="s">
        <v>360</v>
      </c>
      <c r="O953" s="13" t="str">
        <f t="array" ref="O953">_xlfn.IFS(N953="A","א'", N953="B", "ב'", N953= "C", "ג'")</f>
        <v>א'</v>
      </c>
      <c r="P953" s="13">
        <f>IF(Table_2[[#This Row],[Correct_Answer]]=Table_2[[#This Row],[System_Recommendation]],1,0)</f>
        <v>1</v>
      </c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 spans="1:26" ht="15.75" hidden="1" customHeight="1">
      <c r="A954" s="8" t="s">
        <v>213</v>
      </c>
      <c r="B954" s="8">
        <v>29</v>
      </c>
      <c r="C954" s="9" t="s">
        <v>381</v>
      </c>
      <c r="D954" s="8">
        <v>2</v>
      </c>
      <c r="E954" s="9" t="s">
        <v>98</v>
      </c>
      <c r="F954" s="8" t="s">
        <v>384</v>
      </c>
      <c r="G954" s="8" t="s">
        <v>117</v>
      </c>
      <c r="H954" s="8" t="s">
        <v>197</v>
      </c>
      <c r="I954" s="8" t="s">
        <v>100</v>
      </c>
      <c r="J954" s="9" t="s">
        <v>383</v>
      </c>
      <c r="K954" s="8" t="str">
        <f>VLOOKUP(LEFT(H954,7),'קטלוג תרחישים'!$A:$M,12,FALSE())</f>
        <v>א'</v>
      </c>
      <c r="L954" s="8" t="str">
        <f>IF(J954="כן",K954,VLOOKUP(LEFT(H954,7),'קטלוג תרחישים'!$A:$M,13,FALSE()))</f>
        <v>ב'</v>
      </c>
      <c r="M954" s="13"/>
      <c r="N954" s="50" t="s">
        <v>365</v>
      </c>
      <c r="O954" s="13" t="str">
        <f t="array" ref="O954">_xlfn.IFS(N954="A","א'", N954="B", "ב'", N954= "C", "ג'")</f>
        <v>ב'</v>
      </c>
      <c r="P954" s="13">
        <f>IF(Table_2[[#This Row],[Correct_Answer]]=Table_2[[#This Row],[System_Recommendation]],1,0)</f>
        <v>0</v>
      </c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 spans="1:26" ht="15.75" hidden="1" customHeight="1">
      <c r="A955" s="8" t="s">
        <v>213</v>
      </c>
      <c r="B955" s="8">
        <v>30</v>
      </c>
      <c r="C955" s="9" t="s">
        <v>381</v>
      </c>
      <c r="D955" s="8">
        <v>3</v>
      </c>
      <c r="E955" s="9" t="s">
        <v>105</v>
      </c>
      <c r="F955" s="8" t="s">
        <v>384</v>
      </c>
      <c r="G955" s="8" t="s">
        <v>117</v>
      </c>
      <c r="H955" s="8" t="s">
        <v>200</v>
      </c>
      <c r="I955" s="8" t="s">
        <v>91</v>
      </c>
      <c r="J955" s="9" t="s">
        <v>383</v>
      </c>
      <c r="K955" s="8" t="str">
        <f>VLOOKUP(LEFT(H955,7),'קטלוג תרחישים'!$A:$M,12,FALSE())</f>
        <v>ג'</v>
      </c>
      <c r="L955" s="8" t="str">
        <f>IF(J955="כן",K955,VLOOKUP(LEFT(H955,7),'קטלוג תרחישים'!$A:$M,13,FALSE()))</f>
        <v>א'</v>
      </c>
      <c r="M955" s="13"/>
      <c r="N955" s="51" t="s">
        <v>365</v>
      </c>
      <c r="O955" s="13" t="str">
        <f t="array" ref="O955">_xlfn.IFS(N955="A","א'", N955="B", "ב'", N955= "C", "ג'")</f>
        <v>ב'</v>
      </c>
      <c r="P955" s="13">
        <f>IF(Table_2[[#This Row],[Correct_Answer]]=Table_2[[#This Row],[System_Recommendation]],1,0)</f>
        <v>0</v>
      </c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 spans="1:26" ht="15.75" hidden="1" customHeight="1">
      <c r="A956" s="8" t="s">
        <v>213</v>
      </c>
      <c r="B956" s="8">
        <v>31</v>
      </c>
      <c r="C956" s="9" t="s">
        <v>381</v>
      </c>
      <c r="D956" s="8">
        <v>3</v>
      </c>
      <c r="E956" s="9" t="s">
        <v>105</v>
      </c>
      <c r="F956" s="8" t="s">
        <v>384</v>
      </c>
      <c r="G956" s="8" t="s">
        <v>117</v>
      </c>
      <c r="H956" s="8" t="s">
        <v>199</v>
      </c>
      <c r="I956" s="8" t="s">
        <v>100</v>
      </c>
      <c r="J956" s="9" t="s">
        <v>383</v>
      </c>
      <c r="K956" s="8" t="str">
        <f>VLOOKUP(LEFT(H956,7),'קטלוג תרחישים'!$A:$M,12,FALSE())</f>
        <v>ג'</v>
      </c>
      <c r="L956" s="8" t="str">
        <f>IF(J956="כן",K956,VLOOKUP(LEFT(H956,7),'קטלוג תרחישים'!$A:$M,13,FALSE()))</f>
        <v>ב'</v>
      </c>
      <c r="M956" s="13"/>
      <c r="N956" s="50" t="s">
        <v>366</v>
      </c>
      <c r="O956" s="13" t="str">
        <f t="array" ref="O956">_xlfn.IFS(N956="A","א'", N956="B", "ב'", N956= "C", "ג'")</f>
        <v>ג'</v>
      </c>
      <c r="P956" s="13">
        <f>IF(Table_2[[#This Row],[Correct_Answer]]=Table_2[[#This Row],[System_Recommendation]],1,0)</f>
        <v>0</v>
      </c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 spans="1:26" ht="15.75" hidden="1" customHeight="1">
      <c r="A957" s="8" t="s">
        <v>213</v>
      </c>
      <c r="B957" s="8">
        <v>32</v>
      </c>
      <c r="C957" s="9" t="s">
        <v>381</v>
      </c>
      <c r="D957" s="8">
        <v>3</v>
      </c>
      <c r="E957" s="9" t="s">
        <v>105</v>
      </c>
      <c r="F957" s="8" t="s">
        <v>384</v>
      </c>
      <c r="G957" s="8" t="s">
        <v>117</v>
      </c>
      <c r="H957" s="8" t="s">
        <v>198</v>
      </c>
      <c r="I957" s="8" t="s">
        <v>91</v>
      </c>
      <c r="J957" s="9" t="s">
        <v>380</v>
      </c>
      <c r="K957" s="8" t="str">
        <f>VLOOKUP(LEFT(H957,7),'קטלוג תרחישים'!$A:$M,12,FALSE())</f>
        <v>ב'</v>
      </c>
      <c r="L957" s="8" t="str">
        <f>IF(J957="כן",K957,VLOOKUP(LEFT(H957,7),'קטלוג תרחישים'!$A:$M,13,FALSE()))</f>
        <v>ב'</v>
      </c>
      <c r="M957" s="13"/>
      <c r="N957" s="51" t="s">
        <v>360</v>
      </c>
      <c r="O957" s="13" t="str">
        <f t="array" ref="O957">_xlfn.IFS(N957="A","א'", N957="B", "ב'", N957= "C", "ג'")</f>
        <v>א'</v>
      </c>
      <c r="P957" s="13">
        <f>IF(Table_2[[#This Row],[Correct_Answer]]=Table_2[[#This Row],[System_Recommendation]],1,0)</f>
        <v>1</v>
      </c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 spans="1:26" ht="15.75" hidden="1" customHeight="1">
      <c r="A958" s="8" t="s">
        <v>213</v>
      </c>
      <c r="B958" s="8">
        <v>33</v>
      </c>
      <c r="C958" s="9" t="s">
        <v>381</v>
      </c>
      <c r="D958" s="8">
        <v>3</v>
      </c>
      <c r="E958" s="9" t="s">
        <v>105</v>
      </c>
      <c r="F958" s="8" t="s">
        <v>384</v>
      </c>
      <c r="G958" s="8" t="s">
        <v>117</v>
      </c>
      <c r="H958" s="8" t="s">
        <v>201</v>
      </c>
      <c r="I958" s="8" t="s">
        <v>100</v>
      </c>
      <c r="J958" s="9" t="s">
        <v>380</v>
      </c>
      <c r="K958" s="8" t="str">
        <f>VLOOKUP(LEFT(H958,7),'קטלוג תרחישים'!$A:$M,12,FALSE())</f>
        <v>ב'</v>
      </c>
      <c r="L958" s="8" t="str">
        <f>IF(J958="כן",K958,VLOOKUP(LEFT(H958,7),'קטלוג תרחישים'!$A:$M,13,FALSE()))</f>
        <v>ב'</v>
      </c>
      <c r="M958" s="13"/>
      <c r="N958" s="50" t="s">
        <v>360</v>
      </c>
      <c r="O958" s="13" t="str">
        <f t="array" ref="O958">_xlfn.IFS(N958="A","א'", N958="B", "ב'", N958= "C", "ג'")</f>
        <v>א'</v>
      </c>
      <c r="P958" s="13">
        <f>IF(Table_2[[#This Row],[Correct_Answer]]=Table_2[[#This Row],[System_Recommendation]],1,0)</f>
        <v>1</v>
      </c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 spans="1:26" ht="15.75" hidden="1" customHeight="1">
      <c r="A959" s="8" t="s">
        <v>214</v>
      </c>
      <c r="B959" s="8">
        <v>1</v>
      </c>
      <c r="C959" s="9" t="s">
        <v>379</v>
      </c>
      <c r="D959" s="8"/>
      <c r="E959" s="9" t="s">
        <v>98</v>
      </c>
      <c r="F959" s="8"/>
      <c r="G959" s="8"/>
      <c r="H959" s="11" t="s">
        <v>90</v>
      </c>
      <c r="I959" s="8" t="s">
        <v>91</v>
      </c>
      <c r="J959" s="9" t="s">
        <v>380</v>
      </c>
      <c r="K959" s="8" t="str">
        <f>VLOOKUP(LEFT(H959,7),'קטלוג תרחישים'!$A:$M,12,FALSE())</f>
        <v>א'</v>
      </c>
      <c r="L959" s="8" t="str">
        <f>IF(J959="כן",K959,VLOOKUP(LEFT(H959,7),'קטלוג תרחישים'!$A:$M,13,FALSE()))</f>
        <v>א'</v>
      </c>
      <c r="M959" s="13"/>
      <c r="N959" s="51" t="s">
        <v>366</v>
      </c>
      <c r="O959" s="13" t="str">
        <f t="array" ref="O959">_xlfn.IFS(N959="A","א'", N959="B", "ב'", N959= "C", "ג'")</f>
        <v>ג'</v>
      </c>
      <c r="P959" s="13">
        <f>IF(Table_2[[#This Row],[Correct_Answer]]=Table_2[[#This Row],[System_Recommendation]],1,0)</f>
        <v>1</v>
      </c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 spans="1:26" ht="15.75" hidden="1" customHeight="1">
      <c r="A960" s="8" t="s">
        <v>214</v>
      </c>
      <c r="B960" s="8">
        <v>2</v>
      </c>
      <c r="C960" s="9" t="s">
        <v>379</v>
      </c>
      <c r="D960" s="8"/>
      <c r="E960" s="9" t="s">
        <v>98</v>
      </c>
      <c r="F960" s="8"/>
      <c r="G960" s="8"/>
      <c r="H960" s="11" t="s">
        <v>92</v>
      </c>
      <c r="I960" s="8" t="s">
        <v>91</v>
      </c>
      <c r="J960" s="9" t="s">
        <v>380</v>
      </c>
      <c r="K960" s="8" t="str">
        <f>VLOOKUP(LEFT(H960,7),'קטלוג תרחישים'!$A:$M,12,FALSE())</f>
        <v>א'</v>
      </c>
      <c r="L960" s="8" t="str">
        <f>IF(J960="כן",K960,VLOOKUP(LEFT(H960,7),'קטלוג תרחישים'!$A:$M,13,FALSE()))</f>
        <v>א'</v>
      </c>
      <c r="M960" s="13"/>
      <c r="N960" s="50" t="s">
        <v>366</v>
      </c>
      <c r="O960" s="13" t="str">
        <f t="array" ref="O960">_xlfn.IFS(N960="A","א'", N960="B", "ב'", N960= "C", "ג'")</f>
        <v>ג'</v>
      </c>
      <c r="P960" s="13">
        <f>IF(Table_2[[#This Row],[Correct_Answer]]=Table_2[[#This Row],[System_Recommendation]],1,0)</f>
        <v>1</v>
      </c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 spans="1:26" ht="15.75" hidden="1" customHeight="1">
      <c r="A961" s="8" t="s">
        <v>214</v>
      </c>
      <c r="B961" s="8">
        <v>3</v>
      </c>
      <c r="C961" s="9" t="s">
        <v>379</v>
      </c>
      <c r="D961" s="8"/>
      <c r="E961" s="9" t="s">
        <v>105</v>
      </c>
      <c r="F961" s="8"/>
      <c r="G961" s="8"/>
      <c r="H961" s="11" t="s">
        <v>93</v>
      </c>
      <c r="I961" s="8" t="s">
        <v>91</v>
      </c>
      <c r="J961" s="9" t="s">
        <v>380</v>
      </c>
      <c r="K961" s="8" t="str">
        <f>VLOOKUP(LEFT(H961,7),'קטלוג תרחישים'!$A:$M,12,FALSE())</f>
        <v>א'</v>
      </c>
      <c r="L961" s="8" t="str">
        <f>IF(J961="כן",K961,VLOOKUP(LEFT(H961,7),'קטלוג תרחישים'!$A:$M,13,FALSE()))</f>
        <v>א'</v>
      </c>
      <c r="M961" s="13"/>
      <c r="N961" s="51" t="s">
        <v>366</v>
      </c>
      <c r="O961" s="13" t="str">
        <f t="array" ref="O961">_xlfn.IFS(N961="A","א'", N961="B", "ב'", N961= "C", "ג'")</f>
        <v>ג'</v>
      </c>
      <c r="P961" s="13">
        <f>IF(Table_2[[#This Row],[Correct_Answer]]=Table_2[[#This Row],[System_Recommendation]],1,0)</f>
        <v>1</v>
      </c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 spans="1:26" ht="15.75" hidden="1" customHeight="1">
      <c r="A962" s="8" t="s">
        <v>214</v>
      </c>
      <c r="B962" s="8">
        <v>4</v>
      </c>
      <c r="C962" s="9" t="s">
        <v>379</v>
      </c>
      <c r="D962" s="8"/>
      <c r="E962" s="9" t="s">
        <v>105</v>
      </c>
      <c r="F962" s="8"/>
      <c r="G962" s="8"/>
      <c r="H962" s="11" t="s">
        <v>94</v>
      </c>
      <c r="I962" s="8" t="s">
        <v>91</v>
      </c>
      <c r="J962" s="9" t="s">
        <v>380</v>
      </c>
      <c r="K962" s="8" t="str">
        <f>VLOOKUP(LEFT(H962,7),'קטלוג תרחישים'!$A:$M,12,FALSE())</f>
        <v>א'</v>
      </c>
      <c r="L962" s="8" t="str">
        <f>IF(J962="כן",K962,VLOOKUP(LEFT(H962,7),'קטלוג תרחישים'!$A:$M,13,FALSE()))</f>
        <v>א'</v>
      </c>
      <c r="M962" s="13"/>
      <c r="N962" s="50" t="s">
        <v>365</v>
      </c>
      <c r="O962" s="13" t="str">
        <f t="array" ref="O962">_xlfn.IFS(N962="A","א'", N962="B", "ב'", N962= "C", "ג'")</f>
        <v>ב'</v>
      </c>
      <c r="P962" s="13">
        <f>IF(Table_2[[#This Row],[Correct_Answer]]=Table_2[[#This Row],[System_Recommendation]],1,0)</f>
        <v>1</v>
      </c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 spans="1:26" ht="15.75" hidden="1" customHeight="1">
      <c r="A963" s="8" t="s">
        <v>214</v>
      </c>
      <c r="B963" s="8">
        <v>5</v>
      </c>
      <c r="C963" s="9" t="s">
        <v>379</v>
      </c>
      <c r="D963" s="8"/>
      <c r="E963" s="9" t="s">
        <v>111</v>
      </c>
      <c r="F963" s="8"/>
      <c r="G963" s="8"/>
      <c r="H963" s="11" t="s">
        <v>95</v>
      </c>
      <c r="I963" s="8" t="s">
        <v>91</v>
      </c>
      <c r="J963" s="9" t="s">
        <v>380</v>
      </c>
      <c r="K963" s="8" t="str">
        <f>VLOOKUP(LEFT(H963,7),'קטלוג תרחישים'!$A:$M,12,FALSE())</f>
        <v>ב'</v>
      </c>
      <c r="L963" s="8" t="str">
        <f>IF(J963="כן",K963,VLOOKUP(LEFT(H963,7),'קטלוג תרחישים'!$A:$M,13,FALSE()))</f>
        <v>ב'</v>
      </c>
      <c r="M963" s="13"/>
      <c r="N963" s="51" t="s">
        <v>360</v>
      </c>
      <c r="O963" s="13" t="str">
        <f t="array" ref="O963">_xlfn.IFS(N963="A","א'", N963="B", "ב'", N963= "C", "ג'")</f>
        <v>א'</v>
      </c>
      <c r="P963" s="13">
        <f>IF(Table_2[[#This Row],[Correct_Answer]]=Table_2[[#This Row],[System_Recommendation]],1,0)</f>
        <v>1</v>
      </c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 spans="1:26" ht="15.75" customHeight="1">
      <c r="A964" s="8" t="s">
        <v>214</v>
      </c>
      <c r="B964" s="8">
        <v>6</v>
      </c>
      <c r="C964" s="9" t="s">
        <v>379</v>
      </c>
      <c r="D964" s="8"/>
      <c r="E964" s="9" t="s">
        <v>111</v>
      </c>
      <c r="F964" s="8"/>
      <c r="G964" s="8"/>
      <c r="H964" s="11" t="s">
        <v>96</v>
      </c>
      <c r="I964" s="8" t="s">
        <v>91</v>
      </c>
      <c r="J964" s="9" t="s">
        <v>380</v>
      </c>
      <c r="K964" s="8" t="str">
        <f>VLOOKUP(LEFT(H964,7),'קטלוג תרחישים'!$A:$M,12,FALSE())</f>
        <v>ב'</v>
      </c>
      <c r="L964" s="8" t="str">
        <f>IF(J964="כן",K964,VLOOKUP(LEFT(H964,7),'קטלוג תרחישים'!$A:$M,13,FALSE()))</f>
        <v>ב'</v>
      </c>
      <c r="M964" s="13"/>
      <c r="N964" s="50" t="s">
        <v>366</v>
      </c>
      <c r="O964" s="13" t="str">
        <f t="array" ref="O964">_xlfn.IFS(N964="A","א'", N964="B", "ב'", N964= "C", "ג'")</f>
        <v>ג'</v>
      </c>
      <c r="P964" s="13">
        <f>IF(Table_2[[#This Row],[Correct_Answer]]=Table_2[[#This Row],[System_Recommendation]],1,0)</f>
        <v>1</v>
      </c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 spans="1:26" ht="15.75" hidden="1" customHeight="1">
      <c r="A965" s="8" t="s">
        <v>214</v>
      </c>
      <c r="B965" s="8">
        <v>7</v>
      </c>
      <c r="C965" s="9" t="s">
        <v>381</v>
      </c>
      <c r="D965" s="8">
        <v>1</v>
      </c>
      <c r="E965" s="9" t="s">
        <v>98</v>
      </c>
      <c r="F965" s="8" t="s">
        <v>382</v>
      </c>
      <c r="G965" s="8" t="s">
        <v>117</v>
      </c>
      <c r="H965" s="8" t="s">
        <v>194</v>
      </c>
      <c r="I965" s="8" t="s">
        <v>91</v>
      </c>
      <c r="J965" s="9" t="s">
        <v>380</v>
      </c>
      <c r="K965" s="8" t="str">
        <f>VLOOKUP(LEFT(H965,7),'קטלוג תרחישים'!$A:$M,12,FALSE())</f>
        <v>ג'</v>
      </c>
      <c r="L965" s="8" t="str">
        <f>IF(J965="כן",K965,VLOOKUP(LEFT(H965,7),'קטלוג תרחישים'!$A:$M,13,FALSE()))</f>
        <v>ג'</v>
      </c>
      <c r="M965" s="13"/>
      <c r="N965" s="51" t="s">
        <v>366</v>
      </c>
      <c r="O965" s="13" t="str">
        <f t="array" ref="O965">_xlfn.IFS(N965="A","א'", N965="B", "ב'", N965= "C", "ג'")</f>
        <v>ג'</v>
      </c>
      <c r="P965" s="13">
        <f>IF(Table_2[[#This Row],[Correct_Answer]]=Table_2[[#This Row],[System_Recommendation]],1,0)</f>
        <v>1</v>
      </c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 spans="1:26" ht="15.75" hidden="1" customHeight="1">
      <c r="A966" s="8" t="s">
        <v>214</v>
      </c>
      <c r="B966" s="8">
        <v>8</v>
      </c>
      <c r="C966" s="9" t="s">
        <v>381</v>
      </c>
      <c r="D966" s="8">
        <v>1</v>
      </c>
      <c r="E966" s="9" t="s">
        <v>98</v>
      </c>
      <c r="F966" s="8" t="s">
        <v>382</v>
      </c>
      <c r="G966" s="8" t="s">
        <v>117</v>
      </c>
      <c r="H966" s="8" t="s">
        <v>195</v>
      </c>
      <c r="I966" s="8" t="s">
        <v>100</v>
      </c>
      <c r="J966" s="9" t="s">
        <v>383</v>
      </c>
      <c r="K966" s="8" t="str">
        <f>VLOOKUP(LEFT(H966,7),'קטלוג תרחישים'!$A:$M,12,FALSE())</f>
        <v>ג'</v>
      </c>
      <c r="L966" s="8" t="str">
        <f>IF(J966="כן",K966,VLOOKUP(LEFT(H966,7),'קטלוג תרחישים'!$A:$M,13,FALSE()))</f>
        <v>ב'</v>
      </c>
      <c r="M966" s="13"/>
      <c r="N966" s="50" t="s">
        <v>365</v>
      </c>
      <c r="O966" s="13" t="str">
        <f t="array" ref="O966">_xlfn.IFS(N966="A","א'", N966="B", "ב'", N966= "C", "ג'")</f>
        <v>ב'</v>
      </c>
      <c r="P966" s="13">
        <f>IF(Table_2[[#This Row],[Correct_Answer]]=Table_2[[#This Row],[System_Recommendation]],1,0)</f>
        <v>0</v>
      </c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 spans="1:26" ht="15.75" hidden="1" customHeight="1">
      <c r="A967" s="8" t="s">
        <v>214</v>
      </c>
      <c r="B967" s="8">
        <v>9</v>
      </c>
      <c r="C967" s="9" t="s">
        <v>381</v>
      </c>
      <c r="D967" s="8">
        <v>1</v>
      </c>
      <c r="E967" s="9" t="s">
        <v>98</v>
      </c>
      <c r="F967" s="8" t="s">
        <v>382</v>
      </c>
      <c r="G967" s="8" t="s">
        <v>117</v>
      </c>
      <c r="H967" s="8" t="s">
        <v>196</v>
      </c>
      <c r="I967" s="8" t="s">
        <v>91</v>
      </c>
      <c r="J967" s="9" t="s">
        <v>383</v>
      </c>
      <c r="K967" s="8" t="str">
        <f>VLOOKUP(LEFT(H967,7),'קטלוג תרחישים'!$A:$M,12,FALSE())</f>
        <v>ג'</v>
      </c>
      <c r="L967" s="8" t="str">
        <f>IF(J967="כן",K967,VLOOKUP(LEFT(H967,7),'קטלוג תרחישים'!$A:$M,13,FALSE()))</f>
        <v>א'</v>
      </c>
      <c r="M967" s="13"/>
      <c r="N967" s="51" t="s">
        <v>365</v>
      </c>
      <c r="O967" s="13" t="str">
        <f t="array" ref="O967">_xlfn.IFS(N967="A","א'", N967="B", "ב'", N967= "C", "ג'")</f>
        <v>ב'</v>
      </c>
      <c r="P967" s="13">
        <f>IF(Table_2[[#This Row],[Correct_Answer]]=Table_2[[#This Row],[System_Recommendation]],1,0)</f>
        <v>0</v>
      </c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 spans="1:26" ht="15.75" hidden="1" customHeight="1">
      <c r="A968" s="8" t="s">
        <v>214</v>
      </c>
      <c r="B968" s="8">
        <v>10</v>
      </c>
      <c r="C968" s="9" t="s">
        <v>381</v>
      </c>
      <c r="D968" s="8">
        <v>1</v>
      </c>
      <c r="E968" s="9" t="s">
        <v>98</v>
      </c>
      <c r="F968" s="8" t="s">
        <v>382</v>
      </c>
      <c r="G968" s="8" t="s">
        <v>117</v>
      </c>
      <c r="H968" s="8" t="s">
        <v>197</v>
      </c>
      <c r="I968" s="8" t="s">
        <v>100</v>
      </c>
      <c r="J968" s="9" t="s">
        <v>380</v>
      </c>
      <c r="K968" s="8" t="str">
        <f>VLOOKUP(LEFT(H968,7),'קטלוג תרחישים'!$A:$M,12,FALSE())</f>
        <v>א'</v>
      </c>
      <c r="L968" s="8" t="str">
        <f>IF(J968="כן",K968,VLOOKUP(LEFT(H968,7),'קטלוג תרחישים'!$A:$M,13,FALSE()))</f>
        <v>א'</v>
      </c>
      <c r="M968" s="13"/>
      <c r="N968" s="50" t="s">
        <v>365</v>
      </c>
      <c r="O968" s="13" t="str">
        <f t="array" ref="O968">_xlfn.IFS(N968="A","א'", N968="B", "ב'", N968= "C", "ג'")</f>
        <v>ב'</v>
      </c>
      <c r="P968" s="13">
        <f>IF(Table_2[[#This Row],[Correct_Answer]]=Table_2[[#This Row],[System_Recommendation]],1,0)</f>
        <v>1</v>
      </c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 spans="1:26" ht="15.75" hidden="1" customHeight="1">
      <c r="A969" s="8" t="s">
        <v>214</v>
      </c>
      <c r="B969" s="8">
        <v>11</v>
      </c>
      <c r="C969" s="9" t="s">
        <v>381</v>
      </c>
      <c r="D969" s="8">
        <v>2</v>
      </c>
      <c r="E969" s="9" t="s">
        <v>105</v>
      </c>
      <c r="F969" s="8" t="s">
        <v>382</v>
      </c>
      <c r="G969" s="8" t="s">
        <v>117</v>
      </c>
      <c r="H969" s="8" t="s">
        <v>198</v>
      </c>
      <c r="I969" s="8" t="s">
        <v>91</v>
      </c>
      <c r="J969" s="9" t="s">
        <v>383</v>
      </c>
      <c r="K969" s="8" t="str">
        <f>VLOOKUP(LEFT(H969,7),'קטלוג תרחישים'!$A:$M,12,FALSE())</f>
        <v>ב'</v>
      </c>
      <c r="L969" s="8" t="str">
        <f>IF(J969="כן",K969,VLOOKUP(LEFT(H969,7),'קטלוג תרחישים'!$A:$M,13,FALSE()))</f>
        <v>א'</v>
      </c>
      <c r="M969" s="13"/>
      <c r="N969" s="51" t="s">
        <v>360</v>
      </c>
      <c r="O969" s="13" t="str">
        <f t="array" ref="O969">_xlfn.IFS(N969="A","א'", N969="B", "ב'", N969= "C", "ג'")</f>
        <v>א'</v>
      </c>
      <c r="P969" s="13">
        <f>IF(Table_2[[#This Row],[Correct_Answer]]=Table_2[[#This Row],[System_Recommendation]],1,0)</f>
        <v>0</v>
      </c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 spans="1:26" ht="15.75" hidden="1" customHeight="1">
      <c r="A970" s="8" t="s">
        <v>214</v>
      </c>
      <c r="B970" s="8">
        <v>12</v>
      </c>
      <c r="C970" s="9" t="s">
        <v>381</v>
      </c>
      <c r="D970" s="8">
        <v>2</v>
      </c>
      <c r="E970" s="9" t="s">
        <v>105</v>
      </c>
      <c r="F970" s="8" t="s">
        <v>382</v>
      </c>
      <c r="G970" s="8" t="s">
        <v>117</v>
      </c>
      <c r="H970" s="8" t="s">
        <v>201</v>
      </c>
      <c r="I970" s="8" t="s">
        <v>100</v>
      </c>
      <c r="J970" s="9" t="s">
        <v>380</v>
      </c>
      <c r="K970" s="8" t="str">
        <f>VLOOKUP(LEFT(H970,7),'קטלוג תרחישים'!$A:$M,12,FALSE())</f>
        <v>ב'</v>
      </c>
      <c r="L970" s="8" t="str">
        <f>IF(J970="כן",K970,VLOOKUP(LEFT(H970,7),'קטלוג תרחישים'!$A:$M,13,FALSE()))</f>
        <v>ב'</v>
      </c>
      <c r="M970" s="13"/>
      <c r="N970" s="50" t="s">
        <v>366</v>
      </c>
      <c r="O970" s="13" t="str">
        <f t="array" ref="O970">_xlfn.IFS(N970="A","א'", N970="B", "ב'", N970= "C", "ג'")</f>
        <v>ג'</v>
      </c>
      <c r="P970" s="13">
        <f>IF(Table_2[[#This Row],[Correct_Answer]]=Table_2[[#This Row],[System_Recommendation]],1,0)</f>
        <v>1</v>
      </c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 spans="1:26" ht="15.75" hidden="1" customHeight="1">
      <c r="A971" s="8" t="s">
        <v>214</v>
      </c>
      <c r="B971" s="8">
        <v>13</v>
      </c>
      <c r="C971" s="9" t="s">
        <v>381</v>
      </c>
      <c r="D971" s="8">
        <v>2</v>
      </c>
      <c r="E971" s="9" t="s">
        <v>105</v>
      </c>
      <c r="F971" s="8" t="s">
        <v>382</v>
      </c>
      <c r="G971" s="8" t="s">
        <v>117</v>
      </c>
      <c r="H971" s="8" t="s">
        <v>200</v>
      </c>
      <c r="I971" s="8" t="s">
        <v>91</v>
      </c>
      <c r="J971" s="9" t="s">
        <v>380</v>
      </c>
      <c r="K971" s="8" t="str">
        <f>VLOOKUP(LEFT(H971,7),'קטלוג תרחישים'!$A:$M,12,FALSE())</f>
        <v>ג'</v>
      </c>
      <c r="L971" s="8" t="str">
        <f>IF(J971="כן",K971,VLOOKUP(LEFT(H971,7),'קטלוג תרחישים'!$A:$M,13,FALSE()))</f>
        <v>ג'</v>
      </c>
      <c r="M971" s="13"/>
      <c r="N971" s="51" t="s">
        <v>365</v>
      </c>
      <c r="O971" s="13" t="str">
        <f t="array" ref="O971">_xlfn.IFS(N971="A","א'", N971="B", "ב'", N971= "C", "ג'")</f>
        <v>ב'</v>
      </c>
      <c r="P971" s="13">
        <f>IF(Table_2[[#This Row],[Correct_Answer]]=Table_2[[#This Row],[System_Recommendation]],1,0)</f>
        <v>1</v>
      </c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 spans="1:26" ht="15.75" hidden="1" customHeight="1">
      <c r="A972" s="8" t="s">
        <v>214</v>
      </c>
      <c r="B972" s="8">
        <v>14</v>
      </c>
      <c r="C972" s="9" t="s">
        <v>381</v>
      </c>
      <c r="D972" s="8">
        <v>2</v>
      </c>
      <c r="E972" s="9" t="s">
        <v>105</v>
      </c>
      <c r="F972" s="8" t="s">
        <v>382</v>
      </c>
      <c r="G972" s="8" t="s">
        <v>117</v>
      </c>
      <c r="H972" s="8" t="s">
        <v>199</v>
      </c>
      <c r="I972" s="8" t="s">
        <v>100</v>
      </c>
      <c r="J972" s="9" t="s">
        <v>383</v>
      </c>
      <c r="K972" s="8" t="str">
        <f>VLOOKUP(LEFT(H972,7),'קטלוג תרחישים'!$A:$M,12,FALSE())</f>
        <v>ג'</v>
      </c>
      <c r="L972" s="8" t="str">
        <f>IF(J972="כן",K972,VLOOKUP(LEFT(H972,7),'קטלוג תרחישים'!$A:$M,13,FALSE()))</f>
        <v>ב'</v>
      </c>
      <c r="M972" s="13"/>
      <c r="N972" s="50" t="s">
        <v>366</v>
      </c>
      <c r="O972" s="13" t="str">
        <f t="array" ref="O972">_xlfn.IFS(N972="A","א'", N972="B", "ב'", N972= "C", "ג'")</f>
        <v>ג'</v>
      </c>
      <c r="P972" s="13">
        <f>IF(Table_2[[#This Row],[Correct_Answer]]=Table_2[[#This Row],[System_Recommendation]],1,0)</f>
        <v>0</v>
      </c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 spans="1:26" ht="15.75" hidden="1" customHeight="1">
      <c r="A973" s="8" t="s">
        <v>214</v>
      </c>
      <c r="B973" s="8">
        <v>15</v>
      </c>
      <c r="C973" s="9" t="s">
        <v>381</v>
      </c>
      <c r="D973" s="8">
        <v>3</v>
      </c>
      <c r="E973" s="9" t="s">
        <v>111</v>
      </c>
      <c r="F973" s="8" t="s">
        <v>382</v>
      </c>
      <c r="G973" s="8" t="s">
        <v>117</v>
      </c>
      <c r="H973" s="8" t="s">
        <v>204</v>
      </c>
      <c r="I973" s="8" t="s">
        <v>91</v>
      </c>
      <c r="J973" s="9" t="s">
        <v>383</v>
      </c>
      <c r="K973" s="8" t="str">
        <f>VLOOKUP(LEFT(H973,7),'קטלוג תרחישים'!$A:$M,12,FALSE())</f>
        <v>ב'</v>
      </c>
      <c r="L973" s="8" t="str">
        <f>IF(J973="כן",K973,VLOOKUP(LEFT(H973,7),'קטלוג תרחישים'!$A:$M,13,FALSE()))</f>
        <v>ג'</v>
      </c>
      <c r="M973" s="13"/>
      <c r="N973" s="51" t="s">
        <v>360</v>
      </c>
      <c r="O973" s="13" t="str">
        <f t="array" ref="O973">_xlfn.IFS(N973="A","א'", N973="B", "ב'", N973= "C", "ג'")</f>
        <v>א'</v>
      </c>
      <c r="P973" s="13">
        <f>IF(Table_2[[#This Row],[Correct_Answer]]=Table_2[[#This Row],[System_Recommendation]],1,0)</f>
        <v>0</v>
      </c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 spans="1:26" ht="15.75" hidden="1" customHeight="1">
      <c r="A974" s="8" t="s">
        <v>214</v>
      </c>
      <c r="B974" s="8">
        <v>16</v>
      </c>
      <c r="C974" s="9" t="s">
        <v>381</v>
      </c>
      <c r="D974" s="8">
        <v>3</v>
      </c>
      <c r="E974" s="9" t="s">
        <v>111</v>
      </c>
      <c r="F974" s="8" t="s">
        <v>382</v>
      </c>
      <c r="G974" s="8" t="s">
        <v>117</v>
      </c>
      <c r="H974" s="8" t="s">
        <v>203</v>
      </c>
      <c r="I974" s="8" t="s">
        <v>100</v>
      </c>
      <c r="J974" s="9" t="s">
        <v>380</v>
      </c>
      <c r="K974" s="8" t="str">
        <f>VLOOKUP(LEFT(H974,7),'קטלוג תרחישים'!$A:$M,12,FALSE())</f>
        <v>א'</v>
      </c>
      <c r="L974" s="8" t="str">
        <f>IF(J974="כן",K974,VLOOKUP(LEFT(H974,7),'קטלוג תרחישים'!$A:$M,13,FALSE()))</f>
        <v>א'</v>
      </c>
      <c r="M974" s="13"/>
      <c r="N974" s="50" t="s">
        <v>366</v>
      </c>
      <c r="O974" s="13" t="str">
        <f t="array" ref="O974">_xlfn.IFS(N974="A","א'", N974="B", "ב'", N974= "C", "ג'")</f>
        <v>ג'</v>
      </c>
      <c r="P974" s="13">
        <f>IF(Table_2[[#This Row],[Correct_Answer]]=Table_2[[#This Row],[System_Recommendation]],1,0)</f>
        <v>1</v>
      </c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 spans="1:26" ht="15.75" hidden="1" customHeight="1">
      <c r="A975" s="8" t="s">
        <v>214</v>
      </c>
      <c r="B975" s="8">
        <v>17</v>
      </c>
      <c r="C975" s="9" t="s">
        <v>381</v>
      </c>
      <c r="D975" s="8">
        <v>3</v>
      </c>
      <c r="E975" s="9" t="s">
        <v>111</v>
      </c>
      <c r="F975" s="8" t="s">
        <v>382</v>
      </c>
      <c r="G975" s="8" t="s">
        <v>117</v>
      </c>
      <c r="H975" s="8" t="s">
        <v>202</v>
      </c>
      <c r="I975" s="8" t="s">
        <v>91</v>
      </c>
      <c r="J975" s="9" t="s">
        <v>380</v>
      </c>
      <c r="K975" s="8" t="str">
        <f>VLOOKUP(LEFT(H975,7),'קטלוג תרחישים'!$A:$M,12,FALSE())</f>
        <v>ג'</v>
      </c>
      <c r="L975" s="8" t="str">
        <f>IF(J975="כן",K975,VLOOKUP(LEFT(H975,7),'קטלוג תרחישים'!$A:$M,13,FALSE()))</f>
        <v>ג'</v>
      </c>
      <c r="M975" s="13"/>
      <c r="N975" s="51" t="s">
        <v>366</v>
      </c>
      <c r="O975" s="13" t="str">
        <f t="array" ref="O975">_xlfn.IFS(N975="A","א'", N975="B", "ב'", N975= "C", "ג'")</f>
        <v>ג'</v>
      </c>
      <c r="P975" s="13">
        <f>IF(Table_2[[#This Row],[Correct_Answer]]=Table_2[[#This Row],[System_Recommendation]],1,0)</f>
        <v>1</v>
      </c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 spans="1:26" ht="15.75" hidden="1" customHeight="1">
      <c r="A976" s="8" t="s">
        <v>214</v>
      </c>
      <c r="B976" s="8">
        <v>18</v>
      </c>
      <c r="C976" s="9" t="s">
        <v>381</v>
      </c>
      <c r="D976" s="8">
        <v>3</v>
      </c>
      <c r="E976" s="9" t="s">
        <v>111</v>
      </c>
      <c r="F976" s="8" t="s">
        <v>382</v>
      </c>
      <c r="G976" s="8" t="s">
        <v>117</v>
      </c>
      <c r="H976" s="8" t="s">
        <v>205</v>
      </c>
      <c r="I976" s="8" t="s">
        <v>100</v>
      </c>
      <c r="J976" s="9" t="s">
        <v>383</v>
      </c>
      <c r="K976" s="8" t="str">
        <f>VLOOKUP(LEFT(H976,7),'קטלוג תרחישים'!$A:$M,12,FALSE())</f>
        <v>א'</v>
      </c>
      <c r="L976" s="8" t="str">
        <f>IF(J976="כן",K976,VLOOKUP(LEFT(H976,7),'קטלוג תרחישים'!$A:$M,13,FALSE()))</f>
        <v>ג'</v>
      </c>
      <c r="M976" s="13"/>
      <c r="N976" s="50" t="s">
        <v>365</v>
      </c>
      <c r="O976" s="13" t="str">
        <f t="array" ref="O976">_xlfn.IFS(N976="A","א'", N976="B", "ב'", N976= "C", "ג'")</f>
        <v>ב'</v>
      </c>
      <c r="P976" s="13">
        <f>IF(Table_2[[#This Row],[Correct_Answer]]=Table_2[[#This Row],[System_Recommendation]],1,0)</f>
        <v>0</v>
      </c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 spans="1:26" ht="15.75" hidden="1" customHeight="1">
      <c r="A977" s="8" t="s">
        <v>214</v>
      </c>
      <c r="B977" s="8">
        <v>19</v>
      </c>
      <c r="C977" s="9" t="s">
        <v>381</v>
      </c>
      <c r="D977" s="8">
        <v>1</v>
      </c>
      <c r="E977" s="9" t="s">
        <v>111</v>
      </c>
      <c r="F977" s="8" t="s">
        <v>384</v>
      </c>
      <c r="G977" s="8" t="s">
        <v>97</v>
      </c>
      <c r="H977" s="8" t="s">
        <v>183</v>
      </c>
      <c r="I977" s="8" t="s">
        <v>100</v>
      </c>
      <c r="J977" s="9" t="s">
        <v>383</v>
      </c>
      <c r="K977" s="8" t="str">
        <f>VLOOKUP(LEFT(H977,7),'קטלוג תרחישים'!$A:$M,12,FALSE())</f>
        <v>ג'</v>
      </c>
      <c r="L977" s="8" t="str">
        <f>IF(J977="כן",K977,VLOOKUP(LEFT(H977,7),'קטלוג תרחישים'!$A:$M,13,FALSE()))</f>
        <v>ב'</v>
      </c>
      <c r="M977" s="13"/>
      <c r="N977" s="51" t="s">
        <v>360</v>
      </c>
      <c r="O977" s="13" t="str">
        <f t="array" ref="O977">_xlfn.IFS(N977="A","א'", N977="B", "ב'", N977= "C", "ג'")</f>
        <v>א'</v>
      </c>
      <c r="P977" s="13">
        <f>IF(Table_2[[#This Row],[Correct_Answer]]=Table_2[[#This Row],[System_Recommendation]],1,0)</f>
        <v>0</v>
      </c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 spans="1:26" ht="15.75" hidden="1" customHeight="1">
      <c r="A978" s="8" t="s">
        <v>214</v>
      </c>
      <c r="B978" s="8">
        <v>20</v>
      </c>
      <c r="C978" s="9" t="s">
        <v>381</v>
      </c>
      <c r="D978" s="8">
        <v>1</v>
      </c>
      <c r="E978" s="9" t="s">
        <v>111</v>
      </c>
      <c r="F978" s="8" t="s">
        <v>384</v>
      </c>
      <c r="G978" s="8" t="s">
        <v>97</v>
      </c>
      <c r="H978" s="8" t="s">
        <v>182</v>
      </c>
      <c r="I978" s="8" t="s">
        <v>91</v>
      </c>
      <c r="J978" s="9" t="s">
        <v>380</v>
      </c>
      <c r="K978" s="8" t="str">
        <f>VLOOKUP(LEFT(H978,7),'קטלוג תרחישים'!$A:$M,12,FALSE())</f>
        <v>ב'</v>
      </c>
      <c r="L978" s="8" t="str">
        <f>IF(J978="כן",K978,VLOOKUP(LEFT(H978,7),'קטלוג תרחישים'!$A:$M,13,FALSE()))</f>
        <v>ב'</v>
      </c>
      <c r="M978" s="13"/>
      <c r="N978" s="50" t="s">
        <v>366</v>
      </c>
      <c r="O978" s="13" t="str">
        <f t="array" ref="O978">_xlfn.IFS(N978="A","א'", N978="B", "ב'", N978= "C", "ג'")</f>
        <v>ג'</v>
      </c>
      <c r="P978" s="13">
        <f>IF(Table_2[[#This Row],[Correct_Answer]]=Table_2[[#This Row],[System_Recommendation]],1,0)</f>
        <v>1</v>
      </c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 spans="1:26" ht="15.75" hidden="1" customHeight="1">
      <c r="A979" s="8" t="s">
        <v>214</v>
      </c>
      <c r="B979" s="8">
        <v>21</v>
      </c>
      <c r="C979" s="9" t="s">
        <v>381</v>
      </c>
      <c r="D979" s="8">
        <v>1</v>
      </c>
      <c r="E979" s="9" t="s">
        <v>111</v>
      </c>
      <c r="F979" s="8" t="s">
        <v>384</v>
      </c>
      <c r="G979" s="8" t="s">
        <v>97</v>
      </c>
      <c r="H979" s="8" t="s">
        <v>181</v>
      </c>
      <c r="I979" s="8" t="s">
        <v>100</v>
      </c>
      <c r="J979" s="9" t="s">
        <v>380</v>
      </c>
      <c r="K979" s="8" t="str">
        <f>VLOOKUP(LEFT(H979,7),'קטלוג תרחישים'!$A:$M,12,FALSE())</f>
        <v>ג'</v>
      </c>
      <c r="L979" s="8" t="str">
        <f>IF(J979="כן",K979,VLOOKUP(LEFT(H979,7),'קטלוג תרחישים'!$A:$M,13,FALSE()))</f>
        <v>ג'</v>
      </c>
      <c r="M979" s="13"/>
      <c r="N979" s="51" t="s">
        <v>365</v>
      </c>
      <c r="O979" s="13" t="str">
        <f t="array" ref="O979">_xlfn.IFS(N979="A","א'", N979="B", "ב'", N979= "C", "ג'")</f>
        <v>ב'</v>
      </c>
      <c r="P979" s="13">
        <f>IF(Table_2[[#This Row],[Correct_Answer]]=Table_2[[#This Row],[System_Recommendation]],1,0)</f>
        <v>1</v>
      </c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 spans="1:26" ht="15.75" hidden="1" customHeight="1">
      <c r="A980" s="8" t="s">
        <v>214</v>
      </c>
      <c r="B980" s="8">
        <v>22</v>
      </c>
      <c r="C980" s="9" t="s">
        <v>381</v>
      </c>
      <c r="D980" s="8">
        <v>1</v>
      </c>
      <c r="E980" s="9" t="s">
        <v>111</v>
      </c>
      <c r="F980" s="8" t="s">
        <v>384</v>
      </c>
      <c r="G980" s="8" t="s">
        <v>97</v>
      </c>
      <c r="H980" s="8" t="s">
        <v>180</v>
      </c>
      <c r="I980" s="8" t="s">
        <v>91</v>
      </c>
      <c r="J980" s="9" t="s">
        <v>380</v>
      </c>
      <c r="K980" s="8" t="str">
        <f>VLOOKUP(LEFT(H980,7),'קטלוג תרחישים'!$A:$M,12,FALSE())</f>
        <v>א'</v>
      </c>
      <c r="L980" s="8" t="str">
        <f>IF(J980="כן",K980,VLOOKUP(LEFT(H980,7),'קטלוג תרחישים'!$A:$M,13,FALSE()))</f>
        <v>א'</v>
      </c>
      <c r="M980" s="13"/>
      <c r="N980" s="50" t="s">
        <v>366</v>
      </c>
      <c r="O980" s="13" t="str">
        <f t="array" ref="O980">_xlfn.IFS(N980="A","א'", N980="B", "ב'", N980= "C", "ג'")</f>
        <v>ג'</v>
      </c>
      <c r="P980" s="13">
        <f>IF(Table_2[[#This Row],[Correct_Answer]]=Table_2[[#This Row],[System_Recommendation]],1,0)</f>
        <v>1</v>
      </c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 spans="1:26" ht="15.75" hidden="1" customHeight="1">
      <c r="A981" s="8" t="s">
        <v>214</v>
      </c>
      <c r="B981" s="8">
        <v>23</v>
      </c>
      <c r="C981" s="9" t="s">
        <v>381</v>
      </c>
      <c r="D981" s="8">
        <v>1</v>
      </c>
      <c r="E981" s="9" t="s">
        <v>111</v>
      </c>
      <c r="F981" s="8" t="s">
        <v>384</v>
      </c>
      <c r="G981" s="8" t="s">
        <v>97</v>
      </c>
      <c r="H981" s="8" t="s">
        <v>179</v>
      </c>
      <c r="I981" s="8" t="s">
        <v>100</v>
      </c>
      <c r="J981" s="9" t="s">
        <v>380</v>
      </c>
      <c r="K981" s="8" t="str">
        <f>VLOOKUP(LEFT(H981,7),'קטלוג תרחישים'!$A:$M,12,FALSE())</f>
        <v>ב'</v>
      </c>
      <c r="L981" s="8" t="str">
        <f>IF(J981="כן",K981,VLOOKUP(LEFT(H981,7),'קטלוג תרחישים'!$A:$M,13,FALSE()))</f>
        <v>ב'</v>
      </c>
      <c r="M981" s="13"/>
      <c r="N981" s="51" t="s">
        <v>366</v>
      </c>
      <c r="O981" s="13" t="str">
        <f t="array" ref="O981">_xlfn.IFS(N981="A","א'", N981="B", "ב'", N981= "C", "ג'")</f>
        <v>ג'</v>
      </c>
      <c r="P981" s="13">
        <f>IF(Table_2[[#This Row],[Correct_Answer]]=Table_2[[#This Row],[System_Recommendation]],1,0)</f>
        <v>1</v>
      </c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 spans="1:26" ht="15.75" hidden="1" customHeight="1">
      <c r="A982" s="8" t="s">
        <v>214</v>
      </c>
      <c r="B982" s="8">
        <v>24</v>
      </c>
      <c r="C982" s="9" t="s">
        <v>381</v>
      </c>
      <c r="D982" s="8">
        <v>2</v>
      </c>
      <c r="E982" s="9" t="s">
        <v>98</v>
      </c>
      <c r="F982" s="8" t="s">
        <v>384</v>
      </c>
      <c r="G982" s="8" t="s">
        <v>97</v>
      </c>
      <c r="H982" s="8" t="s">
        <v>186</v>
      </c>
      <c r="I982" s="8" t="s">
        <v>91</v>
      </c>
      <c r="J982" s="9" t="s">
        <v>380</v>
      </c>
      <c r="K982" s="8" t="str">
        <f>VLOOKUP(LEFT(H982,7),'קטלוג תרחישים'!$A:$M,12,FALSE())</f>
        <v>א'</v>
      </c>
      <c r="L982" s="8" t="str">
        <f>IF(J982="כן",K982,VLOOKUP(LEFT(H982,7),'קטלוג תרחישים'!$A:$M,13,FALSE()))</f>
        <v>א'</v>
      </c>
      <c r="M982" s="13"/>
      <c r="N982" s="50" t="s">
        <v>365</v>
      </c>
      <c r="O982" s="13" t="str">
        <f t="array" ref="O982">_xlfn.IFS(N982="A","א'", N982="B", "ב'", N982= "C", "ג'")</f>
        <v>ב'</v>
      </c>
      <c r="P982" s="13">
        <f>IF(Table_2[[#This Row],[Correct_Answer]]=Table_2[[#This Row],[System_Recommendation]],1,0)</f>
        <v>1</v>
      </c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 spans="1:26" ht="15.75" hidden="1" customHeight="1">
      <c r="A983" s="8" t="s">
        <v>214</v>
      </c>
      <c r="B983" s="8">
        <v>25</v>
      </c>
      <c r="C983" s="9" t="s">
        <v>381</v>
      </c>
      <c r="D983" s="8">
        <v>2</v>
      </c>
      <c r="E983" s="9" t="s">
        <v>98</v>
      </c>
      <c r="F983" s="8" t="s">
        <v>384</v>
      </c>
      <c r="G983" s="8" t="s">
        <v>97</v>
      </c>
      <c r="H983" s="8" t="s">
        <v>187</v>
      </c>
      <c r="I983" s="8" t="s">
        <v>100</v>
      </c>
      <c r="J983" s="9" t="s">
        <v>383</v>
      </c>
      <c r="K983" s="8" t="str">
        <f>VLOOKUP(LEFT(H983,7),'קטלוג תרחישים'!$A:$M,12,FALSE())</f>
        <v>ב'</v>
      </c>
      <c r="L983" s="8" t="str">
        <f>IF(J983="כן",K983,VLOOKUP(LEFT(H983,7),'קטלוג תרחישים'!$A:$M,13,FALSE()))</f>
        <v>א'</v>
      </c>
      <c r="M983" s="13"/>
      <c r="N983" s="51" t="s">
        <v>366</v>
      </c>
      <c r="O983" s="13" t="str">
        <f t="array" ref="O983">_xlfn.IFS(N983="A","א'", N983="B", "ב'", N983= "C", "ג'")</f>
        <v>ג'</v>
      </c>
      <c r="P983" s="13">
        <f>IF(Table_2[[#This Row],[Correct_Answer]]=Table_2[[#This Row],[System_Recommendation]],1,0)</f>
        <v>0</v>
      </c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 spans="1:26" ht="15.75" hidden="1" customHeight="1">
      <c r="A984" s="8" t="s">
        <v>214</v>
      </c>
      <c r="B984" s="8">
        <v>26</v>
      </c>
      <c r="C984" s="9" t="s">
        <v>381</v>
      </c>
      <c r="D984" s="8">
        <v>2</v>
      </c>
      <c r="E984" s="9" t="s">
        <v>98</v>
      </c>
      <c r="F984" s="8" t="s">
        <v>384</v>
      </c>
      <c r="G984" s="8" t="s">
        <v>97</v>
      </c>
      <c r="H984" s="8" t="s">
        <v>188</v>
      </c>
      <c r="I984" s="8" t="s">
        <v>91</v>
      </c>
      <c r="J984" s="9" t="s">
        <v>380</v>
      </c>
      <c r="K984" s="8" t="str">
        <f>VLOOKUP(LEFT(H984,7),'קטלוג תרחישים'!$A:$M,12,FALSE())</f>
        <v>ג'</v>
      </c>
      <c r="L984" s="8" t="str">
        <f>IF(J984="כן",K984,VLOOKUP(LEFT(H984,7),'קטלוג תרחישים'!$A:$M,13,FALSE()))</f>
        <v>ג'</v>
      </c>
      <c r="M984" s="13"/>
      <c r="N984" s="50" t="s">
        <v>360</v>
      </c>
      <c r="O984" s="13" t="str">
        <f t="array" ref="O984">_xlfn.IFS(N984="A","א'", N984="B", "ב'", N984= "C", "ג'")</f>
        <v>א'</v>
      </c>
      <c r="P984" s="13">
        <f>IF(Table_2[[#This Row],[Correct_Answer]]=Table_2[[#This Row],[System_Recommendation]],1,0)</f>
        <v>1</v>
      </c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 spans="1:26" ht="15.75" hidden="1" customHeight="1">
      <c r="A985" s="8" t="s">
        <v>214</v>
      </c>
      <c r="B985" s="8">
        <v>27</v>
      </c>
      <c r="C985" s="9" t="s">
        <v>381</v>
      </c>
      <c r="D985" s="8">
        <v>2</v>
      </c>
      <c r="E985" s="9" t="s">
        <v>98</v>
      </c>
      <c r="F985" s="8" t="s">
        <v>384</v>
      </c>
      <c r="G985" s="8" t="s">
        <v>97</v>
      </c>
      <c r="H985" s="8" t="s">
        <v>185</v>
      </c>
      <c r="I985" s="8" t="s">
        <v>100</v>
      </c>
      <c r="J985" s="9" t="s">
        <v>380</v>
      </c>
      <c r="K985" s="8" t="str">
        <f>VLOOKUP(LEFT(H985,7),'קטלוג תרחישים'!$A:$M,12,FALSE())</f>
        <v>ב'</v>
      </c>
      <c r="L985" s="8" t="str">
        <f>IF(J985="כן",K985,VLOOKUP(LEFT(H985,7),'קטלוג תרחישים'!$A:$M,13,FALSE()))</f>
        <v>ב'</v>
      </c>
      <c r="M985" s="13"/>
      <c r="N985" s="51" t="s">
        <v>360</v>
      </c>
      <c r="O985" s="13" t="str">
        <f t="array" ref="O985">_xlfn.IFS(N985="A","א'", N985="B", "ב'", N985= "C", "ג'")</f>
        <v>א'</v>
      </c>
      <c r="P985" s="13">
        <f>IF(Table_2[[#This Row],[Correct_Answer]]=Table_2[[#This Row],[System_Recommendation]],1,0)</f>
        <v>1</v>
      </c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 spans="1:26" ht="15.75" hidden="1" customHeight="1">
      <c r="A986" s="8" t="s">
        <v>214</v>
      </c>
      <c r="B986" s="8">
        <v>28</v>
      </c>
      <c r="C986" s="9" t="s">
        <v>381</v>
      </c>
      <c r="D986" s="8">
        <v>2</v>
      </c>
      <c r="E986" s="9" t="s">
        <v>98</v>
      </c>
      <c r="F986" s="8" t="s">
        <v>384</v>
      </c>
      <c r="G986" s="8" t="s">
        <v>97</v>
      </c>
      <c r="H986" s="8" t="s">
        <v>184</v>
      </c>
      <c r="I986" s="8" t="s">
        <v>91</v>
      </c>
      <c r="J986" s="9" t="s">
        <v>380</v>
      </c>
      <c r="K986" s="8" t="str">
        <f>VLOOKUP(LEFT(H986,7),'קטלוג תרחישים'!$A:$M,12,FALSE())</f>
        <v>ג'</v>
      </c>
      <c r="L986" s="8" t="str">
        <f>IF(J986="כן",K986,VLOOKUP(LEFT(H986,7),'קטלוג תרחישים'!$A:$M,13,FALSE()))</f>
        <v>ג'</v>
      </c>
      <c r="M986" s="13"/>
      <c r="N986" s="50" t="s">
        <v>360</v>
      </c>
      <c r="O986" s="13" t="str">
        <f t="array" ref="O986">_xlfn.IFS(N986="A","א'", N986="B", "ב'", N986= "C", "ג'")</f>
        <v>א'</v>
      </c>
      <c r="P986" s="13">
        <f>IF(Table_2[[#This Row],[Correct_Answer]]=Table_2[[#This Row],[System_Recommendation]],1,0)</f>
        <v>1</v>
      </c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 spans="1:26" ht="15.75" hidden="1" customHeight="1">
      <c r="A987" s="8" t="s">
        <v>214</v>
      </c>
      <c r="B987" s="8">
        <v>29</v>
      </c>
      <c r="C987" s="9" t="s">
        <v>381</v>
      </c>
      <c r="D987" s="8">
        <v>3</v>
      </c>
      <c r="E987" s="9" t="s">
        <v>105</v>
      </c>
      <c r="F987" s="8" t="s">
        <v>384</v>
      </c>
      <c r="G987" s="8" t="s">
        <v>97</v>
      </c>
      <c r="H987" s="8" t="s">
        <v>193</v>
      </c>
      <c r="I987" s="8" t="s">
        <v>91</v>
      </c>
      <c r="J987" s="9" t="s">
        <v>380</v>
      </c>
      <c r="K987" s="8" t="str">
        <f>VLOOKUP(LEFT(H987,7),'קטלוג תרחישים'!$A:$M,12,FALSE())</f>
        <v>ב'</v>
      </c>
      <c r="L987" s="8" t="str">
        <f>IF(J987="כן",K987,VLOOKUP(LEFT(H987,7),'קטלוג תרחישים'!$A:$M,13,FALSE()))</f>
        <v>ב'</v>
      </c>
      <c r="M987" s="13"/>
      <c r="N987" s="51" t="s">
        <v>360</v>
      </c>
      <c r="O987" s="13" t="str">
        <f t="array" ref="O987">_xlfn.IFS(N987="A","א'", N987="B", "ב'", N987= "C", "ג'")</f>
        <v>א'</v>
      </c>
      <c r="P987" s="13">
        <f>IF(Table_2[[#This Row],[Correct_Answer]]=Table_2[[#This Row],[System_Recommendation]],1,0)</f>
        <v>1</v>
      </c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 spans="1:26" ht="15.75" hidden="1" customHeight="1">
      <c r="A988" s="8" t="s">
        <v>214</v>
      </c>
      <c r="B988" s="8">
        <v>30</v>
      </c>
      <c r="C988" s="9" t="s">
        <v>381</v>
      </c>
      <c r="D988" s="8">
        <v>3</v>
      </c>
      <c r="E988" s="9" t="s">
        <v>105</v>
      </c>
      <c r="F988" s="8" t="s">
        <v>384</v>
      </c>
      <c r="G988" s="8" t="s">
        <v>97</v>
      </c>
      <c r="H988" s="8" t="s">
        <v>192</v>
      </c>
      <c r="I988" s="8" t="s">
        <v>100</v>
      </c>
      <c r="J988" s="9" t="s">
        <v>380</v>
      </c>
      <c r="K988" s="8" t="str">
        <f>VLOOKUP(LEFT(H988,7),'קטלוג תרחישים'!$A:$M,12,FALSE())</f>
        <v>א'</v>
      </c>
      <c r="L988" s="8" t="str">
        <f>IF(J988="כן",K988,VLOOKUP(LEFT(H988,7),'קטלוג תרחישים'!$A:$M,13,FALSE()))</f>
        <v>א'</v>
      </c>
      <c r="M988" s="13"/>
      <c r="N988" s="50" t="s">
        <v>365</v>
      </c>
      <c r="O988" s="13" t="str">
        <f t="array" ref="O988">_xlfn.IFS(N988="A","א'", N988="B", "ב'", N988= "C", "ג'")</f>
        <v>ב'</v>
      </c>
      <c r="P988" s="13">
        <f>IF(Table_2[[#This Row],[Correct_Answer]]=Table_2[[#This Row],[System_Recommendation]],1,0)</f>
        <v>1</v>
      </c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 spans="1:26" ht="15.75" hidden="1" customHeight="1">
      <c r="A989" s="8" t="s">
        <v>214</v>
      </c>
      <c r="B989" s="8">
        <v>31</v>
      </c>
      <c r="C989" s="9" t="s">
        <v>381</v>
      </c>
      <c r="D989" s="8">
        <v>3</v>
      </c>
      <c r="E989" s="9" t="s">
        <v>105</v>
      </c>
      <c r="F989" s="8" t="s">
        <v>384</v>
      </c>
      <c r="G989" s="8" t="s">
        <v>97</v>
      </c>
      <c r="H989" s="8" t="s">
        <v>189</v>
      </c>
      <c r="I989" s="8" t="s">
        <v>91</v>
      </c>
      <c r="J989" s="9" t="s">
        <v>383</v>
      </c>
      <c r="K989" s="8" t="str">
        <f>VLOOKUP(LEFT(H989,7),'קטלוג תרחישים'!$A:$M,12,FALSE())</f>
        <v>ג'</v>
      </c>
      <c r="L989" s="8" t="str">
        <f>IF(J989="כן",K989,VLOOKUP(LEFT(H989,7),'קטלוג תרחישים'!$A:$M,13,FALSE()))</f>
        <v>ב'</v>
      </c>
      <c r="M989" s="13"/>
      <c r="N989" s="51" t="s">
        <v>365</v>
      </c>
      <c r="O989" s="13" t="str">
        <f t="array" ref="O989">_xlfn.IFS(N989="A","א'", N989="B", "ב'", N989= "C", "ג'")</f>
        <v>ב'</v>
      </c>
      <c r="P989" s="13">
        <f>IF(Table_2[[#This Row],[Correct_Answer]]=Table_2[[#This Row],[System_Recommendation]],1,0)</f>
        <v>0</v>
      </c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 spans="1:26" ht="15.75" hidden="1" customHeight="1">
      <c r="A990" s="8" t="s">
        <v>214</v>
      </c>
      <c r="B990" s="8">
        <v>32</v>
      </c>
      <c r="C990" s="9" t="s">
        <v>381</v>
      </c>
      <c r="D990" s="8">
        <v>3</v>
      </c>
      <c r="E990" s="9" t="s">
        <v>105</v>
      </c>
      <c r="F990" s="8" t="s">
        <v>384</v>
      </c>
      <c r="G990" s="8" t="s">
        <v>97</v>
      </c>
      <c r="H990" s="8" t="s">
        <v>190</v>
      </c>
      <c r="I990" s="8" t="s">
        <v>100</v>
      </c>
      <c r="J990" s="9" t="s">
        <v>380</v>
      </c>
      <c r="K990" s="8" t="str">
        <f>VLOOKUP(LEFT(H990,7),'קטלוג תרחישים'!$A:$M,12,FALSE())</f>
        <v>ג'</v>
      </c>
      <c r="L990" s="8" t="str">
        <f>IF(J990="כן",K990,VLOOKUP(LEFT(H990,7),'קטלוג תרחישים'!$A:$M,13,FALSE()))</f>
        <v>ג'</v>
      </c>
      <c r="M990" s="13"/>
      <c r="N990" s="50" t="s">
        <v>366</v>
      </c>
      <c r="O990" s="13" t="str">
        <f t="array" ref="O990">_xlfn.IFS(N990="A","א'", N990="B", "ב'", N990= "C", "ג'")</f>
        <v>ג'</v>
      </c>
      <c r="P990" s="13">
        <f>IF(Table_2[[#This Row],[Correct_Answer]]=Table_2[[#This Row],[System_Recommendation]],1,0)</f>
        <v>1</v>
      </c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 spans="1:26" ht="15.75" hidden="1" customHeight="1">
      <c r="A991" s="8" t="s">
        <v>214</v>
      </c>
      <c r="B991" s="8">
        <v>33</v>
      </c>
      <c r="C991" s="9" t="s">
        <v>381</v>
      </c>
      <c r="D991" s="8">
        <v>3</v>
      </c>
      <c r="E991" s="9" t="s">
        <v>105</v>
      </c>
      <c r="F991" s="8" t="s">
        <v>384</v>
      </c>
      <c r="G991" s="8" t="s">
        <v>97</v>
      </c>
      <c r="H991" s="8" t="s">
        <v>191</v>
      </c>
      <c r="I991" s="8" t="s">
        <v>91</v>
      </c>
      <c r="J991" s="9" t="s">
        <v>380</v>
      </c>
      <c r="K991" s="8" t="str">
        <f>VLOOKUP(LEFT(H991,7),'קטלוג תרחישים'!$A:$M,12,FALSE())</f>
        <v>ג'</v>
      </c>
      <c r="L991" s="8" t="str">
        <f>IF(J991="כן",K991,VLOOKUP(LEFT(H991,7),'קטלוג תרחישים'!$A:$M,13,FALSE()))</f>
        <v>ג'</v>
      </c>
      <c r="M991" s="13"/>
      <c r="N991" s="52" t="s">
        <v>360</v>
      </c>
      <c r="O991" s="13" t="str">
        <f t="array" ref="O991">_xlfn.IFS(N991="A","א'", N991="B", "ב'", N991= "C", "ג'")</f>
        <v>א'</v>
      </c>
      <c r="P991" s="13">
        <f>IF(Table_2[[#This Row],[Correct_Answer]]=Table_2[[#This Row],[System_Recommendation]],1,0)</f>
        <v>1</v>
      </c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 spans="1:26" ht="15.75" customHeight="1">
      <c r="A992" s="13"/>
      <c r="B992" s="13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>
        <f>SUM(P2:P991)</f>
        <v>720</v>
      </c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 spans="1:26" ht="15.75" customHeight="1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 spans="1:26" ht="15.75" customHeight="1">
      <c r="A994" s="13"/>
      <c r="B994" s="13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 spans="1:26" ht="15.75" customHeight="1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 spans="1:26" ht="15.75" customHeight="1">
      <c r="A996" s="13"/>
      <c r="B996" s="13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 spans="1:26" ht="15.75" customHeight="1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 spans="1:26" ht="15.75" customHeight="1">
      <c r="A998" s="13"/>
      <c r="B998" s="13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 spans="1:26" ht="15.75" customHeight="1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 spans="1:26" ht="15.75" customHeight="1">
      <c r="A1000" s="13"/>
      <c r="B1000" s="13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</sheetData>
  <conditionalFormatting sqref="E2:E991">
    <cfRule type="containsText" dxfId="8" priority="2" operator="containsText" text="עמודות נערמות">
      <formula>NOT(ISERROR(SEARCH("עמודות נערמות",E2)))</formula>
    </cfRule>
    <cfRule type="containsText" dxfId="7" priority="3" operator="containsText" text="מפת חום">
      <formula>NOT(ISERROR(SEARCH("מפת חום",E2)))</formula>
    </cfRule>
    <cfRule type="containsText" dxfId="6" priority="4" operator="containsText" text="רדאר">
      <formula>NOT(ISERROR(SEARCH("רדאר",E2)))</formula>
    </cfRule>
    <cfRule type="containsText" dxfId="5" priority="5" operator="containsText" text="עמודות נערמות">
      <formula>NOT(ISERROR(SEARCH("עמודות נערמות",E2)))</formula>
    </cfRule>
  </conditionalFormatting>
  <conditionalFormatting sqref="G2:G991">
    <cfRule type="containsText" dxfId="4" priority="6" operator="containsText" text="OPT">
      <formula>NOT(ISERROR(SEARCH("OPT",G2)))</formula>
    </cfRule>
    <cfRule type="containsText" dxfId="3" priority="7" operator="containsText" text="SUB">
      <formula>NOT(ISERROR(SEARCH("SUB",G2)))</formula>
    </cfRule>
  </conditionalFormatting>
  <conditionalFormatting sqref="I2:I991">
    <cfRule type="containsText" dxfId="2" priority="8" operator="containsText" text="H">
      <formula>NOT(ISERROR(SEARCH("H",I2)))</formula>
    </cfRule>
    <cfRule type="containsText" dxfId="1" priority="9" operator="containsText" text="E">
      <formula>NOT(ISERROR(SEARCH("E",I2)))</formula>
    </cfRule>
  </conditionalFormatting>
  <conditionalFormatting sqref="J2:J991">
    <cfRule type="containsText" dxfId="0" priority="10" operator="containsText" text="לא">
      <formula>NOT(ISERROR(SEARCH("לא",J2)))</formula>
    </cfRule>
  </conditionalFormatting>
  <pageMargins left="0.7" right="0.7" top="0.75" bottom="0.75" header="0.511811023622047" footer="0.511811023622047"/>
  <pageSetup orientation="landscape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rightToLeft="1" zoomScaleNormal="100" workbookViewId="0"/>
  </sheetViews>
  <sheetFormatPr defaultColWidth="14.42578125" defaultRowHeight="15" customHeight="1"/>
  <cols>
    <col min="1" max="1" width="21" customWidth="1"/>
    <col min="2" max="2" width="12" customWidth="1"/>
    <col min="3" max="3" width="13" customWidth="1"/>
    <col min="4" max="4" width="12" customWidth="1"/>
    <col min="5" max="5" width="13" customWidth="1"/>
    <col min="6" max="6" width="8.7109375" customWidth="1"/>
  </cols>
  <sheetData>
    <row r="1" spans="1:5" ht="18.75" customHeight="1">
      <c r="A1" s="1" t="s">
        <v>385</v>
      </c>
      <c r="B1" s="1"/>
      <c r="C1" s="1"/>
      <c r="D1" s="1"/>
      <c r="E1" s="1"/>
    </row>
    <row r="2" spans="1:5"/>
    <row r="3" spans="1:5" ht="14.25" customHeight="1">
      <c r="A3" s="53" t="s">
        <v>370</v>
      </c>
      <c r="B3" s="53" t="s">
        <v>91</v>
      </c>
      <c r="C3" s="53" t="s">
        <v>100</v>
      </c>
      <c r="D3" s="53" t="s">
        <v>386</v>
      </c>
    </row>
    <row r="4" spans="1:5">
      <c r="A4" s="46" t="s">
        <v>111</v>
      </c>
      <c r="B4" s="41">
        <v>140</v>
      </c>
      <c r="C4" s="41">
        <v>130</v>
      </c>
      <c r="D4" s="41">
        <v>270</v>
      </c>
    </row>
    <row r="5" spans="1:5">
      <c r="A5" s="45" t="s">
        <v>105</v>
      </c>
      <c r="B5" s="41">
        <v>140</v>
      </c>
      <c r="C5" s="41">
        <v>130</v>
      </c>
      <c r="D5" s="41">
        <v>270</v>
      </c>
    </row>
    <row r="6" spans="1:5">
      <c r="A6" s="44" t="s">
        <v>362</v>
      </c>
      <c r="B6" s="41">
        <v>140</v>
      </c>
      <c r="C6" s="41">
        <v>130</v>
      </c>
      <c r="D6" s="41">
        <v>270</v>
      </c>
    </row>
    <row r="7" spans="1:5"/>
    <row r="8" spans="1:5" ht="14.25" customHeight="1">
      <c r="A8" s="53" t="s">
        <v>370</v>
      </c>
      <c r="B8" s="53" t="s">
        <v>387</v>
      </c>
      <c r="C8" s="53" t="s">
        <v>388</v>
      </c>
      <c r="D8" s="53" t="s">
        <v>389</v>
      </c>
      <c r="E8" s="53" t="s">
        <v>390</v>
      </c>
    </row>
    <row r="9" spans="1:5">
      <c r="A9" s="46" t="s">
        <v>111</v>
      </c>
      <c r="B9" s="41">
        <v>150</v>
      </c>
      <c r="C9" s="41">
        <v>120</v>
      </c>
      <c r="D9" s="41">
        <v>120</v>
      </c>
      <c r="E9" s="41">
        <v>60</v>
      </c>
    </row>
    <row r="10" spans="1:5">
      <c r="A10" s="45" t="s">
        <v>105</v>
      </c>
      <c r="B10" s="41">
        <v>150</v>
      </c>
      <c r="C10" s="41">
        <v>120</v>
      </c>
      <c r="D10" s="41">
        <v>120</v>
      </c>
      <c r="E10" s="41">
        <v>60</v>
      </c>
    </row>
    <row r="11" spans="1:5">
      <c r="A11" s="44" t="s">
        <v>362</v>
      </c>
      <c r="B11" s="41">
        <v>150</v>
      </c>
      <c r="C11" s="41">
        <v>120</v>
      </c>
      <c r="D11" s="41">
        <v>120</v>
      </c>
      <c r="E11" s="41">
        <v>60</v>
      </c>
    </row>
    <row r="12" spans="1:5"/>
    <row r="13" spans="1:5"/>
    <row r="14" spans="1:5"/>
    <row r="15" spans="1:5"/>
    <row r="16" spans="1:5"/>
    <row r="17"/>
    <row r="18"/>
    <row r="19"/>
    <row r="20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E1"/>
  </mergeCells>
  <pageMargins left="0.7" right="0.7" top="0.75" bottom="0.75" header="0.511811023622047" footer="0.511811023622047"/>
  <pageSetup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קידוד_ניסוי</vt:lpstr>
      <vt:lpstr>קטלוג תרחישים</vt:lpstr>
      <vt:lpstr>מפת_איזון</vt:lpstr>
      <vt:lpstr>Schedule_Long</vt:lpstr>
      <vt:lpstr>בדיקות_איזון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בשמת קהא</cp:lastModifiedBy>
  <cp:revision>0</cp:revision>
  <dcterms:created xsi:type="dcterms:W3CDTF">2026-01-26T14:17:12Z</dcterms:created>
  <dcterms:modified xsi:type="dcterms:W3CDTF">2026-07-08T04:04:24Z</dcterms:modified>
  <dc:language>en-US</dc:language>
</cp:coreProperties>
</file>