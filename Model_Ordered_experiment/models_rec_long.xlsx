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uhammad\Documents\Itzik\Model_Ordered_experiment\"/>
    </mc:Choice>
  </mc:AlternateContent>
  <xr:revisionPtr revIDLastSave="0" documentId="8_{9B08F616-8347-4C9C-87C1-AC1163929E76}" xr6:coauthVersionLast="36" xr6:coauthVersionMax="36" xr10:uidLastSave="{00000000-0000-0000-0000-000000000000}"/>
  <bookViews>
    <workbookView xWindow="0" yWindow="0" windowWidth="38400" windowHeight="14505" activeTab="3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91" i="4" l="1"/>
  <c r="L991" i="4" s="1"/>
  <c r="K990" i="4"/>
  <c r="L990" i="4" s="1"/>
  <c r="L989" i="4"/>
  <c r="K989" i="4"/>
  <c r="K988" i="4"/>
  <c r="L988" i="4" s="1"/>
  <c r="K987" i="4"/>
  <c r="L987" i="4" s="1"/>
  <c r="K986" i="4"/>
  <c r="L986" i="4" s="1"/>
  <c r="K985" i="4"/>
  <c r="L985" i="4" s="1"/>
  <c r="K984" i="4"/>
  <c r="L984" i="4" s="1"/>
  <c r="L983" i="4"/>
  <c r="K983" i="4"/>
  <c r="K982" i="4"/>
  <c r="L982" i="4" s="1"/>
  <c r="K981" i="4"/>
  <c r="L981" i="4" s="1"/>
  <c r="K980" i="4"/>
  <c r="L980" i="4" s="1"/>
  <c r="K979" i="4"/>
  <c r="L979" i="4" s="1"/>
  <c r="K978" i="4"/>
  <c r="L978" i="4" s="1"/>
  <c r="L977" i="4"/>
  <c r="K977" i="4"/>
  <c r="L976" i="4"/>
  <c r="K976" i="4"/>
  <c r="K975" i="4"/>
  <c r="L975" i="4" s="1"/>
  <c r="K974" i="4"/>
  <c r="L974" i="4" s="1"/>
  <c r="L973" i="4"/>
  <c r="K973" i="4"/>
  <c r="L972" i="4"/>
  <c r="K972" i="4"/>
  <c r="K971" i="4"/>
  <c r="L971" i="4" s="1"/>
  <c r="K970" i="4"/>
  <c r="L970" i="4" s="1"/>
  <c r="L969" i="4"/>
  <c r="K969" i="4"/>
  <c r="K968" i="4"/>
  <c r="L968" i="4" s="1"/>
  <c r="L967" i="4"/>
  <c r="K967" i="4"/>
  <c r="L966" i="4"/>
  <c r="K966" i="4"/>
  <c r="K965" i="4"/>
  <c r="L965" i="4" s="1"/>
  <c r="K964" i="4"/>
  <c r="L964" i="4" s="1"/>
  <c r="K963" i="4"/>
  <c r="L963" i="4" s="1"/>
  <c r="K962" i="4"/>
  <c r="L962" i="4" s="1"/>
  <c r="K961" i="4"/>
  <c r="L961" i="4" s="1"/>
  <c r="K960" i="4"/>
  <c r="L960" i="4" s="1"/>
  <c r="K959" i="4"/>
  <c r="L959" i="4" s="1"/>
  <c r="K958" i="4"/>
  <c r="L958" i="4" s="1"/>
  <c r="K957" i="4"/>
  <c r="L957" i="4" s="1"/>
  <c r="L956" i="4"/>
  <c r="K956" i="4"/>
  <c r="L955" i="4"/>
  <c r="K955" i="4"/>
  <c r="L954" i="4"/>
  <c r="K954" i="4"/>
  <c r="K953" i="4"/>
  <c r="L953" i="4" s="1"/>
  <c r="K952" i="4"/>
  <c r="L952" i="4" s="1"/>
  <c r="L951" i="4"/>
  <c r="K951" i="4"/>
  <c r="K950" i="4"/>
  <c r="L950" i="4" s="1"/>
  <c r="L949" i="4"/>
  <c r="K949" i="4"/>
  <c r="L948" i="4"/>
  <c r="K948" i="4"/>
  <c r="K947" i="4"/>
  <c r="L947" i="4" s="1"/>
  <c r="K946" i="4"/>
  <c r="L946" i="4" s="1"/>
  <c r="K945" i="4"/>
  <c r="L945" i="4" s="1"/>
  <c r="L944" i="4"/>
  <c r="K944" i="4"/>
  <c r="K943" i="4"/>
  <c r="L943" i="4" s="1"/>
  <c r="K942" i="4"/>
  <c r="L942" i="4" s="1"/>
  <c r="K941" i="4"/>
  <c r="L941" i="4" s="1"/>
  <c r="K940" i="4"/>
  <c r="L940" i="4" s="1"/>
  <c r="L939" i="4"/>
  <c r="K939" i="4"/>
  <c r="K938" i="4"/>
  <c r="L938" i="4" s="1"/>
  <c r="K937" i="4"/>
  <c r="L937" i="4" s="1"/>
  <c r="K936" i="4"/>
  <c r="L936" i="4" s="1"/>
  <c r="L935" i="4"/>
  <c r="K935" i="4"/>
  <c r="K934" i="4"/>
  <c r="L934" i="4" s="1"/>
  <c r="K933" i="4"/>
  <c r="L933" i="4" s="1"/>
  <c r="K932" i="4"/>
  <c r="L932" i="4" s="1"/>
  <c r="K931" i="4"/>
  <c r="L931" i="4" s="1"/>
  <c r="K930" i="4"/>
  <c r="L930" i="4" s="1"/>
  <c r="K929" i="4"/>
  <c r="L929" i="4" s="1"/>
  <c r="K928" i="4"/>
  <c r="L928" i="4" s="1"/>
  <c r="K927" i="4"/>
  <c r="L927" i="4" s="1"/>
  <c r="K926" i="4"/>
  <c r="L926" i="4" s="1"/>
  <c r="K925" i="4"/>
  <c r="L925" i="4" s="1"/>
  <c r="K924" i="4"/>
  <c r="L924" i="4" s="1"/>
  <c r="K923" i="4"/>
  <c r="L923" i="4" s="1"/>
  <c r="L922" i="4"/>
  <c r="K922" i="4"/>
  <c r="K921" i="4"/>
  <c r="L921" i="4" s="1"/>
  <c r="K920" i="4"/>
  <c r="L920" i="4" s="1"/>
  <c r="K919" i="4"/>
  <c r="L919" i="4" s="1"/>
  <c r="L918" i="4"/>
  <c r="K918" i="4"/>
  <c r="K917" i="4"/>
  <c r="L917" i="4" s="1"/>
  <c r="K916" i="4"/>
  <c r="L916" i="4" s="1"/>
  <c r="K915" i="4"/>
  <c r="L915" i="4" s="1"/>
  <c r="K914" i="4"/>
  <c r="L914" i="4" s="1"/>
  <c r="K913" i="4"/>
  <c r="L913" i="4" s="1"/>
  <c r="K912" i="4"/>
  <c r="L912" i="4" s="1"/>
  <c r="L911" i="4"/>
  <c r="K911" i="4"/>
  <c r="K910" i="4"/>
  <c r="L910" i="4" s="1"/>
  <c r="L909" i="4"/>
  <c r="K909" i="4"/>
  <c r="L908" i="4"/>
  <c r="K908" i="4"/>
  <c r="K907" i="4"/>
  <c r="L907" i="4" s="1"/>
  <c r="L906" i="4"/>
  <c r="K906" i="4"/>
  <c r="L905" i="4"/>
  <c r="K905" i="4"/>
  <c r="K904" i="4"/>
  <c r="L904" i="4" s="1"/>
  <c r="K903" i="4"/>
  <c r="L903" i="4" s="1"/>
  <c r="K902" i="4"/>
  <c r="L902" i="4" s="1"/>
  <c r="K901" i="4"/>
  <c r="L901" i="4" s="1"/>
  <c r="L900" i="4"/>
  <c r="K900" i="4"/>
  <c r="L899" i="4"/>
  <c r="K899" i="4"/>
  <c r="K898" i="4"/>
  <c r="L898" i="4" s="1"/>
  <c r="K897" i="4"/>
  <c r="L897" i="4" s="1"/>
  <c r="K896" i="4"/>
  <c r="L896" i="4" s="1"/>
  <c r="K895" i="4"/>
  <c r="L895" i="4" s="1"/>
  <c r="K894" i="4"/>
  <c r="L894" i="4" s="1"/>
  <c r="K893" i="4"/>
  <c r="L893" i="4" s="1"/>
  <c r="L892" i="4"/>
  <c r="K892" i="4"/>
  <c r="K891" i="4"/>
  <c r="L891" i="4" s="1"/>
  <c r="K890" i="4"/>
  <c r="L890" i="4" s="1"/>
  <c r="L889" i="4"/>
  <c r="K889" i="4"/>
  <c r="L888" i="4"/>
  <c r="K888" i="4"/>
  <c r="K887" i="4"/>
  <c r="L887" i="4" s="1"/>
  <c r="K886" i="4"/>
  <c r="L886" i="4" s="1"/>
  <c r="L885" i="4"/>
  <c r="K885" i="4"/>
  <c r="K884" i="4"/>
  <c r="L884" i="4" s="1"/>
  <c r="L883" i="4"/>
  <c r="K883" i="4"/>
  <c r="L882" i="4"/>
  <c r="K882" i="4"/>
  <c r="K881" i="4"/>
  <c r="L881" i="4" s="1"/>
  <c r="K880" i="4"/>
  <c r="L880" i="4" s="1"/>
  <c r="L879" i="4"/>
  <c r="K879" i="4"/>
  <c r="K878" i="4"/>
  <c r="L878" i="4" s="1"/>
  <c r="K877" i="4"/>
  <c r="L877" i="4" s="1"/>
  <c r="K876" i="4"/>
  <c r="L876" i="4" s="1"/>
  <c r="K875" i="4"/>
  <c r="L875" i="4" s="1"/>
  <c r="L874" i="4"/>
  <c r="K874" i="4"/>
  <c r="K873" i="4"/>
  <c r="L873" i="4" s="1"/>
  <c r="K872" i="4"/>
  <c r="L872" i="4" s="1"/>
  <c r="K871" i="4"/>
  <c r="L871" i="4" s="1"/>
  <c r="K870" i="4"/>
  <c r="L870" i="4" s="1"/>
  <c r="K869" i="4"/>
  <c r="L869" i="4" s="1"/>
  <c r="L868" i="4"/>
  <c r="K868" i="4"/>
  <c r="K867" i="4"/>
  <c r="L867" i="4" s="1"/>
  <c r="K866" i="4"/>
  <c r="L866" i="4" s="1"/>
  <c r="K865" i="4"/>
  <c r="L865" i="4" s="1"/>
  <c r="K864" i="4"/>
  <c r="L864" i="4" s="1"/>
  <c r="K863" i="4"/>
  <c r="L863" i="4" s="1"/>
  <c r="K862" i="4"/>
  <c r="L862" i="4" s="1"/>
  <c r="K861" i="4"/>
  <c r="L861" i="4" s="1"/>
  <c r="K860" i="4"/>
  <c r="L860" i="4" s="1"/>
  <c r="K859" i="4"/>
  <c r="L859" i="4" s="1"/>
  <c r="K858" i="4"/>
  <c r="L858" i="4" s="1"/>
  <c r="K857" i="4"/>
  <c r="L857" i="4" s="1"/>
  <c r="K856" i="4"/>
  <c r="L856" i="4" s="1"/>
  <c r="L855" i="4"/>
  <c r="K855" i="4"/>
  <c r="K854" i="4"/>
  <c r="L854" i="4" s="1"/>
  <c r="K853" i="4"/>
  <c r="L853" i="4" s="1"/>
  <c r="K852" i="4"/>
  <c r="L852" i="4" s="1"/>
  <c r="L851" i="4"/>
  <c r="K851" i="4"/>
  <c r="K850" i="4"/>
  <c r="L850" i="4" s="1"/>
  <c r="K849" i="4"/>
  <c r="L849" i="4" s="1"/>
  <c r="K848" i="4"/>
  <c r="L848" i="4" s="1"/>
  <c r="L847" i="4"/>
  <c r="K847" i="4"/>
  <c r="K846" i="4"/>
  <c r="L846" i="4" s="1"/>
  <c r="K845" i="4"/>
  <c r="L845" i="4" s="1"/>
  <c r="L844" i="4"/>
  <c r="K844" i="4"/>
  <c r="K843" i="4"/>
  <c r="L843" i="4" s="1"/>
  <c r="K842" i="4"/>
  <c r="L842" i="4" s="1"/>
  <c r="L841" i="4"/>
  <c r="K841" i="4"/>
  <c r="K840" i="4"/>
  <c r="L840" i="4" s="1"/>
  <c r="K839" i="4"/>
  <c r="L839" i="4" s="1"/>
  <c r="L838" i="4"/>
  <c r="K838" i="4"/>
  <c r="L837" i="4"/>
  <c r="K837" i="4"/>
  <c r="K836" i="4"/>
  <c r="L836" i="4" s="1"/>
  <c r="K835" i="4"/>
  <c r="L835" i="4" s="1"/>
  <c r="L834" i="4"/>
  <c r="K834" i="4"/>
  <c r="L833" i="4"/>
  <c r="K833" i="4"/>
  <c r="K832" i="4"/>
  <c r="L832" i="4" s="1"/>
  <c r="K831" i="4"/>
  <c r="L831" i="4" s="1"/>
  <c r="K830" i="4"/>
  <c r="L830" i="4" s="1"/>
  <c r="K829" i="4"/>
  <c r="L829" i="4" s="1"/>
  <c r="K828" i="4"/>
  <c r="L828" i="4" s="1"/>
  <c r="K827" i="4"/>
  <c r="L827" i="4" s="1"/>
  <c r="L826" i="4"/>
  <c r="K826" i="4"/>
  <c r="L825" i="4"/>
  <c r="K825" i="4"/>
  <c r="K824" i="4"/>
  <c r="L824" i="4" s="1"/>
  <c r="K823" i="4"/>
  <c r="L823" i="4" s="1"/>
  <c r="L822" i="4"/>
  <c r="K822" i="4"/>
  <c r="L821" i="4"/>
  <c r="K821" i="4"/>
  <c r="K820" i="4"/>
  <c r="L820" i="4" s="1"/>
  <c r="K819" i="4"/>
  <c r="L819" i="4" s="1"/>
  <c r="L818" i="4"/>
  <c r="K818" i="4"/>
  <c r="K817" i="4"/>
  <c r="L817" i="4" s="1"/>
  <c r="K816" i="4"/>
  <c r="L816" i="4" s="1"/>
  <c r="L815" i="4"/>
  <c r="K815" i="4"/>
  <c r="K814" i="4"/>
  <c r="L814" i="4" s="1"/>
  <c r="K813" i="4"/>
  <c r="L813" i="4" s="1"/>
  <c r="L812" i="4"/>
  <c r="K812" i="4"/>
  <c r="K811" i="4"/>
  <c r="L811" i="4" s="1"/>
  <c r="K810" i="4"/>
  <c r="L810" i="4" s="1"/>
  <c r="K809" i="4"/>
  <c r="L809" i="4" s="1"/>
  <c r="K808" i="4"/>
  <c r="L808" i="4" s="1"/>
  <c r="K807" i="4"/>
  <c r="L807" i="4" s="1"/>
  <c r="K806" i="4"/>
  <c r="L806" i="4" s="1"/>
  <c r="L805" i="4"/>
  <c r="K805" i="4"/>
  <c r="K804" i="4"/>
  <c r="L804" i="4" s="1"/>
  <c r="L803" i="4"/>
  <c r="K803" i="4"/>
  <c r="K802" i="4"/>
  <c r="L802" i="4" s="1"/>
  <c r="K801" i="4"/>
  <c r="L801" i="4" s="1"/>
  <c r="K800" i="4"/>
  <c r="L800" i="4" s="1"/>
  <c r="K799" i="4"/>
  <c r="L799" i="4" s="1"/>
  <c r="K798" i="4"/>
  <c r="L798" i="4" s="1"/>
  <c r="K797" i="4"/>
  <c r="L797" i="4" s="1"/>
  <c r="K796" i="4"/>
  <c r="L796" i="4" s="1"/>
  <c r="K795" i="4"/>
  <c r="L795" i="4" s="1"/>
  <c r="K794" i="4"/>
  <c r="L794" i="4" s="1"/>
  <c r="K793" i="4"/>
  <c r="L793" i="4" s="1"/>
  <c r="K792" i="4"/>
  <c r="L792" i="4" s="1"/>
  <c r="K791" i="4"/>
  <c r="L791" i="4" s="1"/>
  <c r="L790" i="4"/>
  <c r="K790" i="4"/>
  <c r="K789" i="4"/>
  <c r="L789" i="4" s="1"/>
  <c r="K788" i="4"/>
  <c r="L788" i="4" s="1"/>
  <c r="K787" i="4"/>
  <c r="L787" i="4" s="1"/>
  <c r="K786" i="4"/>
  <c r="L786" i="4" s="1"/>
  <c r="K785" i="4"/>
  <c r="L785" i="4" s="1"/>
  <c r="L784" i="4"/>
  <c r="K784" i="4"/>
  <c r="K783" i="4"/>
  <c r="L783" i="4" s="1"/>
  <c r="K782" i="4"/>
  <c r="L782" i="4" s="1"/>
  <c r="L781" i="4"/>
  <c r="K781" i="4"/>
  <c r="K780" i="4"/>
  <c r="L780" i="4" s="1"/>
  <c r="K779" i="4"/>
  <c r="L779" i="4" s="1"/>
  <c r="K778" i="4"/>
  <c r="L778" i="4" s="1"/>
  <c r="K777" i="4"/>
  <c r="L777" i="4" s="1"/>
  <c r="L776" i="4"/>
  <c r="K776" i="4"/>
  <c r="L775" i="4"/>
  <c r="K775" i="4"/>
  <c r="L774" i="4"/>
  <c r="K774" i="4"/>
  <c r="K773" i="4"/>
  <c r="L773" i="4" s="1"/>
  <c r="K772" i="4"/>
  <c r="L772" i="4" s="1"/>
  <c r="L771" i="4"/>
  <c r="K771" i="4"/>
  <c r="L770" i="4"/>
  <c r="K770" i="4"/>
  <c r="K769" i="4"/>
  <c r="L769" i="4" s="1"/>
  <c r="K768" i="4"/>
  <c r="L768" i="4" s="1"/>
  <c r="L767" i="4"/>
  <c r="K767" i="4"/>
  <c r="K766" i="4"/>
  <c r="L766" i="4" s="1"/>
  <c r="K765" i="4"/>
  <c r="L765" i="4" s="1"/>
  <c r="K764" i="4"/>
  <c r="L764" i="4" s="1"/>
  <c r="K763" i="4"/>
  <c r="L763" i="4" s="1"/>
  <c r="K762" i="4"/>
  <c r="L762" i="4" s="1"/>
  <c r="K761" i="4"/>
  <c r="L761" i="4" s="1"/>
  <c r="K760" i="4"/>
  <c r="L760" i="4" s="1"/>
  <c r="L759" i="4"/>
  <c r="K759" i="4"/>
  <c r="L758" i="4"/>
  <c r="K758" i="4"/>
  <c r="K757" i="4"/>
  <c r="L757" i="4" s="1"/>
  <c r="L756" i="4"/>
  <c r="K756" i="4"/>
  <c r="L755" i="4"/>
  <c r="K755" i="4"/>
  <c r="K754" i="4"/>
  <c r="L754" i="4" s="1"/>
  <c r="K753" i="4"/>
  <c r="L753" i="4" s="1"/>
  <c r="L752" i="4"/>
  <c r="K752" i="4"/>
  <c r="L751" i="4"/>
  <c r="K751" i="4"/>
  <c r="K750" i="4"/>
  <c r="L750" i="4" s="1"/>
  <c r="K749" i="4"/>
  <c r="L749" i="4" s="1"/>
  <c r="L748" i="4"/>
  <c r="K748" i="4"/>
  <c r="K747" i="4"/>
  <c r="L747" i="4" s="1"/>
  <c r="K746" i="4"/>
  <c r="L746" i="4" s="1"/>
  <c r="K745" i="4"/>
  <c r="L745" i="4" s="1"/>
  <c r="K744" i="4"/>
  <c r="L744" i="4" s="1"/>
  <c r="K743" i="4"/>
  <c r="L743" i="4" s="1"/>
  <c r="L742" i="4"/>
  <c r="K742" i="4"/>
  <c r="K741" i="4"/>
  <c r="L741" i="4" s="1"/>
  <c r="K740" i="4"/>
  <c r="L740" i="4" s="1"/>
  <c r="K739" i="4"/>
  <c r="L739" i="4" s="1"/>
  <c r="K738" i="4"/>
  <c r="L738" i="4" s="1"/>
  <c r="K737" i="4"/>
  <c r="L737" i="4" s="1"/>
  <c r="L736" i="4"/>
  <c r="K736" i="4"/>
  <c r="K735" i="4"/>
  <c r="L735" i="4" s="1"/>
  <c r="K734" i="4"/>
  <c r="L734" i="4" s="1"/>
  <c r="K733" i="4"/>
  <c r="L733" i="4" s="1"/>
  <c r="K732" i="4"/>
  <c r="L732" i="4" s="1"/>
  <c r="K731" i="4"/>
  <c r="L731" i="4" s="1"/>
  <c r="K730" i="4"/>
  <c r="L730" i="4" s="1"/>
  <c r="K729" i="4"/>
  <c r="L729" i="4" s="1"/>
  <c r="K728" i="4"/>
  <c r="L728" i="4" s="1"/>
  <c r="K727" i="4"/>
  <c r="L727" i="4" s="1"/>
  <c r="K726" i="4"/>
  <c r="L726" i="4" s="1"/>
  <c r="K725" i="4"/>
  <c r="L725" i="4" s="1"/>
  <c r="K724" i="4"/>
  <c r="L724" i="4" s="1"/>
  <c r="L723" i="4"/>
  <c r="K723" i="4"/>
  <c r="K722" i="4"/>
  <c r="L722" i="4" s="1"/>
  <c r="L721" i="4"/>
  <c r="K721" i="4"/>
  <c r="K720" i="4"/>
  <c r="L720" i="4" s="1"/>
  <c r="K719" i="4"/>
  <c r="L719" i="4" s="1"/>
  <c r="K718" i="4"/>
  <c r="L718" i="4" s="1"/>
  <c r="K717" i="4"/>
  <c r="L717" i="4" s="1"/>
  <c r="L716" i="4"/>
  <c r="K716" i="4"/>
  <c r="K715" i="4"/>
  <c r="L715" i="4" s="1"/>
  <c r="K714" i="4"/>
  <c r="L714" i="4" s="1"/>
  <c r="K713" i="4"/>
  <c r="L713" i="4" s="1"/>
  <c r="K712" i="4"/>
  <c r="L712" i="4" s="1"/>
  <c r="L711" i="4"/>
  <c r="K711" i="4"/>
  <c r="L710" i="4"/>
  <c r="K710" i="4"/>
  <c r="K709" i="4"/>
  <c r="L709" i="4" s="1"/>
  <c r="K708" i="4"/>
  <c r="L708" i="4" s="1"/>
  <c r="K707" i="4"/>
  <c r="L707" i="4" s="1"/>
  <c r="L706" i="4"/>
  <c r="K706" i="4"/>
  <c r="L705" i="4"/>
  <c r="K705" i="4"/>
  <c r="L704" i="4"/>
  <c r="K704" i="4"/>
  <c r="L703" i="4"/>
  <c r="K703" i="4"/>
  <c r="K702" i="4"/>
  <c r="L702" i="4" s="1"/>
  <c r="K701" i="4"/>
  <c r="L701" i="4" s="1"/>
  <c r="K700" i="4"/>
  <c r="L700" i="4" s="1"/>
  <c r="K699" i="4"/>
  <c r="L699" i="4" s="1"/>
  <c r="K698" i="4"/>
  <c r="L698" i="4" s="1"/>
  <c r="K697" i="4"/>
  <c r="L697" i="4" s="1"/>
  <c r="K696" i="4"/>
  <c r="L696" i="4" s="1"/>
  <c r="K695" i="4"/>
  <c r="L695" i="4" s="1"/>
  <c r="L694" i="4"/>
  <c r="K694" i="4"/>
  <c r="K693" i="4"/>
  <c r="L693" i="4" s="1"/>
  <c r="K692" i="4"/>
  <c r="L692" i="4" s="1"/>
  <c r="L691" i="4"/>
  <c r="K691" i="4"/>
  <c r="K690" i="4"/>
  <c r="L690" i="4" s="1"/>
  <c r="L689" i="4"/>
  <c r="K689" i="4"/>
  <c r="L688" i="4"/>
  <c r="K688" i="4"/>
  <c r="K687" i="4"/>
  <c r="L687" i="4" s="1"/>
  <c r="L686" i="4"/>
  <c r="K686" i="4"/>
  <c r="L685" i="4"/>
  <c r="K685" i="4"/>
  <c r="K684" i="4"/>
  <c r="L684" i="4" s="1"/>
  <c r="K683" i="4"/>
  <c r="L683" i="4" s="1"/>
  <c r="K682" i="4"/>
  <c r="L682" i="4" s="1"/>
  <c r="K681" i="4"/>
  <c r="L681" i="4" s="1"/>
  <c r="L680" i="4"/>
  <c r="K680" i="4"/>
  <c r="K679" i="4"/>
  <c r="L679" i="4" s="1"/>
  <c r="K678" i="4"/>
  <c r="L678" i="4" s="1"/>
  <c r="K677" i="4"/>
  <c r="L677" i="4" s="1"/>
  <c r="K676" i="4"/>
  <c r="L676" i="4" s="1"/>
  <c r="L675" i="4"/>
  <c r="K675" i="4"/>
  <c r="K674" i="4"/>
  <c r="L674" i="4" s="1"/>
  <c r="K673" i="4"/>
  <c r="L673" i="4" s="1"/>
  <c r="K672" i="4"/>
  <c r="L672" i="4" s="1"/>
  <c r="L671" i="4"/>
  <c r="K671" i="4"/>
  <c r="K670" i="4"/>
  <c r="L670" i="4" s="1"/>
  <c r="K669" i="4"/>
  <c r="L669" i="4" s="1"/>
  <c r="K668" i="4"/>
  <c r="L668" i="4" s="1"/>
  <c r="K667" i="4"/>
  <c r="L667" i="4" s="1"/>
  <c r="K666" i="4"/>
  <c r="L666" i="4" s="1"/>
  <c r="K665" i="4"/>
  <c r="L665" i="4" s="1"/>
  <c r="K664" i="4"/>
  <c r="L664" i="4" s="1"/>
  <c r="K663" i="4"/>
  <c r="L663" i="4" s="1"/>
  <c r="K662" i="4"/>
  <c r="L662" i="4" s="1"/>
  <c r="L661" i="4"/>
  <c r="K661" i="4"/>
  <c r="K660" i="4"/>
  <c r="L660" i="4" s="1"/>
  <c r="K659" i="4"/>
  <c r="L659" i="4" s="1"/>
  <c r="K658" i="4"/>
  <c r="L658" i="4" s="1"/>
  <c r="K657" i="4"/>
  <c r="L657" i="4" s="1"/>
  <c r="K656" i="4"/>
  <c r="L656" i="4" s="1"/>
  <c r="L655" i="4"/>
  <c r="K655" i="4"/>
  <c r="K654" i="4"/>
  <c r="L654" i="4" s="1"/>
  <c r="K653" i="4"/>
  <c r="L653" i="4" s="1"/>
  <c r="K652" i="4"/>
  <c r="L652" i="4" s="1"/>
  <c r="K651" i="4"/>
  <c r="L651" i="4" s="1"/>
  <c r="K650" i="4"/>
  <c r="L650" i="4" s="1"/>
  <c r="L649" i="4"/>
  <c r="K649" i="4"/>
  <c r="K648" i="4"/>
  <c r="L648" i="4" s="1"/>
  <c r="K647" i="4"/>
  <c r="L647" i="4" s="1"/>
  <c r="K646" i="4"/>
  <c r="L646" i="4" s="1"/>
  <c r="K645" i="4"/>
  <c r="L645" i="4" s="1"/>
  <c r="L644" i="4"/>
  <c r="K644" i="4"/>
  <c r="L643" i="4"/>
  <c r="K643" i="4"/>
  <c r="L642" i="4"/>
  <c r="K642" i="4"/>
  <c r="K641" i="4"/>
  <c r="L641" i="4" s="1"/>
  <c r="K640" i="4"/>
  <c r="L640" i="4" s="1"/>
  <c r="L639" i="4"/>
  <c r="K639" i="4"/>
  <c r="K638" i="4"/>
  <c r="L638" i="4" s="1"/>
  <c r="L637" i="4"/>
  <c r="K637" i="4"/>
  <c r="L636" i="4"/>
  <c r="K636" i="4"/>
  <c r="K635" i="4"/>
  <c r="L635" i="4" s="1"/>
  <c r="K634" i="4"/>
  <c r="L634" i="4" s="1"/>
  <c r="K633" i="4"/>
  <c r="L633" i="4" s="1"/>
  <c r="K632" i="4"/>
  <c r="L632" i="4" s="1"/>
  <c r="K631" i="4"/>
  <c r="L631" i="4" s="1"/>
  <c r="K630" i="4"/>
  <c r="L630" i="4" s="1"/>
  <c r="K629" i="4"/>
  <c r="L629" i="4" s="1"/>
  <c r="L628" i="4"/>
  <c r="K628" i="4"/>
  <c r="K627" i="4"/>
  <c r="L627" i="4" s="1"/>
  <c r="K626" i="4"/>
  <c r="L626" i="4" s="1"/>
  <c r="L625" i="4"/>
  <c r="K625" i="4"/>
  <c r="K624" i="4"/>
  <c r="L624" i="4" s="1"/>
  <c r="L623" i="4"/>
  <c r="K623" i="4"/>
  <c r="L622" i="4"/>
  <c r="K622" i="4"/>
  <c r="K621" i="4"/>
  <c r="L621" i="4" s="1"/>
  <c r="K620" i="4"/>
  <c r="L620" i="4" s="1"/>
  <c r="K619" i="4"/>
  <c r="L619" i="4" s="1"/>
  <c r="L618" i="4"/>
  <c r="K618" i="4"/>
  <c r="L617" i="4"/>
  <c r="K617" i="4"/>
  <c r="L616" i="4"/>
  <c r="K616" i="4"/>
  <c r="K615" i="4"/>
  <c r="L615" i="4" s="1"/>
  <c r="K614" i="4"/>
  <c r="L614" i="4" s="1"/>
  <c r="K613" i="4"/>
  <c r="L613" i="4" s="1"/>
  <c r="K612" i="4"/>
  <c r="L612" i="4" s="1"/>
  <c r="K611" i="4"/>
  <c r="L611" i="4" s="1"/>
  <c r="K610" i="4"/>
  <c r="L610" i="4" s="1"/>
  <c r="L609" i="4"/>
  <c r="K609" i="4"/>
  <c r="K608" i="4"/>
  <c r="L608" i="4" s="1"/>
  <c r="K607" i="4"/>
  <c r="L607" i="4" s="1"/>
  <c r="K606" i="4"/>
  <c r="L606" i="4" s="1"/>
  <c r="L605" i="4"/>
  <c r="K605" i="4"/>
  <c r="K604" i="4"/>
  <c r="L604" i="4" s="1"/>
  <c r="K603" i="4"/>
  <c r="L603" i="4" s="1"/>
  <c r="K602" i="4"/>
  <c r="L602" i="4" s="1"/>
  <c r="K601" i="4"/>
  <c r="L601" i="4" s="1"/>
  <c r="K600" i="4"/>
  <c r="L600" i="4" s="1"/>
  <c r="K599" i="4"/>
  <c r="L599" i="4" s="1"/>
  <c r="K598" i="4"/>
  <c r="L598" i="4" s="1"/>
  <c r="K597" i="4"/>
  <c r="L597" i="4" s="1"/>
  <c r="K596" i="4"/>
  <c r="L596" i="4" s="1"/>
  <c r="K595" i="4"/>
  <c r="L595" i="4" s="1"/>
  <c r="K594" i="4"/>
  <c r="L594" i="4" s="1"/>
  <c r="K593" i="4"/>
  <c r="L593" i="4" s="1"/>
  <c r="L592" i="4"/>
  <c r="K592" i="4"/>
  <c r="K591" i="4"/>
  <c r="L591" i="4" s="1"/>
  <c r="L590" i="4"/>
  <c r="K590" i="4"/>
  <c r="K589" i="4"/>
  <c r="L589" i="4" s="1"/>
  <c r="K588" i="4"/>
  <c r="L588" i="4" s="1"/>
  <c r="K587" i="4"/>
  <c r="L587" i="4" s="1"/>
  <c r="K586" i="4"/>
  <c r="L586" i="4" s="1"/>
  <c r="L585" i="4"/>
  <c r="K585" i="4"/>
  <c r="K584" i="4"/>
  <c r="L584" i="4" s="1"/>
  <c r="K583" i="4"/>
  <c r="L583" i="4" s="1"/>
  <c r="K582" i="4"/>
  <c r="L582" i="4" s="1"/>
  <c r="K581" i="4"/>
  <c r="L581" i="4" s="1"/>
  <c r="L580" i="4"/>
  <c r="K580" i="4"/>
  <c r="L579" i="4"/>
  <c r="K579" i="4"/>
  <c r="K578" i="4"/>
  <c r="L578" i="4" s="1"/>
  <c r="K577" i="4"/>
  <c r="L577" i="4" s="1"/>
  <c r="L576" i="4"/>
  <c r="K576" i="4"/>
  <c r="L575" i="4"/>
  <c r="K575" i="4"/>
  <c r="K574" i="4"/>
  <c r="L574" i="4" s="1"/>
  <c r="K573" i="4"/>
  <c r="L573" i="4" s="1"/>
  <c r="L572" i="4"/>
  <c r="K572" i="4"/>
  <c r="K571" i="4"/>
  <c r="L571" i="4" s="1"/>
  <c r="K570" i="4"/>
  <c r="L570" i="4" s="1"/>
  <c r="L569" i="4"/>
  <c r="K569" i="4"/>
  <c r="K568" i="4"/>
  <c r="L568" i="4" s="1"/>
  <c r="K567" i="4"/>
  <c r="L567" i="4" s="1"/>
  <c r="K566" i="4"/>
  <c r="L566" i="4" s="1"/>
  <c r="K565" i="4"/>
  <c r="L565" i="4" s="1"/>
  <c r="K564" i="4"/>
  <c r="L564" i="4" s="1"/>
  <c r="K563" i="4"/>
  <c r="L563" i="4" s="1"/>
  <c r="K562" i="4"/>
  <c r="L562" i="4" s="1"/>
  <c r="L561" i="4"/>
  <c r="K561" i="4"/>
  <c r="L560" i="4"/>
  <c r="K560" i="4"/>
  <c r="K559" i="4"/>
  <c r="L559" i="4" s="1"/>
  <c r="K558" i="4"/>
  <c r="L558" i="4" s="1"/>
  <c r="L557" i="4"/>
  <c r="K557" i="4"/>
  <c r="L556" i="4"/>
  <c r="K556" i="4"/>
  <c r="K555" i="4"/>
  <c r="L555" i="4" s="1"/>
  <c r="L554" i="4"/>
  <c r="K554" i="4"/>
  <c r="K553" i="4"/>
  <c r="L553" i="4" s="1"/>
  <c r="K552" i="4"/>
  <c r="L552" i="4" s="1"/>
  <c r="L551" i="4"/>
  <c r="K551" i="4"/>
  <c r="K550" i="4"/>
  <c r="L550" i="4" s="1"/>
  <c r="K549" i="4"/>
  <c r="L549" i="4" s="1"/>
  <c r="K548" i="4"/>
  <c r="L548" i="4" s="1"/>
  <c r="L547" i="4"/>
  <c r="K547" i="4"/>
  <c r="K546" i="4"/>
  <c r="L546" i="4" s="1"/>
  <c r="K545" i="4"/>
  <c r="L545" i="4" s="1"/>
  <c r="L544" i="4"/>
  <c r="K544" i="4"/>
  <c r="K543" i="4"/>
  <c r="L543" i="4" s="1"/>
  <c r="K542" i="4"/>
  <c r="L542" i="4" s="1"/>
  <c r="K541" i="4"/>
  <c r="L541" i="4" s="1"/>
  <c r="K540" i="4"/>
  <c r="L540" i="4" s="1"/>
  <c r="K539" i="4"/>
  <c r="L539" i="4" s="1"/>
  <c r="K538" i="4"/>
  <c r="L538" i="4" s="1"/>
  <c r="K537" i="4"/>
  <c r="L537" i="4" s="1"/>
  <c r="L536" i="4"/>
  <c r="K536" i="4"/>
  <c r="K535" i="4"/>
  <c r="L535" i="4" s="1"/>
  <c r="K534" i="4"/>
  <c r="L534" i="4" s="1"/>
  <c r="K533" i="4"/>
  <c r="L533" i="4" s="1"/>
  <c r="K532" i="4"/>
  <c r="L532" i="4" s="1"/>
  <c r="K531" i="4"/>
  <c r="L531" i="4" s="1"/>
  <c r="K530" i="4"/>
  <c r="L530" i="4" s="1"/>
  <c r="L529" i="4"/>
  <c r="K529" i="4"/>
  <c r="K528" i="4"/>
  <c r="L528" i="4" s="1"/>
  <c r="K527" i="4"/>
  <c r="L527" i="4" s="1"/>
  <c r="K526" i="4"/>
  <c r="L526" i="4" s="1"/>
  <c r="K525" i="4"/>
  <c r="L525" i="4" s="1"/>
  <c r="K524" i="4"/>
  <c r="L524" i="4" s="1"/>
  <c r="K523" i="4"/>
  <c r="L523" i="4" s="1"/>
  <c r="K522" i="4"/>
  <c r="L522" i="4" s="1"/>
  <c r="L521" i="4"/>
  <c r="K521" i="4"/>
  <c r="K520" i="4"/>
  <c r="L520" i="4" s="1"/>
  <c r="K519" i="4"/>
  <c r="L519" i="4" s="1"/>
  <c r="K518" i="4"/>
  <c r="L518" i="4" s="1"/>
  <c r="L517" i="4"/>
  <c r="K517" i="4"/>
  <c r="K516" i="4"/>
  <c r="L516" i="4" s="1"/>
  <c r="K515" i="4"/>
  <c r="L515" i="4" s="1"/>
  <c r="L514" i="4"/>
  <c r="K514" i="4"/>
  <c r="L513" i="4"/>
  <c r="K513" i="4"/>
  <c r="K512" i="4"/>
  <c r="L512" i="4" s="1"/>
  <c r="K511" i="4"/>
  <c r="L511" i="4" s="1"/>
  <c r="L510" i="4"/>
  <c r="K510" i="4"/>
  <c r="L509" i="4"/>
  <c r="K509" i="4"/>
  <c r="K508" i="4"/>
  <c r="L508" i="4" s="1"/>
  <c r="K507" i="4"/>
  <c r="L507" i="4" s="1"/>
  <c r="L506" i="4"/>
  <c r="K506" i="4"/>
  <c r="L505" i="4"/>
  <c r="K505" i="4"/>
  <c r="K504" i="4"/>
  <c r="L504" i="4" s="1"/>
  <c r="K503" i="4"/>
  <c r="L503" i="4" s="1"/>
  <c r="K502" i="4"/>
  <c r="L502" i="4" s="1"/>
  <c r="K501" i="4"/>
  <c r="L501" i="4" s="1"/>
  <c r="K500" i="4"/>
  <c r="L500" i="4" s="1"/>
  <c r="K499" i="4"/>
  <c r="L499" i="4" s="1"/>
  <c r="K498" i="4"/>
  <c r="L498" i="4" s="1"/>
  <c r="K497" i="4"/>
  <c r="L497" i="4" s="1"/>
  <c r="K496" i="4"/>
  <c r="L496" i="4" s="1"/>
  <c r="L495" i="4"/>
  <c r="K495" i="4"/>
  <c r="L494" i="4"/>
  <c r="K494" i="4"/>
  <c r="K493" i="4"/>
  <c r="L493" i="4" s="1"/>
  <c r="L492" i="4"/>
  <c r="K492" i="4"/>
  <c r="K491" i="4"/>
  <c r="L491" i="4" s="1"/>
  <c r="K490" i="4"/>
  <c r="L490" i="4" s="1"/>
  <c r="L489" i="4"/>
  <c r="K489" i="4"/>
  <c r="L488" i="4"/>
  <c r="K488" i="4"/>
  <c r="L487" i="4"/>
  <c r="K487" i="4"/>
  <c r="K486" i="4"/>
  <c r="L486" i="4" s="1"/>
  <c r="K485" i="4"/>
  <c r="L485" i="4" s="1"/>
  <c r="L484" i="4"/>
  <c r="K484" i="4"/>
  <c r="K483" i="4"/>
  <c r="L483" i="4" s="1"/>
  <c r="K482" i="4"/>
  <c r="L482" i="4" s="1"/>
  <c r="K481" i="4"/>
  <c r="L481" i="4" s="1"/>
  <c r="K480" i="4"/>
  <c r="L480" i="4" s="1"/>
  <c r="K479" i="4"/>
  <c r="L479" i="4" s="1"/>
  <c r="K478" i="4"/>
  <c r="L478" i="4" s="1"/>
  <c r="L477" i="4"/>
  <c r="K477" i="4"/>
  <c r="K476" i="4"/>
  <c r="L476" i="4" s="1"/>
  <c r="K475" i="4"/>
  <c r="L475" i="4" s="1"/>
  <c r="K474" i="4"/>
  <c r="L474" i="4" s="1"/>
  <c r="L473" i="4"/>
  <c r="K473" i="4"/>
  <c r="K472" i="4"/>
  <c r="L472" i="4" s="1"/>
  <c r="K471" i="4"/>
  <c r="L471" i="4" s="1"/>
  <c r="K470" i="4"/>
  <c r="L470" i="4" s="1"/>
  <c r="K469" i="4"/>
  <c r="L469" i="4" s="1"/>
  <c r="K468" i="4"/>
  <c r="L468" i="4" s="1"/>
  <c r="K467" i="4"/>
  <c r="L467" i="4" s="1"/>
  <c r="K466" i="4"/>
  <c r="L466" i="4" s="1"/>
  <c r="K465" i="4"/>
  <c r="L465" i="4" s="1"/>
  <c r="K464" i="4"/>
  <c r="L464" i="4" s="1"/>
  <c r="K463" i="4"/>
  <c r="L463" i="4" s="1"/>
  <c r="L462" i="4"/>
  <c r="K462" i="4"/>
  <c r="K461" i="4"/>
  <c r="L461" i="4" s="1"/>
  <c r="K460" i="4"/>
  <c r="L460" i="4" s="1"/>
  <c r="K459" i="4"/>
  <c r="L459" i="4" s="1"/>
  <c r="K458" i="4"/>
  <c r="L458" i="4" s="1"/>
  <c r="K457" i="4"/>
  <c r="L457" i="4" s="1"/>
  <c r="K456" i="4"/>
  <c r="L456" i="4" s="1"/>
  <c r="K455" i="4"/>
  <c r="L455" i="4" s="1"/>
  <c r="L454" i="4"/>
  <c r="K454" i="4"/>
  <c r="L453" i="4"/>
  <c r="K453" i="4"/>
  <c r="K452" i="4"/>
  <c r="L452" i="4" s="1"/>
  <c r="K451" i="4"/>
  <c r="L451" i="4" s="1"/>
  <c r="K450" i="4"/>
  <c r="L450" i="4" s="1"/>
  <c r="K449" i="4"/>
  <c r="L449" i="4" s="1"/>
  <c r="K448" i="4"/>
  <c r="L448" i="4" s="1"/>
  <c r="K447" i="4"/>
  <c r="L447" i="4" s="1"/>
  <c r="L446" i="4"/>
  <c r="K446" i="4"/>
  <c r="L445" i="4"/>
  <c r="K445" i="4"/>
  <c r="K444" i="4"/>
  <c r="L444" i="4" s="1"/>
  <c r="K443" i="4"/>
  <c r="L443" i="4" s="1"/>
  <c r="L442" i="4"/>
  <c r="K442" i="4"/>
  <c r="L441" i="4"/>
  <c r="K441" i="4"/>
  <c r="K440" i="4"/>
  <c r="L440" i="4" s="1"/>
  <c r="K439" i="4"/>
  <c r="L439" i="4" s="1"/>
  <c r="L438" i="4"/>
  <c r="K438" i="4"/>
  <c r="L437" i="4"/>
  <c r="K437" i="4"/>
  <c r="K436" i="4"/>
  <c r="L436" i="4" s="1"/>
  <c r="K435" i="4"/>
  <c r="L435" i="4" s="1"/>
  <c r="K434" i="4"/>
  <c r="L434" i="4" s="1"/>
  <c r="K433" i="4"/>
  <c r="L433" i="4" s="1"/>
  <c r="K432" i="4"/>
  <c r="L432" i="4" s="1"/>
  <c r="K431" i="4"/>
  <c r="L431" i="4" s="1"/>
  <c r="L430" i="4"/>
  <c r="K430" i="4"/>
  <c r="K429" i="4"/>
  <c r="L429" i="4" s="1"/>
  <c r="K428" i="4"/>
  <c r="L428" i="4" s="1"/>
  <c r="L427" i="4"/>
  <c r="K427" i="4"/>
  <c r="K426" i="4"/>
  <c r="L426" i="4" s="1"/>
  <c r="K425" i="4"/>
  <c r="L425" i="4" s="1"/>
  <c r="L424" i="4"/>
  <c r="K424" i="4"/>
  <c r="L423" i="4"/>
  <c r="K423" i="4"/>
  <c r="L422" i="4"/>
  <c r="K422" i="4"/>
  <c r="L421" i="4"/>
  <c r="K421" i="4"/>
  <c r="K420" i="4"/>
  <c r="L420" i="4" s="1"/>
  <c r="K419" i="4"/>
  <c r="L419" i="4" s="1"/>
  <c r="K418" i="4"/>
  <c r="L418" i="4" s="1"/>
  <c r="K417" i="4"/>
  <c r="L417" i="4" s="1"/>
  <c r="K416" i="4"/>
  <c r="L416" i="4" s="1"/>
  <c r="K415" i="4"/>
  <c r="L415" i="4" s="1"/>
  <c r="L414" i="4"/>
  <c r="K414" i="4"/>
  <c r="K413" i="4"/>
  <c r="L413" i="4" s="1"/>
  <c r="K412" i="4"/>
  <c r="L412" i="4" s="1"/>
  <c r="K411" i="4"/>
  <c r="L411" i="4" s="1"/>
  <c r="L410" i="4"/>
  <c r="K410" i="4"/>
  <c r="K409" i="4"/>
  <c r="L409" i="4" s="1"/>
  <c r="K408" i="4"/>
  <c r="L408" i="4" s="1"/>
  <c r="K407" i="4"/>
  <c r="L407" i="4" s="1"/>
  <c r="L406" i="4"/>
  <c r="K406" i="4"/>
  <c r="K405" i="4"/>
  <c r="L405" i="4" s="1"/>
  <c r="K404" i="4"/>
  <c r="L404" i="4" s="1"/>
  <c r="K403" i="4"/>
  <c r="L403" i="4" s="1"/>
  <c r="K402" i="4"/>
  <c r="L402" i="4" s="1"/>
  <c r="K401" i="4"/>
  <c r="L401" i="4" s="1"/>
  <c r="K400" i="4"/>
  <c r="L400" i="4" s="1"/>
  <c r="K399" i="4"/>
  <c r="L399" i="4" s="1"/>
  <c r="K398" i="4"/>
  <c r="L398" i="4" s="1"/>
  <c r="K397" i="4"/>
  <c r="L397" i="4" s="1"/>
  <c r="K396" i="4"/>
  <c r="L396" i="4" s="1"/>
  <c r="K395" i="4"/>
  <c r="L395" i="4" s="1"/>
  <c r="K394" i="4"/>
  <c r="L394" i="4" s="1"/>
  <c r="L393" i="4"/>
  <c r="K393" i="4"/>
  <c r="K392" i="4"/>
  <c r="L392" i="4" s="1"/>
  <c r="L391" i="4"/>
  <c r="K391" i="4"/>
  <c r="K390" i="4"/>
  <c r="L390" i="4" s="1"/>
  <c r="K389" i="4"/>
  <c r="L389" i="4" s="1"/>
  <c r="K388" i="4"/>
  <c r="L388" i="4" s="1"/>
  <c r="K387" i="4"/>
  <c r="L387" i="4" s="1"/>
  <c r="K386" i="4"/>
  <c r="L386" i="4" s="1"/>
  <c r="K385" i="4"/>
  <c r="L385" i="4" s="1"/>
  <c r="L384" i="4"/>
  <c r="K384" i="4"/>
  <c r="K383" i="4"/>
  <c r="L383" i="4" s="1"/>
  <c r="L382" i="4"/>
  <c r="K382" i="4"/>
  <c r="L381" i="4"/>
  <c r="K381" i="4"/>
  <c r="K380" i="4"/>
  <c r="L380" i="4" s="1"/>
  <c r="K379" i="4"/>
  <c r="L379" i="4" s="1"/>
  <c r="K378" i="4"/>
  <c r="L378" i="4" s="1"/>
  <c r="L377" i="4"/>
  <c r="K377" i="4"/>
  <c r="L376" i="4"/>
  <c r="K376" i="4"/>
  <c r="K375" i="4"/>
  <c r="L375" i="4" s="1"/>
  <c r="L374" i="4"/>
  <c r="K374" i="4"/>
  <c r="K373" i="4"/>
  <c r="L373" i="4" s="1"/>
  <c r="K372" i="4"/>
  <c r="L372" i="4" s="1"/>
  <c r="L371" i="4"/>
  <c r="K371" i="4"/>
  <c r="K370" i="4"/>
  <c r="L370" i="4" s="1"/>
  <c r="K369" i="4"/>
  <c r="L369" i="4" s="1"/>
  <c r="K368" i="4"/>
  <c r="L368" i="4" s="1"/>
  <c r="K367" i="4"/>
  <c r="L367" i="4" s="1"/>
  <c r="K366" i="4"/>
  <c r="L366" i="4" s="1"/>
  <c r="K365" i="4"/>
  <c r="L365" i="4" s="1"/>
  <c r="L364" i="4"/>
  <c r="K364" i="4"/>
  <c r="L363" i="4"/>
  <c r="K363" i="4"/>
  <c r="K362" i="4"/>
  <c r="L362" i="4" s="1"/>
  <c r="K361" i="4"/>
  <c r="L361" i="4" s="1"/>
  <c r="L360" i="4"/>
  <c r="K360" i="4"/>
  <c r="K359" i="4"/>
  <c r="L359" i="4" s="1"/>
  <c r="K358" i="4"/>
  <c r="L358" i="4" s="1"/>
  <c r="L357" i="4"/>
  <c r="K357" i="4"/>
  <c r="K356" i="4"/>
  <c r="L356" i="4" s="1"/>
  <c r="L355" i="4"/>
  <c r="K355" i="4"/>
  <c r="L354" i="4"/>
  <c r="K354" i="4"/>
  <c r="K353" i="4"/>
  <c r="L353" i="4" s="1"/>
  <c r="K352" i="4"/>
  <c r="L352" i="4" s="1"/>
  <c r="K351" i="4"/>
  <c r="L351" i="4" s="1"/>
  <c r="L350" i="4"/>
  <c r="K350" i="4"/>
  <c r="K349" i="4"/>
  <c r="L349" i="4" s="1"/>
  <c r="K348" i="4"/>
  <c r="L348" i="4" s="1"/>
  <c r="L347" i="4"/>
  <c r="K347" i="4"/>
  <c r="K346" i="4"/>
  <c r="L346" i="4" s="1"/>
  <c r="K345" i="4"/>
  <c r="L345" i="4" s="1"/>
  <c r="K344" i="4"/>
  <c r="L344" i="4" s="1"/>
  <c r="K343" i="4"/>
  <c r="L343" i="4" s="1"/>
  <c r="K342" i="4"/>
  <c r="L342" i="4" s="1"/>
  <c r="L341" i="4"/>
  <c r="K341" i="4"/>
  <c r="K340" i="4"/>
  <c r="L340" i="4" s="1"/>
  <c r="K339" i="4"/>
  <c r="L339" i="4" s="1"/>
  <c r="K338" i="4"/>
  <c r="L338" i="4" s="1"/>
  <c r="K337" i="4"/>
  <c r="L337" i="4" s="1"/>
  <c r="K336" i="4"/>
  <c r="L336" i="4" s="1"/>
  <c r="K335" i="4"/>
  <c r="L335" i="4" s="1"/>
  <c r="K334" i="4"/>
  <c r="L334" i="4" s="1"/>
  <c r="K333" i="4"/>
  <c r="L333" i="4" s="1"/>
  <c r="K332" i="4"/>
  <c r="L332" i="4" s="1"/>
  <c r="K331" i="4"/>
  <c r="L331" i="4" s="1"/>
  <c r="K330" i="4"/>
  <c r="L330" i="4" s="1"/>
  <c r="K329" i="4"/>
  <c r="L329" i="4" s="1"/>
  <c r="K328" i="4"/>
  <c r="L328" i="4" s="1"/>
  <c r="L327" i="4"/>
  <c r="K327" i="4"/>
  <c r="K326" i="4"/>
  <c r="L326" i="4" s="1"/>
  <c r="L325" i="4"/>
  <c r="K325" i="4"/>
  <c r="K324" i="4"/>
  <c r="L324" i="4" s="1"/>
  <c r="K323" i="4"/>
  <c r="L323" i="4" s="1"/>
  <c r="K322" i="4"/>
  <c r="L322" i="4" s="1"/>
  <c r="K321" i="4"/>
  <c r="L321" i="4" s="1"/>
  <c r="K320" i="4"/>
  <c r="L320" i="4" s="1"/>
  <c r="L319" i="4"/>
  <c r="K319" i="4"/>
  <c r="K318" i="4"/>
  <c r="L318" i="4" s="1"/>
  <c r="K317" i="4"/>
  <c r="L317" i="4" s="1"/>
  <c r="L316" i="4"/>
  <c r="K316" i="4"/>
  <c r="K315" i="4"/>
  <c r="L315" i="4" s="1"/>
  <c r="K314" i="4"/>
  <c r="L314" i="4" s="1"/>
  <c r="L313" i="4"/>
  <c r="K313" i="4"/>
  <c r="L312" i="4"/>
  <c r="K312" i="4"/>
  <c r="K311" i="4"/>
  <c r="L311" i="4" s="1"/>
  <c r="K310" i="4"/>
  <c r="L310" i="4" s="1"/>
  <c r="L309" i="4"/>
  <c r="K309" i="4"/>
  <c r="K308" i="4"/>
  <c r="L308" i="4" s="1"/>
  <c r="L307" i="4"/>
  <c r="K307" i="4"/>
  <c r="L306" i="4"/>
  <c r="K306" i="4"/>
  <c r="K305" i="4"/>
  <c r="L305" i="4" s="1"/>
  <c r="K304" i="4"/>
  <c r="L304" i="4" s="1"/>
  <c r="K303" i="4"/>
  <c r="L303" i="4" s="1"/>
  <c r="K302" i="4"/>
  <c r="L302" i="4" s="1"/>
  <c r="K301" i="4"/>
  <c r="L301" i="4" s="1"/>
  <c r="K300" i="4"/>
  <c r="L300" i="4" s="1"/>
  <c r="K299" i="4"/>
  <c r="L299" i="4" s="1"/>
  <c r="L298" i="4"/>
  <c r="K298" i="4"/>
  <c r="L297" i="4"/>
  <c r="K297" i="4"/>
  <c r="K296" i="4"/>
  <c r="L296" i="4" s="1"/>
  <c r="K295" i="4"/>
  <c r="L295" i="4" s="1"/>
  <c r="L294" i="4"/>
  <c r="K294" i="4"/>
  <c r="L293" i="4"/>
  <c r="K293" i="4"/>
  <c r="K292" i="4"/>
  <c r="L292" i="4" s="1"/>
  <c r="K291" i="4"/>
  <c r="L291" i="4" s="1"/>
  <c r="L290" i="4"/>
  <c r="K290" i="4"/>
  <c r="K289" i="4"/>
  <c r="L289" i="4" s="1"/>
  <c r="K288" i="4"/>
  <c r="L288" i="4" s="1"/>
  <c r="L287" i="4"/>
  <c r="K287" i="4"/>
  <c r="K286" i="4"/>
  <c r="L286" i="4" s="1"/>
  <c r="K285" i="4"/>
  <c r="L285" i="4" s="1"/>
  <c r="L284" i="4"/>
  <c r="K284" i="4"/>
  <c r="K283" i="4"/>
  <c r="L283" i="4" s="1"/>
  <c r="K282" i="4"/>
  <c r="L282" i="4" s="1"/>
  <c r="L281" i="4"/>
  <c r="K281" i="4"/>
  <c r="K280" i="4"/>
  <c r="L280" i="4" s="1"/>
  <c r="K279" i="4"/>
  <c r="L279" i="4" s="1"/>
  <c r="K278" i="4"/>
  <c r="L278" i="4" s="1"/>
  <c r="K277" i="4"/>
  <c r="L277" i="4" s="1"/>
  <c r="K276" i="4"/>
  <c r="L276" i="4" s="1"/>
  <c r="L275" i="4"/>
  <c r="K275" i="4"/>
  <c r="K274" i="4"/>
  <c r="L274" i="4" s="1"/>
  <c r="K273" i="4"/>
  <c r="L273" i="4" s="1"/>
  <c r="K272" i="4"/>
  <c r="L272" i="4" s="1"/>
  <c r="K271" i="4"/>
  <c r="L271" i="4" s="1"/>
  <c r="K270" i="4"/>
  <c r="L270" i="4" s="1"/>
  <c r="K269" i="4"/>
  <c r="L269" i="4" s="1"/>
  <c r="K268" i="4"/>
  <c r="L268" i="4" s="1"/>
  <c r="K267" i="4"/>
  <c r="L267" i="4" s="1"/>
  <c r="K266" i="4"/>
  <c r="L266" i="4" s="1"/>
  <c r="K265" i="4"/>
  <c r="L265" i="4" s="1"/>
  <c r="L264" i="4"/>
  <c r="K264" i="4"/>
  <c r="K263" i="4"/>
  <c r="L263" i="4" s="1"/>
  <c r="K262" i="4"/>
  <c r="L262" i="4" s="1"/>
  <c r="K261" i="4"/>
  <c r="L261" i="4" s="1"/>
  <c r="L260" i="4"/>
  <c r="K260" i="4"/>
  <c r="K259" i="4"/>
  <c r="L259" i="4" s="1"/>
  <c r="K258" i="4"/>
  <c r="L258" i="4" s="1"/>
  <c r="K257" i="4"/>
  <c r="L257" i="4" s="1"/>
  <c r="K256" i="4"/>
  <c r="L256" i="4" s="1"/>
  <c r="L255" i="4"/>
  <c r="K255" i="4"/>
  <c r="K254" i="4"/>
  <c r="L254" i="4" s="1"/>
  <c r="K253" i="4"/>
  <c r="L253" i="4" s="1"/>
  <c r="K252" i="4"/>
  <c r="L252" i="4" s="1"/>
  <c r="K251" i="4"/>
  <c r="L251" i="4" s="1"/>
  <c r="K250" i="4"/>
  <c r="L250" i="4" s="1"/>
  <c r="L249" i="4"/>
  <c r="K249" i="4"/>
  <c r="L248" i="4"/>
  <c r="K248" i="4"/>
  <c r="K247" i="4"/>
  <c r="L247" i="4" s="1"/>
  <c r="L246" i="4"/>
  <c r="K246" i="4"/>
  <c r="K245" i="4"/>
  <c r="L245" i="4" s="1"/>
  <c r="K244" i="4"/>
  <c r="L244" i="4" s="1"/>
  <c r="L243" i="4"/>
  <c r="K243" i="4"/>
  <c r="L242" i="4"/>
  <c r="K242" i="4"/>
  <c r="L241" i="4"/>
  <c r="K241" i="4"/>
  <c r="K240" i="4"/>
  <c r="L240" i="4" s="1"/>
  <c r="K239" i="4"/>
  <c r="L239" i="4" s="1"/>
  <c r="K238" i="4"/>
  <c r="L238" i="4" s="1"/>
  <c r="K237" i="4"/>
  <c r="L237" i="4" s="1"/>
  <c r="K236" i="4"/>
  <c r="L236" i="4" s="1"/>
  <c r="K235" i="4"/>
  <c r="L235" i="4" s="1"/>
  <c r="K234" i="4"/>
  <c r="L234" i="4" s="1"/>
  <c r="K233" i="4"/>
  <c r="L233" i="4" s="1"/>
  <c r="L232" i="4"/>
  <c r="K232" i="4"/>
  <c r="K231" i="4"/>
  <c r="L231" i="4" s="1"/>
  <c r="K230" i="4"/>
  <c r="L230" i="4" s="1"/>
  <c r="L229" i="4"/>
  <c r="K229" i="4"/>
  <c r="L228" i="4"/>
  <c r="K228" i="4"/>
  <c r="L227" i="4"/>
  <c r="K227" i="4"/>
  <c r="K226" i="4"/>
  <c r="L226" i="4" s="1"/>
  <c r="K225" i="4"/>
  <c r="L225" i="4" s="1"/>
  <c r="L224" i="4"/>
  <c r="K224" i="4"/>
  <c r="K223" i="4"/>
  <c r="L223" i="4" s="1"/>
  <c r="K222" i="4"/>
  <c r="L222" i="4" s="1"/>
  <c r="L221" i="4"/>
  <c r="K221" i="4"/>
  <c r="K220" i="4"/>
  <c r="L220" i="4" s="1"/>
  <c r="K219" i="4"/>
  <c r="L219" i="4" s="1"/>
  <c r="K218" i="4"/>
  <c r="L218" i="4" s="1"/>
  <c r="L217" i="4"/>
  <c r="K217" i="4"/>
  <c r="K216" i="4"/>
  <c r="L216" i="4" s="1"/>
  <c r="K215" i="4"/>
  <c r="L215" i="4" s="1"/>
  <c r="L214" i="4"/>
  <c r="K214" i="4"/>
  <c r="K213" i="4"/>
  <c r="L213" i="4" s="1"/>
  <c r="K212" i="4"/>
  <c r="L212" i="4" s="1"/>
  <c r="K211" i="4"/>
  <c r="L211" i="4" s="1"/>
  <c r="L210" i="4"/>
  <c r="K210" i="4"/>
  <c r="K209" i="4"/>
  <c r="L209" i="4" s="1"/>
  <c r="K208" i="4"/>
  <c r="L208" i="4" s="1"/>
  <c r="K207" i="4"/>
  <c r="L207" i="4" s="1"/>
  <c r="K206" i="4"/>
  <c r="L206" i="4" s="1"/>
  <c r="K205" i="4"/>
  <c r="L205" i="4" s="1"/>
  <c r="K204" i="4"/>
  <c r="L204" i="4" s="1"/>
  <c r="K203" i="4"/>
  <c r="L203" i="4" s="1"/>
  <c r="K202" i="4"/>
  <c r="L202" i="4" s="1"/>
  <c r="K201" i="4"/>
  <c r="L201" i="4" s="1"/>
  <c r="K200" i="4"/>
  <c r="L200" i="4" s="1"/>
  <c r="K199" i="4"/>
  <c r="L199" i="4" s="1"/>
  <c r="K198" i="4"/>
  <c r="L198" i="4" s="1"/>
  <c r="L197" i="4"/>
  <c r="K197" i="4"/>
  <c r="K196" i="4"/>
  <c r="L196" i="4" s="1"/>
  <c r="K195" i="4"/>
  <c r="L195" i="4" s="1"/>
  <c r="K194" i="4"/>
  <c r="L194" i="4" s="1"/>
  <c r="K193" i="4"/>
  <c r="L193" i="4" s="1"/>
  <c r="K192" i="4"/>
  <c r="L192" i="4" s="1"/>
  <c r="L191" i="4"/>
  <c r="K191" i="4"/>
  <c r="K190" i="4"/>
  <c r="L190" i="4" s="1"/>
  <c r="K189" i="4"/>
  <c r="L189" i="4" s="1"/>
  <c r="K188" i="4"/>
  <c r="L188" i="4" s="1"/>
  <c r="L187" i="4"/>
  <c r="K187" i="4"/>
  <c r="K186" i="4"/>
  <c r="L186" i="4" s="1"/>
  <c r="K185" i="4"/>
  <c r="L185" i="4" s="1"/>
  <c r="K184" i="4"/>
  <c r="L184" i="4" s="1"/>
  <c r="L183" i="4"/>
  <c r="K183" i="4"/>
  <c r="L182" i="4"/>
  <c r="K182" i="4"/>
  <c r="K181" i="4"/>
  <c r="L181" i="4" s="1"/>
  <c r="K180" i="4"/>
  <c r="L180" i="4" s="1"/>
  <c r="K179" i="4"/>
  <c r="L179" i="4" s="1"/>
  <c r="L178" i="4"/>
  <c r="K178" i="4"/>
  <c r="L177" i="4"/>
  <c r="K177" i="4"/>
  <c r="L176" i="4"/>
  <c r="K176" i="4"/>
  <c r="K175" i="4"/>
  <c r="L175" i="4" s="1"/>
  <c r="K174" i="4"/>
  <c r="L174" i="4" s="1"/>
  <c r="L173" i="4"/>
  <c r="K173" i="4"/>
  <c r="K172" i="4"/>
  <c r="L172" i="4" s="1"/>
  <c r="K171" i="4"/>
  <c r="L171" i="4" s="1"/>
  <c r="K170" i="4"/>
  <c r="L170" i="4" s="1"/>
  <c r="K169" i="4"/>
  <c r="L169" i="4" s="1"/>
  <c r="K168" i="4"/>
  <c r="L168" i="4" s="1"/>
  <c r="K167" i="4"/>
  <c r="L167" i="4" s="1"/>
  <c r="K166" i="4"/>
  <c r="L166" i="4" s="1"/>
  <c r="L165" i="4"/>
  <c r="K165" i="4"/>
  <c r="L164" i="4"/>
  <c r="K164" i="4"/>
  <c r="K163" i="4"/>
  <c r="L163" i="4" s="1"/>
  <c r="K162" i="4"/>
  <c r="L162" i="4" s="1"/>
  <c r="K161" i="4"/>
  <c r="L161" i="4" s="1"/>
  <c r="L160" i="4"/>
  <c r="K160" i="4"/>
  <c r="L159" i="4"/>
  <c r="K159" i="4"/>
  <c r="K158" i="4"/>
  <c r="L158" i="4" s="1"/>
  <c r="K157" i="4"/>
  <c r="L157" i="4" s="1"/>
  <c r="L156" i="4"/>
  <c r="K156" i="4"/>
  <c r="L155" i="4"/>
  <c r="K155" i="4"/>
  <c r="L154" i="4"/>
  <c r="K154" i="4"/>
  <c r="K153" i="4"/>
  <c r="L153" i="4" s="1"/>
  <c r="K152" i="4"/>
  <c r="L152" i="4" s="1"/>
  <c r="K151" i="4"/>
  <c r="L151" i="4" s="1"/>
  <c r="K150" i="4"/>
  <c r="L150" i="4" s="1"/>
  <c r="K149" i="4"/>
  <c r="L149" i="4" s="1"/>
  <c r="K148" i="4"/>
  <c r="L148" i="4" s="1"/>
  <c r="L147" i="4"/>
  <c r="K147" i="4"/>
  <c r="K146" i="4"/>
  <c r="L146" i="4" s="1"/>
  <c r="K145" i="4"/>
  <c r="L145" i="4" s="1"/>
  <c r="K144" i="4"/>
  <c r="L144" i="4" s="1"/>
  <c r="L143" i="4"/>
  <c r="K143" i="4"/>
  <c r="K142" i="4"/>
  <c r="L142" i="4" s="1"/>
  <c r="K141" i="4"/>
  <c r="L141" i="4" s="1"/>
  <c r="K140" i="4"/>
  <c r="L140" i="4" s="1"/>
  <c r="K139" i="4"/>
  <c r="L139" i="4" s="1"/>
  <c r="K138" i="4"/>
  <c r="L138" i="4" s="1"/>
  <c r="K137" i="4"/>
  <c r="L137" i="4" s="1"/>
  <c r="K136" i="4"/>
  <c r="L136" i="4" s="1"/>
  <c r="K135" i="4"/>
  <c r="L135" i="4" s="1"/>
  <c r="K134" i="4"/>
  <c r="L134" i="4" s="1"/>
  <c r="K133" i="4"/>
  <c r="L133" i="4" s="1"/>
  <c r="L132" i="4"/>
  <c r="K132" i="4"/>
  <c r="K131" i="4"/>
  <c r="L131" i="4" s="1"/>
  <c r="K130" i="4"/>
  <c r="L130" i="4" s="1"/>
  <c r="K129" i="4"/>
  <c r="L129" i="4" s="1"/>
  <c r="L128" i="4"/>
  <c r="K128" i="4"/>
  <c r="K127" i="4"/>
  <c r="L127" i="4" s="1"/>
  <c r="K126" i="4"/>
  <c r="L126" i="4" s="1"/>
  <c r="K125" i="4"/>
  <c r="L125" i="4" s="1"/>
  <c r="K124" i="4"/>
  <c r="L124" i="4" s="1"/>
  <c r="K123" i="4"/>
  <c r="L123" i="4" s="1"/>
  <c r="K122" i="4"/>
  <c r="L122" i="4" s="1"/>
  <c r="L121" i="4"/>
  <c r="K121" i="4"/>
  <c r="K120" i="4"/>
  <c r="L120" i="4" s="1"/>
  <c r="K119" i="4"/>
  <c r="L119" i="4" s="1"/>
  <c r="K118" i="4"/>
  <c r="L118" i="4" s="1"/>
  <c r="K117" i="4"/>
  <c r="L117" i="4" s="1"/>
  <c r="L116" i="4"/>
  <c r="K116" i="4"/>
  <c r="L115" i="4"/>
  <c r="K115" i="4"/>
  <c r="L114" i="4"/>
  <c r="K114" i="4"/>
  <c r="L113" i="4"/>
  <c r="K113" i="4"/>
  <c r="K112" i="4"/>
  <c r="L112" i="4" s="1"/>
  <c r="K111" i="4"/>
  <c r="L111" i="4" s="1"/>
  <c r="L110" i="4"/>
  <c r="K110" i="4"/>
  <c r="L109" i="4"/>
  <c r="K109" i="4"/>
  <c r="K108" i="4"/>
  <c r="L108" i="4" s="1"/>
  <c r="K107" i="4"/>
  <c r="L107" i="4" s="1"/>
  <c r="K106" i="4"/>
  <c r="L106" i="4" s="1"/>
  <c r="K105" i="4"/>
  <c r="L105" i="4" s="1"/>
  <c r="K104" i="4"/>
  <c r="L104" i="4" s="1"/>
  <c r="K103" i="4"/>
  <c r="L103" i="4" s="1"/>
  <c r="K102" i="4"/>
  <c r="L102" i="4" s="1"/>
  <c r="K101" i="4"/>
  <c r="L101" i="4" s="1"/>
  <c r="L100" i="4"/>
  <c r="K100" i="4"/>
  <c r="L99" i="4"/>
  <c r="K99" i="4"/>
  <c r="K98" i="4"/>
  <c r="L98" i="4" s="1"/>
  <c r="K97" i="4"/>
  <c r="L97" i="4" s="1"/>
  <c r="K96" i="4"/>
  <c r="L96" i="4" s="1"/>
  <c r="L95" i="4"/>
  <c r="K95" i="4"/>
  <c r="L94" i="4"/>
  <c r="K94" i="4"/>
  <c r="K93" i="4"/>
  <c r="L93" i="4" s="1"/>
  <c r="K92" i="4"/>
  <c r="L92" i="4" s="1"/>
  <c r="L91" i="4"/>
  <c r="K91" i="4"/>
  <c r="L90" i="4"/>
  <c r="K90" i="4"/>
  <c r="K89" i="4"/>
  <c r="L89" i="4" s="1"/>
  <c r="L88" i="4"/>
  <c r="K88" i="4"/>
  <c r="K87" i="4"/>
  <c r="L87" i="4" s="1"/>
  <c r="K86" i="4"/>
  <c r="L86" i="4" s="1"/>
  <c r="K85" i="4"/>
  <c r="L85" i="4" s="1"/>
  <c r="K84" i="4"/>
  <c r="L84" i="4" s="1"/>
  <c r="K83" i="4"/>
  <c r="L83" i="4" s="1"/>
  <c r="L82" i="4"/>
  <c r="K82" i="4"/>
  <c r="K81" i="4"/>
  <c r="L81" i="4" s="1"/>
  <c r="K80" i="4"/>
  <c r="L80" i="4" s="1"/>
  <c r="K79" i="4"/>
  <c r="L79" i="4" s="1"/>
  <c r="L78" i="4"/>
  <c r="K78" i="4"/>
  <c r="K77" i="4"/>
  <c r="L77" i="4" s="1"/>
  <c r="K76" i="4"/>
  <c r="L76" i="4" s="1"/>
  <c r="K75" i="4"/>
  <c r="L75" i="4" s="1"/>
  <c r="K74" i="4"/>
  <c r="L74" i="4" s="1"/>
  <c r="K73" i="4"/>
  <c r="L73" i="4" s="1"/>
  <c r="K72" i="4"/>
  <c r="L72" i="4" s="1"/>
  <c r="K71" i="4"/>
  <c r="L71" i="4" s="1"/>
  <c r="K70" i="4"/>
  <c r="L70" i="4" s="1"/>
  <c r="K69" i="4"/>
  <c r="L69" i="4" s="1"/>
  <c r="K68" i="4"/>
  <c r="L68" i="4" s="1"/>
  <c r="L67" i="4"/>
  <c r="K67" i="4"/>
  <c r="K66" i="4"/>
  <c r="L66" i="4" s="1"/>
  <c r="K65" i="4"/>
  <c r="L65" i="4" s="1"/>
  <c r="K64" i="4"/>
  <c r="L64" i="4" s="1"/>
  <c r="K63" i="4"/>
  <c r="L63" i="4" s="1"/>
  <c r="K62" i="4"/>
  <c r="L62" i="4" s="1"/>
  <c r="K61" i="4"/>
  <c r="L61" i="4" s="1"/>
  <c r="K60" i="4"/>
  <c r="L60" i="4" s="1"/>
  <c r="L59" i="4"/>
  <c r="K59" i="4"/>
  <c r="K58" i="4"/>
  <c r="L58" i="4" s="1"/>
  <c r="K57" i="4"/>
  <c r="L57" i="4" s="1"/>
  <c r="L56" i="4"/>
  <c r="K56" i="4"/>
  <c r="K55" i="4"/>
  <c r="L55" i="4" s="1"/>
  <c r="K54" i="4"/>
  <c r="L54" i="4" s="1"/>
  <c r="K53" i="4"/>
  <c r="L53" i="4" s="1"/>
  <c r="L52" i="4"/>
  <c r="K52" i="4"/>
  <c r="L51" i="4"/>
  <c r="K51" i="4"/>
  <c r="K50" i="4"/>
  <c r="L50" i="4" s="1"/>
  <c r="K49" i="4"/>
  <c r="L49" i="4" s="1"/>
  <c r="L48" i="4"/>
  <c r="K48" i="4"/>
  <c r="L47" i="4"/>
  <c r="K47" i="4"/>
  <c r="K46" i="4"/>
  <c r="L46" i="4" s="1"/>
  <c r="K45" i="4"/>
  <c r="L45" i="4" s="1"/>
  <c r="K44" i="4"/>
  <c r="L44" i="4" s="1"/>
  <c r="L43" i="4"/>
  <c r="K43" i="4"/>
  <c r="L42" i="4"/>
  <c r="K42" i="4"/>
  <c r="K41" i="4"/>
  <c r="L41" i="4" s="1"/>
  <c r="K40" i="4"/>
  <c r="L40" i="4" s="1"/>
  <c r="K39" i="4"/>
  <c r="L39" i="4" s="1"/>
  <c r="K38" i="4"/>
  <c r="L38" i="4" s="1"/>
  <c r="K37" i="4"/>
  <c r="L37" i="4" s="1"/>
  <c r="K36" i="4"/>
  <c r="L36" i="4" s="1"/>
  <c r="K35" i="4"/>
  <c r="L35" i="4" s="1"/>
  <c r="K34" i="4"/>
  <c r="L34" i="4" s="1"/>
  <c r="K33" i="4"/>
  <c r="L33" i="4" s="1"/>
  <c r="L32" i="4"/>
  <c r="K32" i="4"/>
  <c r="L31" i="4"/>
  <c r="K31" i="4"/>
  <c r="L30" i="4"/>
  <c r="K30" i="4"/>
  <c r="K29" i="4"/>
  <c r="L29" i="4" s="1"/>
  <c r="K28" i="4"/>
  <c r="L28" i="4" s="1"/>
  <c r="L27" i="4"/>
  <c r="K27" i="4"/>
  <c r="K26" i="4"/>
  <c r="L26" i="4" s="1"/>
  <c r="L25" i="4"/>
  <c r="K25" i="4"/>
  <c r="L24" i="4"/>
  <c r="K24" i="4"/>
  <c r="K23" i="4"/>
  <c r="L23" i="4" s="1"/>
  <c r="K22" i="4"/>
  <c r="L22" i="4" s="1"/>
  <c r="K21" i="4"/>
  <c r="L21" i="4" s="1"/>
  <c r="L20" i="4"/>
  <c r="K20" i="4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L13" i="4"/>
  <c r="K13" i="4"/>
  <c r="K12" i="4"/>
  <c r="L12" i="4" s="1"/>
  <c r="L11" i="4"/>
  <c r="K11" i="4"/>
  <c r="K10" i="4"/>
  <c r="L10" i="4" s="1"/>
  <c r="K9" i="4"/>
  <c r="L9" i="4" s="1"/>
  <c r="K8" i="4"/>
  <c r="L8" i="4" s="1"/>
  <c r="K7" i="4"/>
  <c r="L7" i="4" s="1"/>
  <c r="K6" i="4"/>
  <c r="L6" i="4" s="1"/>
  <c r="K5" i="4"/>
  <c r="L5" i="4" s="1"/>
  <c r="K4" i="4"/>
  <c r="L4" i="4" s="1"/>
  <c r="K3" i="4"/>
  <c r="L3" i="4" s="1"/>
  <c r="K2" i="4"/>
  <c r="L2" i="4" s="1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AH9" i="2"/>
  <c r="E9" i="2"/>
  <c r="D9" i="2"/>
  <c r="C9" i="2"/>
  <c r="E8" i="2"/>
  <c r="D8" i="2"/>
  <c r="C8" i="2"/>
  <c r="AH7" i="2"/>
  <c r="E7" i="2"/>
  <c r="D7" i="2"/>
  <c r="C7" i="2"/>
  <c r="AH6" i="2"/>
  <c r="E6" i="2"/>
  <c r="D6" i="2"/>
  <c r="C6" i="2"/>
  <c r="AH5" i="2"/>
  <c r="E5" i="2"/>
  <c r="D5" i="2"/>
  <c r="C5" i="2"/>
  <c r="E4" i="2"/>
  <c r="D4" i="2"/>
  <c r="C4" i="2"/>
  <c r="AH3" i="2"/>
  <c r="E3" i="2"/>
  <c r="D3" i="2"/>
  <c r="C3" i="2"/>
  <c r="AH2" i="2"/>
  <c r="E2" i="2"/>
  <c r="D2" i="2"/>
  <c r="C2" i="2"/>
</calcChain>
</file>

<file path=xl/sharedStrings.xml><?xml version="1.0" encoding="utf-8"?>
<sst xmlns="http://schemas.openxmlformats.org/spreadsheetml/2006/main" count="10792" uniqueCount="381">
  <si>
    <t>Participant_ID</t>
  </si>
  <si>
    <t>סדר_מודלים</t>
  </si>
  <si>
    <t>תרגול_R1_Scenario_ID</t>
  </si>
  <si>
    <t>תרגול_R1_קושי</t>
  </si>
  <si>
    <t>תרגול_R2_Scenario_ID</t>
  </si>
  <si>
    <t>תרגול_R2_קושי</t>
  </si>
  <si>
    <t>תרגול_R3_Scenario_ID</t>
  </si>
  <si>
    <t>תרגול_R3_קושי</t>
  </si>
  <si>
    <t>תרגול_R4_Scenario_ID</t>
  </si>
  <si>
    <t>תרגול_R4_קושי</t>
  </si>
  <si>
    <t>תרגול_R5_Scenario_ID</t>
  </si>
  <si>
    <t>תרגול_R5_קושי</t>
  </si>
  <si>
    <t>תרגול_R6_Scenario_ID</t>
  </si>
  <si>
    <t>תרגול_R6_קושי</t>
  </si>
  <si>
    <t>מודל_1_סוג_מודל</t>
  </si>
  <si>
    <t>מודל_1_סדר_ויזואליזציות</t>
  </si>
  <si>
    <t>מודל_1_VIS1_ויזואליזציה</t>
  </si>
  <si>
    <t>מודל_1_VIS1_R1_Scenario_ID</t>
  </si>
  <si>
    <t>מודל_1_VIS1_R1_קושי</t>
  </si>
  <si>
    <t>מודל_1_VIS1_R2_Scenario_ID</t>
  </si>
  <si>
    <t>מודל_1_VIS1_R2_קושי</t>
  </si>
  <si>
    <t>מודל_1_VIS1_R3_Scenario_ID</t>
  </si>
  <si>
    <t>מודל_1_VIS1_R3_קושי</t>
  </si>
  <si>
    <t>מודל_1_VIS1_R4_Scenario_ID</t>
  </si>
  <si>
    <t>מודל_1_VIS1_R4_קושי</t>
  </si>
  <si>
    <t>מודל_1_VIS1_R5_Scenario_ID</t>
  </si>
  <si>
    <t>מודל_1_VIS1_R5_קושי</t>
  </si>
  <si>
    <t>מודל_1_VIS2_ויזואליזציה</t>
  </si>
  <si>
    <t>מודל_1_VIS2_R1_Scenario_ID</t>
  </si>
  <si>
    <t>מודל_1_VIS2_R1_קושי</t>
  </si>
  <si>
    <t>מודל_1_VIS2_R2_Scenario_ID</t>
  </si>
  <si>
    <t>מודל_1_VIS2_R2_קושי</t>
  </si>
  <si>
    <t>מודל_1_VIS2_R3_Scenario_ID</t>
  </si>
  <si>
    <t>מודל_1_VIS2_R3_קושי</t>
  </si>
  <si>
    <t>מודל_1_VIS2_R4_Scenario_ID</t>
  </si>
  <si>
    <t>מודל_1_VIS2_R4_קושי</t>
  </si>
  <si>
    <t>מודל_1_VIS2_R5_Scenario_ID</t>
  </si>
  <si>
    <t>מודל_1_VIS2_R5_קושי</t>
  </si>
  <si>
    <t>מודל_1_VIS3_ויזואליזציה</t>
  </si>
  <si>
    <t>מודל_1_VIS3_R1_Scenario_ID</t>
  </si>
  <si>
    <t>מודל_1_VIS3_R1_קושי</t>
  </si>
  <si>
    <t>מודל_1_VIS3_R2_Scenario_ID</t>
  </si>
  <si>
    <t>מודל_1_VIS3_R2_קושי</t>
  </si>
  <si>
    <t>מודל_1_VIS3_R3_Scenario_ID</t>
  </si>
  <si>
    <t>מודל_1_VIS3_R3_קושי</t>
  </si>
  <si>
    <t>מודל_1_VIS3_R4_Scenario_ID</t>
  </si>
  <si>
    <t>מודל_1_VIS3_R4_קושי</t>
  </si>
  <si>
    <t>מודל_1_VIS3_R5_Scenario_ID</t>
  </si>
  <si>
    <t>מודל_1_VIS3_R5_קושי</t>
  </si>
  <si>
    <t>מודל_2_סוג_מודל</t>
  </si>
  <si>
    <t>מודל_2_סדר_ויזואליזציות</t>
  </si>
  <si>
    <t>מודל_2_VIS1_ויזואליזציה</t>
  </si>
  <si>
    <t>מודל_2_VIS1_R1_Scenario_ID</t>
  </si>
  <si>
    <t>מודל_2_VIS1_R1_קושי</t>
  </si>
  <si>
    <t>מודל_2_VIS1_R2_Scenario_ID</t>
  </si>
  <si>
    <t>מודל_2_VIS1_R2_קושי</t>
  </si>
  <si>
    <t>מודל_2_VIS1_R3_Scenario_ID</t>
  </si>
  <si>
    <t>מודל_2_VIS1_R3_קושי</t>
  </si>
  <si>
    <t>מודל_2_VIS1_R4_Scenario_ID</t>
  </si>
  <si>
    <t>מודל_2_VIS1_R4_קושי</t>
  </si>
  <si>
    <t>מודל_2_VIS1_R5_Scenario_ID</t>
  </si>
  <si>
    <t>מודל_2_VIS1_R5_קושי</t>
  </si>
  <si>
    <t>מודל_2_VIS2_ויזואליזציה</t>
  </si>
  <si>
    <t>מודל_2_VIS2_R1_Scenario_ID</t>
  </si>
  <si>
    <t>מודל_2_VIS2_R1_קושי</t>
  </si>
  <si>
    <t>מודל_2_VIS2_R2_Scenario_ID</t>
  </si>
  <si>
    <t>מודל_2_VIS2_R2_קושי</t>
  </si>
  <si>
    <t>מודל_2_VIS2_R3_Scenario_ID</t>
  </si>
  <si>
    <t>מודל_2_VIS2_R3_קושי</t>
  </si>
  <si>
    <t>מודל_2_VIS2_R4_Scenario_ID</t>
  </si>
  <si>
    <t>מודל_2_VIS2_R4_קושי</t>
  </si>
  <si>
    <t>מודל_2_VIS2_R5_Scenario_ID</t>
  </si>
  <si>
    <t>מודל_2_VIS2_R5_קושי</t>
  </si>
  <si>
    <t>מודל_2_VIS3_ויזואליזציה</t>
  </si>
  <si>
    <t>מודל_2_VIS3_R1_Scenario_ID</t>
  </si>
  <si>
    <t>מודל_2_VIS3_R1_קושי</t>
  </si>
  <si>
    <t>מודל_2_VIS3_R2_Scenario_ID</t>
  </si>
  <si>
    <t>מודל_2_VIS3_R2_קושי</t>
  </si>
  <si>
    <t>מודל_2_VIS3_R3_Scenario_ID</t>
  </si>
  <si>
    <t>מודל_2_VIS3_R3_קושי</t>
  </si>
  <si>
    <t>מודל_2_VIS3_R4_Scenario_ID</t>
  </si>
  <si>
    <t>מודל_2_VIS3_R4_קושי</t>
  </si>
  <si>
    <t>מודל_2_VIS3_R5_Scenario_ID</t>
  </si>
  <si>
    <t>מודל_2_VIS3_R5_קושי</t>
  </si>
  <si>
    <t>P001</t>
  </si>
  <si>
    <t>אופטימלי ← תת-אופטימלי</t>
  </si>
  <si>
    <t>עמודות נערמות ← רדאר ← מפת חום</t>
  </si>
  <si>
    <t>רדאר ← מפת חום ← עמודות נערמות</t>
  </si>
  <si>
    <t>SCN_031_S</t>
  </si>
  <si>
    <t>E</t>
  </si>
  <si>
    <t>SCN_033_H</t>
  </si>
  <si>
    <t>OPT</t>
  </si>
  <si>
    <t>עמודות נערמות</t>
  </si>
  <si>
    <t>SCN_028_S</t>
  </si>
  <si>
    <t>H</t>
  </si>
  <si>
    <t>SCN_030_S</t>
  </si>
  <si>
    <t>SCN_026_S</t>
  </si>
  <si>
    <t>SCN_027_S</t>
  </si>
  <si>
    <t>SCN_024_S</t>
  </si>
  <si>
    <t>רדאר</t>
  </si>
  <si>
    <t>SCN_014_R</t>
  </si>
  <si>
    <t>SCN_016_R</t>
  </si>
  <si>
    <t>SCN_017_R</t>
  </si>
  <si>
    <t>SCN_012_R</t>
  </si>
  <si>
    <t>SCN_025_R</t>
  </si>
  <si>
    <t>מפת חום</t>
  </si>
  <si>
    <t>SCN_007_H</t>
  </si>
  <si>
    <t>SCN_006_H</t>
  </si>
  <si>
    <t>SCN_004_H</t>
  </si>
  <si>
    <t>SCN_008_H</t>
  </si>
  <si>
    <t>SCN_009_H</t>
  </si>
  <si>
    <t>SUB</t>
  </si>
  <si>
    <t>SCN_015_R</t>
  </si>
  <si>
    <t>SCN_018_R</t>
  </si>
  <si>
    <t>SCN_019_R</t>
  </si>
  <si>
    <t>SCN_020_R</t>
  </si>
  <si>
    <t>SCN_005_H</t>
  </si>
  <si>
    <t>SCN_013_H</t>
  </si>
  <si>
    <t>SCN_011_H</t>
  </si>
  <si>
    <t>SCN_010_H</t>
  </si>
  <si>
    <t>SCN_023_S</t>
  </si>
  <si>
    <t>SCN_029_S</t>
  </si>
  <si>
    <t>SCN_021_S</t>
  </si>
  <si>
    <t>SCN_022_S</t>
  </si>
  <si>
    <t>P002</t>
  </si>
  <si>
    <t>תת-אופטימלי ← אופטימלי</t>
  </si>
  <si>
    <t>מפת חום ← עמודות נערמות ← רדאר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</si>
  <si>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</si>
  <si>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</si>
  <si>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</si>
  <si>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</si>
  <si>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</si>
  <si>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</si>
  <si>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</si>
  <si>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</si>
  <si>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</si>
  <si>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</si>
  <si>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SCN_030_R</t>
  </si>
  <si>
    <t>SCN_026_R</t>
  </si>
  <si>
    <t>SCN_027_R</t>
  </si>
  <si>
    <t>SCN_028_R</t>
  </si>
  <si>
    <t>SCN_017_H</t>
  </si>
  <si>
    <t>SCN_016_H</t>
  </si>
  <si>
    <t>SCN_025_H</t>
  </si>
  <si>
    <t>SCN_012_H</t>
  </si>
  <si>
    <t>SCN_014_H</t>
  </si>
  <si>
    <t>SCN_009_S</t>
  </si>
  <si>
    <t>SCN_008_S</t>
  </si>
  <si>
    <t>SCN_004_S</t>
  </si>
  <si>
    <t>SCN_006_S</t>
  </si>
  <si>
    <t>SCN_007_S</t>
  </si>
  <si>
    <t>SCN_019_H</t>
  </si>
  <si>
    <t>SCN_020_H</t>
  </si>
  <si>
    <t>SCN_015_H</t>
  </si>
  <si>
    <t>SCN_018_H</t>
  </si>
  <si>
    <t>SCN_011_S</t>
  </si>
  <si>
    <t>SCN_010_S</t>
  </si>
  <si>
    <t>SCN_005_S</t>
  </si>
  <si>
    <t>SCN_013_S</t>
  </si>
  <si>
    <t>SCN_023_R</t>
  </si>
  <si>
    <t>SCN_029_R</t>
  </si>
  <si>
    <t>SCN_021_R</t>
  </si>
  <si>
    <t>SCN_022_R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</si>
  <si>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</si>
  <si>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</si>
  <si>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</si>
  <si>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</si>
  <si>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</si>
  <si>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</si>
  <si>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</si>
  <si>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</si>
  <si>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</si>
  <si>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</si>
  <si>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</si>
  <si>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SCN_030_H</t>
  </si>
  <si>
    <t>SCN_028_H</t>
  </si>
  <si>
    <t>SCN_027_H</t>
  </si>
  <si>
    <t>SCN_026_H</t>
  </si>
  <si>
    <t>SCN_025_S</t>
  </si>
  <si>
    <t>SCN_016_S</t>
  </si>
  <si>
    <t>SCN_014_S</t>
  </si>
  <si>
    <t>SCN_012_S</t>
  </si>
  <si>
    <t>SCN_017_S</t>
  </si>
  <si>
    <t>SCN_009_R</t>
  </si>
  <si>
    <t>SCN_006_R</t>
  </si>
  <si>
    <t>SCN_004_R</t>
  </si>
  <si>
    <t>SCN_008_R</t>
  </si>
  <si>
    <t>SCN_007_R</t>
  </si>
  <si>
    <t>SCN_015_S</t>
  </si>
  <si>
    <t>SCN_020_S</t>
  </si>
  <si>
    <t>SCN_019_S</t>
  </si>
  <si>
    <t>SCN_018_S</t>
  </si>
  <si>
    <t>SCN_011_R</t>
  </si>
  <si>
    <t>SCN_010_R</t>
  </si>
  <si>
    <t>SCN_005_R</t>
  </si>
  <si>
    <t>SCN_013_R</t>
  </si>
  <si>
    <t>SCN_023_H</t>
  </si>
  <si>
    <t>SCN_022_H</t>
  </si>
  <si>
    <t>SCN_021_H</t>
  </si>
  <si>
    <t>SCN_029_H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</si>
  <si>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</si>
  <si>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</si>
  <si>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</si>
  <si>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</si>
  <si>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</si>
  <si>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</si>
  <si>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</si>
  <si>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</si>
  <si>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</si>
  <si>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</si>
  <si>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</si>
  <si>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</si>
  <si>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</si>
  <si>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</si>
  <si>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</si>
  <si>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</si>
  <si>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</si>
  <si>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</si>
  <si>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</si>
  <si>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</si>
  <si>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</si>
  <si>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</si>
  <si>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</si>
  <si>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</si>
  <si>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</si>
  <si>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</si>
  <si>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</si>
  <si>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</si>
  <si>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</si>
  <si>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</si>
  <si>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</si>
  <si>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</si>
  <si>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</si>
  <si>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REQUIREMENTS</t>
  </si>
  <si>
    <t>Status</t>
  </si>
  <si>
    <t>SCN_001</t>
  </si>
  <si>
    <t>ראש העין</t>
  </si>
  <si>
    <t>RTL</t>
  </si>
  <si>
    <t>N</t>
  </si>
  <si>
    <t>א׳</t>
  </si>
  <si>
    <t>ג׳</t>
  </si>
  <si>
    <t>מה היה המסלול בעל זמן הנסיעה הכולל הקצר מביניהם בתרחיש?</t>
  </si>
  <si>
    <t>א
ב
ג
לא יודע/ת</t>
  </si>
  <si>
    <t>0
1
2
3
לא יודע/ת</t>
  </si>
  <si>
    <t>במפה שלפניך מופיעים 3 מסלולים אפשריים בין נקודת המוצא ליעד. בחר ואשר את המסלול שמתעדף את הדרישות:</t>
  </si>
  <si>
    <t>נוף</t>
  </si>
  <si>
    <t>SCN_002</t>
  </si>
  <si>
    <t>שדרות</t>
  </si>
  <si>
    <t>LTR</t>
  </si>
  <si>
    <t>ב׳</t>
  </si>
  <si>
    <t>קליטה</t>
  </si>
  <si>
    <t>SCN_003</t>
  </si>
  <si>
    <t>רעננה</t>
  </si>
  <si>
    <t>SCN_004</t>
  </si>
  <si>
    <t>רמלה</t>
  </si>
  <si>
    <t>SCN_005</t>
  </si>
  <si>
    <t>תל מונד</t>
  </si>
  <si>
    <t>SCN_006</t>
  </si>
  <si>
    <t>אור עקיבא</t>
  </si>
  <si>
    <t>TRAFF</t>
  </si>
  <si>
    <t>SCN_007</t>
  </si>
  <si>
    <t>אשדוד</t>
  </si>
  <si>
    <t>SCN_008</t>
  </si>
  <si>
    <t>באר שבע צפון</t>
  </si>
  <si>
    <t>TOT</t>
  </si>
  <si>
    <t>SCN_009</t>
  </si>
  <si>
    <t>הדר יוסף</t>
  </si>
  <si>
    <t>SCN_010</t>
  </si>
  <si>
    <t>דימונה</t>
  </si>
  <si>
    <t>SCN_011</t>
  </si>
  <si>
    <t>אשקלון</t>
  </si>
  <si>
    <t>SCN_012</t>
  </si>
  <si>
    <t>הרצליה</t>
  </si>
  <si>
    <t>SCN_013</t>
  </si>
  <si>
    <t>יבנה</t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</si>
  <si>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</si>
  <si>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</si>
  <si>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</si>
  <si>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</si>
  <si>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</si>
  <si>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</si>
  <si>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</si>
  <si>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</si>
  <si>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SCN_018</t>
  </si>
  <si>
    <t>ירוחם</t>
  </si>
  <si>
    <t>SCN_019</t>
  </si>
  <si>
    <t>ירושלים מרכז</t>
  </si>
  <si>
    <t>SCN_020</t>
  </si>
  <si>
    <t>מגדל העמק</t>
  </si>
  <si>
    <t>SCN_021</t>
  </si>
  <si>
    <t>מעלות</t>
  </si>
  <si>
    <t>SCN_022</t>
  </si>
  <si>
    <t>נס ציונה</t>
  </si>
  <si>
    <t>SCN_023</t>
  </si>
  <si>
    <t>נתיבות</t>
  </si>
  <si>
    <t>SCN_024</t>
  </si>
  <si>
    <t>נתניה דרום</t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</si>
  <si>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</si>
  <si>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</si>
  <si>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</si>
  <si>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</si>
  <si>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</si>
  <si>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</si>
  <si>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</si>
  <si>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</si>
  <si>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t>SCN_029</t>
  </si>
  <si>
    <t>קריית גת</t>
  </si>
  <si>
    <t>SCN_030</t>
  </si>
  <si>
    <t>קריית מלאכי</t>
  </si>
  <si>
    <t>SCN_031</t>
  </si>
  <si>
    <t>Y</t>
  </si>
  <si>
    <t>SCN_032</t>
  </si>
  <si>
    <t>SCN_033</t>
  </si>
  <si>
    <t>List</t>
  </si>
  <si>
    <t>סדר_תנאים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</si>
  <si>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</si>
  <si>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</si>
  <si>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</si>
  <si>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</si>
  <si>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</si>
  <si>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</si>
  <si>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</si>
  <si>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עמודות מוערמות ← רדאר ← מפת חום</t>
  </si>
  <si>
    <t>עמודות מוערמות</t>
  </si>
  <si>
    <t>רדאר ← מפת חום ← עמודות מוערמות</t>
  </si>
  <si>
    <t>מפת חום ← עמודות מוערמות ← רדאר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</si>
  <si>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</si>
  <si>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</si>
  <si>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</si>
  <si>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</si>
  <si>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</si>
  <si>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</si>
  <si>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</si>
  <si>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</si>
  <si>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</si>
  <si>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</si>
  <si>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</si>
  <si>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</si>
  <si>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</si>
  <si>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</si>
  <si>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</si>
  <si>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</si>
  <si>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</si>
  <si>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</si>
  <si>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</si>
  <si>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</si>
  <si>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</si>
  <si>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</si>
  <si>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</si>
  <si>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</si>
  <si>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</si>
  <si>
    <t>SCN_001_S</t>
  </si>
  <si>
    <t>SCN_002_R</t>
  </si>
  <si>
    <t>SCN_032_R</t>
  </si>
  <si>
    <t>SCN_003_H</t>
  </si>
  <si>
    <t>SEG</t>
  </si>
  <si>
    <t>SEG_PRIORITY</t>
  </si>
  <si>
    <t>חיסכון</t>
  </si>
  <si>
    <t>קליטה לאורך כל המקטעים במסלול.</t>
  </si>
  <si>
    <t>נוף לאורך כל המקטעים במסלול, ובמקטע 1 גם חיסכון.</t>
  </si>
  <si>
    <t>חיסכון לאורך כל המקטעים במסלול.</t>
  </si>
  <si>
    <t>קליטה לאורך כל המקטעים במסלול, ובמקטע 2 גם נוף.</t>
  </si>
  <si>
    <t>נוף לאורך כל המקטעים במסלול.</t>
  </si>
  <si>
    <t>חיסכון לאורך כל המקטעים במסלול, ובמקטע 3 גם נוף.</t>
  </si>
  <si>
    <t>קליטה לאורך כל המקטעים במסלול, ובמקטע 1 גם חיסכון.</t>
  </si>
  <si>
    <t>נוף לאורך כל המקטעים במסלול, ובמקטע 2 גם קליטה.</t>
  </si>
  <si>
    <t>חיסכון לאורך כל המקטעים במסלול, ובמקטע 1 גם קליטה.</t>
  </si>
  <si>
    <t>חיסכון לאורך כל המקטעים במסלול, ובמקטע 2 גם חיסכון.</t>
  </si>
  <si>
    <t>נוף לאורך כל המקטעים במסלול, ובמקטע 3 גם קליטה.</t>
  </si>
  <si>
    <t>קליטה לאורך כל המקטעים במסלול, ובמקטע 1 גם נוף.</t>
  </si>
  <si>
    <t>חיסכון לאורך כל המקטעים במסלול, ובמקטע 2 גם נוף.</t>
  </si>
  <si>
    <t>קליטה לאורך כל המקטעים במסלול, ובמקטע 3 גם חיסכון.</t>
  </si>
  <si>
    <t>נוף לאורך כל המקטעים במסלול, ובמקטע 1 גם קליטה.</t>
  </si>
  <si>
    <t>קליטה לאורך כל המקטעים במסלול, ובמקטע 2 גם חיסכון.</t>
  </si>
  <si>
    <t>נוף לאורך כל המקטעים במסלול, ובמקטע 4 גם קליטה.</t>
  </si>
  <si>
    <t>חיסכון לאורך כל המקטעים במסלול, ובמקטע 1 גם נוף.</t>
  </si>
  <si>
    <t>כמה אזורי תקשורת (עיגולים סגולים) הוצגו על המפה?</t>
  </si>
  <si>
    <t>כמה קטעי כביש אגרה (קטע = סימון צהוב בודד על כביש) הוצגו על המפה?</t>
  </si>
  <si>
    <t>כמה קטעי עומס (קטע = קו אדום מקווקוו בודד) הוצגו על המפה?</t>
  </si>
  <si>
    <t>מודל A</t>
  </si>
  <si>
    <t>מודל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</si>
</sst>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rgb="FFFFFFFF"/>
      <name val="Aptos Narrow"/>
    </font>
    <font>
      <sz val="11"/>
      <color rgb="FF111827"/>
      <name val="Aptos Narrow"/>
    </font>
    <font>
      <b/>
      <sz val="11"/>
      <color rgb="FF111827"/>
      <name val="Aptos Narrow"/>
    </font>
    <font>
      <b/>
      <sz val="14"/>
      <color rgb="FF111827"/>
      <name val="Aptos Narrow"/>
    </font>
    <font>
      <sz val="11"/>
      <name val="Calibri"/>
    </font>
    <font>
      <b/>
      <sz val="11"/>
      <color rgb="FFFFFFFF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0E7FF"/>
      </patternFill>
    </fill>
    <fill>
      <patternFill patternType="solid">
        <fgColor rgb="FFDCFCE7"/>
      </patternFill>
    </fill>
    <fill>
      <patternFill patternType="solid">
        <fgColor rgb="FFDBEAFE"/>
      </patternFill>
    </fill>
    <fill>
      <patternFill patternType="solid">
        <fgColor rgb="FFFDE2E2"/>
      </patternFill>
    </fill>
    <fill>
      <patternFill patternType="solid">
        <fgColor rgb="FFFDE68A"/>
      </patternFill>
    </fill>
    <fill>
      <patternFill patternType="solid">
        <fgColor rgb="FFC7D2FE"/>
      </patternFill>
    </fill>
    <fill>
      <patternFill patternType="solid">
        <fgColor rgb="FFE5E7EB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FF7D6"/>
      </patternFill>
    </fill>
    <fill>
      <patternFill patternType="solid">
        <fgColor rgb="FF1F2937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auto="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3"/>
  </cellStyleXfs>
  <cellXfs count="48">
    <xf numFmtId="0" fontId="0" fillId="0" borderId="0" xfId="0" applyBorder="1"/>
    <xf numFmtId="0" fontId="0" fillId="0" borderId="0" xfId="0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righ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14" borderId="6" xfId="0" applyFont="1" applyFill="1" applyBorder="1" applyAlignment="1">
      <alignment horizontal="center" vertical="center" wrapText="1"/>
    </xf>
    <xf numFmtId="0" fontId="9" fillId="15" borderId="6" xfId="0" applyFont="1" applyFill="1" applyBorder="1" applyAlignment="1">
      <alignment horizontal="center" vertical="center" wrapText="1"/>
    </xf>
    <xf numFmtId="0" fontId="9" fillId="16" borderId="6" xfId="0" applyFont="1" applyFill="1" applyBorder="1" applyAlignment="1">
      <alignment horizontal="center" vertical="center" wrapText="1"/>
    </xf>
    <xf numFmtId="0" fontId="9" fillId="17" borderId="6" xfId="0" applyFont="1" applyFill="1" applyBorder="1" applyAlignment="1">
      <alignment horizontal="center" vertical="center" wrapText="1"/>
    </xf>
    <xf numFmtId="0" fontId="9" fillId="18" borderId="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8" fillId="0" borderId="6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/>
    </xf>
    <xf numFmtId="0" fontId="0" fillId="19" borderId="4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0" fillId="19" borderId="5" xfId="0" applyFill="1" applyBorder="1" applyAlignment="1">
      <alignment horizontal="center"/>
    </xf>
    <xf numFmtId="0" fontId="0" fillId="0" borderId="4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2" borderId="4" xfId="0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2" borderId="5" xfId="0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4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6" fillId="13" borderId="4" xfId="0" applyFont="1" applyFill="1" applyBorder="1" applyAlignment="1">
      <alignment horizontal="center" vertical="center"/>
    </xf>
    <xf numFmtId="0" fontId="10" fillId="13" borderId="4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/>
    </xf>
    <xf numFmtId="0" fontId="4" fillId="0" borderId="3" xfId="0" applyFont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75"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/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/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border outline="0">
        <top style="thin">
          <color rgb="FFCBD5E1"/>
        </top>
      </border>
    </dxf>
    <dxf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thin">
          <color rgb="FFCBD5E1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outline="0">
        <left style="thin">
          <color rgb="FFCBD5E1"/>
        </left>
        <right style="thin">
          <color rgb="FFCBD5E1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rgb="FFFFFF99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alignment horizontal="center"/>
    </dxf>
    <dxf>
      <alignment horizont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>
          <fgColor indexed="64"/>
          <bgColor auto="1"/>
        </patternFill>
      </fill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color auto="1"/>
      </font>
      <fill>
        <patternFill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bgColor theme="5" tint="0.79998168889431442"/>
        </patternFill>
      </fill>
    </dxf>
    <dxf>
      <fill>
        <patternFill>
          <bgColor rgb="FFFFFF99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6_2">
  <dgm:title val=""/>
  <dgm:desc val=""/>
  <dgm:catLst>
    <dgm:cat type="accent6" pri="11200"/>
  </dgm:catLst>
  <dgm:styleLbl name="node0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6"/>
    </dgm:fillClrLst>
    <dgm:linClrLst meth="repeat">
      <a:schemeClr val="accent6"/>
    </dgm:linClrLst>
    <dgm:effectClrLst/>
    <dgm:txLinClrLst/>
    <dgm:txFillClrLst/>
    <dgm:txEffectClrLst/>
  </dgm:styleLbl>
  <dgm:styleLbl name="lnNode1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6"/>
    </dgm:fillClrLst>
    <dgm:linClrLst meth="repeat">
      <a:schemeClr val="accent6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6"/>
    </dgm:fillClrLst>
    <dgm:linClrLst meth="repeat">
      <a:schemeClr val="accent6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6"/>
    </dgm:fillClrLst>
    <dgm:linClrLst meth="repeat">
      <a:schemeClr val="accent6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6"/>
    </dgm:fillClrLst>
    <dgm:linClrLst meth="repeat">
      <a:schemeClr val="accent6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/>
    </dgm:fillClrLst>
    <dgm:linClrLst meth="repeat">
      <a:schemeClr val="accent6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6">
        <a:alpha val="90000"/>
        <a:tint val="40000"/>
      </a:schemeClr>
    </dgm:fillClrLst>
    <dgm:linClrLst meth="repeat">
      <a:schemeClr val="accent6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6">
        <a:alpha val="90000"/>
        <a:tint val="40000"/>
      </a:schemeClr>
    </dgm:fillClrLst>
    <dgm:linClrLst meth="repeat">
      <a:schemeClr val="accent6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6">
        <a:alpha val="90000"/>
        <a:tint val="40000"/>
      </a:schemeClr>
    </dgm:fillClrLst>
    <dgm:linClrLst meth="repeat">
      <a:schemeClr val="accent6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6">
        <a:tint val="4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6">
        <a:shade val="80000"/>
      </a:schemeClr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6">
        <a:tint val="50000"/>
        <a:alpha val="40000"/>
      </a:schemeClr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6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8AAE8098-A6E5-406A-8B54-3189A1439D65}" type="doc">
      <dgm:prSet loTypeId="urn:microsoft.com/office/officeart/2005/8/layout/process4" loCatId="process" qsTypeId="urn:microsoft.com/office/officeart/2005/8/quickstyle/simple1" qsCatId="simple" csTypeId="urn:microsoft.com/office/officeart/2005/8/colors/accent6_2" csCatId="accent6" phldr="1"/>
      <dgm:spPr/>
      <dgm:t>
        <a:bodyPr/>
        <a:lstStyle/>
        <a:p>
          <a:endParaRPr lang="en-IL"/>
        </a:p>
      </dgm:t>
    </dgm:pt>
    <dgm:pt modelId="{92A33B82-3ED1-48B4-9740-523B72B0AC57}">
      <dgm:prSet phldrT="[Text]" phldr="0"/>
      <dgm:spPr/>
      <dgm:t>
        <a:bodyPr/>
        <a:lstStyle/>
        <a:p>
          <a:r>
            <a:rPr lang="he-IL" dirty="0"/>
            <a:t>נקודת מוצא ויעד</a:t>
          </a:r>
          <a:endParaRPr lang="en-IL" dirty="0"/>
        </a:p>
      </dgm:t>
    </dgm:pt>
    <dgm:pt modelId="{38F53C3C-FD81-4D96-872D-E53355A76BE9}" type="parTrans" cxnId="{9AC14606-D257-4C8A-B7E8-AEE1D6BE2D72}">
      <dgm:prSet/>
      <dgm:spPr/>
      <dgm:t>
        <a:bodyPr/>
        <a:lstStyle/>
        <a:p>
          <a:endParaRPr lang="en-IL"/>
        </a:p>
      </dgm:t>
    </dgm:pt>
    <dgm:pt modelId="{A3208AF0-22B4-4E55-9B53-8D61461667DB}" type="sibTrans" cxnId="{9AC14606-D257-4C8A-B7E8-AEE1D6BE2D72}">
      <dgm:prSet/>
      <dgm:spPr/>
      <dgm:t>
        <a:bodyPr/>
        <a:lstStyle/>
        <a:p>
          <a:endParaRPr lang="en-IL"/>
        </a:p>
      </dgm:t>
    </dgm:pt>
    <dgm:pt modelId="{CCB0242F-1AA8-4BA3-94B2-9DF6B0470D95}">
      <dgm:prSet phldrT="[Text]" phldr="0"/>
      <dgm:spPr/>
      <dgm:t>
        <a:bodyPr/>
        <a:lstStyle/>
        <a:p>
          <a:r>
            <a:rPr lang="he-IL"/>
            <a:t>חישוב</a:t>
          </a:r>
          <a:endParaRPr lang="en-IL" dirty="0"/>
        </a:p>
      </dgm:t>
    </dgm:pt>
    <dgm:pt modelId="{76455AFD-C1A2-411A-ACF3-AC2BAF503043}" type="parTrans" cxnId="{2BD82B83-448E-4F30-B2D3-2671FB11B4AF}">
      <dgm:prSet/>
      <dgm:spPr/>
      <dgm:t>
        <a:bodyPr/>
        <a:lstStyle/>
        <a:p>
          <a:endParaRPr lang="en-IL"/>
        </a:p>
      </dgm:t>
    </dgm:pt>
    <dgm:pt modelId="{01E8AD6C-F85F-458E-B409-5B1599767CC7}" type="sibTrans" cxnId="{2BD82B83-448E-4F30-B2D3-2671FB11B4AF}">
      <dgm:prSet/>
      <dgm:spPr/>
      <dgm:t>
        <a:bodyPr/>
        <a:lstStyle/>
        <a:p>
          <a:endParaRPr lang="en-IL"/>
        </a:p>
      </dgm:t>
    </dgm:pt>
    <dgm:pt modelId="{82EA28E5-3D00-4ADD-99DA-109DFCCF3B7E}">
      <dgm:prSet phldrT="[Text]" phldr="0"/>
      <dgm:spPr/>
      <dgm:t>
        <a:bodyPr/>
        <a:lstStyle/>
        <a:p>
          <a:r>
            <a:rPr lang="he-IL"/>
            <a:t>עריכה</a:t>
          </a:r>
          <a:endParaRPr lang="en-IL" dirty="0"/>
        </a:p>
      </dgm:t>
    </dgm:pt>
    <dgm:pt modelId="{65D4F9AC-C942-4B6D-935B-34AF202FCDC3}" type="parTrans" cxnId="{06F8C501-9692-4F5D-9CB8-573E328304D7}">
      <dgm:prSet/>
      <dgm:spPr/>
      <dgm:t>
        <a:bodyPr/>
        <a:lstStyle/>
        <a:p>
          <a:endParaRPr lang="en-IL"/>
        </a:p>
      </dgm:t>
    </dgm:pt>
    <dgm:pt modelId="{80096AE2-DC61-4E58-A95B-00C5BD550D46}" type="sibTrans" cxnId="{06F8C501-9692-4F5D-9CB8-573E328304D7}">
      <dgm:prSet/>
      <dgm:spPr/>
      <dgm:t>
        <a:bodyPr/>
        <a:lstStyle/>
        <a:p>
          <a:endParaRPr lang="en-IL"/>
        </a:p>
      </dgm:t>
    </dgm:pt>
    <dgm:pt modelId="{A594ECB0-4D89-4EED-87C7-51AE9ABCEB0A}">
      <dgm:prSet phldrT="[Text]" phldr="0"/>
      <dgm:spPr/>
      <dgm:t>
        <a:bodyPr/>
        <a:lstStyle/>
        <a:p>
          <a:r>
            <a:rPr lang="he-IL"/>
            <a:t>הוספת ישויות</a:t>
          </a:r>
          <a:endParaRPr lang="en-IL" dirty="0"/>
        </a:p>
      </dgm:t>
    </dgm:pt>
    <dgm:pt modelId="{AD3B9395-DA8E-40A6-8D45-65AE0CE09A28}" type="parTrans" cxnId="{3AD498DB-AC3B-4E97-82A9-B74C46487240}">
      <dgm:prSet/>
      <dgm:spPr/>
      <dgm:t>
        <a:bodyPr/>
        <a:lstStyle/>
        <a:p>
          <a:endParaRPr lang="en-IL"/>
        </a:p>
      </dgm:t>
    </dgm:pt>
    <dgm:pt modelId="{A1A565F0-F70D-4CD9-A935-DD90B287EB0D}" type="sibTrans" cxnId="{3AD498DB-AC3B-4E97-82A9-B74C46487240}">
      <dgm:prSet/>
      <dgm:spPr/>
      <dgm:t>
        <a:bodyPr/>
        <a:lstStyle/>
        <a:p>
          <a:endParaRPr lang="en-IL"/>
        </a:p>
      </dgm:t>
    </dgm:pt>
    <dgm:pt modelId="{19EE6D24-7A3E-45EA-B508-C1B1860213CF}">
      <dgm:prSet phldrT="[Text]" phldr="0"/>
      <dgm:spPr/>
      <dgm:t>
        <a:bodyPr/>
        <a:lstStyle/>
        <a:p>
          <a:r>
            <a:rPr lang="he-IL" dirty="0"/>
            <a:t>בחירת מטלה לפי הטבלה</a:t>
          </a:r>
          <a:endParaRPr lang="en-IL" dirty="0"/>
        </a:p>
      </dgm:t>
    </dgm:pt>
    <dgm:pt modelId="{C772D8E2-C966-4E5B-93D5-47F52E002DFF}" type="parTrans" cxnId="{9752219C-37CB-4BB2-B28A-2415F30630B8}">
      <dgm:prSet/>
      <dgm:spPr/>
      <dgm:t>
        <a:bodyPr/>
        <a:lstStyle/>
        <a:p>
          <a:endParaRPr lang="en-IL"/>
        </a:p>
      </dgm:t>
    </dgm:pt>
    <dgm:pt modelId="{4A79F7A9-DE2C-43F9-873B-275A7EAF403A}" type="sibTrans" cxnId="{9752219C-37CB-4BB2-B28A-2415F30630B8}">
      <dgm:prSet/>
      <dgm:spPr/>
      <dgm:t>
        <a:bodyPr/>
        <a:lstStyle/>
        <a:p>
          <a:endParaRPr lang="en-IL"/>
        </a:p>
      </dgm:t>
    </dgm:pt>
    <dgm:pt modelId="{EDD01157-AB5F-4B6E-841F-B02E4F569676}">
      <dgm:prSet phldrT="[Text]" phldr="0"/>
      <dgm:spPr/>
      <dgm:t>
        <a:bodyPr/>
        <a:lstStyle/>
        <a:p>
          <a:r>
            <a:rPr lang="he-IL" dirty="0"/>
            <a:t>הצגת תוצאות </a:t>
          </a:r>
          <a:r>
            <a:rPr lang="he-IL" dirty="0" err="1"/>
            <a:t>וויזואליזציות</a:t>
          </a:r>
          <a:endParaRPr lang="en-IL" dirty="0"/>
        </a:p>
      </dgm:t>
    </dgm:pt>
    <dgm:pt modelId="{68353047-C923-4774-A4B2-7A9798F711C4}" type="parTrans" cxnId="{557EA01C-4C1A-4BAE-AAD2-59684243D345}">
      <dgm:prSet/>
      <dgm:spPr/>
      <dgm:t>
        <a:bodyPr/>
        <a:lstStyle/>
        <a:p>
          <a:endParaRPr lang="en-IL"/>
        </a:p>
      </dgm:t>
    </dgm:pt>
    <dgm:pt modelId="{6F96A569-7413-4F5B-8C21-57E01461865F}" type="sibTrans" cxnId="{557EA01C-4C1A-4BAE-AAD2-59684243D345}">
      <dgm:prSet/>
      <dgm:spPr/>
      <dgm:t>
        <a:bodyPr/>
        <a:lstStyle/>
        <a:p>
          <a:endParaRPr lang="en-IL"/>
        </a:p>
      </dgm:t>
    </dgm:pt>
    <dgm:pt modelId="{4145AA91-0BCF-435F-B67E-3F1251A29142}">
      <dgm:prSet phldrT="[Text]" phldr="0"/>
      <dgm:spPr/>
      <dgm:t>
        <a:bodyPr/>
        <a:lstStyle/>
        <a:p>
          <a:r>
            <a:rPr lang="he-IL" dirty="0"/>
            <a:t>ייצוא נתונים</a:t>
          </a:r>
          <a:endParaRPr lang="en-IL" dirty="0"/>
        </a:p>
      </dgm:t>
    </dgm:pt>
    <dgm:pt modelId="{5876AD3B-6793-4CC9-9954-A9477A41399D}" type="parTrans" cxnId="{A245E26B-A1E0-4B0A-9B67-676341CB775E}">
      <dgm:prSet/>
      <dgm:spPr/>
      <dgm:t>
        <a:bodyPr/>
        <a:lstStyle/>
        <a:p>
          <a:endParaRPr lang="en-IL"/>
        </a:p>
      </dgm:t>
    </dgm:pt>
    <dgm:pt modelId="{7D71BF83-4F2F-450A-9F5A-EB3E26FCAE62}" type="sibTrans" cxnId="{A245E26B-A1E0-4B0A-9B67-676341CB775E}">
      <dgm:prSet/>
      <dgm:spPr/>
      <dgm:t>
        <a:bodyPr/>
        <a:lstStyle/>
        <a:p>
          <a:endParaRPr lang="en-IL"/>
        </a:p>
      </dgm:t>
    </dgm:pt>
    <dgm:pt modelId="{DB703527-E6FB-4EAF-B855-49798D9FA40F}">
      <dgm:prSet phldrT="[Text]" phldr="0"/>
      <dgm:spPr/>
      <dgm:t>
        <a:bodyPr/>
        <a:lstStyle/>
        <a:p>
          <a:r>
            <a:rPr lang="he-IL" dirty="0"/>
            <a:t>הגדרת שם תרחיש לפי טבלה</a:t>
          </a:r>
          <a:endParaRPr lang="en-IL" dirty="0"/>
        </a:p>
      </dgm:t>
    </dgm:pt>
    <dgm:pt modelId="{BA5E8ACC-8C5C-49EA-A6AD-B0B99FC5AB15}" type="parTrans" cxnId="{ED2F78F0-2A85-407F-B9EA-1E0A53FC3D99}">
      <dgm:prSet/>
      <dgm:spPr/>
      <dgm:t>
        <a:bodyPr/>
        <a:lstStyle/>
        <a:p>
          <a:endParaRPr lang="en-IL"/>
        </a:p>
      </dgm:t>
    </dgm:pt>
    <dgm:pt modelId="{EF21369B-6626-45BC-8880-EB4D8B6DE625}" type="sibTrans" cxnId="{ED2F78F0-2A85-407F-B9EA-1E0A53FC3D99}">
      <dgm:prSet/>
      <dgm:spPr/>
      <dgm:t>
        <a:bodyPr/>
        <a:lstStyle/>
        <a:p>
          <a:endParaRPr lang="en-IL"/>
        </a:p>
      </dgm:t>
    </dgm:pt>
    <dgm:pt modelId="{A18B8BFD-31CC-4990-9DC9-4F3339E8DF16}">
      <dgm:prSet phldrT="[Text]" phldr="0"/>
      <dgm:spPr/>
      <dgm:t>
        <a:bodyPr/>
        <a:lstStyle/>
        <a:p>
          <a:r>
            <a:rPr lang="he-IL" dirty="0"/>
            <a:t>דרישות לפי טבלה</a:t>
          </a:r>
          <a:endParaRPr lang="en-IL" dirty="0"/>
        </a:p>
      </dgm:t>
    </dgm:pt>
    <dgm:pt modelId="{10041F91-503E-4EB0-912D-D7DE58FCCBA9}" type="parTrans" cxnId="{0C8081EE-5B76-479B-8E1C-31D3796FA7C2}">
      <dgm:prSet/>
      <dgm:spPr/>
      <dgm:t>
        <a:bodyPr/>
        <a:lstStyle/>
        <a:p>
          <a:endParaRPr lang="en-IL"/>
        </a:p>
      </dgm:t>
    </dgm:pt>
    <dgm:pt modelId="{CFC21BDA-BC16-4930-B47A-2193A18725AF}" type="sibTrans" cxnId="{0C8081EE-5B76-479B-8E1C-31D3796FA7C2}">
      <dgm:prSet/>
      <dgm:spPr/>
      <dgm:t>
        <a:bodyPr/>
        <a:lstStyle/>
        <a:p>
          <a:endParaRPr lang="en-IL"/>
        </a:p>
      </dgm:t>
    </dgm:pt>
    <dgm:pt modelId="{825C7209-B987-4536-8B52-330F0D3BC62E}">
      <dgm:prSet phldrT="[Text]" phldr="0"/>
      <dgm:spPr/>
      <dgm:t>
        <a:bodyPr/>
        <a:lstStyle/>
        <a:p>
          <a:r>
            <a:rPr lang="he-IL"/>
            <a:t>ייצוא</a:t>
          </a:r>
          <a:endParaRPr lang="en-IL" dirty="0"/>
        </a:p>
      </dgm:t>
    </dgm:pt>
    <dgm:pt modelId="{0C640858-B78D-4489-ABEF-C896D4ED135E}" type="parTrans" cxnId="{225D2BF7-E692-4DFD-8104-FE0F0D0B682A}">
      <dgm:prSet/>
      <dgm:spPr/>
      <dgm:t>
        <a:bodyPr/>
        <a:lstStyle/>
        <a:p>
          <a:endParaRPr lang="en-IL"/>
        </a:p>
      </dgm:t>
    </dgm:pt>
    <dgm:pt modelId="{C2F6F3C4-9FE6-41A1-93BF-27391B7B76FB}" type="sibTrans" cxnId="{225D2BF7-E692-4DFD-8104-FE0F0D0B682A}">
      <dgm:prSet/>
      <dgm:spPr/>
      <dgm:t>
        <a:bodyPr/>
        <a:lstStyle/>
        <a:p>
          <a:endParaRPr lang="en-IL"/>
        </a:p>
      </dgm:t>
    </dgm:pt>
    <dgm:pt modelId="{7FAF9A3B-0AF5-4F47-A28C-D78716D2B2B4}">
      <dgm:prSet phldrT="[Text]" phldr="0"/>
      <dgm:spPr/>
      <dgm:t>
        <a:bodyPr/>
        <a:lstStyle/>
        <a:p>
          <a:r>
            <a:rPr lang="he-IL" dirty="0"/>
            <a:t>סידור תגיות ותרחיש</a:t>
          </a:r>
          <a:endParaRPr lang="en-IL" dirty="0"/>
        </a:p>
      </dgm:t>
    </dgm:pt>
    <dgm:pt modelId="{60104B6A-E097-4279-9D22-CA6BE1E6B076}" type="sibTrans" cxnId="{7CB776B6-A490-429F-983A-F4E44D70DF78}">
      <dgm:prSet/>
      <dgm:spPr/>
      <dgm:t>
        <a:bodyPr/>
        <a:lstStyle/>
        <a:p>
          <a:endParaRPr lang="en-IL"/>
        </a:p>
      </dgm:t>
    </dgm:pt>
    <dgm:pt modelId="{C763C10B-3813-4FFC-BFAB-4AD6CB4B2B8D}" type="parTrans" cxnId="{7CB776B6-A490-429F-983A-F4E44D70DF78}">
      <dgm:prSet/>
      <dgm:spPr/>
      <dgm:t>
        <a:bodyPr/>
        <a:lstStyle/>
        <a:p>
          <a:endParaRPr lang="en-IL"/>
        </a:p>
      </dgm:t>
    </dgm:pt>
    <dgm:pt modelId="{14645F49-A8FC-4BA2-A368-F4D7263FDBCF}" type="pres">
      <dgm:prSet presAssocID="{8AAE8098-A6E5-406A-8B54-3189A1439D65}" presName="Name0" presStyleCnt="0">
        <dgm:presLayoutVars>
          <dgm:dir/>
          <dgm:animLvl val="lvl"/>
          <dgm:resizeHandles val="exact"/>
        </dgm:presLayoutVars>
      </dgm:prSet>
      <dgm:spPr/>
    </dgm:pt>
    <dgm:pt modelId="{6694E2BE-B74F-4894-8C94-3147DB1201A6}" type="pres">
      <dgm:prSet presAssocID="{825C7209-B987-4536-8B52-330F0D3BC62E}" presName="boxAndChildren" presStyleCnt="0"/>
      <dgm:spPr/>
    </dgm:pt>
    <dgm:pt modelId="{1EBAAC7B-CE94-46DA-8779-60D3FCB3DAD5}" type="pres">
      <dgm:prSet presAssocID="{825C7209-B987-4536-8B52-330F0D3BC62E}" presName="parentTextBox" presStyleLbl="node1" presStyleIdx="0" presStyleCnt="11"/>
      <dgm:spPr/>
    </dgm:pt>
    <dgm:pt modelId="{A78CDFFD-B9A0-4266-9C84-B21088EFA524}" type="pres">
      <dgm:prSet presAssocID="{CFC21BDA-BC16-4930-B47A-2193A18725AF}" presName="sp" presStyleCnt="0"/>
      <dgm:spPr/>
    </dgm:pt>
    <dgm:pt modelId="{D9228701-F9DF-4A90-8F31-9A40D9B31E2B}" type="pres">
      <dgm:prSet presAssocID="{A18B8BFD-31CC-4990-9DC9-4F3339E8DF16}" presName="arrowAndChildren" presStyleCnt="0"/>
      <dgm:spPr/>
    </dgm:pt>
    <dgm:pt modelId="{044A0A66-598D-467D-AAF5-20DB6D1BCB6B}" type="pres">
      <dgm:prSet presAssocID="{A18B8BFD-31CC-4990-9DC9-4F3339E8DF16}" presName="parentTextArrow" presStyleLbl="node1" presStyleIdx="1" presStyleCnt="11"/>
      <dgm:spPr/>
    </dgm:pt>
    <dgm:pt modelId="{381474BD-9D7A-4C2F-B568-B019D4344E79}" type="pres">
      <dgm:prSet presAssocID="{EF21369B-6626-45BC-8880-EB4D8B6DE625}" presName="sp" presStyleCnt="0"/>
      <dgm:spPr/>
    </dgm:pt>
    <dgm:pt modelId="{51F41D10-A2DB-4FCC-9A51-5C73C105DF7C}" type="pres">
      <dgm:prSet presAssocID="{DB703527-E6FB-4EAF-B855-49798D9FA40F}" presName="arrowAndChildren" presStyleCnt="0"/>
      <dgm:spPr/>
    </dgm:pt>
    <dgm:pt modelId="{FA876FCC-8BA6-4724-92DB-FCD9862B30A2}" type="pres">
      <dgm:prSet presAssocID="{DB703527-E6FB-4EAF-B855-49798D9FA40F}" presName="parentTextArrow" presStyleLbl="node1" presStyleIdx="2" presStyleCnt="11"/>
      <dgm:spPr/>
    </dgm:pt>
    <dgm:pt modelId="{789D803F-1F14-455F-A889-CECE56F1D404}" type="pres">
      <dgm:prSet presAssocID="{7D71BF83-4F2F-450A-9F5A-EB3E26FCAE62}" presName="sp" presStyleCnt="0"/>
      <dgm:spPr/>
    </dgm:pt>
    <dgm:pt modelId="{C918A137-652E-4B3B-BAE1-8527EBBFD198}" type="pres">
      <dgm:prSet presAssocID="{4145AA91-0BCF-435F-B67E-3F1251A29142}" presName="arrowAndChildren" presStyleCnt="0"/>
      <dgm:spPr/>
    </dgm:pt>
    <dgm:pt modelId="{8FF8DF5B-E1AA-4A03-98C3-318F9A2AEB49}" type="pres">
      <dgm:prSet presAssocID="{4145AA91-0BCF-435F-B67E-3F1251A29142}" presName="parentTextArrow" presStyleLbl="node1" presStyleIdx="3" presStyleCnt="11"/>
      <dgm:spPr/>
    </dgm:pt>
    <dgm:pt modelId="{AAD8042B-47A7-4870-B17C-30634C6AD0EC}" type="pres">
      <dgm:prSet presAssocID="{60104B6A-E097-4279-9D22-CA6BE1E6B076}" presName="sp" presStyleCnt="0"/>
      <dgm:spPr/>
    </dgm:pt>
    <dgm:pt modelId="{7AABCEBC-DD43-4FFF-9657-431025D98494}" type="pres">
      <dgm:prSet presAssocID="{7FAF9A3B-0AF5-4F47-A28C-D78716D2B2B4}" presName="arrowAndChildren" presStyleCnt="0"/>
      <dgm:spPr/>
    </dgm:pt>
    <dgm:pt modelId="{0C568B1C-9B24-449B-9841-E7F92E6171A0}" type="pres">
      <dgm:prSet presAssocID="{7FAF9A3B-0AF5-4F47-A28C-D78716D2B2B4}" presName="parentTextArrow" presStyleLbl="node1" presStyleIdx="4" presStyleCnt="11"/>
      <dgm:spPr/>
    </dgm:pt>
    <dgm:pt modelId="{AAC1B0DF-D920-4677-B930-D14BD0446FF9}" type="pres">
      <dgm:prSet presAssocID="{6F96A569-7413-4F5B-8C21-57E01461865F}" presName="sp" presStyleCnt="0"/>
      <dgm:spPr/>
    </dgm:pt>
    <dgm:pt modelId="{7ED19E3D-7B39-4098-BFC8-C0A64E9177C6}" type="pres">
      <dgm:prSet presAssocID="{EDD01157-AB5F-4B6E-841F-B02E4F569676}" presName="arrowAndChildren" presStyleCnt="0"/>
      <dgm:spPr/>
    </dgm:pt>
    <dgm:pt modelId="{A7627DE7-F042-4301-8337-93B2CA9ADA1B}" type="pres">
      <dgm:prSet presAssocID="{EDD01157-AB5F-4B6E-841F-B02E4F569676}" presName="parentTextArrow" presStyleLbl="node1" presStyleIdx="5" presStyleCnt="11"/>
      <dgm:spPr/>
    </dgm:pt>
    <dgm:pt modelId="{7CD54604-A484-4C1C-9569-912BB8F89C56}" type="pres">
      <dgm:prSet presAssocID="{4A79F7A9-DE2C-43F9-873B-275A7EAF403A}" presName="sp" presStyleCnt="0"/>
      <dgm:spPr/>
    </dgm:pt>
    <dgm:pt modelId="{9A4C5279-F0E1-41B9-999E-571A3903B23D}" type="pres">
      <dgm:prSet presAssocID="{19EE6D24-7A3E-45EA-B508-C1B1860213CF}" presName="arrowAndChildren" presStyleCnt="0"/>
      <dgm:spPr/>
    </dgm:pt>
    <dgm:pt modelId="{FA8DEC6F-7CFC-4E50-B80F-CC4A9944687E}" type="pres">
      <dgm:prSet presAssocID="{19EE6D24-7A3E-45EA-B508-C1B1860213CF}" presName="parentTextArrow" presStyleLbl="node1" presStyleIdx="6" presStyleCnt="11"/>
      <dgm:spPr/>
    </dgm:pt>
    <dgm:pt modelId="{3AFACE50-F30D-452C-A7F0-2FC6B2F27EBD}" type="pres">
      <dgm:prSet presAssocID="{A1A565F0-F70D-4CD9-A935-DD90B287EB0D}" presName="sp" presStyleCnt="0"/>
      <dgm:spPr/>
    </dgm:pt>
    <dgm:pt modelId="{4293CB8A-2529-449E-ACA6-3252C3F60828}" type="pres">
      <dgm:prSet presAssocID="{A594ECB0-4D89-4EED-87C7-51AE9ABCEB0A}" presName="arrowAndChildren" presStyleCnt="0"/>
      <dgm:spPr/>
    </dgm:pt>
    <dgm:pt modelId="{A9C3FC8B-0646-485A-AEE1-657F6EF78EAF}" type="pres">
      <dgm:prSet presAssocID="{A594ECB0-4D89-4EED-87C7-51AE9ABCEB0A}" presName="parentTextArrow" presStyleLbl="node1" presStyleIdx="7" presStyleCnt="11"/>
      <dgm:spPr/>
    </dgm:pt>
    <dgm:pt modelId="{99B31705-1612-41C7-A05D-DD1389538267}" type="pres">
      <dgm:prSet presAssocID="{80096AE2-DC61-4E58-A95B-00C5BD550D46}" presName="sp" presStyleCnt="0"/>
      <dgm:spPr/>
    </dgm:pt>
    <dgm:pt modelId="{B3365283-55E3-4362-AB3C-54256D5F481B}" type="pres">
      <dgm:prSet presAssocID="{82EA28E5-3D00-4ADD-99DA-109DFCCF3B7E}" presName="arrowAndChildren" presStyleCnt="0"/>
      <dgm:spPr/>
    </dgm:pt>
    <dgm:pt modelId="{327BE2A6-F1F7-49D5-BA56-831BB99563C4}" type="pres">
      <dgm:prSet presAssocID="{82EA28E5-3D00-4ADD-99DA-109DFCCF3B7E}" presName="parentTextArrow" presStyleLbl="node1" presStyleIdx="8" presStyleCnt="11"/>
      <dgm:spPr/>
    </dgm:pt>
    <dgm:pt modelId="{B8C1AC2C-2274-4B1D-88E9-E9B29E1E6B43}" type="pres">
      <dgm:prSet presAssocID="{01E8AD6C-F85F-458E-B409-5B1599767CC7}" presName="sp" presStyleCnt="0"/>
      <dgm:spPr/>
    </dgm:pt>
    <dgm:pt modelId="{94677F34-C8A3-45EA-A66F-68CB4E3371E2}" type="pres">
      <dgm:prSet presAssocID="{CCB0242F-1AA8-4BA3-94B2-9DF6B0470D95}" presName="arrowAndChildren" presStyleCnt="0"/>
      <dgm:spPr/>
    </dgm:pt>
    <dgm:pt modelId="{B10A3DE6-878C-416B-8E2C-38CDD56CC391}" type="pres">
      <dgm:prSet presAssocID="{CCB0242F-1AA8-4BA3-94B2-9DF6B0470D95}" presName="parentTextArrow" presStyleLbl="node1" presStyleIdx="9" presStyleCnt="11"/>
      <dgm:spPr/>
    </dgm:pt>
    <dgm:pt modelId="{6B97D71F-DE8B-4FD0-B727-B93D24E2507B}" type="pres">
      <dgm:prSet presAssocID="{A3208AF0-22B4-4E55-9B53-8D61461667DB}" presName="sp" presStyleCnt="0"/>
      <dgm:spPr/>
    </dgm:pt>
    <dgm:pt modelId="{9CF736FC-66B9-42FC-A753-1295474767FF}" type="pres">
      <dgm:prSet presAssocID="{92A33B82-3ED1-48B4-9740-523B72B0AC57}" presName="arrowAndChildren" presStyleCnt="0"/>
      <dgm:spPr/>
    </dgm:pt>
    <dgm:pt modelId="{F3C0A382-A9CA-4CD5-B92C-81FB9A5E441B}" type="pres">
      <dgm:prSet presAssocID="{92A33B82-3ED1-48B4-9740-523B72B0AC57}" presName="parentTextArrow" presStyleLbl="node1" presStyleIdx="10" presStyleCnt="11"/>
      <dgm:spPr/>
    </dgm:pt>
  </dgm:ptLst>
  <dgm:cxnLst>
    <dgm:cxn modelId="{06F8C501-9692-4F5D-9CB8-573E328304D7}" srcId="{8AAE8098-A6E5-406A-8B54-3189A1439D65}" destId="{82EA28E5-3D00-4ADD-99DA-109DFCCF3B7E}" srcOrd="2" destOrd="0" parTransId="{65D4F9AC-C942-4B6D-935B-34AF202FCDC3}" sibTransId="{80096AE2-DC61-4E58-A95B-00C5BD550D46}"/>
    <dgm:cxn modelId="{9AC14606-D257-4C8A-B7E8-AEE1D6BE2D72}" srcId="{8AAE8098-A6E5-406A-8B54-3189A1439D65}" destId="{92A33B82-3ED1-48B4-9740-523B72B0AC57}" srcOrd="0" destOrd="0" parTransId="{38F53C3C-FD81-4D96-872D-E53355A76BE9}" sibTransId="{A3208AF0-22B4-4E55-9B53-8D61461667DB}"/>
    <dgm:cxn modelId="{5DC48112-1767-4B3E-9238-4EDAB34A79D7}" type="presOf" srcId="{A18B8BFD-31CC-4990-9DC9-4F3339E8DF16}" destId="{044A0A66-598D-467D-AAF5-20DB6D1BCB6B}" srcOrd="0" destOrd="0" presId="urn:microsoft.com/office/officeart/2005/8/layout/process4"/>
    <dgm:cxn modelId="{E9F5491B-069F-470A-B575-E78EDB193ED2}" type="presOf" srcId="{82EA28E5-3D00-4ADD-99DA-109DFCCF3B7E}" destId="{327BE2A6-F1F7-49D5-BA56-831BB99563C4}" srcOrd="0" destOrd="0" presId="urn:microsoft.com/office/officeart/2005/8/layout/process4"/>
    <dgm:cxn modelId="{557EA01C-4C1A-4BAE-AAD2-59684243D345}" srcId="{8AAE8098-A6E5-406A-8B54-3189A1439D65}" destId="{EDD01157-AB5F-4B6E-841F-B02E4F569676}" srcOrd="5" destOrd="0" parTransId="{68353047-C923-4774-A4B2-7A9798F711C4}" sibTransId="{6F96A569-7413-4F5B-8C21-57E01461865F}"/>
    <dgm:cxn modelId="{F926A622-6907-4164-858F-A50DC35F1690}" type="presOf" srcId="{A594ECB0-4D89-4EED-87C7-51AE9ABCEB0A}" destId="{A9C3FC8B-0646-485A-AEE1-657F6EF78EAF}" srcOrd="0" destOrd="0" presId="urn:microsoft.com/office/officeart/2005/8/layout/process4"/>
    <dgm:cxn modelId="{1E8D8D32-5D86-4A05-864B-81F04B6ED7F7}" type="presOf" srcId="{19EE6D24-7A3E-45EA-B508-C1B1860213CF}" destId="{FA8DEC6F-7CFC-4E50-B80F-CC4A9944687E}" srcOrd="0" destOrd="0" presId="urn:microsoft.com/office/officeart/2005/8/layout/process4"/>
    <dgm:cxn modelId="{F6EDB245-D759-4D92-9E39-CA195081AF49}" type="presOf" srcId="{4145AA91-0BCF-435F-B67E-3F1251A29142}" destId="{8FF8DF5B-E1AA-4A03-98C3-318F9A2AEB49}" srcOrd="0" destOrd="0" presId="urn:microsoft.com/office/officeart/2005/8/layout/process4"/>
    <dgm:cxn modelId="{A245E26B-A1E0-4B0A-9B67-676341CB775E}" srcId="{8AAE8098-A6E5-406A-8B54-3189A1439D65}" destId="{4145AA91-0BCF-435F-B67E-3F1251A29142}" srcOrd="7" destOrd="0" parTransId="{5876AD3B-6793-4CC9-9954-A9477A41399D}" sibTransId="{7D71BF83-4F2F-450A-9F5A-EB3E26FCAE62}"/>
    <dgm:cxn modelId="{5D849E56-6359-4842-8D6C-B7281DB93F08}" type="presOf" srcId="{8AAE8098-A6E5-406A-8B54-3189A1439D65}" destId="{14645F49-A8FC-4BA2-A368-F4D7263FDBCF}" srcOrd="0" destOrd="0" presId="urn:microsoft.com/office/officeart/2005/8/layout/process4"/>
    <dgm:cxn modelId="{2BD82B83-448E-4F30-B2D3-2671FB11B4AF}" srcId="{8AAE8098-A6E5-406A-8B54-3189A1439D65}" destId="{CCB0242F-1AA8-4BA3-94B2-9DF6B0470D95}" srcOrd="1" destOrd="0" parTransId="{76455AFD-C1A2-411A-ACF3-AC2BAF503043}" sibTransId="{01E8AD6C-F85F-458E-B409-5B1599767CC7}"/>
    <dgm:cxn modelId="{BED2D593-AE9A-4D06-932B-AA43085CEF61}" type="presOf" srcId="{CCB0242F-1AA8-4BA3-94B2-9DF6B0470D95}" destId="{B10A3DE6-878C-416B-8E2C-38CDD56CC391}" srcOrd="0" destOrd="0" presId="urn:microsoft.com/office/officeart/2005/8/layout/process4"/>
    <dgm:cxn modelId="{9752219C-37CB-4BB2-B28A-2415F30630B8}" srcId="{8AAE8098-A6E5-406A-8B54-3189A1439D65}" destId="{19EE6D24-7A3E-45EA-B508-C1B1860213CF}" srcOrd="4" destOrd="0" parTransId="{C772D8E2-C966-4E5B-93D5-47F52E002DFF}" sibTransId="{4A79F7A9-DE2C-43F9-873B-275A7EAF403A}"/>
    <dgm:cxn modelId="{7CB776B6-A490-429F-983A-F4E44D70DF78}" srcId="{8AAE8098-A6E5-406A-8B54-3189A1439D65}" destId="{7FAF9A3B-0AF5-4F47-A28C-D78716D2B2B4}" srcOrd="6" destOrd="0" parTransId="{C763C10B-3813-4FFC-BFAB-4AD6CB4B2B8D}" sibTransId="{60104B6A-E097-4279-9D22-CA6BE1E6B076}"/>
    <dgm:cxn modelId="{309750BE-D0DD-48F1-A770-B4209840B25C}" type="presOf" srcId="{92A33B82-3ED1-48B4-9740-523B72B0AC57}" destId="{F3C0A382-A9CA-4CD5-B92C-81FB9A5E441B}" srcOrd="0" destOrd="0" presId="urn:microsoft.com/office/officeart/2005/8/layout/process4"/>
    <dgm:cxn modelId="{97313CC0-2580-475A-ADAD-9797706F3A67}" type="presOf" srcId="{DB703527-E6FB-4EAF-B855-49798D9FA40F}" destId="{FA876FCC-8BA6-4724-92DB-FCD9862B30A2}" srcOrd="0" destOrd="0" presId="urn:microsoft.com/office/officeart/2005/8/layout/process4"/>
    <dgm:cxn modelId="{4F29B5C6-E5B7-4187-B673-942CBC8367FE}" type="presOf" srcId="{825C7209-B987-4536-8B52-330F0D3BC62E}" destId="{1EBAAC7B-CE94-46DA-8779-60D3FCB3DAD5}" srcOrd="0" destOrd="0" presId="urn:microsoft.com/office/officeart/2005/8/layout/process4"/>
    <dgm:cxn modelId="{CFC6C7CB-FE3A-4557-AE51-E068274FFF95}" type="presOf" srcId="{7FAF9A3B-0AF5-4F47-A28C-D78716D2B2B4}" destId="{0C568B1C-9B24-449B-9841-E7F92E6171A0}" srcOrd="0" destOrd="0" presId="urn:microsoft.com/office/officeart/2005/8/layout/process4"/>
    <dgm:cxn modelId="{3AD498DB-AC3B-4E97-82A9-B74C46487240}" srcId="{8AAE8098-A6E5-406A-8B54-3189A1439D65}" destId="{A594ECB0-4D89-4EED-87C7-51AE9ABCEB0A}" srcOrd="3" destOrd="0" parTransId="{AD3B9395-DA8E-40A6-8D45-65AE0CE09A28}" sibTransId="{A1A565F0-F70D-4CD9-A935-DD90B287EB0D}"/>
    <dgm:cxn modelId="{0C8081EE-5B76-479B-8E1C-31D3796FA7C2}" srcId="{8AAE8098-A6E5-406A-8B54-3189A1439D65}" destId="{A18B8BFD-31CC-4990-9DC9-4F3339E8DF16}" srcOrd="9" destOrd="0" parTransId="{10041F91-503E-4EB0-912D-D7DE58FCCBA9}" sibTransId="{CFC21BDA-BC16-4930-B47A-2193A18725AF}"/>
    <dgm:cxn modelId="{ED2F78F0-2A85-407F-B9EA-1E0A53FC3D99}" srcId="{8AAE8098-A6E5-406A-8B54-3189A1439D65}" destId="{DB703527-E6FB-4EAF-B855-49798D9FA40F}" srcOrd="8" destOrd="0" parTransId="{BA5E8ACC-8C5C-49EA-A6AD-B0B99FC5AB15}" sibTransId="{EF21369B-6626-45BC-8880-EB4D8B6DE625}"/>
    <dgm:cxn modelId="{225D2BF7-E692-4DFD-8104-FE0F0D0B682A}" srcId="{8AAE8098-A6E5-406A-8B54-3189A1439D65}" destId="{825C7209-B987-4536-8B52-330F0D3BC62E}" srcOrd="10" destOrd="0" parTransId="{0C640858-B78D-4489-ABEF-C896D4ED135E}" sibTransId="{C2F6F3C4-9FE6-41A1-93BF-27391B7B76FB}"/>
    <dgm:cxn modelId="{B3E9A2FF-36CB-4650-8776-8B7349D6EA6A}" type="presOf" srcId="{EDD01157-AB5F-4B6E-841F-B02E4F569676}" destId="{A7627DE7-F042-4301-8337-93B2CA9ADA1B}" srcOrd="0" destOrd="0" presId="urn:microsoft.com/office/officeart/2005/8/layout/process4"/>
    <dgm:cxn modelId="{019039D6-295A-443B-A3E4-A3394BC8D840}" type="presParOf" srcId="{14645F49-A8FC-4BA2-A368-F4D7263FDBCF}" destId="{6694E2BE-B74F-4894-8C94-3147DB1201A6}" srcOrd="0" destOrd="0" presId="urn:microsoft.com/office/officeart/2005/8/layout/process4"/>
    <dgm:cxn modelId="{E28E89B9-E62B-4242-9AE7-87C6F82A73D4}" type="presParOf" srcId="{6694E2BE-B74F-4894-8C94-3147DB1201A6}" destId="{1EBAAC7B-CE94-46DA-8779-60D3FCB3DAD5}" srcOrd="0" destOrd="0" presId="urn:microsoft.com/office/officeart/2005/8/layout/process4"/>
    <dgm:cxn modelId="{03574065-83A4-4052-A955-E4D7F4FA293D}" type="presParOf" srcId="{14645F49-A8FC-4BA2-A368-F4D7263FDBCF}" destId="{A78CDFFD-B9A0-4266-9C84-B21088EFA524}" srcOrd="1" destOrd="0" presId="urn:microsoft.com/office/officeart/2005/8/layout/process4"/>
    <dgm:cxn modelId="{A304D289-8D83-40E2-8576-39F9152A19F7}" type="presParOf" srcId="{14645F49-A8FC-4BA2-A368-F4D7263FDBCF}" destId="{D9228701-F9DF-4A90-8F31-9A40D9B31E2B}" srcOrd="2" destOrd="0" presId="urn:microsoft.com/office/officeart/2005/8/layout/process4"/>
    <dgm:cxn modelId="{AF71E7CA-9EBC-4BB9-8DBE-EDFCEE213047}" type="presParOf" srcId="{D9228701-F9DF-4A90-8F31-9A40D9B31E2B}" destId="{044A0A66-598D-467D-AAF5-20DB6D1BCB6B}" srcOrd="0" destOrd="0" presId="urn:microsoft.com/office/officeart/2005/8/layout/process4"/>
    <dgm:cxn modelId="{95CD1BB1-FAD0-4563-B7CF-3D80A90CED3A}" type="presParOf" srcId="{14645F49-A8FC-4BA2-A368-F4D7263FDBCF}" destId="{381474BD-9D7A-4C2F-B568-B019D4344E79}" srcOrd="3" destOrd="0" presId="urn:microsoft.com/office/officeart/2005/8/layout/process4"/>
    <dgm:cxn modelId="{9B149B32-D6F1-4D8F-98E5-45FE8749DD4A}" type="presParOf" srcId="{14645F49-A8FC-4BA2-A368-F4D7263FDBCF}" destId="{51F41D10-A2DB-4FCC-9A51-5C73C105DF7C}" srcOrd="4" destOrd="0" presId="urn:microsoft.com/office/officeart/2005/8/layout/process4"/>
    <dgm:cxn modelId="{2415EE72-1A2A-4364-99CF-F7A3FFB2AD17}" type="presParOf" srcId="{51F41D10-A2DB-4FCC-9A51-5C73C105DF7C}" destId="{FA876FCC-8BA6-4724-92DB-FCD9862B30A2}" srcOrd="0" destOrd="0" presId="urn:microsoft.com/office/officeart/2005/8/layout/process4"/>
    <dgm:cxn modelId="{BA8B6043-2F33-4C0F-8A41-3245841AFD8B}" type="presParOf" srcId="{14645F49-A8FC-4BA2-A368-F4D7263FDBCF}" destId="{789D803F-1F14-455F-A889-CECE56F1D404}" srcOrd="5" destOrd="0" presId="urn:microsoft.com/office/officeart/2005/8/layout/process4"/>
    <dgm:cxn modelId="{32CFD259-A0C7-4C24-8D73-D22238253984}" type="presParOf" srcId="{14645F49-A8FC-4BA2-A368-F4D7263FDBCF}" destId="{C918A137-652E-4B3B-BAE1-8527EBBFD198}" srcOrd="6" destOrd="0" presId="urn:microsoft.com/office/officeart/2005/8/layout/process4"/>
    <dgm:cxn modelId="{084F778E-993E-4335-94FA-A0CCCC0869DC}" type="presParOf" srcId="{C918A137-652E-4B3B-BAE1-8527EBBFD198}" destId="{8FF8DF5B-E1AA-4A03-98C3-318F9A2AEB49}" srcOrd="0" destOrd="0" presId="urn:microsoft.com/office/officeart/2005/8/layout/process4"/>
    <dgm:cxn modelId="{69BDB224-15AB-44AA-9187-486599732864}" type="presParOf" srcId="{14645F49-A8FC-4BA2-A368-F4D7263FDBCF}" destId="{AAD8042B-47A7-4870-B17C-30634C6AD0EC}" srcOrd="7" destOrd="0" presId="urn:microsoft.com/office/officeart/2005/8/layout/process4"/>
    <dgm:cxn modelId="{70E6BF84-1CAB-450F-9546-84E51B2E7404}" type="presParOf" srcId="{14645F49-A8FC-4BA2-A368-F4D7263FDBCF}" destId="{7AABCEBC-DD43-4FFF-9657-431025D98494}" srcOrd="8" destOrd="0" presId="urn:microsoft.com/office/officeart/2005/8/layout/process4"/>
    <dgm:cxn modelId="{02CEA4DA-FDFA-4B3E-9270-D74EC10E5CB4}" type="presParOf" srcId="{7AABCEBC-DD43-4FFF-9657-431025D98494}" destId="{0C568B1C-9B24-449B-9841-E7F92E6171A0}" srcOrd="0" destOrd="0" presId="urn:microsoft.com/office/officeart/2005/8/layout/process4"/>
    <dgm:cxn modelId="{CC292290-1156-4C66-815E-40862C9B8CC7}" type="presParOf" srcId="{14645F49-A8FC-4BA2-A368-F4D7263FDBCF}" destId="{AAC1B0DF-D920-4677-B930-D14BD0446FF9}" srcOrd="9" destOrd="0" presId="urn:microsoft.com/office/officeart/2005/8/layout/process4"/>
    <dgm:cxn modelId="{F1C8CB13-0DD4-424D-9A23-8399D31495E8}" type="presParOf" srcId="{14645F49-A8FC-4BA2-A368-F4D7263FDBCF}" destId="{7ED19E3D-7B39-4098-BFC8-C0A64E9177C6}" srcOrd="10" destOrd="0" presId="urn:microsoft.com/office/officeart/2005/8/layout/process4"/>
    <dgm:cxn modelId="{CBCC3F8C-4EA6-4F36-AB58-AECF445E3493}" type="presParOf" srcId="{7ED19E3D-7B39-4098-BFC8-C0A64E9177C6}" destId="{A7627DE7-F042-4301-8337-93B2CA9ADA1B}" srcOrd="0" destOrd="0" presId="urn:microsoft.com/office/officeart/2005/8/layout/process4"/>
    <dgm:cxn modelId="{2685CE56-1C63-4659-9F75-94827E93A3A9}" type="presParOf" srcId="{14645F49-A8FC-4BA2-A368-F4D7263FDBCF}" destId="{7CD54604-A484-4C1C-9569-912BB8F89C56}" srcOrd="11" destOrd="0" presId="urn:microsoft.com/office/officeart/2005/8/layout/process4"/>
    <dgm:cxn modelId="{9AB02B38-9A82-4BA8-AB34-25EB3216203D}" type="presParOf" srcId="{14645F49-A8FC-4BA2-A368-F4D7263FDBCF}" destId="{9A4C5279-F0E1-41B9-999E-571A3903B23D}" srcOrd="12" destOrd="0" presId="urn:microsoft.com/office/officeart/2005/8/layout/process4"/>
    <dgm:cxn modelId="{CE820D0E-956D-4A67-8E8A-075C49E92A54}" type="presParOf" srcId="{9A4C5279-F0E1-41B9-999E-571A3903B23D}" destId="{FA8DEC6F-7CFC-4E50-B80F-CC4A9944687E}" srcOrd="0" destOrd="0" presId="urn:microsoft.com/office/officeart/2005/8/layout/process4"/>
    <dgm:cxn modelId="{84B90BE0-9D95-43B5-8371-EFADFEF3B00F}" type="presParOf" srcId="{14645F49-A8FC-4BA2-A368-F4D7263FDBCF}" destId="{3AFACE50-F30D-452C-A7F0-2FC6B2F27EBD}" srcOrd="13" destOrd="0" presId="urn:microsoft.com/office/officeart/2005/8/layout/process4"/>
    <dgm:cxn modelId="{F5FB2AB8-A3A9-43D6-BBBF-C26D8C4B04FE}" type="presParOf" srcId="{14645F49-A8FC-4BA2-A368-F4D7263FDBCF}" destId="{4293CB8A-2529-449E-ACA6-3252C3F60828}" srcOrd="14" destOrd="0" presId="urn:microsoft.com/office/officeart/2005/8/layout/process4"/>
    <dgm:cxn modelId="{F5D7EA1E-7ADF-4032-BCC8-D6F8080A3AE6}" type="presParOf" srcId="{4293CB8A-2529-449E-ACA6-3252C3F60828}" destId="{A9C3FC8B-0646-485A-AEE1-657F6EF78EAF}" srcOrd="0" destOrd="0" presId="urn:microsoft.com/office/officeart/2005/8/layout/process4"/>
    <dgm:cxn modelId="{D31461E5-29E5-4101-9A59-B4E87F35BEC4}" type="presParOf" srcId="{14645F49-A8FC-4BA2-A368-F4D7263FDBCF}" destId="{99B31705-1612-41C7-A05D-DD1389538267}" srcOrd="15" destOrd="0" presId="urn:microsoft.com/office/officeart/2005/8/layout/process4"/>
    <dgm:cxn modelId="{651A1E62-C805-4892-829A-99B465F16DF4}" type="presParOf" srcId="{14645F49-A8FC-4BA2-A368-F4D7263FDBCF}" destId="{B3365283-55E3-4362-AB3C-54256D5F481B}" srcOrd="16" destOrd="0" presId="urn:microsoft.com/office/officeart/2005/8/layout/process4"/>
    <dgm:cxn modelId="{284D4F80-3364-4717-AEB1-B7BB78020715}" type="presParOf" srcId="{B3365283-55E3-4362-AB3C-54256D5F481B}" destId="{327BE2A6-F1F7-49D5-BA56-831BB99563C4}" srcOrd="0" destOrd="0" presId="urn:microsoft.com/office/officeart/2005/8/layout/process4"/>
    <dgm:cxn modelId="{EC05DDC6-E1E4-4B63-B930-53303E4A582A}" type="presParOf" srcId="{14645F49-A8FC-4BA2-A368-F4D7263FDBCF}" destId="{B8C1AC2C-2274-4B1D-88E9-E9B29E1E6B43}" srcOrd="17" destOrd="0" presId="urn:microsoft.com/office/officeart/2005/8/layout/process4"/>
    <dgm:cxn modelId="{0AC13386-0070-4216-A0AD-1C9367A61938}" type="presParOf" srcId="{14645F49-A8FC-4BA2-A368-F4D7263FDBCF}" destId="{94677F34-C8A3-45EA-A66F-68CB4E3371E2}" srcOrd="18" destOrd="0" presId="urn:microsoft.com/office/officeart/2005/8/layout/process4"/>
    <dgm:cxn modelId="{123D13E6-5F43-4D46-AAA6-9ACCFB70FDE4}" type="presParOf" srcId="{94677F34-C8A3-45EA-A66F-68CB4E3371E2}" destId="{B10A3DE6-878C-416B-8E2C-38CDD56CC391}" srcOrd="0" destOrd="0" presId="urn:microsoft.com/office/officeart/2005/8/layout/process4"/>
    <dgm:cxn modelId="{D77069F5-D73B-4586-BBDD-D58434F74BFC}" type="presParOf" srcId="{14645F49-A8FC-4BA2-A368-F4D7263FDBCF}" destId="{6B97D71F-DE8B-4FD0-B727-B93D24E2507B}" srcOrd="19" destOrd="0" presId="urn:microsoft.com/office/officeart/2005/8/layout/process4"/>
    <dgm:cxn modelId="{26E35F1C-8217-4347-9405-52252CEC404C}" type="presParOf" srcId="{14645F49-A8FC-4BA2-A368-F4D7263FDBCF}" destId="{9CF736FC-66B9-42FC-A753-1295474767FF}" srcOrd="20" destOrd="0" presId="urn:microsoft.com/office/officeart/2005/8/layout/process4"/>
    <dgm:cxn modelId="{AC4627FC-299A-4014-965C-3D35DED3D400}" type="presParOf" srcId="{9CF736FC-66B9-42FC-A753-1295474767FF}" destId="{F3C0A382-A9CA-4CD5-B92C-81FB9A5E441B}" srcOrd="0" destOrd="0" presId="urn:microsoft.com/office/officeart/2005/8/layout/process4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1EBAAC7B-CE94-46DA-8779-60D3FCB3DAD5}">
      <dsp:nvSpPr>
        <dsp:cNvPr id="0" name=""/>
        <dsp:cNvSpPr/>
      </dsp:nvSpPr>
      <dsp:spPr>
        <a:xfrm>
          <a:off x="0" y="4646774"/>
          <a:ext cx="2162174" cy="305027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ייצוא</a:t>
          </a:r>
          <a:endParaRPr lang="en-IL" sz="1000" kern="1200" dirty="0"/>
        </a:p>
      </dsp:txBody>
      <dsp:txXfrm>
        <a:off x="0" y="4646774"/>
        <a:ext cx="2162174" cy="305027"/>
      </dsp:txXfrm>
    </dsp:sp>
    <dsp:sp modelId="{044A0A66-598D-467D-AAF5-20DB6D1BCB6B}">
      <dsp:nvSpPr>
        <dsp:cNvPr id="0" name=""/>
        <dsp:cNvSpPr/>
      </dsp:nvSpPr>
      <dsp:spPr>
        <a:xfrm rot="10800000">
          <a:off x="0" y="4182216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דרישות לפי טבלה</a:t>
          </a:r>
          <a:endParaRPr lang="en-IL" sz="1000" kern="1200" dirty="0"/>
        </a:p>
      </dsp:txBody>
      <dsp:txXfrm rot="10800000">
        <a:off x="0" y="4182216"/>
        <a:ext cx="2162174" cy="304828"/>
      </dsp:txXfrm>
    </dsp:sp>
    <dsp:sp modelId="{FA876FCC-8BA6-4724-92DB-FCD9862B30A2}">
      <dsp:nvSpPr>
        <dsp:cNvPr id="0" name=""/>
        <dsp:cNvSpPr/>
      </dsp:nvSpPr>
      <dsp:spPr>
        <a:xfrm rot="10800000">
          <a:off x="0" y="3717659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הגדרת שם תרחיש לפי טבלה</a:t>
          </a:r>
          <a:endParaRPr lang="en-IL" sz="1000" kern="1200" dirty="0"/>
        </a:p>
      </dsp:txBody>
      <dsp:txXfrm rot="10800000">
        <a:off x="0" y="3717659"/>
        <a:ext cx="2162174" cy="304828"/>
      </dsp:txXfrm>
    </dsp:sp>
    <dsp:sp modelId="{8FF8DF5B-E1AA-4A03-98C3-318F9A2AEB49}">
      <dsp:nvSpPr>
        <dsp:cNvPr id="0" name=""/>
        <dsp:cNvSpPr/>
      </dsp:nvSpPr>
      <dsp:spPr>
        <a:xfrm rot="10800000">
          <a:off x="0" y="3253101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ייצוא נתונים</a:t>
          </a:r>
          <a:endParaRPr lang="en-IL" sz="1000" kern="1200" dirty="0"/>
        </a:p>
      </dsp:txBody>
      <dsp:txXfrm rot="10800000">
        <a:off x="0" y="3253101"/>
        <a:ext cx="2162174" cy="304828"/>
      </dsp:txXfrm>
    </dsp:sp>
    <dsp:sp modelId="{0C568B1C-9B24-449B-9841-E7F92E6171A0}">
      <dsp:nvSpPr>
        <dsp:cNvPr id="0" name=""/>
        <dsp:cNvSpPr/>
      </dsp:nvSpPr>
      <dsp:spPr>
        <a:xfrm rot="10800000">
          <a:off x="0" y="2788544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סידור תגיות ותרחיש</a:t>
          </a:r>
          <a:endParaRPr lang="en-IL" sz="1000" kern="1200" dirty="0"/>
        </a:p>
      </dsp:txBody>
      <dsp:txXfrm rot="10800000">
        <a:off x="0" y="2788544"/>
        <a:ext cx="2162174" cy="304828"/>
      </dsp:txXfrm>
    </dsp:sp>
    <dsp:sp modelId="{A7627DE7-F042-4301-8337-93B2CA9ADA1B}">
      <dsp:nvSpPr>
        <dsp:cNvPr id="0" name=""/>
        <dsp:cNvSpPr/>
      </dsp:nvSpPr>
      <dsp:spPr>
        <a:xfrm rot="10800000">
          <a:off x="0" y="2323986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הצגת תוצאות </a:t>
          </a:r>
          <a:r>
            <a:rPr lang="he-IL" sz="1000" kern="1200" dirty="0" err="1"/>
            <a:t>וויזואליזציות</a:t>
          </a:r>
          <a:endParaRPr lang="en-IL" sz="1000" kern="1200" dirty="0"/>
        </a:p>
      </dsp:txBody>
      <dsp:txXfrm rot="10800000">
        <a:off x="0" y="2323986"/>
        <a:ext cx="2162174" cy="304828"/>
      </dsp:txXfrm>
    </dsp:sp>
    <dsp:sp modelId="{FA8DEC6F-7CFC-4E50-B80F-CC4A9944687E}">
      <dsp:nvSpPr>
        <dsp:cNvPr id="0" name=""/>
        <dsp:cNvSpPr/>
      </dsp:nvSpPr>
      <dsp:spPr>
        <a:xfrm rot="10800000">
          <a:off x="0" y="1859428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בחירת מטלה לפי הטבלה</a:t>
          </a:r>
          <a:endParaRPr lang="en-IL" sz="1000" kern="1200" dirty="0"/>
        </a:p>
      </dsp:txBody>
      <dsp:txXfrm rot="10800000">
        <a:off x="0" y="1859428"/>
        <a:ext cx="2162174" cy="304828"/>
      </dsp:txXfrm>
    </dsp:sp>
    <dsp:sp modelId="{A9C3FC8B-0646-485A-AEE1-657F6EF78EAF}">
      <dsp:nvSpPr>
        <dsp:cNvPr id="0" name=""/>
        <dsp:cNvSpPr/>
      </dsp:nvSpPr>
      <dsp:spPr>
        <a:xfrm rot="10800000">
          <a:off x="0" y="1394871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הוספת ישויות</a:t>
          </a:r>
          <a:endParaRPr lang="en-IL" sz="1000" kern="1200" dirty="0"/>
        </a:p>
      </dsp:txBody>
      <dsp:txXfrm rot="10800000">
        <a:off x="0" y="1394871"/>
        <a:ext cx="2162174" cy="304828"/>
      </dsp:txXfrm>
    </dsp:sp>
    <dsp:sp modelId="{327BE2A6-F1F7-49D5-BA56-831BB99563C4}">
      <dsp:nvSpPr>
        <dsp:cNvPr id="0" name=""/>
        <dsp:cNvSpPr/>
      </dsp:nvSpPr>
      <dsp:spPr>
        <a:xfrm rot="10800000">
          <a:off x="0" y="930313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עריכה</a:t>
          </a:r>
          <a:endParaRPr lang="en-IL" sz="1000" kern="1200" dirty="0"/>
        </a:p>
      </dsp:txBody>
      <dsp:txXfrm rot="10800000">
        <a:off x="0" y="930313"/>
        <a:ext cx="2162174" cy="304828"/>
      </dsp:txXfrm>
    </dsp:sp>
    <dsp:sp modelId="{B10A3DE6-878C-416B-8E2C-38CDD56CC391}">
      <dsp:nvSpPr>
        <dsp:cNvPr id="0" name=""/>
        <dsp:cNvSpPr/>
      </dsp:nvSpPr>
      <dsp:spPr>
        <a:xfrm rot="10800000">
          <a:off x="0" y="465756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חישוב</a:t>
          </a:r>
          <a:endParaRPr lang="en-IL" sz="1000" kern="1200" dirty="0"/>
        </a:p>
      </dsp:txBody>
      <dsp:txXfrm rot="10800000">
        <a:off x="0" y="465756"/>
        <a:ext cx="2162174" cy="304828"/>
      </dsp:txXfrm>
    </dsp:sp>
    <dsp:sp modelId="{F3C0A382-A9CA-4CD5-B92C-81FB9A5E441B}">
      <dsp:nvSpPr>
        <dsp:cNvPr id="0" name=""/>
        <dsp:cNvSpPr/>
      </dsp:nvSpPr>
      <dsp:spPr>
        <a:xfrm rot="10800000">
          <a:off x="0" y="1198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נקודת מוצא ויעד</a:t>
          </a:r>
          <a:endParaRPr lang="en-IL" sz="1000" kern="1200" dirty="0"/>
        </a:p>
      </dsp:txBody>
      <dsp:txXfrm rot="10800000">
        <a:off x="0" y="1198"/>
        <a:ext cx="2162174" cy="304828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process4">
  <dgm:title val=""/>
  <dgm:desc val=""/>
  <dgm:catLst>
    <dgm:cat type="process" pri="16000"/>
    <dgm:cat type="list" pri="20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animLvl val="lvl"/>
      <dgm:resizeHandles val="exact"/>
    </dgm:varLst>
    <dgm:alg type="lin">
      <dgm:param type="linDir" val="fromB"/>
    </dgm:alg>
    <dgm:shape xmlns:r="http://schemas.openxmlformats.org/officeDocument/2006/relationships" r:blip="">
      <dgm:adjLst/>
    </dgm:shape>
    <dgm:presOf/>
    <dgm:constrLst>
      <dgm:constr type="h" for="ch" forName="boxAndChildren" refType="h"/>
      <dgm:constr type="h" for="ch" forName="arrowAndChildren" refType="h" refFor="ch" refForName="boxAndChildren" op="equ" fact="1.538"/>
      <dgm:constr type="w" for="ch" forName="arrowAndChildren" refType="w"/>
      <dgm:constr type="w" for="ch" forName="boxAndChildren" refType="w"/>
      <dgm:constr type="h" for="ch" forName="sp" refType="h" fact="-0.015"/>
      <dgm:constr type="primFontSz" for="des" forName="parentTextBox" val="65"/>
      <dgm:constr type="primFontSz" for="des" forName="parentTextArrow" refType="primFontSz" refFor="des" refForName="parentTextBox" op="equ"/>
      <dgm:constr type="primFontSz" for="des" forName="childTextArrow" val="65"/>
      <dgm:constr type="primFontSz" for="des" forName="childTextBox" refType="primFontSz" refFor="des" refForName="childTextArrow" op="equ"/>
    </dgm:constrLst>
    <dgm:ruleLst/>
    <dgm:forEach name="Name1" axis="ch" ptType="node" st="-1" step="-1">
      <dgm:choose name="Name2">
        <dgm:if name="Name3" axis="self" ptType="node" func="revPos" op="equ" val="1">
          <dgm:layoutNode name="boxAndChildren">
            <dgm:alg type="composite"/>
            <dgm:shape xmlns:r="http://schemas.openxmlformats.org/officeDocument/2006/relationships" r:blip="">
              <dgm:adjLst/>
            </dgm:shape>
            <dgm:presOf/>
            <dgm:choose name="Name4">
              <dgm:if name="Name5" axis="ch" ptType="node" func="cnt" op="gte" val="1">
                <dgm:constrLst>
                  <dgm:constr type="w" for="ch" forName="parentTextBox" refType="w"/>
                  <dgm:constr type="h" for="ch" forName="parentTextBox" refType="h" fact="0.54"/>
                  <dgm:constr type="t" for="ch" forName="parentTextBox"/>
                  <dgm:constr type="w" for="ch" forName="entireBox" refType="w"/>
                  <dgm:constr type="h" for="ch" forName="entireBox" refType="h"/>
                  <dgm:constr type="w" for="ch" forName="descendantBox" refType="w"/>
                  <dgm:constr type="b" for="ch" forName="descendantBox" refType="h" fact="0.98"/>
                  <dgm:constr type="h" for="ch" forName="descendantBox" refType="h" fact="0.46"/>
                </dgm:constrLst>
              </dgm:if>
              <dgm:else name="Name6">
                <dgm:constrLst>
                  <dgm:constr type="w" for="ch" forName="parentTextBox" refType="w"/>
                  <dgm:constr type="h" for="ch" forName="parentTextBox" refType="h"/>
                </dgm:constrLst>
              </dgm:else>
            </dgm:choose>
            <dgm:ruleLst/>
            <dgm:layoutNode name="parentTextBox">
              <dgm:alg type="tx"/>
              <dgm:choose name="Name7">
                <dgm:if name="Name8" axis="ch" ptType="node" func="cnt" op="gte" val="1">
                  <dgm:shape xmlns:r="http://schemas.openxmlformats.org/officeDocument/2006/relationships" type="rect" r:blip="" zOrderOff="1" hideGeom="1">
                    <dgm:adjLst/>
                  </dgm:shape>
                </dgm:if>
                <dgm:else name="Name9">
                  <dgm:shape xmlns:r="http://schemas.openxmlformats.org/officeDocument/2006/relationships" type="rect" r:blip="">
                    <dgm:adjLst/>
                  </dgm:shape>
                </dgm:else>
              </dgm:choose>
              <dgm:presOf axis="self"/>
              <dgm:constrLst/>
              <dgm:ruleLst>
                <dgm:rule type="primFontSz" val="5" fact="NaN" max="NaN"/>
              </dgm:ruleLst>
            </dgm:layoutNode>
            <dgm:choose name="Name10">
              <dgm:if name="Name11" axis="ch" ptType="node" func="cnt" op="gte" val="1">
                <dgm:layoutNode name="entireBox">
                  <dgm:alg type="sp"/>
                  <dgm:shape xmlns:r="http://schemas.openxmlformats.org/officeDocument/2006/relationships" type="rect" r:blip="">
                    <dgm:adjLst/>
                  </dgm:shape>
                  <dgm:presOf axis="self"/>
                  <dgm:constrLst/>
                  <dgm:ruleLst/>
                </dgm:layoutNode>
                <dgm:layoutNode name="descendantBox" styleLbl="fgAccFollowNode1">
                  <dgm:choose name="Name12">
                    <dgm:if name="Name13" func="var" arg="dir" op="equ" val="norm">
                      <dgm:alg type="lin"/>
                    </dgm:if>
                    <dgm:else name="Name14">
                      <dgm:alg type="lin">
                        <dgm:param type="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>
                    <dgm:constr type="w" for="ch" forName="childTextBox" refType="w"/>
                    <dgm:constr type="h" for="ch" forName="childTextBox" refType="h"/>
                  </dgm:constrLst>
                  <dgm:ruleLst/>
                  <dgm:forEach name="Name15" axis="ch" ptType="node">
                    <dgm:layoutNode name="childTextBox" styleLbl="fgAccFollowNode1">
                      <dgm:varLst>
                        <dgm:bulletEnabled val="1"/>
                      </dgm:varLst>
                      <dgm:alg type="tx"/>
                      <dgm:shape xmlns:r="http://schemas.openxmlformats.org/officeDocument/2006/relationships" type="rect" r:blip="">
                        <dgm:adjLst/>
                      </dgm:shape>
                      <dgm:presOf axis="desOrSelf" ptType="node"/>
                      <dgm:constrLst>
                        <dgm:constr type="tMarg" refType="primFontSz" fact="0.1"/>
                        <dgm:constr type="bMarg" refType="primFontSz" fact="0.1"/>
                      </dgm:constrLst>
                      <dgm:ruleLst>
                        <dgm:rule type="primFontSz" val="5" fact="NaN" max="NaN"/>
                      </dgm:ruleLst>
                    </dgm:layoutNode>
                  </dgm:forEach>
                </dgm:layoutNode>
              </dgm:if>
              <dgm:else name="Name16"/>
            </dgm:choose>
          </dgm:layoutNode>
        </dgm:if>
        <dgm:else name="Name17">
          <dgm:layoutNode name="arrowAndChildren">
            <dgm:alg type="composite"/>
            <dgm:shape xmlns:r="http://schemas.openxmlformats.org/officeDocument/2006/relationships" r:blip="">
              <dgm:adjLst/>
            </dgm:shape>
            <dgm:presOf/>
            <dgm:choose name="Name18">
              <dgm:if name="Name19" axis="ch" ptType="node" func="cnt" op="gte" val="1">
                <dgm:constrLst>
                  <dgm:constr type="w" for="ch" forName="parentTextArrow" refType="w"/>
                  <dgm:constr type="t" for="ch" forName="parentTextArrow"/>
                  <dgm:constr type="h" for="ch" forName="parentTextArrow" refType="h" fact="0.351"/>
                  <dgm:constr type="w" for="ch" forName="arrow" refType="w"/>
                  <dgm:constr type="h" for="ch" forName="arrow" refType="h"/>
                  <dgm:constr type="w" for="ch" forName="descendantArrow" refType="w"/>
                  <dgm:constr type="b" for="ch" forName="descendantArrow" refType="h" fact="0.65"/>
                  <dgm:constr type="h" for="ch" forName="descendantArrow" refType="h" fact="0.299"/>
                </dgm:constrLst>
              </dgm:if>
              <dgm:else name="Name20">
                <dgm:constrLst>
                  <dgm:constr type="w" for="ch" forName="parentTextArrow" refType="w"/>
                  <dgm:constr type="h" for="ch" forName="parentTextArrow" refType="h"/>
                </dgm:constrLst>
              </dgm:else>
            </dgm:choose>
            <dgm:ruleLst/>
            <dgm:layoutNode name="parentTextArrow">
              <dgm:alg type="tx"/>
              <dgm:choose name="Name21">
                <dgm:if name="Name22" axis="ch" ptType="node" func="cnt" op="gte" val="1">
                  <dgm:shape xmlns:r="http://schemas.openxmlformats.org/officeDocument/2006/relationships" type="rect" r:blip="" zOrderOff="1" hideGeom="1">
                    <dgm:adjLst/>
                  </dgm:shape>
                </dgm:if>
                <dgm:else name="Name23">
                  <dgm:shape xmlns:r="http://schemas.openxmlformats.org/officeDocument/2006/relationships" rot="180" type="upArrowCallout" r:blip="">
                    <dgm:adjLst/>
                  </dgm:shape>
                </dgm:else>
              </dgm:choose>
              <dgm:presOf axis="self"/>
              <dgm:constrLst/>
              <dgm:ruleLst>
                <dgm:rule type="primFontSz" val="5" fact="NaN" max="NaN"/>
              </dgm:ruleLst>
            </dgm:layoutNode>
            <dgm:choose name="Name24">
              <dgm:if name="Name25" axis="ch" ptType="node" func="cnt" op="gte" val="1">
                <dgm:layoutNode name="arrow">
                  <dgm:alg type="sp"/>
                  <dgm:shape xmlns:r="http://schemas.openxmlformats.org/officeDocument/2006/relationships" rot="180" type="upArrowCallout" r:blip="">
                    <dgm:adjLst/>
                  </dgm:shape>
                  <dgm:presOf axis="self"/>
                  <dgm:constrLst/>
                  <dgm:ruleLst/>
                </dgm:layoutNode>
                <dgm:layoutNode name="descendantArrow">
                  <dgm:choose name="Name26">
                    <dgm:if name="Name27" func="var" arg="dir" op="equ" val="norm">
                      <dgm:alg type="lin"/>
                    </dgm:if>
                    <dgm:else name="Name28">
                      <dgm:alg type="lin">
                        <dgm:param type="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>
                    <dgm:constr type="w" for="ch" forName="childTextArrow" refType="w"/>
                    <dgm:constr type="h" for="ch" forName="childTextArrow" refType="h"/>
                  </dgm:constrLst>
                  <dgm:ruleLst/>
                  <dgm:forEach name="Name29" axis="ch" ptType="node">
                    <dgm:layoutNode name="childTextArrow" styleLbl="fgAccFollowNode1">
                      <dgm:varLst>
                        <dgm:bulletEnabled val="1"/>
                      </dgm:varLst>
                      <dgm:alg type="tx"/>
                      <dgm:shape xmlns:r="http://schemas.openxmlformats.org/officeDocument/2006/relationships" type="rect" r:blip="">
                        <dgm:adjLst/>
                      </dgm:shape>
                      <dgm:presOf axis="desOrSelf" ptType="node"/>
                      <dgm:constrLst>
                        <dgm:constr type="tMarg" refType="primFontSz" fact="0.1"/>
                        <dgm:constr type="bMarg" refType="primFontSz" fact="0.1"/>
                      </dgm:constrLst>
                      <dgm:ruleLst>
                        <dgm:rule type="primFontSz" val="5" fact="NaN" max="NaN"/>
                      </dgm:ruleLst>
                    </dgm:layoutNode>
                  </dgm:forEach>
                </dgm:layoutNode>
              </dgm:if>
              <dgm:else name="Name30"/>
            </dgm:choose>
          </dgm:layoutNode>
        </dgm:else>
      </dgm:choose>
      <dgm:forEach name="Name31" axis="precedSib" ptType="sibTrans" st="-1" cnt="1">
        <dgm:layoutNode name="sp">
          <dgm:alg type="sp"/>
          <dgm:shape xmlns:r="http://schemas.openxmlformats.org/officeDocument/2006/relationships" r:blip="">
            <dgm:adjLst/>
          </dgm:shape>
          <dgm:presOf axis="self"/>
          <dgm:constrLst/>
          <dgm:ruleLst/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457200</xdr:colOff>
      <xdr:row>1</xdr:row>
      <xdr:rowOff>28575</xdr:rowOff>
    </xdr:from>
    <xdr:to>
      <xdr:col>32</xdr:col>
      <xdr:colOff>180974</xdr:colOff>
      <xdr:row>27</xdr:row>
      <xdr:rowOff>28576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AB11C20B-8877-4C73-8D73-8A888F5994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H31" headerRowDxfId="157" dataDxfId="156" totalsRowDxfId="155">
  <autoFilter ref="A1:CH31" xr:uid="{00000000-0009-0000-0100-000001000000}"/>
  <tableColumns count="86">
    <tableColumn id="1" xr3:uid="{00000000-0010-0000-0000-000001000000}" name="Participant_ID" dataDxfId="154"/>
    <tableColumn id="2" xr3:uid="{00000000-0010-0000-0000-000002000000}" name="סדר_מודלים" dataDxfId="153"/>
    <tableColumn id="3" xr3:uid="{00000000-0010-0000-0000-000003000000}" name="מודל A" dataDxfId="152"/>
    <tableColumn id="246" xr3:uid="{00000000-0010-0000-0000-0000F6000000}" name="מודל B" dataDxfId="151"/>
    <tableColumn id="4" xr3:uid="{00000000-0010-0000-0000-000004000000}" name="תרגול_R1_Scenario_ID" dataDxfId="150"/>
    <tableColumn id="5" xr3:uid="{00000000-0010-0000-0000-000005000000}" name="תרגול_R1_קושי" dataDxfId="149"/>
    <tableColumn id="6" xr3:uid="{00000000-0010-0000-0000-000006000000}" name="תרגול_R2_Scenario_ID" dataDxfId="148"/>
    <tableColumn id="7" xr3:uid="{00000000-0010-0000-0000-000007000000}" name="תרגול_R2_קושי" dataDxfId="147"/>
    <tableColumn id="8" xr3:uid="{00000000-0010-0000-0000-000008000000}" name="תרגול_R3_Scenario_ID" dataDxfId="146"/>
    <tableColumn id="9" xr3:uid="{00000000-0010-0000-0000-000009000000}" name="תרגול_R3_קושי" dataDxfId="145"/>
    <tableColumn id="10" xr3:uid="{00000000-0010-0000-0000-00000A000000}" name="תרגול_R4_Scenario_ID" dataDxfId="144"/>
    <tableColumn id="11" xr3:uid="{00000000-0010-0000-0000-00000B000000}" name="תרגול_R4_קושי" dataDxfId="143"/>
    <tableColumn id="12" xr3:uid="{00000000-0010-0000-0000-00000C000000}" name="תרגול_R5_Scenario_ID" dataDxfId="142"/>
    <tableColumn id="13" xr3:uid="{00000000-0010-0000-0000-00000D000000}" name="תרגול_R5_קושי" dataDxfId="141"/>
    <tableColumn id="14" xr3:uid="{00000000-0010-0000-0000-00000E000000}" name="תרגול_R6_Scenario_ID" dataDxfId="140"/>
    <tableColumn id="15" xr3:uid="{00000000-0010-0000-0000-00000F000000}" name="תרגול_R6_קושי" dataDxfId="139"/>
    <tableColumn id="16" xr3:uid="{00000000-0010-0000-0000-000010000000}" name="מודל_1_סוג_מודל" dataDxfId="138"/>
    <tableColumn id="17" xr3:uid="{00000000-0010-0000-0000-000011000000}" name="מודל_1_סדר_ויזואליזציות" dataDxfId="137"/>
    <tableColumn id="18" xr3:uid="{00000000-0010-0000-0000-000012000000}" name="מודל_1_VIS1_ויזואליזציה" dataDxfId="136"/>
    <tableColumn id="19" xr3:uid="{00000000-0010-0000-0000-000013000000}" name="מודל_1_VIS1_R1_Scenario_ID" dataDxfId="135"/>
    <tableColumn id="20" xr3:uid="{00000000-0010-0000-0000-000014000000}" name="מודל_1_VIS1_R1_קושי" dataDxfId="134"/>
    <tableColumn id="21" xr3:uid="{00000000-0010-0000-0000-000015000000}" name="מודל_1_VIS1_R2_Scenario_ID" dataDxfId="133"/>
    <tableColumn id="22" xr3:uid="{00000000-0010-0000-0000-000016000000}" name="מודל_1_VIS1_R2_קושי" dataDxfId="132"/>
    <tableColumn id="23" xr3:uid="{00000000-0010-0000-0000-000017000000}" name="מודל_1_VIS1_R3_Scenario_ID" dataDxfId="131"/>
    <tableColumn id="24" xr3:uid="{00000000-0010-0000-0000-000018000000}" name="מודל_1_VIS1_R3_קושי" dataDxfId="130"/>
    <tableColumn id="25" xr3:uid="{00000000-0010-0000-0000-000019000000}" name="מודל_1_VIS1_R4_Scenario_ID" dataDxfId="129"/>
    <tableColumn id="26" xr3:uid="{00000000-0010-0000-0000-00001A000000}" name="מודל_1_VIS1_R4_קושי" dataDxfId="128"/>
    <tableColumn id="27" xr3:uid="{00000000-0010-0000-0000-00001B000000}" name="מודל_1_VIS1_R5_Scenario_ID" dataDxfId="127"/>
    <tableColumn id="28" xr3:uid="{00000000-0010-0000-0000-00001C000000}" name="מודל_1_VIS1_R5_קושי" dataDxfId="126"/>
    <tableColumn id="29" xr3:uid="{00000000-0010-0000-0000-00001D000000}" name="מודל_1_VIS2_ויזואליזציה" dataDxfId="125"/>
    <tableColumn id="30" xr3:uid="{00000000-0010-0000-0000-00001E000000}" name="מודל_1_VIS2_R1_Scenario_ID" dataDxfId="124"/>
    <tableColumn id="31" xr3:uid="{00000000-0010-0000-0000-00001F000000}" name="מודל_1_VIS2_R1_קושי" dataDxfId="123"/>
    <tableColumn id="32" xr3:uid="{00000000-0010-0000-0000-000020000000}" name="מודל_1_VIS2_R2_Scenario_ID" dataDxfId="122"/>
    <tableColumn id="33" xr3:uid="{00000000-0010-0000-0000-000021000000}" name="מודל_1_VIS2_R2_קושי" dataDxfId="121"/>
    <tableColumn id="34" xr3:uid="{00000000-0010-0000-0000-000022000000}" name="מודל_1_VIS2_R3_Scenario_ID" dataDxfId="120"/>
    <tableColumn id="35" xr3:uid="{00000000-0010-0000-0000-000023000000}" name="מודל_1_VIS2_R3_קושי" dataDxfId="119"/>
    <tableColumn id="36" xr3:uid="{00000000-0010-0000-0000-000024000000}" name="מודל_1_VIS2_R4_Scenario_ID" dataDxfId="118"/>
    <tableColumn id="37" xr3:uid="{00000000-0010-0000-0000-000025000000}" name="מודל_1_VIS2_R4_קושי" dataDxfId="117"/>
    <tableColumn id="38" xr3:uid="{00000000-0010-0000-0000-000026000000}" name="מודל_1_VIS2_R5_Scenario_ID" dataDxfId="116"/>
    <tableColumn id="39" xr3:uid="{00000000-0010-0000-0000-000027000000}" name="מודל_1_VIS2_R5_קושי" dataDxfId="115"/>
    <tableColumn id="40" xr3:uid="{00000000-0010-0000-0000-000028000000}" name="מודל_1_VIS3_ויזואליזציה" dataDxfId="114"/>
    <tableColumn id="41" xr3:uid="{00000000-0010-0000-0000-000029000000}" name="מודל_1_VIS3_R1_Scenario_ID" dataDxfId="113"/>
    <tableColumn id="42" xr3:uid="{00000000-0010-0000-0000-00002A000000}" name="מודל_1_VIS3_R1_קושי" dataDxfId="112"/>
    <tableColumn id="43" xr3:uid="{00000000-0010-0000-0000-00002B000000}" name="מודל_1_VIS3_R2_Scenario_ID" dataDxfId="111"/>
    <tableColumn id="44" xr3:uid="{00000000-0010-0000-0000-00002C000000}" name="מודל_1_VIS3_R2_קושי" dataDxfId="110"/>
    <tableColumn id="45" xr3:uid="{00000000-0010-0000-0000-00002D000000}" name="מודל_1_VIS3_R3_Scenario_ID" dataDxfId="109"/>
    <tableColumn id="46" xr3:uid="{00000000-0010-0000-0000-00002E000000}" name="מודל_1_VIS3_R3_קושי" dataDxfId="108"/>
    <tableColumn id="47" xr3:uid="{00000000-0010-0000-0000-00002F000000}" name="מודל_1_VIS3_R4_Scenario_ID" dataDxfId="107"/>
    <tableColumn id="48" xr3:uid="{00000000-0010-0000-0000-000030000000}" name="מודל_1_VIS3_R4_קושי" dataDxfId="106"/>
    <tableColumn id="49" xr3:uid="{00000000-0010-0000-0000-000031000000}" name="מודל_1_VIS3_R5_Scenario_ID" dataDxfId="105"/>
    <tableColumn id="50" xr3:uid="{00000000-0010-0000-0000-000032000000}" name="מודל_1_VIS3_R5_קושי" dataDxfId="104"/>
    <tableColumn id="51" xr3:uid="{00000000-0010-0000-0000-000033000000}" name="מודל_2_סוג_מודל" dataDxfId="103"/>
    <tableColumn id="52" xr3:uid="{00000000-0010-0000-0000-000034000000}" name="מודל_2_סדר_ויזואליזציות" dataDxfId="102"/>
    <tableColumn id="53" xr3:uid="{00000000-0010-0000-0000-000035000000}" name="מודל_2_VIS1_ויזואליזציה" dataDxfId="101"/>
    <tableColumn id="54" xr3:uid="{00000000-0010-0000-0000-000036000000}" name="מודל_2_VIS1_R1_Scenario_ID" dataDxfId="100"/>
    <tableColumn id="55" xr3:uid="{00000000-0010-0000-0000-000037000000}" name="מודל_2_VIS1_R1_קושי" dataDxfId="99"/>
    <tableColumn id="56" xr3:uid="{00000000-0010-0000-0000-000038000000}" name="מודל_2_VIS1_R2_Scenario_ID" dataDxfId="98"/>
    <tableColumn id="57" xr3:uid="{00000000-0010-0000-0000-000039000000}" name="מודל_2_VIS1_R2_קושי" dataDxfId="97"/>
    <tableColumn id="58" xr3:uid="{00000000-0010-0000-0000-00003A000000}" name="מודל_2_VIS1_R3_Scenario_ID" dataDxfId="96"/>
    <tableColumn id="59" xr3:uid="{00000000-0010-0000-0000-00003B000000}" name="מודל_2_VIS1_R3_קושי" dataDxfId="95"/>
    <tableColumn id="60" xr3:uid="{00000000-0010-0000-0000-00003C000000}" name="מודל_2_VIS1_R4_Scenario_ID" dataDxfId="94"/>
    <tableColumn id="61" xr3:uid="{00000000-0010-0000-0000-00003D000000}" name="מודל_2_VIS1_R4_קושי" dataDxfId="93"/>
    <tableColumn id="62" xr3:uid="{00000000-0010-0000-0000-00003E000000}" name="מודל_2_VIS1_R5_Scenario_ID" dataDxfId="92"/>
    <tableColumn id="63" xr3:uid="{00000000-0010-0000-0000-00003F000000}" name="מודל_2_VIS1_R5_קושי" dataDxfId="91"/>
    <tableColumn id="64" xr3:uid="{00000000-0010-0000-0000-000040000000}" name="מודל_2_VIS2_ויזואליזציה" dataDxfId="90"/>
    <tableColumn id="65" xr3:uid="{00000000-0010-0000-0000-000041000000}" name="מודל_2_VIS2_R1_Scenario_ID" dataDxfId="89"/>
    <tableColumn id="66" xr3:uid="{00000000-0010-0000-0000-000042000000}" name="מודל_2_VIS2_R1_קושי" dataDxfId="88"/>
    <tableColumn id="67" xr3:uid="{00000000-0010-0000-0000-000043000000}" name="מודל_2_VIS2_R2_Scenario_ID" dataDxfId="87"/>
    <tableColumn id="68" xr3:uid="{00000000-0010-0000-0000-000044000000}" name="מודל_2_VIS2_R2_קושי" dataDxfId="86"/>
    <tableColumn id="69" xr3:uid="{00000000-0010-0000-0000-000045000000}" name="מודל_2_VIS2_R3_Scenario_ID" dataDxfId="85"/>
    <tableColumn id="70" xr3:uid="{00000000-0010-0000-0000-000046000000}" name="מודל_2_VIS2_R3_קושי" dataDxfId="84"/>
    <tableColumn id="71" xr3:uid="{00000000-0010-0000-0000-000047000000}" name="מודל_2_VIS2_R4_Scenario_ID" dataDxfId="83"/>
    <tableColumn id="72" xr3:uid="{00000000-0010-0000-0000-000048000000}" name="מודל_2_VIS2_R4_קושי" dataDxfId="82"/>
    <tableColumn id="73" xr3:uid="{00000000-0010-0000-0000-000049000000}" name="מודל_2_VIS2_R5_Scenario_ID" dataDxfId="81"/>
    <tableColumn id="74" xr3:uid="{00000000-0010-0000-0000-00004A000000}" name="מודל_2_VIS2_R5_קושי" dataDxfId="80"/>
    <tableColumn id="75" xr3:uid="{00000000-0010-0000-0000-00004B000000}" name="מודל_2_VIS3_ויזואליזציה" dataDxfId="79"/>
    <tableColumn id="76" xr3:uid="{00000000-0010-0000-0000-00004C000000}" name="מודל_2_VIS3_R1_Scenario_ID" dataDxfId="78"/>
    <tableColumn id="77" xr3:uid="{00000000-0010-0000-0000-00004D000000}" name="מודל_2_VIS3_R1_קושי" dataDxfId="77"/>
    <tableColumn id="78" xr3:uid="{00000000-0010-0000-0000-00004E000000}" name="מודל_2_VIS3_R2_Scenario_ID" dataDxfId="76"/>
    <tableColumn id="79" xr3:uid="{00000000-0010-0000-0000-00004F000000}" name="מודל_2_VIS3_R2_קושי" dataDxfId="75"/>
    <tableColumn id="80" xr3:uid="{00000000-0010-0000-0000-000050000000}" name="מודל_2_VIS3_R3_Scenario_ID" dataDxfId="74"/>
    <tableColumn id="81" xr3:uid="{00000000-0010-0000-0000-000051000000}" name="מודל_2_VIS3_R3_קושי" dataDxfId="73"/>
    <tableColumn id="82" xr3:uid="{00000000-0010-0000-0000-000052000000}" name="מודל_2_VIS3_R4_Scenario_ID" dataDxfId="72"/>
    <tableColumn id="83" xr3:uid="{00000000-0010-0000-0000-000053000000}" name="מודל_2_VIS3_R4_קושי" dataDxfId="71"/>
    <tableColumn id="84" xr3:uid="{00000000-0010-0000-0000-000054000000}" name="מודל_2_VIS3_R5_Scenario_ID" dataDxfId="70"/>
    <tableColumn id="85" xr3:uid="{00000000-0010-0000-0000-000055000000}" name="מודל_2_VIS3_R5_קושי" dataDxfId="6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AB34" headerRowDxfId="57" dataDxfId="56" totalsRowDxfId="55">
  <autoFilter ref="A1:AB34" xr:uid="{00000000-0009-0000-0100-000002000000}"/>
  <tableColumns count="28">
    <tableColumn id="1" xr3:uid="{00000000-0010-0000-0100-000001000000}" name="SCN_ID" dataDxfId="54"/>
    <tableColumn id="2" xr3:uid="{00000000-0010-0000-0100-000002000000}" name="יישוב" dataDxfId="53"/>
    <tableColumn id="3" xr3:uid="{00000000-0010-0000-0100-000003000000}" name="Scenario_ID_H" dataDxfId="52"/>
    <tableColumn id="4" xr3:uid="{00000000-0010-0000-0100-000004000000}" name="Scenario_ID_R" dataDxfId="51"/>
    <tableColumn id="5" xr3:uid="{00000000-0010-0000-0100-000005000000}" name="Scenario_ID_S" dataDxfId="50"/>
    <tableColumn id="24" xr3:uid="{00000000-0010-0000-0100-000018000000}" name="TRAFFIC" dataDxfId="49"/>
    <tableColumn id="25" xr3:uid="{00000000-0010-0000-0100-000019000000}" name="TOLL" dataDxfId="48"/>
    <tableColumn id="23" xr3:uid="{00000000-0010-0000-0100-000017000000}" name="COMM" dataDxfId="47"/>
    <tableColumn id="6" xr3:uid="{00000000-0010-0000-0100-000006000000}" name="Route_Direction" dataDxfId="46"/>
    <tableColumn id="7" xr3:uid="{00000000-0010-0000-0100-000007000000}" name="Practice" dataDxfId="45"/>
    <tableColumn id="8" xr3:uid="{00000000-0010-0000-0100-000008000000}" name="Base_Difficulty" dataDxfId="44"/>
    <tableColumn id="9" xr3:uid="{00000000-0010-0000-0100-000009000000}" name="CORRECT_ROUTE" dataDxfId="43"/>
    <tableColumn id="16" xr3:uid="{00000000-0010-0000-0100-000010000000}" name="REC_INACCURATE" dataDxfId="42"/>
    <tableColumn id="11" xr3:uid="{00000000-0010-0000-0100-00000B000000}" name="Q1" dataDxfId="41"/>
    <tableColumn id="12" xr3:uid="{00000000-0010-0000-0100-00000C000000}" name="O1" dataDxfId="40"/>
    <tableColumn id="18" xr3:uid="{00000000-0010-0000-0100-000012000000}" name="A1" dataDxfId="39"/>
    <tableColumn id="17" xr3:uid="{00000000-0010-0000-0100-000011000000}" name="Q2" dataDxfId="38"/>
    <tableColumn id="20" xr3:uid="{00000000-0010-0000-0100-000014000000}" name="O2" dataDxfId="37"/>
    <tableColumn id="22" xr3:uid="{00000000-0010-0000-0100-000016000000}" name="A2" dataDxfId="36"/>
    <tableColumn id="21" xr3:uid="{00000000-0010-0000-0100-000015000000}" name="Q3" dataDxfId="35"/>
    <tableColumn id="13" xr3:uid="{00000000-0010-0000-0100-00000D000000}" name="O3" dataDxfId="34"/>
    <tableColumn id="19" xr3:uid="{00000000-0010-0000-0100-000013000000}" name="A3" dataDxfId="33"/>
    <tableColumn id="10" xr3:uid="{00000000-0010-0000-0100-00000A000000}" name="TASK_TEXT" dataDxfId="32"/>
    <tableColumn id="14" xr3:uid="{00000000-0010-0000-0100-00000E000000}" name="Priority" dataDxfId="31"/>
    <tableColumn id="28" xr3:uid="{BD4D8AD5-3788-4C2A-AA8D-FB2323BC9A4E}" name="SEG" dataDxfId="30"/>
    <tableColumn id="29" xr3:uid="{119A2A42-CCF0-40A0-BBE3-0F3B69F78CC7}" name="SEG_PRIORITY" dataDxfId="29"/>
    <tableColumn id="15" xr3:uid="{00000000-0010-0000-0100-00000F000000}" name="REQUIREMENTS" dataDxfId="28"/>
    <tableColumn id="26" xr3:uid="{00000000-0010-0000-0100-00001A000000}" name="Status" dataDxfId="27" totalsRow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L991" totalsRowShown="0" headerRowDxfId="16" dataDxfId="14" headerRowBorderDxfId="15" tableBorderDxfId="13" totalsRowBorderDxfId="12">
  <autoFilter ref="A1:L991" xr:uid="{00000000-0009-0000-0100-000003000000}"/>
  <tableColumns count="12">
    <tableColumn id="1" xr3:uid="{00000000-0010-0000-0200-000001000000}" name="Participant_ID" dataDxfId="11"/>
    <tableColumn id="2" xr3:uid="{00000000-0010-0000-0200-000002000000}" name="Trial_No" dataDxfId="10"/>
    <tableColumn id="3" xr3:uid="{00000000-0010-0000-0200-000003000000}" name="Phase" dataDxfId="9"/>
    <tableColumn id="4" xr3:uid="{00000000-0010-0000-0200-000004000000}" name="Condition" dataDxfId="8"/>
    <tableColumn id="5" xr3:uid="{00000000-0010-0000-0200-000005000000}" name="Visualization" dataDxfId="7"/>
    <tableColumn id="6" xr3:uid="{00000000-0010-0000-0200-000006000000}" name="ModelSlot" dataDxfId="6"/>
    <tableColumn id="7" xr3:uid="{00000000-0010-0000-0200-000007000000}" name="ModelType" dataDxfId="5"/>
    <tableColumn id="8" xr3:uid="{00000000-0010-0000-0200-000008000000}" name="Scenario_ID" dataDxfId="4"/>
    <tableColumn id="9" xr3:uid="{00000000-0010-0000-0200-000009000000}" name="Difficulty" dataDxfId="3"/>
    <tableColumn id="10" xr3:uid="{00000000-0010-0000-0200-00000A000000}" name="Rec_Correct" dataDxfId="2"/>
    <tableColumn id="11" xr3:uid="{00000000-0010-0000-0200-00000B000000}" name="Correct_Answer" dataDxfId="1">
      <calculatedColumnFormula>VLOOKUP(LEFT(H2, 7), 'קטלוג תרחישים'!$A:$L, 12, FALSE)</calculatedColumnFormula>
    </tableColumn>
    <tableColumn id="12" xr3:uid="{00000000-0010-0000-0200-00000C000000}" name="System_Recommendation" dataDxfId="0">
      <calculatedColumnFormula>IF(J2="כן", K2, VLOOKUP(LEFT(H2, 7), 'קטלוג תרחישים'!$A:$M, 13, FALSE))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L31"/>
  <sheetViews>
    <sheetView showGridLines="0" rightToLeft="1" workbookViewId="0">
      <pane xSplit="4" ySplit="1" topLeftCell="E2" activePane="bottomRight" state="frozen"/>
      <selection pane="topRight"/>
      <selection pane="bottomLeft" activeCell="A2" sqref="A2"/>
      <selection pane="bottomRight" activeCell="B33" sqref="B33"/>
    </sheetView>
  </sheetViews>
  <sheetFormatPr defaultColWidth="5.7109375" defaultRowHeight="15"/>
  <cols>
    <col min="1" max="1" width="10.28515625" style="17" customWidth="1"/>
    <col min="2" max="2" width="24" style="17" customWidth="1"/>
    <col min="3" max="3" width="34.7109375" style="17" customWidth="1"/>
    <col min="4" max="4" width="34.7109375" style="1" customWidth="1"/>
    <col min="5" max="5" width="16" style="17" customWidth="1"/>
    <col min="6" max="6" width="7.28515625" style="17" customWidth="1"/>
    <col min="7" max="7" width="16" style="17" customWidth="1"/>
    <col min="8" max="8" width="7.28515625" style="17" customWidth="1"/>
    <col min="9" max="9" width="16" style="17" customWidth="1"/>
    <col min="10" max="10" width="7.28515625" style="17" customWidth="1"/>
    <col min="11" max="11" width="16" style="17" customWidth="1"/>
    <col min="12" max="12" width="7.28515625" style="17" customWidth="1"/>
    <col min="13" max="13" width="16" style="17" customWidth="1"/>
    <col min="14" max="14" width="7.28515625" style="17" customWidth="1"/>
    <col min="15" max="15" width="16" style="17" customWidth="1"/>
    <col min="16" max="16" width="7.28515625" style="17" customWidth="1"/>
    <col min="17" max="17" width="12" style="17" customWidth="1"/>
    <col min="18" max="18" width="31.5703125" style="17" customWidth="1"/>
    <col min="19" max="20" width="14" style="17" customWidth="1"/>
    <col min="21" max="21" width="6" style="17" customWidth="1"/>
    <col min="22" max="22" width="14" style="17" customWidth="1"/>
    <col min="23" max="23" width="6" style="17" customWidth="1"/>
    <col min="24" max="24" width="14" style="17" customWidth="1"/>
    <col min="25" max="25" width="6" style="17" customWidth="1"/>
    <col min="26" max="26" width="14" style="17" customWidth="1"/>
    <col min="27" max="27" width="6" style="17" customWidth="1"/>
    <col min="28" max="28" width="14" style="17" customWidth="1"/>
    <col min="29" max="29" width="6" style="17" customWidth="1"/>
    <col min="30" max="31" width="14" style="17" customWidth="1"/>
    <col min="32" max="32" width="6" style="17" customWidth="1"/>
    <col min="33" max="33" width="14" style="17" customWidth="1"/>
    <col min="34" max="34" width="6" style="17" customWidth="1"/>
    <col min="35" max="35" width="14" style="17" customWidth="1"/>
    <col min="36" max="36" width="6" style="17" customWidth="1"/>
    <col min="37" max="37" width="14" style="17" customWidth="1"/>
    <col min="38" max="38" width="6" style="17" customWidth="1"/>
    <col min="39" max="39" width="14" style="17" customWidth="1"/>
    <col min="40" max="40" width="6" style="17" customWidth="1"/>
    <col min="41" max="42" width="14" style="17" customWidth="1"/>
    <col min="43" max="43" width="6" style="17" customWidth="1"/>
    <col min="44" max="44" width="14" style="17" customWidth="1"/>
    <col min="45" max="45" width="6" style="17" customWidth="1"/>
    <col min="46" max="46" width="14" style="17" customWidth="1"/>
    <col min="47" max="47" width="6" style="17" customWidth="1"/>
    <col min="48" max="48" width="14" style="17" customWidth="1"/>
    <col min="49" max="49" width="6" style="17" customWidth="1"/>
    <col min="50" max="50" width="14" style="17" customWidth="1"/>
    <col min="51" max="51" width="6" style="17" customWidth="1"/>
    <col min="52" max="52" width="12" style="17" customWidth="1"/>
    <col min="53" max="53" width="26" style="17" customWidth="1"/>
    <col min="54" max="55" width="14" style="17" customWidth="1"/>
    <col min="56" max="56" width="6" style="17" customWidth="1"/>
    <col min="57" max="57" width="14" style="17" customWidth="1"/>
    <col min="58" max="58" width="6" style="17" customWidth="1"/>
    <col min="59" max="59" width="14" style="17" customWidth="1"/>
    <col min="60" max="60" width="6" style="17" customWidth="1"/>
    <col min="61" max="61" width="14" style="17" customWidth="1"/>
    <col min="62" max="62" width="6" style="17" customWidth="1"/>
    <col min="63" max="63" width="14" style="17" customWidth="1"/>
    <col min="64" max="64" width="6" style="17" customWidth="1"/>
    <col min="65" max="66" width="14" style="17" customWidth="1"/>
    <col min="67" max="67" width="6" style="17" customWidth="1"/>
    <col min="68" max="68" width="14" style="17" customWidth="1"/>
    <col min="69" max="69" width="6" style="17" customWidth="1"/>
    <col min="70" max="70" width="14" style="17" customWidth="1"/>
    <col min="71" max="71" width="6" style="17" customWidth="1"/>
    <col min="72" max="72" width="14" style="17" customWidth="1"/>
    <col min="73" max="73" width="6" style="17" customWidth="1"/>
    <col min="74" max="74" width="14" style="17" customWidth="1"/>
    <col min="75" max="75" width="6" style="17" customWidth="1"/>
    <col min="76" max="77" width="14" style="17" customWidth="1"/>
    <col min="78" max="78" width="6" style="17" customWidth="1"/>
    <col min="79" max="79" width="14" style="17" customWidth="1"/>
    <col min="80" max="80" width="6" style="17" customWidth="1"/>
    <col min="81" max="81" width="14" style="17" customWidth="1"/>
    <col min="82" max="82" width="6" style="17" customWidth="1"/>
    <col min="83" max="83" width="14" style="17" customWidth="1"/>
    <col min="84" max="84" width="6" style="17" customWidth="1"/>
    <col min="85" max="85" width="14" style="17" customWidth="1"/>
    <col min="86" max="98" width="6" style="17" customWidth="1"/>
    <col min="99" max="99" width="15.7109375" style="17" customWidth="1"/>
    <col min="100" max="100" width="23.42578125" style="17" customWidth="1"/>
    <col min="101" max="101" width="15.7109375" style="17" customWidth="1"/>
    <col min="102" max="136" width="5.7109375" style="17" customWidth="1"/>
    <col min="137" max="137" width="9.28515625" style="17" customWidth="1"/>
    <col min="138" max="172" width="5.7109375" style="17" customWidth="1"/>
    <col min="173" max="173" width="16" style="17" customWidth="1"/>
    <col min="174" max="174" width="25.5703125" style="17" customWidth="1"/>
    <col min="175" max="175" width="9.85546875" style="17" customWidth="1"/>
    <col min="176" max="210" width="5.7109375" style="17" customWidth="1"/>
    <col min="211" max="211" width="10.140625" style="17" customWidth="1"/>
    <col min="212" max="216" width="5.7109375" style="17" customWidth="1"/>
    <col min="217" max="16384" width="5.7109375" style="17"/>
  </cols>
  <sheetData>
    <row r="1" spans="1:246" ht="30" customHeight="1">
      <c r="A1" s="22" t="s">
        <v>0</v>
      </c>
      <c r="B1" s="22" t="s">
        <v>1</v>
      </c>
      <c r="C1" s="28" t="s">
        <v>379</v>
      </c>
      <c r="D1" s="28" t="s">
        <v>380</v>
      </c>
      <c r="E1" s="23" t="s">
        <v>2</v>
      </c>
      <c r="F1" s="23" t="s">
        <v>3</v>
      </c>
      <c r="G1" s="23" t="s">
        <v>4</v>
      </c>
      <c r="H1" s="23" t="s">
        <v>5</v>
      </c>
      <c r="I1" s="23" t="s">
        <v>6</v>
      </c>
      <c r="J1" s="23" t="s">
        <v>7</v>
      </c>
      <c r="K1" s="23" t="s">
        <v>8</v>
      </c>
      <c r="L1" s="23" t="s">
        <v>9</v>
      </c>
      <c r="M1" s="23" t="s">
        <v>10</v>
      </c>
      <c r="N1" s="23" t="s">
        <v>11</v>
      </c>
      <c r="O1" s="23" t="s">
        <v>12</v>
      </c>
      <c r="P1" s="23" t="s">
        <v>13</v>
      </c>
      <c r="Q1" s="24" t="s">
        <v>14</v>
      </c>
      <c r="R1" s="24" t="s">
        <v>15</v>
      </c>
      <c r="S1" s="24" t="s">
        <v>16</v>
      </c>
      <c r="T1" s="24" t="s">
        <v>17</v>
      </c>
      <c r="U1" s="24" t="s">
        <v>18</v>
      </c>
      <c r="V1" s="24" t="s">
        <v>19</v>
      </c>
      <c r="W1" s="24" t="s">
        <v>20</v>
      </c>
      <c r="X1" s="24" t="s">
        <v>21</v>
      </c>
      <c r="Y1" s="24" t="s">
        <v>22</v>
      </c>
      <c r="Z1" s="24" t="s">
        <v>23</v>
      </c>
      <c r="AA1" s="24" t="s">
        <v>24</v>
      </c>
      <c r="AB1" s="24" t="s">
        <v>25</v>
      </c>
      <c r="AC1" s="24" t="s">
        <v>26</v>
      </c>
      <c r="AD1" s="24" t="s">
        <v>27</v>
      </c>
      <c r="AE1" s="24" t="s">
        <v>28</v>
      </c>
      <c r="AF1" s="24" t="s">
        <v>29</v>
      </c>
      <c r="AG1" s="24" t="s">
        <v>30</v>
      </c>
      <c r="AH1" s="24" t="s">
        <v>31</v>
      </c>
      <c r="AI1" s="24" t="s">
        <v>32</v>
      </c>
      <c r="AJ1" s="24" t="s">
        <v>33</v>
      </c>
      <c r="AK1" s="24" t="s">
        <v>34</v>
      </c>
      <c r="AL1" s="24" t="s">
        <v>35</v>
      </c>
      <c r="AM1" s="24" t="s">
        <v>36</v>
      </c>
      <c r="AN1" s="24" t="s">
        <v>37</v>
      </c>
      <c r="AO1" s="24" t="s">
        <v>38</v>
      </c>
      <c r="AP1" s="24" t="s">
        <v>39</v>
      </c>
      <c r="AQ1" s="24" t="s">
        <v>40</v>
      </c>
      <c r="AR1" s="24" t="s">
        <v>41</v>
      </c>
      <c r="AS1" s="24" t="s">
        <v>42</v>
      </c>
      <c r="AT1" s="24" t="s">
        <v>43</v>
      </c>
      <c r="AU1" s="24" t="s">
        <v>44</v>
      </c>
      <c r="AV1" s="24" t="s">
        <v>45</v>
      </c>
      <c r="AW1" s="24" t="s">
        <v>46</v>
      </c>
      <c r="AX1" s="24" t="s">
        <v>47</v>
      </c>
      <c r="AY1" s="24" t="s">
        <v>48</v>
      </c>
      <c r="AZ1" s="25" t="s">
        <v>49</v>
      </c>
      <c r="BA1" s="25" t="s">
        <v>50</v>
      </c>
      <c r="BB1" s="25" t="s">
        <v>51</v>
      </c>
      <c r="BC1" s="25" t="s">
        <v>52</v>
      </c>
      <c r="BD1" s="25" t="s">
        <v>53</v>
      </c>
      <c r="BE1" s="25" t="s">
        <v>54</v>
      </c>
      <c r="BF1" s="25" t="s">
        <v>55</v>
      </c>
      <c r="BG1" s="25" t="s">
        <v>56</v>
      </c>
      <c r="BH1" s="25" t="s">
        <v>57</v>
      </c>
      <c r="BI1" s="25" t="s">
        <v>58</v>
      </c>
      <c r="BJ1" s="25" t="s">
        <v>59</v>
      </c>
      <c r="BK1" s="25" t="s">
        <v>60</v>
      </c>
      <c r="BL1" s="25" t="s">
        <v>61</v>
      </c>
      <c r="BM1" s="25" t="s">
        <v>62</v>
      </c>
      <c r="BN1" s="25" t="s">
        <v>63</v>
      </c>
      <c r="BO1" s="25" t="s">
        <v>64</v>
      </c>
      <c r="BP1" s="25" t="s">
        <v>65</v>
      </c>
      <c r="BQ1" s="25" t="s">
        <v>66</v>
      </c>
      <c r="BR1" s="25" t="s">
        <v>67</v>
      </c>
      <c r="BS1" s="25" t="s">
        <v>68</v>
      </c>
      <c r="BT1" s="25" t="s">
        <v>69</v>
      </c>
      <c r="BU1" s="25" t="s">
        <v>70</v>
      </c>
      <c r="BV1" s="25" t="s">
        <v>71</v>
      </c>
      <c r="BW1" s="25" t="s">
        <v>72</v>
      </c>
      <c r="BX1" s="25" t="s">
        <v>73</v>
      </c>
      <c r="BY1" s="25" t="s">
        <v>74</v>
      </c>
      <c r="BZ1" s="25" t="s">
        <v>75</v>
      </c>
      <c r="CA1" s="25" t="s">
        <v>76</v>
      </c>
      <c r="CB1" s="25" t="s">
        <v>77</v>
      </c>
      <c r="CC1" s="25" t="s">
        <v>78</v>
      </c>
      <c r="CD1" s="25" t="s">
        <v>79</v>
      </c>
      <c r="CE1" s="25" t="s">
        <v>80</v>
      </c>
      <c r="CF1" s="25" t="s">
        <v>81</v>
      </c>
      <c r="CG1" s="25" t="s">
        <v>82</v>
      </c>
      <c r="CH1" s="25" t="s">
        <v>83</v>
      </c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  <c r="EM1" s="26"/>
      <c r="EN1" s="26"/>
      <c r="EO1" s="26"/>
      <c r="EP1" s="26"/>
      <c r="EQ1" s="26"/>
      <c r="ER1" s="26"/>
      <c r="ES1" s="26"/>
      <c r="ET1" s="26"/>
      <c r="EU1" s="26"/>
      <c r="EV1" s="26"/>
      <c r="EW1" s="26"/>
      <c r="EX1" s="26"/>
      <c r="EY1" s="26"/>
      <c r="EZ1" s="26"/>
      <c r="FA1" s="26"/>
      <c r="FB1" s="26"/>
      <c r="FC1" s="26"/>
      <c r="FD1" s="26"/>
      <c r="FE1" s="26"/>
      <c r="FF1" s="26"/>
      <c r="FG1" s="26"/>
      <c r="FH1" s="26"/>
      <c r="FI1" s="26"/>
      <c r="FJ1" s="26"/>
      <c r="FK1" s="26"/>
      <c r="FL1" s="26"/>
      <c r="FM1" s="26"/>
      <c r="FN1" s="26"/>
      <c r="FO1" s="26"/>
      <c r="FP1" s="26"/>
      <c r="FQ1" s="26"/>
      <c r="FR1" s="26"/>
      <c r="FS1" s="26"/>
      <c r="FT1" s="26"/>
      <c r="FU1" s="26"/>
      <c r="FV1" s="26"/>
      <c r="FW1" s="26"/>
      <c r="FX1" s="26"/>
      <c r="FY1" s="26"/>
      <c r="FZ1" s="26"/>
      <c r="GA1" s="26"/>
      <c r="GB1" s="26"/>
      <c r="GC1" s="26"/>
      <c r="GD1" s="26"/>
      <c r="GE1" s="26"/>
      <c r="GF1" s="26"/>
      <c r="GG1" s="26"/>
      <c r="GH1" s="26"/>
      <c r="GI1" s="26"/>
      <c r="GJ1" s="26"/>
      <c r="GK1" s="26"/>
      <c r="GL1" s="26"/>
      <c r="GM1" s="26"/>
      <c r="GN1" s="26"/>
      <c r="GO1" s="26"/>
      <c r="GP1" s="26"/>
      <c r="GQ1" s="26"/>
      <c r="GR1" s="26"/>
      <c r="GS1" s="26"/>
      <c r="GT1" s="26"/>
      <c r="GU1" s="26"/>
      <c r="GV1" s="26"/>
      <c r="GW1" s="26"/>
      <c r="GX1" s="26"/>
      <c r="GY1" s="26"/>
      <c r="GZ1" s="26"/>
      <c r="HA1" s="26"/>
      <c r="HB1" s="26"/>
      <c r="HC1" s="26"/>
      <c r="HD1" s="26"/>
      <c r="HE1" s="26"/>
      <c r="HF1" s="26"/>
      <c r="HG1" s="26"/>
      <c r="HH1" s="26"/>
      <c r="HI1" s="26"/>
      <c r="HJ1" s="26"/>
      <c r="HK1" s="26"/>
      <c r="HL1" s="26"/>
      <c r="HM1" s="26"/>
      <c r="HN1" s="26"/>
      <c r="HO1" s="26"/>
      <c r="HP1" s="26"/>
      <c r="HQ1" s="26"/>
      <c r="HR1" s="26"/>
      <c r="HS1" s="26"/>
      <c r="HT1" s="26"/>
      <c r="HU1" s="26"/>
      <c r="HV1" s="26"/>
      <c r="HW1" s="26"/>
      <c r="HX1" s="26"/>
      <c r="HY1" s="26"/>
      <c r="HZ1" s="26"/>
      <c r="IA1" s="26"/>
      <c r="IB1" s="26"/>
      <c r="IC1" s="26"/>
      <c r="ID1" s="26"/>
      <c r="IE1" s="26"/>
      <c r="IF1" s="26"/>
      <c r="IG1" s="26"/>
      <c r="IH1" s="26"/>
      <c r="II1" s="26"/>
      <c r="IJ1" s="26"/>
      <c r="IK1" s="26"/>
      <c r="IL1" s="26"/>
    </row>
    <row r="2" spans="1:246" ht="14.45" customHeight="1">
      <c r="A2" s="27" t="s">
        <v>84</v>
      </c>
      <c r="B2" s="27" t="s">
        <v>85</v>
      </c>
      <c r="C2" s="19" t="s">
        <v>86</v>
      </c>
      <c r="D2" s="19" t="s">
        <v>87</v>
      </c>
      <c r="E2" s="21" t="s">
        <v>351</v>
      </c>
      <c r="F2" s="18" t="s">
        <v>89</v>
      </c>
      <c r="G2" s="21" t="s">
        <v>88</v>
      </c>
      <c r="H2" s="18" t="s">
        <v>89</v>
      </c>
      <c r="I2" s="21" t="s">
        <v>352</v>
      </c>
      <c r="J2" s="18" t="s">
        <v>89</v>
      </c>
      <c r="K2" s="21" t="s">
        <v>353</v>
      </c>
      <c r="L2" s="18" t="s">
        <v>89</v>
      </c>
      <c r="M2" s="21" t="s">
        <v>354</v>
      </c>
      <c r="N2" s="18" t="s">
        <v>89</v>
      </c>
      <c r="O2" s="18" t="s">
        <v>90</v>
      </c>
      <c r="P2" s="18" t="s">
        <v>89</v>
      </c>
      <c r="Q2" s="18" t="s">
        <v>91</v>
      </c>
      <c r="R2" s="19" t="s">
        <v>86</v>
      </c>
      <c r="S2" s="19" t="s">
        <v>92</v>
      </c>
      <c r="T2" s="18" t="s">
        <v>93</v>
      </c>
      <c r="U2" s="18" t="s">
        <v>94</v>
      </c>
      <c r="V2" s="18" t="s">
        <v>95</v>
      </c>
      <c r="W2" s="18" t="s">
        <v>89</v>
      </c>
      <c r="X2" s="18" t="s">
        <v>96</v>
      </c>
      <c r="Y2" s="18" t="s">
        <v>94</v>
      </c>
      <c r="Z2" s="18" t="s">
        <v>97</v>
      </c>
      <c r="AA2" s="18" t="s">
        <v>89</v>
      </c>
      <c r="AB2" s="18" t="s">
        <v>98</v>
      </c>
      <c r="AC2" s="18" t="s">
        <v>94</v>
      </c>
      <c r="AD2" s="19" t="s">
        <v>99</v>
      </c>
      <c r="AE2" s="18" t="s">
        <v>100</v>
      </c>
      <c r="AF2" s="18" t="s">
        <v>89</v>
      </c>
      <c r="AG2" s="18" t="s">
        <v>101</v>
      </c>
      <c r="AH2" s="18" t="s">
        <v>94</v>
      </c>
      <c r="AI2" s="18" t="s">
        <v>102</v>
      </c>
      <c r="AJ2" s="18" t="s">
        <v>89</v>
      </c>
      <c r="AK2" s="18" t="s">
        <v>103</v>
      </c>
      <c r="AL2" s="18" t="s">
        <v>94</v>
      </c>
      <c r="AM2" s="18" t="s">
        <v>104</v>
      </c>
      <c r="AN2" s="18" t="s">
        <v>89</v>
      </c>
      <c r="AO2" s="19" t="s">
        <v>105</v>
      </c>
      <c r="AP2" s="18" t="s">
        <v>106</v>
      </c>
      <c r="AQ2" s="18" t="s">
        <v>89</v>
      </c>
      <c r="AR2" s="18" t="s">
        <v>107</v>
      </c>
      <c r="AS2" s="18" t="s">
        <v>94</v>
      </c>
      <c r="AT2" s="18" t="s">
        <v>108</v>
      </c>
      <c r="AU2" s="18" t="s">
        <v>89</v>
      </c>
      <c r="AV2" s="18" t="s">
        <v>109</v>
      </c>
      <c r="AW2" s="18" t="s">
        <v>94</v>
      </c>
      <c r="AX2" s="18" t="s">
        <v>110</v>
      </c>
      <c r="AY2" s="18" t="s">
        <v>89</v>
      </c>
      <c r="AZ2" s="18" t="s">
        <v>111</v>
      </c>
      <c r="BA2" s="19" t="s">
        <v>87</v>
      </c>
      <c r="BB2" s="19" t="s">
        <v>99</v>
      </c>
      <c r="BC2" s="18" t="s">
        <v>112</v>
      </c>
      <c r="BD2" s="18" t="s">
        <v>89</v>
      </c>
      <c r="BE2" s="18" t="s">
        <v>113</v>
      </c>
      <c r="BF2" s="18" t="s">
        <v>94</v>
      </c>
      <c r="BG2" s="18" t="s">
        <v>114</v>
      </c>
      <c r="BH2" s="18" t="s">
        <v>89</v>
      </c>
      <c r="BI2" s="18" t="s">
        <v>115</v>
      </c>
      <c r="BJ2" s="18" t="s">
        <v>94</v>
      </c>
      <c r="BK2" s="18"/>
      <c r="BL2" s="18"/>
      <c r="BM2" s="19" t="s">
        <v>105</v>
      </c>
      <c r="BN2" s="18" t="s">
        <v>116</v>
      </c>
      <c r="BO2" s="18" t="s">
        <v>89</v>
      </c>
      <c r="BP2" s="18" t="s">
        <v>117</v>
      </c>
      <c r="BQ2" s="18" t="s">
        <v>94</v>
      </c>
      <c r="BR2" s="18" t="s">
        <v>118</v>
      </c>
      <c r="BS2" s="18" t="s">
        <v>89</v>
      </c>
      <c r="BT2" s="18" t="s">
        <v>119</v>
      </c>
      <c r="BU2" s="18" t="s">
        <v>94</v>
      </c>
      <c r="BV2" s="18"/>
      <c r="BW2" s="18"/>
      <c r="BX2" s="19" t="s">
        <v>92</v>
      </c>
      <c r="BY2" s="18" t="s">
        <v>120</v>
      </c>
      <c r="BZ2" s="18" t="s">
        <v>89</v>
      </c>
      <c r="CA2" s="18" t="s">
        <v>121</v>
      </c>
      <c r="CB2" s="18" t="s">
        <v>94</v>
      </c>
      <c r="CC2" s="18" t="s">
        <v>122</v>
      </c>
      <c r="CD2" s="18" t="s">
        <v>89</v>
      </c>
      <c r="CE2" s="18" t="s">
        <v>123</v>
      </c>
      <c r="CF2" s="18" t="s">
        <v>94</v>
      </c>
      <c r="CG2" s="18"/>
      <c r="CH2" s="18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</row>
    <row r="3" spans="1:246" ht="14.45" customHeight="1">
      <c r="A3" s="27" t="s">
        <v>124</v>
      </c>
      <c r="B3" s="27" t="s">
        <v>125</v>
      </c>
      <c r="C3" s="19" t="s">
        <v>126</v>
      </c>
      <c r="D3" s="19" t="s">
        <v>87</v>
      </c>
      <c r="E3" s="21" t="s">
        <v>351</v>
      </c>
      <c r="F3" s="18" t="s">
        <v>89</v>
      </c>
      <c r="G3" s="21" t="s">
        <v>88</v>
      </c>
      <c r="H3" s="18" t="s">
        <v>89</v>
      </c>
      <c r="I3" s="21" t="s">
        <v>352</v>
      </c>
      <c r="J3" s="18" t="s">
        <v>89</v>
      </c>
      <c r="K3" s="21" t="s">
        <v>353</v>
      </c>
      <c r="L3" s="18" t="s">
        <v>89</v>
      </c>
      <c r="M3" s="21" t="s">
        <v>354</v>
      </c>
      <c r="N3" s="18" t="s">
        <v>89</v>
      </c>
      <c r="O3" s="18" t="s">
        <v>90</v>
      </c>
      <c r="P3" s="18" t="s">
        <v>89</v>
      </c>
      <c r="Q3" s="18" t="s">
        <v>111</v>
      </c>
      <c r="R3" s="19" t="s">
        <v>126</v>
      </c>
      <c r="S3" s="19" t="s">
        <v>105</v>
      </c>
      <c r="T3" s="18" t="s">
        <v>116</v>
      </c>
      <c r="U3" s="18" t="s">
        <v>89</v>
      </c>
      <c r="V3" s="18" t="s">
        <v>119</v>
      </c>
      <c r="W3" s="18" t="s">
        <v>94</v>
      </c>
      <c r="X3" s="18" t="s">
        <v>118</v>
      </c>
      <c r="Y3" s="18" t="s">
        <v>89</v>
      </c>
      <c r="Z3" s="18" t="s">
        <v>117</v>
      </c>
      <c r="AA3" s="18" t="s">
        <v>94</v>
      </c>
      <c r="AB3" s="18"/>
      <c r="AC3" s="18"/>
      <c r="AD3" s="19" t="s">
        <v>92</v>
      </c>
      <c r="AE3" s="18" t="s">
        <v>120</v>
      </c>
      <c r="AF3" s="18" t="s">
        <v>89</v>
      </c>
      <c r="AG3" s="18" t="s">
        <v>123</v>
      </c>
      <c r="AH3" s="18" t="s">
        <v>94</v>
      </c>
      <c r="AI3" s="18" t="s">
        <v>122</v>
      </c>
      <c r="AJ3" s="18" t="s">
        <v>89</v>
      </c>
      <c r="AK3" s="18" t="s">
        <v>121</v>
      </c>
      <c r="AL3" s="18" t="s">
        <v>94</v>
      </c>
      <c r="AM3" s="18"/>
      <c r="AN3" s="18"/>
      <c r="AO3" s="19" t="s">
        <v>99</v>
      </c>
      <c r="AP3" s="18" t="s">
        <v>112</v>
      </c>
      <c r="AQ3" s="18" t="s">
        <v>89</v>
      </c>
      <c r="AR3" s="18" t="s">
        <v>113</v>
      </c>
      <c r="AS3" s="18" t="s">
        <v>94</v>
      </c>
      <c r="AT3" s="18" t="s">
        <v>114</v>
      </c>
      <c r="AU3" s="18" t="s">
        <v>89</v>
      </c>
      <c r="AV3" s="18" t="s">
        <v>115</v>
      </c>
      <c r="AW3" s="18" t="s">
        <v>94</v>
      </c>
      <c r="AX3" s="18"/>
      <c r="AY3" s="18"/>
      <c r="AZ3" s="18" t="s">
        <v>91</v>
      </c>
      <c r="BA3" s="19" t="s">
        <v>87</v>
      </c>
      <c r="BB3" s="19" t="s">
        <v>99</v>
      </c>
      <c r="BC3" s="18" t="s">
        <v>104</v>
      </c>
      <c r="BD3" s="18" t="s">
        <v>89</v>
      </c>
      <c r="BE3" s="18" t="s">
        <v>103</v>
      </c>
      <c r="BF3" s="18" t="s">
        <v>94</v>
      </c>
      <c r="BG3" s="18" t="s">
        <v>100</v>
      </c>
      <c r="BH3" s="18" t="s">
        <v>89</v>
      </c>
      <c r="BI3" s="18" t="s">
        <v>101</v>
      </c>
      <c r="BJ3" s="18" t="s">
        <v>94</v>
      </c>
      <c r="BK3" s="18" t="s">
        <v>102</v>
      </c>
      <c r="BL3" s="18" t="s">
        <v>89</v>
      </c>
      <c r="BM3" s="19" t="s">
        <v>105</v>
      </c>
      <c r="BN3" s="18" t="s">
        <v>106</v>
      </c>
      <c r="BO3" s="18" t="s">
        <v>89</v>
      </c>
      <c r="BP3" s="18" t="s">
        <v>107</v>
      </c>
      <c r="BQ3" s="18" t="s">
        <v>94</v>
      </c>
      <c r="BR3" s="18" t="s">
        <v>108</v>
      </c>
      <c r="BS3" s="18" t="s">
        <v>89</v>
      </c>
      <c r="BT3" s="18" t="s">
        <v>109</v>
      </c>
      <c r="BU3" s="18" t="s">
        <v>94</v>
      </c>
      <c r="BV3" s="18" t="s">
        <v>110</v>
      </c>
      <c r="BW3" s="18" t="s">
        <v>89</v>
      </c>
      <c r="BX3" s="19" t="s">
        <v>92</v>
      </c>
      <c r="BY3" s="18" t="s">
        <v>98</v>
      </c>
      <c r="BZ3" s="18" t="s">
        <v>94</v>
      </c>
      <c r="CA3" s="18" t="s">
        <v>97</v>
      </c>
      <c r="CB3" s="18" t="s">
        <v>89</v>
      </c>
      <c r="CC3" s="18" t="s">
        <v>96</v>
      </c>
      <c r="CD3" s="18" t="s">
        <v>94</v>
      </c>
      <c r="CE3" s="18" t="s">
        <v>95</v>
      </c>
      <c r="CF3" s="18" t="s">
        <v>89</v>
      </c>
      <c r="CG3" s="18" t="s">
        <v>93</v>
      </c>
      <c r="CH3" s="18" t="s">
        <v>94</v>
      </c>
      <c r="CI3" s="20"/>
      <c r="CJ3" s="20"/>
      <c r="CK3" s="20"/>
      <c r="CL3" s="20"/>
      <c r="CM3" s="20"/>
      <c r="CN3" s="20"/>
      <c r="CO3" s="20"/>
      <c r="CP3" s="20"/>
      <c r="CQ3" s="20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  <c r="DC3" s="20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20"/>
      <c r="DR3" s="20"/>
      <c r="DS3" s="20"/>
      <c r="DT3" s="20"/>
      <c r="DU3" s="20"/>
      <c r="DV3" s="20"/>
      <c r="DW3" s="20"/>
      <c r="DX3" s="20"/>
      <c r="DY3" s="20"/>
      <c r="DZ3" s="20"/>
      <c r="EA3" s="20"/>
      <c r="EB3" s="20"/>
      <c r="EC3" s="20"/>
      <c r="ED3" s="20"/>
      <c r="EE3" s="20"/>
      <c r="EF3" s="20"/>
      <c r="EG3" s="20"/>
      <c r="EH3" s="20"/>
      <c r="EI3" s="20"/>
      <c r="EJ3" s="20"/>
      <c r="EK3" s="20"/>
      <c r="EL3" s="20"/>
      <c r="EM3" s="20"/>
      <c r="EN3" s="20"/>
      <c r="EO3" s="20"/>
      <c r="EP3" s="20"/>
      <c r="EQ3" s="20"/>
      <c r="ER3" s="20"/>
      <c r="ES3" s="20"/>
      <c r="ET3" s="20"/>
      <c r="EU3" s="20"/>
      <c r="EV3" s="20"/>
      <c r="EW3" s="20"/>
      <c r="EX3" s="20"/>
      <c r="EY3" s="20"/>
      <c r="EZ3" s="20"/>
      <c r="FA3" s="20"/>
      <c r="FB3" s="20"/>
      <c r="FC3" s="20"/>
      <c r="FD3" s="20"/>
      <c r="FE3" s="20"/>
      <c r="FF3" s="20"/>
      <c r="FG3" s="20"/>
      <c r="FH3" s="20"/>
      <c r="FI3" s="20"/>
      <c r="FJ3" s="20"/>
      <c r="FK3" s="20"/>
      <c r="FL3" s="20"/>
      <c r="FM3" s="20"/>
      <c r="FN3" s="20"/>
      <c r="FO3" s="20"/>
      <c r="FP3" s="20"/>
      <c r="FQ3" s="20"/>
      <c r="FR3" s="20"/>
      <c r="FS3" s="20"/>
      <c r="FT3" s="20"/>
      <c r="FU3" s="20"/>
      <c r="FV3" s="20"/>
      <c r="FW3" s="20"/>
      <c r="FX3" s="20"/>
      <c r="FY3" s="20"/>
      <c r="FZ3" s="20"/>
      <c r="GA3" s="20"/>
      <c r="GB3" s="20"/>
      <c r="GC3" s="20"/>
      <c r="GD3" s="20"/>
      <c r="GE3" s="20"/>
      <c r="GF3" s="20"/>
      <c r="GG3" s="20"/>
      <c r="GH3" s="20"/>
      <c r="GI3" s="20"/>
      <c r="GJ3" s="20"/>
      <c r="GK3" s="20"/>
      <c r="GL3" s="20"/>
      <c r="GM3" s="20"/>
      <c r="GN3" s="20"/>
      <c r="GO3" s="20"/>
      <c r="GP3" s="20"/>
      <c r="GQ3" s="20"/>
      <c r="GR3" s="20"/>
      <c r="GS3" s="20"/>
      <c r="GT3" s="20"/>
      <c r="GU3" s="20"/>
      <c r="GV3" s="20"/>
      <c r="GW3" s="20"/>
      <c r="GX3" s="20"/>
      <c r="GY3" s="20"/>
      <c r="GZ3" s="20"/>
      <c r="HA3" s="20"/>
      <c r="HB3" s="20"/>
      <c r="HC3" s="20"/>
      <c r="HD3" s="20"/>
      <c r="HE3" s="20"/>
      <c r="HF3" s="20"/>
      <c r="HG3" s="20"/>
      <c r="HH3" s="20"/>
      <c r="HI3" s="20"/>
      <c r="HJ3" s="20"/>
      <c r="HK3" s="20"/>
      <c r="HL3" s="20"/>
      <c r="HM3" s="20"/>
      <c r="HN3" s="20"/>
      <c r="HO3" s="20"/>
      <c r="HP3" s="20"/>
      <c r="HQ3" s="20"/>
      <c r="HR3" s="20"/>
      <c r="HS3" s="20"/>
      <c r="HT3" s="20"/>
      <c r="HU3" s="20"/>
      <c r="HV3" s="20"/>
      <c r="HW3" s="20"/>
      <c r="HX3" s="20"/>
      <c r="HY3" s="20"/>
      <c r="HZ3" s="20"/>
      <c r="IA3" s="20"/>
      <c r="IB3" s="20"/>
      <c r="IC3" s="20"/>
      <c r="ID3" s="20"/>
      <c r="IE3" s="20"/>
      <c r="IF3" s="20"/>
      <c r="IG3" s="20"/>
      <c r="IH3" s="20"/>
      <c r="II3" s="20"/>
      <c r="IJ3" s="20"/>
      <c r="IK3" s="20"/>
      <c r="IL3" s="20"/>
    </row>
    <row r="4" spans="1:246" ht="14.45" customHeight="1">
      <c r="A4" s="27" t="s">
        <v>127</v>
      </c>
      <c r="B4" s="27" t="s">
        <v>85</v>
      </c>
      <c r="C4" s="19" t="s">
        <v>126</v>
      </c>
      <c r="D4" s="19" t="s">
        <v>86</v>
      </c>
      <c r="E4" s="21" t="s">
        <v>351</v>
      </c>
      <c r="F4" s="18" t="s">
        <v>89</v>
      </c>
      <c r="G4" s="21" t="s">
        <v>88</v>
      </c>
      <c r="H4" s="18" t="s">
        <v>89</v>
      </c>
      <c r="I4" s="21" t="s">
        <v>352</v>
      </c>
      <c r="J4" s="18" t="s">
        <v>89</v>
      </c>
      <c r="K4" s="21" t="s">
        <v>353</v>
      </c>
      <c r="L4" s="18" t="s">
        <v>89</v>
      </c>
      <c r="M4" s="21" t="s">
        <v>354</v>
      </c>
      <c r="N4" s="18" t="s">
        <v>89</v>
      </c>
      <c r="O4" s="18" t="s">
        <v>90</v>
      </c>
      <c r="P4" s="18" t="s">
        <v>89</v>
      </c>
      <c r="Q4" s="18" t="s">
        <v>91</v>
      </c>
      <c r="R4" s="19" t="s">
        <v>126</v>
      </c>
      <c r="S4" s="19" t="s">
        <v>105</v>
      </c>
      <c r="T4" s="18" t="s">
        <v>110</v>
      </c>
      <c r="U4" s="18" t="s">
        <v>89</v>
      </c>
      <c r="V4" s="18" t="s">
        <v>109</v>
      </c>
      <c r="W4" s="18" t="s">
        <v>94</v>
      </c>
      <c r="X4" s="18" t="s">
        <v>108</v>
      </c>
      <c r="Y4" s="18" t="s">
        <v>89</v>
      </c>
      <c r="Z4" s="18" t="s">
        <v>107</v>
      </c>
      <c r="AA4" s="18" t="s">
        <v>94</v>
      </c>
      <c r="AB4" s="18" t="s">
        <v>106</v>
      </c>
      <c r="AC4" s="18" t="s">
        <v>89</v>
      </c>
      <c r="AD4" s="19" t="s">
        <v>92</v>
      </c>
      <c r="AE4" s="18" t="s">
        <v>98</v>
      </c>
      <c r="AF4" s="18" t="s">
        <v>94</v>
      </c>
      <c r="AG4" s="18" t="s">
        <v>97</v>
      </c>
      <c r="AH4" s="18" t="s">
        <v>89</v>
      </c>
      <c r="AI4" s="18" t="s">
        <v>96</v>
      </c>
      <c r="AJ4" s="18" t="s">
        <v>94</v>
      </c>
      <c r="AK4" s="18" t="s">
        <v>95</v>
      </c>
      <c r="AL4" s="18" t="s">
        <v>89</v>
      </c>
      <c r="AM4" s="18" t="s">
        <v>93</v>
      </c>
      <c r="AN4" s="18" t="s">
        <v>94</v>
      </c>
      <c r="AO4" s="19" t="s">
        <v>99</v>
      </c>
      <c r="AP4" s="18" t="s">
        <v>100</v>
      </c>
      <c r="AQ4" s="18" t="s">
        <v>89</v>
      </c>
      <c r="AR4" s="18" t="s">
        <v>101</v>
      </c>
      <c r="AS4" s="18" t="s">
        <v>94</v>
      </c>
      <c r="AT4" s="18" t="s">
        <v>104</v>
      </c>
      <c r="AU4" s="18" t="s">
        <v>89</v>
      </c>
      <c r="AV4" s="18" t="s">
        <v>103</v>
      </c>
      <c r="AW4" s="18" t="s">
        <v>94</v>
      </c>
      <c r="AX4" s="18" t="s">
        <v>102</v>
      </c>
      <c r="AY4" s="18" t="s">
        <v>89</v>
      </c>
      <c r="AZ4" s="18" t="s">
        <v>111</v>
      </c>
      <c r="BA4" s="19" t="s">
        <v>86</v>
      </c>
      <c r="BB4" s="19" t="s">
        <v>92</v>
      </c>
      <c r="BC4" s="18" t="s">
        <v>120</v>
      </c>
      <c r="BD4" s="18" t="s">
        <v>89</v>
      </c>
      <c r="BE4" s="18" t="s">
        <v>123</v>
      </c>
      <c r="BF4" s="18" t="s">
        <v>94</v>
      </c>
      <c r="BG4" s="18" t="s">
        <v>122</v>
      </c>
      <c r="BH4" s="18" t="s">
        <v>89</v>
      </c>
      <c r="BI4" s="18" t="s">
        <v>121</v>
      </c>
      <c r="BJ4" s="18" t="s">
        <v>94</v>
      </c>
      <c r="BK4" s="18"/>
      <c r="BL4" s="18"/>
      <c r="BM4" s="19" t="s">
        <v>99</v>
      </c>
      <c r="BN4" s="18" t="s">
        <v>114</v>
      </c>
      <c r="BO4" s="18" t="s">
        <v>89</v>
      </c>
      <c r="BP4" s="18" t="s">
        <v>115</v>
      </c>
      <c r="BQ4" s="18" t="s">
        <v>94</v>
      </c>
      <c r="BR4" s="18" t="s">
        <v>112</v>
      </c>
      <c r="BS4" s="18" t="s">
        <v>89</v>
      </c>
      <c r="BT4" s="18" t="s">
        <v>113</v>
      </c>
      <c r="BU4" s="18" t="s">
        <v>94</v>
      </c>
      <c r="BV4" s="18"/>
      <c r="BW4" s="18"/>
      <c r="BX4" s="19" t="s">
        <v>105</v>
      </c>
      <c r="BY4" s="18" t="s">
        <v>116</v>
      </c>
      <c r="BZ4" s="18" t="s">
        <v>89</v>
      </c>
      <c r="CA4" s="18" t="s">
        <v>119</v>
      </c>
      <c r="CB4" s="18" t="s">
        <v>94</v>
      </c>
      <c r="CC4" s="18" t="s">
        <v>118</v>
      </c>
      <c r="CD4" s="18" t="s">
        <v>89</v>
      </c>
      <c r="CE4" s="18" t="s">
        <v>117</v>
      </c>
      <c r="CF4" s="18" t="s">
        <v>94</v>
      </c>
      <c r="CG4" s="18"/>
      <c r="CH4" s="18"/>
      <c r="CI4" s="20"/>
      <c r="CJ4" s="20"/>
      <c r="CK4" s="20"/>
      <c r="CL4" s="20"/>
      <c r="CM4" s="20"/>
      <c r="CN4" s="20"/>
      <c r="CO4" s="20"/>
      <c r="CP4" s="20"/>
      <c r="CQ4" s="20"/>
      <c r="CR4" s="20"/>
      <c r="CS4" s="20"/>
      <c r="CT4" s="20"/>
      <c r="CU4" s="20"/>
      <c r="CV4" s="20"/>
      <c r="CW4" s="20"/>
      <c r="CX4" s="20"/>
      <c r="CY4" s="20"/>
      <c r="CZ4" s="20"/>
      <c r="DA4" s="20"/>
      <c r="DB4" s="20"/>
      <c r="DC4" s="20"/>
      <c r="DD4" s="20"/>
      <c r="DE4" s="20"/>
      <c r="DF4" s="20"/>
      <c r="DG4" s="20"/>
      <c r="DH4" s="20"/>
      <c r="DI4" s="20"/>
      <c r="DJ4" s="20"/>
      <c r="DK4" s="20"/>
      <c r="DL4" s="20"/>
      <c r="DM4" s="20"/>
      <c r="DN4" s="20"/>
      <c r="DO4" s="20"/>
      <c r="DP4" s="20"/>
      <c r="DQ4" s="20"/>
      <c r="DR4" s="20"/>
      <c r="DS4" s="20"/>
      <c r="DT4" s="20"/>
      <c r="DU4" s="20"/>
      <c r="DV4" s="20"/>
      <c r="DW4" s="20"/>
      <c r="DX4" s="20"/>
      <c r="DY4" s="20"/>
      <c r="DZ4" s="20"/>
      <c r="EA4" s="20"/>
      <c r="EB4" s="20"/>
      <c r="EC4" s="20"/>
      <c r="ED4" s="20"/>
      <c r="EE4" s="20"/>
      <c r="EF4" s="20"/>
      <c r="EG4" s="20"/>
      <c r="EH4" s="20"/>
      <c r="EI4" s="20"/>
      <c r="EJ4" s="20"/>
      <c r="EK4" s="20"/>
      <c r="EL4" s="20"/>
      <c r="EM4" s="20"/>
      <c r="EN4" s="20"/>
      <c r="EO4" s="20"/>
      <c r="EP4" s="20"/>
      <c r="EQ4" s="20"/>
      <c r="ER4" s="20"/>
      <c r="ES4" s="20"/>
      <c r="ET4" s="20"/>
      <c r="EU4" s="20"/>
      <c r="EV4" s="20"/>
      <c r="EW4" s="20"/>
      <c r="EX4" s="20"/>
      <c r="EY4" s="20"/>
      <c r="EZ4" s="20"/>
      <c r="FA4" s="20"/>
      <c r="FB4" s="20"/>
      <c r="FC4" s="20"/>
      <c r="FD4" s="20"/>
      <c r="FE4" s="20"/>
      <c r="FF4" s="20"/>
      <c r="FG4" s="20"/>
      <c r="FH4" s="20"/>
      <c r="FI4" s="20"/>
      <c r="FJ4" s="20"/>
      <c r="FK4" s="20"/>
      <c r="FL4" s="20"/>
      <c r="FM4" s="20"/>
      <c r="FN4" s="20"/>
      <c r="FO4" s="20"/>
      <c r="FP4" s="20"/>
      <c r="FQ4" s="20"/>
      <c r="FR4" s="20"/>
      <c r="FS4" s="20"/>
      <c r="FT4" s="20"/>
      <c r="FU4" s="20"/>
      <c r="FV4" s="20"/>
      <c r="FW4" s="20"/>
      <c r="FX4" s="20"/>
      <c r="FY4" s="20"/>
      <c r="FZ4" s="20"/>
      <c r="GA4" s="20"/>
      <c r="GB4" s="20"/>
      <c r="GC4" s="20"/>
      <c r="GD4" s="20"/>
      <c r="GE4" s="20"/>
      <c r="GF4" s="20"/>
      <c r="GG4" s="20"/>
      <c r="GH4" s="20"/>
      <c r="GI4" s="20"/>
      <c r="GJ4" s="20"/>
      <c r="GK4" s="20"/>
      <c r="GL4" s="20"/>
      <c r="GM4" s="20"/>
      <c r="GN4" s="20"/>
      <c r="GO4" s="20"/>
      <c r="GP4" s="20"/>
      <c r="GQ4" s="20"/>
      <c r="GR4" s="20"/>
      <c r="GS4" s="20"/>
      <c r="GT4" s="20"/>
      <c r="GU4" s="20"/>
      <c r="GV4" s="20"/>
      <c r="GW4" s="20"/>
      <c r="GX4" s="20"/>
      <c r="GY4" s="20"/>
      <c r="GZ4" s="20"/>
      <c r="HA4" s="20"/>
      <c r="HB4" s="20"/>
      <c r="HC4" s="20"/>
      <c r="HD4" s="20"/>
      <c r="HE4" s="20"/>
      <c r="HF4" s="20"/>
      <c r="HG4" s="20"/>
      <c r="HH4" s="20"/>
      <c r="HI4" s="20"/>
      <c r="HJ4" s="20"/>
      <c r="HK4" s="20"/>
      <c r="HL4" s="20"/>
      <c r="HM4" s="20"/>
      <c r="HN4" s="20"/>
      <c r="HO4" s="20"/>
      <c r="HP4" s="20"/>
      <c r="HQ4" s="20"/>
      <c r="HR4" s="20"/>
      <c r="HS4" s="20"/>
      <c r="HT4" s="20"/>
      <c r="HU4" s="20"/>
      <c r="HV4" s="20"/>
      <c r="HW4" s="20"/>
      <c r="HX4" s="20"/>
      <c r="HY4" s="20"/>
      <c r="HZ4" s="20"/>
      <c r="IA4" s="20"/>
      <c r="IB4" s="20"/>
      <c r="IC4" s="20"/>
      <c r="ID4" s="20"/>
      <c r="IE4" s="20"/>
      <c r="IF4" s="20"/>
      <c r="IG4" s="20"/>
      <c r="IH4" s="20"/>
      <c r="II4" s="20"/>
      <c r="IJ4" s="20"/>
      <c r="IK4" s="20"/>
      <c r="IL4" s="20"/>
    </row>
    <row r="5" spans="1:246" ht="14.45" customHeight="1">
      <c r="A5" s="27" t="s">
        <v>128</v>
      </c>
      <c r="B5" s="27" t="s">
        <v>125</v>
      </c>
      <c r="C5" s="19" t="s">
        <v>87</v>
      </c>
      <c r="D5" s="19" t="s">
        <v>86</v>
      </c>
      <c r="E5" s="21" t="s">
        <v>351</v>
      </c>
      <c r="F5" s="18" t="s">
        <v>89</v>
      </c>
      <c r="G5" s="21" t="s">
        <v>88</v>
      </c>
      <c r="H5" s="18" t="s">
        <v>89</v>
      </c>
      <c r="I5" s="21" t="s">
        <v>352</v>
      </c>
      <c r="J5" s="18" t="s">
        <v>89</v>
      </c>
      <c r="K5" s="21" t="s">
        <v>353</v>
      </c>
      <c r="L5" s="18" t="s">
        <v>89</v>
      </c>
      <c r="M5" s="21" t="s">
        <v>354</v>
      </c>
      <c r="N5" s="18" t="s">
        <v>89</v>
      </c>
      <c r="O5" s="18" t="s">
        <v>90</v>
      </c>
      <c r="P5" s="18" t="s">
        <v>89</v>
      </c>
      <c r="Q5" s="18" t="s">
        <v>111</v>
      </c>
      <c r="R5" s="19" t="s">
        <v>87</v>
      </c>
      <c r="S5" s="19" t="s">
        <v>99</v>
      </c>
      <c r="T5" s="18" t="s">
        <v>114</v>
      </c>
      <c r="U5" s="18" t="s">
        <v>89</v>
      </c>
      <c r="V5" s="18" t="s">
        <v>115</v>
      </c>
      <c r="W5" s="18" t="s">
        <v>94</v>
      </c>
      <c r="X5" s="18" t="s">
        <v>112</v>
      </c>
      <c r="Y5" s="18" t="s">
        <v>89</v>
      </c>
      <c r="Z5" s="18" t="s">
        <v>113</v>
      </c>
      <c r="AA5" s="18" t="s">
        <v>94</v>
      </c>
      <c r="AB5" s="18"/>
      <c r="AC5" s="18"/>
      <c r="AD5" s="19" t="s">
        <v>105</v>
      </c>
      <c r="AE5" s="18" t="s">
        <v>118</v>
      </c>
      <c r="AF5" s="18" t="s">
        <v>89</v>
      </c>
      <c r="AG5" s="18" t="s">
        <v>119</v>
      </c>
      <c r="AH5" s="18" t="s">
        <v>94</v>
      </c>
      <c r="AI5" s="18" t="s">
        <v>116</v>
      </c>
      <c r="AJ5" s="18" t="s">
        <v>89</v>
      </c>
      <c r="AK5" s="18" t="s">
        <v>117</v>
      </c>
      <c r="AL5" s="18" t="s">
        <v>94</v>
      </c>
      <c r="AM5" s="18"/>
      <c r="AN5" s="18"/>
      <c r="AO5" s="19" t="s">
        <v>92</v>
      </c>
      <c r="AP5" s="18" t="s">
        <v>120</v>
      </c>
      <c r="AQ5" s="18" t="s">
        <v>89</v>
      </c>
      <c r="AR5" s="18" t="s">
        <v>123</v>
      </c>
      <c r="AS5" s="18" t="s">
        <v>94</v>
      </c>
      <c r="AT5" s="18" t="s">
        <v>122</v>
      </c>
      <c r="AU5" s="18" t="s">
        <v>89</v>
      </c>
      <c r="AV5" s="18" t="s">
        <v>121</v>
      </c>
      <c r="AW5" s="18" t="s">
        <v>94</v>
      </c>
      <c r="AX5" s="18"/>
      <c r="AY5" s="18"/>
      <c r="AZ5" s="18" t="s">
        <v>91</v>
      </c>
      <c r="BA5" s="19" t="s">
        <v>86</v>
      </c>
      <c r="BB5" s="19" t="s">
        <v>92</v>
      </c>
      <c r="BC5" s="18" t="s">
        <v>96</v>
      </c>
      <c r="BD5" s="18" t="s">
        <v>94</v>
      </c>
      <c r="BE5" s="18" t="s">
        <v>95</v>
      </c>
      <c r="BF5" s="18" t="s">
        <v>89</v>
      </c>
      <c r="BG5" s="18" t="s">
        <v>98</v>
      </c>
      <c r="BH5" s="18" t="s">
        <v>94</v>
      </c>
      <c r="BI5" s="18" t="s">
        <v>97</v>
      </c>
      <c r="BJ5" s="18" t="s">
        <v>89</v>
      </c>
      <c r="BK5" s="18" t="s">
        <v>93</v>
      </c>
      <c r="BL5" s="18" t="s">
        <v>94</v>
      </c>
      <c r="BM5" s="19" t="s">
        <v>99</v>
      </c>
      <c r="BN5" s="18" t="s">
        <v>100</v>
      </c>
      <c r="BO5" s="18" t="s">
        <v>89</v>
      </c>
      <c r="BP5" s="18" t="s">
        <v>103</v>
      </c>
      <c r="BQ5" s="18" t="s">
        <v>94</v>
      </c>
      <c r="BR5" s="18" t="s">
        <v>102</v>
      </c>
      <c r="BS5" s="18" t="s">
        <v>89</v>
      </c>
      <c r="BT5" s="18" t="s">
        <v>101</v>
      </c>
      <c r="BU5" s="18" t="s">
        <v>94</v>
      </c>
      <c r="BV5" s="18" t="s">
        <v>104</v>
      </c>
      <c r="BW5" s="18" t="s">
        <v>89</v>
      </c>
      <c r="BX5" s="19" t="s">
        <v>105</v>
      </c>
      <c r="BY5" s="18" t="s">
        <v>110</v>
      </c>
      <c r="BZ5" s="18" t="s">
        <v>89</v>
      </c>
      <c r="CA5" s="18" t="s">
        <v>107</v>
      </c>
      <c r="CB5" s="18" t="s">
        <v>94</v>
      </c>
      <c r="CC5" s="18" t="s">
        <v>108</v>
      </c>
      <c r="CD5" s="18" t="s">
        <v>89</v>
      </c>
      <c r="CE5" s="18" t="s">
        <v>109</v>
      </c>
      <c r="CF5" s="18" t="s">
        <v>94</v>
      </c>
      <c r="CG5" s="18" t="s">
        <v>106</v>
      </c>
      <c r="CH5" s="18" t="s">
        <v>89</v>
      </c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</row>
    <row r="6" spans="1:246" ht="14.45" customHeight="1">
      <c r="A6" s="27" t="s">
        <v>129</v>
      </c>
      <c r="B6" s="27" t="s">
        <v>85</v>
      </c>
      <c r="C6" s="19" t="s">
        <v>87</v>
      </c>
      <c r="D6" s="19" t="s">
        <v>126</v>
      </c>
      <c r="E6" s="21" t="s">
        <v>351</v>
      </c>
      <c r="F6" s="18" t="s">
        <v>89</v>
      </c>
      <c r="G6" s="21" t="s">
        <v>88</v>
      </c>
      <c r="H6" s="18" t="s">
        <v>89</v>
      </c>
      <c r="I6" s="21" t="s">
        <v>352</v>
      </c>
      <c r="J6" s="18" t="s">
        <v>89</v>
      </c>
      <c r="K6" s="21" t="s">
        <v>353</v>
      </c>
      <c r="L6" s="18" t="s">
        <v>89</v>
      </c>
      <c r="M6" s="21" t="s">
        <v>354</v>
      </c>
      <c r="N6" s="18" t="s">
        <v>89</v>
      </c>
      <c r="O6" s="18" t="s">
        <v>90</v>
      </c>
      <c r="P6" s="18" t="s">
        <v>89</v>
      </c>
      <c r="Q6" s="18" t="s">
        <v>91</v>
      </c>
      <c r="R6" s="19" t="s">
        <v>87</v>
      </c>
      <c r="S6" s="19" t="s">
        <v>99</v>
      </c>
      <c r="T6" s="18" t="s">
        <v>102</v>
      </c>
      <c r="U6" s="18" t="s">
        <v>89</v>
      </c>
      <c r="V6" s="18" t="s">
        <v>101</v>
      </c>
      <c r="W6" s="18" t="s">
        <v>94</v>
      </c>
      <c r="X6" s="18" t="s">
        <v>104</v>
      </c>
      <c r="Y6" s="18" t="s">
        <v>89</v>
      </c>
      <c r="Z6" s="18" t="s">
        <v>103</v>
      </c>
      <c r="AA6" s="18" t="s">
        <v>94</v>
      </c>
      <c r="AB6" s="18" t="s">
        <v>100</v>
      </c>
      <c r="AC6" s="18" t="s">
        <v>89</v>
      </c>
      <c r="AD6" s="19" t="s">
        <v>105</v>
      </c>
      <c r="AE6" s="18" t="s">
        <v>106</v>
      </c>
      <c r="AF6" s="18" t="s">
        <v>89</v>
      </c>
      <c r="AG6" s="18" t="s">
        <v>109</v>
      </c>
      <c r="AH6" s="18" t="s">
        <v>94</v>
      </c>
      <c r="AI6" s="18" t="s">
        <v>110</v>
      </c>
      <c r="AJ6" s="18" t="s">
        <v>89</v>
      </c>
      <c r="AK6" s="18" t="s">
        <v>107</v>
      </c>
      <c r="AL6" s="18" t="s">
        <v>94</v>
      </c>
      <c r="AM6" s="18" t="s">
        <v>108</v>
      </c>
      <c r="AN6" s="18" t="s">
        <v>89</v>
      </c>
      <c r="AO6" s="19" t="s">
        <v>92</v>
      </c>
      <c r="AP6" s="18" t="s">
        <v>98</v>
      </c>
      <c r="AQ6" s="18" t="s">
        <v>94</v>
      </c>
      <c r="AR6" s="18" t="s">
        <v>97</v>
      </c>
      <c r="AS6" s="18" t="s">
        <v>89</v>
      </c>
      <c r="AT6" s="18" t="s">
        <v>93</v>
      </c>
      <c r="AU6" s="18" t="s">
        <v>94</v>
      </c>
      <c r="AV6" s="18" t="s">
        <v>95</v>
      </c>
      <c r="AW6" s="18" t="s">
        <v>89</v>
      </c>
      <c r="AX6" s="18" t="s">
        <v>96</v>
      </c>
      <c r="AY6" s="18" t="s">
        <v>94</v>
      </c>
      <c r="AZ6" s="18" t="s">
        <v>111</v>
      </c>
      <c r="BA6" s="19" t="s">
        <v>126</v>
      </c>
      <c r="BB6" s="19" t="s">
        <v>105</v>
      </c>
      <c r="BC6" s="18" t="s">
        <v>116</v>
      </c>
      <c r="BD6" s="18" t="s">
        <v>89</v>
      </c>
      <c r="BE6" s="18" t="s">
        <v>119</v>
      </c>
      <c r="BF6" s="18" t="s">
        <v>94</v>
      </c>
      <c r="BG6" s="18" t="s">
        <v>118</v>
      </c>
      <c r="BH6" s="18" t="s">
        <v>89</v>
      </c>
      <c r="BI6" s="18" t="s">
        <v>117</v>
      </c>
      <c r="BJ6" s="18" t="s">
        <v>94</v>
      </c>
      <c r="BK6" s="18"/>
      <c r="BL6" s="18"/>
      <c r="BM6" s="19" t="s">
        <v>92</v>
      </c>
      <c r="BN6" s="18" t="s">
        <v>120</v>
      </c>
      <c r="BO6" s="18" t="s">
        <v>89</v>
      </c>
      <c r="BP6" s="18" t="s">
        <v>121</v>
      </c>
      <c r="BQ6" s="18" t="s">
        <v>94</v>
      </c>
      <c r="BR6" s="18" t="s">
        <v>122</v>
      </c>
      <c r="BS6" s="18" t="s">
        <v>89</v>
      </c>
      <c r="BT6" s="18" t="s">
        <v>123</v>
      </c>
      <c r="BU6" s="18" t="s">
        <v>94</v>
      </c>
      <c r="BV6" s="18"/>
      <c r="BW6" s="18"/>
      <c r="BX6" s="19" t="s">
        <v>99</v>
      </c>
      <c r="BY6" s="18" t="s">
        <v>112</v>
      </c>
      <c r="BZ6" s="18" t="s">
        <v>89</v>
      </c>
      <c r="CA6" s="18" t="s">
        <v>113</v>
      </c>
      <c r="CB6" s="18" t="s">
        <v>94</v>
      </c>
      <c r="CC6" s="18" t="s">
        <v>114</v>
      </c>
      <c r="CD6" s="18" t="s">
        <v>89</v>
      </c>
      <c r="CE6" s="18" t="s">
        <v>115</v>
      </c>
      <c r="CF6" s="18" t="s">
        <v>94</v>
      </c>
      <c r="CG6" s="18"/>
      <c r="CH6" s="18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</row>
    <row r="7" spans="1:246" ht="14.45" customHeight="1">
      <c r="A7" s="27" t="s">
        <v>130</v>
      </c>
      <c r="B7" s="27" t="s">
        <v>125</v>
      </c>
      <c r="C7" s="19" t="s">
        <v>86</v>
      </c>
      <c r="D7" s="19" t="s">
        <v>126</v>
      </c>
      <c r="E7" s="21" t="s">
        <v>351</v>
      </c>
      <c r="F7" s="18" t="s">
        <v>89</v>
      </c>
      <c r="G7" s="21" t="s">
        <v>88</v>
      </c>
      <c r="H7" s="18" t="s">
        <v>89</v>
      </c>
      <c r="I7" s="21" t="s">
        <v>352</v>
      </c>
      <c r="J7" s="18" t="s">
        <v>89</v>
      </c>
      <c r="K7" s="21" t="s">
        <v>353</v>
      </c>
      <c r="L7" s="18" t="s">
        <v>89</v>
      </c>
      <c r="M7" s="21" t="s">
        <v>354</v>
      </c>
      <c r="N7" s="18" t="s">
        <v>89</v>
      </c>
      <c r="O7" s="18" t="s">
        <v>90</v>
      </c>
      <c r="P7" s="18" t="s">
        <v>89</v>
      </c>
      <c r="Q7" s="18" t="s">
        <v>111</v>
      </c>
      <c r="R7" s="19" t="s">
        <v>86</v>
      </c>
      <c r="S7" s="19" t="s">
        <v>92</v>
      </c>
      <c r="T7" s="18" t="s">
        <v>122</v>
      </c>
      <c r="U7" s="18" t="s">
        <v>89</v>
      </c>
      <c r="V7" s="18" t="s">
        <v>123</v>
      </c>
      <c r="W7" s="18" t="s">
        <v>94</v>
      </c>
      <c r="X7" s="18" t="s">
        <v>120</v>
      </c>
      <c r="Y7" s="18" t="s">
        <v>89</v>
      </c>
      <c r="Z7" s="18" t="s">
        <v>121</v>
      </c>
      <c r="AA7" s="18" t="s">
        <v>94</v>
      </c>
      <c r="AB7" s="18"/>
      <c r="AC7" s="18"/>
      <c r="AD7" s="19" t="s">
        <v>99</v>
      </c>
      <c r="AE7" s="18" t="s">
        <v>114</v>
      </c>
      <c r="AF7" s="18" t="s">
        <v>89</v>
      </c>
      <c r="AG7" s="18" t="s">
        <v>115</v>
      </c>
      <c r="AH7" s="18" t="s">
        <v>94</v>
      </c>
      <c r="AI7" s="18" t="s">
        <v>112</v>
      </c>
      <c r="AJ7" s="18" t="s">
        <v>89</v>
      </c>
      <c r="AK7" s="18" t="s">
        <v>113</v>
      </c>
      <c r="AL7" s="18" t="s">
        <v>94</v>
      </c>
      <c r="AM7" s="18"/>
      <c r="AN7" s="18"/>
      <c r="AO7" s="19" t="s">
        <v>105</v>
      </c>
      <c r="AP7" s="18" t="s">
        <v>116</v>
      </c>
      <c r="AQ7" s="18" t="s">
        <v>89</v>
      </c>
      <c r="AR7" s="18" t="s">
        <v>119</v>
      </c>
      <c r="AS7" s="18" t="s">
        <v>94</v>
      </c>
      <c r="AT7" s="18" t="s">
        <v>118</v>
      </c>
      <c r="AU7" s="18" t="s">
        <v>89</v>
      </c>
      <c r="AV7" s="18" t="s">
        <v>117</v>
      </c>
      <c r="AW7" s="18" t="s">
        <v>94</v>
      </c>
      <c r="AX7" s="18"/>
      <c r="AY7" s="18"/>
      <c r="AZ7" s="18" t="s">
        <v>91</v>
      </c>
      <c r="BA7" s="19" t="s">
        <v>126</v>
      </c>
      <c r="BB7" s="19" t="s">
        <v>105</v>
      </c>
      <c r="BC7" s="18" t="s">
        <v>110</v>
      </c>
      <c r="BD7" s="18" t="s">
        <v>89</v>
      </c>
      <c r="BE7" s="18" t="s">
        <v>107</v>
      </c>
      <c r="BF7" s="18" t="s">
        <v>94</v>
      </c>
      <c r="BG7" s="18" t="s">
        <v>108</v>
      </c>
      <c r="BH7" s="18" t="s">
        <v>89</v>
      </c>
      <c r="BI7" s="18" t="s">
        <v>109</v>
      </c>
      <c r="BJ7" s="18" t="s">
        <v>94</v>
      </c>
      <c r="BK7" s="18" t="s">
        <v>106</v>
      </c>
      <c r="BL7" s="18" t="s">
        <v>89</v>
      </c>
      <c r="BM7" s="19" t="s">
        <v>92</v>
      </c>
      <c r="BN7" s="18" t="s">
        <v>96</v>
      </c>
      <c r="BO7" s="18" t="s">
        <v>94</v>
      </c>
      <c r="BP7" s="18" t="s">
        <v>97</v>
      </c>
      <c r="BQ7" s="18" t="s">
        <v>89</v>
      </c>
      <c r="BR7" s="18" t="s">
        <v>98</v>
      </c>
      <c r="BS7" s="18" t="s">
        <v>94</v>
      </c>
      <c r="BT7" s="18" t="s">
        <v>95</v>
      </c>
      <c r="BU7" s="18" t="s">
        <v>89</v>
      </c>
      <c r="BV7" s="18" t="s">
        <v>93</v>
      </c>
      <c r="BW7" s="18" t="s">
        <v>94</v>
      </c>
      <c r="BX7" s="19" t="s">
        <v>99</v>
      </c>
      <c r="BY7" s="18" t="s">
        <v>102</v>
      </c>
      <c r="BZ7" s="18" t="s">
        <v>89</v>
      </c>
      <c r="CA7" s="18" t="s">
        <v>101</v>
      </c>
      <c r="CB7" s="18" t="s">
        <v>94</v>
      </c>
      <c r="CC7" s="18" t="s">
        <v>100</v>
      </c>
      <c r="CD7" s="18" t="s">
        <v>89</v>
      </c>
      <c r="CE7" s="18" t="s">
        <v>103</v>
      </c>
      <c r="CF7" s="18" t="s">
        <v>94</v>
      </c>
      <c r="CG7" s="18" t="s">
        <v>104</v>
      </c>
      <c r="CH7" s="18" t="s">
        <v>89</v>
      </c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  <c r="DF7" s="20"/>
      <c r="DG7" s="20"/>
      <c r="DH7" s="20"/>
      <c r="DI7" s="20"/>
      <c r="DJ7" s="20"/>
      <c r="DK7" s="20"/>
      <c r="DL7" s="20"/>
      <c r="DM7" s="20"/>
      <c r="DN7" s="20"/>
      <c r="DO7" s="20"/>
      <c r="DP7" s="20"/>
      <c r="DQ7" s="20"/>
      <c r="DR7" s="20"/>
      <c r="DS7" s="20"/>
      <c r="DT7" s="20"/>
      <c r="DU7" s="20"/>
      <c r="DV7" s="20"/>
      <c r="DW7" s="20"/>
      <c r="DX7" s="20"/>
      <c r="DY7" s="20"/>
      <c r="DZ7" s="20"/>
      <c r="EA7" s="20"/>
      <c r="EB7" s="20"/>
      <c r="EC7" s="20"/>
      <c r="ED7" s="20"/>
      <c r="EE7" s="20"/>
      <c r="EF7" s="20"/>
      <c r="EG7" s="20"/>
      <c r="EH7" s="20"/>
      <c r="EI7" s="20"/>
      <c r="EJ7" s="20"/>
      <c r="EK7" s="20"/>
      <c r="EL7" s="20"/>
      <c r="EM7" s="20"/>
      <c r="EN7" s="20"/>
      <c r="EO7" s="20"/>
      <c r="EP7" s="20"/>
      <c r="EQ7" s="20"/>
      <c r="ER7" s="20"/>
      <c r="ES7" s="20"/>
      <c r="ET7" s="20"/>
      <c r="EU7" s="20"/>
      <c r="EV7" s="20"/>
      <c r="EW7" s="20"/>
      <c r="EX7" s="20"/>
      <c r="EY7" s="20"/>
      <c r="EZ7" s="20"/>
      <c r="FA7" s="20"/>
      <c r="FB7" s="20"/>
      <c r="FC7" s="20"/>
      <c r="FD7" s="20"/>
      <c r="FE7" s="20"/>
      <c r="FF7" s="20"/>
      <c r="FG7" s="20"/>
      <c r="FH7" s="20"/>
      <c r="FI7" s="20"/>
      <c r="FJ7" s="20"/>
      <c r="FK7" s="20"/>
      <c r="FL7" s="20"/>
      <c r="FM7" s="20"/>
      <c r="FN7" s="20"/>
      <c r="FO7" s="20"/>
      <c r="FP7" s="20"/>
      <c r="FQ7" s="20"/>
      <c r="FR7" s="20"/>
      <c r="FS7" s="20"/>
      <c r="FT7" s="20"/>
      <c r="FU7" s="20"/>
      <c r="FV7" s="20"/>
      <c r="FW7" s="20"/>
      <c r="FX7" s="20"/>
      <c r="FY7" s="20"/>
      <c r="FZ7" s="20"/>
      <c r="GA7" s="20"/>
      <c r="GB7" s="20"/>
      <c r="GC7" s="20"/>
      <c r="GD7" s="20"/>
      <c r="GE7" s="20"/>
      <c r="GF7" s="20"/>
      <c r="GG7" s="20"/>
      <c r="GH7" s="20"/>
      <c r="GI7" s="20"/>
      <c r="GJ7" s="20"/>
      <c r="GK7" s="20"/>
      <c r="GL7" s="20"/>
      <c r="GM7" s="20"/>
      <c r="GN7" s="20"/>
      <c r="GO7" s="20"/>
      <c r="GP7" s="20"/>
      <c r="GQ7" s="20"/>
      <c r="GR7" s="20"/>
      <c r="GS7" s="20"/>
      <c r="GT7" s="20"/>
      <c r="GU7" s="20"/>
      <c r="GV7" s="20"/>
      <c r="GW7" s="20"/>
      <c r="GX7" s="20"/>
      <c r="GY7" s="20"/>
      <c r="GZ7" s="20"/>
      <c r="HA7" s="20"/>
      <c r="HB7" s="20"/>
      <c r="HC7" s="20"/>
      <c r="HD7" s="20"/>
      <c r="HE7" s="20"/>
      <c r="HF7" s="20"/>
      <c r="HG7" s="20"/>
      <c r="HH7" s="20"/>
      <c r="HI7" s="20"/>
      <c r="HJ7" s="20"/>
      <c r="HK7" s="20"/>
      <c r="HL7" s="20"/>
      <c r="HM7" s="20"/>
      <c r="HN7" s="20"/>
      <c r="HO7" s="20"/>
      <c r="HP7" s="20"/>
      <c r="HQ7" s="20"/>
      <c r="HR7" s="20"/>
      <c r="HS7" s="20"/>
      <c r="HT7" s="20"/>
      <c r="HU7" s="20"/>
      <c r="HV7" s="20"/>
      <c r="HW7" s="20"/>
      <c r="HX7" s="20"/>
      <c r="HY7" s="20"/>
      <c r="HZ7" s="20"/>
      <c r="IA7" s="20"/>
      <c r="IB7" s="20"/>
      <c r="IC7" s="20"/>
      <c r="ID7" s="20"/>
      <c r="IE7" s="20"/>
      <c r="IF7" s="20"/>
      <c r="IG7" s="20"/>
      <c r="IH7" s="20"/>
      <c r="II7" s="20"/>
      <c r="IJ7" s="20"/>
      <c r="IK7" s="20"/>
      <c r="IL7" s="20"/>
    </row>
    <row r="8" spans="1:246" ht="14.45" customHeight="1">
      <c r="A8" s="27" t="s">
        <v>131</v>
      </c>
      <c r="B8" s="27" t="s">
        <v>85</v>
      </c>
      <c r="C8" s="19" t="s">
        <v>86</v>
      </c>
      <c r="D8" s="19" t="s">
        <v>87</v>
      </c>
      <c r="E8" s="21" t="s">
        <v>351</v>
      </c>
      <c r="F8" s="18" t="s">
        <v>89</v>
      </c>
      <c r="G8" s="21" t="s">
        <v>88</v>
      </c>
      <c r="H8" s="18" t="s">
        <v>89</v>
      </c>
      <c r="I8" s="21" t="s">
        <v>352</v>
      </c>
      <c r="J8" s="18" t="s">
        <v>89</v>
      </c>
      <c r="K8" s="21" t="s">
        <v>353</v>
      </c>
      <c r="L8" s="18" t="s">
        <v>89</v>
      </c>
      <c r="M8" s="21" t="s">
        <v>354</v>
      </c>
      <c r="N8" s="18" t="s">
        <v>89</v>
      </c>
      <c r="O8" s="18" t="s">
        <v>90</v>
      </c>
      <c r="P8" s="18" t="s">
        <v>89</v>
      </c>
      <c r="Q8" s="18" t="s">
        <v>91</v>
      </c>
      <c r="R8" s="19" t="s">
        <v>86</v>
      </c>
      <c r="S8" s="19" t="s">
        <v>92</v>
      </c>
      <c r="T8" s="18" t="s">
        <v>96</v>
      </c>
      <c r="U8" s="18" t="s">
        <v>94</v>
      </c>
      <c r="V8" s="18" t="s">
        <v>95</v>
      </c>
      <c r="W8" s="18" t="s">
        <v>89</v>
      </c>
      <c r="X8" s="18" t="s">
        <v>98</v>
      </c>
      <c r="Y8" s="18" t="s">
        <v>94</v>
      </c>
      <c r="Z8" s="18" t="s">
        <v>97</v>
      </c>
      <c r="AA8" s="18" t="s">
        <v>89</v>
      </c>
      <c r="AB8" s="18" t="s">
        <v>93</v>
      </c>
      <c r="AC8" s="18" t="s">
        <v>94</v>
      </c>
      <c r="AD8" s="19" t="s">
        <v>99</v>
      </c>
      <c r="AE8" s="18" t="s">
        <v>102</v>
      </c>
      <c r="AF8" s="18" t="s">
        <v>89</v>
      </c>
      <c r="AG8" s="18" t="s">
        <v>103</v>
      </c>
      <c r="AH8" s="18" t="s">
        <v>94</v>
      </c>
      <c r="AI8" s="18" t="s">
        <v>104</v>
      </c>
      <c r="AJ8" s="18" t="s">
        <v>89</v>
      </c>
      <c r="AK8" s="18" t="s">
        <v>101</v>
      </c>
      <c r="AL8" s="18" t="s">
        <v>94</v>
      </c>
      <c r="AM8" s="18" t="s">
        <v>100</v>
      </c>
      <c r="AN8" s="18" t="s">
        <v>89</v>
      </c>
      <c r="AO8" s="19" t="s">
        <v>105</v>
      </c>
      <c r="AP8" s="18" t="s">
        <v>108</v>
      </c>
      <c r="AQ8" s="18" t="s">
        <v>89</v>
      </c>
      <c r="AR8" s="18" t="s">
        <v>107</v>
      </c>
      <c r="AS8" s="18" t="s">
        <v>94</v>
      </c>
      <c r="AT8" s="18" t="s">
        <v>106</v>
      </c>
      <c r="AU8" s="18" t="s">
        <v>89</v>
      </c>
      <c r="AV8" s="18" t="s">
        <v>109</v>
      </c>
      <c r="AW8" s="18" t="s">
        <v>94</v>
      </c>
      <c r="AX8" s="18" t="s">
        <v>110</v>
      </c>
      <c r="AY8" s="18" t="s">
        <v>89</v>
      </c>
      <c r="AZ8" s="18" t="s">
        <v>111</v>
      </c>
      <c r="BA8" s="19" t="s">
        <v>87</v>
      </c>
      <c r="BB8" s="19" t="s">
        <v>99</v>
      </c>
      <c r="BC8" s="18" t="s">
        <v>112</v>
      </c>
      <c r="BD8" s="18" t="s">
        <v>89</v>
      </c>
      <c r="BE8" s="18" t="s">
        <v>113</v>
      </c>
      <c r="BF8" s="18" t="s">
        <v>94</v>
      </c>
      <c r="BG8" s="18" t="s">
        <v>114</v>
      </c>
      <c r="BH8" s="18" t="s">
        <v>89</v>
      </c>
      <c r="BI8" s="18" t="s">
        <v>115</v>
      </c>
      <c r="BJ8" s="18" t="s">
        <v>94</v>
      </c>
      <c r="BK8" s="18"/>
      <c r="BL8" s="18"/>
      <c r="BM8" s="19" t="s">
        <v>105</v>
      </c>
      <c r="BN8" s="18" t="s">
        <v>116</v>
      </c>
      <c r="BO8" s="18" t="s">
        <v>89</v>
      </c>
      <c r="BP8" s="18" t="s">
        <v>119</v>
      </c>
      <c r="BQ8" s="18" t="s">
        <v>94</v>
      </c>
      <c r="BR8" s="18" t="s">
        <v>118</v>
      </c>
      <c r="BS8" s="18" t="s">
        <v>89</v>
      </c>
      <c r="BT8" s="18" t="s">
        <v>117</v>
      </c>
      <c r="BU8" s="18" t="s">
        <v>94</v>
      </c>
      <c r="BV8" s="18"/>
      <c r="BW8" s="18"/>
      <c r="BX8" s="19" t="s">
        <v>92</v>
      </c>
      <c r="BY8" s="18" t="s">
        <v>122</v>
      </c>
      <c r="BZ8" s="18" t="s">
        <v>89</v>
      </c>
      <c r="CA8" s="18" t="s">
        <v>121</v>
      </c>
      <c r="CB8" s="18" t="s">
        <v>94</v>
      </c>
      <c r="CC8" s="18" t="s">
        <v>120</v>
      </c>
      <c r="CD8" s="18" t="s">
        <v>89</v>
      </c>
      <c r="CE8" s="18" t="s">
        <v>123</v>
      </c>
      <c r="CF8" s="18" t="s">
        <v>94</v>
      </c>
      <c r="CG8" s="18"/>
      <c r="CH8" s="18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</row>
    <row r="9" spans="1:246" ht="14.45" customHeight="1">
      <c r="A9" s="27" t="s">
        <v>132</v>
      </c>
      <c r="B9" s="27" t="s">
        <v>125</v>
      </c>
      <c r="C9" s="19" t="s">
        <v>126</v>
      </c>
      <c r="D9" s="19" t="s">
        <v>87</v>
      </c>
      <c r="E9" s="21" t="s">
        <v>351</v>
      </c>
      <c r="F9" s="18" t="s">
        <v>89</v>
      </c>
      <c r="G9" s="21" t="s">
        <v>88</v>
      </c>
      <c r="H9" s="18" t="s">
        <v>89</v>
      </c>
      <c r="I9" s="21" t="s">
        <v>352</v>
      </c>
      <c r="J9" s="18" t="s">
        <v>89</v>
      </c>
      <c r="K9" s="21" t="s">
        <v>353</v>
      </c>
      <c r="L9" s="18" t="s">
        <v>89</v>
      </c>
      <c r="M9" s="21" t="s">
        <v>354</v>
      </c>
      <c r="N9" s="18" t="s">
        <v>89</v>
      </c>
      <c r="O9" s="18" t="s">
        <v>90</v>
      </c>
      <c r="P9" s="18" t="s">
        <v>89</v>
      </c>
      <c r="Q9" s="18" t="s">
        <v>111</v>
      </c>
      <c r="R9" s="19" t="s">
        <v>126</v>
      </c>
      <c r="S9" s="19" t="s">
        <v>105</v>
      </c>
      <c r="T9" s="18" t="s">
        <v>118</v>
      </c>
      <c r="U9" s="18" t="s">
        <v>89</v>
      </c>
      <c r="V9" s="18" t="s">
        <v>119</v>
      </c>
      <c r="W9" s="18" t="s">
        <v>94</v>
      </c>
      <c r="X9" s="18" t="s">
        <v>116</v>
      </c>
      <c r="Y9" s="18" t="s">
        <v>89</v>
      </c>
      <c r="Z9" s="18" t="s">
        <v>117</v>
      </c>
      <c r="AA9" s="18" t="s">
        <v>94</v>
      </c>
      <c r="AB9" s="18"/>
      <c r="AC9" s="18"/>
      <c r="AD9" s="19" t="s">
        <v>92</v>
      </c>
      <c r="AE9" s="18" t="s">
        <v>120</v>
      </c>
      <c r="AF9" s="18" t="s">
        <v>89</v>
      </c>
      <c r="AG9" s="18" t="s">
        <v>121</v>
      </c>
      <c r="AH9" s="18" t="s">
        <v>94</v>
      </c>
      <c r="AI9" s="18" t="s">
        <v>122</v>
      </c>
      <c r="AJ9" s="18" t="s">
        <v>89</v>
      </c>
      <c r="AK9" s="18" t="s">
        <v>123</v>
      </c>
      <c r="AL9" s="18" t="s">
        <v>94</v>
      </c>
      <c r="AM9" s="18"/>
      <c r="AN9" s="18"/>
      <c r="AO9" s="19" t="s">
        <v>99</v>
      </c>
      <c r="AP9" s="18" t="s">
        <v>114</v>
      </c>
      <c r="AQ9" s="18" t="s">
        <v>89</v>
      </c>
      <c r="AR9" s="18" t="s">
        <v>113</v>
      </c>
      <c r="AS9" s="18" t="s">
        <v>94</v>
      </c>
      <c r="AT9" s="18" t="s">
        <v>112</v>
      </c>
      <c r="AU9" s="18" t="s">
        <v>89</v>
      </c>
      <c r="AV9" s="18" t="s">
        <v>115</v>
      </c>
      <c r="AW9" s="18" t="s">
        <v>94</v>
      </c>
      <c r="AX9" s="18"/>
      <c r="AY9" s="18"/>
      <c r="AZ9" s="18" t="s">
        <v>91</v>
      </c>
      <c r="BA9" s="19" t="s">
        <v>87</v>
      </c>
      <c r="BB9" s="19" t="s">
        <v>99</v>
      </c>
      <c r="BC9" s="18" t="s">
        <v>100</v>
      </c>
      <c r="BD9" s="18" t="s">
        <v>89</v>
      </c>
      <c r="BE9" s="18" t="s">
        <v>103</v>
      </c>
      <c r="BF9" s="18" t="s">
        <v>94</v>
      </c>
      <c r="BG9" s="18" t="s">
        <v>104</v>
      </c>
      <c r="BH9" s="18" t="s">
        <v>89</v>
      </c>
      <c r="BI9" s="18" t="s">
        <v>101</v>
      </c>
      <c r="BJ9" s="18" t="s">
        <v>94</v>
      </c>
      <c r="BK9" s="18" t="s">
        <v>102</v>
      </c>
      <c r="BL9" s="18" t="s">
        <v>89</v>
      </c>
      <c r="BM9" s="19" t="s">
        <v>105</v>
      </c>
      <c r="BN9" s="18" t="s">
        <v>108</v>
      </c>
      <c r="BO9" s="18" t="s">
        <v>89</v>
      </c>
      <c r="BP9" s="18" t="s">
        <v>109</v>
      </c>
      <c r="BQ9" s="18" t="s">
        <v>94</v>
      </c>
      <c r="BR9" s="18" t="s">
        <v>110</v>
      </c>
      <c r="BS9" s="18" t="s">
        <v>89</v>
      </c>
      <c r="BT9" s="18" t="s">
        <v>107</v>
      </c>
      <c r="BU9" s="18" t="s">
        <v>94</v>
      </c>
      <c r="BV9" s="18" t="s">
        <v>106</v>
      </c>
      <c r="BW9" s="18" t="s">
        <v>89</v>
      </c>
      <c r="BX9" s="19" t="s">
        <v>92</v>
      </c>
      <c r="BY9" s="18" t="s">
        <v>96</v>
      </c>
      <c r="BZ9" s="18" t="s">
        <v>94</v>
      </c>
      <c r="CA9" s="18" t="s">
        <v>97</v>
      </c>
      <c r="CB9" s="18" t="s">
        <v>89</v>
      </c>
      <c r="CC9" s="18" t="s">
        <v>98</v>
      </c>
      <c r="CD9" s="18" t="s">
        <v>94</v>
      </c>
      <c r="CE9" s="18" t="s">
        <v>95</v>
      </c>
      <c r="CF9" s="18" t="s">
        <v>89</v>
      </c>
      <c r="CG9" s="18" t="s">
        <v>93</v>
      </c>
      <c r="CH9" s="18" t="s">
        <v>94</v>
      </c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</row>
    <row r="10" spans="1:246" ht="14.45" customHeight="1">
      <c r="A10" s="27" t="s">
        <v>133</v>
      </c>
      <c r="B10" s="27" t="s">
        <v>85</v>
      </c>
      <c r="C10" s="19" t="s">
        <v>126</v>
      </c>
      <c r="D10" s="19" t="s">
        <v>86</v>
      </c>
      <c r="E10" s="21" t="s">
        <v>351</v>
      </c>
      <c r="F10" s="18" t="s">
        <v>89</v>
      </c>
      <c r="G10" s="21" t="s">
        <v>88</v>
      </c>
      <c r="H10" s="18" t="s">
        <v>89</v>
      </c>
      <c r="I10" s="21" t="s">
        <v>352</v>
      </c>
      <c r="J10" s="18" t="s">
        <v>89</v>
      </c>
      <c r="K10" s="21" t="s">
        <v>353</v>
      </c>
      <c r="L10" s="18" t="s">
        <v>89</v>
      </c>
      <c r="M10" s="21" t="s">
        <v>354</v>
      </c>
      <c r="N10" s="18" t="s">
        <v>89</v>
      </c>
      <c r="O10" s="18" t="s">
        <v>90</v>
      </c>
      <c r="P10" s="18" t="s">
        <v>89</v>
      </c>
      <c r="Q10" s="18" t="s">
        <v>91</v>
      </c>
      <c r="R10" s="19" t="s">
        <v>126</v>
      </c>
      <c r="S10" s="19" t="s">
        <v>105</v>
      </c>
      <c r="T10" s="18" t="s">
        <v>110</v>
      </c>
      <c r="U10" s="18" t="s">
        <v>89</v>
      </c>
      <c r="V10" s="18" t="s">
        <v>107</v>
      </c>
      <c r="W10" s="18" t="s">
        <v>94</v>
      </c>
      <c r="X10" s="18" t="s">
        <v>108</v>
      </c>
      <c r="Y10" s="18" t="s">
        <v>89</v>
      </c>
      <c r="Z10" s="18" t="s">
        <v>109</v>
      </c>
      <c r="AA10" s="18" t="s">
        <v>94</v>
      </c>
      <c r="AB10" s="18" t="s">
        <v>106</v>
      </c>
      <c r="AC10" s="18" t="s">
        <v>89</v>
      </c>
      <c r="AD10" s="19" t="s">
        <v>92</v>
      </c>
      <c r="AE10" s="18" t="s">
        <v>96</v>
      </c>
      <c r="AF10" s="18" t="s">
        <v>94</v>
      </c>
      <c r="AG10" s="18" t="s">
        <v>97</v>
      </c>
      <c r="AH10" s="18" t="s">
        <v>89</v>
      </c>
      <c r="AI10" s="18" t="s">
        <v>93</v>
      </c>
      <c r="AJ10" s="18" t="s">
        <v>94</v>
      </c>
      <c r="AK10" s="18" t="s">
        <v>95</v>
      </c>
      <c r="AL10" s="18" t="s">
        <v>89</v>
      </c>
      <c r="AM10" s="18" t="s">
        <v>98</v>
      </c>
      <c r="AN10" s="18" t="s">
        <v>94</v>
      </c>
      <c r="AO10" s="19" t="s">
        <v>99</v>
      </c>
      <c r="AP10" s="18" t="s">
        <v>100</v>
      </c>
      <c r="AQ10" s="18" t="s">
        <v>89</v>
      </c>
      <c r="AR10" s="18" t="s">
        <v>101</v>
      </c>
      <c r="AS10" s="18" t="s">
        <v>94</v>
      </c>
      <c r="AT10" s="18" t="s">
        <v>104</v>
      </c>
      <c r="AU10" s="18" t="s">
        <v>89</v>
      </c>
      <c r="AV10" s="18" t="s">
        <v>103</v>
      </c>
      <c r="AW10" s="18" t="s">
        <v>94</v>
      </c>
      <c r="AX10" s="18" t="s">
        <v>102</v>
      </c>
      <c r="AY10" s="18" t="s">
        <v>89</v>
      </c>
      <c r="AZ10" s="18" t="s">
        <v>111</v>
      </c>
      <c r="BA10" s="19" t="s">
        <v>86</v>
      </c>
      <c r="BB10" s="19" t="s">
        <v>92</v>
      </c>
      <c r="BC10" s="18" t="s">
        <v>120</v>
      </c>
      <c r="BD10" s="18" t="s">
        <v>89</v>
      </c>
      <c r="BE10" s="18" t="s">
        <v>123</v>
      </c>
      <c r="BF10" s="18" t="s">
        <v>94</v>
      </c>
      <c r="BG10" s="18" t="s">
        <v>122</v>
      </c>
      <c r="BH10" s="18" t="s">
        <v>89</v>
      </c>
      <c r="BI10" s="18" t="s">
        <v>121</v>
      </c>
      <c r="BJ10" s="18" t="s">
        <v>94</v>
      </c>
      <c r="BK10" s="18"/>
      <c r="BL10" s="18"/>
      <c r="BM10" s="19" t="s">
        <v>99</v>
      </c>
      <c r="BN10" s="18" t="s">
        <v>112</v>
      </c>
      <c r="BO10" s="18" t="s">
        <v>89</v>
      </c>
      <c r="BP10" s="18" t="s">
        <v>115</v>
      </c>
      <c r="BQ10" s="18" t="s">
        <v>94</v>
      </c>
      <c r="BR10" s="18" t="s">
        <v>114</v>
      </c>
      <c r="BS10" s="18" t="s">
        <v>89</v>
      </c>
      <c r="BT10" s="18" t="s">
        <v>113</v>
      </c>
      <c r="BU10" s="18" t="s">
        <v>94</v>
      </c>
      <c r="BV10" s="18"/>
      <c r="BW10" s="18"/>
      <c r="BX10" s="19" t="s">
        <v>105</v>
      </c>
      <c r="BY10" s="18" t="s">
        <v>118</v>
      </c>
      <c r="BZ10" s="18" t="s">
        <v>89</v>
      </c>
      <c r="CA10" s="18" t="s">
        <v>117</v>
      </c>
      <c r="CB10" s="18" t="s">
        <v>94</v>
      </c>
      <c r="CC10" s="18" t="s">
        <v>116</v>
      </c>
      <c r="CD10" s="18" t="s">
        <v>89</v>
      </c>
      <c r="CE10" s="18" t="s">
        <v>119</v>
      </c>
      <c r="CF10" s="18" t="s">
        <v>94</v>
      </c>
      <c r="CG10" s="18"/>
      <c r="CH10" s="18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</row>
    <row r="11" spans="1:246" ht="14.45" customHeight="1">
      <c r="A11" s="27" t="s">
        <v>134</v>
      </c>
      <c r="B11" s="27" t="s">
        <v>125</v>
      </c>
      <c r="C11" s="19" t="s">
        <v>87</v>
      </c>
      <c r="D11" s="19" t="s">
        <v>86</v>
      </c>
      <c r="E11" s="21" t="s">
        <v>351</v>
      </c>
      <c r="F11" s="18" t="s">
        <v>89</v>
      </c>
      <c r="G11" s="21" t="s">
        <v>88</v>
      </c>
      <c r="H11" s="18" t="s">
        <v>89</v>
      </c>
      <c r="I11" s="21" t="s">
        <v>352</v>
      </c>
      <c r="J11" s="18" t="s">
        <v>89</v>
      </c>
      <c r="K11" s="21" t="s">
        <v>353</v>
      </c>
      <c r="L11" s="18" t="s">
        <v>89</v>
      </c>
      <c r="M11" s="21" t="s">
        <v>354</v>
      </c>
      <c r="N11" s="18" t="s">
        <v>89</v>
      </c>
      <c r="O11" s="18" t="s">
        <v>90</v>
      </c>
      <c r="P11" s="18" t="s">
        <v>89</v>
      </c>
      <c r="Q11" s="18" t="s">
        <v>111</v>
      </c>
      <c r="R11" s="19" t="s">
        <v>87</v>
      </c>
      <c r="S11" s="19" t="s">
        <v>99</v>
      </c>
      <c r="T11" s="18" t="s">
        <v>112</v>
      </c>
      <c r="U11" s="18" t="s">
        <v>89</v>
      </c>
      <c r="V11" s="18" t="s">
        <v>115</v>
      </c>
      <c r="W11" s="18" t="s">
        <v>94</v>
      </c>
      <c r="X11" s="18" t="s">
        <v>114</v>
      </c>
      <c r="Y11" s="18" t="s">
        <v>89</v>
      </c>
      <c r="Z11" s="18" t="s">
        <v>113</v>
      </c>
      <c r="AA11" s="18" t="s">
        <v>94</v>
      </c>
      <c r="AB11" s="18"/>
      <c r="AC11" s="18"/>
      <c r="AD11" s="19" t="s">
        <v>105</v>
      </c>
      <c r="AE11" s="18" t="s">
        <v>118</v>
      </c>
      <c r="AF11" s="18" t="s">
        <v>89</v>
      </c>
      <c r="AG11" s="18" t="s">
        <v>117</v>
      </c>
      <c r="AH11" s="18" t="s">
        <v>94</v>
      </c>
      <c r="AI11" s="18" t="s">
        <v>116</v>
      </c>
      <c r="AJ11" s="18" t="s">
        <v>89</v>
      </c>
      <c r="AK11" s="18" t="s">
        <v>119</v>
      </c>
      <c r="AL11" s="18" t="s">
        <v>94</v>
      </c>
      <c r="AM11" s="18"/>
      <c r="AN11" s="18"/>
      <c r="AO11" s="19" t="s">
        <v>92</v>
      </c>
      <c r="AP11" s="18" t="s">
        <v>122</v>
      </c>
      <c r="AQ11" s="18" t="s">
        <v>89</v>
      </c>
      <c r="AR11" s="18" t="s">
        <v>123</v>
      </c>
      <c r="AS11" s="18" t="s">
        <v>94</v>
      </c>
      <c r="AT11" s="18" t="s">
        <v>120</v>
      </c>
      <c r="AU11" s="18" t="s">
        <v>89</v>
      </c>
      <c r="AV11" s="18" t="s">
        <v>121</v>
      </c>
      <c r="AW11" s="18" t="s">
        <v>94</v>
      </c>
      <c r="AX11" s="18"/>
      <c r="AY11" s="18"/>
      <c r="AZ11" s="18" t="s">
        <v>91</v>
      </c>
      <c r="BA11" s="19" t="s">
        <v>86</v>
      </c>
      <c r="BB11" s="19" t="s">
        <v>92</v>
      </c>
      <c r="BC11" s="18" t="s">
        <v>93</v>
      </c>
      <c r="BD11" s="18" t="s">
        <v>94</v>
      </c>
      <c r="BE11" s="18" t="s">
        <v>97</v>
      </c>
      <c r="BF11" s="18" t="s">
        <v>89</v>
      </c>
      <c r="BG11" s="18" t="s">
        <v>96</v>
      </c>
      <c r="BH11" s="18" t="s">
        <v>94</v>
      </c>
      <c r="BI11" s="18" t="s">
        <v>95</v>
      </c>
      <c r="BJ11" s="18" t="s">
        <v>89</v>
      </c>
      <c r="BK11" s="18" t="s">
        <v>98</v>
      </c>
      <c r="BL11" s="18" t="s">
        <v>94</v>
      </c>
      <c r="BM11" s="19" t="s">
        <v>99</v>
      </c>
      <c r="BN11" s="18" t="s">
        <v>100</v>
      </c>
      <c r="BO11" s="18" t="s">
        <v>89</v>
      </c>
      <c r="BP11" s="18" t="s">
        <v>101</v>
      </c>
      <c r="BQ11" s="18" t="s">
        <v>94</v>
      </c>
      <c r="BR11" s="18" t="s">
        <v>102</v>
      </c>
      <c r="BS11" s="18" t="s">
        <v>89</v>
      </c>
      <c r="BT11" s="18" t="s">
        <v>103</v>
      </c>
      <c r="BU11" s="18" t="s">
        <v>94</v>
      </c>
      <c r="BV11" s="18" t="s">
        <v>104</v>
      </c>
      <c r="BW11" s="18" t="s">
        <v>89</v>
      </c>
      <c r="BX11" s="19" t="s">
        <v>105</v>
      </c>
      <c r="BY11" s="18" t="s">
        <v>110</v>
      </c>
      <c r="BZ11" s="18" t="s">
        <v>89</v>
      </c>
      <c r="CA11" s="18" t="s">
        <v>109</v>
      </c>
      <c r="CB11" s="18" t="s">
        <v>94</v>
      </c>
      <c r="CC11" s="18" t="s">
        <v>108</v>
      </c>
      <c r="CD11" s="18" t="s">
        <v>89</v>
      </c>
      <c r="CE11" s="18" t="s">
        <v>107</v>
      </c>
      <c r="CF11" s="18" t="s">
        <v>94</v>
      </c>
      <c r="CG11" s="18" t="s">
        <v>106</v>
      </c>
      <c r="CH11" s="18" t="s">
        <v>89</v>
      </c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</row>
    <row r="12" spans="1:246" ht="14.45" customHeight="1">
      <c r="A12" s="27" t="s">
        <v>135</v>
      </c>
      <c r="B12" s="27" t="s">
        <v>85</v>
      </c>
      <c r="C12" s="19" t="s">
        <v>87</v>
      </c>
      <c r="D12" s="19" t="s">
        <v>126</v>
      </c>
      <c r="E12" s="21" t="s">
        <v>351</v>
      </c>
      <c r="F12" s="18" t="s">
        <v>89</v>
      </c>
      <c r="G12" s="21" t="s">
        <v>88</v>
      </c>
      <c r="H12" s="18" t="s">
        <v>89</v>
      </c>
      <c r="I12" s="21" t="s">
        <v>352</v>
      </c>
      <c r="J12" s="18" t="s">
        <v>89</v>
      </c>
      <c r="K12" s="21" t="s">
        <v>353</v>
      </c>
      <c r="L12" s="18" t="s">
        <v>89</v>
      </c>
      <c r="M12" s="21" t="s">
        <v>354</v>
      </c>
      <c r="N12" s="18" t="s">
        <v>89</v>
      </c>
      <c r="O12" s="18" t="s">
        <v>90</v>
      </c>
      <c r="P12" s="18" t="s">
        <v>89</v>
      </c>
      <c r="Q12" s="18" t="s">
        <v>91</v>
      </c>
      <c r="R12" s="19" t="s">
        <v>87</v>
      </c>
      <c r="S12" s="19" t="s">
        <v>99</v>
      </c>
      <c r="T12" s="18" t="s">
        <v>136</v>
      </c>
      <c r="U12" s="18" t="s">
        <v>94</v>
      </c>
      <c r="V12" s="18" t="s">
        <v>137</v>
      </c>
      <c r="W12" s="18" t="s">
        <v>89</v>
      </c>
      <c r="X12" s="18" t="s">
        <v>138</v>
      </c>
      <c r="Y12" s="18" t="s">
        <v>94</v>
      </c>
      <c r="Z12" s="18" t="s">
        <v>139</v>
      </c>
      <c r="AA12" s="18" t="s">
        <v>89</v>
      </c>
      <c r="AB12" s="18" t="s">
        <v>140</v>
      </c>
      <c r="AC12" s="18" t="s">
        <v>94</v>
      </c>
      <c r="AD12" s="19" t="s">
        <v>105</v>
      </c>
      <c r="AE12" s="18" t="s">
        <v>141</v>
      </c>
      <c r="AF12" s="18" t="s">
        <v>89</v>
      </c>
      <c r="AG12" s="18" t="s">
        <v>142</v>
      </c>
      <c r="AH12" s="18" t="s">
        <v>94</v>
      </c>
      <c r="AI12" s="18" t="s">
        <v>143</v>
      </c>
      <c r="AJ12" s="18" t="s">
        <v>89</v>
      </c>
      <c r="AK12" s="18" t="s">
        <v>144</v>
      </c>
      <c r="AL12" s="18" t="s">
        <v>94</v>
      </c>
      <c r="AM12" s="18" t="s">
        <v>145</v>
      </c>
      <c r="AN12" s="18" t="s">
        <v>89</v>
      </c>
      <c r="AO12" s="19" t="s">
        <v>92</v>
      </c>
      <c r="AP12" s="18" t="s">
        <v>146</v>
      </c>
      <c r="AQ12" s="18" t="s">
        <v>89</v>
      </c>
      <c r="AR12" s="18" t="s">
        <v>147</v>
      </c>
      <c r="AS12" s="18" t="s">
        <v>94</v>
      </c>
      <c r="AT12" s="18" t="s">
        <v>148</v>
      </c>
      <c r="AU12" s="18" t="s">
        <v>89</v>
      </c>
      <c r="AV12" s="18" t="s">
        <v>149</v>
      </c>
      <c r="AW12" s="18" t="s">
        <v>94</v>
      </c>
      <c r="AX12" s="18" t="s">
        <v>150</v>
      </c>
      <c r="AY12" s="18" t="s">
        <v>89</v>
      </c>
      <c r="AZ12" s="18" t="s">
        <v>111</v>
      </c>
      <c r="BA12" s="19" t="s">
        <v>126</v>
      </c>
      <c r="BB12" s="19" t="s">
        <v>105</v>
      </c>
      <c r="BC12" s="18" t="s">
        <v>151</v>
      </c>
      <c r="BD12" s="18" t="s">
        <v>89</v>
      </c>
      <c r="BE12" s="18" t="s">
        <v>152</v>
      </c>
      <c r="BF12" s="18" t="s">
        <v>94</v>
      </c>
      <c r="BG12" s="18" t="s">
        <v>153</v>
      </c>
      <c r="BH12" s="18" t="s">
        <v>89</v>
      </c>
      <c r="BI12" s="18" t="s">
        <v>154</v>
      </c>
      <c r="BJ12" s="18" t="s">
        <v>94</v>
      </c>
      <c r="BK12" s="18"/>
      <c r="BL12" s="18"/>
      <c r="BM12" s="19" t="s">
        <v>92</v>
      </c>
      <c r="BN12" s="18" t="s">
        <v>155</v>
      </c>
      <c r="BO12" s="18" t="s">
        <v>89</v>
      </c>
      <c r="BP12" s="18" t="s">
        <v>156</v>
      </c>
      <c r="BQ12" s="18" t="s">
        <v>94</v>
      </c>
      <c r="BR12" s="18" t="s">
        <v>157</v>
      </c>
      <c r="BS12" s="18" t="s">
        <v>89</v>
      </c>
      <c r="BT12" s="18" t="s">
        <v>158</v>
      </c>
      <c r="BU12" s="18" t="s">
        <v>94</v>
      </c>
      <c r="BV12" s="18"/>
      <c r="BW12" s="18"/>
      <c r="BX12" s="19" t="s">
        <v>99</v>
      </c>
      <c r="BY12" s="18" t="s">
        <v>159</v>
      </c>
      <c r="BZ12" s="18" t="s">
        <v>89</v>
      </c>
      <c r="CA12" s="18" t="s">
        <v>160</v>
      </c>
      <c r="CB12" s="18" t="s">
        <v>94</v>
      </c>
      <c r="CC12" s="18" t="s">
        <v>161</v>
      </c>
      <c r="CD12" s="18" t="s">
        <v>89</v>
      </c>
      <c r="CE12" s="18" t="s">
        <v>162</v>
      </c>
      <c r="CF12" s="18" t="s">
        <v>94</v>
      </c>
      <c r="CG12" s="18"/>
      <c r="CH12" s="18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</row>
    <row r="13" spans="1:246" ht="14.45" customHeight="1">
      <c r="A13" s="27" t="s">
        <v>163</v>
      </c>
      <c r="B13" s="27" t="s">
        <v>125</v>
      </c>
      <c r="C13" s="19" t="s">
        <v>86</v>
      </c>
      <c r="D13" s="19" t="s">
        <v>126</v>
      </c>
      <c r="E13" s="21" t="s">
        <v>351</v>
      </c>
      <c r="F13" s="18" t="s">
        <v>89</v>
      </c>
      <c r="G13" s="21" t="s">
        <v>88</v>
      </c>
      <c r="H13" s="18" t="s">
        <v>89</v>
      </c>
      <c r="I13" s="21" t="s">
        <v>352</v>
      </c>
      <c r="J13" s="18" t="s">
        <v>89</v>
      </c>
      <c r="K13" s="21" t="s">
        <v>353</v>
      </c>
      <c r="L13" s="18" t="s">
        <v>89</v>
      </c>
      <c r="M13" s="21" t="s">
        <v>354</v>
      </c>
      <c r="N13" s="18" t="s">
        <v>89</v>
      </c>
      <c r="O13" s="18" t="s">
        <v>90</v>
      </c>
      <c r="P13" s="18" t="s">
        <v>89</v>
      </c>
      <c r="Q13" s="18" t="s">
        <v>111</v>
      </c>
      <c r="R13" s="19" t="s">
        <v>86</v>
      </c>
      <c r="S13" s="19" t="s">
        <v>92</v>
      </c>
      <c r="T13" s="18" t="s">
        <v>157</v>
      </c>
      <c r="U13" s="18" t="s">
        <v>89</v>
      </c>
      <c r="V13" s="18" t="s">
        <v>156</v>
      </c>
      <c r="W13" s="18" t="s">
        <v>94</v>
      </c>
      <c r="X13" s="18" t="s">
        <v>155</v>
      </c>
      <c r="Y13" s="18" t="s">
        <v>89</v>
      </c>
      <c r="Z13" s="18" t="s">
        <v>158</v>
      </c>
      <c r="AA13" s="18" t="s">
        <v>94</v>
      </c>
      <c r="AB13" s="18"/>
      <c r="AC13" s="18"/>
      <c r="AD13" s="19" t="s">
        <v>99</v>
      </c>
      <c r="AE13" s="18" t="s">
        <v>161</v>
      </c>
      <c r="AF13" s="18" t="s">
        <v>89</v>
      </c>
      <c r="AG13" s="18" t="s">
        <v>162</v>
      </c>
      <c r="AH13" s="18" t="s">
        <v>94</v>
      </c>
      <c r="AI13" s="18" t="s">
        <v>159</v>
      </c>
      <c r="AJ13" s="18" t="s">
        <v>89</v>
      </c>
      <c r="AK13" s="18" t="s">
        <v>160</v>
      </c>
      <c r="AL13" s="18" t="s">
        <v>94</v>
      </c>
      <c r="AM13" s="18"/>
      <c r="AN13" s="18"/>
      <c r="AO13" s="19" t="s">
        <v>105</v>
      </c>
      <c r="AP13" s="18" t="s">
        <v>151</v>
      </c>
      <c r="AQ13" s="18" t="s">
        <v>89</v>
      </c>
      <c r="AR13" s="18" t="s">
        <v>152</v>
      </c>
      <c r="AS13" s="18" t="s">
        <v>94</v>
      </c>
      <c r="AT13" s="18" t="s">
        <v>153</v>
      </c>
      <c r="AU13" s="18" t="s">
        <v>89</v>
      </c>
      <c r="AV13" s="18" t="s">
        <v>154</v>
      </c>
      <c r="AW13" s="18" t="s">
        <v>94</v>
      </c>
      <c r="AX13" s="18"/>
      <c r="AY13" s="18"/>
      <c r="AZ13" s="18" t="s">
        <v>91</v>
      </c>
      <c r="BA13" s="19" t="s">
        <v>126</v>
      </c>
      <c r="BB13" s="19" t="s">
        <v>105</v>
      </c>
      <c r="BC13" s="18" t="s">
        <v>145</v>
      </c>
      <c r="BD13" s="18" t="s">
        <v>89</v>
      </c>
      <c r="BE13" s="18" t="s">
        <v>142</v>
      </c>
      <c r="BF13" s="18" t="s">
        <v>94</v>
      </c>
      <c r="BG13" s="18" t="s">
        <v>141</v>
      </c>
      <c r="BH13" s="18" t="s">
        <v>89</v>
      </c>
      <c r="BI13" s="18" t="s">
        <v>144</v>
      </c>
      <c r="BJ13" s="18" t="s">
        <v>94</v>
      </c>
      <c r="BK13" s="18" t="s">
        <v>143</v>
      </c>
      <c r="BL13" s="18" t="s">
        <v>89</v>
      </c>
      <c r="BM13" s="19" t="s">
        <v>92</v>
      </c>
      <c r="BN13" s="18" t="s">
        <v>148</v>
      </c>
      <c r="BO13" s="18" t="s">
        <v>89</v>
      </c>
      <c r="BP13" s="18" t="s">
        <v>147</v>
      </c>
      <c r="BQ13" s="18" t="s">
        <v>94</v>
      </c>
      <c r="BR13" s="18" t="s">
        <v>146</v>
      </c>
      <c r="BS13" s="18" t="s">
        <v>89</v>
      </c>
      <c r="BT13" s="18" t="s">
        <v>149</v>
      </c>
      <c r="BU13" s="18" t="s">
        <v>94</v>
      </c>
      <c r="BV13" s="18" t="s">
        <v>150</v>
      </c>
      <c r="BW13" s="18" t="s">
        <v>89</v>
      </c>
      <c r="BX13" s="19" t="s">
        <v>99</v>
      </c>
      <c r="BY13" s="18" t="s">
        <v>140</v>
      </c>
      <c r="BZ13" s="18" t="s">
        <v>94</v>
      </c>
      <c r="CA13" s="18" t="s">
        <v>139</v>
      </c>
      <c r="CB13" s="18" t="s">
        <v>89</v>
      </c>
      <c r="CC13" s="18" t="s">
        <v>138</v>
      </c>
      <c r="CD13" s="18" t="s">
        <v>94</v>
      </c>
      <c r="CE13" s="18" t="s">
        <v>137</v>
      </c>
      <c r="CF13" s="18" t="s">
        <v>89</v>
      </c>
      <c r="CG13" s="18" t="s">
        <v>136</v>
      </c>
      <c r="CH13" s="18" t="s">
        <v>94</v>
      </c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</row>
    <row r="14" spans="1:246" ht="14.45" customHeight="1">
      <c r="A14" s="27" t="s">
        <v>164</v>
      </c>
      <c r="B14" s="27" t="s">
        <v>85</v>
      </c>
      <c r="C14" s="19" t="s">
        <v>86</v>
      </c>
      <c r="D14" s="19" t="s">
        <v>87</v>
      </c>
      <c r="E14" s="21" t="s">
        <v>351</v>
      </c>
      <c r="F14" s="18" t="s">
        <v>89</v>
      </c>
      <c r="G14" s="21" t="s">
        <v>88</v>
      </c>
      <c r="H14" s="18" t="s">
        <v>89</v>
      </c>
      <c r="I14" s="21" t="s">
        <v>352</v>
      </c>
      <c r="J14" s="18" t="s">
        <v>89</v>
      </c>
      <c r="K14" s="21" t="s">
        <v>353</v>
      </c>
      <c r="L14" s="18" t="s">
        <v>89</v>
      </c>
      <c r="M14" s="21" t="s">
        <v>354</v>
      </c>
      <c r="N14" s="18" t="s">
        <v>89</v>
      </c>
      <c r="O14" s="18" t="s">
        <v>90</v>
      </c>
      <c r="P14" s="18" t="s">
        <v>89</v>
      </c>
      <c r="Q14" s="18" t="s">
        <v>91</v>
      </c>
      <c r="R14" s="19" t="s">
        <v>86</v>
      </c>
      <c r="S14" s="19" t="s">
        <v>92</v>
      </c>
      <c r="T14" s="18" t="s">
        <v>146</v>
      </c>
      <c r="U14" s="18" t="s">
        <v>89</v>
      </c>
      <c r="V14" s="18" t="s">
        <v>149</v>
      </c>
      <c r="W14" s="18" t="s">
        <v>94</v>
      </c>
      <c r="X14" s="18" t="s">
        <v>150</v>
      </c>
      <c r="Y14" s="18" t="s">
        <v>89</v>
      </c>
      <c r="Z14" s="18" t="s">
        <v>147</v>
      </c>
      <c r="AA14" s="18" t="s">
        <v>94</v>
      </c>
      <c r="AB14" s="18" t="s">
        <v>148</v>
      </c>
      <c r="AC14" s="18" t="s">
        <v>89</v>
      </c>
      <c r="AD14" s="19" t="s">
        <v>99</v>
      </c>
      <c r="AE14" s="18" t="s">
        <v>138</v>
      </c>
      <c r="AF14" s="18" t="s">
        <v>94</v>
      </c>
      <c r="AG14" s="18" t="s">
        <v>137</v>
      </c>
      <c r="AH14" s="18" t="s">
        <v>89</v>
      </c>
      <c r="AI14" s="18" t="s">
        <v>136</v>
      </c>
      <c r="AJ14" s="18" t="s">
        <v>94</v>
      </c>
      <c r="AK14" s="18" t="s">
        <v>139</v>
      </c>
      <c r="AL14" s="18" t="s">
        <v>89</v>
      </c>
      <c r="AM14" s="18" t="s">
        <v>140</v>
      </c>
      <c r="AN14" s="18" t="s">
        <v>94</v>
      </c>
      <c r="AO14" s="19" t="s">
        <v>105</v>
      </c>
      <c r="AP14" s="18" t="s">
        <v>141</v>
      </c>
      <c r="AQ14" s="18" t="s">
        <v>89</v>
      </c>
      <c r="AR14" s="18" t="s">
        <v>142</v>
      </c>
      <c r="AS14" s="18" t="s">
        <v>94</v>
      </c>
      <c r="AT14" s="18" t="s">
        <v>145</v>
      </c>
      <c r="AU14" s="18" t="s">
        <v>89</v>
      </c>
      <c r="AV14" s="18" t="s">
        <v>144</v>
      </c>
      <c r="AW14" s="18" t="s">
        <v>94</v>
      </c>
      <c r="AX14" s="18" t="s">
        <v>143</v>
      </c>
      <c r="AY14" s="18" t="s">
        <v>89</v>
      </c>
      <c r="AZ14" s="18" t="s">
        <v>111</v>
      </c>
      <c r="BA14" s="19" t="s">
        <v>87</v>
      </c>
      <c r="BB14" s="19" t="s">
        <v>99</v>
      </c>
      <c r="BC14" s="18" t="s">
        <v>161</v>
      </c>
      <c r="BD14" s="18" t="s">
        <v>89</v>
      </c>
      <c r="BE14" s="18" t="s">
        <v>162</v>
      </c>
      <c r="BF14" s="18" t="s">
        <v>94</v>
      </c>
      <c r="BG14" s="18" t="s">
        <v>159</v>
      </c>
      <c r="BH14" s="18" t="s">
        <v>89</v>
      </c>
      <c r="BI14" s="18" t="s">
        <v>160</v>
      </c>
      <c r="BJ14" s="18" t="s">
        <v>94</v>
      </c>
      <c r="BK14" s="18"/>
      <c r="BL14" s="18"/>
      <c r="BM14" s="19" t="s">
        <v>105</v>
      </c>
      <c r="BN14" s="18" t="s">
        <v>151</v>
      </c>
      <c r="BO14" s="18" t="s">
        <v>89</v>
      </c>
      <c r="BP14" s="18" t="s">
        <v>154</v>
      </c>
      <c r="BQ14" s="18" t="s">
        <v>94</v>
      </c>
      <c r="BR14" s="18" t="s">
        <v>153</v>
      </c>
      <c r="BS14" s="18" t="s">
        <v>89</v>
      </c>
      <c r="BT14" s="18" t="s">
        <v>152</v>
      </c>
      <c r="BU14" s="18" t="s">
        <v>94</v>
      </c>
      <c r="BV14" s="18"/>
      <c r="BW14" s="18"/>
      <c r="BX14" s="19" t="s">
        <v>92</v>
      </c>
      <c r="BY14" s="18" t="s">
        <v>157</v>
      </c>
      <c r="BZ14" s="18" t="s">
        <v>89</v>
      </c>
      <c r="CA14" s="18" t="s">
        <v>158</v>
      </c>
      <c r="CB14" s="18" t="s">
        <v>94</v>
      </c>
      <c r="CC14" s="18" t="s">
        <v>155</v>
      </c>
      <c r="CD14" s="18" t="s">
        <v>89</v>
      </c>
      <c r="CE14" s="18" t="s">
        <v>156</v>
      </c>
      <c r="CF14" s="18" t="s">
        <v>94</v>
      </c>
      <c r="CG14" s="18"/>
      <c r="CH14" s="18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</row>
    <row r="15" spans="1:246" ht="14.45" customHeight="1">
      <c r="A15" s="27" t="s">
        <v>165</v>
      </c>
      <c r="B15" s="27" t="s">
        <v>125</v>
      </c>
      <c r="C15" s="19" t="s">
        <v>126</v>
      </c>
      <c r="D15" s="19" t="s">
        <v>87</v>
      </c>
      <c r="E15" s="21" t="s">
        <v>351</v>
      </c>
      <c r="F15" s="18" t="s">
        <v>89</v>
      </c>
      <c r="G15" s="21" t="s">
        <v>88</v>
      </c>
      <c r="H15" s="18" t="s">
        <v>89</v>
      </c>
      <c r="I15" s="21" t="s">
        <v>352</v>
      </c>
      <c r="J15" s="18" t="s">
        <v>89</v>
      </c>
      <c r="K15" s="21" t="s">
        <v>353</v>
      </c>
      <c r="L15" s="18" t="s">
        <v>89</v>
      </c>
      <c r="M15" s="21" t="s">
        <v>354</v>
      </c>
      <c r="N15" s="18" t="s">
        <v>89</v>
      </c>
      <c r="O15" s="18" t="s">
        <v>90</v>
      </c>
      <c r="P15" s="18" t="s">
        <v>89</v>
      </c>
      <c r="Q15" s="18" t="s">
        <v>111</v>
      </c>
      <c r="R15" s="19" t="s">
        <v>126</v>
      </c>
      <c r="S15" s="19" t="s">
        <v>105</v>
      </c>
      <c r="T15" s="18" t="s">
        <v>151</v>
      </c>
      <c r="U15" s="18" t="s">
        <v>89</v>
      </c>
      <c r="V15" s="18" t="s">
        <v>152</v>
      </c>
      <c r="W15" s="18" t="s">
        <v>94</v>
      </c>
      <c r="X15" s="18" t="s">
        <v>153</v>
      </c>
      <c r="Y15" s="18" t="s">
        <v>89</v>
      </c>
      <c r="Z15" s="18" t="s">
        <v>154</v>
      </c>
      <c r="AA15" s="18" t="s">
        <v>94</v>
      </c>
      <c r="AB15" s="18"/>
      <c r="AC15" s="18"/>
      <c r="AD15" s="19" t="s">
        <v>92</v>
      </c>
      <c r="AE15" s="18" t="s">
        <v>155</v>
      </c>
      <c r="AF15" s="18" t="s">
        <v>89</v>
      </c>
      <c r="AG15" s="18" t="s">
        <v>156</v>
      </c>
      <c r="AH15" s="18" t="s">
        <v>94</v>
      </c>
      <c r="AI15" s="18" t="s">
        <v>157</v>
      </c>
      <c r="AJ15" s="18" t="s">
        <v>89</v>
      </c>
      <c r="AK15" s="18" t="s">
        <v>158</v>
      </c>
      <c r="AL15" s="18" t="s">
        <v>94</v>
      </c>
      <c r="AM15" s="18"/>
      <c r="AN15" s="18"/>
      <c r="AO15" s="19" t="s">
        <v>99</v>
      </c>
      <c r="AP15" s="18" t="s">
        <v>161</v>
      </c>
      <c r="AQ15" s="18" t="s">
        <v>89</v>
      </c>
      <c r="AR15" s="18" t="s">
        <v>160</v>
      </c>
      <c r="AS15" s="18" t="s">
        <v>94</v>
      </c>
      <c r="AT15" s="18" t="s">
        <v>159</v>
      </c>
      <c r="AU15" s="18" t="s">
        <v>89</v>
      </c>
      <c r="AV15" s="18" t="s">
        <v>162</v>
      </c>
      <c r="AW15" s="18" t="s">
        <v>94</v>
      </c>
      <c r="AX15" s="18"/>
      <c r="AY15" s="18"/>
      <c r="AZ15" s="18" t="s">
        <v>91</v>
      </c>
      <c r="BA15" s="19" t="s">
        <v>87</v>
      </c>
      <c r="BB15" s="19" t="s">
        <v>99</v>
      </c>
      <c r="BC15" s="18" t="s">
        <v>140</v>
      </c>
      <c r="BD15" s="18" t="s">
        <v>94</v>
      </c>
      <c r="BE15" s="18" t="s">
        <v>137</v>
      </c>
      <c r="BF15" s="18" t="s">
        <v>89</v>
      </c>
      <c r="BG15" s="18" t="s">
        <v>138</v>
      </c>
      <c r="BH15" s="18" t="s">
        <v>94</v>
      </c>
      <c r="BI15" s="18" t="s">
        <v>139</v>
      </c>
      <c r="BJ15" s="18" t="s">
        <v>89</v>
      </c>
      <c r="BK15" s="18" t="s">
        <v>136</v>
      </c>
      <c r="BL15" s="18" t="s">
        <v>94</v>
      </c>
      <c r="BM15" s="19" t="s">
        <v>105</v>
      </c>
      <c r="BN15" s="18" t="s">
        <v>143</v>
      </c>
      <c r="BO15" s="18" t="s">
        <v>89</v>
      </c>
      <c r="BP15" s="18" t="s">
        <v>144</v>
      </c>
      <c r="BQ15" s="18" t="s">
        <v>94</v>
      </c>
      <c r="BR15" s="18" t="s">
        <v>145</v>
      </c>
      <c r="BS15" s="18" t="s">
        <v>89</v>
      </c>
      <c r="BT15" s="18" t="s">
        <v>142</v>
      </c>
      <c r="BU15" s="18" t="s">
        <v>94</v>
      </c>
      <c r="BV15" s="18" t="s">
        <v>141</v>
      </c>
      <c r="BW15" s="18" t="s">
        <v>89</v>
      </c>
      <c r="BX15" s="19" t="s">
        <v>92</v>
      </c>
      <c r="BY15" s="18" t="s">
        <v>150</v>
      </c>
      <c r="BZ15" s="18" t="s">
        <v>89</v>
      </c>
      <c r="CA15" s="18" t="s">
        <v>149</v>
      </c>
      <c r="CB15" s="18" t="s">
        <v>94</v>
      </c>
      <c r="CC15" s="18" t="s">
        <v>148</v>
      </c>
      <c r="CD15" s="18" t="s">
        <v>89</v>
      </c>
      <c r="CE15" s="18" t="s">
        <v>147</v>
      </c>
      <c r="CF15" s="18" t="s">
        <v>94</v>
      </c>
      <c r="CG15" s="18" t="s">
        <v>146</v>
      </c>
      <c r="CH15" s="18" t="s">
        <v>89</v>
      </c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</row>
    <row r="16" spans="1:246" ht="14.45" customHeight="1">
      <c r="A16" s="27" t="s">
        <v>166</v>
      </c>
      <c r="B16" s="27" t="s">
        <v>85</v>
      </c>
      <c r="C16" s="19" t="s">
        <v>126</v>
      </c>
      <c r="D16" s="19" t="s">
        <v>86</v>
      </c>
      <c r="E16" s="21" t="s">
        <v>351</v>
      </c>
      <c r="F16" s="18" t="s">
        <v>89</v>
      </c>
      <c r="G16" s="21" t="s">
        <v>88</v>
      </c>
      <c r="H16" s="18" t="s">
        <v>89</v>
      </c>
      <c r="I16" s="21" t="s">
        <v>352</v>
      </c>
      <c r="J16" s="18" t="s">
        <v>89</v>
      </c>
      <c r="K16" s="21" t="s">
        <v>353</v>
      </c>
      <c r="L16" s="18" t="s">
        <v>89</v>
      </c>
      <c r="M16" s="21" t="s">
        <v>354</v>
      </c>
      <c r="N16" s="18" t="s">
        <v>89</v>
      </c>
      <c r="O16" s="18" t="s">
        <v>90</v>
      </c>
      <c r="P16" s="18" t="s">
        <v>89</v>
      </c>
      <c r="Q16" s="18" t="s">
        <v>91</v>
      </c>
      <c r="R16" s="19" t="s">
        <v>126</v>
      </c>
      <c r="S16" s="19" t="s">
        <v>105</v>
      </c>
      <c r="T16" s="18" t="s">
        <v>143</v>
      </c>
      <c r="U16" s="18" t="s">
        <v>89</v>
      </c>
      <c r="V16" s="18" t="s">
        <v>142</v>
      </c>
      <c r="W16" s="18" t="s">
        <v>94</v>
      </c>
      <c r="X16" s="18" t="s">
        <v>141</v>
      </c>
      <c r="Y16" s="18" t="s">
        <v>89</v>
      </c>
      <c r="Z16" s="18" t="s">
        <v>144</v>
      </c>
      <c r="AA16" s="18" t="s">
        <v>94</v>
      </c>
      <c r="AB16" s="18" t="s">
        <v>145</v>
      </c>
      <c r="AC16" s="18" t="s">
        <v>89</v>
      </c>
      <c r="AD16" s="19" t="s">
        <v>92</v>
      </c>
      <c r="AE16" s="18" t="s">
        <v>148</v>
      </c>
      <c r="AF16" s="18" t="s">
        <v>89</v>
      </c>
      <c r="AG16" s="18" t="s">
        <v>149</v>
      </c>
      <c r="AH16" s="18" t="s">
        <v>94</v>
      </c>
      <c r="AI16" s="18" t="s">
        <v>146</v>
      </c>
      <c r="AJ16" s="18" t="s">
        <v>89</v>
      </c>
      <c r="AK16" s="18" t="s">
        <v>147</v>
      </c>
      <c r="AL16" s="18" t="s">
        <v>94</v>
      </c>
      <c r="AM16" s="18" t="s">
        <v>150</v>
      </c>
      <c r="AN16" s="18" t="s">
        <v>89</v>
      </c>
      <c r="AO16" s="19" t="s">
        <v>99</v>
      </c>
      <c r="AP16" s="18" t="s">
        <v>136</v>
      </c>
      <c r="AQ16" s="18" t="s">
        <v>94</v>
      </c>
      <c r="AR16" s="18" t="s">
        <v>137</v>
      </c>
      <c r="AS16" s="18" t="s">
        <v>89</v>
      </c>
      <c r="AT16" s="18" t="s">
        <v>140</v>
      </c>
      <c r="AU16" s="18" t="s">
        <v>94</v>
      </c>
      <c r="AV16" s="18" t="s">
        <v>139</v>
      </c>
      <c r="AW16" s="18" t="s">
        <v>89</v>
      </c>
      <c r="AX16" s="18" t="s">
        <v>138</v>
      </c>
      <c r="AY16" s="18" t="s">
        <v>94</v>
      </c>
      <c r="AZ16" s="18" t="s">
        <v>111</v>
      </c>
      <c r="BA16" s="19" t="s">
        <v>86</v>
      </c>
      <c r="BB16" s="19" t="s">
        <v>92</v>
      </c>
      <c r="BC16" s="18" t="s">
        <v>157</v>
      </c>
      <c r="BD16" s="18" t="s">
        <v>89</v>
      </c>
      <c r="BE16" s="18" t="s">
        <v>156</v>
      </c>
      <c r="BF16" s="18" t="s">
        <v>94</v>
      </c>
      <c r="BG16" s="18" t="s">
        <v>155</v>
      </c>
      <c r="BH16" s="18" t="s">
        <v>89</v>
      </c>
      <c r="BI16" s="18" t="s">
        <v>158</v>
      </c>
      <c r="BJ16" s="18" t="s">
        <v>94</v>
      </c>
      <c r="BK16" s="18"/>
      <c r="BL16" s="18"/>
      <c r="BM16" s="19" t="s">
        <v>99</v>
      </c>
      <c r="BN16" s="18" t="s">
        <v>161</v>
      </c>
      <c r="BO16" s="18" t="s">
        <v>89</v>
      </c>
      <c r="BP16" s="18" t="s">
        <v>160</v>
      </c>
      <c r="BQ16" s="18" t="s">
        <v>94</v>
      </c>
      <c r="BR16" s="18" t="s">
        <v>159</v>
      </c>
      <c r="BS16" s="18" t="s">
        <v>89</v>
      </c>
      <c r="BT16" s="18" t="s">
        <v>162</v>
      </c>
      <c r="BU16" s="18" t="s">
        <v>94</v>
      </c>
      <c r="BV16" s="18"/>
      <c r="BW16" s="18"/>
      <c r="BX16" s="19" t="s">
        <v>105</v>
      </c>
      <c r="BY16" s="18" t="s">
        <v>151</v>
      </c>
      <c r="BZ16" s="18" t="s">
        <v>89</v>
      </c>
      <c r="CA16" s="18" t="s">
        <v>152</v>
      </c>
      <c r="CB16" s="18" t="s">
        <v>94</v>
      </c>
      <c r="CC16" s="18" t="s">
        <v>153</v>
      </c>
      <c r="CD16" s="18" t="s">
        <v>89</v>
      </c>
      <c r="CE16" s="18" t="s">
        <v>154</v>
      </c>
      <c r="CF16" s="18" t="s">
        <v>94</v>
      </c>
      <c r="CG16" s="18"/>
      <c r="CH16" s="18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</row>
    <row r="17" spans="1:246" ht="14.45" customHeight="1">
      <c r="A17" s="27" t="s">
        <v>167</v>
      </c>
      <c r="B17" s="27" t="s">
        <v>125</v>
      </c>
      <c r="C17" s="19" t="s">
        <v>87</v>
      </c>
      <c r="D17" s="19" t="s">
        <v>86</v>
      </c>
      <c r="E17" s="21" t="s">
        <v>351</v>
      </c>
      <c r="F17" s="18" t="s">
        <v>89</v>
      </c>
      <c r="G17" s="21" t="s">
        <v>88</v>
      </c>
      <c r="H17" s="18" t="s">
        <v>89</v>
      </c>
      <c r="I17" s="21" t="s">
        <v>352</v>
      </c>
      <c r="J17" s="18" t="s">
        <v>89</v>
      </c>
      <c r="K17" s="21" t="s">
        <v>353</v>
      </c>
      <c r="L17" s="18" t="s">
        <v>89</v>
      </c>
      <c r="M17" s="21" t="s">
        <v>354</v>
      </c>
      <c r="N17" s="18" t="s">
        <v>89</v>
      </c>
      <c r="O17" s="18" t="s">
        <v>90</v>
      </c>
      <c r="P17" s="18" t="s">
        <v>89</v>
      </c>
      <c r="Q17" s="18" t="s">
        <v>111</v>
      </c>
      <c r="R17" s="19" t="s">
        <v>87</v>
      </c>
      <c r="S17" s="19" t="s">
        <v>99</v>
      </c>
      <c r="T17" s="18" t="s">
        <v>161</v>
      </c>
      <c r="U17" s="18" t="s">
        <v>89</v>
      </c>
      <c r="V17" s="18" t="s">
        <v>160</v>
      </c>
      <c r="W17" s="18" t="s">
        <v>94</v>
      </c>
      <c r="X17" s="18" t="s">
        <v>159</v>
      </c>
      <c r="Y17" s="18" t="s">
        <v>89</v>
      </c>
      <c r="Z17" s="18" t="s">
        <v>162</v>
      </c>
      <c r="AA17" s="18" t="s">
        <v>94</v>
      </c>
      <c r="AB17" s="18"/>
      <c r="AC17" s="18"/>
      <c r="AD17" s="19" t="s">
        <v>105</v>
      </c>
      <c r="AE17" s="18" t="s">
        <v>151</v>
      </c>
      <c r="AF17" s="18" t="s">
        <v>89</v>
      </c>
      <c r="AG17" s="18" t="s">
        <v>152</v>
      </c>
      <c r="AH17" s="18" t="s">
        <v>94</v>
      </c>
      <c r="AI17" s="18" t="s">
        <v>153</v>
      </c>
      <c r="AJ17" s="18" t="s">
        <v>89</v>
      </c>
      <c r="AK17" s="18" t="s">
        <v>154</v>
      </c>
      <c r="AL17" s="18" t="s">
        <v>94</v>
      </c>
      <c r="AM17" s="18"/>
      <c r="AN17" s="18"/>
      <c r="AO17" s="19" t="s">
        <v>92</v>
      </c>
      <c r="AP17" s="18" t="s">
        <v>155</v>
      </c>
      <c r="AQ17" s="18" t="s">
        <v>89</v>
      </c>
      <c r="AR17" s="18" t="s">
        <v>156</v>
      </c>
      <c r="AS17" s="18" t="s">
        <v>94</v>
      </c>
      <c r="AT17" s="18" t="s">
        <v>157</v>
      </c>
      <c r="AU17" s="18" t="s">
        <v>89</v>
      </c>
      <c r="AV17" s="18" t="s">
        <v>158</v>
      </c>
      <c r="AW17" s="18" t="s">
        <v>94</v>
      </c>
      <c r="AX17" s="18"/>
      <c r="AY17" s="18"/>
      <c r="AZ17" s="18" t="s">
        <v>91</v>
      </c>
      <c r="BA17" s="19" t="s">
        <v>86</v>
      </c>
      <c r="BB17" s="19" t="s">
        <v>92</v>
      </c>
      <c r="BC17" s="18" t="s">
        <v>146</v>
      </c>
      <c r="BD17" s="18" t="s">
        <v>89</v>
      </c>
      <c r="BE17" s="18" t="s">
        <v>147</v>
      </c>
      <c r="BF17" s="18" t="s">
        <v>94</v>
      </c>
      <c r="BG17" s="18" t="s">
        <v>148</v>
      </c>
      <c r="BH17" s="18" t="s">
        <v>89</v>
      </c>
      <c r="BI17" s="18" t="s">
        <v>149</v>
      </c>
      <c r="BJ17" s="18" t="s">
        <v>94</v>
      </c>
      <c r="BK17" s="18" t="s">
        <v>150</v>
      </c>
      <c r="BL17" s="18" t="s">
        <v>89</v>
      </c>
      <c r="BM17" s="19" t="s">
        <v>99</v>
      </c>
      <c r="BN17" s="18" t="s">
        <v>140</v>
      </c>
      <c r="BO17" s="18" t="s">
        <v>94</v>
      </c>
      <c r="BP17" s="18" t="s">
        <v>139</v>
      </c>
      <c r="BQ17" s="18" t="s">
        <v>89</v>
      </c>
      <c r="BR17" s="18" t="s">
        <v>136</v>
      </c>
      <c r="BS17" s="18" t="s">
        <v>94</v>
      </c>
      <c r="BT17" s="18" t="s">
        <v>137</v>
      </c>
      <c r="BU17" s="18" t="s">
        <v>89</v>
      </c>
      <c r="BV17" s="18" t="s">
        <v>138</v>
      </c>
      <c r="BW17" s="18" t="s">
        <v>94</v>
      </c>
      <c r="BX17" s="19" t="s">
        <v>105</v>
      </c>
      <c r="BY17" s="18" t="s">
        <v>143</v>
      </c>
      <c r="BZ17" s="18" t="s">
        <v>89</v>
      </c>
      <c r="CA17" s="18" t="s">
        <v>142</v>
      </c>
      <c r="CB17" s="18" t="s">
        <v>94</v>
      </c>
      <c r="CC17" s="18" t="s">
        <v>141</v>
      </c>
      <c r="CD17" s="18" t="s">
        <v>89</v>
      </c>
      <c r="CE17" s="18" t="s">
        <v>144</v>
      </c>
      <c r="CF17" s="18" t="s">
        <v>94</v>
      </c>
      <c r="CG17" s="18" t="s">
        <v>145</v>
      </c>
      <c r="CH17" s="18" t="s">
        <v>89</v>
      </c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</row>
    <row r="18" spans="1:246" ht="14.45" customHeight="1">
      <c r="A18" s="27" t="s">
        <v>168</v>
      </c>
      <c r="B18" s="27" t="s">
        <v>85</v>
      </c>
      <c r="C18" s="19" t="s">
        <v>87</v>
      </c>
      <c r="D18" s="19" t="s">
        <v>126</v>
      </c>
      <c r="E18" s="21" t="s">
        <v>351</v>
      </c>
      <c r="F18" s="18" t="s">
        <v>89</v>
      </c>
      <c r="G18" s="21" t="s">
        <v>88</v>
      </c>
      <c r="H18" s="18" t="s">
        <v>89</v>
      </c>
      <c r="I18" s="21" t="s">
        <v>352</v>
      </c>
      <c r="J18" s="18" t="s">
        <v>89</v>
      </c>
      <c r="K18" s="21" t="s">
        <v>353</v>
      </c>
      <c r="L18" s="18" t="s">
        <v>89</v>
      </c>
      <c r="M18" s="21" t="s">
        <v>354</v>
      </c>
      <c r="N18" s="18" t="s">
        <v>89</v>
      </c>
      <c r="O18" s="18" t="s">
        <v>90</v>
      </c>
      <c r="P18" s="18" t="s">
        <v>89</v>
      </c>
      <c r="Q18" s="18" t="s">
        <v>91</v>
      </c>
      <c r="R18" s="19" t="s">
        <v>87</v>
      </c>
      <c r="S18" s="19" t="s">
        <v>99</v>
      </c>
      <c r="T18" s="18" t="s">
        <v>140</v>
      </c>
      <c r="U18" s="18" t="s">
        <v>94</v>
      </c>
      <c r="V18" s="18" t="s">
        <v>137</v>
      </c>
      <c r="W18" s="18" t="s">
        <v>89</v>
      </c>
      <c r="X18" s="18" t="s">
        <v>138</v>
      </c>
      <c r="Y18" s="18" t="s">
        <v>94</v>
      </c>
      <c r="Z18" s="18" t="s">
        <v>139</v>
      </c>
      <c r="AA18" s="18" t="s">
        <v>89</v>
      </c>
      <c r="AB18" s="18" t="s">
        <v>136</v>
      </c>
      <c r="AC18" s="18" t="s">
        <v>94</v>
      </c>
      <c r="AD18" s="19" t="s">
        <v>105</v>
      </c>
      <c r="AE18" s="18" t="s">
        <v>143</v>
      </c>
      <c r="AF18" s="18" t="s">
        <v>89</v>
      </c>
      <c r="AG18" s="18" t="s">
        <v>144</v>
      </c>
      <c r="AH18" s="18" t="s">
        <v>94</v>
      </c>
      <c r="AI18" s="18" t="s">
        <v>145</v>
      </c>
      <c r="AJ18" s="18" t="s">
        <v>89</v>
      </c>
      <c r="AK18" s="18" t="s">
        <v>142</v>
      </c>
      <c r="AL18" s="18" t="s">
        <v>94</v>
      </c>
      <c r="AM18" s="18" t="s">
        <v>141</v>
      </c>
      <c r="AN18" s="18" t="s">
        <v>89</v>
      </c>
      <c r="AO18" s="19" t="s">
        <v>92</v>
      </c>
      <c r="AP18" s="18" t="s">
        <v>148</v>
      </c>
      <c r="AQ18" s="18" t="s">
        <v>89</v>
      </c>
      <c r="AR18" s="18" t="s">
        <v>149</v>
      </c>
      <c r="AS18" s="18" t="s">
        <v>94</v>
      </c>
      <c r="AT18" s="18" t="s">
        <v>150</v>
      </c>
      <c r="AU18" s="18" t="s">
        <v>89</v>
      </c>
      <c r="AV18" s="18" t="s">
        <v>147</v>
      </c>
      <c r="AW18" s="18" t="s">
        <v>94</v>
      </c>
      <c r="AX18" s="18" t="s">
        <v>146</v>
      </c>
      <c r="AY18" s="18" t="s">
        <v>89</v>
      </c>
      <c r="AZ18" s="18" t="s">
        <v>111</v>
      </c>
      <c r="BA18" s="19" t="s">
        <v>126</v>
      </c>
      <c r="BB18" s="19" t="s">
        <v>105</v>
      </c>
      <c r="BC18" s="18" t="s">
        <v>151</v>
      </c>
      <c r="BD18" s="18" t="s">
        <v>89</v>
      </c>
      <c r="BE18" s="18" t="s">
        <v>152</v>
      </c>
      <c r="BF18" s="18" t="s">
        <v>94</v>
      </c>
      <c r="BG18" s="18" t="s">
        <v>153</v>
      </c>
      <c r="BH18" s="18" t="s">
        <v>89</v>
      </c>
      <c r="BI18" s="18" t="s">
        <v>154</v>
      </c>
      <c r="BJ18" s="18" t="s">
        <v>94</v>
      </c>
      <c r="BK18" s="18"/>
      <c r="BL18" s="18"/>
      <c r="BM18" s="19" t="s">
        <v>92</v>
      </c>
      <c r="BN18" s="18" t="s">
        <v>155</v>
      </c>
      <c r="BO18" s="18" t="s">
        <v>89</v>
      </c>
      <c r="BP18" s="18" t="s">
        <v>156</v>
      </c>
      <c r="BQ18" s="18" t="s">
        <v>94</v>
      </c>
      <c r="BR18" s="18" t="s">
        <v>157</v>
      </c>
      <c r="BS18" s="18" t="s">
        <v>89</v>
      </c>
      <c r="BT18" s="18" t="s">
        <v>158</v>
      </c>
      <c r="BU18" s="18" t="s">
        <v>94</v>
      </c>
      <c r="BV18" s="18"/>
      <c r="BW18" s="18"/>
      <c r="BX18" s="19" t="s">
        <v>99</v>
      </c>
      <c r="BY18" s="18" t="s">
        <v>161</v>
      </c>
      <c r="BZ18" s="18" t="s">
        <v>89</v>
      </c>
      <c r="CA18" s="18" t="s">
        <v>160</v>
      </c>
      <c r="CB18" s="18" t="s">
        <v>94</v>
      </c>
      <c r="CC18" s="18" t="s">
        <v>159</v>
      </c>
      <c r="CD18" s="18" t="s">
        <v>89</v>
      </c>
      <c r="CE18" s="18" t="s">
        <v>162</v>
      </c>
      <c r="CF18" s="18" t="s">
        <v>94</v>
      </c>
      <c r="CG18" s="18"/>
      <c r="CH18" s="18"/>
      <c r="CI18" s="20"/>
      <c r="CJ18" s="20"/>
      <c r="CK18" s="20"/>
      <c r="CL18" s="20"/>
      <c r="CM18" s="20"/>
      <c r="CN18" s="20"/>
      <c r="CO18" s="20"/>
      <c r="CP18" s="20"/>
      <c r="CQ18" s="20"/>
      <c r="CR18" s="20"/>
      <c r="CS18" s="20"/>
      <c r="CT18" s="20"/>
      <c r="CU18" s="20"/>
      <c r="CV18" s="20"/>
      <c r="CW18" s="20"/>
      <c r="CX18" s="20"/>
      <c r="CY18" s="20"/>
      <c r="CZ18" s="20"/>
      <c r="DA18" s="20"/>
      <c r="DB18" s="20"/>
      <c r="DC18" s="20"/>
      <c r="DD18" s="20"/>
      <c r="DE18" s="20"/>
      <c r="DF18" s="20"/>
      <c r="DG18" s="20"/>
      <c r="DH18" s="20"/>
      <c r="DI18" s="20"/>
      <c r="DJ18" s="20"/>
      <c r="DK18" s="20"/>
      <c r="DL18" s="20"/>
      <c r="DM18" s="20"/>
      <c r="DN18" s="20"/>
      <c r="DO18" s="20"/>
      <c r="DP18" s="20"/>
      <c r="DQ18" s="20"/>
      <c r="DR18" s="20"/>
      <c r="DS18" s="20"/>
      <c r="DT18" s="20"/>
      <c r="DU18" s="20"/>
      <c r="DV18" s="20"/>
      <c r="DW18" s="20"/>
      <c r="DX18" s="20"/>
      <c r="DY18" s="20"/>
      <c r="DZ18" s="20"/>
      <c r="EA18" s="20"/>
      <c r="EB18" s="20"/>
      <c r="EC18" s="20"/>
      <c r="ED18" s="20"/>
      <c r="EE18" s="20"/>
      <c r="EF18" s="20"/>
      <c r="EG18" s="20"/>
      <c r="EH18" s="20"/>
      <c r="EI18" s="20"/>
      <c r="EJ18" s="20"/>
      <c r="EK18" s="20"/>
      <c r="EL18" s="20"/>
      <c r="EM18" s="20"/>
      <c r="EN18" s="20"/>
      <c r="EO18" s="20"/>
      <c r="EP18" s="20"/>
      <c r="EQ18" s="20"/>
      <c r="ER18" s="20"/>
      <c r="ES18" s="20"/>
      <c r="ET18" s="20"/>
      <c r="EU18" s="20"/>
      <c r="EV18" s="20"/>
      <c r="EW18" s="20"/>
      <c r="EX18" s="20"/>
      <c r="EY18" s="20"/>
      <c r="EZ18" s="20"/>
      <c r="FA18" s="20"/>
      <c r="FB18" s="20"/>
      <c r="FC18" s="20"/>
      <c r="FD18" s="20"/>
      <c r="FE18" s="20"/>
      <c r="FF18" s="20"/>
      <c r="FG18" s="20"/>
      <c r="FH18" s="20"/>
      <c r="FI18" s="20"/>
      <c r="FJ18" s="20"/>
      <c r="FK18" s="20"/>
      <c r="FL18" s="20"/>
      <c r="FM18" s="20"/>
      <c r="FN18" s="20"/>
      <c r="FO18" s="20"/>
      <c r="FP18" s="20"/>
      <c r="FQ18" s="20"/>
      <c r="FR18" s="20"/>
      <c r="FS18" s="20"/>
      <c r="FT18" s="20"/>
      <c r="FU18" s="20"/>
      <c r="FV18" s="20"/>
      <c r="FW18" s="20"/>
      <c r="FX18" s="20"/>
      <c r="FY18" s="20"/>
      <c r="FZ18" s="20"/>
      <c r="GA18" s="20"/>
      <c r="GB18" s="20"/>
      <c r="GC18" s="20"/>
      <c r="GD18" s="20"/>
      <c r="GE18" s="20"/>
      <c r="GF18" s="20"/>
      <c r="GG18" s="20"/>
      <c r="GH18" s="20"/>
      <c r="GI18" s="20"/>
      <c r="GJ18" s="20"/>
      <c r="GK18" s="20"/>
      <c r="GL18" s="20"/>
      <c r="GM18" s="20"/>
      <c r="GN18" s="20"/>
      <c r="GO18" s="20"/>
      <c r="GP18" s="20"/>
      <c r="GQ18" s="20"/>
      <c r="GR18" s="20"/>
      <c r="GS18" s="20"/>
      <c r="GT18" s="20"/>
      <c r="GU18" s="20"/>
      <c r="GV18" s="20"/>
      <c r="GW18" s="20"/>
      <c r="GX18" s="20"/>
      <c r="GY18" s="20"/>
      <c r="GZ18" s="20"/>
      <c r="HA18" s="20"/>
      <c r="HB18" s="20"/>
      <c r="HC18" s="20"/>
      <c r="HD18" s="20"/>
      <c r="HE18" s="20"/>
      <c r="HF18" s="20"/>
      <c r="HG18" s="20"/>
      <c r="HH18" s="20"/>
      <c r="HI18" s="20"/>
      <c r="HJ18" s="20"/>
      <c r="HK18" s="20"/>
      <c r="HL18" s="20"/>
      <c r="HM18" s="20"/>
      <c r="HN18" s="20"/>
      <c r="HO18" s="20"/>
      <c r="HP18" s="20"/>
      <c r="HQ18" s="20"/>
      <c r="HR18" s="20"/>
      <c r="HS18" s="20"/>
      <c r="HT18" s="20"/>
      <c r="HU18" s="20"/>
      <c r="HV18" s="20"/>
      <c r="HW18" s="20"/>
      <c r="HX18" s="20"/>
      <c r="HY18" s="20"/>
      <c r="HZ18" s="20"/>
      <c r="IA18" s="20"/>
      <c r="IB18" s="20"/>
      <c r="IC18" s="20"/>
      <c r="ID18" s="20"/>
      <c r="IE18" s="20"/>
      <c r="IF18" s="20"/>
      <c r="IG18" s="20"/>
      <c r="IH18" s="20"/>
      <c r="II18" s="20"/>
      <c r="IJ18" s="20"/>
      <c r="IK18" s="20"/>
      <c r="IL18" s="20"/>
    </row>
    <row r="19" spans="1:246" ht="14.45" customHeight="1">
      <c r="A19" s="27" t="s">
        <v>169</v>
      </c>
      <c r="B19" s="27" t="s">
        <v>125</v>
      </c>
      <c r="C19" s="19" t="s">
        <v>86</v>
      </c>
      <c r="D19" s="19" t="s">
        <v>126</v>
      </c>
      <c r="E19" s="21" t="s">
        <v>351</v>
      </c>
      <c r="F19" s="18" t="s">
        <v>89</v>
      </c>
      <c r="G19" s="21" t="s">
        <v>88</v>
      </c>
      <c r="H19" s="18" t="s">
        <v>89</v>
      </c>
      <c r="I19" s="21" t="s">
        <v>352</v>
      </c>
      <c r="J19" s="18" t="s">
        <v>89</v>
      </c>
      <c r="K19" s="21" t="s">
        <v>353</v>
      </c>
      <c r="L19" s="18" t="s">
        <v>89</v>
      </c>
      <c r="M19" s="21" t="s">
        <v>354</v>
      </c>
      <c r="N19" s="18" t="s">
        <v>89</v>
      </c>
      <c r="O19" s="18" t="s">
        <v>90</v>
      </c>
      <c r="P19" s="18" t="s">
        <v>89</v>
      </c>
      <c r="Q19" s="18" t="s">
        <v>111</v>
      </c>
      <c r="R19" s="19" t="s">
        <v>86</v>
      </c>
      <c r="S19" s="19" t="s">
        <v>92</v>
      </c>
      <c r="T19" s="18" t="s">
        <v>155</v>
      </c>
      <c r="U19" s="18" t="s">
        <v>89</v>
      </c>
      <c r="V19" s="18" t="s">
        <v>158</v>
      </c>
      <c r="W19" s="18" t="s">
        <v>94</v>
      </c>
      <c r="X19" s="18" t="s">
        <v>157</v>
      </c>
      <c r="Y19" s="18" t="s">
        <v>89</v>
      </c>
      <c r="Z19" s="18" t="s">
        <v>156</v>
      </c>
      <c r="AA19" s="18" t="s">
        <v>94</v>
      </c>
      <c r="AB19" s="18"/>
      <c r="AC19" s="18"/>
      <c r="AD19" s="19" t="s">
        <v>99</v>
      </c>
      <c r="AE19" s="18" t="s">
        <v>159</v>
      </c>
      <c r="AF19" s="18" t="s">
        <v>89</v>
      </c>
      <c r="AG19" s="18" t="s">
        <v>162</v>
      </c>
      <c r="AH19" s="18" t="s">
        <v>94</v>
      </c>
      <c r="AI19" s="18" t="s">
        <v>161</v>
      </c>
      <c r="AJ19" s="18" t="s">
        <v>89</v>
      </c>
      <c r="AK19" s="18" t="s">
        <v>160</v>
      </c>
      <c r="AL19" s="18" t="s">
        <v>94</v>
      </c>
      <c r="AM19" s="18"/>
      <c r="AN19" s="18"/>
      <c r="AO19" s="19" t="s">
        <v>105</v>
      </c>
      <c r="AP19" s="18" t="s">
        <v>153</v>
      </c>
      <c r="AQ19" s="18" t="s">
        <v>89</v>
      </c>
      <c r="AR19" s="18" t="s">
        <v>154</v>
      </c>
      <c r="AS19" s="18" t="s">
        <v>94</v>
      </c>
      <c r="AT19" s="18" t="s">
        <v>151</v>
      </c>
      <c r="AU19" s="18" t="s">
        <v>89</v>
      </c>
      <c r="AV19" s="18" t="s">
        <v>152</v>
      </c>
      <c r="AW19" s="18" t="s">
        <v>94</v>
      </c>
      <c r="AX19" s="18"/>
      <c r="AY19" s="18"/>
      <c r="AZ19" s="18" t="s">
        <v>91</v>
      </c>
      <c r="BA19" s="19" t="s">
        <v>126</v>
      </c>
      <c r="BB19" s="19" t="s">
        <v>105</v>
      </c>
      <c r="BC19" s="18" t="s">
        <v>145</v>
      </c>
      <c r="BD19" s="18" t="s">
        <v>89</v>
      </c>
      <c r="BE19" s="18" t="s">
        <v>144</v>
      </c>
      <c r="BF19" s="18" t="s">
        <v>94</v>
      </c>
      <c r="BG19" s="18" t="s">
        <v>143</v>
      </c>
      <c r="BH19" s="18" t="s">
        <v>89</v>
      </c>
      <c r="BI19" s="18" t="s">
        <v>142</v>
      </c>
      <c r="BJ19" s="18" t="s">
        <v>94</v>
      </c>
      <c r="BK19" s="18" t="s">
        <v>141</v>
      </c>
      <c r="BL19" s="18" t="s">
        <v>89</v>
      </c>
      <c r="BM19" s="19" t="s">
        <v>92</v>
      </c>
      <c r="BN19" s="18" t="s">
        <v>148</v>
      </c>
      <c r="BO19" s="18" t="s">
        <v>89</v>
      </c>
      <c r="BP19" s="18" t="s">
        <v>147</v>
      </c>
      <c r="BQ19" s="18" t="s">
        <v>94</v>
      </c>
      <c r="BR19" s="18" t="s">
        <v>146</v>
      </c>
      <c r="BS19" s="18" t="s">
        <v>89</v>
      </c>
      <c r="BT19" s="18" t="s">
        <v>149</v>
      </c>
      <c r="BU19" s="18" t="s">
        <v>94</v>
      </c>
      <c r="BV19" s="18" t="s">
        <v>150</v>
      </c>
      <c r="BW19" s="18" t="s">
        <v>89</v>
      </c>
      <c r="BX19" s="19" t="s">
        <v>99</v>
      </c>
      <c r="BY19" s="18" t="s">
        <v>140</v>
      </c>
      <c r="BZ19" s="18" t="s">
        <v>94</v>
      </c>
      <c r="CA19" s="18" t="s">
        <v>137</v>
      </c>
      <c r="CB19" s="18" t="s">
        <v>89</v>
      </c>
      <c r="CC19" s="18" t="s">
        <v>136</v>
      </c>
      <c r="CD19" s="18" t="s">
        <v>94</v>
      </c>
      <c r="CE19" s="18" t="s">
        <v>139</v>
      </c>
      <c r="CF19" s="18" t="s">
        <v>89</v>
      </c>
      <c r="CG19" s="18" t="s">
        <v>138</v>
      </c>
      <c r="CH19" s="18" t="s">
        <v>94</v>
      </c>
      <c r="CI19" s="20"/>
      <c r="CJ19" s="20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  <c r="DG19" s="20"/>
      <c r="DH19" s="20"/>
      <c r="DI19" s="20"/>
      <c r="DJ19" s="20"/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0"/>
      <c r="DY19" s="20"/>
      <c r="DZ19" s="20"/>
      <c r="EA19" s="20"/>
      <c r="EB19" s="20"/>
      <c r="EC19" s="20"/>
      <c r="ED19" s="20"/>
      <c r="EE19" s="20"/>
      <c r="EF19" s="20"/>
      <c r="EG19" s="20"/>
      <c r="EH19" s="20"/>
      <c r="EI19" s="20"/>
      <c r="EJ19" s="20"/>
      <c r="EK19" s="20"/>
      <c r="EL19" s="20"/>
      <c r="EM19" s="20"/>
      <c r="EN19" s="20"/>
      <c r="EO19" s="20"/>
      <c r="EP19" s="20"/>
      <c r="EQ19" s="20"/>
      <c r="ER19" s="20"/>
      <c r="ES19" s="20"/>
      <c r="ET19" s="20"/>
      <c r="EU19" s="20"/>
      <c r="EV19" s="20"/>
      <c r="EW19" s="20"/>
      <c r="EX19" s="20"/>
      <c r="EY19" s="20"/>
      <c r="EZ19" s="20"/>
      <c r="FA19" s="20"/>
      <c r="FB19" s="20"/>
      <c r="FC19" s="20"/>
      <c r="FD19" s="20"/>
      <c r="FE19" s="20"/>
      <c r="FF19" s="20"/>
      <c r="FG19" s="20"/>
      <c r="FH19" s="20"/>
      <c r="FI19" s="20"/>
      <c r="FJ19" s="20"/>
      <c r="FK19" s="20"/>
      <c r="FL19" s="20"/>
      <c r="FM19" s="20"/>
      <c r="FN19" s="20"/>
      <c r="FO19" s="20"/>
      <c r="FP19" s="20"/>
      <c r="FQ19" s="20"/>
      <c r="FR19" s="20"/>
      <c r="FS19" s="20"/>
      <c r="FT19" s="20"/>
      <c r="FU19" s="20"/>
      <c r="FV19" s="20"/>
      <c r="FW19" s="20"/>
      <c r="FX19" s="20"/>
      <c r="FY19" s="20"/>
      <c r="FZ19" s="20"/>
      <c r="GA19" s="20"/>
      <c r="GB19" s="20"/>
      <c r="GC19" s="20"/>
      <c r="GD19" s="20"/>
      <c r="GE19" s="20"/>
      <c r="GF19" s="20"/>
      <c r="GG19" s="20"/>
      <c r="GH19" s="20"/>
      <c r="GI19" s="20"/>
      <c r="GJ19" s="20"/>
      <c r="GK19" s="20"/>
      <c r="GL19" s="20"/>
      <c r="GM19" s="20"/>
      <c r="GN19" s="20"/>
      <c r="GO19" s="20"/>
      <c r="GP19" s="20"/>
      <c r="GQ19" s="20"/>
      <c r="GR19" s="20"/>
      <c r="GS19" s="20"/>
      <c r="GT19" s="20"/>
      <c r="GU19" s="20"/>
      <c r="GV19" s="20"/>
      <c r="GW19" s="20"/>
      <c r="GX19" s="20"/>
      <c r="GY19" s="20"/>
      <c r="GZ19" s="20"/>
      <c r="HA19" s="20"/>
      <c r="HB19" s="20"/>
      <c r="HC19" s="20"/>
      <c r="HD19" s="20"/>
      <c r="HE19" s="20"/>
      <c r="HF19" s="20"/>
      <c r="HG19" s="20"/>
      <c r="HH19" s="20"/>
      <c r="HI19" s="20"/>
      <c r="HJ19" s="20"/>
      <c r="HK19" s="20"/>
      <c r="HL19" s="20"/>
      <c r="HM19" s="20"/>
      <c r="HN19" s="20"/>
      <c r="HO19" s="20"/>
      <c r="HP19" s="20"/>
      <c r="HQ19" s="20"/>
      <c r="HR19" s="20"/>
      <c r="HS19" s="20"/>
      <c r="HT19" s="20"/>
      <c r="HU19" s="20"/>
      <c r="HV19" s="20"/>
      <c r="HW19" s="20"/>
      <c r="HX19" s="20"/>
      <c r="HY19" s="20"/>
      <c r="HZ19" s="20"/>
      <c r="IA19" s="20"/>
      <c r="IB19" s="20"/>
      <c r="IC19" s="20"/>
      <c r="ID19" s="20"/>
      <c r="IE19" s="20"/>
      <c r="IF19" s="20"/>
      <c r="IG19" s="20"/>
      <c r="IH19" s="20"/>
      <c r="II19" s="20"/>
      <c r="IJ19" s="20"/>
      <c r="IK19" s="20"/>
      <c r="IL19" s="20"/>
    </row>
    <row r="20" spans="1:246" ht="14.45" customHeight="1">
      <c r="A20" s="27" t="s">
        <v>170</v>
      </c>
      <c r="B20" s="27" t="s">
        <v>85</v>
      </c>
      <c r="C20" s="19" t="s">
        <v>86</v>
      </c>
      <c r="D20" s="19" t="s">
        <v>87</v>
      </c>
      <c r="E20" s="21" t="s">
        <v>351</v>
      </c>
      <c r="F20" s="18" t="s">
        <v>89</v>
      </c>
      <c r="G20" s="21" t="s">
        <v>88</v>
      </c>
      <c r="H20" s="18" t="s">
        <v>89</v>
      </c>
      <c r="I20" s="21" t="s">
        <v>352</v>
      </c>
      <c r="J20" s="18" t="s">
        <v>89</v>
      </c>
      <c r="K20" s="21" t="s">
        <v>353</v>
      </c>
      <c r="L20" s="18" t="s">
        <v>89</v>
      </c>
      <c r="M20" s="21" t="s">
        <v>354</v>
      </c>
      <c r="N20" s="18" t="s">
        <v>89</v>
      </c>
      <c r="O20" s="18" t="s">
        <v>90</v>
      </c>
      <c r="P20" s="18" t="s">
        <v>89</v>
      </c>
      <c r="Q20" s="18" t="s">
        <v>91</v>
      </c>
      <c r="R20" s="19" t="s">
        <v>86</v>
      </c>
      <c r="S20" s="19" t="s">
        <v>92</v>
      </c>
      <c r="T20" s="18" t="s">
        <v>146</v>
      </c>
      <c r="U20" s="18" t="s">
        <v>89</v>
      </c>
      <c r="V20" s="18" t="s">
        <v>149</v>
      </c>
      <c r="W20" s="18" t="s">
        <v>94</v>
      </c>
      <c r="X20" s="18" t="s">
        <v>150</v>
      </c>
      <c r="Y20" s="18" t="s">
        <v>89</v>
      </c>
      <c r="Z20" s="18" t="s">
        <v>147</v>
      </c>
      <c r="AA20" s="18" t="s">
        <v>94</v>
      </c>
      <c r="AB20" s="18" t="s">
        <v>148</v>
      </c>
      <c r="AC20" s="18" t="s">
        <v>89</v>
      </c>
      <c r="AD20" s="19" t="s">
        <v>99</v>
      </c>
      <c r="AE20" s="18" t="s">
        <v>140</v>
      </c>
      <c r="AF20" s="18" t="s">
        <v>94</v>
      </c>
      <c r="AG20" s="18" t="s">
        <v>139</v>
      </c>
      <c r="AH20" s="18" t="s">
        <v>89</v>
      </c>
      <c r="AI20" s="18" t="s">
        <v>136</v>
      </c>
      <c r="AJ20" s="18" t="s">
        <v>94</v>
      </c>
      <c r="AK20" s="18" t="s">
        <v>137</v>
      </c>
      <c r="AL20" s="18" t="s">
        <v>89</v>
      </c>
      <c r="AM20" s="18" t="s">
        <v>138</v>
      </c>
      <c r="AN20" s="18" t="s">
        <v>94</v>
      </c>
      <c r="AO20" s="19" t="s">
        <v>105</v>
      </c>
      <c r="AP20" s="18" t="s">
        <v>141</v>
      </c>
      <c r="AQ20" s="18" t="s">
        <v>89</v>
      </c>
      <c r="AR20" s="18" t="s">
        <v>144</v>
      </c>
      <c r="AS20" s="18" t="s">
        <v>94</v>
      </c>
      <c r="AT20" s="18" t="s">
        <v>145</v>
      </c>
      <c r="AU20" s="18" t="s">
        <v>89</v>
      </c>
      <c r="AV20" s="18" t="s">
        <v>142</v>
      </c>
      <c r="AW20" s="18" t="s">
        <v>94</v>
      </c>
      <c r="AX20" s="18" t="s">
        <v>143</v>
      </c>
      <c r="AY20" s="18" t="s">
        <v>89</v>
      </c>
      <c r="AZ20" s="18" t="s">
        <v>111</v>
      </c>
      <c r="BA20" s="19" t="s">
        <v>87</v>
      </c>
      <c r="BB20" s="19" t="s">
        <v>99</v>
      </c>
      <c r="BC20" s="18" t="s">
        <v>161</v>
      </c>
      <c r="BD20" s="18" t="s">
        <v>89</v>
      </c>
      <c r="BE20" s="18" t="s">
        <v>162</v>
      </c>
      <c r="BF20" s="18" t="s">
        <v>94</v>
      </c>
      <c r="BG20" s="18" t="s">
        <v>159</v>
      </c>
      <c r="BH20" s="18" t="s">
        <v>89</v>
      </c>
      <c r="BI20" s="18" t="s">
        <v>160</v>
      </c>
      <c r="BJ20" s="18" t="s">
        <v>94</v>
      </c>
      <c r="BK20" s="18"/>
      <c r="BL20" s="18"/>
      <c r="BM20" s="19" t="s">
        <v>105</v>
      </c>
      <c r="BN20" s="18" t="s">
        <v>151</v>
      </c>
      <c r="BO20" s="18" t="s">
        <v>89</v>
      </c>
      <c r="BP20" s="18" t="s">
        <v>152</v>
      </c>
      <c r="BQ20" s="18" t="s">
        <v>94</v>
      </c>
      <c r="BR20" s="18" t="s">
        <v>153</v>
      </c>
      <c r="BS20" s="18" t="s">
        <v>89</v>
      </c>
      <c r="BT20" s="18" t="s">
        <v>154</v>
      </c>
      <c r="BU20" s="18" t="s">
        <v>94</v>
      </c>
      <c r="BV20" s="18"/>
      <c r="BW20" s="18"/>
      <c r="BX20" s="19" t="s">
        <v>92</v>
      </c>
      <c r="BY20" s="18" t="s">
        <v>155</v>
      </c>
      <c r="BZ20" s="18" t="s">
        <v>89</v>
      </c>
      <c r="CA20" s="18" t="s">
        <v>156</v>
      </c>
      <c r="CB20" s="18" t="s">
        <v>94</v>
      </c>
      <c r="CC20" s="18" t="s">
        <v>157</v>
      </c>
      <c r="CD20" s="18" t="s">
        <v>89</v>
      </c>
      <c r="CE20" s="18" t="s">
        <v>158</v>
      </c>
      <c r="CF20" s="18" t="s">
        <v>94</v>
      </c>
      <c r="CG20" s="18"/>
      <c r="CH20" s="18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</row>
    <row r="21" spans="1:246" ht="14.45" customHeight="1">
      <c r="A21" s="27" t="s">
        <v>171</v>
      </c>
      <c r="B21" s="27" t="s">
        <v>125</v>
      </c>
      <c r="C21" s="19" t="s">
        <v>126</v>
      </c>
      <c r="D21" s="19" t="s">
        <v>87</v>
      </c>
      <c r="E21" s="21" t="s">
        <v>351</v>
      </c>
      <c r="F21" s="18" t="s">
        <v>89</v>
      </c>
      <c r="G21" s="21" t="s">
        <v>88</v>
      </c>
      <c r="H21" s="18" t="s">
        <v>89</v>
      </c>
      <c r="I21" s="21" t="s">
        <v>352</v>
      </c>
      <c r="J21" s="18" t="s">
        <v>89</v>
      </c>
      <c r="K21" s="21" t="s">
        <v>353</v>
      </c>
      <c r="L21" s="18" t="s">
        <v>89</v>
      </c>
      <c r="M21" s="21" t="s">
        <v>354</v>
      </c>
      <c r="N21" s="18" t="s">
        <v>89</v>
      </c>
      <c r="O21" s="18" t="s">
        <v>90</v>
      </c>
      <c r="P21" s="18" t="s">
        <v>89</v>
      </c>
      <c r="Q21" s="18" t="s">
        <v>111</v>
      </c>
      <c r="R21" s="19" t="s">
        <v>126</v>
      </c>
      <c r="S21" s="19" t="s">
        <v>105</v>
      </c>
      <c r="T21" s="18" t="s">
        <v>151</v>
      </c>
      <c r="U21" s="18" t="s">
        <v>89</v>
      </c>
      <c r="V21" s="18" t="s">
        <v>154</v>
      </c>
      <c r="W21" s="18" t="s">
        <v>94</v>
      </c>
      <c r="X21" s="18" t="s">
        <v>153</v>
      </c>
      <c r="Y21" s="18" t="s">
        <v>89</v>
      </c>
      <c r="Z21" s="18" t="s">
        <v>152</v>
      </c>
      <c r="AA21" s="18" t="s">
        <v>94</v>
      </c>
      <c r="AB21" s="18"/>
      <c r="AC21" s="18"/>
      <c r="AD21" s="19" t="s">
        <v>92</v>
      </c>
      <c r="AE21" s="18" t="s">
        <v>157</v>
      </c>
      <c r="AF21" s="18" t="s">
        <v>89</v>
      </c>
      <c r="AG21" s="18" t="s">
        <v>156</v>
      </c>
      <c r="AH21" s="18" t="s">
        <v>94</v>
      </c>
      <c r="AI21" s="18" t="s">
        <v>155</v>
      </c>
      <c r="AJ21" s="18" t="s">
        <v>89</v>
      </c>
      <c r="AK21" s="18" t="s">
        <v>158</v>
      </c>
      <c r="AL21" s="18" t="s">
        <v>94</v>
      </c>
      <c r="AM21" s="18"/>
      <c r="AN21" s="18"/>
      <c r="AO21" s="19" t="s">
        <v>99</v>
      </c>
      <c r="AP21" s="18" t="s">
        <v>159</v>
      </c>
      <c r="AQ21" s="18" t="s">
        <v>89</v>
      </c>
      <c r="AR21" s="18" t="s">
        <v>162</v>
      </c>
      <c r="AS21" s="18" t="s">
        <v>94</v>
      </c>
      <c r="AT21" s="18" t="s">
        <v>161</v>
      </c>
      <c r="AU21" s="18" t="s">
        <v>89</v>
      </c>
      <c r="AV21" s="18" t="s">
        <v>160</v>
      </c>
      <c r="AW21" s="18" t="s">
        <v>94</v>
      </c>
      <c r="AX21" s="18"/>
      <c r="AY21" s="18"/>
      <c r="AZ21" s="18" t="s">
        <v>91</v>
      </c>
      <c r="BA21" s="19" t="s">
        <v>87</v>
      </c>
      <c r="BB21" s="19" t="s">
        <v>99</v>
      </c>
      <c r="BC21" s="18" t="s">
        <v>136</v>
      </c>
      <c r="BD21" s="18" t="s">
        <v>94</v>
      </c>
      <c r="BE21" s="18" t="s">
        <v>139</v>
      </c>
      <c r="BF21" s="18" t="s">
        <v>89</v>
      </c>
      <c r="BG21" s="18" t="s">
        <v>138</v>
      </c>
      <c r="BH21" s="18" t="s">
        <v>94</v>
      </c>
      <c r="BI21" s="18" t="s">
        <v>137</v>
      </c>
      <c r="BJ21" s="18" t="s">
        <v>89</v>
      </c>
      <c r="BK21" s="18" t="s">
        <v>140</v>
      </c>
      <c r="BL21" s="18" t="s">
        <v>94</v>
      </c>
      <c r="BM21" s="19" t="s">
        <v>105</v>
      </c>
      <c r="BN21" s="18" t="s">
        <v>141</v>
      </c>
      <c r="BO21" s="18" t="s">
        <v>89</v>
      </c>
      <c r="BP21" s="18" t="s">
        <v>142</v>
      </c>
      <c r="BQ21" s="18" t="s">
        <v>94</v>
      </c>
      <c r="BR21" s="18" t="s">
        <v>143</v>
      </c>
      <c r="BS21" s="18" t="s">
        <v>89</v>
      </c>
      <c r="BT21" s="18" t="s">
        <v>144</v>
      </c>
      <c r="BU21" s="18" t="s">
        <v>94</v>
      </c>
      <c r="BV21" s="18" t="s">
        <v>145</v>
      </c>
      <c r="BW21" s="18" t="s">
        <v>89</v>
      </c>
      <c r="BX21" s="19" t="s">
        <v>92</v>
      </c>
      <c r="BY21" s="18" t="s">
        <v>148</v>
      </c>
      <c r="BZ21" s="18" t="s">
        <v>89</v>
      </c>
      <c r="CA21" s="18" t="s">
        <v>147</v>
      </c>
      <c r="CB21" s="18" t="s">
        <v>94</v>
      </c>
      <c r="CC21" s="18" t="s">
        <v>150</v>
      </c>
      <c r="CD21" s="18" t="s">
        <v>89</v>
      </c>
      <c r="CE21" s="18" t="s">
        <v>149</v>
      </c>
      <c r="CF21" s="18" t="s">
        <v>94</v>
      </c>
      <c r="CG21" s="18" t="s">
        <v>146</v>
      </c>
      <c r="CH21" s="18" t="s">
        <v>89</v>
      </c>
      <c r="CI21" s="20"/>
      <c r="CJ21" s="20"/>
      <c r="CK21" s="20"/>
      <c r="CL21" s="20"/>
      <c r="CM21" s="20"/>
      <c r="CN21" s="20"/>
      <c r="CO21" s="20"/>
      <c r="CP21" s="20"/>
      <c r="CQ21" s="20"/>
      <c r="CR21" s="20"/>
      <c r="CS21" s="20"/>
      <c r="CT21" s="20"/>
      <c r="CU21" s="20"/>
      <c r="CV21" s="20"/>
      <c r="CW21" s="20"/>
      <c r="CX21" s="20"/>
      <c r="CY21" s="20"/>
      <c r="CZ21" s="20"/>
      <c r="DA21" s="20"/>
      <c r="DB21" s="20"/>
      <c r="DC21" s="20"/>
      <c r="DD21" s="20"/>
      <c r="DE21" s="20"/>
      <c r="DF21" s="20"/>
      <c r="DG21" s="20"/>
      <c r="DH21" s="20"/>
      <c r="DI21" s="20"/>
      <c r="DJ21" s="20"/>
      <c r="DK21" s="20"/>
      <c r="DL21" s="20"/>
      <c r="DM21" s="20"/>
      <c r="DN21" s="20"/>
      <c r="DO21" s="20"/>
      <c r="DP21" s="20"/>
      <c r="DQ21" s="20"/>
      <c r="DR21" s="20"/>
      <c r="DS21" s="20"/>
      <c r="DT21" s="20"/>
      <c r="DU21" s="20"/>
      <c r="DV21" s="20"/>
      <c r="DW21" s="20"/>
      <c r="DX21" s="20"/>
      <c r="DY21" s="20"/>
      <c r="DZ21" s="20"/>
      <c r="EA21" s="20"/>
      <c r="EB21" s="20"/>
      <c r="EC21" s="20"/>
      <c r="ED21" s="20"/>
      <c r="EE21" s="20"/>
      <c r="EF21" s="20"/>
      <c r="EG21" s="20"/>
      <c r="EH21" s="20"/>
      <c r="EI21" s="20"/>
      <c r="EJ21" s="20"/>
      <c r="EK21" s="20"/>
      <c r="EL21" s="20"/>
      <c r="EM21" s="20"/>
      <c r="EN21" s="20"/>
      <c r="EO21" s="20"/>
      <c r="EP21" s="20"/>
      <c r="EQ21" s="20"/>
      <c r="ER21" s="20"/>
      <c r="ES21" s="20"/>
      <c r="ET21" s="20"/>
      <c r="EU21" s="20"/>
      <c r="EV21" s="20"/>
      <c r="EW21" s="20"/>
      <c r="EX21" s="20"/>
      <c r="EY21" s="20"/>
      <c r="EZ21" s="20"/>
      <c r="FA21" s="20"/>
      <c r="FB21" s="20"/>
      <c r="FC21" s="20"/>
      <c r="FD21" s="20"/>
      <c r="FE21" s="20"/>
      <c r="FF21" s="20"/>
      <c r="FG21" s="20"/>
      <c r="FH21" s="20"/>
      <c r="FI21" s="20"/>
      <c r="FJ21" s="20"/>
      <c r="FK21" s="20"/>
      <c r="FL21" s="20"/>
      <c r="FM21" s="20"/>
      <c r="FN21" s="20"/>
      <c r="FO21" s="20"/>
      <c r="FP21" s="20"/>
      <c r="FQ21" s="20"/>
      <c r="FR21" s="20"/>
      <c r="FS21" s="20"/>
      <c r="FT21" s="20"/>
      <c r="FU21" s="20"/>
      <c r="FV21" s="20"/>
      <c r="FW21" s="20"/>
      <c r="FX21" s="20"/>
      <c r="FY21" s="20"/>
      <c r="FZ21" s="20"/>
      <c r="GA21" s="20"/>
      <c r="GB21" s="20"/>
      <c r="GC21" s="20"/>
      <c r="GD21" s="20"/>
      <c r="GE21" s="20"/>
      <c r="GF21" s="20"/>
      <c r="GG21" s="20"/>
      <c r="GH21" s="20"/>
      <c r="GI21" s="20"/>
      <c r="GJ21" s="20"/>
      <c r="GK21" s="20"/>
      <c r="GL21" s="20"/>
      <c r="GM21" s="20"/>
      <c r="GN21" s="20"/>
      <c r="GO21" s="20"/>
      <c r="GP21" s="20"/>
      <c r="GQ21" s="20"/>
      <c r="GR21" s="20"/>
      <c r="GS21" s="20"/>
      <c r="GT21" s="20"/>
      <c r="GU21" s="20"/>
      <c r="GV21" s="20"/>
      <c r="GW21" s="20"/>
      <c r="GX21" s="20"/>
      <c r="GY21" s="20"/>
      <c r="GZ21" s="20"/>
      <c r="HA21" s="20"/>
      <c r="HB21" s="20"/>
      <c r="HC21" s="20"/>
      <c r="HD21" s="20"/>
      <c r="HE21" s="20"/>
      <c r="HF21" s="20"/>
      <c r="HG21" s="20"/>
      <c r="HH21" s="20"/>
      <c r="HI21" s="20"/>
      <c r="HJ21" s="20"/>
      <c r="HK21" s="20"/>
      <c r="HL21" s="20"/>
      <c r="HM21" s="20"/>
      <c r="HN21" s="20"/>
      <c r="HO21" s="20"/>
      <c r="HP21" s="20"/>
      <c r="HQ21" s="20"/>
      <c r="HR21" s="20"/>
      <c r="HS21" s="20"/>
      <c r="HT21" s="20"/>
      <c r="HU21" s="20"/>
      <c r="HV21" s="20"/>
      <c r="HW21" s="20"/>
      <c r="HX21" s="20"/>
      <c r="HY21" s="20"/>
      <c r="HZ21" s="20"/>
      <c r="IA21" s="20"/>
      <c r="IB21" s="20"/>
      <c r="IC21" s="20"/>
      <c r="ID21" s="20"/>
      <c r="IE21" s="20"/>
      <c r="IF21" s="20"/>
      <c r="IG21" s="20"/>
      <c r="IH21" s="20"/>
      <c r="II21" s="20"/>
      <c r="IJ21" s="20"/>
      <c r="IK21" s="20"/>
      <c r="IL21" s="20"/>
    </row>
    <row r="22" spans="1:246" ht="14.45" customHeight="1">
      <c r="A22" s="27" t="s">
        <v>172</v>
      </c>
      <c r="B22" s="27" t="s">
        <v>85</v>
      </c>
      <c r="C22" s="19" t="s">
        <v>126</v>
      </c>
      <c r="D22" s="19" t="s">
        <v>86</v>
      </c>
      <c r="E22" s="21" t="s">
        <v>351</v>
      </c>
      <c r="F22" s="18" t="s">
        <v>89</v>
      </c>
      <c r="G22" s="21" t="s">
        <v>88</v>
      </c>
      <c r="H22" s="18" t="s">
        <v>89</v>
      </c>
      <c r="I22" s="21" t="s">
        <v>352</v>
      </c>
      <c r="J22" s="18" t="s">
        <v>89</v>
      </c>
      <c r="K22" s="21" t="s">
        <v>353</v>
      </c>
      <c r="L22" s="18" t="s">
        <v>89</v>
      </c>
      <c r="M22" s="21" t="s">
        <v>354</v>
      </c>
      <c r="N22" s="18" t="s">
        <v>89</v>
      </c>
      <c r="O22" s="18" t="s">
        <v>90</v>
      </c>
      <c r="P22" s="18" t="s">
        <v>89</v>
      </c>
      <c r="Q22" s="18" t="s">
        <v>91</v>
      </c>
      <c r="R22" s="19" t="s">
        <v>126</v>
      </c>
      <c r="S22" s="19" t="s">
        <v>105</v>
      </c>
      <c r="T22" s="18" t="s">
        <v>173</v>
      </c>
      <c r="U22" s="18" t="s">
        <v>94</v>
      </c>
      <c r="V22" s="18" t="s">
        <v>174</v>
      </c>
      <c r="W22" s="18" t="s">
        <v>89</v>
      </c>
      <c r="X22" s="18" t="s">
        <v>175</v>
      </c>
      <c r="Y22" s="18" t="s">
        <v>94</v>
      </c>
      <c r="Z22" s="18" t="s">
        <v>176</v>
      </c>
      <c r="AA22" s="18" t="s">
        <v>89</v>
      </c>
      <c r="AB22" s="18" t="s">
        <v>177</v>
      </c>
      <c r="AC22" s="18" t="s">
        <v>94</v>
      </c>
      <c r="AD22" s="19" t="s">
        <v>92</v>
      </c>
      <c r="AE22" s="18" t="s">
        <v>178</v>
      </c>
      <c r="AF22" s="18" t="s">
        <v>89</v>
      </c>
      <c r="AG22" s="18" t="s">
        <v>179</v>
      </c>
      <c r="AH22" s="18" t="s">
        <v>94</v>
      </c>
      <c r="AI22" s="18" t="s">
        <v>180</v>
      </c>
      <c r="AJ22" s="18" t="s">
        <v>89</v>
      </c>
      <c r="AK22" s="18" t="s">
        <v>181</v>
      </c>
      <c r="AL22" s="18" t="s">
        <v>94</v>
      </c>
      <c r="AM22" s="18" t="s">
        <v>182</v>
      </c>
      <c r="AN22" s="18" t="s">
        <v>89</v>
      </c>
      <c r="AO22" s="19" t="s">
        <v>99</v>
      </c>
      <c r="AP22" s="18" t="s">
        <v>183</v>
      </c>
      <c r="AQ22" s="18" t="s">
        <v>89</v>
      </c>
      <c r="AR22" s="18" t="s">
        <v>184</v>
      </c>
      <c r="AS22" s="18" t="s">
        <v>94</v>
      </c>
      <c r="AT22" s="18" t="s">
        <v>185</v>
      </c>
      <c r="AU22" s="18" t="s">
        <v>89</v>
      </c>
      <c r="AV22" s="18" t="s">
        <v>186</v>
      </c>
      <c r="AW22" s="18" t="s">
        <v>94</v>
      </c>
      <c r="AX22" s="18" t="s">
        <v>187</v>
      </c>
      <c r="AY22" s="18" t="s">
        <v>89</v>
      </c>
      <c r="AZ22" s="18" t="s">
        <v>111</v>
      </c>
      <c r="BA22" s="19" t="s">
        <v>86</v>
      </c>
      <c r="BB22" s="19" t="s">
        <v>92</v>
      </c>
      <c r="BC22" s="18" t="s">
        <v>188</v>
      </c>
      <c r="BD22" s="18" t="s">
        <v>89</v>
      </c>
      <c r="BE22" s="18" t="s">
        <v>189</v>
      </c>
      <c r="BF22" s="18" t="s">
        <v>94</v>
      </c>
      <c r="BG22" s="18" t="s">
        <v>190</v>
      </c>
      <c r="BH22" s="18" t="s">
        <v>89</v>
      </c>
      <c r="BI22" s="18" t="s">
        <v>191</v>
      </c>
      <c r="BJ22" s="18" t="s">
        <v>94</v>
      </c>
      <c r="BK22" s="18"/>
      <c r="BL22" s="18"/>
      <c r="BM22" s="19" t="s">
        <v>99</v>
      </c>
      <c r="BN22" s="18" t="s">
        <v>192</v>
      </c>
      <c r="BO22" s="18" t="s">
        <v>89</v>
      </c>
      <c r="BP22" s="18" t="s">
        <v>193</v>
      </c>
      <c r="BQ22" s="18" t="s">
        <v>94</v>
      </c>
      <c r="BR22" s="18" t="s">
        <v>194</v>
      </c>
      <c r="BS22" s="18" t="s">
        <v>89</v>
      </c>
      <c r="BT22" s="18" t="s">
        <v>195</v>
      </c>
      <c r="BU22" s="18" t="s">
        <v>94</v>
      </c>
      <c r="BV22" s="18"/>
      <c r="BW22" s="18"/>
      <c r="BX22" s="19" t="s">
        <v>105</v>
      </c>
      <c r="BY22" s="18" t="s">
        <v>196</v>
      </c>
      <c r="BZ22" s="18" t="s">
        <v>89</v>
      </c>
      <c r="CA22" s="18" t="s">
        <v>197</v>
      </c>
      <c r="CB22" s="18" t="s">
        <v>94</v>
      </c>
      <c r="CC22" s="18" t="s">
        <v>198</v>
      </c>
      <c r="CD22" s="18" t="s">
        <v>89</v>
      </c>
      <c r="CE22" s="18" t="s">
        <v>199</v>
      </c>
      <c r="CF22" s="18" t="s">
        <v>94</v>
      </c>
      <c r="CG22" s="18"/>
      <c r="CH22" s="18"/>
      <c r="CI22" s="20"/>
      <c r="CJ22" s="20"/>
      <c r="CK22" s="20"/>
      <c r="CL22" s="20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</row>
    <row r="23" spans="1:246" ht="14.45" customHeight="1">
      <c r="A23" s="27" t="s">
        <v>200</v>
      </c>
      <c r="B23" s="27" t="s">
        <v>125</v>
      </c>
      <c r="C23" s="19" t="s">
        <v>87</v>
      </c>
      <c r="D23" s="19" t="s">
        <v>86</v>
      </c>
      <c r="E23" s="21" t="s">
        <v>351</v>
      </c>
      <c r="F23" s="18" t="s">
        <v>89</v>
      </c>
      <c r="G23" s="21" t="s">
        <v>88</v>
      </c>
      <c r="H23" s="18" t="s">
        <v>89</v>
      </c>
      <c r="I23" s="21" t="s">
        <v>352</v>
      </c>
      <c r="J23" s="18" t="s">
        <v>89</v>
      </c>
      <c r="K23" s="21" t="s">
        <v>353</v>
      </c>
      <c r="L23" s="18" t="s">
        <v>89</v>
      </c>
      <c r="M23" s="21" t="s">
        <v>354</v>
      </c>
      <c r="N23" s="18" t="s">
        <v>89</v>
      </c>
      <c r="O23" s="18" t="s">
        <v>90</v>
      </c>
      <c r="P23" s="18" t="s">
        <v>89</v>
      </c>
      <c r="Q23" s="18" t="s">
        <v>111</v>
      </c>
      <c r="R23" s="19" t="s">
        <v>87</v>
      </c>
      <c r="S23" s="19" t="s">
        <v>99</v>
      </c>
      <c r="T23" s="18" t="s">
        <v>194</v>
      </c>
      <c r="U23" s="18" t="s">
        <v>89</v>
      </c>
      <c r="V23" s="18" t="s">
        <v>195</v>
      </c>
      <c r="W23" s="18" t="s">
        <v>94</v>
      </c>
      <c r="X23" s="18" t="s">
        <v>192</v>
      </c>
      <c r="Y23" s="18" t="s">
        <v>89</v>
      </c>
      <c r="Z23" s="18" t="s">
        <v>193</v>
      </c>
      <c r="AA23" s="18" t="s">
        <v>94</v>
      </c>
      <c r="AB23" s="18"/>
      <c r="AC23" s="18"/>
      <c r="AD23" s="19" t="s">
        <v>105</v>
      </c>
      <c r="AE23" s="18" t="s">
        <v>198</v>
      </c>
      <c r="AF23" s="18" t="s">
        <v>89</v>
      </c>
      <c r="AG23" s="18" t="s">
        <v>199</v>
      </c>
      <c r="AH23" s="18" t="s">
        <v>94</v>
      </c>
      <c r="AI23" s="18" t="s">
        <v>196</v>
      </c>
      <c r="AJ23" s="18" t="s">
        <v>89</v>
      </c>
      <c r="AK23" s="18" t="s">
        <v>197</v>
      </c>
      <c r="AL23" s="18" t="s">
        <v>94</v>
      </c>
      <c r="AM23" s="18"/>
      <c r="AN23" s="18"/>
      <c r="AO23" s="19" t="s">
        <v>92</v>
      </c>
      <c r="AP23" s="18" t="s">
        <v>188</v>
      </c>
      <c r="AQ23" s="18" t="s">
        <v>89</v>
      </c>
      <c r="AR23" s="18" t="s">
        <v>189</v>
      </c>
      <c r="AS23" s="18" t="s">
        <v>94</v>
      </c>
      <c r="AT23" s="18" t="s">
        <v>190</v>
      </c>
      <c r="AU23" s="18" t="s">
        <v>89</v>
      </c>
      <c r="AV23" s="18" t="s">
        <v>191</v>
      </c>
      <c r="AW23" s="18" t="s">
        <v>94</v>
      </c>
      <c r="AX23" s="18"/>
      <c r="AY23" s="18"/>
      <c r="AZ23" s="18" t="s">
        <v>91</v>
      </c>
      <c r="BA23" s="19" t="s">
        <v>86</v>
      </c>
      <c r="BB23" s="19" t="s">
        <v>92</v>
      </c>
      <c r="BC23" s="18" t="s">
        <v>182</v>
      </c>
      <c r="BD23" s="18" t="s">
        <v>89</v>
      </c>
      <c r="BE23" s="18" t="s">
        <v>181</v>
      </c>
      <c r="BF23" s="18" t="s">
        <v>94</v>
      </c>
      <c r="BG23" s="18" t="s">
        <v>178</v>
      </c>
      <c r="BH23" s="18" t="s">
        <v>89</v>
      </c>
      <c r="BI23" s="18" t="s">
        <v>179</v>
      </c>
      <c r="BJ23" s="18" t="s">
        <v>94</v>
      </c>
      <c r="BK23" s="18" t="s">
        <v>180</v>
      </c>
      <c r="BL23" s="18" t="s">
        <v>89</v>
      </c>
      <c r="BM23" s="19" t="s">
        <v>99</v>
      </c>
      <c r="BN23" s="18" t="s">
        <v>187</v>
      </c>
      <c r="BO23" s="18" t="s">
        <v>89</v>
      </c>
      <c r="BP23" s="18" t="s">
        <v>186</v>
      </c>
      <c r="BQ23" s="18" t="s">
        <v>94</v>
      </c>
      <c r="BR23" s="18" t="s">
        <v>183</v>
      </c>
      <c r="BS23" s="18" t="s">
        <v>89</v>
      </c>
      <c r="BT23" s="18" t="s">
        <v>184</v>
      </c>
      <c r="BU23" s="18" t="s">
        <v>94</v>
      </c>
      <c r="BV23" s="18" t="s">
        <v>185</v>
      </c>
      <c r="BW23" s="18" t="s">
        <v>89</v>
      </c>
      <c r="BX23" s="19" t="s">
        <v>105</v>
      </c>
      <c r="BY23" s="18" t="s">
        <v>175</v>
      </c>
      <c r="BZ23" s="18" t="s">
        <v>94</v>
      </c>
      <c r="CA23" s="18" t="s">
        <v>174</v>
      </c>
      <c r="CB23" s="18" t="s">
        <v>89</v>
      </c>
      <c r="CC23" s="18" t="s">
        <v>177</v>
      </c>
      <c r="CD23" s="18" t="s">
        <v>94</v>
      </c>
      <c r="CE23" s="18" t="s">
        <v>176</v>
      </c>
      <c r="CF23" s="18" t="s">
        <v>89</v>
      </c>
      <c r="CG23" s="18" t="s">
        <v>173</v>
      </c>
      <c r="CH23" s="18" t="s">
        <v>94</v>
      </c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</row>
    <row r="24" spans="1:246" ht="14.45" customHeight="1">
      <c r="A24" s="27" t="s">
        <v>201</v>
      </c>
      <c r="B24" s="27" t="s">
        <v>85</v>
      </c>
      <c r="C24" s="19" t="s">
        <v>87</v>
      </c>
      <c r="D24" s="19" t="s">
        <v>126</v>
      </c>
      <c r="E24" s="21" t="s">
        <v>351</v>
      </c>
      <c r="F24" s="18" t="s">
        <v>89</v>
      </c>
      <c r="G24" s="21" t="s">
        <v>88</v>
      </c>
      <c r="H24" s="18" t="s">
        <v>89</v>
      </c>
      <c r="I24" s="21" t="s">
        <v>352</v>
      </c>
      <c r="J24" s="18" t="s">
        <v>89</v>
      </c>
      <c r="K24" s="21" t="s">
        <v>353</v>
      </c>
      <c r="L24" s="18" t="s">
        <v>89</v>
      </c>
      <c r="M24" s="21" t="s">
        <v>354</v>
      </c>
      <c r="N24" s="18" t="s">
        <v>89</v>
      </c>
      <c r="O24" s="18" t="s">
        <v>90</v>
      </c>
      <c r="P24" s="18" t="s">
        <v>89</v>
      </c>
      <c r="Q24" s="18" t="s">
        <v>91</v>
      </c>
      <c r="R24" s="19" t="s">
        <v>87</v>
      </c>
      <c r="S24" s="19" t="s">
        <v>99</v>
      </c>
      <c r="T24" s="18" t="s">
        <v>185</v>
      </c>
      <c r="U24" s="18" t="s">
        <v>89</v>
      </c>
      <c r="V24" s="18" t="s">
        <v>186</v>
      </c>
      <c r="W24" s="18" t="s">
        <v>94</v>
      </c>
      <c r="X24" s="18" t="s">
        <v>187</v>
      </c>
      <c r="Y24" s="18" t="s">
        <v>89</v>
      </c>
      <c r="Z24" s="18" t="s">
        <v>184</v>
      </c>
      <c r="AA24" s="18" t="s">
        <v>94</v>
      </c>
      <c r="AB24" s="18" t="s">
        <v>183</v>
      </c>
      <c r="AC24" s="18" t="s">
        <v>89</v>
      </c>
      <c r="AD24" s="19" t="s">
        <v>105</v>
      </c>
      <c r="AE24" s="18" t="s">
        <v>175</v>
      </c>
      <c r="AF24" s="18" t="s">
        <v>94</v>
      </c>
      <c r="AG24" s="18" t="s">
        <v>176</v>
      </c>
      <c r="AH24" s="18" t="s">
        <v>89</v>
      </c>
      <c r="AI24" s="18" t="s">
        <v>177</v>
      </c>
      <c r="AJ24" s="18" t="s">
        <v>94</v>
      </c>
      <c r="AK24" s="18" t="s">
        <v>174</v>
      </c>
      <c r="AL24" s="18" t="s">
        <v>89</v>
      </c>
      <c r="AM24" s="18" t="s">
        <v>173</v>
      </c>
      <c r="AN24" s="18" t="s">
        <v>94</v>
      </c>
      <c r="AO24" s="19" t="s">
        <v>92</v>
      </c>
      <c r="AP24" s="18" t="s">
        <v>178</v>
      </c>
      <c r="AQ24" s="18" t="s">
        <v>89</v>
      </c>
      <c r="AR24" s="18" t="s">
        <v>179</v>
      </c>
      <c r="AS24" s="18" t="s">
        <v>94</v>
      </c>
      <c r="AT24" s="18" t="s">
        <v>180</v>
      </c>
      <c r="AU24" s="18" t="s">
        <v>89</v>
      </c>
      <c r="AV24" s="18" t="s">
        <v>181</v>
      </c>
      <c r="AW24" s="18" t="s">
        <v>94</v>
      </c>
      <c r="AX24" s="18" t="s">
        <v>182</v>
      </c>
      <c r="AY24" s="18" t="s">
        <v>89</v>
      </c>
      <c r="AZ24" s="18" t="s">
        <v>111</v>
      </c>
      <c r="BA24" s="19" t="s">
        <v>126</v>
      </c>
      <c r="BB24" s="19" t="s">
        <v>105</v>
      </c>
      <c r="BC24" s="18" t="s">
        <v>196</v>
      </c>
      <c r="BD24" s="18" t="s">
        <v>89</v>
      </c>
      <c r="BE24" s="18" t="s">
        <v>199</v>
      </c>
      <c r="BF24" s="18" t="s">
        <v>94</v>
      </c>
      <c r="BG24" s="18" t="s">
        <v>198</v>
      </c>
      <c r="BH24" s="18" t="s">
        <v>89</v>
      </c>
      <c r="BI24" s="18" t="s">
        <v>197</v>
      </c>
      <c r="BJ24" s="18" t="s">
        <v>94</v>
      </c>
      <c r="BK24" s="18"/>
      <c r="BL24" s="18"/>
      <c r="BM24" s="19" t="s">
        <v>92</v>
      </c>
      <c r="BN24" s="18" t="s">
        <v>190</v>
      </c>
      <c r="BO24" s="18" t="s">
        <v>89</v>
      </c>
      <c r="BP24" s="18" t="s">
        <v>191</v>
      </c>
      <c r="BQ24" s="18" t="s">
        <v>94</v>
      </c>
      <c r="BR24" s="18" t="s">
        <v>188</v>
      </c>
      <c r="BS24" s="18" t="s">
        <v>89</v>
      </c>
      <c r="BT24" s="18" t="s">
        <v>189</v>
      </c>
      <c r="BU24" s="18" t="s">
        <v>94</v>
      </c>
      <c r="BV24" s="18"/>
      <c r="BW24" s="18"/>
      <c r="BX24" s="19" t="s">
        <v>99</v>
      </c>
      <c r="BY24" s="18" t="s">
        <v>194</v>
      </c>
      <c r="BZ24" s="18" t="s">
        <v>89</v>
      </c>
      <c r="CA24" s="18" t="s">
        <v>195</v>
      </c>
      <c r="CB24" s="18" t="s">
        <v>94</v>
      </c>
      <c r="CC24" s="18" t="s">
        <v>192</v>
      </c>
      <c r="CD24" s="18" t="s">
        <v>89</v>
      </c>
      <c r="CE24" s="18" t="s">
        <v>193</v>
      </c>
      <c r="CF24" s="18" t="s">
        <v>94</v>
      </c>
      <c r="CG24" s="18"/>
      <c r="CH24" s="18"/>
      <c r="CI24" s="20"/>
      <c r="CJ24" s="20"/>
      <c r="CK24" s="20"/>
      <c r="CL24" s="20"/>
      <c r="CM24" s="20"/>
      <c r="CN24" s="20"/>
      <c r="CO24" s="20"/>
      <c r="CP24" s="20"/>
      <c r="CQ24" s="20"/>
      <c r="CR24" s="20"/>
      <c r="CS24" s="20"/>
      <c r="CT24" s="20"/>
      <c r="CU24" s="20"/>
      <c r="CV24" s="20"/>
      <c r="CW24" s="20"/>
      <c r="CX24" s="20"/>
      <c r="CY24" s="20"/>
      <c r="CZ24" s="20"/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</row>
    <row r="25" spans="1:246" ht="14.45" customHeight="1">
      <c r="A25" s="27" t="s">
        <v>202</v>
      </c>
      <c r="B25" s="27" t="s">
        <v>125</v>
      </c>
      <c r="C25" s="19" t="s">
        <v>86</v>
      </c>
      <c r="D25" s="19" t="s">
        <v>126</v>
      </c>
      <c r="E25" s="21" t="s">
        <v>351</v>
      </c>
      <c r="F25" s="18" t="s">
        <v>89</v>
      </c>
      <c r="G25" s="21" t="s">
        <v>88</v>
      </c>
      <c r="H25" s="18" t="s">
        <v>89</v>
      </c>
      <c r="I25" s="21" t="s">
        <v>352</v>
      </c>
      <c r="J25" s="18" t="s">
        <v>89</v>
      </c>
      <c r="K25" s="21" t="s">
        <v>353</v>
      </c>
      <c r="L25" s="18" t="s">
        <v>89</v>
      </c>
      <c r="M25" s="21" t="s">
        <v>354</v>
      </c>
      <c r="N25" s="18" t="s">
        <v>89</v>
      </c>
      <c r="O25" s="18" t="s">
        <v>90</v>
      </c>
      <c r="P25" s="18" t="s">
        <v>89</v>
      </c>
      <c r="Q25" s="18" t="s">
        <v>111</v>
      </c>
      <c r="R25" s="19" t="s">
        <v>86</v>
      </c>
      <c r="S25" s="19" t="s">
        <v>92</v>
      </c>
      <c r="T25" s="18" t="s">
        <v>188</v>
      </c>
      <c r="U25" s="18" t="s">
        <v>89</v>
      </c>
      <c r="V25" s="18" t="s">
        <v>189</v>
      </c>
      <c r="W25" s="18" t="s">
        <v>94</v>
      </c>
      <c r="X25" s="18" t="s">
        <v>190</v>
      </c>
      <c r="Y25" s="18" t="s">
        <v>89</v>
      </c>
      <c r="Z25" s="18" t="s">
        <v>191</v>
      </c>
      <c r="AA25" s="18" t="s">
        <v>94</v>
      </c>
      <c r="AB25" s="18"/>
      <c r="AC25" s="18"/>
      <c r="AD25" s="19" t="s">
        <v>99</v>
      </c>
      <c r="AE25" s="18" t="s">
        <v>194</v>
      </c>
      <c r="AF25" s="18" t="s">
        <v>89</v>
      </c>
      <c r="AG25" s="18" t="s">
        <v>193</v>
      </c>
      <c r="AH25" s="18" t="s">
        <v>94</v>
      </c>
      <c r="AI25" s="18" t="s">
        <v>192</v>
      </c>
      <c r="AJ25" s="18" t="s">
        <v>89</v>
      </c>
      <c r="AK25" s="18" t="s">
        <v>195</v>
      </c>
      <c r="AL25" s="18" t="s">
        <v>94</v>
      </c>
      <c r="AM25" s="18"/>
      <c r="AN25" s="18"/>
      <c r="AO25" s="19" t="s">
        <v>105</v>
      </c>
      <c r="AP25" s="18" t="s">
        <v>196</v>
      </c>
      <c r="AQ25" s="18" t="s">
        <v>89</v>
      </c>
      <c r="AR25" s="18" t="s">
        <v>197</v>
      </c>
      <c r="AS25" s="18" t="s">
        <v>94</v>
      </c>
      <c r="AT25" s="18" t="s">
        <v>198</v>
      </c>
      <c r="AU25" s="18" t="s">
        <v>89</v>
      </c>
      <c r="AV25" s="18" t="s">
        <v>199</v>
      </c>
      <c r="AW25" s="18" t="s">
        <v>94</v>
      </c>
      <c r="AX25" s="18"/>
      <c r="AY25" s="18"/>
      <c r="AZ25" s="18" t="s">
        <v>91</v>
      </c>
      <c r="BA25" s="19" t="s">
        <v>126</v>
      </c>
      <c r="BB25" s="19" t="s">
        <v>105</v>
      </c>
      <c r="BC25" s="18" t="s">
        <v>177</v>
      </c>
      <c r="BD25" s="18" t="s">
        <v>94</v>
      </c>
      <c r="BE25" s="18" t="s">
        <v>176</v>
      </c>
      <c r="BF25" s="18" t="s">
        <v>89</v>
      </c>
      <c r="BG25" s="18" t="s">
        <v>173</v>
      </c>
      <c r="BH25" s="18" t="s">
        <v>94</v>
      </c>
      <c r="BI25" s="18" t="s">
        <v>174</v>
      </c>
      <c r="BJ25" s="18" t="s">
        <v>89</v>
      </c>
      <c r="BK25" s="18" t="s">
        <v>175</v>
      </c>
      <c r="BL25" s="18" t="s">
        <v>94</v>
      </c>
      <c r="BM25" s="19" t="s">
        <v>92</v>
      </c>
      <c r="BN25" s="18" t="s">
        <v>178</v>
      </c>
      <c r="BO25" s="18" t="s">
        <v>89</v>
      </c>
      <c r="BP25" s="18" t="s">
        <v>181</v>
      </c>
      <c r="BQ25" s="18" t="s">
        <v>94</v>
      </c>
      <c r="BR25" s="18" t="s">
        <v>180</v>
      </c>
      <c r="BS25" s="18" t="s">
        <v>89</v>
      </c>
      <c r="BT25" s="18" t="s">
        <v>179</v>
      </c>
      <c r="BU25" s="18" t="s">
        <v>94</v>
      </c>
      <c r="BV25" s="18" t="s">
        <v>182</v>
      </c>
      <c r="BW25" s="18" t="s">
        <v>89</v>
      </c>
      <c r="BX25" s="19" t="s">
        <v>99</v>
      </c>
      <c r="BY25" s="18" t="s">
        <v>185</v>
      </c>
      <c r="BZ25" s="18" t="s">
        <v>89</v>
      </c>
      <c r="CA25" s="18" t="s">
        <v>186</v>
      </c>
      <c r="CB25" s="18" t="s">
        <v>94</v>
      </c>
      <c r="CC25" s="18" t="s">
        <v>183</v>
      </c>
      <c r="CD25" s="18" t="s">
        <v>89</v>
      </c>
      <c r="CE25" s="18" t="s">
        <v>184</v>
      </c>
      <c r="CF25" s="18" t="s">
        <v>94</v>
      </c>
      <c r="CG25" s="18" t="s">
        <v>187</v>
      </c>
      <c r="CH25" s="18" t="s">
        <v>89</v>
      </c>
      <c r="CI25" s="20"/>
      <c r="CJ25" s="20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20"/>
      <c r="EG25" s="20"/>
      <c r="EH25" s="20"/>
      <c r="EI25" s="20"/>
      <c r="EJ25" s="20"/>
      <c r="EK25" s="20"/>
      <c r="EL25" s="20"/>
      <c r="EM25" s="20"/>
      <c r="EN25" s="20"/>
      <c r="EO25" s="20"/>
      <c r="EP25" s="20"/>
      <c r="EQ25" s="20"/>
      <c r="ER25" s="20"/>
      <c r="ES25" s="20"/>
      <c r="ET25" s="20"/>
      <c r="EU25" s="20"/>
      <c r="EV25" s="20"/>
      <c r="EW25" s="20"/>
      <c r="EX25" s="20"/>
      <c r="EY25" s="20"/>
      <c r="EZ25" s="20"/>
      <c r="FA25" s="20"/>
      <c r="FB25" s="20"/>
      <c r="FC25" s="20"/>
      <c r="FD25" s="20"/>
      <c r="FE25" s="20"/>
      <c r="FF25" s="20"/>
      <c r="FG25" s="20"/>
      <c r="FH25" s="20"/>
      <c r="FI25" s="20"/>
      <c r="FJ25" s="20"/>
      <c r="FK25" s="20"/>
      <c r="FL25" s="20"/>
      <c r="FM25" s="20"/>
      <c r="FN25" s="20"/>
      <c r="FO25" s="20"/>
      <c r="FP25" s="20"/>
      <c r="FQ25" s="20"/>
      <c r="FR25" s="20"/>
      <c r="FS25" s="20"/>
      <c r="FT25" s="20"/>
      <c r="FU25" s="20"/>
      <c r="FV25" s="20"/>
      <c r="FW25" s="20"/>
      <c r="FX25" s="20"/>
      <c r="FY25" s="20"/>
      <c r="FZ25" s="20"/>
      <c r="GA25" s="20"/>
      <c r="GB25" s="20"/>
      <c r="GC25" s="20"/>
      <c r="GD25" s="20"/>
      <c r="GE25" s="20"/>
      <c r="GF25" s="20"/>
      <c r="GG25" s="20"/>
      <c r="GH25" s="20"/>
      <c r="GI25" s="20"/>
      <c r="GJ25" s="20"/>
      <c r="GK25" s="20"/>
      <c r="GL25" s="20"/>
      <c r="GM25" s="20"/>
      <c r="GN25" s="20"/>
      <c r="GO25" s="20"/>
      <c r="GP25" s="20"/>
      <c r="GQ25" s="20"/>
      <c r="GR25" s="20"/>
      <c r="GS25" s="20"/>
      <c r="GT25" s="20"/>
      <c r="GU25" s="20"/>
      <c r="GV25" s="20"/>
      <c r="GW25" s="20"/>
      <c r="GX25" s="20"/>
      <c r="GY25" s="20"/>
      <c r="GZ25" s="20"/>
      <c r="HA25" s="20"/>
      <c r="HB25" s="20"/>
      <c r="HC25" s="20"/>
      <c r="HD25" s="20"/>
      <c r="HE25" s="20"/>
      <c r="HF25" s="20"/>
      <c r="HG25" s="20"/>
      <c r="HH25" s="20"/>
      <c r="HI25" s="20"/>
      <c r="HJ25" s="20"/>
      <c r="HK25" s="20"/>
      <c r="HL25" s="20"/>
      <c r="HM25" s="20"/>
      <c r="HN25" s="20"/>
      <c r="HO25" s="20"/>
      <c r="HP25" s="20"/>
      <c r="HQ25" s="20"/>
      <c r="HR25" s="20"/>
      <c r="HS25" s="20"/>
      <c r="HT25" s="20"/>
      <c r="HU25" s="20"/>
      <c r="HV25" s="20"/>
      <c r="HW25" s="20"/>
      <c r="HX25" s="20"/>
      <c r="HY25" s="20"/>
      <c r="HZ25" s="20"/>
      <c r="IA25" s="20"/>
      <c r="IB25" s="20"/>
      <c r="IC25" s="20"/>
      <c r="ID25" s="20"/>
      <c r="IE25" s="20"/>
      <c r="IF25" s="20"/>
      <c r="IG25" s="20"/>
      <c r="IH25" s="20"/>
      <c r="II25" s="20"/>
      <c r="IJ25" s="20"/>
      <c r="IK25" s="20"/>
      <c r="IL25" s="20"/>
    </row>
    <row r="26" spans="1:246" ht="14.45" customHeight="1">
      <c r="A26" s="27" t="s">
        <v>203</v>
      </c>
      <c r="B26" s="27" t="s">
        <v>85</v>
      </c>
      <c r="C26" s="19" t="s">
        <v>86</v>
      </c>
      <c r="D26" s="19" t="s">
        <v>87</v>
      </c>
      <c r="E26" s="21" t="s">
        <v>351</v>
      </c>
      <c r="F26" s="18" t="s">
        <v>89</v>
      </c>
      <c r="G26" s="21" t="s">
        <v>88</v>
      </c>
      <c r="H26" s="18" t="s">
        <v>89</v>
      </c>
      <c r="I26" s="21" t="s">
        <v>352</v>
      </c>
      <c r="J26" s="18" t="s">
        <v>89</v>
      </c>
      <c r="K26" s="21" t="s">
        <v>353</v>
      </c>
      <c r="L26" s="18" t="s">
        <v>89</v>
      </c>
      <c r="M26" s="21" t="s">
        <v>354</v>
      </c>
      <c r="N26" s="18" t="s">
        <v>89</v>
      </c>
      <c r="O26" s="18" t="s">
        <v>90</v>
      </c>
      <c r="P26" s="18" t="s">
        <v>89</v>
      </c>
      <c r="Q26" s="18" t="s">
        <v>91</v>
      </c>
      <c r="R26" s="19" t="s">
        <v>86</v>
      </c>
      <c r="S26" s="19" t="s">
        <v>92</v>
      </c>
      <c r="T26" s="18" t="s">
        <v>178</v>
      </c>
      <c r="U26" s="18" t="s">
        <v>89</v>
      </c>
      <c r="V26" s="18" t="s">
        <v>179</v>
      </c>
      <c r="W26" s="18" t="s">
        <v>94</v>
      </c>
      <c r="X26" s="18" t="s">
        <v>180</v>
      </c>
      <c r="Y26" s="18" t="s">
        <v>89</v>
      </c>
      <c r="Z26" s="18" t="s">
        <v>181</v>
      </c>
      <c r="AA26" s="18" t="s">
        <v>94</v>
      </c>
      <c r="AB26" s="18" t="s">
        <v>182</v>
      </c>
      <c r="AC26" s="18" t="s">
        <v>89</v>
      </c>
      <c r="AD26" s="19" t="s">
        <v>99</v>
      </c>
      <c r="AE26" s="18" t="s">
        <v>183</v>
      </c>
      <c r="AF26" s="18" t="s">
        <v>89</v>
      </c>
      <c r="AG26" s="18" t="s">
        <v>184</v>
      </c>
      <c r="AH26" s="18" t="s">
        <v>94</v>
      </c>
      <c r="AI26" s="18" t="s">
        <v>187</v>
      </c>
      <c r="AJ26" s="18" t="s">
        <v>89</v>
      </c>
      <c r="AK26" s="18" t="s">
        <v>186</v>
      </c>
      <c r="AL26" s="18" t="s">
        <v>94</v>
      </c>
      <c r="AM26" s="18" t="s">
        <v>185</v>
      </c>
      <c r="AN26" s="18" t="s">
        <v>89</v>
      </c>
      <c r="AO26" s="19" t="s">
        <v>105</v>
      </c>
      <c r="AP26" s="18" t="s">
        <v>175</v>
      </c>
      <c r="AQ26" s="18" t="s">
        <v>94</v>
      </c>
      <c r="AR26" s="18" t="s">
        <v>174</v>
      </c>
      <c r="AS26" s="18" t="s">
        <v>89</v>
      </c>
      <c r="AT26" s="18" t="s">
        <v>177</v>
      </c>
      <c r="AU26" s="18" t="s">
        <v>94</v>
      </c>
      <c r="AV26" s="18" t="s">
        <v>176</v>
      </c>
      <c r="AW26" s="18" t="s">
        <v>89</v>
      </c>
      <c r="AX26" s="18" t="s">
        <v>173</v>
      </c>
      <c r="AY26" s="18" t="s">
        <v>94</v>
      </c>
      <c r="AZ26" s="18" t="s">
        <v>111</v>
      </c>
      <c r="BA26" s="19" t="s">
        <v>87</v>
      </c>
      <c r="BB26" s="19" t="s">
        <v>99</v>
      </c>
      <c r="BC26" s="18" t="s">
        <v>194</v>
      </c>
      <c r="BD26" s="18" t="s">
        <v>89</v>
      </c>
      <c r="BE26" s="18" t="s">
        <v>195</v>
      </c>
      <c r="BF26" s="18" t="s">
        <v>94</v>
      </c>
      <c r="BG26" s="18" t="s">
        <v>192</v>
      </c>
      <c r="BH26" s="18" t="s">
        <v>89</v>
      </c>
      <c r="BI26" s="18" t="s">
        <v>193</v>
      </c>
      <c r="BJ26" s="18" t="s">
        <v>94</v>
      </c>
      <c r="BK26" s="18"/>
      <c r="BL26" s="18"/>
      <c r="BM26" s="19" t="s">
        <v>105</v>
      </c>
      <c r="BN26" s="18" t="s">
        <v>198</v>
      </c>
      <c r="BO26" s="18" t="s">
        <v>89</v>
      </c>
      <c r="BP26" s="18" t="s">
        <v>197</v>
      </c>
      <c r="BQ26" s="18" t="s">
        <v>94</v>
      </c>
      <c r="BR26" s="18" t="s">
        <v>196</v>
      </c>
      <c r="BS26" s="18" t="s">
        <v>89</v>
      </c>
      <c r="BT26" s="18" t="s">
        <v>199</v>
      </c>
      <c r="BU26" s="18" t="s">
        <v>94</v>
      </c>
      <c r="BV26" s="18"/>
      <c r="BW26" s="18"/>
      <c r="BX26" s="19" t="s">
        <v>92</v>
      </c>
      <c r="BY26" s="18" t="s">
        <v>188</v>
      </c>
      <c r="BZ26" s="18" t="s">
        <v>89</v>
      </c>
      <c r="CA26" s="18" t="s">
        <v>189</v>
      </c>
      <c r="CB26" s="18" t="s">
        <v>94</v>
      </c>
      <c r="CC26" s="18" t="s">
        <v>190</v>
      </c>
      <c r="CD26" s="18" t="s">
        <v>89</v>
      </c>
      <c r="CE26" s="18" t="s">
        <v>191</v>
      </c>
      <c r="CF26" s="18" t="s">
        <v>94</v>
      </c>
      <c r="CG26" s="18"/>
      <c r="CH26" s="18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</row>
    <row r="27" spans="1:246" ht="14.45" customHeight="1">
      <c r="A27" s="27" t="s">
        <v>204</v>
      </c>
      <c r="B27" s="27" t="s">
        <v>125</v>
      </c>
      <c r="C27" s="19" t="s">
        <v>126</v>
      </c>
      <c r="D27" s="19" t="s">
        <v>87</v>
      </c>
      <c r="E27" s="21" t="s">
        <v>351</v>
      </c>
      <c r="F27" s="18" t="s">
        <v>89</v>
      </c>
      <c r="G27" s="21" t="s">
        <v>88</v>
      </c>
      <c r="H27" s="18" t="s">
        <v>89</v>
      </c>
      <c r="I27" s="21" t="s">
        <v>352</v>
      </c>
      <c r="J27" s="18" t="s">
        <v>89</v>
      </c>
      <c r="K27" s="21" t="s">
        <v>353</v>
      </c>
      <c r="L27" s="18" t="s">
        <v>89</v>
      </c>
      <c r="M27" s="21" t="s">
        <v>354</v>
      </c>
      <c r="N27" s="18" t="s">
        <v>89</v>
      </c>
      <c r="O27" s="18" t="s">
        <v>90</v>
      </c>
      <c r="P27" s="18" t="s">
        <v>89</v>
      </c>
      <c r="Q27" s="18" t="s">
        <v>111</v>
      </c>
      <c r="R27" s="19" t="s">
        <v>126</v>
      </c>
      <c r="S27" s="19" t="s">
        <v>105</v>
      </c>
      <c r="T27" s="18" t="s">
        <v>198</v>
      </c>
      <c r="U27" s="18" t="s">
        <v>89</v>
      </c>
      <c r="V27" s="18" t="s">
        <v>199</v>
      </c>
      <c r="W27" s="18" t="s">
        <v>94</v>
      </c>
      <c r="X27" s="18" t="s">
        <v>196</v>
      </c>
      <c r="Y27" s="18" t="s">
        <v>89</v>
      </c>
      <c r="Z27" s="18" t="s">
        <v>197</v>
      </c>
      <c r="AA27" s="18" t="s">
        <v>94</v>
      </c>
      <c r="AB27" s="18"/>
      <c r="AC27" s="18"/>
      <c r="AD27" s="19" t="s">
        <v>92</v>
      </c>
      <c r="AE27" s="18" t="s">
        <v>190</v>
      </c>
      <c r="AF27" s="18" t="s">
        <v>89</v>
      </c>
      <c r="AG27" s="18" t="s">
        <v>189</v>
      </c>
      <c r="AH27" s="18" t="s">
        <v>94</v>
      </c>
      <c r="AI27" s="18" t="s">
        <v>188</v>
      </c>
      <c r="AJ27" s="18" t="s">
        <v>89</v>
      </c>
      <c r="AK27" s="18" t="s">
        <v>191</v>
      </c>
      <c r="AL27" s="18" t="s">
        <v>94</v>
      </c>
      <c r="AM27" s="18"/>
      <c r="AN27" s="18"/>
      <c r="AO27" s="19" t="s">
        <v>99</v>
      </c>
      <c r="AP27" s="18" t="s">
        <v>192</v>
      </c>
      <c r="AQ27" s="18" t="s">
        <v>89</v>
      </c>
      <c r="AR27" s="18" t="s">
        <v>195</v>
      </c>
      <c r="AS27" s="18" t="s">
        <v>94</v>
      </c>
      <c r="AT27" s="18" t="s">
        <v>194</v>
      </c>
      <c r="AU27" s="18" t="s">
        <v>89</v>
      </c>
      <c r="AV27" s="18" t="s">
        <v>193</v>
      </c>
      <c r="AW27" s="18" t="s">
        <v>94</v>
      </c>
      <c r="AX27" s="18"/>
      <c r="AY27" s="18"/>
      <c r="AZ27" s="18" t="s">
        <v>91</v>
      </c>
      <c r="BA27" s="19" t="s">
        <v>87</v>
      </c>
      <c r="BB27" s="19" t="s">
        <v>99</v>
      </c>
      <c r="BC27" s="18" t="s">
        <v>183</v>
      </c>
      <c r="BD27" s="18" t="s">
        <v>89</v>
      </c>
      <c r="BE27" s="18" t="s">
        <v>186</v>
      </c>
      <c r="BF27" s="18" t="s">
        <v>94</v>
      </c>
      <c r="BG27" s="18" t="s">
        <v>185</v>
      </c>
      <c r="BH27" s="18" t="s">
        <v>89</v>
      </c>
      <c r="BI27" s="18" t="s">
        <v>184</v>
      </c>
      <c r="BJ27" s="18" t="s">
        <v>94</v>
      </c>
      <c r="BK27" s="18" t="s">
        <v>187</v>
      </c>
      <c r="BL27" s="18" t="s">
        <v>89</v>
      </c>
      <c r="BM27" s="19" t="s">
        <v>105</v>
      </c>
      <c r="BN27" s="18" t="s">
        <v>173</v>
      </c>
      <c r="BO27" s="18" t="s">
        <v>94</v>
      </c>
      <c r="BP27" s="18" t="s">
        <v>176</v>
      </c>
      <c r="BQ27" s="18" t="s">
        <v>89</v>
      </c>
      <c r="BR27" s="18" t="s">
        <v>175</v>
      </c>
      <c r="BS27" s="18" t="s">
        <v>94</v>
      </c>
      <c r="BT27" s="18" t="s">
        <v>174</v>
      </c>
      <c r="BU27" s="18" t="s">
        <v>89</v>
      </c>
      <c r="BV27" s="18" t="s">
        <v>177</v>
      </c>
      <c r="BW27" s="18" t="s">
        <v>94</v>
      </c>
      <c r="BX27" s="19" t="s">
        <v>92</v>
      </c>
      <c r="BY27" s="18" t="s">
        <v>180</v>
      </c>
      <c r="BZ27" s="18" t="s">
        <v>89</v>
      </c>
      <c r="CA27" s="18" t="s">
        <v>179</v>
      </c>
      <c r="CB27" s="18" t="s">
        <v>94</v>
      </c>
      <c r="CC27" s="18" t="s">
        <v>178</v>
      </c>
      <c r="CD27" s="18" t="s">
        <v>89</v>
      </c>
      <c r="CE27" s="18" t="s">
        <v>181</v>
      </c>
      <c r="CF27" s="18" t="s">
        <v>94</v>
      </c>
      <c r="CG27" s="18" t="s">
        <v>182</v>
      </c>
      <c r="CH27" s="18" t="s">
        <v>89</v>
      </c>
      <c r="CI27" s="20"/>
      <c r="CJ27" s="20"/>
      <c r="CK27" s="20"/>
      <c r="CL27" s="20"/>
      <c r="CM27" s="20"/>
      <c r="CN27" s="20"/>
      <c r="CO27" s="20"/>
      <c r="CP27" s="20"/>
      <c r="CQ27" s="20"/>
      <c r="CR27" s="20"/>
      <c r="CS27" s="20"/>
      <c r="CT27" s="20"/>
      <c r="CU27" s="20"/>
      <c r="CV27" s="20"/>
      <c r="CW27" s="20"/>
      <c r="CX27" s="20"/>
      <c r="CY27" s="20"/>
      <c r="CZ27" s="20"/>
      <c r="DA27" s="20"/>
      <c r="DB27" s="20"/>
      <c r="DC27" s="20"/>
      <c r="DD27" s="20"/>
      <c r="DE27" s="20"/>
      <c r="DF27" s="20"/>
      <c r="DG27" s="20"/>
      <c r="DH27" s="20"/>
      <c r="DI27" s="20"/>
      <c r="DJ27" s="20"/>
      <c r="DK27" s="20"/>
      <c r="DL27" s="20"/>
      <c r="DM27" s="20"/>
      <c r="DN27" s="20"/>
      <c r="DO27" s="20"/>
      <c r="DP27" s="20"/>
      <c r="DQ27" s="20"/>
      <c r="DR27" s="20"/>
      <c r="DS27" s="20"/>
      <c r="DT27" s="20"/>
      <c r="DU27" s="20"/>
      <c r="DV27" s="20"/>
      <c r="DW27" s="20"/>
      <c r="DX27" s="20"/>
      <c r="DY27" s="20"/>
      <c r="DZ27" s="20"/>
      <c r="EA27" s="20"/>
      <c r="EB27" s="20"/>
      <c r="EC27" s="20"/>
      <c r="ED27" s="20"/>
      <c r="EE27" s="20"/>
      <c r="EF27" s="20"/>
      <c r="EG27" s="20"/>
      <c r="EH27" s="20"/>
      <c r="EI27" s="20"/>
      <c r="EJ27" s="20"/>
      <c r="EK27" s="20"/>
      <c r="EL27" s="20"/>
      <c r="EM27" s="20"/>
      <c r="EN27" s="20"/>
      <c r="EO27" s="20"/>
      <c r="EP27" s="20"/>
      <c r="EQ27" s="20"/>
      <c r="ER27" s="20"/>
      <c r="ES27" s="20"/>
      <c r="ET27" s="20"/>
      <c r="EU27" s="20"/>
      <c r="EV27" s="20"/>
      <c r="EW27" s="20"/>
      <c r="EX27" s="20"/>
      <c r="EY27" s="20"/>
      <c r="EZ27" s="20"/>
      <c r="FA27" s="20"/>
      <c r="FB27" s="20"/>
      <c r="FC27" s="20"/>
      <c r="FD27" s="20"/>
      <c r="FE27" s="20"/>
      <c r="FF27" s="20"/>
      <c r="FG27" s="20"/>
      <c r="FH27" s="20"/>
      <c r="FI27" s="20"/>
      <c r="FJ27" s="20"/>
      <c r="FK27" s="20"/>
      <c r="FL27" s="20"/>
      <c r="FM27" s="20"/>
      <c r="FN27" s="20"/>
      <c r="FO27" s="20"/>
      <c r="FP27" s="20"/>
      <c r="FQ27" s="20"/>
      <c r="FR27" s="20"/>
      <c r="FS27" s="20"/>
      <c r="FT27" s="20"/>
      <c r="FU27" s="20"/>
      <c r="FV27" s="20"/>
      <c r="FW27" s="20"/>
      <c r="FX27" s="20"/>
      <c r="FY27" s="20"/>
      <c r="FZ27" s="20"/>
      <c r="GA27" s="20"/>
      <c r="GB27" s="20"/>
      <c r="GC27" s="20"/>
      <c r="GD27" s="20"/>
      <c r="GE27" s="20"/>
      <c r="GF27" s="20"/>
      <c r="GG27" s="20"/>
      <c r="GH27" s="20"/>
      <c r="GI27" s="20"/>
      <c r="GJ27" s="20"/>
      <c r="GK27" s="20"/>
      <c r="GL27" s="20"/>
      <c r="GM27" s="20"/>
      <c r="GN27" s="20"/>
      <c r="GO27" s="20"/>
      <c r="GP27" s="20"/>
      <c r="GQ27" s="20"/>
      <c r="GR27" s="20"/>
      <c r="GS27" s="20"/>
      <c r="GT27" s="20"/>
      <c r="GU27" s="20"/>
      <c r="GV27" s="20"/>
      <c r="GW27" s="20"/>
      <c r="GX27" s="20"/>
      <c r="GY27" s="20"/>
      <c r="GZ27" s="20"/>
      <c r="HA27" s="20"/>
      <c r="HB27" s="20"/>
      <c r="HC27" s="20"/>
      <c r="HD27" s="20"/>
      <c r="HE27" s="20"/>
      <c r="HF27" s="20"/>
      <c r="HG27" s="20"/>
      <c r="HH27" s="20"/>
      <c r="HI27" s="20"/>
      <c r="HJ27" s="20"/>
      <c r="HK27" s="20"/>
      <c r="HL27" s="20"/>
      <c r="HM27" s="20"/>
      <c r="HN27" s="20"/>
      <c r="HO27" s="20"/>
      <c r="HP27" s="20"/>
      <c r="HQ27" s="20"/>
      <c r="HR27" s="20"/>
      <c r="HS27" s="20"/>
      <c r="HT27" s="20"/>
      <c r="HU27" s="20"/>
      <c r="HV27" s="20"/>
      <c r="HW27" s="20"/>
      <c r="HX27" s="20"/>
      <c r="HY27" s="20"/>
      <c r="HZ27" s="20"/>
      <c r="IA27" s="20"/>
      <c r="IB27" s="20"/>
      <c r="IC27" s="20"/>
      <c r="ID27" s="20"/>
      <c r="IE27" s="20"/>
      <c r="IF27" s="20"/>
      <c r="IG27" s="20"/>
      <c r="IH27" s="20"/>
      <c r="II27" s="20"/>
      <c r="IJ27" s="20"/>
      <c r="IK27" s="20"/>
      <c r="IL27" s="20"/>
    </row>
    <row r="28" spans="1:246" ht="14.45" customHeight="1">
      <c r="A28" s="27" t="s">
        <v>205</v>
      </c>
      <c r="B28" s="27" t="s">
        <v>85</v>
      </c>
      <c r="C28" s="19" t="s">
        <v>126</v>
      </c>
      <c r="D28" s="19" t="s">
        <v>86</v>
      </c>
      <c r="E28" s="21" t="s">
        <v>351</v>
      </c>
      <c r="F28" s="18" t="s">
        <v>89</v>
      </c>
      <c r="G28" s="21" t="s">
        <v>88</v>
      </c>
      <c r="H28" s="18" t="s">
        <v>89</v>
      </c>
      <c r="I28" s="21" t="s">
        <v>352</v>
      </c>
      <c r="J28" s="18" t="s">
        <v>89</v>
      </c>
      <c r="K28" s="21" t="s">
        <v>353</v>
      </c>
      <c r="L28" s="18" t="s">
        <v>89</v>
      </c>
      <c r="M28" s="21" t="s">
        <v>354</v>
      </c>
      <c r="N28" s="18" t="s">
        <v>89</v>
      </c>
      <c r="O28" s="18" t="s">
        <v>90</v>
      </c>
      <c r="P28" s="18" t="s">
        <v>89</v>
      </c>
      <c r="Q28" s="18" t="s">
        <v>91</v>
      </c>
      <c r="R28" s="19" t="s">
        <v>126</v>
      </c>
      <c r="S28" s="19" t="s">
        <v>105</v>
      </c>
      <c r="T28" s="18" t="s">
        <v>177</v>
      </c>
      <c r="U28" s="18" t="s">
        <v>94</v>
      </c>
      <c r="V28" s="18" t="s">
        <v>174</v>
      </c>
      <c r="W28" s="18" t="s">
        <v>89</v>
      </c>
      <c r="X28" s="18" t="s">
        <v>175</v>
      </c>
      <c r="Y28" s="18" t="s">
        <v>94</v>
      </c>
      <c r="Z28" s="18" t="s">
        <v>176</v>
      </c>
      <c r="AA28" s="18" t="s">
        <v>89</v>
      </c>
      <c r="AB28" s="18" t="s">
        <v>173</v>
      </c>
      <c r="AC28" s="18" t="s">
        <v>94</v>
      </c>
      <c r="AD28" s="19" t="s">
        <v>92</v>
      </c>
      <c r="AE28" s="18" t="s">
        <v>180</v>
      </c>
      <c r="AF28" s="18" t="s">
        <v>89</v>
      </c>
      <c r="AG28" s="18" t="s">
        <v>181</v>
      </c>
      <c r="AH28" s="18" t="s">
        <v>94</v>
      </c>
      <c r="AI28" s="18" t="s">
        <v>178</v>
      </c>
      <c r="AJ28" s="18" t="s">
        <v>89</v>
      </c>
      <c r="AK28" s="18" t="s">
        <v>179</v>
      </c>
      <c r="AL28" s="18" t="s">
        <v>94</v>
      </c>
      <c r="AM28" s="18" t="s">
        <v>182</v>
      </c>
      <c r="AN28" s="18" t="s">
        <v>89</v>
      </c>
      <c r="AO28" s="19" t="s">
        <v>99</v>
      </c>
      <c r="AP28" s="18" t="s">
        <v>187</v>
      </c>
      <c r="AQ28" s="18" t="s">
        <v>89</v>
      </c>
      <c r="AR28" s="18" t="s">
        <v>186</v>
      </c>
      <c r="AS28" s="18" t="s">
        <v>94</v>
      </c>
      <c r="AT28" s="18" t="s">
        <v>183</v>
      </c>
      <c r="AU28" s="18" t="s">
        <v>89</v>
      </c>
      <c r="AV28" s="18" t="s">
        <v>184</v>
      </c>
      <c r="AW28" s="18" t="s">
        <v>94</v>
      </c>
      <c r="AX28" s="18" t="s">
        <v>185</v>
      </c>
      <c r="AY28" s="18" t="s">
        <v>89</v>
      </c>
      <c r="AZ28" s="18" t="s">
        <v>111</v>
      </c>
      <c r="BA28" s="19" t="s">
        <v>86</v>
      </c>
      <c r="BB28" s="19" t="s">
        <v>92</v>
      </c>
      <c r="BC28" s="18" t="s">
        <v>190</v>
      </c>
      <c r="BD28" s="18" t="s">
        <v>89</v>
      </c>
      <c r="BE28" s="18" t="s">
        <v>189</v>
      </c>
      <c r="BF28" s="18" t="s">
        <v>94</v>
      </c>
      <c r="BG28" s="18" t="s">
        <v>188</v>
      </c>
      <c r="BH28" s="18" t="s">
        <v>89</v>
      </c>
      <c r="BI28" s="18" t="s">
        <v>191</v>
      </c>
      <c r="BJ28" s="18" t="s">
        <v>94</v>
      </c>
      <c r="BK28" s="18"/>
      <c r="BL28" s="18"/>
      <c r="BM28" s="19" t="s">
        <v>99</v>
      </c>
      <c r="BN28" s="18" t="s">
        <v>192</v>
      </c>
      <c r="BO28" s="18" t="s">
        <v>89</v>
      </c>
      <c r="BP28" s="18" t="s">
        <v>193</v>
      </c>
      <c r="BQ28" s="18" t="s">
        <v>94</v>
      </c>
      <c r="BR28" s="18" t="s">
        <v>194</v>
      </c>
      <c r="BS28" s="18" t="s">
        <v>89</v>
      </c>
      <c r="BT28" s="18" t="s">
        <v>195</v>
      </c>
      <c r="BU28" s="18" t="s">
        <v>94</v>
      </c>
      <c r="BV28" s="18"/>
      <c r="BW28" s="18"/>
      <c r="BX28" s="19" t="s">
        <v>105</v>
      </c>
      <c r="BY28" s="18" t="s">
        <v>198</v>
      </c>
      <c r="BZ28" s="18" t="s">
        <v>89</v>
      </c>
      <c r="CA28" s="18" t="s">
        <v>199</v>
      </c>
      <c r="CB28" s="18" t="s">
        <v>94</v>
      </c>
      <c r="CC28" s="18" t="s">
        <v>196</v>
      </c>
      <c r="CD28" s="18" t="s">
        <v>89</v>
      </c>
      <c r="CE28" s="18" t="s">
        <v>197</v>
      </c>
      <c r="CF28" s="18" t="s">
        <v>94</v>
      </c>
      <c r="CG28" s="18"/>
      <c r="CH28" s="18"/>
      <c r="CI28" s="20"/>
      <c r="CJ28" s="20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</row>
    <row r="29" spans="1:246" ht="14.45" customHeight="1">
      <c r="A29" s="27" t="s">
        <v>206</v>
      </c>
      <c r="B29" s="27" t="s">
        <v>125</v>
      </c>
      <c r="C29" s="19" t="s">
        <v>87</v>
      </c>
      <c r="D29" s="19" t="s">
        <v>86</v>
      </c>
      <c r="E29" s="21" t="s">
        <v>351</v>
      </c>
      <c r="F29" s="18" t="s">
        <v>89</v>
      </c>
      <c r="G29" s="21" t="s">
        <v>88</v>
      </c>
      <c r="H29" s="18" t="s">
        <v>89</v>
      </c>
      <c r="I29" s="21" t="s">
        <v>352</v>
      </c>
      <c r="J29" s="18" t="s">
        <v>89</v>
      </c>
      <c r="K29" s="21" t="s">
        <v>353</v>
      </c>
      <c r="L29" s="18" t="s">
        <v>89</v>
      </c>
      <c r="M29" s="21" t="s">
        <v>354</v>
      </c>
      <c r="N29" s="18" t="s">
        <v>89</v>
      </c>
      <c r="O29" s="18" t="s">
        <v>90</v>
      </c>
      <c r="P29" s="18" t="s">
        <v>89</v>
      </c>
      <c r="Q29" s="18" t="s">
        <v>111</v>
      </c>
      <c r="R29" s="19" t="s">
        <v>87</v>
      </c>
      <c r="S29" s="19" t="s">
        <v>99</v>
      </c>
      <c r="T29" s="18" t="s">
        <v>194</v>
      </c>
      <c r="U29" s="18" t="s">
        <v>89</v>
      </c>
      <c r="V29" s="18" t="s">
        <v>195</v>
      </c>
      <c r="W29" s="18" t="s">
        <v>94</v>
      </c>
      <c r="X29" s="18" t="s">
        <v>192</v>
      </c>
      <c r="Y29" s="18" t="s">
        <v>89</v>
      </c>
      <c r="Z29" s="18" t="s">
        <v>193</v>
      </c>
      <c r="AA29" s="18" t="s">
        <v>94</v>
      </c>
      <c r="AB29" s="18"/>
      <c r="AC29" s="18"/>
      <c r="AD29" s="19" t="s">
        <v>105</v>
      </c>
      <c r="AE29" s="18" t="s">
        <v>198</v>
      </c>
      <c r="AF29" s="18" t="s">
        <v>89</v>
      </c>
      <c r="AG29" s="18" t="s">
        <v>199</v>
      </c>
      <c r="AH29" s="18" t="s">
        <v>94</v>
      </c>
      <c r="AI29" s="18" t="s">
        <v>196</v>
      </c>
      <c r="AJ29" s="18" t="s">
        <v>89</v>
      </c>
      <c r="AK29" s="18" t="s">
        <v>197</v>
      </c>
      <c r="AL29" s="18" t="s">
        <v>94</v>
      </c>
      <c r="AM29" s="18"/>
      <c r="AN29" s="18"/>
      <c r="AO29" s="19" t="s">
        <v>92</v>
      </c>
      <c r="AP29" s="18" t="s">
        <v>190</v>
      </c>
      <c r="AQ29" s="18" t="s">
        <v>89</v>
      </c>
      <c r="AR29" s="18" t="s">
        <v>191</v>
      </c>
      <c r="AS29" s="18" t="s">
        <v>94</v>
      </c>
      <c r="AT29" s="18" t="s">
        <v>188</v>
      </c>
      <c r="AU29" s="18" t="s">
        <v>89</v>
      </c>
      <c r="AV29" s="18" t="s">
        <v>189</v>
      </c>
      <c r="AW29" s="18" t="s">
        <v>94</v>
      </c>
      <c r="AX29" s="18"/>
      <c r="AY29" s="18"/>
      <c r="AZ29" s="18" t="s">
        <v>91</v>
      </c>
      <c r="BA29" s="19" t="s">
        <v>86</v>
      </c>
      <c r="BB29" s="19" t="s">
        <v>92</v>
      </c>
      <c r="BC29" s="18" t="s">
        <v>182</v>
      </c>
      <c r="BD29" s="18" t="s">
        <v>89</v>
      </c>
      <c r="BE29" s="18" t="s">
        <v>181</v>
      </c>
      <c r="BF29" s="18" t="s">
        <v>94</v>
      </c>
      <c r="BG29" s="18" t="s">
        <v>178</v>
      </c>
      <c r="BH29" s="18" t="s">
        <v>89</v>
      </c>
      <c r="BI29" s="18" t="s">
        <v>179</v>
      </c>
      <c r="BJ29" s="18" t="s">
        <v>94</v>
      </c>
      <c r="BK29" s="18" t="s">
        <v>180</v>
      </c>
      <c r="BL29" s="18" t="s">
        <v>89</v>
      </c>
      <c r="BM29" s="19" t="s">
        <v>99</v>
      </c>
      <c r="BN29" s="18" t="s">
        <v>185</v>
      </c>
      <c r="BO29" s="18" t="s">
        <v>89</v>
      </c>
      <c r="BP29" s="18" t="s">
        <v>184</v>
      </c>
      <c r="BQ29" s="18" t="s">
        <v>94</v>
      </c>
      <c r="BR29" s="18" t="s">
        <v>187</v>
      </c>
      <c r="BS29" s="18" t="s">
        <v>89</v>
      </c>
      <c r="BT29" s="18" t="s">
        <v>186</v>
      </c>
      <c r="BU29" s="18" t="s">
        <v>94</v>
      </c>
      <c r="BV29" s="18" t="s">
        <v>183</v>
      </c>
      <c r="BW29" s="18" t="s">
        <v>89</v>
      </c>
      <c r="BX29" s="19" t="s">
        <v>105</v>
      </c>
      <c r="BY29" s="18" t="s">
        <v>177</v>
      </c>
      <c r="BZ29" s="18" t="s">
        <v>94</v>
      </c>
      <c r="CA29" s="18" t="s">
        <v>174</v>
      </c>
      <c r="CB29" s="18" t="s">
        <v>89</v>
      </c>
      <c r="CC29" s="18" t="s">
        <v>175</v>
      </c>
      <c r="CD29" s="18" t="s">
        <v>94</v>
      </c>
      <c r="CE29" s="18" t="s">
        <v>176</v>
      </c>
      <c r="CF29" s="18" t="s">
        <v>89</v>
      </c>
      <c r="CG29" s="18" t="s">
        <v>173</v>
      </c>
      <c r="CH29" s="18" t="s">
        <v>94</v>
      </c>
      <c r="CI29" s="20"/>
      <c r="CJ29" s="20"/>
      <c r="CK29" s="20"/>
      <c r="CL29" s="20"/>
      <c r="CM29" s="20"/>
      <c r="CN29" s="20"/>
      <c r="CO29" s="20"/>
      <c r="CP29" s="20"/>
      <c r="CQ29" s="20"/>
      <c r="CR29" s="20"/>
      <c r="CS29" s="20"/>
      <c r="CT29" s="20"/>
      <c r="CU29" s="20"/>
      <c r="CV29" s="20"/>
      <c r="CW29" s="20"/>
      <c r="CX29" s="20"/>
      <c r="CY29" s="20"/>
      <c r="CZ29" s="20"/>
      <c r="DA29" s="20"/>
      <c r="DB29" s="20"/>
      <c r="DC29" s="20"/>
      <c r="DD29" s="20"/>
      <c r="DE29" s="20"/>
      <c r="DF29" s="20"/>
      <c r="DG29" s="20"/>
      <c r="DH29" s="20"/>
      <c r="DI29" s="20"/>
      <c r="DJ29" s="20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20"/>
      <c r="EG29" s="20"/>
      <c r="EH29" s="20"/>
      <c r="EI29" s="20"/>
      <c r="EJ29" s="20"/>
      <c r="EK29" s="20"/>
      <c r="EL29" s="20"/>
      <c r="EM29" s="20"/>
      <c r="EN29" s="20"/>
      <c r="EO29" s="20"/>
      <c r="EP29" s="20"/>
      <c r="EQ29" s="20"/>
      <c r="ER29" s="20"/>
      <c r="ES29" s="20"/>
      <c r="ET29" s="20"/>
      <c r="EU29" s="20"/>
      <c r="EV29" s="20"/>
      <c r="EW29" s="20"/>
      <c r="EX29" s="20"/>
      <c r="EY29" s="20"/>
      <c r="EZ29" s="20"/>
      <c r="FA29" s="20"/>
      <c r="FB29" s="20"/>
      <c r="FC29" s="20"/>
      <c r="FD29" s="20"/>
      <c r="FE29" s="20"/>
      <c r="FF29" s="20"/>
      <c r="FG29" s="20"/>
      <c r="FH29" s="20"/>
      <c r="FI29" s="20"/>
      <c r="FJ29" s="20"/>
      <c r="FK29" s="20"/>
      <c r="FL29" s="20"/>
      <c r="FM29" s="20"/>
      <c r="FN29" s="20"/>
      <c r="FO29" s="20"/>
      <c r="FP29" s="20"/>
      <c r="FQ29" s="20"/>
      <c r="FR29" s="20"/>
      <c r="FS29" s="20"/>
      <c r="FT29" s="20"/>
      <c r="FU29" s="20"/>
      <c r="FV29" s="20"/>
      <c r="FW29" s="20"/>
      <c r="FX29" s="20"/>
      <c r="FY29" s="20"/>
      <c r="FZ29" s="20"/>
      <c r="GA29" s="20"/>
      <c r="GB29" s="20"/>
      <c r="GC29" s="20"/>
      <c r="GD29" s="20"/>
      <c r="GE29" s="20"/>
      <c r="GF29" s="20"/>
      <c r="GG29" s="20"/>
      <c r="GH29" s="20"/>
      <c r="GI29" s="20"/>
      <c r="GJ29" s="20"/>
      <c r="GK29" s="20"/>
      <c r="GL29" s="20"/>
      <c r="GM29" s="20"/>
      <c r="GN29" s="20"/>
      <c r="GO29" s="20"/>
      <c r="GP29" s="20"/>
      <c r="GQ29" s="20"/>
      <c r="GR29" s="20"/>
      <c r="GS29" s="20"/>
      <c r="GT29" s="20"/>
      <c r="GU29" s="20"/>
      <c r="GV29" s="20"/>
      <c r="GW29" s="20"/>
      <c r="GX29" s="20"/>
      <c r="GY29" s="20"/>
      <c r="GZ29" s="20"/>
      <c r="HA29" s="20"/>
      <c r="HB29" s="20"/>
      <c r="HC29" s="20"/>
      <c r="HD29" s="20"/>
      <c r="HE29" s="20"/>
      <c r="HF29" s="20"/>
      <c r="HG29" s="20"/>
      <c r="HH29" s="20"/>
      <c r="HI29" s="20"/>
      <c r="HJ29" s="20"/>
      <c r="HK29" s="20"/>
      <c r="HL29" s="20"/>
      <c r="HM29" s="20"/>
      <c r="HN29" s="20"/>
      <c r="HO29" s="20"/>
      <c r="HP29" s="20"/>
      <c r="HQ29" s="20"/>
      <c r="HR29" s="20"/>
      <c r="HS29" s="20"/>
      <c r="HT29" s="20"/>
      <c r="HU29" s="20"/>
      <c r="HV29" s="20"/>
      <c r="HW29" s="20"/>
      <c r="HX29" s="20"/>
      <c r="HY29" s="20"/>
      <c r="HZ29" s="20"/>
      <c r="IA29" s="20"/>
      <c r="IB29" s="20"/>
      <c r="IC29" s="20"/>
      <c r="ID29" s="20"/>
      <c r="IE29" s="20"/>
      <c r="IF29" s="20"/>
      <c r="IG29" s="20"/>
      <c r="IH29" s="20"/>
      <c r="II29" s="20"/>
      <c r="IJ29" s="20"/>
      <c r="IK29" s="20"/>
      <c r="IL29" s="20"/>
    </row>
    <row r="30" spans="1:246" ht="14.45" customHeight="1">
      <c r="A30" s="27" t="s">
        <v>207</v>
      </c>
      <c r="B30" s="27" t="s">
        <v>85</v>
      </c>
      <c r="C30" s="19" t="s">
        <v>87</v>
      </c>
      <c r="D30" s="19" t="s">
        <v>126</v>
      </c>
      <c r="E30" s="21" t="s">
        <v>351</v>
      </c>
      <c r="F30" s="18" t="s">
        <v>89</v>
      </c>
      <c r="G30" s="21" t="s">
        <v>88</v>
      </c>
      <c r="H30" s="18" t="s">
        <v>89</v>
      </c>
      <c r="I30" s="21" t="s">
        <v>352</v>
      </c>
      <c r="J30" s="18" t="s">
        <v>89</v>
      </c>
      <c r="K30" s="21" t="s">
        <v>353</v>
      </c>
      <c r="L30" s="18" t="s">
        <v>89</v>
      </c>
      <c r="M30" s="21" t="s">
        <v>354</v>
      </c>
      <c r="N30" s="18" t="s">
        <v>89</v>
      </c>
      <c r="O30" s="18" t="s">
        <v>90</v>
      </c>
      <c r="P30" s="18" t="s">
        <v>89</v>
      </c>
      <c r="Q30" s="18" t="s">
        <v>91</v>
      </c>
      <c r="R30" s="19" t="s">
        <v>87</v>
      </c>
      <c r="S30" s="19" t="s">
        <v>99</v>
      </c>
      <c r="T30" s="18" t="s">
        <v>185</v>
      </c>
      <c r="U30" s="18" t="s">
        <v>89</v>
      </c>
      <c r="V30" s="18" t="s">
        <v>184</v>
      </c>
      <c r="W30" s="18" t="s">
        <v>94</v>
      </c>
      <c r="X30" s="18" t="s">
        <v>183</v>
      </c>
      <c r="Y30" s="18" t="s">
        <v>89</v>
      </c>
      <c r="Z30" s="18" t="s">
        <v>186</v>
      </c>
      <c r="AA30" s="18" t="s">
        <v>94</v>
      </c>
      <c r="AB30" s="18" t="s">
        <v>187</v>
      </c>
      <c r="AC30" s="18" t="s">
        <v>89</v>
      </c>
      <c r="AD30" s="19" t="s">
        <v>105</v>
      </c>
      <c r="AE30" s="18" t="s">
        <v>175</v>
      </c>
      <c r="AF30" s="18" t="s">
        <v>94</v>
      </c>
      <c r="AG30" s="18" t="s">
        <v>174</v>
      </c>
      <c r="AH30" s="18" t="s">
        <v>89</v>
      </c>
      <c r="AI30" s="18" t="s">
        <v>173</v>
      </c>
      <c r="AJ30" s="18" t="s">
        <v>94</v>
      </c>
      <c r="AK30" s="18" t="s">
        <v>176</v>
      </c>
      <c r="AL30" s="18" t="s">
        <v>89</v>
      </c>
      <c r="AM30" s="18" t="s">
        <v>177</v>
      </c>
      <c r="AN30" s="18" t="s">
        <v>94</v>
      </c>
      <c r="AO30" s="19" t="s">
        <v>92</v>
      </c>
      <c r="AP30" s="18" t="s">
        <v>182</v>
      </c>
      <c r="AQ30" s="18" t="s">
        <v>89</v>
      </c>
      <c r="AR30" s="18" t="s">
        <v>181</v>
      </c>
      <c r="AS30" s="18" t="s">
        <v>94</v>
      </c>
      <c r="AT30" s="18" t="s">
        <v>178</v>
      </c>
      <c r="AU30" s="18" t="s">
        <v>89</v>
      </c>
      <c r="AV30" s="18" t="s">
        <v>179</v>
      </c>
      <c r="AW30" s="18" t="s">
        <v>94</v>
      </c>
      <c r="AX30" s="18" t="s">
        <v>180</v>
      </c>
      <c r="AY30" s="18" t="s">
        <v>89</v>
      </c>
      <c r="AZ30" s="18" t="s">
        <v>111</v>
      </c>
      <c r="BA30" s="19" t="s">
        <v>126</v>
      </c>
      <c r="BB30" s="19" t="s">
        <v>105</v>
      </c>
      <c r="BC30" s="18" t="s">
        <v>198</v>
      </c>
      <c r="BD30" s="18" t="s">
        <v>89</v>
      </c>
      <c r="BE30" s="18" t="s">
        <v>199</v>
      </c>
      <c r="BF30" s="18" t="s">
        <v>94</v>
      </c>
      <c r="BG30" s="18" t="s">
        <v>196</v>
      </c>
      <c r="BH30" s="18" t="s">
        <v>89</v>
      </c>
      <c r="BI30" s="18" t="s">
        <v>197</v>
      </c>
      <c r="BJ30" s="18" t="s">
        <v>94</v>
      </c>
      <c r="BK30" s="18"/>
      <c r="BL30" s="18"/>
      <c r="BM30" s="19" t="s">
        <v>92</v>
      </c>
      <c r="BN30" s="18" t="s">
        <v>190</v>
      </c>
      <c r="BO30" s="18" t="s">
        <v>89</v>
      </c>
      <c r="BP30" s="18" t="s">
        <v>189</v>
      </c>
      <c r="BQ30" s="18" t="s">
        <v>94</v>
      </c>
      <c r="BR30" s="18" t="s">
        <v>188</v>
      </c>
      <c r="BS30" s="18" t="s">
        <v>89</v>
      </c>
      <c r="BT30" s="18" t="s">
        <v>191</v>
      </c>
      <c r="BU30" s="18" t="s">
        <v>94</v>
      </c>
      <c r="BV30" s="18"/>
      <c r="BW30" s="18"/>
      <c r="BX30" s="19" t="s">
        <v>99</v>
      </c>
      <c r="BY30" s="18" t="s">
        <v>194</v>
      </c>
      <c r="BZ30" s="18" t="s">
        <v>89</v>
      </c>
      <c r="CA30" s="18" t="s">
        <v>193</v>
      </c>
      <c r="CB30" s="18" t="s">
        <v>94</v>
      </c>
      <c r="CC30" s="18" t="s">
        <v>192</v>
      </c>
      <c r="CD30" s="18" t="s">
        <v>89</v>
      </c>
      <c r="CE30" s="18" t="s">
        <v>195</v>
      </c>
      <c r="CF30" s="18" t="s">
        <v>94</v>
      </c>
      <c r="CG30" s="18"/>
      <c r="CH30" s="18"/>
      <c r="CI30" s="20"/>
      <c r="CJ30" s="20"/>
      <c r="CK30" s="20"/>
      <c r="CL30" s="20"/>
      <c r="CM30" s="20"/>
      <c r="CN30" s="20"/>
      <c r="CO30" s="20"/>
      <c r="CP30" s="20"/>
      <c r="CQ30" s="20"/>
      <c r="CR30" s="20"/>
      <c r="CS30" s="20"/>
      <c r="CT30" s="20"/>
      <c r="CU30" s="20"/>
      <c r="CV30" s="20"/>
      <c r="CW30" s="20"/>
      <c r="CX30" s="20"/>
      <c r="CY30" s="20"/>
      <c r="CZ30" s="20"/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</row>
    <row r="31" spans="1:246" ht="14.45" customHeight="1">
      <c r="A31" s="27" t="s">
        <v>208</v>
      </c>
      <c r="B31" s="27" t="s">
        <v>125</v>
      </c>
      <c r="C31" s="19" t="s">
        <v>86</v>
      </c>
      <c r="D31" s="19" t="s">
        <v>126</v>
      </c>
      <c r="E31" s="21" t="s">
        <v>351</v>
      </c>
      <c r="F31" s="18" t="s">
        <v>89</v>
      </c>
      <c r="G31" s="21" t="s">
        <v>88</v>
      </c>
      <c r="H31" s="18" t="s">
        <v>89</v>
      </c>
      <c r="I31" s="21" t="s">
        <v>352</v>
      </c>
      <c r="J31" s="18" t="s">
        <v>89</v>
      </c>
      <c r="K31" s="21" t="s">
        <v>353</v>
      </c>
      <c r="L31" s="18" t="s">
        <v>89</v>
      </c>
      <c r="M31" s="21" t="s">
        <v>354</v>
      </c>
      <c r="N31" s="18" t="s">
        <v>89</v>
      </c>
      <c r="O31" s="18" t="s">
        <v>90</v>
      </c>
      <c r="P31" s="18" t="s">
        <v>89</v>
      </c>
      <c r="Q31" s="18" t="s">
        <v>111</v>
      </c>
      <c r="R31" s="19" t="s">
        <v>86</v>
      </c>
      <c r="S31" s="19" t="s">
        <v>92</v>
      </c>
      <c r="T31" s="18" t="s">
        <v>188</v>
      </c>
      <c r="U31" s="18" t="s">
        <v>89</v>
      </c>
      <c r="V31" s="18" t="s">
        <v>189</v>
      </c>
      <c r="W31" s="18" t="s">
        <v>94</v>
      </c>
      <c r="X31" s="18" t="s">
        <v>190</v>
      </c>
      <c r="Y31" s="18" t="s">
        <v>89</v>
      </c>
      <c r="Z31" s="18" t="s">
        <v>191</v>
      </c>
      <c r="AA31" s="18" t="s">
        <v>94</v>
      </c>
      <c r="AB31" s="18"/>
      <c r="AC31" s="18"/>
      <c r="AD31" s="19" t="s">
        <v>99</v>
      </c>
      <c r="AE31" s="18" t="s">
        <v>192</v>
      </c>
      <c r="AF31" s="18" t="s">
        <v>89</v>
      </c>
      <c r="AG31" s="18" t="s">
        <v>195</v>
      </c>
      <c r="AH31" s="18" t="s">
        <v>94</v>
      </c>
      <c r="AI31" s="18" t="s">
        <v>194</v>
      </c>
      <c r="AJ31" s="18" t="s">
        <v>89</v>
      </c>
      <c r="AK31" s="18" t="s">
        <v>193</v>
      </c>
      <c r="AL31" s="18" t="s">
        <v>94</v>
      </c>
      <c r="AM31" s="18"/>
      <c r="AN31" s="18"/>
      <c r="AO31" s="19" t="s">
        <v>105</v>
      </c>
      <c r="AP31" s="18" t="s">
        <v>198</v>
      </c>
      <c r="AQ31" s="18" t="s">
        <v>89</v>
      </c>
      <c r="AR31" s="18" t="s">
        <v>197</v>
      </c>
      <c r="AS31" s="18" t="s">
        <v>94</v>
      </c>
      <c r="AT31" s="18" t="s">
        <v>196</v>
      </c>
      <c r="AU31" s="18" t="s">
        <v>89</v>
      </c>
      <c r="AV31" s="18" t="s">
        <v>199</v>
      </c>
      <c r="AW31" s="18" t="s">
        <v>94</v>
      </c>
      <c r="AX31" s="18"/>
      <c r="AY31" s="18"/>
      <c r="AZ31" s="18" t="s">
        <v>91</v>
      </c>
      <c r="BA31" s="19" t="s">
        <v>126</v>
      </c>
      <c r="BB31" s="19" t="s">
        <v>105</v>
      </c>
      <c r="BC31" s="18" t="s">
        <v>177</v>
      </c>
      <c r="BD31" s="18" t="s">
        <v>94</v>
      </c>
      <c r="BE31" s="18" t="s">
        <v>176</v>
      </c>
      <c r="BF31" s="18" t="s">
        <v>89</v>
      </c>
      <c r="BG31" s="18" t="s">
        <v>175</v>
      </c>
      <c r="BH31" s="18" t="s">
        <v>94</v>
      </c>
      <c r="BI31" s="18" t="s">
        <v>174</v>
      </c>
      <c r="BJ31" s="18" t="s">
        <v>89</v>
      </c>
      <c r="BK31" s="18" t="s">
        <v>173</v>
      </c>
      <c r="BL31" s="18" t="s">
        <v>94</v>
      </c>
      <c r="BM31" s="19" t="s">
        <v>92</v>
      </c>
      <c r="BN31" s="18" t="s">
        <v>180</v>
      </c>
      <c r="BO31" s="18" t="s">
        <v>89</v>
      </c>
      <c r="BP31" s="18" t="s">
        <v>181</v>
      </c>
      <c r="BQ31" s="18" t="s">
        <v>94</v>
      </c>
      <c r="BR31" s="18" t="s">
        <v>182</v>
      </c>
      <c r="BS31" s="18" t="s">
        <v>89</v>
      </c>
      <c r="BT31" s="18" t="s">
        <v>179</v>
      </c>
      <c r="BU31" s="18" t="s">
        <v>94</v>
      </c>
      <c r="BV31" s="18" t="s">
        <v>178</v>
      </c>
      <c r="BW31" s="18" t="s">
        <v>89</v>
      </c>
      <c r="BX31" s="19" t="s">
        <v>99</v>
      </c>
      <c r="BY31" s="18" t="s">
        <v>187</v>
      </c>
      <c r="BZ31" s="18" t="s">
        <v>89</v>
      </c>
      <c r="CA31" s="18" t="s">
        <v>186</v>
      </c>
      <c r="CB31" s="18" t="s">
        <v>94</v>
      </c>
      <c r="CC31" s="18" t="s">
        <v>183</v>
      </c>
      <c r="CD31" s="18" t="s">
        <v>89</v>
      </c>
      <c r="CE31" s="18" t="s">
        <v>184</v>
      </c>
      <c r="CF31" s="18" t="s">
        <v>94</v>
      </c>
      <c r="CG31" s="18" t="s">
        <v>185</v>
      </c>
      <c r="CH31" s="18" t="s">
        <v>89</v>
      </c>
      <c r="CI31" s="20"/>
      <c r="CJ31" s="20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20"/>
      <c r="EG31" s="20"/>
      <c r="EH31" s="20"/>
      <c r="EI31" s="20"/>
      <c r="EJ31" s="20"/>
      <c r="EK31" s="20"/>
      <c r="EL31" s="20"/>
      <c r="EM31" s="20"/>
      <c r="EN31" s="20"/>
      <c r="EO31" s="20"/>
      <c r="EP31" s="20"/>
      <c r="EQ31" s="20"/>
      <c r="ER31" s="20"/>
      <c r="ES31" s="20"/>
      <c r="ET31" s="20"/>
      <c r="EU31" s="20"/>
      <c r="EV31" s="20"/>
      <c r="EW31" s="20"/>
      <c r="EX31" s="20"/>
      <c r="EY31" s="20"/>
      <c r="EZ31" s="20"/>
      <c r="FA31" s="20"/>
      <c r="FB31" s="20"/>
      <c r="FC31" s="20"/>
      <c r="FD31" s="20"/>
      <c r="FE31" s="20"/>
      <c r="FF31" s="20"/>
      <c r="FG31" s="20"/>
      <c r="FH31" s="20"/>
      <c r="FI31" s="20"/>
      <c r="FJ31" s="20"/>
      <c r="FK31" s="20"/>
      <c r="FL31" s="20"/>
      <c r="FM31" s="20"/>
      <c r="FN31" s="20"/>
      <c r="FO31" s="20"/>
      <c r="FP31" s="20"/>
      <c r="FQ31" s="20"/>
      <c r="FR31" s="20"/>
      <c r="FS31" s="20"/>
      <c r="FT31" s="20"/>
      <c r="FU31" s="20"/>
      <c r="FV31" s="20"/>
      <c r="FW31" s="20"/>
      <c r="FX31" s="20"/>
      <c r="FY31" s="20"/>
      <c r="FZ31" s="20"/>
      <c r="GA31" s="20"/>
      <c r="GB31" s="20"/>
      <c r="GC31" s="20"/>
      <c r="GD31" s="20"/>
      <c r="GE31" s="20"/>
      <c r="GF31" s="20"/>
      <c r="GG31" s="20"/>
      <c r="GH31" s="20"/>
      <c r="GI31" s="20"/>
      <c r="GJ31" s="20"/>
      <c r="GK31" s="20"/>
      <c r="GL31" s="20"/>
      <c r="GM31" s="20"/>
      <c r="GN31" s="20"/>
      <c r="GO31" s="20"/>
      <c r="GP31" s="20"/>
      <c r="GQ31" s="20"/>
      <c r="GR31" s="20"/>
      <c r="GS31" s="20"/>
      <c r="GT31" s="20"/>
      <c r="GU31" s="20"/>
      <c r="GV31" s="20"/>
      <c r="GW31" s="20"/>
      <c r="GX31" s="20"/>
      <c r="GY31" s="20"/>
      <c r="GZ31" s="20"/>
      <c r="HA31" s="20"/>
      <c r="HB31" s="20"/>
      <c r="HC31" s="20"/>
      <c r="HD31" s="20"/>
      <c r="HE31" s="20"/>
      <c r="HF31" s="20"/>
      <c r="HG31" s="20"/>
      <c r="HH31" s="20"/>
      <c r="HI31" s="20"/>
      <c r="HJ31" s="20"/>
      <c r="HK31" s="20"/>
      <c r="HL31" s="20"/>
      <c r="HM31" s="20"/>
      <c r="HN31" s="20"/>
      <c r="HO31" s="20"/>
      <c r="HP31" s="20"/>
      <c r="HQ31" s="20"/>
      <c r="HR31" s="20"/>
      <c r="HS31" s="20"/>
      <c r="HT31" s="20"/>
      <c r="HU31" s="20"/>
      <c r="HV31" s="20"/>
      <c r="HW31" s="20"/>
      <c r="HX31" s="20"/>
      <c r="HY31" s="20"/>
      <c r="HZ31" s="20"/>
      <c r="IA31" s="20"/>
      <c r="IB31" s="20"/>
      <c r="IC31" s="20"/>
      <c r="ID31" s="20"/>
      <c r="IE31" s="20"/>
      <c r="IF31" s="20"/>
      <c r="IG31" s="20"/>
      <c r="IH31" s="20"/>
      <c r="II31" s="20"/>
      <c r="IJ31" s="20"/>
      <c r="IK31" s="20"/>
      <c r="IL31" s="20"/>
    </row>
  </sheetData>
  <conditionalFormatting sqref="A1:XFD1 A32:XFD1048576 A2:D31 Q2:XFD31">
    <cfRule type="containsText" dxfId="174" priority="15" operator="containsText" text="מפת חום ← עמודות נערמות ← רדאר">
      <formula>NOT(ISERROR(SEARCH("מפת חום ← עמודות נערמות ← רדאר",A1)))</formula>
    </cfRule>
    <cfRule type="containsText" dxfId="173" priority="16" operator="containsText" text="רדאר ← מפת חום ← עמודות נערמות">
      <formula>NOT(ISERROR(SEARCH("רדאר ← מפת חום ← עמודות נערמות",A1)))</formula>
    </cfRule>
    <cfRule type="containsText" dxfId="172" priority="17" operator="containsText" text="עמודות נערמות ← רדאר ← מפת חום">
      <formula>NOT(ISERROR(SEARCH("עמודות נערמות ← רדאר ← מפת חום",A1)))</formula>
    </cfRule>
  </conditionalFormatting>
  <conditionalFormatting sqref="B2:B31">
    <cfRule type="containsText" dxfId="171" priority="13" operator="containsText" text="אופטימלי ← תת-אופטימלי">
      <formula>NOT(ISERROR(SEARCH("אופטימלי ← תת-אופטימלי",B2)))</formula>
    </cfRule>
    <cfRule type="containsText" dxfId="170" priority="14" operator="containsText" text="תת-אופטימלי ← אופטימלי">
      <formula>NOT(ISERROR(SEARCH("תת-אופטימלי ← אופטימלי",B2)))</formula>
    </cfRule>
  </conditionalFormatting>
  <conditionalFormatting sqref="U2:U31 W2:W31 Y2:Y31 AA2:AA31 AC2:AC31 AF2:AF31 AH2:AH31 AJ2:AJ31 AL2:AL31 AN2:AN31 AQ2:AQ31 AS2:AS31 AU2:AU31 AW2:AW31 AY2:AY31 BD2:BD31 BF2:BF31 BH2:BH31 BJ2:BJ31 BL2:BL31 BO2:BO31 BQ2:BQ31 BS2:BS31 BU2:BU31 BW2:BW31 BZ2:BZ31 CB2:CB31 CD2:CD31 CF2:CF31 CH2:CH31">
    <cfRule type="containsText" dxfId="169" priority="8" operator="containsText" text="E">
      <formula>NOT(ISERROR(SEARCH("E",U2)))</formula>
    </cfRule>
    <cfRule type="containsText" dxfId="168" priority="9" operator="containsText" text="H">
      <formula>NOT(ISERROR(SEARCH("H",U2)))</formula>
    </cfRule>
  </conditionalFormatting>
  <conditionalFormatting sqref="S2:S31 AD2:AD31 AO2:AO31 BB2:BB31 BM2:BM31 BX2:BX31">
    <cfRule type="containsText" dxfId="167" priority="10" operator="containsText" text="מפת חום">
      <formula>NOT(ISERROR(SEARCH("מפת חום",S2)))</formula>
    </cfRule>
    <cfRule type="containsText" dxfId="166" priority="11" operator="containsText" text="רדאר">
      <formula>NOT(ISERROR(SEARCH("רדאר",S2)))</formula>
    </cfRule>
    <cfRule type="containsText" dxfId="165" priority="12" operator="containsText" text="עמודות נערמות">
      <formula>NOT(ISERROR(SEARCH("עמודות נערמות",S2)))</formula>
    </cfRule>
  </conditionalFormatting>
  <conditionalFormatting sqref="E2:P31">
    <cfRule type="containsText" dxfId="164" priority="5" operator="containsText" text="מפת חום ← עמודות נערמות ← רדאר">
      <formula>NOT(ISERROR(SEARCH("מפת חום ← עמודות נערמות ← רדאר",E2)))</formula>
    </cfRule>
    <cfRule type="containsText" dxfId="163" priority="6" operator="containsText" text="רדאר ← מפת חום ← עמודות נערמות">
      <formula>NOT(ISERROR(SEARCH("רדאר ← מפת חום ← עמודות נערמות",E2)))</formula>
    </cfRule>
    <cfRule type="containsText" dxfId="162" priority="7" operator="containsText" text="עמודות נערמות ← רדאר ← מפת חום">
      <formula>NOT(ISERROR(SEARCH("עמודות נערמות ← רדאר ← מפת חום",E2)))</formula>
    </cfRule>
  </conditionalFormatting>
  <conditionalFormatting sqref="F2:F31 H2:H31 J2:J31 L2:L31 N2:N31 P2:P31">
    <cfRule type="containsText" dxfId="161" priority="3" operator="containsText" text="E">
      <formula>NOT(ISERROR(SEARCH("E",F2)))</formula>
    </cfRule>
    <cfRule type="containsText" dxfId="160" priority="4" operator="containsText" text="H">
      <formula>NOT(ISERROR(SEARCH("H",F2)))</formula>
    </cfRule>
  </conditionalFormatting>
  <conditionalFormatting sqref="Q2:Q31 AZ2:AZ31">
    <cfRule type="containsText" dxfId="159" priority="1" operator="containsText" text="OPT">
      <formula>NOT(ISERROR(SEARCH("OPT",Q2)))</formula>
    </cfRule>
    <cfRule type="containsText" dxfId="158" priority="2" operator="containsText" text="SUB">
      <formula>NOT(ISERROR(SEARCH("SUB",Q2)))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36"/>
  <sheetViews>
    <sheetView rightToLeft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S10" sqref="S10"/>
    </sheetView>
  </sheetViews>
  <sheetFormatPr defaultColWidth="9.140625" defaultRowHeight="15"/>
  <cols>
    <col min="1" max="1" width="13.5703125" style="1" customWidth="1"/>
    <col min="2" max="2" width="10" style="1" customWidth="1"/>
    <col min="3" max="7" width="13.5703125" style="1" customWidth="1"/>
    <col min="8" max="8" width="10.42578125" style="1" customWidth="1"/>
    <col min="9" max="9" width="10.140625" style="1" customWidth="1"/>
    <col min="10" max="10" width="13.140625" style="1" customWidth="1"/>
    <col min="11" max="11" width="13.42578125" style="1" customWidth="1"/>
    <col min="12" max="12" width="12.42578125" style="1" customWidth="1"/>
    <col min="13" max="21" width="7.42578125" style="1" customWidth="1"/>
    <col min="22" max="23" width="8.140625" style="1" customWidth="1"/>
    <col min="24" max="24" width="12.7109375" style="1" customWidth="1"/>
    <col min="25" max="26" width="12.7109375" style="42" customWidth="1"/>
    <col min="27" max="27" width="40.5703125" style="1" customWidth="1"/>
    <col min="28" max="29" width="9.140625" style="1" customWidth="1"/>
    <col min="30" max="16384" width="9.140625" style="1"/>
  </cols>
  <sheetData>
    <row r="1" spans="1:35" ht="24" customHeight="1">
      <c r="A1" s="43" t="s">
        <v>209</v>
      </c>
      <c r="B1" s="43" t="s">
        <v>210</v>
      </c>
      <c r="C1" s="43" t="s">
        <v>211</v>
      </c>
      <c r="D1" s="43" t="s">
        <v>212</v>
      </c>
      <c r="E1" s="43" t="s">
        <v>213</v>
      </c>
      <c r="F1" s="43" t="s">
        <v>214</v>
      </c>
      <c r="G1" s="43" t="s">
        <v>215</v>
      </c>
      <c r="H1" s="43" t="s">
        <v>216</v>
      </c>
      <c r="I1" s="43" t="s">
        <v>217</v>
      </c>
      <c r="J1" s="43" t="s">
        <v>218</v>
      </c>
      <c r="K1" s="43" t="s">
        <v>219</v>
      </c>
      <c r="L1" s="43" t="s">
        <v>220</v>
      </c>
      <c r="M1" s="43" t="s">
        <v>221</v>
      </c>
      <c r="N1" s="43" t="s">
        <v>222</v>
      </c>
      <c r="O1" s="43" t="s">
        <v>223</v>
      </c>
      <c r="P1" s="43" t="s">
        <v>224</v>
      </c>
      <c r="Q1" s="43" t="s">
        <v>225</v>
      </c>
      <c r="R1" s="43" t="s">
        <v>226</v>
      </c>
      <c r="S1" s="43" t="s">
        <v>227</v>
      </c>
      <c r="T1" s="43" t="s">
        <v>228</v>
      </c>
      <c r="U1" s="43" t="s">
        <v>229</v>
      </c>
      <c r="V1" s="43" t="s">
        <v>230</v>
      </c>
      <c r="W1" s="43" t="s">
        <v>231</v>
      </c>
      <c r="X1" s="41" t="s">
        <v>232</v>
      </c>
      <c r="Y1" s="41" t="s">
        <v>355</v>
      </c>
      <c r="Z1" s="41" t="s">
        <v>356</v>
      </c>
      <c r="AA1" s="44" t="s">
        <v>233</v>
      </c>
      <c r="AB1" s="43" t="s">
        <v>234</v>
      </c>
    </row>
    <row r="2" spans="1:35">
      <c r="A2" s="14" t="s">
        <v>235</v>
      </c>
      <c r="B2" s="14" t="s">
        <v>236</v>
      </c>
      <c r="C2" s="14" t="str">
        <f t="shared" ref="C2:C34" si="0">A2&amp;"_H"</f>
        <v>SCN_001_H</v>
      </c>
      <c r="D2" s="14" t="str">
        <f t="shared" ref="D2:D34" si="1">A2&amp;"_R"</f>
        <v>SCN_001_R</v>
      </c>
      <c r="E2" s="14" t="str">
        <f t="shared" ref="E2:E34" si="2">A2&amp;"_S"</f>
        <v>SCN_001_S</v>
      </c>
      <c r="F2" s="14">
        <v>1</v>
      </c>
      <c r="G2" s="14">
        <v>1</v>
      </c>
      <c r="H2" s="14">
        <v>1</v>
      </c>
      <c r="I2" s="14" t="s">
        <v>237</v>
      </c>
      <c r="J2" s="14" t="s">
        <v>310</v>
      </c>
      <c r="K2" s="14" t="s">
        <v>89</v>
      </c>
      <c r="L2" s="33" t="s">
        <v>239</v>
      </c>
      <c r="M2" s="33" t="s">
        <v>240</v>
      </c>
      <c r="N2" s="14" t="s">
        <v>241</v>
      </c>
      <c r="O2" s="14" t="s">
        <v>242</v>
      </c>
      <c r="P2" s="45" t="s">
        <v>239</v>
      </c>
      <c r="Q2" s="14" t="s">
        <v>376</v>
      </c>
      <c r="R2" s="14" t="s">
        <v>243</v>
      </c>
      <c r="S2" s="45">
        <v>1</v>
      </c>
      <c r="T2" s="14"/>
      <c r="U2" s="14"/>
      <c r="V2" s="15"/>
      <c r="W2" s="14" t="s">
        <v>244</v>
      </c>
      <c r="X2" s="14" t="s">
        <v>245</v>
      </c>
      <c r="Y2" s="14"/>
      <c r="Z2" s="14"/>
      <c r="AA2" s="14" t="s">
        <v>362</v>
      </c>
      <c r="AB2" s="38" t="b">
        <v>1</v>
      </c>
      <c r="AH2" s="13">
        <f>COUNTIF(Table2[Route_Direction],"RTL")</f>
        <v>16</v>
      </c>
      <c r="AI2" s="12" t="s">
        <v>237</v>
      </c>
    </row>
    <row r="3" spans="1:35">
      <c r="A3" s="14" t="s">
        <v>246</v>
      </c>
      <c r="B3" s="14" t="s">
        <v>247</v>
      </c>
      <c r="C3" s="14" t="str">
        <f t="shared" si="0"/>
        <v>SCN_002_H</v>
      </c>
      <c r="D3" s="14" t="str">
        <f t="shared" si="1"/>
        <v>SCN_002_R</v>
      </c>
      <c r="E3" s="14" t="str">
        <f t="shared" si="2"/>
        <v>SCN_002_S</v>
      </c>
      <c r="F3" s="14">
        <v>2</v>
      </c>
      <c r="G3" s="14">
        <v>1</v>
      </c>
      <c r="H3" s="14">
        <v>1</v>
      </c>
      <c r="I3" s="14" t="s">
        <v>248</v>
      </c>
      <c r="J3" s="14" t="s">
        <v>310</v>
      </c>
      <c r="K3" s="14" t="s">
        <v>89</v>
      </c>
      <c r="L3" s="33" t="s">
        <v>249</v>
      </c>
      <c r="M3" s="33" t="s">
        <v>240</v>
      </c>
      <c r="N3" s="14" t="s">
        <v>378</v>
      </c>
      <c r="O3" s="14" t="s">
        <v>243</v>
      </c>
      <c r="P3" s="45">
        <v>2</v>
      </c>
      <c r="Q3" s="14" t="s">
        <v>241</v>
      </c>
      <c r="R3" s="14" t="s">
        <v>242</v>
      </c>
      <c r="S3" s="45" t="s">
        <v>249</v>
      </c>
      <c r="T3" s="14"/>
      <c r="U3" s="14"/>
      <c r="V3" s="15"/>
      <c r="W3" s="14" t="s">
        <v>244</v>
      </c>
      <c r="X3" s="14" t="s">
        <v>250</v>
      </c>
      <c r="Y3" s="14"/>
      <c r="Z3" s="14"/>
      <c r="AA3" s="14" t="s">
        <v>358</v>
      </c>
      <c r="AB3" s="38" t="b">
        <v>1</v>
      </c>
      <c r="AH3" s="13">
        <f>COUNTIF(Table2[Route_Direction],"LTR")</f>
        <v>17</v>
      </c>
      <c r="AI3" s="12" t="s">
        <v>248</v>
      </c>
    </row>
    <row r="4" spans="1:35">
      <c r="A4" s="14" t="s">
        <v>251</v>
      </c>
      <c r="B4" s="14" t="s">
        <v>252</v>
      </c>
      <c r="C4" s="14" t="str">
        <f t="shared" si="0"/>
        <v>SCN_003_H</v>
      </c>
      <c r="D4" s="14" t="str">
        <f t="shared" si="1"/>
        <v>SCN_003_R</v>
      </c>
      <c r="E4" s="14" t="str">
        <f t="shared" si="2"/>
        <v>SCN_003_S</v>
      </c>
      <c r="F4" s="14">
        <v>3</v>
      </c>
      <c r="G4" s="14">
        <v>2</v>
      </c>
      <c r="H4" s="14">
        <v>1</v>
      </c>
      <c r="I4" s="14" t="s">
        <v>248</v>
      </c>
      <c r="J4" s="14" t="s">
        <v>310</v>
      </c>
      <c r="K4" s="14" t="s">
        <v>89</v>
      </c>
      <c r="L4" s="33" t="s">
        <v>240</v>
      </c>
      <c r="M4" s="33" t="s">
        <v>249</v>
      </c>
      <c r="N4" s="14" t="s">
        <v>377</v>
      </c>
      <c r="O4" s="14" t="s">
        <v>243</v>
      </c>
      <c r="P4" s="45">
        <v>2</v>
      </c>
      <c r="Q4" s="14" t="s">
        <v>376</v>
      </c>
      <c r="R4" s="14" t="s">
        <v>243</v>
      </c>
      <c r="S4" s="45">
        <v>1</v>
      </c>
      <c r="T4" s="14"/>
      <c r="U4" s="14"/>
      <c r="V4" s="15"/>
      <c r="W4" s="14" t="s">
        <v>244</v>
      </c>
      <c r="X4" s="14" t="s">
        <v>357</v>
      </c>
      <c r="Y4" s="14"/>
      <c r="Z4" s="14"/>
      <c r="AA4" s="14" t="s">
        <v>360</v>
      </c>
      <c r="AB4" s="38" t="b">
        <v>1</v>
      </c>
    </row>
    <row r="5" spans="1:35">
      <c r="A5" s="14" t="s">
        <v>253</v>
      </c>
      <c r="B5" s="14" t="s">
        <v>254</v>
      </c>
      <c r="C5" s="14" t="str">
        <f t="shared" si="0"/>
        <v>SCN_004_H</v>
      </c>
      <c r="D5" s="14" t="str">
        <f t="shared" si="1"/>
        <v>SCN_004_R</v>
      </c>
      <c r="E5" s="14" t="str">
        <f t="shared" si="2"/>
        <v>SCN_004_S</v>
      </c>
      <c r="F5" s="14">
        <v>2</v>
      </c>
      <c r="G5" s="14">
        <v>2</v>
      </c>
      <c r="H5" s="14">
        <v>2</v>
      </c>
      <c r="I5" s="14" t="s">
        <v>237</v>
      </c>
      <c r="J5" s="14" t="s">
        <v>238</v>
      </c>
      <c r="K5" s="14" t="s">
        <v>89</v>
      </c>
      <c r="L5" s="33" t="s">
        <v>239</v>
      </c>
      <c r="M5" s="33" t="s">
        <v>249</v>
      </c>
      <c r="N5" s="14" t="s">
        <v>378</v>
      </c>
      <c r="O5" s="14" t="s">
        <v>243</v>
      </c>
      <c r="P5" s="45">
        <v>2</v>
      </c>
      <c r="Q5" s="14" t="s">
        <v>377</v>
      </c>
      <c r="R5" s="14" t="s">
        <v>243</v>
      </c>
      <c r="S5" s="45">
        <v>2</v>
      </c>
      <c r="T5" s="14"/>
      <c r="U5" s="14"/>
      <c r="V5" s="15"/>
      <c r="W5" s="14" t="s">
        <v>244</v>
      </c>
      <c r="X5" s="14" t="s">
        <v>250</v>
      </c>
      <c r="Y5" s="14"/>
      <c r="Z5" s="14"/>
      <c r="AA5" s="14" t="s">
        <v>358</v>
      </c>
      <c r="AB5" s="38" t="b">
        <v>1</v>
      </c>
      <c r="AH5" s="1">
        <f>AVERAGE(Table2[COMM])</f>
        <v>1.5757575757575757</v>
      </c>
      <c r="AI5" s="1" t="s">
        <v>216</v>
      </c>
    </row>
    <row r="6" spans="1:35">
      <c r="A6" s="14" t="s">
        <v>255</v>
      </c>
      <c r="B6" s="14" t="s">
        <v>256</v>
      </c>
      <c r="C6" s="14" t="str">
        <f t="shared" si="0"/>
        <v>SCN_005_H</v>
      </c>
      <c r="D6" s="14" t="str">
        <f t="shared" si="1"/>
        <v>SCN_005_R</v>
      </c>
      <c r="E6" s="14" t="str">
        <f t="shared" si="2"/>
        <v>SCN_005_S</v>
      </c>
      <c r="F6" s="14">
        <v>2</v>
      </c>
      <c r="G6" s="14">
        <v>1</v>
      </c>
      <c r="H6" s="14">
        <v>3</v>
      </c>
      <c r="I6" s="14" t="s">
        <v>237</v>
      </c>
      <c r="J6" s="14" t="s">
        <v>238</v>
      </c>
      <c r="K6" s="14" t="s">
        <v>89</v>
      </c>
      <c r="L6" s="33" t="s">
        <v>249</v>
      </c>
      <c r="M6" s="33" t="s">
        <v>239</v>
      </c>
      <c r="N6" s="14" t="s">
        <v>376</v>
      </c>
      <c r="O6" s="14" t="s">
        <v>243</v>
      </c>
      <c r="P6" s="45">
        <v>3</v>
      </c>
      <c r="Q6" s="14" t="s">
        <v>378</v>
      </c>
      <c r="R6" s="14" t="s">
        <v>243</v>
      </c>
      <c r="S6" s="45">
        <v>2</v>
      </c>
      <c r="T6" s="14"/>
      <c r="U6" s="14"/>
      <c r="V6" s="15"/>
      <c r="W6" s="14" t="s">
        <v>244</v>
      </c>
      <c r="X6" s="14" t="s">
        <v>250</v>
      </c>
      <c r="Y6" s="14"/>
      <c r="Z6" s="14"/>
      <c r="AA6" s="14" t="s">
        <v>358</v>
      </c>
      <c r="AB6" s="38" t="b">
        <v>1</v>
      </c>
      <c r="AH6" s="1">
        <f>AVERAGE(Table2[TOLL])</f>
        <v>1.393939393939394</v>
      </c>
      <c r="AI6" s="1" t="s">
        <v>215</v>
      </c>
    </row>
    <row r="7" spans="1:35">
      <c r="A7" s="14" t="s">
        <v>257</v>
      </c>
      <c r="B7" s="14" t="s">
        <v>258</v>
      </c>
      <c r="C7" s="14" t="str">
        <f t="shared" si="0"/>
        <v>SCN_006_H</v>
      </c>
      <c r="D7" s="14" t="str">
        <f t="shared" si="1"/>
        <v>SCN_006_R</v>
      </c>
      <c r="E7" s="14" t="str">
        <f t="shared" si="2"/>
        <v>SCN_006_S</v>
      </c>
      <c r="F7" s="14">
        <v>2</v>
      </c>
      <c r="G7" s="14">
        <v>1</v>
      </c>
      <c r="H7" s="14">
        <v>1</v>
      </c>
      <c r="I7" s="14" t="s">
        <v>237</v>
      </c>
      <c r="J7" s="14" t="s">
        <v>238</v>
      </c>
      <c r="K7" s="18" t="s">
        <v>94</v>
      </c>
      <c r="L7" s="33" t="s">
        <v>240</v>
      </c>
      <c r="M7" s="33" t="s">
        <v>239</v>
      </c>
      <c r="N7" s="14" t="s">
        <v>377</v>
      </c>
      <c r="O7" s="14" t="s">
        <v>243</v>
      </c>
      <c r="P7" s="45">
        <v>1</v>
      </c>
      <c r="Q7" s="14" t="s">
        <v>241</v>
      </c>
      <c r="R7" s="14" t="s">
        <v>242</v>
      </c>
      <c r="S7" s="45" t="s">
        <v>240</v>
      </c>
      <c r="T7" s="14"/>
      <c r="U7" s="14"/>
      <c r="V7" s="15"/>
      <c r="W7" s="14" t="s">
        <v>244</v>
      </c>
      <c r="X7" s="14" t="s">
        <v>245</v>
      </c>
      <c r="Y7" s="14">
        <v>1</v>
      </c>
      <c r="Z7" s="14" t="s">
        <v>357</v>
      </c>
      <c r="AA7" s="14" t="s">
        <v>359</v>
      </c>
      <c r="AB7" s="38" t="b">
        <v>1</v>
      </c>
      <c r="AH7" s="1">
        <f>AVERAGE(Table2[TRAFFIC])</f>
        <v>1.9090909090909092</v>
      </c>
      <c r="AI7" s="1" t="s">
        <v>259</v>
      </c>
    </row>
    <row r="8" spans="1:35">
      <c r="A8" s="14" t="s">
        <v>260</v>
      </c>
      <c r="B8" s="14" t="s">
        <v>261</v>
      </c>
      <c r="C8" s="14" t="str">
        <f t="shared" si="0"/>
        <v>SCN_007_H</v>
      </c>
      <c r="D8" s="14" t="str">
        <f t="shared" si="1"/>
        <v>SCN_007_R</v>
      </c>
      <c r="E8" s="14" t="str">
        <f t="shared" si="2"/>
        <v>SCN_007_S</v>
      </c>
      <c r="F8" s="14">
        <v>2</v>
      </c>
      <c r="G8" s="14">
        <v>1</v>
      </c>
      <c r="H8" s="14">
        <v>3</v>
      </c>
      <c r="I8" s="14" t="s">
        <v>248</v>
      </c>
      <c r="J8" s="14" t="s">
        <v>238</v>
      </c>
      <c r="K8" s="14" t="s">
        <v>89</v>
      </c>
      <c r="L8" s="33" t="s">
        <v>239</v>
      </c>
      <c r="M8" s="33" t="s">
        <v>240</v>
      </c>
      <c r="N8" s="14" t="s">
        <v>241</v>
      </c>
      <c r="O8" s="14" t="s">
        <v>242</v>
      </c>
      <c r="P8" s="45" t="s">
        <v>239</v>
      </c>
      <c r="Q8" s="14" t="s">
        <v>376</v>
      </c>
      <c r="R8" s="14" t="s">
        <v>243</v>
      </c>
      <c r="S8" s="45">
        <v>3</v>
      </c>
      <c r="T8" s="14"/>
      <c r="U8" s="14"/>
      <c r="V8" s="15"/>
      <c r="W8" s="14" t="s">
        <v>244</v>
      </c>
      <c r="X8" s="14" t="s">
        <v>357</v>
      </c>
      <c r="Y8" s="14"/>
      <c r="Z8" s="14"/>
      <c r="AA8" s="14" t="s">
        <v>360</v>
      </c>
      <c r="AB8" s="38" t="b">
        <v>1</v>
      </c>
    </row>
    <row r="9" spans="1:35">
      <c r="A9" s="14" t="s">
        <v>262</v>
      </c>
      <c r="B9" s="14" t="s">
        <v>263</v>
      </c>
      <c r="C9" s="14" t="str">
        <f t="shared" si="0"/>
        <v>SCN_008_H</v>
      </c>
      <c r="D9" s="14" t="str">
        <f t="shared" si="1"/>
        <v>SCN_008_R</v>
      </c>
      <c r="E9" s="14" t="str">
        <f t="shared" si="2"/>
        <v>SCN_008_S</v>
      </c>
      <c r="F9" s="14">
        <v>1</v>
      </c>
      <c r="G9" s="14">
        <v>2</v>
      </c>
      <c r="H9" s="14">
        <v>1</v>
      </c>
      <c r="I9" s="14" t="s">
        <v>237</v>
      </c>
      <c r="J9" s="14" t="s">
        <v>238</v>
      </c>
      <c r="K9" s="14" t="s">
        <v>94</v>
      </c>
      <c r="L9" s="33" t="s">
        <v>249</v>
      </c>
      <c r="M9" s="33" t="s">
        <v>240</v>
      </c>
      <c r="N9" s="14" t="s">
        <v>378</v>
      </c>
      <c r="O9" s="14" t="s">
        <v>243</v>
      </c>
      <c r="P9" s="45">
        <v>1</v>
      </c>
      <c r="Q9" s="14" t="s">
        <v>241</v>
      </c>
      <c r="R9" s="14" t="s">
        <v>242</v>
      </c>
      <c r="S9" s="45" t="s">
        <v>249</v>
      </c>
      <c r="T9" s="14"/>
      <c r="U9" s="14"/>
      <c r="V9" s="15"/>
      <c r="W9" s="14" t="s">
        <v>244</v>
      </c>
      <c r="X9" s="14" t="s">
        <v>250</v>
      </c>
      <c r="Y9" s="14">
        <v>2</v>
      </c>
      <c r="Z9" s="14" t="s">
        <v>245</v>
      </c>
      <c r="AA9" s="14" t="s">
        <v>361</v>
      </c>
      <c r="AB9" s="38" t="b">
        <v>1</v>
      </c>
      <c r="AH9" s="1">
        <f>COUNTIF(Table2[Status],TRUE)</f>
        <v>30</v>
      </c>
      <c r="AI9" s="1" t="s">
        <v>264</v>
      </c>
    </row>
    <row r="10" spans="1:35">
      <c r="A10" s="14" t="s">
        <v>265</v>
      </c>
      <c r="B10" s="14" t="s">
        <v>266</v>
      </c>
      <c r="C10" s="14" t="str">
        <f t="shared" si="0"/>
        <v>SCN_009_H</v>
      </c>
      <c r="D10" s="14" t="str">
        <f t="shared" si="1"/>
        <v>SCN_009_R</v>
      </c>
      <c r="E10" s="14" t="str">
        <f t="shared" si="2"/>
        <v>SCN_009_S</v>
      </c>
      <c r="F10" s="14">
        <v>2</v>
      </c>
      <c r="G10" s="14">
        <v>2</v>
      </c>
      <c r="H10" s="14">
        <v>2</v>
      </c>
      <c r="I10" s="14" t="s">
        <v>248</v>
      </c>
      <c r="J10" s="14" t="s">
        <v>238</v>
      </c>
      <c r="K10" s="14" t="s">
        <v>89</v>
      </c>
      <c r="L10" s="33" t="s">
        <v>240</v>
      </c>
      <c r="M10" s="33" t="s">
        <v>249</v>
      </c>
      <c r="N10" s="14" t="s">
        <v>377</v>
      </c>
      <c r="O10" s="14" t="s">
        <v>243</v>
      </c>
      <c r="P10" s="45">
        <v>2</v>
      </c>
      <c r="Q10" s="14" t="s">
        <v>376</v>
      </c>
      <c r="R10" s="14" t="s">
        <v>243</v>
      </c>
      <c r="S10" s="45">
        <v>2</v>
      </c>
      <c r="T10" s="14"/>
      <c r="U10" s="14"/>
      <c r="V10" s="15"/>
      <c r="W10" s="14" t="s">
        <v>244</v>
      </c>
      <c r="X10" s="14" t="s">
        <v>245</v>
      </c>
      <c r="Y10" s="14"/>
      <c r="Z10" s="14"/>
      <c r="AA10" s="14" t="s">
        <v>362</v>
      </c>
      <c r="AB10" s="38" t="b">
        <v>1</v>
      </c>
    </row>
    <row r="11" spans="1:35">
      <c r="A11" s="14" t="s">
        <v>267</v>
      </c>
      <c r="B11" s="14" t="s">
        <v>268</v>
      </c>
      <c r="C11" s="14" t="str">
        <f t="shared" si="0"/>
        <v>SCN_010_H</v>
      </c>
      <c r="D11" s="14" t="str">
        <f t="shared" si="1"/>
        <v>SCN_010_R</v>
      </c>
      <c r="E11" s="14" t="str">
        <f t="shared" si="2"/>
        <v>SCN_010_S</v>
      </c>
      <c r="F11" s="14">
        <v>2</v>
      </c>
      <c r="G11" s="14">
        <v>1</v>
      </c>
      <c r="H11" s="14">
        <v>3</v>
      </c>
      <c r="I11" s="14" t="s">
        <v>237</v>
      </c>
      <c r="J11" s="14" t="s">
        <v>238</v>
      </c>
      <c r="K11" s="14" t="s">
        <v>94</v>
      </c>
      <c r="L11" s="33" t="s">
        <v>239</v>
      </c>
      <c r="M11" s="33" t="s">
        <v>249</v>
      </c>
      <c r="N11" s="14" t="s">
        <v>378</v>
      </c>
      <c r="O11" s="14" t="s">
        <v>243</v>
      </c>
      <c r="P11" s="45">
        <v>2</v>
      </c>
      <c r="Q11" s="14" t="s">
        <v>377</v>
      </c>
      <c r="R11" s="14" t="s">
        <v>243</v>
      </c>
      <c r="S11" s="45">
        <v>1</v>
      </c>
      <c r="T11" s="14"/>
      <c r="U11" s="14"/>
      <c r="V11" s="15"/>
      <c r="W11" s="14" t="s">
        <v>244</v>
      </c>
      <c r="X11" s="14" t="s">
        <v>357</v>
      </c>
      <c r="Y11" s="14">
        <v>3</v>
      </c>
      <c r="Z11" s="14" t="s">
        <v>245</v>
      </c>
      <c r="AA11" s="14" t="s">
        <v>363</v>
      </c>
      <c r="AB11" s="38" t="b">
        <v>1</v>
      </c>
    </row>
    <row r="12" spans="1:35">
      <c r="A12" s="14" t="s">
        <v>269</v>
      </c>
      <c r="B12" s="14" t="s">
        <v>270</v>
      </c>
      <c r="C12" s="14" t="str">
        <f t="shared" si="0"/>
        <v>SCN_011_H</v>
      </c>
      <c r="D12" s="14" t="str">
        <f t="shared" si="1"/>
        <v>SCN_011_R</v>
      </c>
      <c r="E12" s="14" t="str">
        <f t="shared" si="2"/>
        <v>SCN_011_S</v>
      </c>
      <c r="F12" s="14">
        <v>2</v>
      </c>
      <c r="G12" s="14">
        <v>1</v>
      </c>
      <c r="H12" s="14">
        <v>2</v>
      </c>
      <c r="I12" s="14" t="s">
        <v>237</v>
      </c>
      <c r="J12" s="14" t="s">
        <v>238</v>
      </c>
      <c r="K12" s="14" t="s">
        <v>89</v>
      </c>
      <c r="L12" s="33" t="s">
        <v>249</v>
      </c>
      <c r="M12" s="33" t="s">
        <v>239</v>
      </c>
      <c r="N12" s="14" t="s">
        <v>376</v>
      </c>
      <c r="O12" s="14" t="s">
        <v>243</v>
      </c>
      <c r="P12" s="45">
        <v>2</v>
      </c>
      <c r="Q12" s="14" t="s">
        <v>378</v>
      </c>
      <c r="R12" s="14" t="s">
        <v>243</v>
      </c>
      <c r="S12" s="45">
        <v>2</v>
      </c>
      <c r="T12" s="14"/>
      <c r="U12" s="14"/>
      <c r="V12" s="15"/>
      <c r="W12" s="14" t="s">
        <v>244</v>
      </c>
      <c r="X12" s="14" t="s">
        <v>250</v>
      </c>
      <c r="Y12" s="14"/>
      <c r="Z12" s="14"/>
      <c r="AA12" s="14" t="s">
        <v>358</v>
      </c>
      <c r="AB12" s="38" t="b">
        <v>1</v>
      </c>
    </row>
    <row r="13" spans="1:35">
      <c r="A13" s="14" t="s">
        <v>271</v>
      </c>
      <c r="B13" s="14" t="s">
        <v>272</v>
      </c>
      <c r="C13" s="14" t="str">
        <f t="shared" si="0"/>
        <v>SCN_012_H</v>
      </c>
      <c r="D13" s="14" t="str">
        <f t="shared" si="1"/>
        <v>SCN_012_R</v>
      </c>
      <c r="E13" s="14" t="str">
        <f t="shared" si="2"/>
        <v>SCN_012_S</v>
      </c>
      <c r="F13" s="14">
        <v>2</v>
      </c>
      <c r="G13" s="14">
        <v>2</v>
      </c>
      <c r="H13" s="14">
        <v>1</v>
      </c>
      <c r="I13" s="14" t="s">
        <v>248</v>
      </c>
      <c r="J13" s="14" t="s">
        <v>238</v>
      </c>
      <c r="K13" s="14" t="s">
        <v>94</v>
      </c>
      <c r="L13" s="33" t="s">
        <v>240</v>
      </c>
      <c r="M13" s="33" t="s">
        <v>239</v>
      </c>
      <c r="N13" s="14" t="s">
        <v>377</v>
      </c>
      <c r="O13" s="14" t="s">
        <v>243</v>
      </c>
      <c r="P13" s="45">
        <v>2</v>
      </c>
      <c r="Q13" s="14" t="s">
        <v>241</v>
      </c>
      <c r="R13" s="14" t="s">
        <v>242</v>
      </c>
      <c r="S13" s="45" t="s">
        <v>240</v>
      </c>
      <c r="T13" s="14"/>
      <c r="U13" s="14"/>
      <c r="V13" s="15"/>
      <c r="W13" s="14" t="s">
        <v>244</v>
      </c>
      <c r="X13" s="14" t="s">
        <v>250</v>
      </c>
      <c r="Y13" s="14">
        <v>1</v>
      </c>
      <c r="Z13" s="14" t="s">
        <v>357</v>
      </c>
      <c r="AA13" s="14" t="s">
        <v>364</v>
      </c>
      <c r="AB13" s="38" t="b">
        <v>1</v>
      </c>
    </row>
    <row r="14" spans="1:35">
      <c r="A14" s="14" t="s">
        <v>273</v>
      </c>
      <c r="B14" s="14" t="s">
        <v>274</v>
      </c>
      <c r="C14" s="14" t="str">
        <f t="shared" si="0"/>
        <v>SCN_013_H</v>
      </c>
      <c r="D14" s="14" t="str">
        <f t="shared" si="1"/>
        <v>SCN_013_R</v>
      </c>
      <c r="E14" s="14" t="str">
        <f t="shared" si="2"/>
        <v>SCN_013_S</v>
      </c>
      <c r="F14" s="14">
        <v>2</v>
      </c>
      <c r="G14" s="14">
        <v>1</v>
      </c>
      <c r="H14" s="14">
        <v>2</v>
      </c>
      <c r="I14" s="14" t="s">
        <v>237</v>
      </c>
      <c r="J14" s="14" t="s">
        <v>238</v>
      </c>
      <c r="K14" s="14" t="s">
        <v>94</v>
      </c>
      <c r="L14" s="33" t="s">
        <v>239</v>
      </c>
      <c r="M14" s="33" t="s">
        <v>240</v>
      </c>
      <c r="N14" s="14" t="s">
        <v>241</v>
      </c>
      <c r="O14" s="14" t="s">
        <v>242</v>
      </c>
      <c r="P14" s="45" t="s">
        <v>239</v>
      </c>
      <c r="Q14" s="14" t="s">
        <v>376</v>
      </c>
      <c r="R14" s="14" t="s">
        <v>243</v>
      </c>
      <c r="S14" s="45">
        <v>2</v>
      </c>
      <c r="T14" s="14"/>
      <c r="U14" s="14"/>
      <c r="V14" s="15"/>
      <c r="W14" s="14" t="s">
        <v>244</v>
      </c>
      <c r="X14" s="14" t="s">
        <v>245</v>
      </c>
      <c r="Y14" s="14">
        <v>2</v>
      </c>
      <c r="Z14" s="14" t="s">
        <v>250</v>
      </c>
      <c r="AA14" s="14" t="s">
        <v>365</v>
      </c>
      <c r="AB14" s="38" t="b">
        <v>1</v>
      </c>
    </row>
    <row r="15" spans="1:35">
      <c r="A15" s="14" t="s">
        <v>275</v>
      </c>
      <c r="B15" s="14" t="s">
        <v>276</v>
      </c>
      <c r="C15" s="14" t="str">
        <f t="shared" si="0"/>
        <v>SCN_014_H</v>
      </c>
      <c r="D15" s="14" t="str">
        <f t="shared" si="1"/>
        <v>SCN_014_R</v>
      </c>
      <c r="E15" s="14" t="str">
        <f t="shared" si="2"/>
        <v>SCN_014_S</v>
      </c>
      <c r="F15" s="14">
        <v>3</v>
      </c>
      <c r="G15" s="14">
        <v>1</v>
      </c>
      <c r="H15" s="14">
        <v>2</v>
      </c>
      <c r="I15" s="14" t="s">
        <v>248</v>
      </c>
      <c r="J15" s="14" t="s">
        <v>238</v>
      </c>
      <c r="K15" s="14" t="s">
        <v>89</v>
      </c>
      <c r="L15" s="33" t="s">
        <v>249</v>
      </c>
      <c r="M15" s="33" t="s">
        <v>240</v>
      </c>
      <c r="N15" s="14" t="s">
        <v>378</v>
      </c>
      <c r="O15" s="14" t="s">
        <v>243</v>
      </c>
      <c r="P15" s="45">
        <v>3</v>
      </c>
      <c r="Q15" s="14" t="s">
        <v>241</v>
      </c>
      <c r="R15" s="14" t="s">
        <v>242</v>
      </c>
      <c r="S15" s="45" t="s">
        <v>249</v>
      </c>
      <c r="T15" s="14"/>
      <c r="U15" s="14"/>
      <c r="V15" s="15"/>
      <c r="W15" s="14" t="s">
        <v>244</v>
      </c>
      <c r="X15" s="14" t="s">
        <v>357</v>
      </c>
      <c r="Y15" s="14"/>
      <c r="Z15" s="14"/>
      <c r="AA15" s="14" t="s">
        <v>360</v>
      </c>
      <c r="AB15" s="38" t="b">
        <v>1</v>
      </c>
    </row>
    <row r="16" spans="1:35">
      <c r="A16" s="14" t="s">
        <v>277</v>
      </c>
      <c r="B16" s="14" t="s">
        <v>278</v>
      </c>
      <c r="C16" s="14" t="str">
        <f t="shared" si="0"/>
        <v>SCN_015_H</v>
      </c>
      <c r="D16" s="14" t="str">
        <f t="shared" si="1"/>
        <v>SCN_015_R</v>
      </c>
      <c r="E16" s="14" t="str">
        <f t="shared" si="2"/>
        <v>SCN_015_S</v>
      </c>
      <c r="F16" s="14">
        <v>2</v>
      </c>
      <c r="G16" s="14">
        <v>2</v>
      </c>
      <c r="H16" s="14">
        <v>1</v>
      </c>
      <c r="I16" s="14" t="s">
        <v>248</v>
      </c>
      <c r="J16" s="14" t="s">
        <v>238</v>
      </c>
      <c r="K16" s="14" t="s">
        <v>89</v>
      </c>
      <c r="L16" s="33" t="s">
        <v>240</v>
      </c>
      <c r="M16" s="33" t="s">
        <v>249</v>
      </c>
      <c r="N16" s="14" t="s">
        <v>377</v>
      </c>
      <c r="O16" s="14" t="s">
        <v>243</v>
      </c>
      <c r="P16" s="45">
        <v>2</v>
      </c>
      <c r="Q16" s="14" t="s">
        <v>376</v>
      </c>
      <c r="R16" s="14" t="s">
        <v>243</v>
      </c>
      <c r="S16" s="45">
        <v>1</v>
      </c>
      <c r="T16" s="14"/>
      <c r="U16" s="14"/>
      <c r="V16" s="15"/>
      <c r="W16" s="14" t="s">
        <v>244</v>
      </c>
      <c r="X16" s="14" t="s">
        <v>357</v>
      </c>
      <c r="Y16" s="14"/>
      <c r="Z16" s="14"/>
      <c r="AA16" s="14" t="s">
        <v>360</v>
      </c>
      <c r="AB16" s="38" t="b">
        <v>1</v>
      </c>
    </row>
    <row r="17" spans="1:28">
      <c r="A17" s="14" t="s">
        <v>279</v>
      </c>
      <c r="B17" s="14" t="s">
        <v>280</v>
      </c>
      <c r="C17" s="14" t="str">
        <f t="shared" si="0"/>
        <v>SCN_016_H</v>
      </c>
      <c r="D17" s="14" t="str">
        <f t="shared" si="1"/>
        <v>SCN_016_R</v>
      </c>
      <c r="E17" s="14" t="str">
        <f t="shared" si="2"/>
        <v>SCN_016_S</v>
      </c>
      <c r="F17" s="14">
        <v>2</v>
      </c>
      <c r="G17" s="14">
        <v>2</v>
      </c>
      <c r="H17" s="14">
        <v>2</v>
      </c>
      <c r="I17" s="14" t="s">
        <v>237</v>
      </c>
      <c r="J17" s="14" t="s">
        <v>238</v>
      </c>
      <c r="K17" s="14" t="s">
        <v>94</v>
      </c>
      <c r="L17" s="33" t="s">
        <v>239</v>
      </c>
      <c r="M17" s="33" t="s">
        <v>249</v>
      </c>
      <c r="N17" s="14" t="s">
        <v>378</v>
      </c>
      <c r="O17" s="14" t="s">
        <v>243</v>
      </c>
      <c r="P17" s="45">
        <v>2</v>
      </c>
      <c r="Q17" s="14" t="s">
        <v>377</v>
      </c>
      <c r="R17" s="14" t="s">
        <v>243</v>
      </c>
      <c r="S17" s="45">
        <v>2</v>
      </c>
      <c r="T17" s="14"/>
      <c r="U17" s="14"/>
      <c r="V17" s="15"/>
      <c r="W17" s="14" t="s">
        <v>244</v>
      </c>
      <c r="X17" s="14" t="s">
        <v>250</v>
      </c>
      <c r="Y17" s="14">
        <v>2</v>
      </c>
      <c r="Z17" s="14" t="s">
        <v>245</v>
      </c>
      <c r="AA17" s="14" t="s">
        <v>361</v>
      </c>
      <c r="AB17" s="38" t="b">
        <v>1</v>
      </c>
    </row>
    <row r="18" spans="1:28">
      <c r="A18" s="14" t="s">
        <v>281</v>
      </c>
      <c r="B18" s="14" t="s">
        <v>282</v>
      </c>
      <c r="C18" s="14" t="str">
        <f t="shared" si="0"/>
        <v>SCN_017_H</v>
      </c>
      <c r="D18" s="14" t="str">
        <f t="shared" si="1"/>
        <v>SCN_017_R</v>
      </c>
      <c r="E18" s="14" t="str">
        <f t="shared" si="2"/>
        <v>SCN_017_S</v>
      </c>
      <c r="F18" s="14">
        <v>3</v>
      </c>
      <c r="G18" s="14">
        <v>1</v>
      </c>
      <c r="H18" s="14">
        <v>2</v>
      </c>
      <c r="I18" s="14" t="s">
        <v>237</v>
      </c>
      <c r="J18" s="14" t="s">
        <v>238</v>
      </c>
      <c r="K18" s="14" t="s">
        <v>89</v>
      </c>
      <c r="L18" s="33" t="s">
        <v>249</v>
      </c>
      <c r="M18" s="33" t="s">
        <v>239</v>
      </c>
      <c r="N18" s="14" t="s">
        <v>376</v>
      </c>
      <c r="O18" s="14" t="s">
        <v>243</v>
      </c>
      <c r="P18" s="45">
        <v>2</v>
      </c>
      <c r="Q18" s="14" t="s">
        <v>378</v>
      </c>
      <c r="R18" s="14" t="s">
        <v>243</v>
      </c>
      <c r="S18" s="45">
        <v>3</v>
      </c>
      <c r="T18" s="14"/>
      <c r="U18" s="14"/>
      <c r="V18" s="15"/>
      <c r="W18" s="14" t="s">
        <v>244</v>
      </c>
      <c r="X18" s="14" t="s">
        <v>245</v>
      </c>
      <c r="Y18" s="14"/>
      <c r="Z18" s="14"/>
      <c r="AA18" s="14" t="s">
        <v>362</v>
      </c>
      <c r="AB18" s="38" t="b">
        <v>1</v>
      </c>
    </row>
    <row r="19" spans="1:28">
      <c r="A19" s="14" t="s">
        <v>283</v>
      </c>
      <c r="B19" s="14" t="s">
        <v>284</v>
      </c>
      <c r="C19" s="14" t="str">
        <f t="shared" si="0"/>
        <v>SCN_018_H</v>
      </c>
      <c r="D19" s="14" t="str">
        <f t="shared" si="1"/>
        <v>SCN_018_R</v>
      </c>
      <c r="E19" s="14" t="str">
        <f t="shared" si="2"/>
        <v>SCN_018_S</v>
      </c>
      <c r="F19" s="14">
        <v>2</v>
      </c>
      <c r="G19" s="14">
        <v>2</v>
      </c>
      <c r="H19" s="14">
        <v>3</v>
      </c>
      <c r="I19" s="14" t="s">
        <v>237</v>
      </c>
      <c r="J19" s="14" t="s">
        <v>238</v>
      </c>
      <c r="K19" s="14" t="s">
        <v>94</v>
      </c>
      <c r="L19" s="33" t="s">
        <v>240</v>
      </c>
      <c r="M19" s="33" t="s">
        <v>239</v>
      </c>
      <c r="N19" s="14" t="s">
        <v>377</v>
      </c>
      <c r="O19" s="14" t="s">
        <v>243</v>
      </c>
      <c r="P19" s="45">
        <v>2</v>
      </c>
      <c r="Q19" s="14" t="s">
        <v>241</v>
      </c>
      <c r="R19" s="14" t="s">
        <v>242</v>
      </c>
      <c r="S19" s="45" t="s">
        <v>240</v>
      </c>
      <c r="T19" s="14"/>
      <c r="U19" s="14"/>
      <c r="V19" s="15"/>
      <c r="W19" s="14" t="s">
        <v>244</v>
      </c>
      <c r="X19" s="14" t="s">
        <v>357</v>
      </c>
      <c r="Y19" s="14">
        <v>1</v>
      </c>
      <c r="Z19" s="14" t="s">
        <v>250</v>
      </c>
      <c r="AA19" s="14" t="s">
        <v>366</v>
      </c>
      <c r="AB19" s="38" t="b">
        <v>1</v>
      </c>
    </row>
    <row r="20" spans="1:28">
      <c r="A20" s="14" t="s">
        <v>285</v>
      </c>
      <c r="B20" s="14" t="s">
        <v>286</v>
      </c>
      <c r="C20" s="14" t="str">
        <f t="shared" si="0"/>
        <v>SCN_019_H</v>
      </c>
      <c r="D20" s="14" t="str">
        <f t="shared" si="1"/>
        <v>SCN_019_R</v>
      </c>
      <c r="E20" s="14" t="str">
        <f t="shared" si="2"/>
        <v>SCN_019_S</v>
      </c>
      <c r="F20" s="14">
        <v>2</v>
      </c>
      <c r="G20" s="14">
        <v>2</v>
      </c>
      <c r="H20" s="14">
        <v>0</v>
      </c>
      <c r="I20" s="14" t="s">
        <v>237</v>
      </c>
      <c r="J20" s="14" t="s">
        <v>238</v>
      </c>
      <c r="K20" s="14" t="s">
        <v>89</v>
      </c>
      <c r="L20" s="33" t="s">
        <v>239</v>
      </c>
      <c r="M20" s="33" t="s">
        <v>240</v>
      </c>
      <c r="N20" s="14" t="s">
        <v>241</v>
      </c>
      <c r="O20" s="14" t="s">
        <v>242</v>
      </c>
      <c r="P20" s="45" t="s">
        <v>239</v>
      </c>
      <c r="Q20" s="14" t="s">
        <v>376</v>
      </c>
      <c r="R20" s="14" t="s">
        <v>243</v>
      </c>
      <c r="S20" s="45">
        <v>0</v>
      </c>
      <c r="T20" s="14"/>
      <c r="U20" s="14"/>
      <c r="V20" s="15"/>
      <c r="W20" s="14" t="s">
        <v>244</v>
      </c>
      <c r="X20" s="14" t="s">
        <v>357</v>
      </c>
      <c r="Y20" s="14"/>
      <c r="Z20" s="14"/>
      <c r="AA20" s="14" t="s">
        <v>360</v>
      </c>
      <c r="AB20" s="38" t="b">
        <v>1</v>
      </c>
    </row>
    <row r="21" spans="1:28">
      <c r="A21" s="14" t="s">
        <v>287</v>
      </c>
      <c r="B21" s="14" t="s">
        <v>288</v>
      </c>
      <c r="C21" s="14" t="str">
        <f t="shared" si="0"/>
        <v>SCN_020_H</v>
      </c>
      <c r="D21" s="14" t="str">
        <f t="shared" si="1"/>
        <v>SCN_020_R</v>
      </c>
      <c r="E21" s="14" t="str">
        <f t="shared" si="2"/>
        <v>SCN_020_S</v>
      </c>
      <c r="F21" s="14">
        <v>2</v>
      </c>
      <c r="G21" s="14">
        <v>2</v>
      </c>
      <c r="H21" s="14">
        <v>0</v>
      </c>
      <c r="I21" s="14" t="s">
        <v>237</v>
      </c>
      <c r="J21" s="14" t="s">
        <v>238</v>
      </c>
      <c r="K21" s="14" t="s">
        <v>94</v>
      </c>
      <c r="L21" s="33" t="s">
        <v>249</v>
      </c>
      <c r="M21" s="33" t="s">
        <v>240</v>
      </c>
      <c r="N21" s="14" t="s">
        <v>378</v>
      </c>
      <c r="O21" s="14" t="s">
        <v>243</v>
      </c>
      <c r="P21" s="45">
        <v>2</v>
      </c>
      <c r="Q21" s="14" t="s">
        <v>241</v>
      </c>
      <c r="R21" s="14" t="s">
        <v>242</v>
      </c>
      <c r="S21" s="45" t="s">
        <v>249</v>
      </c>
      <c r="T21" s="14"/>
      <c r="U21" s="14"/>
      <c r="V21" s="15"/>
      <c r="W21" s="14" t="s">
        <v>244</v>
      </c>
      <c r="X21" s="14" t="s">
        <v>357</v>
      </c>
      <c r="Y21" s="14">
        <v>2</v>
      </c>
      <c r="Z21" s="14" t="s">
        <v>357</v>
      </c>
      <c r="AA21" s="14" t="s">
        <v>367</v>
      </c>
      <c r="AB21" s="38" t="b">
        <v>1</v>
      </c>
    </row>
    <row r="22" spans="1:28">
      <c r="A22" s="14" t="s">
        <v>289</v>
      </c>
      <c r="B22" s="14" t="s">
        <v>290</v>
      </c>
      <c r="C22" s="14" t="str">
        <f t="shared" si="0"/>
        <v>SCN_021_H</v>
      </c>
      <c r="D22" s="14" t="str">
        <f t="shared" si="1"/>
        <v>SCN_021_R</v>
      </c>
      <c r="E22" s="14" t="str">
        <f t="shared" si="2"/>
        <v>SCN_021_S</v>
      </c>
      <c r="F22" s="14">
        <v>1</v>
      </c>
      <c r="G22" s="14">
        <v>1</v>
      </c>
      <c r="H22" s="14">
        <v>3</v>
      </c>
      <c r="I22" s="14" t="s">
        <v>237</v>
      </c>
      <c r="J22" s="14" t="s">
        <v>238</v>
      </c>
      <c r="K22" s="14" t="s">
        <v>89</v>
      </c>
      <c r="L22" s="33" t="s">
        <v>240</v>
      </c>
      <c r="M22" s="33" t="s">
        <v>249</v>
      </c>
      <c r="N22" s="14" t="s">
        <v>377</v>
      </c>
      <c r="O22" s="14" t="s">
        <v>243</v>
      </c>
      <c r="P22" s="45">
        <v>1</v>
      </c>
      <c r="Q22" s="14" t="s">
        <v>376</v>
      </c>
      <c r="R22" s="14" t="s">
        <v>243</v>
      </c>
      <c r="S22" s="45">
        <v>3</v>
      </c>
      <c r="T22" s="14"/>
      <c r="U22" s="14"/>
      <c r="V22" s="15"/>
      <c r="W22" s="14" t="s">
        <v>244</v>
      </c>
      <c r="X22" s="14" t="s">
        <v>245</v>
      </c>
      <c r="Y22" s="14"/>
      <c r="Z22" s="14"/>
      <c r="AA22" s="14" t="s">
        <v>362</v>
      </c>
      <c r="AB22" s="38" t="b">
        <v>1</v>
      </c>
    </row>
    <row r="23" spans="1:28">
      <c r="A23" s="14" t="s">
        <v>291</v>
      </c>
      <c r="B23" s="14" t="s">
        <v>292</v>
      </c>
      <c r="C23" s="14" t="str">
        <f t="shared" si="0"/>
        <v>SCN_022_H</v>
      </c>
      <c r="D23" s="14" t="str">
        <f t="shared" si="1"/>
        <v>SCN_022_R</v>
      </c>
      <c r="E23" s="14" t="str">
        <f t="shared" si="2"/>
        <v>SCN_022_S</v>
      </c>
      <c r="F23" s="14">
        <v>2</v>
      </c>
      <c r="G23" s="14">
        <v>1</v>
      </c>
      <c r="H23" s="14">
        <v>2</v>
      </c>
      <c r="I23" s="14" t="s">
        <v>248</v>
      </c>
      <c r="J23" s="14" t="s">
        <v>238</v>
      </c>
      <c r="K23" s="14" t="s">
        <v>94</v>
      </c>
      <c r="L23" s="33" t="s">
        <v>239</v>
      </c>
      <c r="M23" s="33" t="s">
        <v>249</v>
      </c>
      <c r="N23" s="14" t="s">
        <v>378</v>
      </c>
      <c r="O23" s="14" t="s">
        <v>243</v>
      </c>
      <c r="P23" s="45">
        <v>2</v>
      </c>
      <c r="Q23" s="14" t="s">
        <v>377</v>
      </c>
      <c r="R23" s="14" t="s">
        <v>243</v>
      </c>
      <c r="S23" s="45">
        <v>1</v>
      </c>
      <c r="T23" s="14"/>
      <c r="U23" s="14"/>
      <c r="V23" s="15"/>
      <c r="W23" s="14" t="s">
        <v>244</v>
      </c>
      <c r="X23" s="14" t="s">
        <v>245</v>
      </c>
      <c r="Y23" s="14">
        <v>3</v>
      </c>
      <c r="Z23" s="14" t="s">
        <v>250</v>
      </c>
      <c r="AA23" s="14" t="s">
        <v>368</v>
      </c>
      <c r="AB23" s="38" t="b">
        <v>1</v>
      </c>
    </row>
    <row r="24" spans="1:28">
      <c r="A24" s="14" t="s">
        <v>293</v>
      </c>
      <c r="B24" s="14" t="s">
        <v>294</v>
      </c>
      <c r="C24" s="14" t="str">
        <f t="shared" si="0"/>
        <v>SCN_023_H</v>
      </c>
      <c r="D24" s="14" t="str">
        <f t="shared" si="1"/>
        <v>SCN_023_R</v>
      </c>
      <c r="E24" s="14" t="str">
        <f t="shared" si="2"/>
        <v>SCN_023_S</v>
      </c>
      <c r="F24" s="14">
        <v>1</v>
      </c>
      <c r="G24" s="14">
        <v>0</v>
      </c>
      <c r="H24" s="14">
        <v>2</v>
      </c>
      <c r="I24" s="14" t="s">
        <v>248</v>
      </c>
      <c r="J24" s="14" t="s">
        <v>238</v>
      </c>
      <c r="K24" s="14" t="s">
        <v>89</v>
      </c>
      <c r="L24" s="33" t="s">
        <v>249</v>
      </c>
      <c r="M24" s="33" t="s">
        <v>239</v>
      </c>
      <c r="N24" s="14" t="s">
        <v>376</v>
      </c>
      <c r="O24" s="14" t="s">
        <v>243</v>
      </c>
      <c r="P24" s="45">
        <v>2</v>
      </c>
      <c r="Q24" s="14" t="s">
        <v>378</v>
      </c>
      <c r="R24" s="14" t="s">
        <v>243</v>
      </c>
      <c r="S24" s="45">
        <v>1</v>
      </c>
      <c r="T24" s="14"/>
      <c r="U24" s="14"/>
      <c r="V24" s="15"/>
      <c r="W24" s="14" t="s">
        <v>244</v>
      </c>
      <c r="X24" s="14" t="s">
        <v>250</v>
      </c>
      <c r="Y24" s="14"/>
      <c r="Z24" s="14"/>
      <c r="AA24" s="14" t="s">
        <v>358</v>
      </c>
      <c r="AB24" s="38" t="b">
        <v>1</v>
      </c>
    </row>
    <row r="25" spans="1:28">
      <c r="A25" s="14" t="s">
        <v>295</v>
      </c>
      <c r="B25" s="14" t="s">
        <v>296</v>
      </c>
      <c r="C25" s="14" t="str">
        <f t="shared" si="0"/>
        <v>SCN_024_H</v>
      </c>
      <c r="D25" s="14" t="str">
        <f t="shared" si="1"/>
        <v>SCN_024_R</v>
      </c>
      <c r="E25" s="14" t="str">
        <f t="shared" si="2"/>
        <v>SCN_024_S</v>
      </c>
      <c r="F25" s="14">
        <v>2</v>
      </c>
      <c r="G25" s="14">
        <v>0</v>
      </c>
      <c r="H25" s="14">
        <v>2</v>
      </c>
      <c r="I25" s="14" t="s">
        <v>248</v>
      </c>
      <c r="J25" s="14" t="s">
        <v>238</v>
      </c>
      <c r="K25" s="14" t="s">
        <v>94</v>
      </c>
      <c r="L25" s="33" t="s">
        <v>240</v>
      </c>
      <c r="M25" s="33" t="s">
        <v>239</v>
      </c>
      <c r="N25" s="14" t="s">
        <v>377</v>
      </c>
      <c r="O25" s="14" t="s">
        <v>243</v>
      </c>
      <c r="P25" s="45">
        <v>0</v>
      </c>
      <c r="Q25" s="14" t="s">
        <v>241</v>
      </c>
      <c r="R25" s="14" t="s">
        <v>242</v>
      </c>
      <c r="S25" s="45" t="s">
        <v>240</v>
      </c>
      <c r="T25" s="14"/>
      <c r="U25" s="14"/>
      <c r="V25" s="15"/>
      <c r="W25" s="14" t="s">
        <v>244</v>
      </c>
      <c r="X25" s="14" t="s">
        <v>250</v>
      </c>
      <c r="Y25" s="14">
        <v>1</v>
      </c>
      <c r="Z25" s="14" t="s">
        <v>245</v>
      </c>
      <c r="AA25" s="14" t="s">
        <v>369</v>
      </c>
      <c r="AB25" s="38" t="b">
        <v>1</v>
      </c>
    </row>
    <row r="26" spans="1:28">
      <c r="A26" s="14" t="s">
        <v>297</v>
      </c>
      <c r="B26" s="14" t="s">
        <v>298</v>
      </c>
      <c r="C26" s="14" t="str">
        <f t="shared" si="0"/>
        <v>SCN_025_H</v>
      </c>
      <c r="D26" s="14" t="str">
        <f t="shared" si="1"/>
        <v>SCN_025_R</v>
      </c>
      <c r="E26" s="14" t="str">
        <f t="shared" si="2"/>
        <v>SCN_025_S</v>
      </c>
      <c r="F26" s="14">
        <v>1</v>
      </c>
      <c r="G26" s="14">
        <v>2</v>
      </c>
      <c r="H26" s="14">
        <v>2</v>
      </c>
      <c r="I26" s="14" t="s">
        <v>248</v>
      </c>
      <c r="J26" s="14" t="s">
        <v>238</v>
      </c>
      <c r="K26" s="14" t="s">
        <v>89</v>
      </c>
      <c r="L26" s="33" t="s">
        <v>239</v>
      </c>
      <c r="M26" s="33" t="s">
        <v>240</v>
      </c>
      <c r="N26" s="14" t="s">
        <v>241</v>
      </c>
      <c r="O26" s="14" t="s">
        <v>242</v>
      </c>
      <c r="P26" s="45" t="s">
        <v>239</v>
      </c>
      <c r="Q26" s="14" t="s">
        <v>376</v>
      </c>
      <c r="R26" s="14" t="s">
        <v>243</v>
      </c>
      <c r="S26" s="45">
        <v>2</v>
      </c>
      <c r="T26" s="14"/>
      <c r="U26" s="14"/>
      <c r="V26" s="15"/>
      <c r="W26" s="14" t="s">
        <v>244</v>
      </c>
      <c r="X26" s="14" t="s">
        <v>245</v>
      </c>
      <c r="Y26" s="14"/>
      <c r="Z26" s="14"/>
      <c r="AA26" s="14" t="s">
        <v>362</v>
      </c>
      <c r="AB26" s="38" t="b">
        <v>1</v>
      </c>
    </row>
    <row r="27" spans="1:28">
      <c r="A27" s="14" t="s">
        <v>299</v>
      </c>
      <c r="B27" s="14" t="s">
        <v>300</v>
      </c>
      <c r="C27" s="14" t="str">
        <f t="shared" si="0"/>
        <v>SCN_026_H</v>
      </c>
      <c r="D27" s="14" t="str">
        <f t="shared" si="1"/>
        <v>SCN_026_R</v>
      </c>
      <c r="E27" s="14" t="str">
        <f t="shared" si="2"/>
        <v>SCN_026_S</v>
      </c>
      <c r="F27" s="14">
        <v>2</v>
      </c>
      <c r="G27" s="14">
        <v>1</v>
      </c>
      <c r="H27" s="14">
        <v>0</v>
      </c>
      <c r="I27" s="14" t="s">
        <v>237</v>
      </c>
      <c r="J27" s="14" t="s">
        <v>238</v>
      </c>
      <c r="K27" s="14" t="s">
        <v>94</v>
      </c>
      <c r="L27" s="33" t="s">
        <v>249</v>
      </c>
      <c r="M27" s="33" t="s">
        <v>240</v>
      </c>
      <c r="N27" s="14" t="s">
        <v>378</v>
      </c>
      <c r="O27" s="14" t="s">
        <v>243</v>
      </c>
      <c r="P27" s="45">
        <v>2</v>
      </c>
      <c r="Q27" s="14" t="s">
        <v>241</v>
      </c>
      <c r="R27" s="14" t="s">
        <v>242</v>
      </c>
      <c r="S27" s="45" t="s">
        <v>249</v>
      </c>
      <c r="T27" s="14"/>
      <c r="U27" s="14"/>
      <c r="V27" s="15"/>
      <c r="W27" s="14" t="s">
        <v>244</v>
      </c>
      <c r="X27" s="14" t="s">
        <v>357</v>
      </c>
      <c r="Y27" s="14">
        <v>2</v>
      </c>
      <c r="Z27" s="14" t="s">
        <v>245</v>
      </c>
      <c r="AA27" s="14" t="s">
        <v>370</v>
      </c>
      <c r="AB27" s="38" t="b">
        <v>1</v>
      </c>
    </row>
    <row r="28" spans="1:28">
      <c r="A28" s="14" t="s">
        <v>301</v>
      </c>
      <c r="B28" s="14" t="s">
        <v>302</v>
      </c>
      <c r="C28" s="14" t="str">
        <f t="shared" si="0"/>
        <v>SCN_027_H</v>
      </c>
      <c r="D28" s="14" t="str">
        <f t="shared" si="1"/>
        <v>SCN_027_R</v>
      </c>
      <c r="E28" s="14" t="str">
        <f t="shared" si="2"/>
        <v>SCN_027_S</v>
      </c>
      <c r="F28" s="14">
        <v>2</v>
      </c>
      <c r="G28" s="14">
        <v>1</v>
      </c>
      <c r="H28" s="14">
        <v>3</v>
      </c>
      <c r="I28" s="14" t="s">
        <v>248</v>
      </c>
      <c r="J28" s="14" t="s">
        <v>238</v>
      </c>
      <c r="K28" s="14" t="s">
        <v>89</v>
      </c>
      <c r="L28" s="33" t="s">
        <v>240</v>
      </c>
      <c r="M28" s="33" t="s">
        <v>249</v>
      </c>
      <c r="N28" s="14" t="s">
        <v>377</v>
      </c>
      <c r="O28" s="14" t="s">
        <v>243</v>
      </c>
      <c r="P28" s="45">
        <v>1</v>
      </c>
      <c r="Q28" s="14" t="s">
        <v>376</v>
      </c>
      <c r="R28" s="14" t="s">
        <v>243</v>
      </c>
      <c r="S28" s="45">
        <v>3</v>
      </c>
      <c r="T28" s="14"/>
      <c r="U28" s="14"/>
      <c r="V28" s="15"/>
      <c r="W28" s="14" t="s">
        <v>244</v>
      </c>
      <c r="X28" s="14" t="s">
        <v>357</v>
      </c>
      <c r="Y28" s="14"/>
      <c r="Z28" s="14"/>
      <c r="AA28" s="14" t="s">
        <v>360</v>
      </c>
      <c r="AB28" s="38" t="b">
        <v>1</v>
      </c>
    </row>
    <row r="29" spans="1:28">
      <c r="A29" s="14" t="s">
        <v>303</v>
      </c>
      <c r="B29" s="14" t="s">
        <v>304</v>
      </c>
      <c r="C29" s="14" t="str">
        <f t="shared" si="0"/>
        <v>SCN_028_H</v>
      </c>
      <c r="D29" s="14" t="str">
        <f t="shared" si="1"/>
        <v>SCN_028_R</v>
      </c>
      <c r="E29" s="14" t="str">
        <f t="shared" si="2"/>
        <v>SCN_028_S</v>
      </c>
      <c r="F29" s="14">
        <v>2</v>
      </c>
      <c r="G29" s="14">
        <v>1</v>
      </c>
      <c r="H29" s="14">
        <v>1</v>
      </c>
      <c r="I29" s="14" t="s">
        <v>248</v>
      </c>
      <c r="J29" s="14" t="s">
        <v>238</v>
      </c>
      <c r="K29" s="14" t="s">
        <v>94</v>
      </c>
      <c r="L29" s="33" t="s">
        <v>239</v>
      </c>
      <c r="M29" s="33" t="s">
        <v>249</v>
      </c>
      <c r="N29" s="14" t="s">
        <v>378</v>
      </c>
      <c r="O29" s="14" t="s">
        <v>243</v>
      </c>
      <c r="P29" s="45">
        <v>2</v>
      </c>
      <c r="Q29" s="14" t="s">
        <v>377</v>
      </c>
      <c r="R29" s="14" t="s">
        <v>243</v>
      </c>
      <c r="S29" s="45">
        <v>1</v>
      </c>
      <c r="T29" s="14"/>
      <c r="U29" s="14"/>
      <c r="V29" s="15"/>
      <c r="W29" s="14" t="s">
        <v>244</v>
      </c>
      <c r="X29" s="14" t="s">
        <v>250</v>
      </c>
      <c r="Y29" s="14">
        <v>3</v>
      </c>
      <c r="Z29" s="14" t="s">
        <v>357</v>
      </c>
      <c r="AA29" s="14" t="s">
        <v>371</v>
      </c>
      <c r="AB29" s="38" t="b">
        <v>1</v>
      </c>
    </row>
    <row r="30" spans="1:28">
      <c r="A30" s="14" t="s">
        <v>305</v>
      </c>
      <c r="B30" s="14" t="s">
        <v>306</v>
      </c>
      <c r="C30" s="14" t="str">
        <f t="shared" si="0"/>
        <v>SCN_029_H</v>
      </c>
      <c r="D30" s="14" t="str">
        <f t="shared" si="1"/>
        <v>SCN_029_R</v>
      </c>
      <c r="E30" s="14" t="str">
        <f t="shared" si="2"/>
        <v>SCN_029_S</v>
      </c>
      <c r="F30" s="14">
        <v>2</v>
      </c>
      <c r="G30" s="14">
        <v>2</v>
      </c>
      <c r="H30" s="14">
        <v>1</v>
      </c>
      <c r="I30" s="14" t="s">
        <v>248</v>
      </c>
      <c r="J30" s="14" t="s">
        <v>238</v>
      </c>
      <c r="K30" s="14" t="s">
        <v>94</v>
      </c>
      <c r="L30" s="33" t="s">
        <v>249</v>
      </c>
      <c r="M30" s="33" t="s">
        <v>239</v>
      </c>
      <c r="N30" s="14" t="s">
        <v>376</v>
      </c>
      <c r="O30" s="14" t="s">
        <v>243</v>
      </c>
      <c r="P30" s="45">
        <v>1</v>
      </c>
      <c r="Q30" s="14" t="s">
        <v>378</v>
      </c>
      <c r="R30" s="14" t="s">
        <v>243</v>
      </c>
      <c r="S30" s="45">
        <v>2</v>
      </c>
      <c r="T30" s="14"/>
      <c r="U30" s="14"/>
      <c r="V30" s="15"/>
      <c r="W30" s="14" t="s">
        <v>244</v>
      </c>
      <c r="X30" s="14" t="s">
        <v>245</v>
      </c>
      <c r="Y30" s="14">
        <v>1</v>
      </c>
      <c r="Z30" s="14" t="s">
        <v>250</v>
      </c>
      <c r="AA30" s="14" t="s">
        <v>372</v>
      </c>
      <c r="AB30" s="38" t="b">
        <v>1</v>
      </c>
    </row>
    <row r="31" spans="1:28">
      <c r="A31" s="14" t="s">
        <v>307</v>
      </c>
      <c r="B31" s="14" t="s">
        <v>308</v>
      </c>
      <c r="C31" s="14" t="str">
        <f t="shared" si="0"/>
        <v>SCN_030_H</v>
      </c>
      <c r="D31" s="14" t="str">
        <f t="shared" si="1"/>
        <v>SCN_030_R</v>
      </c>
      <c r="E31" s="14" t="str">
        <f t="shared" si="2"/>
        <v>SCN_030_S</v>
      </c>
      <c r="F31" s="14">
        <v>1</v>
      </c>
      <c r="G31" s="14">
        <v>3</v>
      </c>
      <c r="H31" s="14">
        <v>0</v>
      </c>
      <c r="I31" s="14" t="s">
        <v>248</v>
      </c>
      <c r="J31" s="14" t="s">
        <v>238</v>
      </c>
      <c r="K31" s="14" t="s">
        <v>89</v>
      </c>
      <c r="L31" s="33" t="s">
        <v>240</v>
      </c>
      <c r="M31" s="33" t="s">
        <v>239</v>
      </c>
      <c r="N31" s="14" t="s">
        <v>377</v>
      </c>
      <c r="O31" s="14" t="s">
        <v>243</v>
      </c>
      <c r="P31" s="45">
        <v>3</v>
      </c>
      <c r="Q31" s="14" t="s">
        <v>241</v>
      </c>
      <c r="R31" s="14" t="s">
        <v>242</v>
      </c>
      <c r="S31" s="45" t="s">
        <v>240</v>
      </c>
      <c r="T31" s="14"/>
      <c r="U31" s="14"/>
      <c r="V31" s="15"/>
      <c r="W31" s="14" t="s">
        <v>244</v>
      </c>
      <c r="X31" s="14" t="s">
        <v>357</v>
      </c>
      <c r="Y31" s="14"/>
      <c r="Z31" s="14"/>
      <c r="AA31" s="14" t="s">
        <v>360</v>
      </c>
      <c r="AB31" s="38" t="b">
        <v>1</v>
      </c>
    </row>
    <row r="32" spans="1:28">
      <c r="A32" s="33" t="s">
        <v>309</v>
      </c>
      <c r="B32" s="33" t="s">
        <v>236</v>
      </c>
      <c r="C32" s="33" t="str">
        <f t="shared" si="0"/>
        <v>SCN_031_H</v>
      </c>
      <c r="D32" s="33" t="str">
        <f t="shared" si="1"/>
        <v>SCN_031_R</v>
      </c>
      <c r="E32" s="33" t="str">
        <f t="shared" si="2"/>
        <v>SCN_031_S</v>
      </c>
      <c r="F32" s="33">
        <v>1</v>
      </c>
      <c r="G32" s="33">
        <v>1</v>
      </c>
      <c r="H32" s="33">
        <v>1</v>
      </c>
      <c r="I32" s="33" t="s">
        <v>237</v>
      </c>
      <c r="J32" s="33" t="s">
        <v>310</v>
      </c>
      <c r="K32" s="14" t="s">
        <v>94</v>
      </c>
      <c r="L32" s="16" t="s">
        <v>239</v>
      </c>
      <c r="M32" s="16" t="s">
        <v>240</v>
      </c>
      <c r="N32" s="16" t="s">
        <v>241</v>
      </c>
      <c r="O32" s="16" t="s">
        <v>242</v>
      </c>
      <c r="P32" s="16" t="s">
        <v>239</v>
      </c>
      <c r="Q32" s="16" t="s">
        <v>376</v>
      </c>
      <c r="R32" s="16" t="s">
        <v>243</v>
      </c>
      <c r="S32" s="16">
        <v>1</v>
      </c>
      <c r="T32" s="16"/>
      <c r="U32" s="16"/>
      <c r="V32" s="16"/>
      <c r="W32" s="34" t="s">
        <v>244</v>
      </c>
      <c r="X32" s="16" t="s">
        <v>250</v>
      </c>
      <c r="Y32" s="14">
        <v>2</v>
      </c>
      <c r="Z32" s="14" t="s">
        <v>357</v>
      </c>
      <c r="AA32" s="16" t="s">
        <v>373</v>
      </c>
      <c r="AB32" s="39" t="b">
        <v>0</v>
      </c>
    </row>
    <row r="33" spans="1:28">
      <c r="A33" s="33" t="s">
        <v>311</v>
      </c>
      <c r="B33" s="33" t="s">
        <v>247</v>
      </c>
      <c r="C33" s="33" t="str">
        <f t="shared" si="0"/>
        <v>SCN_032_H</v>
      </c>
      <c r="D33" s="33" t="str">
        <f t="shared" si="1"/>
        <v>SCN_032_R</v>
      </c>
      <c r="E33" s="33" t="str">
        <f t="shared" si="2"/>
        <v>SCN_032_S</v>
      </c>
      <c r="F33" s="33">
        <v>2</v>
      </c>
      <c r="G33" s="33">
        <v>1</v>
      </c>
      <c r="H33" s="33">
        <v>1</v>
      </c>
      <c r="I33" s="33" t="s">
        <v>248</v>
      </c>
      <c r="J33" s="33" t="s">
        <v>310</v>
      </c>
      <c r="K33" s="14" t="s">
        <v>94</v>
      </c>
      <c r="L33" s="16" t="s">
        <v>249</v>
      </c>
      <c r="M33" s="16" t="s">
        <v>240</v>
      </c>
      <c r="N33" s="16" t="s">
        <v>378</v>
      </c>
      <c r="O33" s="16" t="s">
        <v>243</v>
      </c>
      <c r="P33" s="16">
        <v>2</v>
      </c>
      <c r="Q33" s="16" t="s">
        <v>241</v>
      </c>
      <c r="R33" s="16" t="s">
        <v>242</v>
      </c>
      <c r="S33" s="16" t="s">
        <v>249</v>
      </c>
      <c r="T33" s="16"/>
      <c r="U33" s="16"/>
      <c r="V33" s="16"/>
      <c r="W33" s="34" t="s">
        <v>244</v>
      </c>
      <c r="X33" s="16" t="s">
        <v>245</v>
      </c>
      <c r="Y33" s="14">
        <v>4</v>
      </c>
      <c r="Z33" s="14" t="s">
        <v>250</v>
      </c>
      <c r="AA33" s="16" t="s">
        <v>374</v>
      </c>
      <c r="AB33" s="39" t="b">
        <v>0</v>
      </c>
    </row>
    <row r="34" spans="1:28">
      <c r="A34" s="35" t="s">
        <v>312</v>
      </c>
      <c r="B34" s="35" t="s">
        <v>252</v>
      </c>
      <c r="C34" s="35" t="str">
        <f t="shared" si="0"/>
        <v>SCN_033_H</v>
      </c>
      <c r="D34" s="35" t="str">
        <f t="shared" si="1"/>
        <v>SCN_033_R</v>
      </c>
      <c r="E34" s="35" t="str">
        <f t="shared" si="2"/>
        <v>SCN_033_S</v>
      </c>
      <c r="F34" s="35">
        <v>3</v>
      </c>
      <c r="G34" s="35">
        <v>2</v>
      </c>
      <c r="H34" s="35">
        <v>1</v>
      </c>
      <c r="I34" s="35" t="s">
        <v>248</v>
      </c>
      <c r="J34" s="35" t="s">
        <v>310</v>
      </c>
      <c r="K34" s="14" t="s">
        <v>94</v>
      </c>
      <c r="L34" s="36" t="s">
        <v>240</v>
      </c>
      <c r="M34" s="36" t="s">
        <v>249</v>
      </c>
      <c r="N34" s="16" t="s">
        <v>377</v>
      </c>
      <c r="O34" s="16" t="s">
        <v>243</v>
      </c>
      <c r="P34" s="16">
        <v>2</v>
      </c>
      <c r="Q34" s="16" t="s">
        <v>376</v>
      </c>
      <c r="R34" s="16" t="s">
        <v>243</v>
      </c>
      <c r="S34" s="16">
        <v>1</v>
      </c>
      <c r="T34" s="36"/>
      <c r="U34" s="36"/>
      <c r="V34" s="36"/>
      <c r="W34" s="37" t="s">
        <v>244</v>
      </c>
      <c r="X34" s="16" t="s">
        <v>357</v>
      </c>
      <c r="Y34" s="14">
        <v>1</v>
      </c>
      <c r="Z34" s="14" t="s">
        <v>245</v>
      </c>
      <c r="AA34" s="16" t="s">
        <v>375</v>
      </c>
      <c r="AB34" s="40" t="b">
        <v>0</v>
      </c>
    </row>
    <row r="35" spans="1:28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</row>
    <row r="36" spans="1:28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</row>
  </sheetData>
  <phoneticPr fontId="11" type="noConversion"/>
  <conditionalFormatting sqref="K7">
    <cfRule type="containsText" dxfId="68" priority="9" operator="containsText" text="מפת חום ← עמודות נערמות ← רדאר">
      <formula>NOT(ISERROR(SEARCH("מפת חום ← עמודות נערמות ← רדאר",K7)))</formula>
    </cfRule>
    <cfRule type="containsText" dxfId="67" priority="10" operator="containsText" text="רדאר ← מפת חום ← עמודות נערמות">
      <formula>NOT(ISERROR(SEARCH("רדאר ← מפת חום ← עמודות נערמות",K7)))</formula>
    </cfRule>
    <cfRule type="containsText" dxfId="66" priority="11" operator="containsText" text="עמודות נערמות ← רדאר ← מפת חום">
      <formula>NOT(ISERROR(SEARCH("עמודות נערמות ← רדאר ← מפת חום",K7)))</formula>
    </cfRule>
  </conditionalFormatting>
  <conditionalFormatting sqref="K2:K34">
    <cfRule type="containsText" dxfId="65" priority="7" operator="containsText" text="E">
      <formula>NOT(ISERROR(SEARCH("E",K2)))</formula>
    </cfRule>
    <cfRule type="containsText" dxfId="64" priority="8" operator="containsText" text="H">
      <formula>NOT(ISERROR(SEARCH("H",K2)))</formula>
    </cfRule>
  </conditionalFormatting>
  <conditionalFormatting sqref="I2:I34">
    <cfRule type="containsText" dxfId="63" priority="5" operator="containsText" text="LTR">
      <formula>NOT(ISERROR(SEARCH("LTR",I2)))</formula>
    </cfRule>
    <cfRule type="containsText" dxfId="62" priority="6" operator="containsText" text="RTL">
      <formula>NOT(ISERROR(SEARCH("RTL",I2)))</formula>
    </cfRule>
  </conditionalFormatting>
  <conditionalFormatting sqref="N2:S34">
    <cfRule type="containsText" dxfId="61" priority="4" operator="containsText" text="מה היה המסלול בעל זמן הנסיעה הכולל הקצר מביניהם בתרחיש?">
      <formula>NOT(ISERROR(SEARCH("מה היה המסלול בעל זמן הנסיעה הכולל הקצר מביניהם בתרחיש?",N2)))</formula>
    </cfRule>
    <cfRule type="containsText" dxfId="60" priority="3" operator="containsText" text="כמה אזורי תקשורת (עיגולים סגולים) הוצגו על המפה?">
      <formula>NOT(ISERROR(SEARCH("כמה אזורי תקשורת (עיגולים סגולים) הוצגו על המפה?",N2)))</formula>
    </cfRule>
  </conditionalFormatting>
  <conditionalFormatting sqref="N2:R34">
    <cfRule type="containsText" dxfId="59" priority="2" operator="containsText" text="כמה קטעי עומס (קטע = קו אדום מקווקוו בודד) הוצגו על המפה?">
      <formula>NOT(ISERROR(SEARCH("כמה קטעי עומס (קטע = קו אדום מקווקוו בודד) הוצגו על המפה?",N2)))</formula>
    </cfRule>
  </conditionalFormatting>
  <conditionalFormatting sqref="N2:Q34">
    <cfRule type="containsText" dxfId="58" priority="1" operator="containsText" text="כמה קטעי כביש אגרה (קטע = סימון צהוב בודד על כביש) הוצגו על המפה?">
      <formula>NOT(ISERROR(SEARCH("כמה קטעי כביש אגרה (קטע = סימון צהוב בודד על כביש) הוצגו על המפה?",N2)))</formula>
    </cfRule>
  </conditionalFormatting>
  <dataValidations disablePrompts="1" count="1">
    <dataValidation type="list" allowBlank="1" showInputMessage="1" showErrorMessage="1" sqref="I2:I34" xr:uid="{00000000-0002-0000-0100-000000000000}">
      <formula1>"RTL,LTR"</formula1>
    </dataValidation>
  </dataValidations>
  <pageMargins left="0.7" right="0.7" top="0.75" bottom="0.75" header="0.3" footer="0.3"/>
  <pageSetup paperSize="9" orientation="portrait" horizontalDpi="4294967293" verticalDpi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rightToLeft="1" workbookViewId="0"/>
  </sheetViews>
  <sheetFormatPr defaultRowHeight="15"/>
  <cols>
    <col min="1" max="1" width="16" customWidth="1"/>
    <col min="2" max="2" width="10" customWidth="1"/>
    <col min="3" max="3" width="33" customWidth="1"/>
    <col min="4" max="6" width="20" customWidth="1"/>
    <col min="7" max="7" width="12" customWidth="1"/>
    <col min="8" max="8" width="10" customWidth="1"/>
    <col min="9" max="9" width="11" customWidth="1"/>
  </cols>
  <sheetData>
    <row r="1" spans="1:9" ht="14.45" customHeight="1">
      <c r="A1" s="2" t="s">
        <v>0</v>
      </c>
      <c r="B1" s="2" t="s">
        <v>313</v>
      </c>
      <c r="C1" s="2" t="s">
        <v>314</v>
      </c>
      <c r="D1" s="2" t="s">
        <v>315</v>
      </c>
      <c r="E1" s="2" t="s">
        <v>316</v>
      </c>
      <c r="F1" s="2" t="s">
        <v>317</v>
      </c>
      <c r="G1" s="2" t="s">
        <v>318</v>
      </c>
      <c r="H1" s="2" t="s">
        <v>319</v>
      </c>
      <c r="I1" s="2" t="s">
        <v>320</v>
      </c>
    </row>
    <row r="2" spans="1:9" ht="28.5">
      <c r="A2" s="3" t="s">
        <v>84</v>
      </c>
      <c r="B2" s="4" t="s">
        <v>321</v>
      </c>
      <c r="C2" s="5" t="s">
        <v>322</v>
      </c>
      <c r="D2" s="6" t="s">
        <v>323</v>
      </c>
      <c r="E2" s="7" t="s">
        <v>99</v>
      </c>
      <c r="F2" s="8" t="s">
        <v>105</v>
      </c>
      <c r="G2" s="3">
        <v>1</v>
      </c>
      <c r="H2" s="3">
        <v>2</v>
      </c>
      <c r="I2" s="3">
        <v>3</v>
      </c>
    </row>
    <row r="3" spans="1:9" ht="28.5">
      <c r="A3" s="3" t="s">
        <v>124</v>
      </c>
      <c r="B3" s="4" t="s">
        <v>321</v>
      </c>
      <c r="C3" s="5" t="s">
        <v>324</v>
      </c>
      <c r="D3" s="7" t="s">
        <v>99</v>
      </c>
      <c r="E3" s="8" t="s">
        <v>105</v>
      </c>
      <c r="F3" s="6" t="s">
        <v>323</v>
      </c>
      <c r="G3" s="3">
        <v>1</v>
      </c>
      <c r="H3" s="3">
        <v>2</v>
      </c>
      <c r="I3" s="3">
        <v>3</v>
      </c>
    </row>
    <row r="4" spans="1:9" ht="28.5">
      <c r="A4" s="3" t="s">
        <v>127</v>
      </c>
      <c r="B4" s="4" t="s">
        <v>321</v>
      </c>
      <c r="C4" s="5" t="s">
        <v>325</v>
      </c>
      <c r="D4" s="8" t="s">
        <v>105</v>
      </c>
      <c r="E4" s="6" t="s">
        <v>323</v>
      </c>
      <c r="F4" s="7" t="s">
        <v>99</v>
      </c>
      <c r="G4" s="3">
        <v>1</v>
      </c>
      <c r="H4" s="3">
        <v>2</v>
      </c>
      <c r="I4" s="3">
        <v>3</v>
      </c>
    </row>
    <row r="5" spans="1:9" ht="28.5">
      <c r="A5" s="3" t="s">
        <v>128</v>
      </c>
      <c r="B5" s="4" t="s">
        <v>321</v>
      </c>
      <c r="C5" s="5" t="s">
        <v>322</v>
      </c>
      <c r="D5" s="6" t="s">
        <v>323</v>
      </c>
      <c r="E5" s="7" t="s">
        <v>99</v>
      </c>
      <c r="F5" s="8" t="s">
        <v>105</v>
      </c>
      <c r="G5" s="3">
        <v>1</v>
      </c>
      <c r="H5" s="3">
        <v>2</v>
      </c>
      <c r="I5" s="3">
        <v>3</v>
      </c>
    </row>
    <row r="6" spans="1:9" ht="28.5">
      <c r="A6" s="3" t="s">
        <v>129</v>
      </c>
      <c r="B6" s="4" t="s">
        <v>321</v>
      </c>
      <c r="C6" s="5" t="s">
        <v>324</v>
      </c>
      <c r="D6" s="7" t="s">
        <v>99</v>
      </c>
      <c r="E6" s="8" t="s">
        <v>105</v>
      </c>
      <c r="F6" s="6" t="s">
        <v>323</v>
      </c>
      <c r="G6" s="3">
        <v>1</v>
      </c>
      <c r="H6" s="3">
        <v>2</v>
      </c>
      <c r="I6" s="3">
        <v>3</v>
      </c>
    </row>
    <row r="7" spans="1:9" ht="28.5">
      <c r="A7" s="3" t="s">
        <v>130</v>
      </c>
      <c r="B7" s="4" t="s">
        <v>321</v>
      </c>
      <c r="C7" s="5" t="s">
        <v>325</v>
      </c>
      <c r="D7" s="8" t="s">
        <v>105</v>
      </c>
      <c r="E7" s="6" t="s">
        <v>323</v>
      </c>
      <c r="F7" s="7" t="s">
        <v>99</v>
      </c>
      <c r="G7" s="3">
        <v>1</v>
      </c>
      <c r="H7" s="3">
        <v>2</v>
      </c>
      <c r="I7" s="3">
        <v>3</v>
      </c>
    </row>
    <row r="8" spans="1:9" ht="28.5">
      <c r="A8" s="3" t="s">
        <v>131</v>
      </c>
      <c r="B8" s="4" t="s">
        <v>321</v>
      </c>
      <c r="C8" s="5" t="s">
        <v>322</v>
      </c>
      <c r="D8" s="6" t="s">
        <v>323</v>
      </c>
      <c r="E8" s="7" t="s">
        <v>99</v>
      </c>
      <c r="F8" s="8" t="s">
        <v>105</v>
      </c>
      <c r="G8" s="3">
        <v>1</v>
      </c>
      <c r="H8" s="3">
        <v>2</v>
      </c>
      <c r="I8" s="3">
        <v>3</v>
      </c>
    </row>
    <row r="9" spans="1:9" ht="28.5">
      <c r="A9" s="3" t="s">
        <v>132</v>
      </c>
      <c r="B9" s="4" t="s">
        <v>321</v>
      </c>
      <c r="C9" s="5" t="s">
        <v>324</v>
      </c>
      <c r="D9" s="7" t="s">
        <v>99</v>
      </c>
      <c r="E9" s="8" t="s">
        <v>105</v>
      </c>
      <c r="F9" s="6" t="s">
        <v>323</v>
      </c>
      <c r="G9" s="3">
        <v>1</v>
      </c>
      <c r="H9" s="3">
        <v>2</v>
      </c>
      <c r="I9" s="3">
        <v>3</v>
      </c>
    </row>
    <row r="10" spans="1:9" ht="28.5">
      <c r="A10" s="3" t="s">
        <v>133</v>
      </c>
      <c r="B10" s="4" t="s">
        <v>321</v>
      </c>
      <c r="C10" s="5" t="s">
        <v>325</v>
      </c>
      <c r="D10" s="8" t="s">
        <v>105</v>
      </c>
      <c r="E10" s="6" t="s">
        <v>323</v>
      </c>
      <c r="F10" s="7" t="s">
        <v>99</v>
      </c>
      <c r="G10" s="3">
        <v>1</v>
      </c>
      <c r="H10" s="3">
        <v>2</v>
      </c>
      <c r="I10" s="3">
        <v>3</v>
      </c>
    </row>
    <row r="11" spans="1:9" ht="28.5">
      <c r="A11" s="3" t="s">
        <v>134</v>
      </c>
      <c r="B11" s="4" t="s">
        <v>321</v>
      </c>
      <c r="C11" s="5" t="s">
        <v>322</v>
      </c>
      <c r="D11" s="6" t="s">
        <v>323</v>
      </c>
      <c r="E11" s="7" t="s">
        <v>99</v>
      </c>
      <c r="F11" s="8" t="s">
        <v>105</v>
      </c>
      <c r="G11" s="3">
        <v>1</v>
      </c>
      <c r="H11" s="3">
        <v>2</v>
      </c>
      <c r="I11" s="3">
        <v>3</v>
      </c>
    </row>
    <row r="12" spans="1:9" ht="28.5">
      <c r="A12" s="3" t="s">
        <v>135</v>
      </c>
      <c r="B12" s="9" t="s">
        <v>326</v>
      </c>
      <c r="C12" s="5" t="s">
        <v>324</v>
      </c>
      <c r="D12" s="7" t="s">
        <v>99</v>
      </c>
      <c r="E12" s="8" t="s">
        <v>105</v>
      </c>
      <c r="F12" s="6" t="s">
        <v>323</v>
      </c>
      <c r="G12" s="3">
        <v>2</v>
      </c>
      <c r="H12" s="3">
        <v>3</v>
      </c>
      <c r="I12" s="3">
        <v>1</v>
      </c>
    </row>
    <row r="13" spans="1:9" ht="28.5">
      <c r="A13" s="3" t="s">
        <v>163</v>
      </c>
      <c r="B13" s="9" t="s">
        <v>326</v>
      </c>
      <c r="C13" s="5" t="s">
        <v>325</v>
      </c>
      <c r="D13" s="8" t="s">
        <v>105</v>
      </c>
      <c r="E13" s="6" t="s">
        <v>323</v>
      </c>
      <c r="F13" s="7" t="s">
        <v>99</v>
      </c>
      <c r="G13" s="3">
        <v>2</v>
      </c>
      <c r="H13" s="3">
        <v>3</v>
      </c>
      <c r="I13" s="3">
        <v>1</v>
      </c>
    </row>
    <row r="14" spans="1:9" ht="28.5">
      <c r="A14" s="3" t="s">
        <v>164</v>
      </c>
      <c r="B14" s="9" t="s">
        <v>326</v>
      </c>
      <c r="C14" s="5" t="s">
        <v>322</v>
      </c>
      <c r="D14" s="6" t="s">
        <v>323</v>
      </c>
      <c r="E14" s="7" t="s">
        <v>99</v>
      </c>
      <c r="F14" s="8" t="s">
        <v>105</v>
      </c>
      <c r="G14" s="3">
        <v>2</v>
      </c>
      <c r="H14" s="3">
        <v>3</v>
      </c>
      <c r="I14" s="3">
        <v>1</v>
      </c>
    </row>
    <row r="15" spans="1:9" ht="28.5">
      <c r="A15" s="3" t="s">
        <v>165</v>
      </c>
      <c r="B15" s="9" t="s">
        <v>326</v>
      </c>
      <c r="C15" s="5" t="s">
        <v>324</v>
      </c>
      <c r="D15" s="7" t="s">
        <v>99</v>
      </c>
      <c r="E15" s="8" t="s">
        <v>105</v>
      </c>
      <c r="F15" s="6" t="s">
        <v>323</v>
      </c>
      <c r="G15" s="3">
        <v>2</v>
      </c>
      <c r="H15" s="3">
        <v>3</v>
      </c>
      <c r="I15" s="3">
        <v>1</v>
      </c>
    </row>
    <row r="16" spans="1:9" ht="28.5">
      <c r="A16" s="3" t="s">
        <v>166</v>
      </c>
      <c r="B16" s="9" t="s">
        <v>326</v>
      </c>
      <c r="C16" s="5" t="s">
        <v>325</v>
      </c>
      <c r="D16" s="8" t="s">
        <v>105</v>
      </c>
      <c r="E16" s="6" t="s">
        <v>323</v>
      </c>
      <c r="F16" s="7" t="s">
        <v>99</v>
      </c>
      <c r="G16" s="3">
        <v>2</v>
      </c>
      <c r="H16" s="3">
        <v>3</v>
      </c>
      <c r="I16" s="3">
        <v>1</v>
      </c>
    </row>
    <row r="17" spans="1:9" ht="28.5">
      <c r="A17" s="3" t="s">
        <v>167</v>
      </c>
      <c r="B17" s="9" t="s">
        <v>326</v>
      </c>
      <c r="C17" s="5" t="s">
        <v>322</v>
      </c>
      <c r="D17" s="6" t="s">
        <v>323</v>
      </c>
      <c r="E17" s="7" t="s">
        <v>99</v>
      </c>
      <c r="F17" s="8" t="s">
        <v>105</v>
      </c>
      <c r="G17" s="3">
        <v>2</v>
      </c>
      <c r="H17" s="3">
        <v>3</v>
      </c>
      <c r="I17" s="3">
        <v>1</v>
      </c>
    </row>
    <row r="18" spans="1:9" ht="28.5">
      <c r="A18" s="3" t="s">
        <v>168</v>
      </c>
      <c r="B18" s="9" t="s">
        <v>326</v>
      </c>
      <c r="C18" s="5" t="s">
        <v>324</v>
      </c>
      <c r="D18" s="7" t="s">
        <v>99</v>
      </c>
      <c r="E18" s="8" t="s">
        <v>105</v>
      </c>
      <c r="F18" s="6" t="s">
        <v>323</v>
      </c>
      <c r="G18" s="3">
        <v>2</v>
      </c>
      <c r="H18" s="3">
        <v>3</v>
      </c>
      <c r="I18" s="3">
        <v>1</v>
      </c>
    </row>
    <row r="19" spans="1:9" ht="28.5">
      <c r="A19" s="3" t="s">
        <v>169</v>
      </c>
      <c r="B19" s="9" t="s">
        <v>326</v>
      </c>
      <c r="C19" s="5" t="s">
        <v>325</v>
      </c>
      <c r="D19" s="8" t="s">
        <v>105</v>
      </c>
      <c r="E19" s="6" t="s">
        <v>323</v>
      </c>
      <c r="F19" s="7" t="s">
        <v>99</v>
      </c>
      <c r="G19" s="3">
        <v>2</v>
      </c>
      <c r="H19" s="3">
        <v>3</v>
      </c>
      <c r="I19" s="3">
        <v>1</v>
      </c>
    </row>
    <row r="20" spans="1:9" ht="28.5">
      <c r="A20" s="3" t="s">
        <v>170</v>
      </c>
      <c r="B20" s="9" t="s">
        <v>326</v>
      </c>
      <c r="C20" s="5" t="s">
        <v>322</v>
      </c>
      <c r="D20" s="6" t="s">
        <v>323</v>
      </c>
      <c r="E20" s="7" t="s">
        <v>99</v>
      </c>
      <c r="F20" s="8" t="s">
        <v>105</v>
      </c>
      <c r="G20" s="3">
        <v>2</v>
      </c>
      <c r="H20" s="3">
        <v>3</v>
      </c>
      <c r="I20" s="3">
        <v>1</v>
      </c>
    </row>
    <row r="21" spans="1:9" ht="28.5">
      <c r="A21" s="3" t="s">
        <v>171</v>
      </c>
      <c r="B21" s="9" t="s">
        <v>326</v>
      </c>
      <c r="C21" s="5" t="s">
        <v>324</v>
      </c>
      <c r="D21" s="7" t="s">
        <v>99</v>
      </c>
      <c r="E21" s="8" t="s">
        <v>105</v>
      </c>
      <c r="F21" s="6" t="s">
        <v>323</v>
      </c>
      <c r="G21" s="3">
        <v>2</v>
      </c>
      <c r="H21" s="3">
        <v>3</v>
      </c>
      <c r="I21" s="3">
        <v>1</v>
      </c>
    </row>
    <row r="22" spans="1:9" ht="28.5">
      <c r="A22" s="3" t="s">
        <v>172</v>
      </c>
      <c r="B22" s="10" t="s">
        <v>327</v>
      </c>
      <c r="C22" s="5" t="s">
        <v>325</v>
      </c>
      <c r="D22" s="8" t="s">
        <v>105</v>
      </c>
      <c r="E22" s="6" t="s">
        <v>323</v>
      </c>
      <c r="F22" s="7" t="s">
        <v>99</v>
      </c>
      <c r="G22" s="3">
        <v>3</v>
      </c>
      <c r="H22" s="3">
        <v>1</v>
      </c>
      <c r="I22" s="3">
        <v>2</v>
      </c>
    </row>
    <row r="23" spans="1:9" ht="28.5">
      <c r="A23" s="3" t="s">
        <v>200</v>
      </c>
      <c r="B23" s="10" t="s">
        <v>327</v>
      </c>
      <c r="C23" s="5" t="s">
        <v>322</v>
      </c>
      <c r="D23" s="6" t="s">
        <v>323</v>
      </c>
      <c r="E23" s="7" t="s">
        <v>99</v>
      </c>
      <c r="F23" s="8" t="s">
        <v>105</v>
      </c>
      <c r="G23" s="3">
        <v>3</v>
      </c>
      <c r="H23" s="3">
        <v>1</v>
      </c>
      <c r="I23" s="3">
        <v>2</v>
      </c>
    </row>
    <row r="24" spans="1:9" ht="28.5">
      <c r="A24" s="3" t="s">
        <v>201</v>
      </c>
      <c r="B24" s="10" t="s">
        <v>327</v>
      </c>
      <c r="C24" s="5" t="s">
        <v>324</v>
      </c>
      <c r="D24" s="7" t="s">
        <v>99</v>
      </c>
      <c r="E24" s="8" t="s">
        <v>105</v>
      </c>
      <c r="F24" s="6" t="s">
        <v>323</v>
      </c>
      <c r="G24" s="3">
        <v>3</v>
      </c>
      <c r="H24" s="3">
        <v>1</v>
      </c>
      <c r="I24" s="3">
        <v>2</v>
      </c>
    </row>
    <row r="25" spans="1:9" ht="28.5">
      <c r="A25" s="3" t="s">
        <v>202</v>
      </c>
      <c r="B25" s="10" t="s">
        <v>327</v>
      </c>
      <c r="C25" s="5" t="s">
        <v>325</v>
      </c>
      <c r="D25" s="8" t="s">
        <v>105</v>
      </c>
      <c r="E25" s="6" t="s">
        <v>323</v>
      </c>
      <c r="F25" s="7" t="s">
        <v>99</v>
      </c>
      <c r="G25" s="3">
        <v>3</v>
      </c>
      <c r="H25" s="3">
        <v>1</v>
      </c>
      <c r="I25" s="3">
        <v>2</v>
      </c>
    </row>
    <row r="26" spans="1:9" ht="28.5">
      <c r="A26" s="3" t="s">
        <v>203</v>
      </c>
      <c r="B26" s="10" t="s">
        <v>327</v>
      </c>
      <c r="C26" s="5" t="s">
        <v>322</v>
      </c>
      <c r="D26" s="6" t="s">
        <v>323</v>
      </c>
      <c r="E26" s="7" t="s">
        <v>99</v>
      </c>
      <c r="F26" s="8" t="s">
        <v>105</v>
      </c>
      <c r="G26" s="3">
        <v>3</v>
      </c>
      <c r="H26" s="3">
        <v>1</v>
      </c>
      <c r="I26" s="3">
        <v>2</v>
      </c>
    </row>
    <row r="27" spans="1:9" ht="28.5">
      <c r="A27" s="3" t="s">
        <v>204</v>
      </c>
      <c r="B27" s="10" t="s">
        <v>327</v>
      </c>
      <c r="C27" s="5" t="s">
        <v>324</v>
      </c>
      <c r="D27" s="7" t="s">
        <v>99</v>
      </c>
      <c r="E27" s="8" t="s">
        <v>105</v>
      </c>
      <c r="F27" s="6" t="s">
        <v>323</v>
      </c>
      <c r="G27" s="3">
        <v>3</v>
      </c>
      <c r="H27" s="3">
        <v>1</v>
      </c>
      <c r="I27" s="3">
        <v>2</v>
      </c>
    </row>
    <row r="28" spans="1:9" ht="28.5">
      <c r="A28" s="3" t="s">
        <v>205</v>
      </c>
      <c r="B28" s="10" t="s">
        <v>327</v>
      </c>
      <c r="C28" s="5" t="s">
        <v>325</v>
      </c>
      <c r="D28" s="8" t="s">
        <v>105</v>
      </c>
      <c r="E28" s="6" t="s">
        <v>323</v>
      </c>
      <c r="F28" s="7" t="s">
        <v>99</v>
      </c>
      <c r="G28" s="3">
        <v>3</v>
      </c>
      <c r="H28" s="3">
        <v>1</v>
      </c>
      <c r="I28" s="3">
        <v>2</v>
      </c>
    </row>
    <row r="29" spans="1:9" ht="28.5">
      <c r="A29" s="3" t="s">
        <v>206</v>
      </c>
      <c r="B29" s="10" t="s">
        <v>327</v>
      </c>
      <c r="C29" s="5" t="s">
        <v>322</v>
      </c>
      <c r="D29" s="6" t="s">
        <v>323</v>
      </c>
      <c r="E29" s="7" t="s">
        <v>99</v>
      </c>
      <c r="F29" s="8" t="s">
        <v>105</v>
      </c>
      <c r="G29" s="3">
        <v>3</v>
      </c>
      <c r="H29" s="3">
        <v>1</v>
      </c>
      <c r="I29" s="3">
        <v>2</v>
      </c>
    </row>
    <row r="30" spans="1:9" ht="28.5">
      <c r="A30" s="3" t="s">
        <v>207</v>
      </c>
      <c r="B30" s="10" t="s">
        <v>327</v>
      </c>
      <c r="C30" s="5" t="s">
        <v>324</v>
      </c>
      <c r="D30" s="7" t="s">
        <v>99</v>
      </c>
      <c r="E30" s="8" t="s">
        <v>105</v>
      </c>
      <c r="F30" s="6" t="s">
        <v>323</v>
      </c>
      <c r="G30" s="3">
        <v>3</v>
      </c>
      <c r="H30" s="3">
        <v>1</v>
      </c>
      <c r="I30" s="3">
        <v>2</v>
      </c>
    </row>
    <row r="31" spans="1:9" ht="28.5">
      <c r="A31" s="3" t="s">
        <v>208</v>
      </c>
      <c r="B31" s="10" t="s">
        <v>327</v>
      </c>
      <c r="C31" s="5" t="s">
        <v>325</v>
      </c>
      <c r="D31" s="8" t="s">
        <v>105</v>
      </c>
      <c r="E31" s="6" t="s">
        <v>323</v>
      </c>
      <c r="F31" s="7" t="s">
        <v>99</v>
      </c>
      <c r="G31" s="3">
        <v>3</v>
      </c>
      <c r="H31" s="3">
        <v>1</v>
      </c>
      <c r="I31" s="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91"/>
  <sheetViews>
    <sheetView showGridLines="0" rightToLeft="1" tabSelected="1" zoomScale="130" zoomScaleNormal="130" workbookViewId="0">
      <pane ySplit="1" topLeftCell="A454" activePane="bottomLeft" state="frozen"/>
      <selection pane="bottomLeft" activeCell="B7" sqref="B7"/>
    </sheetView>
  </sheetViews>
  <sheetFormatPr defaultRowHeight="15"/>
  <cols>
    <col min="1" max="1" width="11.28515625" style="31" customWidth="1"/>
    <col min="2" max="2" width="8" style="31" customWidth="1"/>
    <col min="3" max="4" width="10" style="31" customWidth="1"/>
    <col min="5" max="5" width="16" style="31" customWidth="1"/>
    <col min="6" max="7" width="10" style="31" customWidth="1"/>
    <col min="8" max="8" width="14" style="31" customWidth="1"/>
    <col min="9" max="10" width="10" style="31" customWidth="1"/>
    <col min="11" max="11" width="18" style="31" customWidth="1"/>
    <col min="12" max="12" width="22" style="31" customWidth="1"/>
    <col min="13" max="13" width="9.140625" style="31" customWidth="1"/>
    <col min="14" max="16384" width="9.140625" style="31"/>
  </cols>
  <sheetData>
    <row r="1" spans="1:12" ht="30">
      <c r="A1" s="32" t="s">
        <v>0</v>
      </c>
      <c r="B1" s="32" t="s">
        <v>328</v>
      </c>
      <c r="C1" s="32" t="s">
        <v>329</v>
      </c>
      <c r="D1" s="32" t="s">
        <v>330</v>
      </c>
      <c r="E1" s="32" t="s">
        <v>331</v>
      </c>
      <c r="F1" s="32" t="s">
        <v>332</v>
      </c>
      <c r="G1" s="32" t="s">
        <v>333</v>
      </c>
      <c r="H1" s="32" t="s">
        <v>334</v>
      </c>
      <c r="I1" s="32" t="s">
        <v>335</v>
      </c>
      <c r="J1" s="32" t="s">
        <v>336</v>
      </c>
      <c r="K1" s="32" t="s">
        <v>337</v>
      </c>
      <c r="L1" s="32" t="s">
        <v>338</v>
      </c>
    </row>
    <row r="2" spans="1:12">
      <c r="A2" s="29" t="s">
        <v>84</v>
      </c>
      <c r="B2" s="29">
        <v>1</v>
      </c>
      <c r="C2" s="29" t="s">
        <v>339</v>
      </c>
      <c r="D2" s="29"/>
      <c r="E2" s="29" t="s">
        <v>92</v>
      </c>
      <c r="F2" s="29"/>
      <c r="G2" s="29"/>
      <c r="H2" s="30" t="s">
        <v>351</v>
      </c>
      <c r="I2" s="29" t="s">
        <v>89</v>
      </c>
      <c r="J2" s="29" t="s">
        <v>340</v>
      </c>
      <c r="K2" s="29" t="str">
        <f>VLOOKUP(LEFT(H2, 7), 'קטלוג תרחישים'!$A:$L, 12, FALSE)</f>
        <v>א׳</v>
      </c>
      <c r="L2" s="29" t="str">
        <f>IF(J2="כן", K2, VLOOKUP(LEFT(H2, 7), 'קטלוג תרחישים'!$A:$M, 13, FALSE))</f>
        <v>א׳</v>
      </c>
    </row>
    <row r="3" spans="1:12">
      <c r="A3" s="29" t="s">
        <v>84</v>
      </c>
      <c r="B3" s="29">
        <v>2</v>
      </c>
      <c r="C3" s="29" t="s">
        <v>339</v>
      </c>
      <c r="D3" s="29"/>
      <c r="E3" s="29" t="s">
        <v>92</v>
      </c>
      <c r="F3" s="29"/>
      <c r="G3" s="29"/>
      <c r="H3" s="30" t="s">
        <v>88</v>
      </c>
      <c r="I3" s="29" t="s">
        <v>89</v>
      </c>
      <c r="J3" s="29" t="s">
        <v>340</v>
      </c>
      <c r="K3" s="29" t="str">
        <f>VLOOKUP(LEFT(H3, 7), 'קטלוג תרחישים'!$A:$L, 12, FALSE)</f>
        <v>א׳</v>
      </c>
      <c r="L3" s="29" t="str">
        <f>IF(J3="כן", K3, VLOOKUP(LEFT(H3, 7), 'קטלוג תרחישים'!$A:$M, 13, FALSE))</f>
        <v>א׳</v>
      </c>
    </row>
    <row r="4" spans="1:12">
      <c r="A4" s="29" t="s">
        <v>84</v>
      </c>
      <c r="B4" s="29">
        <v>3</v>
      </c>
      <c r="C4" s="29" t="s">
        <v>339</v>
      </c>
      <c r="D4" s="29"/>
      <c r="E4" s="29" t="s">
        <v>99</v>
      </c>
      <c r="F4" s="29"/>
      <c r="G4" s="29"/>
      <c r="H4" s="30" t="s">
        <v>352</v>
      </c>
      <c r="I4" s="29" t="s">
        <v>89</v>
      </c>
      <c r="J4" s="29" t="s">
        <v>340</v>
      </c>
      <c r="K4" s="29" t="str">
        <f>VLOOKUP(LEFT(H4, 7), 'קטלוג תרחישים'!$A:$L, 12, FALSE)</f>
        <v>ב׳</v>
      </c>
      <c r="L4" s="29" t="str">
        <f>IF(J4="כן", K4, VLOOKUP(LEFT(H4, 7), 'קטלוג תרחישים'!$A:$M, 13, FALSE))</f>
        <v>ב׳</v>
      </c>
    </row>
    <row r="5" spans="1:12">
      <c r="A5" s="29" t="s">
        <v>84</v>
      </c>
      <c r="B5" s="29">
        <v>4</v>
      </c>
      <c r="C5" s="29" t="s">
        <v>339</v>
      </c>
      <c r="D5" s="29"/>
      <c r="E5" s="29" t="s">
        <v>99</v>
      </c>
      <c r="F5" s="29"/>
      <c r="G5" s="29"/>
      <c r="H5" s="30" t="s">
        <v>353</v>
      </c>
      <c r="I5" s="29" t="s">
        <v>89</v>
      </c>
      <c r="J5" s="29" t="s">
        <v>340</v>
      </c>
      <c r="K5" s="29" t="str">
        <f>VLOOKUP(LEFT(H5, 7), 'קטלוג תרחישים'!$A:$L, 12, FALSE)</f>
        <v>ב׳</v>
      </c>
      <c r="L5" s="29" t="str">
        <f>IF(J5="כן", K5, VLOOKUP(LEFT(H5, 7), 'קטלוג תרחישים'!$A:$M, 13, FALSE))</f>
        <v>ב׳</v>
      </c>
    </row>
    <row r="6" spans="1:12">
      <c r="A6" s="29" t="s">
        <v>84</v>
      </c>
      <c r="B6" s="29">
        <v>5</v>
      </c>
      <c r="C6" s="29" t="s">
        <v>339</v>
      </c>
      <c r="D6" s="29"/>
      <c r="E6" s="29" t="s">
        <v>105</v>
      </c>
      <c r="F6" s="29"/>
      <c r="G6" s="29"/>
      <c r="H6" s="30" t="s">
        <v>354</v>
      </c>
      <c r="I6" s="29" t="s">
        <v>89</v>
      </c>
      <c r="J6" s="29" t="s">
        <v>340</v>
      </c>
      <c r="K6" s="29" t="str">
        <f>VLOOKUP(LEFT(H6, 7), 'קטלוג תרחישים'!$A:$L, 12, FALSE)</f>
        <v>ג׳</v>
      </c>
      <c r="L6" s="29" t="str">
        <f>IF(J6="כן", K6, VLOOKUP(LEFT(H6, 7), 'קטלוג תרחישים'!$A:$M, 13, FALSE))</f>
        <v>ג׳</v>
      </c>
    </row>
    <row r="7" spans="1:12">
      <c r="A7" s="29" t="s">
        <v>84</v>
      </c>
      <c r="B7" s="29">
        <v>6</v>
      </c>
      <c r="C7" s="29" t="s">
        <v>339</v>
      </c>
      <c r="D7" s="29"/>
      <c r="E7" s="29" t="s">
        <v>105</v>
      </c>
      <c r="F7" s="29"/>
      <c r="G7" s="29"/>
      <c r="H7" s="30" t="s">
        <v>90</v>
      </c>
      <c r="I7" s="29" t="s">
        <v>89</v>
      </c>
      <c r="J7" s="29" t="s">
        <v>340</v>
      </c>
      <c r="K7" s="29" t="str">
        <f>VLOOKUP(LEFT(H7, 7), 'קטלוג תרחישים'!$A:$L, 12, FALSE)</f>
        <v>ג׳</v>
      </c>
      <c r="L7" s="29" t="str">
        <f>IF(J7="כן", K7, VLOOKUP(LEFT(H7, 7), 'קטלוג תרחישים'!$A:$M, 13, FALSE))</f>
        <v>ג׳</v>
      </c>
    </row>
    <row r="8" spans="1:12">
      <c r="A8" s="29" t="s">
        <v>84</v>
      </c>
      <c r="B8" s="29">
        <v>7</v>
      </c>
      <c r="C8" s="29" t="s">
        <v>341</v>
      </c>
      <c r="D8" s="29">
        <v>1</v>
      </c>
      <c r="E8" s="29" t="s">
        <v>92</v>
      </c>
      <c r="F8" s="29" t="s">
        <v>342</v>
      </c>
      <c r="G8" s="29" t="s">
        <v>91</v>
      </c>
      <c r="H8" s="29" t="s">
        <v>93</v>
      </c>
      <c r="I8" s="29" t="s">
        <v>94</v>
      </c>
      <c r="J8" s="29" t="s">
        <v>340</v>
      </c>
      <c r="K8" s="29" t="str">
        <f>VLOOKUP(LEFT(H8, 7), 'קטלוג תרחישים'!$A:$L, 12, FALSE)</f>
        <v>א׳</v>
      </c>
      <c r="L8" s="29" t="str">
        <f>IF(J8="כן", K8, VLOOKUP(LEFT(H8, 7), 'קטלוג תרחישים'!$A:$M, 13, FALSE))</f>
        <v>א׳</v>
      </c>
    </row>
    <row r="9" spans="1:12">
      <c r="A9" s="29" t="s">
        <v>84</v>
      </c>
      <c r="B9" s="29">
        <v>8</v>
      </c>
      <c r="C9" s="29" t="s">
        <v>341</v>
      </c>
      <c r="D9" s="29">
        <v>1</v>
      </c>
      <c r="E9" s="29" t="s">
        <v>92</v>
      </c>
      <c r="F9" s="29" t="s">
        <v>342</v>
      </c>
      <c r="G9" s="29" t="s">
        <v>91</v>
      </c>
      <c r="H9" s="29" t="s">
        <v>95</v>
      </c>
      <c r="I9" s="29" t="s">
        <v>89</v>
      </c>
      <c r="J9" s="29" t="s">
        <v>340</v>
      </c>
      <c r="K9" s="29" t="str">
        <f>VLOOKUP(LEFT(H9, 7), 'קטלוג תרחישים'!$A:$L, 12, FALSE)</f>
        <v>ג׳</v>
      </c>
      <c r="L9" s="29" t="str">
        <f>IF(J9="כן", K9, VLOOKUP(LEFT(H9, 7), 'קטלוג תרחישים'!$A:$M, 13, FALSE))</f>
        <v>ג׳</v>
      </c>
    </row>
    <row r="10" spans="1:12">
      <c r="A10" s="29" t="s">
        <v>84</v>
      </c>
      <c r="B10" s="29">
        <v>9</v>
      </c>
      <c r="C10" s="29" t="s">
        <v>341</v>
      </c>
      <c r="D10" s="29">
        <v>1</v>
      </c>
      <c r="E10" s="29" t="s">
        <v>92</v>
      </c>
      <c r="F10" s="29" t="s">
        <v>342</v>
      </c>
      <c r="G10" s="29" t="s">
        <v>91</v>
      </c>
      <c r="H10" s="29" t="s">
        <v>96</v>
      </c>
      <c r="I10" s="29" t="s">
        <v>94</v>
      </c>
      <c r="J10" s="29" t="s">
        <v>340</v>
      </c>
      <c r="K10" s="29" t="str">
        <f>VLOOKUP(LEFT(H10, 7), 'קטלוג תרחישים'!$A:$L, 12, FALSE)</f>
        <v>ב׳</v>
      </c>
      <c r="L10" s="29" t="str">
        <f>IF(J10="כן", K10, VLOOKUP(LEFT(H10, 7), 'קטלוג תרחישים'!$A:$M, 13, FALSE))</f>
        <v>ב׳</v>
      </c>
    </row>
    <row r="11" spans="1:12">
      <c r="A11" s="29" t="s">
        <v>84</v>
      </c>
      <c r="B11" s="29">
        <v>10</v>
      </c>
      <c r="C11" s="29" t="s">
        <v>341</v>
      </c>
      <c r="D11" s="29">
        <v>1</v>
      </c>
      <c r="E11" s="29" t="s">
        <v>92</v>
      </c>
      <c r="F11" s="29" t="s">
        <v>342</v>
      </c>
      <c r="G11" s="29" t="s">
        <v>91</v>
      </c>
      <c r="H11" s="29" t="s">
        <v>97</v>
      </c>
      <c r="I11" s="29" t="s">
        <v>89</v>
      </c>
      <c r="J11" s="29" t="s">
        <v>343</v>
      </c>
      <c r="K11" s="29" t="str">
        <f>VLOOKUP(LEFT(H11, 7), 'קטלוג תרחישים'!$A:$L, 12, FALSE)</f>
        <v>ג׳</v>
      </c>
      <c r="L11" s="29" t="str">
        <f>IF(J11="כן", K11, VLOOKUP(LEFT(H11, 7), 'קטלוג תרחישים'!$A:$M, 13, FALSE))</f>
        <v>ב׳</v>
      </c>
    </row>
    <row r="12" spans="1:12">
      <c r="A12" s="29" t="s">
        <v>84</v>
      </c>
      <c r="B12" s="29">
        <v>11</v>
      </c>
      <c r="C12" s="29" t="s">
        <v>341</v>
      </c>
      <c r="D12" s="29">
        <v>1</v>
      </c>
      <c r="E12" s="29" t="s">
        <v>92</v>
      </c>
      <c r="F12" s="29" t="s">
        <v>342</v>
      </c>
      <c r="G12" s="29" t="s">
        <v>91</v>
      </c>
      <c r="H12" s="29" t="s">
        <v>98</v>
      </c>
      <c r="I12" s="29" t="s">
        <v>94</v>
      </c>
      <c r="J12" s="29" t="s">
        <v>340</v>
      </c>
      <c r="K12" s="29" t="str">
        <f>VLOOKUP(LEFT(H12, 7), 'קטלוג תרחישים'!$A:$L, 12, FALSE)</f>
        <v>ג׳</v>
      </c>
      <c r="L12" s="29" t="str">
        <f>IF(J12="כן", K12, VLOOKUP(LEFT(H12, 7), 'קטלוג תרחישים'!$A:$M, 13, FALSE))</f>
        <v>ג׳</v>
      </c>
    </row>
    <row r="13" spans="1:12">
      <c r="A13" s="29" t="s">
        <v>84</v>
      </c>
      <c r="B13" s="29">
        <v>12</v>
      </c>
      <c r="C13" s="29" t="s">
        <v>341</v>
      </c>
      <c r="D13" s="29">
        <v>2</v>
      </c>
      <c r="E13" s="29" t="s">
        <v>99</v>
      </c>
      <c r="F13" s="29" t="s">
        <v>342</v>
      </c>
      <c r="G13" s="29" t="s">
        <v>91</v>
      </c>
      <c r="H13" s="29" t="s">
        <v>100</v>
      </c>
      <c r="I13" s="29" t="s">
        <v>89</v>
      </c>
      <c r="J13" s="29" t="s">
        <v>343</v>
      </c>
      <c r="K13" s="29" t="str">
        <f>VLOOKUP(LEFT(H13, 7), 'קטלוג תרחישים'!$A:$L, 12, FALSE)</f>
        <v>ב׳</v>
      </c>
      <c r="L13" s="29" t="str">
        <f>IF(J13="כן", K13, VLOOKUP(LEFT(H13, 7), 'קטלוג תרחישים'!$A:$M, 13, FALSE))</f>
        <v>ג׳</v>
      </c>
    </row>
    <row r="14" spans="1:12">
      <c r="A14" s="29" t="s">
        <v>84</v>
      </c>
      <c r="B14" s="29">
        <v>13</v>
      </c>
      <c r="C14" s="29" t="s">
        <v>341</v>
      </c>
      <c r="D14" s="29">
        <v>2</v>
      </c>
      <c r="E14" s="29" t="s">
        <v>99</v>
      </c>
      <c r="F14" s="29" t="s">
        <v>342</v>
      </c>
      <c r="G14" s="29" t="s">
        <v>91</v>
      </c>
      <c r="H14" s="29" t="s">
        <v>101</v>
      </c>
      <c r="I14" s="29" t="s">
        <v>94</v>
      </c>
      <c r="J14" s="29" t="s">
        <v>340</v>
      </c>
      <c r="K14" s="29" t="str">
        <f>VLOOKUP(LEFT(H14, 7), 'קטלוג תרחישים'!$A:$L, 12, FALSE)</f>
        <v>א׳</v>
      </c>
      <c r="L14" s="29" t="str">
        <f>IF(J14="כן", K14, VLOOKUP(LEFT(H14, 7), 'קטלוג תרחישים'!$A:$M, 13, FALSE))</f>
        <v>א׳</v>
      </c>
    </row>
    <row r="15" spans="1:12">
      <c r="A15" s="29" t="s">
        <v>84</v>
      </c>
      <c r="B15" s="29">
        <v>14</v>
      </c>
      <c r="C15" s="29" t="s">
        <v>341</v>
      </c>
      <c r="D15" s="29">
        <v>2</v>
      </c>
      <c r="E15" s="29" t="s">
        <v>99</v>
      </c>
      <c r="F15" s="29" t="s">
        <v>342</v>
      </c>
      <c r="G15" s="29" t="s">
        <v>91</v>
      </c>
      <c r="H15" s="29" t="s">
        <v>102</v>
      </c>
      <c r="I15" s="29" t="s">
        <v>89</v>
      </c>
      <c r="J15" s="29" t="s">
        <v>340</v>
      </c>
      <c r="K15" s="29" t="str">
        <f>VLOOKUP(LEFT(H15, 7), 'קטלוג תרחישים'!$A:$L, 12, FALSE)</f>
        <v>ב׳</v>
      </c>
      <c r="L15" s="29" t="str">
        <f>IF(J15="כן", K15, VLOOKUP(LEFT(H15, 7), 'קטלוג תרחישים'!$A:$M, 13, FALSE))</f>
        <v>ב׳</v>
      </c>
    </row>
    <row r="16" spans="1:12">
      <c r="A16" s="29" t="s">
        <v>84</v>
      </c>
      <c r="B16" s="29">
        <v>15</v>
      </c>
      <c r="C16" s="29" t="s">
        <v>341</v>
      </c>
      <c r="D16" s="29">
        <v>2</v>
      </c>
      <c r="E16" s="29" t="s">
        <v>99</v>
      </c>
      <c r="F16" s="29" t="s">
        <v>342</v>
      </c>
      <c r="G16" s="29" t="s">
        <v>91</v>
      </c>
      <c r="H16" s="29" t="s">
        <v>103</v>
      </c>
      <c r="I16" s="29" t="s">
        <v>94</v>
      </c>
      <c r="J16" s="29" t="s">
        <v>340</v>
      </c>
      <c r="K16" s="29" t="str">
        <f>VLOOKUP(LEFT(H16, 7), 'קטלוג תרחישים'!$A:$L, 12, FALSE)</f>
        <v>ג׳</v>
      </c>
      <c r="L16" s="29" t="str">
        <f>IF(J16="כן", K16, VLOOKUP(LEFT(H16, 7), 'קטלוג תרחישים'!$A:$M, 13, FALSE))</f>
        <v>ג׳</v>
      </c>
    </row>
    <row r="17" spans="1:12">
      <c r="A17" s="29" t="s">
        <v>84</v>
      </c>
      <c r="B17" s="29">
        <v>16</v>
      </c>
      <c r="C17" s="29" t="s">
        <v>341</v>
      </c>
      <c r="D17" s="29">
        <v>2</v>
      </c>
      <c r="E17" s="29" t="s">
        <v>99</v>
      </c>
      <c r="F17" s="29" t="s">
        <v>342</v>
      </c>
      <c r="G17" s="29" t="s">
        <v>91</v>
      </c>
      <c r="H17" s="29" t="s">
        <v>104</v>
      </c>
      <c r="I17" s="29" t="s">
        <v>89</v>
      </c>
      <c r="J17" s="29" t="s">
        <v>340</v>
      </c>
      <c r="K17" s="29" t="str">
        <f>VLOOKUP(LEFT(H17, 7), 'קטלוג תרחישים'!$A:$L, 12, FALSE)</f>
        <v>א׳</v>
      </c>
      <c r="L17" s="29" t="str">
        <f>IF(J17="כן", K17, VLOOKUP(LEFT(H17, 7), 'קטלוג תרחישים'!$A:$M, 13, FALSE))</f>
        <v>א׳</v>
      </c>
    </row>
    <row r="18" spans="1:12">
      <c r="A18" s="29" t="s">
        <v>84</v>
      </c>
      <c r="B18" s="29">
        <v>17</v>
      </c>
      <c r="C18" s="29" t="s">
        <v>341</v>
      </c>
      <c r="D18" s="29">
        <v>3</v>
      </c>
      <c r="E18" s="29" t="s">
        <v>105</v>
      </c>
      <c r="F18" s="29" t="s">
        <v>342</v>
      </c>
      <c r="G18" s="29" t="s">
        <v>91</v>
      </c>
      <c r="H18" s="29" t="s">
        <v>106</v>
      </c>
      <c r="I18" s="29" t="s">
        <v>89</v>
      </c>
      <c r="J18" s="29" t="s">
        <v>340</v>
      </c>
      <c r="K18" s="29" t="str">
        <f>VLOOKUP(LEFT(H18, 7), 'קטלוג תרחישים'!$A:$L, 12, FALSE)</f>
        <v>א׳</v>
      </c>
      <c r="L18" s="29" t="str">
        <f>IF(J18="כן", K18, VLOOKUP(LEFT(H18, 7), 'קטלוג תרחישים'!$A:$M, 13, FALSE))</f>
        <v>א׳</v>
      </c>
    </row>
    <row r="19" spans="1:12">
      <c r="A19" s="29" t="s">
        <v>84</v>
      </c>
      <c r="B19" s="29">
        <v>18</v>
      </c>
      <c r="C19" s="29" t="s">
        <v>341</v>
      </c>
      <c r="D19" s="29">
        <v>3</v>
      </c>
      <c r="E19" s="29" t="s">
        <v>105</v>
      </c>
      <c r="F19" s="29" t="s">
        <v>342</v>
      </c>
      <c r="G19" s="29" t="s">
        <v>91</v>
      </c>
      <c r="H19" s="29" t="s">
        <v>107</v>
      </c>
      <c r="I19" s="29" t="s">
        <v>94</v>
      </c>
      <c r="J19" s="29" t="s">
        <v>340</v>
      </c>
      <c r="K19" s="29" t="str">
        <f>VLOOKUP(LEFT(H19, 7), 'קטלוג תרחישים'!$A:$L, 12, FALSE)</f>
        <v>ג׳</v>
      </c>
      <c r="L19" s="29" t="str">
        <f>IF(J19="כן", K19, VLOOKUP(LEFT(H19, 7), 'קטלוג תרחישים'!$A:$M, 13, FALSE))</f>
        <v>ג׳</v>
      </c>
    </row>
    <row r="20" spans="1:12">
      <c r="A20" s="29" t="s">
        <v>84</v>
      </c>
      <c r="B20" s="29">
        <v>19</v>
      </c>
      <c r="C20" s="29" t="s">
        <v>341</v>
      </c>
      <c r="D20" s="29">
        <v>3</v>
      </c>
      <c r="E20" s="29" t="s">
        <v>105</v>
      </c>
      <c r="F20" s="29" t="s">
        <v>342</v>
      </c>
      <c r="G20" s="29" t="s">
        <v>91</v>
      </c>
      <c r="H20" s="29" t="s">
        <v>108</v>
      </c>
      <c r="I20" s="29" t="s">
        <v>89</v>
      </c>
      <c r="J20" s="29" t="s">
        <v>343</v>
      </c>
      <c r="K20" s="29" t="str">
        <f>VLOOKUP(LEFT(H20, 7), 'קטלוג תרחישים'!$A:$L, 12, FALSE)</f>
        <v>א׳</v>
      </c>
      <c r="L20" s="29" t="str">
        <f>IF(J20="כן", K20, VLOOKUP(LEFT(H20, 7), 'קטלוג תרחישים'!$A:$M, 13, FALSE))</f>
        <v>ב׳</v>
      </c>
    </row>
    <row r="21" spans="1:12">
      <c r="A21" s="29" t="s">
        <v>84</v>
      </c>
      <c r="B21" s="29">
        <v>20</v>
      </c>
      <c r="C21" s="29" t="s">
        <v>341</v>
      </c>
      <c r="D21" s="29">
        <v>3</v>
      </c>
      <c r="E21" s="29" t="s">
        <v>105</v>
      </c>
      <c r="F21" s="29" t="s">
        <v>342</v>
      </c>
      <c r="G21" s="29" t="s">
        <v>91</v>
      </c>
      <c r="H21" s="29" t="s">
        <v>109</v>
      </c>
      <c r="I21" s="29" t="s">
        <v>94</v>
      </c>
      <c r="J21" s="29" t="s">
        <v>340</v>
      </c>
      <c r="K21" s="29" t="str">
        <f>VLOOKUP(LEFT(H21, 7), 'קטלוג תרחישים'!$A:$L, 12, FALSE)</f>
        <v>ב׳</v>
      </c>
      <c r="L21" s="29" t="str">
        <f>IF(J21="כן", K21, VLOOKUP(LEFT(H21, 7), 'קטלוג תרחישים'!$A:$M, 13, FALSE))</f>
        <v>ב׳</v>
      </c>
    </row>
    <row r="22" spans="1:12">
      <c r="A22" s="29" t="s">
        <v>84</v>
      </c>
      <c r="B22" s="29">
        <v>21</v>
      </c>
      <c r="C22" s="29" t="s">
        <v>341</v>
      </c>
      <c r="D22" s="29">
        <v>3</v>
      </c>
      <c r="E22" s="29" t="s">
        <v>105</v>
      </c>
      <c r="F22" s="29" t="s">
        <v>342</v>
      </c>
      <c r="G22" s="29" t="s">
        <v>91</v>
      </c>
      <c r="H22" s="29" t="s">
        <v>110</v>
      </c>
      <c r="I22" s="29" t="s">
        <v>89</v>
      </c>
      <c r="J22" s="29" t="s">
        <v>340</v>
      </c>
      <c r="K22" s="29" t="str">
        <f>VLOOKUP(LEFT(H22, 7), 'קטלוג תרחישים'!$A:$L, 12, FALSE)</f>
        <v>ג׳</v>
      </c>
      <c r="L22" s="29" t="str">
        <f>IF(J22="כן", K22, VLOOKUP(LEFT(H22, 7), 'קטלוג תרחישים'!$A:$M, 13, FALSE))</f>
        <v>ג׳</v>
      </c>
    </row>
    <row r="23" spans="1:12">
      <c r="A23" s="29" t="s">
        <v>84</v>
      </c>
      <c r="B23" s="29">
        <v>22</v>
      </c>
      <c r="C23" s="29" t="s">
        <v>341</v>
      </c>
      <c r="D23" s="29">
        <v>1</v>
      </c>
      <c r="E23" s="29" t="s">
        <v>99</v>
      </c>
      <c r="F23" s="29" t="s">
        <v>344</v>
      </c>
      <c r="G23" s="29" t="s">
        <v>111</v>
      </c>
      <c r="H23" s="29" t="s">
        <v>112</v>
      </c>
      <c r="I23" s="29" t="s">
        <v>89</v>
      </c>
      <c r="J23" s="29" t="s">
        <v>340</v>
      </c>
      <c r="K23" s="29" t="str">
        <f>VLOOKUP(LEFT(H23, 7), 'קטלוג תרחישים'!$A:$L, 12, FALSE)</f>
        <v>ג׳</v>
      </c>
      <c r="L23" s="29" t="str">
        <f>IF(J23="כן", K23, VLOOKUP(LEFT(H23, 7), 'קטלוג תרחישים'!$A:$M, 13, FALSE))</f>
        <v>ג׳</v>
      </c>
    </row>
    <row r="24" spans="1:12">
      <c r="A24" s="29" t="s">
        <v>84</v>
      </c>
      <c r="B24" s="29">
        <v>23</v>
      </c>
      <c r="C24" s="29" t="s">
        <v>341</v>
      </c>
      <c r="D24" s="29">
        <v>1</v>
      </c>
      <c r="E24" s="29" t="s">
        <v>99</v>
      </c>
      <c r="F24" s="29" t="s">
        <v>344</v>
      </c>
      <c r="G24" s="29" t="s">
        <v>111</v>
      </c>
      <c r="H24" s="29" t="s">
        <v>113</v>
      </c>
      <c r="I24" s="29" t="s">
        <v>94</v>
      </c>
      <c r="J24" s="29" t="s">
        <v>343</v>
      </c>
      <c r="K24" s="29" t="str">
        <f>VLOOKUP(LEFT(H24, 7), 'קטלוג תרחישים'!$A:$L, 12, FALSE)</f>
        <v>ג׳</v>
      </c>
      <c r="L24" s="29" t="str">
        <f>IF(J24="כן", K24, VLOOKUP(LEFT(H24, 7), 'קטלוג תרחישים'!$A:$M, 13, FALSE))</f>
        <v>א׳</v>
      </c>
    </row>
    <row r="25" spans="1:12">
      <c r="A25" s="29" t="s">
        <v>84</v>
      </c>
      <c r="B25" s="29">
        <v>24</v>
      </c>
      <c r="C25" s="29" t="s">
        <v>341</v>
      </c>
      <c r="D25" s="29">
        <v>1</v>
      </c>
      <c r="E25" s="29" t="s">
        <v>99</v>
      </c>
      <c r="F25" s="29" t="s">
        <v>344</v>
      </c>
      <c r="G25" s="29" t="s">
        <v>111</v>
      </c>
      <c r="H25" s="29" t="s">
        <v>114</v>
      </c>
      <c r="I25" s="29" t="s">
        <v>89</v>
      </c>
      <c r="J25" s="29" t="s">
        <v>343</v>
      </c>
      <c r="K25" s="29" t="str">
        <f>VLOOKUP(LEFT(H25, 7), 'קטלוג תרחישים'!$A:$L, 12, FALSE)</f>
        <v>א׳</v>
      </c>
      <c r="L25" s="29" t="str">
        <f>IF(J25="כן", K25, VLOOKUP(LEFT(H25, 7), 'קטלוג תרחישים'!$A:$M, 13, FALSE))</f>
        <v>ג׳</v>
      </c>
    </row>
    <row r="26" spans="1:12">
      <c r="A26" s="29" t="s">
        <v>84</v>
      </c>
      <c r="B26" s="29">
        <v>25</v>
      </c>
      <c r="C26" s="29" t="s">
        <v>341</v>
      </c>
      <c r="D26" s="29">
        <v>1</v>
      </c>
      <c r="E26" s="29" t="s">
        <v>99</v>
      </c>
      <c r="F26" s="29" t="s">
        <v>344</v>
      </c>
      <c r="G26" s="29" t="s">
        <v>111</v>
      </c>
      <c r="H26" s="29" t="s">
        <v>115</v>
      </c>
      <c r="I26" s="29" t="s">
        <v>94</v>
      </c>
      <c r="J26" s="29" t="s">
        <v>340</v>
      </c>
      <c r="K26" s="29" t="str">
        <f>VLOOKUP(LEFT(H26, 7), 'קטלוג תרחישים'!$A:$L, 12, FALSE)</f>
        <v>ב׳</v>
      </c>
      <c r="L26" s="29" t="str">
        <f>IF(J26="כן", K26, VLOOKUP(LEFT(H26, 7), 'קטלוג תרחישים'!$A:$M, 13, FALSE))</f>
        <v>ב׳</v>
      </c>
    </row>
    <row r="27" spans="1:12">
      <c r="A27" s="29" t="s">
        <v>84</v>
      </c>
      <c r="B27" s="29">
        <v>26</v>
      </c>
      <c r="C27" s="29" t="s">
        <v>341</v>
      </c>
      <c r="D27" s="29">
        <v>2</v>
      </c>
      <c r="E27" s="29" t="s">
        <v>105</v>
      </c>
      <c r="F27" s="29" t="s">
        <v>344</v>
      </c>
      <c r="G27" s="29" t="s">
        <v>111</v>
      </c>
      <c r="H27" s="29" t="s">
        <v>116</v>
      </c>
      <c r="I27" s="29" t="s">
        <v>89</v>
      </c>
      <c r="J27" s="29" t="s">
        <v>343</v>
      </c>
      <c r="K27" s="29" t="str">
        <f>VLOOKUP(LEFT(H27, 7), 'קטלוג תרחישים'!$A:$L, 12, FALSE)</f>
        <v>ב׳</v>
      </c>
      <c r="L27" s="29" t="str">
        <f>IF(J27="כן", K27, VLOOKUP(LEFT(H27, 7), 'קטלוג תרחישים'!$A:$M, 13, FALSE))</f>
        <v>א׳</v>
      </c>
    </row>
    <row r="28" spans="1:12">
      <c r="A28" s="29" t="s">
        <v>84</v>
      </c>
      <c r="B28" s="29">
        <v>27</v>
      </c>
      <c r="C28" s="29" t="s">
        <v>341</v>
      </c>
      <c r="D28" s="29">
        <v>2</v>
      </c>
      <c r="E28" s="29" t="s">
        <v>105</v>
      </c>
      <c r="F28" s="29" t="s">
        <v>344</v>
      </c>
      <c r="G28" s="29" t="s">
        <v>111</v>
      </c>
      <c r="H28" s="29" t="s">
        <v>117</v>
      </c>
      <c r="I28" s="29" t="s">
        <v>94</v>
      </c>
      <c r="J28" s="29" t="s">
        <v>340</v>
      </c>
      <c r="K28" s="29" t="str">
        <f>VLOOKUP(LEFT(H28, 7), 'קטלוג תרחישים'!$A:$L, 12, FALSE)</f>
        <v>א׳</v>
      </c>
      <c r="L28" s="29" t="str">
        <f>IF(J28="כן", K28, VLOOKUP(LEFT(H28, 7), 'קטלוג תרחישים'!$A:$M, 13, FALSE))</f>
        <v>א׳</v>
      </c>
    </row>
    <row r="29" spans="1:12">
      <c r="A29" s="29" t="s">
        <v>84</v>
      </c>
      <c r="B29" s="29">
        <v>28</v>
      </c>
      <c r="C29" s="29" t="s">
        <v>341</v>
      </c>
      <c r="D29" s="29">
        <v>2</v>
      </c>
      <c r="E29" s="29" t="s">
        <v>105</v>
      </c>
      <c r="F29" s="29" t="s">
        <v>344</v>
      </c>
      <c r="G29" s="29" t="s">
        <v>111</v>
      </c>
      <c r="H29" s="29" t="s">
        <v>118</v>
      </c>
      <c r="I29" s="29" t="s">
        <v>89</v>
      </c>
      <c r="J29" s="29" t="s">
        <v>340</v>
      </c>
      <c r="K29" s="29" t="str">
        <f>VLOOKUP(LEFT(H29, 7), 'קטלוג תרחישים'!$A:$L, 12, FALSE)</f>
        <v>ב׳</v>
      </c>
      <c r="L29" s="29" t="str">
        <f>IF(J29="כן", K29, VLOOKUP(LEFT(H29, 7), 'קטלוג תרחישים'!$A:$M, 13, FALSE))</f>
        <v>ב׳</v>
      </c>
    </row>
    <row r="30" spans="1:12">
      <c r="A30" s="29" t="s">
        <v>84</v>
      </c>
      <c r="B30" s="29">
        <v>29</v>
      </c>
      <c r="C30" s="29" t="s">
        <v>341</v>
      </c>
      <c r="D30" s="29">
        <v>2</v>
      </c>
      <c r="E30" s="29" t="s">
        <v>105</v>
      </c>
      <c r="F30" s="29" t="s">
        <v>344</v>
      </c>
      <c r="G30" s="29" t="s">
        <v>111</v>
      </c>
      <c r="H30" s="29" t="s">
        <v>119</v>
      </c>
      <c r="I30" s="29" t="s">
        <v>94</v>
      </c>
      <c r="J30" s="29" t="s">
        <v>343</v>
      </c>
      <c r="K30" s="29" t="str">
        <f>VLOOKUP(LEFT(H30, 7), 'קטלוג תרחישים'!$A:$L, 12, FALSE)</f>
        <v>א׳</v>
      </c>
      <c r="L30" s="29" t="str">
        <f>IF(J30="כן", K30, VLOOKUP(LEFT(H30, 7), 'קטלוג תרחישים'!$A:$M, 13, FALSE))</f>
        <v>ב׳</v>
      </c>
    </row>
    <row r="31" spans="1:12">
      <c r="A31" s="29" t="s">
        <v>84</v>
      </c>
      <c r="B31" s="29">
        <v>30</v>
      </c>
      <c r="C31" s="29" t="s">
        <v>341</v>
      </c>
      <c r="D31" s="29">
        <v>3</v>
      </c>
      <c r="E31" s="29" t="s">
        <v>92</v>
      </c>
      <c r="F31" s="29" t="s">
        <v>344</v>
      </c>
      <c r="G31" s="29" t="s">
        <v>111</v>
      </c>
      <c r="H31" s="29" t="s">
        <v>120</v>
      </c>
      <c r="I31" s="29" t="s">
        <v>89</v>
      </c>
      <c r="J31" s="29" t="s">
        <v>343</v>
      </c>
      <c r="K31" s="29" t="str">
        <f>VLOOKUP(LEFT(H31, 7), 'קטלוג תרחישים'!$A:$L, 12, FALSE)</f>
        <v>ב׳</v>
      </c>
      <c r="L31" s="29" t="str">
        <f>IF(J31="כן", K31, VLOOKUP(LEFT(H31, 7), 'קטלוג תרחישים'!$A:$M, 13, FALSE))</f>
        <v>א׳</v>
      </c>
    </row>
    <row r="32" spans="1:12">
      <c r="A32" s="29" t="s">
        <v>84</v>
      </c>
      <c r="B32" s="29">
        <v>31</v>
      </c>
      <c r="C32" s="29" t="s">
        <v>341</v>
      </c>
      <c r="D32" s="29">
        <v>3</v>
      </c>
      <c r="E32" s="29" t="s">
        <v>92</v>
      </c>
      <c r="F32" s="29" t="s">
        <v>344</v>
      </c>
      <c r="G32" s="29" t="s">
        <v>111</v>
      </c>
      <c r="H32" s="29" t="s">
        <v>121</v>
      </c>
      <c r="I32" s="29" t="s">
        <v>94</v>
      </c>
      <c r="J32" s="29" t="s">
        <v>343</v>
      </c>
      <c r="K32" s="29" t="str">
        <f>VLOOKUP(LEFT(H32, 7), 'קטלוג תרחישים'!$A:$L, 12, FALSE)</f>
        <v>ב׳</v>
      </c>
      <c r="L32" s="29" t="str">
        <f>IF(J32="כן", K32, VLOOKUP(LEFT(H32, 7), 'קטלוג תרחישים'!$A:$M, 13, FALSE))</f>
        <v>א׳</v>
      </c>
    </row>
    <row r="33" spans="1:12">
      <c r="A33" s="29" t="s">
        <v>84</v>
      </c>
      <c r="B33" s="29">
        <v>32</v>
      </c>
      <c r="C33" s="29" t="s">
        <v>341</v>
      </c>
      <c r="D33" s="29">
        <v>3</v>
      </c>
      <c r="E33" s="29" t="s">
        <v>92</v>
      </c>
      <c r="F33" s="29" t="s">
        <v>344</v>
      </c>
      <c r="G33" s="29" t="s">
        <v>111</v>
      </c>
      <c r="H33" s="29" t="s">
        <v>122</v>
      </c>
      <c r="I33" s="29" t="s">
        <v>89</v>
      </c>
      <c r="J33" s="29" t="s">
        <v>340</v>
      </c>
      <c r="K33" s="29" t="str">
        <f>VLOOKUP(LEFT(H33, 7), 'קטלוג תרחישים'!$A:$L, 12, FALSE)</f>
        <v>ג׳</v>
      </c>
      <c r="L33" s="29" t="str">
        <f>IF(J33="כן", K33, VLOOKUP(LEFT(H33, 7), 'קטלוג תרחישים'!$A:$M, 13, FALSE))</f>
        <v>ג׳</v>
      </c>
    </row>
    <row r="34" spans="1:12">
      <c r="A34" s="29" t="s">
        <v>84</v>
      </c>
      <c r="B34" s="29">
        <v>33</v>
      </c>
      <c r="C34" s="29" t="s">
        <v>341</v>
      </c>
      <c r="D34" s="29">
        <v>3</v>
      </c>
      <c r="E34" s="29" t="s">
        <v>92</v>
      </c>
      <c r="F34" s="29" t="s">
        <v>344</v>
      </c>
      <c r="G34" s="29" t="s">
        <v>111</v>
      </c>
      <c r="H34" s="29" t="s">
        <v>123</v>
      </c>
      <c r="I34" s="29" t="s">
        <v>94</v>
      </c>
      <c r="J34" s="29" t="s">
        <v>340</v>
      </c>
      <c r="K34" s="29" t="str">
        <f>VLOOKUP(LEFT(H34, 7), 'קטלוג תרחישים'!$A:$L, 12, FALSE)</f>
        <v>א׳</v>
      </c>
      <c r="L34" s="29" t="str">
        <f>IF(J34="כן", K34, VLOOKUP(LEFT(H34, 7), 'קטלוג תרחישים'!$A:$M, 13, FALSE))</f>
        <v>א׳</v>
      </c>
    </row>
    <row r="35" spans="1:12">
      <c r="A35" s="29" t="s">
        <v>124</v>
      </c>
      <c r="B35" s="29">
        <v>1</v>
      </c>
      <c r="C35" s="29" t="s">
        <v>339</v>
      </c>
      <c r="D35" s="29"/>
      <c r="E35" s="29" t="s">
        <v>92</v>
      </c>
      <c r="F35" s="29"/>
      <c r="G35" s="29"/>
      <c r="H35" s="30" t="s">
        <v>351</v>
      </c>
      <c r="I35" s="29" t="s">
        <v>89</v>
      </c>
      <c r="J35" s="29" t="s">
        <v>340</v>
      </c>
      <c r="K35" s="29" t="str">
        <f>VLOOKUP(LEFT(H35, 7), 'קטלוג תרחישים'!$A:$L, 12, FALSE)</f>
        <v>א׳</v>
      </c>
      <c r="L35" s="29" t="str">
        <f>IF(J35="כן", K35, VLOOKUP(LEFT(H35, 7), 'קטלוג תרחישים'!$A:$M, 13, FALSE))</f>
        <v>א׳</v>
      </c>
    </row>
    <row r="36" spans="1:12">
      <c r="A36" s="29" t="s">
        <v>124</v>
      </c>
      <c r="B36" s="29">
        <v>2</v>
      </c>
      <c r="C36" s="29" t="s">
        <v>339</v>
      </c>
      <c r="D36" s="29"/>
      <c r="E36" s="29" t="s">
        <v>92</v>
      </c>
      <c r="F36" s="29"/>
      <c r="G36" s="29"/>
      <c r="H36" s="30" t="s">
        <v>88</v>
      </c>
      <c r="I36" s="29" t="s">
        <v>89</v>
      </c>
      <c r="J36" s="29" t="s">
        <v>340</v>
      </c>
      <c r="K36" s="29" t="str">
        <f>VLOOKUP(LEFT(H36, 7), 'קטלוג תרחישים'!$A:$L, 12, FALSE)</f>
        <v>א׳</v>
      </c>
      <c r="L36" s="29" t="str">
        <f>IF(J36="כן", K36, VLOOKUP(LEFT(H36, 7), 'קטלוג תרחישים'!$A:$M, 13, FALSE))</f>
        <v>א׳</v>
      </c>
    </row>
    <row r="37" spans="1:12">
      <c r="A37" s="29" t="s">
        <v>124</v>
      </c>
      <c r="B37" s="29">
        <v>3</v>
      </c>
      <c r="C37" s="29" t="s">
        <v>339</v>
      </c>
      <c r="D37" s="29"/>
      <c r="E37" s="29" t="s">
        <v>99</v>
      </c>
      <c r="F37" s="29"/>
      <c r="G37" s="29"/>
      <c r="H37" s="30" t="s">
        <v>352</v>
      </c>
      <c r="I37" s="29" t="s">
        <v>89</v>
      </c>
      <c r="J37" s="29" t="s">
        <v>340</v>
      </c>
      <c r="K37" s="29" t="str">
        <f>VLOOKUP(LEFT(H37, 7), 'קטלוג תרחישים'!$A:$L, 12, FALSE)</f>
        <v>ב׳</v>
      </c>
      <c r="L37" s="29" t="str">
        <f>IF(J37="כן", K37, VLOOKUP(LEFT(H37, 7), 'קטלוג תרחישים'!$A:$M, 13, FALSE))</f>
        <v>ב׳</v>
      </c>
    </row>
    <row r="38" spans="1:12">
      <c r="A38" s="29" t="s">
        <v>124</v>
      </c>
      <c r="B38" s="29">
        <v>4</v>
      </c>
      <c r="C38" s="29" t="s">
        <v>339</v>
      </c>
      <c r="D38" s="29"/>
      <c r="E38" s="29" t="s">
        <v>99</v>
      </c>
      <c r="F38" s="29"/>
      <c r="G38" s="29"/>
      <c r="H38" s="30" t="s">
        <v>353</v>
      </c>
      <c r="I38" s="29" t="s">
        <v>89</v>
      </c>
      <c r="J38" s="29" t="s">
        <v>340</v>
      </c>
      <c r="K38" s="29" t="str">
        <f>VLOOKUP(LEFT(H38, 7), 'קטלוג תרחישים'!$A:$L, 12, FALSE)</f>
        <v>ב׳</v>
      </c>
      <c r="L38" s="29" t="str">
        <f>IF(J38="כן", K38, VLOOKUP(LEFT(H38, 7), 'קטלוג תרחישים'!$A:$M, 13, FALSE))</f>
        <v>ב׳</v>
      </c>
    </row>
    <row r="39" spans="1:12">
      <c r="A39" s="29" t="s">
        <v>124</v>
      </c>
      <c r="B39" s="29">
        <v>5</v>
      </c>
      <c r="C39" s="29" t="s">
        <v>339</v>
      </c>
      <c r="D39" s="29"/>
      <c r="E39" s="29" t="s">
        <v>105</v>
      </c>
      <c r="F39" s="29"/>
      <c r="G39" s="29"/>
      <c r="H39" s="30" t="s">
        <v>354</v>
      </c>
      <c r="I39" s="29" t="s">
        <v>89</v>
      </c>
      <c r="J39" s="29" t="s">
        <v>340</v>
      </c>
      <c r="K39" s="29" t="str">
        <f>VLOOKUP(LEFT(H39, 7), 'קטלוג תרחישים'!$A:$L, 12, FALSE)</f>
        <v>ג׳</v>
      </c>
      <c r="L39" s="29" t="str">
        <f>IF(J39="כן", K39, VLOOKUP(LEFT(H39, 7), 'קטלוג תרחישים'!$A:$M, 13, FALSE))</f>
        <v>ג׳</v>
      </c>
    </row>
    <row r="40" spans="1:12">
      <c r="A40" s="29" t="s">
        <v>124</v>
      </c>
      <c r="B40" s="29">
        <v>6</v>
      </c>
      <c r="C40" s="29" t="s">
        <v>339</v>
      </c>
      <c r="D40" s="29"/>
      <c r="E40" s="29" t="s">
        <v>105</v>
      </c>
      <c r="F40" s="29"/>
      <c r="G40" s="29"/>
      <c r="H40" s="30" t="s">
        <v>90</v>
      </c>
      <c r="I40" s="29" t="s">
        <v>89</v>
      </c>
      <c r="J40" s="29" t="s">
        <v>340</v>
      </c>
      <c r="K40" s="29" t="str">
        <f>VLOOKUP(LEFT(H40, 7), 'קטלוג תרחישים'!$A:$L, 12, FALSE)</f>
        <v>ג׳</v>
      </c>
      <c r="L40" s="29" t="str">
        <f>IF(J40="כן", K40, VLOOKUP(LEFT(H40, 7), 'קטלוג תרחישים'!$A:$M, 13, FALSE))</f>
        <v>ג׳</v>
      </c>
    </row>
    <row r="41" spans="1:12">
      <c r="A41" s="29" t="s">
        <v>124</v>
      </c>
      <c r="B41" s="29">
        <v>7</v>
      </c>
      <c r="C41" s="29" t="s">
        <v>341</v>
      </c>
      <c r="D41" s="29">
        <v>1</v>
      </c>
      <c r="E41" s="29" t="s">
        <v>105</v>
      </c>
      <c r="F41" s="29" t="s">
        <v>342</v>
      </c>
      <c r="G41" s="29" t="s">
        <v>111</v>
      </c>
      <c r="H41" s="29" t="s">
        <v>116</v>
      </c>
      <c r="I41" s="29" t="s">
        <v>89</v>
      </c>
      <c r="J41" s="29" t="s">
        <v>340</v>
      </c>
      <c r="K41" s="29" t="str">
        <f>VLOOKUP(LEFT(H41, 7), 'קטלוג תרחישים'!$A:$L, 12, FALSE)</f>
        <v>ב׳</v>
      </c>
      <c r="L41" s="29" t="str">
        <f>IF(J41="כן", K41, VLOOKUP(LEFT(H41, 7), 'קטלוג תרחישים'!$A:$M, 13, FALSE))</f>
        <v>ב׳</v>
      </c>
    </row>
    <row r="42" spans="1:12">
      <c r="A42" s="29" t="s">
        <v>124</v>
      </c>
      <c r="B42" s="29">
        <v>8</v>
      </c>
      <c r="C42" s="29" t="s">
        <v>341</v>
      </c>
      <c r="D42" s="29">
        <v>1</v>
      </c>
      <c r="E42" s="29" t="s">
        <v>105</v>
      </c>
      <c r="F42" s="29" t="s">
        <v>342</v>
      </c>
      <c r="G42" s="29" t="s">
        <v>111</v>
      </c>
      <c r="H42" s="29" t="s">
        <v>119</v>
      </c>
      <c r="I42" s="29" t="s">
        <v>94</v>
      </c>
      <c r="J42" s="29" t="s">
        <v>343</v>
      </c>
      <c r="K42" s="29" t="str">
        <f>VLOOKUP(LEFT(H42, 7), 'קטלוג תרחישים'!$A:$L, 12, FALSE)</f>
        <v>א׳</v>
      </c>
      <c r="L42" s="29" t="str">
        <f>IF(J42="כן", K42, VLOOKUP(LEFT(H42, 7), 'קטלוג תרחישים'!$A:$M, 13, FALSE))</f>
        <v>ב׳</v>
      </c>
    </row>
    <row r="43" spans="1:12">
      <c r="A43" s="29" t="s">
        <v>124</v>
      </c>
      <c r="B43" s="29">
        <v>9</v>
      </c>
      <c r="C43" s="29" t="s">
        <v>341</v>
      </c>
      <c r="D43" s="29">
        <v>1</v>
      </c>
      <c r="E43" s="29" t="s">
        <v>105</v>
      </c>
      <c r="F43" s="29" t="s">
        <v>342</v>
      </c>
      <c r="G43" s="29" t="s">
        <v>111</v>
      </c>
      <c r="H43" s="29" t="s">
        <v>118</v>
      </c>
      <c r="I43" s="29" t="s">
        <v>89</v>
      </c>
      <c r="J43" s="29" t="s">
        <v>343</v>
      </c>
      <c r="K43" s="29" t="str">
        <f>VLOOKUP(LEFT(H43, 7), 'קטלוג תרחישים'!$A:$L, 12, FALSE)</f>
        <v>ב׳</v>
      </c>
      <c r="L43" s="29" t="str">
        <f>IF(J43="כן", K43, VLOOKUP(LEFT(H43, 7), 'קטלוג תרחישים'!$A:$M, 13, FALSE))</f>
        <v>א׳</v>
      </c>
    </row>
    <row r="44" spans="1:12">
      <c r="A44" s="29" t="s">
        <v>124</v>
      </c>
      <c r="B44" s="29">
        <v>10</v>
      </c>
      <c r="C44" s="29" t="s">
        <v>341</v>
      </c>
      <c r="D44" s="29">
        <v>1</v>
      </c>
      <c r="E44" s="29" t="s">
        <v>105</v>
      </c>
      <c r="F44" s="29" t="s">
        <v>342</v>
      </c>
      <c r="G44" s="29" t="s">
        <v>111</v>
      </c>
      <c r="H44" s="29" t="s">
        <v>117</v>
      </c>
      <c r="I44" s="29" t="s">
        <v>94</v>
      </c>
      <c r="J44" s="29" t="s">
        <v>340</v>
      </c>
      <c r="K44" s="29" t="str">
        <f>VLOOKUP(LEFT(H44, 7), 'קטלוג תרחישים'!$A:$L, 12, FALSE)</f>
        <v>א׳</v>
      </c>
      <c r="L44" s="29" t="str">
        <f>IF(J44="כן", K44, VLOOKUP(LEFT(H44, 7), 'קטלוג תרחישים'!$A:$M, 13, FALSE))</f>
        <v>א׳</v>
      </c>
    </row>
    <row r="45" spans="1:12">
      <c r="A45" s="29" t="s">
        <v>124</v>
      </c>
      <c r="B45" s="29">
        <v>11</v>
      </c>
      <c r="C45" s="29" t="s">
        <v>341</v>
      </c>
      <c r="D45" s="29">
        <v>2</v>
      </c>
      <c r="E45" s="29" t="s">
        <v>92</v>
      </c>
      <c r="F45" s="29" t="s">
        <v>342</v>
      </c>
      <c r="G45" s="29" t="s">
        <v>111</v>
      </c>
      <c r="H45" s="29" t="s">
        <v>120</v>
      </c>
      <c r="I45" s="29" t="s">
        <v>89</v>
      </c>
      <c r="J45" s="29" t="s">
        <v>340</v>
      </c>
      <c r="K45" s="29" t="str">
        <f>VLOOKUP(LEFT(H45, 7), 'קטלוג תרחישים'!$A:$L, 12, FALSE)</f>
        <v>ב׳</v>
      </c>
      <c r="L45" s="29" t="str">
        <f>IF(J45="כן", K45, VLOOKUP(LEFT(H45, 7), 'קטלוג תרחישים'!$A:$M, 13, FALSE))</f>
        <v>ב׳</v>
      </c>
    </row>
    <row r="46" spans="1:12">
      <c r="A46" s="29" t="s">
        <v>124</v>
      </c>
      <c r="B46" s="29">
        <v>12</v>
      </c>
      <c r="C46" s="29" t="s">
        <v>341</v>
      </c>
      <c r="D46" s="29">
        <v>2</v>
      </c>
      <c r="E46" s="29" t="s">
        <v>92</v>
      </c>
      <c r="F46" s="29" t="s">
        <v>342</v>
      </c>
      <c r="G46" s="29" t="s">
        <v>111</v>
      </c>
      <c r="H46" s="29" t="s">
        <v>123</v>
      </c>
      <c r="I46" s="29" t="s">
        <v>94</v>
      </c>
      <c r="J46" s="29" t="s">
        <v>340</v>
      </c>
      <c r="K46" s="29" t="str">
        <f>VLOOKUP(LEFT(H46, 7), 'קטלוג תרחישים'!$A:$L, 12, FALSE)</f>
        <v>א׳</v>
      </c>
      <c r="L46" s="29" t="str">
        <f>IF(J46="כן", K46, VLOOKUP(LEFT(H46, 7), 'קטלוג תרחישים'!$A:$M, 13, FALSE))</f>
        <v>א׳</v>
      </c>
    </row>
    <row r="47" spans="1:12">
      <c r="A47" s="29" t="s">
        <v>124</v>
      </c>
      <c r="B47" s="29">
        <v>13</v>
      </c>
      <c r="C47" s="29" t="s">
        <v>341</v>
      </c>
      <c r="D47" s="29">
        <v>2</v>
      </c>
      <c r="E47" s="29" t="s">
        <v>92</v>
      </c>
      <c r="F47" s="29" t="s">
        <v>342</v>
      </c>
      <c r="G47" s="29" t="s">
        <v>111</v>
      </c>
      <c r="H47" s="29" t="s">
        <v>122</v>
      </c>
      <c r="I47" s="29" t="s">
        <v>89</v>
      </c>
      <c r="J47" s="29" t="s">
        <v>343</v>
      </c>
      <c r="K47" s="29" t="str">
        <f>VLOOKUP(LEFT(H47, 7), 'קטלוג תרחישים'!$A:$L, 12, FALSE)</f>
        <v>ג׳</v>
      </c>
      <c r="L47" s="29" t="str">
        <f>IF(J47="כן", K47, VLOOKUP(LEFT(H47, 7), 'קטלוג תרחישים'!$A:$M, 13, FALSE))</f>
        <v>ב׳</v>
      </c>
    </row>
    <row r="48" spans="1:12">
      <c r="A48" s="29" t="s">
        <v>124</v>
      </c>
      <c r="B48" s="29">
        <v>14</v>
      </c>
      <c r="C48" s="29" t="s">
        <v>341</v>
      </c>
      <c r="D48" s="29">
        <v>2</v>
      </c>
      <c r="E48" s="29" t="s">
        <v>92</v>
      </c>
      <c r="F48" s="29" t="s">
        <v>342</v>
      </c>
      <c r="G48" s="29" t="s">
        <v>111</v>
      </c>
      <c r="H48" s="29" t="s">
        <v>121</v>
      </c>
      <c r="I48" s="29" t="s">
        <v>94</v>
      </c>
      <c r="J48" s="29" t="s">
        <v>343</v>
      </c>
      <c r="K48" s="29" t="str">
        <f>VLOOKUP(LEFT(H48, 7), 'קטלוג תרחישים'!$A:$L, 12, FALSE)</f>
        <v>ב׳</v>
      </c>
      <c r="L48" s="29" t="str">
        <f>IF(J48="כן", K48, VLOOKUP(LEFT(H48, 7), 'קטלוג תרחישים'!$A:$M, 13, FALSE))</f>
        <v>א׳</v>
      </c>
    </row>
    <row r="49" spans="1:12">
      <c r="A49" s="29" t="s">
        <v>124</v>
      </c>
      <c r="B49" s="29">
        <v>15</v>
      </c>
      <c r="C49" s="29" t="s">
        <v>341</v>
      </c>
      <c r="D49" s="29">
        <v>3</v>
      </c>
      <c r="E49" s="29" t="s">
        <v>99</v>
      </c>
      <c r="F49" s="29" t="s">
        <v>342</v>
      </c>
      <c r="G49" s="29" t="s">
        <v>111</v>
      </c>
      <c r="H49" s="29" t="s">
        <v>112</v>
      </c>
      <c r="I49" s="29" t="s">
        <v>89</v>
      </c>
      <c r="J49" s="29" t="s">
        <v>340</v>
      </c>
      <c r="K49" s="29" t="str">
        <f>VLOOKUP(LEFT(H49, 7), 'קטלוג תרחישים'!$A:$L, 12, FALSE)</f>
        <v>ג׳</v>
      </c>
      <c r="L49" s="29" t="str">
        <f>IF(J49="כן", K49, VLOOKUP(LEFT(H49, 7), 'קטלוג תרחישים'!$A:$M, 13, FALSE))</f>
        <v>ג׳</v>
      </c>
    </row>
    <row r="50" spans="1:12">
      <c r="A50" s="29" t="s">
        <v>124</v>
      </c>
      <c r="B50" s="29">
        <v>16</v>
      </c>
      <c r="C50" s="29" t="s">
        <v>341</v>
      </c>
      <c r="D50" s="29">
        <v>3</v>
      </c>
      <c r="E50" s="29" t="s">
        <v>99</v>
      </c>
      <c r="F50" s="29" t="s">
        <v>342</v>
      </c>
      <c r="G50" s="29" t="s">
        <v>111</v>
      </c>
      <c r="H50" s="29" t="s">
        <v>113</v>
      </c>
      <c r="I50" s="29" t="s">
        <v>94</v>
      </c>
      <c r="J50" s="29" t="s">
        <v>340</v>
      </c>
      <c r="K50" s="29" t="str">
        <f>VLOOKUP(LEFT(H50, 7), 'קטלוג תרחישים'!$A:$L, 12, FALSE)</f>
        <v>ג׳</v>
      </c>
      <c r="L50" s="29" t="str">
        <f>IF(J50="כן", K50, VLOOKUP(LEFT(H50, 7), 'קטלוג תרחישים'!$A:$M, 13, FALSE))</f>
        <v>ג׳</v>
      </c>
    </row>
    <row r="51" spans="1:12">
      <c r="A51" s="29" t="s">
        <v>124</v>
      </c>
      <c r="B51" s="29">
        <v>17</v>
      </c>
      <c r="C51" s="29" t="s">
        <v>341</v>
      </c>
      <c r="D51" s="29">
        <v>3</v>
      </c>
      <c r="E51" s="29" t="s">
        <v>99</v>
      </c>
      <c r="F51" s="29" t="s">
        <v>342</v>
      </c>
      <c r="G51" s="29" t="s">
        <v>111</v>
      </c>
      <c r="H51" s="29" t="s">
        <v>114</v>
      </c>
      <c r="I51" s="29" t="s">
        <v>89</v>
      </c>
      <c r="J51" s="29" t="s">
        <v>343</v>
      </c>
      <c r="K51" s="29" t="str">
        <f>VLOOKUP(LEFT(H51, 7), 'קטלוג תרחישים'!$A:$L, 12, FALSE)</f>
        <v>א׳</v>
      </c>
      <c r="L51" s="29" t="str">
        <f>IF(J51="כן", K51, VLOOKUP(LEFT(H51, 7), 'קטלוג תרחישים'!$A:$M, 13, FALSE))</f>
        <v>ג׳</v>
      </c>
    </row>
    <row r="52" spans="1:12">
      <c r="A52" s="29" t="s">
        <v>124</v>
      </c>
      <c r="B52" s="29">
        <v>18</v>
      </c>
      <c r="C52" s="29" t="s">
        <v>341</v>
      </c>
      <c r="D52" s="29">
        <v>3</v>
      </c>
      <c r="E52" s="29" t="s">
        <v>99</v>
      </c>
      <c r="F52" s="29" t="s">
        <v>342</v>
      </c>
      <c r="G52" s="29" t="s">
        <v>111</v>
      </c>
      <c r="H52" s="29" t="s">
        <v>115</v>
      </c>
      <c r="I52" s="29" t="s">
        <v>94</v>
      </c>
      <c r="J52" s="29" t="s">
        <v>343</v>
      </c>
      <c r="K52" s="29" t="str">
        <f>VLOOKUP(LEFT(H52, 7), 'קטלוג תרחישים'!$A:$L, 12, FALSE)</f>
        <v>ב׳</v>
      </c>
      <c r="L52" s="29" t="str">
        <f>IF(J52="כן", K52, VLOOKUP(LEFT(H52, 7), 'קטלוג תרחישים'!$A:$M, 13, FALSE))</f>
        <v>ג׳</v>
      </c>
    </row>
    <row r="53" spans="1:12">
      <c r="A53" s="29" t="s">
        <v>124</v>
      </c>
      <c r="B53" s="29">
        <v>19</v>
      </c>
      <c r="C53" s="29" t="s">
        <v>341</v>
      </c>
      <c r="D53" s="29">
        <v>1</v>
      </c>
      <c r="E53" s="29" t="s">
        <v>99</v>
      </c>
      <c r="F53" s="29" t="s">
        <v>344</v>
      </c>
      <c r="G53" s="29" t="s">
        <v>91</v>
      </c>
      <c r="H53" s="29" t="s">
        <v>104</v>
      </c>
      <c r="I53" s="29" t="s">
        <v>89</v>
      </c>
      <c r="J53" s="29" t="s">
        <v>340</v>
      </c>
      <c r="K53" s="29" t="str">
        <f>VLOOKUP(LEFT(H53, 7), 'קטלוג תרחישים'!$A:$L, 12, FALSE)</f>
        <v>א׳</v>
      </c>
      <c r="L53" s="29" t="str">
        <f>IF(J53="כן", K53, VLOOKUP(LEFT(H53, 7), 'קטלוג תרחישים'!$A:$M, 13, FALSE))</f>
        <v>א׳</v>
      </c>
    </row>
    <row r="54" spans="1:12">
      <c r="A54" s="29" t="s">
        <v>124</v>
      </c>
      <c r="B54" s="29">
        <v>20</v>
      </c>
      <c r="C54" s="29" t="s">
        <v>341</v>
      </c>
      <c r="D54" s="29">
        <v>1</v>
      </c>
      <c r="E54" s="29" t="s">
        <v>99</v>
      </c>
      <c r="F54" s="29" t="s">
        <v>344</v>
      </c>
      <c r="G54" s="29" t="s">
        <v>91</v>
      </c>
      <c r="H54" s="29" t="s">
        <v>103</v>
      </c>
      <c r="I54" s="29" t="s">
        <v>94</v>
      </c>
      <c r="J54" s="29" t="s">
        <v>340</v>
      </c>
      <c r="K54" s="29" t="str">
        <f>VLOOKUP(LEFT(H54, 7), 'קטלוג תרחישים'!$A:$L, 12, FALSE)</f>
        <v>ג׳</v>
      </c>
      <c r="L54" s="29" t="str">
        <f>IF(J54="כן", K54, VLOOKUP(LEFT(H54, 7), 'קטלוג תרחישים'!$A:$M, 13, FALSE))</f>
        <v>ג׳</v>
      </c>
    </row>
    <row r="55" spans="1:12">
      <c r="A55" s="29" t="s">
        <v>124</v>
      </c>
      <c r="B55" s="29">
        <v>21</v>
      </c>
      <c r="C55" s="29" t="s">
        <v>341</v>
      </c>
      <c r="D55" s="29">
        <v>1</v>
      </c>
      <c r="E55" s="29" t="s">
        <v>99</v>
      </c>
      <c r="F55" s="29" t="s">
        <v>344</v>
      </c>
      <c r="G55" s="29" t="s">
        <v>91</v>
      </c>
      <c r="H55" s="29" t="s">
        <v>100</v>
      </c>
      <c r="I55" s="29" t="s">
        <v>89</v>
      </c>
      <c r="J55" s="29" t="s">
        <v>340</v>
      </c>
      <c r="K55" s="29" t="str">
        <f>VLOOKUP(LEFT(H55, 7), 'קטלוג תרחישים'!$A:$L, 12, FALSE)</f>
        <v>ב׳</v>
      </c>
      <c r="L55" s="29" t="str">
        <f>IF(J55="כן", K55, VLOOKUP(LEFT(H55, 7), 'קטלוג תרחישים'!$A:$M, 13, FALSE))</f>
        <v>ב׳</v>
      </c>
    </row>
    <row r="56" spans="1:12">
      <c r="A56" s="29" t="s">
        <v>124</v>
      </c>
      <c r="B56" s="29">
        <v>22</v>
      </c>
      <c r="C56" s="29" t="s">
        <v>341</v>
      </c>
      <c r="D56" s="29">
        <v>1</v>
      </c>
      <c r="E56" s="29" t="s">
        <v>99</v>
      </c>
      <c r="F56" s="29" t="s">
        <v>344</v>
      </c>
      <c r="G56" s="29" t="s">
        <v>91</v>
      </c>
      <c r="H56" s="29" t="s">
        <v>101</v>
      </c>
      <c r="I56" s="29" t="s">
        <v>94</v>
      </c>
      <c r="J56" s="29" t="s">
        <v>343</v>
      </c>
      <c r="K56" s="29" t="str">
        <f>VLOOKUP(LEFT(H56, 7), 'קטלוג תרחישים'!$A:$L, 12, FALSE)</f>
        <v>א׳</v>
      </c>
      <c r="L56" s="29" t="str">
        <f>IF(J56="כן", K56, VLOOKUP(LEFT(H56, 7), 'קטלוג תרחישים'!$A:$M, 13, FALSE))</f>
        <v>ב׳</v>
      </c>
    </row>
    <row r="57" spans="1:12">
      <c r="A57" s="29" t="s">
        <v>124</v>
      </c>
      <c r="B57" s="29">
        <v>23</v>
      </c>
      <c r="C57" s="29" t="s">
        <v>341</v>
      </c>
      <c r="D57" s="29">
        <v>1</v>
      </c>
      <c r="E57" s="29" t="s">
        <v>99</v>
      </c>
      <c r="F57" s="29" t="s">
        <v>344</v>
      </c>
      <c r="G57" s="29" t="s">
        <v>91</v>
      </c>
      <c r="H57" s="29" t="s">
        <v>102</v>
      </c>
      <c r="I57" s="29" t="s">
        <v>89</v>
      </c>
      <c r="J57" s="29" t="s">
        <v>340</v>
      </c>
      <c r="K57" s="29" t="str">
        <f>VLOOKUP(LEFT(H57, 7), 'קטלוג תרחישים'!$A:$L, 12, FALSE)</f>
        <v>ב׳</v>
      </c>
      <c r="L57" s="29" t="str">
        <f>IF(J57="כן", K57, VLOOKUP(LEFT(H57, 7), 'קטלוג תרחישים'!$A:$M, 13, FALSE))</f>
        <v>ב׳</v>
      </c>
    </row>
    <row r="58" spans="1:12">
      <c r="A58" s="29" t="s">
        <v>124</v>
      </c>
      <c r="B58" s="29">
        <v>24</v>
      </c>
      <c r="C58" s="29" t="s">
        <v>341</v>
      </c>
      <c r="D58" s="29">
        <v>2</v>
      </c>
      <c r="E58" s="29" t="s">
        <v>105</v>
      </c>
      <c r="F58" s="29" t="s">
        <v>344</v>
      </c>
      <c r="G58" s="29" t="s">
        <v>91</v>
      </c>
      <c r="H58" s="29" t="s">
        <v>106</v>
      </c>
      <c r="I58" s="29" t="s">
        <v>89</v>
      </c>
      <c r="J58" s="29" t="s">
        <v>340</v>
      </c>
      <c r="K58" s="29" t="str">
        <f>VLOOKUP(LEFT(H58, 7), 'קטלוג תרחישים'!$A:$L, 12, FALSE)</f>
        <v>א׳</v>
      </c>
      <c r="L58" s="29" t="str">
        <f>IF(J58="כן", K58, VLOOKUP(LEFT(H58, 7), 'קטלוג תרחישים'!$A:$M, 13, FALSE))</f>
        <v>א׳</v>
      </c>
    </row>
    <row r="59" spans="1:12">
      <c r="A59" s="29" t="s">
        <v>124</v>
      </c>
      <c r="B59" s="29">
        <v>25</v>
      </c>
      <c r="C59" s="29" t="s">
        <v>341</v>
      </c>
      <c r="D59" s="29">
        <v>2</v>
      </c>
      <c r="E59" s="29" t="s">
        <v>105</v>
      </c>
      <c r="F59" s="29" t="s">
        <v>344</v>
      </c>
      <c r="G59" s="29" t="s">
        <v>91</v>
      </c>
      <c r="H59" s="29" t="s">
        <v>107</v>
      </c>
      <c r="I59" s="29" t="s">
        <v>94</v>
      </c>
      <c r="J59" s="29" t="s">
        <v>343</v>
      </c>
      <c r="K59" s="29" t="str">
        <f>VLOOKUP(LEFT(H59, 7), 'קטלוג תרחישים'!$A:$L, 12, FALSE)</f>
        <v>ג׳</v>
      </c>
      <c r="L59" s="29" t="str">
        <f>IF(J59="כן", K59, VLOOKUP(LEFT(H59, 7), 'קטלוג תרחישים'!$A:$M, 13, FALSE))</f>
        <v>א׳</v>
      </c>
    </row>
    <row r="60" spans="1:12">
      <c r="A60" s="29" t="s">
        <v>124</v>
      </c>
      <c r="B60" s="29">
        <v>26</v>
      </c>
      <c r="C60" s="29" t="s">
        <v>341</v>
      </c>
      <c r="D60" s="29">
        <v>2</v>
      </c>
      <c r="E60" s="29" t="s">
        <v>105</v>
      </c>
      <c r="F60" s="29" t="s">
        <v>344</v>
      </c>
      <c r="G60" s="29" t="s">
        <v>91</v>
      </c>
      <c r="H60" s="29" t="s">
        <v>108</v>
      </c>
      <c r="I60" s="29" t="s">
        <v>89</v>
      </c>
      <c r="J60" s="29" t="s">
        <v>340</v>
      </c>
      <c r="K60" s="29" t="str">
        <f>VLOOKUP(LEFT(H60, 7), 'קטלוג תרחישים'!$A:$L, 12, FALSE)</f>
        <v>א׳</v>
      </c>
      <c r="L60" s="29" t="str">
        <f>IF(J60="כן", K60, VLOOKUP(LEFT(H60, 7), 'קטלוג תרחישים'!$A:$M, 13, FALSE))</f>
        <v>א׳</v>
      </c>
    </row>
    <row r="61" spans="1:12">
      <c r="A61" s="29" t="s">
        <v>124</v>
      </c>
      <c r="B61" s="29">
        <v>27</v>
      </c>
      <c r="C61" s="29" t="s">
        <v>341</v>
      </c>
      <c r="D61" s="29">
        <v>2</v>
      </c>
      <c r="E61" s="29" t="s">
        <v>105</v>
      </c>
      <c r="F61" s="29" t="s">
        <v>344</v>
      </c>
      <c r="G61" s="29" t="s">
        <v>91</v>
      </c>
      <c r="H61" s="29" t="s">
        <v>109</v>
      </c>
      <c r="I61" s="29" t="s">
        <v>94</v>
      </c>
      <c r="J61" s="29" t="s">
        <v>340</v>
      </c>
      <c r="K61" s="29" t="str">
        <f>VLOOKUP(LEFT(H61, 7), 'קטלוג תרחישים'!$A:$L, 12, FALSE)</f>
        <v>ב׳</v>
      </c>
      <c r="L61" s="29" t="str">
        <f>IF(J61="כן", K61, VLOOKUP(LEFT(H61, 7), 'קטלוג תרחישים'!$A:$M, 13, FALSE))</f>
        <v>ב׳</v>
      </c>
    </row>
    <row r="62" spans="1:12">
      <c r="A62" s="29" t="s">
        <v>124</v>
      </c>
      <c r="B62" s="29">
        <v>28</v>
      </c>
      <c r="C62" s="29" t="s">
        <v>341</v>
      </c>
      <c r="D62" s="29">
        <v>2</v>
      </c>
      <c r="E62" s="29" t="s">
        <v>105</v>
      </c>
      <c r="F62" s="29" t="s">
        <v>344</v>
      </c>
      <c r="G62" s="29" t="s">
        <v>91</v>
      </c>
      <c r="H62" s="29" t="s">
        <v>110</v>
      </c>
      <c r="I62" s="29" t="s">
        <v>89</v>
      </c>
      <c r="J62" s="29" t="s">
        <v>340</v>
      </c>
      <c r="K62" s="29" t="str">
        <f>VLOOKUP(LEFT(H62, 7), 'קטלוג תרחישים'!$A:$L, 12, FALSE)</f>
        <v>ג׳</v>
      </c>
      <c r="L62" s="29" t="str">
        <f>IF(J62="כן", K62, VLOOKUP(LEFT(H62, 7), 'קטלוג תרחישים'!$A:$M, 13, FALSE))</f>
        <v>ג׳</v>
      </c>
    </row>
    <row r="63" spans="1:12">
      <c r="A63" s="29" t="s">
        <v>124</v>
      </c>
      <c r="B63" s="29">
        <v>29</v>
      </c>
      <c r="C63" s="29" t="s">
        <v>341</v>
      </c>
      <c r="D63" s="29">
        <v>3</v>
      </c>
      <c r="E63" s="29" t="s">
        <v>92</v>
      </c>
      <c r="F63" s="29" t="s">
        <v>344</v>
      </c>
      <c r="G63" s="29" t="s">
        <v>91</v>
      </c>
      <c r="H63" s="29" t="s">
        <v>98</v>
      </c>
      <c r="I63" s="29" t="s">
        <v>94</v>
      </c>
      <c r="J63" s="29" t="s">
        <v>340</v>
      </c>
      <c r="K63" s="29" t="str">
        <f>VLOOKUP(LEFT(H63, 7), 'קטלוג תרחישים'!$A:$L, 12, FALSE)</f>
        <v>ג׳</v>
      </c>
      <c r="L63" s="29" t="str">
        <f>IF(J63="כן", K63, VLOOKUP(LEFT(H63, 7), 'קטלוג תרחישים'!$A:$M, 13, FALSE))</f>
        <v>ג׳</v>
      </c>
    </row>
    <row r="64" spans="1:12">
      <c r="A64" s="29" t="s">
        <v>124</v>
      </c>
      <c r="B64" s="29">
        <v>30</v>
      </c>
      <c r="C64" s="29" t="s">
        <v>341</v>
      </c>
      <c r="D64" s="29">
        <v>3</v>
      </c>
      <c r="E64" s="29" t="s">
        <v>92</v>
      </c>
      <c r="F64" s="29" t="s">
        <v>344</v>
      </c>
      <c r="G64" s="29" t="s">
        <v>91</v>
      </c>
      <c r="H64" s="29" t="s">
        <v>97</v>
      </c>
      <c r="I64" s="29" t="s">
        <v>89</v>
      </c>
      <c r="J64" s="29" t="s">
        <v>340</v>
      </c>
      <c r="K64" s="29" t="str">
        <f>VLOOKUP(LEFT(H64, 7), 'קטלוג תרחישים'!$A:$L, 12, FALSE)</f>
        <v>ג׳</v>
      </c>
      <c r="L64" s="29" t="str">
        <f>IF(J64="כן", K64, VLOOKUP(LEFT(H64, 7), 'קטלוג תרחישים'!$A:$M, 13, FALSE))</f>
        <v>ג׳</v>
      </c>
    </row>
    <row r="65" spans="1:12">
      <c r="A65" s="29" t="s">
        <v>124</v>
      </c>
      <c r="B65" s="29">
        <v>31</v>
      </c>
      <c r="C65" s="29" t="s">
        <v>341</v>
      </c>
      <c r="D65" s="29">
        <v>3</v>
      </c>
      <c r="E65" s="29" t="s">
        <v>92</v>
      </c>
      <c r="F65" s="29" t="s">
        <v>344</v>
      </c>
      <c r="G65" s="29" t="s">
        <v>91</v>
      </c>
      <c r="H65" s="29" t="s">
        <v>96</v>
      </c>
      <c r="I65" s="29" t="s">
        <v>94</v>
      </c>
      <c r="J65" s="29" t="s">
        <v>340</v>
      </c>
      <c r="K65" s="29" t="str">
        <f>VLOOKUP(LEFT(H65, 7), 'קטלוג תרחישים'!$A:$L, 12, FALSE)</f>
        <v>ב׳</v>
      </c>
      <c r="L65" s="29" t="str">
        <f>IF(J65="כן", K65, VLOOKUP(LEFT(H65, 7), 'קטלוג תרחישים'!$A:$M, 13, FALSE))</f>
        <v>ב׳</v>
      </c>
    </row>
    <row r="66" spans="1:12">
      <c r="A66" s="29" t="s">
        <v>124</v>
      </c>
      <c r="B66" s="29">
        <v>32</v>
      </c>
      <c r="C66" s="29" t="s">
        <v>341</v>
      </c>
      <c r="D66" s="29">
        <v>3</v>
      </c>
      <c r="E66" s="29" t="s">
        <v>92</v>
      </c>
      <c r="F66" s="29" t="s">
        <v>344</v>
      </c>
      <c r="G66" s="29" t="s">
        <v>91</v>
      </c>
      <c r="H66" s="29" t="s">
        <v>95</v>
      </c>
      <c r="I66" s="29" t="s">
        <v>89</v>
      </c>
      <c r="J66" s="29" t="s">
        <v>340</v>
      </c>
      <c r="K66" s="29" t="str">
        <f>VLOOKUP(LEFT(H66, 7), 'קטלוג תרחישים'!$A:$L, 12, FALSE)</f>
        <v>ג׳</v>
      </c>
      <c r="L66" s="29" t="str">
        <f>IF(J66="כן", K66, VLOOKUP(LEFT(H66, 7), 'קטלוג תרחישים'!$A:$M, 13, FALSE))</f>
        <v>ג׳</v>
      </c>
    </row>
    <row r="67" spans="1:12">
      <c r="A67" s="29" t="s">
        <v>124</v>
      </c>
      <c r="B67" s="29">
        <v>33</v>
      </c>
      <c r="C67" s="29" t="s">
        <v>341</v>
      </c>
      <c r="D67" s="29">
        <v>3</v>
      </c>
      <c r="E67" s="29" t="s">
        <v>92</v>
      </c>
      <c r="F67" s="29" t="s">
        <v>344</v>
      </c>
      <c r="G67" s="29" t="s">
        <v>91</v>
      </c>
      <c r="H67" s="29" t="s">
        <v>93</v>
      </c>
      <c r="I67" s="29" t="s">
        <v>94</v>
      </c>
      <c r="J67" s="29" t="s">
        <v>343</v>
      </c>
      <c r="K67" s="29" t="str">
        <f>VLOOKUP(LEFT(H67, 7), 'קטלוג תרחישים'!$A:$L, 12, FALSE)</f>
        <v>א׳</v>
      </c>
      <c r="L67" s="29" t="str">
        <f>IF(J67="כן", K67, VLOOKUP(LEFT(H67, 7), 'קטלוג תרחישים'!$A:$M, 13, FALSE))</f>
        <v>ב׳</v>
      </c>
    </row>
    <row r="68" spans="1:12">
      <c r="A68" s="29" t="s">
        <v>127</v>
      </c>
      <c r="B68" s="29">
        <v>1</v>
      </c>
      <c r="C68" s="29" t="s">
        <v>339</v>
      </c>
      <c r="D68" s="29"/>
      <c r="E68" s="29" t="s">
        <v>92</v>
      </c>
      <c r="F68" s="29"/>
      <c r="G68" s="29"/>
      <c r="H68" s="30" t="s">
        <v>351</v>
      </c>
      <c r="I68" s="29" t="s">
        <v>89</v>
      </c>
      <c r="J68" s="29" t="s">
        <v>340</v>
      </c>
      <c r="K68" s="29" t="str">
        <f>VLOOKUP(LEFT(H68, 7), 'קטלוג תרחישים'!$A:$L, 12, FALSE)</f>
        <v>א׳</v>
      </c>
      <c r="L68" s="29" t="str">
        <f>IF(J68="כן", K68, VLOOKUP(LEFT(H68, 7), 'קטלוג תרחישים'!$A:$M, 13, FALSE))</f>
        <v>א׳</v>
      </c>
    </row>
    <row r="69" spans="1:12">
      <c r="A69" s="29" t="s">
        <v>127</v>
      </c>
      <c r="B69" s="29">
        <v>2</v>
      </c>
      <c r="C69" s="29" t="s">
        <v>339</v>
      </c>
      <c r="D69" s="29"/>
      <c r="E69" s="29" t="s">
        <v>92</v>
      </c>
      <c r="F69" s="29"/>
      <c r="G69" s="29"/>
      <c r="H69" s="30" t="s">
        <v>88</v>
      </c>
      <c r="I69" s="29" t="s">
        <v>89</v>
      </c>
      <c r="J69" s="29" t="s">
        <v>340</v>
      </c>
      <c r="K69" s="29" t="str">
        <f>VLOOKUP(LEFT(H69, 7), 'קטלוג תרחישים'!$A:$L, 12, FALSE)</f>
        <v>א׳</v>
      </c>
      <c r="L69" s="29" t="str">
        <f>IF(J69="כן", K69, VLOOKUP(LEFT(H69, 7), 'קטלוג תרחישים'!$A:$M, 13, FALSE))</f>
        <v>א׳</v>
      </c>
    </row>
    <row r="70" spans="1:12">
      <c r="A70" s="29" t="s">
        <v>127</v>
      </c>
      <c r="B70" s="29">
        <v>3</v>
      </c>
      <c r="C70" s="29" t="s">
        <v>339</v>
      </c>
      <c r="D70" s="29"/>
      <c r="E70" s="29" t="s">
        <v>99</v>
      </c>
      <c r="F70" s="29"/>
      <c r="G70" s="29"/>
      <c r="H70" s="30" t="s">
        <v>352</v>
      </c>
      <c r="I70" s="29" t="s">
        <v>89</v>
      </c>
      <c r="J70" s="29" t="s">
        <v>340</v>
      </c>
      <c r="K70" s="29" t="str">
        <f>VLOOKUP(LEFT(H70, 7), 'קטלוג תרחישים'!$A:$L, 12, FALSE)</f>
        <v>ב׳</v>
      </c>
      <c r="L70" s="29" t="str">
        <f>IF(J70="כן", K70, VLOOKUP(LEFT(H70, 7), 'קטלוג תרחישים'!$A:$M, 13, FALSE))</f>
        <v>ב׳</v>
      </c>
    </row>
    <row r="71" spans="1:12">
      <c r="A71" s="29" t="s">
        <v>127</v>
      </c>
      <c r="B71" s="29">
        <v>4</v>
      </c>
      <c r="C71" s="29" t="s">
        <v>339</v>
      </c>
      <c r="D71" s="29"/>
      <c r="E71" s="29" t="s">
        <v>99</v>
      </c>
      <c r="F71" s="29"/>
      <c r="G71" s="29"/>
      <c r="H71" s="30" t="s">
        <v>353</v>
      </c>
      <c r="I71" s="29" t="s">
        <v>89</v>
      </c>
      <c r="J71" s="29" t="s">
        <v>340</v>
      </c>
      <c r="K71" s="29" t="str">
        <f>VLOOKUP(LEFT(H71, 7), 'קטלוג תרחישים'!$A:$L, 12, FALSE)</f>
        <v>ב׳</v>
      </c>
      <c r="L71" s="29" t="str">
        <f>IF(J71="כן", K71, VLOOKUP(LEFT(H71, 7), 'קטלוג תרחישים'!$A:$M, 13, FALSE))</f>
        <v>ב׳</v>
      </c>
    </row>
    <row r="72" spans="1:12">
      <c r="A72" s="29" t="s">
        <v>127</v>
      </c>
      <c r="B72" s="29">
        <v>5</v>
      </c>
      <c r="C72" s="29" t="s">
        <v>339</v>
      </c>
      <c r="D72" s="29"/>
      <c r="E72" s="29" t="s">
        <v>105</v>
      </c>
      <c r="F72" s="29"/>
      <c r="G72" s="29"/>
      <c r="H72" s="30" t="s">
        <v>354</v>
      </c>
      <c r="I72" s="29" t="s">
        <v>89</v>
      </c>
      <c r="J72" s="29" t="s">
        <v>340</v>
      </c>
      <c r="K72" s="29" t="str">
        <f>VLOOKUP(LEFT(H72, 7), 'קטלוג תרחישים'!$A:$L, 12, FALSE)</f>
        <v>ג׳</v>
      </c>
      <c r="L72" s="29" t="str">
        <f>IF(J72="כן", K72, VLOOKUP(LEFT(H72, 7), 'קטלוג תרחישים'!$A:$M, 13, FALSE))</f>
        <v>ג׳</v>
      </c>
    </row>
    <row r="73" spans="1:12">
      <c r="A73" s="29" t="s">
        <v>127</v>
      </c>
      <c r="B73" s="29">
        <v>6</v>
      </c>
      <c r="C73" s="29" t="s">
        <v>339</v>
      </c>
      <c r="D73" s="29"/>
      <c r="E73" s="29" t="s">
        <v>105</v>
      </c>
      <c r="F73" s="29"/>
      <c r="G73" s="29"/>
      <c r="H73" s="30" t="s">
        <v>90</v>
      </c>
      <c r="I73" s="29" t="s">
        <v>89</v>
      </c>
      <c r="J73" s="29" t="s">
        <v>340</v>
      </c>
      <c r="K73" s="29" t="str">
        <f>VLOOKUP(LEFT(H73, 7), 'קטלוג תרחישים'!$A:$L, 12, FALSE)</f>
        <v>ג׳</v>
      </c>
      <c r="L73" s="29" t="str">
        <f>IF(J73="כן", K73, VLOOKUP(LEFT(H73, 7), 'קטלוג תרחישים'!$A:$M, 13, FALSE))</f>
        <v>ג׳</v>
      </c>
    </row>
    <row r="74" spans="1:12">
      <c r="A74" s="29" t="s">
        <v>127</v>
      </c>
      <c r="B74" s="29">
        <v>7</v>
      </c>
      <c r="C74" s="29" t="s">
        <v>341</v>
      </c>
      <c r="D74" s="29">
        <v>1</v>
      </c>
      <c r="E74" s="29" t="s">
        <v>105</v>
      </c>
      <c r="F74" s="29" t="s">
        <v>342</v>
      </c>
      <c r="G74" s="29" t="s">
        <v>91</v>
      </c>
      <c r="H74" s="29" t="s">
        <v>110</v>
      </c>
      <c r="I74" s="29" t="s">
        <v>89</v>
      </c>
      <c r="J74" s="29" t="s">
        <v>340</v>
      </c>
      <c r="K74" s="29" t="str">
        <f>VLOOKUP(LEFT(H74, 7), 'קטלוג תרחישים'!$A:$L, 12, FALSE)</f>
        <v>ג׳</v>
      </c>
      <c r="L74" s="29" t="str">
        <f>IF(J74="כן", K74, VLOOKUP(LEFT(H74, 7), 'קטלוג תרחישים'!$A:$M, 13, FALSE))</f>
        <v>ג׳</v>
      </c>
    </row>
    <row r="75" spans="1:12">
      <c r="A75" s="29" t="s">
        <v>127</v>
      </c>
      <c r="B75" s="29">
        <v>8</v>
      </c>
      <c r="C75" s="29" t="s">
        <v>341</v>
      </c>
      <c r="D75" s="29">
        <v>1</v>
      </c>
      <c r="E75" s="29" t="s">
        <v>105</v>
      </c>
      <c r="F75" s="29" t="s">
        <v>342</v>
      </c>
      <c r="G75" s="29" t="s">
        <v>91</v>
      </c>
      <c r="H75" s="29" t="s">
        <v>109</v>
      </c>
      <c r="I75" s="29" t="s">
        <v>94</v>
      </c>
      <c r="J75" s="29" t="s">
        <v>340</v>
      </c>
      <c r="K75" s="29" t="str">
        <f>VLOOKUP(LEFT(H75, 7), 'קטלוג תרחישים'!$A:$L, 12, FALSE)</f>
        <v>ב׳</v>
      </c>
      <c r="L75" s="29" t="str">
        <f>IF(J75="כן", K75, VLOOKUP(LEFT(H75, 7), 'קטלוג תרחישים'!$A:$M, 13, FALSE))</f>
        <v>ב׳</v>
      </c>
    </row>
    <row r="76" spans="1:12">
      <c r="A76" s="29" t="s">
        <v>127</v>
      </c>
      <c r="B76" s="29">
        <v>9</v>
      </c>
      <c r="C76" s="29" t="s">
        <v>341</v>
      </c>
      <c r="D76" s="29">
        <v>1</v>
      </c>
      <c r="E76" s="29" t="s">
        <v>105</v>
      </c>
      <c r="F76" s="29" t="s">
        <v>342</v>
      </c>
      <c r="G76" s="29" t="s">
        <v>91</v>
      </c>
      <c r="H76" s="29" t="s">
        <v>108</v>
      </c>
      <c r="I76" s="29" t="s">
        <v>89</v>
      </c>
      <c r="J76" s="29" t="s">
        <v>340</v>
      </c>
      <c r="K76" s="29" t="str">
        <f>VLOOKUP(LEFT(H76, 7), 'קטלוג תרחישים'!$A:$L, 12, FALSE)</f>
        <v>א׳</v>
      </c>
      <c r="L76" s="29" t="str">
        <f>IF(J76="כן", K76, VLOOKUP(LEFT(H76, 7), 'קטלוג תרחישים'!$A:$M, 13, FALSE))</f>
        <v>א׳</v>
      </c>
    </row>
    <row r="77" spans="1:12">
      <c r="A77" s="29" t="s">
        <v>127</v>
      </c>
      <c r="B77" s="29">
        <v>10</v>
      </c>
      <c r="C77" s="29" t="s">
        <v>341</v>
      </c>
      <c r="D77" s="29">
        <v>1</v>
      </c>
      <c r="E77" s="29" t="s">
        <v>105</v>
      </c>
      <c r="F77" s="29" t="s">
        <v>342</v>
      </c>
      <c r="G77" s="29" t="s">
        <v>91</v>
      </c>
      <c r="H77" s="29" t="s">
        <v>107</v>
      </c>
      <c r="I77" s="29" t="s">
        <v>94</v>
      </c>
      <c r="J77" s="29" t="s">
        <v>340</v>
      </c>
      <c r="K77" s="29" t="str">
        <f>VLOOKUP(LEFT(H77, 7), 'קטלוג תרחישים'!$A:$L, 12, FALSE)</f>
        <v>ג׳</v>
      </c>
      <c r="L77" s="29" t="str">
        <f>IF(J77="כן", K77, VLOOKUP(LEFT(H77, 7), 'קטלוג תרחישים'!$A:$M, 13, FALSE))</f>
        <v>ג׳</v>
      </c>
    </row>
    <row r="78" spans="1:12">
      <c r="A78" s="29" t="s">
        <v>127</v>
      </c>
      <c r="B78" s="29">
        <v>11</v>
      </c>
      <c r="C78" s="29" t="s">
        <v>341</v>
      </c>
      <c r="D78" s="29">
        <v>1</v>
      </c>
      <c r="E78" s="29" t="s">
        <v>105</v>
      </c>
      <c r="F78" s="29" t="s">
        <v>342</v>
      </c>
      <c r="G78" s="29" t="s">
        <v>91</v>
      </c>
      <c r="H78" s="29" t="s">
        <v>106</v>
      </c>
      <c r="I78" s="29" t="s">
        <v>89</v>
      </c>
      <c r="J78" s="29" t="s">
        <v>343</v>
      </c>
      <c r="K78" s="29" t="str">
        <f>VLOOKUP(LEFT(H78, 7), 'קטלוג תרחישים'!$A:$L, 12, FALSE)</f>
        <v>א׳</v>
      </c>
      <c r="L78" s="29" t="str">
        <f>IF(J78="כן", K78, VLOOKUP(LEFT(H78, 7), 'קטלוג תרחישים'!$A:$M, 13, FALSE))</f>
        <v>ג׳</v>
      </c>
    </row>
    <row r="79" spans="1:12">
      <c r="A79" s="29" t="s">
        <v>127</v>
      </c>
      <c r="B79" s="29">
        <v>12</v>
      </c>
      <c r="C79" s="29" t="s">
        <v>341</v>
      </c>
      <c r="D79" s="29">
        <v>2</v>
      </c>
      <c r="E79" s="29" t="s">
        <v>92</v>
      </c>
      <c r="F79" s="29" t="s">
        <v>342</v>
      </c>
      <c r="G79" s="29" t="s">
        <v>91</v>
      </c>
      <c r="H79" s="29" t="s">
        <v>98</v>
      </c>
      <c r="I79" s="29" t="s">
        <v>94</v>
      </c>
      <c r="J79" s="29" t="s">
        <v>340</v>
      </c>
      <c r="K79" s="29" t="str">
        <f>VLOOKUP(LEFT(H79, 7), 'קטלוג תרחישים'!$A:$L, 12, FALSE)</f>
        <v>ג׳</v>
      </c>
      <c r="L79" s="29" t="str">
        <f>IF(J79="כן", K79, VLOOKUP(LEFT(H79, 7), 'קטלוג תרחישים'!$A:$M, 13, FALSE))</f>
        <v>ג׳</v>
      </c>
    </row>
    <row r="80" spans="1:12">
      <c r="A80" s="29" t="s">
        <v>127</v>
      </c>
      <c r="B80" s="29">
        <v>13</v>
      </c>
      <c r="C80" s="29" t="s">
        <v>341</v>
      </c>
      <c r="D80" s="29">
        <v>2</v>
      </c>
      <c r="E80" s="29" t="s">
        <v>92</v>
      </c>
      <c r="F80" s="29" t="s">
        <v>342</v>
      </c>
      <c r="G80" s="29" t="s">
        <v>91</v>
      </c>
      <c r="H80" s="29" t="s">
        <v>97</v>
      </c>
      <c r="I80" s="29" t="s">
        <v>89</v>
      </c>
      <c r="J80" s="29" t="s">
        <v>340</v>
      </c>
      <c r="K80" s="29" t="str">
        <f>VLOOKUP(LEFT(H80, 7), 'קטלוג תרחישים'!$A:$L, 12, FALSE)</f>
        <v>ג׳</v>
      </c>
      <c r="L80" s="29" t="str">
        <f>IF(J80="כן", K80, VLOOKUP(LEFT(H80, 7), 'קטלוג תרחישים'!$A:$M, 13, FALSE))</f>
        <v>ג׳</v>
      </c>
    </row>
    <row r="81" spans="1:12">
      <c r="A81" s="29" t="s">
        <v>127</v>
      </c>
      <c r="B81" s="29">
        <v>14</v>
      </c>
      <c r="C81" s="29" t="s">
        <v>341</v>
      </c>
      <c r="D81" s="29">
        <v>2</v>
      </c>
      <c r="E81" s="29" t="s">
        <v>92</v>
      </c>
      <c r="F81" s="29" t="s">
        <v>342</v>
      </c>
      <c r="G81" s="29" t="s">
        <v>91</v>
      </c>
      <c r="H81" s="29" t="s">
        <v>96</v>
      </c>
      <c r="I81" s="29" t="s">
        <v>94</v>
      </c>
      <c r="J81" s="29" t="s">
        <v>340</v>
      </c>
      <c r="K81" s="29" t="str">
        <f>VLOOKUP(LEFT(H81, 7), 'קטלוג תרחישים'!$A:$L, 12, FALSE)</f>
        <v>ב׳</v>
      </c>
      <c r="L81" s="29" t="str">
        <f>IF(J81="כן", K81, VLOOKUP(LEFT(H81, 7), 'קטלוג תרחישים'!$A:$M, 13, FALSE))</f>
        <v>ב׳</v>
      </c>
    </row>
    <row r="82" spans="1:12">
      <c r="A82" s="29" t="s">
        <v>127</v>
      </c>
      <c r="B82" s="29">
        <v>15</v>
      </c>
      <c r="C82" s="29" t="s">
        <v>341</v>
      </c>
      <c r="D82" s="29">
        <v>2</v>
      </c>
      <c r="E82" s="29" t="s">
        <v>92</v>
      </c>
      <c r="F82" s="29" t="s">
        <v>342</v>
      </c>
      <c r="G82" s="29" t="s">
        <v>91</v>
      </c>
      <c r="H82" s="29" t="s">
        <v>95</v>
      </c>
      <c r="I82" s="29" t="s">
        <v>89</v>
      </c>
      <c r="J82" s="29" t="s">
        <v>343</v>
      </c>
      <c r="K82" s="29" t="str">
        <f>VLOOKUP(LEFT(H82, 7), 'קטלוג תרחישים'!$A:$L, 12, FALSE)</f>
        <v>ג׳</v>
      </c>
      <c r="L82" s="29" t="str">
        <f>IF(J82="כן", K82, VLOOKUP(LEFT(H82, 7), 'קטלוג תרחישים'!$A:$M, 13, FALSE))</f>
        <v>א׳</v>
      </c>
    </row>
    <row r="83" spans="1:12">
      <c r="A83" s="29" t="s">
        <v>127</v>
      </c>
      <c r="B83" s="29">
        <v>16</v>
      </c>
      <c r="C83" s="29" t="s">
        <v>341</v>
      </c>
      <c r="D83" s="29">
        <v>2</v>
      </c>
      <c r="E83" s="29" t="s">
        <v>92</v>
      </c>
      <c r="F83" s="29" t="s">
        <v>342</v>
      </c>
      <c r="G83" s="29" t="s">
        <v>91</v>
      </c>
      <c r="H83" s="29" t="s">
        <v>93</v>
      </c>
      <c r="I83" s="29" t="s">
        <v>94</v>
      </c>
      <c r="J83" s="29" t="s">
        <v>340</v>
      </c>
      <c r="K83" s="29" t="str">
        <f>VLOOKUP(LEFT(H83, 7), 'קטלוג תרחישים'!$A:$L, 12, FALSE)</f>
        <v>א׳</v>
      </c>
      <c r="L83" s="29" t="str">
        <f>IF(J83="כן", K83, VLOOKUP(LEFT(H83, 7), 'קטלוג תרחישים'!$A:$M, 13, FALSE))</f>
        <v>א׳</v>
      </c>
    </row>
    <row r="84" spans="1:12">
      <c r="A84" s="29" t="s">
        <v>127</v>
      </c>
      <c r="B84" s="29">
        <v>17</v>
      </c>
      <c r="C84" s="29" t="s">
        <v>341</v>
      </c>
      <c r="D84" s="29">
        <v>3</v>
      </c>
      <c r="E84" s="29" t="s">
        <v>99</v>
      </c>
      <c r="F84" s="29" t="s">
        <v>342</v>
      </c>
      <c r="G84" s="29" t="s">
        <v>91</v>
      </c>
      <c r="H84" s="29" t="s">
        <v>100</v>
      </c>
      <c r="I84" s="29" t="s">
        <v>89</v>
      </c>
      <c r="J84" s="29" t="s">
        <v>340</v>
      </c>
      <c r="K84" s="29" t="str">
        <f>VLOOKUP(LEFT(H84, 7), 'קטלוג תרחישים'!$A:$L, 12, FALSE)</f>
        <v>ב׳</v>
      </c>
      <c r="L84" s="29" t="str">
        <f>IF(J84="כן", K84, VLOOKUP(LEFT(H84, 7), 'קטלוג תרחישים'!$A:$M, 13, FALSE))</f>
        <v>ב׳</v>
      </c>
    </row>
    <row r="85" spans="1:12">
      <c r="A85" s="29" t="s">
        <v>127</v>
      </c>
      <c r="B85" s="29">
        <v>18</v>
      </c>
      <c r="C85" s="29" t="s">
        <v>341</v>
      </c>
      <c r="D85" s="29">
        <v>3</v>
      </c>
      <c r="E85" s="29" t="s">
        <v>99</v>
      </c>
      <c r="F85" s="29" t="s">
        <v>342</v>
      </c>
      <c r="G85" s="29" t="s">
        <v>91</v>
      </c>
      <c r="H85" s="29" t="s">
        <v>101</v>
      </c>
      <c r="I85" s="29" t="s">
        <v>94</v>
      </c>
      <c r="J85" s="29" t="s">
        <v>340</v>
      </c>
      <c r="K85" s="29" t="str">
        <f>VLOOKUP(LEFT(H85, 7), 'קטלוג תרחישים'!$A:$L, 12, FALSE)</f>
        <v>א׳</v>
      </c>
      <c r="L85" s="29" t="str">
        <f>IF(J85="כן", K85, VLOOKUP(LEFT(H85, 7), 'קטלוג תרחישים'!$A:$M, 13, FALSE))</f>
        <v>א׳</v>
      </c>
    </row>
    <row r="86" spans="1:12">
      <c r="A86" s="29" t="s">
        <v>127</v>
      </c>
      <c r="B86" s="29">
        <v>19</v>
      </c>
      <c r="C86" s="29" t="s">
        <v>341</v>
      </c>
      <c r="D86" s="29">
        <v>3</v>
      </c>
      <c r="E86" s="29" t="s">
        <v>99</v>
      </c>
      <c r="F86" s="29" t="s">
        <v>342</v>
      </c>
      <c r="G86" s="29" t="s">
        <v>91</v>
      </c>
      <c r="H86" s="29" t="s">
        <v>104</v>
      </c>
      <c r="I86" s="29" t="s">
        <v>89</v>
      </c>
      <c r="J86" s="29" t="s">
        <v>340</v>
      </c>
      <c r="K86" s="29" t="str">
        <f>VLOOKUP(LEFT(H86, 7), 'קטלוג תרחישים'!$A:$L, 12, FALSE)</f>
        <v>א׳</v>
      </c>
      <c r="L86" s="29" t="str">
        <f>IF(J86="כן", K86, VLOOKUP(LEFT(H86, 7), 'קטלוג תרחישים'!$A:$M, 13, FALSE))</f>
        <v>א׳</v>
      </c>
    </row>
    <row r="87" spans="1:12">
      <c r="A87" s="29" t="s">
        <v>127</v>
      </c>
      <c r="B87" s="29">
        <v>20</v>
      </c>
      <c r="C87" s="29" t="s">
        <v>341</v>
      </c>
      <c r="D87" s="29">
        <v>3</v>
      </c>
      <c r="E87" s="29" t="s">
        <v>99</v>
      </c>
      <c r="F87" s="29" t="s">
        <v>342</v>
      </c>
      <c r="G87" s="29" t="s">
        <v>91</v>
      </c>
      <c r="H87" s="29" t="s">
        <v>103</v>
      </c>
      <c r="I87" s="29" t="s">
        <v>94</v>
      </c>
      <c r="J87" s="29" t="s">
        <v>340</v>
      </c>
      <c r="K87" s="29" t="str">
        <f>VLOOKUP(LEFT(H87, 7), 'קטלוג תרחישים'!$A:$L, 12, FALSE)</f>
        <v>ג׳</v>
      </c>
      <c r="L87" s="29" t="str">
        <f>IF(J87="כן", K87, VLOOKUP(LEFT(H87, 7), 'קטלוג תרחישים'!$A:$M, 13, FALSE))</f>
        <v>ג׳</v>
      </c>
    </row>
    <row r="88" spans="1:12">
      <c r="A88" s="29" t="s">
        <v>127</v>
      </c>
      <c r="B88" s="29">
        <v>21</v>
      </c>
      <c r="C88" s="29" t="s">
        <v>341</v>
      </c>
      <c r="D88" s="29">
        <v>3</v>
      </c>
      <c r="E88" s="29" t="s">
        <v>99</v>
      </c>
      <c r="F88" s="29" t="s">
        <v>342</v>
      </c>
      <c r="G88" s="29" t="s">
        <v>91</v>
      </c>
      <c r="H88" s="29" t="s">
        <v>102</v>
      </c>
      <c r="I88" s="29" t="s">
        <v>89</v>
      </c>
      <c r="J88" s="29" t="s">
        <v>343</v>
      </c>
      <c r="K88" s="29" t="str">
        <f>VLOOKUP(LEFT(H88, 7), 'קטלוג תרחישים'!$A:$L, 12, FALSE)</f>
        <v>ב׳</v>
      </c>
      <c r="L88" s="29" t="str">
        <f>IF(J88="כן", K88, VLOOKUP(LEFT(H88, 7), 'קטלוג תרחישים'!$A:$M, 13, FALSE))</f>
        <v>א׳</v>
      </c>
    </row>
    <row r="89" spans="1:12">
      <c r="A89" s="29" t="s">
        <v>127</v>
      </c>
      <c r="B89" s="29">
        <v>22</v>
      </c>
      <c r="C89" s="29" t="s">
        <v>341</v>
      </c>
      <c r="D89" s="29">
        <v>1</v>
      </c>
      <c r="E89" s="29" t="s">
        <v>92</v>
      </c>
      <c r="F89" s="29" t="s">
        <v>344</v>
      </c>
      <c r="G89" s="29" t="s">
        <v>111</v>
      </c>
      <c r="H89" s="29" t="s">
        <v>120</v>
      </c>
      <c r="I89" s="29" t="s">
        <v>89</v>
      </c>
      <c r="J89" s="29" t="s">
        <v>340</v>
      </c>
      <c r="K89" s="29" t="str">
        <f>VLOOKUP(LEFT(H89, 7), 'קטלוג תרחישים'!$A:$L, 12, FALSE)</f>
        <v>ב׳</v>
      </c>
      <c r="L89" s="29" t="str">
        <f>IF(J89="כן", K89, VLOOKUP(LEFT(H89, 7), 'קטלוג תרחישים'!$A:$M, 13, FALSE))</f>
        <v>ב׳</v>
      </c>
    </row>
    <row r="90" spans="1:12">
      <c r="A90" s="29" t="s">
        <v>127</v>
      </c>
      <c r="B90" s="29">
        <v>23</v>
      </c>
      <c r="C90" s="29" t="s">
        <v>341</v>
      </c>
      <c r="D90" s="29">
        <v>1</v>
      </c>
      <c r="E90" s="29" t="s">
        <v>92</v>
      </c>
      <c r="F90" s="29" t="s">
        <v>344</v>
      </c>
      <c r="G90" s="29" t="s">
        <v>111</v>
      </c>
      <c r="H90" s="29" t="s">
        <v>123</v>
      </c>
      <c r="I90" s="29" t="s">
        <v>94</v>
      </c>
      <c r="J90" s="29" t="s">
        <v>343</v>
      </c>
      <c r="K90" s="29" t="str">
        <f>VLOOKUP(LEFT(H90, 7), 'קטלוג תרחישים'!$A:$L, 12, FALSE)</f>
        <v>א׳</v>
      </c>
      <c r="L90" s="29" t="str">
        <f>IF(J90="כן", K90, VLOOKUP(LEFT(H90, 7), 'קטלוג תרחישים'!$A:$M, 13, FALSE))</f>
        <v>ב׳</v>
      </c>
    </row>
    <row r="91" spans="1:12">
      <c r="A91" s="29" t="s">
        <v>127</v>
      </c>
      <c r="B91" s="29">
        <v>24</v>
      </c>
      <c r="C91" s="29" t="s">
        <v>341</v>
      </c>
      <c r="D91" s="29">
        <v>1</v>
      </c>
      <c r="E91" s="29" t="s">
        <v>92</v>
      </c>
      <c r="F91" s="29" t="s">
        <v>344</v>
      </c>
      <c r="G91" s="29" t="s">
        <v>111</v>
      </c>
      <c r="H91" s="29" t="s">
        <v>122</v>
      </c>
      <c r="I91" s="29" t="s">
        <v>89</v>
      </c>
      <c r="J91" s="29" t="s">
        <v>343</v>
      </c>
      <c r="K91" s="29" t="str">
        <f>VLOOKUP(LEFT(H91, 7), 'קטלוג תרחישים'!$A:$L, 12, FALSE)</f>
        <v>ג׳</v>
      </c>
      <c r="L91" s="29" t="str">
        <f>IF(J91="כן", K91, VLOOKUP(LEFT(H91, 7), 'קטלוג תרחישים'!$A:$M, 13, FALSE))</f>
        <v>ב׳</v>
      </c>
    </row>
    <row r="92" spans="1:12">
      <c r="A92" s="29" t="s">
        <v>127</v>
      </c>
      <c r="B92" s="29">
        <v>25</v>
      </c>
      <c r="C92" s="29" t="s">
        <v>341</v>
      </c>
      <c r="D92" s="29">
        <v>1</v>
      </c>
      <c r="E92" s="29" t="s">
        <v>92</v>
      </c>
      <c r="F92" s="29" t="s">
        <v>344</v>
      </c>
      <c r="G92" s="29" t="s">
        <v>111</v>
      </c>
      <c r="H92" s="29" t="s">
        <v>121</v>
      </c>
      <c r="I92" s="29" t="s">
        <v>94</v>
      </c>
      <c r="J92" s="29" t="s">
        <v>340</v>
      </c>
      <c r="K92" s="29" t="str">
        <f>VLOOKUP(LEFT(H92, 7), 'קטלוג תרחישים'!$A:$L, 12, FALSE)</f>
        <v>ב׳</v>
      </c>
      <c r="L92" s="29" t="str">
        <f>IF(J92="כן", K92, VLOOKUP(LEFT(H92, 7), 'קטלוג תרחישים'!$A:$M, 13, FALSE))</f>
        <v>ב׳</v>
      </c>
    </row>
    <row r="93" spans="1:12">
      <c r="A93" s="29" t="s">
        <v>127</v>
      </c>
      <c r="B93" s="29">
        <v>26</v>
      </c>
      <c r="C93" s="29" t="s">
        <v>341</v>
      </c>
      <c r="D93" s="29">
        <v>2</v>
      </c>
      <c r="E93" s="29" t="s">
        <v>99</v>
      </c>
      <c r="F93" s="29" t="s">
        <v>344</v>
      </c>
      <c r="G93" s="29" t="s">
        <v>111</v>
      </c>
      <c r="H93" s="29" t="s">
        <v>114</v>
      </c>
      <c r="I93" s="29" t="s">
        <v>89</v>
      </c>
      <c r="J93" s="29" t="s">
        <v>340</v>
      </c>
      <c r="K93" s="29" t="str">
        <f>VLOOKUP(LEFT(H93, 7), 'קטלוג תרחישים'!$A:$L, 12, FALSE)</f>
        <v>א׳</v>
      </c>
      <c r="L93" s="29" t="str">
        <f>IF(J93="כן", K93, VLOOKUP(LEFT(H93, 7), 'קטלוג תרחישים'!$A:$M, 13, FALSE))</f>
        <v>א׳</v>
      </c>
    </row>
    <row r="94" spans="1:12">
      <c r="A94" s="29" t="s">
        <v>127</v>
      </c>
      <c r="B94" s="29">
        <v>27</v>
      </c>
      <c r="C94" s="29" t="s">
        <v>341</v>
      </c>
      <c r="D94" s="29">
        <v>2</v>
      </c>
      <c r="E94" s="29" t="s">
        <v>99</v>
      </c>
      <c r="F94" s="29" t="s">
        <v>344</v>
      </c>
      <c r="G94" s="29" t="s">
        <v>111</v>
      </c>
      <c r="H94" s="29" t="s">
        <v>115</v>
      </c>
      <c r="I94" s="29" t="s">
        <v>94</v>
      </c>
      <c r="J94" s="29" t="s">
        <v>343</v>
      </c>
      <c r="K94" s="29" t="str">
        <f>VLOOKUP(LEFT(H94, 7), 'קטלוג תרחישים'!$A:$L, 12, FALSE)</f>
        <v>ב׳</v>
      </c>
      <c r="L94" s="29" t="str">
        <f>IF(J94="כן", K94, VLOOKUP(LEFT(H94, 7), 'קטלוג תרחישים'!$A:$M, 13, FALSE))</f>
        <v>ג׳</v>
      </c>
    </row>
    <row r="95" spans="1:12">
      <c r="A95" s="29" t="s">
        <v>127</v>
      </c>
      <c r="B95" s="29">
        <v>28</v>
      </c>
      <c r="C95" s="29" t="s">
        <v>341</v>
      </c>
      <c r="D95" s="29">
        <v>2</v>
      </c>
      <c r="E95" s="29" t="s">
        <v>99</v>
      </c>
      <c r="F95" s="29" t="s">
        <v>344</v>
      </c>
      <c r="G95" s="29" t="s">
        <v>111</v>
      </c>
      <c r="H95" s="29" t="s">
        <v>112</v>
      </c>
      <c r="I95" s="29" t="s">
        <v>89</v>
      </c>
      <c r="J95" s="29" t="s">
        <v>343</v>
      </c>
      <c r="K95" s="29" t="str">
        <f>VLOOKUP(LEFT(H95, 7), 'קטלוג תרחישים'!$A:$L, 12, FALSE)</f>
        <v>ג׳</v>
      </c>
      <c r="L95" s="29" t="str">
        <f>IF(J95="כן", K95, VLOOKUP(LEFT(H95, 7), 'קטלוג תרחישים'!$A:$M, 13, FALSE))</f>
        <v>ב׳</v>
      </c>
    </row>
    <row r="96" spans="1:12">
      <c r="A96" s="29" t="s">
        <v>127</v>
      </c>
      <c r="B96" s="29">
        <v>29</v>
      </c>
      <c r="C96" s="29" t="s">
        <v>341</v>
      </c>
      <c r="D96" s="29">
        <v>2</v>
      </c>
      <c r="E96" s="29" t="s">
        <v>99</v>
      </c>
      <c r="F96" s="29" t="s">
        <v>344</v>
      </c>
      <c r="G96" s="29" t="s">
        <v>111</v>
      </c>
      <c r="H96" s="29" t="s">
        <v>113</v>
      </c>
      <c r="I96" s="29" t="s">
        <v>94</v>
      </c>
      <c r="J96" s="29" t="s">
        <v>340</v>
      </c>
      <c r="K96" s="29" t="str">
        <f>VLOOKUP(LEFT(H96, 7), 'קטלוג תרחישים'!$A:$L, 12, FALSE)</f>
        <v>ג׳</v>
      </c>
      <c r="L96" s="29" t="str">
        <f>IF(J96="כן", K96, VLOOKUP(LEFT(H96, 7), 'קטלוג תרחישים'!$A:$M, 13, FALSE))</f>
        <v>ג׳</v>
      </c>
    </row>
    <row r="97" spans="1:12">
      <c r="A97" s="29" t="s">
        <v>127</v>
      </c>
      <c r="B97" s="29">
        <v>30</v>
      </c>
      <c r="C97" s="29" t="s">
        <v>341</v>
      </c>
      <c r="D97" s="29">
        <v>3</v>
      </c>
      <c r="E97" s="29" t="s">
        <v>105</v>
      </c>
      <c r="F97" s="29" t="s">
        <v>344</v>
      </c>
      <c r="G97" s="29" t="s">
        <v>111</v>
      </c>
      <c r="H97" s="29" t="s">
        <v>116</v>
      </c>
      <c r="I97" s="29" t="s">
        <v>89</v>
      </c>
      <c r="J97" s="29" t="s">
        <v>340</v>
      </c>
      <c r="K97" s="29" t="str">
        <f>VLOOKUP(LEFT(H97, 7), 'קטלוג תרחישים'!$A:$L, 12, FALSE)</f>
        <v>ב׳</v>
      </c>
      <c r="L97" s="29" t="str">
        <f>IF(J97="כן", K97, VLOOKUP(LEFT(H97, 7), 'קטלוג תרחישים'!$A:$M, 13, FALSE))</f>
        <v>ב׳</v>
      </c>
    </row>
    <row r="98" spans="1:12">
      <c r="A98" s="29" t="s">
        <v>127</v>
      </c>
      <c r="B98" s="29">
        <v>31</v>
      </c>
      <c r="C98" s="29" t="s">
        <v>341</v>
      </c>
      <c r="D98" s="29">
        <v>3</v>
      </c>
      <c r="E98" s="29" t="s">
        <v>105</v>
      </c>
      <c r="F98" s="29" t="s">
        <v>344</v>
      </c>
      <c r="G98" s="29" t="s">
        <v>111</v>
      </c>
      <c r="H98" s="29" t="s">
        <v>119</v>
      </c>
      <c r="I98" s="29" t="s">
        <v>94</v>
      </c>
      <c r="J98" s="29" t="s">
        <v>340</v>
      </c>
      <c r="K98" s="29" t="str">
        <f>VLOOKUP(LEFT(H98, 7), 'קטלוג תרחישים'!$A:$L, 12, FALSE)</f>
        <v>א׳</v>
      </c>
      <c r="L98" s="29" t="str">
        <f>IF(J98="כן", K98, VLOOKUP(LEFT(H98, 7), 'קטלוג תרחישים'!$A:$M, 13, FALSE))</f>
        <v>א׳</v>
      </c>
    </row>
    <row r="99" spans="1:12">
      <c r="A99" s="29" t="s">
        <v>127</v>
      </c>
      <c r="B99" s="29">
        <v>32</v>
      </c>
      <c r="C99" s="29" t="s">
        <v>341</v>
      </c>
      <c r="D99" s="29">
        <v>3</v>
      </c>
      <c r="E99" s="29" t="s">
        <v>105</v>
      </c>
      <c r="F99" s="29" t="s">
        <v>344</v>
      </c>
      <c r="G99" s="29" t="s">
        <v>111</v>
      </c>
      <c r="H99" s="29" t="s">
        <v>118</v>
      </c>
      <c r="I99" s="29" t="s">
        <v>89</v>
      </c>
      <c r="J99" s="29" t="s">
        <v>343</v>
      </c>
      <c r="K99" s="29" t="str">
        <f>VLOOKUP(LEFT(H99, 7), 'קטלוג תרחישים'!$A:$L, 12, FALSE)</f>
        <v>ב׳</v>
      </c>
      <c r="L99" s="29" t="str">
        <f>IF(J99="כן", K99, VLOOKUP(LEFT(H99, 7), 'קטלוג תרחישים'!$A:$M, 13, FALSE))</f>
        <v>א׳</v>
      </c>
    </row>
    <row r="100" spans="1:12">
      <c r="A100" s="29" t="s">
        <v>127</v>
      </c>
      <c r="B100" s="29">
        <v>33</v>
      </c>
      <c r="C100" s="29" t="s">
        <v>341</v>
      </c>
      <c r="D100" s="29">
        <v>3</v>
      </c>
      <c r="E100" s="29" t="s">
        <v>105</v>
      </c>
      <c r="F100" s="29" t="s">
        <v>344</v>
      </c>
      <c r="G100" s="29" t="s">
        <v>111</v>
      </c>
      <c r="H100" s="29" t="s">
        <v>117</v>
      </c>
      <c r="I100" s="29" t="s">
        <v>94</v>
      </c>
      <c r="J100" s="29" t="s">
        <v>343</v>
      </c>
      <c r="K100" s="29" t="str">
        <f>VLOOKUP(LEFT(H100, 7), 'קטלוג תרחישים'!$A:$L, 12, FALSE)</f>
        <v>א׳</v>
      </c>
      <c r="L100" s="29" t="str">
        <f>IF(J100="כן", K100, VLOOKUP(LEFT(H100, 7), 'קטלוג תרחישים'!$A:$M, 13, FALSE))</f>
        <v>ג׳</v>
      </c>
    </row>
    <row r="101" spans="1:12">
      <c r="A101" s="29" t="s">
        <v>128</v>
      </c>
      <c r="B101" s="29">
        <v>1</v>
      </c>
      <c r="C101" s="29" t="s">
        <v>339</v>
      </c>
      <c r="D101" s="29"/>
      <c r="E101" s="29" t="s">
        <v>92</v>
      </c>
      <c r="F101" s="29"/>
      <c r="G101" s="29"/>
      <c r="H101" s="30" t="s">
        <v>351</v>
      </c>
      <c r="I101" s="29" t="s">
        <v>89</v>
      </c>
      <c r="J101" s="29" t="s">
        <v>340</v>
      </c>
      <c r="K101" s="29" t="str">
        <f>VLOOKUP(LEFT(H101, 7), 'קטלוג תרחישים'!$A:$L, 12, FALSE)</f>
        <v>א׳</v>
      </c>
      <c r="L101" s="29" t="str">
        <f>IF(J101="כן", K101, VLOOKUP(LEFT(H101, 7), 'קטלוג תרחישים'!$A:$M, 13, FALSE))</f>
        <v>א׳</v>
      </c>
    </row>
    <row r="102" spans="1:12">
      <c r="A102" s="29" t="s">
        <v>128</v>
      </c>
      <c r="B102" s="29">
        <v>2</v>
      </c>
      <c r="C102" s="29" t="s">
        <v>339</v>
      </c>
      <c r="D102" s="29"/>
      <c r="E102" s="29" t="s">
        <v>92</v>
      </c>
      <c r="F102" s="29"/>
      <c r="G102" s="29"/>
      <c r="H102" s="30" t="s">
        <v>88</v>
      </c>
      <c r="I102" s="29" t="s">
        <v>89</v>
      </c>
      <c r="J102" s="29" t="s">
        <v>340</v>
      </c>
      <c r="K102" s="29" t="str">
        <f>VLOOKUP(LEFT(H102, 7), 'קטלוג תרחישים'!$A:$L, 12, FALSE)</f>
        <v>א׳</v>
      </c>
      <c r="L102" s="29" t="str">
        <f>IF(J102="כן", K102, VLOOKUP(LEFT(H102, 7), 'קטלוג תרחישים'!$A:$M, 13, FALSE))</f>
        <v>א׳</v>
      </c>
    </row>
    <row r="103" spans="1:12">
      <c r="A103" s="29" t="s">
        <v>128</v>
      </c>
      <c r="B103" s="29">
        <v>3</v>
      </c>
      <c r="C103" s="29" t="s">
        <v>339</v>
      </c>
      <c r="D103" s="29"/>
      <c r="E103" s="29" t="s">
        <v>99</v>
      </c>
      <c r="F103" s="29"/>
      <c r="G103" s="29"/>
      <c r="H103" s="30" t="s">
        <v>352</v>
      </c>
      <c r="I103" s="29" t="s">
        <v>89</v>
      </c>
      <c r="J103" s="29" t="s">
        <v>340</v>
      </c>
      <c r="K103" s="29" t="str">
        <f>VLOOKUP(LEFT(H103, 7), 'קטלוג תרחישים'!$A:$L, 12, FALSE)</f>
        <v>ב׳</v>
      </c>
      <c r="L103" s="29" t="str">
        <f>IF(J103="כן", K103, VLOOKUP(LEFT(H103, 7), 'קטלוג תרחישים'!$A:$M, 13, FALSE))</f>
        <v>ב׳</v>
      </c>
    </row>
    <row r="104" spans="1:12">
      <c r="A104" s="29" t="s">
        <v>128</v>
      </c>
      <c r="B104" s="29">
        <v>4</v>
      </c>
      <c r="C104" s="29" t="s">
        <v>339</v>
      </c>
      <c r="D104" s="29"/>
      <c r="E104" s="29" t="s">
        <v>99</v>
      </c>
      <c r="F104" s="29"/>
      <c r="G104" s="29"/>
      <c r="H104" s="30" t="s">
        <v>353</v>
      </c>
      <c r="I104" s="29" t="s">
        <v>89</v>
      </c>
      <c r="J104" s="29" t="s">
        <v>340</v>
      </c>
      <c r="K104" s="29" t="str">
        <f>VLOOKUP(LEFT(H104, 7), 'קטלוג תרחישים'!$A:$L, 12, FALSE)</f>
        <v>ב׳</v>
      </c>
      <c r="L104" s="29" t="str">
        <f>IF(J104="כן", K104, VLOOKUP(LEFT(H104, 7), 'קטלוג תרחישים'!$A:$M, 13, FALSE))</f>
        <v>ב׳</v>
      </c>
    </row>
    <row r="105" spans="1:12">
      <c r="A105" s="29" t="s">
        <v>128</v>
      </c>
      <c r="B105" s="29">
        <v>5</v>
      </c>
      <c r="C105" s="29" t="s">
        <v>339</v>
      </c>
      <c r="D105" s="29"/>
      <c r="E105" s="29" t="s">
        <v>105</v>
      </c>
      <c r="F105" s="29"/>
      <c r="G105" s="29"/>
      <c r="H105" s="30" t="s">
        <v>354</v>
      </c>
      <c r="I105" s="29" t="s">
        <v>89</v>
      </c>
      <c r="J105" s="29" t="s">
        <v>340</v>
      </c>
      <c r="K105" s="29" t="str">
        <f>VLOOKUP(LEFT(H105, 7), 'קטלוג תרחישים'!$A:$L, 12, FALSE)</f>
        <v>ג׳</v>
      </c>
      <c r="L105" s="29" t="str">
        <f>IF(J105="כן", K105, VLOOKUP(LEFT(H105, 7), 'קטלוג תרחישים'!$A:$M, 13, FALSE))</f>
        <v>ג׳</v>
      </c>
    </row>
    <row r="106" spans="1:12">
      <c r="A106" s="29" t="s">
        <v>128</v>
      </c>
      <c r="B106" s="29">
        <v>6</v>
      </c>
      <c r="C106" s="29" t="s">
        <v>339</v>
      </c>
      <c r="D106" s="29"/>
      <c r="E106" s="29" t="s">
        <v>105</v>
      </c>
      <c r="F106" s="29"/>
      <c r="G106" s="29"/>
      <c r="H106" s="30" t="s">
        <v>90</v>
      </c>
      <c r="I106" s="29" t="s">
        <v>89</v>
      </c>
      <c r="J106" s="29" t="s">
        <v>340</v>
      </c>
      <c r="K106" s="29" t="str">
        <f>VLOOKUP(LEFT(H106, 7), 'קטלוג תרחישים'!$A:$L, 12, FALSE)</f>
        <v>ג׳</v>
      </c>
      <c r="L106" s="29" t="str">
        <f>IF(J106="כן", K106, VLOOKUP(LEFT(H106, 7), 'קטלוג תרחישים'!$A:$M, 13, FALSE))</f>
        <v>ג׳</v>
      </c>
    </row>
    <row r="107" spans="1:12">
      <c r="A107" s="29" t="s">
        <v>128</v>
      </c>
      <c r="B107" s="29">
        <v>7</v>
      </c>
      <c r="C107" s="29" t="s">
        <v>341</v>
      </c>
      <c r="D107" s="29">
        <v>1</v>
      </c>
      <c r="E107" s="29" t="s">
        <v>99</v>
      </c>
      <c r="F107" s="29" t="s">
        <v>342</v>
      </c>
      <c r="G107" s="29" t="s">
        <v>111</v>
      </c>
      <c r="H107" s="29" t="s">
        <v>114</v>
      </c>
      <c r="I107" s="29" t="s">
        <v>89</v>
      </c>
      <c r="J107" s="29" t="s">
        <v>340</v>
      </c>
      <c r="K107" s="29" t="str">
        <f>VLOOKUP(LEFT(H107, 7), 'קטלוג תרחישים'!$A:$L, 12, FALSE)</f>
        <v>א׳</v>
      </c>
      <c r="L107" s="29" t="str">
        <f>IF(J107="כן", K107, VLOOKUP(LEFT(H107, 7), 'קטלוג תרחישים'!$A:$M, 13, FALSE))</f>
        <v>א׳</v>
      </c>
    </row>
    <row r="108" spans="1:12">
      <c r="A108" s="29" t="s">
        <v>128</v>
      </c>
      <c r="B108" s="29">
        <v>8</v>
      </c>
      <c r="C108" s="29" t="s">
        <v>341</v>
      </c>
      <c r="D108" s="29">
        <v>1</v>
      </c>
      <c r="E108" s="29" t="s">
        <v>99</v>
      </c>
      <c r="F108" s="29" t="s">
        <v>342</v>
      </c>
      <c r="G108" s="29" t="s">
        <v>111</v>
      </c>
      <c r="H108" s="29" t="s">
        <v>115</v>
      </c>
      <c r="I108" s="29" t="s">
        <v>94</v>
      </c>
      <c r="J108" s="29" t="s">
        <v>340</v>
      </c>
      <c r="K108" s="29" t="str">
        <f>VLOOKUP(LEFT(H108, 7), 'קטלוג תרחישים'!$A:$L, 12, FALSE)</f>
        <v>ב׳</v>
      </c>
      <c r="L108" s="29" t="str">
        <f>IF(J108="כן", K108, VLOOKUP(LEFT(H108, 7), 'קטלוג תרחישים'!$A:$M, 13, FALSE))</f>
        <v>ב׳</v>
      </c>
    </row>
    <row r="109" spans="1:12">
      <c r="A109" s="29" t="s">
        <v>128</v>
      </c>
      <c r="B109" s="29">
        <v>9</v>
      </c>
      <c r="C109" s="29" t="s">
        <v>341</v>
      </c>
      <c r="D109" s="29">
        <v>1</v>
      </c>
      <c r="E109" s="29" t="s">
        <v>99</v>
      </c>
      <c r="F109" s="29" t="s">
        <v>342</v>
      </c>
      <c r="G109" s="29" t="s">
        <v>111</v>
      </c>
      <c r="H109" s="29" t="s">
        <v>112</v>
      </c>
      <c r="I109" s="29" t="s">
        <v>89</v>
      </c>
      <c r="J109" s="29" t="s">
        <v>343</v>
      </c>
      <c r="K109" s="29" t="str">
        <f>VLOOKUP(LEFT(H109, 7), 'קטלוג תרחישים'!$A:$L, 12, FALSE)</f>
        <v>ג׳</v>
      </c>
      <c r="L109" s="29" t="str">
        <f>IF(J109="כן", K109, VLOOKUP(LEFT(H109, 7), 'קטלוג תרחישים'!$A:$M, 13, FALSE))</f>
        <v>ב׳</v>
      </c>
    </row>
    <row r="110" spans="1:12">
      <c r="A110" s="29" t="s">
        <v>128</v>
      </c>
      <c r="B110" s="29">
        <v>10</v>
      </c>
      <c r="C110" s="29" t="s">
        <v>341</v>
      </c>
      <c r="D110" s="29">
        <v>1</v>
      </c>
      <c r="E110" s="29" t="s">
        <v>99</v>
      </c>
      <c r="F110" s="29" t="s">
        <v>342</v>
      </c>
      <c r="G110" s="29" t="s">
        <v>111</v>
      </c>
      <c r="H110" s="29" t="s">
        <v>113</v>
      </c>
      <c r="I110" s="29" t="s">
        <v>94</v>
      </c>
      <c r="J110" s="29" t="s">
        <v>343</v>
      </c>
      <c r="K110" s="29" t="str">
        <f>VLOOKUP(LEFT(H110, 7), 'קטלוג תרחישים'!$A:$L, 12, FALSE)</f>
        <v>ג׳</v>
      </c>
      <c r="L110" s="29" t="str">
        <f>IF(J110="כן", K110, VLOOKUP(LEFT(H110, 7), 'קטלוג תרחישים'!$A:$M, 13, FALSE))</f>
        <v>א׳</v>
      </c>
    </row>
    <row r="111" spans="1:12">
      <c r="A111" s="29" t="s">
        <v>128</v>
      </c>
      <c r="B111" s="29">
        <v>11</v>
      </c>
      <c r="C111" s="29" t="s">
        <v>341</v>
      </c>
      <c r="D111" s="29">
        <v>2</v>
      </c>
      <c r="E111" s="29" t="s">
        <v>105</v>
      </c>
      <c r="F111" s="29" t="s">
        <v>342</v>
      </c>
      <c r="G111" s="29" t="s">
        <v>111</v>
      </c>
      <c r="H111" s="29" t="s">
        <v>118</v>
      </c>
      <c r="I111" s="29" t="s">
        <v>89</v>
      </c>
      <c r="J111" s="29" t="s">
        <v>340</v>
      </c>
      <c r="K111" s="29" t="str">
        <f>VLOOKUP(LEFT(H111, 7), 'קטלוג תרחישים'!$A:$L, 12, FALSE)</f>
        <v>ב׳</v>
      </c>
      <c r="L111" s="29" t="str">
        <f>IF(J111="כן", K111, VLOOKUP(LEFT(H111, 7), 'קטלוג תרחישים'!$A:$M, 13, FALSE))</f>
        <v>ב׳</v>
      </c>
    </row>
    <row r="112" spans="1:12">
      <c r="A112" s="29" t="s">
        <v>128</v>
      </c>
      <c r="B112" s="29">
        <v>12</v>
      </c>
      <c r="C112" s="29" t="s">
        <v>341</v>
      </c>
      <c r="D112" s="29">
        <v>2</v>
      </c>
      <c r="E112" s="29" t="s">
        <v>105</v>
      </c>
      <c r="F112" s="29" t="s">
        <v>342</v>
      </c>
      <c r="G112" s="29" t="s">
        <v>111</v>
      </c>
      <c r="H112" s="29" t="s">
        <v>119</v>
      </c>
      <c r="I112" s="29" t="s">
        <v>94</v>
      </c>
      <c r="J112" s="29" t="s">
        <v>340</v>
      </c>
      <c r="K112" s="29" t="str">
        <f>VLOOKUP(LEFT(H112, 7), 'קטלוג תרחישים'!$A:$L, 12, FALSE)</f>
        <v>א׳</v>
      </c>
      <c r="L112" s="29" t="str">
        <f>IF(J112="כן", K112, VLOOKUP(LEFT(H112, 7), 'קטלוג תרחישים'!$A:$M, 13, FALSE))</f>
        <v>א׳</v>
      </c>
    </row>
    <row r="113" spans="1:12">
      <c r="A113" s="29" t="s">
        <v>128</v>
      </c>
      <c r="B113" s="29">
        <v>13</v>
      </c>
      <c r="C113" s="29" t="s">
        <v>341</v>
      </c>
      <c r="D113" s="29">
        <v>2</v>
      </c>
      <c r="E113" s="29" t="s">
        <v>105</v>
      </c>
      <c r="F113" s="29" t="s">
        <v>342</v>
      </c>
      <c r="G113" s="29" t="s">
        <v>111</v>
      </c>
      <c r="H113" s="29" t="s">
        <v>116</v>
      </c>
      <c r="I113" s="29" t="s">
        <v>89</v>
      </c>
      <c r="J113" s="29" t="s">
        <v>343</v>
      </c>
      <c r="K113" s="29" t="str">
        <f>VLOOKUP(LEFT(H113, 7), 'קטלוג תרחישים'!$A:$L, 12, FALSE)</f>
        <v>ב׳</v>
      </c>
      <c r="L113" s="29" t="str">
        <f>IF(J113="כן", K113, VLOOKUP(LEFT(H113, 7), 'קטלוג תרחישים'!$A:$M, 13, FALSE))</f>
        <v>א׳</v>
      </c>
    </row>
    <row r="114" spans="1:12">
      <c r="A114" s="29" t="s">
        <v>128</v>
      </c>
      <c r="B114" s="29">
        <v>14</v>
      </c>
      <c r="C114" s="29" t="s">
        <v>341</v>
      </c>
      <c r="D114" s="29">
        <v>2</v>
      </c>
      <c r="E114" s="29" t="s">
        <v>105</v>
      </c>
      <c r="F114" s="29" t="s">
        <v>342</v>
      </c>
      <c r="G114" s="29" t="s">
        <v>111</v>
      </c>
      <c r="H114" s="29" t="s">
        <v>117</v>
      </c>
      <c r="I114" s="29" t="s">
        <v>94</v>
      </c>
      <c r="J114" s="29" t="s">
        <v>343</v>
      </c>
      <c r="K114" s="29" t="str">
        <f>VLOOKUP(LEFT(H114, 7), 'קטלוג תרחישים'!$A:$L, 12, FALSE)</f>
        <v>א׳</v>
      </c>
      <c r="L114" s="29" t="str">
        <f>IF(J114="כן", K114, VLOOKUP(LEFT(H114, 7), 'קטלוג תרחישים'!$A:$M, 13, FALSE))</f>
        <v>ג׳</v>
      </c>
    </row>
    <row r="115" spans="1:12">
      <c r="A115" s="29" t="s">
        <v>128</v>
      </c>
      <c r="B115" s="29">
        <v>15</v>
      </c>
      <c r="C115" s="29" t="s">
        <v>341</v>
      </c>
      <c r="D115" s="29">
        <v>3</v>
      </c>
      <c r="E115" s="29" t="s">
        <v>92</v>
      </c>
      <c r="F115" s="29" t="s">
        <v>342</v>
      </c>
      <c r="G115" s="29" t="s">
        <v>111</v>
      </c>
      <c r="H115" s="29" t="s">
        <v>120</v>
      </c>
      <c r="I115" s="29" t="s">
        <v>89</v>
      </c>
      <c r="J115" s="29" t="s">
        <v>343</v>
      </c>
      <c r="K115" s="29" t="str">
        <f>VLOOKUP(LEFT(H115, 7), 'קטלוג תרחישים'!$A:$L, 12, FALSE)</f>
        <v>ב׳</v>
      </c>
      <c r="L115" s="29" t="str">
        <f>IF(J115="כן", K115, VLOOKUP(LEFT(H115, 7), 'קטלוג תרחישים'!$A:$M, 13, FALSE))</f>
        <v>א׳</v>
      </c>
    </row>
    <row r="116" spans="1:12">
      <c r="A116" s="29" t="s">
        <v>128</v>
      </c>
      <c r="B116" s="29">
        <v>16</v>
      </c>
      <c r="C116" s="29" t="s">
        <v>341</v>
      </c>
      <c r="D116" s="29">
        <v>3</v>
      </c>
      <c r="E116" s="29" t="s">
        <v>92</v>
      </c>
      <c r="F116" s="29" t="s">
        <v>342</v>
      </c>
      <c r="G116" s="29" t="s">
        <v>111</v>
      </c>
      <c r="H116" s="29" t="s">
        <v>123</v>
      </c>
      <c r="I116" s="29" t="s">
        <v>94</v>
      </c>
      <c r="J116" s="29" t="s">
        <v>343</v>
      </c>
      <c r="K116" s="29" t="str">
        <f>VLOOKUP(LEFT(H116, 7), 'קטלוג תרחישים'!$A:$L, 12, FALSE)</f>
        <v>א׳</v>
      </c>
      <c r="L116" s="29" t="str">
        <f>IF(J116="כן", K116, VLOOKUP(LEFT(H116, 7), 'קטלוג תרחישים'!$A:$M, 13, FALSE))</f>
        <v>ב׳</v>
      </c>
    </row>
    <row r="117" spans="1:12">
      <c r="A117" s="29" t="s">
        <v>128</v>
      </c>
      <c r="B117" s="29">
        <v>17</v>
      </c>
      <c r="C117" s="29" t="s">
        <v>341</v>
      </c>
      <c r="D117" s="29">
        <v>3</v>
      </c>
      <c r="E117" s="29" t="s">
        <v>92</v>
      </c>
      <c r="F117" s="29" t="s">
        <v>342</v>
      </c>
      <c r="G117" s="29" t="s">
        <v>111</v>
      </c>
      <c r="H117" s="29" t="s">
        <v>122</v>
      </c>
      <c r="I117" s="29" t="s">
        <v>89</v>
      </c>
      <c r="J117" s="29" t="s">
        <v>340</v>
      </c>
      <c r="K117" s="29" t="str">
        <f>VLOOKUP(LEFT(H117, 7), 'קטלוג תרחישים'!$A:$L, 12, FALSE)</f>
        <v>ג׳</v>
      </c>
      <c r="L117" s="29" t="str">
        <f>IF(J117="כן", K117, VLOOKUP(LEFT(H117, 7), 'קטלוג תרחישים'!$A:$M, 13, FALSE))</f>
        <v>ג׳</v>
      </c>
    </row>
    <row r="118" spans="1:12">
      <c r="A118" s="29" t="s">
        <v>128</v>
      </c>
      <c r="B118" s="29">
        <v>18</v>
      </c>
      <c r="C118" s="29" t="s">
        <v>341</v>
      </c>
      <c r="D118" s="29">
        <v>3</v>
      </c>
      <c r="E118" s="29" t="s">
        <v>92</v>
      </c>
      <c r="F118" s="29" t="s">
        <v>342</v>
      </c>
      <c r="G118" s="29" t="s">
        <v>111</v>
      </c>
      <c r="H118" s="29" t="s">
        <v>121</v>
      </c>
      <c r="I118" s="29" t="s">
        <v>94</v>
      </c>
      <c r="J118" s="29" t="s">
        <v>340</v>
      </c>
      <c r="K118" s="29" t="str">
        <f>VLOOKUP(LEFT(H118, 7), 'קטלוג תרחישים'!$A:$L, 12, FALSE)</f>
        <v>ב׳</v>
      </c>
      <c r="L118" s="29" t="str">
        <f>IF(J118="כן", K118, VLOOKUP(LEFT(H118, 7), 'קטלוג תרחישים'!$A:$M, 13, FALSE))</f>
        <v>ב׳</v>
      </c>
    </row>
    <row r="119" spans="1:12">
      <c r="A119" s="29" t="s">
        <v>128</v>
      </c>
      <c r="B119" s="29">
        <v>19</v>
      </c>
      <c r="C119" s="29" t="s">
        <v>341</v>
      </c>
      <c r="D119" s="29">
        <v>1</v>
      </c>
      <c r="E119" s="29" t="s">
        <v>92</v>
      </c>
      <c r="F119" s="29" t="s">
        <v>344</v>
      </c>
      <c r="G119" s="29" t="s">
        <v>91</v>
      </c>
      <c r="H119" s="29" t="s">
        <v>96</v>
      </c>
      <c r="I119" s="29" t="s">
        <v>94</v>
      </c>
      <c r="J119" s="29" t="s">
        <v>340</v>
      </c>
      <c r="K119" s="29" t="str">
        <f>VLOOKUP(LEFT(H119, 7), 'קטלוג תרחישים'!$A:$L, 12, FALSE)</f>
        <v>ב׳</v>
      </c>
      <c r="L119" s="29" t="str">
        <f>IF(J119="כן", K119, VLOOKUP(LEFT(H119, 7), 'קטלוג תרחישים'!$A:$M, 13, FALSE))</f>
        <v>ב׳</v>
      </c>
    </row>
    <row r="120" spans="1:12">
      <c r="A120" s="29" t="s">
        <v>128</v>
      </c>
      <c r="B120" s="29">
        <v>20</v>
      </c>
      <c r="C120" s="29" t="s">
        <v>341</v>
      </c>
      <c r="D120" s="29">
        <v>1</v>
      </c>
      <c r="E120" s="29" t="s">
        <v>92</v>
      </c>
      <c r="F120" s="29" t="s">
        <v>344</v>
      </c>
      <c r="G120" s="29" t="s">
        <v>91</v>
      </c>
      <c r="H120" s="29" t="s">
        <v>95</v>
      </c>
      <c r="I120" s="29" t="s">
        <v>89</v>
      </c>
      <c r="J120" s="29" t="s">
        <v>340</v>
      </c>
      <c r="K120" s="29" t="str">
        <f>VLOOKUP(LEFT(H120, 7), 'קטלוג תרחישים'!$A:$L, 12, FALSE)</f>
        <v>ג׳</v>
      </c>
      <c r="L120" s="29" t="str">
        <f>IF(J120="כן", K120, VLOOKUP(LEFT(H120, 7), 'קטלוג תרחישים'!$A:$M, 13, FALSE))</f>
        <v>ג׳</v>
      </c>
    </row>
    <row r="121" spans="1:12">
      <c r="A121" s="29" t="s">
        <v>128</v>
      </c>
      <c r="B121" s="29">
        <v>21</v>
      </c>
      <c r="C121" s="29" t="s">
        <v>341</v>
      </c>
      <c r="D121" s="29">
        <v>1</v>
      </c>
      <c r="E121" s="29" t="s">
        <v>92</v>
      </c>
      <c r="F121" s="29" t="s">
        <v>344</v>
      </c>
      <c r="G121" s="29" t="s">
        <v>91</v>
      </c>
      <c r="H121" s="29" t="s">
        <v>98</v>
      </c>
      <c r="I121" s="29" t="s">
        <v>94</v>
      </c>
      <c r="J121" s="29" t="s">
        <v>343</v>
      </c>
      <c r="K121" s="29" t="str">
        <f>VLOOKUP(LEFT(H121, 7), 'קטלוג תרחישים'!$A:$L, 12, FALSE)</f>
        <v>ג׳</v>
      </c>
      <c r="L121" s="29" t="str">
        <f>IF(J121="כן", K121, VLOOKUP(LEFT(H121, 7), 'קטלוג תרחישים'!$A:$M, 13, FALSE))</f>
        <v>א׳</v>
      </c>
    </row>
    <row r="122" spans="1:12">
      <c r="A122" s="29" t="s">
        <v>128</v>
      </c>
      <c r="B122" s="29">
        <v>22</v>
      </c>
      <c r="C122" s="29" t="s">
        <v>341</v>
      </c>
      <c r="D122" s="29">
        <v>1</v>
      </c>
      <c r="E122" s="29" t="s">
        <v>92</v>
      </c>
      <c r="F122" s="29" t="s">
        <v>344</v>
      </c>
      <c r="G122" s="29" t="s">
        <v>91</v>
      </c>
      <c r="H122" s="29" t="s">
        <v>97</v>
      </c>
      <c r="I122" s="29" t="s">
        <v>89</v>
      </c>
      <c r="J122" s="29" t="s">
        <v>340</v>
      </c>
      <c r="K122" s="29" t="str">
        <f>VLOOKUP(LEFT(H122, 7), 'קטלוג תרחישים'!$A:$L, 12, FALSE)</f>
        <v>ג׳</v>
      </c>
      <c r="L122" s="29" t="str">
        <f>IF(J122="כן", K122, VLOOKUP(LEFT(H122, 7), 'קטלוג תרחישים'!$A:$M, 13, FALSE))</f>
        <v>ג׳</v>
      </c>
    </row>
    <row r="123" spans="1:12">
      <c r="A123" s="29" t="s">
        <v>128</v>
      </c>
      <c r="B123" s="29">
        <v>23</v>
      </c>
      <c r="C123" s="29" t="s">
        <v>341</v>
      </c>
      <c r="D123" s="29">
        <v>1</v>
      </c>
      <c r="E123" s="29" t="s">
        <v>92</v>
      </c>
      <c r="F123" s="29" t="s">
        <v>344</v>
      </c>
      <c r="G123" s="29" t="s">
        <v>91</v>
      </c>
      <c r="H123" s="29" t="s">
        <v>93</v>
      </c>
      <c r="I123" s="29" t="s">
        <v>94</v>
      </c>
      <c r="J123" s="29" t="s">
        <v>340</v>
      </c>
      <c r="K123" s="29" t="str">
        <f>VLOOKUP(LEFT(H123, 7), 'קטלוג תרחישים'!$A:$L, 12, FALSE)</f>
        <v>א׳</v>
      </c>
      <c r="L123" s="29" t="str">
        <f>IF(J123="כן", K123, VLOOKUP(LEFT(H123, 7), 'קטלוג תרחישים'!$A:$M, 13, FALSE))</f>
        <v>א׳</v>
      </c>
    </row>
    <row r="124" spans="1:12">
      <c r="A124" s="29" t="s">
        <v>128</v>
      </c>
      <c r="B124" s="29">
        <v>24</v>
      </c>
      <c r="C124" s="29" t="s">
        <v>341</v>
      </c>
      <c r="D124" s="29">
        <v>2</v>
      </c>
      <c r="E124" s="29" t="s">
        <v>99</v>
      </c>
      <c r="F124" s="29" t="s">
        <v>344</v>
      </c>
      <c r="G124" s="29" t="s">
        <v>91</v>
      </c>
      <c r="H124" s="29" t="s">
        <v>100</v>
      </c>
      <c r="I124" s="29" t="s">
        <v>89</v>
      </c>
      <c r="J124" s="29" t="s">
        <v>340</v>
      </c>
      <c r="K124" s="29" t="str">
        <f>VLOOKUP(LEFT(H124, 7), 'קטלוג תרחישים'!$A:$L, 12, FALSE)</f>
        <v>ב׳</v>
      </c>
      <c r="L124" s="29" t="str">
        <f>IF(J124="כן", K124, VLOOKUP(LEFT(H124, 7), 'קטלוג תרחישים'!$A:$M, 13, FALSE))</f>
        <v>ב׳</v>
      </c>
    </row>
    <row r="125" spans="1:12">
      <c r="A125" s="29" t="s">
        <v>128</v>
      </c>
      <c r="B125" s="29">
        <v>25</v>
      </c>
      <c r="C125" s="29" t="s">
        <v>341</v>
      </c>
      <c r="D125" s="29">
        <v>2</v>
      </c>
      <c r="E125" s="29" t="s">
        <v>99</v>
      </c>
      <c r="F125" s="29" t="s">
        <v>344</v>
      </c>
      <c r="G125" s="29" t="s">
        <v>91</v>
      </c>
      <c r="H125" s="29" t="s">
        <v>103</v>
      </c>
      <c r="I125" s="29" t="s">
        <v>94</v>
      </c>
      <c r="J125" s="29" t="s">
        <v>340</v>
      </c>
      <c r="K125" s="29" t="str">
        <f>VLOOKUP(LEFT(H125, 7), 'קטלוג תרחישים'!$A:$L, 12, FALSE)</f>
        <v>ג׳</v>
      </c>
      <c r="L125" s="29" t="str">
        <f>IF(J125="כן", K125, VLOOKUP(LEFT(H125, 7), 'קטלוג תרחישים'!$A:$M, 13, FALSE))</f>
        <v>ג׳</v>
      </c>
    </row>
    <row r="126" spans="1:12">
      <c r="A126" s="29" t="s">
        <v>128</v>
      </c>
      <c r="B126" s="29">
        <v>26</v>
      </c>
      <c r="C126" s="29" t="s">
        <v>341</v>
      </c>
      <c r="D126" s="29">
        <v>2</v>
      </c>
      <c r="E126" s="29" t="s">
        <v>99</v>
      </c>
      <c r="F126" s="29" t="s">
        <v>344</v>
      </c>
      <c r="G126" s="29" t="s">
        <v>91</v>
      </c>
      <c r="H126" s="29" t="s">
        <v>102</v>
      </c>
      <c r="I126" s="29" t="s">
        <v>89</v>
      </c>
      <c r="J126" s="29" t="s">
        <v>340</v>
      </c>
      <c r="K126" s="29" t="str">
        <f>VLOOKUP(LEFT(H126, 7), 'קטלוג תרחישים'!$A:$L, 12, FALSE)</f>
        <v>ב׳</v>
      </c>
      <c r="L126" s="29" t="str">
        <f>IF(J126="כן", K126, VLOOKUP(LEFT(H126, 7), 'קטלוג תרחישים'!$A:$M, 13, FALSE))</f>
        <v>ב׳</v>
      </c>
    </row>
    <row r="127" spans="1:12">
      <c r="A127" s="29" t="s">
        <v>128</v>
      </c>
      <c r="B127" s="29">
        <v>27</v>
      </c>
      <c r="C127" s="29" t="s">
        <v>341</v>
      </c>
      <c r="D127" s="29">
        <v>2</v>
      </c>
      <c r="E127" s="29" t="s">
        <v>99</v>
      </c>
      <c r="F127" s="29" t="s">
        <v>344</v>
      </c>
      <c r="G127" s="29" t="s">
        <v>91</v>
      </c>
      <c r="H127" s="29" t="s">
        <v>101</v>
      </c>
      <c r="I127" s="29" t="s">
        <v>94</v>
      </c>
      <c r="J127" s="29" t="s">
        <v>340</v>
      </c>
      <c r="K127" s="29" t="str">
        <f>VLOOKUP(LEFT(H127, 7), 'קטלוג תרחישים'!$A:$L, 12, FALSE)</f>
        <v>א׳</v>
      </c>
      <c r="L127" s="29" t="str">
        <f>IF(J127="כן", K127, VLOOKUP(LEFT(H127, 7), 'קטלוג תרחישים'!$A:$M, 13, FALSE))</f>
        <v>א׳</v>
      </c>
    </row>
    <row r="128" spans="1:12">
      <c r="A128" s="29" t="s">
        <v>128</v>
      </c>
      <c r="B128" s="29">
        <v>28</v>
      </c>
      <c r="C128" s="29" t="s">
        <v>341</v>
      </c>
      <c r="D128" s="29">
        <v>2</v>
      </c>
      <c r="E128" s="29" t="s">
        <v>99</v>
      </c>
      <c r="F128" s="29" t="s">
        <v>344</v>
      </c>
      <c r="G128" s="29" t="s">
        <v>91</v>
      </c>
      <c r="H128" s="29" t="s">
        <v>104</v>
      </c>
      <c r="I128" s="29" t="s">
        <v>89</v>
      </c>
      <c r="J128" s="29" t="s">
        <v>343</v>
      </c>
      <c r="K128" s="29" t="str">
        <f>VLOOKUP(LEFT(H128, 7), 'קטלוג תרחישים'!$A:$L, 12, FALSE)</f>
        <v>א׳</v>
      </c>
      <c r="L128" s="29" t="str">
        <f>IF(J128="כן", K128, VLOOKUP(LEFT(H128, 7), 'קטלוג תרחישים'!$A:$M, 13, FALSE))</f>
        <v>ג׳</v>
      </c>
    </row>
    <row r="129" spans="1:12">
      <c r="A129" s="29" t="s">
        <v>128</v>
      </c>
      <c r="B129" s="29">
        <v>29</v>
      </c>
      <c r="C129" s="29" t="s">
        <v>341</v>
      </c>
      <c r="D129" s="29">
        <v>3</v>
      </c>
      <c r="E129" s="29" t="s">
        <v>105</v>
      </c>
      <c r="F129" s="29" t="s">
        <v>344</v>
      </c>
      <c r="G129" s="29" t="s">
        <v>91</v>
      </c>
      <c r="H129" s="29" t="s">
        <v>110</v>
      </c>
      <c r="I129" s="29" t="s">
        <v>89</v>
      </c>
      <c r="J129" s="29" t="s">
        <v>340</v>
      </c>
      <c r="K129" s="29" t="str">
        <f>VLOOKUP(LEFT(H129, 7), 'קטלוג תרחישים'!$A:$L, 12, FALSE)</f>
        <v>ג׳</v>
      </c>
      <c r="L129" s="29" t="str">
        <f>IF(J129="כן", K129, VLOOKUP(LEFT(H129, 7), 'קטלוג תרחישים'!$A:$M, 13, FALSE))</f>
        <v>ג׳</v>
      </c>
    </row>
    <row r="130" spans="1:12">
      <c r="A130" s="29" t="s">
        <v>128</v>
      </c>
      <c r="B130" s="29">
        <v>30</v>
      </c>
      <c r="C130" s="29" t="s">
        <v>341</v>
      </c>
      <c r="D130" s="29">
        <v>3</v>
      </c>
      <c r="E130" s="29" t="s">
        <v>105</v>
      </c>
      <c r="F130" s="29" t="s">
        <v>344</v>
      </c>
      <c r="G130" s="29" t="s">
        <v>91</v>
      </c>
      <c r="H130" s="29" t="s">
        <v>107</v>
      </c>
      <c r="I130" s="29" t="s">
        <v>94</v>
      </c>
      <c r="J130" s="29" t="s">
        <v>340</v>
      </c>
      <c r="K130" s="29" t="str">
        <f>VLOOKUP(LEFT(H130, 7), 'קטלוג תרחישים'!$A:$L, 12, FALSE)</f>
        <v>ג׳</v>
      </c>
      <c r="L130" s="29" t="str">
        <f>IF(J130="כן", K130, VLOOKUP(LEFT(H130, 7), 'קטלוג תרחישים'!$A:$M, 13, FALSE))</f>
        <v>ג׳</v>
      </c>
    </row>
    <row r="131" spans="1:12">
      <c r="A131" s="29" t="s">
        <v>128</v>
      </c>
      <c r="B131" s="29">
        <v>31</v>
      </c>
      <c r="C131" s="29" t="s">
        <v>341</v>
      </c>
      <c r="D131" s="29">
        <v>3</v>
      </c>
      <c r="E131" s="29" t="s">
        <v>105</v>
      </c>
      <c r="F131" s="29" t="s">
        <v>344</v>
      </c>
      <c r="G131" s="29" t="s">
        <v>91</v>
      </c>
      <c r="H131" s="29" t="s">
        <v>108</v>
      </c>
      <c r="I131" s="29" t="s">
        <v>89</v>
      </c>
      <c r="J131" s="29" t="s">
        <v>340</v>
      </c>
      <c r="K131" s="29" t="str">
        <f>VLOOKUP(LEFT(H131, 7), 'קטלוג תרחישים'!$A:$L, 12, FALSE)</f>
        <v>א׳</v>
      </c>
      <c r="L131" s="29" t="str">
        <f>IF(J131="כן", K131, VLOOKUP(LEFT(H131, 7), 'קטלוג תרחישים'!$A:$M, 13, FALSE))</f>
        <v>א׳</v>
      </c>
    </row>
    <row r="132" spans="1:12">
      <c r="A132" s="29" t="s">
        <v>128</v>
      </c>
      <c r="B132" s="29">
        <v>32</v>
      </c>
      <c r="C132" s="29" t="s">
        <v>341</v>
      </c>
      <c r="D132" s="29">
        <v>3</v>
      </c>
      <c r="E132" s="29" t="s">
        <v>105</v>
      </c>
      <c r="F132" s="29" t="s">
        <v>344</v>
      </c>
      <c r="G132" s="29" t="s">
        <v>91</v>
      </c>
      <c r="H132" s="29" t="s">
        <v>109</v>
      </c>
      <c r="I132" s="29" t="s">
        <v>94</v>
      </c>
      <c r="J132" s="29" t="s">
        <v>343</v>
      </c>
      <c r="K132" s="29" t="str">
        <f>VLOOKUP(LEFT(H132, 7), 'קטלוג תרחישים'!$A:$L, 12, FALSE)</f>
        <v>ב׳</v>
      </c>
      <c r="L132" s="29" t="str">
        <f>IF(J132="כן", K132, VLOOKUP(LEFT(H132, 7), 'קטלוג תרחישים'!$A:$M, 13, FALSE))</f>
        <v>ג׳</v>
      </c>
    </row>
    <row r="133" spans="1:12">
      <c r="A133" s="29" t="s">
        <v>128</v>
      </c>
      <c r="B133" s="29">
        <v>33</v>
      </c>
      <c r="C133" s="29" t="s">
        <v>341</v>
      </c>
      <c r="D133" s="29">
        <v>3</v>
      </c>
      <c r="E133" s="29" t="s">
        <v>105</v>
      </c>
      <c r="F133" s="29" t="s">
        <v>344</v>
      </c>
      <c r="G133" s="29" t="s">
        <v>91</v>
      </c>
      <c r="H133" s="29" t="s">
        <v>106</v>
      </c>
      <c r="I133" s="29" t="s">
        <v>89</v>
      </c>
      <c r="J133" s="29" t="s">
        <v>340</v>
      </c>
      <c r="K133" s="29" t="str">
        <f>VLOOKUP(LEFT(H133, 7), 'קטלוג תרחישים'!$A:$L, 12, FALSE)</f>
        <v>א׳</v>
      </c>
      <c r="L133" s="29" t="str">
        <f>IF(J133="כן", K133, VLOOKUP(LEFT(H133, 7), 'קטלוג תרחישים'!$A:$M, 13, FALSE))</f>
        <v>א׳</v>
      </c>
    </row>
    <row r="134" spans="1:12">
      <c r="A134" s="29" t="s">
        <v>129</v>
      </c>
      <c r="B134" s="29">
        <v>1</v>
      </c>
      <c r="C134" s="29" t="s">
        <v>339</v>
      </c>
      <c r="D134" s="29"/>
      <c r="E134" s="29" t="s">
        <v>92</v>
      </c>
      <c r="F134" s="29"/>
      <c r="G134" s="29"/>
      <c r="H134" s="30" t="s">
        <v>351</v>
      </c>
      <c r="I134" s="29" t="s">
        <v>89</v>
      </c>
      <c r="J134" s="29" t="s">
        <v>340</v>
      </c>
      <c r="K134" s="29" t="str">
        <f>VLOOKUP(LEFT(H134, 7), 'קטלוג תרחישים'!$A:$L, 12, FALSE)</f>
        <v>א׳</v>
      </c>
      <c r="L134" s="29" t="str">
        <f>IF(J134="כן", K134, VLOOKUP(LEFT(H134, 7), 'קטלוג תרחישים'!$A:$M, 13, FALSE))</f>
        <v>א׳</v>
      </c>
    </row>
    <row r="135" spans="1:12">
      <c r="A135" s="29" t="s">
        <v>129</v>
      </c>
      <c r="B135" s="29">
        <v>2</v>
      </c>
      <c r="C135" s="29" t="s">
        <v>339</v>
      </c>
      <c r="D135" s="29"/>
      <c r="E135" s="29" t="s">
        <v>92</v>
      </c>
      <c r="F135" s="29"/>
      <c r="G135" s="29"/>
      <c r="H135" s="30" t="s">
        <v>88</v>
      </c>
      <c r="I135" s="29" t="s">
        <v>89</v>
      </c>
      <c r="J135" s="29" t="s">
        <v>340</v>
      </c>
      <c r="K135" s="29" t="str">
        <f>VLOOKUP(LEFT(H135, 7), 'קטלוג תרחישים'!$A:$L, 12, FALSE)</f>
        <v>א׳</v>
      </c>
      <c r="L135" s="29" t="str">
        <f>IF(J135="כן", K135, VLOOKUP(LEFT(H135, 7), 'קטלוג תרחישים'!$A:$M, 13, FALSE))</f>
        <v>א׳</v>
      </c>
    </row>
    <row r="136" spans="1:12">
      <c r="A136" s="29" t="s">
        <v>129</v>
      </c>
      <c r="B136" s="29">
        <v>3</v>
      </c>
      <c r="C136" s="29" t="s">
        <v>339</v>
      </c>
      <c r="D136" s="29"/>
      <c r="E136" s="29" t="s">
        <v>99</v>
      </c>
      <c r="F136" s="29"/>
      <c r="G136" s="29"/>
      <c r="H136" s="30" t="s">
        <v>352</v>
      </c>
      <c r="I136" s="29" t="s">
        <v>89</v>
      </c>
      <c r="J136" s="29" t="s">
        <v>340</v>
      </c>
      <c r="K136" s="29" t="str">
        <f>VLOOKUP(LEFT(H136, 7), 'קטלוג תרחישים'!$A:$L, 12, FALSE)</f>
        <v>ב׳</v>
      </c>
      <c r="L136" s="29" t="str">
        <f>IF(J136="כן", K136, VLOOKUP(LEFT(H136, 7), 'קטלוג תרחישים'!$A:$M, 13, FALSE))</f>
        <v>ב׳</v>
      </c>
    </row>
    <row r="137" spans="1:12">
      <c r="A137" s="29" t="s">
        <v>129</v>
      </c>
      <c r="B137" s="29">
        <v>4</v>
      </c>
      <c r="C137" s="29" t="s">
        <v>339</v>
      </c>
      <c r="D137" s="29"/>
      <c r="E137" s="29" t="s">
        <v>99</v>
      </c>
      <c r="F137" s="29"/>
      <c r="G137" s="29"/>
      <c r="H137" s="30" t="s">
        <v>353</v>
      </c>
      <c r="I137" s="29" t="s">
        <v>89</v>
      </c>
      <c r="J137" s="29" t="s">
        <v>340</v>
      </c>
      <c r="K137" s="29" t="str">
        <f>VLOOKUP(LEFT(H137, 7), 'קטלוג תרחישים'!$A:$L, 12, FALSE)</f>
        <v>ב׳</v>
      </c>
      <c r="L137" s="29" t="str">
        <f>IF(J137="כן", K137, VLOOKUP(LEFT(H137, 7), 'קטלוג תרחישים'!$A:$M, 13, FALSE))</f>
        <v>ב׳</v>
      </c>
    </row>
    <row r="138" spans="1:12">
      <c r="A138" s="29" t="s">
        <v>129</v>
      </c>
      <c r="B138" s="29">
        <v>5</v>
      </c>
      <c r="C138" s="29" t="s">
        <v>339</v>
      </c>
      <c r="D138" s="29"/>
      <c r="E138" s="29" t="s">
        <v>105</v>
      </c>
      <c r="F138" s="29"/>
      <c r="G138" s="29"/>
      <c r="H138" s="30" t="s">
        <v>354</v>
      </c>
      <c r="I138" s="29" t="s">
        <v>89</v>
      </c>
      <c r="J138" s="29" t="s">
        <v>340</v>
      </c>
      <c r="K138" s="29" t="str">
        <f>VLOOKUP(LEFT(H138, 7), 'קטלוג תרחישים'!$A:$L, 12, FALSE)</f>
        <v>ג׳</v>
      </c>
      <c r="L138" s="29" t="str">
        <f>IF(J138="כן", K138, VLOOKUP(LEFT(H138, 7), 'קטלוג תרחישים'!$A:$M, 13, FALSE))</f>
        <v>ג׳</v>
      </c>
    </row>
    <row r="139" spans="1:12">
      <c r="A139" s="29" t="s">
        <v>129</v>
      </c>
      <c r="B139" s="29">
        <v>6</v>
      </c>
      <c r="C139" s="29" t="s">
        <v>339</v>
      </c>
      <c r="D139" s="29"/>
      <c r="E139" s="29" t="s">
        <v>105</v>
      </c>
      <c r="F139" s="29"/>
      <c r="G139" s="29"/>
      <c r="H139" s="30" t="s">
        <v>90</v>
      </c>
      <c r="I139" s="29" t="s">
        <v>89</v>
      </c>
      <c r="J139" s="29" t="s">
        <v>340</v>
      </c>
      <c r="K139" s="29" t="str">
        <f>VLOOKUP(LEFT(H139, 7), 'קטלוג תרחישים'!$A:$L, 12, FALSE)</f>
        <v>ג׳</v>
      </c>
      <c r="L139" s="29" t="str">
        <f>IF(J139="כן", K139, VLOOKUP(LEFT(H139, 7), 'קטלוג תרחישים'!$A:$M, 13, FALSE))</f>
        <v>ג׳</v>
      </c>
    </row>
    <row r="140" spans="1:12">
      <c r="A140" s="29" t="s">
        <v>129</v>
      </c>
      <c r="B140" s="29">
        <v>7</v>
      </c>
      <c r="C140" s="29" t="s">
        <v>341</v>
      </c>
      <c r="D140" s="29">
        <v>1</v>
      </c>
      <c r="E140" s="29" t="s">
        <v>99</v>
      </c>
      <c r="F140" s="29" t="s">
        <v>342</v>
      </c>
      <c r="G140" s="29" t="s">
        <v>91</v>
      </c>
      <c r="H140" s="29" t="s">
        <v>102</v>
      </c>
      <c r="I140" s="29" t="s">
        <v>89</v>
      </c>
      <c r="J140" s="29" t="s">
        <v>340</v>
      </c>
      <c r="K140" s="29" t="str">
        <f>VLOOKUP(LEFT(H140, 7), 'קטלוג תרחישים'!$A:$L, 12, FALSE)</f>
        <v>ב׳</v>
      </c>
      <c r="L140" s="29" t="str">
        <f>IF(J140="כן", K140, VLOOKUP(LEFT(H140, 7), 'קטלוג תרחישים'!$A:$M, 13, FALSE))</f>
        <v>ב׳</v>
      </c>
    </row>
    <row r="141" spans="1:12">
      <c r="A141" s="29" t="s">
        <v>129</v>
      </c>
      <c r="B141" s="29">
        <v>8</v>
      </c>
      <c r="C141" s="29" t="s">
        <v>341</v>
      </c>
      <c r="D141" s="29">
        <v>1</v>
      </c>
      <c r="E141" s="29" t="s">
        <v>99</v>
      </c>
      <c r="F141" s="29" t="s">
        <v>342</v>
      </c>
      <c r="G141" s="29" t="s">
        <v>91</v>
      </c>
      <c r="H141" s="29" t="s">
        <v>101</v>
      </c>
      <c r="I141" s="29" t="s">
        <v>94</v>
      </c>
      <c r="J141" s="29" t="s">
        <v>340</v>
      </c>
      <c r="K141" s="29" t="str">
        <f>VLOOKUP(LEFT(H141, 7), 'קטלוג תרחישים'!$A:$L, 12, FALSE)</f>
        <v>א׳</v>
      </c>
      <c r="L141" s="29" t="str">
        <f>IF(J141="כן", K141, VLOOKUP(LEFT(H141, 7), 'קטלוג תרחישים'!$A:$M, 13, FALSE))</f>
        <v>א׳</v>
      </c>
    </row>
    <row r="142" spans="1:12">
      <c r="A142" s="29" t="s">
        <v>129</v>
      </c>
      <c r="B142" s="29">
        <v>9</v>
      </c>
      <c r="C142" s="29" t="s">
        <v>341</v>
      </c>
      <c r="D142" s="29">
        <v>1</v>
      </c>
      <c r="E142" s="29" t="s">
        <v>99</v>
      </c>
      <c r="F142" s="29" t="s">
        <v>342</v>
      </c>
      <c r="G142" s="29" t="s">
        <v>91</v>
      </c>
      <c r="H142" s="29" t="s">
        <v>104</v>
      </c>
      <c r="I142" s="29" t="s">
        <v>89</v>
      </c>
      <c r="J142" s="29" t="s">
        <v>340</v>
      </c>
      <c r="K142" s="29" t="str">
        <f>VLOOKUP(LEFT(H142, 7), 'קטלוג תרחישים'!$A:$L, 12, FALSE)</f>
        <v>א׳</v>
      </c>
      <c r="L142" s="29" t="str">
        <f>IF(J142="כן", K142, VLOOKUP(LEFT(H142, 7), 'קטלוג תרחישים'!$A:$M, 13, FALSE))</f>
        <v>א׳</v>
      </c>
    </row>
    <row r="143" spans="1:12">
      <c r="A143" s="29" t="s">
        <v>129</v>
      </c>
      <c r="B143" s="29">
        <v>10</v>
      </c>
      <c r="C143" s="29" t="s">
        <v>341</v>
      </c>
      <c r="D143" s="29">
        <v>1</v>
      </c>
      <c r="E143" s="29" t="s">
        <v>99</v>
      </c>
      <c r="F143" s="29" t="s">
        <v>342</v>
      </c>
      <c r="G143" s="29" t="s">
        <v>91</v>
      </c>
      <c r="H143" s="29" t="s">
        <v>103</v>
      </c>
      <c r="I143" s="29" t="s">
        <v>94</v>
      </c>
      <c r="J143" s="29" t="s">
        <v>343</v>
      </c>
      <c r="K143" s="29" t="str">
        <f>VLOOKUP(LEFT(H143, 7), 'קטלוג תרחישים'!$A:$L, 12, FALSE)</f>
        <v>ג׳</v>
      </c>
      <c r="L143" s="29" t="str">
        <f>IF(J143="כן", K143, VLOOKUP(LEFT(H143, 7), 'קטלוג תרחישים'!$A:$M, 13, FALSE))</f>
        <v>א׳</v>
      </c>
    </row>
    <row r="144" spans="1:12">
      <c r="A144" s="29" t="s">
        <v>129</v>
      </c>
      <c r="B144" s="29">
        <v>11</v>
      </c>
      <c r="C144" s="29" t="s">
        <v>341</v>
      </c>
      <c r="D144" s="29">
        <v>1</v>
      </c>
      <c r="E144" s="29" t="s">
        <v>99</v>
      </c>
      <c r="F144" s="29" t="s">
        <v>342</v>
      </c>
      <c r="G144" s="29" t="s">
        <v>91</v>
      </c>
      <c r="H144" s="29" t="s">
        <v>100</v>
      </c>
      <c r="I144" s="29" t="s">
        <v>89</v>
      </c>
      <c r="J144" s="29" t="s">
        <v>340</v>
      </c>
      <c r="K144" s="29" t="str">
        <f>VLOOKUP(LEFT(H144, 7), 'קטלוג תרחישים'!$A:$L, 12, FALSE)</f>
        <v>ב׳</v>
      </c>
      <c r="L144" s="29" t="str">
        <f>IF(J144="כן", K144, VLOOKUP(LEFT(H144, 7), 'קטלוג תרחישים'!$A:$M, 13, FALSE))</f>
        <v>ב׳</v>
      </c>
    </row>
    <row r="145" spans="1:12">
      <c r="A145" s="29" t="s">
        <v>129</v>
      </c>
      <c r="B145" s="29">
        <v>12</v>
      </c>
      <c r="C145" s="29" t="s">
        <v>341</v>
      </c>
      <c r="D145" s="29">
        <v>2</v>
      </c>
      <c r="E145" s="29" t="s">
        <v>105</v>
      </c>
      <c r="F145" s="29" t="s">
        <v>342</v>
      </c>
      <c r="G145" s="29" t="s">
        <v>91</v>
      </c>
      <c r="H145" s="29" t="s">
        <v>106</v>
      </c>
      <c r="I145" s="29" t="s">
        <v>89</v>
      </c>
      <c r="J145" s="29" t="s">
        <v>340</v>
      </c>
      <c r="K145" s="29" t="str">
        <f>VLOOKUP(LEFT(H145, 7), 'קטלוג תרחישים'!$A:$L, 12, FALSE)</f>
        <v>א׳</v>
      </c>
      <c r="L145" s="29" t="str">
        <f>IF(J145="כן", K145, VLOOKUP(LEFT(H145, 7), 'קטלוג תרחישים'!$A:$M, 13, FALSE))</f>
        <v>א׳</v>
      </c>
    </row>
    <row r="146" spans="1:12">
      <c r="A146" s="29" t="s">
        <v>129</v>
      </c>
      <c r="B146" s="29">
        <v>13</v>
      </c>
      <c r="C146" s="29" t="s">
        <v>341</v>
      </c>
      <c r="D146" s="29">
        <v>2</v>
      </c>
      <c r="E146" s="29" t="s">
        <v>105</v>
      </c>
      <c r="F146" s="29" t="s">
        <v>342</v>
      </c>
      <c r="G146" s="29" t="s">
        <v>91</v>
      </c>
      <c r="H146" s="29" t="s">
        <v>109</v>
      </c>
      <c r="I146" s="29" t="s">
        <v>94</v>
      </c>
      <c r="J146" s="29" t="s">
        <v>340</v>
      </c>
      <c r="K146" s="29" t="str">
        <f>VLOOKUP(LEFT(H146, 7), 'קטלוג תרחישים'!$A:$L, 12, FALSE)</f>
        <v>ב׳</v>
      </c>
      <c r="L146" s="29" t="str">
        <f>IF(J146="כן", K146, VLOOKUP(LEFT(H146, 7), 'קטלוג תרחישים'!$A:$M, 13, FALSE))</f>
        <v>ב׳</v>
      </c>
    </row>
    <row r="147" spans="1:12">
      <c r="A147" s="29" t="s">
        <v>129</v>
      </c>
      <c r="B147" s="29">
        <v>14</v>
      </c>
      <c r="C147" s="29" t="s">
        <v>341</v>
      </c>
      <c r="D147" s="29">
        <v>2</v>
      </c>
      <c r="E147" s="29" t="s">
        <v>105</v>
      </c>
      <c r="F147" s="29" t="s">
        <v>342</v>
      </c>
      <c r="G147" s="29" t="s">
        <v>91</v>
      </c>
      <c r="H147" s="29" t="s">
        <v>110</v>
      </c>
      <c r="I147" s="29" t="s">
        <v>89</v>
      </c>
      <c r="J147" s="29" t="s">
        <v>343</v>
      </c>
      <c r="K147" s="29" t="str">
        <f>VLOOKUP(LEFT(H147, 7), 'קטלוג תרחישים'!$A:$L, 12, FALSE)</f>
        <v>ג׳</v>
      </c>
      <c r="L147" s="29" t="str">
        <f>IF(J147="כן", K147, VLOOKUP(LEFT(H147, 7), 'קטלוג תרחישים'!$A:$M, 13, FALSE))</f>
        <v>ב׳</v>
      </c>
    </row>
    <row r="148" spans="1:12">
      <c r="A148" s="29" t="s">
        <v>129</v>
      </c>
      <c r="B148" s="29">
        <v>15</v>
      </c>
      <c r="C148" s="29" t="s">
        <v>341</v>
      </c>
      <c r="D148" s="29">
        <v>2</v>
      </c>
      <c r="E148" s="29" t="s">
        <v>105</v>
      </c>
      <c r="F148" s="29" t="s">
        <v>342</v>
      </c>
      <c r="G148" s="29" t="s">
        <v>91</v>
      </c>
      <c r="H148" s="29" t="s">
        <v>107</v>
      </c>
      <c r="I148" s="29" t="s">
        <v>94</v>
      </c>
      <c r="J148" s="29" t="s">
        <v>340</v>
      </c>
      <c r="K148" s="29" t="str">
        <f>VLOOKUP(LEFT(H148, 7), 'קטלוג תרחישים'!$A:$L, 12, FALSE)</f>
        <v>ג׳</v>
      </c>
      <c r="L148" s="29" t="str">
        <f>IF(J148="כן", K148, VLOOKUP(LEFT(H148, 7), 'קטלוג תרחישים'!$A:$M, 13, FALSE))</f>
        <v>ג׳</v>
      </c>
    </row>
    <row r="149" spans="1:12">
      <c r="A149" s="29" t="s">
        <v>129</v>
      </c>
      <c r="B149" s="29">
        <v>16</v>
      </c>
      <c r="C149" s="29" t="s">
        <v>341</v>
      </c>
      <c r="D149" s="29">
        <v>2</v>
      </c>
      <c r="E149" s="29" t="s">
        <v>105</v>
      </c>
      <c r="F149" s="29" t="s">
        <v>342</v>
      </c>
      <c r="G149" s="29" t="s">
        <v>91</v>
      </c>
      <c r="H149" s="29" t="s">
        <v>108</v>
      </c>
      <c r="I149" s="29" t="s">
        <v>89</v>
      </c>
      <c r="J149" s="29" t="s">
        <v>340</v>
      </c>
      <c r="K149" s="29" t="str">
        <f>VLOOKUP(LEFT(H149, 7), 'קטלוג תרחישים'!$A:$L, 12, FALSE)</f>
        <v>א׳</v>
      </c>
      <c r="L149" s="29" t="str">
        <f>IF(J149="כן", K149, VLOOKUP(LEFT(H149, 7), 'קטלוג תרחישים'!$A:$M, 13, FALSE))</f>
        <v>א׳</v>
      </c>
    </row>
    <row r="150" spans="1:12">
      <c r="A150" s="29" t="s">
        <v>129</v>
      </c>
      <c r="B150" s="29">
        <v>17</v>
      </c>
      <c r="C150" s="29" t="s">
        <v>341</v>
      </c>
      <c r="D150" s="29">
        <v>3</v>
      </c>
      <c r="E150" s="29" t="s">
        <v>92</v>
      </c>
      <c r="F150" s="29" t="s">
        <v>342</v>
      </c>
      <c r="G150" s="29" t="s">
        <v>91</v>
      </c>
      <c r="H150" s="29" t="s">
        <v>98</v>
      </c>
      <c r="I150" s="29" t="s">
        <v>94</v>
      </c>
      <c r="J150" s="29" t="s">
        <v>340</v>
      </c>
      <c r="K150" s="29" t="str">
        <f>VLOOKUP(LEFT(H150, 7), 'קטלוג תרחישים'!$A:$L, 12, FALSE)</f>
        <v>ג׳</v>
      </c>
      <c r="L150" s="29" t="str">
        <f>IF(J150="כן", K150, VLOOKUP(LEFT(H150, 7), 'קטלוג תרחישים'!$A:$M, 13, FALSE))</f>
        <v>ג׳</v>
      </c>
    </row>
    <row r="151" spans="1:12">
      <c r="A151" s="29" t="s">
        <v>129</v>
      </c>
      <c r="B151" s="29">
        <v>18</v>
      </c>
      <c r="C151" s="29" t="s">
        <v>341</v>
      </c>
      <c r="D151" s="29">
        <v>3</v>
      </c>
      <c r="E151" s="29" t="s">
        <v>92</v>
      </c>
      <c r="F151" s="29" t="s">
        <v>342</v>
      </c>
      <c r="G151" s="29" t="s">
        <v>91</v>
      </c>
      <c r="H151" s="29" t="s">
        <v>97</v>
      </c>
      <c r="I151" s="29" t="s">
        <v>89</v>
      </c>
      <c r="J151" s="29" t="s">
        <v>340</v>
      </c>
      <c r="K151" s="29" t="str">
        <f>VLOOKUP(LEFT(H151, 7), 'קטלוג תרחישים'!$A:$L, 12, FALSE)</f>
        <v>ג׳</v>
      </c>
      <c r="L151" s="29" t="str">
        <f>IF(J151="כן", K151, VLOOKUP(LEFT(H151, 7), 'קטלוג תרחישים'!$A:$M, 13, FALSE))</f>
        <v>ג׳</v>
      </c>
    </row>
    <row r="152" spans="1:12">
      <c r="A152" s="29" t="s">
        <v>129</v>
      </c>
      <c r="B152" s="29">
        <v>19</v>
      </c>
      <c r="C152" s="29" t="s">
        <v>341</v>
      </c>
      <c r="D152" s="29">
        <v>3</v>
      </c>
      <c r="E152" s="29" t="s">
        <v>92</v>
      </c>
      <c r="F152" s="29" t="s">
        <v>342</v>
      </c>
      <c r="G152" s="29" t="s">
        <v>91</v>
      </c>
      <c r="H152" s="29" t="s">
        <v>93</v>
      </c>
      <c r="I152" s="29" t="s">
        <v>94</v>
      </c>
      <c r="J152" s="29" t="s">
        <v>340</v>
      </c>
      <c r="K152" s="29" t="str">
        <f>VLOOKUP(LEFT(H152, 7), 'קטלוג תרחישים'!$A:$L, 12, FALSE)</f>
        <v>א׳</v>
      </c>
      <c r="L152" s="29" t="str">
        <f>IF(J152="כן", K152, VLOOKUP(LEFT(H152, 7), 'קטלוג תרחישים'!$A:$M, 13, FALSE))</f>
        <v>א׳</v>
      </c>
    </row>
    <row r="153" spans="1:12">
      <c r="A153" s="29" t="s">
        <v>129</v>
      </c>
      <c r="B153" s="29">
        <v>20</v>
      </c>
      <c r="C153" s="29" t="s">
        <v>341</v>
      </c>
      <c r="D153" s="29">
        <v>3</v>
      </c>
      <c r="E153" s="29" t="s">
        <v>92</v>
      </c>
      <c r="F153" s="29" t="s">
        <v>342</v>
      </c>
      <c r="G153" s="29" t="s">
        <v>91</v>
      </c>
      <c r="H153" s="29" t="s">
        <v>95</v>
      </c>
      <c r="I153" s="29" t="s">
        <v>89</v>
      </c>
      <c r="J153" s="29" t="s">
        <v>340</v>
      </c>
      <c r="K153" s="29" t="str">
        <f>VLOOKUP(LEFT(H153, 7), 'קטלוג תרחישים'!$A:$L, 12, FALSE)</f>
        <v>ג׳</v>
      </c>
      <c r="L153" s="29" t="str">
        <f>IF(J153="כן", K153, VLOOKUP(LEFT(H153, 7), 'קטלוג תרחישים'!$A:$M, 13, FALSE))</f>
        <v>ג׳</v>
      </c>
    </row>
    <row r="154" spans="1:12">
      <c r="A154" s="29" t="s">
        <v>129</v>
      </c>
      <c r="B154" s="29">
        <v>21</v>
      </c>
      <c r="C154" s="29" t="s">
        <v>341</v>
      </c>
      <c r="D154" s="29">
        <v>3</v>
      </c>
      <c r="E154" s="29" t="s">
        <v>92</v>
      </c>
      <c r="F154" s="29" t="s">
        <v>342</v>
      </c>
      <c r="G154" s="29" t="s">
        <v>91</v>
      </c>
      <c r="H154" s="29" t="s">
        <v>96</v>
      </c>
      <c r="I154" s="29" t="s">
        <v>94</v>
      </c>
      <c r="J154" s="29" t="s">
        <v>343</v>
      </c>
      <c r="K154" s="29" t="str">
        <f>VLOOKUP(LEFT(H154, 7), 'קטלוג תרחישים'!$A:$L, 12, FALSE)</f>
        <v>ב׳</v>
      </c>
      <c r="L154" s="29" t="str">
        <f>IF(J154="כן", K154, VLOOKUP(LEFT(H154, 7), 'קטלוג תרחישים'!$A:$M, 13, FALSE))</f>
        <v>ג׳</v>
      </c>
    </row>
    <row r="155" spans="1:12">
      <c r="A155" s="29" t="s">
        <v>129</v>
      </c>
      <c r="B155" s="29">
        <v>22</v>
      </c>
      <c r="C155" s="29" t="s">
        <v>341</v>
      </c>
      <c r="D155" s="29">
        <v>1</v>
      </c>
      <c r="E155" s="29" t="s">
        <v>105</v>
      </c>
      <c r="F155" s="29" t="s">
        <v>344</v>
      </c>
      <c r="G155" s="29" t="s">
        <v>111</v>
      </c>
      <c r="H155" s="29" t="s">
        <v>116</v>
      </c>
      <c r="I155" s="29" t="s">
        <v>89</v>
      </c>
      <c r="J155" s="29" t="s">
        <v>343</v>
      </c>
      <c r="K155" s="29" t="str">
        <f>VLOOKUP(LEFT(H155, 7), 'קטלוג תרחישים'!$A:$L, 12, FALSE)</f>
        <v>ב׳</v>
      </c>
      <c r="L155" s="29" t="str">
        <f>IF(J155="כן", K155, VLOOKUP(LEFT(H155, 7), 'קטלוג תרחישים'!$A:$M, 13, FALSE))</f>
        <v>א׳</v>
      </c>
    </row>
    <row r="156" spans="1:12">
      <c r="A156" s="29" t="s">
        <v>129</v>
      </c>
      <c r="B156" s="29">
        <v>23</v>
      </c>
      <c r="C156" s="29" t="s">
        <v>341</v>
      </c>
      <c r="D156" s="29">
        <v>1</v>
      </c>
      <c r="E156" s="29" t="s">
        <v>105</v>
      </c>
      <c r="F156" s="29" t="s">
        <v>344</v>
      </c>
      <c r="G156" s="29" t="s">
        <v>111</v>
      </c>
      <c r="H156" s="29" t="s">
        <v>119</v>
      </c>
      <c r="I156" s="29" t="s">
        <v>94</v>
      </c>
      <c r="J156" s="29" t="s">
        <v>343</v>
      </c>
      <c r="K156" s="29" t="str">
        <f>VLOOKUP(LEFT(H156, 7), 'קטלוג תרחישים'!$A:$L, 12, FALSE)</f>
        <v>א׳</v>
      </c>
      <c r="L156" s="29" t="str">
        <f>IF(J156="כן", K156, VLOOKUP(LEFT(H156, 7), 'קטלוג תרחישים'!$A:$M, 13, FALSE))</f>
        <v>ב׳</v>
      </c>
    </row>
    <row r="157" spans="1:12">
      <c r="A157" s="29" t="s">
        <v>129</v>
      </c>
      <c r="B157" s="29">
        <v>24</v>
      </c>
      <c r="C157" s="29" t="s">
        <v>341</v>
      </c>
      <c r="D157" s="29">
        <v>1</v>
      </c>
      <c r="E157" s="29" t="s">
        <v>105</v>
      </c>
      <c r="F157" s="29" t="s">
        <v>344</v>
      </c>
      <c r="G157" s="29" t="s">
        <v>111</v>
      </c>
      <c r="H157" s="29" t="s">
        <v>118</v>
      </c>
      <c r="I157" s="29" t="s">
        <v>89</v>
      </c>
      <c r="J157" s="29" t="s">
        <v>340</v>
      </c>
      <c r="K157" s="29" t="str">
        <f>VLOOKUP(LEFT(H157, 7), 'קטלוג תרחישים'!$A:$L, 12, FALSE)</f>
        <v>ב׳</v>
      </c>
      <c r="L157" s="29" t="str">
        <f>IF(J157="כן", K157, VLOOKUP(LEFT(H157, 7), 'קטלוג תרחישים'!$A:$M, 13, FALSE))</f>
        <v>ב׳</v>
      </c>
    </row>
    <row r="158" spans="1:12">
      <c r="A158" s="29" t="s">
        <v>129</v>
      </c>
      <c r="B158" s="29">
        <v>25</v>
      </c>
      <c r="C158" s="29" t="s">
        <v>341</v>
      </c>
      <c r="D158" s="29">
        <v>1</v>
      </c>
      <c r="E158" s="29" t="s">
        <v>105</v>
      </c>
      <c r="F158" s="29" t="s">
        <v>344</v>
      </c>
      <c r="G158" s="29" t="s">
        <v>111</v>
      </c>
      <c r="H158" s="29" t="s">
        <v>117</v>
      </c>
      <c r="I158" s="29" t="s">
        <v>94</v>
      </c>
      <c r="J158" s="29" t="s">
        <v>340</v>
      </c>
      <c r="K158" s="29" t="str">
        <f>VLOOKUP(LEFT(H158, 7), 'קטלוג תרחישים'!$A:$L, 12, FALSE)</f>
        <v>א׳</v>
      </c>
      <c r="L158" s="29" t="str">
        <f>IF(J158="כן", K158, VLOOKUP(LEFT(H158, 7), 'קטלוג תרחישים'!$A:$M, 13, FALSE))</f>
        <v>א׳</v>
      </c>
    </row>
    <row r="159" spans="1:12">
      <c r="A159" s="29" t="s">
        <v>129</v>
      </c>
      <c r="B159" s="29">
        <v>26</v>
      </c>
      <c r="C159" s="29" t="s">
        <v>341</v>
      </c>
      <c r="D159" s="29">
        <v>2</v>
      </c>
      <c r="E159" s="29" t="s">
        <v>92</v>
      </c>
      <c r="F159" s="29" t="s">
        <v>344</v>
      </c>
      <c r="G159" s="29" t="s">
        <v>111</v>
      </c>
      <c r="H159" s="29" t="s">
        <v>120</v>
      </c>
      <c r="I159" s="29" t="s">
        <v>89</v>
      </c>
      <c r="J159" s="29" t="s">
        <v>343</v>
      </c>
      <c r="K159" s="29" t="str">
        <f>VLOOKUP(LEFT(H159, 7), 'קטלוג תרחישים'!$A:$L, 12, FALSE)</f>
        <v>ב׳</v>
      </c>
      <c r="L159" s="29" t="str">
        <f>IF(J159="כן", K159, VLOOKUP(LEFT(H159, 7), 'קטלוג תרחישים'!$A:$M, 13, FALSE))</f>
        <v>א׳</v>
      </c>
    </row>
    <row r="160" spans="1:12">
      <c r="A160" s="29" t="s">
        <v>129</v>
      </c>
      <c r="B160" s="29">
        <v>27</v>
      </c>
      <c r="C160" s="29" t="s">
        <v>341</v>
      </c>
      <c r="D160" s="29">
        <v>2</v>
      </c>
      <c r="E160" s="29" t="s">
        <v>92</v>
      </c>
      <c r="F160" s="29" t="s">
        <v>344</v>
      </c>
      <c r="G160" s="29" t="s">
        <v>111</v>
      </c>
      <c r="H160" s="29" t="s">
        <v>121</v>
      </c>
      <c r="I160" s="29" t="s">
        <v>94</v>
      </c>
      <c r="J160" s="29" t="s">
        <v>343</v>
      </c>
      <c r="K160" s="29" t="str">
        <f>VLOOKUP(LEFT(H160, 7), 'קטלוג תרחישים'!$A:$L, 12, FALSE)</f>
        <v>ב׳</v>
      </c>
      <c r="L160" s="29" t="str">
        <f>IF(J160="כן", K160, VLOOKUP(LEFT(H160, 7), 'קטלוג תרחישים'!$A:$M, 13, FALSE))</f>
        <v>א׳</v>
      </c>
    </row>
    <row r="161" spans="1:12">
      <c r="A161" s="29" t="s">
        <v>129</v>
      </c>
      <c r="B161" s="29">
        <v>28</v>
      </c>
      <c r="C161" s="29" t="s">
        <v>341</v>
      </c>
      <c r="D161" s="29">
        <v>2</v>
      </c>
      <c r="E161" s="29" t="s">
        <v>92</v>
      </c>
      <c r="F161" s="29" t="s">
        <v>344</v>
      </c>
      <c r="G161" s="29" t="s">
        <v>111</v>
      </c>
      <c r="H161" s="29" t="s">
        <v>122</v>
      </c>
      <c r="I161" s="29" t="s">
        <v>89</v>
      </c>
      <c r="J161" s="29" t="s">
        <v>340</v>
      </c>
      <c r="K161" s="29" t="str">
        <f>VLOOKUP(LEFT(H161, 7), 'קטלוג תרחישים'!$A:$L, 12, FALSE)</f>
        <v>ג׳</v>
      </c>
      <c r="L161" s="29" t="str">
        <f>IF(J161="כן", K161, VLOOKUP(LEFT(H161, 7), 'קטלוג תרחישים'!$A:$M, 13, FALSE))</f>
        <v>ג׳</v>
      </c>
    </row>
    <row r="162" spans="1:12">
      <c r="A162" s="29" t="s">
        <v>129</v>
      </c>
      <c r="B162" s="29">
        <v>29</v>
      </c>
      <c r="C162" s="29" t="s">
        <v>341</v>
      </c>
      <c r="D162" s="29">
        <v>2</v>
      </c>
      <c r="E162" s="29" t="s">
        <v>92</v>
      </c>
      <c r="F162" s="29" t="s">
        <v>344</v>
      </c>
      <c r="G162" s="29" t="s">
        <v>111</v>
      </c>
      <c r="H162" s="29" t="s">
        <v>123</v>
      </c>
      <c r="I162" s="29" t="s">
        <v>94</v>
      </c>
      <c r="J162" s="29" t="s">
        <v>340</v>
      </c>
      <c r="K162" s="29" t="str">
        <f>VLOOKUP(LEFT(H162, 7), 'קטלוג תרחישים'!$A:$L, 12, FALSE)</f>
        <v>א׳</v>
      </c>
      <c r="L162" s="29" t="str">
        <f>IF(J162="כן", K162, VLOOKUP(LEFT(H162, 7), 'קטלוג תרחישים'!$A:$M, 13, FALSE))</f>
        <v>א׳</v>
      </c>
    </row>
    <row r="163" spans="1:12">
      <c r="A163" s="29" t="s">
        <v>129</v>
      </c>
      <c r="B163" s="29">
        <v>30</v>
      </c>
      <c r="C163" s="29" t="s">
        <v>341</v>
      </c>
      <c r="D163" s="29">
        <v>3</v>
      </c>
      <c r="E163" s="29" t="s">
        <v>99</v>
      </c>
      <c r="F163" s="29" t="s">
        <v>344</v>
      </c>
      <c r="G163" s="29" t="s">
        <v>111</v>
      </c>
      <c r="H163" s="29" t="s">
        <v>112</v>
      </c>
      <c r="I163" s="29" t="s">
        <v>89</v>
      </c>
      <c r="J163" s="29" t="s">
        <v>340</v>
      </c>
      <c r="K163" s="29" t="str">
        <f>VLOOKUP(LEFT(H163, 7), 'קטלוג תרחישים'!$A:$L, 12, FALSE)</f>
        <v>ג׳</v>
      </c>
      <c r="L163" s="29" t="str">
        <f>IF(J163="כן", K163, VLOOKUP(LEFT(H163, 7), 'קטלוג תרחישים'!$A:$M, 13, FALSE))</f>
        <v>ג׳</v>
      </c>
    </row>
    <row r="164" spans="1:12">
      <c r="A164" s="29" t="s">
        <v>129</v>
      </c>
      <c r="B164" s="29">
        <v>31</v>
      </c>
      <c r="C164" s="29" t="s">
        <v>341</v>
      </c>
      <c r="D164" s="29">
        <v>3</v>
      </c>
      <c r="E164" s="29" t="s">
        <v>99</v>
      </c>
      <c r="F164" s="29" t="s">
        <v>344</v>
      </c>
      <c r="G164" s="29" t="s">
        <v>111</v>
      </c>
      <c r="H164" s="29" t="s">
        <v>113</v>
      </c>
      <c r="I164" s="29" t="s">
        <v>94</v>
      </c>
      <c r="J164" s="29" t="s">
        <v>343</v>
      </c>
      <c r="K164" s="29" t="str">
        <f>VLOOKUP(LEFT(H164, 7), 'קטלוג תרחישים'!$A:$L, 12, FALSE)</f>
        <v>ג׳</v>
      </c>
      <c r="L164" s="29" t="str">
        <f>IF(J164="כן", K164, VLOOKUP(LEFT(H164, 7), 'קטלוג תרחישים'!$A:$M, 13, FALSE))</f>
        <v>א׳</v>
      </c>
    </row>
    <row r="165" spans="1:12">
      <c r="A165" s="29" t="s">
        <v>129</v>
      </c>
      <c r="B165" s="29">
        <v>32</v>
      </c>
      <c r="C165" s="29" t="s">
        <v>341</v>
      </c>
      <c r="D165" s="29">
        <v>3</v>
      </c>
      <c r="E165" s="29" t="s">
        <v>99</v>
      </c>
      <c r="F165" s="29" t="s">
        <v>344</v>
      </c>
      <c r="G165" s="29" t="s">
        <v>111</v>
      </c>
      <c r="H165" s="29" t="s">
        <v>114</v>
      </c>
      <c r="I165" s="29" t="s">
        <v>89</v>
      </c>
      <c r="J165" s="29" t="s">
        <v>343</v>
      </c>
      <c r="K165" s="29" t="str">
        <f>VLOOKUP(LEFT(H165, 7), 'קטלוג תרחישים'!$A:$L, 12, FALSE)</f>
        <v>א׳</v>
      </c>
      <c r="L165" s="29" t="str">
        <f>IF(J165="כן", K165, VLOOKUP(LEFT(H165, 7), 'קטלוג תרחישים'!$A:$M, 13, FALSE))</f>
        <v>ג׳</v>
      </c>
    </row>
    <row r="166" spans="1:12">
      <c r="A166" s="29" t="s">
        <v>129</v>
      </c>
      <c r="B166" s="29">
        <v>33</v>
      </c>
      <c r="C166" s="29" t="s">
        <v>341</v>
      </c>
      <c r="D166" s="29">
        <v>3</v>
      </c>
      <c r="E166" s="29" t="s">
        <v>99</v>
      </c>
      <c r="F166" s="29" t="s">
        <v>344</v>
      </c>
      <c r="G166" s="29" t="s">
        <v>111</v>
      </c>
      <c r="H166" s="29" t="s">
        <v>115</v>
      </c>
      <c r="I166" s="29" t="s">
        <v>94</v>
      </c>
      <c r="J166" s="29" t="s">
        <v>340</v>
      </c>
      <c r="K166" s="29" t="str">
        <f>VLOOKUP(LEFT(H166, 7), 'קטלוג תרחישים'!$A:$L, 12, FALSE)</f>
        <v>ב׳</v>
      </c>
      <c r="L166" s="29" t="str">
        <f>IF(J166="כן", K166, VLOOKUP(LEFT(H166, 7), 'קטלוג תרחישים'!$A:$M, 13, FALSE))</f>
        <v>ב׳</v>
      </c>
    </row>
    <row r="167" spans="1:12">
      <c r="A167" s="29" t="s">
        <v>130</v>
      </c>
      <c r="B167" s="29">
        <v>1</v>
      </c>
      <c r="C167" s="29" t="s">
        <v>339</v>
      </c>
      <c r="D167" s="29"/>
      <c r="E167" s="29" t="s">
        <v>92</v>
      </c>
      <c r="F167" s="29"/>
      <c r="G167" s="29"/>
      <c r="H167" s="30" t="s">
        <v>351</v>
      </c>
      <c r="I167" s="29" t="s">
        <v>89</v>
      </c>
      <c r="J167" s="29" t="s">
        <v>340</v>
      </c>
      <c r="K167" s="29" t="str">
        <f>VLOOKUP(LEFT(H167, 7), 'קטלוג תרחישים'!$A:$L, 12, FALSE)</f>
        <v>א׳</v>
      </c>
      <c r="L167" s="29" t="str">
        <f>IF(J167="כן", K167, VLOOKUP(LEFT(H167, 7), 'קטלוג תרחישים'!$A:$M, 13, FALSE))</f>
        <v>א׳</v>
      </c>
    </row>
    <row r="168" spans="1:12">
      <c r="A168" s="29" t="s">
        <v>130</v>
      </c>
      <c r="B168" s="29">
        <v>2</v>
      </c>
      <c r="C168" s="29" t="s">
        <v>339</v>
      </c>
      <c r="D168" s="29"/>
      <c r="E168" s="29" t="s">
        <v>92</v>
      </c>
      <c r="F168" s="29"/>
      <c r="G168" s="29"/>
      <c r="H168" s="30" t="s">
        <v>88</v>
      </c>
      <c r="I168" s="29" t="s">
        <v>89</v>
      </c>
      <c r="J168" s="29" t="s">
        <v>340</v>
      </c>
      <c r="K168" s="29" t="str">
        <f>VLOOKUP(LEFT(H168, 7), 'קטלוג תרחישים'!$A:$L, 12, FALSE)</f>
        <v>א׳</v>
      </c>
      <c r="L168" s="29" t="str">
        <f>IF(J168="כן", K168, VLOOKUP(LEFT(H168, 7), 'קטלוג תרחישים'!$A:$M, 13, FALSE))</f>
        <v>א׳</v>
      </c>
    </row>
    <row r="169" spans="1:12">
      <c r="A169" s="29" t="s">
        <v>130</v>
      </c>
      <c r="B169" s="29">
        <v>3</v>
      </c>
      <c r="C169" s="29" t="s">
        <v>339</v>
      </c>
      <c r="D169" s="29"/>
      <c r="E169" s="29" t="s">
        <v>99</v>
      </c>
      <c r="F169" s="29"/>
      <c r="G169" s="29"/>
      <c r="H169" s="30" t="s">
        <v>352</v>
      </c>
      <c r="I169" s="29" t="s">
        <v>89</v>
      </c>
      <c r="J169" s="29" t="s">
        <v>340</v>
      </c>
      <c r="K169" s="29" t="str">
        <f>VLOOKUP(LEFT(H169, 7), 'קטלוג תרחישים'!$A:$L, 12, FALSE)</f>
        <v>ב׳</v>
      </c>
      <c r="L169" s="29" t="str">
        <f>IF(J169="כן", K169, VLOOKUP(LEFT(H169, 7), 'קטלוג תרחישים'!$A:$M, 13, FALSE))</f>
        <v>ב׳</v>
      </c>
    </row>
    <row r="170" spans="1:12">
      <c r="A170" s="29" t="s">
        <v>130</v>
      </c>
      <c r="B170" s="29">
        <v>4</v>
      </c>
      <c r="C170" s="29" t="s">
        <v>339</v>
      </c>
      <c r="D170" s="29"/>
      <c r="E170" s="29" t="s">
        <v>99</v>
      </c>
      <c r="F170" s="29"/>
      <c r="G170" s="29"/>
      <c r="H170" s="30" t="s">
        <v>353</v>
      </c>
      <c r="I170" s="29" t="s">
        <v>89</v>
      </c>
      <c r="J170" s="29" t="s">
        <v>340</v>
      </c>
      <c r="K170" s="29" t="str">
        <f>VLOOKUP(LEFT(H170, 7), 'קטלוג תרחישים'!$A:$L, 12, FALSE)</f>
        <v>ב׳</v>
      </c>
      <c r="L170" s="29" t="str">
        <f>IF(J170="כן", K170, VLOOKUP(LEFT(H170, 7), 'קטלוג תרחישים'!$A:$M, 13, FALSE))</f>
        <v>ב׳</v>
      </c>
    </row>
    <row r="171" spans="1:12">
      <c r="A171" s="29" t="s">
        <v>130</v>
      </c>
      <c r="B171" s="29">
        <v>5</v>
      </c>
      <c r="C171" s="29" t="s">
        <v>339</v>
      </c>
      <c r="D171" s="29"/>
      <c r="E171" s="29" t="s">
        <v>105</v>
      </c>
      <c r="F171" s="29"/>
      <c r="G171" s="29"/>
      <c r="H171" s="30" t="s">
        <v>354</v>
      </c>
      <c r="I171" s="29" t="s">
        <v>89</v>
      </c>
      <c r="J171" s="29" t="s">
        <v>340</v>
      </c>
      <c r="K171" s="29" t="str">
        <f>VLOOKUP(LEFT(H171, 7), 'קטלוג תרחישים'!$A:$L, 12, FALSE)</f>
        <v>ג׳</v>
      </c>
      <c r="L171" s="29" t="str">
        <f>IF(J171="כן", K171, VLOOKUP(LEFT(H171, 7), 'קטלוג תרחישים'!$A:$M, 13, FALSE))</f>
        <v>ג׳</v>
      </c>
    </row>
    <row r="172" spans="1:12">
      <c r="A172" s="29" t="s">
        <v>130</v>
      </c>
      <c r="B172" s="29">
        <v>6</v>
      </c>
      <c r="C172" s="29" t="s">
        <v>339</v>
      </c>
      <c r="D172" s="29"/>
      <c r="E172" s="29" t="s">
        <v>105</v>
      </c>
      <c r="F172" s="29"/>
      <c r="G172" s="29"/>
      <c r="H172" s="30" t="s">
        <v>90</v>
      </c>
      <c r="I172" s="29" t="s">
        <v>89</v>
      </c>
      <c r="J172" s="29" t="s">
        <v>340</v>
      </c>
      <c r="K172" s="29" t="str">
        <f>VLOOKUP(LEFT(H172, 7), 'קטלוג תרחישים'!$A:$L, 12, FALSE)</f>
        <v>ג׳</v>
      </c>
      <c r="L172" s="29" t="str">
        <f>IF(J172="כן", K172, VLOOKUP(LEFT(H172, 7), 'קטלוג תרחישים'!$A:$M, 13, FALSE))</f>
        <v>ג׳</v>
      </c>
    </row>
    <row r="173" spans="1:12">
      <c r="A173" s="29" t="s">
        <v>130</v>
      </c>
      <c r="B173" s="29">
        <v>7</v>
      </c>
      <c r="C173" s="29" t="s">
        <v>341</v>
      </c>
      <c r="D173" s="29">
        <v>1</v>
      </c>
      <c r="E173" s="29" t="s">
        <v>92</v>
      </c>
      <c r="F173" s="29" t="s">
        <v>342</v>
      </c>
      <c r="G173" s="29" t="s">
        <v>111</v>
      </c>
      <c r="H173" s="29" t="s">
        <v>122</v>
      </c>
      <c r="I173" s="29" t="s">
        <v>89</v>
      </c>
      <c r="J173" s="29" t="s">
        <v>343</v>
      </c>
      <c r="K173" s="29" t="str">
        <f>VLOOKUP(LEFT(H173, 7), 'קטלוג תרחישים'!$A:$L, 12, FALSE)</f>
        <v>ג׳</v>
      </c>
      <c r="L173" s="29" t="str">
        <f>IF(J173="כן", K173, VLOOKUP(LEFT(H173, 7), 'קטלוג תרחישים'!$A:$M, 13, FALSE))</f>
        <v>ב׳</v>
      </c>
    </row>
    <row r="174" spans="1:12">
      <c r="A174" s="29" t="s">
        <v>130</v>
      </c>
      <c r="B174" s="29">
        <v>8</v>
      </c>
      <c r="C174" s="29" t="s">
        <v>341</v>
      </c>
      <c r="D174" s="29">
        <v>1</v>
      </c>
      <c r="E174" s="29" t="s">
        <v>92</v>
      </c>
      <c r="F174" s="29" t="s">
        <v>342</v>
      </c>
      <c r="G174" s="29" t="s">
        <v>111</v>
      </c>
      <c r="H174" s="29" t="s">
        <v>123</v>
      </c>
      <c r="I174" s="29" t="s">
        <v>94</v>
      </c>
      <c r="J174" s="29" t="s">
        <v>340</v>
      </c>
      <c r="K174" s="29" t="str">
        <f>VLOOKUP(LEFT(H174, 7), 'קטלוג תרחישים'!$A:$L, 12, FALSE)</f>
        <v>א׳</v>
      </c>
      <c r="L174" s="29" t="str">
        <f>IF(J174="כן", K174, VLOOKUP(LEFT(H174, 7), 'קטלוג תרחישים'!$A:$M, 13, FALSE))</f>
        <v>א׳</v>
      </c>
    </row>
    <row r="175" spans="1:12">
      <c r="A175" s="29" t="s">
        <v>130</v>
      </c>
      <c r="B175" s="29">
        <v>9</v>
      </c>
      <c r="C175" s="29" t="s">
        <v>341</v>
      </c>
      <c r="D175" s="29">
        <v>1</v>
      </c>
      <c r="E175" s="29" t="s">
        <v>92</v>
      </c>
      <c r="F175" s="29" t="s">
        <v>342</v>
      </c>
      <c r="G175" s="29" t="s">
        <v>111</v>
      </c>
      <c r="H175" s="29" t="s">
        <v>120</v>
      </c>
      <c r="I175" s="29" t="s">
        <v>89</v>
      </c>
      <c r="J175" s="29" t="s">
        <v>340</v>
      </c>
      <c r="K175" s="29" t="str">
        <f>VLOOKUP(LEFT(H175, 7), 'קטלוג תרחישים'!$A:$L, 12, FALSE)</f>
        <v>ב׳</v>
      </c>
      <c r="L175" s="29" t="str">
        <f>IF(J175="כן", K175, VLOOKUP(LEFT(H175, 7), 'קטלוג תרחישים'!$A:$M, 13, FALSE))</f>
        <v>ב׳</v>
      </c>
    </row>
    <row r="176" spans="1:12">
      <c r="A176" s="29" t="s">
        <v>130</v>
      </c>
      <c r="B176" s="29">
        <v>10</v>
      </c>
      <c r="C176" s="29" t="s">
        <v>341</v>
      </c>
      <c r="D176" s="29">
        <v>1</v>
      </c>
      <c r="E176" s="29" t="s">
        <v>92</v>
      </c>
      <c r="F176" s="29" t="s">
        <v>342</v>
      </c>
      <c r="G176" s="29" t="s">
        <v>111</v>
      </c>
      <c r="H176" s="29" t="s">
        <v>121</v>
      </c>
      <c r="I176" s="29" t="s">
        <v>94</v>
      </c>
      <c r="J176" s="29" t="s">
        <v>343</v>
      </c>
      <c r="K176" s="29" t="str">
        <f>VLOOKUP(LEFT(H176, 7), 'קטלוג תרחישים'!$A:$L, 12, FALSE)</f>
        <v>ב׳</v>
      </c>
      <c r="L176" s="29" t="str">
        <f>IF(J176="כן", K176, VLOOKUP(LEFT(H176, 7), 'קטלוג תרחישים'!$A:$M, 13, FALSE))</f>
        <v>א׳</v>
      </c>
    </row>
    <row r="177" spans="1:12">
      <c r="A177" s="29" t="s">
        <v>130</v>
      </c>
      <c r="B177" s="29">
        <v>11</v>
      </c>
      <c r="C177" s="29" t="s">
        <v>341</v>
      </c>
      <c r="D177" s="29">
        <v>2</v>
      </c>
      <c r="E177" s="29" t="s">
        <v>99</v>
      </c>
      <c r="F177" s="29" t="s">
        <v>342</v>
      </c>
      <c r="G177" s="29" t="s">
        <v>111</v>
      </c>
      <c r="H177" s="29" t="s">
        <v>114</v>
      </c>
      <c r="I177" s="29" t="s">
        <v>89</v>
      </c>
      <c r="J177" s="29" t="s">
        <v>343</v>
      </c>
      <c r="K177" s="29" t="str">
        <f>VLOOKUP(LEFT(H177, 7), 'קטלוג תרחישים'!$A:$L, 12, FALSE)</f>
        <v>א׳</v>
      </c>
      <c r="L177" s="29" t="str">
        <f>IF(J177="כן", K177, VLOOKUP(LEFT(H177, 7), 'קטלוג תרחישים'!$A:$M, 13, FALSE))</f>
        <v>ג׳</v>
      </c>
    </row>
    <row r="178" spans="1:12">
      <c r="A178" s="29" t="s">
        <v>130</v>
      </c>
      <c r="B178" s="29">
        <v>12</v>
      </c>
      <c r="C178" s="29" t="s">
        <v>341</v>
      </c>
      <c r="D178" s="29">
        <v>2</v>
      </c>
      <c r="E178" s="29" t="s">
        <v>99</v>
      </c>
      <c r="F178" s="29" t="s">
        <v>342</v>
      </c>
      <c r="G178" s="29" t="s">
        <v>111</v>
      </c>
      <c r="H178" s="29" t="s">
        <v>115</v>
      </c>
      <c r="I178" s="29" t="s">
        <v>94</v>
      </c>
      <c r="J178" s="29" t="s">
        <v>343</v>
      </c>
      <c r="K178" s="29" t="str">
        <f>VLOOKUP(LEFT(H178, 7), 'קטלוג תרחישים'!$A:$L, 12, FALSE)</f>
        <v>ב׳</v>
      </c>
      <c r="L178" s="29" t="str">
        <f>IF(J178="כן", K178, VLOOKUP(LEFT(H178, 7), 'קטלוג תרחישים'!$A:$M, 13, FALSE))</f>
        <v>ג׳</v>
      </c>
    </row>
    <row r="179" spans="1:12">
      <c r="A179" s="29" t="s">
        <v>130</v>
      </c>
      <c r="B179" s="29">
        <v>13</v>
      </c>
      <c r="C179" s="29" t="s">
        <v>341</v>
      </c>
      <c r="D179" s="29">
        <v>2</v>
      </c>
      <c r="E179" s="29" t="s">
        <v>99</v>
      </c>
      <c r="F179" s="29" t="s">
        <v>342</v>
      </c>
      <c r="G179" s="29" t="s">
        <v>111</v>
      </c>
      <c r="H179" s="29" t="s">
        <v>112</v>
      </c>
      <c r="I179" s="29" t="s">
        <v>89</v>
      </c>
      <c r="J179" s="29" t="s">
        <v>340</v>
      </c>
      <c r="K179" s="29" t="str">
        <f>VLOOKUP(LEFT(H179, 7), 'קטלוג תרחישים'!$A:$L, 12, FALSE)</f>
        <v>ג׳</v>
      </c>
      <c r="L179" s="29" t="str">
        <f>IF(J179="כן", K179, VLOOKUP(LEFT(H179, 7), 'קטלוג תרחישים'!$A:$M, 13, FALSE))</f>
        <v>ג׳</v>
      </c>
    </row>
    <row r="180" spans="1:12">
      <c r="A180" s="29" t="s">
        <v>130</v>
      </c>
      <c r="B180" s="29">
        <v>14</v>
      </c>
      <c r="C180" s="29" t="s">
        <v>341</v>
      </c>
      <c r="D180" s="29">
        <v>2</v>
      </c>
      <c r="E180" s="29" t="s">
        <v>99</v>
      </c>
      <c r="F180" s="29" t="s">
        <v>342</v>
      </c>
      <c r="G180" s="29" t="s">
        <v>111</v>
      </c>
      <c r="H180" s="29" t="s">
        <v>113</v>
      </c>
      <c r="I180" s="29" t="s">
        <v>94</v>
      </c>
      <c r="J180" s="29" t="s">
        <v>340</v>
      </c>
      <c r="K180" s="29" t="str">
        <f>VLOOKUP(LEFT(H180, 7), 'קטלוג תרחישים'!$A:$L, 12, FALSE)</f>
        <v>ג׳</v>
      </c>
      <c r="L180" s="29" t="str">
        <f>IF(J180="כן", K180, VLOOKUP(LEFT(H180, 7), 'קטלוג תרחישים'!$A:$M, 13, FALSE))</f>
        <v>ג׳</v>
      </c>
    </row>
    <row r="181" spans="1:12">
      <c r="A181" s="29" t="s">
        <v>130</v>
      </c>
      <c r="B181" s="29">
        <v>15</v>
      </c>
      <c r="C181" s="29" t="s">
        <v>341</v>
      </c>
      <c r="D181" s="29">
        <v>3</v>
      </c>
      <c r="E181" s="29" t="s">
        <v>105</v>
      </c>
      <c r="F181" s="29" t="s">
        <v>342</v>
      </c>
      <c r="G181" s="29" t="s">
        <v>111</v>
      </c>
      <c r="H181" s="29" t="s">
        <v>116</v>
      </c>
      <c r="I181" s="29" t="s">
        <v>89</v>
      </c>
      <c r="J181" s="29" t="s">
        <v>340</v>
      </c>
      <c r="K181" s="29" t="str">
        <f>VLOOKUP(LEFT(H181, 7), 'קטלוג תרחישים'!$A:$L, 12, FALSE)</f>
        <v>ב׳</v>
      </c>
      <c r="L181" s="29" t="str">
        <f>IF(J181="כן", K181, VLOOKUP(LEFT(H181, 7), 'קטלוג תרחישים'!$A:$M, 13, FALSE))</f>
        <v>ב׳</v>
      </c>
    </row>
    <row r="182" spans="1:12">
      <c r="A182" s="29" t="s">
        <v>130</v>
      </c>
      <c r="B182" s="29">
        <v>16</v>
      </c>
      <c r="C182" s="29" t="s">
        <v>341</v>
      </c>
      <c r="D182" s="29">
        <v>3</v>
      </c>
      <c r="E182" s="29" t="s">
        <v>105</v>
      </c>
      <c r="F182" s="29" t="s">
        <v>342</v>
      </c>
      <c r="G182" s="29" t="s">
        <v>111</v>
      </c>
      <c r="H182" s="29" t="s">
        <v>119</v>
      </c>
      <c r="I182" s="29" t="s">
        <v>94</v>
      </c>
      <c r="J182" s="29" t="s">
        <v>343</v>
      </c>
      <c r="K182" s="29" t="str">
        <f>VLOOKUP(LEFT(H182, 7), 'קטלוג תרחישים'!$A:$L, 12, FALSE)</f>
        <v>א׳</v>
      </c>
      <c r="L182" s="29" t="str">
        <f>IF(J182="כן", K182, VLOOKUP(LEFT(H182, 7), 'קטלוג תרחישים'!$A:$M, 13, FALSE))</f>
        <v>ב׳</v>
      </c>
    </row>
    <row r="183" spans="1:12">
      <c r="A183" s="29" t="s">
        <v>130</v>
      </c>
      <c r="B183" s="29">
        <v>17</v>
      </c>
      <c r="C183" s="29" t="s">
        <v>341</v>
      </c>
      <c r="D183" s="29">
        <v>3</v>
      </c>
      <c r="E183" s="29" t="s">
        <v>105</v>
      </c>
      <c r="F183" s="29" t="s">
        <v>342</v>
      </c>
      <c r="G183" s="29" t="s">
        <v>111</v>
      </c>
      <c r="H183" s="29" t="s">
        <v>118</v>
      </c>
      <c r="I183" s="29" t="s">
        <v>89</v>
      </c>
      <c r="J183" s="29" t="s">
        <v>343</v>
      </c>
      <c r="K183" s="29" t="str">
        <f>VLOOKUP(LEFT(H183, 7), 'קטלוג תרחישים'!$A:$L, 12, FALSE)</f>
        <v>ב׳</v>
      </c>
      <c r="L183" s="29" t="str">
        <f>IF(J183="כן", K183, VLOOKUP(LEFT(H183, 7), 'קטלוג תרחישים'!$A:$M, 13, FALSE))</f>
        <v>א׳</v>
      </c>
    </row>
    <row r="184" spans="1:12">
      <c r="A184" s="29" t="s">
        <v>130</v>
      </c>
      <c r="B184" s="29">
        <v>18</v>
      </c>
      <c r="C184" s="29" t="s">
        <v>341</v>
      </c>
      <c r="D184" s="29">
        <v>3</v>
      </c>
      <c r="E184" s="29" t="s">
        <v>105</v>
      </c>
      <c r="F184" s="29" t="s">
        <v>342</v>
      </c>
      <c r="G184" s="29" t="s">
        <v>111</v>
      </c>
      <c r="H184" s="29" t="s">
        <v>117</v>
      </c>
      <c r="I184" s="29" t="s">
        <v>94</v>
      </c>
      <c r="J184" s="29" t="s">
        <v>340</v>
      </c>
      <c r="K184" s="29" t="str">
        <f>VLOOKUP(LEFT(H184, 7), 'קטלוג תרחישים'!$A:$L, 12, FALSE)</f>
        <v>א׳</v>
      </c>
      <c r="L184" s="29" t="str">
        <f>IF(J184="כן", K184, VLOOKUP(LEFT(H184, 7), 'קטלוג תרחישים'!$A:$M, 13, FALSE))</f>
        <v>א׳</v>
      </c>
    </row>
    <row r="185" spans="1:12">
      <c r="A185" s="29" t="s">
        <v>130</v>
      </c>
      <c r="B185" s="29">
        <v>19</v>
      </c>
      <c r="C185" s="29" t="s">
        <v>341</v>
      </c>
      <c r="D185" s="29">
        <v>1</v>
      </c>
      <c r="E185" s="29" t="s">
        <v>105</v>
      </c>
      <c r="F185" s="29" t="s">
        <v>344</v>
      </c>
      <c r="G185" s="29" t="s">
        <v>91</v>
      </c>
      <c r="H185" s="29" t="s">
        <v>110</v>
      </c>
      <c r="I185" s="29" t="s">
        <v>89</v>
      </c>
      <c r="J185" s="29" t="s">
        <v>340</v>
      </c>
      <c r="K185" s="29" t="str">
        <f>VLOOKUP(LEFT(H185, 7), 'קטלוג תרחישים'!$A:$L, 12, FALSE)</f>
        <v>ג׳</v>
      </c>
      <c r="L185" s="29" t="str">
        <f>IF(J185="כן", K185, VLOOKUP(LEFT(H185, 7), 'קטלוג תרחישים'!$A:$M, 13, FALSE))</f>
        <v>ג׳</v>
      </c>
    </row>
    <row r="186" spans="1:12">
      <c r="A186" s="29" t="s">
        <v>130</v>
      </c>
      <c r="B186" s="29">
        <v>20</v>
      </c>
      <c r="C186" s="29" t="s">
        <v>341</v>
      </c>
      <c r="D186" s="29">
        <v>1</v>
      </c>
      <c r="E186" s="29" t="s">
        <v>105</v>
      </c>
      <c r="F186" s="29" t="s">
        <v>344</v>
      </c>
      <c r="G186" s="29" t="s">
        <v>91</v>
      </c>
      <c r="H186" s="29" t="s">
        <v>107</v>
      </c>
      <c r="I186" s="29" t="s">
        <v>94</v>
      </c>
      <c r="J186" s="29" t="s">
        <v>340</v>
      </c>
      <c r="K186" s="29" t="str">
        <f>VLOOKUP(LEFT(H186, 7), 'קטלוג תרחישים'!$A:$L, 12, FALSE)</f>
        <v>ג׳</v>
      </c>
      <c r="L186" s="29" t="str">
        <f>IF(J186="כן", K186, VLOOKUP(LEFT(H186, 7), 'קטלוג תרחישים'!$A:$M, 13, FALSE))</f>
        <v>ג׳</v>
      </c>
    </row>
    <row r="187" spans="1:12">
      <c r="A187" s="29" t="s">
        <v>130</v>
      </c>
      <c r="B187" s="29">
        <v>21</v>
      </c>
      <c r="C187" s="29" t="s">
        <v>341</v>
      </c>
      <c r="D187" s="29">
        <v>1</v>
      </c>
      <c r="E187" s="29" t="s">
        <v>105</v>
      </c>
      <c r="F187" s="29" t="s">
        <v>344</v>
      </c>
      <c r="G187" s="29" t="s">
        <v>91</v>
      </c>
      <c r="H187" s="29" t="s">
        <v>108</v>
      </c>
      <c r="I187" s="29" t="s">
        <v>89</v>
      </c>
      <c r="J187" s="29" t="s">
        <v>343</v>
      </c>
      <c r="K187" s="29" t="str">
        <f>VLOOKUP(LEFT(H187, 7), 'קטלוג תרחישים'!$A:$L, 12, FALSE)</f>
        <v>א׳</v>
      </c>
      <c r="L187" s="29" t="str">
        <f>IF(J187="כן", K187, VLOOKUP(LEFT(H187, 7), 'קטלוג תרחישים'!$A:$M, 13, FALSE))</f>
        <v>ב׳</v>
      </c>
    </row>
    <row r="188" spans="1:12">
      <c r="A188" s="29" t="s">
        <v>130</v>
      </c>
      <c r="B188" s="29">
        <v>22</v>
      </c>
      <c r="C188" s="29" t="s">
        <v>341</v>
      </c>
      <c r="D188" s="29">
        <v>1</v>
      </c>
      <c r="E188" s="29" t="s">
        <v>105</v>
      </c>
      <c r="F188" s="29" t="s">
        <v>344</v>
      </c>
      <c r="G188" s="29" t="s">
        <v>91</v>
      </c>
      <c r="H188" s="29" t="s">
        <v>109</v>
      </c>
      <c r="I188" s="29" t="s">
        <v>94</v>
      </c>
      <c r="J188" s="29" t="s">
        <v>340</v>
      </c>
      <c r="K188" s="29" t="str">
        <f>VLOOKUP(LEFT(H188, 7), 'קטלוג תרחישים'!$A:$L, 12, FALSE)</f>
        <v>ב׳</v>
      </c>
      <c r="L188" s="29" t="str">
        <f>IF(J188="כן", K188, VLOOKUP(LEFT(H188, 7), 'קטלוג תרחישים'!$A:$M, 13, FALSE))</f>
        <v>ב׳</v>
      </c>
    </row>
    <row r="189" spans="1:12">
      <c r="A189" s="29" t="s">
        <v>130</v>
      </c>
      <c r="B189" s="29">
        <v>23</v>
      </c>
      <c r="C189" s="29" t="s">
        <v>341</v>
      </c>
      <c r="D189" s="29">
        <v>1</v>
      </c>
      <c r="E189" s="29" t="s">
        <v>105</v>
      </c>
      <c r="F189" s="29" t="s">
        <v>344</v>
      </c>
      <c r="G189" s="29" t="s">
        <v>91</v>
      </c>
      <c r="H189" s="29" t="s">
        <v>106</v>
      </c>
      <c r="I189" s="29" t="s">
        <v>89</v>
      </c>
      <c r="J189" s="29" t="s">
        <v>340</v>
      </c>
      <c r="K189" s="29" t="str">
        <f>VLOOKUP(LEFT(H189, 7), 'קטלוג תרחישים'!$A:$L, 12, FALSE)</f>
        <v>א׳</v>
      </c>
      <c r="L189" s="29" t="str">
        <f>IF(J189="כן", K189, VLOOKUP(LEFT(H189, 7), 'קטלוג תרחישים'!$A:$M, 13, FALSE))</f>
        <v>א׳</v>
      </c>
    </row>
    <row r="190" spans="1:12">
      <c r="A190" s="29" t="s">
        <v>130</v>
      </c>
      <c r="B190" s="29">
        <v>24</v>
      </c>
      <c r="C190" s="29" t="s">
        <v>341</v>
      </c>
      <c r="D190" s="29">
        <v>2</v>
      </c>
      <c r="E190" s="29" t="s">
        <v>92</v>
      </c>
      <c r="F190" s="29" t="s">
        <v>344</v>
      </c>
      <c r="G190" s="29" t="s">
        <v>91</v>
      </c>
      <c r="H190" s="29" t="s">
        <v>96</v>
      </c>
      <c r="I190" s="29" t="s">
        <v>94</v>
      </c>
      <c r="J190" s="29" t="s">
        <v>340</v>
      </c>
      <c r="K190" s="29" t="str">
        <f>VLOOKUP(LEFT(H190, 7), 'קטלוג תרחישים'!$A:$L, 12, FALSE)</f>
        <v>ב׳</v>
      </c>
      <c r="L190" s="29" t="str">
        <f>IF(J190="כן", K190, VLOOKUP(LEFT(H190, 7), 'קטלוג תרחישים'!$A:$M, 13, FALSE))</f>
        <v>ב׳</v>
      </c>
    </row>
    <row r="191" spans="1:12">
      <c r="A191" s="29" t="s">
        <v>130</v>
      </c>
      <c r="B191" s="29">
        <v>25</v>
      </c>
      <c r="C191" s="29" t="s">
        <v>341</v>
      </c>
      <c r="D191" s="29">
        <v>2</v>
      </c>
      <c r="E191" s="29" t="s">
        <v>92</v>
      </c>
      <c r="F191" s="29" t="s">
        <v>344</v>
      </c>
      <c r="G191" s="29" t="s">
        <v>91</v>
      </c>
      <c r="H191" s="29" t="s">
        <v>97</v>
      </c>
      <c r="I191" s="29" t="s">
        <v>89</v>
      </c>
      <c r="J191" s="29" t="s">
        <v>343</v>
      </c>
      <c r="K191" s="29" t="str">
        <f>VLOOKUP(LEFT(H191, 7), 'קטלוג תרחישים'!$A:$L, 12, FALSE)</f>
        <v>ג׳</v>
      </c>
      <c r="L191" s="29" t="str">
        <f>IF(J191="כן", K191, VLOOKUP(LEFT(H191, 7), 'קטלוג תרחישים'!$A:$M, 13, FALSE))</f>
        <v>ב׳</v>
      </c>
    </row>
    <row r="192" spans="1:12">
      <c r="A192" s="29" t="s">
        <v>130</v>
      </c>
      <c r="B192" s="29">
        <v>26</v>
      </c>
      <c r="C192" s="29" t="s">
        <v>341</v>
      </c>
      <c r="D192" s="29">
        <v>2</v>
      </c>
      <c r="E192" s="29" t="s">
        <v>92</v>
      </c>
      <c r="F192" s="29" t="s">
        <v>344</v>
      </c>
      <c r="G192" s="29" t="s">
        <v>91</v>
      </c>
      <c r="H192" s="29" t="s">
        <v>98</v>
      </c>
      <c r="I192" s="29" t="s">
        <v>94</v>
      </c>
      <c r="J192" s="29" t="s">
        <v>340</v>
      </c>
      <c r="K192" s="29" t="str">
        <f>VLOOKUP(LEFT(H192, 7), 'קטלוג תרחישים'!$A:$L, 12, FALSE)</f>
        <v>ג׳</v>
      </c>
      <c r="L192" s="29" t="str">
        <f>IF(J192="כן", K192, VLOOKUP(LEFT(H192, 7), 'קטלוג תרחישים'!$A:$M, 13, FALSE))</f>
        <v>ג׳</v>
      </c>
    </row>
    <row r="193" spans="1:12">
      <c r="A193" s="29" t="s">
        <v>130</v>
      </c>
      <c r="B193" s="29">
        <v>27</v>
      </c>
      <c r="C193" s="29" t="s">
        <v>341</v>
      </c>
      <c r="D193" s="29">
        <v>2</v>
      </c>
      <c r="E193" s="29" t="s">
        <v>92</v>
      </c>
      <c r="F193" s="29" t="s">
        <v>344</v>
      </c>
      <c r="G193" s="29" t="s">
        <v>91</v>
      </c>
      <c r="H193" s="29" t="s">
        <v>95</v>
      </c>
      <c r="I193" s="29" t="s">
        <v>89</v>
      </c>
      <c r="J193" s="29" t="s">
        <v>340</v>
      </c>
      <c r="K193" s="29" t="str">
        <f>VLOOKUP(LEFT(H193, 7), 'קטלוג תרחישים'!$A:$L, 12, FALSE)</f>
        <v>ג׳</v>
      </c>
      <c r="L193" s="29" t="str">
        <f>IF(J193="כן", K193, VLOOKUP(LEFT(H193, 7), 'קטלוג תרחישים'!$A:$M, 13, FALSE))</f>
        <v>ג׳</v>
      </c>
    </row>
    <row r="194" spans="1:12">
      <c r="A194" s="29" t="s">
        <v>130</v>
      </c>
      <c r="B194" s="29">
        <v>28</v>
      </c>
      <c r="C194" s="29" t="s">
        <v>341</v>
      </c>
      <c r="D194" s="29">
        <v>2</v>
      </c>
      <c r="E194" s="29" t="s">
        <v>92</v>
      </c>
      <c r="F194" s="29" t="s">
        <v>344</v>
      </c>
      <c r="G194" s="29" t="s">
        <v>91</v>
      </c>
      <c r="H194" s="29" t="s">
        <v>93</v>
      </c>
      <c r="I194" s="29" t="s">
        <v>94</v>
      </c>
      <c r="J194" s="29" t="s">
        <v>340</v>
      </c>
      <c r="K194" s="29" t="str">
        <f>VLOOKUP(LEFT(H194, 7), 'קטלוג תרחישים'!$A:$L, 12, FALSE)</f>
        <v>א׳</v>
      </c>
      <c r="L194" s="29" t="str">
        <f>IF(J194="כן", K194, VLOOKUP(LEFT(H194, 7), 'קטלוג תרחישים'!$A:$M, 13, FALSE))</f>
        <v>א׳</v>
      </c>
    </row>
    <row r="195" spans="1:12">
      <c r="A195" s="29" t="s">
        <v>130</v>
      </c>
      <c r="B195" s="29">
        <v>29</v>
      </c>
      <c r="C195" s="29" t="s">
        <v>341</v>
      </c>
      <c r="D195" s="29">
        <v>3</v>
      </c>
      <c r="E195" s="29" t="s">
        <v>99</v>
      </c>
      <c r="F195" s="29" t="s">
        <v>344</v>
      </c>
      <c r="G195" s="29" t="s">
        <v>91</v>
      </c>
      <c r="H195" s="29" t="s">
        <v>102</v>
      </c>
      <c r="I195" s="29" t="s">
        <v>89</v>
      </c>
      <c r="J195" s="29" t="s">
        <v>340</v>
      </c>
      <c r="K195" s="29" t="str">
        <f>VLOOKUP(LEFT(H195, 7), 'קטלוג תרחישים'!$A:$L, 12, FALSE)</f>
        <v>ב׳</v>
      </c>
      <c r="L195" s="29" t="str">
        <f>IF(J195="כן", K195, VLOOKUP(LEFT(H195, 7), 'קטלוג תרחישים'!$A:$M, 13, FALSE))</f>
        <v>ב׳</v>
      </c>
    </row>
    <row r="196" spans="1:12">
      <c r="A196" s="29" t="s">
        <v>130</v>
      </c>
      <c r="B196" s="29">
        <v>30</v>
      </c>
      <c r="C196" s="29" t="s">
        <v>341</v>
      </c>
      <c r="D196" s="29">
        <v>3</v>
      </c>
      <c r="E196" s="29" t="s">
        <v>99</v>
      </c>
      <c r="F196" s="29" t="s">
        <v>344</v>
      </c>
      <c r="G196" s="29" t="s">
        <v>91</v>
      </c>
      <c r="H196" s="29" t="s">
        <v>101</v>
      </c>
      <c r="I196" s="29" t="s">
        <v>94</v>
      </c>
      <c r="J196" s="29" t="s">
        <v>340</v>
      </c>
      <c r="K196" s="29" t="str">
        <f>VLOOKUP(LEFT(H196, 7), 'קטלוג תרחישים'!$A:$L, 12, FALSE)</f>
        <v>א׳</v>
      </c>
      <c r="L196" s="29" t="str">
        <f>IF(J196="כן", K196, VLOOKUP(LEFT(H196, 7), 'קטלוג תרחישים'!$A:$M, 13, FALSE))</f>
        <v>א׳</v>
      </c>
    </row>
    <row r="197" spans="1:12">
      <c r="A197" s="29" t="s">
        <v>130</v>
      </c>
      <c r="B197" s="29">
        <v>31</v>
      </c>
      <c r="C197" s="29" t="s">
        <v>341</v>
      </c>
      <c r="D197" s="29">
        <v>3</v>
      </c>
      <c r="E197" s="29" t="s">
        <v>99</v>
      </c>
      <c r="F197" s="29" t="s">
        <v>344</v>
      </c>
      <c r="G197" s="29" t="s">
        <v>91</v>
      </c>
      <c r="H197" s="29" t="s">
        <v>100</v>
      </c>
      <c r="I197" s="29" t="s">
        <v>89</v>
      </c>
      <c r="J197" s="29" t="s">
        <v>343</v>
      </c>
      <c r="K197" s="29" t="str">
        <f>VLOOKUP(LEFT(H197, 7), 'קטלוג תרחישים'!$A:$L, 12, FALSE)</f>
        <v>ב׳</v>
      </c>
      <c r="L197" s="29" t="str">
        <f>IF(J197="כן", K197, VLOOKUP(LEFT(H197, 7), 'קטלוג תרחישים'!$A:$M, 13, FALSE))</f>
        <v>ג׳</v>
      </c>
    </row>
    <row r="198" spans="1:12">
      <c r="A198" s="29" t="s">
        <v>130</v>
      </c>
      <c r="B198" s="29">
        <v>32</v>
      </c>
      <c r="C198" s="29" t="s">
        <v>341</v>
      </c>
      <c r="D198" s="29">
        <v>3</v>
      </c>
      <c r="E198" s="29" t="s">
        <v>99</v>
      </c>
      <c r="F198" s="29" t="s">
        <v>344</v>
      </c>
      <c r="G198" s="29" t="s">
        <v>91</v>
      </c>
      <c r="H198" s="29" t="s">
        <v>103</v>
      </c>
      <c r="I198" s="29" t="s">
        <v>94</v>
      </c>
      <c r="J198" s="29" t="s">
        <v>340</v>
      </c>
      <c r="K198" s="29" t="str">
        <f>VLOOKUP(LEFT(H198, 7), 'קטלוג תרחישים'!$A:$L, 12, FALSE)</f>
        <v>ג׳</v>
      </c>
      <c r="L198" s="29" t="str">
        <f>IF(J198="כן", K198, VLOOKUP(LEFT(H198, 7), 'קטלוג תרחישים'!$A:$M, 13, FALSE))</f>
        <v>ג׳</v>
      </c>
    </row>
    <row r="199" spans="1:12">
      <c r="A199" s="29" t="s">
        <v>130</v>
      </c>
      <c r="B199" s="29">
        <v>33</v>
      </c>
      <c r="C199" s="29" t="s">
        <v>341</v>
      </c>
      <c r="D199" s="29">
        <v>3</v>
      </c>
      <c r="E199" s="29" t="s">
        <v>99</v>
      </c>
      <c r="F199" s="29" t="s">
        <v>344</v>
      </c>
      <c r="G199" s="29" t="s">
        <v>91</v>
      </c>
      <c r="H199" s="29" t="s">
        <v>104</v>
      </c>
      <c r="I199" s="29" t="s">
        <v>89</v>
      </c>
      <c r="J199" s="29" t="s">
        <v>340</v>
      </c>
      <c r="K199" s="29" t="str">
        <f>VLOOKUP(LEFT(H199, 7), 'קטלוג תרחישים'!$A:$L, 12, FALSE)</f>
        <v>א׳</v>
      </c>
      <c r="L199" s="29" t="str">
        <f>IF(J199="כן", K199, VLOOKUP(LEFT(H199, 7), 'קטלוג תרחישים'!$A:$M, 13, FALSE))</f>
        <v>א׳</v>
      </c>
    </row>
    <row r="200" spans="1:12">
      <c r="A200" s="29" t="s">
        <v>131</v>
      </c>
      <c r="B200" s="29">
        <v>1</v>
      </c>
      <c r="C200" s="29" t="s">
        <v>339</v>
      </c>
      <c r="D200" s="29"/>
      <c r="E200" s="29" t="s">
        <v>92</v>
      </c>
      <c r="F200" s="29"/>
      <c r="G200" s="29"/>
      <c r="H200" s="30" t="s">
        <v>351</v>
      </c>
      <c r="I200" s="29" t="s">
        <v>89</v>
      </c>
      <c r="J200" s="29" t="s">
        <v>340</v>
      </c>
      <c r="K200" s="29" t="str">
        <f>VLOOKUP(LEFT(H200, 7), 'קטלוג תרחישים'!$A:$L, 12, FALSE)</f>
        <v>א׳</v>
      </c>
      <c r="L200" s="29" t="str">
        <f>IF(J200="כן", K200, VLOOKUP(LEFT(H200, 7), 'קטלוג תרחישים'!$A:$M, 13, FALSE))</f>
        <v>א׳</v>
      </c>
    </row>
    <row r="201" spans="1:12">
      <c r="A201" s="29" t="s">
        <v>131</v>
      </c>
      <c r="B201" s="29">
        <v>2</v>
      </c>
      <c r="C201" s="29" t="s">
        <v>339</v>
      </c>
      <c r="D201" s="29"/>
      <c r="E201" s="29" t="s">
        <v>92</v>
      </c>
      <c r="F201" s="29"/>
      <c r="G201" s="29"/>
      <c r="H201" s="30" t="s">
        <v>88</v>
      </c>
      <c r="I201" s="29" t="s">
        <v>89</v>
      </c>
      <c r="J201" s="29" t="s">
        <v>340</v>
      </c>
      <c r="K201" s="29" t="str">
        <f>VLOOKUP(LEFT(H201, 7), 'קטלוג תרחישים'!$A:$L, 12, FALSE)</f>
        <v>א׳</v>
      </c>
      <c r="L201" s="29" t="str">
        <f>IF(J201="כן", K201, VLOOKUP(LEFT(H201, 7), 'קטלוג תרחישים'!$A:$M, 13, FALSE))</f>
        <v>א׳</v>
      </c>
    </row>
    <row r="202" spans="1:12">
      <c r="A202" s="29" t="s">
        <v>131</v>
      </c>
      <c r="B202" s="29">
        <v>3</v>
      </c>
      <c r="C202" s="29" t="s">
        <v>339</v>
      </c>
      <c r="D202" s="29"/>
      <c r="E202" s="29" t="s">
        <v>99</v>
      </c>
      <c r="F202" s="29"/>
      <c r="G202" s="29"/>
      <c r="H202" s="30" t="s">
        <v>352</v>
      </c>
      <c r="I202" s="29" t="s">
        <v>89</v>
      </c>
      <c r="J202" s="29" t="s">
        <v>340</v>
      </c>
      <c r="K202" s="29" t="str">
        <f>VLOOKUP(LEFT(H202, 7), 'קטלוג תרחישים'!$A:$L, 12, FALSE)</f>
        <v>ב׳</v>
      </c>
      <c r="L202" s="29" t="str">
        <f>IF(J202="כן", K202, VLOOKUP(LEFT(H202, 7), 'קטלוג תרחישים'!$A:$M, 13, FALSE))</f>
        <v>ב׳</v>
      </c>
    </row>
    <row r="203" spans="1:12">
      <c r="A203" s="29" t="s">
        <v>131</v>
      </c>
      <c r="B203" s="29">
        <v>4</v>
      </c>
      <c r="C203" s="29" t="s">
        <v>339</v>
      </c>
      <c r="D203" s="29"/>
      <c r="E203" s="29" t="s">
        <v>99</v>
      </c>
      <c r="F203" s="29"/>
      <c r="G203" s="29"/>
      <c r="H203" s="30" t="s">
        <v>353</v>
      </c>
      <c r="I203" s="29" t="s">
        <v>89</v>
      </c>
      <c r="J203" s="29" t="s">
        <v>340</v>
      </c>
      <c r="K203" s="29" t="str">
        <f>VLOOKUP(LEFT(H203, 7), 'קטלוג תרחישים'!$A:$L, 12, FALSE)</f>
        <v>ב׳</v>
      </c>
      <c r="L203" s="29" t="str">
        <f>IF(J203="כן", K203, VLOOKUP(LEFT(H203, 7), 'קטלוג תרחישים'!$A:$M, 13, FALSE))</f>
        <v>ב׳</v>
      </c>
    </row>
    <row r="204" spans="1:12">
      <c r="A204" s="29" t="s">
        <v>131</v>
      </c>
      <c r="B204" s="29">
        <v>5</v>
      </c>
      <c r="C204" s="29" t="s">
        <v>339</v>
      </c>
      <c r="D204" s="29"/>
      <c r="E204" s="29" t="s">
        <v>105</v>
      </c>
      <c r="F204" s="29"/>
      <c r="G204" s="29"/>
      <c r="H204" s="30" t="s">
        <v>354</v>
      </c>
      <c r="I204" s="29" t="s">
        <v>89</v>
      </c>
      <c r="J204" s="29" t="s">
        <v>340</v>
      </c>
      <c r="K204" s="29" t="str">
        <f>VLOOKUP(LEFT(H204, 7), 'קטלוג תרחישים'!$A:$L, 12, FALSE)</f>
        <v>ג׳</v>
      </c>
      <c r="L204" s="29" t="str">
        <f>IF(J204="כן", K204, VLOOKUP(LEFT(H204, 7), 'קטלוג תרחישים'!$A:$M, 13, FALSE))</f>
        <v>ג׳</v>
      </c>
    </row>
    <row r="205" spans="1:12">
      <c r="A205" s="29" t="s">
        <v>131</v>
      </c>
      <c r="B205" s="29">
        <v>6</v>
      </c>
      <c r="C205" s="29" t="s">
        <v>339</v>
      </c>
      <c r="D205" s="29"/>
      <c r="E205" s="29" t="s">
        <v>105</v>
      </c>
      <c r="F205" s="29"/>
      <c r="G205" s="29"/>
      <c r="H205" s="30" t="s">
        <v>90</v>
      </c>
      <c r="I205" s="29" t="s">
        <v>89</v>
      </c>
      <c r="J205" s="29" t="s">
        <v>340</v>
      </c>
      <c r="K205" s="29" t="str">
        <f>VLOOKUP(LEFT(H205, 7), 'קטלוג תרחישים'!$A:$L, 12, FALSE)</f>
        <v>ג׳</v>
      </c>
      <c r="L205" s="29" t="str">
        <f>IF(J205="כן", K205, VLOOKUP(LEFT(H205, 7), 'קטלוג תרחישים'!$A:$M, 13, FALSE))</f>
        <v>ג׳</v>
      </c>
    </row>
    <row r="206" spans="1:12">
      <c r="A206" s="29" t="s">
        <v>131</v>
      </c>
      <c r="B206" s="29">
        <v>7</v>
      </c>
      <c r="C206" s="29" t="s">
        <v>341</v>
      </c>
      <c r="D206" s="29">
        <v>1</v>
      </c>
      <c r="E206" s="29" t="s">
        <v>92</v>
      </c>
      <c r="F206" s="29" t="s">
        <v>342</v>
      </c>
      <c r="G206" s="29" t="s">
        <v>91</v>
      </c>
      <c r="H206" s="29" t="s">
        <v>96</v>
      </c>
      <c r="I206" s="29" t="s">
        <v>94</v>
      </c>
      <c r="J206" s="29" t="s">
        <v>340</v>
      </c>
      <c r="K206" s="29" t="str">
        <f>VLOOKUP(LEFT(H206, 7), 'קטלוג תרחישים'!$A:$L, 12, FALSE)</f>
        <v>ב׳</v>
      </c>
      <c r="L206" s="29" t="str">
        <f>IF(J206="כן", K206, VLOOKUP(LEFT(H206, 7), 'קטלוג תרחישים'!$A:$M, 13, FALSE))</f>
        <v>ב׳</v>
      </c>
    </row>
    <row r="207" spans="1:12">
      <c r="A207" s="29" t="s">
        <v>131</v>
      </c>
      <c r="B207" s="29">
        <v>8</v>
      </c>
      <c r="C207" s="29" t="s">
        <v>341</v>
      </c>
      <c r="D207" s="29">
        <v>1</v>
      </c>
      <c r="E207" s="29" t="s">
        <v>92</v>
      </c>
      <c r="F207" s="29" t="s">
        <v>342</v>
      </c>
      <c r="G207" s="29" t="s">
        <v>91</v>
      </c>
      <c r="H207" s="29" t="s">
        <v>95</v>
      </c>
      <c r="I207" s="29" t="s">
        <v>89</v>
      </c>
      <c r="J207" s="29" t="s">
        <v>340</v>
      </c>
      <c r="K207" s="29" t="str">
        <f>VLOOKUP(LEFT(H207, 7), 'קטלוג תרחישים'!$A:$L, 12, FALSE)</f>
        <v>ג׳</v>
      </c>
      <c r="L207" s="29" t="str">
        <f>IF(J207="כן", K207, VLOOKUP(LEFT(H207, 7), 'קטלוג תרחישים'!$A:$M, 13, FALSE))</f>
        <v>ג׳</v>
      </c>
    </row>
    <row r="208" spans="1:12">
      <c r="A208" s="29" t="s">
        <v>131</v>
      </c>
      <c r="B208" s="29">
        <v>9</v>
      </c>
      <c r="C208" s="29" t="s">
        <v>341</v>
      </c>
      <c r="D208" s="29">
        <v>1</v>
      </c>
      <c r="E208" s="29" t="s">
        <v>92</v>
      </c>
      <c r="F208" s="29" t="s">
        <v>342</v>
      </c>
      <c r="G208" s="29" t="s">
        <v>91</v>
      </c>
      <c r="H208" s="29" t="s">
        <v>98</v>
      </c>
      <c r="I208" s="29" t="s">
        <v>94</v>
      </c>
      <c r="J208" s="29" t="s">
        <v>340</v>
      </c>
      <c r="K208" s="29" t="str">
        <f>VLOOKUP(LEFT(H208, 7), 'קטלוג תרחישים'!$A:$L, 12, FALSE)</f>
        <v>ג׳</v>
      </c>
      <c r="L208" s="29" t="str">
        <f>IF(J208="כן", K208, VLOOKUP(LEFT(H208, 7), 'קטלוג תרחישים'!$A:$M, 13, FALSE))</f>
        <v>ג׳</v>
      </c>
    </row>
    <row r="209" spans="1:12">
      <c r="A209" s="29" t="s">
        <v>131</v>
      </c>
      <c r="B209" s="29">
        <v>10</v>
      </c>
      <c r="C209" s="29" t="s">
        <v>341</v>
      </c>
      <c r="D209" s="29">
        <v>1</v>
      </c>
      <c r="E209" s="29" t="s">
        <v>92</v>
      </c>
      <c r="F209" s="29" t="s">
        <v>342</v>
      </c>
      <c r="G209" s="29" t="s">
        <v>91</v>
      </c>
      <c r="H209" s="29" t="s">
        <v>97</v>
      </c>
      <c r="I209" s="29" t="s">
        <v>89</v>
      </c>
      <c r="J209" s="29" t="s">
        <v>340</v>
      </c>
      <c r="K209" s="29" t="str">
        <f>VLOOKUP(LEFT(H209, 7), 'קטלוג תרחישים'!$A:$L, 12, FALSE)</f>
        <v>ג׳</v>
      </c>
      <c r="L209" s="29" t="str">
        <f>IF(J209="כן", K209, VLOOKUP(LEFT(H209, 7), 'קטלוג תרחישים'!$A:$M, 13, FALSE))</f>
        <v>ג׳</v>
      </c>
    </row>
    <row r="210" spans="1:12">
      <c r="A210" s="29" t="s">
        <v>131</v>
      </c>
      <c r="B210" s="29">
        <v>11</v>
      </c>
      <c r="C210" s="29" t="s">
        <v>341</v>
      </c>
      <c r="D210" s="29">
        <v>1</v>
      </c>
      <c r="E210" s="29" t="s">
        <v>92</v>
      </c>
      <c r="F210" s="29" t="s">
        <v>342</v>
      </c>
      <c r="G210" s="29" t="s">
        <v>91</v>
      </c>
      <c r="H210" s="29" t="s">
        <v>93</v>
      </c>
      <c r="I210" s="29" t="s">
        <v>94</v>
      </c>
      <c r="J210" s="29" t="s">
        <v>343</v>
      </c>
      <c r="K210" s="29" t="str">
        <f>VLOOKUP(LEFT(H210, 7), 'קטלוג תרחישים'!$A:$L, 12, FALSE)</f>
        <v>א׳</v>
      </c>
      <c r="L210" s="29" t="str">
        <f>IF(J210="כן", K210, VLOOKUP(LEFT(H210, 7), 'קטלוג תרחישים'!$A:$M, 13, FALSE))</f>
        <v>ב׳</v>
      </c>
    </row>
    <row r="211" spans="1:12">
      <c r="A211" s="29" t="s">
        <v>131</v>
      </c>
      <c r="B211" s="29">
        <v>12</v>
      </c>
      <c r="C211" s="29" t="s">
        <v>341</v>
      </c>
      <c r="D211" s="29">
        <v>2</v>
      </c>
      <c r="E211" s="29" t="s">
        <v>99</v>
      </c>
      <c r="F211" s="29" t="s">
        <v>342</v>
      </c>
      <c r="G211" s="29" t="s">
        <v>91</v>
      </c>
      <c r="H211" s="29" t="s">
        <v>102</v>
      </c>
      <c r="I211" s="29" t="s">
        <v>89</v>
      </c>
      <c r="J211" s="29" t="s">
        <v>340</v>
      </c>
      <c r="K211" s="29" t="str">
        <f>VLOOKUP(LEFT(H211, 7), 'קטלוג תרחישים'!$A:$L, 12, FALSE)</f>
        <v>ב׳</v>
      </c>
      <c r="L211" s="29" t="str">
        <f>IF(J211="כן", K211, VLOOKUP(LEFT(H211, 7), 'קטלוג תרחישים'!$A:$M, 13, FALSE))</f>
        <v>ב׳</v>
      </c>
    </row>
    <row r="212" spans="1:12">
      <c r="A212" s="29" t="s">
        <v>131</v>
      </c>
      <c r="B212" s="29">
        <v>13</v>
      </c>
      <c r="C212" s="29" t="s">
        <v>341</v>
      </c>
      <c r="D212" s="29">
        <v>2</v>
      </c>
      <c r="E212" s="29" t="s">
        <v>99</v>
      </c>
      <c r="F212" s="29" t="s">
        <v>342</v>
      </c>
      <c r="G212" s="29" t="s">
        <v>91</v>
      </c>
      <c r="H212" s="29" t="s">
        <v>103</v>
      </c>
      <c r="I212" s="29" t="s">
        <v>94</v>
      </c>
      <c r="J212" s="29" t="s">
        <v>340</v>
      </c>
      <c r="K212" s="29" t="str">
        <f>VLOOKUP(LEFT(H212, 7), 'קטלוג תרחישים'!$A:$L, 12, FALSE)</f>
        <v>ג׳</v>
      </c>
      <c r="L212" s="29" t="str">
        <f>IF(J212="כן", K212, VLOOKUP(LEFT(H212, 7), 'קטלוג תרחישים'!$A:$M, 13, FALSE))</f>
        <v>ג׳</v>
      </c>
    </row>
    <row r="213" spans="1:12">
      <c r="A213" s="29" t="s">
        <v>131</v>
      </c>
      <c r="B213" s="29">
        <v>14</v>
      </c>
      <c r="C213" s="29" t="s">
        <v>341</v>
      </c>
      <c r="D213" s="29">
        <v>2</v>
      </c>
      <c r="E213" s="29" t="s">
        <v>99</v>
      </c>
      <c r="F213" s="29" t="s">
        <v>342</v>
      </c>
      <c r="G213" s="29" t="s">
        <v>91</v>
      </c>
      <c r="H213" s="29" t="s">
        <v>104</v>
      </c>
      <c r="I213" s="29" t="s">
        <v>89</v>
      </c>
      <c r="J213" s="29" t="s">
        <v>340</v>
      </c>
      <c r="K213" s="29" t="str">
        <f>VLOOKUP(LEFT(H213, 7), 'קטלוג תרחישים'!$A:$L, 12, FALSE)</f>
        <v>א׳</v>
      </c>
      <c r="L213" s="29" t="str">
        <f>IF(J213="כן", K213, VLOOKUP(LEFT(H213, 7), 'קטלוג תרחישים'!$A:$M, 13, FALSE))</f>
        <v>א׳</v>
      </c>
    </row>
    <row r="214" spans="1:12">
      <c r="A214" s="29" t="s">
        <v>131</v>
      </c>
      <c r="B214" s="29">
        <v>15</v>
      </c>
      <c r="C214" s="29" t="s">
        <v>341</v>
      </c>
      <c r="D214" s="29">
        <v>2</v>
      </c>
      <c r="E214" s="29" t="s">
        <v>99</v>
      </c>
      <c r="F214" s="29" t="s">
        <v>342</v>
      </c>
      <c r="G214" s="29" t="s">
        <v>91</v>
      </c>
      <c r="H214" s="29" t="s">
        <v>101</v>
      </c>
      <c r="I214" s="29" t="s">
        <v>94</v>
      </c>
      <c r="J214" s="29" t="s">
        <v>343</v>
      </c>
      <c r="K214" s="29" t="str">
        <f>VLOOKUP(LEFT(H214, 7), 'קטלוג תרחישים'!$A:$L, 12, FALSE)</f>
        <v>א׳</v>
      </c>
      <c r="L214" s="29" t="str">
        <f>IF(J214="כן", K214, VLOOKUP(LEFT(H214, 7), 'קטלוג תרחישים'!$A:$M, 13, FALSE))</f>
        <v>ב׳</v>
      </c>
    </row>
    <row r="215" spans="1:12">
      <c r="A215" s="29" t="s">
        <v>131</v>
      </c>
      <c r="B215" s="29">
        <v>16</v>
      </c>
      <c r="C215" s="29" t="s">
        <v>341</v>
      </c>
      <c r="D215" s="29">
        <v>2</v>
      </c>
      <c r="E215" s="29" t="s">
        <v>99</v>
      </c>
      <c r="F215" s="29" t="s">
        <v>342</v>
      </c>
      <c r="G215" s="29" t="s">
        <v>91</v>
      </c>
      <c r="H215" s="29" t="s">
        <v>100</v>
      </c>
      <c r="I215" s="29" t="s">
        <v>89</v>
      </c>
      <c r="J215" s="29" t="s">
        <v>340</v>
      </c>
      <c r="K215" s="29" t="str">
        <f>VLOOKUP(LEFT(H215, 7), 'קטלוג תרחישים'!$A:$L, 12, FALSE)</f>
        <v>ב׳</v>
      </c>
      <c r="L215" s="29" t="str">
        <f>IF(J215="כן", K215, VLOOKUP(LEFT(H215, 7), 'קטלוג תרחישים'!$A:$M, 13, FALSE))</f>
        <v>ב׳</v>
      </c>
    </row>
    <row r="216" spans="1:12">
      <c r="A216" s="29" t="s">
        <v>131</v>
      </c>
      <c r="B216" s="29">
        <v>17</v>
      </c>
      <c r="C216" s="29" t="s">
        <v>341</v>
      </c>
      <c r="D216" s="29">
        <v>3</v>
      </c>
      <c r="E216" s="29" t="s">
        <v>105</v>
      </c>
      <c r="F216" s="29" t="s">
        <v>342</v>
      </c>
      <c r="G216" s="29" t="s">
        <v>91</v>
      </c>
      <c r="H216" s="29" t="s">
        <v>108</v>
      </c>
      <c r="I216" s="29" t="s">
        <v>89</v>
      </c>
      <c r="J216" s="29" t="s">
        <v>340</v>
      </c>
      <c r="K216" s="29" t="str">
        <f>VLOOKUP(LEFT(H216, 7), 'קטלוג תרחישים'!$A:$L, 12, FALSE)</f>
        <v>א׳</v>
      </c>
      <c r="L216" s="29" t="str">
        <f>IF(J216="כן", K216, VLOOKUP(LEFT(H216, 7), 'קטלוג תרחישים'!$A:$M, 13, FALSE))</f>
        <v>א׳</v>
      </c>
    </row>
    <row r="217" spans="1:12">
      <c r="A217" s="29" t="s">
        <v>131</v>
      </c>
      <c r="B217" s="29">
        <v>18</v>
      </c>
      <c r="C217" s="29" t="s">
        <v>341</v>
      </c>
      <c r="D217" s="29">
        <v>3</v>
      </c>
      <c r="E217" s="29" t="s">
        <v>105</v>
      </c>
      <c r="F217" s="29" t="s">
        <v>342</v>
      </c>
      <c r="G217" s="29" t="s">
        <v>91</v>
      </c>
      <c r="H217" s="29" t="s">
        <v>107</v>
      </c>
      <c r="I217" s="29" t="s">
        <v>94</v>
      </c>
      <c r="J217" s="29" t="s">
        <v>343</v>
      </c>
      <c r="K217" s="29" t="str">
        <f>VLOOKUP(LEFT(H217, 7), 'קטלוג תרחישים'!$A:$L, 12, FALSE)</f>
        <v>ג׳</v>
      </c>
      <c r="L217" s="29" t="str">
        <f>IF(J217="כן", K217, VLOOKUP(LEFT(H217, 7), 'קטלוג תרחישים'!$A:$M, 13, FALSE))</f>
        <v>א׳</v>
      </c>
    </row>
    <row r="218" spans="1:12">
      <c r="A218" s="29" t="s">
        <v>131</v>
      </c>
      <c r="B218" s="29">
        <v>19</v>
      </c>
      <c r="C218" s="29" t="s">
        <v>341</v>
      </c>
      <c r="D218" s="29">
        <v>3</v>
      </c>
      <c r="E218" s="29" t="s">
        <v>105</v>
      </c>
      <c r="F218" s="29" t="s">
        <v>342</v>
      </c>
      <c r="G218" s="29" t="s">
        <v>91</v>
      </c>
      <c r="H218" s="29" t="s">
        <v>106</v>
      </c>
      <c r="I218" s="29" t="s">
        <v>89</v>
      </c>
      <c r="J218" s="29" t="s">
        <v>340</v>
      </c>
      <c r="K218" s="29" t="str">
        <f>VLOOKUP(LEFT(H218, 7), 'קטלוג תרחישים'!$A:$L, 12, FALSE)</f>
        <v>א׳</v>
      </c>
      <c r="L218" s="29" t="str">
        <f>IF(J218="כן", K218, VLOOKUP(LEFT(H218, 7), 'קטלוג תרחישים'!$A:$M, 13, FALSE))</f>
        <v>א׳</v>
      </c>
    </row>
    <row r="219" spans="1:12">
      <c r="A219" s="29" t="s">
        <v>131</v>
      </c>
      <c r="B219" s="29">
        <v>20</v>
      </c>
      <c r="C219" s="29" t="s">
        <v>341</v>
      </c>
      <c r="D219" s="29">
        <v>3</v>
      </c>
      <c r="E219" s="29" t="s">
        <v>105</v>
      </c>
      <c r="F219" s="29" t="s">
        <v>342</v>
      </c>
      <c r="G219" s="29" t="s">
        <v>91</v>
      </c>
      <c r="H219" s="29" t="s">
        <v>109</v>
      </c>
      <c r="I219" s="29" t="s">
        <v>94</v>
      </c>
      <c r="J219" s="29" t="s">
        <v>340</v>
      </c>
      <c r="K219" s="29" t="str">
        <f>VLOOKUP(LEFT(H219, 7), 'קטלוג תרחישים'!$A:$L, 12, FALSE)</f>
        <v>ב׳</v>
      </c>
      <c r="L219" s="29" t="str">
        <f>IF(J219="כן", K219, VLOOKUP(LEFT(H219, 7), 'קטלוג תרחישים'!$A:$M, 13, FALSE))</f>
        <v>ב׳</v>
      </c>
    </row>
    <row r="220" spans="1:12">
      <c r="A220" s="29" t="s">
        <v>131</v>
      </c>
      <c r="B220" s="29">
        <v>21</v>
      </c>
      <c r="C220" s="29" t="s">
        <v>341</v>
      </c>
      <c r="D220" s="29">
        <v>3</v>
      </c>
      <c r="E220" s="29" t="s">
        <v>105</v>
      </c>
      <c r="F220" s="29" t="s">
        <v>342</v>
      </c>
      <c r="G220" s="29" t="s">
        <v>91</v>
      </c>
      <c r="H220" s="29" t="s">
        <v>110</v>
      </c>
      <c r="I220" s="29" t="s">
        <v>89</v>
      </c>
      <c r="J220" s="29" t="s">
        <v>340</v>
      </c>
      <c r="K220" s="29" t="str">
        <f>VLOOKUP(LEFT(H220, 7), 'קטלוג תרחישים'!$A:$L, 12, FALSE)</f>
        <v>ג׳</v>
      </c>
      <c r="L220" s="29" t="str">
        <f>IF(J220="כן", K220, VLOOKUP(LEFT(H220, 7), 'קטלוג תרחישים'!$A:$M, 13, FALSE))</f>
        <v>ג׳</v>
      </c>
    </row>
    <row r="221" spans="1:12">
      <c r="A221" s="29" t="s">
        <v>131</v>
      </c>
      <c r="B221" s="29">
        <v>22</v>
      </c>
      <c r="C221" s="29" t="s">
        <v>341</v>
      </c>
      <c r="D221" s="29">
        <v>1</v>
      </c>
      <c r="E221" s="29" t="s">
        <v>99</v>
      </c>
      <c r="F221" s="29" t="s">
        <v>344</v>
      </c>
      <c r="G221" s="29" t="s">
        <v>111</v>
      </c>
      <c r="H221" s="29" t="s">
        <v>112</v>
      </c>
      <c r="I221" s="29" t="s">
        <v>89</v>
      </c>
      <c r="J221" s="29" t="s">
        <v>343</v>
      </c>
      <c r="K221" s="29" t="str">
        <f>VLOOKUP(LEFT(H221, 7), 'קטלוג תרחישים'!$A:$L, 12, FALSE)</f>
        <v>ג׳</v>
      </c>
      <c r="L221" s="29" t="str">
        <f>IF(J221="כן", K221, VLOOKUP(LEFT(H221, 7), 'קטלוג תרחישים'!$A:$M, 13, FALSE))</f>
        <v>ב׳</v>
      </c>
    </row>
    <row r="222" spans="1:12">
      <c r="A222" s="29" t="s">
        <v>131</v>
      </c>
      <c r="B222" s="29">
        <v>23</v>
      </c>
      <c r="C222" s="29" t="s">
        <v>341</v>
      </c>
      <c r="D222" s="29">
        <v>1</v>
      </c>
      <c r="E222" s="29" t="s">
        <v>99</v>
      </c>
      <c r="F222" s="29" t="s">
        <v>344</v>
      </c>
      <c r="G222" s="29" t="s">
        <v>111</v>
      </c>
      <c r="H222" s="29" t="s">
        <v>113</v>
      </c>
      <c r="I222" s="29" t="s">
        <v>94</v>
      </c>
      <c r="J222" s="29" t="s">
        <v>340</v>
      </c>
      <c r="K222" s="29" t="str">
        <f>VLOOKUP(LEFT(H222, 7), 'קטלוג תרחישים'!$A:$L, 12, FALSE)</f>
        <v>ג׳</v>
      </c>
      <c r="L222" s="29" t="str">
        <f>IF(J222="כן", K222, VLOOKUP(LEFT(H222, 7), 'קטלוג תרחישים'!$A:$M, 13, FALSE))</f>
        <v>ג׳</v>
      </c>
    </row>
    <row r="223" spans="1:12">
      <c r="A223" s="29" t="s">
        <v>131</v>
      </c>
      <c r="B223" s="29">
        <v>24</v>
      </c>
      <c r="C223" s="29" t="s">
        <v>341</v>
      </c>
      <c r="D223" s="29">
        <v>1</v>
      </c>
      <c r="E223" s="29" t="s">
        <v>99</v>
      </c>
      <c r="F223" s="29" t="s">
        <v>344</v>
      </c>
      <c r="G223" s="29" t="s">
        <v>111</v>
      </c>
      <c r="H223" s="29" t="s">
        <v>114</v>
      </c>
      <c r="I223" s="29" t="s">
        <v>89</v>
      </c>
      <c r="J223" s="29" t="s">
        <v>340</v>
      </c>
      <c r="K223" s="29" t="str">
        <f>VLOOKUP(LEFT(H223, 7), 'קטלוג תרחישים'!$A:$L, 12, FALSE)</f>
        <v>א׳</v>
      </c>
      <c r="L223" s="29" t="str">
        <f>IF(J223="כן", K223, VLOOKUP(LEFT(H223, 7), 'קטלוג תרחישים'!$A:$M, 13, FALSE))</f>
        <v>א׳</v>
      </c>
    </row>
    <row r="224" spans="1:12">
      <c r="A224" s="29" t="s">
        <v>131</v>
      </c>
      <c r="B224" s="29">
        <v>25</v>
      </c>
      <c r="C224" s="29" t="s">
        <v>341</v>
      </c>
      <c r="D224" s="29">
        <v>1</v>
      </c>
      <c r="E224" s="29" t="s">
        <v>99</v>
      </c>
      <c r="F224" s="29" t="s">
        <v>344</v>
      </c>
      <c r="G224" s="29" t="s">
        <v>111</v>
      </c>
      <c r="H224" s="29" t="s">
        <v>115</v>
      </c>
      <c r="I224" s="29" t="s">
        <v>94</v>
      </c>
      <c r="J224" s="29" t="s">
        <v>343</v>
      </c>
      <c r="K224" s="29" t="str">
        <f>VLOOKUP(LEFT(H224, 7), 'קטלוג תרחישים'!$A:$L, 12, FALSE)</f>
        <v>ב׳</v>
      </c>
      <c r="L224" s="29" t="str">
        <f>IF(J224="כן", K224, VLOOKUP(LEFT(H224, 7), 'קטלוג תרחישים'!$A:$M, 13, FALSE))</f>
        <v>ג׳</v>
      </c>
    </row>
    <row r="225" spans="1:12">
      <c r="A225" s="29" t="s">
        <v>131</v>
      </c>
      <c r="B225" s="29">
        <v>26</v>
      </c>
      <c r="C225" s="29" t="s">
        <v>341</v>
      </c>
      <c r="D225" s="29">
        <v>2</v>
      </c>
      <c r="E225" s="29" t="s">
        <v>105</v>
      </c>
      <c r="F225" s="29" t="s">
        <v>344</v>
      </c>
      <c r="G225" s="29" t="s">
        <v>111</v>
      </c>
      <c r="H225" s="29" t="s">
        <v>116</v>
      </c>
      <c r="I225" s="29" t="s">
        <v>89</v>
      </c>
      <c r="J225" s="29" t="s">
        <v>340</v>
      </c>
      <c r="K225" s="29" t="str">
        <f>VLOOKUP(LEFT(H225, 7), 'קטלוג תרחישים'!$A:$L, 12, FALSE)</f>
        <v>ב׳</v>
      </c>
      <c r="L225" s="29" t="str">
        <f>IF(J225="כן", K225, VLOOKUP(LEFT(H225, 7), 'קטלוג תרחישים'!$A:$M, 13, FALSE))</f>
        <v>ב׳</v>
      </c>
    </row>
    <row r="226" spans="1:12">
      <c r="A226" s="29" t="s">
        <v>131</v>
      </c>
      <c r="B226" s="29">
        <v>27</v>
      </c>
      <c r="C226" s="29" t="s">
        <v>341</v>
      </c>
      <c r="D226" s="29">
        <v>2</v>
      </c>
      <c r="E226" s="29" t="s">
        <v>105</v>
      </c>
      <c r="F226" s="29" t="s">
        <v>344</v>
      </c>
      <c r="G226" s="29" t="s">
        <v>111</v>
      </c>
      <c r="H226" s="29" t="s">
        <v>119</v>
      </c>
      <c r="I226" s="29" t="s">
        <v>94</v>
      </c>
      <c r="J226" s="29" t="s">
        <v>340</v>
      </c>
      <c r="K226" s="29" t="str">
        <f>VLOOKUP(LEFT(H226, 7), 'קטלוג תרחישים'!$A:$L, 12, FALSE)</f>
        <v>א׳</v>
      </c>
      <c r="L226" s="29" t="str">
        <f>IF(J226="כן", K226, VLOOKUP(LEFT(H226, 7), 'קטלוג תרחישים'!$A:$M, 13, FALSE))</f>
        <v>א׳</v>
      </c>
    </row>
    <row r="227" spans="1:12">
      <c r="A227" s="29" t="s">
        <v>131</v>
      </c>
      <c r="B227" s="29">
        <v>28</v>
      </c>
      <c r="C227" s="29" t="s">
        <v>341</v>
      </c>
      <c r="D227" s="29">
        <v>2</v>
      </c>
      <c r="E227" s="29" t="s">
        <v>105</v>
      </c>
      <c r="F227" s="29" t="s">
        <v>344</v>
      </c>
      <c r="G227" s="29" t="s">
        <v>111</v>
      </c>
      <c r="H227" s="29" t="s">
        <v>118</v>
      </c>
      <c r="I227" s="29" t="s">
        <v>89</v>
      </c>
      <c r="J227" s="29" t="s">
        <v>343</v>
      </c>
      <c r="K227" s="29" t="str">
        <f>VLOOKUP(LEFT(H227, 7), 'קטלוג תרחישים'!$A:$L, 12, FALSE)</f>
        <v>ב׳</v>
      </c>
      <c r="L227" s="29" t="str">
        <f>IF(J227="כן", K227, VLOOKUP(LEFT(H227, 7), 'קטלוג תרחישים'!$A:$M, 13, FALSE))</f>
        <v>א׳</v>
      </c>
    </row>
    <row r="228" spans="1:12">
      <c r="A228" s="29" t="s">
        <v>131</v>
      </c>
      <c r="B228" s="29">
        <v>29</v>
      </c>
      <c r="C228" s="29" t="s">
        <v>341</v>
      </c>
      <c r="D228" s="29">
        <v>2</v>
      </c>
      <c r="E228" s="29" t="s">
        <v>105</v>
      </c>
      <c r="F228" s="29" t="s">
        <v>344</v>
      </c>
      <c r="G228" s="29" t="s">
        <v>111</v>
      </c>
      <c r="H228" s="29" t="s">
        <v>117</v>
      </c>
      <c r="I228" s="29" t="s">
        <v>94</v>
      </c>
      <c r="J228" s="29" t="s">
        <v>343</v>
      </c>
      <c r="K228" s="29" t="str">
        <f>VLOOKUP(LEFT(H228, 7), 'קטלוג תרחישים'!$A:$L, 12, FALSE)</f>
        <v>א׳</v>
      </c>
      <c r="L228" s="29" t="str">
        <f>IF(J228="כן", K228, VLOOKUP(LEFT(H228, 7), 'קטלוג תרחישים'!$A:$M, 13, FALSE))</f>
        <v>ג׳</v>
      </c>
    </row>
    <row r="229" spans="1:12">
      <c r="A229" s="29" t="s">
        <v>131</v>
      </c>
      <c r="B229" s="29">
        <v>30</v>
      </c>
      <c r="C229" s="29" t="s">
        <v>341</v>
      </c>
      <c r="D229" s="29">
        <v>3</v>
      </c>
      <c r="E229" s="29" t="s">
        <v>92</v>
      </c>
      <c r="F229" s="29" t="s">
        <v>344</v>
      </c>
      <c r="G229" s="29" t="s">
        <v>111</v>
      </c>
      <c r="H229" s="29" t="s">
        <v>122</v>
      </c>
      <c r="I229" s="29" t="s">
        <v>89</v>
      </c>
      <c r="J229" s="29" t="s">
        <v>343</v>
      </c>
      <c r="K229" s="29" t="str">
        <f>VLOOKUP(LEFT(H229, 7), 'קטלוג תרחישים'!$A:$L, 12, FALSE)</f>
        <v>ג׳</v>
      </c>
      <c r="L229" s="29" t="str">
        <f>IF(J229="כן", K229, VLOOKUP(LEFT(H229, 7), 'קטלוג תרחישים'!$A:$M, 13, FALSE))</f>
        <v>ב׳</v>
      </c>
    </row>
    <row r="230" spans="1:12">
      <c r="A230" s="29" t="s">
        <v>131</v>
      </c>
      <c r="B230" s="29">
        <v>31</v>
      </c>
      <c r="C230" s="29" t="s">
        <v>341</v>
      </c>
      <c r="D230" s="29">
        <v>3</v>
      </c>
      <c r="E230" s="29" t="s">
        <v>92</v>
      </c>
      <c r="F230" s="29" t="s">
        <v>344</v>
      </c>
      <c r="G230" s="29" t="s">
        <v>111</v>
      </c>
      <c r="H230" s="29" t="s">
        <v>121</v>
      </c>
      <c r="I230" s="29" t="s">
        <v>94</v>
      </c>
      <c r="J230" s="29" t="s">
        <v>340</v>
      </c>
      <c r="K230" s="29" t="str">
        <f>VLOOKUP(LEFT(H230, 7), 'קטלוג תרחישים'!$A:$L, 12, FALSE)</f>
        <v>ב׳</v>
      </c>
      <c r="L230" s="29" t="str">
        <f>IF(J230="כן", K230, VLOOKUP(LEFT(H230, 7), 'קטלוג תרחישים'!$A:$M, 13, FALSE))</f>
        <v>ב׳</v>
      </c>
    </row>
    <row r="231" spans="1:12">
      <c r="A231" s="29" t="s">
        <v>131</v>
      </c>
      <c r="B231" s="29">
        <v>32</v>
      </c>
      <c r="C231" s="29" t="s">
        <v>341</v>
      </c>
      <c r="D231" s="29">
        <v>3</v>
      </c>
      <c r="E231" s="29" t="s">
        <v>92</v>
      </c>
      <c r="F231" s="29" t="s">
        <v>344</v>
      </c>
      <c r="G231" s="29" t="s">
        <v>111</v>
      </c>
      <c r="H231" s="29" t="s">
        <v>120</v>
      </c>
      <c r="I231" s="29" t="s">
        <v>89</v>
      </c>
      <c r="J231" s="29" t="s">
        <v>340</v>
      </c>
      <c r="K231" s="29" t="str">
        <f>VLOOKUP(LEFT(H231, 7), 'קטלוג תרחישים'!$A:$L, 12, FALSE)</f>
        <v>ב׳</v>
      </c>
      <c r="L231" s="29" t="str">
        <f>IF(J231="כן", K231, VLOOKUP(LEFT(H231, 7), 'קטלוג תרחישים'!$A:$M, 13, FALSE))</f>
        <v>ב׳</v>
      </c>
    </row>
    <row r="232" spans="1:12">
      <c r="A232" s="29" t="s">
        <v>131</v>
      </c>
      <c r="B232" s="29">
        <v>33</v>
      </c>
      <c r="C232" s="29" t="s">
        <v>341</v>
      </c>
      <c r="D232" s="29">
        <v>3</v>
      </c>
      <c r="E232" s="29" t="s">
        <v>92</v>
      </c>
      <c r="F232" s="29" t="s">
        <v>344</v>
      </c>
      <c r="G232" s="29" t="s">
        <v>111</v>
      </c>
      <c r="H232" s="29" t="s">
        <v>123</v>
      </c>
      <c r="I232" s="29" t="s">
        <v>94</v>
      </c>
      <c r="J232" s="29" t="s">
        <v>343</v>
      </c>
      <c r="K232" s="29" t="str">
        <f>VLOOKUP(LEFT(H232, 7), 'קטלוג תרחישים'!$A:$L, 12, FALSE)</f>
        <v>א׳</v>
      </c>
      <c r="L232" s="29" t="str">
        <f>IF(J232="כן", K232, VLOOKUP(LEFT(H232, 7), 'קטלוג תרחישים'!$A:$M, 13, FALSE))</f>
        <v>ב׳</v>
      </c>
    </row>
    <row r="233" spans="1:12">
      <c r="A233" s="29" t="s">
        <v>132</v>
      </c>
      <c r="B233" s="29">
        <v>1</v>
      </c>
      <c r="C233" s="29" t="s">
        <v>339</v>
      </c>
      <c r="D233" s="29"/>
      <c r="E233" s="29" t="s">
        <v>92</v>
      </c>
      <c r="F233" s="29"/>
      <c r="G233" s="29"/>
      <c r="H233" s="30" t="s">
        <v>351</v>
      </c>
      <c r="I233" s="29" t="s">
        <v>89</v>
      </c>
      <c r="J233" s="29" t="s">
        <v>340</v>
      </c>
      <c r="K233" s="29" t="str">
        <f>VLOOKUP(LEFT(H233, 7), 'קטלוג תרחישים'!$A:$L, 12, FALSE)</f>
        <v>א׳</v>
      </c>
      <c r="L233" s="29" t="str">
        <f>IF(J233="כן", K233, VLOOKUP(LEFT(H233, 7), 'קטלוג תרחישים'!$A:$M, 13, FALSE))</f>
        <v>א׳</v>
      </c>
    </row>
    <row r="234" spans="1:12">
      <c r="A234" s="29" t="s">
        <v>132</v>
      </c>
      <c r="B234" s="29">
        <v>2</v>
      </c>
      <c r="C234" s="29" t="s">
        <v>339</v>
      </c>
      <c r="D234" s="29"/>
      <c r="E234" s="29" t="s">
        <v>92</v>
      </c>
      <c r="F234" s="29"/>
      <c r="G234" s="29"/>
      <c r="H234" s="30" t="s">
        <v>88</v>
      </c>
      <c r="I234" s="29" t="s">
        <v>89</v>
      </c>
      <c r="J234" s="29" t="s">
        <v>340</v>
      </c>
      <c r="K234" s="29" t="str">
        <f>VLOOKUP(LEFT(H234, 7), 'קטלוג תרחישים'!$A:$L, 12, FALSE)</f>
        <v>א׳</v>
      </c>
      <c r="L234" s="29" t="str">
        <f>IF(J234="כן", K234, VLOOKUP(LEFT(H234, 7), 'קטלוג תרחישים'!$A:$M, 13, FALSE))</f>
        <v>א׳</v>
      </c>
    </row>
    <row r="235" spans="1:12">
      <c r="A235" s="29" t="s">
        <v>132</v>
      </c>
      <c r="B235" s="29">
        <v>3</v>
      </c>
      <c r="C235" s="29" t="s">
        <v>339</v>
      </c>
      <c r="D235" s="29"/>
      <c r="E235" s="29" t="s">
        <v>99</v>
      </c>
      <c r="F235" s="29"/>
      <c r="G235" s="29"/>
      <c r="H235" s="30" t="s">
        <v>352</v>
      </c>
      <c r="I235" s="29" t="s">
        <v>89</v>
      </c>
      <c r="J235" s="29" t="s">
        <v>340</v>
      </c>
      <c r="K235" s="29" t="str">
        <f>VLOOKUP(LEFT(H235, 7), 'קטלוג תרחישים'!$A:$L, 12, FALSE)</f>
        <v>ב׳</v>
      </c>
      <c r="L235" s="29" t="str">
        <f>IF(J235="כן", K235, VLOOKUP(LEFT(H235, 7), 'קטלוג תרחישים'!$A:$M, 13, FALSE))</f>
        <v>ב׳</v>
      </c>
    </row>
    <row r="236" spans="1:12">
      <c r="A236" s="29" t="s">
        <v>132</v>
      </c>
      <c r="B236" s="29">
        <v>4</v>
      </c>
      <c r="C236" s="29" t="s">
        <v>339</v>
      </c>
      <c r="D236" s="29"/>
      <c r="E236" s="29" t="s">
        <v>99</v>
      </c>
      <c r="F236" s="29"/>
      <c r="G236" s="29"/>
      <c r="H236" s="30" t="s">
        <v>353</v>
      </c>
      <c r="I236" s="29" t="s">
        <v>89</v>
      </c>
      <c r="J236" s="29" t="s">
        <v>340</v>
      </c>
      <c r="K236" s="29" t="str">
        <f>VLOOKUP(LEFT(H236, 7), 'קטלוג תרחישים'!$A:$L, 12, FALSE)</f>
        <v>ב׳</v>
      </c>
      <c r="L236" s="29" t="str">
        <f>IF(J236="כן", K236, VLOOKUP(LEFT(H236, 7), 'קטלוג תרחישים'!$A:$M, 13, FALSE))</f>
        <v>ב׳</v>
      </c>
    </row>
    <row r="237" spans="1:12">
      <c r="A237" s="29" t="s">
        <v>132</v>
      </c>
      <c r="B237" s="29">
        <v>5</v>
      </c>
      <c r="C237" s="29" t="s">
        <v>339</v>
      </c>
      <c r="D237" s="29"/>
      <c r="E237" s="29" t="s">
        <v>105</v>
      </c>
      <c r="F237" s="29"/>
      <c r="G237" s="29"/>
      <c r="H237" s="30" t="s">
        <v>354</v>
      </c>
      <c r="I237" s="29" t="s">
        <v>89</v>
      </c>
      <c r="J237" s="29" t="s">
        <v>340</v>
      </c>
      <c r="K237" s="29" t="str">
        <f>VLOOKUP(LEFT(H237, 7), 'קטלוג תרחישים'!$A:$L, 12, FALSE)</f>
        <v>ג׳</v>
      </c>
      <c r="L237" s="29" t="str">
        <f>IF(J237="כן", K237, VLOOKUP(LEFT(H237, 7), 'קטלוג תרחישים'!$A:$M, 13, FALSE))</f>
        <v>ג׳</v>
      </c>
    </row>
    <row r="238" spans="1:12">
      <c r="A238" s="29" t="s">
        <v>132</v>
      </c>
      <c r="B238" s="29">
        <v>6</v>
      </c>
      <c r="C238" s="29" t="s">
        <v>339</v>
      </c>
      <c r="D238" s="29"/>
      <c r="E238" s="29" t="s">
        <v>105</v>
      </c>
      <c r="F238" s="29"/>
      <c r="G238" s="29"/>
      <c r="H238" s="30" t="s">
        <v>90</v>
      </c>
      <c r="I238" s="29" t="s">
        <v>89</v>
      </c>
      <c r="J238" s="29" t="s">
        <v>340</v>
      </c>
      <c r="K238" s="29" t="str">
        <f>VLOOKUP(LEFT(H238, 7), 'קטלוג תרחישים'!$A:$L, 12, FALSE)</f>
        <v>ג׳</v>
      </c>
      <c r="L238" s="29" t="str">
        <f>IF(J238="כן", K238, VLOOKUP(LEFT(H238, 7), 'קטלוג תרחישים'!$A:$M, 13, FALSE))</f>
        <v>ג׳</v>
      </c>
    </row>
    <row r="239" spans="1:12">
      <c r="A239" s="29" t="s">
        <v>132</v>
      </c>
      <c r="B239" s="29">
        <v>7</v>
      </c>
      <c r="C239" s="29" t="s">
        <v>341</v>
      </c>
      <c r="D239" s="29">
        <v>1</v>
      </c>
      <c r="E239" s="29" t="s">
        <v>105</v>
      </c>
      <c r="F239" s="29" t="s">
        <v>342</v>
      </c>
      <c r="G239" s="29" t="s">
        <v>111</v>
      </c>
      <c r="H239" s="29" t="s">
        <v>118</v>
      </c>
      <c r="I239" s="29" t="s">
        <v>89</v>
      </c>
      <c r="J239" s="29" t="s">
        <v>340</v>
      </c>
      <c r="K239" s="29" t="str">
        <f>VLOOKUP(LEFT(H239, 7), 'קטלוג תרחישים'!$A:$L, 12, FALSE)</f>
        <v>ב׳</v>
      </c>
      <c r="L239" s="29" t="str">
        <f>IF(J239="כן", K239, VLOOKUP(LEFT(H239, 7), 'קטלוג תרחישים'!$A:$M, 13, FALSE))</f>
        <v>ב׳</v>
      </c>
    </row>
    <row r="240" spans="1:12">
      <c r="A240" s="29" t="s">
        <v>132</v>
      </c>
      <c r="B240" s="29">
        <v>8</v>
      </c>
      <c r="C240" s="29" t="s">
        <v>341</v>
      </c>
      <c r="D240" s="29">
        <v>1</v>
      </c>
      <c r="E240" s="29" t="s">
        <v>105</v>
      </c>
      <c r="F240" s="29" t="s">
        <v>342</v>
      </c>
      <c r="G240" s="29" t="s">
        <v>111</v>
      </c>
      <c r="H240" s="29" t="s">
        <v>119</v>
      </c>
      <c r="I240" s="29" t="s">
        <v>94</v>
      </c>
      <c r="J240" s="29" t="s">
        <v>340</v>
      </c>
      <c r="K240" s="29" t="str">
        <f>VLOOKUP(LEFT(H240, 7), 'קטלוג תרחישים'!$A:$L, 12, FALSE)</f>
        <v>א׳</v>
      </c>
      <c r="L240" s="29" t="str">
        <f>IF(J240="כן", K240, VLOOKUP(LEFT(H240, 7), 'קטלוג תרחישים'!$A:$M, 13, FALSE))</f>
        <v>א׳</v>
      </c>
    </row>
    <row r="241" spans="1:12">
      <c r="A241" s="29" t="s">
        <v>132</v>
      </c>
      <c r="B241" s="29">
        <v>9</v>
      </c>
      <c r="C241" s="29" t="s">
        <v>341</v>
      </c>
      <c r="D241" s="29">
        <v>1</v>
      </c>
      <c r="E241" s="29" t="s">
        <v>105</v>
      </c>
      <c r="F241" s="29" t="s">
        <v>342</v>
      </c>
      <c r="G241" s="29" t="s">
        <v>111</v>
      </c>
      <c r="H241" s="29" t="s">
        <v>116</v>
      </c>
      <c r="I241" s="29" t="s">
        <v>89</v>
      </c>
      <c r="J241" s="29" t="s">
        <v>343</v>
      </c>
      <c r="K241" s="29" t="str">
        <f>VLOOKUP(LEFT(H241, 7), 'קטלוג תרחישים'!$A:$L, 12, FALSE)</f>
        <v>ב׳</v>
      </c>
      <c r="L241" s="29" t="str">
        <f>IF(J241="כן", K241, VLOOKUP(LEFT(H241, 7), 'קטלוג תרחישים'!$A:$M, 13, FALSE))</f>
        <v>א׳</v>
      </c>
    </row>
    <row r="242" spans="1:12">
      <c r="A242" s="29" t="s">
        <v>132</v>
      </c>
      <c r="B242" s="29">
        <v>10</v>
      </c>
      <c r="C242" s="29" t="s">
        <v>341</v>
      </c>
      <c r="D242" s="29">
        <v>1</v>
      </c>
      <c r="E242" s="29" t="s">
        <v>105</v>
      </c>
      <c r="F242" s="29" t="s">
        <v>342</v>
      </c>
      <c r="G242" s="29" t="s">
        <v>111</v>
      </c>
      <c r="H242" s="29" t="s">
        <v>117</v>
      </c>
      <c r="I242" s="29" t="s">
        <v>94</v>
      </c>
      <c r="J242" s="29" t="s">
        <v>343</v>
      </c>
      <c r="K242" s="29" t="str">
        <f>VLOOKUP(LEFT(H242, 7), 'קטלוג תרחישים'!$A:$L, 12, FALSE)</f>
        <v>א׳</v>
      </c>
      <c r="L242" s="29" t="str">
        <f>IF(J242="כן", K242, VLOOKUP(LEFT(H242, 7), 'קטלוג תרחישים'!$A:$M, 13, FALSE))</f>
        <v>ג׳</v>
      </c>
    </row>
    <row r="243" spans="1:12">
      <c r="A243" s="29" t="s">
        <v>132</v>
      </c>
      <c r="B243" s="29">
        <v>11</v>
      </c>
      <c r="C243" s="29" t="s">
        <v>341</v>
      </c>
      <c r="D243" s="29">
        <v>2</v>
      </c>
      <c r="E243" s="29" t="s">
        <v>92</v>
      </c>
      <c r="F243" s="29" t="s">
        <v>342</v>
      </c>
      <c r="G243" s="29" t="s">
        <v>111</v>
      </c>
      <c r="H243" s="29" t="s">
        <v>120</v>
      </c>
      <c r="I243" s="29" t="s">
        <v>89</v>
      </c>
      <c r="J243" s="29" t="s">
        <v>343</v>
      </c>
      <c r="K243" s="29" t="str">
        <f>VLOOKUP(LEFT(H243, 7), 'קטלוג תרחישים'!$A:$L, 12, FALSE)</f>
        <v>ב׳</v>
      </c>
      <c r="L243" s="29" t="str">
        <f>IF(J243="כן", K243, VLOOKUP(LEFT(H243, 7), 'קטלוג תרחישים'!$A:$M, 13, FALSE))</f>
        <v>א׳</v>
      </c>
    </row>
    <row r="244" spans="1:12">
      <c r="A244" s="29" t="s">
        <v>132</v>
      </c>
      <c r="B244" s="29">
        <v>12</v>
      </c>
      <c r="C244" s="29" t="s">
        <v>341</v>
      </c>
      <c r="D244" s="29">
        <v>2</v>
      </c>
      <c r="E244" s="29" t="s">
        <v>92</v>
      </c>
      <c r="F244" s="29" t="s">
        <v>342</v>
      </c>
      <c r="G244" s="29" t="s">
        <v>111</v>
      </c>
      <c r="H244" s="29" t="s">
        <v>121</v>
      </c>
      <c r="I244" s="29" t="s">
        <v>94</v>
      </c>
      <c r="J244" s="29" t="s">
        <v>340</v>
      </c>
      <c r="K244" s="29" t="str">
        <f>VLOOKUP(LEFT(H244, 7), 'קטלוג תרחישים'!$A:$L, 12, FALSE)</f>
        <v>ב׳</v>
      </c>
      <c r="L244" s="29" t="str">
        <f>IF(J244="כן", K244, VLOOKUP(LEFT(H244, 7), 'קטלוג תרחישים'!$A:$M, 13, FALSE))</f>
        <v>ב׳</v>
      </c>
    </row>
    <row r="245" spans="1:12">
      <c r="A245" s="29" t="s">
        <v>132</v>
      </c>
      <c r="B245" s="29">
        <v>13</v>
      </c>
      <c r="C245" s="29" t="s">
        <v>341</v>
      </c>
      <c r="D245" s="29">
        <v>2</v>
      </c>
      <c r="E245" s="29" t="s">
        <v>92</v>
      </c>
      <c r="F245" s="29" t="s">
        <v>342</v>
      </c>
      <c r="G245" s="29" t="s">
        <v>111</v>
      </c>
      <c r="H245" s="29" t="s">
        <v>122</v>
      </c>
      <c r="I245" s="29" t="s">
        <v>89</v>
      </c>
      <c r="J245" s="29" t="s">
        <v>340</v>
      </c>
      <c r="K245" s="29" t="str">
        <f>VLOOKUP(LEFT(H245, 7), 'קטלוג תרחישים'!$A:$L, 12, FALSE)</f>
        <v>ג׳</v>
      </c>
      <c r="L245" s="29" t="str">
        <f>IF(J245="כן", K245, VLOOKUP(LEFT(H245, 7), 'קטלוג תרחישים'!$A:$M, 13, FALSE))</f>
        <v>ג׳</v>
      </c>
    </row>
    <row r="246" spans="1:12">
      <c r="A246" s="29" t="s">
        <v>132</v>
      </c>
      <c r="B246" s="29">
        <v>14</v>
      </c>
      <c r="C246" s="29" t="s">
        <v>341</v>
      </c>
      <c r="D246" s="29">
        <v>2</v>
      </c>
      <c r="E246" s="29" t="s">
        <v>92</v>
      </c>
      <c r="F246" s="29" t="s">
        <v>342</v>
      </c>
      <c r="G246" s="29" t="s">
        <v>111</v>
      </c>
      <c r="H246" s="29" t="s">
        <v>123</v>
      </c>
      <c r="I246" s="29" t="s">
        <v>94</v>
      </c>
      <c r="J246" s="29" t="s">
        <v>343</v>
      </c>
      <c r="K246" s="29" t="str">
        <f>VLOOKUP(LEFT(H246, 7), 'קטלוג תרחישים'!$A:$L, 12, FALSE)</f>
        <v>א׳</v>
      </c>
      <c r="L246" s="29" t="str">
        <f>IF(J246="כן", K246, VLOOKUP(LEFT(H246, 7), 'קטלוג תרחישים'!$A:$M, 13, FALSE))</f>
        <v>ב׳</v>
      </c>
    </row>
    <row r="247" spans="1:12">
      <c r="A247" s="29" t="s">
        <v>132</v>
      </c>
      <c r="B247" s="29">
        <v>15</v>
      </c>
      <c r="C247" s="29" t="s">
        <v>341</v>
      </c>
      <c r="D247" s="29">
        <v>3</v>
      </c>
      <c r="E247" s="29" t="s">
        <v>99</v>
      </c>
      <c r="F247" s="29" t="s">
        <v>342</v>
      </c>
      <c r="G247" s="29" t="s">
        <v>111</v>
      </c>
      <c r="H247" s="29" t="s">
        <v>114</v>
      </c>
      <c r="I247" s="29" t="s">
        <v>89</v>
      </c>
      <c r="J247" s="29" t="s">
        <v>340</v>
      </c>
      <c r="K247" s="29" t="str">
        <f>VLOOKUP(LEFT(H247, 7), 'קטלוג תרחישים'!$A:$L, 12, FALSE)</f>
        <v>א׳</v>
      </c>
      <c r="L247" s="29" t="str">
        <f>IF(J247="כן", K247, VLOOKUP(LEFT(H247, 7), 'קטלוג תרחישים'!$A:$M, 13, FALSE))</f>
        <v>א׳</v>
      </c>
    </row>
    <row r="248" spans="1:12">
      <c r="A248" s="29" t="s">
        <v>132</v>
      </c>
      <c r="B248" s="29">
        <v>16</v>
      </c>
      <c r="C248" s="29" t="s">
        <v>341</v>
      </c>
      <c r="D248" s="29">
        <v>3</v>
      </c>
      <c r="E248" s="29" t="s">
        <v>99</v>
      </c>
      <c r="F248" s="29" t="s">
        <v>342</v>
      </c>
      <c r="G248" s="29" t="s">
        <v>111</v>
      </c>
      <c r="H248" s="29" t="s">
        <v>113</v>
      </c>
      <c r="I248" s="29" t="s">
        <v>94</v>
      </c>
      <c r="J248" s="29" t="s">
        <v>343</v>
      </c>
      <c r="K248" s="29" t="str">
        <f>VLOOKUP(LEFT(H248, 7), 'קטלוג תרחישים'!$A:$L, 12, FALSE)</f>
        <v>ג׳</v>
      </c>
      <c r="L248" s="29" t="str">
        <f>IF(J248="כן", K248, VLOOKUP(LEFT(H248, 7), 'קטלוג תרחישים'!$A:$M, 13, FALSE))</f>
        <v>א׳</v>
      </c>
    </row>
    <row r="249" spans="1:12">
      <c r="A249" s="29" t="s">
        <v>132</v>
      </c>
      <c r="B249" s="29">
        <v>17</v>
      </c>
      <c r="C249" s="29" t="s">
        <v>341</v>
      </c>
      <c r="D249" s="29">
        <v>3</v>
      </c>
      <c r="E249" s="29" t="s">
        <v>99</v>
      </c>
      <c r="F249" s="29" t="s">
        <v>342</v>
      </c>
      <c r="G249" s="29" t="s">
        <v>111</v>
      </c>
      <c r="H249" s="29" t="s">
        <v>112</v>
      </c>
      <c r="I249" s="29" t="s">
        <v>89</v>
      </c>
      <c r="J249" s="29" t="s">
        <v>343</v>
      </c>
      <c r="K249" s="29" t="str">
        <f>VLOOKUP(LEFT(H249, 7), 'קטלוג תרחישים'!$A:$L, 12, FALSE)</f>
        <v>ג׳</v>
      </c>
      <c r="L249" s="29" t="str">
        <f>IF(J249="כן", K249, VLOOKUP(LEFT(H249, 7), 'קטלוג תרחישים'!$A:$M, 13, FALSE))</f>
        <v>ב׳</v>
      </c>
    </row>
    <row r="250" spans="1:12">
      <c r="A250" s="29" t="s">
        <v>132</v>
      </c>
      <c r="B250" s="29">
        <v>18</v>
      </c>
      <c r="C250" s="29" t="s">
        <v>341</v>
      </c>
      <c r="D250" s="29">
        <v>3</v>
      </c>
      <c r="E250" s="29" t="s">
        <v>99</v>
      </c>
      <c r="F250" s="29" t="s">
        <v>342</v>
      </c>
      <c r="G250" s="29" t="s">
        <v>111</v>
      </c>
      <c r="H250" s="29" t="s">
        <v>115</v>
      </c>
      <c r="I250" s="29" t="s">
        <v>94</v>
      </c>
      <c r="J250" s="29" t="s">
        <v>340</v>
      </c>
      <c r="K250" s="29" t="str">
        <f>VLOOKUP(LEFT(H250, 7), 'קטלוג תרחישים'!$A:$L, 12, FALSE)</f>
        <v>ב׳</v>
      </c>
      <c r="L250" s="29" t="str">
        <f>IF(J250="כן", K250, VLOOKUP(LEFT(H250, 7), 'קטלוג תרחישים'!$A:$M, 13, FALSE))</f>
        <v>ב׳</v>
      </c>
    </row>
    <row r="251" spans="1:12">
      <c r="A251" s="29" t="s">
        <v>132</v>
      </c>
      <c r="B251" s="29">
        <v>19</v>
      </c>
      <c r="C251" s="29" t="s">
        <v>341</v>
      </c>
      <c r="D251" s="29">
        <v>1</v>
      </c>
      <c r="E251" s="29" t="s">
        <v>99</v>
      </c>
      <c r="F251" s="29" t="s">
        <v>344</v>
      </c>
      <c r="G251" s="29" t="s">
        <v>91</v>
      </c>
      <c r="H251" s="29" t="s">
        <v>100</v>
      </c>
      <c r="I251" s="29" t="s">
        <v>89</v>
      </c>
      <c r="J251" s="29" t="s">
        <v>340</v>
      </c>
      <c r="K251" s="29" t="str">
        <f>VLOOKUP(LEFT(H251, 7), 'קטלוג תרחישים'!$A:$L, 12, FALSE)</f>
        <v>ב׳</v>
      </c>
      <c r="L251" s="29" t="str">
        <f>IF(J251="כן", K251, VLOOKUP(LEFT(H251, 7), 'קטלוג תרחישים'!$A:$M, 13, FALSE))</f>
        <v>ב׳</v>
      </c>
    </row>
    <row r="252" spans="1:12">
      <c r="A252" s="29" t="s">
        <v>132</v>
      </c>
      <c r="B252" s="29">
        <v>20</v>
      </c>
      <c r="C252" s="29" t="s">
        <v>341</v>
      </c>
      <c r="D252" s="29">
        <v>1</v>
      </c>
      <c r="E252" s="29" t="s">
        <v>99</v>
      </c>
      <c r="F252" s="29" t="s">
        <v>344</v>
      </c>
      <c r="G252" s="29" t="s">
        <v>91</v>
      </c>
      <c r="H252" s="29" t="s">
        <v>103</v>
      </c>
      <c r="I252" s="29" t="s">
        <v>94</v>
      </c>
      <c r="J252" s="29" t="s">
        <v>340</v>
      </c>
      <c r="K252" s="29" t="str">
        <f>VLOOKUP(LEFT(H252, 7), 'קטלוג תרחישים'!$A:$L, 12, FALSE)</f>
        <v>ג׳</v>
      </c>
      <c r="L252" s="29" t="str">
        <f>IF(J252="כן", K252, VLOOKUP(LEFT(H252, 7), 'קטלוג תרחישים'!$A:$M, 13, FALSE))</f>
        <v>ג׳</v>
      </c>
    </row>
    <row r="253" spans="1:12">
      <c r="A253" s="29" t="s">
        <v>132</v>
      </c>
      <c r="B253" s="29">
        <v>21</v>
      </c>
      <c r="C253" s="29" t="s">
        <v>341</v>
      </c>
      <c r="D253" s="29">
        <v>1</v>
      </c>
      <c r="E253" s="29" t="s">
        <v>99</v>
      </c>
      <c r="F253" s="29" t="s">
        <v>344</v>
      </c>
      <c r="G253" s="29" t="s">
        <v>91</v>
      </c>
      <c r="H253" s="29" t="s">
        <v>104</v>
      </c>
      <c r="I253" s="29" t="s">
        <v>89</v>
      </c>
      <c r="J253" s="29" t="s">
        <v>340</v>
      </c>
      <c r="K253" s="29" t="str">
        <f>VLOOKUP(LEFT(H253, 7), 'קטלוג תרחישים'!$A:$L, 12, FALSE)</f>
        <v>א׳</v>
      </c>
      <c r="L253" s="29" t="str">
        <f>IF(J253="כן", K253, VLOOKUP(LEFT(H253, 7), 'קטלוג תרחישים'!$A:$M, 13, FALSE))</f>
        <v>א׳</v>
      </c>
    </row>
    <row r="254" spans="1:12">
      <c r="A254" s="29" t="s">
        <v>132</v>
      </c>
      <c r="B254" s="29">
        <v>22</v>
      </c>
      <c r="C254" s="29" t="s">
        <v>341</v>
      </c>
      <c r="D254" s="29">
        <v>1</v>
      </c>
      <c r="E254" s="29" t="s">
        <v>99</v>
      </c>
      <c r="F254" s="29" t="s">
        <v>344</v>
      </c>
      <c r="G254" s="29" t="s">
        <v>91</v>
      </c>
      <c r="H254" s="29" t="s">
        <v>101</v>
      </c>
      <c r="I254" s="29" t="s">
        <v>94</v>
      </c>
      <c r="J254" s="29" t="s">
        <v>340</v>
      </c>
      <c r="K254" s="29" t="str">
        <f>VLOOKUP(LEFT(H254, 7), 'קטלוג תרחישים'!$A:$L, 12, FALSE)</f>
        <v>א׳</v>
      </c>
      <c r="L254" s="29" t="str">
        <f>IF(J254="כן", K254, VLOOKUP(LEFT(H254, 7), 'קטלוג תרחישים'!$A:$M, 13, FALSE))</f>
        <v>א׳</v>
      </c>
    </row>
    <row r="255" spans="1:12">
      <c r="A255" s="29" t="s">
        <v>132</v>
      </c>
      <c r="B255" s="29">
        <v>23</v>
      </c>
      <c r="C255" s="29" t="s">
        <v>341</v>
      </c>
      <c r="D255" s="29">
        <v>1</v>
      </c>
      <c r="E255" s="29" t="s">
        <v>99</v>
      </c>
      <c r="F255" s="29" t="s">
        <v>344</v>
      </c>
      <c r="G255" s="29" t="s">
        <v>91</v>
      </c>
      <c r="H255" s="29" t="s">
        <v>102</v>
      </c>
      <c r="I255" s="29" t="s">
        <v>89</v>
      </c>
      <c r="J255" s="29" t="s">
        <v>343</v>
      </c>
      <c r="K255" s="29" t="str">
        <f>VLOOKUP(LEFT(H255, 7), 'קטלוג תרחישים'!$A:$L, 12, FALSE)</f>
        <v>ב׳</v>
      </c>
      <c r="L255" s="29" t="str">
        <f>IF(J255="כן", K255, VLOOKUP(LEFT(H255, 7), 'קטלוג תרחישים'!$A:$M, 13, FALSE))</f>
        <v>א׳</v>
      </c>
    </row>
    <row r="256" spans="1:12">
      <c r="A256" s="29" t="s">
        <v>132</v>
      </c>
      <c r="B256" s="29">
        <v>24</v>
      </c>
      <c r="C256" s="29" t="s">
        <v>341</v>
      </c>
      <c r="D256" s="29">
        <v>2</v>
      </c>
      <c r="E256" s="29" t="s">
        <v>105</v>
      </c>
      <c r="F256" s="29" t="s">
        <v>344</v>
      </c>
      <c r="G256" s="29" t="s">
        <v>91</v>
      </c>
      <c r="H256" s="29" t="s">
        <v>108</v>
      </c>
      <c r="I256" s="29" t="s">
        <v>89</v>
      </c>
      <c r="J256" s="29" t="s">
        <v>340</v>
      </c>
      <c r="K256" s="29" t="str">
        <f>VLOOKUP(LEFT(H256, 7), 'קטלוג תרחישים'!$A:$L, 12, FALSE)</f>
        <v>א׳</v>
      </c>
      <c r="L256" s="29" t="str">
        <f>IF(J256="כן", K256, VLOOKUP(LEFT(H256, 7), 'קטלוג תרחישים'!$A:$M, 13, FALSE))</f>
        <v>א׳</v>
      </c>
    </row>
    <row r="257" spans="1:12">
      <c r="A257" s="29" t="s">
        <v>132</v>
      </c>
      <c r="B257" s="29">
        <v>25</v>
      </c>
      <c r="C257" s="29" t="s">
        <v>341</v>
      </c>
      <c r="D257" s="29">
        <v>2</v>
      </c>
      <c r="E257" s="29" t="s">
        <v>105</v>
      </c>
      <c r="F257" s="29" t="s">
        <v>344</v>
      </c>
      <c r="G257" s="29" t="s">
        <v>91</v>
      </c>
      <c r="H257" s="29" t="s">
        <v>109</v>
      </c>
      <c r="I257" s="29" t="s">
        <v>94</v>
      </c>
      <c r="J257" s="29" t="s">
        <v>340</v>
      </c>
      <c r="K257" s="29" t="str">
        <f>VLOOKUP(LEFT(H257, 7), 'קטלוג תרחישים'!$A:$L, 12, FALSE)</f>
        <v>ב׳</v>
      </c>
      <c r="L257" s="29" t="str">
        <f>IF(J257="כן", K257, VLOOKUP(LEFT(H257, 7), 'קטלוג תרחישים'!$A:$M, 13, FALSE))</f>
        <v>ב׳</v>
      </c>
    </row>
    <row r="258" spans="1:12">
      <c r="A258" s="29" t="s">
        <v>132</v>
      </c>
      <c r="B258" s="29">
        <v>26</v>
      </c>
      <c r="C258" s="29" t="s">
        <v>341</v>
      </c>
      <c r="D258" s="29">
        <v>2</v>
      </c>
      <c r="E258" s="29" t="s">
        <v>105</v>
      </c>
      <c r="F258" s="29" t="s">
        <v>344</v>
      </c>
      <c r="G258" s="29" t="s">
        <v>91</v>
      </c>
      <c r="H258" s="29" t="s">
        <v>110</v>
      </c>
      <c r="I258" s="29" t="s">
        <v>89</v>
      </c>
      <c r="J258" s="29" t="s">
        <v>340</v>
      </c>
      <c r="K258" s="29" t="str">
        <f>VLOOKUP(LEFT(H258, 7), 'קטלוג תרחישים'!$A:$L, 12, FALSE)</f>
        <v>ג׳</v>
      </c>
      <c r="L258" s="29" t="str">
        <f>IF(J258="כן", K258, VLOOKUP(LEFT(H258, 7), 'קטלוג תרחישים'!$A:$M, 13, FALSE))</f>
        <v>ג׳</v>
      </c>
    </row>
    <row r="259" spans="1:12">
      <c r="A259" s="29" t="s">
        <v>132</v>
      </c>
      <c r="B259" s="29">
        <v>27</v>
      </c>
      <c r="C259" s="29" t="s">
        <v>341</v>
      </c>
      <c r="D259" s="29">
        <v>2</v>
      </c>
      <c r="E259" s="29" t="s">
        <v>105</v>
      </c>
      <c r="F259" s="29" t="s">
        <v>344</v>
      </c>
      <c r="G259" s="29" t="s">
        <v>91</v>
      </c>
      <c r="H259" s="29" t="s">
        <v>107</v>
      </c>
      <c r="I259" s="29" t="s">
        <v>94</v>
      </c>
      <c r="J259" s="29" t="s">
        <v>340</v>
      </c>
      <c r="K259" s="29" t="str">
        <f>VLOOKUP(LEFT(H259, 7), 'קטלוג תרחישים'!$A:$L, 12, FALSE)</f>
        <v>ג׳</v>
      </c>
      <c r="L259" s="29" t="str">
        <f>IF(J259="כן", K259, VLOOKUP(LEFT(H259, 7), 'קטלוג תרחישים'!$A:$M, 13, FALSE))</f>
        <v>ג׳</v>
      </c>
    </row>
    <row r="260" spans="1:12">
      <c r="A260" s="29" t="s">
        <v>132</v>
      </c>
      <c r="B260" s="29">
        <v>28</v>
      </c>
      <c r="C260" s="29" t="s">
        <v>341</v>
      </c>
      <c r="D260" s="29">
        <v>2</v>
      </c>
      <c r="E260" s="29" t="s">
        <v>105</v>
      </c>
      <c r="F260" s="29" t="s">
        <v>344</v>
      </c>
      <c r="G260" s="29" t="s">
        <v>91</v>
      </c>
      <c r="H260" s="29" t="s">
        <v>106</v>
      </c>
      <c r="I260" s="29" t="s">
        <v>89</v>
      </c>
      <c r="J260" s="29" t="s">
        <v>343</v>
      </c>
      <c r="K260" s="29" t="str">
        <f>VLOOKUP(LEFT(H260, 7), 'קטלוג תרחישים'!$A:$L, 12, FALSE)</f>
        <v>א׳</v>
      </c>
      <c r="L260" s="29" t="str">
        <f>IF(J260="כן", K260, VLOOKUP(LEFT(H260, 7), 'קטלוג תרחישים'!$A:$M, 13, FALSE))</f>
        <v>ג׳</v>
      </c>
    </row>
    <row r="261" spans="1:12">
      <c r="A261" s="29" t="s">
        <v>132</v>
      </c>
      <c r="B261" s="29">
        <v>29</v>
      </c>
      <c r="C261" s="29" t="s">
        <v>341</v>
      </c>
      <c r="D261" s="29">
        <v>3</v>
      </c>
      <c r="E261" s="29" t="s">
        <v>92</v>
      </c>
      <c r="F261" s="29" t="s">
        <v>344</v>
      </c>
      <c r="G261" s="29" t="s">
        <v>91</v>
      </c>
      <c r="H261" s="29" t="s">
        <v>96</v>
      </c>
      <c r="I261" s="29" t="s">
        <v>94</v>
      </c>
      <c r="J261" s="29" t="s">
        <v>340</v>
      </c>
      <c r="K261" s="29" t="str">
        <f>VLOOKUP(LEFT(H261, 7), 'קטלוג תרחישים'!$A:$L, 12, FALSE)</f>
        <v>ב׳</v>
      </c>
      <c r="L261" s="29" t="str">
        <f>IF(J261="כן", K261, VLOOKUP(LEFT(H261, 7), 'קטלוג תרחישים'!$A:$M, 13, FALSE))</f>
        <v>ב׳</v>
      </c>
    </row>
    <row r="262" spans="1:12">
      <c r="A262" s="29" t="s">
        <v>132</v>
      </c>
      <c r="B262" s="29">
        <v>30</v>
      </c>
      <c r="C262" s="29" t="s">
        <v>341</v>
      </c>
      <c r="D262" s="29">
        <v>3</v>
      </c>
      <c r="E262" s="29" t="s">
        <v>92</v>
      </c>
      <c r="F262" s="29" t="s">
        <v>344</v>
      </c>
      <c r="G262" s="29" t="s">
        <v>91</v>
      </c>
      <c r="H262" s="29" t="s">
        <v>97</v>
      </c>
      <c r="I262" s="29" t="s">
        <v>89</v>
      </c>
      <c r="J262" s="29" t="s">
        <v>340</v>
      </c>
      <c r="K262" s="29" t="str">
        <f>VLOOKUP(LEFT(H262, 7), 'קטלוג תרחישים'!$A:$L, 12, FALSE)</f>
        <v>ג׳</v>
      </c>
      <c r="L262" s="29" t="str">
        <f>IF(J262="כן", K262, VLOOKUP(LEFT(H262, 7), 'קטלוג תרחישים'!$A:$M, 13, FALSE))</f>
        <v>ג׳</v>
      </c>
    </row>
    <row r="263" spans="1:12">
      <c r="A263" s="29" t="s">
        <v>132</v>
      </c>
      <c r="B263" s="29">
        <v>31</v>
      </c>
      <c r="C263" s="29" t="s">
        <v>341</v>
      </c>
      <c r="D263" s="29">
        <v>3</v>
      </c>
      <c r="E263" s="29" t="s">
        <v>92</v>
      </c>
      <c r="F263" s="29" t="s">
        <v>344</v>
      </c>
      <c r="G263" s="29" t="s">
        <v>91</v>
      </c>
      <c r="H263" s="29" t="s">
        <v>98</v>
      </c>
      <c r="I263" s="29" t="s">
        <v>94</v>
      </c>
      <c r="J263" s="29" t="s">
        <v>340</v>
      </c>
      <c r="K263" s="29" t="str">
        <f>VLOOKUP(LEFT(H263, 7), 'קטלוג תרחישים'!$A:$L, 12, FALSE)</f>
        <v>ג׳</v>
      </c>
      <c r="L263" s="29" t="str">
        <f>IF(J263="כן", K263, VLOOKUP(LEFT(H263, 7), 'קטלוג תרחישים'!$A:$M, 13, FALSE))</f>
        <v>ג׳</v>
      </c>
    </row>
    <row r="264" spans="1:12">
      <c r="A264" s="29" t="s">
        <v>132</v>
      </c>
      <c r="B264" s="29">
        <v>32</v>
      </c>
      <c r="C264" s="29" t="s">
        <v>341</v>
      </c>
      <c r="D264" s="29">
        <v>3</v>
      </c>
      <c r="E264" s="29" t="s">
        <v>92</v>
      </c>
      <c r="F264" s="29" t="s">
        <v>344</v>
      </c>
      <c r="G264" s="29" t="s">
        <v>91</v>
      </c>
      <c r="H264" s="29" t="s">
        <v>95</v>
      </c>
      <c r="I264" s="29" t="s">
        <v>89</v>
      </c>
      <c r="J264" s="29" t="s">
        <v>343</v>
      </c>
      <c r="K264" s="29" t="str">
        <f>VLOOKUP(LEFT(H264, 7), 'קטלוג תרחישים'!$A:$L, 12, FALSE)</f>
        <v>ג׳</v>
      </c>
      <c r="L264" s="29" t="str">
        <f>IF(J264="כן", K264, VLOOKUP(LEFT(H264, 7), 'קטלוג תרחישים'!$A:$M, 13, FALSE))</f>
        <v>א׳</v>
      </c>
    </row>
    <row r="265" spans="1:12">
      <c r="A265" s="29" t="s">
        <v>132</v>
      </c>
      <c r="B265" s="29">
        <v>33</v>
      </c>
      <c r="C265" s="29" t="s">
        <v>341</v>
      </c>
      <c r="D265" s="29">
        <v>3</v>
      </c>
      <c r="E265" s="29" t="s">
        <v>92</v>
      </c>
      <c r="F265" s="29" t="s">
        <v>344</v>
      </c>
      <c r="G265" s="29" t="s">
        <v>91</v>
      </c>
      <c r="H265" s="29" t="s">
        <v>93</v>
      </c>
      <c r="I265" s="29" t="s">
        <v>94</v>
      </c>
      <c r="J265" s="29" t="s">
        <v>340</v>
      </c>
      <c r="K265" s="29" t="str">
        <f>VLOOKUP(LEFT(H265, 7), 'קטלוג תרחישים'!$A:$L, 12, FALSE)</f>
        <v>א׳</v>
      </c>
      <c r="L265" s="29" t="str">
        <f>IF(J265="כן", K265, VLOOKUP(LEFT(H265, 7), 'קטלוג תרחישים'!$A:$M, 13, FALSE))</f>
        <v>א׳</v>
      </c>
    </row>
    <row r="266" spans="1:12">
      <c r="A266" s="29" t="s">
        <v>133</v>
      </c>
      <c r="B266" s="29">
        <v>1</v>
      </c>
      <c r="C266" s="29" t="s">
        <v>339</v>
      </c>
      <c r="D266" s="29"/>
      <c r="E266" s="29" t="s">
        <v>92</v>
      </c>
      <c r="F266" s="29"/>
      <c r="G266" s="29"/>
      <c r="H266" s="30" t="s">
        <v>351</v>
      </c>
      <c r="I266" s="29" t="s">
        <v>89</v>
      </c>
      <c r="J266" s="29" t="s">
        <v>340</v>
      </c>
      <c r="K266" s="29" t="str">
        <f>VLOOKUP(LEFT(H266, 7), 'קטלוג תרחישים'!$A:$L, 12, FALSE)</f>
        <v>א׳</v>
      </c>
      <c r="L266" s="29" t="str">
        <f>IF(J266="כן", K266, VLOOKUP(LEFT(H266, 7), 'קטלוג תרחישים'!$A:$M, 13, FALSE))</f>
        <v>א׳</v>
      </c>
    </row>
    <row r="267" spans="1:12">
      <c r="A267" s="29" t="s">
        <v>133</v>
      </c>
      <c r="B267" s="29">
        <v>2</v>
      </c>
      <c r="C267" s="29" t="s">
        <v>339</v>
      </c>
      <c r="D267" s="29"/>
      <c r="E267" s="29" t="s">
        <v>92</v>
      </c>
      <c r="F267" s="29"/>
      <c r="G267" s="29"/>
      <c r="H267" s="30" t="s">
        <v>88</v>
      </c>
      <c r="I267" s="29" t="s">
        <v>89</v>
      </c>
      <c r="J267" s="29" t="s">
        <v>340</v>
      </c>
      <c r="K267" s="29" t="str">
        <f>VLOOKUP(LEFT(H267, 7), 'קטלוג תרחישים'!$A:$L, 12, FALSE)</f>
        <v>א׳</v>
      </c>
      <c r="L267" s="29" t="str">
        <f>IF(J267="כן", K267, VLOOKUP(LEFT(H267, 7), 'קטלוג תרחישים'!$A:$M, 13, FALSE))</f>
        <v>א׳</v>
      </c>
    </row>
    <row r="268" spans="1:12">
      <c r="A268" s="29" t="s">
        <v>133</v>
      </c>
      <c r="B268" s="29">
        <v>3</v>
      </c>
      <c r="C268" s="29" t="s">
        <v>339</v>
      </c>
      <c r="D268" s="29"/>
      <c r="E268" s="29" t="s">
        <v>99</v>
      </c>
      <c r="F268" s="29"/>
      <c r="G268" s="29"/>
      <c r="H268" s="30" t="s">
        <v>352</v>
      </c>
      <c r="I268" s="29" t="s">
        <v>89</v>
      </c>
      <c r="J268" s="29" t="s">
        <v>340</v>
      </c>
      <c r="K268" s="29" t="str">
        <f>VLOOKUP(LEFT(H268, 7), 'קטלוג תרחישים'!$A:$L, 12, FALSE)</f>
        <v>ב׳</v>
      </c>
      <c r="L268" s="29" t="str">
        <f>IF(J268="כן", K268, VLOOKUP(LEFT(H268, 7), 'קטלוג תרחישים'!$A:$M, 13, FALSE))</f>
        <v>ב׳</v>
      </c>
    </row>
    <row r="269" spans="1:12">
      <c r="A269" s="29" t="s">
        <v>133</v>
      </c>
      <c r="B269" s="29">
        <v>4</v>
      </c>
      <c r="C269" s="29" t="s">
        <v>339</v>
      </c>
      <c r="D269" s="29"/>
      <c r="E269" s="29" t="s">
        <v>99</v>
      </c>
      <c r="F269" s="29"/>
      <c r="G269" s="29"/>
      <c r="H269" s="30" t="s">
        <v>353</v>
      </c>
      <c r="I269" s="29" t="s">
        <v>89</v>
      </c>
      <c r="J269" s="29" t="s">
        <v>340</v>
      </c>
      <c r="K269" s="29" t="str">
        <f>VLOOKUP(LEFT(H269, 7), 'קטלוג תרחישים'!$A:$L, 12, FALSE)</f>
        <v>ב׳</v>
      </c>
      <c r="L269" s="29" t="str">
        <f>IF(J269="כן", K269, VLOOKUP(LEFT(H269, 7), 'קטלוג תרחישים'!$A:$M, 13, FALSE))</f>
        <v>ב׳</v>
      </c>
    </row>
    <row r="270" spans="1:12">
      <c r="A270" s="29" t="s">
        <v>133</v>
      </c>
      <c r="B270" s="29">
        <v>5</v>
      </c>
      <c r="C270" s="29" t="s">
        <v>339</v>
      </c>
      <c r="D270" s="29"/>
      <c r="E270" s="29" t="s">
        <v>105</v>
      </c>
      <c r="F270" s="29"/>
      <c r="G270" s="29"/>
      <c r="H270" s="30" t="s">
        <v>354</v>
      </c>
      <c r="I270" s="29" t="s">
        <v>89</v>
      </c>
      <c r="J270" s="29" t="s">
        <v>340</v>
      </c>
      <c r="K270" s="29" t="str">
        <f>VLOOKUP(LEFT(H270, 7), 'קטלוג תרחישים'!$A:$L, 12, FALSE)</f>
        <v>ג׳</v>
      </c>
      <c r="L270" s="29" t="str">
        <f>IF(J270="כן", K270, VLOOKUP(LEFT(H270, 7), 'קטלוג תרחישים'!$A:$M, 13, FALSE))</f>
        <v>ג׳</v>
      </c>
    </row>
    <row r="271" spans="1:12">
      <c r="A271" s="29" t="s">
        <v>133</v>
      </c>
      <c r="B271" s="29">
        <v>6</v>
      </c>
      <c r="C271" s="29" t="s">
        <v>339</v>
      </c>
      <c r="D271" s="29"/>
      <c r="E271" s="29" t="s">
        <v>105</v>
      </c>
      <c r="F271" s="29"/>
      <c r="G271" s="29"/>
      <c r="H271" s="30" t="s">
        <v>90</v>
      </c>
      <c r="I271" s="29" t="s">
        <v>89</v>
      </c>
      <c r="J271" s="29" t="s">
        <v>340</v>
      </c>
      <c r="K271" s="29" t="str">
        <f>VLOOKUP(LEFT(H271, 7), 'קטלוג תרחישים'!$A:$L, 12, FALSE)</f>
        <v>ג׳</v>
      </c>
      <c r="L271" s="29" t="str">
        <f>IF(J271="כן", K271, VLOOKUP(LEFT(H271, 7), 'קטלוג תרחישים'!$A:$M, 13, FALSE))</f>
        <v>ג׳</v>
      </c>
    </row>
    <row r="272" spans="1:12">
      <c r="A272" s="29" t="s">
        <v>133</v>
      </c>
      <c r="B272" s="29">
        <v>7</v>
      </c>
      <c r="C272" s="29" t="s">
        <v>341</v>
      </c>
      <c r="D272" s="29">
        <v>1</v>
      </c>
      <c r="E272" s="29" t="s">
        <v>105</v>
      </c>
      <c r="F272" s="29" t="s">
        <v>342</v>
      </c>
      <c r="G272" s="29" t="s">
        <v>91</v>
      </c>
      <c r="H272" s="29" t="s">
        <v>110</v>
      </c>
      <c r="I272" s="29" t="s">
        <v>89</v>
      </c>
      <c r="J272" s="29" t="s">
        <v>340</v>
      </c>
      <c r="K272" s="29" t="str">
        <f>VLOOKUP(LEFT(H272, 7), 'קטלוג תרחישים'!$A:$L, 12, FALSE)</f>
        <v>ג׳</v>
      </c>
      <c r="L272" s="29" t="str">
        <f>IF(J272="כן", K272, VLOOKUP(LEFT(H272, 7), 'קטלוג תרחישים'!$A:$M, 13, FALSE))</f>
        <v>ג׳</v>
      </c>
    </row>
    <row r="273" spans="1:12">
      <c r="A273" s="29" t="s">
        <v>133</v>
      </c>
      <c r="B273" s="29">
        <v>8</v>
      </c>
      <c r="C273" s="29" t="s">
        <v>341</v>
      </c>
      <c r="D273" s="29">
        <v>1</v>
      </c>
      <c r="E273" s="29" t="s">
        <v>105</v>
      </c>
      <c r="F273" s="29" t="s">
        <v>342</v>
      </c>
      <c r="G273" s="29" t="s">
        <v>91</v>
      </c>
      <c r="H273" s="29" t="s">
        <v>107</v>
      </c>
      <c r="I273" s="29" t="s">
        <v>94</v>
      </c>
      <c r="J273" s="29" t="s">
        <v>340</v>
      </c>
      <c r="K273" s="29" t="str">
        <f>VLOOKUP(LEFT(H273, 7), 'קטלוג תרחישים'!$A:$L, 12, FALSE)</f>
        <v>ג׳</v>
      </c>
      <c r="L273" s="29" t="str">
        <f>IF(J273="כן", K273, VLOOKUP(LEFT(H273, 7), 'קטלוג תרחישים'!$A:$M, 13, FALSE))</f>
        <v>ג׳</v>
      </c>
    </row>
    <row r="274" spans="1:12">
      <c r="A274" s="29" t="s">
        <v>133</v>
      </c>
      <c r="B274" s="29">
        <v>9</v>
      </c>
      <c r="C274" s="29" t="s">
        <v>341</v>
      </c>
      <c r="D274" s="29">
        <v>1</v>
      </c>
      <c r="E274" s="29" t="s">
        <v>105</v>
      </c>
      <c r="F274" s="29" t="s">
        <v>342</v>
      </c>
      <c r="G274" s="29" t="s">
        <v>91</v>
      </c>
      <c r="H274" s="29" t="s">
        <v>108</v>
      </c>
      <c r="I274" s="29" t="s">
        <v>89</v>
      </c>
      <c r="J274" s="29" t="s">
        <v>340</v>
      </c>
      <c r="K274" s="29" t="str">
        <f>VLOOKUP(LEFT(H274, 7), 'קטלוג תרחישים'!$A:$L, 12, FALSE)</f>
        <v>א׳</v>
      </c>
      <c r="L274" s="29" t="str">
        <f>IF(J274="כן", K274, VLOOKUP(LEFT(H274, 7), 'קטלוג תרחישים'!$A:$M, 13, FALSE))</f>
        <v>א׳</v>
      </c>
    </row>
    <row r="275" spans="1:12">
      <c r="A275" s="29" t="s">
        <v>133</v>
      </c>
      <c r="B275" s="29">
        <v>10</v>
      </c>
      <c r="C275" s="29" t="s">
        <v>341</v>
      </c>
      <c r="D275" s="29">
        <v>1</v>
      </c>
      <c r="E275" s="29" t="s">
        <v>105</v>
      </c>
      <c r="F275" s="29" t="s">
        <v>342</v>
      </c>
      <c r="G275" s="29" t="s">
        <v>91</v>
      </c>
      <c r="H275" s="29" t="s">
        <v>109</v>
      </c>
      <c r="I275" s="29" t="s">
        <v>94</v>
      </c>
      <c r="J275" s="29" t="s">
        <v>343</v>
      </c>
      <c r="K275" s="29" t="str">
        <f>VLOOKUP(LEFT(H275, 7), 'קטלוג תרחישים'!$A:$L, 12, FALSE)</f>
        <v>ב׳</v>
      </c>
      <c r="L275" s="29" t="str">
        <f>IF(J275="כן", K275, VLOOKUP(LEFT(H275, 7), 'קטלוג תרחישים'!$A:$M, 13, FALSE))</f>
        <v>ג׳</v>
      </c>
    </row>
    <row r="276" spans="1:12">
      <c r="A276" s="29" t="s">
        <v>133</v>
      </c>
      <c r="B276" s="29">
        <v>11</v>
      </c>
      <c r="C276" s="29" t="s">
        <v>341</v>
      </c>
      <c r="D276" s="29">
        <v>1</v>
      </c>
      <c r="E276" s="29" t="s">
        <v>105</v>
      </c>
      <c r="F276" s="29" t="s">
        <v>342</v>
      </c>
      <c r="G276" s="29" t="s">
        <v>91</v>
      </c>
      <c r="H276" s="29" t="s">
        <v>106</v>
      </c>
      <c r="I276" s="29" t="s">
        <v>89</v>
      </c>
      <c r="J276" s="29" t="s">
        <v>340</v>
      </c>
      <c r="K276" s="29" t="str">
        <f>VLOOKUP(LEFT(H276, 7), 'קטלוג תרחישים'!$A:$L, 12, FALSE)</f>
        <v>א׳</v>
      </c>
      <c r="L276" s="29" t="str">
        <f>IF(J276="כן", K276, VLOOKUP(LEFT(H276, 7), 'קטלוג תרחישים'!$A:$M, 13, FALSE))</f>
        <v>א׳</v>
      </c>
    </row>
    <row r="277" spans="1:12">
      <c r="A277" s="29" t="s">
        <v>133</v>
      </c>
      <c r="B277" s="29">
        <v>12</v>
      </c>
      <c r="C277" s="29" t="s">
        <v>341</v>
      </c>
      <c r="D277" s="29">
        <v>2</v>
      </c>
      <c r="E277" s="29" t="s">
        <v>92</v>
      </c>
      <c r="F277" s="29" t="s">
        <v>342</v>
      </c>
      <c r="G277" s="29" t="s">
        <v>91</v>
      </c>
      <c r="H277" s="29" t="s">
        <v>96</v>
      </c>
      <c r="I277" s="29" t="s">
        <v>94</v>
      </c>
      <c r="J277" s="29" t="s">
        <v>340</v>
      </c>
      <c r="K277" s="29" t="str">
        <f>VLOOKUP(LEFT(H277, 7), 'קטלוג תרחישים'!$A:$L, 12, FALSE)</f>
        <v>ב׳</v>
      </c>
      <c r="L277" s="29" t="str">
        <f>IF(J277="כן", K277, VLOOKUP(LEFT(H277, 7), 'קטלוג תרחישים'!$A:$M, 13, FALSE))</f>
        <v>ב׳</v>
      </c>
    </row>
    <row r="278" spans="1:12">
      <c r="A278" s="29" t="s">
        <v>133</v>
      </c>
      <c r="B278" s="29">
        <v>13</v>
      </c>
      <c r="C278" s="29" t="s">
        <v>341</v>
      </c>
      <c r="D278" s="29">
        <v>2</v>
      </c>
      <c r="E278" s="29" t="s">
        <v>92</v>
      </c>
      <c r="F278" s="29" t="s">
        <v>342</v>
      </c>
      <c r="G278" s="29" t="s">
        <v>91</v>
      </c>
      <c r="H278" s="29" t="s">
        <v>97</v>
      </c>
      <c r="I278" s="29" t="s">
        <v>89</v>
      </c>
      <c r="J278" s="29" t="s">
        <v>340</v>
      </c>
      <c r="K278" s="29" t="str">
        <f>VLOOKUP(LEFT(H278, 7), 'קטלוג תרחישים'!$A:$L, 12, FALSE)</f>
        <v>ג׳</v>
      </c>
      <c r="L278" s="29" t="str">
        <f>IF(J278="כן", K278, VLOOKUP(LEFT(H278, 7), 'קטלוג תרחישים'!$A:$M, 13, FALSE))</f>
        <v>ג׳</v>
      </c>
    </row>
    <row r="279" spans="1:12">
      <c r="A279" s="29" t="s">
        <v>133</v>
      </c>
      <c r="B279" s="29">
        <v>14</v>
      </c>
      <c r="C279" s="29" t="s">
        <v>341</v>
      </c>
      <c r="D279" s="29">
        <v>2</v>
      </c>
      <c r="E279" s="29" t="s">
        <v>92</v>
      </c>
      <c r="F279" s="29" t="s">
        <v>342</v>
      </c>
      <c r="G279" s="29" t="s">
        <v>91</v>
      </c>
      <c r="H279" s="29" t="s">
        <v>93</v>
      </c>
      <c r="I279" s="29" t="s">
        <v>94</v>
      </c>
      <c r="J279" s="29" t="s">
        <v>340</v>
      </c>
      <c r="K279" s="29" t="str">
        <f>VLOOKUP(LEFT(H279, 7), 'קטלוג תרחישים'!$A:$L, 12, FALSE)</f>
        <v>א׳</v>
      </c>
      <c r="L279" s="29" t="str">
        <f>IF(J279="כן", K279, VLOOKUP(LEFT(H279, 7), 'קטלוג תרחישים'!$A:$M, 13, FALSE))</f>
        <v>א׳</v>
      </c>
    </row>
    <row r="280" spans="1:12">
      <c r="A280" s="29" t="s">
        <v>133</v>
      </c>
      <c r="B280" s="29">
        <v>15</v>
      </c>
      <c r="C280" s="29" t="s">
        <v>341</v>
      </c>
      <c r="D280" s="29">
        <v>2</v>
      </c>
      <c r="E280" s="29" t="s">
        <v>92</v>
      </c>
      <c r="F280" s="29" t="s">
        <v>342</v>
      </c>
      <c r="G280" s="29" t="s">
        <v>91</v>
      </c>
      <c r="H280" s="29" t="s">
        <v>95</v>
      </c>
      <c r="I280" s="29" t="s">
        <v>89</v>
      </c>
      <c r="J280" s="29" t="s">
        <v>340</v>
      </c>
      <c r="K280" s="29" t="str">
        <f>VLOOKUP(LEFT(H280, 7), 'קטלוג תרחישים'!$A:$L, 12, FALSE)</f>
        <v>ג׳</v>
      </c>
      <c r="L280" s="29" t="str">
        <f>IF(J280="כן", K280, VLOOKUP(LEFT(H280, 7), 'קטלוג תרחישים'!$A:$M, 13, FALSE))</f>
        <v>ג׳</v>
      </c>
    </row>
    <row r="281" spans="1:12">
      <c r="A281" s="29" t="s">
        <v>133</v>
      </c>
      <c r="B281" s="29">
        <v>16</v>
      </c>
      <c r="C281" s="29" t="s">
        <v>341</v>
      </c>
      <c r="D281" s="29">
        <v>2</v>
      </c>
      <c r="E281" s="29" t="s">
        <v>92</v>
      </c>
      <c r="F281" s="29" t="s">
        <v>342</v>
      </c>
      <c r="G281" s="29" t="s">
        <v>91</v>
      </c>
      <c r="H281" s="29" t="s">
        <v>98</v>
      </c>
      <c r="I281" s="29" t="s">
        <v>94</v>
      </c>
      <c r="J281" s="29" t="s">
        <v>343</v>
      </c>
      <c r="K281" s="29" t="str">
        <f>VLOOKUP(LEFT(H281, 7), 'קטלוג תרחישים'!$A:$L, 12, FALSE)</f>
        <v>ג׳</v>
      </c>
      <c r="L281" s="29" t="str">
        <f>IF(J281="כן", K281, VLOOKUP(LEFT(H281, 7), 'קטלוג תרחישים'!$A:$M, 13, FALSE))</f>
        <v>א׳</v>
      </c>
    </row>
    <row r="282" spans="1:12">
      <c r="A282" s="29" t="s">
        <v>133</v>
      </c>
      <c r="B282" s="29">
        <v>17</v>
      </c>
      <c r="C282" s="29" t="s">
        <v>341</v>
      </c>
      <c r="D282" s="29">
        <v>3</v>
      </c>
      <c r="E282" s="29" t="s">
        <v>99</v>
      </c>
      <c r="F282" s="29" t="s">
        <v>342</v>
      </c>
      <c r="G282" s="29" t="s">
        <v>91</v>
      </c>
      <c r="H282" s="29" t="s">
        <v>100</v>
      </c>
      <c r="I282" s="29" t="s">
        <v>89</v>
      </c>
      <c r="J282" s="29" t="s">
        <v>340</v>
      </c>
      <c r="K282" s="29" t="str">
        <f>VLOOKUP(LEFT(H282, 7), 'קטלוג תרחישים'!$A:$L, 12, FALSE)</f>
        <v>ב׳</v>
      </c>
      <c r="L282" s="29" t="str">
        <f>IF(J282="כן", K282, VLOOKUP(LEFT(H282, 7), 'קטלוג תרחישים'!$A:$M, 13, FALSE))</f>
        <v>ב׳</v>
      </c>
    </row>
    <row r="283" spans="1:12">
      <c r="A283" s="29" t="s">
        <v>133</v>
      </c>
      <c r="B283" s="29">
        <v>18</v>
      </c>
      <c r="C283" s="29" t="s">
        <v>341</v>
      </c>
      <c r="D283" s="29">
        <v>3</v>
      </c>
      <c r="E283" s="29" t="s">
        <v>99</v>
      </c>
      <c r="F283" s="29" t="s">
        <v>342</v>
      </c>
      <c r="G283" s="29" t="s">
        <v>91</v>
      </c>
      <c r="H283" s="29" t="s">
        <v>101</v>
      </c>
      <c r="I283" s="29" t="s">
        <v>94</v>
      </c>
      <c r="J283" s="29" t="s">
        <v>340</v>
      </c>
      <c r="K283" s="29" t="str">
        <f>VLOOKUP(LEFT(H283, 7), 'קטלוג תרחישים'!$A:$L, 12, FALSE)</f>
        <v>א׳</v>
      </c>
      <c r="L283" s="29" t="str">
        <f>IF(J283="כן", K283, VLOOKUP(LEFT(H283, 7), 'קטלוג תרחישים'!$A:$M, 13, FALSE))</f>
        <v>א׳</v>
      </c>
    </row>
    <row r="284" spans="1:12">
      <c r="A284" s="29" t="s">
        <v>133</v>
      </c>
      <c r="B284" s="29">
        <v>19</v>
      </c>
      <c r="C284" s="29" t="s">
        <v>341</v>
      </c>
      <c r="D284" s="29">
        <v>3</v>
      </c>
      <c r="E284" s="29" t="s">
        <v>99</v>
      </c>
      <c r="F284" s="29" t="s">
        <v>342</v>
      </c>
      <c r="G284" s="29" t="s">
        <v>91</v>
      </c>
      <c r="H284" s="29" t="s">
        <v>104</v>
      </c>
      <c r="I284" s="29" t="s">
        <v>89</v>
      </c>
      <c r="J284" s="29" t="s">
        <v>343</v>
      </c>
      <c r="K284" s="29" t="str">
        <f>VLOOKUP(LEFT(H284, 7), 'קטלוג תרחישים'!$A:$L, 12, FALSE)</f>
        <v>א׳</v>
      </c>
      <c r="L284" s="29" t="str">
        <f>IF(J284="כן", K284, VLOOKUP(LEFT(H284, 7), 'קטלוג תרחישים'!$A:$M, 13, FALSE))</f>
        <v>ג׳</v>
      </c>
    </row>
    <row r="285" spans="1:12">
      <c r="A285" s="29" t="s">
        <v>133</v>
      </c>
      <c r="B285" s="29">
        <v>20</v>
      </c>
      <c r="C285" s="29" t="s">
        <v>341</v>
      </c>
      <c r="D285" s="29">
        <v>3</v>
      </c>
      <c r="E285" s="29" t="s">
        <v>99</v>
      </c>
      <c r="F285" s="29" t="s">
        <v>342</v>
      </c>
      <c r="G285" s="29" t="s">
        <v>91</v>
      </c>
      <c r="H285" s="29" t="s">
        <v>103</v>
      </c>
      <c r="I285" s="29" t="s">
        <v>94</v>
      </c>
      <c r="J285" s="29" t="s">
        <v>340</v>
      </c>
      <c r="K285" s="29" t="str">
        <f>VLOOKUP(LEFT(H285, 7), 'קטלוג תרחישים'!$A:$L, 12, FALSE)</f>
        <v>ג׳</v>
      </c>
      <c r="L285" s="29" t="str">
        <f>IF(J285="כן", K285, VLOOKUP(LEFT(H285, 7), 'קטלוג תרחישים'!$A:$M, 13, FALSE))</f>
        <v>ג׳</v>
      </c>
    </row>
    <row r="286" spans="1:12">
      <c r="A286" s="29" t="s">
        <v>133</v>
      </c>
      <c r="B286" s="29">
        <v>21</v>
      </c>
      <c r="C286" s="29" t="s">
        <v>341</v>
      </c>
      <c r="D286" s="29">
        <v>3</v>
      </c>
      <c r="E286" s="29" t="s">
        <v>99</v>
      </c>
      <c r="F286" s="29" t="s">
        <v>342</v>
      </c>
      <c r="G286" s="29" t="s">
        <v>91</v>
      </c>
      <c r="H286" s="29" t="s">
        <v>102</v>
      </c>
      <c r="I286" s="29" t="s">
        <v>89</v>
      </c>
      <c r="J286" s="29" t="s">
        <v>340</v>
      </c>
      <c r="K286" s="29" t="str">
        <f>VLOOKUP(LEFT(H286, 7), 'קטלוג תרחישים'!$A:$L, 12, FALSE)</f>
        <v>ב׳</v>
      </c>
      <c r="L286" s="29" t="str">
        <f>IF(J286="כן", K286, VLOOKUP(LEFT(H286, 7), 'קטלוג תרחישים'!$A:$M, 13, FALSE))</f>
        <v>ב׳</v>
      </c>
    </row>
    <row r="287" spans="1:12">
      <c r="A287" s="29" t="s">
        <v>133</v>
      </c>
      <c r="B287" s="29">
        <v>22</v>
      </c>
      <c r="C287" s="29" t="s">
        <v>341</v>
      </c>
      <c r="D287" s="29">
        <v>1</v>
      </c>
      <c r="E287" s="29" t="s">
        <v>92</v>
      </c>
      <c r="F287" s="29" t="s">
        <v>344</v>
      </c>
      <c r="G287" s="29" t="s">
        <v>111</v>
      </c>
      <c r="H287" s="29" t="s">
        <v>120</v>
      </c>
      <c r="I287" s="29" t="s">
        <v>89</v>
      </c>
      <c r="J287" s="29" t="s">
        <v>343</v>
      </c>
      <c r="K287" s="29" t="str">
        <f>VLOOKUP(LEFT(H287, 7), 'קטלוג תרחישים'!$A:$L, 12, FALSE)</f>
        <v>ב׳</v>
      </c>
      <c r="L287" s="29" t="str">
        <f>IF(J287="כן", K287, VLOOKUP(LEFT(H287, 7), 'קטלוג תרחישים'!$A:$M, 13, FALSE))</f>
        <v>א׳</v>
      </c>
    </row>
    <row r="288" spans="1:12">
      <c r="A288" s="29" t="s">
        <v>133</v>
      </c>
      <c r="B288" s="29">
        <v>23</v>
      </c>
      <c r="C288" s="29" t="s">
        <v>341</v>
      </c>
      <c r="D288" s="29">
        <v>1</v>
      </c>
      <c r="E288" s="29" t="s">
        <v>92</v>
      </c>
      <c r="F288" s="29" t="s">
        <v>344</v>
      </c>
      <c r="G288" s="29" t="s">
        <v>111</v>
      </c>
      <c r="H288" s="29" t="s">
        <v>123</v>
      </c>
      <c r="I288" s="29" t="s">
        <v>94</v>
      </c>
      <c r="J288" s="29" t="s">
        <v>340</v>
      </c>
      <c r="K288" s="29" t="str">
        <f>VLOOKUP(LEFT(H288, 7), 'קטלוג תרחישים'!$A:$L, 12, FALSE)</f>
        <v>א׳</v>
      </c>
      <c r="L288" s="29" t="str">
        <f>IF(J288="כן", K288, VLOOKUP(LEFT(H288, 7), 'קטלוג תרחישים'!$A:$M, 13, FALSE))</f>
        <v>א׳</v>
      </c>
    </row>
    <row r="289" spans="1:12">
      <c r="A289" s="29" t="s">
        <v>133</v>
      </c>
      <c r="B289" s="29">
        <v>24</v>
      </c>
      <c r="C289" s="29" t="s">
        <v>341</v>
      </c>
      <c r="D289" s="29">
        <v>1</v>
      </c>
      <c r="E289" s="29" t="s">
        <v>92</v>
      </c>
      <c r="F289" s="29" t="s">
        <v>344</v>
      </c>
      <c r="G289" s="29" t="s">
        <v>111</v>
      </c>
      <c r="H289" s="29" t="s">
        <v>122</v>
      </c>
      <c r="I289" s="29" t="s">
        <v>89</v>
      </c>
      <c r="J289" s="29" t="s">
        <v>340</v>
      </c>
      <c r="K289" s="29" t="str">
        <f>VLOOKUP(LEFT(H289, 7), 'קטלוג תרחישים'!$A:$L, 12, FALSE)</f>
        <v>ג׳</v>
      </c>
      <c r="L289" s="29" t="str">
        <f>IF(J289="כן", K289, VLOOKUP(LEFT(H289, 7), 'קטלוג תרחישים'!$A:$M, 13, FALSE))</f>
        <v>ג׳</v>
      </c>
    </row>
    <row r="290" spans="1:12">
      <c r="A290" s="29" t="s">
        <v>133</v>
      </c>
      <c r="B290" s="29">
        <v>25</v>
      </c>
      <c r="C290" s="29" t="s">
        <v>341</v>
      </c>
      <c r="D290" s="29">
        <v>1</v>
      </c>
      <c r="E290" s="29" t="s">
        <v>92</v>
      </c>
      <c r="F290" s="29" t="s">
        <v>344</v>
      </c>
      <c r="G290" s="29" t="s">
        <v>111</v>
      </c>
      <c r="H290" s="29" t="s">
        <v>121</v>
      </c>
      <c r="I290" s="29" t="s">
        <v>94</v>
      </c>
      <c r="J290" s="29" t="s">
        <v>343</v>
      </c>
      <c r="K290" s="29" t="str">
        <f>VLOOKUP(LEFT(H290, 7), 'קטלוג תרחישים'!$A:$L, 12, FALSE)</f>
        <v>ב׳</v>
      </c>
      <c r="L290" s="29" t="str">
        <f>IF(J290="כן", K290, VLOOKUP(LEFT(H290, 7), 'קטלוג תרחישים'!$A:$M, 13, FALSE))</f>
        <v>א׳</v>
      </c>
    </row>
    <row r="291" spans="1:12">
      <c r="A291" s="29" t="s">
        <v>133</v>
      </c>
      <c r="B291" s="29">
        <v>26</v>
      </c>
      <c r="C291" s="29" t="s">
        <v>341</v>
      </c>
      <c r="D291" s="29">
        <v>2</v>
      </c>
      <c r="E291" s="29" t="s">
        <v>99</v>
      </c>
      <c r="F291" s="29" t="s">
        <v>344</v>
      </c>
      <c r="G291" s="29" t="s">
        <v>111</v>
      </c>
      <c r="H291" s="29" t="s">
        <v>112</v>
      </c>
      <c r="I291" s="29" t="s">
        <v>89</v>
      </c>
      <c r="J291" s="29" t="s">
        <v>340</v>
      </c>
      <c r="K291" s="29" t="str">
        <f>VLOOKUP(LEFT(H291, 7), 'קטלוג תרחישים'!$A:$L, 12, FALSE)</f>
        <v>ג׳</v>
      </c>
      <c r="L291" s="29" t="str">
        <f>IF(J291="כן", K291, VLOOKUP(LEFT(H291, 7), 'קטלוג תרחישים'!$A:$M, 13, FALSE))</f>
        <v>ג׳</v>
      </c>
    </row>
    <row r="292" spans="1:12">
      <c r="A292" s="29" t="s">
        <v>133</v>
      </c>
      <c r="B292" s="29">
        <v>27</v>
      </c>
      <c r="C292" s="29" t="s">
        <v>341</v>
      </c>
      <c r="D292" s="29">
        <v>2</v>
      </c>
      <c r="E292" s="29" t="s">
        <v>99</v>
      </c>
      <c r="F292" s="29" t="s">
        <v>344</v>
      </c>
      <c r="G292" s="29" t="s">
        <v>111</v>
      </c>
      <c r="H292" s="29" t="s">
        <v>115</v>
      </c>
      <c r="I292" s="29" t="s">
        <v>94</v>
      </c>
      <c r="J292" s="29" t="s">
        <v>340</v>
      </c>
      <c r="K292" s="29" t="str">
        <f>VLOOKUP(LEFT(H292, 7), 'קטלוג תרחישים'!$A:$L, 12, FALSE)</f>
        <v>ב׳</v>
      </c>
      <c r="L292" s="29" t="str">
        <f>IF(J292="כן", K292, VLOOKUP(LEFT(H292, 7), 'קטלוג תרחישים'!$A:$M, 13, FALSE))</f>
        <v>ב׳</v>
      </c>
    </row>
    <row r="293" spans="1:12">
      <c r="A293" s="29" t="s">
        <v>133</v>
      </c>
      <c r="B293" s="29">
        <v>28</v>
      </c>
      <c r="C293" s="29" t="s">
        <v>341</v>
      </c>
      <c r="D293" s="29">
        <v>2</v>
      </c>
      <c r="E293" s="29" t="s">
        <v>99</v>
      </c>
      <c r="F293" s="29" t="s">
        <v>344</v>
      </c>
      <c r="G293" s="29" t="s">
        <v>111</v>
      </c>
      <c r="H293" s="29" t="s">
        <v>114</v>
      </c>
      <c r="I293" s="29" t="s">
        <v>89</v>
      </c>
      <c r="J293" s="29" t="s">
        <v>343</v>
      </c>
      <c r="K293" s="29" t="str">
        <f>VLOOKUP(LEFT(H293, 7), 'קטלוג תרחישים'!$A:$L, 12, FALSE)</f>
        <v>א׳</v>
      </c>
      <c r="L293" s="29" t="str">
        <f>IF(J293="כן", K293, VLOOKUP(LEFT(H293, 7), 'קטלוג תרחישים'!$A:$M, 13, FALSE))</f>
        <v>ג׳</v>
      </c>
    </row>
    <row r="294" spans="1:12">
      <c r="A294" s="29" t="s">
        <v>133</v>
      </c>
      <c r="B294" s="29">
        <v>29</v>
      </c>
      <c r="C294" s="29" t="s">
        <v>341</v>
      </c>
      <c r="D294" s="29">
        <v>2</v>
      </c>
      <c r="E294" s="29" t="s">
        <v>99</v>
      </c>
      <c r="F294" s="29" t="s">
        <v>344</v>
      </c>
      <c r="G294" s="29" t="s">
        <v>111</v>
      </c>
      <c r="H294" s="29" t="s">
        <v>113</v>
      </c>
      <c r="I294" s="29" t="s">
        <v>94</v>
      </c>
      <c r="J294" s="29" t="s">
        <v>343</v>
      </c>
      <c r="K294" s="29" t="str">
        <f>VLOOKUP(LEFT(H294, 7), 'קטלוג תרחישים'!$A:$L, 12, FALSE)</f>
        <v>ג׳</v>
      </c>
      <c r="L294" s="29" t="str">
        <f>IF(J294="כן", K294, VLOOKUP(LEFT(H294, 7), 'קטלוג תרחישים'!$A:$M, 13, FALSE))</f>
        <v>א׳</v>
      </c>
    </row>
    <row r="295" spans="1:12">
      <c r="A295" s="29" t="s">
        <v>133</v>
      </c>
      <c r="B295" s="29">
        <v>30</v>
      </c>
      <c r="C295" s="29" t="s">
        <v>341</v>
      </c>
      <c r="D295" s="29">
        <v>3</v>
      </c>
      <c r="E295" s="29" t="s">
        <v>105</v>
      </c>
      <c r="F295" s="29" t="s">
        <v>344</v>
      </c>
      <c r="G295" s="29" t="s">
        <v>111</v>
      </c>
      <c r="H295" s="29" t="s">
        <v>118</v>
      </c>
      <c r="I295" s="29" t="s">
        <v>89</v>
      </c>
      <c r="J295" s="29" t="s">
        <v>340</v>
      </c>
      <c r="K295" s="29" t="str">
        <f>VLOOKUP(LEFT(H295, 7), 'קטלוג תרחישים'!$A:$L, 12, FALSE)</f>
        <v>ב׳</v>
      </c>
      <c r="L295" s="29" t="str">
        <f>IF(J295="כן", K295, VLOOKUP(LEFT(H295, 7), 'קטלוג תרחישים'!$A:$M, 13, FALSE))</f>
        <v>ב׳</v>
      </c>
    </row>
    <row r="296" spans="1:12">
      <c r="A296" s="29" t="s">
        <v>133</v>
      </c>
      <c r="B296" s="29">
        <v>31</v>
      </c>
      <c r="C296" s="29" t="s">
        <v>341</v>
      </c>
      <c r="D296" s="29">
        <v>3</v>
      </c>
      <c r="E296" s="29" t="s">
        <v>105</v>
      </c>
      <c r="F296" s="29" t="s">
        <v>344</v>
      </c>
      <c r="G296" s="29" t="s">
        <v>111</v>
      </c>
      <c r="H296" s="29" t="s">
        <v>117</v>
      </c>
      <c r="I296" s="29" t="s">
        <v>94</v>
      </c>
      <c r="J296" s="29" t="s">
        <v>340</v>
      </c>
      <c r="K296" s="29" t="str">
        <f>VLOOKUP(LEFT(H296, 7), 'קטלוג תרחישים'!$A:$L, 12, FALSE)</f>
        <v>א׳</v>
      </c>
      <c r="L296" s="29" t="str">
        <f>IF(J296="כן", K296, VLOOKUP(LEFT(H296, 7), 'קטלוג תרחישים'!$A:$M, 13, FALSE))</f>
        <v>א׳</v>
      </c>
    </row>
    <row r="297" spans="1:12">
      <c r="A297" s="29" t="s">
        <v>133</v>
      </c>
      <c r="B297" s="29">
        <v>32</v>
      </c>
      <c r="C297" s="29" t="s">
        <v>341</v>
      </c>
      <c r="D297" s="29">
        <v>3</v>
      </c>
      <c r="E297" s="29" t="s">
        <v>105</v>
      </c>
      <c r="F297" s="29" t="s">
        <v>344</v>
      </c>
      <c r="G297" s="29" t="s">
        <v>111</v>
      </c>
      <c r="H297" s="29" t="s">
        <v>116</v>
      </c>
      <c r="I297" s="29" t="s">
        <v>89</v>
      </c>
      <c r="J297" s="29" t="s">
        <v>343</v>
      </c>
      <c r="K297" s="29" t="str">
        <f>VLOOKUP(LEFT(H297, 7), 'קטלוג תרחישים'!$A:$L, 12, FALSE)</f>
        <v>ב׳</v>
      </c>
      <c r="L297" s="29" t="str">
        <f>IF(J297="כן", K297, VLOOKUP(LEFT(H297, 7), 'קטלוג תרחישים'!$A:$M, 13, FALSE))</f>
        <v>א׳</v>
      </c>
    </row>
    <row r="298" spans="1:12">
      <c r="A298" s="29" t="s">
        <v>133</v>
      </c>
      <c r="B298" s="29">
        <v>33</v>
      </c>
      <c r="C298" s="29" t="s">
        <v>341</v>
      </c>
      <c r="D298" s="29">
        <v>3</v>
      </c>
      <c r="E298" s="29" t="s">
        <v>105</v>
      </c>
      <c r="F298" s="29" t="s">
        <v>344</v>
      </c>
      <c r="G298" s="29" t="s">
        <v>111</v>
      </c>
      <c r="H298" s="29" t="s">
        <v>119</v>
      </c>
      <c r="I298" s="29" t="s">
        <v>94</v>
      </c>
      <c r="J298" s="29" t="s">
        <v>343</v>
      </c>
      <c r="K298" s="29" t="str">
        <f>VLOOKUP(LEFT(H298, 7), 'קטלוג תרחישים'!$A:$L, 12, FALSE)</f>
        <v>א׳</v>
      </c>
      <c r="L298" s="29" t="str">
        <f>IF(J298="כן", K298, VLOOKUP(LEFT(H298, 7), 'קטלוג תרחישים'!$A:$M, 13, FALSE))</f>
        <v>ב׳</v>
      </c>
    </row>
    <row r="299" spans="1:12">
      <c r="A299" s="29" t="s">
        <v>134</v>
      </c>
      <c r="B299" s="29">
        <v>1</v>
      </c>
      <c r="C299" s="29" t="s">
        <v>339</v>
      </c>
      <c r="D299" s="29"/>
      <c r="E299" s="29" t="s">
        <v>92</v>
      </c>
      <c r="F299" s="29"/>
      <c r="G299" s="29"/>
      <c r="H299" s="30" t="s">
        <v>351</v>
      </c>
      <c r="I299" s="29" t="s">
        <v>89</v>
      </c>
      <c r="J299" s="29" t="s">
        <v>340</v>
      </c>
      <c r="K299" s="29" t="str">
        <f>VLOOKUP(LEFT(H299, 7), 'קטלוג תרחישים'!$A:$L, 12, FALSE)</f>
        <v>א׳</v>
      </c>
      <c r="L299" s="29" t="str">
        <f>IF(J299="כן", K299, VLOOKUP(LEFT(H299, 7), 'קטלוג תרחישים'!$A:$M, 13, FALSE))</f>
        <v>א׳</v>
      </c>
    </row>
    <row r="300" spans="1:12">
      <c r="A300" s="29" t="s">
        <v>134</v>
      </c>
      <c r="B300" s="29">
        <v>2</v>
      </c>
      <c r="C300" s="29" t="s">
        <v>339</v>
      </c>
      <c r="D300" s="29"/>
      <c r="E300" s="29" t="s">
        <v>92</v>
      </c>
      <c r="F300" s="29"/>
      <c r="G300" s="29"/>
      <c r="H300" s="30" t="s">
        <v>88</v>
      </c>
      <c r="I300" s="29" t="s">
        <v>89</v>
      </c>
      <c r="J300" s="29" t="s">
        <v>340</v>
      </c>
      <c r="K300" s="29" t="str">
        <f>VLOOKUP(LEFT(H300, 7), 'קטלוג תרחישים'!$A:$L, 12, FALSE)</f>
        <v>א׳</v>
      </c>
      <c r="L300" s="29" t="str">
        <f>IF(J300="כן", K300, VLOOKUP(LEFT(H300, 7), 'קטלוג תרחישים'!$A:$M, 13, FALSE))</f>
        <v>א׳</v>
      </c>
    </row>
    <row r="301" spans="1:12">
      <c r="A301" s="29" t="s">
        <v>134</v>
      </c>
      <c r="B301" s="29">
        <v>3</v>
      </c>
      <c r="C301" s="29" t="s">
        <v>339</v>
      </c>
      <c r="D301" s="29"/>
      <c r="E301" s="29" t="s">
        <v>99</v>
      </c>
      <c r="F301" s="29"/>
      <c r="G301" s="29"/>
      <c r="H301" s="30" t="s">
        <v>352</v>
      </c>
      <c r="I301" s="29" t="s">
        <v>89</v>
      </c>
      <c r="J301" s="29" t="s">
        <v>340</v>
      </c>
      <c r="K301" s="29" t="str">
        <f>VLOOKUP(LEFT(H301, 7), 'קטלוג תרחישים'!$A:$L, 12, FALSE)</f>
        <v>ב׳</v>
      </c>
      <c r="L301" s="29" t="str">
        <f>IF(J301="כן", K301, VLOOKUP(LEFT(H301, 7), 'קטלוג תרחישים'!$A:$M, 13, FALSE))</f>
        <v>ב׳</v>
      </c>
    </row>
    <row r="302" spans="1:12">
      <c r="A302" s="29" t="s">
        <v>134</v>
      </c>
      <c r="B302" s="29">
        <v>4</v>
      </c>
      <c r="C302" s="29" t="s">
        <v>339</v>
      </c>
      <c r="D302" s="29"/>
      <c r="E302" s="29" t="s">
        <v>99</v>
      </c>
      <c r="F302" s="29"/>
      <c r="G302" s="29"/>
      <c r="H302" s="30" t="s">
        <v>353</v>
      </c>
      <c r="I302" s="29" t="s">
        <v>89</v>
      </c>
      <c r="J302" s="29" t="s">
        <v>340</v>
      </c>
      <c r="K302" s="29" t="str">
        <f>VLOOKUP(LEFT(H302, 7), 'קטלוג תרחישים'!$A:$L, 12, FALSE)</f>
        <v>ב׳</v>
      </c>
      <c r="L302" s="29" t="str">
        <f>IF(J302="כן", K302, VLOOKUP(LEFT(H302, 7), 'קטלוג תרחישים'!$A:$M, 13, FALSE))</f>
        <v>ב׳</v>
      </c>
    </row>
    <row r="303" spans="1:12">
      <c r="A303" s="29" t="s">
        <v>134</v>
      </c>
      <c r="B303" s="29">
        <v>5</v>
      </c>
      <c r="C303" s="29" t="s">
        <v>339</v>
      </c>
      <c r="D303" s="29"/>
      <c r="E303" s="29" t="s">
        <v>105</v>
      </c>
      <c r="F303" s="29"/>
      <c r="G303" s="29"/>
      <c r="H303" s="30" t="s">
        <v>354</v>
      </c>
      <c r="I303" s="29" t="s">
        <v>89</v>
      </c>
      <c r="J303" s="29" t="s">
        <v>340</v>
      </c>
      <c r="K303" s="29" t="str">
        <f>VLOOKUP(LEFT(H303, 7), 'קטלוג תרחישים'!$A:$L, 12, FALSE)</f>
        <v>ג׳</v>
      </c>
      <c r="L303" s="29" t="str">
        <f>IF(J303="כן", K303, VLOOKUP(LEFT(H303, 7), 'קטלוג תרחישים'!$A:$M, 13, FALSE))</f>
        <v>ג׳</v>
      </c>
    </row>
    <row r="304" spans="1:12">
      <c r="A304" s="29" t="s">
        <v>134</v>
      </c>
      <c r="B304" s="29">
        <v>6</v>
      </c>
      <c r="C304" s="29" t="s">
        <v>339</v>
      </c>
      <c r="D304" s="29"/>
      <c r="E304" s="29" t="s">
        <v>105</v>
      </c>
      <c r="F304" s="29"/>
      <c r="G304" s="29"/>
      <c r="H304" s="30" t="s">
        <v>90</v>
      </c>
      <c r="I304" s="29" t="s">
        <v>89</v>
      </c>
      <c r="J304" s="29" t="s">
        <v>340</v>
      </c>
      <c r="K304" s="29" t="str">
        <f>VLOOKUP(LEFT(H304, 7), 'קטלוג תרחישים'!$A:$L, 12, FALSE)</f>
        <v>ג׳</v>
      </c>
      <c r="L304" s="29" t="str">
        <f>IF(J304="כן", K304, VLOOKUP(LEFT(H304, 7), 'קטלוג תרחישים'!$A:$M, 13, FALSE))</f>
        <v>ג׳</v>
      </c>
    </row>
    <row r="305" spans="1:12">
      <c r="A305" s="29" t="s">
        <v>134</v>
      </c>
      <c r="B305" s="29">
        <v>7</v>
      </c>
      <c r="C305" s="29" t="s">
        <v>341</v>
      </c>
      <c r="D305" s="29">
        <v>1</v>
      </c>
      <c r="E305" s="29" t="s">
        <v>99</v>
      </c>
      <c r="F305" s="29" t="s">
        <v>342</v>
      </c>
      <c r="G305" s="29" t="s">
        <v>111</v>
      </c>
      <c r="H305" s="29" t="s">
        <v>112</v>
      </c>
      <c r="I305" s="29" t="s">
        <v>89</v>
      </c>
      <c r="J305" s="29" t="s">
        <v>340</v>
      </c>
      <c r="K305" s="29" t="str">
        <f>VLOOKUP(LEFT(H305, 7), 'קטלוג תרחישים'!$A:$L, 12, FALSE)</f>
        <v>ג׳</v>
      </c>
      <c r="L305" s="29" t="str">
        <f>IF(J305="כן", K305, VLOOKUP(LEFT(H305, 7), 'קטלוג תרחישים'!$A:$M, 13, FALSE))</f>
        <v>ג׳</v>
      </c>
    </row>
    <row r="306" spans="1:12">
      <c r="A306" s="29" t="s">
        <v>134</v>
      </c>
      <c r="B306" s="29">
        <v>8</v>
      </c>
      <c r="C306" s="29" t="s">
        <v>341</v>
      </c>
      <c r="D306" s="29">
        <v>1</v>
      </c>
      <c r="E306" s="29" t="s">
        <v>99</v>
      </c>
      <c r="F306" s="29" t="s">
        <v>342</v>
      </c>
      <c r="G306" s="29" t="s">
        <v>111</v>
      </c>
      <c r="H306" s="29" t="s">
        <v>115</v>
      </c>
      <c r="I306" s="29" t="s">
        <v>94</v>
      </c>
      <c r="J306" s="29" t="s">
        <v>343</v>
      </c>
      <c r="K306" s="29" t="str">
        <f>VLOOKUP(LEFT(H306, 7), 'קטלוג תרחישים'!$A:$L, 12, FALSE)</f>
        <v>ב׳</v>
      </c>
      <c r="L306" s="29" t="str">
        <f>IF(J306="כן", K306, VLOOKUP(LEFT(H306, 7), 'קטלוג תרחישים'!$A:$M, 13, FALSE))</f>
        <v>ג׳</v>
      </c>
    </row>
    <row r="307" spans="1:12">
      <c r="A307" s="29" t="s">
        <v>134</v>
      </c>
      <c r="B307" s="29">
        <v>9</v>
      </c>
      <c r="C307" s="29" t="s">
        <v>341</v>
      </c>
      <c r="D307" s="29">
        <v>1</v>
      </c>
      <c r="E307" s="29" t="s">
        <v>99</v>
      </c>
      <c r="F307" s="29" t="s">
        <v>342</v>
      </c>
      <c r="G307" s="29" t="s">
        <v>111</v>
      </c>
      <c r="H307" s="29" t="s">
        <v>114</v>
      </c>
      <c r="I307" s="29" t="s">
        <v>89</v>
      </c>
      <c r="J307" s="29" t="s">
        <v>343</v>
      </c>
      <c r="K307" s="29" t="str">
        <f>VLOOKUP(LEFT(H307, 7), 'קטלוג תרחישים'!$A:$L, 12, FALSE)</f>
        <v>א׳</v>
      </c>
      <c r="L307" s="29" t="str">
        <f>IF(J307="כן", K307, VLOOKUP(LEFT(H307, 7), 'קטלוג תרחישים'!$A:$M, 13, FALSE))</f>
        <v>ג׳</v>
      </c>
    </row>
    <row r="308" spans="1:12">
      <c r="A308" s="29" t="s">
        <v>134</v>
      </c>
      <c r="B308" s="29">
        <v>10</v>
      </c>
      <c r="C308" s="29" t="s">
        <v>341</v>
      </c>
      <c r="D308" s="29">
        <v>1</v>
      </c>
      <c r="E308" s="29" t="s">
        <v>99</v>
      </c>
      <c r="F308" s="29" t="s">
        <v>342</v>
      </c>
      <c r="G308" s="29" t="s">
        <v>111</v>
      </c>
      <c r="H308" s="29" t="s">
        <v>113</v>
      </c>
      <c r="I308" s="29" t="s">
        <v>94</v>
      </c>
      <c r="J308" s="29" t="s">
        <v>340</v>
      </c>
      <c r="K308" s="29" t="str">
        <f>VLOOKUP(LEFT(H308, 7), 'קטלוג תרחישים'!$A:$L, 12, FALSE)</f>
        <v>ג׳</v>
      </c>
      <c r="L308" s="29" t="str">
        <f>IF(J308="כן", K308, VLOOKUP(LEFT(H308, 7), 'קטלוג תרחישים'!$A:$M, 13, FALSE))</f>
        <v>ג׳</v>
      </c>
    </row>
    <row r="309" spans="1:12">
      <c r="A309" s="29" t="s">
        <v>134</v>
      </c>
      <c r="B309" s="29">
        <v>11</v>
      </c>
      <c r="C309" s="29" t="s">
        <v>341</v>
      </c>
      <c r="D309" s="29">
        <v>2</v>
      </c>
      <c r="E309" s="29" t="s">
        <v>105</v>
      </c>
      <c r="F309" s="29" t="s">
        <v>342</v>
      </c>
      <c r="G309" s="29" t="s">
        <v>111</v>
      </c>
      <c r="H309" s="29" t="s">
        <v>118</v>
      </c>
      <c r="I309" s="29" t="s">
        <v>89</v>
      </c>
      <c r="J309" s="29" t="s">
        <v>343</v>
      </c>
      <c r="K309" s="29" t="str">
        <f>VLOOKUP(LEFT(H309, 7), 'קטלוג תרחישים'!$A:$L, 12, FALSE)</f>
        <v>ב׳</v>
      </c>
      <c r="L309" s="29" t="str">
        <f>IF(J309="כן", K309, VLOOKUP(LEFT(H309, 7), 'קטלוג תרחישים'!$A:$M, 13, FALSE))</f>
        <v>א׳</v>
      </c>
    </row>
    <row r="310" spans="1:12">
      <c r="A310" s="29" t="s">
        <v>134</v>
      </c>
      <c r="B310" s="29">
        <v>12</v>
      </c>
      <c r="C310" s="29" t="s">
        <v>341</v>
      </c>
      <c r="D310" s="29">
        <v>2</v>
      </c>
      <c r="E310" s="29" t="s">
        <v>105</v>
      </c>
      <c r="F310" s="29" t="s">
        <v>342</v>
      </c>
      <c r="G310" s="29" t="s">
        <v>111</v>
      </c>
      <c r="H310" s="29" t="s">
        <v>117</v>
      </c>
      <c r="I310" s="29" t="s">
        <v>94</v>
      </c>
      <c r="J310" s="29" t="s">
        <v>340</v>
      </c>
      <c r="K310" s="29" t="str">
        <f>VLOOKUP(LEFT(H310, 7), 'קטלוג תרחישים'!$A:$L, 12, FALSE)</f>
        <v>א׳</v>
      </c>
      <c r="L310" s="29" t="str">
        <f>IF(J310="כן", K310, VLOOKUP(LEFT(H310, 7), 'קטלוג תרחישים'!$A:$M, 13, FALSE))</f>
        <v>א׳</v>
      </c>
    </row>
    <row r="311" spans="1:12">
      <c r="A311" s="29" t="s">
        <v>134</v>
      </c>
      <c r="B311" s="29">
        <v>13</v>
      </c>
      <c r="C311" s="29" t="s">
        <v>341</v>
      </c>
      <c r="D311" s="29">
        <v>2</v>
      </c>
      <c r="E311" s="29" t="s">
        <v>105</v>
      </c>
      <c r="F311" s="29" t="s">
        <v>342</v>
      </c>
      <c r="G311" s="29" t="s">
        <v>111</v>
      </c>
      <c r="H311" s="29" t="s">
        <v>116</v>
      </c>
      <c r="I311" s="29" t="s">
        <v>89</v>
      </c>
      <c r="J311" s="29" t="s">
        <v>340</v>
      </c>
      <c r="K311" s="29" t="str">
        <f>VLOOKUP(LEFT(H311, 7), 'קטלוג תרחישים'!$A:$L, 12, FALSE)</f>
        <v>ב׳</v>
      </c>
      <c r="L311" s="29" t="str">
        <f>IF(J311="כן", K311, VLOOKUP(LEFT(H311, 7), 'קטלוג תרחישים'!$A:$M, 13, FALSE))</f>
        <v>ב׳</v>
      </c>
    </row>
    <row r="312" spans="1:12">
      <c r="A312" s="29" t="s">
        <v>134</v>
      </c>
      <c r="B312" s="29">
        <v>14</v>
      </c>
      <c r="C312" s="29" t="s">
        <v>341</v>
      </c>
      <c r="D312" s="29">
        <v>2</v>
      </c>
      <c r="E312" s="29" t="s">
        <v>105</v>
      </c>
      <c r="F312" s="29" t="s">
        <v>342</v>
      </c>
      <c r="G312" s="29" t="s">
        <v>111</v>
      </c>
      <c r="H312" s="29" t="s">
        <v>119</v>
      </c>
      <c r="I312" s="29" t="s">
        <v>94</v>
      </c>
      <c r="J312" s="29" t="s">
        <v>343</v>
      </c>
      <c r="K312" s="29" t="str">
        <f>VLOOKUP(LEFT(H312, 7), 'קטלוג תרחישים'!$A:$L, 12, FALSE)</f>
        <v>א׳</v>
      </c>
      <c r="L312" s="29" t="str">
        <f>IF(J312="כן", K312, VLOOKUP(LEFT(H312, 7), 'קטלוג תרחישים'!$A:$M, 13, FALSE))</f>
        <v>ב׳</v>
      </c>
    </row>
    <row r="313" spans="1:12">
      <c r="A313" s="29" t="s">
        <v>134</v>
      </c>
      <c r="B313" s="29">
        <v>15</v>
      </c>
      <c r="C313" s="29" t="s">
        <v>341</v>
      </c>
      <c r="D313" s="29">
        <v>3</v>
      </c>
      <c r="E313" s="29" t="s">
        <v>92</v>
      </c>
      <c r="F313" s="29" t="s">
        <v>342</v>
      </c>
      <c r="G313" s="29" t="s">
        <v>111</v>
      </c>
      <c r="H313" s="29" t="s">
        <v>122</v>
      </c>
      <c r="I313" s="29" t="s">
        <v>89</v>
      </c>
      <c r="J313" s="29" t="s">
        <v>343</v>
      </c>
      <c r="K313" s="29" t="str">
        <f>VLOOKUP(LEFT(H313, 7), 'קטלוג תרחישים'!$A:$L, 12, FALSE)</f>
        <v>ג׳</v>
      </c>
      <c r="L313" s="29" t="str">
        <f>IF(J313="כן", K313, VLOOKUP(LEFT(H313, 7), 'קטלוג תרחישים'!$A:$M, 13, FALSE))</f>
        <v>ב׳</v>
      </c>
    </row>
    <row r="314" spans="1:12">
      <c r="A314" s="29" t="s">
        <v>134</v>
      </c>
      <c r="B314" s="29">
        <v>16</v>
      </c>
      <c r="C314" s="29" t="s">
        <v>341</v>
      </c>
      <c r="D314" s="29">
        <v>3</v>
      </c>
      <c r="E314" s="29" t="s">
        <v>92</v>
      </c>
      <c r="F314" s="29" t="s">
        <v>342</v>
      </c>
      <c r="G314" s="29" t="s">
        <v>111</v>
      </c>
      <c r="H314" s="29" t="s">
        <v>123</v>
      </c>
      <c r="I314" s="29" t="s">
        <v>94</v>
      </c>
      <c r="J314" s="29" t="s">
        <v>340</v>
      </c>
      <c r="K314" s="29" t="str">
        <f>VLOOKUP(LEFT(H314, 7), 'קטלוג תרחישים'!$A:$L, 12, FALSE)</f>
        <v>א׳</v>
      </c>
      <c r="L314" s="29" t="str">
        <f>IF(J314="כן", K314, VLOOKUP(LEFT(H314, 7), 'קטלוג תרחישים'!$A:$M, 13, FALSE))</f>
        <v>א׳</v>
      </c>
    </row>
    <row r="315" spans="1:12">
      <c r="A315" s="29" t="s">
        <v>134</v>
      </c>
      <c r="B315" s="29">
        <v>17</v>
      </c>
      <c r="C315" s="29" t="s">
        <v>341</v>
      </c>
      <c r="D315" s="29">
        <v>3</v>
      </c>
      <c r="E315" s="29" t="s">
        <v>92</v>
      </c>
      <c r="F315" s="29" t="s">
        <v>342</v>
      </c>
      <c r="G315" s="29" t="s">
        <v>111</v>
      </c>
      <c r="H315" s="29" t="s">
        <v>120</v>
      </c>
      <c r="I315" s="29" t="s">
        <v>89</v>
      </c>
      <c r="J315" s="29" t="s">
        <v>340</v>
      </c>
      <c r="K315" s="29" t="str">
        <f>VLOOKUP(LEFT(H315, 7), 'קטלוג תרחישים'!$A:$L, 12, FALSE)</f>
        <v>ב׳</v>
      </c>
      <c r="L315" s="29" t="str">
        <f>IF(J315="כן", K315, VLOOKUP(LEFT(H315, 7), 'קטלוג תרחישים'!$A:$M, 13, FALSE))</f>
        <v>ב׳</v>
      </c>
    </row>
    <row r="316" spans="1:12">
      <c r="A316" s="29" t="s">
        <v>134</v>
      </c>
      <c r="B316" s="29">
        <v>18</v>
      </c>
      <c r="C316" s="29" t="s">
        <v>341</v>
      </c>
      <c r="D316" s="29">
        <v>3</v>
      </c>
      <c r="E316" s="29" t="s">
        <v>92</v>
      </c>
      <c r="F316" s="29" t="s">
        <v>342</v>
      </c>
      <c r="G316" s="29" t="s">
        <v>111</v>
      </c>
      <c r="H316" s="29" t="s">
        <v>121</v>
      </c>
      <c r="I316" s="29" t="s">
        <v>94</v>
      </c>
      <c r="J316" s="29" t="s">
        <v>343</v>
      </c>
      <c r="K316" s="29" t="str">
        <f>VLOOKUP(LEFT(H316, 7), 'קטלוג תרחישים'!$A:$L, 12, FALSE)</f>
        <v>ב׳</v>
      </c>
      <c r="L316" s="29" t="str">
        <f>IF(J316="כן", K316, VLOOKUP(LEFT(H316, 7), 'קטלוג תרחישים'!$A:$M, 13, FALSE))</f>
        <v>א׳</v>
      </c>
    </row>
    <row r="317" spans="1:12">
      <c r="A317" s="29" t="s">
        <v>134</v>
      </c>
      <c r="B317" s="29">
        <v>19</v>
      </c>
      <c r="C317" s="29" t="s">
        <v>341</v>
      </c>
      <c r="D317" s="29">
        <v>1</v>
      </c>
      <c r="E317" s="29" t="s">
        <v>92</v>
      </c>
      <c r="F317" s="29" t="s">
        <v>344</v>
      </c>
      <c r="G317" s="29" t="s">
        <v>91</v>
      </c>
      <c r="H317" s="29" t="s">
        <v>93</v>
      </c>
      <c r="I317" s="29" t="s">
        <v>94</v>
      </c>
      <c r="J317" s="29" t="s">
        <v>340</v>
      </c>
      <c r="K317" s="29" t="str">
        <f>VLOOKUP(LEFT(H317, 7), 'קטלוג תרחישים'!$A:$L, 12, FALSE)</f>
        <v>א׳</v>
      </c>
      <c r="L317" s="29" t="str">
        <f>IF(J317="כן", K317, VLOOKUP(LEFT(H317, 7), 'קטלוג תרחישים'!$A:$M, 13, FALSE))</f>
        <v>א׳</v>
      </c>
    </row>
    <row r="318" spans="1:12">
      <c r="A318" s="29" t="s">
        <v>134</v>
      </c>
      <c r="B318" s="29">
        <v>20</v>
      </c>
      <c r="C318" s="29" t="s">
        <v>341</v>
      </c>
      <c r="D318" s="29">
        <v>1</v>
      </c>
      <c r="E318" s="29" t="s">
        <v>92</v>
      </c>
      <c r="F318" s="29" t="s">
        <v>344</v>
      </c>
      <c r="G318" s="29" t="s">
        <v>91</v>
      </c>
      <c r="H318" s="29" t="s">
        <v>97</v>
      </c>
      <c r="I318" s="29" t="s">
        <v>89</v>
      </c>
      <c r="J318" s="29" t="s">
        <v>340</v>
      </c>
      <c r="K318" s="29" t="str">
        <f>VLOOKUP(LEFT(H318, 7), 'קטלוג תרחישים'!$A:$L, 12, FALSE)</f>
        <v>ג׳</v>
      </c>
      <c r="L318" s="29" t="str">
        <f>IF(J318="כן", K318, VLOOKUP(LEFT(H318, 7), 'קטלוג תרחישים'!$A:$M, 13, FALSE))</f>
        <v>ג׳</v>
      </c>
    </row>
    <row r="319" spans="1:12">
      <c r="A319" s="29" t="s">
        <v>134</v>
      </c>
      <c r="B319" s="29">
        <v>21</v>
      </c>
      <c r="C319" s="29" t="s">
        <v>341</v>
      </c>
      <c r="D319" s="29">
        <v>1</v>
      </c>
      <c r="E319" s="29" t="s">
        <v>92</v>
      </c>
      <c r="F319" s="29" t="s">
        <v>344</v>
      </c>
      <c r="G319" s="29" t="s">
        <v>91</v>
      </c>
      <c r="H319" s="29" t="s">
        <v>96</v>
      </c>
      <c r="I319" s="29" t="s">
        <v>94</v>
      </c>
      <c r="J319" s="29" t="s">
        <v>343</v>
      </c>
      <c r="K319" s="29" t="str">
        <f>VLOOKUP(LEFT(H319, 7), 'קטלוג תרחישים'!$A:$L, 12, FALSE)</f>
        <v>ב׳</v>
      </c>
      <c r="L319" s="29" t="str">
        <f>IF(J319="כן", K319, VLOOKUP(LEFT(H319, 7), 'קטלוג תרחישים'!$A:$M, 13, FALSE))</f>
        <v>ג׳</v>
      </c>
    </row>
    <row r="320" spans="1:12">
      <c r="A320" s="29" t="s">
        <v>134</v>
      </c>
      <c r="B320" s="29">
        <v>22</v>
      </c>
      <c r="C320" s="29" t="s">
        <v>341</v>
      </c>
      <c r="D320" s="29">
        <v>1</v>
      </c>
      <c r="E320" s="29" t="s">
        <v>92</v>
      </c>
      <c r="F320" s="29" t="s">
        <v>344</v>
      </c>
      <c r="G320" s="29" t="s">
        <v>91</v>
      </c>
      <c r="H320" s="29" t="s">
        <v>95</v>
      </c>
      <c r="I320" s="29" t="s">
        <v>89</v>
      </c>
      <c r="J320" s="29" t="s">
        <v>340</v>
      </c>
      <c r="K320" s="29" t="str">
        <f>VLOOKUP(LEFT(H320, 7), 'קטלוג תרחישים'!$A:$L, 12, FALSE)</f>
        <v>ג׳</v>
      </c>
      <c r="L320" s="29" t="str">
        <f>IF(J320="כן", K320, VLOOKUP(LEFT(H320, 7), 'קטלוג תרחישים'!$A:$M, 13, FALSE))</f>
        <v>ג׳</v>
      </c>
    </row>
    <row r="321" spans="1:12">
      <c r="A321" s="29" t="s">
        <v>134</v>
      </c>
      <c r="B321" s="29">
        <v>23</v>
      </c>
      <c r="C321" s="29" t="s">
        <v>341</v>
      </c>
      <c r="D321" s="29">
        <v>1</v>
      </c>
      <c r="E321" s="29" t="s">
        <v>92</v>
      </c>
      <c r="F321" s="29" t="s">
        <v>344</v>
      </c>
      <c r="G321" s="29" t="s">
        <v>91</v>
      </c>
      <c r="H321" s="29" t="s">
        <v>98</v>
      </c>
      <c r="I321" s="29" t="s">
        <v>94</v>
      </c>
      <c r="J321" s="29" t="s">
        <v>340</v>
      </c>
      <c r="K321" s="29" t="str">
        <f>VLOOKUP(LEFT(H321, 7), 'קטלוג תרחישים'!$A:$L, 12, FALSE)</f>
        <v>ג׳</v>
      </c>
      <c r="L321" s="29" t="str">
        <f>IF(J321="כן", K321, VLOOKUP(LEFT(H321, 7), 'קטלוג תרחישים'!$A:$M, 13, FALSE))</f>
        <v>ג׳</v>
      </c>
    </row>
    <row r="322" spans="1:12">
      <c r="A322" s="29" t="s">
        <v>134</v>
      </c>
      <c r="B322" s="29">
        <v>24</v>
      </c>
      <c r="C322" s="29" t="s">
        <v>341</v>
      </c>
      <c r="D322" s="29">
        <v>2</v>
      </c>
      <c r="E322" s="29" t="s">
        <v>99</v>
      </c>
      <c r="F322" s="29" t="s">
        <v>344</v>
      </c>
      <c r="G322" s="29" t="s">
        <v>91</v>
      </c>
      <c r="H322" s="29" t="s">
        <v>100</v>
      </c>
      <c r="I322" s="29" t="s">
        <v>89</v>
      </c>
      <c r="J322" s="29" t="s">
        <v>340</v>
      </c>
      <c r="K322" s="29" t="str">
        <f>VLOOKUP(LEFT(H322, 7), 'קטלוג תרחישים'!$A:$L, 12, FALSE)</f>
        <v>ב׳</v>
      </c>
      <c r="L322" s="29" t="str">
        <f>IF(J322="כן", K322, VLOOKUP(LEFT(H322, 7), 'קטלוג תרחישים'!$A:$M, 13, FALSE))</f>
        <v>ב׳</v>
      </c>
    </row>
    <row r="323" spans="1:12">
      <c r="A323" s="29" t="s">
        <v>134</v>
      </c>
      <c r="B323" s="29">
        <v>25</v>
      </c>
      <c r="C323" s="29" t="s">
        <v>341</v>
      </c>
      <c r="D323" s="29">
        <v>2</v>
      </c>
      <c r="E323" s="29" t="s">
        <v>99</v>
      </c>
      <c r="F323" s="29" t="s">
        <v>344</v>
      </c>
      <c r="G323" s="29" t="s">
        <v>91</v>
      </c>
      <c r="H323" s="29" t="s">
        <v>101</v>
      </c>
      <c r="I323" s="29" t="s">
        <v>94</v>
      </c>
      <c r="J323" s="29" t="s">
        <v>340</v>
      </c>
      <c r="K323" s="29" t="str">
        <f>VLOOKUP(LEFT(H323, 7), 'קטלוג תרחישים'!$A:$L, 12, FALSE)</f>
        <v>א׳</v>
      </c>
      <c r="L323" s="29" t="str">
        <f>IF(J323="כן", K323, VLOOKUP(LEFT(H323, 7), 'קטלוג תרחישים'!$A:$M, 13, FALSE))</f>
        <v>א׳</v>
      </c>
    </row>
    <row r="324" spans="1:12">
      <c r="A324" s="29" t="s">
        <v>134</v>
      </c>
      <c r="B324" s="29">
        <v>26</v>
      </c>
      <c r="C324" s="29" t="s">
        <v>341</v>
      </c>
      <c r="D324" s="29">
        <v>2</v>
      </c>
      <c r="E324" s="29" t="s">
        <v>99</v>
      </c>
      <c r="F324" s="29" t="s">
        <v>344</v>
      </c>
      <c r="G324" s="29" t="s">
        <v>91</v>
      </c>
      <c r="H324" s="29" t="s">
        <v>102</v>
      </c>
      <c r="I324" s="29" t="s">
        <v>89</v>
      </c>
      <c r="J324" s="29" t="s">
        <v>340</v>
      </c>
      <c r="K324" s="29" t="str">
        <f>VLOOKUP(LEFT(H324, 7), 'קטלוג תרחישים'!$A:$L, 12, FALSE)</f>
        <v>ב׳</v>
      </c>
      <c r="L324" s="29" t="str">
        <f>IF(J324="כן", K324, VLOOKUP(LEFT(H324, 7), 'קטלוג תרחישים'!$A:$M, 13, FALSE))</f>
        <v>ב׳</v>
      </c>
    </row>
    <row r="325" spans="1:12">
      <c r="A325" s="29" t="s">
        <v>134</v>
      </c>
      <c r="B325" s="29">
        <v>27</v>
      </c>
      <c r="C325" s="29" t="s">
        <v>341</v>
      </c>
      <c r="D325" s="29">
        <v>2</v>
      </c>
      <c r="E325" s="29" t="s">
        <v>99</v>
      </c>
      <c r="F325" s="29" t="s">
        <v>344</v>
      </c>
      <c r="G325" s="29" t="s">
        <v>91</v>
      </c>
      <c r="H325" s="29" t="s">
        <v>103</v>
      </c>
      <c r="I325" s="29" t="s">
        <v>94</v>
      </c>
      <c r="J325" s="29" t="s">
        <v>343</v>
      </c>
      <c r="K325" s="29" t="str">
        <f>VLOOKUP(LEFT(H325, 7), 'קטלוג תרחישים'!$A:$L, 12, FALSE)</f>
        <v>ג׳</v>
      </c>
      <c r="L325" s="29" t="str">
        <f>IF(J325="כן", K325, VLOOKUP(LEFT(H325, 7), 'קטלוג תרחישים'!$A:$M, 13, FALSE))</f>
        <v>א׳</v>
      </c>
    </row>
    <row r="326" spans="1:12">
      <c r="A326" s="29" t="s">
        <v>134</v>
      </c>
      <c r="B326" s="29">
        <v>28</v>
      </c>
      <c r="C326" s="29" t="s">
        <v>341</v>
      </c>
      <c r="D326" s="29">
        <v>2</v>
      </c>
      <c r="E326" s="29" t="s">
        <v>99</v>
      </c>
      <c r="F326" s="29" t="s">
        <v>344</v>
      </c>
      <c r="G326" s="29" t="s">
        <v>91</v>
      </c>
      <c r="H326" s="29" t="s">
        <v>104</v>
      </c>
      <c r="I326" s="29" t="s">
        <v>89</v>
      </c>
      <c r="J326" s="29" t="s">
        <v>340</v>
      </c>
      <c r="K326" s="29" t="str">
        <f>VLOOKUP(LEFT(H326, 7), 'קטלוג תרחישים'!$A:$L, 12, FALSE)</f>
        <v>א׳</v>
      </c>
      <c r="L326" s="29" t="str">
        <f>IF(J326="כן", K326, VLOOKUP(LEFT(H326, 7), 'קטלוג תרחישים'!$A:$M, 13, FALSE))</f>
        <v>א׳</v>
      </c>
    </row>
    <row r="327" spans="1:12">
      <c r="A327" s="29" t="s">
        <v>134</v>
      </c>
      <c r="B327" s="29">
        <v>29</v>
      </c>
      <c r="C327" s="29" t="s">
        <v>341</v>
      </c>
      <c r="D327" s="29">
        <v>3</v>
      </c>
      <c r="E327" s="29" t="s">
        <v>105</v>
      </c>
      <c r="F327" s="29" t="s">
        <v>344</v>
      </c>
      <c r="G327" s="29" t="s">
        <v>91</v>
      </c>
      <c r="H327" s="29" t="s">
        <v>110</v>
      </c>
      <c r="I327" s="29" t="s">
        <v>89</v>
      </c>
      <c r="J327" s="29" t="s">
        <v>343</v>
      </c>
      <c r="K327" s="29" t="str">
        <f>VLOOKUP(LEFT(H327, 7), 'קטלוג תרחישים'!$A:$L, 12, FALSE)</f>
        <v>ג׳</v>
      </c>
      <c r="L327" s="29" t="str">
        <f>IF(J327="כן", K327, VLOOKUP(LEFT(H327, 7), 'קטלוג תרחישים'!$A:$M, 13, FALSE))</f>
        <v>ב׳</v>
      </c>
    </row>
    <row r="328" spans="1:12">
      <c r="A328" s="29" t="s">
        <v>134</v>
      </c>
      <c r="B328" s="29">
        <v>30</v>
      </c>
      <c r="C328" s="29" t="s">
        <v>341</v>
      </c>
      <c r="D328" s="29">
        <v>3</v>
      </c>
      <c r="E328" s="29" t="s">
        <v>105</v>
      </c>
      <c r="F328" s="29" t="s">
        <v>344</v>
      </c>
      <c r="G328" s="29" t="s">
        <v>91</v>
      </c>
      <c r="H328" s="29" t="s">
        <v>109</v>
      </c>
      <c r="I328" s="29" t="s">
        <v>94</v>
      </c>
      <c r="J328" s="29" t="s">
        <v>340</v>
      </c>
      <c r="K328" s="29" t="str">
        <f>VLOOKUP(LEFT(H328, 7), 'קטלוג תרחישים'!$A:$L, 12, FALSE)</f>
        <v>ב׳</v>
      </c>
      <c r="L328" s="29" t="str">
        <f>IF(J328="כן", K328, VLOOKUP(LEFT(H328, 7), 'קטלוג תרחישים'!$A:$M, 13, FALSE))</f>
        <v>ב׳</v>
      </c>
    </row>
    <row r="329" spans="1:12">
      <c r="A329" s="29" t="s">
        <v>134</v>
      </c>
      <c r="B329" s="29">
        <v>31</v>
      </c>
      <c r="C329" s="29" t="s">
        <v>341</v>
      </c>
      <c r="D329" s="29">
        <v>3</v>
      </c>
      <c r="E329" s="29" t="s">
        <v>105</v>
      </c>
      <c r="F329" s="29" t="s">
        <v>344</v>
      </c>
      <c r="G329" s="29" t="s">
        <v>91</v>
      </c>
      <c r="H329" s="29" t="s">
        <v>108</v>
      </c>
      <c r="I329" s="29" t="s">
        <v>89</v>
      </c>
      <c r="J329" s="29" t="s">
        <v>340</v>
      </c>
      <c r="K329" s="29" t="str">
        <f>VLOOKUP(LEFT(H329, 7), 'קטלוג תרחישים'!$A:$L, 12, FALSE)</f>
        <v>א׳</v>
      </c>
      <c r="L329" s="29" t="str">
        <f>IF(J329="כן", K329, VLOOKUP(LEFT(H329, 7), 'קטלוג תרחישים'!$A:$M, 13, FALSE))</f>
        <v>א׳</v>
      </c>
    </row>
    <row r="330" spans="1:12">
      <c r="A330" s="29" t="s">
        <v>134</v>
      </c>
      <c r="B330" s="29">
        <v>32</v>
      </c>
      <c r="C330" s="29" t="s">
        <v>341</v>
      </c>
      <c r="D330" s="29">
        <v>3</v>
      </c>
      <c r="E330" s="29" t="s">
        <v>105</v>
      </c>
      <c r="F330" s="29" t="s">
        <v>344</v>
      </c>
      <c r="G330" s="29" t="s">
        <v>91</v>
      </c>
      <c r="H330" s="29" t="s">
        <v>107</v>
      </c>
      <c r="I330" s="29" t="s">
        <v>94</v>
      </c>
      <c r="J330" s="29" t="s">
        <v>340</v>
      </c>
      <c r="K330" s="29" t="str">
        <f>VLOOKUP(LEFT(H330, 7), 'קטלוג תרחישים'!$A:$L, 12, FALSE)</f>
        <v>ג׳</v>
      </c>
      <c r="L330" s="29" t="str">
        <f>IF(J330="כן", K330, VLOOKUP(LEFT(H330, 7), 'קטלוג תרחישים'!$A:$M, 13, FALSE))</f>
        <v>ג׳</v>
      </c>
    </row>
    <row r="331" spans="1:12">
      <c r="A331" s="29" t="s">
        <v>134</v>
      </c>
      <c r="B331" s="29">
        <v>33</v>
      </c>
      <c r="C331" s="29" t="s">
        <v>341</v>
      </c>
      <c r="D331" s="29">
        <v>3</v>
      </c>
      <c r="E331" s="29" t="s">
        <v>105</v>
      </c>
      <c r="F331" s="29" t="s">
        <v>344</v>
      </c>
      <c r="G331" s="29" t="s">
        <v>91</v>
      </c>
      <c r="H331" s="29" t="s">
        <v>106</v>
      </c>
      <c r="I331" s="29" t="s">
        <v>89</v>
      </c>
      <c r="J331" s="29" t="s">
        <v>340</v>
      </c>
      <c r="K331" s="29" t="str">
        <f>VLOOKUP(LEFT(H331, 7), 'קטלוג תרחישים'!$A:$L, 12, FALSE)</f>
        <v>א׳</v>
      </c>
      <c r="L331" s="29" t="str">
        <f>IF(J331="כן", K331, VLOOKUP(LEFT(H331, 7), 'קטלוג תרחישים'!$A:$M, 13, FALSE))</f>
        <v>א׳</v>
      </c>
    </row>
    <row r="332" spans="1:12">
      <c r="A332" s="29" t="s">
        <v>135</v>
      </c>
      <c r="B332" s="29">
        <v>1</v>
      </c>
      <c r="C332" s="29" t="s">
        <v>339</v>
      </c>
      <c r="D332" s="29"/>
      <c r="E332" s="29" t="s">
        <v>92</v>
      </c>
      <c r="F332" s="29"/>
      <c r="G332" s="29"/>
      <c r="H332" s="30" t="s">
        <v>351</v>
      </c>
      <c r="I332" s="29" t="s">
        <v>89</v>
      </c>
      <c r="J332" s="29" t="s">
        <v>340</v>
      </c>
      <c r="K332" s="29" t="str">
        <f>VLOOKUP(LEFT(H332, 7), 'קטלוג תרחישים'!$A:$L, 12, FALSE)</f>
        <v>א׳</v>
      </c>
      <c r="L332" s="29" t="str">
        <f>IF(J332="כן", K332, VLOOKUP(LEFT(H332, 7), 'קטלוג תרחישים'!$A:$M, 13, FALSE))</f>
        <v>א׳</v>
      </c>
    </row>
    <row r="333" spans="1:12">
      <c r="A333" s="29" t="s">
        <v>135</v>
      </c>
      <c r="B333" s="29">
        <v>2</v>
      </c>
      <c r="C333" s="29" t="s">
        <v>339</v>
      </c>
      <c r="D333" s="29"/>
      <c r="E333" s="29" t="s">
        <v>92</v>
      </c>
      <c r="F333" s="29"/>
      <c r="G333" s="29"/>
      <c r="H333" s="30" t="s">
        <v>88</v>
      </c>
      <c r="I333" s="29" t="s">
        <v>89</v>
      </c>
      <c r="J333" s="29" t="s">
        <v>340</v>
      </c>
      <c r="K333" s="29" t="str">
        <f>VLOOKUP(LEFT(H333, 7), 'קטלוג תרחישים'!$A:$L, 12, FALSE)</f>
        <v>א׳</v>
      </c>
      <c r="L333" s="29" t="str">
        <f>IF(J333="כן", K333, VLOOKUP(LEFT(H333, 7), 'קטלוג תרחישים'!$A:$M, 13, FALSE))</f>
        <v>א׳</v>
      </c>
    </row>
    <row r="334" spans="1:12">
      <c r="A334" s="29" t="s">
        <v>135</v>
      </c>
      <c r="B334" s="29">
        <v>3</v>
      </c>
      <c r="C334" s="29" t="s">
        <v>339</v>
      </c>
      <c r="D334" s="29"/>
      <c r="E334" s="29" t="s">
        <v>99</v>
      </c>
      <c r="F334" s="29"/>
      <c r="G334" s="29"/>
      <c r="H334" s="30" t="s">
        <v>352</v>
      </c>
      <c r="I334" s="29" t="s">
        <v>89</v>
      </c>
      <c r="J334" s="29" t="s">
        <v>340</v>
      </c>
      <c r="K334" s="29" t="str">
        <f>VLOOKUP(LEFT(H334, 7), 'קטלוג תרחישים'!$A:$L, 12, FALSE)</f>
        <v>ב׳</v>
      </c>
      <c r="L334" s="29" t="str">
        <f>IF(J334="כן", K334, VLOOKUP(LEFT(H334, 7), 'קטלוג תרחישים'!$A:$M, 13, FALSE))</f>
        <v>ב׳</v>
      </c>
    </row>
    <row r="335" spans="1:12">
      <c r="A335" s="29" t="s">
        <v>135</v>
      </c>
      <c r="B335" s="29">
        <v>4</v>
      </c>
      <c r="C335" s="29" t="s">
        <v>339</v>
      </c>
      <c r="D335" s="29"/>
      <c r="E335" s="29" t="s">
        <v>99</v>
      </c>
      <c r="F335" s="29"/>
      <c r="G335" s="29"/>
      <c r="H335" s="30" t="s">
        <v>353</v>
      </c>
      <c r="I335" s="29" t="s">
        <v>89</v>
      </c>
      <c r="J335" s="29" t="s">
        <v>340</v>
      </c>
      <c r="K335" s="29" t="str">
        <f>VLOOKUP(LEFT(H335, 7), 'קטלוג תרחישים'!$A:$L, 12, FALSE)</f>
        <v>ב׳</v>
      </c>
      <c r="L335" s="29" t="str">
        <f>IF(J335="כן", K335, VLOOKUP(LEFT(H335, 7), 'קטלוג תרחישים'!$A:$M, 13, FALSE))</f>
        <v>ב׳</v>
      </c>
    </row>
    <row r="336" spans="1:12">
      <c r="A336" s="29" t="s">
        <v>135</v>
      </c>
      <c r="B336" s="29">
        <v>5</v>
      </c>
      <c r="C336" s="29" t="s">
        <v>339</v>
      </c>
      <c r="D336" s="29"/>
      <c r="E336" s="29" t="s">
        <v>105</v>
      </c>
      <c r="F336" s="29"/>
      <c r="G336" s="29"/>
      <c r="H336" s="30" t="s">
        <v>354</v>
      </c>
      <c r="I336" s="29" t="s">
        <v>89</v>
      </c>
      <c r="J336" s="29" t="s">
        <v>340</v>
      </c>
      <c r="K336" s="29" t="str">
        <f>VLOOKUP(LEFT(H336, 7), 'קטלוג תרחישים'!$A:$L, 12, FALSE)</f>
        <v>ג׳</v>
      </c>
      <c r="L336" s="29" t="str">
        <f>IF(J336="כן", K336, VLOOKUP(LEFT(H336, 7), 'קטלוג תרחישים'!$A:$M, 13, FALSE))</f>
        <v>ג׳</v>
      </c>
    </row>
    <row r="337" spans="1:12">
      <c r="A337" s="29" t="s">
        <v>135</v>
      </c>
      <c r="B337" s="29">
        <v>6</v>
      </c>
      <c r="C337" s="29" t="s">
        <v>339</v>
      </c>
      <c r="D337" s="29"/>
      <c r="E337" s="29" t="s">
        <v>105</v>
      </c>
      <c r="F337" s="29"/>
      <c r="G337" s="29"/>
      <c r="H337" s="30" t="s">
        <v>90</v>
      </c>
      <c r="I337" s="29" t="s">
        <v>89</v>
      </c>
      <c r="J337" s="29" t="s">
        <v>340</v>
      </c>
      <c r="K337" s="29" t="str">
        <f>VLOOKUP(LEFT(H337, 7), 'קטלוג תרחישים'!$A:$L, 12, FALSE)</f>
        <v>ג׳</v>
      </c>
      <c r="L337" s="29" t="str">
        <f>IF(J337="כן", K337, VLOOKUP(LEFT(H337, 7), 'קטלוג תרחישים'!$A:$M, 13, FALSE))</f>
        <v>ג׳</v>
      </c>
    </row>
    <row r="338" spans="1:12">
      <c r="A338" s="29" t="s">
        <v>135</v>
      </c>
      <c r="B338" s="29">
        <v>7</v>
      </c>
      <c r="C338" s="29" t="s">
        <v>341</v>
      </c>
      <c r="D338" s="29">
        <v>1</v>
      </c>
      <c r="E338" s="29" t="s">
        <v>99</v>
      </c>
      <c r="F338" s="29" t="s">
        <v>342</v>
      </c>
      <c r="G338" s="29" t="s">
        <v>91</v>
      </c>
      <c r="H338" s="29" t="s">
        <v>136</v>
      </c>
      <c r="I338" s="29" t="s">
        <v>94</v>
      </c>
      <c r="J338" s="29" t="s">
        <v>340</v>
      </c>
      <c r="K338" s="29" t="str">
        <f>VLOOKUP(LEFT(H338, 7), 'קטלוג תרחישים'!$A:$L, 12, FALSE)</f>
        <v>ג׳</v>
      </c>
      <c r="L338" s="29" t="str">
        <f>IF(J338="כן", K338, VLOOKUP(LEFT(H338, 7), 'קטלוג תרחישים'!$A:$M, 13, FALSE))</f>
        <v>ג׳</v>
      </c>
    </row>
    <row r="339" spans="1:12">
      <c r="A339" s="29" t="s">
        <v>135</v>
      </c>
      <c r="B339" s="29">
        <v>8</v>
      </c>
      <c r="C339" s="29" t="s">
        <v>341</v>
      </c>
      <c r="D339" s="29">
        <v>1</v>
      </c>
      <c r="E339" s="29" t="s">
        <v>99</v>
      </c>
      <c r="F339" s="29" t="s">
        <v>342</v>
      </c>
      <c r="G339" s="29" t="s">
        <v>91</v>
      </c>
      <c r="H339" s="29" t="s">
        <v>137</v>
      </c>
      <c r="I339" s="29" t="s">
        <v>89</v>
      </c>
      <c r="J339" s="29" t="s">
        <v>340</v>
      </c>
      <c r="K339" s="29" t="str">
        <f>VLOOKUP(LEFT(H339, 7), 'קטלוג תרחישים'!$A:$L, 12, FALSE)</f>
        <v>ג׳</v>
      </c>
      <c r="L339" s="29" t="str">
        <f>IF(J339="כן", K339, VLOOKUP(LEFT(H339, 7), 'קטלוג תרחישים'!$A:$M, 13, FALSE))</f>
        <v>ג׳</v>
      </c>
    </row>
    <row r="340" spans="1:12">
      <c r="A340" s="29" t="s">
        <v>135</v>
      </c>
      <c r="B340" s="29">
        <v>9</v>
      </c>
      <c r="C340" s="29" t="s">
        <v>341</v>
      </c>
      <c r="D340" s="29">
        <v>1</v>
      </c>
      <c r="E340" s="29" t="s">
        <v>99</v>
      </c>
      <c r="F340" s="29" t="s">
        <v>342</v>
      </c>
      <c r="G340" s="29" t="s">
        <v>91</v>
      </c>
      <c r="H340" s="29" t="s">
        <v>138</v>
      </c>
      <c r="I340" s="29" t="s">
        <v>94</v>
      </c>
      <c r="J340" s="29" t="s">
        <v>340</v>
      </c>
      <c r="K340" s="29" t="str">
        <f>VLOOKUP(LEFT(H340, 7), 'קטלוג תרחישים'!$A:$L, 12, FALSE)</f>
        <v>ב׳</v>
      </c>
      <c r="L340" s="29" t="str">
        <f>IF(J340="כן", K340, VLOOKUP(LEFT(H340, 7), 'קטלוג תרחישים'!$A:$M, 13, FALSE))</f>
        <v>ב׳</v>
      </c>
    </row>
    <row r="341" spans="1:12">
      <c r="A341" s="29" t="s">
        <v>135</v>
      </c>
      <c r="B341" s="29">
        <v>10</v>
      </c>
      <c r="C341" s="29" t="s">
        <v>341</v>
      </c>
      <c r="D341" s="29">
        <v>1</v>
      </c>
      <c r="E341" s="29" t="s">
        <v>99</v>
      </c>
      <c r="F341" s="29" t="s">
        <v>342</v>
      </c>
      <c r="G341" s="29" t="s">
        <v>91</v>
      </c>
      <c r="H341" s="29" t="s">
        <v>139</v>
      </c>
      <c r="I341" s="29" t="s">
        <v>89</v>
      </c>
      <c r="J341" s="29" t="s">
        <v>343</v>
      </c>
      <c r="K341" s="29" t="str">
        <f>VLOOKUP(LEFT(H341, 7), 'קטלוג תרחישים'!$A:$L, 12, FALSE)</f>
        <v>ג׳</v>
      </c>
      <c r="L341" s="29" t="str">
        <f>IF(J341="כן", K341, VLOOKUP(LEFT(H341, 7), 'קטלוג תרחישים'!$A:$M, 13, FALSE))</f>
        <v>ב׳</v>
      </c>
    </row>
    <row r="342" spans="1:12">
      <c r="A342" s="29" t="s">
        <v>135</v>
      </c>
      <c r="B342" s="29">
        <v>11</v>
      </c>
      <c r="C342" s="29" t="s">
        <v>341</v>
      </c>
      <c r="D342" s="29">
        <v>1</v>
      </c>
      <c r="E342" s="29" t="s">
        <v>99</v>
      </c>
      <c r="F342" s="29" t="s">
        <v>342</v>
      </c>
      <c r="G342" s="29" t="s">
        <v>91</v>
      </c>
      <c r="H342" s="29" t="s">
        <v>140</v>
      </c>
      <c r="I342" s="29" t="s">
        <v>94</v>
      </c>
      <c r="J342" s="29" t="s">
        <v>340</v>
      </c>
      <c r="K342" s="29" t="str">
        <f>VLOOKUP(LEFT(H342, 7), 'קטלוג תרחישים'!$A:$L, 12, FALSE)</f>
        <v>א׳</v>
      </c>
      <c r="L342" s="29" t="str">
        <f>IF(J342="כן", K342, VLOOKUP(LEFT(H342, 7), 'קטלוג תרחישים'!$A:$M, 13, FALSE))</f>
        <v>א׳</v>
      </c>
    </row>
    <row r="343" spans="1:12">
      <c r="A343" s="29" t="s">
        <v>135</v>
      </c>
      <c r="B343" s="29">
        <v>12</v>
      </c>
      <c r="C343" s="29" t="s">
        <v>341</v>
      </c>
      <c r="D343" s="29">
        <v>2</v>
      </c>
      <c r="E343" s="29" t="s">
        <v>105</v>
      </c>
      <c r="F343" s="29" t="s">
        <v>342</v>
      </c>
      <c r="G343" s="29" t="s">
        <v>91</v>
      </c>
      <c r="H343" s="29" t="s">
        <v>141</v>
      </c>
      <c r="I343" s="29" t="s">
        <v>89</v>
      </c>
      <c r="J343" s="29" t="s">
        <v>340</v>
      </c>
      <c r="K343" s="29" t="str">
        <f>VLOOKUP(LEFT(H343, 7), 'קטלוג תרחישים'!$A:$L, 12, FALSE)</f>
        <v>ב׳</v>
      </c>
      <c r="L343" s="29" t="str">
        <f>IF(J343="כן", K343, VLOOKUP(LEFT(H343, 7), 'קטלוג תרחישים'!$A:$M, 13, FALSE))</f>
        <v>ב׳</v>
      </c>
    </row>
    <row r="344" spans="1:12">
      <c r="A344" s="29" t="s">
        <v>135</v>
      </c>
      <c r="B344" s="29">
        <v>13</v>
      </c>
      <c r="C344" s="29" t="s">
        <v>341</v>
      </c>
      <c r="D344" s="29">
        <v>2</v>
      </c>
      <c r="E344" s="29" t="s">
        <v>105</v>
      </c>
      <c r="F344" s="29" t="s">
        <v>342</v>
      </c>
      <c r="G344" s="29" t="s">
        <v>91</v>
      </c>
      <c r="H344" s="29" t="s">
        <v>142</v>
      </c>
      <c r="I344" s="29" t="s">
        <v>94</v>
      </c>
      <c r="J344" s="29" t="s">
        <v>340</v>
      </c>
      <c r="K344" s="29" t="str">
        <f>VLOOKUP(LEFT(H344, 7), 'קטלוג תרחישים'!$A:$L, 12, FALSE)</f>
        <v>א׳</v>
      </c>
      <c r="L344" s="29" t="str">
        <f>IF(J344="כן", K344, VLOOKUP(LEFT(H344, 7), 'קטלוג תרחישים'!$A:$M, 13, FALSE))</f>
        <v>א׳</v>
      </c>
    </row>
    <row r="345" spans="1:12">
      <c r="A345" s="29" t="s">
        <v>135</v>
      </c>
      <c r="B345" s="29">
        <v>14</v>
      </c>
      <c r="C345" s="29" t="s">
        <v>341</v>
      </c>
      <c r="D345" s="29">
        <v>2</v>
      </c>
      <c r="E345" s="29" t="s">
        <v>105</v>
      </c>
      <c r="F345" s="29" t="s">
        <v>342</v>
      </c>
      <c r="G345" s="29" t="s">
        <v>91</v>
      </c>
      <c r="H345" s="29" t="s">
        <v>143</v>
      </c>
      <c r="I345" s="29" t="s">
        <v>89</v>
      </c>
      <c r="J345" s="29" t="s">
        <v>340</v>
      </c>
      <c r="K345" s="29" t="str">
        <f>VLOOKUP(LEFT(H345, 7), 'קטלוג תרחישים'!$A:$L, 12, FALSE)</f>
        <v>א׳</v>
      </c>
      <c r="L345" s="29" t="str">
        <f>IF(J345="כן", K345, VLOOKUP(LEFT(H345, 7), 'קטלוג תרחישים'!$A:$M, 13, FALSE))</f>
        <v>א׳</v>
      </c>
    </row>
    <row r="346" spans="1:12">
      <c r="A346" s="29" t="s">
        <v>135</v>
      </c>
      <c r="B346" s="29">
        <v>15</v>
      </c>
      <c r="C346" s="29" t="s">
        <v>341</v>
      </c>
      <c r="D346" s="29">
        <v>2</v>
      </c>
      <c r="E346" s="29" t="s">
        <v>105</v>
      </c>
      <c r="F346" s="29" t="s">
        <v>342</v>
      </c>
      <c r="G346" s="29" t="s">
        <v>91</v>
      </c>
      <c r="H346" s="29" t="s">
        <v>144</v>
      </c>
      <c r="I346" s="29" t="s">
        <v>94</v>
      </c>
      <c r="J346" s="29" t="s">
        <v>340</v>
      </c>
      <c r="K346" s="29" t="str">
        <f>VLOOKUP(LEFT(H346, 7), 'קטלוג תרחישים'!$A:$L, 12, FALSE)</f>
        <v>ג׳</v>
      </c>
      <c r="L346" s="29" t="str">
        <f>IF(J346="כן", K346, VLOOKUP(LEFT(H346, 7), 'קטלוג תרחישים'!$A:$M, 13, FALSE))</f>
        <v>ג׳</v>
      </c>
    </row>
    <row r="347" spans="1:12">
      <c r="A347" s="29" t="s">
        <v>135</v>
      </c>
      <c r="B347" s="29">
        <v>16</v>
      </c>
      <c r="C347" s="29" t="s">
        <v>341</v>
      </c>
      <c r="D347" s="29">
        <v>2</v>
      </c>
      <c r="E347" s="29" t="s">
        <v>105</v>
      </c>
      <c r="F347" s="29" t="s">
        <v>342</v>
      </c>
      <c r="G347" s="29" t="s">
        <v>91</v>
      </c>
      <c r="H347" s="29" t="s">
        <v>145</v>
      </c>
      <c r="I347" s="29" t="s">
        <v>89</v>
      </c>
      <c r="J347" s="29" t="s">
        <v>343</v>
      </c>
      <c r="K347" s="29" t="str">
        <f>VLOOKUP(LEFT(H347, 7), 'קטלוג תרחישים'!$A:$L, 12, FALSE)</f>
        <v>ב׳</v>
      </c>
      <c r="L347" s="29" t="str">
        <f>IF(J347="כן", K347, VLOOKUP(LEFT(H347, 7), 'קטלוג תרחישים'!$A:$M, 13, FALSE))</f>
        <v>ג׳</v>
      </c>
    </row>
    <row r="348" spans="1:12">
      <c r="A348" s="29" t="s">
        <v>135</v>
      </c>
      <c r="B348" s="29">
        <v>17</v>
      </c>
      <c r="C348" s="29" t="s">
        <v>341</v>
      </c>
      <c r="D348" s="29">
        <v>3</v>
      </c>
      <c r="E348" s="29" t="s">
        <v>92</v>
      </c>
      <c r="F348" s="29" t="s">
        <v>342</v>
      </c>
      <c r="G348" s="29" t="s">
        <v>91</v>
      </c>
      <c r="H348" s="29" t="s">
        <v>146</v>
      </c>
      <c r="I348" s="29" t="s">
        <v>89</v>
      </c>
      <c r="J348" s="29" t="s">
        <v>340</v>
      </c>
      <c r="K348" s="29" t="str">
        <f>VLOOKUP(LEFT(H348, 7), 'קטלוג תרחישים'!$A:$L, 12, FALSE)</f>
        <v>ג׳</v>
      </c>
      <c r="L348" s="29" t="str">
        <f>IF(J348="כן", K348, VLOOKUP(LEFT(H348, 7), 'קטלוג תרחישים'!$A:$M, 13, FALSE))</f>
        <v>ג׳</v>
      </c>
    </row>
    <row r="349" spans="1:12">
      <c r="A349" s="29" t="s">
        <v>135</v>
      </c>
      <c r="B349" s="29">
        <v>18</v>
      </c>
      <c r="C349" s="29" t="s">
        <v>341</v>
      </c>
      <c r="D349" s="29">
        <v>3</v>
      </c>
      <c r="E349" s="29" t="s">
        <v>92</v>
      </c>
      <c r="F349" s="29" t="s">
        <v>342</v>
      </c>
      <c r="G349" s="29" t="s">
        <v>91</v>
      </c>
      <c r="H349" s="29" t="s">
        <v>147</v>
      </c>
      <c r="I349" s="29" t="s">
        <v>94</v>
      </c>
      <c r="J349" s="29" t="s">
        <v>340</v>
      </c>
      <c r="K349" s="29" t="str">
        <f>VLOOKUP(LEFT(H349, 7), 'קטלוג תרחישים'!$A:$L, 12, FALSE)</f>
        <v>ב׳</v>
      </c>
      <c r="L349" s="29" t="str">
        <f>IF(J349="כן", K349, VLOOKUP(LEFT(H349, 7), 'קטלוג תרחישים'!$A:$M, 13, FALSE))</f>
        <v>ב׳</v>
      </c>
    </row>
    <row r="350" spans="1:12">
      <c r="A350" s="29" t="s">
        <v>135</v>
      </c>
      <c r="B350" s="29">
        <v>19</v>
      </c>
      <c r="C350" s="29" t="s">
        <v>341</v>
      </c>
      <c r="D350" s="29">
        <v>3</v>
      </c>
      <c r="E350" s="29" t="s">
        <v>92</v>
      </c>
      <c r="F350" s="29" t="s">
        <v>342</v>
      </c>
      <c r="G350" s="29" t="s">
        <v>91</v>
      </c>
      <c r="H350" s="29" t="s">
        <v>148</v>
      </c>
      <c r="I350" s="29" t="s">
        <v>89</v>
      </c>
      <c r="J350" s="29" t="s">
        <v>343</v>
      </c>
      <c r="K350" s="29" t="str">
        <f>VLOOKUP(LEFT(H350, 7), 'קטלוג תרחישים'!$A:$L, 12, FALSE)</f>
        <v>א׳</v>
      </c>
      <c r="L350" s="29" t="str">
        <f>IF(J350="כן", K350, VLOOKUP(LEFT(H350, 7), 'קטלוג תרחישים'!$A:$M, 13, FALSE))</f>
        <v>ב׳</v>
      </c>
    </row>
    <row r="351" spans="1:12">
      <c r="A351" s="29" t="s">
        <v>135</v>
      </c>
      <c r="B351" s="29">
        <v>20</v>
      </c>
      <c r="C351" s="29" t="s">
        <v>341</v>
      </c>
      <c r="D351" s="29">
        <v>3</v>
      </c>
      <c r="E351" s="29" t="s">
        <v>92</v>
      </c>
      <c r="F351" s="29" t="s">
        <v>342</v>
      </c>
      <c r="G351" s="29" t="s">
        <v>91</v>
      </c>
      <c r="H351" s="29" t="s">
        <v>149</v>
      </c>
      <c r="I351" s="29" t="s">
        <v>94</v>
      </c>
      <c r="J351" s="29" t="s">
        <v>340</v>
      </c>
      <c r="K351" s="29" t="str">
        <f>VLOOKUP(LEFT(H351, 7), 'קטלוג תרחישים'!$A:$L, 12, FALSE)</f>
        <v>ג׳</v>
      </c>
      <c r="L351" s="29" t="str">
        <f>IF(J351="כן", K351, VLOOKUP(LEFT(H351, 7), 'קטלוג תרחישים'!$A:$M, 13, FALSE))</f>
        <v>ג׳</v>
      </c>
    </row>
    <row r="352" spans="1:12">
      <c r="A352" s="29" t="s">
        <v>135</v>
      </c>
      <c r="B352" s="29">
        <v>21</v>
      </c>
      <c r="C352" s="29" t="s">
        <v>341</v>
      </c>
      <c r="D352" s="29">
        <v>3</v>
      </c>
      <c r="E352" s="29" t="s">
        <v>92</v>
      </c>
      <c r="F352" s="29" t="s">
        <v>342</v>
      </c>
      <c r="G352" s="29" t="s">
        <v>91</v>
      </c>
      <c r="H352" s="29" t="s">
        <v>150</v>
      </c>
      <c r="I352" s="29" t="s">
        <v>89</v>
      </c>
      <c r="J352" s="29" t="s">
        <v>340</v>
      </c>
      <c r="K352" s="29" t="str">
        <f>VLOOKUP(LEFT(H352, 7), 'קטלוג תרחישים'!$A:$L, 12, FALSE)</f>
        <v>א׳</v>
      </c>
      <c r="L352" s="29" t="str">
        <f>IF(J352="כן", K352, VLOOKUP(LEFT(H352, 7), 'קטלוג תרחישים'!$A:$M, 13, FALSE))</f>
        <v>א׳</v>
      </c>
    </row>
    <row r="353" spans="1:12">
      <c r="A353" s="29" t="s">
        <v>135</v>
      </c>
      <c r="B353" s="29">
        <v>22</v>
      </c>
      <c r="C353" s="29" t="s">
        <v>341</v>
      </c>
      <c r="D353" s="29">
        <v>1</v>
      </c>
      <c r="E353" s="29" t="s">
        <v>105</v>
      </c>
      <c r="F353" s="29" t="s">
        <v>344</v>
      </c>
      <c r="G353" s="29" t="s">
        <v>111</v>
      </c>
      <c r="H353" s="29" t="s">
        <v>151</v>
      </c>
      <c r="I353" s="29" t="s">
        <v>89</v>
      </c>
      <c r="J353" s="29" t="s">
        <v>340</v>
      </c>
      <c r="K353" s="29" t="str">
        <f>VLOOKUP(LEFT(H353, 7), 'קטלוג תרחישים'!$A:$L, 12, FALSE)</f>
        <v>א׳</v>
      </c>
      <c r="L353" s="29" t="str">
        <f>IF(J353="כן", K353, VLOOKUP(LEFT(H353, 7), 'קטלוג תרחישים'!$A:$M, 13, FALSE))</f>
        <v>א׳</v>
      </c>
    </row>
    <row r="354" spans="1:12">
      <c r="A354" s="29" t="s">
        <v>135</v>
      </c>
      <c r="B354" s="29">
        <v>23</v>
      </c>
      <c r="C354" s="29" t="s">
        <v>341</v>
      </c>
      <c r="D354" s="29">
        <v>1</v>
      </c>
      <c r="E354" s="29" t="s">
        <v>105</v>
      </c>
      <c r="F354" s="29" t="s">
        <v>344</v>
      </c>
      <c r="G354" s="29" t="s">
        <v>111</v>
      </c>
      <c r="H354" s="29" t="s">
        <v>152</v>
      </c>
      <c r="I354" s="29" t="s">
        <v>94</v>
      </c>
      <c r="J354" s="29" t="s">
        <v>343</v>
      </c>
      <c r="K354" s="29" t="str">
        <f>VLOOKUP(LEFT(H354, 7), 'קטלוג תרחישים'!$A:$L, 12, FALSE)</f>
        <v>ב׳</v>
      </c>
      <c r="L354" s="29" t="str">
        <f>IF(J354="כן", K354, VLOOKUP(LEFT(H354, 7), 'קטלוג תרחישים'!$A:$M, 13, FALSE))</f>
        <v>ג׳</v>
      </c>
    </row>
    <row r="355" spans="1:12">
      <c r="A355" s="29" t="s">
        <v>135</v>
      </c>
      <c r="B355" s="29">
        <v>24</v>
      </c>
      <c r="C355" s="29" t="s">
        <v>341</v>
      </c>
      <c r="D355" s="29">
        <v>1</v>
      </c>
      <c r="E355" s="29" t="s">
        <v>105</v>
      </c>
      <c r="F355" s="29" t="s">
        <v>344</v>
      </c>
      <c r="G355" s="29" t="s">
        <v>111</v>
      </c>
      <c r="H355" s="29" t="s">
        <v>153</v>
      </c>
      <c r="I355" s="29" t="s">
        <v>89</v>
      </c>
      <c r="J355" s="29" t="s">
        <v>343</v>
      </c>
      <c r="K355" s="29" t="str">
        <f>VLOOKUP(LEFT(H355, 7), 'קטלוג תרחישים'!$A:$L, 12, FALSE)</f>
        <v>ג׳</v>
      </c>
      <c r="L355" s="29" t="str">
        <f>IF(J355="כן", K355, VLOOKUP(LEFT(H355, 7), 'קטלוג תרחישים'!$A:$M, 13, FALSE))</f>
        <v>ב׳</v>
      </c>
    </row>
    <row r="356" spans="1:12">
      <c r="A356" s="29" t="s">
        <v>135</v>
      </c>
      <c r="B356" s="29">
        <v>25</v>
      </c>
      <c r="C356" s="29" t="s">
        <v>341</v>
      </c>
      <c r="D356" s="29">
        <v>1</v>
      </c>
      <c r="E356" s="29" t="s">
        <v>105</v>
      </c>
      <c r="F356" s="29" t="s">
        <v>344</v>
      </c>
      <c r="G356" s="29" t="s">
        <v>111</v>
      </c>
      <c r="H356" s="29" t="s">
        <v>154</v>
      </c>
      <c r="I356" s="29" t="s">
        <v>94</v>
      </c>
      <c r="J356" s="29" t="s">
        <v>340</v>
      </c>
      <c r="K356" s="29" t="str">
        <f>VLOOKUP(LEFT(H356, 7), 'קטלוג תרחישים'!$A:$L, 12, FALSE)</f>
        <v>ג׳</v>
      </c>
      <c r="L356" s="29" t="str">
        <f>IF(J356="כן", K356, VLOOKUP(LEFT(H356, 7), 'קטלוג תרחישים'!$A:$M, 13, FALSE))</f>
        <v>ג׳</v>
      </c>
    </row>
    <row r="357" spans="1:12">
      <c r="A357" s="29" t="s">
        <v>135</v>
      </c>
      <c r="B357" s="29">
        <v>26</v>
      </c>
      <c r="C357" s="29" t="s">
        <v>341</v>
      </c>
      <c r="D357" s="29">
        <v>2</v>
      </c>
      <c r="E357" s="29" t="s">
        <v>92</v>
      </c>
      <c r="F357" s="29" t="s">
        <v>344</v>
      </c>
      <c r="G357" s="29" t="s">
        <v>111</v>
      </c>
      <c r="H357" s="29" t="s">
        <v>155</v>
      </c>
      <c r="I357" s="29" t="s">
        <v>89</v>
      </c>
      <c r="J357" s="29" t="s">
        <v>343</v>
      </c>
      <c r="K357" s="29" t="str">
        <f>VLOOKUP(LEFT(H357, 7), 'קטלוג תרחישים'!$A:$L, 12, FALSE)</f>
        <v>ב׳</v>
      </c>
      <c r="L357" s="29" t="str">
        <f>IF(J357="כן", K357, VLOOKUP(LEFT(H357, 7), 'קטלוג תרחישים'!$A:$M, 13, FALSE))</f>
        <v>א׳</v>
      </c>
    </row>
    <row r="358" spans="1:12">
      <c r="A358" s="29" t="s">
        <v>135</v>
      </c>
      <c r="B358" s="29">
        <v>27</v>
      </c>
      <c r="C358" s="29" t="s">
        <v>341</v>
      </c>
      <c r="D358" s="29">
        <v>2</v>
      </c>
      <c r="E358" s="29" t="s">
        <v>92</v>
      </c>
      <c r="F358" s="29" t="s">
        <v>344</v>
      </c>
      <c r="G358" s="29" t="s">
        <v>111</v>
      </c>
      <c r="H358" s="29" t="s">
        <v>156</v>
      </c>
      <c r="I358" s="29" t="s">
        <v>94</v>
      </c>
      <c r="J358" s="29" t="s">
        <v>340</v>
      </c>
      <c r="K358" s="29" t="str">
        <f>VLOOKUP(LEFT(H358, 7), 'קטלוג תרחישים'!$A:$L, 12, FALSE)</f>
        <v>א׳</v>
      </c>
      <c r="L358" s="29" t="str">
        <f>IF(J358="כן", K358, VLOOKUP(LEFT(H358, 7), 'קטלוג תרחישים'!$A:$M, 13, FALSE))</f>
        <v>א׳</v>
      </c>
    </row>
    <row r="359" spans="1:12">
      <c r="A359" s="29" t="s">
        <v>135</v>
      </c>
      <c r="B359" s="29">
        <v>28</v>
      </c>
      <c r="C359" s="29" t="s">
        <v>341</v>
      </c>
      <c r="D359" s="29">
        <v>2</v>
      </c>
      <c r="E359" s="29" t="s">
        <v>92</v>
      </c>
      <c r="F359" s="29" t="s">
        <v>344</v>
      </c>
      <c r="G359" s="29" t="s">
        <v>111</v>
      </c>
      <c r="H359" s="29" t="s">
        <v>157</v>
      </c>
      <c r="I359" s="29" t="s">
        <v>89</v>
      </c>
      <c r="J359" s="29" t="s">
        <v>340</v>
      </c>
      <c r="K359" s="29" t="str">
        <f>VLOOKUP(LEFT(H359, 7), 'קטלוג תרחישים'!$A:$L, 12, FALSE)</f>
        <v>ב׳</v>
      </c>
      <c r="L359" s="29" t="str">
        <f>IF(J359="כן", K359, VLOOKUP(LEFT(H359, 7), 'קטלוג תרחישים'!$A:$M, 13, FALSE))</f>
        <v>ב׳</v>
      </c>
    </row>
    <row r="360" spans="1:12">
      <c r="A360" s="29" t="s">
        <v>135</v>
      </c>
      <c r="B360" s="29">
        <v>29</v>
      </c>
      <c r="C360" s="29" t="s">
        <v>341</v>
      </c>
      <c r="D360" s="29">
        <v>2</v>
      </c>
      <c r="E360" s="29" t="s">
        <v>92</v>
      </c>
      <c r="F360" s="29" t="s">
        <v>344</v>
      </c>
      <c r="G360" s="29" t="s">
        <v>111</v>
      </c>
      <c r="H360" s="29" t="s">
        <v>158</v>
      </c>
      <c r="I360" s="29" t="s">
        <v>94</v>
      </c>
      <c r="J360" s="29" t="s">
        <v>343</v>
      </c>
      <c r="K360" s="29" t="str">
        <f>VLOOKUP(LEFT(H360, 7), 'קטלוג תרחישים'!$A:$L, 12, FALSE)</f>
        <v>א׳</v>
      </c>
      <c r="L360" s="29" t="str">
        <f>IF(J360="כן", K360, VLOOKUP(LEFT(H360, 7), 'קטלוג תרחישים'!$A:$M, 13, FALSE))</f>
        <v>ג׳</v>
      </c>
    </row>
    <row r="361" spans="1:12">
      <c r="A361" s="29" t="s">
        <v>135</v>
      </c>
      <c r="B361" s="29">
        <v>30</v>
      </c>
      <c r="C361" s="29" t="s">
        <v>341</v>
      </c>
      <c r="D361" s="29">
        <v>3</v>
      </c>
      <c r="E361" s="29" t="s">
        <v>99</v>
      </c>
      <c r="F361" s="29" t="s">
        <v>344</v>
      </c>
      <c r="G361" s="29" t="s">
        <v>111</v>
      </c>
      <c r="H361" s="29" t="s">
        <v>159</v>
      </c>
      <c r="I361" s="29" t="s">
        <v>89</v>
      </c>
      <c r="J361" s="29" t="s">
        <v>340</v>
      </c>
      <c r="K361" s="29" t="str">
        <f>VLOOKUP(LEFT(H361, 7), 'קטלוג תרחישים'!$A:$L, 12, FALSE)</f>
        <v>ב׳</v>
      </c>
      <c r="L361" s="29" t="str">
        <f>IF(J361="כן", K361, VLOOKUP(LEFT(H361, 7), 'קטלוג תרחישים'!$A:$M, 13, FALSE))</f>
        <v>ב׳</v>
      </c>
    </row>
    <row r="362" spans="1:12">
      <c r="A362" s="29" t="s">
        <v>135</v>
      </c>
      <c r="B362" s="29">
        <v>31</v>
      </c>
      <c r="C362" s="29" t="s">
        <v>341</v>
      </c>
      <c r="D362" s="29">
        <v>3</v>
      </c>
      <c r="E362" s="29" t="s">
        <v>99</v>
      </c>
      <c r="F362" s="29" t="s">
        <v>344</v>
      </c>
      <c r="G362" s="29" t="s">
        <v>111</v>
      </c>
      <c r="H362" s="29" t="s">
        <v>160</v>
      </c>
      <c r="I362" s="29" t="s">
        <v>94</v>
      </c>
      <c r="J362" s="29" t="s">
        <v>340</v>
      </c>
      <c r="K362" s="29" t="str">
        <f>VLOOKUP(LEFT(H362, 7), 'קטלוג תרחישים'!$A:$L, 12, FALSE)</f>
        <v>ב׳</v>
      </c>
      <c r="L362" s="29" t="str">
        <f>IF(J362="כן", K362, VLOOKUP(LEFT(H362, 7), 'קטלוג תרחישים'!$A:$M, 13, FALSE))</f>
        <v>ב׳</v>
      </c>
    </row>
    <row r="363" spans="1:12">
      <c r="A363" s="29" t="s">
        <v>135</v>
      </c>
      <c r="B363" s="29">
        <v>32</v>
      </c>
      <c r="C363" s="29" t="s">
        <v>341</v>
      </c>
      <c r="D363" s="29">
        <v>3</v>
      </c>
      <c r="E363" s="29" t="s">
        <v>99</v>
      </c>
      <c r="F363" s="29" t="s">
        <v>344</v>
      </c>
      <c r="G363" s="29" t="s">
        <v>111</v>
      </c>
      <c r="H363" s="29" t="s">
        <v>161</v>
      </c>
      <c r="I363" s="29" t="s">
        <v>89</v>
      </c>
      <c r="J363" s="29" t="s">
        <v>343</v>
      </c>
      <c r="K363" s="29" t="str">
        <f>VLOOKUP(LEFT(H363, 7), 'קטלוג תרחישים'!$A:$L, 12, FALSE)</f>
        <v>ג׳</v>
      </c>
      <c r="L363" s="29" t="str">
        <f>IF(J363="כן", K363, VLOOKUP(LEFT(H363, 7), 'קטלוג תרחישים'!$A:$M, 13, FALSE))</f>
        <v>ב׳</v>
      </c>
    </row>
    <row r="364" spans="1:12">
      <c r="A364" s="29" t="s">
        <v>135</v>
      </c>
      <c r="B364" s="29">
        <v>33</v>
      </c>
      <c r="C364" s="29" t="s">
        <v>341</v>
      </c>
      <c r="D364" s="29">
        <v>3</v>
      </c>
      <c r="E364" s="29" t="s">
        <v>99</v>
      </c>
      <c r="F364" s="29" t="s">
        <v>344</v>
      </c>
      <c r="G364" s="29" t="s">
        <v>111</v>
      </c>
      <c r="H364" s="29" t="s">
        <v>162</v>
      </c>
      <c r="I364" s="29" t="s">
        <v>94</v>
      </c>
      <c r="J364" s="29" t="s">
        <v>343</v>
      </c>
      <c r="K364" s="29" t="str">
        <f>VLOOKUP(LEFT(H364, 7), 'קטלוג תרחישים'!$A:$L, 12, FALSE)</f>
        <v>א׳</v>
      </c>
      <c r="L364" s="29" t="str">
        <f>IF(J364="כן", K364, VLOOKUP(LEFT(H364, 7), 'קטלוג תרחישים'!$A:$M, 13, FALSE))</f>
        <v>ב׳</v>
      </c>
    </row>
    <row r="365" spans="1:12">
      <c r="A365" s="29" t="s">
        <v>163</v>
      </c>
      <c r="B365" s="29">
        <v>1</v>
      </c>
      <c r="C365" s="29" t="s">
        <v>339</v>
      </c>
      <c r="D365" s="29"/>
      <c r="E365" s="29" t="s">
        <v>92</v>
      </c>
      <c r="F365" s="29"/>
      <c r="G365" s="29"/>
      <c r="H365" s="30" t="s">
        <v>351</v>
      </c>
      <c r="I365" s="29" t="s">
        <v>89</v>
      </c>
      <c r="J365" s="29" t="s">
        <v>340</v>
      </c>
      <c r="K365" s="29" t="str">
        <f>VLOOKUP(LEFT(H365, 7), 'קטלוג תרחישים'!$A:$L, 12, FALSE)</f>
        <v>א׳</v>
      </c>
      <c r="L365" s="29" t="str">
        <f>IF(J365="כן", K365, VLOOKUP(LEFT(H365, 7), 'קטלוג תרחישים'!$A:$M, 13, FALSE))</f>
        <v>א׳</v>
      </c>
    </row>
    <row r="366" spans="1:12">
      <c r="A366" s="29" t="s">
        <v>163</v>
      </c>
      <c r="B366" s="29">
        <v>2</v>
      </c>
      <c r="C366" s="29" t="s">
        <v>339</v>
      </c>
      <c r="D366" s="29"/>
      <c r="E366" s="29" t="s">
        <v>92</v>
      </c>
      <c r="F366" s="29"/>
      <c r="G366" s="29"/>
      <c r="H366" s="30" t="s">
        <v>88</v>
      </c>
      <c r="I366" s="29" t="s">
        <v>89</v>
      </c>
      <c r="J366" s="29" t="s">
        <v>340</v>
      </c>
      <c r="K366" s="29" t="str">
        <f>VLOOKUP(LEFT(H366, 7), 'קטלוג תרחישים'!$A:$L, 12, FALSE)</f>
        <v>א׳</v>
      </c>
      <c r="L366" s="29" t="str">
        <f>IF(J366="כן", K366, VLOOKUP(LEFT(H366, 7), 'קטלוג תרחישים'!$A:$M, 13, FALSE))</f>
        <v>א׳</v>
      </c>
    </row>
    <row r="367" spans="1:12">
      <c r="A367" s="29" t="s">
        <v>163</v>
      </c>
      <c r="B367" s="29">
        <v>3</v>
      </c>
      <c r="C367" s="29" t="s">
        <v>339</v>
      </c>
      <c r="D367" s="29"/>
      <c r="E367" s="29" t="s">
        <v>99</v>
      </c>
      <c r="F367" s="29"/>
      <c r="G367" s="29"/>
      <c r="H367" s="30" t="s">
        <v>352</v>
      </c>
      <c r="I367" s="29" t="s">
        <v>89</v>
      </c>
      <c r="J367" s="29" t="s">
        <v>340</v>
      </c>
      <c r="K367" s="29" t="str">
        <f>VLOOKUP(LEFT(H367, 7), 'קטלוג תרחישים'!$A:$L, 12, FALSE)</f>
        <v>ב׳</v>
      </c>
      <c r="L367" s="29" t="str">
        <f>IF(J367="כן", K367, VLOOKUP(LEFT(H367, 7), 'קטלוג תרחישים'!$A:$M, 13, FALSE))</f>
        <v>ב׳</v>
      </c>
    </row>
    <row r="368" spans="1:12">
      <c r="A368" s="29" t="s">
        <v>163</v>
      </c>
      <c r="B368" s="29">
        <v>4</v>
      </c>
      <c r="C368" s="29" t="s">
        <v>339</v>
      </c>
      <c r="D368" s="29"/>
      <c r="E368" s="29" t="s">
        <v>99</v>
      </c>
      <c r="F368" s="29"/>
      <c r="G368" s="29"/>
      <c r="H368" s="30" t="s">
        <v>353</v>
      </c>
      <c r="I368" s="29" t="s">
        <v>89</v>
      </c>
      <c r="J368" s="29" t="s">
        <v>340</v>
      </c>
      <c r="K368" s="29" t="str">
        <f>VLOOKUP(LEFT(H368, 7), 'קטלוג תרחישים'!$A:$L, 12, FALSE)</f>
        <v>ב׳</v>
      </c>
      <c r="L368" s="29" t="str">
        <f>IF(J368="כן", K368, VLOOKUP(LEFT(H368, 7), 'קטלוג תרחישים'!$A:$M, 13, FALSE))</f>
        <v>ב׳</v>
      </c>
    </row>
    <row r="369" spans="1:12">
      <c r="A369" s="29" t="s">
        <v>163</v>
      </c>
      <c r="B369" s="29">
        <v>5</v>
      </c>
      <c r="C369" s="29" t="s">
        <v>339</v>
      </c>
      <c r="D369" s="29"/>
      <c r="E369" s="29" t="s">
        <v>105</v>
      </c>
      <c r="F369" s="29"/>
      <c r="G369" s="29"/>
      <c r="H369" s="30" t="s">
        <v>354</v>
      </c>
      <c r="I369" s="29" t="s">
        <v>89</v>
      </c>
      <c r="J369" s="29" t="s">
        <v>340</v>
      </c>
      <c r="K369" s="29" t="str">
        <f>VLOOKUP(LEFT(H369, 7), 'קטלוג תרחישים'!$A:$L, 12, FALSE)</f>
        <v>ג׳</v>
      </c>
      <c r="L369" s="29" t="str">
        <f>IF(J369="כן", K369, VLOOKUP(LEFT(H369, 7), 'קטלוג תרחישים'!$A:$M, 13, FALSE))</f>
        <v>ג׳</v>
      </c>
    </row>
    <row r="370" spans="1:12">
      <c r="A370" s="29" t="s">
        <v>163</v>
      </c>
      <c r="B370" s="29">
        <v>6</v>
      </c>
      <c r="C370" s="29" t="s">
        <v>339</v>
      </c>
      <c r="D370" s="29"/>
      <c r="E370" s="29" t="s">
        <v>105</v>
      </c>
      <c r="F370" s="29"/>
      <c r="G370" s="29"/>
      <c r="H370" s="30" t="s">
        <v>90</v>
      </c>
      <c r="I370" s="29" t="s">
        <v>89</v>
      </c>
      <c r="J370" s="29" t="s">
        <v>340</v>
      </c>
      <c r="K370" s="29" t="str">
        <f>VLOOKUP(LEFT(H370, 7), 'קטלוג תרחישים'!$A:$L, 12, FALSE)</f>
        <v>ג׳</v>
      </c>
      <c r="L370" s="29" t="str">
        <f>IF(J370="כן", K370, VLOOKUP(LEFT(H370, 7), 'קטלוג תרחישים'!$A:$M, 13, FALSE))</f>
        <v>ג׳</v>
      </c>
    </row>
    <row r="371" spans="1:12">
      <c r="A371" s="29" t="s">
        <v>163</v>
      </c>
      <c r="B371" s="29">
        <v>7</v>
      </c>
      <c r="C371" s="29" t="s">
        <v>341</v>
      </c>
      <c r="D371" s="29">
        <v>1</v>
      </c>
      <c r="E371" s="29" t="s">
        <v>92</v>
      </c>
      <c r="F371" s="29" t="s">
        <v>342</v>
      </c>
      <c r="G371" s="29" t="s">
        <v>111</v>
      </c>
      <c r="H371" s="29" t="s">
        <v>157</v>
      </c>
      <c r="I371" s="29" t="s">
        <v>89</v>
      </c>
      <c r="J371" s="29" t="s">
        <v>343</v>
      </c>
      <c r="K371" s="29" t="str">
        <f>VLOOKUP(LEFT(H371, 7), 'קטלוג תרחישים'!$A:$L, 12, FALSE)</f>
        <v>ב׳</v>
      </c>
      <c r="L371" s="29" t="str">
        <f>IF(J371="כן", K371, VLOOKUP(LEFT(H371, 7), 'קטלוג תרחישים'!$A:$M, 13, FALSE))</f>
        <v>א׳</v>
      </c>
    </row>
    <row r="372" spans="1:12">
      <c r="A372" s="29" t="s">
        <v>163</v>
      </c>
      <c r="B372" s="29">
        <v>8</v>
      </c>
      <c r="C372" s="29" t="s">
        <v>341</v>
      </c>
      <c r="D372" s="29">
        <v>1</v>
      </c>
      <c r="E372" s="29" t="s">
        <v>92</v>
      </c>
      <c r="F372" s="29" t="s">
        <v>342</v>
      </c>
      <c r="G372" s="29" t="s">
        <v>111</v>
      </c>
      <c r="H372" s="29" t="s">
        <v>156</v>
      </c>
      <c r="I372" s="29" t="s">
        <v>94</v>
      </c>
      <c r="J372" s="29" t="s">
        <v>340</v>
      </c>
      <c r="K372" s="29" t="str">
        <f>VLOOKUP(LEFT(H372, 7), 'קטלוג תרחישים'!$A:$L, 12, FALSE)</f>
        <v>א׳</v>
      </c>
      <c r="L372" s="29" t="str">
        <f>IF(J372="כן", K372, VLOOKUP(LEFT(H372, 7), 'קטלוג תרחישים'!$A:$M, 13, FALSE))</f>
        <v>א׳</v>
      </c>
    </row>
    <row r="373" spans="1:12">
      <c r="A373" s="29" t="s">
        <v>163</v>
      </c>
      <c r="B373" s="29">
        <v>9</v>
      </c>
      <c r="C373" s="29" t="s">
        <v>341</v>
      </c>
      <c r="D373" s="29">
        <v>1</v>
      </c>
      <c r="E373" s="29" t="s">
        <v>92</v>
      </c>
      <c r="F373" s="29" t="s">
        <v>342</v>
      </c>
      <c r="G373" s="29" t="s">
        <v>111</v>
      </c>
      <c r="H373" s="29" t="s">
        <v>155</v>
      </c>
      <c r="I373" s="29" t="s">
        <v>89</v>
      </c>
      <c r="J373" s="29" t="s">
        <v>340</v>
      </c>
      <c r="K373" s="29" t="str">
        <f>VLOOKUP(LEFT(H373, 7), 'קטלוג תרחישים'!$A:$L, 12, FALSE)</f>
        <v>ב׳</v>
      </c>
      <c r="L373" s="29" t="str">
        <f>IF(J373="כן", K373, VLOOKUP(LEFT(H373, 7), 'קטלוג תרחישים'!$A:$M, 13, FALSE))</f>
        <v>ב׳</v>
      </c>
    </row>
    <row r="374" spans="1:12">
      <c r="A374" s="29" t="s">
        <v>163</v>
      </c>
      <c r="B374" s="29">
        <v>10</v>
      </c>
      <c r="C374" s="29" t="s">
        <v>341</v>
      </c>
      <c r="D374" s="29">
        <v>1</v>
      </c>
      <c r="E374" s="29" t="s">
        <v>92</v>
      </c>
      <c r="F374" s="29" t="s">
        <v>342</v>
      </c>
      <c r="G374" s="29" t="s">
        <v>111</v>
      </c>
      <c r="H374" s="29" t="s">
        <v>158</v>
      </c>
      <c r="I374" s="29" t="s">
        <v>94</v>
      </c>
      <c r="J374" s="29" t="s">
        <v>343</v>
      </c>
      <c r="K374" s="29" t="str">
        <f>VLOOKUP(LEFT(H374, 7), 'קטלוג תרחישים'!$A:$L, 12, FALSE)</f>
        <v>א׳</v>
      </c>
      <c r="L374" s="29" t="str">
        <f>IF(J374="כן", K374, VLOOKUP(LEFT(H374, 7), 'קטלוג תרחישים'!$A:$M, 13, FALSE))</f>
        <v>ג׳</v>
      </c>
    </row>
    <row r="375" spans="1:12">
      <c r="A375" s="29" t="s">
        <v>163</v>
      </c>
      <c r="B375" s="29">
        <v>11</v>
      </c>
      <c r="C375" s="29" t="s">
        <v>341</v>
      </c>
      <c r="D375" s="29">
        <v>2</v>
      </c>
      <c r="E375" s="29" t="s">
        <v>99</v>
      </c>
      <c r="F375" s="29" t="s">
        <v>342</v>
      </c>
      <c r="G375" s="29" t="s">
        <v>111</v>
      </c>
      <c r="H375" s="29" t="s">
        <v>161</v>
      </c>
      <c r="I375" s="29" t="s">
        <v>89</v>
      </c>
      <c r="J375" s="29" t="s">
        <v>340</v>
      </c>
      <c r="K375" s="29" t="str">
        <f>VLOOKUP(LEFT(H375, 7), 'קטלוג תרחישים'!$A:$L, 12, FALSE)</f>
        <v>ג׳</v>
      </c>
      <c r="L375" s="29" t="str">
        <f>IF(J375="כן", K375, VLOOKUP(LEFT(H375, 7), 'קטלוג תרחישים'!$A:$M, 13, FALSE))</f>
        <v>ג׳</v>
      </c>
    </row>
    <row r="376" spans="1:12">
      <c r="A376" s="29" t="s">
        <v>163</v>
      </c>
      <c r="B376" s="29">
        <v>12</v>
      </c>
      <c r="C376" s="29" t="s">
        <v>341</v>
      </c>
      <c r="D376" s="29">
        <v>2</v>
      </c>
      <c r="E376" s="29" t="s">
        <v>99</v>
      </c>
      <c r="F376" s="29" t="s">
        <v>342</v>
      </c>
      <c r="G376" s="29" t="s">
        <v>111</v>
      </c>
      <c r="H376" s="29" t="s">
        <v>162</v>
      </c>
      <c r="I376" s="29" t="s">
        <v>94</v>
      </c>
      <c r="J376" s="29" t="s">
        <v>343</v>
      </c>
      <c r="K376" s="29" t="str">
        <f>VLOOKUP(LEFT(H376, 7), 'קטלוג תרחישים'!$A:$L, 12, FALSE)</f>
        <v>א׳</v>
      </c>
      <c r="L376" s="29" t="str">
        <f>IF(J376="כן", K376, VLOOKUP(LEFT(H376, 7), 'קטלוג תרחישים'!$A:$M, 13, FALSE))</f>
        <v>ב׳</v>
      </c>
    </row>
    <row r="377" spans="1:12">
      <c r="A377" s="29" t="s">
        <v>163</v>
      </c>
      <c r="B377" s="29">
        <v>13</v>
      </c>
      <c r="C377" s="29" t="s">
        <v>341</v>
      </c>
      <c r="D377" s="29">
        <v>2</v>
      </c>
      <c r="E377" s="29" t="s">
        <v>99</v>
      </c>
      <c r="F377" s="29" t="s">
        <v>342</v>
      </c>
      <c r="G377" s="29" t="s">
        <v>111</v>
      </c>
      <c r="H377" s="29" t="s">
        <v>159</v>
      </c>
      <c r="I377" s="29" t="s">
        <v>89</v>
      </c>
      <c r="J377" s="29" t="s">
        <v>343</v>
      </c>
      <c r="K377" s="29" t="str">
        <f>VLOOKUP(LEFT(H377, 7), 'קטלוג תרחישים'!$A:$L, 12, FALSE)</f>
        <v>ב׳</v>
      </c>
      <c r="L377" s="29" t="str">
        <f>IF(J377="כן", K377, VLOOKUP(LEFT(H377, 7), 'קטלוג תרחישים'!$A:$M, 13, FALSE))</f>
        <v>א׳</v>
      </c>
    </row>
    <row r="378" spans="1:12">
      <c r="A378" s="29" t="s">
        <v>163</v>
      </c>
      <c r="B378" s="29">
        <v>14</v>
      </c>
      <c r="C378" s="29" t="s">
        <v>341</v>
      </c>
      <c r="D378" s="29">
        <v>2</v>
      </c>
      <c r="E378" s="29" t="s">
        <v>99</v>
      </c>
      <c r="F378" s="29" t="s">
        <v>342</v>
      </c>
      <c r="G378" s="29" t="s">
        <v>111</v>
      </c>
      <c r="H378" s="29" t="s">
        <v>160</v>
      </c>
      <c r="I378" s="29" t="s">
        <v>94</v>
      </c>
      <c r="J378" s="29" t="s">
        <v>340</v>
      </c>
      <c r="K378" s="29" t="str">
        <f>VLOOKUP(LEFT(H378, 7), 'קטלוג תרחישים'!$A:$L, 12, FALSE)</f>
        <v>ב׳</v>
      </c>
      <c r="L378" s="29" t="str">
        <f>IF(J378="כן", K378, VLOOKUP(LEFT(H378, 7), 'קטלוג תרחישים'!$A:$M, 13, FALSE))</f>
        <v>ב׳</v>
      </c>
    </row>
    <row r="379" spans="1:12">
      <c r="A379" s="29" t="s">
        <v>163</v>
      </c>
      <c r="B379" s="29">
        <v>15</v>
      </c>
      <c r="C379" s="29" t="s">
        <v>341</v>
      </c>
      <c r="D379" s="29">
        <v>3</v>
      </c>
      <c r="E379" s="29" t="s">
        <v>105</v>
      </c>
      <c r="F379" s="29" t="s">
        <v>342</v>
      </c>
      <c r="G379" s="29" t="s">
        <v>111</v>
      </c>
      <c r="H379" s="29" t="s">
        <v>151</v>
      </c>
      <c r="I379" s="29" t="s">
        <v>89</v>
      </c>
      <c r="J379" s="29" t="s">
        <v>340</v>
      </c>
      <c r="K379" s="29" t="str">
        <f>VLOOKUP(LEFT(H379, 7), 'קטלוג תרחישים'!$A:$L, 12, FALSE)</f>
        <v>א׳</v>
      </c>
      <c r="L379" s="29" t="str">
        <f>IF(J379="כן", K379, VLOOKUP(LEFT(H379, 7), 'קטלוג תרחישים'!$A:$M, 13, FALSE))</f>
        <v>א׳</v>
      </c>
    </row>
    <row r="380" spans="1:12">
      <c r="A380" s="29" t="s">
        <v>163</v>
      </c>
      <c r="B380" s="29">
        <v>16</v>
      </c>
      <c r="C380" s="29" t="s">
        <v>341</v>
      </c>
      <c r="D380" s="29">
        <v>3</v>
      </c>
      <c r="E380" s="29" t="s">
        <v>105</v>
      </c>
      <c r="F380" s="29" t="s">
        <v>342</v>
      </c>
      <c r="G380" s="29" t="s">
        <v>111</v>
      </c>
      <c r="H380" s="29" t="s">
        <v>152</v>
      </c>
      <c r="I380" s="29" t="s">
        <v>94</v>
      </c>
      <c r="J380" s="29" t="s">
        <v>340</v>
      </c>
      <c r="K380" s="29" t="str">
        <f>VLOOKUP(LEFT(H380, 7), 'קטלוג תרחישים'!$A:$L, 12, FALSE)</f>
        <v>ב׳</v>
      </c>
      <c r="L380" s="29" t="str">
        <f>IF(J380="כן", K380, VLOOKUP(LEFT(H380, 7), 'קטלוג תרחישים'!$A:$M, 13, FALSE))</f>
        <v>ב׳</v>
      </c>
    </row>
    <row r="381" spans="1:12">
      <c r="A381" s="29" t="s">
        <v>163</v>
      </c>
      <c r="B381" s="29">
        <v>17</v>
      </c>
      <c r="C381" s="29" t="s">
        <v>341</v>
      </c>
      <c r="D381" s="29">
        <v>3</v>
      </c>
      <c r="E381" s="29" t="s">
        <v>105</v>
      </c>
      <c r="F381" s="29" t="s">
        <v>342</v>
      </c>
      <c r="G381" s="29" t="s">
        <v>111</v>
      </c>
      <c r="H381" s="29" t="s">
        <v>153</v>
      </c>
      <c r="I381" s="29" t="s">
        <v>89</v>
      </c>
      <c r="J381" s="29" t="s">
        <v>343</v>
      </c>
      <c r="K381" s="29" t="str">
        <f>VLOOKUP(LEFT(H381, 7), 'קטלוג תרחישים'!$A:$L, 12, FALSE)</f>
        <v>ג׳</v>
      </c>
      <c r="L381" s="29" t="str">
        <f>IF(J381="כן", K381, VLOOKUP(LEFT(H381, 7), 'קטלוג תרחישים'!$A:$M, 13, FALSE))</f>
        <v>ב׳</v>
      </c>
    </row>
    <row r="382" spans="1:12">
      <c r="A382" s="29" t="s">
        <v>163</v>
      </c>
      <c r="B382" s="29">
        <v>18</v>
      </c>
      <c r="C382" s="29" t="s">
        <v>341</v>
      </c>
      <c r="D382" s="29">
        <v>3</v>
      </c>
      <c r="E382" s="29" t="s">
        <v>105</v>
      </c>
      <c r="F382" s="29" t="s">
        <v>342</v>
      </c>
      <c r="G382" s="29" t="s">
        <v>111</v>
      </c>
      <c r="H382" s="29" t="s">
        <v>154</v>
      </c>
      <c r="I382" s="29" t="s">
        <v>94</v>
      </c>
      <c r="J382" s="29" t="s">
        <v>343</v>
      </c>
      <c r="K382" s="29" t="str">
        <f>VLOOKUP(LEFT(H382, 7), 'קטלוג תרחישים'!$A:$L, 12, FALSE)</f>
        <v>ג׳</v>
      </c>
      <c r="L382" s="29" t="str">
        <f>IF(J382="כן", K382, VLOOKUP(LEFT(H382, 7), 'קטלוג תרחישים'!$A:$M, 13, FALSE))</f>
        <v>א׳</v>
      </c>
    </row>
    <row r="383" spans="1:12">
      <c r="A383" s="29" t="s">
        <v>163</v>
      </c>
      <c r="B383" s="29">
        <v>19</v>
      </c>
      <c r="C383" s="29" t="s">
        <v>341</v>
      </c>
      <c r="D383" s="29">
        <v>1</v>
      </c>
      <c r="E383" s="29" t="s">
        <v>105</v>
      </c>
      <c r="F383" s="29" t="s">
        <v>344</v>
      </c>
      <c r="G383" s="29" t="s">
        <v>91</v>
      </c>
      <c r="H383" s="29" t="s">
        <v>145</v>
      </c>
      <c r="I383" s="29" t="s">
        <v>89</v>
      </c>
      <c r="J383" s="29" t="s">
        <v>340</v>
      </c>
      <c r="K383" s="29" t="str">
        <f>VLOOKUP(LEFT(H383, 7), 'קטלוג תרחישים'!$A:$L, 12, FALSE)</f>
        <v>ב׳</v>
      </c>
      <c r="L383" s="29" t="str">
        <f>IF(J383="כן", K383, VLOOKUP(LEFT(H383, 7), 'קטלוג תרחישים'!$A:$M, 13, FALSE))</f>
        <v>ב׳</v>
      </c>
    </row>
    <row r="384" spans="1:12">
      <c r="A384" s="29" t="s">
        <v>163</v>
      </c>
      <c r="B384" s="29">
        <v>20</v>
      </c>
      <c r="C384" s="29" t="s">
        <v>341</v>
      </c>
      <c r="D384" s="29">
        <v>1</v>
      </c>
      <c r="E384" s="29" t="s">
        <v>105</v>
      </c>
      <c r="F384" s="29" t="s">
        <v>344</v>
      </c>
      <c r="G384" s="29" t="s">
        <v>91</v>
      </c>
      <c r="H384" s="29" t="s">
        <v>142</v>
      </c>
      <c r="I384" s="29" t="s">
        <v>94</v>
      </c>
      <c r="J384" s="29" t="s">
        <v>343</v>
      </c>
      <c r="K384" s="29" t="str">
        <f>VLOOKUP(LEFT(H384, 7), 'קטלוג תרחישים'!$A:$L, 12, FALSE)</f>
        <v>א׳</v>
      </c>
      <c r="L384" s="29" t="str">
        <f>IF(J384="כן", K384, VLOOKUP(LEFT(H384, 7), 'קטלוג תרחישים'!$A:$M, 13, FALSE))</f>
        <v>ב׳</v>
      </c>
    </row>
    <row r="385" spans="1:12">
      <c r="A385" s="29" t="s">
        <v>163</v>
      </c>
      <c r="B385" s="29">
        <v>21</v>
      </c>
      <c r="C385" s="29" t="s">
        <v>341</v>
      </c>
      <c r="D385" s="29">
        <v>1</v>
      </c>
      <c r="E385" s="29" t="s">
        <v>105</v>
      </c>
      <c r="F385" s="29" t="s">
        <v>344</v>
      </c>
      <c r="G385" s="29" t="s">
        <v>91</v>
      </c>
      <c r="H385" s="29" t="s">
        <v>141</v>
      </c>
      <c r="I385" s="29" t="s">
        <v>89</v>
      </c>
      <c r="J385" s="29" t="s">
        <v>340</v>
      </c>
      <c r="K385" s="29" t="str">
        <f>VLOOKUP(LEFT(H385, 7), 'קטלוג תרחישים'!$A:$L, 12, FALSE)</f>
        <v>ב׳</v>
      </c>
      <c r="L385" s="29" t="str">
        <f>IF(J385="כן", K385, VLOOKUP(LEFT(H385, 7), 'קטלוג תרחישים'!$A:$M, 13, FALSE))</f>
        <v>ב׳</v>
      </c>
    </row>
    <row r="386" spans="1:12">
      <c r="A386" s="29" t="s">
        <v>163</v>
      </c>
      <c r="B386" s="29">
        <v>22</v>
      </c>
      <c r="C386" s="29" t="s">
        <v>341</v>
      </c>
      <c r="D386" s="29">
        <v>1</v>
      </c>
      <c r="E386" s="29" t="s">
        <v>105</v>
      </c>
      <c r="F386" s="29" t="s">
        <v>344</v>
      </c>
      <c r="G386" s="29" t="s">
        <v>91</v>
      </c>
      <c r="H386" s="29" t="s">
        <v>144</v>
      </c>
      <c r="I386" s="29" t="s">
        <v>94</v>
      </c>
      <c r="J386" s="29" t="s">
        <v>340</v>
      </c>
      <c r="K386" s="29" t="str">
        <f>VLOOKUP(LEFT(H386, 7), 'קטלוג תרחישים'!$A:$L, 12, FALSE)</f>
        <v>ג׳</v>
      </c>
      <c r="L386" s="29" t="str">
        <f>IF(J386="כן", K386, VLOOKUP(LEFT(H386, 7), 'קטלוג תרחישים'!$A:$M, 13, FALSE))</f>
        <v>ג׳</v>
      </c>
    </row>
    <row r="387" spans="1:12">
      <c r="A387" s="29" t="s">
        <v>163</v>
      </c>
      <c r="B387" s="29">
        <v>23</v>
      </c>
      <c r="C387" s="29" t="s">
        <v>341</v>
      </c>
      <c r="D387" s="29">
        <v>1</v>
      </c>
      <c r="E387" s="29" t="s">
        <v>105</v>
      </c>
      <c r="F387" s="29" t="s">
        <v>344</v>
      </c>
      <c r="G387" s="29" t="s">
        <v>91</v>
      </c>
      <c r="H387" s="29" t="s">
        <v>143</v>
      </c>
      <c r="I387" s="29" t="s">
        <v>89</v>
      </c>
      <c r="J387" s="29" t="s">
        <v>340</v>
      </c>
      <c r="K387" s="29" t="str">
        <f>VLOOKUP(LEFT(H387, 7), 'קטלוג תרחישים'!$A:$L, 12, FALSE)</f>
        <v>א׳</v>
      </c>
      <c r="L387" s="29" t="str">
        <f>IF(J387="כן", K387, VLOOKUP(LEFT(H387, 7), 'קטלוג תרחישים'!$A:$M, 13, FALSE))</f>
        <v>א׳</v>
      </c>
    </row>
    <row r="388" spans="1:12">
      <c r="A388" s="29" t="s">
        <v>163</v>
      </c>
      <c r="B388" s="29">
        <v>24</v>
      </c>
      <c r="C388" s="29" t="s">
        <v>341</v>
      </c>
      <c r="D388" s="29">
        <v>2</v>
      </c>
      <c r="E388" s="29" t="s">
        <v>92</v>
      </c>
      <c r="F388" s="29" t="s">
        <v>344</v>
      </c>
      <c r="G388" s="29" t="s">
        <v>91</v>
      </c>
      <c r="H388" s="29" t="s">
        <v>148</v>
      </c>
      <c r="I388" s="29" t="s">
        <v>89</v>
      </c>
      <c r="J388" s="29" t="s">
        <v>340</v>
      </c>
      <c r="K388" s="29" t="str">
        <f>VLOOKUP(LEFT(H388, 7), 'קטלוג תרחישים'!$A:$L, 12, FALSE)</f>
        <v>א׳</v>
      </c>
      <c r="L388" s="29" t="str">
        <f>IF(J388="כן", K388, VLOOKUP(LEFT(H388, 7), 'קטלוג תרחישים'!$A:$M, 13, FALSE))</f>
        <v>א׳</v>
      </c>
    </row>
    <row r="389" spans="1:12">
      <c r="A389" s="29" t="s">
        <v>163</v>
      </c>
      <c r="B389" s="29">
        <v>25</v>
      </c>
      <c r="C389" s="29" t="s">
        <v>341</v>
      </c>
      <c r="D389" s="29">
        <v>2</v>
      </c>
      <c r="E389" s="29" t="s">
        <v>92</v>
      </c>
      <c r="F389" s="29" t="s">
        <v>344</v>
      </c>
      <c r="G389" s="29" t="s">
        <v>91</v>
      </c>
      <c r="H389" s="29" t="s">
        <v>147</v>
      </c>
      <c r="I389" s="29" t="s">
        <v>94</v>
      </c>
      <c r="J389" s="29" t="s">
        <v>340</v>
      </c>
      <c r="K389" s="29" t="str">
        <f>VLOOKUP(LEFT(H389, 7), 'קטלוג תרחישים'!$A:$L, 12, FALSE)</f>
        <v>ב׳</v>
      </c>
      <c r="L389" s="29" t="str">
        <f>IF(J389="כן", K389, VLOOKUP(LEFT(H389, 7), 'קטלוג תרחישים'!$A:$M, 13, FALSE))</f>
        <v>ב׳</v>
      </c>
    </row>
    <row r="390" spans="1:12">
      <c r="A390" s="29" t="s">
        <v>163</v>
      </c>
      <c r="B390" s="29">
        <v>26</v>
      </c>
      <c r="C390" s="29" t="s">
        <v>341</v>
      </c>
      <c r="D390" s="29">
        <v>2</v>
      </c>
      <c r="E390" s="29" t="s">
        <v>92</v>
      </c>
      <c r="F390" s="29" t="s">
        <v>344</v>
      </c>
      <c r="G390" s="29" t="s">
        <v>91</v>
      </c>
      <c r="H390" s="29" t="s">
        <v>146</v>
      </c>
      <c r="I390" s="29" t="s">
        <v>89</v>
      </c>
      <c r="J390" s="29" t="s">
        <v>340</v>
      </c>
      <c r="K390" s="29" t="str">
        <f>VLOOKUP(LEFT(H390, 7), 'קטלוג תרחישים'!$A:$L, 12, FALSE)</f>
        <v>ג׳</v>
      </c>
      <c r="L390" s="29" t="str">
        <f>IF(J390="כן", K390, VLOOKUP(LEFT(H390, 7), 'קטלוג תרחישים'!$A:$M, 13, FALSE))</f>
        <v>ג׳</v>
      </c>
    </row>
    <row r="391" spans="1:12">
      <c r="A391" s="29" t="s">
        <v>163</v>
      </c>
      <c r="B391" s="29">
        <v>27</v>
      </c>
      <c r="C391" s="29" t="s">
        <v>341</v>
      </c>
      <c r="D391" s="29">
        <v>2</v>
      </c>
      <c r="E391" s="29" t="s">
        <v>92</v>
      </c>
      <c r="F391" s="29" t="s">
        <v>344</v>
      </c>
      <c r="G391" s="29" t="s">
        <v>91</v>
      </c>
      <c r="H391" s="29" t="s">
        <v>149</v>
      </c>
      <c r="I391" s="29" t="s">
        <v>94</v>
      </c>
      <c r="J391" s="29" t="s">
        <v>343</v>
      </c>
      <c r="K391" s="29" t="str">
        <f>VLOOKUP(LEFT(H391, 7), 'קטלוג תרחישים'!$A:$L, 12, FALSE)</f>
        <v>ג׳</v>
      </c>
      <c r="L391" s="29" t="str">
        <f>IF(J391="כן", K391, VLOOKUP(LEFT(H391, 7), 'קטלוג תרחישים'!$A:$M, 13, FALSE))</f>
        <v>א׳</v>
      </c>
    </row>
    <row r="392" spans="1:12">
      <c r="A392" s="29" t="s">
        <v>163</v>
      </c>
      <c r="B392" s="29">
        <v>28</v>
      </c>
      <c r="C392" s="29" t="s">
        <v>341</v>
      </c>
      <c r="D392" s="29">
        <v>2</v>
      </c>
      <c r="E392" s="29" t="s">
        <v>92</v>
      </c>
      <c r="F392" s="29" t="s">
        <v>344</v>
      </c>
      <c r="G392" s="29" t="s">
        <v>91</v>
      </c>
      <c r="H392" s="29" t="s">
        <v>150</v>
      </c>
      <c r="I392" s="29" t="s">
        <v>89</v>
      </c>
      <c r="J392" s="29" t="s">
        <v>340</v>
      </c>
      <c r="K392" s="29" t="str">
        <f>VLOOKUP(LEFT(H392, 7), 'קטלוג תרחישים'!$A:$L, 12, FALSE)</f>
        <v>א׳</v>
      </c>
      <c r="L392" s="29" t="str">
        <f>IF(J392="כן", K392, VLOOKUP(LEFT(H392, 7), 'קטלוג תרחישים'!$A:$M, 13, FALSE))</f>
        <v>א׳</v>
      </c>
    </row>
    <row r="393" spans="1:12">
      <c r="A393" s="29" t="s">
        <v>163</v>
      </c>
      <c r="B393" s="29">
        <v>29</v>
      </c>
      <c r="C393" s="29" t="s">
        <v>341</v>
      </c>
      <c r="D393" s="29">
        <v>3</v>
      </c>
      <c r="E393" s="29" t="s">
        <v>99</v>
      </c>
      <c r="F393" s="29" t="s">
        <v>344</v>
      </c>
      <c r="G393" s="29" t="s">
        <v>91</v>
      </c>
      <c r="H393" s="29" t="s">
        <v>140</v>
      </c>
      <c r="I393" s="29" t="s">
        <v>94</v>
      </c>
      <c r="J393" s="29" t="s">
        <v>343</v>
      </c>
      <c r="K393" s="29" t="str">
        <f>VLOOKUP(LEFT(H393, 7), 'קטלוג תרחישים'!$A:$L, 12, FALSE)</f>
        <v>א׳</v>
      </c>
      <c r="L393" s="29" t="str">
        <f>IF(J393="כן", K393, VLOOKUP(LEFT(H393, 7), 'קטלוג תרחישים'!$A:$M, 13, FALSE))</f>
        <v>ב׳</v>
      </c>
    </row>
    <row r="394" spans="1:12">
      <c r="A394" s="29" t="s">
        <v>163</v>
      </c>
      <c r="B394" s="29">
        <v>30</v>
      </c>
      <c r="C394" s="29" t="s">
        <v>341</v>
      </c>
      <c r="D394" s="29">
        <v>3</v>
      </c>
      <c r="E394" s="29" t="s">
        <v>99</v>
      </c>
      <c r="F394" s="29" t="s">
        <v>344</v>
      </c>
      <c r="G394" s="29" t="s">
        <v>91</v>
      </c>
      <c r="H394" s="29" t="s">
        <v>139</v>
      </c>
      <c r="I394" s="29" t="s">
        <v>89</v>
      </c>
      <c r="J394" s="29" t="s">
        <v>340</v>
      </c>
      <c r="K394" s="29" t="str">
        <f>VLOOKUP(LEFT(H394, 7), 'קטלוג תרחישים'!$A:$L, 12, FALSE)</f>
        <v>ג׳</v>
      </c>
      <c r="L394" s="29" t="str">
        <f>IF(J394="כן", K394, VLOOKUP(LEFT(H394, 7), 'קטלוג תרחישים'!$A:$M, 13, FALSE))</f>
        <v>ג׳</v>
      </c>
    </row>
    <row r="395" spans="1:12">
      <c r="A395" s="29" t="s">
        <v>163</v>
      </c>
      <c r="B395" s="29">
        <v>31</v>
      </c>
      <c r="C395" s="29" t="s">
        <v>341</v>
      </c>
      <c r="D395" s="29">
        <v>3</v>
      </c>
      <c r="E395" s="29" t="s">
        <v>99</v>
      </c>
      <c r="F395" s="29" t="s">
        <v>344</v>
      </c>
      <c r="G395" s="29" t="s">
        <v>91</v>
      </c>
      <c r="H395" s="29" t="s">
        <v>138</v>
      </c>
      <c r="I395" s="29" t="s">
        <v>94</v>
      </c>
      <c r="J395" s="29" t="s">
        <v>340</v>
      </c>
      <c r="K395" s="29" t="str">
        <f>VLOOKUP(LEFT(H395, 7), 'קטלוג תרחישים'!$A:$L, 12, FALSE)</f>
        <v>ב׳</v>
      </c>
      <c r="L395" s="29" t="str">
        <f>IF(J395="כן", K395, VLOOKUP(LEFT(H395, 7), 'קטלוג תרחישים'!$A:$M, 13, FALSE))</f>
        <v>ב׳</v>
      </c>
    </row>
    <row r="396" spans="1:12">
      <c r="A396" s="29" t="s">
        <v>163</v>
      </c>
      <c r="B396" s="29">
        <v>32</v>
      </c>
      <c r="C396" s="29" t="s">
        <v>341</v>
      </c>
      <c r="D396" s="29">
        <v>3</v>
      </c>
      <c r="E396" s="29" t="s">
        <v>99</v>
      </c>
      <c r="F396" s="29" t="s">
        <v>344</v>
      </c>
      <c r="G396" s="29" t="s">
        <v>91</v>
      </c>
      <c r="H396" s="29" t="s">
        <v>137</v>
      </c>
      <c r="I396" s="29" t="s">
        <v>89</v>
      </c>
      <c r="J396" s="29" t="s">
        <v>340</v>
      </c>
      <c r="K396" s="29" t="str">
        <f>VLOOKUP(LEFT(H396, 7), 'קטלוג תרחישים'!$A:$L, 12, FALSE)</f>
        <v>ג׳</v>
      </c>
      <c r="L396" s="29" t="str">
        <f>IF(J396="כן", K396, VLOOKUP(LEFT(H396, 7), 'קטלוג תרחישים'!$A:$M, 13, FALSE))</f>
        <v>ג׳</v>
      </c>
    </row>
    <row r="397" spans="1:12">
      <c r="A397" s="29" t="s">
        <v>163</v>
      </c>
      <c r="B397" s="29">
        <v>33</v>
      </c>
      <c r="C397" s="29" t="s">
        <v>341</v>
      </c>
      <c r="D397" s="29">
        <v>3</v>
      </c>
      <c r="E397" s="29" t="s">
        <v>99</v>
      </c>
      <c r="F397" s="29" t="s">
        <v>344</v>
      </c>
      <c r="G397" s="29" t="s">
        <v>91</v>
      </c>
      <c r="H397" s="29" t="s">
        <v>136</v>
      </c>
      <c r="I397" s="29" t="s">
        <v>94</v>
      </c>
      <c r="J397" s="29" t="s">
        <v>340</v>
      </c>
      <c r="K397" s="29" t="str">
        <f>VLOOKUP(LEFT(H397, 7), 'קטלוג תרחישים'!$A:$L, 12, FALSE)</f>
        <v>ג׳</v>
      </c>
      <c r="L397" s="29" t="str">
        <f>IF(J397="כן", K397, VLOOKUP(LEFT(H397, 7), 'קטלוג תרחישים'!$A:$M, 13, FALSE))</f>
        <v>ג׳</v>
      </c>
    </row>
    <row r="398" spans="1:12">
      <c r="A398" s="29" t="s">
        <v>164</v>
      </c>
      <c r="B398" s="29">
        <v>1</v>
      </c>
      <c r="C398" s="29" t="s">
        <v>339</v>
      </c>
      <c r="D398" s="29"/>
      <c r="E398" s="29" t="s">
        <v>92</v>
      </c>
      <c r="F398" s="29"/>
      <c r="G398" s="29"/>
      <c r="H398" s="30" t="s">
        <v>351</v>
      </c>
      <c r="I398" s="29" t="s">
        <v>89</v>
      </c>
      <c r="J398" s="29" t="s">
        <v>340</v>
      </c>
      <c r="K398" s="29" t="str">
        <f>VLOOKUP(LEFT(H398, 7), 'קטלוג תרחישים'!$A:$L, 12, FALSE)</f>
        <v>א׳</v>
      </c>
      <c r="L398" s="29" t="str">
        <f>IF(J398="כן", K398, VLOOKUP(LEFT(H398, 7), 'קטלוג תרחישים'!$A:$M, 13, FALSE))</f>
        <v>א׳</v>
      </c>
    </row>
    <row r="399" spans="1:12">
      <c r="A399" s="29" t="s">
        <v>164</v>
      </c>
      <c r="B399" s="29">
        <v>2</v>
      </c>
      <c r="C399" s="29" t="s">
        <v>339</v>
      </c>
      <c r="D399" s="29"/>
      <c r="E399" s="29" t="s">
        <v>92</v>
      </c>
      <c r="F399" s="29"/>
      <c r="G399" s="29"/>
      <c r="H399" s="30" t="s">
        <v>88</v>
      </c>
      <c r="I399" s="29" t="s">
        <v>89</v>
      </c>
      <c r="J399" s="29" t="s">
        <v>340</v>
      </c>
      <c r="K399" s="29" t="str">
        <f>VLOOKUP(LEFT(H399, 7), 'קטלוג תרחישים'!$A:$L, 12, FALSE)</f>
        <v>א׳</v>
      </c>
      <c r="L399" s="29" t="str">
        <f>IF(J399="כן", K399, VLOOKUP(LEFT(H399, 7), 'קטלוג תרחישים'!$A:$M, 13, FALSE))</f>
        <v>א׳</v>
      </c>
    </row>
    <row r="400" spans="1:12">
      <c r="A400" s="29" t="s">
        <v>164</v>
      </c>
      <c r="B400" s="29">
        <v>3</v>
      </c>
      <c r="C400" s="29" t="s">
        <v>339</v>
      </c>
      <c r="D400" s="29"/>
      <c r="E400" s="29" t="s">
        <v>99</v>
      </c>
      <c r="F400" s="29"/>
      <c r="G400" s="29"/>
      <c r="H400" s="30" t="s">
        <v>352</v>
      </c>
      <c r="I400" s="29" t="s">
        <v>89</v>
      </c>
      <c r="J400" s="29" t="s">
        <v>340</v>
      </c>
      <c r="K400" s="29" t="str">
        <f>VLOOKUP(LEFT(H400, 7), 'קטלוג תרחישים'!$A:$L, 12, FALSE)</f>
        <v>ב׳</v>
      </c>
      <c r="L400" s="29" t="str">
        <f>IF(J400="כן", K400, VLOOKUP(LEFT(H400, 7), 'קטלוג תרחישים'!$A:$M, 13, FALSE))</f>
        <v>ב׳</v>
      </c>
    </row>
    <row r="401" spans="1:12">
      <c r="A401" s="29" t="s">
        <v>164</v>
      </c>
      <c r="B401" s="29">
        <v>4</v>
      </c>
      <c r="C401" s="29" t="s">
        <v>339</v>
      </c>
      <c r="D401" s="29"/>
      <c r="E401" s="29" t="s">
        <v>99</v>
      </c>
      <c r="F401" s="29"/>
      <c r="G401" s="29"/>
      <c r="H401" s="30" t="s">
        <v>353</v>
      </c>
      <c r="I401" s="29" t="s">
        <v>89</v>
      </c>
      <c r="J401" s="29" t="s">
        <v>340</v>
      </c>
      <c r="K401" s="29" t="str">
        <f>VLOOKUP(LEFT(H401, 7), 'קטלוג תרחישים'!$A:$L, 12, FALSE)</f>
        <v>ב׳</v>
      </c>
      <c r="L401" s="29" t="str">
        <f>IF(J401="כן", K401, VLOOKUP(LEFT(H401, 7), 'קטלוג תרחישים'!$A:$M, 13, FALSE))</f>
        <v>ב׳</v>
      </c>
    </row>
    <row r="402" spans="1:12">
      <c r="A402" s="29" t="s">
        <v>164</v>
      </c>
      <c r="B402" s="29">
        <v>5</v>
      </c>
      <c r="C402" s="29" t="s">
        <v>339</v>
      </c>
      <c r="D402" s="29"/>
      <c r="E402" s="29" t="s">
        <v>105</v>
      </c>
      <c r="F402" s="29"/>
      <c r="G402" s="29"/>
      <c r="H402" s="30" t="s">
        <v>354</v>
      </c>
      <c r="I402" s="29" t="s">
        <v>89</v>
      </c>
      <c r="J402" s="29" t="s">
        <v>340</v>
      </c>
      <c r="K402" s="29" t="str">
        <f>VLOOKUP(LEFT(H402, 7), 'קטלוג תרחישים'!$A:$L, 12, FALSE)</f>
        <v>ג׳</v>
      </c>
      <c r="L402" s="29" t="str">
        <f>IF(J402="כן", K402, VLOOKUP(LEFT(H402, 7), 'קטלוג תרחישים'!$A:$M, 13, FALSE))</f>
        <v>ג׳</v>
      </c>
    </row>
    <row r="403" spans="1:12">
      <c r="A403" s="29" t="s">
        <v>164</v>
      </c>
      <c r="B403" s="29">
        <v>6</v>
      </c>
      <c r="C403" s="29" t="s">
        <v>339</v>
      </c>
      <c r="D403" s="29"/>
      <c r="E403" s="29" t="s">
        <v>105</v>
      </c>
      <c r="F403" s="29"/>
      <c r="G403" s="29"/>
      <c r="H403" s="30" t="s">
        <v>90</v>
      </c>
      <c r="I403" s="29" t="s">
        <v>89</v>
      </c>
      <c r="J403" s="29" t="s">
        <v>340</v>
      </c>
      <c r="K403" s="29" t="str">
        <f>VLOOKUP(LEFT(H403, 7), 'קטלוג תרחישים'!$A:$L, 12, FALSE)</f>
        <v>ג׳</v>
      </c>
      <c r="L403" s="29" t="str">
        <f>IF(J403="כן", K403, VLOOKUP(LEFT(H403, 7), 'קטלוג תרחישים'!$A:$M, 13, FALSE))</f>
        <v>ג׳</v>
      </c>
    </row>
    <row r="404" spans="1:12">
      <c r="A404" s="29" t="s">
        <v>164</v>
      </c>
      <c r="B404" s="29">
        <v>7</v>
      </c>
      <c r="C404" s="29" t="s">
        <v>341</v>
      </c>
      <c r="D404" s="29">
        <v>1</v>
      </c>
      <c r="E404" s="29" t="s">
        <v>92</v>
      </c>
      <c r="F404" s="29" t="s">
        <v>342</v>
      </c>
      <c r="G404" s="29" t="s">
        <v>91</v>
      </c>
      <c r="H404" s="29" t="s">
        <v>146</v>
      </c>
      <c r="I404" s="29" t="s">
        <v>89</v>
      </c>
      <c r="J404" s="29" t="s">
        <v>340</v>
      </c>
      <c r="K404" s="29" t="str">
        <f>VLOOKUP(LEFT(H404, 7), 'קטלוג תרחישים'!$A:$L, 12, FALSE)</f>
        <v>ג׳</v>
      </c>
      <c r="L404" s="29" t="str">
        <f>IF(J404="כן", K404, VLOOKUP(LEFT(H404, 7), 'קטלוג תרחישים'!$A:$M, 13, FALSE))</f>
        <v>ג׳</v>
      </c>
    </row>
    <row r="405" spans="1:12">
      <c r="A405" s="29" t="s">
        <v>164</v>
      </c>
      <c r="B405" s="29">
        <v>8</v>
      </c>
      <c r="C405" s="29" t="s">
        <v>341</v>
      </c>
      <c r="D405" s="29">
        <v>1</v>
      </c>
      <c r="E405" s="29" t="s">
        <v>92</v>
      </c>
      <c r="F405" s="29" t="s">
        <v>342</v>
      </c>
      <c r="G405" s="29" t="s">
        <v>91</v>
      </c>
      <c r="H405" s="29" t="s">
        <v>149</v>
      </c>
      <c r="I405" s="29" t="s">
        <v>94</v>
      </c>
      <c r="J405" s="29" t="s">
        <v>340</v>
      </c>
      <c r="K405" s="29" t="str">
        <f>VLOOKUP(LEFT(H405, 7), 'קטלוג תרחישים'!$A:$L, 12, FALSE)</f>
        <v>ג׳</v>
      </c>
      <c r="L405" s="29" t="str">
        <f>IF(J405="כן", K405, VLOOKUP(LEFT(H405, 7), 'קטלוג תרחישים'!$A:$M, 13, FALSE))</f>
        <v>ג׳</v>
      </c>
    </row>
    <row r="406" spans="1:12">
      <c r="A406" s="29" t="s">
        <v>164</v>
      </c>
      <c r="B406" s="29">
        <v>9</v>
      </c>
      <c r="C406" s="29" t="s">
        <v>341</v>
      </c>
      <c r="D406" s="29">
        <v>1</v>
      </c>
      <c r="E406" s="29" t="s">
        <v>92</v>
      </c>
      <c r="F406" s="29" t="s">
        <v>342</v>
      </c>
      <c r="G406" s="29" t="s">
        <v>91</v>
      </c>
      <c r="H406" s="29" t="s">
        <v>150</v>
      </c>
      <c r="I406" s="29" t="s">
        <v>89</v>
      </c>
      <c r="J406" s="29" t="s">
        <v>343</v>
      </c>
      <c r="K406" s="29" t="str">
        <f>VLOOKUP(LEFT(H406, 7), 'קטלוג תרחישים'!$A:$L, 12, FALSE)</f>
        <v>א׳</v>
      </c>
      <c r="L406" s="29" t="str">
        <f>IF(J406="כן", K406, VLOOKUP(LEFT(H406, 7), 'קטלוג תרחישים'!$A:$M, 13, FALSE))</f>
        <v>ג׳</v>
      </c>
    </row>
    <row r="407" spans="1:12">
      <c r="A407" s="29" t="s">
        <v>164</v>
      </c>
      <c r="B407" s="29">
        <v>10</v>
      </c>
      <c r="C407" s="29" t="s">
        <v>341</v>
      </c>
      <c r="D407" s="29">
        <v>1</v>
      </c>
      <c r="E407" s="29" t="s">
        <v>92</v>
      </c>
      <c r="F407" s="29" t="s">
        <v>342</v>
      </c>
      <c r="G407" s="29" t="s">
        <v>91</v>
      </c>
      <c r="H407" s="29" t="s">
        <v>147</v>
      </c>
      <c r="I407" s="29" t="s">
        <v>94</v>
      </c>
      <c r="J407" s="29" t="s">
        <v>340</v>
      </c>
      <c r="K407" s="29" t="str">
        <f>VLOOKUP(LEFT(H407, 7), 'קטלוג תרחישים'!$A:$L, 12, FALSE)</f>
        <v>ב׳</v>
      </c>
      <c r="L407" s="29" t="str">
        <f>IF(J407="כן", K407, VLOOKUP(LEFT(H407, 7), 'קטלוג תרחישים'!$A:$M, 13, FALSE))</f>
        <v>ב׳</v>
      </c>
    </row>
    <row r="408" spans="1:12">
      <c r="A408" s="29" t="s">
        <v>164</v>
      </c>
      <c r="B408" s="29">
        <v>11</v>
      </c>
      <c r="C408" s="29" t="s">
        <v>341</v>
      </c>
      <c r="D408" s="29">
        <v>1</v>
      </c>
      <c r="E408" s="29" t="s">
        <v>92</v>
      </c>
      <c r="F408" s="29" t="s">
        <v>342</v>
      </c>
      <c r="G408" s="29" t="s">
        <v>91</v>
      </c>
      <c r="H408" s="29" t="s">
        <v>148</v>
      </c>
      <c r="I408" s="29" t="s">
        <v>89</v>
      </c>
      <c r="J408" s="29" t="s">
        <v>340</v>
      </c>
      <c r="K408" s="29" t="str">
        <f>VLOOKUP(LEFT(H408, 7), 'קטלוג תרחישים'!$A:$L, 12, FALSE)</f>
        <v>א׳</v>
      </c>
      <c r="L408" s="29" t="str">
        <f>IF(J408="כן", K408, VLOOKUP(LEFT(H408, 7), 'קטלוג תרחישים'!$A:$M, 13, FALSE))</f>
        <v>א׳</v>
      </c>
    </row>
    <row r="409" spans="1:12">
      <c r="A409" s="29" t="s">
        <v>164</v>
      </c>
      <c r="B409" s="29">
        <v>12</v>
      </c>
      <c r="C409" s="29" t="s">
        <v>341</v>
      </c>
      <c r="D409" s="29">
        <v>2</v>
      </c>
      <c r="E409" s="29" t="s">
        <v>99</v>
      </c>
      <c r="F409" s="29" t="s">
        <v>342</v>
      </c>
      <c r="G409" s="29" t="s">
        <v>91</v>
      </c>
      <c r="H409" s="29" t="s">
        <v>138</v>
      </c>
      <c r="I409" s="29" t="s">
        <v>94</v>
      </c>
      <c r="J409" s="29" t="s">
        <v>340</v>
      </c>
      <c r="K409" s="29" t="str">
        <f>VLOOKUP(LEFT(H409, 7), 'קטלוג תרחישים'!$A:$L, 12, FALSE)</f>
        <v>ב׳</v>
      </c>
      <c r="L409" s="29" t="str">
        <f>IF(J409="כן", K409, VLOOKUP(LEFT(H409, 7), 'קטלוג תרחישים'!$A:$M, 13, FALSE))</f>
        <v>ב׳</v>
      </c>
    </row>
    <row r="410" spans="1:12">
      <c r="A410" s="29" t="s">
        <v>164</v>
      </c>
      <c r="B410" s="29">
        <v>13</v>
      </c>
      <c r="C410" s="29" t="s">
        <v>341</v>
      </c>
      <c r="D410" s="29">
        <v>2</v>
      </c>
      <c r="E410" s="29" t="s">
        <v>99</v>
      </c>
      <c r="F410" s="29" t="s">
        <v>342</v>
      </c>
      <c r="G410" s="29" t="s">
        <v>91</v>
      </c>
      <c r="H410" s="29" t="s">
        <v>137</v>
      </c>
      <c r="I410" s="29" t="s">
        <v>89</v>
      </c>
      <c r="J410" s="29" t="s">
        <v>343</v>
      </c>
      <c r="K410" s="29" t="str">
        <f>VLOOKUP(LEFT(H410, 7), 'קטלוג תרחישים'!$A:$L, 12, FALSE)</f>
        <v>ג׳</v>
      </c>
      <c r="L410" s="29" t="str">
        <f>IF(J410="כן", K410, VLOOKUP(LEFT(H410, 7), 'קטלוג תרחישים'!$A:$M, 13, FALSE))</f>
        <v>א׳</v>
      </c>
    </row>
    <row r="411" spans="1:12">
      <c r="A411" s="29" t="s">
        <v>164</v>
      </c>
      <c r="B411" s="29">
        <v>14</v>
      </c>
      <c r="C411" s="29" t="s">
        <v>341</v>
      </c>
      <c r="D411" s="29">
        <v>2</v>
      </c>
      <c r="E411" s="29" t="s">
        <v>99</v>
      </c>
      <c r="F411" s="29" t="s">
        <v>342</v>
      </c>
      <c r="G411" s="29" t="s">
        <v>91</v>
      </c>
      <c r="H411" s="29" t="s">
        <v>136</v>
      </c>
      <c r="I411" s="29" t="s">
        <v>94</v>
      </c>
      <c r="J411" s="29" t="s">
        <v>340</v>
      </c>
      <c r="K411" s="29" t="str">
        <f>VLOOKUP(LEFT(H411, 7), 'קטלוג תרחישים'!$A:$L, 12, FALSE)</f>
        <v>ג׳</v>
      </c>
      <c r="L411" s="29" t="str">
        <f>IF(J411="כן", K411, VLOOKUP(LEFT(H411, 7), 'קטלוג תרחישים'!$A:$M, 13, FALSE))</f>
        <v>ג׳</v>
      </c>
    </row>
    <row r="412" spans="1:12">
      <c r="A412" s="29" t="s">
        <v>164</v>
      </c>
      <c r="B412" s="29">
        <v>15</v>
      </c>
      <c r="C412" s="29" t="s">
        <v>341</v>
      </c>
      <c r="D412" s="29">
        <v>2</v>
      </c>
      <c r="E412" s="29" t="s">
        <v>99</v>
      </c>
      <c r="F412" s="29" t="s">
        <v>342</v>
      </c>
      <c r="G412" s="29" t="s">
        <v>91</v>
      </c>
      <c r="H412" s="29" t="s">
        <v>139</v>
      </c>
      <c r="I412" s="29" t="s">
        <v>89</v>
      </c>
      <c r="J412" s="29" t="s">
        <v>340</v>
      </c>
      <c r="K412" s="29" t="str">
        <f>VLOOKUP(LEFT(H412, 7), 'קטלוג תרחישים'!$A:$L, 12, FALSE)</f>
        <v>ג׳</v>
      </c>
      <c r="L412" s="29" t="str">
        <f>IF(J412="כן", K412, VLOOKUP(LEFT(H412, 7), 'קטלוג תרחישים'!$A:$M, 13, FALSE))</f>
        <v>ג׳</v>
      </c>
    </row>
    <row r="413" spans="1:12">
      <c r="A413" s="29" t="s">
        <v>164</v>
      </c>
      <c r="B413" s="29">
        <v>16</v>
      </c>
      <c r="C413" s="29" t="s">
        <v>341</v>
      </c>
      <c r="D413" s="29">
        <v>2</v>
      </c>
      <c r="E413" s="29" t="s">
        <v>99</v>
      </c>
      <c r="F413" s="29" t="s">
        <v>342</v>
      </c>
      <c r="G413" s="29" t="s">
        <v>91</v>
      </c>
      <c r="H413" s="29" t="s">
        <v>140</v>
      </c>
      <c r="I413" s="29" t="s">
        <v>94</v>
      </c>
      <c r="J413" s="29" t="s">
        <v>340</v>
      </c>
      <c r="K413" s="29" t="str">
        <f>VLOOKUP(LEFT(H413, 7), 'קטלוג תרחישים'!$A:$L, 12, FALSE)</f>
        <v>א׳</v>
      </c>
      <c r="L413" s="29" t="str">
        <f>IF(J413="כן", K413, VLOOKUP(LEFT(H413, 7), 'קטלוג תרחישים'!$A:$M, 13, FALSE))</f>
        <v>א׳</v>
      </c>
    </row>
    <row r="414" spans="1:12">
      <c r="A414" s="29" t="s">
        <v>164</v>
      </c>
      <c r="B414" s="29">
        <v>17</v>
      </c>
      <c r="C414" s="29" t="s">
        <v>341</v>
      </c>
      <c r="D414" s="29">
        <v>3</v>
      </c>
      <c r="E414" s="29" t="s">
        <v>105</v>
      </c>
      <c r="F414" s="29" t="s">
        <v>342</v>
      </c>
      <c r="G414" s="29" t="s">
        <v>91</v>
      </c>
      <c r="H414" s="29" t="s">
        <v>141</v>
      </c>
      <c r="I414" s="29" t="s">
        <v>89</v>
      </c>
      <c r="J414" s="29" t="s">
        <v>343</v>
      </c>
      <c r="K414" s="29" t="str">
        <f>VLOOKUP(LEFT(H414, 7), 'קטלוג תרחישים'!$A:$L, 12, FALSE)</f>
        <v>ב׳</v>
      </c>
      <c r="L414" s="29" t="str">
        <f>IF(J414="כן", K414, VLOOKUP(LEFT(H414, 7), 'קטלוג תרחישים'!$A:$M, 13, FALSE))</f>
        <v>א׳</v>
      </c>
    </row>
    <row r="415" spans="1:12">
      <c r="A415" s="29" t="s">
        <v>164</v>
      </c>
      <c r="B415" s="29">
        <v>18</v>
      </c>
      <c r="C415" s="29" t="s">
        <v>341</v>
      </c>
      <c r="D415" s="29">
        <v>3</v>
      </c>
      <c r="E415" s="29" t="s">
        <v>105</v>
      </c>
      <c r="F415" s="29" t="s">
        <v>342</v>
      </c>
      <c r="G415" s="29" t="s">
        <v>91</v>
      </c>
      <c r="H415" s="29" t="s">
        <v>142</v>
      </c>
      <c r="I415" s="29" t="s">
        <v>94</v>
      </c>
      <c r="J415" s="29" t="s">
        <v>340</v>
      </c>
      <c r="K415" s="29" t="str">
        <f>VLOOKUP(LEFT(H415, 7), 'קטלוג תרחישים'!$A:$L, 12, FALSE)</f>
        <v>א׳</v>
      </c>
      <c r="L415" s="29" t="str">
        <f>IF(J415="כן", K415, VLOOKUP(LEFT(H415, 7), 'קטלוג תרחישים'!$A:$M, 13, FALSE))</f>
        <v>א׳</v>
      </c>
    </row>
    <row r="416" spans="1:12">
      <c r="A416" s="29" t="s">
        <v>164</v>
      </c>
      <c r="B416" s="29">
        <v>19</v>
      </c>
      <c r="C416" s="29" t="s">
        <v>341</v>
      </c>
      <c r="D416" s="29">
        <v>3</v>
      </c>
      <c r="E416" s="29" t="s">
        <v>105</v>
      </c>
      <c r="F416" s="29" t="s">
        <v>342</v>
      </c>
      <c r="G416" s="29" t="s">
        <v>91</v>
      </c>
      <c r="H416" s="29" t="s">
        <v>145</v>
      </c>
      <c r="I416" s="29" t="s">
        <v>89</v>
      </c>
      <c r="J416" s="29" t="s">
        <v>340</v>
      </c>
      <c r="K416" s="29" t="str">
        <f>VLOOKUP(LEFT(H416, 7), 'קטלוג תרחישים'!$A:$L, 12, FALSE)</f>
        <v>ב׳</v>
      </c>
      <c r="L416" s="29" t="str">
        <f>IF(J416="כן", K416, VLOOKUP(LEFT(H416, 7), 'קטלוג תרחישים'!$A:$M, 13, FALSE))</f>
        <v>ב׳</v>
      </c>
    </row>
    <row r="417" spans="1:12">
      <c r="A417" s="29" t="s">
        <v>164</v>
      </c>
      <c r="B417" s="29">
        <v>20</v>
      </c>
      <c r="C417" s="29" t="s">
        <v>341</v>
      </c>
      <c r="D417" s="29">
        <v>3</v>
      </c>
      <c r="E417" s="29" t="s">
        <v>105</v>
      </c>
      <c r="F417" s="29" t="s">
        <v>342</v>
      </c>
      <c r="G417" s="29" t="s">
        <v>91</v>
      </c>
      <c r="H417" s="29" t="s">
        <v>144</v>
      </c>
      <c r="I417" s="29" t="s">
        <v>94</v>
      </c>
      <c r="J417" s="29" t="s">
        <v>340</v>
      </c>
      <c r="K417" s="29" t="str">
        <f>VLOOKUP(LEFT(H417, 7), 'קטלוג תרחישים'!$A:$L, 12, FALSE)</f>
        <v>ג׳</v>
      </c>
      <c r="L417" s="29" t="str">
        <f>IF(J417="כן", K417, VLOOKUP(LEFT(H417, 7), 'קטלוג תרחישים'!$A:$M, 13, FALSE))</f>
        <v>ג׳</v>
      </c>
    </row>
    <row r="418" spans="1:12">
      <c r="A418" s="29" t="s">
        <v>164</v>
      </c>
      <c r="B418" s="29">
        <v>21</v>
      </c>
      <c r="C418" s="29" t="s">
        <v>341</v>
      </c>
      <c r="D418" s="29">
        <v>3</v>
      </c>
      <c r="E418" s="29" t="s">
        <v>105</v>
      </c>
      <c r="F418" s="29" t="s">
        <v>342</v>
      </c>
      <c r="G418" s="29" t="s">
        <v>91</v>
      </c>
      <c r="H418" s="29" t="s">
        <v>143</v>
      </c>
      <c r="I418" s="29" t="s">
        <v>89</v>
      </c>
      <c r="J418" s="29" t="s">
        <v>340</v>
      </c>
      <c r="K418" s="29" t="str">
        <f>VLOOKUP(LEFT(H418, 7), 'קטלוג תרחישים'!$A:$L, 12, FALSE)</f>
        <v>א׳</v>
      </c>
      <c r="L418" s="29" t="str">
        <f>IF(J418="כן", K418, VLOOKUP(LEFT(H418, 7), 'קטלוג תרחישים'!$A:$M, 13, FALSE))</f>
        <v>א׳</v>
      </c>
    </row>
    <row r="419" spans="1:12">
      <c r="A419" s="29" t="s">
        <v>164</v>
      </c>
      <c r="B419" s="29">
        <v>22</v>
      </c>
      <c r="C419" s="29" t="s">
        <v>341</v>
      </c>
      <c r="D419" s="29">
        <v>1</v>
      </c>
      <c r="E419" s="29" t="s">
        <v>99</v>
      </c>
      <c r="F419" s="29" t="s">
        <v>344</v>
      </c>
      <c r="G419" s="29" t="s">
        <v>111</v>
      </c>
      <c r="H419" s="29" t="s">
        <v>161</v>
      </c>
      <c r="I419" s="29" t="s">
        <v>89</v>
      </c>
      <c r="J419" s="29" t="s">
        <v>340</v>
      </c>
      <c r="K419" s="29" t="str">
        <f>VLOOKUP(LEFT(H419, 7), 'קטלוג תרחישים'!$A:$L, 12, FALSE)</f>
        <v>ג׳</v>
      </c>
      <c r="L419" s="29" t="str">
        <f>IF(J419="כן", K419, VLOOKUP(LEFT(H419, 7), 'קטלוג תרחישים'!$A:$M, 13, FALSE))</f>
        <v>ג׳</v>
      </c>
    </row>
    <row r="420" spans="1:12">
      <c r="A420" s="29" t="s">
        <v>164</v>
      </c>
      <c r="B420" s="29">
        <v>23</v>
      </c>
      <c r="C420" s="29" t="s">
        <v>341</v>
      </c>
      <c r="D420" s="29">
        <v>1</v>
      </c>
      <c r="E420" s="29" t="s">
        <v>99</v>
      </c>
      <c r="F420" s="29" t="s">
        <v>344</v>
      </c>
      <c r="G420" s="29" t="s">
        <v>111</v>
      </c>
      <c r="H420" s="29" t="s">
        <v>162</v>
      </c>
      <c r="I420" s="29" t="s">
        <v>94</v>
      </c>
      <c r="J420" s="29" t="s">
        <v>340</v>
      </c>
      <c r="K420" s="29" t="str">
        <f>VLOOKUP(LEFT(H420, 7), 'קטלוג תרחישים'!$A:$L, 12, FALSE)</f>
        <v>א׳</v>
      </c>
      <c r="L420" s="29" t="str">
        <f>IF(J420="כן", K420, VLOOKUP(LEFT(H420, 7), 'קטלוג תרחישים'!$A:$M, 13, FALSE))</f>
        <v>א׳</v>
      </c>
    </row>
    <row r="421" spans="1:12">
      <c r="A421" s="29" t="s">
        <v>164</v>
      </c>
      <c r="B421" s="29">
        <v>24</v>
      </c>
      <c r="C421" s="29" t="s">
        <v>341</v>
      </c>
      <c r="D421" s="29">
        <v>1</v>
      </c>
      <c r="E421" s="29" t="s">
        <v>99</v>
      </c>
      <c r="F421" s="29" t="s">
        <v>344</v>
      </c>
      <c r="G421" s="29" t="s">
        <v>111</v>
      </c>
      <c r="H421" s="29" t="s">
        <v>159</v>
      </c>
      <c r="I421" s="29" t="s">
        <v>89</v>
      </c>
      <c r="J421" s="29" t="s">
        <v>343</v>
      </c>
      <c r="K421" s="29" t="str">
        <f>VLOOKUP(LEFT(H421, 7), 'קטלוג תרחישים'!$A:$L, 12, FALSE)</f>
        <v>ב׳</v>
      </c>
      <c r="L421" s="29" t="str">
        <f>IF(J421="כן", K421, VLOOKUP(LEFT(H421, 7), 'קטלוג תרחישים'!$A:$M, 13, FALSE))</f>
        <v>א׳</v>
      </c>
    </row>
    <row r="422" spans="1:12">
      <c r="A422" s="29" t="s">
        <v>164</v>
      </c>
      <c r="B422" s="29">
        <v>25</v>
      </c>
      <c r="C422" s="29" t="s">
        <v>341</v>
      </c>
      <c r="D422" s="29">
        <v>1</v>
      </c>
      <c r="E422" s="29" t="s">
        <v>99</v>
      </c>
      <c r="F422" s="29" t="s">
        <v>344</v>
      </c>
      <c r="G422" s="29" t="s">
        <v>111</v>
      </c>
      <c r="H422" s="29" t="s">
        <v>160</v>
      </c>
      <c r="I422" s="29" t="s">
        <v>94</v>
      </c>
      <c r="J422" s="29" t="s">
        <v>343</v>
      </c>
      <c r="K422" s="29" t="str">
        <f>VLOOKUP(LEFT(H422, 7), 'קטלוג תרחישים'!$A:$L, 12, FALSE)</f>
        <v>ב׳</v>
      </c>
      <c r="L422" s="29" t="str">
        <f>IF(J422="כן", K422, VLOOKUP(LEFT(H422, 7), 'קטלוג תרחישים'!$A:$M, 13, FALSE))</f>
        <v>א׳</v>
      </c>
    </row>
    <row r="423" spans="1:12">
      <c r="A423" s="29" t="s">
        <v>164</v>
      </c>
      <c r="B423" s="29">
        <v>26</v>
      </c>
      <c r="C423" s="29" t="s">
        <v>341</v>
      </c>
      <c r="D423" s="29">
        <v>2</v>
      </c>
      <c r="E423" s="29" t="s">
        <v>105</v>
      </c>
      <c r="F423" s="29" t="s">
        <v>344</v>
      </c>
      <c r="G423" s="29" t="s">
        <v>111</v>
      </c>
      <c r="H423" s="29" t="s">
        <v>151</v>
      </c>
      <c r="I423" s="29" t="s">
        <v>89</v>
      </c>
      <c r="J423" s="29" t="s">
        <v>343</v>
      </c>
      <c r="K423" s="29" t="str">
        <f>VLOOKUP(LEFT(H423, 7), 'קטלוג תרחישים'!$A:$L, 12, FALSE)</f>
        <v>א׳</v>
      </c>
      <c r="L423" s="29" t="str">
        <f>IF(J423="כן", K423, VLOOKUP(LEFT(H423, 7), 'קטלוג תרחישים'!$A:$M, 13, FALSE))</f>
        <v>ג׳</v>
      </c>
    </row>
    <row r="424" spans="1:12">
      <c r="A424" s="29" t="s">
        <v>164</v>
      </c>
      <c r="B424" s="29">
        <v>27</v>
      </c>
      <c r="C424" s="29" t="s">
        <v>341</v>
      </c>
      <c r="D424" s="29">
        <v>2</v>
      </c>
      <c r="E424" s="29" t="s">
        <v>105</v>
      </c>
      <c r="F424" s="29" t="s">
        <v>344</v>
      </c>
      <c r="G424" s="29" t="s">
        <v>111</v>
      </c>
      <c r="H424" s="29" t="s">
        <v>154</v>
      </c>
      <c r="I424" s="29" t="s">
        <v>94</v>
      </c>
      <c r="J424" s="29" t="s">
        <v>343</v>
      </c>
      <c r="K424" s="29" t="str">
        <f>VLOOKUP(LEFT(H424, 7), 'קטלוג תרחישים'!$A:$L, 12, FALSE)</f>
        <v>ג׳</v>
      </c>
      <c r="L424" s="29" t="str">
        <f>IF(J424="כן", K424, VLOOKUP(LEFT(H424, 7), 'קטלוג תרחישים'!$A:$M, 13, FALSE))</f>
        <v>א׳</v>
      </c>
    </row>
    <row r="425" spans="1:12">
      <c r="A425" s="29" t="s">
        <v>164</v>
      </c>
      <c r="B425" s="29">
        <v>28</v>
      </c>
      <c r="C425" s="29" t="s">
        <v>341</v>
      </c>
      <c r="D425" s="29">
        <v>2</v>
      </c>
      <c r="E425" s="29" t="s">
        <v>105</v>
      </c>
      <c r="F425" s="29" t="s">
        <v>344</v>
      </c>
      <c r="G425" s="29" t="s">
        <v>111</v>
      </c>
      <c r="H425" s="29" t="s">
        <v>153</v>
      </c>
      <c r="I425" s="29" t="s">
        <v>89</v>
      </c>
      <c r="J425" s="29" t="s">
        <v>340</v>
      </c>
      <c r="K425" s="29" t="str">
        <f>VLOOKUP(LEFT(H425, 7), 'קטלוג תרחישים'!$A:$L, 12, FALSE)</f>
        <v>ג׳</v>
      </c>
      <c r="L425" s="29" t="str">
        <f>IF(J425="כן", K425, VLOOKUP(LEFT(H425, 7), 'קטלוג תרחישים'!$A:$M, 13, FALSE))</f>
        <v>ג׳</v>
      </c>
    </row>
    <row r="426" spans="1:12">
      <c r="A426" s="29" t="s">
        <v>164</v>
      </c>
      <c r="B426" s="29">
        <v>29</v>
      </c>
      <c r="C426" s="29" t="s">
        <v>341</v>
      </c>
      <c r="D426" s="29">
        <v>2</v>
      </c>
      <c r="E426" s="29" t="s">
        <v>105</v>
      </c>
      <c r="F426" s="29" t="s">
        <v>344</v>
      </c>
      <c r="G426" s="29" t="s">
        <v>111</v>
      </c>
      <c r="H426" s="29" t="s">
        <v>152</v>
      </c>
      <c r="I426" s="29" t="s">
        <v>94</v>
      </c>
      <c r="J426" s="29" t="s">
        <v>340</v>
      </c>
      <c r="K426" s="29" t="str">
        <f>VLOOKUP(LEFT(H426, 7), 'קטלוג תרחישים'!$A:$L, 12, FALSE)</f>
        <v>ב׳</v>
      </c>
      <c r="L426" s="29" t="str">
        <f>IF(J426="כן", K426, VLOOKUP(LEFT(H426, 7), 'קטלוג תרחישים'!$A:$M, 13, FALSE))</f>
        <v>ב׳</v>
      </c>
    </row>
    <row r="427" spans="1:12">
      <c r="A427" s="29" t="s">
        <v>164</v>
      </c>
      <c r="B427" s="29">
        <v>30</v>
      </c>
      <c r="C427" s="29" t="s">
        <v>341</v>
      </c>
      <c r="D427" s="29">
        <v>3</v>
      </c>
      <c r="E427" s="29" t="s">
        <v>92</v>
      </c>
      <c r="F427" s="29" t="s">
        <v>344</v>
      </c>
      <c r="G427" s="29" t="s">
        <v>111</v>
      </c>
      <c r="H427" s="29" t="s">
        <v>157</v>
      </c>
      <c r="I427" s="29" t="s">
        <v>89</v>
      </c>
      <c r="J427" s="29" t="s">
        <v>343</v>
      </c>
      <c r="K427" s="29" t="str">
        <f>VLOOKUP(LEFT(H427, 7), 'קטלוג תרחישים'!$A:$L, 12, FALSE)</f>
        <v>ב׳</v>
      </c>
      <c r="L427" s="29" t="str">
        <f>IF(J427="כן", K427, VLOOKUP(LEFT(H427, 7), 'קטלוג תרחישים'!$A:$M, 13, FALSE))</f>
        <v>א׳</v>
      </c>
    </row>
    <row r="428" spans="1:12">
      <c r="A428" s="29" t="s">
        <v>164</v>
      </c>
      <c r="B428" s="29">
        <v>31</v>
      </c>
      <c r="C428" s="29" t="s">
        <v>341</v>
      </c>
      <c r="D428" s="29">
        <v>3</v>
      </c>
      <c r="E428" s="29" t="s">
        <v>92</v>
      </c>
      <c r="F428" s="29" t="s">
        <v>344</v>
      </c>
      <c r="G428" s="29" t="s">
        <v>111</v>
      </c>
      <c r="H428" s="29" t="s">
        <v>158</v>
      </c>
      <c r="I428" s="29" t="s">
        <v>94</v>
      </c>
      <c r="J428" s="29" t="s">
        <v>340</v>
      </c>
      <c r="K428" s="29" t="str">
        <f>VLOOKUP(LEFT(H428, 7), 'קטלוג תרחישים'!$A:$L, 12, FALSE)</f>
        <v>א׳</v>
      </c>
      <c r="L428" s="29" t="str">
        <f>IF(J428="כן", K428, VLOOKUP(LEFT(H428, 7), 'קטלוג תרחישים'!$A:$M, 13, FALSE))</f>
        <v>א׳</v>
      </c>
    </row>
    <row r="429" spans="1:12">
      <c r="A429" s="29" t="s">
        <v>164</v>
      </c>
      <c r="B429" s="29">
        <v>32</v>
      </c>
      <c r="C429" s="29" t="s">
        <v>341</v>
      </c>
      <c r="D429" s="29">
        <v>3</v>
      </c>
      <c r="E429" s="29" t="s">
        <v>92</v>
      </c>
      <c r="F429" s="29" t="s">
        <v>344</v>
      </c>
      <c r="G429" s="29" t="s">
        <v>111</v>
      </c>
      <c r="H429" s="29" t="s">
        <v>155</v>
      </c>
      <c r="I429" s="29" t="s">
        <v>89</v>
      </c>
      <c r="J429" s="29" t="s">
        <v>340</v>
      </c>
      <c r="K429" s="29" t="str">
        <f>VLOOKUP(LEFT(H429, 7), 'קטלוג תרחישים'!$A:$L, 12, FALSE)</f>
        <v>ב׳</v>
      </c>
      <c r="L429" s="29" t="str">
        <f>IF(J429="כן", K429, VLOOKUP(LEFT(H429, 7), 'קטלוג תרחישים'!$A:$M, 13, FALSE))</f>
        <v>ב׳</v>
      </c>
    </row>
    <row r="430" spans="1:12">
      <c r="A430" s="29" t="s">
        <v>164</v>
      </c>
      <c r="B430" s="29">
        <v>33</v>
      </c>
      <c r="C430" s="29" t="s">
        <v>341</v>
      </c>
      <c r="D430" s="29">
        <v>3</v>
      </c>
      <c r="E430" s="29" t="s">
        <v>92</v>
      </c>
      <c r="F430" s="29" t="s">
        <v>344</v>
      </c>
      <c r="G430" s="29" t="s">
        <v>111</v>
      </c>
      <c r="H430" s="29" t="s">
        <v>156</v>
      </c>
      <c r="I430" s="29" t="s">
        <v>94</v>
      </c>
      <c r="J430" s="29" t="s">
        <v>343</v>
      </c>
      <c r="K430" s="29" t="str">
        <f>VLOOKUP(LEFT(H430, 7), 'קטלוג תרחישים'!$A:$L, 12, FALSE)</f>
        <v>א׳</v>
      </c>
      <c r="L430" s="29" t="str">
        <f>IF(J430="כן", K430, VLOOKUP(LEFT(H430, 7), 'קטלוג תרחישים'!$A:$M, 13, FALSE))</f>
        <v>ב׳</v>
      </c>
    </row>
    <row r="431" spans="1:12">
      <c r="A431" s="29" t="s">
        <v>165</v>
      </c>
      <c r="B431" s="29">
        <v>1</v>
      </c>
      <c r="C431" s="29" t="s">
        <v>339</v>
      </c>
      <c r="D431" s="29"/>
      <c r="E431" s="29" t="s">
        <v>92</v>
      </c>
      <c r="F431" s="29"/>
      <c r="G431" s="29"/>
      <c r="H431" s="30" t="s">
        <v>351</v>
      </c>
      <c r="I431" s="29" t="s">
        <v>89</v>
      </c>
      <c r="J431" s="29" t="s">
        <v>340</v>
      </c>
      <c r="K431" s="29" t="str">
        <f>VLOOKUP(LEFT(H431, 7), 'קטלוג תרחישים'!$A:$L, 12, FALSE)</f>
        <v>א׳</v>
      </c>
      <c r="L431" s="29" t="str">
        <f>IF(J431="כן", K431, VLOOKUP(LEFT(H431, 7), 'קטלוג תרחישים'!$A:$M, 13, FALSE))</f>
        <v>א׳</v>
      </c>
    </row>
    <row r="432" spans="1:12">
      <c r="A432" s="29" t="s">
        <v>165</v>
      </c>
      <c r="B432" s="29">
        <v>2</v>
      </c>
      <c r="C432" s="29" t="s">
        <v>339</v>
      </c>
      <c r="D432" s="29"/>
      <c r="E432" s="29" t="s">
        <v>92</v>
      </c>
      <c r="F432" s="29"/>
      <c r="G432" s="29"/>
      <c r="H432" s="30" t="s">
        <v>88</v>
      </c>
      <c r="I432" s="29" t="s">
        <v>89</v>
      </c>
      <c r="J432" s="29" t="s">
        <v>340</v>
      </c>
      <c r="K432" s="29" t="str">
        <f>VLOOKUP(LEFT(H432, 7), 'קטלוג תרחישים'!$A:$L, 12, FALSE)</f>
        <v>א׳</v>
      </c>
      <c r="L432" s="29" t="str">
        <f>IF(J432="כן", K432, VLOOKUP(LEFT(H432, 7), 'קטלוג תרחישים'!$A:$M, 13, FALSE))</f>
        <v>א׳</v>
      </c>
    </row>
    <row r="433" spans="1:12">
      <c r="A433" s="29" t="s">
        <v>165</v>
      </c>
      <c r="B433" s="29">
        <v>3</v>
      </c>
      <c r="C433" s="29" t="s">
        <v>339</v>
      </c>
      <c r="D433" s="29"/>
      <c r="E433" s="29" t="s">
        <v>99</v>
      </c>
      <c r="F433" s="29"/>
      <c r="G433" s="29"/>
      <c r="H433" s="30" t="s">
        <v>352</v>
      </c>
      <c r="I433" s="29" t="s">
        <v>89</v>
      </c>
      <c r="J433" s="29" t="s">
        <v>340</v>
      </c>
      <c r="K433" s="29" t="str">
        <f>VLOOKUP(LEFT(H433, 7), 'קטלוג תרחישים'!$A:$L, 12, FALSE)</f>
        <v>ב׳</v>
      </c>
      <c r="L433" s="29" t="str">
        <f>IF(J433="כן", K433, VLOOKUP(LEFT(H433, 7), 'קטלוג תרחישים'!$A:$M, 13, FALSE))</f>
        <v>ב׳</v>
      </c>
    </row>
    <row r="434" spans="1:12">
      <c r="A434" s="29" t="s">
        <v>165</v>
      </c>
      <c r="B434" s="29">
        <v>4</v>
      </c>
      <c r="C434" s="29" t="s">
        <v>339</v>
      </c>
      <c r="D434" s="29"/>
      <c r="E434" s="29" t="s">
        <v>99</v>
      </c>
      <c r="F434" s="29"/>
      <c r="G434" s="29"/>
      <c r="H434" s="30" t="s">
        <v>353</v>
      </c>
      <c r="I434" s="29" t="s">
        <v>89</v>
      </c>
      <c r="J434" s="29" t="s">
        <v>340</v>
      </c>
      <c r="K434" s="29" t="str">
        <f>VLOOKUP(LEFT(H434, 7), 'קטלוג תרחישים'!$A:$L, 12, FALSE)</f>
        <v>ב׳</v>
      </c>
      <c r="L434" s="29" t="str">
        <f>IF(J434="כן", K434, VLOOKUP(LEFT(H434, 7), 'קטלוג תרחישים'!$A:$M, 13, FALSE))</f>
        <v>ב׳</v>
      </c>
    </row>
    <row r="435" spans="1:12">
      <c r="A435" s="29" t="s">
        <v>165</v>
      </c>
      <c r="B435" s="29">
        <v>5</v>
      </c>
      <c r="C435" s="29" t="s">
        <v>339</v>
      </c>
      <c r="D435" s="29"/>
      <c r="E435" s="29" t="s">
        <v>105</v>
      </c>
      <c r="F435" s="29"/>
      <c r="G435" s="29"/>
      <c r="H435" s="30" t="s">
        <v>354</v>
      </c>
      <c r="I435" s="29" t="s">
        <v>89</v>
      </c>
      <c r="J435" s="29" t="s">
        <v>340</v>
      </c>
      <c r="K435" s="29" t="str">
        <f>VLOOKUP(LEFT(H435, 7), 'קטלוג תרחישים'!$A:$L, 12, FALSE)</f>
        <v>ג׳</v>
      </c>
      <c r="L435" s="29" t="str">
        <f>IF(J435="כן", K435, VLOOKUP(LEFT(H435, 7), 'קטלוג תרחישים'!$A:$M, 13, FALSE))</f>
        <v>ג׳</v>
      </c>
    </row>
    <row r="436" spans="1:12">
      <c r="A436" s="29" t="s">
        <v>165</v>
      </c>
      <c r="B436" s="29">
        <v>6</v>
      </c>
      <c r="C436" s="29" t="s">
        <v>339</v>
      </c>
      <c r="D436" s="29"/>
      <c r="E436" s="29" t="s">
        <v>105</v>
      </c>
      <c r="F436" s="29"/>
      <c r="G436" s="29"/>
      <c r="H436" s="30" t="s">
        <v>90</v>
      </c>
      <c r="I436" s="29" t="s">
        <v>89</v>
      </c>
      <c r="J436" s="29" t="s">
        <v>340</v>
      </c>
      <c r="K436" s="29" t="str">
        <f>VLOOKUP(LEFT(H436, 7), 'קטלוג תרחישים'!$A:$L, 12, FALSE)</f>
        <v>ג׳</v>
      </c>
      <c r="L436" s="29" t="str">
        <f>IF(J436="כן", K436, VLOOKUP(LEFT(H436, 7), 'קטלוג תרחישים'!$A:$M, 13, FALSE))</f>
        <v>ג׳</v>
      </c>
    </row>
    <row r="437" spans="1:12">
      <c r="A437" s="29" t="s">
        <v>165</v>
      </c>
      <c r="B437" s="29">
        <v>7</v>
      </c>
      <c r="C437" s="29" t="s">
        <v>341</v>
      </c>
      <c r="D437" s="29">
        <v>1</v>
      </c>
      <c r="E437" s="29" t="s">
        <v>105</v>
      </c>
      <c r="F437" s="29" t="s">
        <v>342</v>
      </c>
      <c r="G437" s="29" t="s">
        <v>111</v>
      </c>
      <c r="H437" s="29" t="s">
        <v>151</v>
      </c>
      <c r="I437" s="29" t="s">
        <v>89</v>
      </c>
      <c r="J437" s="29" t="s">
        <v>343</v>
      </c>
      <c r="K437" s="29" t="str">
        <f>VLOOKUP(LEFT(H437, 7), 'קטלוג תרחישים'!$A:$L, 12, FALSE)</f>
        <v>א׳</v>
      </c>
      <c r="L437" s="29" t="str">
        <f>IF(J437="כן", K437, VLOOKUP(LEFT(H437, 7), 'קטלוג תרחישים'!$A:$M, 13, FALSE))</f>
        <v>ג׳</v>
      </c>
    </row>
    <row r="438" spans="1:12">
      <c r="A438" s="29" t="s">
        <v>165</v>
      </c>
      <c r="B438" s="29">
        <v>8</v>
      </c>
      <c r="C438" s="29" t="s">
        <v>341</v>
      </c>
      <c r="D438" s="29">
        <v>1</v>
      </c>
      <c r="E438" s="29" t="s">
        <v>105</v>
      </c>
      <c r="F438" s="29" t="s">
        <v>342</v>
      </c>
      <c r="G438" s="29" t="s">
        <v>111</v>
      </c>
      <c r="H438" s="29" t="s">
        <v>152</v>
      </c>
      <c r="I438" s="29" t="s">
        <v>94</v>
      </c>
      <c r="J438" s="29" t="s">
        <v>343</v>
      </c>
      <c r="K438" s="29" t="str">
        <f>VLOOKUP(LEFT(H438, 7), 'קטלוג תרחישים'!$A:$L, 12, FALSE)</f>
        <v>ב׳</v>
      </c>
      <c r="L438" s="29" t="str">
        <f>IF(J438="כן", K438, VLOOKUP(LEFT(H438, 7), 'קטלוג תרחישים'!$A:$M, 13, FALSE))</f>
        <v>ג׳</v>
      </c>
    </row>
    <row r="439" spans="1:12">
      <c r="A439" s="29" t="s">
        <v>165</v>
      </c>
      <c r="B439" s="29">
        <v>9</v>
      </c>
      <c r="C439" s="29" t="s">
        <v>341</v>
      </c>
      <c r="D439" s="29">
        <v>1</v>
      </c>
      <c r="E439" s="29" t="s">
        <v>105</v>
      </c>
      <c r="F439" s="29" t="s">
        <v>342</v>
      </c>
      <c r="G439" s="29" t="s">
        <v>111</v>
      </c>
      <c r="H439" s="29" t="s">
        <v>153</v>
      </c>
      <c r="I439" s="29" t="s">
        <v>89</v>
      </c>
      <c r="J439" s="29" t="s">
        <v>340</v>
      </c>
      <c r="K439" s="29" t="str">
        <f>VLOOKUP(LEFT(H439, 7), 'קטלוג תרחישים'!$A:$L, 12, FALSE)</f>
        <v>ג׳</v>
      </c>
      <c r="L439" s="29" t="str">
        <f>IF(J439="כן", K439, VLOOKUP(LEFT(H439, 7), 'קטלוג תרחישים'!$A:$M, 13, FALSE))</f>
        <v>ג׳</v>
      </c>
    </row>
    <row r="440" spans="1:12">
      <c r="A440" s="29" t="s">
        <v>165</v>
      </c>
      <c r="B440" s="29">
        <v>10</v>
      </c>
      <c r="C440" s="29" t="s">
        <v>341</v>
      </c>
      <c r="D440" s="29">
        <v>1</v>
      </c>
      <c r="E440" s="29" t="s">
        <v>105</v>
      </c>
      <c r="F440" s="29" t="s">
        <v>342</v>
      </c>
      <c r="G440" s="29" t="s">
        <v>111</v>
      </c>
      <c r="H440" s="29" t="s">
        <v>154</v>
      </c>
      <c r="I440" s="29" t="s">
        <v>94</v>
      </c>
      <c r="J440" s="29" t="s">
        <v>340</v>
      </c>
      <c r="K440" s="29" t="str">
        <f>VLOOKUP(LEFT(H440, 7), 'קטלוג תרחישים'!$A:$L, 12, FALSE)</f>
        <v>ג׳</v>
      </c>
      <c r="L440" s="29" t="str">
        <f>IF(J440="כן", K440, VLOOKUP(LEFT(H440, 7), 'קטלוג תרחישים'!$A:$M, 13, FALSE))</f>
        <v>ג׳</v>
      </c>
    </row>
    <row r="441" spans="1:12">
      <c r="A441" s="29" t="s">
        <v>165</v>
      </c>
      <c r="B441" s="29">
        <v>11</v>
      </c>
      <c r="C441" s="29" t="s">
        <v>341</v>
      </c>
      <c r="D441" s="29">
        <v>2</v>
      </c>
      <c r="E441" s="29" t="s">
        <v>92</v>
      </c>
      <c r="F441" s="29" t="s">
        <v>342</v>
      </c>
      <c r="G441" s="29" t="s">
        <v>111</v>
      </c>
      <c r="H441" s="29" t="s">
        <v>155</v>
      </c>
      <c r="I441" s="29" t="s">
        <v>89</v>
      </c>
      <c r="J441" s="29" t="s">
        <v>343</v>
      </c>
      <c r="K441" s="29" t="str">
        <f>VLOOKUP(LEFT(H441, 7), 'קטלוג תרחישים'!$A:$L, 12, FALSE)</f>
        <v>ב׳</v>
      </c>
      <c r="L441" s="29" t="str">
        <f>IF(J441="כן", K441, VLOOKUP(LEFT(H441, 7), 'קטלוג תרחישים'!$A:$M, 13, FALSE))</f>
        <v>א׳</v>
      </c>
    </row>
    <row r="442" spans="1:12">
      <c r="A442" s="29" t="s">
        <v>165</v>
      </c>
      <c r="B442" s="29">
        <v>12</v>
      </c>
      <c r="C442" s="29" t="s">
        <v>341</v>
      </c>
      <c r="D442" s="29">
        <v>2</v>
      </c>
      <c r="E442" s="29" t="s">
        <v>92</v>
      </c>
      <c r="F442" s="29" t="s">
        <v>342</v>
      </c>
      <c r="G442" s="29" t="s">
        <v>111</v>
      </c>
      <c r="H442" s="29" t="s">
        <v>156</v>
      </c>
      <c r="I442" s="29" t="s">
        <v>94</v>
      </c>
      <c r="J442" s="29" t="s">
        <v>343</v>
      </c>
      <c r="K442" s="29" t="str">
        <f>VLOOKUP(LEFT(H442, 7), 'קטלוג תרחישים'!$A:$L, 12, FALSE)</f>
        <v>א׳</v>
      </c>
      <c r="L442" s="29" t="str">
        <f>IF(J442="כן", K442, VLOOKUP(LEFT(H442, 7), 'קטלוג תרחישים'!$A:$M, 13, FALSE))</f>
        <v>ב׳</v>
      </c>
    </row>
    <row r="443" spans="1:12">
      <c r="A443" s="29" t="s">
        <v>165</v>
      </c>
      <c r="B443" s="29">
        <v>13</v>
      </c>
      <c r="C443" s="29" t="s">
        <v>341</v>
      </c>
      <c r="D443" s="29">
        <v>2</v>
      </c>
      <c r="E443" s="29" t="s">
        <v>92</v>
      </c>
      <c r="F443" s="29" t="s">
        <v>342</v>
      </c>
      <c r="G443" s="29" t="s">
        <v>111</v>
      </c>
      <c r="H443" s="29" t="s">
        <v>157</v>
      </c>
      <c r="I443" s="29" t="s">
        <v>89</v>
      </c>
      <c r="J443" s="29" t="s">
        <v>340</v>
      </c>
      <c r="K443" s="29" t="str">
        <f>VLOOKUP(LEFT(H443, 7), 'קטלוג תרחישים'!$A:$L, 12, FALSE)</f>
        <v>ב׳</v>
      </c>
      <c r="L443" s="29" t="str">
        <f>IF(J443="כן", K443, VLOOKUP(LEFT(H443, 7), 'קטלוג תרחישים'!$A:$M, 13, FALSE))</f>
        <v>ב׳</v>
      </c>
    </row>
    <row r="444" spans="1:12">
      <c r="A444" s="29" t="s">
        <v>165</v>
      </c>
      <c r="B444" s="29">
        <v>14</v>
      </c>
      <c r="C444" s="29" t="s">
        <v>341</v>
      </c>
      <c r="D444" s="29">
        <v>2</v>
      </c>
      <c r="E444" s="29" t="s">
        <v>92</v>
      </c>
      <c r="F444" s="29" t="s">
        <v>342</v>
      </c>
      <c r="G444" s="29" t="s">
        <v>111</v>
      </c>
      <c r="H444" s="29" t="s">
        <v>158</v>
      </c>
      <c r="I444" s="29" t="s">
        <v>94</v>
      </c>
      <c r="J444" s="29" t="s">
        <v>340</v>
      </c>
      <c r="K444" s="29" t="str">
        <f>VLOOKUP(LEFT(H444, 7), 'קטלוג תרחישים'!$A:$L, 12, FALSE)</f>
        <v>א׳</v>
      </c>
      <c r="L444" s="29" t="str">
        <f>IF(J444="כן", K444, VLOOKUP(LEFT(H444, 7), 'קטלוג תרחישים'!$A:$M, 13, FALSE))</f>
        <v>א׳</v>
      </c>
    </row>
    <row r="445" spans="1:12">
      <c r="A445" s="29" t="s">
        <v>165</v>
      </c>
      <c r="B445" s="29">
        <v>15</v>
      </c>
      <c r="C445" s="29" t="s">
        <v>341</v>
      </c>
      <c r="D445" s="29">
        <v>3</v>
      </c>
      <c r="E445" s="29" t="s">
        <v>99</v>
      </c>
      <c r="F445" s="29" t="s">
        <v>342</v>
      </c>
      <c r="G445" s="29" t="s">
        <v>111</v>
      </c>
      <c r="H445" s="29" t="s">
        <v>161</v>
      </c>
      <c r="I445" s="29" t="s">
        <v>89</v>
      </c>
      <c r="J445" s="29" t="s">
        <v>343</v>
      </c>
      <c r="K445" s="29" t="str">
        <f>VLOOKUP(LEFT(H445, 7), 'קטלוג תרחישים'!$A:$L, 12, FALSE)</f>
        <v>ג׳</v>
      </c>
      <c r="L445" s="29" t="str">
        <f>IF(J445="כן", K445, VLOOKUP(LEFT(H445, 7), 'קטלוג תרחישים'!$A:$M, 13, FALSE))</f>
        <v>ב׳</v>
      </c>
    </row>
    <row r="446" spans="1:12">
      <c r="A446" s="29" t="s">
        <v>165</v>
      </c>
      <c r="B446" s="29">
        <v>16</v>
      </c>
      <c r="C446" s="29" t="s">
        <v>341</v>
      </c>
      <c r="D446" s="29">
        <v>3</v>
      </c>
      <c r="E446" s="29" t="s">
        <v>99</v>
      </c>
      <c r="F446" s="29" t="s">
        <v>342</v>
      </c>
      <c r="G446" s="29" t="s">
        <v>111</v>
      </c>
      <c r="H446" s="29" t="s">
        <v>160</v>
      </c>
      <c r="I446" s="29" t="s">
        <v>94</v>
      </c>
      <c r="J446" s="29" t="s">
        <v>343</v>
      </c>
      <c r="K446" s="29" t="str">
        <f>VLOOKUP(LEFT(H446, 7), 'קטלוג תרחישים'!$A:$L, 12, FALSE)</f>
        <v>ב׳</v>
      </c>
      <c r="L446" s="29" t="str">
        <f>IF(J446="כן", K446, VLOOKUP(LEFT(H446, 7), 'קטלוג תרחישים'!$A:$M, 13, FALSE))</f>
        <v>א׳</v>
      </c>
    </row>
    <row r="447" spans="1:12">
      <c r="A447" s="29" t="s">
        <v>165</v>
      </c>
      <c r="B447" s="29">
        <v>17</v>
      </c>
      <c r="C447" s="29" t="s">
        <v>341</v>
      </c>
      <c r="D447" s="29">
        <v>3</v>
      </c>
      <c r="E447" s="29" t="s">
        <v>99</v>
      </c>
      <c r="F447" s="29" t="s">
        <v>342</v>
      </c>
      <c r="G447" s="29" t="s">
        <v>111</v>
      </c>
      <c r="H447" s="29" t="s">
        <v>159</v>
      </c>
      <c r="I447" s="29" t="s">
        <v>89</v>
      </c>
      <c r="J447" s="29" t="s">
        <v>340</v>
      </c>
      <c r="K447" s="29" t="str">
        <f>VLOOKUP(LEFT(H447, 7), 'קטלוג תרחישים'!$A:$L, 12, FALSE)</f>
        <v>ב׳</v>
      </c>
      <c r="L447" s="29" t="str">
        <f>IF(J447="כן", K447, VLOOKUP(LEFT(H447, 7), 'קטלוג תרחישים'!$A:$M, 13, FALSE))</f>
        <v>ב׳</v>
      </c>
    </row>
    <row r="448" spans="1:12">
      <c r="A448" s="29" t="s">
        <v>165</v>
      </c>
      <c r="B448" s="29">
        <v>18</v>
      </c>
      <c r="C448" s="29" t="s">
        <v>341</v>
      </c>
      <c r="D448" s="29">
        <v>3</v>
      </c>
      <c r="E448" s="29" t="s">
        <v>99</v>
      </c>
      <c r="F448" s="29" t="s">
        <v>342</v>
      </c>
      <c r="G448" s="29" t="s">
        <v>111</v>
      </c>
      <c r="H448" s="29" t="s">
        <v>162</v>
      </c>
      <c r="I448" s="29" t="s">
        <v>94</v>
      </c>
      <c r="J448" s="29" t="s">
        <v>340</v>
      </c>
      <c r="K448" s="29" t="str">
        <f>VLOOKUP(LEFT(H448, 7), 'קטלוג תרחישים'!$A:$L, 12, FALSE)</f>
        <v>א׳</v>
      </c>
      <c r="L448" s="29" t="str">
        <f>IF(J448="כן", K448, VLOOKUP(LEFT(H448, 7), 'קטלוג תרחישים'!$A:$M, 13, FALSE))</f>
        <v>א׳</v>
      </c>
    </row>
    <row r="449" spans="1:12">
      <c r="A449" s="29" t="s">
        <v>165</v>
      </c>
      <c r="B449" s="29">
        <v>19</v>
      </c>
      <c r="C449" s="29" t="s">
        <v>341</v>
      </c>
      <c r="D449" s="29">
        <v>1</v>
      </c>
      <c r="E449" s="29" t="s">
        <v>99</v>
      </c>
      <c r="F449" s="29" t="s">
        <v>344</v>
      </c>
      <c r="G449" s="29" t="s">
        <v>91</v>
      </c>
      <c r="H449" s="29" t="s">
        <v>140</v>
      </c>
      <c r="I449" s="29" t="s">
        <v>94</v>
      </c>
      <c r="J449" s="29" t="s">
        <v>340</v>
      </c>
      <c r="K449" s="29" t="str">
        <f>VLOOKUP(LEFT(H449, 7), 'קטלוג תרחישים'!$A:$L, 12, FALSE)</f>
        <v>א׳</v>
      </c>
      <c r="L449" s="29" t="str">
        <f>IF(J449="כן", K449, VLOOKUP(LEFT(H449, 7), 'קטלוג תרחישים'!$A:$M, 13, FALSE))</f>
        <v>א׳</v>
      </c>
    </row>
    <row r="450" spans="1:12">
      <c r="A450" s="29" t="s">
        <v>165</v>
      </c>
      <c r="B450" s="29">
        <v>20</v>
      </c>
      <c r="C450" s="29" t="s">
        <v>341</v>
      </c>
      <c r="D450" s="29">
        <v>1</v>
      </c>
      <c r="E450" s="29" t="s">
        <v>99</v>
      </c>
      <c r="F450" s="29" t="s">
        <v>344</v>
      </c>
      <c r="G450" s="29" t="s">
        <v>91</v>
      </c>
      <c r="H450" s="29" t="s">
        <v>137</v>
      </c>
      <c r="I450" s="29" t="s">
        <v>89</v>
      </c>
      <c r="J450" s="29" t="s">
        <v>340</v>
      </c>
      <c r="K450" s="29" t="str">
        <f>VLOOKUP(LEFT(H450, 7), 'קטלוג תרחישים'!$A:$L, 12, FALSE)</f>
        <v>ג׳</v>
      </c>
      <c r="L450" s="29" t="str">
        <f>IF(J450="כן", K450, VLOOKUP(LEFT(H450, 7), 'קטלוג תרחישים'!$A:$M, 13, FALSE))</f>
        <v>ג׳</v>
      </c>
    </row>
    <row r="451" spans="1:12">
      <c r="A451" s="29" t="s">
        <v>165</v>
      </c>
      <c r="B451" s="29">
        <v>21</v>
      </c>
      <c r="C451" s="29" t="s">
        <v>341</v>
      </c>
      <c r="D451" s="29">
        <v>1</v>
      </c>
      <c r="E451" s="29" t="s">
        <v>99</v>
      </c>
      <c r="F451" s="29" t="s">
        <v>344</v>
      </c>
      <c r="G451" s="29" t="s">
        <v>91</v>
      </c>
      <c r="H451" s="29" t="s">
        <v>138</v>
      </c>
      <c r="I451" s="29" t="s">
        <v>94</v>
      </c>
      <c r="J451" s="29" t="s">
        <v>340</v>
      </c>
      <c r="K451" s="29" t="str">
        <f>VLOOKUP(LEFT(H451, 7), 'קטלוג תרחישים'!$A:$L, 12, FALSE)</f>
        <v>ב׳</v>
      </c>
      <c r="L451" s="29" t="str">
        <f>IF(J451="כן", K451, VLOOKUP(LEFT(H451, 7), 'קטלוג תרחישים'!$A:$M, 13, FALSE))</f>
        <v>ב׳</v>
      </c>
    </row>
    <row r="452" spans="1:12">
      <c r="A452" s="29" t="s">
        <v>165</v>
      </c>
      <c r="B452" s="29">
        <v>22</v>
      </c>
      <c r="C452" s="29" t="s">
        <v>341</v>
      </c>
      <c r="D452" s="29">
        <v>1</v>
      </c>
      <c r="E452" s="29" t="s">
        <v>99</v>
      </c>
      <c r="F452" s="29" t="s">
        <v>344</v>
      </c>
      <c r="G452" s="29" t="s">
        <v>91</v>
      </c>
      <c r="H452" s="29" t="s">
        <v>139</v>
      </c>
      <c r="I452" s="29" t="s">
        <v>89</v>
      </c>
      <c r="J452" s="29" t="s">
        <v>340</v>
      </c>
      <c r="K452" s="29" t="str">
        <f>VLOOKUP(LEFT(H452, 7), 'קטלוג תרחישים'!$A:$L, 12, FALSE)</f>
        <v>ג׳</v>
      </c>
      <c r="L452" s="29" t="str">
        <f>IF(J452="כן", K452, VLOOKUP(LEFT(H452, 7), 'קטלוג תרחישים'!$A:$M, 13, FALSE))</f>
        <v>ג׳</v>
      </c>
    </row>
    <row r="453" spans="1:12">
      <c r="A453" s="29" t="s">
        <v>165</v>
      </c>
      <c r="B453" s="29">
        <v>23</v>
      </c>
      <c r="C453" s="29" t="s">
        <v>341</v>
      </c>
      <c r="D453" s="29">
        <v>1</v>
      </c>
      <c r="E453" s="29" t="s">
        <v>99</v>
      </c>
      <c r="F453" s="29" t="s">
        <v>344</v>
      </c>
      <c r="G453" s="29" t="s">
        <v>91</v>
      </c>
      <c r="H453" s="29" t="s">
        <v>136</v>
      </c>
      <c r="I453" s="29" t="s">
        <v>94</v>
      </c>
      <c r="J453" s="29" t="s">
        <v>343</v>
      </c>
      <c r="K453" s="29" t="str">
        <f>VLOOKUP(LEFT(H453, 7), 'קטלוג תרחישים'!$A:$L, 12, FALSE)</f>
        <v>ג׳</v>
      </c>
      <c r="L453" s="29" t="str">
        <f>IF(J453="כן", K453, VLOOKUP(LEFT(H453, 7), 'קטלוג תרחישים'!$A:$M, 13, FALSE))</f>
        <v>א׳</v>
      </c>
    </row>
    <row r="454" spans="1:12">
      <c r="A454" s="29" t="s">
        <v>165</v>
      </c>
      <c r="B454" s="29">
        <v>24</v>
      </c>
      <c r="C454" s="29" t="s">
        <v>341</v>
      </c>
      <c r="D454" s="29">
        <v>2</v>
      </c>
      <c r="E454" s="29" t="s">
        <v>105</v>
      </c>
      <c r="F454" s="29" t="s">
        <v>344</v>
      </c>
      <c r="G454" s="29" t="s">
        <v>91</v>
      </c>
      <c r="H454" s="29" t="s">
        <v>143</v>
      </c>
      <c r="I454" s="29" t="s">
        <v>89</v>
      </c>
      <c r="J454" s="29" t="s">
        <v>343</v>
      </c>
      <c r="K454" s="29" t="str">
        <f>VLOOKUP(LEFT(H454, 7), 'קטלוג תרחישים'!$A:$L, 12, FALSE)</f>
        <v>א׳</v>
      </c>
      <c r="L454" s="29" t="str">
        <f>IF(J454="כן", K454, VLOOKUP(LEFT(H454, 7), 'קטלוג תרחישים'!$A:$M, 13, FALSE))</f>
        <v>ג׳</v>
      </c>
    </row>
    <row r="455" spans="1:12">
      <c r="A455" s="29" t="s">
        <v>165</v>
      </c>
      <c r="B455" s="29">
        <v>25</v>
      </c>
      <c r="C455" s="29" t="s">
        <v>341</v>
      </c>
      <c r="D455" s="29">
        <v>2</v>
      </c>
      <c r="E455" s="29" t="s">
        <v>105</v>
      </c>
      <c r="F455" s="29" t="s">
        <v>344</v>
      </c>
      <c r="G455" s="29" t="s">
        <v>91</v>
      </c>
      <c r="H455" s="29" t="s">
        <v>144</v>
      </c>
      <c r="I455" s="29" t="s">
        <v>94</v>
      </c>
      <c r="J455" s="29" t="s">
        <v>340</v>
      </c>
      <c r="K455" s="29" t="str">
        <f>VLOOKUP(LEFT(H455, 7), 'קטלוג תרחישים'!$A:$L, 12, FALSE)</f>
        <v>ג׳</v>
      </c>
      <c r="L455" s="29" t="str">
        <f>IF(J455="כן", K455, VLOOKUP(LEFT(H455, 7), 'קטלוג תרחישים'!$A:$M, 13, FALSE))</f>
        <v>ג׳</v>
      </c>
    </row>
    <row r="456" spans="1:12">
      <c r="A456" s="29" t="s">
        <v>165</v>
      </c>
      <c r="B456" s="29">
        <v>26</v>
      </c>
      <c r="C456" s="29" t="s">
        <v>341</v>
      </c>
      <c r="D456" s="29">
        <v>2</v>
      </c>
      <c r="E456" s="29" t="s">
        <v>105</v>
      </c>
      <c r="F456" s="29" t="s">
        <v>344</v>
      </c>
      <c r="G456" s="29" t="s">
        <v>91</v>
      </c>
      <c r="H456" s="29" t="s">
        <v>145</v>
      </c>
      <c r="I456" s="29" t="s">
        <v>89</v>
      </c>
      <c r="J456" s="29" t="s">
        <v>340</v>
      </c>
      <c r="K456" s="29" t="str">
        <f>VLOOKUP(LEFT(H456, 7), 'קטלוג תרחישים'!$A:$L, 12, FALSE)</f>
        <v>ב׳</v>
      </c>
      <c r="L456" s="29" t="str">
        <f>IF(J456="כן", K456, VLOOKUP(LEFT(H456, 7), 'קטלוג תרחישים'!$A:$M, 13, FALSE))</f>
        <v>ב׳</v>
      </c>
    </row>
    <row r="457" spans="1:12">
      <c r="A457" s="29" t="s">
        <v>165</v>
      </c>
      <c r="B457" s="29">
        <v>27</v>
      </c>
      <c r="C457" s="29" t="s">
        <v>341</v>
      </c>
      <c r="D457" s="29">
        <v>2</v>
      </c>
      <c r="E457" s="29" t="s">
        <v>105</v>
      </c>
      <c r="F457" s="29" t="s">
        <v>344</v>
      </c>
      <c r="G457" s="29" t="s">
        <v>91</v>
      </c>
      <c r="H457" s="29" t="s">
        <v>142</v>
      </c>
      <c r="I457" s="29" t="s">
        <v>94</v>
      </c>
      <c r="J457" s="29" t="s">
        <v>340</v>
      </c>
      <c r="K457" s="29" t="str">
        <f>VLOOKUP(LEFT(H457, 7), 'קטלוג תרחישים'!$A:$L, 12, FALSE)</f>
        <v>א׳</v>
      </c>
      <c r="L457" s="29" t="str">
        <f>IF(J457="כן", K457, VLOOKUP(LEFT(H457, 7), 'קטלוג תרחישים'!$A:$M, 13, FALSE))</f>
        <v>א׳</v>
      </c>
    </row>
    <row r="458" spans="1:12">
      <c r="A458" s="29" t="s">
        <v>165</v>
      </c>
      <c r="B458" s="29">
        <v>28</v>
      </c>
      <c r="C458" s="29" t="s">
        <v>341</v>
      </c>
      <c r="D458" s="29">
        <v>2</v>
      </c>
      <c r="E458" s="29" t="s">
        <v>105</v>
      </c>
      <c r="F458" s="29" t="s">
        <v>344</v>
      </c>
      <c r="G458" s="29" t="s">
        <v>91</v>
      </c>
      <c r="H458" s="29" t="s">
        <v>141</v>
      </c>
      <c r="I458" s="29" t="s">
        <v>89</v>
      </c>
      <c r="J458" s="29" t="s">
        <v>340</v>
      </c>
      <c r="K458" s="29" t="str">
        <f>VLOOKUP(LEFT(H458, 7), 'קטלוג תרחישים'!$A:$L, 12, FALSE)</f>
        <v>ב׳</v>
      </c>
      <c r="L458" s="29" t="str">
        <f>IF(J458="כן", K458, VLOOKUP(LEFT(H458, 7), 'קטלוג תרחישים'!$A:$M, 13, FALSE))</f>
        <v>ב׳</v>
      </c>
    </row>
    <row r="459" spans="1:12">
      <c r="A459" s="29" t="s">
        <v>165</v>
      </c>
      <c r="B459" s="29">
        <v>29</v>
      </c>
      <c r="C459" s="29" t="s">
        <v>341</v>
      </c>
      <c r="D459" s="29">
        <v>3</v>
      </c>
      <c r="E459" s="29" t="s">
        <v>92</v>
      </c>
      <c r="F459" s="29" t="s">
        <v>344</v>
      </c>
      <c r="G459" s="29" t="s">
        <v>91</v>
      </c>
      <c r="H459" s="29" t="s">
        <v>150</v>
      </c>
      <c r="I459" s="29" t="s">
        <v>89</v>
      </c>
      <c r="J459" s="29" t="s">
        <v>340</v>
      </c>
      <c r="K459" s="29" t="str">
        <f>VLOOKUP(LEFT(H459, 7), 'קטלוג תרחישים'!$A:$L, 12, FALSE)</f>
        <v>א׳</v>
      </c>
      <c r="L459" s="29" t="str">
        <f>IF(J459="כן", K459, VLOOKUP(LEFT(H459, 7), 'קטלוג תרחישים'!$A:$M, 13, FALSE))</f>
        <v>א׳</v>
      </c>
    </row>
    <row r="460" spans="1:12">
      <c r="A460" s="29" t="s">
        <v>165</v>
      </c>
      <c r="B460" s="29">
        <v>30</v>
      </c>
      <c r="C460" s="29" t="s">
        <v>341</v>
      </c>
      <c r="D460" s="29">
        <v>3</v>
      </c>
      <c r="E460" s="29" t="s">
        <v>92</v>
      </c>
      <c r="F460" s="29" t="s">
        <v>344</v>
      </c>
      <c r="G460" s="29" t="s">
        <v>91</v>
      </c>
      <c r="H460" s="29" t="s">
        <v>149</v>
      </c>
      <c r="I460" s="29" t="s">
        <v>94</v>
      </c>
      <c r="J460" s="29" t="s">
        <v>340</v>
      </c>
      <c r="K460" s="29" t="str">
        <f>VLOOKUP(LEFT(H460, 7), 'קטלוג תרחישים'!$A:$L, 12, FALSE)</f>
        <v>ג׳</v>
      </c>
      <c r="L460" s="29" t="str">
        <f>IF(J460="כן", K460, VLOOKUP(LEFT(H460, 7), 'קטלוג תרחישים'!$A:$M, 13, FALSE))</f>
        <v>ג׳</v>
      </c>
    </row>
    <row r="461" spans="1:12">
      <c r="A461" s="29" t="s">
        <v>165</v>
      </c>
      <c r="B461" s="29">
        <v>31</v>
      </c>
      <c r="C461" s="29" t="s">
        <v>341</v>
      </c>
      <c r="D461" s="29">
        <v>3</v>
      </c>
      <c r="E461" s="29" t="s">
        <v>92</v>
      </c>
      <c r="F461" s="29" t="s">
        <v>344</v>
      </c>
      <c r="G461" s="29" t="s">
        <v>91</v>
      </c>
      <c r="H461" s="29" t="s">
        <v>148</v>
      </c>
      <c r="I461" s="29" t="s">
        <v>89</v>
      </c>
      <c r="J461" s="29" t="s">
        <v>340</v>
      </c>
      <c r="K461" s="29" t="str">
        <f>VLOOKUP(LEFT(H461, 7), 'קטלוג תרחישים'!$A:$L, 12, FALSE)</f>
        <v>א׳</v>
      </c>
      <c r="L461" s="29" t="str">
        <f>IF(J461="כן", K461, VLOOKUP(LEFT(H461, 7), 'קטלוג תרחישים'!$A:$M, 13, FALSE))</f>
        <v>א׳</v>
      </c>
    </row>
    <row r="462" spans="1:12">
      <c r="A462" s="29" t="s">
        <v>165</v>
      </c>
      <c r="B462" s="29">
        <v>32</v>
      </c>
      <c r="C462" s="29" t="s">
        <v>341</v>
      </c>
      <c r="D462" s="29">
        <v>3</v>
      </c>
      <c r="E462" s="29" t="s">
        <v>92</v>
      </c>
      <c r="F462" s="29" t="s">
        <v>344</v>
      </c>
      <c r="G462" s="29" t="s">
        <v>91</v>
      </c>
      <c r="H462" s="29" t="s">
        <v>147</v>
      </c>
      <c r="I462" s="29" t="s">
        <v>94</v>
      </c>
      <c r="J462" s="29" t="s">
        <v>343</v>
      </c>
      <c r="K462" s="29" t="str">
        <f>VLOOKUP(LEFT(H462, 7), 'קטלוג תרחישים'!$A:$L, 12, FALSE)</f>
        <v>ב׳</v>
      </c>
      <c r="L462" s="29" t="str">
        <f>IF(J462="כן", K462, VLOOKUP(LEFT(H462, 7), 'קטלוג תרחישים'!$A:$M, 13, FALSE))</f>
        <v>ג׳</v>
      </c>
    </row>
    <row r="463" spans="1:12">
      <c r="A463" s="29" t="s">
        <v>165</v>
      </c>
      <c r="B463" s="29">
        <v>33</v>
      </c>
      <c r="C463" s="29" t="s">
        <v>341</v>
      </c>
      <c r="D463" s="29">
        <v>3</v>
      </c>
      <c r="E463" s="29" t="s">
        <v>92</v>
      </c>
      <c r="F463" s="29" t="s">
        <v>344</v>
      </c>
      <c r="G463" s="29" t="s">
        <v>91</v>
      </c>
      <c r="H463" s="29" t="s">
        <v>146</v>
      </c>
      <c r="I463" s="29" t="s">
        <v>89</v>
      </c>
      <c r="J463" s="29" t="s">
        <v>340</v>
      </c>
      <c r="K463" s="29" t="str">
        <f>VLOOKUP(LEFT(H463, 7), 'קטלוג תרחישים'!$A:$L, 12, FALSE)</f>
        <v>ג׳</v>
      </c>
      <c r="L463" s="29" t="str">
        <f>IF(J463="כן", K463, VLOOKUP(LEFT(H463, 7), 'קטלוג תרחישים'!$A:$M, 13, FALSE))</f>
        <v>ג׳</v>
      </c>
    </row>
    <row r="464" spans="1:12">
      <c r="A464" s="29" t="s">
        <v>166</v>
      </c>
      <c r="B464" s="29">
        <v>1</v>
      </c>
      <c r="C464" s="29" t="s">
        <v>339</v>
      </c>
      <c r="D464" s="29"/>
      <c r="E464" s="29" t="s">
        <v>92</v>
      </c>
      <c r="F464" s="29"/>
      <c r="G464" s="29"/>
      <c r="H464" s="30" t="s">
        <v>351</v>
      </c>
      <c r="I464" s="29" t="s">
        <v>89</v>
      </c>
      <c r="J464" s="29" t="s">
        <v>340</v>
      </c>
      <c r="K464" s="29" t="str">
        <f>VLOOKUP(LEFT(H464, 7), 'קטלוג תרחישים'!$A:$L, 12, FALSE)</f>
        <v>א׳</v>
      </c>
      <c r="L464" s="29" t="str">
        <f>IF(J464="כן", K464, VLOOKUP(LEFT(H464, 7), 'קטלוג תרחישים'!$A:$M, 13, FALSE))</f>
        <v>א׳</v>
      </c>
    </row>
    <row r="465" spans="1:12">
      <c r="A465" s="29" t="s">
        <v>166</v>
      </c>
      <c r="B465" s="29">
        <v>2</v>
      </c>
      <c r="C465" s="29" t="s">
        <v>339</v>
      </c>
      <c r="D465" s="29"/>
      <c r="E465" s="29" t="s">
        <v>92</v>
      </c>
      <c r="F465" s="29"/>
      <c r="G465" s="29"/>
      <c r="H465" s="30" t="s">
        <v>88</v>
      </c>
      <c r="I465" s="29" t="s">
        <v>89</v>
      </c>
      <c r="J465" s="29" t="s">
        <v>340</v>
      </c>
      <c r="K465" s="29" t="str">
        <f>VLOOKUP(LEFT(H465, 7), 'קטלוג תרחישים'!$A:$L, 12, FALSE)</f>
        <v>א׳</v>
      </c>
      <c r="L465" s="29" t="str">
        <f>IF(J465="כן", K465, VLOOKUP(LEFT(H465, 7), 'קטלוג תרחישים'!$A:$M, 13, FALSE))</f>
        <v>א׳</v>
      </c>
    </row>
    <row r="466" spans="1:12">
      <c r="A466" s="29" t="s">
        <v>166</v>
      </c>
      <c r="B466" s="29">
        <v>3</v>
      </c>
      <c r="C466" s="29" t="s">
        <v>339</v>
      </c>
      <c r="D466" s="29"/>
      <c r="E466" s="29" t="s">
        <v>99</v>
      </c>
      <c r="F466" s="29"/>
      <c r="G466" s="29"/>
      <c r="H466" s="30" t="s">
        <v>352</v>
      </c>
      <c r="I466" s="29" t="s">
        <v>89</v>
      </c>
      <c r="J466" s="29" t="s">
        <v>340</v>
      </c>
      <c r="K466" s="29" t="str">
        <f>VLOOKUP(LEFT(H466, 7), 'קטלוג תרחישים'!$A:$L, 12, FALSE)</f>
        <v>ב׳</v>
      </c>
      <c r="L466" s="29" t="str">
        <f>IF(J466="כן", K466, VLOOKUP(LEFT(H466, 7), 'קטלוג תרחישים'!$A:$M, 13, FALSE))</f>
        <v>ב׳</v>
      </c>
    </row>
    <row r="467" spans="1:12">
      <c r="A467" s="29" t="s">
        <v>166</v>
      </c>
      <c r="B467" s="29">
        <v>4</v>
      </c>
      <c r="C467" s="29" t="s">
        <v>339</v>
      </c>
      <c r="D467" s="29"/>
      <c r="E467" s="29" t="s">
        <v>99</v>
      </c>
      <c r="F467" s="29"/>
      <c r="G467" s="29"/>
      <c r="H467" s="30" t="s">
        <v>353</v>
      </c>
      <c r="I467" s="29" t="s">
        <v>89</v>
      </c>
      <c r="J467" s="29" t="s">
        <v>340</v>
      </c>
      <c r="K467" s="29" t="str">
        <f>VLOOKUP(LEFT(H467, 7), 'קטלוג תרחישים'!$A:$L, 12, FALSE)</f>
        <v>ב׳</v>
      </c>
      <c r="L467" s="29" t="str">
        <f>IF(J467="כן", K467, VLOOKUP(LEFT(H467, 7), 'קטלוג תרחישים'!$A:$M, 13, FALSE))</f>
        <v>ב׳</v>
      </c>
    </row>
    <row r="468" spans="1:12">
      <c r="A468" s="29" t="s">
        <v>166</v>
      </c>
      <c r="B468" s="29">
        <v>5</v>
      </c>
      <c r="C468" s="29" t="s">
        <v>339</v>
      </c>
      <c r="D468" s="29"/>
      <c r="E468" s="29" t="s">
        <v>105</v>
      </c>
      <c r="F468" s="29"/>
      <c r="G468" s="29"/>
      <c r="H468" s="30" t="s">
        <v>354</v>
      </c>
      <c r="I468" s="29" t="s">
        <v>89</v>
      </c>
      <c r="J468" s="29" t="s">
        <v>340</v>
      </c>
      <c r="K468" s="29" t="str">
        <f>VLOOKUP(LEFT(H468, 7), 'קטלוג תרחישים'!$A:$L, 12, FALSE)</f>
        <v>ג׳</v>
      </c>
      <c r="L468" s="29" t="str">
        <f>IF(J468="כן", K468, VLOOKUP(LEFT(H468, 7), 'קטלוג תרחישים'!$A:$M, 13, FALSE))</f>
        <v>ג׳</v>
      </c>
    </row>
    <row r="469" spans="1:12">
      <c r="A469" s="29" t="s">
        <v>166</v>
      </c>
      <c r="B469" s="29">
        <v>6</v>
      </c>
      <c r="C469" s="29" t="s">
        <v>339</v>
      </c>
      <c r="D469" s="29"/>
      <c r="E469" s="29" t="s">
        <v>105</v>
      </c>
      <c r="F469" s="29"/>
      <c r="G469" s="29"/>
      <c r="H469" s="30" t="s">
        <v>90</v>
      </c>
      <c r="I469" s="29" t="s">
        <v>89</v>
      </c>
      <c r="J469" s="29" t="s">
        <v>340</v>
      </c>
      <c r="K469" s="29" t="str">
        <f>VLOOKUP(LEFT(H469, 7), 'קטלוג תרחישים'!$A:$L, 12, FALSE)</f>
        <v>ג׳</v>
      </c>
      <c r="L469" s="29" t="str">
        <f>IF(J469="כן", K469, VLOOKUP(LEFT(H469, 7), 'קטלוג תרחישים'!$A:$M, 13, FALSE))</f>
        <v>ג׳</v>
      </c>
    </row>
    <row r="470" spans="1:12">
      <c r="A470" s="29" t="s">
        <v>166</v>
      </c>
      <c r="B470" s="29">
        <v>7</v>
      </c>
      <c r="C470" s="29" t="s">
        <v>341</v>
      </c>
      <c r="D470" s="29">
        <v>1</v>
      </c>
      <c r="E470" s="29" t="s">
        <v>105</v>
      </c>
      <c r="F470" s="29" t="s">
        <v>342</v>
      </c>
      <c r="G470" s="29" t="s">
        <v>91</v>
      </c>
      <c r="H470" s="29" t="s">
        <v>143</v>
      </c>
      <c r="I470" s="29" t="s">
        <v>89</v>
      </c>
      <c r="J470" s="29" t="s">
        <v>340</v>
      </c>
      <c r="K470" s="29" t="str">
        <f>VLOOKUP(LEFT(H470, 7), 'קטלוג תרחישים'!$A:$L, 12, FALSE)</f>
        <v>א׳</v>
      </c>
      <c r="L470" s="29" t="str">
        <f>IF(J470="כן", K470, VLOOKUP(LEFT(H470, 7), 'קטלוג תרחישים'!$A:$M, 13, FALSE))</f>
        <v>א׳</v>
      </c>
    </row>
    <row r="471" spans="1:12">
      <c r="A471" s="29" t="s">
        <v>166</v>
      </c>
      <c r="B471" s="29">
        <v>8</v>
      </c>
      <c r="C471" s="29" t="s">
        <v>341</v>
      </c>
      <c r="D471" s="29">
        <v>1</v>
      </c>
      <c r="E471" s="29" t="s">
        <v>105</v>
      </c>
      <c r="F471" s="29" t="s">
        <v>342</v>
      </c>
      <c r="G471" s="29" t="s">
        <v>91</v>
      </c>
      <c r="H471" s="29" t="s">
        <v>142</v>
      </c>
      <c r="I471" s="29" t="s">
        <v>94</v>
      </c>
      <c r="J471" s="29" t="s">
        <v>340</v>
      </c>
      <c r="K471" s="29" t="str">
        <f>VLOOKUP(LEFT(H471, 7), 'קטלוג תרחישים'!$A:$L, 12, FALSE)</f>
        <v>א׳</v>
      </c>
      <c r="L471" s="29" t="str">
        <f>IF(J471="כן", K471, VLOOKUP(LEFT(H471, 7), 'קטלוג תרחישים'!$A:$M, 13, FALSE))</f>
        <v>א׳</v>
      </c>
    </row>
    <row r="472" spans="1:12">
      <c r="A472" s="29" t="s">
        <v>166</v>
      </c>
      <c r="B472" s="29">
        <v>9</v>
      </c>
      <c r="C472" s="29" t="s">
        <v>341</v>
      </c>
      <c r="D472" s="29">
        <v>1</v>
      </c>
      <c r="E472" s="29" t="s">
        <v>105</v>
      </c>
      <c r="F472" s="29" t="s">
        <v>342</v>
      </c>
      <c r="G472" s="29" t="s">
        <v>91</v>
      </c>
      <c r="H472" s="29" t="s">
        <v>141</v>
      </c>
      <c r="I472" s="29" t="s">
        <v>89</v>
      </c>
      <c r="J472" s="29" t="s">
        <v>340</v>
      </c>
      <c r="K472" s="29" t="str">
        <f>VLOOKUP(LEFT(H472, 7), 'קטלוג תרחישים'!$A:$L, 12, FALSE)</f>
        <v>ב׳</v>
      </c>
      <c r="L472" s="29" t="str">
        <f>IF(J472="כן", K472, VLOOKUP(LEFT(H472, 7), 'קטלוג תרחישים'!$A:$M, 13, FALSE))</f>
        <v>ב׳</v>
      </c>
    </row>
    <row r="473" spans="1:12">
      <c r="A473" s="29" t="s">
        <v>166</v>
      </c>
      <c r="B473" s="29">
        <v>10</v>
      </c>
      <c r="C473" s="29" t="s">
        <v>341</v>
      </c>
      <c r="D473" s="29">
        <v>1</v>
      </c>
      <c r="E473" s="29" t="s">
        <v>105</v>
      </c>
      <c r="F473" s="29" t="s">
        <v>342</v>
      </c>
      <c r="G473" s="29" t="s">
        <v>91</v>
      </c>
      <c r="H473" s="29" t="s">
        <v>144</v>
      </c>
      <c r="I473" s="29" t="s">
        <v>94</v>
      </c>
      <c r="J473" s="29" t="s">
        <v>343</v>
      </c>
      <c r="K473" s="29" t="str">
        <f>VLOOKUP(LEFT(H473, 7), 'קטלוג תרחישים'!$A:$L, 12, FALSE)</f>
        <v>ג׳</v>
      </c>
      <c r="L473" s="29" t="str">
        <f>IF(J473="כן", K473, VLOOKUP(LEFT(H473, 7), 'קטלוג תרחישים'!$A:$M, 13, FALSE))</f>
        <v>א׳</v>
      </c>
    </row>
    <row r="474" spans="1:12">
      <c r="A474" s="29" t="s">
        <v>166</v>
      </c>
      <c r="B474" s="29">
        <v>11</v>
      </c>
      <c r="C474" s="29" t="s">
        <v>341</v>
      </c>
      <c r="D474" s="29">
        <v>1</v>
      </c>
      <c r="E474" s="29" t="s">
        <v>105</v>
      </c>
      <c r="F474" s="29" t="s">
        <v>342</v>
      </c>
      <c r="G474" s="29" t="s">
        <v>91</v>
      </c>
      <c r="H474" s="29" t="s">
        <v>145</v>
      </c>
      <c r="I474" s="29" t="s">
        <v>89</v>
      </c>
      <c r="J474" s="29" t="s">
        <v>340</v>
      </c>
      <c r="K474" s="29" t="str">
        <f>VLOOKUP(LEFT(H474, 7), 'קטלוג תרחישים'!$A:$L, 12, FALSE)</f>
        <v>ב׳</v>
      </c>
      <c r="L474" s="29" t="str">
        <f>IF(J474="כן", K474, VLOOKUP(LEFT(H474, 7), 'קטלוג תרחישים'!$A:$M, 13, FALSE))</f>
        <v>ב׳</v>
      </c>
    </row>
    <row r="475" spans="1:12">
      <c r="A475" s="29" t="s">
        <v>166</v>
      </c>
      <c r="B475" s="29">
        <v>12</v>
      </c>
      <c r="C475" s="29" t="s">
        <v>341</v>
      </c>
      <c r="D475" s="29">
        <v>2</v>
      </c>
      <c r="E475" s="29" t="s">
        <v>92</v>
      </c>
      <c r="F475" s="29" t="s">
        <v>342</v>
      </c>
      <c r="G475" s="29" t="s">
        <v>91</v>
      </c>
      <c r="H475" s="29" t="s">
        <v>148</v>
      </c>
      <c r="I475" s="29" t="s">
        <v>89</v>
      </c>
      <c r="J475" s="29" t="s">
        <v>340</v>
      </c>
      <c r="K475" s="29" t="str">
        <f>VLOOKUP(LEFT(H475, 7), 'קטלוג תרחישים'!$A:$L, 12, FALSE)</f>
        <v>א׳</v>
      </c>
      <c r="L475" s="29" t="str">
        <f>IF(J475="כן", K475, VLOOKUP(LEFT(H475, 7), 'קטלוג תרחישים'!$A:$M, 13, FALSE))</f>
        <v>א׳</v>
      </c>
    </row>
    <row r="476" spans="1:12">
      <c r="A476" s="29" t="s">
        <v>166</v>
      </c>
      <c r="B476" s="29">
        <v>13</v>
      </c>
      <c r="C476" s="29" t="s">
        <v>341</v>
      </c>
      <c r="D476" s="29">
        <v>2</v>
      </c>
      <c r="E476" s="29" t="s">
        <v>92</v>
      </c>
      <c r="F476" s="29" t="s">
        <v>342</v>
      </c>
      <c r="G476" s="29" t="s">
        <v>91</v>
      </c>
      <c r="H476" s="29" t="s">
        <v>149</v>
      </c>
      <c r="I476" s="29" t="s">
        <v>94</v>
      </c>
      <c r="J476" s="29" t="s">
        <v>340</v>
      </c>
      <c r="K476" s="29" t="str">
        <f>VLOOKUP(LEFT(H476, 7), 'קטלוג תרחישים'!$A:$L, 12, FALSE)</f>
        <v>ג׳</v>
      </c>
      <c r="L476" s="29" t="str">
        <f>IF(J476="כן", K476, VLOOKUP(LEFT(H476, 7), 'קטלוג תרחישים'!$A:$M, 13, FALSE))</f>
        <v>ג׳</v>
      </c>
    </row>
    <row r="477" spans="1:12">
      <c r="A477" s="29" t="s">
        <v>166</v>
      </c>
      <c r="B477" s="29">
        <v>14</v>
      </c>
      <c r="C477" s="29" t="s">
        <v>341</v>
      </c>
      <c r="D477" s="29">
        <v>2</v>
      </c>
      <c r="E477" s="29" t="s">
        <v>92</v>
      </c>
      <c r="F477" s="29" t="s">
        <v>342</v>
      </c>
      <c r="G477" s="29" t="s">
        <v>91</v>
      </c>
      <c r="H477" s="29" t="s">
        <v>146</v>
      </c>
      <c r="I477" s="29" t="s">
        <v>89</v>
      </c>
      <c r="J477" s="29" t="s">
        <v>343</v>
      </c>
      <c r="K477" s="29" t="str">
        <f>VLOOKUP(LEFT(H477, 7), 'קטלוג תרחישים'!$A:$L, 12, FALSE)</f>
        <v>ג׳</v>
      </c>
      <c r="L477" s="29" t="str">
        <f>IF(J477="כן", K477, VLOOKUP(LEFT(H477, 7), 'קטלוג תרחישים'!$A:$M, 13, FALSE))</f>
        <v>ב׳</v>
      </c>
    </row>
    <row r="478" spans="1:12">
      <c r="A478" s="29" t="s">
        <v>166</v>
      </c>
      <c r="B478" s="29">
        <v>15</v>
      </c>
      <c r="C478" s="29" t="s">
        <v>341</v>
      </c>
      <c r="D478" s="29">
        <v>2</v>
      </c>
      <c r="E478" s="29" t="s">
        <v>92</v>
      </c>
      <c r="F478" s="29" t="s">
        <v>342</v>
      </c>
      <c r="G478" s="29" t="s">
        <v>91</v>
      </c>
      <c r="H478" s="29" t="s">
        <v>147</v>
      </c>
      <c r="I478" s="29" t="s">
        <v>94</v>
      </c>
      <c r="J478" s="29" t="s">
        <v>340</v>
      </c>
      <c r="K478" s="29" t="str">
        <f>VLOOKUP(LEFT(H478, 7), 'קטלוג תרחישים'!$A:$L, 12, FALSE)</f>
        <v>ב׳</v>
      </c>
      <c r="L478" s="29" t="str">
        <f>IF(J478="כן", K478, VLOOKUP(LEFT(H478, 7), 'קטלוג תרחישים'!$A:$M, 13, FALSE))</f>
        <v>ב׳</v>
      </c>
    </row>
    <row r="479" spans="1:12">
      <c r="A479" s="29" t="s">
        <v>166</v>
      </c>
      <c r="B479" s="29">
        <v>16</v>
      </c>
      <c r="C479" s="29" t="s">
        <v>341</v>
      </c>
      <c r="D479" s="29">
        <v>2</v>
      </c>
      <c r="E479" s="29" t="s">
        <v>92</v>
      </c>
      <c r="F479" s="29" t="s">
        <v>342</v>
      </c>
      <c r="G479" s="29" t="s">
        <v>91</v>
      </c>
      <c r="H479" s="29" t="s">
        <v>150</v>
      </c>
      <c r="I479" s="29" t="s">
        <v>89</v>
      </c>
      <c r="J479" s="29" t="s">
        <v>340</v>
      </c>
      <c r="K479" s="29" t="str">
        <f>VLOOKUP(LEFT(H479, 7), 'קטלוג תרחישים'!$A:$L, 12, FALSE)</f>
        <v>א׳</v>
      </c>
      <c r="L479" s="29" t="str">
        <f>IF(J479="כן", K479, VLOOKUP(LEFT(H479, 7), 'קטלוג תרחישים'!$A:$M, 13, FALSE))</f>
        <v>א׳</v>
      </c>
    </row>
    <row r="480" spans="1:12">
      <c r="A480" s="29" t="s">
        <v>166</v>
      </c>
      <c r="B480" s="29">
        <v>17</v>
      </c>
      <c r="C480" s="29" t="s">
        <v>341</v>
      </c>
      <c r="D480" s="29">
        <v>3</v>
      </c>
      <c r="E480" s="29" t="s">
        <v>99</v>
      </c>
      <c r="F480" s="29" t="s">
        <v>342</v>
      </c>
      <c r="G480" s="29" t="s">
        <v>91</v>
      </c>
      <c r="H480" s="29" t="s">
        <v>136</v>
      </c>
      <c r="I480" s="29" t="s">
        <v>94</v>
      </c>
      <c r="J480" s="29" t="s">
        <v>340</v>
      </c>
      <c r="K480" s="29" t="str">
        <f>VLOOKUP(LEFT(H480, 7), 'קטלוג תרחישים'!$A:$L, 12, FALSE)</f>
        <v>ג׳</v>
      </c>
      <c r="L480" s="29" t="str">
        <f>IF(J480="כן", K480, VLOOKUP(LEFT(H480, 7), 'קטלוג תרחישים'!$A:$M, 13, FALSE))</f>
        <v>ג׳</v>
      </c>
    </row>
    <row r="481" spans="1:12">
      <c r="A481" s="29" t="s">
        <v>166</v>
      </c>
      <c r="B481" s="29">
        <v>18</v>
      </c>
      <c r="C481" s="29" t="s">
        <v>341</v>
      </c>
      <c r="D481" s="29">
        <v>3</v>
      </c>
      <c r="E481" s="29" t="s">
        <v>99</v>
      </c>
      <c r="F481" s="29" t="s">
        <v>342</v>
      </c>
      <c r="G481" s="29" t="s">
        <v>91</v>
      </c>
      <c r="H481" s="29" t="s">
        <v>137</v>
      </c>
      <c r="I481" s="29" t="s">
        <v>89</v>
      </c>
      <c r="J481" s="29" t="s">
        <v>340</v>
      </c>
      <c r="K481" s="29" t="str">
        <f>VLOOKUP(LEFT(H481, 7), 'קטלוג תרחישים'!$A:$L, 12, FALSE)</f>
        <v>ג׳</v>
      </c>
      <c r="L481" s="29" t="str">
        <f>IF(J481="כן", K481, VLOOKUP(LEFT(H481, 7), 'קטלוג תרחישים'!$A:$M, 13, FALSE))</f>
        <v>ג׳</v>
      </c>
    </row>
    <row r="482" spans="1:12">
      <c r="A482" s="29" t="s">
        <v>166</v>
      </c>
      <c r="B482" s="29">
        <v>19</v>
      </c>
      <c r="C482" s="29" t="s">
        <v>341</v>
      </c>
      <c r="D482" s="29">
        <v>3</v>
      </c>
      <c r="E482" s="29" t="s">
        <v>99</v>
      </c>
      <c r="F482" s="29" t="s">
        <v>342</v>
      </c>
      <c r="G482" s="29" t="s">
        <v>91</v>
      </c>
      <c r="H482" s="29" t="s">
        <v>140</v>
      </c>
      <c r="I482" s="29" t="s">
        <v>94</v>
      </c>
      <c r="J482" s="29" t="s">
        <v>340</v>
      </c>
      <c r="K482" s="29" t="str">
        <f>VLOOKUP(LEFT(H482, 7), 'קטלוג תרחישים'!$A:$L, 12, FALSE)</f>
        <v>א׳</v>
      </c>
      <c r="L482" s="29" t="str">
        <f>IF(J482="כן", K482, VLOOKUP(LEFT(H482, 7), 'קטלוג תרחישים'!$A:$M, 13, FALSE))</f>
        <v>א׳</v>
      </c>
    </row>
    <row r="483" spans="1:12">
      <c r="A483" s="29" t="s">
        <v>166</v>
      </c>
      <c r="B483" s="29">
        <v>20</v>
      </c>
      <c r="C483" s="29" t="s">
        <v>341</v>
      </c>
      <c r="D483" s="29">
        <v>3</v>
      </c>
      <c r="E483" s="29" t="s">
        <v>99</v>
      </c>
      <c r="F483" s="29" t="s">
        <v>342</v>
      </c>
      <c r="G483" s="29" t="s">
        <v>91</v>
      </c>
      <c r="H483" s="29" t="s">
        <v>139</v>
      </c>
      <c r="I483" s="29" t="s">
        <v>89</v>
      </c>
      <c r="J483" s="29" t="s">
        <v>340</v>
      </c>
      <c r="K483" s="29" t="str">
        <f>VLOOKUP(LEFT(H483, 7), 'קטלוג תרחישים'!$A:$L, 12, FALSE)</f>
        <v>ג׳</v>
      </c>
      <c r="L483" s="29" t="str">
        <f>IF(J483="כן", K483, VLOOKUP(LEFT(H483, 7), 'קטלוג תרחישים'!$A:$M, 13, FALSE))</f>
        <v>ג׳</v>
      </c>
    </row>
    <row r="484" spans="1:12">
      <c r="A484" s="29" t="s">
        <v>166</v>
      </c>
      <c r="B484" s="29">
        <v>21</v>
      </c>
      <c r="C484" s="29" t="s">
        <v>341</v>
      </c>
      <c r="D484" s="29">
        <v>3</v>
      </c>
      <c r="E484" s="29" t="s">
        <v>99</v>
      </c>
      <c r="F484" s="29" t="s">
        <v>342</v>
      </c>
      <c r="G484" s="29" t="s">
        <v>91</v>
      </c>
      <c r="H484" s="29" t="s">
        <v>138</v>
      </c>
      <c r="I484" s="29" t="s">
        <v>94</v>
      </c>
      <c r="J484" s="29" t="s">
        <v>343</v>
      </c>
      <c r="K484" s="29" t="str">
        <f>VLOOKUP(LEFT(H484, 7), 'קטלוג תרחישים'!$A:$L, 12, FALSE)</f>
        <v>ב׳</v>
      </c>
      <c r="L484" s="29" t="str">
        <f>IF(J484="כן", K484, VLOOKUP(LEFT(H484, 7), 'קטלוג תרחישים'!$A:$M, 13, FALSE))</f>
        <v>ג׳</v>
      </c>
    </row>
    <row r="485" spans="1:12">
      <c r="A485" s="29" t="s">
        <v>166</v>
      </c>
      <c r="B485" s="29">
        <v>22</v>
      </c>
      <c r="C485" s="29" t="s">
        <v>341</v>
      </c>
      <c r="D485" s="29">
        <v>1</v>
      </c>
      <c r="E485" s="29" t="s">
        <v>92</v>
      </c>
      <c r="F485" s="29" t="s">
        <v>344</v>
      </c>
      <c r="G485" s="29" t="s">
        <v>111</v>
      </c>
      <c r="H485" s="29" t="s">
        <v>157</v>
      </c>
      <c r="I485" s="29" t="s">
        <v>89</v>
      </c>
      <c r="J485" s="29" t="s">
        <v>340</v>
      </c>
      <c r="K485" s="29" t="str">
        <f>VLOOKUP(LEFT(H485, 7), 'קטלוג תרחישים'!$A:$L, 12, FALSE)</f>
        <v>ב׳</v>
      </c>
      <c r="L485" s="29" t="str">
        <f>IF(J485="כן", K485, VLOOKUP(LEFT(H485, 7), 'קטלוג תרחישים'!$A:$M, 13, FALSE))</f>
        <v>ב׳</v>
      </c>
    </row>
    <row r="486" spans="1:12">
      <c r="A486" s="29" t="s">
        <v>166</v>
      </c>
      <c r="B486" s="29">
        <v>23</v>
      </c>
      <c r="C486" s="29" t="s">
        <v>341</v>
      </c>
      <c r="D486" s="29">
        <v>1</v>
      </c>
      <c r="E486" s="29" t="s">
        <v>92</v>
      </c>
      <c r="F486" s="29" t="s">
        <v>344</v>
      </c>
      <c r="G486" s="29" t="s">
        <v>111</v>
      </c>
      <c r="H486" s="29" t="s">
        <v>156</v>
      </c>
      <c r="I486" s="29" t="s">
        <v>94</v>
      </c>
      <c r="J486" s="29" t="s">
        <v>340</v>
      </c>
      <c r="K486" s="29" t="str">
        <f>VLOOKUP(LEFT(H486, 7), 'קטלוג תרחישים'!$A:$L, 12, FALSE)</f>
        <v>א׳</v>
      </c>
      <c r="L486" s="29" t="str">
        <f>IF(J486="כן", K486, VLOOKUP(LEFT(H486, 7), 'קטלוג תרחישים'!$A:$M, 13, FALSE))</f>
        <v>א׳</v>
      </c>
    </row>
    <row r="487" spans="1:12">
      <c r="A487" s="29" t="s">
        <v>166</v>
      </c>
      <c r="B487" s="29">
        <v>24</v>
      </c>
      <c r="C487" s="29" t="s">
        <v>341</v>
      </c>
      <c r="D487" s="29">
        <v>1</v>
      </c>
      <c r="E487" s="29" t="s">
        <v>92</v>
      </c>
      <c r="F487" s="29" t="s">
        <v>344</v>
      </c>
      <c r="G487" s="29" t="s">
        <v>111</v>
      </c>
      <c r="H487" s="29" t="s">
        <v>155</v>
      </c>
      <c r="I487" s="29" t="s">
        <v>89</v>
      </c>
      <c r="J487" s="29" t="s">
        <v>343</v>
      </c>
      <c r="K487" s="29" t="str">
        <f>VLOOKUP(LEFT(H487, 7), 'קטלוג תרחישים'!$A:$L, 12, FALSE)</f>
        <v>ב׳</v>
      </c>
      <c r="L487" s="29" t="str">
        <f>IF(J487="כן", K487, VLOOKUP(LEFT(H487, 7), 'קטלוג תרחישים'!$A:$M, 13, FALSE))</f>
        <v>א׳</v>
      </c>
    </row>
    <row r="488" spans="1:12">
      <c r="A488" s="29" t="s">
        <v>166</v>
      </c>
      <c r="B488" s="29">
        <v>25</v>
      </c>
      <c r="C488" s="29" t="s">
        <v>341</v>
      </c>
      <c r="D488" s="29">
        <v>1</v>
      </c>
      <c r="E488" s="29" t="s">
        <v>92</v>
      </c>
      <c r="F488" s="29" t="s">
        <v>344</v>
      </c>
      <c r="G488" s="29" t="s">
        <v>111</v>
      </c>
      <c r="H488" s="29" t="s">
        <v>158</v>
      </c>
      <c r="I488" s="29" t="s">
        <v>94</v>
      </c>
      <c r="J488" s="29" t="s">
        <v>343</v>
      </c>
      <c r="K488" s="29" t="str">
        <f>VLOOKUP(LEFT(H488, 7), 'קטלוג תרחישים'!$A:$L, 12, FALSE)</f>
        <v>א׳</v>
      </c>
      <c r="L488" s="29" t="str">
        <f>IF(J488="כן", K488, VLOOKUP(LEFT(H488, 7), 'קטלוג תרחישים'!$A:$M, 13, FALSE))</f>
        <v>ג׳</v>
      </c>
    </row>
    <row r="489" spans="1:12">
      <c r="A489" s="29" t="s">
        <v>166</v>
      </c>
      <c r="B489" s="29">
        <v>26</v>
      </c>
      <c r="C489" s="29" t="s">
        <v>341</v>
      </c>
      <c r="D489" s="29">
        <v>2</v>
      </c>
      <c r="E489" s="29" t="s">
        <v>99</v>
      </c>
      <c r="F489" s="29" t="s">
        <v>344</v>
      </c>
      <c r="G489" s="29" t="s">
        <v>111</v>
      </c>
      <c r="H489" s="29" t="s">
        <v>161</v>
      </c>
      <c r="I489" s="29" t="s">
        <v>89</v>
      </c>
      <c r="J489" s="29" t="s">
        <v>343</v>
      </c>
      <c r="K489" s="29" t="str">
        <f>VLOOKUP(LEFT(H489, 7), 'קטלוג תרחישים'!$A:$L, 12, FALSE)</f>
        <v>ג׳</v>
      </c>
      <c r="L489" s="29" t="str">
        <f>IF(J489="כן", K489, VLOOKUP(LEFT(H489, 7), 'קטלוג תרחישים'!$A:$M, 13, FALSE))</f>
        <v>ב׳</v>
      </c>
    </row>
    <row r="490" spans="1:12">
      <c r="A490" s="29" t="s">
        <v>166</v>
      </c>
      <c r="B490" s="29">
        <v>27</v>
      </c>
      <c r="C490" s="29" t="s">
        <v>341</v>
      </c>
      <c r="D490" s="29">
        <v>2</v>
      </c>
      <c r="E490" s="29" t="s">
        <v>99</v>
      </c>
      <c r="F490" s="29" t="s">
        <v>344</v>
      </c>
      <c r="G490" s="29" t="s">
        <v>111</v>
      </c>
      <c r="H490" s="29" t="s">
        <v>160</v>
      </c>
      <c r="I490" s="29" t="s">
        <v>94</v>
      </c>
      <c r="J490" s="29" t="s">
        <v>340</v>
      </c>
      <c r="K490" s="29" t="str">
        <f>VLOOKUP(LEFT(H490, 7), 'קטלוג תרחישים'!$A:$L, 12, FALSE)</f>
        <v>ב׳</v>
      </c>
      <c r="L490" s="29" t="str">
        <f>IF(J490="כן", K490, VLOOKUP(LEFT(H490, 7), 'קטלוג תרחישים'!$A:$M, 13, FALSE))</f>
        <v>ב׳</v>
      </c>
    </row>
    <row r="491" spans="1:12">
      <c r="A491" s="29" t="s">
        <v>166</v>
      </c>
      <c r="B491" s="29">
        <v>28</v>
      </c>
      <c r="C491" s="29" t="s">
        <v>341</v>
      </c>
      <c r="D491" s="29">
        <v>2</v>
      </c>
      <c r="E491" s="29" t="s">
        <v>99</v>
      </c>
      <c r="F491" s="29" t="s">
        <v>344</v>
      </c>
      <c r="G491" s="29" t="s">
        <v>111</v>
      </c>
      <c r="H491" s="29" t="s">
        <v>159</v>
      </c>
      <c r="I491" s="29" t="s">
        <v>89</v>
      </c>
      <c r="J491" s="29" t="s">
        <v>340</v>
      </c>
      <c r="K491" s="29" t="str">
        <f>VLOOKUP(LEFT(H491, 7), 'קטלוג תרחישים'!$A:$L, 12, FALSE)</f>
        <v>ב׳</v>
      </c>
      <c r="L491" s="29" t="str">
        <f>IF(J491="כן", K491, VLOOKUP(LEFT(H491, 7), 'קטלוג תרחישים'!$A:$M, 13, FALSE))</f>
        <v>ב׳</v>
      </c>
    </row>
    <row r="492" spans="1:12">
      <c r="A492" s="29" t="s">
        <v>166</v>
      </c>
      <c r="B492" s="29">
        <v>29</v>
      </c>
      <c r="C492" s="29" t="s">
        <v>341</v>
      </c>
      <c r="D492" s="29">
        <v>2</v>
      </c>
      <c r="E492" s="29" t="s">
        <v>99</v>
      </c>
      <c r="F492" s="29" t="s">
        <v>344</v>
      </c>
      <c r="G492" s="29" t="s">
        <v>111</v>
      </c>
      <c r="H492" s="29" t="s">
        <v>162</v>
      </c>
      <c r="I492" s="29" t="s">
        <v>94</v>
      </c>
      <c r="J492" s="29" t="s">
        <v>343</v>
      </c>
      <c r="K492" s="29" t="str">
        <f>VLOOKUP(LEFT(H492, 7), 'קטלוג תרחישים'!$A:$L, 12, FALSE)</f>
        <v>א׳</v>
      </c>
      <c r="L492" s="29" t="str">
        <f>IF(J492="כן", K492, VLOOKUP(LEFT(H492, 7), 'קטלוג תרחישים'!$A:$M, 13, FALSE))</f>
        <v>ב׳</v>
      </c>
    </row>
    <row r="493" spans="1:12">
      <c r="A493" s="29" t="s">
        <v>166</v>
      </c>
      <c r="B493" s="29">
        <v>30</v>
      </c>
      <c r="C493" s="29" t="s">
        <v>341</v>
      </c>
      <c r="D493" s="29">
        <v>3</v>
      </c>
      <c r="E493" s="29" t="s">
        <v>105</v>
      </c>
      <c r="F493" s="29" t="s">
        <v>344</v>
      </c>
      <c r="G493" s="29" t="s">
        <v>111</v>
      </c>
      <c r="H493" s="29" t="s">
        <v>151</v>
      </c>
      <c r="I493" s="29" t="s">
        <v>89</v>
      </c>
      <c r="J493" s="29" t="s">
        <v>340</v>
      </c>
      <c r="K493" s="29" t="str">
        <f>VLOOKUP(LEFT(H493, 7), 'קטלוג תרחישים'!$A:$L, 12, FALSE)</f>
        <v>א׳</v>
      </c>
      <c r="L493" s="29" t="str">
        <f>IF(J493="כן", K493, VLOOKUP(LEFT(H493, 7), 'קטלוג תרחישים'!$A:$M, 13, FALSE))</f>
        <v>א׳</v>
      </c>
    </row>
    <row r="494" spans="1:12">
      <c r="A494" s="29" t="s">
        <v>166</v>
      </c>
      <c r="B494" s="29">
        <v>31</v>
      </c>
      <c r="C494" s="29" t="s">
        <v>341</v>
      </c>
      <c r="D494" s="29">
        <v>3</v>
      </c>
      <c r="E494" s="29" t="s">
        <v>105</v>
      </c>
      <c r="F494" s="29" t="s">
        <v>344</v>
      </c>
      <c r="G494" s="29" t="s">
        <v>111</v>
      </c>
      <c r="H494" s="29" t="s">
        <v>152</v>
      </c>
      <c r="I494" s="29" t="s">
        <v>94</v>
      </c>
      <c r="J494" s="29" t="s">
        <v>343</v>
      </c>
      <c r="K494" s="29" t="str">
        <f>VLOOKUP(LEFT(H494, 7), 'קטלוג תרחישים'!$A:$L, 12, FALSE)</f>
        <v>ב׳</v>
      </c>
      <c r="L494" s="29" t="str">
        <f>IF(J494="כן", K494, VLOOKUP(LEFT(H494, 7), 'קטלוג תרחישים'!$A:$M, 13, FALSE))</f>
        <v>ג׳</v>
      </c>
    </row>
    <row r="495" spans="1:12">
      <c r="A495" s="29" t="s">
        <v>166</v>
      </c>
      <c r="B495" s="29">
        <v>32</v>
      </c>
      <c r="C495" s="29" t="s">
        <v>341</v>
      </c>
      <c r="D495" s="29">
        <v>3</v>
      </c>
      <c r="E495" s="29" t="s">
        <v>105</v>
      </c>
      <c r="F495" s="29" t="s">
        <v>344</v>
      </c>
      <c r="G495" s="29" t="s">
        <v>111</v>
      </c>
      <c r="H495" s="29" t="s">
        <v>153</v>
      </c>
      <c r="I495" s="29" t="s">
        <v>89</v>
      </c>
      <c r="J495" s="29" t="s">
        <v>343</v>
      </c>
      <c r="K495" s="29" t="str">
        <f>VLOOKUP(LEFT(H495, 7), 'קטלוג תרחישים'!$A:$L, 12, FALSE)</f>
        <v>ג׳</v>
      </c>
      <c r="L495" s="29" t="str">
        <f>IF(J495="כן", K495, VLOOKUP(LEFT(H495, 7), 'קטלוג תרחישים'!$A:$M, 13, FALSE))</f>
        <v>ב׳</v>
      </c>
    </row>
    <row r="496" spans="1:12">
      <c r="A496" s="29" t="s">
        <v>166</v>
      </c>
      <c r="B496" s="29">
        <v>33</v>
      </c>
      <c r="C496" s="29" t="s">
        <v>341</v>
      </c>
      <c r="D496" s="29">
        <v>3</v>
      </c>
      <c r="E496" s="29" t="s">
        <v>105</v>
      </c>
      <c r="F496" s="29" t="s">
        <v>344</v>
      </c>
      <c r="G496" s="29" t="s">
        <v>111</v>
      </c>
      <c r="H496" s="29" t="s">
        <v>154</v>
      </c>
      <c r="I496" s="29" t="s">
        <v>94</v>
      </c>
      <c r="J496" s="29" t="s">
        <v>340</v>
      </c>
      <c r="K496" s="29" t="str">
        <f>VLOOKUP(LEFT(H496, 7), 'קטלוג תרחישים'!$A:$L, 12, FALSE)</f>
        <v>ג׳</v>
      </c>
      <c r="L496" s="29" t="str">
        <f>IF(J496="כן", K496, VLOOKUP(LEFT(H496, 7), 'קטלוג תרחישים'!$A:$M, 13, FALSE))</f>
        <v>ג׳</v>
      </c>
    </row>
    <row r="497" spans="1:12">
      <c r="A497" s="29" t="s">
        <v>167</v>
      </c>
      <c r="B497" s="29">
        <v>1</v>
      </c>
      <c r="C497" s="29" t="s">
        <v>339</v>
      </c>
      <c r="D497" s="29"/>
      <c r="E497" s="29" t="s">
        <v>92</v>
      </c>
      <c r="F497" s="29"/>
      <c r="G497" s="29"/>
      <c r="H497" s="30" t="s">
        <v>351</v>
      </c>
      <c r="I497" s="29" t="s">
        <v>89</v>
      </c>
      <c r="J497" s="29" t="s">
        <v>340</v>
      </c>
      <c r="K497" s="29" t="str">
        <f>VLOOKUP(LEFT(H497, 7), 'קטלוג תרחישים'!$A:$L, 12, FALSE)</f>
        <v>א׳</v>
      </c>
      <c r="L497" s="29" t="str">
        <f>IF(J497="כן", K497, VLOOKUP(LEFT(H497, 7), 'קטלוג תרחישים'!$A:$M, 13, FALSE))</f>
        <v>א׳</v>
      </c>
    </row>
    <row r="498" spans="1:12">
      <c r="A498" s="29" t="s">
        <v>167</v>
      </c>
      <c r="B498" s="29">
        <v>2</v>
      </c>
      <c r="C498" s="29" t="s">
        <v>339</v>
      </c>
      <c r="D498" s="29"/>
      <c r="E498" s="29" t="s">
        <v>92</v>
      </c>
      <c r="F498" s="29"/>
      <c r="G498" s="29"/>
      <c r="H498" s="30" t="s">
        <v>88</v>
      </c>
      <c r="I498" s="29" t="s">
        <v>89</v>
      </c>
      <c r="J498" s="29" t="s">
        <v>340</v>
      </c>
      <c r="K498" s="29" t="str">
        <f>VLOOKUP(LEFT(H498, 7), 'קטלוג תרחישים'!$A:$L, 12, FALSE)</f>
        <v>א׳</v>
      </c>
      <c r="L498" s="29" t="str">
        <f>IF(J498="כן", K498, VLOOKUP(LEFT(H498, 7), 'קטלוג תרחישים'!$A:$M, 13, FALSE))</f>
        <v>א׳</v>
      </c>
    </row>
    <row r="499" spans="1:12">
      <c r="A499" s="29" t="s">
        <v>167</v>
      </c>
      <c r="B499" s="29">
        <v>3</v>
      </c>
      <c r="C499" s="29" t="s">
        <v>339</v>
      </c>
      <c r="D499" s="29"/>
      <c r="E499" s="29" t="s">
        <v>99</v>
      </c>
      <c r="F499" s="29"/>
      <c r="G499" s="29"/>
      <c r="H499" s="30" t="s">
        <v>352</v>
      </c>
      <c r="I499" s="29" t="s">
        <v>89</v>
      </c>
      <c r="J499" s="29" t="s">
        <v>340</v>
      </c>
      <c r="K499" s="29" t="str">
        <f>VLOOKUP(LEFT(H499, 7), 'קטלוג תרחישים'!$A:$L, 12, FALSE)</f>
        <v>ב׳</v>
      </c>
      <c r="L499" s="29" t="str">
        <f>IF(J499="כן", K499, VLOOKUP(LEFT(H499, 7), 'קטלוג תרחישים'!$A:$M, 13, FALSE))</f>
        <v>ב׳</v>
      </c>
    </row>
    <row r="500" spans="1:12">
      <c r="A500" s="29" t="s">
        <v>167</v>
      </c>
      <c r="B500" s="29">
        <v>4</v>
      </c>
      <c r="C500" s="29" t="s">
        <v>339</v>
      </c>
      <c r="D500" s="29"/>
      <c r="E500" s="29" t="s">
        <v>99</v>
      </c>
      <c r="F500" s="29"/>
      <c r="G500" s="29"/>
      <c r="H500" s="30" t="s">
        <v>353</v>
      </c>
      <c r="I500" s="29" t="s">
        <v>89</v>
      </c>
      <c r="J500" s="29" t="s">
        <v>340</v>
      </c>
      <c r="K500" s="29" t="str">
        <f>VLOOKUP(LEFT(H500, 7), 'קטלוג תרחישים'!$A:$L, 12, FALSE)</f>
        <v>ב׳</v>
      </c>
      <c r="L500" s="29" t="str">
        <f>IF(J500="כן", K500, VLOOKUP(LEFT(H500, 7), 'קטלוג תרחישים'!$A:$M, 13, FALSE))</f>
        <v>ב׳</v>
      </c>
    </row>
    <row r="501" spans="1:12">
      <c r="A501" s="29" t="s">
        <v>167</v>
      </c>
      <c r="B501" s="29">
        <v>5</v>
      </c>
      <c r="C501" s="29" t="s">
        <v>339</v>
      </c>
      <c r="D501" s="29"/>
      <c r="E501" s="29" t="s">
        <v>105</v>
      </c>
      <c r="F501" s="29"/>
      <c r="G501" s="29"/>
      <c r="H501" s="30" t="s">
        <v>354</v>
      </c>
      <c r="I501" s="29" t="s">
        <v>89</v>
      </c>
      <c r="J501" s="29" t="s">
        <v>340</v>
      </c>
      <c r="K501" s="29" t="str">
        <f>VLOOKUP(LEFT(H501, 7), 'קטלוג תרחישים'!$A:$L, 12, FALSE)</f>
        <v>ג׳</v>
      </c>
      <c r="L501" s="29" t="str">
        <f>IF(J501="כן", K501, VLOOKUP(LEFT(H501, 7), 'קטלוג תרחישים'!$A:$M, 13, FALSE))</f>
        <v>ג׳</v>
      </c>
    </row>
    <row r="502" spans="1:12">
      <c r="A502" s="29" t="s">
        <v>167</v>
      </c>
      <c r="B502" s="29">
        <v>6</v>
      </c>
      <c r="C502" s="29" t="s">
        <v>339</v>
      </c>
      <c r="D502" s="29"/>
      <c r="E502" s="29" t="s">
        <v>105</v>
      </c>
      <c r="F502" s="29"/>
      <c r="G502" s="29"/>
      <c r="H502" s="30" t="s">
        <v>90</v>
      </c>
      <c r="I502" s="29" t="s">
        <v>89</v>
      </c>
      <c r="J502" s="29" t="s">
        <v>340</v>
      </c>
      <c r="K502" s="29" t="str">
        <f>VLOOKUP(LEFT(H502, 7), 'קטלוג תרחישים'!$A:$L, 12, FALSE)</f>
        <v>ג׳</v>
      </c>
      <c r="L502" s="29" t="str">
        <f>IF(J502="כן", K502, VLOOKUP(LEFT(H502, 7), 'קטלוג תרחישים'!$A:$M, 13, FALSE))</f>
        <v>ג׳</v>
      </c>
    </row>
    <row r="503" spans="1:12">
      <c r="A503" s="29" t="s">
        <v>167</v>
      </c>
      <c r="B503" s="29">
        <v>7</v>
      </c>
      <c r="C503" s="29" t="s">
        <v>341</v>
      </c>
      <c r="D503" s="29">
        <v>1</v>
      </c>
      <c r="E503" s="29" t="s">
        <v>99</v>
      </c>
      <c r="F503" s="29" t="s">
        <v>342</v>
      </c>
      <c r="G503" s="29" t="s">
        <v>111</v>
      </c>
      <c r="H503" s="29" t="s">
        <v>161</v>
      </c>
      <c r="I503" s="29" t="s">
        <v>89</v>
      </c>
      <c r="J503" s="29" t="s">
        <v>340</v>
      </c>
      <c r="K503" s="29" t="str">
        <f>VLOOKUP(LEFT(H503, 7), 'קטלוג תרחישים'!$A:$L, 12, FALSE)</f>
        <v>ג׳</v>
      </c>
      <c r="L503" s="29" t="str">
        <f>IF(J503="כן", K503, VLOOKUP(LEFT(H503, 7), 'קטלוג תרחישים'!$A:$M, 13, FALSE))</f>
        <v>ג׳</v>
      </c>
    </row>
    <row r="504" spans="1:12">
      <c r="A504" s="29" t="s">
        <v>167</v>
      </c>
      <c r="B504" s="29">
        <v>8</v>
      </c>
      <c r="C504" s="29" t="s">
        <v>341</v>
      </c>
      <c r="D504" s="29">
        <v>1</v>
      </c>
      <c r="E504" s="29" t="s">
        <v>99</v>
      </c>
      <c r="F504" s="29" t="s">
        <v>342</v>
      </c>
      <c r="G504" s="29" t="s">
        <v>111</v>
      </c>
      <c r="H504" s="29" t="s">
        <v>160</v>
      </c>
      <c r="I504" s="29" t="s">
        <v>94</v>
      </c>
      <c r="J504" s="29" t="s">
        <v>340</v>
      </c>
      <c r="K504" s="29" t="str">
        <f>VLOOKUP(LEFT(H504, 7), 'קטלוג תרחישים'!$A:$L, 12, FALSE)</f>
        <v>ב׳</v>
      </c>
      <c r="L504" s="29" t="str">
        <f>IF(J504="כן", K504, VLOOKUP(LEFT(H504, 7), 'קטלוג תרחישים'!$A:$M, 13, FALSE))</f>
        <v>ב׳</v>
      </c>
    </row>
    <row r="505" spans="1:12">
      <c r="A505" s="29" t="s">
        <v>167</v>
      </c>
      <c r="B505" s="29">
        <v>9</v>
      </c>
      <c r="C505" s="29" t="s">
        <v>341</v>
      </c>
      <c r="D505" s="29">
        <v>1</v>
      </c>
      <c r="E505" s="29" t="s">
        <v>99</v>
      </c>
      <c r="F505" s="29" t="s">
        <v>342</v>
      </c>
      <c r="G505" s="29" t="s">
        <v>111</v>
      </c>
      <c r="H505" s="29" t="s">
        <v>159</v>
      </c>
      <c r="I505" s="29" t="s">
        <v>89</v>
      </c>
      <c r="J505" s="29" t="s">
        <v>343</v>
      </c>
      <c r="K505" s="29" t="str">
        <f>VLOOKUP(LEFT(H505, 7), 'קטלוג תרחישים'!$A:$L, 12, FALSE)</f>
        <v>ב׳</v>
      </c>
      <c r="L505" s="29" t="str">
        <f>IF(J505="כן", K505, VLOOKUP(LEFT(H505, 7), 'קטלוג תרחישים'!$A:$M, 13, FALSE))</f>
        <v>א׳</v>
      </c>
    </row>
    <row r="506" spans="1:12">
      <c r="A506" s="29" t="s">
        <v>167</v>
      </c>
      <c r="B506" s="29">
        <v>10</v>
      </c>
      <c r="C506" s="29" t="s">
        <v>341</v>
      </c>
      <c r="D506" s="29">
        <v>1</v>
      </c>
      <c r="E506" s="29" t="s">
        <v>99</v>
      </c>
      <c r="F506" s="29" t="s">
        <v>342</v>
      </c>
      <c r="G506" s="29" t="s">
        <v>111</v>
      </c>
      <c r="H506" s="29" t="s">
        <v>162</v>
      </c>
      <c r="I506" s="29" t="s">
        <v>94</v>
      </c>
      <c r="J506" s="29" t="s">
        <v>343</v>
      </c>
      <c r="K506" s="29" t="str">
        <f>VLOOKUP(LEFT(H506, 7), 'קטלוג תרחישים'!$A:$L, 12, FALSE)</f>
        <v>א׳</v>
      </c>
      <c r="L506" s="29" t="str">
        <f>IF(J506="כן", K506, VLOOKUP(LEFT(H506, 7), 'קטלוג תרחישים'!$A:$M, 13, FALSE))</f>
        <v>ב׳</v>
      </c>
    </row>
    <row r="507" spans="1:12">
      <c r="A507" s="29" t="s">
        <v>167</v>
      </c>
      <c r="B507" s="29">
        <v>11</v>
      </c>
      <c r="C507" s="29" t="s">
        <v>341</v>
      </c>
      <c r="D507" s="29">
        <v>2</v>
      </c>
      <c r="E507" s="29" t="s">
        <v>105</v>
      </c>
      <c r="F507" s="29" t="s">
        <v>342</v>
      </c>
      <c r="G507" s="29" t="s">
        <v>111</v>
      </c>
      <c r="H507" s="29" t="s">
        <v>151</v>
      </c>
      <c r="I507" s="29" t="s">
        <v>89</v>
      </c>
      <c r="J507" s="29" t="s">
        <v>340</v>
      </c>
      <c r="K507" s="29" t="str">
        <f>VLOOKUP(LEFT(H507, 7), 'קטלוג תרחישים'!$A:$L, 12, FALSE)</f>
        <v>א׳</v>
      </c>
      <c r="L507" s="29" t="str">
        <f>IF(J507="כן", K507, VLOOKUP(LEFT(H507, 7), 'קטלוג תרחישים'!$A:$M, 13, FALSE))</f>
        <v>א׳</v>
      </c>
    </row>
    <row r="508" spans="1:12">
      <c r="A508" s="29" t="s">
        <v>167</v>
      </c>
      <c r="B508" s="29">
        <v>12</v>
      </c>
      <c r="C508" s="29" t="s">
        <v>341</v>
      </c>
      <c r="D508" s="29">
        <v>2</v>
      </c>
      <c r="E508" s="29" t="s">
        <v>105</v>
      </c>
      <c r="F508" s="29" t="s">
        <v>342</v>
      </c>
      <c r="G508" s="29" t="s">
        <v>111</v>
      </c>
      <c r="H508" s="29" t="s">
        <v>152</v>
      </c>
      <c r="I508" s="29" t="s">
        <v>94</v>
      </c>
      <c r="J508" s="29" t="s">
        <v>340</v>
      </c>
      <c r="K508" s="29" t="str">
        <f>VLOOKUP(LEFT(H508, 7), 'קטלוג תרחישים'!$A:$L, 12, FALSE)</f>
        <v>ב׳</v>
      </c>
      <c r="L508" s="29" t="str">
        <f>IF(J508="כן", K508, VLOOKUP(LEFT(H508, 7), 'קטלוג תרחישים'!$A:$M, 13, FALSE))</f>
        <v>ב׳</v>
      </c>
    </row>
    <row r="509" spans="1:12">
      <c r="A509" s="29" t="s">
        <v>167</v>
      </c>
      <c r="B509" s="29">
        <v>13</v>
      </c>
      <c r="C509" s="29" t="s">
        <v>341</v>
      </c>
      <c r="D509" s="29">
        <v>2</v>
      </c>
      <c r="E509" s="29" t="s">
        <v>105</v>
      </c>
      <c r="F509" s="29" t="s">
        <v>342</v>
      </c>
      <c r="G509" s="29" t="s">
        <v>111</v>
      </c>
      <c r="H509" s="29" t="s">
        <v>153</v>
      </c>
      <c r="I509" s="29" t="s">
        <v>89</v>
      </c>
      <c r="J509" s="29" t="s">
        <v>343</v>
      </c>
      <c r="K509" s="29" t="str">
        <f>VLOOKUP(LEFT(H509, 7), 'קטלוג תרחישים'!$A:$L, 12, FALSE)</f>
        <v>ג׳</v>
      </c>
      <c r="L509" s="29" t="str">
        <f>IF(J509="כן", K509, VLOOKUP(LEFT(H509, 7), 'קטלוג תרחישים'!$A:$M, 13, FALSE))</f>
        <v>ב׳</v>
      </c>
    </row>
    <row r="510" spans="1:12">
      <c r="A510" s="29" t="s">
        <v>167</v>
      </c>
      <c r="B510" s="29">
        <v>14</v>
      </c>
      <c r="C510" s="29" t="s">
        <v>341</v>
      </c>
      <c r="D510" s="29">
        <v>2</v>
      </c>
      <c r="E510" s="29" t="s">
        <v>105</v>
      </c>
      <c r="F510" s="29" t="s">
        <v>342</v>
      </c>
      <c r="G510" s="29" t="s">
        <v>111</v>
      </c>
      <c r="H510" s="29" t="s">
        <v>154</v>
      </c>
      <c r="I510" s="29" t="s">
        <v>94</v>
      </c>
      <c r="J510" s="29" t="s">
        <v>343</v>
      </c>
      <c r="K510" s="29" t="str">
        <f>VLOOKUP(LEFT(H510, 7), 'קטלוג תרחישים'!$A:$L, 12, FALSE)</f>
        <v>ג׳</v>
      </c>
      <c r="L510" s="29" t="str">
        <f>IF(J510="כן", K510, VLOOKUP(LEFT(H510, 7), 'קטלוג תרחישים'!$A:$M, 13, FALSE))</f>
        <v>א׳</v>
      </c>
    </row>
    <row r="511" spans="1:12">
      <c r="A511" s="29" t="s">
        <v>167</v>
      </c>
      <c r="B511" s="29">
        <v>15</v>
      </c>
      <c r="C511" s="29" t="s">
        <v>341</v>
      </c>
      <c r="D511" s="29">
        <v>3</v>
      </c>
      <c r="E511" s="29" t="s">
        <v>92</v>
      </c>
      <c r="F511" s="29" t="s">
        <v>342</v>
      </c>
      <c r="G511" s="29" t="s">
        <v>111</v>
      </c>
      <c r="H511" s="29" t="s">
        <v>155</v>
      </c>
      <c r="I511" s="29" t="s">
        <v>89</v>
      </c>
      <c r="J511" s="29" t="s">
        <v>340</v>
      </c>
      <c r="K511" s="29" t="str">
        <f>VLOOKUP(LEFT(H511, 7), 'קטלוג תרחישים'!$A:$L, 12, FALSE)</f>
        <v>ב׳</v>
      </c>
      <c r="L511" s="29" t="str">
        <f>IF(J511="כן", K511, VLOOKUP(LEFT(H511, 7), 'קטלוג תרחישים'!$A:$M, 13, FALSE))</f>
        <v>ב׳</v>
      </c>
    </row>
    <row r="512" spans="1:12">
      <c r="A512" s="29" t="s">
        <v>167</v>
      </c>
      <c r="B512" s="29">
        <v>16</v>
      </c>
      <c r="C512" s="29" t="s">
        <v>341</v>
      </c>
      <c r="D512" s="29">
        <v>3</v>
      </c>
      <c r="E512" s="29" t="s">
        <v>92</v>
      </c>
      <c r="F512" s="29" t="s">
        <v>342</v>
      </c>
      <c r="G512" s="29" t="s">
        <v>111</v>
      </c>
      <c r="H512" s="29" t="s">
        <v>156</v>
      </c>
      <c r="I512" s="29" t="s">
        <v>94</v>
      </c>
      <c r="J512" s="29" t="s">
        <v>340</v>
      </c>
      <c r="K512" s="29" t="str">
        <f>VLOOKUP(LEFT(H512, 7), 'קטלוג תרחישים'!$A:$L, 12, FALSE)</f>
        <v>א׳</v>
      </c>
      <c r="L512" s="29" t="str">
        <f>IF(J512="כן", K512, VLOOKUP(LEFT(H512, 7), 'קטלוג תרחישים'!$A:$M, 13, FALSE))</f>
        <v>א׳</v>
      </c>
    </row>
    <row r="513" spans="1:12">
      <c r="A513" s="29" t="s">
        <v>167</v>
      </c>
      <c r="B513" s="29">
        <v>17</v>
      </c>
      <c r="C513" s="29" t="s">
        <v>341</v>
      </c>
      <c r="D513" s="29">
        <v>3</v>
      </c>
      <c r="E513" s="29" t="s">
        <v>92</v>
      </c>
      <c r="F513" s="29" t="s">
        <v>342</v>
      </c>
      <c r="G513" s="29" t="s">
        <v>111</v>
      </c>
      <c r="H513" s="29" t="s">
        <v>157</v>
      </c>
      <c r="I513" s="29" t="s">
        <v>89</v>
      </c>
      <c r="J513" s="29" t="s">
        <v>343</v>
      </c>
      <c r="K513" s="29" t="str">
        <f>VLOOKUP(LEFT(H513, 7), 'קטלוג תרחישים'!$A:$L, 12, FALSE)</f>
        <v>ב׳</v>
      </c>
      <c r="L513" s="29" t="str">
        <f>IF(J513="כן", K513, VLOOKUP(LEFT(H513, 7), 'קטלוג תרחישים'!$A:$M, 13, FALSE))</f>
        <v>א׳</v>
      </c>
    </row>
    <row r="514" spans="1:12">
      <c r="A514" s="29" t="s">
        <v>167</v>
      </c>
      <c r="B514" s="29">
        <v>18</v>
      </c>
      <c r="C514" s="29" t="s">
        <v>341</v>
      </c>
      <c r="D514" s="29">
        <v>3</v>
      </c>
      <c r="E514" s="29" t="s">
        <v>92</v>
      </c>
      <c r="F514" s="29" t="s">
        <v>342</v>
      </c>
      <c r="G514" s="29" t="s">
        <v>111</v>
      </c>
      <c r="H514" s="29" t="s">
        <v>158</v>
      </c>
      <c r="I514" s="29" t="s">
        <v>94</v>
      </c>
      <c r="J514" s="29" t="s">
        <v>343</v>
      </c>
      <c r="K514" s="29" t="str">
        <f>VLOOKUP(LEFT(H514, 7), 'קטלוג תרחישים'!$A:$L, 12, FALSE)</f>
        <v>א׳</v>
      </c>
      <c r="L514" s="29" t="str">
        <f>IF(J514="כן", K514, VLOOKUP(LEFT(H514, 7), 'קטלוג תרחישים'!$A:$M, 13, FALSE))</f>
        <v>ג׳</v>
      </c>
    </row>
    <row r="515" spans="1:12">
      <c r="A515" s="29" t="s">
        <v>167</v>
      </c>
      <c r="B515" s="29">
        <v>19</v>
      </c>
      <c r="C515" s="29" t="s">
        <v>341</v>
      </c>
      <c r="D515" s="29">
        <v>1</v>
      </c>
      <c r="E515" s="29" t="s">
        <v>92</v>
      </c>
      <c r="F515" s="29" t="s">
        <v>344</v>
      </c>
      <c r="G515" s="29" t="s">
        <v>91</v>
      </c>
      <c r="H515" s="29" t="s">
        <v>146</v>
      </c>
      <c r="I515" s="29" t="s">
        <v>89</v>
      </c>
      <c r="J515" s="29" t="s">
        <v>340</v>
      </c>
      <c r="K515" s="29" t="str">
        <f>VLOOKUP(LEFT(H515, 7), 'קטלוג תרחישים'!$A:$L, 12, FALSE)</f>
        <v>ג׳</v>
      </c>
      <c r="L515" s="29" t="str">
        <f>IF(J515="כן", K515, VLOOKUP(LEFT(H515, 7), 'קטלוג תרחישים'!$A:$M, 13, FALSE))</f>
        <v>ג׳</v>
      </c>
    </row>
    <row r="516" spans="1:12">
      <c r="A516" s="29" t="s">
        <v>167</v>
      </c>
      <c r="B516" s="29">
        <v>20</v>
      </c>
      <c r="C516" s="29" t="s">
        <v>341</v>
      </c>
      <c r="D516" s="29">
        <v>1</v>
      </c>
      <c r="E516" s="29" t="s">
        <v>92</v>
      </c>
      <c r="F516" s="29" t="s">
        <v>344</v>
      </c>
      <c r="G516" s="29" t="s">
        <v>91</v>
      </c>
      <c r="H516" s="29" t="s">
        <v>147</v>
      </c>
      <c r="I516" s="29" t="s">
        <v>94</v>
      </c>
      <c r="J516" s="29" t="s">
        <v>340</v>
      </c>
      <c r="K516" s="29" t="str">
        <f>VLOOKUP(LEFT(H516, 7), 'קטלוג תרחישים'!$A:$L, 12, FALSE)</f>
        <v>ב׳</v>
      </c>
      <c r="L516" s="29" t="str">
        <f>IF(J516="כן", K516, VLOOKUP(LEFT(H516, 7), 'קטלוג תרחישים'!$A:$M, 13, FALSE))</f>
        <v>ב׳</v>
      </c>
    </row>
    <row r="517" spans="1:12">
      <c r="A517" s="29" t="s">
        <v>167</v>
      </c>
      <c r="B517" s="29">
        <v>21</v>
      </c>
      <c r="C517" s="29" t="s">
        <v>341</v>
      </c>
      <c r="D517" s="29">
        <v>1</v>
      </c>
      <c r="E517" s="29" t="s">
        <v>92</v>
      </c>
      <c r="F517" s="29" t="s">
        <v>344</v>
      </c>
      <c r="G517" s="29" t="s">
        <v>91</v>
      </c>
      <c r="H517" s="29" t="s">
        <v>148</v>
      </c>
      <c r="I517" s="29" t="s">
        <v>89</v>
      </c>
      <c r="J517" s="29" t="s">
        <v>343</v>
      </c>
      <c r="K517" s="29" t="str">
        <f>VLOOKUP(LEFT(H517, 7), 'קטלוג תרחישים'!$A:$L, 12, FALSE)</f>
        <v>א׳</v>
      </c>
      <c r="L517" s="29" t="str">
        <f>IF(J517="כן", K517, VLOOKUP(LEFT(H517, 7), 'קטלוג תרחישים'!$A:$M, 13, FALSE))</f>
        <v>ב׳</v>
      </c>
    </row>
    <row r="518" spans="1:12">
      <c r="A518" s="29" t="s">
        <v>167</v>
      </c>
      <c r="B518" s="29">
        <v>22</v>
      </c>
      <c r="C518" s="29" t="s">
        <v>341</v>
      </c>
      <c r="D518" s="29">
        <v>1</v>
      </c>
      <c r="E518" s="29" t="s">
        <v>92</v>
      </c>
      <c r="F518" s="29" t="s">
        <v>344</v>
      </c>
      <c r="G518" s="29" t="s">
        <v>91</v>
      </c>
      <c r="H518" s="29" t="s">
        <v>149</v>
      </c>
      <c r="I518" s="29" t="s">
        <v>94</v>
      </c>
      <c r="J518" s="29" t="s">
        <v>340</v>
      </c>
      <c r="K518" s="29" t="str">
        <f>VLOOKUP(LEFT(H518, 7), 'קטלוג תרחישים'!$A:$L, 12, FALSE)</f>
        <v>ג׳</v>
      </c>
      <c r="L518" s="29" t="str">
        <f>IF(J518="כן", K518, VLOOKUP(LEFT(H518, 7), 'קטלוג תרחישים'!$A:$M, 13, FALSE))</f>
        <v>ג׳</v>
      </c>
    </row>
    <row r="519" spans="1:12">
      <c r="A519" s="29" t="s">
        <v>167</v>
      </c>
      <c r="B519" s="29">
        <v>23</v>
      </c>
      <c r="C519" s="29" t="s">
        <v>341</v>
      </c>
      <c r="D519" s="29">
        <v>1</v>
      </c>
      <c r="E519" s="29" t="s">
        <v>92</v>
      </c>
      <c r="F519" s="29" t="s">
        <v>344</v>
      </c>
      <c r="G519" s="29" t="s">
        <v>91</v>
      </c>
      <c r="H519" s="29" t="s">
        <v>150</v>
      </c>
      <c r="I519" s="29" t="s">
        <v>89</v>
      </c>
      <c r="J519" s="29" t="s">
        <v>340</v>
      </c>
      <c r="K519" s="29" t="str">
        <f>VLOOKUP(LEFT(H519, 7), 'קטלוג תרחישים'!$A:$L, 12, FALSE)</f>
        <v>א׳</v>
      </c>
      <c r="L519" s="29" t="str">
        <f>IF(J519="כן", K519, VLOOKUP(LEFT(H519, 7), 'קטלוג תרחישים'!$A:$M, 13, FALSE))</f>
        <v>א׳</v>
      </c>
    </row>
    <row r="520" spans="1:12">
      <c r="A520" s="29" t="s">
        <v>167</v>
      </c>
      <c r="B520" s="29">
        <v>24</v>
      </c>
      <c r="C520" s="29" t="s">
        <v>341</v>
      </c>
      <c r="D520" s="29">
        <v>2</v>
      </c>
      <c r="E520" s="29" t="s">
        <v>99</v>
      </c>
      <c r="F520" s="29" t="s">
        <v>344</v>
      </c>
      <c r="G520" s="29" t="s">
        <v>91</v>
      </c>
      <c r="H520" s="29" t="s">
        <v>140</v>
      </c>
      <c r="I520" s="29" t="s">
        <v>94</v>
      </c>
      <c r="J520" s="29" t="s">
        <v>340</v>
      </c>
      <c r="K520" s="29" t="str">
        <f>VLOOKUP(LEFT(H520, 7), 'קטלוג תרחישים'!$A:$L, 12, FALSE)</f>
        <v>א׳</v>
      </c>
      <c r="L520" s="29" t="str">
        <f>IF(J520="כן", K520, VLOOKUP(LEFT(H520, 7), 'קטלוג תרחישים'!$A:$M, 13, FALSE))</f>
        <v>א׳</v>
      </c>
    </row>
    <row r="521" spans="1:12">
      <c r="A521" s="29" t="s">
        <v>167</v>
      </c>
      <c r="B521" s="29">
        <v>25</v>
      </c>
      <c r="C521" s="29" t="s">
        <v>341</v>
      </c>
      <c r="D521" s="29">
        <v>2</v>
      </c>
      <c r="E521" s="29" t="s">
        <v>99</v>
      </c>
      <c r="F521" s="29" t="s">
        <v>344</v>
      </c>
      <c r="G521" s="29" t="s">
        <v>91</v>
      </c>
      <c r="H521" s="29" t="s">
        <v>139</v>
      </c>
      <c r="I521" s="29" t="s">
        <v>89</v>
      </c>
      <c r="J521" s="29" t="s">
        <v>343</v>
      </c>
      <c r="K521" s="29" t="str">
        <f>VLOOKUP(LEFT(H521, 7), 'קטלוג תרחישים'!$A:$L, 12, FALSE)</f>
        <v>ג׳</v>
      </c>
      <c r="L521" s="29" t="str">
        <f>IF(J521="כן", K521, VLOOKUP(LEFT(H521, 7), 'קטלוג תרחישים'!$A:$M, 13, FALSE))</f>
        <v>ב׳</v>
      </c>
    </row>
    <row r="522" spans="1:12">
      <c r="A522" s="29" t="s">
        <v>167</v>
      </c>
      <c r="B522" s="29">
        <v>26</v>
      </c>
      <c r="C522" s="29" t="s">
        <v>341</v>
      </c>
      <c r="D522" s="29">
        <v>2</v>
      </c>
      <c r="E522" s="29" t="s">
        <v>99</v>
      </c>
      <c r="F522" s="29" t="s">
        <v>344</v>
      </c>
      <c r="G522" s="29" t="s">
        <v>91</v>
      </c>
      <c r="H522" s="29" t="s">
        <v>136</v>
      </c>
      <c r="I522" s="29" t="s">
        <v>94</v>
      </c>
      <c r="J522" s="29" t="s">
        <v>340</v>
      </c>
      <c r="K522" s="29" t="str">
        <f>VLOOKUP(LEFT(H522, 7), 'קטלוג תרחישים'!$A:$L, 12, FALSE)</f>
        <v>ג׳</v>
      </c>
      <c r="L522" s="29" t="str">
        <f>IF(J522="כן", K522, VLOOKUP(LEFT(H522, 7), 'קטלוג תרחישים'!$A:$M, 13, FALSE))</f>
        <v>ג׳</v>
      </c>
    </row>
    <row r="523" spans="1:12">
      <c r="A523" s="29" t="s">
        <v>167</v>
      </c>
      <c r="B523" s="29">
        <v>27</v>
      </c>
      <c r="C523" s="29" t="s">
        <v>341</v>
      </c>
      <c r="D523" s="29">
        <v>2</v>
      </c>
      <c r="E523" s="29" t="s">
        <v>99</v>
      </c>
      <c r="F523" s="29" t="s">
        <v>344</v>
      </c>
      <c r="G523" s="29" t="s">
        <v>91</v>
      </c>
      <c r="H523" s="29" t="s">
        <v>137</v>
      </c>
      <c r="I523" s="29" t="s">
        <v>89</v>
      </c>
      <c r="J523" s="29" t="s">
        <v>340</v>
      </c>
      <c r="K523" s="29" t="str">
        <f>VLOOKUP(LEFT(H523, 7), 'קטלוג תרחישים'!$A:$L, 12, FALSE)</f>
        <v>ג׳</v>
      </c>
      <c r="L523" s="29" t="str">
        <f>IF(J523="כן", K523, VLOOKUP(LEFT(H523, 7), 'קטלוג תרחישים'!$A:$M, 13, FALSE))</f>
        <v>ג׳</v>
      </c>
    </row>
    <row r="524" spans="1:12">
      <c r="A524" s="29" t="s">
        <v>167</v>
      </c>
      <c r="B524" s="29">
        <v>28</v>
      </c>
      <c r="C524" s="29" t="s">
        <v>341</v>
      </c>
      <c r="D524" s="29">
        <v>2</v>
      </c>
      <c r="E524" s="29" t="s">
        <v>99</v>
      </c>
      <c r="F524" s="29" t="s">
        <v>344</v>
      </c>
      <c r="G524" s="29" t="s">
        <v>91</v>
      </c>
      <c r="H524" s="29" t="s">
        <v>138</v>
      </c>
      <c r="I524" s="29" t="s">
        <v>94</v>
      </c>
      <c r="J524" s="29" t="s">
        <v>340</v>
      </c>
      <c r="K524" s="29" t="str">
        <f>VLOOKUP(LEFT(H524, 7), 'קטלוג תרחישים'!$A:$L, 12, FALSE)</f>
        <v>ב׳</v>
      </c>
      <c r="L524" s="29" t="str">
        <f>IF(J524="כן", K524, VLOOKUP(LEFT(H524, 7), 'קטלוג תרחישים'!$A:$M, 13, FALSE))</f>
        <v>ב׳</v>
      </c>
    </row>
    <row r="525" spans="1:12">
      <c r="A525" s="29" t="s">
        <v>167</v>
      </c>
      <c r="B525" s="29">
        <v>29</v>
      </c>
      <c r="C525" s="29" t="s">
        <v>341</v>
      </c>
      <c r="D525" s="29">
        <v>3</v>
      </c>
      <c r="E525" s="29" t="s">
        <v>105</v>
      </c>
      <c r="F525" s="29" t="s">
        <v>344</v>
      </c>
      <c r="G525" s="29" t="s">
        <v>91</v>
      </c>
      <c r="H525" s="29" t="s">
        <v>143</v>
      </c>
      <c r="I525" s="29" t="s">
        <v>89</v>
      </c>
      <c r="J525" s="29" t="s">
        <v>340</v>
      </c>
      <c r="K525" s="29" t="str">
        <f>VLOOKUP(LEFT(H525, 7), 'קטלוג תרחישים'!$A:$L, 12, FALSE)</f>
        <v>א׳</v>
      </c>
      <c r="L525" s="29" t="str">
        <f>IF(J525="כן", K525, VLOOKUP(LEFT(H525, 7), 'קטלוג תרחישים'!$A:$M, 13, FALSE))</f>
        <v>א׳</v>
      </c>
    </row>
    <row r="526" spans="1:12">
      <c r="A526" s="29" t="s">
        <v>167</v>
      </c>
      <c r="B526" s="29">
        <v>30</v>
      </c>
      <c r="C526" s="29" t="s">
        <v>341</v>
      </c>
      <c r="D526" s="29">
        <v>3</v>
      </c>
      <c r="E526" s="29" t="s">
        <v>105</v>
      </c>
      <c r="F526" s="29" t="s">
        <v>344</v>
      </c>
      <c r="G526" s="29" t="s">
        <v>91</v>
      </c>
      <c r="H526" s="29" t="s">
        <v>142</v>
      </c>
      <c r="I526" s="29" t="s">
        <v>94</v>
      </c>
      <c r="J526" s="29" t="s">
        <v>340</v>
      </c>
      <c r="K526" s="29" t="str">
        <f>VLOOKUP(LEFT(H526, 7), 'קטלוג תרחישים'!$A:$L, 12, FALSE)</f>
        <v>א׳</v>
      </c>
      <c r="L526" s="29" t="str">
        <f>IF(J526="כן", K526, VLOOKUP(LEFT(H526, 7), 'קטלוג תרחישים'!$A:$M, 13, FALSE))</f>
        <v>א׳</v>
      </c>
    </row>
    <row r="527" spans="1:12">
      <c r="A527" s="29" t="s">
        <v>167</v>
      </c>
      <c r="B527" s="29">
        <v>31</v>
      </c>
      <c r="C527" s="29" t="s">
        <v>341</v>
      </c>
      <c r="D527" s="29">
        <v>3</v>
      </c>
      <c r="E527" s="29" t="s">
        <v>105</v>
      </c>
      <c r="F527" s="29" t="s">
        <v>344</v>
      </c>
      <c r="G527" s="29" t="s">
        <v>91</v>
      </c>
      <c r="H527" s="29" t="s">
        <v>141</v>
      </c>
      <c r="I527" s="29" t="s">
        <v>89</v>
      </c>
      <c r="J527" s="29" t="s">
        <v>340</v>
      </c>
      <c r="K527" s="29" t="str">
        <f>VLOOKUP(LEFT(H527, 7), 'קטלוג תרחישים'!$A:$L, 12, FALSE)</f>
        <v>ב׳</v>
      </c>
      <c r="L527" s="29" t="str">
        <f>IF(J527="כן", K527, VLOOKUP(LEFT(H527, 7), 'קטלוג תרחישים'!$A:$M, 13, FALSE))</f>
        <v>ב׳</v>
      </c>
    </row>
    <row r="528" spans="1:12">
      <c r="A528" s="29" t="s">
        <v>167</v>
      </c>
      <c r="B528" s="29">
        <v>32</v>
      </c>
      <c r="C528" s="29" t="s">
        <v>341</v>
      </c>
      <c r="D528" s="29">
        <v>3</v>
      </c>
      <c r="E528" s="29" t="s">
        <v>105</v>
      </c>
      <c r="F528" s="29" t="s">
        <v>344</v>
      </c>
      <c r="G528" s="29" t="s">
        <v>91</v>
      </c>
      <c r="H528" s="29" t="s">
        <v>144</v>
      </c>
      <c r="I528" s="29" t="s">
        <v>94</v>
      </c>
      <c r="J528" s="29" t="s">
        <v>340</v>
      </c>
      <c r="K528" s="29" t="str">
        <f>VLOOKUP(LEFT(H528, 7), 'קטלוג תרחישים'!$A:$L, 12, FALSE)</f>
        <v>ג׳</v>
      </c>
      <c r="L528" s="29" t="str">
        <f>IF(J528="כן", K528, VLOOKUP(LEFT(H528, 7), 'קטלוג תרחישים'!$A:$M, 13, FALSE))</f>
        <v>ג׳</v>
      </c>
    </row>
    <row r="529" spans="1:12">
      <c r="A529" s="29" t="s">
        <v>167</v>
      </c>
      <c r="B529" s="29">
        <v>33</v>
      </c>
      <c r="C529" s="29" t="s">
        <v>341</v>
      </c>
      <c r="D529" s="29">
        <v>3</v>
      </c>
      <c r="E529" s="29" t="s">
        <v>105</v>
      </c>
      <c r="F529" s="29" t="s">
        <v>344</v>
      </c>
      <c r="G529" s="29" t="s">
        <v>91</v>
      </c>
      <c r="H529" s="29" t="s">
        <v>145</v>
      </c>
      <c r="I529" s="29" t="s">
        <v>89</v>
      </c>
      <c r="J529" s="29" t="s">
        <v>343</v>
      </c>
      <c r="K529" s="29" t="str">
        <f>VLOOKUP(LEFT(H529, 7), 'קטלוג תרחישים'!$A:$L, 12, FALSE)</f>
        <v>ב׳</v>
      </c>
      <c r="L529" s="29" t="str">
        <f>IF(J529="כן", K529, VLOOKUP(LEFT(H529, 7), 'קטלוג תרחישים'!$A:$M, 13, FALSE))</f>
        <v>ג׳</v>
      </c>
    </row>
    <row r="530" spans="1:12">
      <c r="A530" s="29" t="s">
        <v>168</v>
      </c>
      <c r="B530" s="29">
        <v>1</v>
      </c>
      <c r="C530" s="29" t="s">
        <v>339</v>
      </c>
      <c r="D530" s="29"/>
      <c r="E530" s="29" t="s">
        <v>92</v>
      </c>
      <c r="F530" s="29"/>
      <c r="G530" s="29"/>
      <c r="H530" s="30" t="s">
        <v>351</v>
      </c>
      <c r="I530" s="29" t="s">
        <v>89</v>
      </c>
      <c r="J530" s="29" t="s">
        <v>340</v>
      </c>
      <c r="K530" s="29" t="str">
        <f>VLOOKUP(LEFT(H530, 7), 'קטלוג תרחישים'!$A:$L, 12, FALSE)</f>
        <v>א׳</v>
      </c>
      <c r="L530" s="29" t="str">
        <f>IF(J530="כן", K530, VLOOKUP(LEFT(H530, 7), 'קטלוג תרחישים'!$A:$M, 13, FALSE))</f>
        <v>א׳</v>
      </c>
    </row>
    <row r="531" spans="1:12">
      <c r="A531" s="29" t="s">
        <v>168</v>
      </c>
      <c r="B531" s="29">
        <v>2</v>
      </c>
      <c r="C531" s="29" t="s">
        <v>339</v>
      </c>
      <c r="D531" s="29"/>
      <c r="E531" s="29" t="s">
        <v>92</v>
      </c>
      <c r="F531" s="29"/>
      <c r="G531" s="29"/>
      <c r="H531" s="30" t="s">
        <v>88</v>
      </c>
      <c r="I531" s="29" t="s">
        <v>89</v>
      </c>
      <c r="J531" s="29" t="s">
        <v>340</v>
      </c>
      <c r="K531" s="29" t="str">
        <f>VLOOKUP(LEFT(H531, 7), 'קטלוג תרחישים'!$A:$L, 12, FALSE)</f>
        <v>א׳</v>
      </c>
      <c r="L531" s="29" t="str">
        <f>IF(J531="כן", K531, VLOOKUP(LEFT(H531, 7), 'קטלוג תרחישים'!$A:$M, 13, FALSE))</f>
        <v>א׳</v>
      </c>
    </row>
    <row r="532" spans="1:12">
      <c r="A532" s="29" t="s">
        <v>168</v>
      </c>
      <c r="B532" s="29">
        <v>3</v>
      </c>
      <c r="C532" s="29" t="s">
        <v>339</v>
      </c>
      <c r="D532" s="29"/>
      <c r="E532" s="29" t="s">
        <v>99</v>
      </c>
      <c r="F532" s="29"/>
      <c r="G532" s="29"/>
      <c r="H532" s="30" t="s">
        <v>352</v>
      </c>
      <c r="I532" s="29" t="s">
        <v>89</v>
      </c>
      <c r="J532" s="29" t="s">
        <v>340</v>
      </c>
      <c r="K532" s="29" t="str">
        <f>VLOOKUP(LEFT(H532, 7), 'קטלוג תרחישים'!$A:$L, 12, FALSE)</f>
        <v>ב׳</v>
      </c>
      <c r="L532" s="29" t="str">
        <f>IF(J532="כן", K532, VLOOKUP(LEFT(H532, 7), 'קטלוג תרחישים'!$A:$M, 13, FALSE))</f>
        <v>ב׳</v>
      </c>
    </row>
    <row r="533" spans="1:12">
      <c r="A533" s="29" t="s">
        <v>168</v>
      </c>
      <c r="B533" s="29">
        <v>4</v>
      </c>
      <c r="C533" s="29" t="s">
        <v>339</v>
      </c>
      <c r="D533" s="29"/>
      <c r="E533" s="29" t="s">
        <v>99</v>
      </c>
      <c r="F533" s="29"/>
      <c r="G533" s="29"/>
      <c r="H533" s="30" t="s">
        <v>353</v>
      </c>
      <c r="I533" s="29" t="s">
        <v>89</v>
      </c>
      <c r="J533" s="29" t="s">
        <v>340</v>
      </c>
      <c r="K533" s="29" t="str">
        <f>VLOOKUP(LEFT(H533, 7), 'קטלוג תרחישים'!$A:$L, 12, FALSE)</f>
        <v>ב׳</v>
      </c>
      <c r="L533" s="29" t="str">
        <f>IF(J533="כן", K533, VLOOKUP(LEFT(H533, 7), 'קטלוג תרחישים'!$A:$M, 13, FALSE))</f>
        <v>ב׳</v>
      </c>
    </row>
    <row r="534" spans="1:12">
      <c r="A534" s="29" t="s">
        <v>168</v>
      </c>
      <c r="B534" s="29">
        <v>5</v>
      </c>
      <c r="C534" s="29" t="s">
        <v>339</v>
      </c>
      <c r="D534" s="29"/>
      <c r="E534" s="29" t="s">
        <v>105</v>
      </c>
      <c r="F534" s="29"/>
      <c r="G534" s="29"/>
      <c r="H534" s="30" t="s">
        <v>354</v>
      </c>
      <c r="I534" s="29" t="s">
        <v>89</v>
      </c>
      <c r="J534" s="29" t="s">
        <v>340</v>
      </c>
      <c r="K534" s="29" t="str">
        <f>VLOOKUP(LEFT(H534, 7), 'קטלוג תרחישים'!$A:$L, 12, FALSE)</f>
        <v>ג׳</v>
      </c>
      <c r="L534" s="29" t="str">
        <f>IF(J534="כן", K534, VLOOKUP(LEFT(H534, 7), 'קטלוג תרחישים'!$A:$M, 13, FALSE))</f>
        <v>ג׳</v>
      </c>
    </row>
    <row r="535" spans="1:12">
      <c r="A535" s="29" t="s">
        <v>168</v>
      </c>
      <c r="B535" s="29">
        <v>6</v>
      </c>
      <c r="C535" s="29" t="s">
        <v>339</v>
      </c>
      <c r="D535" s="29"/>
      <c r="E535" s="29" t="s">
        <v>105</v>
      </c>
      <c r="F535" s="29"/>
      <c r="G535" s="29"/>
      <c r="H535" s="30" t="s">
        <v>90</v>
      </c>
      <c r="I535" s="29" t="s">
        <v>89</v>
      </c>
      <c r="J535" s="29" t="s">
        <v>340</v>
      </c>
      <c r="K535" s="29" t="str">
        <f>VLOOKUP(LEFT(H535, 7), 'קטלוג תרחישים'!$A:$L, 12, FALSE)</f>
        <v>ג׳</v>
      </c>
      <c r="L535" s="29" t="str">
        <f>IF(J535="כן", K535, VLOOKUP(LEFT(H535, 7), 'קטלוג תרחישים'!$A:$M, 13, FALSE))</f>
        <v>ג׳</v>
      </c>
    </row>
    <row r="536" spans="1:12">
      <c r="A536" s="29" t="s">
        <v>168</v>
      </c>
      <c r="B536" s="29">
        <v>7</v>
      </c>
      <c r="C536" s="29" t="s">
        <v>341</v>
      </c>
      <c r="D536" s="29">
        <v>1</v>
      </c>
      <c r="E536" s="29" t="s">
        <v>99</v>
      </c>
      <c r="F536" s="29" t="s">
        <v>342</v>
      </c>
      <c r="G536" s="29" t="s">
        <v>91</v>
      </c>
      <c r="H536" s="29" t="s">
        <v>140</v>
      </c>
      <c r="I536" s="29" t="s">
        <v>94</v>
      </c>
      <c r="J536" s="29" t="s">
        <v>343</v>
      </c>
      <c r="K536" s="29" t="str">
        <f>VLOOKUP(LEFT(H536, 7), 'קטלוג תרחישים'!$A:$L, 12, FALSE)</f>
        <v>א׳</v>
      </c>
      <c r="L536" s="29" t="str">
        <f>IF(J536="כן", K536, VLOOKUP(LEFT(H536, 7), 'קטלוג תרחישים'!$A:$M, 13, FALSE))</f>
        <v>ב׳</v>
      </c>
    </row>
    <row r="537" spans="1:12">
      <c r="A537" s="29" t="s">
        <v>168</v>
      </c>
      <c r="B537" s="29">
        <v>8</v>
      </c>
      <c r="C537" s="29" t="s">
        <v>341</v>
      </c>
      <c r="D537" s="29">
        <v>1</v>
      </c>
      <c r="E537" s="29" t="s">
        <v>99</v>
      </c>
      <c r="F537" s="29" t="s">
        <v>342</v>
      </c>
      <c r="G537" s="29" t="s">
        <v>91</v>
      </c>
      <c r="H537" s="29" t="s">
        <v>137</v>
      </c>
      <c r="I537" s="29" t="s">
        <v>89</v>
      </c>
      <c r="J537" s="29" t="s">
        <v>340</v>
      </c>
      <c r="K537" s="29" t="str">
        <f>VLOOKUP(LEFT(H537, 7), 'קטלוג תרחישים'!$A:$L, 12, FALSE)</f>
        <v>ג׳</v>
      </c>
      <c r="L537" s="29" t="str">
        <f>IF(J537="כן", K537, VLOOKUP(LEFT(H537, 7), 'קטלוג תרחישים'!$A:$M, 13, FALSE))</f>
        <v>ג׳</v>
      </c>
    </row>
    <row r="538" spans="1:12">
      <c r="A538" s="29" t="s">
        <v>168</v>
      </c>
      <c r="B538" s="29">
        <v>9</v>
      </c>
      <c r="C538" s="29" t="s">
        <v>341</v>
      </c>
      <c r="D538" s="29">
        <v>1</v>
      </c>
      <c r="E538" s="29" t="s">
        <v>99</v>
      </c>
      <c r="F538" s="29" t="s">
        <v>342</v>
      </c>
      <c r="G538" s="29" t="s">
        <v>91</v>
      </c>
      <c r="H538" s="29" t="s">
        <v>138</v>
      </c>
      <c r="I538" s="29" t="s">
        <v>94</v>
      </c>
      <c r="J538" s="29" t="s">
        <v>340</v>
      </c>
      <c r="K538" s="29" t="str">
        <f>VLOOKUP(LEFT(H538, 7), 'קטלוג תרחישים'!$A:$L, 12, FALSE)</f>
        <v>ב׳</v>
      </c>
      <c r="L538" s="29" t="str">
        <f>IF(J538="כן", K538, VLOOKUP(LEFT(H538, 7), 'קטלוג תרחישים'!$A:$M, 13, FALSE))</f>
        <v>ב׳</v>
      </c>
    </row>
    <row r="539" spans="1:12">
      <c r="A539" s="29" t="s">
        <v>168</v>
      </c>
      <c r="B539" s="29">
        <v>10</v>
      </c>
      <c r="C539" s="29" t="s">
        <v>341</v>
      </c>
      <c r="D539" s="29">
        <v>1</v>
      </c>
      <c r="E539" s="29" t="s">
        <v>99</v>
      </c>
      <c r="F539" s="29" t="s">
        <v>342</v>
      </c>
      <c r="G539" s="29" t="s">
        <v>91</v>
      </c>
      <c r="H539" s="29" t="s">
        <v>139</v>
      </c>
      <c r="I539" s="29" t="s">
        <v>89</v>
      </c>
      <c r="J539" s="29" t="s">
        <v>340</v>
      </c>
      <c r="K539" s="29" t="str">
        <f>VLOOKUP(LEFT(H539, 7), 'קטלוג תרחישים'!$A:$L, 12, FALSE)</f>
        <v>ג׳</v>
      </c>
      <c r="L539" s="29" t="str">
        <f>IF(J539="כן", K539, VLOOKUP(LEFT(H539, 7), 'קטלוג תרחישים'!$A:$M, 13, FALSE))</f>
        <v>ג׳</v>
      </c>
    </row>
    <row r="540" spans="1:12">
      <c r="A540" s="29" t="s">
        <v>168</v>
      </c>
      <c r="B540" s="29">
        <v>11</v>
      </c>
      <c r="C540" s="29" t="s">
        <v>341</v>
      </c>
      <c r="D540" s="29">
        <v>1</v>
      </c>
      <c r="E540" s="29" t="s">
        <v>99</v>
      </c>
      <c r="F540" s="29" t="s">
        <v>342</v>
      </c>
      <c r="G540" s="29" t="s">
        <v>91</v>
      </c>
      <c r="H540" s="29" t="s">
        <v>136</v>
      </c>
      <c r="I540" s="29" t="s">
        <v>94</v>
      </c>
      <c r="J540" s="29" t="s">
        <v>340</v>
      </c>
      <c r="K540" s="29" t="str">
        <f>VLOOKUP(LEFT(H540, 7), 'קטלוג תרחישים'!$A:$L, 12, FALSE)</f>
        <v>ג׳</v>
      </c>
      <c r="L540" s="29" t="str">
        <f>IF(J540="כן", K540, VLOOKUP(LEFT(H540, 7), 'קטלוג תרחישים'!$A:$M, 13, FALSE))</f>
        <v>ג׳</v>
      </c>
    </row>
    <row r="541" spans="1:12">
      <c r="A541" s="29" t="s">
        <v>168</v>
      </c>
      <c r="B541" s="29">
        <v>12</v>
      </c>
      <c r="C541" s="29" t="s">
        <v>341</v>
      </c>
      <c r="D541" s="29">
        <v>2</v>
      </c>
      <c r="E541" s="29" t="s">
        <v>105</v>
      </c>
      <c r="F541" s="29" t="s">
        <v>342</v>
      </c>
      <c r="G541" s="29" t="s">
        <v>91</v>
      </c>
      <c r="H541" s="29" t="s">
        <v>143</v>
      </c>
      <c r="I541" s="29" t="s">
        <v>89</v>
      </c>
      <c r="J541" s="29" t="s">
        <v>340</v>
      </c>
      <c r="K541" s="29" t="str">
        <f>VLOOKUP(LEFT(H541, 7), 'קטלוג תרחישים'!$A:$L, 12, FALSE)</f>
        <v>א׳</v>
      </c>
      <c r="L541" s="29" t="str">
        <f>IF(J541="כן", K541, VLOOKUP(LEFT(H541, 7), 'קטלוג תרחישים'!$A:$M, 13, FALSE))</f>
        <v>א׳</v>
      </c>
    </row>
    <row r="542" spans="1:12">
      <c r="A542" s="29" t="s">
        <v>168</v>
      </c>
      <c r="B542" s="29">
        <v>13</v>
      </c>
      <c r="C542" s="29" t="s">
        <v>341</v>
      </c>
      <c r="D542" s="29">
        <v>2</v>
      </c>
      <c r="E542" s="29" t="s">
        <v>105</v>
      </c>
      <c r="F542" s="29" t="s">
        <v>342</v>
      </c>
      <c r="G542" s="29" t="s">
        <v>91</v>
      </c>
      <c r="H542" s="29" t="s">
        <v>144</v>
      </c>
      <c r="I542" s="29" t="s">
        <v>94</v>
      </c>
      <c r="J542" s="29" t="s">
        <v>340</v>
      </c>
      <c r="K542" s="29" t="str">
        <f>VLOOKUP(LEFT(H542, 7), 'קטלוג תרחישים'!$A:$L, 12, FALSE)</f>
        <v>ג׳</v>
      </c>
      <c r="L542" s="29" t="str">
        <f>IF(J542="כן", K542, VLOOKUP(LEFT(H542, 7), 'קטלוג תרחישים'!$A:$M, 13, FALSE))</f>
        <v>ג׳</v>
      </c>
    </row>
    <row r="543" spans="1:12">
      <c r="A543" s="29" t="s">
        <v>168</v>
      </c>
      <c r="B543" s="29">
        <v>14</v>
      </c>
      <c r="C543" s="29" t="s">
        <v>341</v>
      </c>
      <c r="D543" s="29">
        <v>2</v>
      </c>
      <c r="E543" s="29" t="s">
        <v>105</v>
      </c>
      <c r="F543" s="29" t="s">
        <v>342</v>
      </c>
      <c r="G543" s="29" t="s">
        <v>91</v>
      </c>
      <c r="H543" s="29" t="s">
        <v>145</v>
      </c>
      <c r="I543" s="29" t="s">
        <v>89</v>
      </c>
      <c r="J543" s="29" t="s">
        <v>340</v>
      </c>
      <c r="K543" s="29" t="str">
        <f>VLOOKUP(LEFT(H543, 7), 'קטלוג תרחישים'!$A:$L, 12, FALSE)</f>
        <v>ב׳</v>
      </c>
      <c r="L543" s="29" t="str">
        <f>IF(J543="כן", K543, VLOOKUP(LEFT(H543, 7), 'קטלוג תרחישים'!$A:$M, 13, FALSE))</f>
        <v>ב׳</v>
      </c>
    </row>
    <row r="544" spans="1:12">
      <c r="A544" s="29" t="s">
        <v>168</v>
      </c>
      <c r="B544" s="29">
        <v>15</v>
      </c>
      <c r="C544" s="29" t="s">
        <v>341</v>
      </c>
      <c r="D544" s="29">
        <v>2</v>
      </c>
      <c r="E544" s="29" t="s">
        <v>105</v>
      </c>
      <c r="F544" s="29" t="s">
        <v>342</v>
      </c>
      <c r="G544" s="29" t="s">
        <v>91</v>
      </c>
      <c r="H544" s="29" t="s">
        <v>142</v>
      </c>
      <c r="I544" s="29" t="s">
        <v>94</v>
      </c>
      <c r="J544" s="29" t="s">
        <v>343</v>
      </c>
      <c r="K544" s="29" t="str">
        <f>VLOOKUP(LEFT(H544, 7), 'קטלוג תרחישים'!$A:$L, 12, FALSE)</f>
        <v>א׳</v>
      </c>
      <c r="L544" s="29" t="str">
        <f>IF(J544="כן", K544, VLOOKUP(LEFT(H544, 7), 'קטלוג תרחישים'!$A:$M, 13, FALSE))</f>
        <v>ב׳</v>
      </c>
    </row>
    <row r="545" spans="1:12">
      <c r="A545" s="29" t="s">
        <v>168</v>
      </c>
      <c r="B545" s="29">
        <v>16</v>
      </c>
      <c r="C545" s="29" t="s">
        <v>341</v>
      </c>
      <c r="D545" s="29">
        <v>2</v>
      </c>
      <c r="E545" s="29" t="s">
        <v>105</v>
      </c>
      <c r="F545" s="29" t="s">
        <v>342</v>
      </c>
      <c r="G545" s="29" t="s">
        <v>91</v>
      </c>
      <c r="H545" s="29" t="s">
        <v>141</v>
      </c>
      <c r="I545" s="29" t="s">
        <v>89</v>
      </c>
      <c r="J545" s="29" t="s">
        <v>340</v>
      </c>
      <c r="K545" s="29" t="str">
        <f>VLOOKUP(LEFT(H545, 7), 'קטלוג תרחישים'!$A:$L, 12, FALSE)</f>
        <v>ב׳</v>
      </c>
      <c r="L545" s="29" t="str">
        <f>IF(J545="כן", K545, VLOOKUP(LEFT(H545, 7), 'קטלוג תרחישים'!$A:$M, 13, FALSE))</f>
        <v>ב׳</v>
      </c>
    </row>
    <row r="546" spans="1:12">
      <c r="A546" s="29" t="s">
        <v>168</v>
      </c>
      <c r="B546" s="29">
        <v>17</v>
      </c>
      <c r="C546" s="29" t="s">
        <v>341</v>
      </c>
      <c r="D546" s="29">
        <v>3</v>
      </c>
      <c r="E546" s="29" t="s">
        <v>92</v>
      </c>
      <c r="F546" s="29" t="s">
        <v>342</v>
      </c>
      <c r="G546" s="29" t="s">
        <v>91</v>
      </c>
      <c r="H546" s="29" t="s">
        <v>148</v>
      </c>
      <c r="I546" s="29" t="s">
        <v>89</v>
      </c>
      <c r="J546" s="29" t="s">
        <v>340</v>
      </c>
      <c r="K546" s="29" t="str">
        <f>VLOOKUP(LEFT(H546, 7), 'קטלוג תרחישים'!$A:$L, 12, FALSE)</f>
        <v>א׳</v>
      </c>
      <c r="L546" s="29" t="str">
        <f>IF(J546="כן", K546, VLOOKUP(LEFT(H546, 7), 'קטלוג תרחישים'!$A:$M, 13, FALSE))</f>
        <v>א׳</v>
      </c>
    </row>
    <row r="547" spans="1:12">
      <c r="A547" s="29" t="s">
        <v>168</v>
      </c>
      <c r="B547" s="29">
        <v>18</v>
      </c>
      <c r="C547" s="29" t="s">
        <v>341</v>
      </c>
      <c r="D547" s="29">
        <v>3</v>
      </c>
      <c r="E547" s="29" t="s">
        <v>92</v>
      </c>
      <c r="F547" s="29" t="s">
        <v>342</v>
      </c>
      <c r="G547" s="29" t="s">
        <v>91</v>
      </c>
      <c r="H547" s="29" t="s">
        <v>149</v>
      </c>
      <c r="I547" s="29" t="s">
        <v>94</v>
      </c>
      <c r="J547" s="29" t="s">
        <v>343</v>
      </c>
      <c r="K547" s="29" t="str">
        <f>VLOOKUP(LEFT(H547, 7), 'קטלוג תרחישים'!$A:$L, 12, FALSE)</f>
        <v>ג׳</v>
      </c>
      <c r="L547" s="29" t="str">
        <f>IF(J547="כן", K547, VLOOKUP(LEFT(H547, 7), 'קטלוג תרחישים'!$A:$M, 13, FALSE))</f>
        <v>א׳</v>
      </c>
    </row>
    <row r="548" spans="1:12">
      <c r="A548" s="29" t="s">
        <v>168</v>
      </c>
      <c r="B548" s="29">
        <v>19</v>
      </c>
      <c r="C548" s="29" t="s">
        <v>341</v>
      </c>
      <c r="D548" s="29">
        <v>3</v>
      </c>
      <c r="E548" s="29" t="s">
        <v>92</v>
      </c>
      <c r="F548" s="29" t="s">
        <v>342</v>
      </c>
      <c r="G548" s="29" t="s">
        <v>91</v>
      </c>
      <c r="H548" s="29" t="s">
        <v>150</v>
      </c>
      <c r="I548" s="29" t="s">
        <v>89</v>
      </c>
      <c r="J548" s="29" t="s">
        <v>340</v>
      </c>
      <c r="K548" s="29" t="str">
        <f>VLOOKUP(LEFT(H548, 7), 'קטלוג תרחישים'!$A:$L, 12, FALSE)</f>
        <v>א׳</v>
      </c>
      <c r="L548" s="29" t="str">
        <f>IF(J548="כן", K548, VLOOKUP(LEFT(H548, 7), 'קטלוג תרחישים'!$A:$M, 13, FALSE))</f>
        <v>א׳</v>
      </c>
    </row>
    <row r="549" spans="1:12">
      <c r="A549" s="29" t="s">
        <v>168</v>
      </c>
      <c r="B549" s="29">
        <v>20</v>
      </c>
      <c r="C549" s="29" t="s">
        <v>341</v>
      </c>
      <c r="D549" s="29">
        <v>3</v>
      </c>
      <c r="E549" s="29" t="s">
        <v>92</v>
      </c>
      <c r="F549" s="29" t="s">
        <v>342</v>
      </c>
      <c r="G549" s="29" t="s">
        <v>91</v>
      </c>
      <c r="H549" s="29" t="s">
        <v>147</v>
      </c>
      <c r="I549" s="29" t="s">
        <v>94</v>
      </c>
      <c r="J549" s="29" t="s">
        <v>340</v>
      </c>
      <c r="K549" s="29" t="str">
        <f>VLOOKUP(LEFT(H549, 7), 'קטלוג תרחישים'!$A:$L, 12, FALSE)</f>
        <v>ב׳</v>
      </c>
      <c r="L549" s="29" t="str">
        <f>IF(J549="כן", K549, VLOOKUP(LEFT(H549, 7), 'קטלוג תרחישים'!$A:$M, 13, FALSE))</f>
        <v>ב׳</v>
      </c>
    </row>
    <row r="550" spans="1:12">
      <c r="A550" s="29" t="s">
        <v>168</v>
      </c>
      <c r="B550" s="29">
        <v>21</v>
      </c>
      <c r="C550" s="29" t="s">
        <v>341</v>
      </c>
      <c r="D550" s="29">
        <v>3</v>
      </c>
      <c r="E550" s="29" t="s">
        <v>92</v>
      </c>
      <c r="F550" s="29" t="s">
        <v>342</v>
      </c>
      <c r="G550" s="29" t="s">
        <v>91</v>
      </c>
      <c r="H550" s="29" t="s">
        <v>146</v>
      </c>
      <c r="I550" s="29" t="s">
        <v>89</v>
      </c>
      <c r="J550" s="29" t="s">
        <v>340</v>
      </c>
      <c r="K550" s="29" t="str">
        <f>VLOOKUP(LEFT(H550, 7), 'קטלוג תרחישים'!$A:$L, 12, FALSE)</f>
        <v>ג׳</v>
      </c>
      <c r="L550" s="29" t="str">
        <f>IF(J550="כן", K550, VLOOKUP(LEFT(H550, 7), 'קטלוג תרחישים'!$A:$M, 13, FALSE))</f>
        <v>ג׳</v>
      </c>
    </row>
    <row r="551" spans="1:12">
      <c r="A551" s="29" t="s">
        <v>168</v>
      </c>
      <c r="B551" s="29">
        <v>22</v>
      </c>
      <c r="C551" s="29" t="s">
        <v>341</v>
      </c>
      <c r="D551" s="29">
        <v>1</v>
      </c>
      <c r="E551" s="29" t="s">
        <v>105</v>
      </c>
      <c r="F551" s="29" t="s">
        <v>344</v>
      </c>
      <c r="G551" s="29" t="s">
        <v>111</v>
      </c>
      <c r="H551" s="29" t="s">
        <v>151</v>
      </c>
      <c r="I551" s="29" t="s">
        <v>89</v>
      </c>
      <c r="J551" s="29" t="s">
        <v>343</v>
      </c>
      <c r="K551" s="29" t="str">
        <f>VLOOKUP(LEFT(H551, 7), 'קטלוג תרחישים'!$A:$L, 12, FALSE)</f>
        <v>א׳</v>
      </c>
      <c r="L551" s="29" t="str">
        <f>IF(J551="כן", K551, VLOOKUP(LEFT(H551, 7), 'קטלוג תרחישים'!$A:$M, 13, FALSE))</f>
        <v>ג׳</v>
      </c>
    </row>
    <row r="552" spans="1:12">
      <c r="A552" s="29" t="s">
        <v>168</v>
      </c>
      <c r="B552" s="29">
        <v>23</v>
      </c>
      <c r="C552" s="29" t="s">
        <v>341</v>
      </c>
      <c r="D552" s="29">
        <v>1</v>
      </c>
      <c r="E552" s="29" t="s">
        <v>105</v>
      </c>
      <c r="F552" s="29" t="s">
        <v>344</v>
      </c>
      <c r="G552" s="29" t="s">
        <v>111</v>
      </c>
      <c r="H552" s="29" t="s">
        <v>152</v>
      </c>
      <c r="I552" s="29" t="s">
        <v>94</v>
      </c>
      <c r="J552" s="29" t="s">
        <v>340</v>
      </c>
      <c r="K552" s="29" t="str">
        <f>VLOOKUP(LEFT(H552, 7), 'קטלוג תרחישים'!$A:$L, 12, FALSE)</f>
        <v>ב׳</v>
      </c>
      <c r="L552" s="29" t="str">
        <f>IF(J552="כן", K552, VLOOKUP(LEFT(H552, 7), 'קטלוג תרחישים'!$A:$M, 13, FALSE))</f>
        <v>ב׳</v>
      </c>
    </row>
    <row r="553" spans="1:12">
      <c r="A553" s="29" t="s">
        <v>168</v>
      </c>
      <c r="B553" s="29">
        <v>24</v>
      </c>
      <c r="C553" s="29" t="s">
        <v>341</v>
      </c>
      <c r="D553" s="29">
        <v>1</v>
      </c>
      <c r="E553" s="29" t="s">
        <v>105</v>
      </c>
      <c r="F553" s="29" t="s">
        <v>344</v>
      </c>
      <c r="G553" s="29" t="s">
        <v>111</v>
      </c>
      <c r="H553" s="29" t="s">
        <v>153</v>
      </c>
      <c r="I553" s="29" t="s">
        <v>89</v>
      </c>
      <c r="J553" s="29" t="s">
        <v>340</v>
      </c>
      <c r="K553" s="29" t="str">
        <f>VLOOKUP(LEFT(H553, 7), 'קטלוג תרחישים'!$A:$L, 12, FALSE)</f>
        <v>ג׳</v>
      </c>
      <c r="L553" s="29" t="str">
        <f>IF(J553="כן", K553, VLOOKUP(LEFT(H553, 7), 'קטלוג תרחישים'!$A:$M, 13, FALSE))</f>
        <v>ג׳</v>
      </c>
    </row>
    <row r="554" spans="1:12">
      <c r="A554" s="29" t="s">
        <v>168</v>
      </c>
      <c r="B554" s="29">
        <v>25</v>
      </c>
      <c r="C554" s="29" t="s">
        <v>341</v>
      </c>
      <c r="D554" s="29">
        <v>1</v>
      </c>
      <c r="E554" s="29" t="s">
        <v>105</v>
      </c>
      <c r="F554" s="29" t="s">
        <v>344</v>
      </c>
      <c r="G554" s="29" t="s">
        <v>111</v>
      </c>
      <c r="H554" s="29" t="s">
        <v>154</v>
      </c>
      <c r="I554" s="29" t="s">
        <v>94</v>
      </c>
      <c r="J554" s="29" t="s">
        <v>343</v>
      </c>
      <c r="K554" s="29" t="str">
        <f>VLOOKUP(LEFT(H554, 7), 'קטלוג תרחישים'!$A:$L, 12, FALSE)</f>
        <v>ג׳</v>
      </c>
      <c r="L554" s="29" t="str">
        <f>IF(J554="כן", K554, VLOOKUP(LEFT(H554, 7), 'קטלוג תרחישים'!$A:$M, 13, FALSE))</f>
        <v>א׳</v>
      </c>
    </row>
    <row r="555" spans="1:12">
      <c r="A555" s="29" t="s">
        <v>168</v>
      </c>
      <c r="B555" s="29">
        <v>26</v>
      </c>
      <c r="C555" s="29" t="s">
        <v>341</v>
      </c>
      <c r="D555" s="29">
        <v>2</v>
      </c>
      <c r="E555" s="29" t="s">
        <v>92</v>
      </c>
      <c r="F555" s="29" t="s">
        <v>344</v>
      </c>
      <c r="G555" s="29" t="s">
        <v>111</v>
      </c>
      <c r="H555" s="29" t="s">
        <v>155</v>
      </c>
      <c r="I555" s="29" t="s">
        <v>89</v>
      </c>
      <c r="J555" s="29" t="s">
        <v>340</v>
      </c>
      <c r="K555" s="29" t="str">
        <f>VLOOKUP(LEFT(H555, 7), 'קטלוג תרחישים'!$A:$L, 12, FALSE)</f>
        <v>ב׳</v>
      </c>
      <c r="L555" s="29" t="str">
        <f>IF(J555="כן", K555, VLOOKUP(LEFT(H555, 7), 'קטלוג תרחישים'!$A:$M, 13, FALSE))</f>
        <v>ב׳</v>
      </c>
    </row>
    <row r="556" spans="1:12">
      <c r="A556" s="29" t="s">
        <v>168</v>
      </c>
      <c r="B556" s="29">
        <v>27</v>
      </c>
      <c r="C556" s="29" t="s">
        <v>341</v>
      </c>
      <c r="D556" s="29">
        <v>2</v>
      </c>
      <c r="E556" s="29" t="s">
        <v>92</v>
      </c>
      <c r="F556" s="29" t="s">
        <v>344</v>
      </c>
      <c r="G556" s="29" t="s">
        <v>111</v>
      </c>
      <c r="H556" s="29" t="s">
        <v>156</v>
      </c>
      <c r="I556" s="29" t="s">
        <v>94</v>
      </c>
      <c r="J556" s="29" t="s">
        <v>343</v>
      </c>
      <c r="K556" s="29" t="str">
        <f>VLOOKUP(LEFT(H556, 7), 'קטלוג תרחישים'!$A:$L, 12, FALSE)</f>
        <v>א׳</v>
      </c>
      <c r="L556" s="29" t="str">
        <f>IF(J556="כן", K556, VLOOKUP(LEFT(H556, 7), 'קטלוג תרחישים'!$A:$M, 13, FALSE))</f>
        <v>ב׳</v>
      </c>
    </row>
    <row r="557" spans="1:12">
      <c r="A557" s="29" t="s">
        <v>168</v>
      </c>
      <c r="B557" s="29">
        <v>28</v>
      </c>
      <c r="C557" s="29" t="s">
        <v>341</v>
      </c>
      <c r="D557" s="29">
        <v>2</v>
      </c>
      <c r="E557" s="29" t="s">
        <v>92</v>
      </c>
      <c r="F557" s="29" t="s">
        <v>344</v>
      </c>
      <c r="G557" s="29" t="s">
        <v>111</v>
      </c>
      <c r="H557" s="29" t="s">
        <v>157</v>
      </c>
      <c r="I557" s="29" t="s">
        <v>89</v>
      </c>
      <c r="J557" s="29" t="s">
        <v>343</v>
      </c>
      <c r="K557" s="29" t="str">
        <f>VLOOKUP(LEFT(H557, 7), 'קטלוג תרחישים'!$A:$L, 12, FALSE)</f>
        <v>ב׳</v>
      </c>
      <c r="L557" s="29" t="str">
        <f>IF(J557="כן", K557, VLOOKUP(LEFT(H557, 7), 'קטלוג תרחישים'!$A:$M, 13, FALSE))</f>
        <v>א׳</v>
      </c>
    </row>
    <row r="558" spans="1:12">
      <c r="A558" s="29" t="s">
        <v>168</v>
      </c>
      <c r="B558" s="29">
        <v>29</v>
      </c>
      <c r="C558" s="29" t="s">
        <v>341</v>
      </c>
      <c r="D558" s="29">
        <v>2</v>
      </c>
      <c r="E558" s="29" t="s">
        <v>92</v>
      </c>
      <c r="F558" s="29" t="s">
        <v>344</v>
      </c>
      <c r="G558" s="29" t="s">
        <v>111</v>
      </c>
      <c r="H558" s="29" t="s">
        <v>158</v>
      </c>
      <c r="I558" s="29" t="s">
        <v>94</v>
      </c>
      <c r="J558" s="29" t="s">
        <v>340</v>
      </c>
      <c r="K558" s="29" t="str">
        <f>VLOOKUP(LEFT(H558, 7), 'קטלוג תרחישים'!$A:$L, 12, FALSE)</f>
        <v>א׳</v>
      </c>
      <c r="L558" s="29" t="str">
        <f>IF(J558="כן", K558, VLOOKUP(LEFT(H558, 7), 'קטלוג תרחישים'!$A:$M, 13, FALSE))</f>
        <v>א׳</v>
      </c>
    </row>
    <row r="559" spans="1:12">
      <c r="A559" s="29" t="s">
        <v>168</v>
      </c>
      <c r="B559" s="29">
        <v>30</v>
      </c>
      <c r="C559" s="29" t="s">
        <v>341</v>
      </c>
      <c r="D559" s="29">
        <v>3</v>
      </c>
      <c r="E559" s="29" t="s">
        <v>99</v>
      </c>
      <c r="F559" s="29" t="s">
        <v>344</v>
      </c>
      <c r="G559" s="29" t="s">
        <v>111</v>
      </c>
      <c r="H559" s="29" t="s">
        <v>161</v>
      </c>
      <c r="I559" s="29" t="s">
        <v>89</v>
      </c>
      <c r="J559" s="29" t="s">
        <v>340</v>
      </c>
      <c r="K559" s="29" t="str">
        <f>VLOOKUP(LEFT(H559, 7), 'קטלוג תרחישים'!$A:$L, 12, FALSE)</f>
        <v>ג׳</v>
      </c>
      <c r="L559" s="29" t="str">
        <f>IF(J559="כן", K559, VLOOKUP(LEFT(H559, 7), 'קטלוג תרחישים'!$A:$M, 13, FALSE))</f>
        <v>ג׳</v>
      </c>
    </row>
    <row r="560" spans="1:12">
      <c r="A560" s="29" t="s">
        <v>168</v>
      </c>
      <c r="B560" s="29">
        <v>31</v>
      </c>
      <c r="C560" s="29" t="s">
        <v>341</v>
      </c>
      <c r="D560" s="29">
        <v>3</v>
      </c>
      <c r="E560" s="29" t="s">
        <v>99</v>
      </c>
      <c r="F560" s="29" t="s">
        <v>344</v>
      </c>
      <c r="G560" s="29" t="s">
        <v>111</v>
      </c>
      <c r="H560" s="29" t="s">
        <v>160</v>
      </c>
      <c r="I560" s="29" t="s">
        <v>94</v>
      </c>
      <c r="J560" s="29" t="s">
        <v>343</v>
      </c>
      <c r="K560" s="29" t="str">
        <f>VLOOKUP(LEFT(H560, 7), 'קטלוג תרחישים'!$A:$L, 12, FALSE)</f>
        <v>ב׳</v>
      </c>
      <c r="L560" s="29" t="str">
        <f>IF(J560="כן", K560, VLOOKUP(LEFT(H560, 7), 'קטלוג תרחישים'!$A:$M, 13, FALSE))</f>
        <v>א׳</v>
      </c>
    </row>
    <row r="561" spans="1:12">
      <c r="A561" s="29" t="s">
        <v>168</v>
      </c>
      <c r="B561" s="29">
        <v>32</v>
      </c>
      <c r="C561" s="29" t="s">
        <v>341</v>
      </c>
      <c r="D561" s="29">
        <v>3</v>
      </c>
      <c r="E561" s="29" t="s">
        <v>99</v>
      </c>
      <c r="F561" s="29" t="s">
        <v>344</v>
      </c>
      <c r="G561" s="29" t="s">
        <v>111</v>
      </c>
      <c r="H561" s="29" t="s">
        <v>159</v>
      </c>
      <c r="I561" s="29" t="s">
        <v>89</v>
      </c>
      <c r="J561" s="29" t="s">
        <v>343</v>
      </c>
      <c r="K561" s="29" t="str">
        <f>VLOOKUP(LEFT(H561, 7), 'קטלוג תרחישים'!$A:$L, 12, FALSE)</f>
        <v>ב׳</v>
      </c>
      <c r="L561" s="29" t="str">
        <f>IF(J561="כן", K561, VLOOKUP(LEFT(H561, 7), 'קטלוג תרחישים'!$A:$M, 13, FALSE))</f>
        <v>א׳</v>
      </c>
    </row>
    <row r="562" spans="1:12">
      <c r="A562" s="29" t="s">
        <v>168</v>
      </c>
      <c r="B562" s="29">
        <v>33</v>
      </c>
      <c r="C562" s="29" t="s">
        <v>341</v>
      </c>
      <c r="D562" s="29">
        <v>3</v>
      </c>
      <c r="E562" s="29" t="s">
        <v>99</v>
      </c>
      <c r="F562" s="29" t="s">
        <v>344</v>
      </c>
      <c r="G562" s="29" t="s">
        <v>111</v>
      </c>
      <c r="H562" s="29" t="s">
        <v>162</v>
      </c>
      <c r="I562" s="29" t="s">
        <v>94</v>
      </c>
      <c r="J562" s="29" t="s">
        <v>340</v>
      </c>
      <c r="K562" s="29" t="str">
        <f>VLOOKUP(LEFT(H562, 7), 'קטלוג תרחישים'!$A:$L, 12, FALSE)</f>
        <v>א׳</v>
      </c>
      <c r="L562" s="29" t="str">
        <f>IF(J562="כן", K562, VLOOKUP(LEFT(H562, 7), 'קטלוג תרחישים'!$A:$M, 13, FALSE))</f>
        <v>א׳</v>
      </c>
    </row>
    <row r="563" spans="1:12">
      <c r="A563" s="29" t="s">
        <v>169</v>
      </c>
      <c r="B563" s="29">
        <v>1</v>
      </c>
      <c r="C563" s="29" t="s">
        <v>339</v>
      </c>
      <c r="D563" s="29"/>
      <c r="E563" s="29" t="s">
        <v>92</v>
      </c>
      <c r="F563" s="29"/>
      <c r="G563" s="29"/>
      <c r="H563" s="30" t="s">
        <v>351</v>
      </c>
      <c r="I563" s="29" t="s">
        <v>89</v>
      </c>
      <c r="J563" s="29" t="s">
        <v>340</v>
      </c>
      <c r="K563" s="29" t="str">
        <f>VLOOKUP(LEFT(H563, 7), 'קטלוג תרחישים'!$A:$L, 12, FALSE)</f>
        <v>א׳</v>
      </c>
      <c r="L563" s="29" t="str">
        <f>IF(J563="כן", K563, VLOOKUP(LEFT(H563, 7), 'קטלוג תרחישים'!$A:$M, 13, FALSE))</f>
        <v>א׳</v>
      </c>
    </row>
    <row r="564" spans="1:12">
      <c r="A564" s="29" t="s">
        <v>169</v>
      </c>
      <c r="B564" s="29">
        <v>2</v>
      </c>
      <c r="C564" s="29" t="s">
        <v>339</v>
      </c>
      <c r="D564" s="29"/>
      <c r="E564" s="29" t="s">
        <v>92</v>
      </c>
      <c r="F564" s="29"/>
      <c r="G564" s="29"/>
      <c r="H564" s="30" t="s">
        <v>88</v>
      </c>
      <c r="I564" s="29" t="s">
        <v>89</v>
      </c>
      <c r="J564" s="29" t="s">
        <v>340</v>
      </c>
      <c r="K564" s="29" t="str">
        <f>VLOOKUP(LEFT(H564, 7), 'קטלוג תרחישים'!$A:$L, 12, FALSE)</f>
        <v>א׳</v>
      </c>
      <c r="L564" s="29" t="str">
        <f>IF(J564="כן", K564, VLOOKUP(LEFT(H564, 7), 'קטלוג תרחישים'!$A:$M, 13, FALSE))</f>
        <v>א׳</v>
      </c>
    </row>
    <row r="565" spans="1:12">
      <c r="A565" s="29" t="s">
        <v>169</v>
      </c>
      <c r="B565" s="29">
        <v>3</v>
      </c>
      <c r="C565" s="29" t="s">
        <v>339</v>
      </c>
      <c r="D565" s="29"/>
      <c r="E565" s="29" t="s">
        <v>99</v>
      </c>
      <c r="F565" s="29"/>
      <c r="G565" s="29"/>
      <c r="H565" s="30" t="s">
        <v>352</v>
      </c>
      <c r="I565" s="29" t="s">
        <v>89</v>
      </c>
      <c r="J565" s="29" t="s">
        <v>340</v>
      </c>
      <c r="K565" s="29" t="str">
        <f>VLOOKUP(LEFT(H565, 7), 'קטלוג תרחישים'!$A:$L, 12, FALSE)</f>
        <v>ב׳</v>
      </c>
      <c r="L565" s="29" t="str">
        <f>IF(J565="כן", K565, VLOOKUP(LEFT(H565, 7), 'קטלוג תרחישים'!$A:$M, 13, FALSE))</f>
        <v>ב׳</v>
      </c>
    </row>
    <row r="566" spans="1:12">
      <c r="A566" s="29" t="s">
        <v>169</v>
      </c>
      <c r="B566" s="29">
        <v>4</v>
      </c>
      <c r="C566" s="29" t="s">
        <v>339</v>
      </c>
      <c r="D566" s="29"/>
      <c r="E566" s="29" t="s">
        <v>99</v>
      </c>
      <c r="F566" s="29"/>
      <c r="G566" s="29"/>
      <c r="H566" s="30" t="s">
        <v>353</v>
      </c>
      <c r="I566" s="29" t="s">
        <v>89</v>
      </c>
      <c r="J566" s="29" t="s">
        <v>340</v>
      </c>
      <c r="K566" s="29" t="str">
        <f>VLOOKUP(LEFT(H566, 7), 'קטלוג תרחישים'!$A:$L, 12, FALSE)</f>
        <v>ב׳</v>
      </c>
      <c r="L566" s="29" t="str">
        <f>IF(J566="כן", K566, VLOOKUP(LEFT(H566, 7), 'קטלוג תרחישים'!$A:$M, 13, FALSE))</f>
        <v>ב׳</v>
      </c>
    </row>
    <row r="567" spans="1:12">
      <c r="A567" s="29" t="s">
        <v>169</v>
      </c>
      <c r="B567" s="29">
        <v>5</v>
      </c>
      <c r="C567" s="29" t="s">
        <v>339</v>
      </c>
      <c r="D567" s="29"/>
      <c r="E567" s="29" t="s">
        <v>105</v>
      </c>
      <c r="F567" s="29"/>
      <c r="G567" s="29"/>
      <c r="H567" s="30" t="s">
        <v>354</v>
      </c>
      <c r="I567" s="29" t="s">
        <v>89</v>
      </c>
      <c r="J567" s="29" t="s">
        <v>340</v>
      </c>
      <c r="K567" s="29" t="str">
        <f>VLOOKUP(LEFT(H567, 7), 'קטלוג תרחישים'!$A:$L, 12, FALSE)</f>
        <v>ג׳</v>
      </c>
      <c r="L567" s="29" t="str">
        <f>IF(J567="כן", K567, VLOOKUP(LEFT(H567, 7), 'קטלוג תרחישים'!$A:$M, 13, FALSE))</f>
        <v>ג׳</v>
      </c>
    </row>
    <row r="568" spans="1:12">
      <c r="A568" s="29" t="s">
        <v>169</v>
      </c>
      <c r="B568" s="29">
        <v>6</v>
      </c>
      <c r="C568" s="29" t="s">
        <v>339</v>
      </c>
      <c r="D568" s="29"/>
      <c r="E568" s="29" t="s">
        <v>105</v>
      </c>
      <c r="F568" s="29"/>
      <c r="G568" s="29"/>
      <c r="H568" s="30" t="s">
        <v>90</v>
      </c>
      <c r="I568" s="29" t="s">
        <v>89</v>
      </c>
      <c r="J568" s="29" t="s">
        <v>340</v>
      </c>
      <c r="K568" s="29" t="str">
        <f>VLOOKUP(LEFT(H568, 7), 'קטלוג תרחישים'!$A:$L, 12, FALSE)</f>
        <v>ג׳</v>
      </c>
      <c r="L568" s="29" t="str">
        <f>IF(J568="כן", K568, VLOOKUP(LEFT(H568, 7), 'קטלוג תרחישים'!$A:$M, 13, FALSE))</f>
        <v>ג׳</v>
      </c>
    </row>
    <row r="569" spans="1:12">
      <c r="A569" s="29" t="s">
        <v>169</v>
      </c>
      <c r="B569" s="29">
        <v>7</v>
      </c>
      <c r="C569" s="29" t="s">
        <v>341</v>
      </c>
      <c r="D569" s="29">
        <v>1</v>
      </c>
      <c r="E569" s="29" t="s">
        <v>92</v>
      </c>
      <c r="F569" s="29" t="s">
        <v>342</v>
      </c>
      <c r="G569" s="29" t="s">
        <v>111</v>
      </c>
      <c r="H569" s="29" t="s">
        <v>155</v>
      </c>
      <c r="I569" s="29" t="s">
        <v>89</v>
      </c>
      <c r="J569" s="29" t="s">
        <v>343</v>
      </c>
      <c r="K569" s="29" t="str">
        <f>VLOOKUP(LEFT(H569, 7), 'קטלוג תרחישים'!$A:$L, 12, FALSE)</f>
        <v>ב׳</v>
      </c>
      <c r="L569" s="29" t="str">
        <f>IF(J569="כן", K569, VLOOKUP(LEFT(H569, 7), 'קטלוג תרחישים'!$A:$M, 13, FALSE))</f>
        <v>א׳</v>
      </c>
    </row>
    <row r="570" spans="1:12">
      <c r="A570" s="29" t="s">
        <v>169</v>
      </c>
      <c r="B570" s="29">
        <v>8</v>
      </c>
      <c r="C570" s="29" t="s">
        <v>341</v>
      </c>
      <c r="D570" s="29">
        <v>1</v>
      </c>
      <c r="E570" s="29" t="s">
        <v>92</v>
      </c>
      <c r="F570" s="29" t="s">
        <v>342</v>
      </c>
      <c r="G570" s="29" t="s">
        <v>111</v>
      </c>
      <c r="H570" s="29" t="s">
        <v>158</v>
      </c>
      <c r="I570" s="29" t="s">
        <v>94</v>
      </c>
      <c r="J570" s="29" t="s">
        <v>340</v>
      </c>
      <c r="K570" s="29" t="str">
        <f>VLOOKUP(LEFT(H570, 7), 'קטלוג תרחישים'!$A:$L, 12, FALSE)</f>
        <v>א׳</v>
      </c>
      <c r="L570" s="29" t="str">
        <f>IF(J570="כן", K570, VLOOKUP(LEFT(H570, 7), 'קטלוג תרחישים'!$A:$M, 13, FALSE))</f>
        <v>א׳</v>
      </c>
    </row>
    <row r="571" spans="1:12">
      <c r="A571" s="29" t="s">
        <v>169</v>
      </c>
      <c r="B571" s="29">
        <v>9</v>
      </c>
      <c r="C571" s="29" t="s">
        <v>341</v>
      </c>
      <c r="D571" s="29">
        <v>1</v>
      </c>
      <c r="E571" s="29" t="s">
        <v>92</v>
      </c>
      <c r="F571" s="29" t="s">
        <v>342</v>
      </c>
      <c r="G571" s="29" t="s">
        <v>111</v>
      </c>
      <c r="H571" s="29" t="s">
        <v>157</v>
      </c>
      <c r="I571" s="29" t="s">
        <v>89</v>
      </c>
      <c r="J571" s="29" t="s">
        <v>340</v>
      </c>
      <c r="K571" s="29" t="str">
        <f>VLOOKUP(LEFT(H571, 7), 'קטלוג תרחישים'!$A:$L, 12, FALSE)</f>
        <v>ב׳</v>
      </c>
      <c r="L571" s="29" t="str">
        <f>IF(J571="כן", K571, VLOOKUP(LEFT(H571, 7), 'קטלוג תרחישים'!$A:$M, 13, FALSE))</f>
        <v>ב׳</v>
      </c>
    </row>
    <row r="572" spans="1:12">
      <c r="A572" s="29" t="s">
        <v>169</v>
      </c>
      <c r="B572" s="29">
        <v>10</v>
      </c>
      <c r="C572" s="29" t="s">
        <v>341</v>
      </c>
      <c r="D572" s="29">
        <v>1</v>
      </c>
      <c r="E572" s="29" t="s">
        <v>92</v>
      </c>
      <c r="F572" s="29" t="s">
        <v>342</v>
      </c>
      <c r="G572" s="29" t="s">
        <v>111</v>
      </c>
      <c r="H572" s="29" t="s">
        <v>156</v>
      </c>
      <c r="I572" s="29" t="s">
        <v>94</v>
      </c>
      <c r="J572" s="29" t="s">
        <v>343</v>
      </c>
      <c r="K572" s="29" t="str">
        <f>VLOOKUP(LEFT(H572, 7), 'קטלוג תרחישים'!$A:$L, 12, FALSE)</f>
        <v>א׳</v>
      </c>
      <c r="L572" s="29" t="str">
        <f>IF(J572="כן", K572, VLOOKUP(LEFT(H572, 7), 'קטלוג תרחישים'!$A:$M, 13, FALSE))</f>
        <v>ב׳</v>
      </c>
    </row>
    <row r="573" spans="1:12">
      <c r="A573" s="29" t="s">
        <v>169</v>
      </c>
      <c r="B573" s="29">
        <v>11</v>
      </c>
      <c r="C573" s="29" t="s">
        <v>341</v>
      </c>
      <c r="D573" s="29">
        <v>2</v>
      </c>
      <c r="E573" s="29" t="s">
        <v>99</v>
      </c>
      <c r="F573" s="29" t="s">
        <v>342</v>
      </c>
      <c r="G573" s="29" t="s">
        <v>111</v>
      </c>
      <c r="H573" s="29" t="s">
        <v>159</v>
      </c>
      <c r="I573" s="29" t="s">
        <v>89</v>
      </c>
      <c r="J573" s="29" t="s">
        <v>340</v>
      </c>
      <c r="K573" s="29" t="str">
        <f>VLOOKUP(LEFT(H573, 7), 'קטלוג תרחישים'!$A:$L, 12, FALSE)</f>
        <v>ב׳</v>
      </c>
      <c r="L573" s="29" t="str">
        <f>IF(J573="כן", K573, VLOOKUP(LEFT(H573, 7), 'קטלוג תרחישים'!$A:$M, 13, FALSE))</f>
        <v>ב׳</v>
      </c>
    </row>
    <row r="574" spans="1:12">
      <c r="A574" s="29" t="s">
        <v>169</v>
      </c>
      <c r="B574" s="29">
        <v>12</v>
      </c>
      <c r="C574" s="29" t="s">
        <v>341</v>
      </c>
      <c r="D574" s="29">
        <v>2</v>
      </c>
      <c r="E574" s="29" t="s">
        <v>99</v>
      </c>
      <c r="F574" s="29" t="s">
        <v>342</v>
      </c>
      <c r="G574" s="29" t="s">
        <v>111</v>
      </c>
      <c r="H574" s="29" t="s">
        <v>162</v>
      </c>
      <c r="I574" s="29" t="s">
        <v>94</v>
      </c>
      <c r="J574" s="29" t="s">
        <v>340</v>
      </c>
      <c r="K574" s="29" t="str">
        <f>VLOOKUP(LEFT(H574, 7), 'קטלוג תרחישים'!$A:$L, 12, FALSE)</f>
        <v>א׳</v>
      </c>
      <c r="L574" s="29" t="str">
        <f>IF(J574="כן", K574, VLOOKUP(LEFT(H574, 7), 'קטלוג תרחישים'!$A:$M, 13, FALSE))</f>
        <v>א׳</v>
      </c>
    </row>
    <row r="575" spans="1:12">
      <c r="A575" s="29" t="s">
        <v>169</v>
      </c>
      <c r="B575" s="29">
        <v>13</v>
      </c>
      <c r="C575" s="29" t="s">
        <v>341</v>
      </c>
      <c r="D575" s="29">
        <v>2</v>
      </c>
      <c r="E575" s="29" t="s">
        <v>99</v>
      </c>
      <c r="F575" s="29" t="s">
        <v>342</v>
      </c>
      <c r="G575" s="29" t="s">
        <v>111</v>
      </c>
      <c r="H575" s="29" t="s">
        <v>161</v>
      </c>
      <c r="I575" s="29" t="s">
        <v>89</v>
      </c>
      <c r="J575" s="29" t="s">
        <v>343</v>
      </c>
      <c r="K575" s="29" t="str">
        <f>VLOOKUP(LEFT(H575, 7), 'קטלוג תרחישים'!$A:$L, 12, FALSE)</f>
        <v>ג׳</v>
      </c>
      <c r="L575" s="29" t="str">
        <f>IF(J575="כן", K575, VLOOKUP(LEFT(H575, 7), 'קטלוג תרחישים'!$A:$M, 13, FALSE))</f>
        <v>ב׳</v>
      </c>
    </row>
    <row r="576" spans="1:12">
      <c r="A576" s="29" t="s">
        <v>169</v>
      </c>
      <c r="B576" s="29">
        <v>14</v>
      </c>
      <c r="C576" s="29" t="s">
        <v>341</v>
      </c>
      <c r="D576" s="29">
        <v>2</v>
      </c>
      <c r="E576" s="29" t="s">
        <v>99</v>
      </c>
      <c r="F576" s="29" t="s">
        <v>342</v>
      </c>
      <c r="G576" s="29" t="s">
        <v>111</v>
      </c>
      <c r="H576" s="29" t="s">
        <v>160</v>
      </c>
      <c r="I576" s="29" t="s">
        <v>94</v>
      </c>
      <c r="J576" s="29" t="s">
        <v>343</v>
      </c>
      <c r="K576" s="29" t="str">
        <f>VLOOKUP(LEFT(H576, 7), 'קטלוג תרחישים'!$A:$L, 12, FALSE)</f>
        <v>ב׳</v>
      </c>
      <c r="L576" s="29" t="str">
        <f>IF(J576="כן", K576, VLOOKUP(LEFT(H576, 7), 'קטלוג תרחישים'!$A:$M, 13, FALSE))</f>
        <v>א׳</v>
      </c>
    </row>
    <row r="577" spans="1:12">
      <c r="A577" s="29" t="s">
        <v>169</v>
      </c>
      <c r="B577" s="29">
        <v>15</v>
      </c>
      <c r="C577" s="29" t="s">
        <v>341</v>
      </c>
      <c r="D577" s="29">
        <v>3</v>
      </c>
      <c r="E577" s="29" t="s">
        <v>105</v>
      </c>
      <c r="F577" s="29" t="s">
        <v>342</v>
      </c>
      <c r="G577" s="29" t="s">
        <v>111</v>
      </c>
      <c r="H577" s="29" t="s">
        <v>153</v>
      </c>
      <c r="I577" s="29" t="s">
        <v>89</v>
      </c>
      <c r="J577" s="29" t="s">
        <v>340</v>
      </c>
      <c r="K577" s="29" t="str">
        <f>VLOOKUP(LEFT(H577, 7), 'קטלוג תרחישים'!$A:$L, 12, FALSE)</f>
        <v>ג׳</v>
      </c>
      <c r="L577" s="29" t="str">
        <f>IF(J577="כן", K577, VLOOKUP(LEFT(H577, 7), 'קטלוג תרחישים'!$A:$M, 13, FALSE))</f>
        <v>ג׳</v>
      </c>
    </row>
    <row r="578" spans="1:12">
      <c r="A578" s="29" t="s">
        <v>169</v>
      </c>
      <c r="B578" s="29">
        <v>16</v>
      </c>
      <c r="C578" s="29" t="s">
        <v>341</v>
      </c>
      <c r="D578" s="29">
        <v>3</v>
      </c>
      <c r="E578" s="29" t="s">
        <v>105</v>
      </c>
      <c r="F578" s="29" t="s">
        <v>342</v>
      </c>
      <c r="G578" s="29" t="s">
        <v>111</v>
      </c>
      <c r="H578" s="29" t="s">
        <v>154</v>
      </c>
      <c r="I578" s="29" t="s">
        <v>94</v>
      </c>
      <c r="J578" s="29" t="s">
        <v>340</v>
      </c>
      <c r="K578" s="29" t="str">
        <f>VLOOKUP(LEFT(H578, 7), 'קטלוג תרחישים'!$A:$L, 12, FALSE)</f>
        <v>ג׳</v>
      </c>
      <c r="L578" s="29" t="str">
        <f>IF(J578="כן", K578, VLOOKUP(LEFT(H578, 7), 'קטלוג תרחישים'!$A:$M, 13, FALSE))</f>
        <v>ג׳</v>
      </c>
    </row>
    <row r="579" spans="1:12">
      <c r="A579" s="29" t="s">
        <v>169</v>
      </c>
      <c r="B579" s="29">
        <v>17</v>
      </c>
      <c r="C579" s="29" t="s">
        <v>341</v>
      </c>
      <c r="D579" s="29">
        <v>3</v>
      </c>
      <c r="E579" s="29" t="s">
        <v>105</v>
      </c>
      <c r="F579" s="29" t="s">
        <v>342</v>
      </c>
      <c r="G579" s="29" t="s">
        <v>111</v>
      </c>
      <c r="H579" s="29" t="s">
        <v>151</v>
      </c>
      <c r="I579" s="29" t="s">
        <v>89</v>
      </c>
      <c r="J579" s="29" t="s">
        <v>343</v>
      </c>
      <c r="K579" s="29" t="str">
        <f>VLOOKUP(LEFT(H579, 7), 'קטלוג תרחישים'!$A:$L, 12, FALSE)</f>
        <v>א׳</v>
      </c>
      <c r="L579" s="29" t="str">
        <f>IF(J579="כן", K579, VLOOKUP(LEFT(H579, 7), 'קטלוג תרחישים'!$A:$M, 13, FALSE))</f>
        <v>ג׳</v>
      </c>
    </row>
    <row r="580" spans="1:12">
      <c r="A580" s="29" t="s">
        <v>169</v>
      </c>
      <c r="B580" s="29">
        <v>18</v>
      </c>
      <c r="C580" s="29" t="s">
        <v>341</v>
      </c>
      <c r="D580" s="29">
        <v>3</v>
      </c>
      <c r="E580" s="29" t="s">
        <v>105</v>
      </c>
      <c r="F580" s="29" t="s">
        <v>342</v>
      </c>
      <c r="G580" s="29" t="s">
        <v>111</v>
      </c>
      <c r="H580" s="29" t="s">
        <v>152</v>
      </c>
      <c r="I580" s="29" t="s">
        <v>94</v>
      </c>
      <c r="J580" s="29" t="s">
        <v>343</v>
      </c>
      <c r="K580" s="29" t="str">
        <f>VLOOKUP(LEFT(H580, 7), 'קטלוג תרחישים'!$A:$L, 12, FALSE)</f>
        <v>ב׳</v>
      </c>
      <c r="L580" s="29" t="str">
        <f>IF(J580="כן", K580, VLOOKUP(LEFT(H580, 7), 'קטלוג תרחישים'!$A:$M, 13, FALSE))</f>
        <v>ג׳</v>
      </c>
    </row>
    <row r="581" spans="1:12">
      <c r="A581" s="29" t="s">
        <v>169</v>
      </c>
      <c r="B581" s="29">
        <v>19</v>
      </c>
      <c r="C581" s="29" t="s">
        <v>341</v>
      </c>
      <c r="D581" s="29">
        <v>1</v>
      </c>
      <c r="E581" s="29" t="s">
        <v>105</v>
      </c>
      <c r="F581" s="29" t="s">
        <v>344</v>
      </c>
      <c r="G581" s="29" t="s">
        <v>91</v>
      </c>
      <c r="H581" s="29" t="s">
        <v>145</v>
      </c>
      <c r="I581" s="29" t="s">
        <v>89</v>
      </c>
      <c r="J581" s="29" t="s">
        <v>340</v>
      </c>
      <c r="K581" s="29" t="str">
        <f>VLOOKUP(LEFT(H581, 7), 'קטלוג תרחישים'!$A:$L, 12, FALSE)</f>
        <v>ב׳</v>
      </c>
      <c r="L581" s="29" t="str">
        <f>IF(J581="כן", K581, VLOOKUP(LEFT(H581, 7), 'קטלוג תרחישים'!$A:$M, 13, FALSE))</f>
        <v>ב׳</v>
      </c>
    </row>
    <row r="582" spans="1:12">
      <c r="A582" s="29" t="s">
        <v>169</v>
      </c>
      <c r="B582" s="29">
        <v>20</v>
      </c>
      <c r="C582" s="29" t="s">
        <v>341</v>
      </c>
      <c r="D582" s="29">
        <v>1</v>
      </c>
      <c r="E582" s="29" t="s">
        <v>105</v>
      </c>
      <c r="F582" s="29" t="s">
        <v>344</v>
      </c>
      <c r="G582" s="29" t="s">
        <v>91</v>
      </c>
      <c r="H582" s="29" t="s">
        <v>144</v>
      </c>
      <c r="I582" s="29" t="s">
        <v>94</v>
      </c>
      <c r="J582" s="29" t="s">
        <v>340</v>
      </c>
      <c r="K582" s="29" t="str">
        <f>VLOOKUP(LEFT(H582, 7), 'קטלוג תרחישים'!$A:$L, 12, FALSE)</f>
        <v>ג׳</v>
      </c>
      <c r="L582" s="29" t="str">
        <f>IF(J582="כן", K582, VLOOKUP(LEFT(H582, 7), 'קטלוג תרחישים'!$A:$M, 13, FALSE))</f>
        <v>ג׳</v>
      </c>
    </row>
    <row r="583" spans="1:12">
      <c r="A583" s="29" t="s">
        <v>169</v>
      </c>
      <c r="B583" s="29">
        <v>21</v>
      </c>
      <c r="C583" s="29" t="s">
        <v>341</v>
      </c>
      <c r="D583" s="29">
        <v>1</v>
      </c>
      <c r="E583" s="29" t="s">
        <v>105</v>
      </c>
      <c r="F583" s="29" t="s">
        <v>344</v>
      </c>
      <c r="G583" s="29" t="s">
        <v>91</v>
      </c>
      <c r="H583" s="29" t="s">
        <v>143</v>
      </c>
      <c r="I583" s="29" t="s">
        <v>89</v>
      </c>
      <c r="J583" s="29" t="s">
        <v>340</v>
      </c>
      <c r="K583" s="29" t="str">
        <f>VLOOKUP(LEFT(H583, 7), 'קטלוג תרחישים'!$A:$L, 12, FALSE)</f>
        <v>א׳</v>
      </c>
      <c r="L583" s="29" t="str">
        <f>IF(J583="כן", K583, VLOOKUP(LEFT(H583, 7), 'קטלוג תרחישים'!$A:$M, 13, FALSE))</f>
        <v>א׳</v>
      </c>
    </row>
    <row r="584" spans="1:12">
      <c r="A584" s="29" t="s">
        <v>169</v>
      </c>
      <c r="B584" s="29">
        <v>22</v>
      </c>
      <c r="C584" s="29" t="s">
        <v>341</v>
      </c>
      <c r="D584" s="29">
        <v>1</v>
      </c>
      <c r="E584" s="29" t="s">
        <v>105</v>
      </c>
      <c r="F584" s="29" t="s">
        <v>344</v>
      </c>
      <c r="G584" s="29" t="s">
        <v>91</v>
      </c>
      <c r="H584" s="29" t="s">
        <v>142</v>
      </c>
      <c r="I584" s="29" t="s">
        <v>94</v>
      </c>
      <c r="J584" s="29" t="s">
        <v>340</v>
      </c>
      <c r="K584" s="29" t="str">
        <f>VLOOKUP(LEFT(H584, 7), 'קטלוג תרחישים'!$A:$L, 12, FALSE)</f>
        <v>א׳</v>
      </c>
      <c r="L584" s="29" t="str">
        <f>IF(J584="כן", K584, VLOOKUP(LEFT(H584, 7), 'קטלוג תרחישים'!$A:$M, 13, FALSE))</f>
        <v>א׳</v>
      </c>
    </row>
    <row r="585" spans="1:12">
      <c r="A585" s="29" t="s">
        <v>169</v>
      </c>
      <c r="B585" s="29">
        <v>23</v>
      </c>
      <c r="C585" s="29" t="s">
        <v>341</v>
      </c>
      <c r="D585" s="29">
        <v>1</v>
      </c>
      <c r="E585" s="29" t="s">
        <v>105</v>
      </c>
      <c r="F585" s="29" t="s">
        <v>344</v>
      </c>
      <c r="G585" s="29" t="s">
        <v>91</v>
      </c>
      <c r="H585" s="29" t="s">
        <v>141</v>
      </c>
      <c r="I585" s="29" t="s">
        <v>89</v>
      </c>
      <c r="J585" s="29" t="s">
        <v>343</v>
      </c>
      <c r="K585" s="29" t="str">
        <f>VLOOKUP(LEFT(H585, 7), 'קטלוג תרחישים'!$A:$L, 12, FALSE)</f>
        <v>ב׳</v>
      </c>
      <c r="L585" s="29" t="str">
        <f>IF(J585="כן", K585, VLOOKUP(LEFT(H585, 7), 'קטלוג תרחישים'!$A:$M, 13, FALSE))</f>
        <v>א׳</v>
      </c>
    </row>
    <row r="586" spans="1:12">
      <c r="A586" s="29" t="s">
        <v>169</v>
      </c>
      <c r="B586" s="29">
        <v>24</v>
      </c>
      <c r="C586" s="29" t="s">
        <v>341</v>
      </c>
      <c r="D586" s="29">
        <v>2</v>
      </c>
      <c r="E586" s="29" t="s">
        <v>92</v>
      </c>
      <c r="F586" s="29" t="s">
        <v>344</v>
      </c>
      <c r="G586" s="29" t="s">
        <v>91</v>
      </c>
      <c r="H586" s="29" t="s">
        <v>148</v>
      </c>
      <c r="I586" s="29" t="s">
        <v>89</v>
      </c>
      <c r="J586" s="29" t="s">
        <v>340</v>
      </c>
      <c r="K586" s="29" t="str">
        <f>VLOOKUP(LEFT(H586, 7), 'קטלוג תרחישים'!$A:$L, 12, FALSE)</f>
        <v>א׳</v>
      </c>
      <c r="L586" s="29" t="str">
        <f>IF(J586="כן", K586, VLOOKUP(LEFT(H586, 7), 'קטלוג תרחישים'!$A:$M, 13, FALSE))</f>
        <v>א׳</v>
      </c>
    </row>
    <row r="587" spans="1:12">
      <c r="A587" s="29" t="s">
        <v>169</v>
      </c>
      <c r="B587" s="29">
        <v>25</v>
      </c>
      <c r="C587" s="29" t="s">
        <v>341</v>
      </c>
      <c r="D587" s="29">
        <v>2</v>
      </c>
      <c r="E587" s="29" t="s">
        <v>92</v>
      </c>
      <c r="F587" s="29" t="s">
        <v>344</v>
      </c>
      <c r="G587" s="29" t="s">
        <v>91</v>
      </c>
      <c r="H587" s="29" t="s">
        <v>147</v>
      </c>
      <c r="I587" s="29" t="s">
        <v>94</v>
      </c>
      <c r="J587" s="29" t="s">
        <v>340</v>
      </c>
      <c r="K587" s="29" t="str">
        <f>VLOOKUP(LEFT(H587, 7), 'קטלוג תרחישים'!$A:$L, 12, FALSE)</f>
        <v>ב׳</v>
      </c>
      <c r="L587" s="29" t="str">
        <f>IF(J587="כן", K587, VLOOKUP(LEFT(H587, 7), 'קטלוג תרחישים'!$A:$M, 13, FALSE))</f>
        <v>ב׳</v>
      </c>
    </row>
    <row r="588" spans="1:12">
      <c r="A588" s="29" t="s">
        <v>169</v>
      </c>
      <c r="B588" s="29">
        <v>26</v>
      </c>
      <c r="C588" s="29" t="s">
        <v>341</v>
      </c>
      <c r="D588" s="29">
        <v>2</v>
      </c>
      <c r="E588" s="29" t="s">
        <v>92</v>
      </c>
      <c r="F588" s="29" t="s">
        <v>344</v>
      </c>
      <c r="G588" s="29" t="s">
        <v>91</v>
      </c>
      <c r="H588" s="29" t="s">
        <v>146</v>
      </c>
      <c r="I588" s="29" t="s">
        <v>89</v>
      </c>
      <c r="J588" s="29" t="s">
        <v>340</v>
      </c>
      <c r="K588" s="29" t="str">
        <f>VLOOKUP(LEFT(H588, 7), 'קטלוג תרחישים'!$A:$L, 12, FALSE)</f>
        <v>ג׳</v>
      </c>
      <c r="L588" s="29" t="str">
        <f>IF(J588="כן", K588, VLOOKUP(LEFT(H588, 7), 'קטלוג תרחישים'!$A:$M, 13, FALSE))</f>
        <v>ג׳</v>
      </c>
    </row>
    <row r="589" spans="1:12">
      <c r="A589" s="29" t="s">
        <v>169</v>
      </c>
      <c r="B589" s="29">
        <v>27</v>
      </c>
      <c r="C589" s="29" t="s">
        <v>341</v>
      </c>
      <c r="D589" s="29">
        <v>2</v>
      </c>
      <c r="E589" s="29" t="s">
        <v>92</v>
      </c>
      <c r="F589" s="29" t="s">
        <v>344</v>
      </c>
      <c r="G589" s="29" t="s">
        <v>91</v>
      </c>
      <c r="H589" s="29" t="s">
        <v>149</v>
      </c>
      <c r="I589" s="29" t="s">
        <v>94</v>
      </c>
      <c r="J589" s="29" t="s">
        <v>340</v>
      </c>
      <c r="K589" s="29" t="str">
        <f>VLOOKUP(LEFT(H589, 7), 'קטלוג תרחישים'!$A:$L, 12, FALSE)</f>
        <v>ג׳</v>
      </c>
      <c r="L589" s="29" t="str">
        <f>IF(J589="כן", K589, VLOOKUP(LEFT(H589, 7), 'קטלוג תרחישים'!$A:$M, 13, FALSE))</f>
        <v>ג׳</v>
      </c>
    </row>
    <row r="590" spans="1:12">
      <c r="A590" s="29" t="s">
        <v>169</v>
      </c>
      <c r="B590" s="29">
        <v>28</v>
      </c>
      <c r="C590" s="29" t="s">
        <v>341</v>
      </c>
      <c r="D590" s="29">
        <v>2</v>
      </c>
      <c r="E590" s="29" t="s">
        <v>92</v>
      </c>
      <c r="F590" s="29" t="s">
        <v>344</v>
      </c>
      <c r="G590" s="29" t="s">
        <v>91</v>
      </c>
      <c r="H590" s="29" t="s">
        <v>150</v>
      </c>
      <c r="I590" s="29" t="s">
        <v>89</v>
      </c>
      <c r="J590" s="29" t="s">
        <v>343</v>
      </c>
      <c r="K590" s="29" t="str">
        <f>VLOOKUP(LEFT(H590, 7), 'קטלוג תרחישים'!$A:$L, 12, FALSE)</f>
        <v>א׳</v>
      </c>
      <c r="L590" s="29" t="str">
        <f>IF(J590="כן", K590, VLOOKUP(LEFT(H590, 7), 'קטלוג תרחישים'!$A:$M, 13, FALSE))</f>
        <v>ג׳</v>
      </c>
    </row>
    <row r="591" spans="1:12">
      <c r="A591" s="29" t="s">
        <v>169</v>
      </c>
      <c r="B591" s="29">
        <v>29</v>
      </c>
      <c r="C591" s="29" t="s">
        <v>341</v>
      </c>
      <c r="D591" s="29">
        <v>3</v>
      </c>
      <c r="E591" s="29" t="s">
        <v>99</v>
      </c>
      <c r="F591" s="29" t="s">
        <v>344</v>
      </c>
      <c r="G591" s="29" t="s">
        <v>91</v>
      </c>
      <c r="H591" s="29" t="s">
        <v>140</v>
      </c>
      <c r="I591" s="29" t="s">
        <v>94</v>
      </c>
      <c r="J591" s="29" t="s">
        <v>340</v>
      </c>
      <c r="K591" s="29" t="str">
        <f>VLOOKUP(LEFT(H591, 7), 'קטלוג תרחישים'!$A:$L, 12, FALSE)</f>
        <v>א׳</v>
      </c>
      <c r="L591" s="29" t="str">
        <f>IF(J591="כן", K591, VLOOKUP(LEFT(H591, 7), 'קטלוג תרחישים'!$A:$M, 13, FALSE))</f>
        <v>א׳</v>
      </c>
    </row>
    <row r="592" spans="1:12">
      <c r="A592" s="29" t="s">
        <v>169</v>
      </c>
      <c r="B592" s="29">
        <v>30</v>
      </c>
      <c r="C592" s="29" t="s">
        <v>341</v>
      </c>
      <c r="D592" s="29">
        <v>3</v>
      </c>
      <c r="E592" s="29" t="s">
        <v>99</v>
      </c>
      <c r="F592" s="29" t="s">
        <v>344</v>
      </c>
      <c r="G592" s="29" t="s">
        <v>91</v>
      </c>
      <c r="H592" s="29" t="s">
        <v>137</v>
      </c>
      <c r="I592" s="29" t="s">
        <v>89</v>
      </c>
      <c r="J592" s="29" t="s">
        <v>343</v>
      </c>
      <c r="K592" s="29" t="str">
        <f>VLOOKUP(LEFT(H592, 7), 'קטלוג תרחישים'!$A:$L, 12, FALSE)</f>
        <v>ג׳</v>
      </c>
      <c r="L592" s="29" t="str">
        <f>IF(J592="כן", K592, VLOOKUP(LEFT(H592, 7), 'קטלוג תרחישים'!$A:$M, 13, FALSE))</f>
        <v>א׳</v>
      </c>
    </row>
    <row r="593" spans="1:12">
      <c r="A593" s="29" t="s">
        <v>169</v>
      </c>
      <c r="B593" s="29">
        <v>31</v>
      </c>
      <c r="C593" s="29" t="s">
        <v>341</v>
      </c>
      <c r="D593" s="29">
        <v>3</v>
      </c>
      <c r="E593" s="29" t="s">
        <v>99</v>
      </c>
      <c r="F593" s="29" t="s">
        <v>344</v>
      </c>
      <c r="G593" s="29" t="s">
        <v>91</v>
      </c>
      <c r="H593" s="29" t="s">
        <v>136</v>
      </c>
      <c r="I593" s="29" t="s">
        <v>94</v>
      </c>
      <c r="J593" s="29" t="s">
        <v>340</v>
      </c>
      <c r="K593" s="29" t="str">
        <f>VLOOKUP(LEFT(H593, 7), 'קטלוג תרחישים'!$A:$L, 12, FALSE)</f>
        <v>ג׳</v>
      </c>
      <c r="L593" s="29" t="str">
        <f>IF(J593="כן", K593, VLOOKUP(LEFT(H593, 7), 'קטלוג תרחישים'!$A:$M, 13, FALSE))</f>
        <v>ג׳</v>
      </c>
    </row>
    <row r="594" spans="1:12">
      <c r="A594" s="29" t="s">
        <v>169</v>
      </c>
      <c r="B594" s="29">
        <v>32</v>
      </c>
      <c r="C594" s="29" t="s">
        <v>341</v>
      </c>
      <c r="D594" s="29">
        <v>3</v>
      </c>
      <c r="E594" s="29" t="s">
        <v>99</v>
      </c>
      <c r="F594" s="29" t="s">
        <v>344</v>
      </c>
      <c r="G594" s="29" t="s">
        <v>91</v>
      </c>
      <c r="H594" s="29" t="s">
        <v>139</v>
      </c>
      <c r="I594" s="29" t="s">
        <v>89</v>
      </c>
      <c r="J594" s="29" t="s">
        <v>340</v>
      </c>
      <c r="K594" s="29" t="str">
        <f>VLOOKUP(LEFT(H594, 7), 'קטלוג תרחישים'!$A:$L, 12, FALSE)</f>
        <v>ג׳</v>
      </c>
      <c r="L594" s="29" t="str">
        <f>IF(J594="כן", K594, VLOOKUP(LEFT(H594, 7), 'קטלוג תרחישים'!$A:$M, 13, FALSE))</f>
        <v>ג׳</v>
      </c>
    </row>
    <row r="595" spans="1:12">
      <c r="A595" s="29" t="s">
        <v>169</v>
      </c>
      <c r="B595" s="29">
        <v>33</v>
      </c>
      <c r="C595" s="29" t="s">
        <v>341</v>
      </c>
      <c r="D595" s="29">
        <v>3</v>
      </c>
      <c r="E595" s="29" t="s">
        <v>99</v>
      </c>
      <c r="F595" s="29" t="s">
        <v>344</v>
      </c>
      <c r="G595" s="29" t="s">
        <v>91</v>
      </c>
      <c r="H595" s="29" t="s">
        <v>138</v>
      </c>
      <c r="I595" s="29" t="s">
        <v>94</v>
      </c>
      <c r="J595" s="29" t="s">
        <v>340</v>
      </c>
      <c r="K595" s="29" t="str">
        <f>VLOOKUP(LEFT(H595, 7), 'קטלוג תרחישים'!$A:$L, 12, FALSE)</f>
        <v>ב׳</v>
      </c>
      <c r="L595" s="29" t="str">
        <f>IF(J595="כן", K595, VLOOKUP(LEFT(H595, 7), 'קטלוג תרחישים'!$A:$M, 13, FALSE))</f>
        <v>ב׳</v>
      </c>
    </row>
    <row r="596" spans="1:12">
      <c r="A596" s="29" t="s">
        <v>170</v>
      </c>
      <c r="B596" s="29">
        <v>1</v>
      </c>
      <c r="C596" s="29" t="s">
        <v>339</v>
      </c>
      <c r="D596" s="29"/>
      <c r="E596" s="29" t="s">
        <v>92</v>
      </c>
      <c r="F596" s="29"/>
      <c r="G596" s="29"/>
      <c r="H596" s="30" t="s">
        <v>351</v>
      </c>
      <c r="I596" s="29" t="s">
        <v>89</v>
      </c>
      <c r="J596" s="29" t="s">
        <v>340</v>
      </c>
      <c r="K596" s="29" t="str">
        <f>VLOOKUP(LEFT(H596, 7), 'קטלוג תרחישים'!$A:$L, 12, FALSE)</f>
        <v>א׳</v>
      </c>
      <c r="L596" s="29" t="str">
        <f>IF(J596="כן", K596, VLOOKUP(LEFT(H596, 7), 'קטלוג תרחישים'!$A:$M, 13, FALSE))</f>
        <v>א׳</v>
      </c>
    </row>
    <row r="597" spans="1:12">
      <c r="A597" s="29" t="s">
        <v>170</v>
      </c>
      <c r="B597" s="29">
        <v>2</v>
      </c>
      <c r="C597" s="29" t="s">
        <v>339</v>
      </c>
      <c r="D597" s="29"/>
      <c r="E597" s="29" t="s">
        <v>92</v>
      </c>
      <c r="F597" s="29"/>
      <c r="G597" s="29"/>
      <c r="H597" s="30" t="s">
        <v>88</v>
      </c>
      <c r="I597" s="29" t="s">
        <v>89</v>
      </c>
      <c r="J597" s="29" t="s">
        <v>340</v>
      </c>
      <c r="K597" s="29" t="str">
        <f>VLOOKUP(LEFT(H597, 7), 'קטלוג תרחישים'!$A:$L, 12, FALSE)</f>
        <v>א׳</v>
      </c>
      <c r="L597" s="29" t="str">
        <f>IF(J597="כן", K597, VLOOKUP(LEFT(H597, 7), 'קטלוג תרחישים'!$A:$M, 13, FALSE))</f>
        <v>א׳</v>
      </c>
    </row>
    <row r="598" spans="1:12">
      <c r="A598" s="29" t="s">
        <v>170</v>
      </c>
      <c r="B598" s="29">
        <v>3</v>
      </c>
      <c r="C598" s="29" t="s">
        <v>339</v>
      </c>
      <c r="D598" s="29"/>
      <c r="E598" s="29" t="s">
        <v>99</v>
      </c>
      <c r="F598" s="29"/>
      <c r="G598" s="29"/>
      <c r="H598" s="30" t="s">
        <v>352</v>
      </c>
      <c r="I598" s="29" t="s">
        <v>89</v>
      </c>
      <c r="J598" s="29" t="s">
        <v>340</v>
      </c>
      <c r="K598" s="29" t="str">
        <f>VLOOKUP(LEFT(H598, 7), 'קטלוג תרחישים'!$A:$L, 12, FALSE)</f>
        <v>ב׳</v>
      </c>
      <c r="L598" s="29" t="str">
        <f>IF(J598="כן", K598, VLOOKUP(LEFT(H598, 7), 'קטלוג תרחישים'!$A:$M, 13, FALSE))</f>
        <v>ב׳</v>
      </c>
    </row>
    <row r="599" spans="1:12">
      <c r="A599" s="29" t="s">
        <v>170</v>
      </c>
      <c r="B599" s="29">
        <v>4</v>
      </c>
      <c r="C599" s="29" t="s">
        <v>339</v>
      </c>
      <c r="D599" s="29"/>
      <c r="E599" s="29" t="s">
        <v>99</v>
      </c>
      <c r="F599" s="29"/>
      <c r="G599" s="29"/>
      <c r="H599" s="30" t="s">
        <v>353</v>
      </c>
      <c r="I599" s="29" t="s">
        <v>89</v>
      </c>
      <c r="J599" s="29" t="s">
        <v>340</v>
      </c>
      <c r="K599" s="29" t="str">
        <f>VLOOKUP(LEFT(H599, 7), 'קטלוג תרחישים'!$A:$L, 12, FALSE)</f>
        <v>ב׳</v>
      </c>
      <c r="L599" s="29" t="str">
        <f>IF(J599="כן", K599, VLOOKUP(LEFT(H599, 7), 'קטלוג תרחישים'!$A:$M, 13, FALSE))</f>
        <v>ב׳</v>
      </c>
    </row>
    <row r="600" spans="1:12">
      <c r="A600" s="29" t="s">
        <v>170</v>
      </c>
      <c r="B600" s="29">
        <v>5</v>
      </c>
      <c r="C600" s="29" t="s">
        <v>339</v>
      </c>
      <c r="D600" s="29"/>
      <c r="E600" s="29" t="s">
        <v>105</v>
      </c>
      <c r="F600" s="29"/>
      <c r="G600" s="29"/>
      <c r="H600" s="30" t="s">
        <v>354</v>
      </c>
      <c r="I600" s="29" t="s">
        <v>89</v>
      </c>
      <c r="J600" s="29" t="s">
        <v>340</v>
      </c>
      <c r="K600" s="29" t="str">
        <f>VLOOKUP(LEFT(H600, 7), 'קטלוג תרחישים'!$A:$L, 12, FALSE)</f>
        <v>ג׳</v>
      </c>
      <c r="L600" s="29" t="str">
        <f>IF(J600="כן", K600, VLOOKUP(LEFT(H600, 7), 'קטלוג תרחישים'!$A:$M, 13, FALSE))</f>
        <v>ג׳</v>
      </c>
    </row>
    <row r="601" spans="1:12">
      <c r="A601" s="29" t="s">
        <v>170</v>
      </c>
      <c r="B601" s="29">
        <v>6</v>
      </c>
      <c r="C601" s="29" t="s">
        <v>339</v>
      </c>
      <c r="D601" s="29"/>
      <c r="E601" s="29" t="s">
        <v>105</v>
      </c>
      <c r="F601" s="29"/>
      <c r="G601" s="29"/>
      <c r="H601" s="30" t="s">
        <v>90</v>
      </c>
      <c r="I601" s="29" t="s">
        <v>89</v>
      </c>
      <c r="J601" s="29" t="s">
        <v>340</v>
      </c>
      <c r="K601" s="29" t="str">
        <f>VLOOKUP(LEFT(H601, 7), 'קטלוג תרחישים'!$A:$L, 12, FALSE)</f>
        <v>ג׳</v>
      </c>
      <c r="L601" s="29" t="str">
        <f>IF(J601="כן", K601, VLOOKUP(LEFT(H601, 7), 'קטלוג תרחישים'!$A:$M, 13, FALSE))</f>
        <v>ג׳</v>
      </c>
    </row>
    <row r="602" spans="1:12">
      <c r="A602" s="29" t="s">
        <v>170</v>
      </c>
      <c r="B602" s="29">
        <v>7</v>
      </c>
      <c r="C602" s="29" t="s">
        <v>341</v>
      </c>
      <c r="D602" s="29">
        <v>1</v>
      </c>
      <c r="E602" s="29" t="s">
        <v>92</v>
      </c>
      <c r="F602" s="29" t="s">
        <v>342</v>
      </c>
      <c r="G602" s="29" t="s">
        <v>91</v>
      </c>
      <c r="H602" s="29" t="s">
        <v>146</v>
      </c>
      <c r="I602" s="29" t="s">
        <v>89</v>
      </c>
      <c r="J602" s="29" t="s">
        <v>340</v>
      </c>
      <c r="K602" s="29" t="str">
        <f>VLOOKUP(LEFT(H602, 7), 'קטלוג תרחישים'!$A:$L, 12, FALSE)</f>
        <v>ג׳</v>
      </c>
      <c r="L602" s="29" t="str">
        <f>IF(J602="כן", K602, VLOOKUP(LEFT(H602, 7), 'קטלוג תרחישים'!$A:$M, 13, FALSE))</f>
        <v>ג׳</v>
      </c>
    </row>
    <row r="603" spans="1:12">
      <c r="A603" s="29" t="s">
        <v>170</v>
      </c>
      <c r="B603" s="29">
        <v>8</v>
      </c>
      <c r="C603" s="29" t="s">
        <v>341</v>
      </c>
      <c r="D603" s="29">
        <v>1</v>
      </c>
      <c r="E603" s="29" t="s">
        <v>92</v>
      </c>
      <c r="F603" s="29" t="s">
        <v>342</v>
      </c>
      <c r="G603" s="29" t="s">
        <v>91</v>
      </c>
      <c r="H603" s="29" t="s">
        <v>149</v>
      </c>
      <c r="I603" s="29" t="s">
        <v>94</v>
      </c>
      <c r="J603" s="29" t="s">
        <v>340</v>
      </c>
      <c r="K603" s="29" t="str">
        <f>VLOOKUP(LEFT(H603, 7), 'קטלוג תרחישים'!$A:$L, 12, FALSE)</f>
        <v>ג׳</v>
      </c>
      <c r="L603" s="29" t="str">
        <f>IF(J603="כן", K603, VLOOKUP(LEFT(H603, 7), 'קטלוג תרחישים'!$A:$M, 13, FALSE))</f>
        <v>ג׳</v>
      </c>
    </row>
    <row r="604" spans="1:12">
      <c r="A604" s="29" t="s">
        <v>170</v>
      </c>
      <c r="B604" s="29">
        <v>9</v>
      </c>
      <c r="C604" s="29" t="s">
        <v>341</v>
      </c>
      <c r="D604" s="29">
        <v>1</v>
      </c>
      <c r="E604" s="29" t="s">
        <v>92</v>
      </c>
      <c r="F604" s="29" t="s">
        <v>342</v>
      </c>
      <c r="G604" s="29" t="s">
        <v>91</v>
      </c>
      <c r="H604" s="29" t="s">
        <v>150</v>
      </c>
      <c r="I604" s="29" t="s">
        <v>89</v>
      </c>
      <c r="J604" s="29" t="s">
        <v>340</v>
      </c>
      <c r="K604" s="29" t="str">
        <f>VLOOKUP(LEFT(H604, 7), 'קטלוג תרחישים'!$A:$L, 12, FALSE)</f>
        <v>א׳</v>
      </c>
      <c r="L604" s="29" t="str">
        <f>IF(J604="כן", K604, VLOOKUP(LEFT(H604, 7), 'קטלוג תרחישים'!$A:$M, 13, FALSE))</f>
        <v>א׳</v>
      </c>
    </row>
    <row r="605" spans="1:12">
      <c r="A605" s="29" t="s">
        <v>170</v>
      </c>
      <c r="B605" s="29">
        <v>10</v>
      </c>
      <c r="C605" s="29" t="s">
        <v>341</v>
      </c>
      <c r="D605" s="29">
        <v>1</v>
      </c>
      <c r="E605" s="29" t="s">
        <v>92</v>
      </c>
      <c r="F605" s="29" t="s">
        <v>342</v>
      </c>
      <c r="G605" s="29" t="s">
        <v>91</v>
      </c>
      <c r="H605" s="29" t="s">
        <v>147</v>
      </c>
      <c r="I605" s="29" t="s">
        <v>94</v>
      </c>
      <c r="J605" s="29" t="s">
        <v>343</v>
      </c>
      <c r="K605" s="29" t="str">
        <f>VLOOKUP(LEFT(H605, 7), 'קטלוג תרחישים'!$A:$L, 12, FALSE)</f>
        <v>ב׳</v>
      </c>
      <c r="L605" s="29" t="str">
        <f>IF(J605="כן", K605, VLOOKUP(LEFT(H605, 7), 'קטלוג תרחישים'!$A:$M, 13, FALSE))</f>
        <v>ג׳</v>
      </c>
    </row>
    <row r="606" spans="1:12">
      <c r="A606" s="29" t="s">
        <v>170</v>
      </c>
      <c r="B606" s="29">
        <v>11</v>
      </c>
      <c r="C606" s="29" t="s">
        <v>341</v>
      </c>
      <c r="D606" s="29">
        <v>1</v>
      </c>
      <c r="E606" s="29" t="s">
        <v>92</v>
      </c>
      <c r="F606" s="29" t="s">
        <v>342</v>
      </c>
      <c r="G606" s="29" t="s">
        <v>91</v>
      </c>
      <c r="H606" s="29" t="s">
        <v>148</v>
      </c>
      <c r="I606" s="29" t="s">
        <v>89</v>
      </c>
      <c r="J606" s="29" t="s">
        <v>340</v>
      </c>
      <c r="K606" s="29" t="str">
        <f>VLOOKUP(LEFT(H606, 7), 'קטלוג תרחישים'!$A:$L, 12, FALSE)</f>
        <v>א׳</v>
      </c>
      <c r="L606" s="29" t="str">
        <f>IF(J606="כן", K606, VLOOKUP(LEFT(H606, 7), 'קטלוג תרחישים'!$A:$M, 13, FALSE))</f>
        <v>א׳</v>
      </c>
    </row>
    <row r="607" spans="1:12">
      <c r="A607" s="29" t="s">
        <v>170</v>
      </c>
      <c r="B607" s="29">
        <v>12</v>
      </c>
      <c r="C607" s="29" t="s">
        <v>341</v>
      </c>
      <c r="D607" s="29">
        <v>2</v>
      </c>
      <c r="E607" s="29" t="s">
        <v>99</v>
      </c>
      <c r="F607" s="29" t="s">
        <v>342</v>
      </c>
      <c r="G607" s="29" t="s">
        <v>91</v>
      </c>
      <c r="H607" s="29" t="s">
        <v>140</v>
      </c>
      <c r="I607" s="29" t="s">
        <v>94</v>
      </c>
      <c r="J607" s="29" t="s">
        <v>340</v>
      </c>
      <c r="K607" s="29" t="str">
        <f>VLOOKUP(LEFT(H607, 7), 'קטלוג תרחישים'!$A:$L, 12, FALSE)</f>
        <v>א׳</v>
      </c>
      <c r="L607" s="29" t="str">
        <f>IF(J607="כן", K607, VLOOKUP(LEFT(H607, 7), 'קטלוג תרחישים'!$A:$M, 13, FALSE))</f>
        <v>א׳</v>
      </c>
    </row>
    <row r="608" spans="1:12">
      <c r="A608" s="29" t="s">
        <v>170</v>
      </c>
      <c r="B608" s="29">
        <v>13</v>
      </c>
      <c r="C608" s="29" t="s">
        <v>341</v>
      </c>
      <c r="D608" s="29">
        <v>2</v>
      </c>
      <c r="E608" s="29" t="s">
        <v>99</v>
      </c>
      <c r="F608" s="29" t="s">
        <v>342</v>
      </c>
      <c r="G608" s="29" t="s">
        <v>91</v>
      </c>
      <c r="H608" s="29" t="s">
        <v>139</v>
      </c>
      <c r="I608" s="29" t="s">
        <v>89</v>
      </c>
      <c r="J608" s="29" t="s">
        <v>340</v>
      </c>
      <c r="K608" s="29" t="str">
        <f>VLOOKUP(LEFT(H608, 7), 'קטלוג תרחישים'!$A:$L, 12, FALSE)</f>
        <v>ג׳</v>
      </c>
      <c r="L608" s="29" t="str">
        <f>IF(J608="כן", K608, VLOOKUP(LEFT(H608, 7), 'קטלוג תרחישים'!$A:$M, 13, FALSE))</f>
        <v>ג׳</v>
      </c>
    </row>
    <row r="609" spans="1:12">
      <c r="A609" s="29" t="s">
        <v>170</v>
      </c>
      <c r="B609" s="29">
        <v>14</v>
      </c>
      <c r="C609" s="29" t="s">
        <v>341</v>
      </c>
      <c r="D609" s="29">
        <v>2</v>
      </c>
      <c r="E609" s="29" t="s">
        <v>99</v>
      </c>
      <c r="F609" s="29" t="s">
        <v>342</v>
      </c>
      <c r="G609" s="29" t="s">
        <v>91</v>
      </c>
      <c r="H609" s="29" t="s">
        <v>136</v>
      </c>
      <c r="I609" s="29" t="s">
        <v>94</v>
      </c>
      <c r="J609" s="29" t="s">
        <v>343</v>
      </c>
      <c r="K609" s="29" t="str">
        <f>VLOOKUP(LEFT(H609, 7), 'קטלוג תרחישים'!$A:$L, 12, FALSE)</f>
        <v>ג׳</v>
      </c>
      <c r="L609" s="29" t="str">
        <f>IF(J609="כן", K609, VLOOKUP(LEFT(H609, 7), 'קטלוג תרחישים'!$A:$M, 13, FALSE))</f>
        <v>א׳</v>
      </c>
    </row>
    <row r="610" spans="1:12">
      <c r="A610" s="29" t="s">
        <v>170</v>
      </c>
      <c r="B610" s="29">
        <v>15</v>
      </c>
      <c r="C610" s="29" t="s">
        <v>341</v>
      </c>
      <c r="D610" s="29">
        <v>2</v>
      </c>
      <c r="E610" s="29" t="s">
        <v>99</v>
      </c>
      <c r="F610" s="29" t="s">
        <v>342</v>
      </c>
      <c r="G610" s="29" t="s">
        <v>91</v>
      </c>
      <c r="H610" s="29" t="s">
        <v>137</v>
      </c>
      <c r="I610" s="29" t="s">
        <v>89</v>
      </c>
      <c r="J610" s="29" t="s">
        <v>340</v>
      </c>
      <c r="K610" s="29" t="str">
        <f>VLOOKUP(LEFT(H610, 7), 'קטלוג תרחישים'!$A:$L, 12, FALSE)</f>
        <v>ג׳</v>
      </c>
      <c r="L610" s="29" t="str">
        <f>IF(J610="כן", K610, VLOOKUP(LEFT(H610, 7), 'קטלוג תרחישים'!$A:$M, 13, FALSE))</f>
        <v>ג׳</v>
      </c>
    </row>
    <row r="611" spans="1:12">
      <c r="A611" s="29" t="s">
        <v>170</v>
      </c>
      <c r="B611" s="29">
        <v>16</v>
      </c>
      <c r="C611" s="29" t="s">
        <v>341</v>
      </c>
      <c r="D611" s="29">
        <v>2</v>
      </c>
      <c r="E611" s="29" t="s">
        <v>99</v>
      </c>
      <c r="F611" s="29" t="s">
        <v>342</v>
      </c>
      <c r="G611" s="29" t="s">
        <v>91</v>
      </c>
      <c r="H611" s="29" t="s">
        <v>138</v>
      </c>
      <c r="I611" s="29" t="s">
        <v>94</v>
      </c>
      <c r="J611" s="29" t="s">
        <v>340</v>
      </c>
      <c r="K611" s="29" t="str">
        <f>VLOOKUP(LEFT(H611, 7), 'קטלוג תרחישים'!$A:$L, 12, FALSE)</f>
        <v>ב׳</v>
      </c>
      <c r="L611" s="29" t="str">
        <f>IF(J611="כן", K611, VLOOKUP(LEFT(H611, 7), 'קטלוג תרחישים'!$A:$M, 13, FALSE))</f>
        <v>ב׳</v>
      </c>
    </row>
    <row r="612" spans="1:12">
      <c r="A612" s="29" t="s">
        <v>170</v>
      </c>
      <c r="B612" s="29">
        <v>17</v>
      </c>
      <c r="C612" s="29" t="s">
        <v>341</v>
      </c>
      <c r="D612" s="29">
        <v>3</v>
      </c>
      <c r="E612" s="29" t="s">
        <v>105</v>
      </c>
      <c r="F612" s="29" t="s">
        <v>342</v>
      </c>
      <c r="G612" s="29" t="s">
        <v>91</v>
      </c>
      <c r="H612" s="29" t="s">
        <v>141</v>
      </c>
      <c r="I612" s="29" t="s">
        <v>89</v>
      </c>
      <c r="J612" s="29" t="s">
        <v>340</v>
      </c>
      <c r="K612" s="29" t="str">
        <f>VLOOKUP(LEFT(H612, 7), 'קטלוג תרחישים'!$A:$L, 12, FALSE)</f>
        <v>ב׳</v>
      </c>
      <c r="L612" s="29" t="str">
        <f>IF(J612="כן", K612, VLOOKUP(LEFT(H612, 7), 'קטלוג תרחישים'!$A:$M, 13, FALSE))</f>
        <v>ב׳</v>
      </c>
    </row>
    <row r="613" spans="1:12">
      <c r="A613" s="29" t="s">
        <v>170</v>
      </c>
      <c r="B613" s="29">
        <v>18</v>
      </c>
      <c r="C613" s="29" t="s">
        <v>341</v>
      </c>
      <c r="D613" s="29">
        <v>3</v>
      </c>
      <c r="E613" s="29" t="s">
        <v>105</v>
      </c>
      <c r="F613" s="29" t="s">
        <v>342</v>
      </c>
      <c r="G613" s="29" t="s">
        <v>91</v>
      </c>
      <c r="H613" s="29" t="s">
        <v>144</v>
      </c>
      <c r="I613" s="29" t="s">
        <v>94</v>
      </c>
      <c r="J613" s="29" t="s">
        <v>340</v>
      </c>
      <c r="K613" s="29" t="str">
        <f>VLOOKUP(LEFT(H613, 7), 'קטלוג תרחישים'!$A:$L, 12, FALSE)</f>
        <v>ג׳</v>
      </c>
      <c r="L613" s="29" t="str">
        <f>IF(J613="כן", K613, VLOOKUP(LEFT(H613, 7), 'קטלוג תרחישים'!$A:$M, 13, FALSE))</f>
        <v>ג׳</v>
      </c>
    </row>
    <row r="614" spans="1:12">
      <c r="A614" s="29" t="s">
        <v>170</v>
      </c>
      <c r="B614" s="29">
        <v>19</v>
      </c>
      <c r="C614" s="29" t="s">
        <v>341</v>
      </c>
      <c r="D614" s="29">
        <v>3</v>
      </c>
      <c r="E614" s="29" t="s">
        <v>105</v>
      </c>
      <c r="F614" s="29" t="s">
        <v>342</v>
      </c>
      <c r="G614" s="29" t="s">
        <v>91</v>
      </c>
      <c r="H614" s="29" t="s">
        <v>145</v>
      </c>
      <c r="I614" s="29" t="s">
        <v>89</v>
      </c>
      <c r="J614" s="29" t="s">
        <v>340</v>
      </c>
      <c r="K614" s="29" t="str">
        <f>VLOOKUP(LEFT(H614, 7), 'קטלוג תרחישים'!$A:$L, 12, FALSE)</f>
        <v>ב׳</v>
      </c>
      <c r="L614" s="29" t="str">
        <f>IF(J614="כן", K614, VLOOKUP(LEFT(H614, 7), 'קטלוג תרחישים'!$A:$M, 13, FALSE))</f>
        <v>ב׳</v>
      </c>
    </row>
    <row r="615" spans="1:12">
      <c r="A615" s="29" t="s">
        <v>170</v>
      </c>
      <c r="B615" s="29">
        <v>20</v>
      </c>
      <c r="C615" s="29" t="s">
        <v>341</v>
      </c>
      <c r="D615" s="29">
        <v>3</v>
      </c>
      <c r="E615" s="29" t="s">
        <v>105</v>
      </c>
      <c r="F615" s="29" t="s">
        <v>342</v>
      </c>
      <c r="G615" s="29" t="s">
        <v>91</v>
      </c>
      <c r="H615" s="29" t="s">
        <v>142</v>
      </c>
      <c r="I615" s="29" t="s">
        <v>94</v>
      </c>
      <c r="J615" s="29" t="s">
        <v>340</v>
      </c>
      <c r="K615" s="29" t="str">
        <f>VLOOKUP(LEFT(H615, 7), 'קטלוג תרחישים'!$A:$L, 12, FALSE)</f>
        <v>א׳</v>
      </c>
      <c r="L615" s="29" t="str">
        <f>IF(J615="כן", K615, VLOOKUP(LEFT(H615, 7), 'קטלוג תרחישים'!$A:$M, 13, FALSE))</f>
        <v>א׳</v>
      </c>
    </row>
    <row r="616" spans="1:12">
      <c r="A616" s="29" t="s">
        <v>170</v>
      </c>
      <c r="B616" s="29">
        <v>21</v>
      </c>
      <c r="C616" s="29" t="s">
        <v>341</v>
      </c>
      <c r="D616" s="29">
        <v>3</v>
      </c>
      <c r="E616" s="29" t="s">
        <v>105</v>
      </c>
      <c r="F616" s="29" t="s">
        <v>342</v>
      </c>
      <c r="G616" s="29" t="s">
        <v>91</v>
      </c>
      <c r="H616" s="29" t="s">
        <v>143</v>
      </c>
      <c r="I616" s="29" t="s">
        <v>89</v>
      </c>
      <c r="J616" s="29" t="s">
        <v>343</v>
      </c>
      <c r="K616" s="29" t="str">
        <f>VLOOKUP(LEFT(H616, 7), 'קטלוג תרחישים'!$A:$L, 12, FALSE)</f>
        <v>א׳</v>
      </c>
      <c r="L616" s="29" t="str">
        <f>IF(J616="כן", K616, VLOOKUP(LEFT(H616, 7), 'קטלוג תרחישים'!$A:$M, 13, FALSE))</f>
        <v>ג׳</v>
      </c>
    </row>
    <row r="617" spans="1:12">
      <c r="A617" s="29" t="s">
        <v>170</v>
      </c>
      <c r="B617" s="29">
        <v>22</v>
      </c>
      <c r="C617" s="29" t="s">
        <v>341</v>
      </c>
      <c r="D617" s="29">
        <v>1</v>
      </c>
      <c r="E617" s="29" t="s">
        <v>99</v>
      </c>
      <c r="F617" s="29" t="s">
        <v>344</v>
      </c>
      <c r="G617" s="29" t="s">
        <v>111</v>
      </c>
      <c r="H617" s="29" t="s">
        <v>161</v>
      </c>
      <c r="I617" s="29" t="s">
        <v>89</v>
      </c>
      <c r="J617" s="29" t="s">
        <v>343</v>
      </c>
      <c r="K617" s="29" t="str">
        <f>VLOOKUP(LEFT(H617, 7), 'קטלוג תרחישים'!$A:$L, 12, FALSE)</f>
        <v>ג׳</v>
      </c>
      <c r="L617" s="29" t="str">
        <f>IF(J617="כן", K617, VLOOKUP(LEFT(H617, 7), 'קטלוג תרחישים'!$A:$M, 13, FALSE))</f>
        <v>ב׳</v>
      </c>
    </row>
    <row r="618" spans="1:12">
      <c r="A618" s="29" t="s">
        <v>170</v>
      </c>
      <c r="B618" s="29">
        <v>23</v>
      </c>
      <c r="C618" s="29" t="s">
        <v>341</v>
      </c>
      <c r="D618" s="29">
        <v>1</v>
      </c>
      <c r="E618" s="29" t="s">
        <v>99</v>
      </c>
      <c r="F618" s="29" t="s">
        <v>344</v>
      </c>
      <c r="G618" s="29" t="s">
        <v>111</v>
      </c>
      <c r="H618" s="29" t="s">
        <v>162</v>
      </c>
      <c r="I618" s="29" t="s">
        <v>94</v>
      </c>
      <c r="J618" s="29" t="s">
        <v>343</v>
      </c>
      <c r="K618" s="29" t="str">
        <f>VLOOKUP(LEFT(H618, 7), 'קטלוג תרחישים'!$A:$L, 12, FALSE)</f>
        <v>א׳</v>
      </c>
      <c r="L618" s="29" t="str">
        <f>IF(J618="כן", K618, VLOOKUP(LEFT(H618, 7), 'קטלוג תרחישים'!$A:$M, 13, FALSE))</f>
        <v>ב׳</v>
      </c>
    </row>
    <row r="619" spans="1:12">
      <c r="A619" s="29" t="s">
        <v>170</v>
      </c>
      <c r="B619" s="29">
        <v>24</v>
      </c>
      <c r="C619" s="29" t="s">
        <v>341</v>
      </c>
      <c r="D619" s="29">
        <v>1</v>
      </c>
      <c r="E619" s="29" t="s">
        <v>99</v>
      </c>
      <c r="F619" s="29" t="s">
        <v>344</v>
      </c>
      <c r="G619" s="29" t="s">
        <v>111</v>
      </c>
      <c r="H619" s="29" t="s">
        <v>159</v>
      </c>
      <c r="I619" s="29" t="s">
        <v>89</v>
      </c>
      <c r="J619" s="29" t="s">
        <v>340</v>
      </c>
      <c r="K619" s="29" t="str">
        <f>VLOOKUP(LEFT(H619, 7), 'קטלוג תרחישים'!$A:$L, 12, FALSE)</f>
        <v>ב׳</v>
      </c>
      <c r="L619" s="29" t="str">
        <f>IF(J619="כן", K619, VLOOKUP(LEFT(H619, 7), 'קטלוג תרחישים'!$A:$M, 13, FALSE))</f>
        <v>ב׳</v>
      </c>
    </row>
    <row r="620" spans="1:12">
      <c r="A620" s="29" t="s">
        <v>170</v>
      </c>
      <c r="B620" s="29">
        <v>25</v>
      </c>
      <c r="C620" s="29" t="s">
        <v>341</v>
      </c>
      <c r="D620" s="29">
        <v>1</v>
      </c>
      <c r="E620" s="29" t="s">
        <v>99</v>
      </c>
      <c r="F620" s="29" t="s">
        <v>344</v>
      </c>
      <c r="G620" s="29" t="s">
        <v>111</v>
      </c>
      <c r="H620" s="29" t="s">
        <v>160</v>
      </c>
      <c r="I620" s="29" t="s">
        <v>94</v>
      </c>
      <c r="J620" s="29" t="s">
        <v>340</v>
      </c>
      <c r="K620" s="29" t="str">
        <f>VLOOKUP(LEFT(H620, 7), 'קטלוג תרחישים'!$A:$L, 12, FALSE)</f>
        <v>ב׳</v>
      </c>
      <c r="L620" s="29" t="str">
        <f>IF(J620="כן", K620, VLOOKUP(LEFT(H620, 7), 'קטלוג תרחישים'!$A:$M, 13, FALSE))</f>
        <v>ב׳</v>
      </c>
    </row>
    <row r="621" spans="1:12">
      <c r="A621" s="29" t="s">
        <v>170</v>
      </c>
      <c r="B621" s="29">
        <v>26</v>
      </c>
      <c r="C621" s="29" t="s">
        <v>341</v>
      </c>
      <c r="D621" s="29">
        <v>2</v>
      </c>
      <c r="E621" s="29" t="s">
        <v>105</v>
      </c>
      <c r="F621" s="29" t="s">
        <v>344</v>
      </c>
      <c r="G621" s="29" t="s">
        <v>111</v>
      </c>
      <c r="H621" s="29" t="s">
        <v>151</v>
      </c>
      <c r="I621" s="29" t="s">
        <v>89</v>
      </c>
      <c r="J621" s="29" t="s">
        <v>340</v>
      </c>
      <c r="K621" s="29" t="str">
        <f>VLOOKUP(LEFT(H621, 7), 'קטלוג תרחישים'!$A:$L, 12, FALSE)</f>
        <v>א׳</v>
      </c>
      <c r="L621" s="29" t="str">
        <f>IF(J621="כן", K621, VLOOKUP(LEFT(H621, 7), 'קטלוג תרחישים'!$A:$M, 13, FALSE))</f>
        <v>א׳</v>
      </c>
    </row>
    <row r="622" spans="1:12">
      <c r="A622" s="29" t="s">
        <v>170</v>
      </c>
      <c r="B622" s="29">
        <v>27</v>
      </c>
      <c r="C622" s="29" t="s">
        <v>341</v>
      </c>
      <c r="D622" s="29">
        <v>2</v>
      </c>
      <c r="E622" s="29" t="s">
        <v>105</v>
      </c>
      <c r="F622" s="29" t="s">
        <v>344</v>
      </c>
      <c r="G622" s="29" t="s">
        <v>111</v>
      </c>
      <c r="H622" s="29" t="s">
        <v>152</v>
      </c>
      <c r="I622" s="29" t="s">
        <v>94</v>
      </c>
      <c r="J622" s="29" t="s">
        <v>343</v>
      </c>
      <c r="K622" s="29" t="str">
        <f>VLOOKUP(LEFT(H622, 7), 'קטלוג תרחישים'!$A:$L, 12, FALSE)</f>
        <v>ב׳</v>
      </c>
      <c r="L622" s="29" t="str">
        <f>IF(J622="כן", K622, VLOOKUP(LEFT(H622, 7), 'קטלוג תרחישים'!$A:$M, 13, FALSE))</f>
        <v>ג׳</v>
      </c>
    </row>
    <row r="623" spans="1:12">
      <c r="A623" s="29" t="s">
        <v>170</v>
      </c>
      <c r="B623" s="29">
        <v>28</v>
      </c>
      <c r="C623" s="29" t="s">
        <v>341</v>
      </c>
      <c r="D623" s="29">
        <v>2</v>
      </c>
      <c r="E623" s="29" t="s">
        <v>105</v>
      </c>
      <c r="F623" s="29" t="s">
        <v>344</v>
      </c>
      <c r="G623" s="29" t="s">
        <v>111</v>
      </c>
      <c r="H623" s="29" t="s">
        <v>153</v>
      </c>
      <c r="I623" s="29" t="s">
        <v>89</v>
      </c>
      <c r="J623" s="29" t="s">
        <v>343</v>
      </c>
      <c r="K623" s="29" t="str">
        <f>VLOOKUP(LEFT(H623, 7), 'קטלוג תרחישים'!$A:$L, 12, FALSE)</f>
        <v>ג׳</v>
      </c>
      <c r="L623" s="29" t="str">
        <f>IF(J623="כן", K623, VLOOKUP(LEFT(H623, 7), 'קטלוג תרחישים'!$A:$M, 13, FALSE))</f>
        <v>ב׳</v>
      </c>
    </row>
    <row r="624" spans="1:12">
      <c r="A624" s="29" t="s">
        <v>170</v>
      </c>
      <c r="B624" s="29">
        <v>29</v>
      </c>
      <c r="C624" s="29" t="s">
        <v>341</v>
      </c>
      <c r="D624" s="29">
        <v>2</v>
      </c>
      <c r="E624" s="29" t="s">
        <v>105</v>
      </c>
      <c r="F624" s="29" t="s">
        <v>344</v>
      </c>
      <c r="G624" s="29" t="s">
        <v>111</v>
      </c>
      <c r="H624" s="29" t="s">
        <v>154</v>
      </c>
      <c r="I624" s="29" t="s">
        <v>94</v>
      </c>
      <c r="J624" s="29" t="s">
        <v>340</v>
      </c>
      <c r="K624" s="29" t="str">
        <f>VLOOKUP(LEFT(H624, 7), 'קטלוג תרחישים'!$A:$L, 12, FALSE)</f>
        <v>ג׳</v>
      </c>
      <c r="L624" s="29" t="str">
        <f>IF(J624="כן", K624, VLOOKUP(LEFT(H624, 7), 'קטלוג תרחישים'!$A:$M, 13, FALSE))</f>
        <v>ג׳</v>
      </c>
    </row>
    <row r="625" spans="1:12">
      <c r="A625" s="29" t="s">
        <v>170</v>
      </c>
      <c r="B625" s="29">
        <v>30</v>
      </c>
      <c r="C625" s="29" t="s">
        <v>341</v>
      </c>
      <c r="D625" s="29">
        <v>3</v>
      </c>
      <c r="E625" s="29" t="s">
        <v>92</v>
      </c>
      <c r="F625" s="29" t="s">
        <v>344</v>
      </c>
      <c r="G625" s="29" t="s">
        <v>111</v>
      </c>
      <c r="H625" s="29" t="s">
        <v>155</v>
      </c>
      <c r="I625" s="29" t="s">
        <v>89</v>
      </c>
      <c r="J625" s="29" t="s">
        <v>343</v>
      </c>
      <c r="K625" s="29" t="str">
        <f>VLOOKUP(LEFT(H625, 7), 'קטלוג תרחישים'!$A:$L, 12, FALSE)</f>
        <v>ב׳</v>
      </c>
      <c r="L625" s="29" t="str">
        <f>IF(J625="כן", K625, VLOOKUP(LEFT(H625, 7), 'קטלוג תרחישים'!$A:$M, 13, FALSE))</f>
        <v>א׳</v>
      </c>
    </row>
    <row r="626" spans="1:12">
      <c r="A626" s="29" t="s">
        <v>170</v>
      </c>
      <c r="B626" s="29">
        <v>31</v>
      </c>
      <c r="C626" s="29" t="s">
        <v>341</v>
      </c>
      <c r="D626" s="29">
        <v>3</v>
      </c>
      <c r="E626" s="29" t="s">
        <v>92</v>
      </c>
      <c r="F626" s="29" t="s">
        <v>344</v>
      </c>
      <c r="G626" s="29" t="s">
        <v>111</v>
      </c>
      <c r="H626" s="29" t="s">
        <v>156</v>
      </c>
      <c r="I626" s="29" t="s">
        <v>94</v>
      </c>
      <c r="J626" s="29" t="s">
        <v>340</v>
      </c>
      <c r="K626" s="29" t="str">
        <f>VLOOKUP(LEFT(H626, 7), 'קטלוג תרחישים'!$A:$L, 12, FALSE)</f>
        <v>א׳</v>
      </c>
      <c r="L626" s="29" t="str">
        <f>IF(J626="כן", K626, VLOOKUP(LEFT(H626, 7), 'קטלוג תרחישים'!$A:$M, 13, FALSE))</f>
        <v>א׳</v>
      </c>
    </row>
    <row r="627" spans="1:12">
      <c r="A627" s="29" t="s">
        <v>170</v>
      </c>
      <c r="B627" s="29">
        <v>32</v>
      </c>
      <c r="C627" s="29" t="s">
        <v>341</v>
      </c>
      <c r="D627" s="29">
        <v>3</v>
      </c>
      <c r="E627" s="29" t="s">
        <v>92</v>
      </c>
      <c r="F627" s="29" t="s">
        <v>344</v>
      </c>
      <c r="G627" s="29" t="s">
        <v>111</v>
      </c>
      <c r="H627" s="29" t="s">
        <v>157</v>
      </c>
      <c r="I627" s="29" t="s">
        <v>89</v>
      </c>
      <c r="J627" s="29" t="s">
        <v>340</v>
      </c>
      <c r="K627" s="29" t="str">
        <f>VLOOKUP(LEFT(H627, 7), 'קטלוג תרחישים'!$A:$L, 12, FALSE)</f>
        <v>ב׳</v>
      </c>
      <c r="L627" s="29" t="str">
        <f>IF(J627="כן", K627, VLOOKUP(LEFT(H627, 7), 'קטלוג תרחישים'!$A:$M, 13, FALSE))</f>
        <v>ב׳</v>
      </c>
    </row>
    <row r="628" spans="1:12">
      <c r="A628" s="29" t="s">
        <v>170</v>
      </c>
      <c r="B628" s="29">
        <v>33</v>
      </c>
      <c r="C628" s="29" t="s">
        <v>341</v>
      </c>
      <c r="D628" s="29">
        <v>3</v>
      </c>
      <c r="E628" s="29" t="s">
        <v>92</v>
      </c>
      <c r="F628" s="29" t="s">
        <v>344</v>
      </c>
      <c r="G628" s="29" t="s">
        <v>111</v>
      </c>
      <c r="H628" s="29" t="s">
        <v>158</v>
      </c>
      <c r="I628" s="29" t="s">
        <v>94</v>
      </c>
      <c r="J628" s="29" t="s">
        <v>343</v>
      </c>
      <c r="K628" s="29" t="str">
        <f>VLOOKUP(LEFT(H628, 7), 'קטלוג תרחישים'!$A:$L, 12, FALSE)</f>
        <v>א׳</v>
      </c>
      <c r="L628" s="29" t="str">
        <f>IF(J628="כן", K628, VLOOKUP(LEFT(H628, 7), 'קטלוג תרחישים'!$A:$M, 13, FALSE))</f>
        <v>ג׳</v>
      </c>
    </row>
    <row r="629" spans="1:12">
      <c r="A629" s="29" t="s">
        <v>171</v>
      </c>
      <c r="B629" s="29">
        <v>1</v>
      </c>
      <c r="C629" s="29" t="s">
        <v>339</v>
      </c>
      <c r="D629" s="29"/>
      <c r="E629" s="29" t="s">
        <v>92</v>
      </c>
      <c r="F629" s="29"/>
      <c r="G629" s="29"/>
      <c r="H629" s="30" t="s">
        <v>351</v>
      </c>
      <c r="I629" s="29" t="s">
        <v>89</v>
      </c>
      <c r="J629" s="29" t="s">
        <v>340</v>
      </c>
      <c r="K629" s="29" t="str">
        <f>VLOOKUP(LEFT(H629, 7), 'קטלוג תרחישים'!$A:$L, 12, FALSE)</f>
        <v>א׳</v>
      </c>
      <c r="L629" s="29" t="str">
        <f>IF(J629="כן", K629, VLOOKUP(LEFT(H629, 7), 'קטלוג תרחישים'!$A:$M, 13, FALSE))</f>
        <v>א׳</v>
      </c>
    </row>
    <row r="630" spans="1:12">
      <c r="A630" s="29" t="s">
        <v>171</v>
      </c>
      <c r="B630" s="29">
        <v>2</v>
      </c>
      <c r="C630" s="29" t="s">
        <v>339</v>
      </c>
      <c r="D630" s="29"/>
      <c r="E630" s="29" t="s">
        <v>92</v>
      </c>
      <c r="F630" s="29"/>
      <c r="G630" s="29"/>
      <c r="H630" s="30" t="s">
        <v>88</v>
      </c>
      <c r="I630" s="29" t="s">
        <v>89</v>
      </c>
      <c r="J630" s="29" t="s">
        <v>340</v>
      </c>
      <c r="K630" s="29" t="str">
        <f>VLOOKUP(LEFT(H630, 7), 'קטלוג תרחישים'!$A:$L, 12, FALSE)</f>
        <v>א׳</v>
      </c>
      <c r="L630" s="29" t="str">
        <f>IF(J630="כן", K630, VLOOKUP(LEFT(H630, 7), 'קטלוג תרחישים'!$A:$M, 13, FALSE))</f>
        <v>א׳</v>
      </c>
    </row>
    <row r="631" spans="1:12">
      <c r="A631" s="29" t="s">
        <v>171</v>
      </c>
      <c r="B631" s="29">
        <v>3</v>
      </c>
      <c r="C631" s="29" t="s">
        <v>339</v>
      </c>
      <c r="D631" s="29"/>
      <c r="E631" s="29" t="s">
        <v>99</v>
      </c>
      <c r="F631" s="29"/>
      <c r="G631" s="29"/>
      <c r="H631" s="30" t="s">
        <v>352</v>
      </c>
      <c r="I631" s="29" t="s">
        <v>89</v>
      </c>
      <c r="J631" s="29" t="s">
        <v>340</v>
      </c>
      <c r="K631" s="29" t="str">
        <f>VLOOKUP(LEFT(H631, 7), 'קטלוג תרחישים'!$A:$L, 12, FALSE)</f>
        <v>ב׳</v>
      </c>
      <c r="L631" s="29" t="str">
        <f>IF(J631="כן", K631, VLOOKUP(LEFT(H631, 7), 'קטלוג תרחישים'!$A:$M, 13, FALSE))</f>
        <v>ב׳</v>
      </c>
    </row>
    <row r="632" spans="1:12">
      <c r="A632" s="29" t="s">
        <v>171</v>
      </c>
      <c r="B632" s="29">
        <v>4</v>
      </c>
      <c r="C632" s="29" t="s">
        <v>339</v>
      </c>
      <c r="D632" s="29"/>
      <c r="E632" s="29" t="s">
        <v>99</v>
      </c>
      <c r="F632" s="29"/>
      <c r="G632" s="29"/>
      <c r="H632" s="30" t="s">
        <v>353</v>
      </c>
      <c r="I632" s="29" t="s">
        <v>89</v>
      </c>
      <c r="J632" s="29" t="s">
        <v>340</v>
      </c>
      <c r="K632" s="29" t="str">
        <f>VLOOKUP(LEFT(H632, 7), 'קטלוג תרחישים'!$A:$L, 12, FALSE)</f>
        <v>ב׳</v>
      </c>
      <c r="L632" s="29" t="str">
        <f>IF(J632="כן", K632, VLOOKUP(LEFT(H632, 7), 'קטלוג תרחישים'!$A:$M, 13, FALSE))</f>
        <v>ב׳</v>
      </c>
    </row>
    <row r="633" spans="1:12">
      <c r="A633" s="29" t="s">
        <v>171</v>
      </c>
      <c r="B633" s="29">
        <v>5</v>
      </c>
      <c r="C633" s="29" t="s">
        <v>339</v>
      </c>
      <c r="D633" s="29"/>
      <c r="E633" s="29" t="s">
        <v>105</v>
      </c>
      <c r="F633" s="29"/>
      <c r="G633" s="29"/>
      <c r="H633" s="30" t="s">
        <v>354</v>
      </c>
      <c r="I633" s="29" t="s">
        <v>89</v>
      </c>
      <c r="J633" s="29" t="s">
        <v>340</v>
      </c>
      <c r="K633" s="29" t="str">
        <f>VLOOKUP(LEFT(H633, 7), 'קטלוג תרחישים'!$A:$L, 12, FALSE)</f>
        <v>ג׳</v>
      </c>
      <c r="L633" s="29" t="str">
        <f>IF(J633="כן", K633, VLOOKUP(LEFT(H633, 7), 'קטלוג תרחישים'!$A:$M, 13, FALSE))</f>
        <v>ג׳</v>
      </c>
    </row>
    <row r="634" spans="1:12">
      <c r="A634" s="29" t="s">
        <v>171</v>
      </c>
      <c r="B634" s="29">
        <v>6</v>
      </c>
      <c r="C634" s="29" t="s">
        <v>339</v>
      </c>
      <c r="D634" s="29"/>
      <c r="E634" s="29" t="s">
        <v>105</v>
      </c>
      <c r="F634" s="29"/>
      <c r="G634" s="29"/>
      <c r="H634" s="30" t="s">
        <v>90</v>
      </c>
      <c r="I634" s="29" t="s">
        <v>89</v>
      </c>
      <c r="J634" s="29" t="s">
        <v>340</v>
      </c>
      <c r="K634" s="29" t="str">
        <f>VLOOKUP(LEFT(H634, 7), 'קטלוג תרחישים'!$A:$L, 12, FALSE)</f>
        <v>ג׳</v>
      </c>
      <c r="L634" s="29" t="str">
        <f>IF(J634="כן", K634, VLOOKUP(LEFT(H634, 7), 'קטלוג תרחישים'!$A:$M, 13, FALSE))</f>
        <v>ג׳</v>
      </c>
    </row>
    <row r="635" spans="1:12">
      <c r="A635" s="29" t="s">
        <v>171</v>
      </c>
      <c r="B635" s="29">
        <v>7</v>
      </c>
      <c r="C635" s="29" t="s">
        <v>341</v>
      </c>
      <c r="D635" s="29">
        <v>1</v>
      </c>
      <c r="E635" s="29" t="s">
        <v>105</v>
      </c>
      <c r="F635" s="29" t="s">
        <v>342</v>
      </c>
      <c r="G635" s="29" t="s">
        <v>111</v>
      </c>
      <c r="H635" s="29" t="s">
        <v>151</v>
      </c>
      <c r="I635" s="29" t="s">
        <v>89</v>
      </c>
      <c r="J635" s="29" t="s">
        <v>340</v>
      </c>
      <c r="K635" s="29" t="str">
        <f>VLOOKUP(LEFT(H635, 7), 'קטלוג תרחישים'!$A:$L, 12, FALSE)</f>
        <v>א׳</v>
      </c>
      <c r="L635" s="29" t="str">
        <f>IF(J635="כן", K635, VLOOKUP(LEFT(H635, 7), 'קטלוג תרחישים'!$A:$M, 13, FALSE))</f>
        <v>א׳</v>
      </c>
    </row>
    <row r="636" spans="1:12">
      <c r="A636" s="29" t="s">
        <v>171</v>
      </c>
      <c r="B636" s="29">
        <v>8</v>
      </c>
      <c r="C636" s="29" t="s">
        <v>341</v>
      </c>
      <c r="D636" s="29">
        <v>1</v>
      </c>
      <c r="E636" s="29" t="s">
        <v>105</v>
      </c>
      <c r="F636" s="29" t="s">
        <v>342</v>
      </c>
      <c r="G636" s="29" t="s">
        <v>111</v>
      </c>
      <c r="H636" s="29" t="s">
        <v>154</v>
      </c>
      <c r="I636" s="29" t="s">
        <v>94</v>
      </c>
      <c r="J636" s="29" t="s">
        <v>343</v>
      </c>
      <c r="K636" s="29" t="str">
        <f>VLOOKUP(LEFT(H636, 7), 'קטלוג תרחישים'!$A:$L, 12, FALSE)</f>
        <v>ג׳</v>
      </c>
      <c r="L636" s="29" t="str">
        <f>IF(J636="כן", K636, VLOOKUP(LEFT(H636, 7), 'קטלוג תרחישים'!$A:$M, 13, FALSE))</f>
        <v>א׳</v>
      </c>
    </row>
    <row r="637" spans="1:12">
      <c r="A637" s="29" t="s">
        <v>171</v>
      </c>
      <c r="B637" s="29">
        <v>9</v>
      </c>
      <c r="C637" s="29" t="s">
        <v>341</v>
      </c>
      <c r="D637" s="29">
        <v>1</v>
      </c>
      <c r="E637" s="29" t="s">
        <v>105</v>
      </c>
      <c r="F637" s="29" t="s">
        <v>342</v>
      </c>
      <c r="G637" s="29" t="s">
        <v>111</v>
      </c>
      <c r="H637" s="29" t="s">
        <v>153</v>
      </c>
      <c r="I637" s="29" t="s">
        <v>89</v>
      </c>
      <c r="J637" s="29" t="s">
        <v>343</v>
      </c>
      <c r="K637" s="29" t="str">
        <f>VLOOKUP(LEFT(H637, 7), 'קטלוג תרחישים'!$A:$L, 12, FALSE)</f>
        <v>ג׳</v>
      </c>
      <c r="L637" s="29" t="str">
        <f>IF(J637="כן", K637, VLOOKUP(LEFT(H637, 7), 'קטלוג תרחישים'!$A:$M, 13, FALSE))</f>
        <v>ב׳</v>
      </c>
    </row>
    <row r="638" spans="1:12">
      <c r="A638" s="29" t="s">
        <v>171</v>
      </c>
      <c r="B638" s="29">
        <v>10</v>
      </c>
      <c r="C638" s="29" t="s">
        <v>341</v>
      </c>
      <c r="D638" s="29">
        <v>1</v>
      </c>
      <c r="E638" s="29" t="s">
        <v>105</v>
      </c>
      <c r="F638" s="29" t="s">
        <v>342</v>
      </c>
      <c r="G638" s="29" t="s">
        <v>111</v>
      </c>
      <c r="H638" s="29" t="s">
        <v>152</v>
      </c>
      <c r="I638" s="29" t="s">
        <v>94</v>
      </c>
      <c r="J638" s="29" t="s">
        <v>340</v>
      </c>
      <c r="K638" s="29" t="str">
        <f>VLOOKUP(LEFT(H638, 7), 'קטלוג תרחישים'!$A:$L, 12, FALSE)</f>
        <v>ב׳</v>
      </c>
      <c r="L638" s="29" t="str">
        <f>IF(J638="כן", K638, VLOOKUP(LEFT(H638, 7), 'קטלוג תרחישים'!$A:$M, 13, FALSE))</f>
        <v>ב׳</v>
      </c>
    </row>
    <row r="639" spans="1:12">
      <c r="A639" s="29" t="s">
        <v>171</v>
      </c>
      <c r="B639" s="29">
        <v>11</v>
      </c>
      <c r="C639" s="29" t="s">
        <v>341</v>
      </c>
      <c r="D639" s="29">
        <v>2</v>
      </c>
      <c r="E639" s="29" t="s">
        <v>92</v>
      </c>
      <c r="F639" s="29" t="s">
        <v>342</v>
      </c>
      <c r="G639" s="29" t="s">
        <v>111</v>
      </c>
      <c r="H639" s="29" t="s">
        <v>157</v>
      </c>
      <c r="I639" s="29" t="s">
        <v>89</v>
      </c>
      <c r="J639" s="29" t="s">
        <v>343</v>
      </c>
      <c r="K639" s="29" t="str">
        <f>VLOOKUP(LEFT(H639, 7), 'קטלוג תרחישים'!$A:$L, 12, FALSE)</f>
        <v>ב׳</v>
      </c>
      <c r="L639" s="29" t="str">
        <f>IF(J639="כן", K639, VLOOKUP(LEFT(H639, 7), 'קטלוג תרחישים'!$A:$M, 13, FALSE))</f>
        <v>א׳</v>
      </c>
    </row>
    <row r="640" spans="1:12">
      <c r="A640" s="29" t="s">
        <v>171</v>
      </c>
      <c r="B640" s="29">
        <v>12</v>
      </c>
      <c r="C640" s="29" t="s">
        <v>341</v>
      </c>
      <c r="D640" s="29">
        <v>2</v>
      </c>
      <c r="E640" s="29" t="s">
        <v>92</v>
      </c>
      <c r="F640" s="29" t="s">
        <v>342</v>
      </c>
      <c r="G640" s="29" t="s">
        <v>111</v>
      </c>
      <c r="H640" s="29" t="s">
        <v>156</v>
      </c>
      <c r="I640" s="29" t="s">
        <v>94</v>
      </c>
      <c r="J640" s="29" t="s">
        <v>340</v>
      </c>
      <c r="K640" s="29" t="str">
        <f>VLOOKUP(LEFT(H640, 7), 'קטלוג תרחישים'!$A:$L, 12, FALSE)</f>
        <v>א׳</v>
      </c>
      <c r="L640" s="29" t="str">
        <f>IF(J640="כן", K640, VLOOKUP(LEFT(H640, 7), 'קטלוג תרחישים'!$A:$M, 13, FALSE))</f>
        <v>א׳</v>
      </c>
    </row>
    <row r="641" spans="1:12">
      <c r="A641" s="29" t="s">
        <v>171</v>
      </c>
      <c r="B641" s="29">
        <v>13</v>
      </c>
      <c r="C641" s="29" t="s">
        <v>341</v>
      </c>
      <c r="D641" s="29">
        <v>2</v>
      </c>
      <c r="E641" s="29" t="s">
        <v>92</v>
      </c>
      <c r="F641" s="29" t="s">
        <v>342</v>
      </c>
      <c r="G641" s="29" t="s">
        <v>111</v>
      </c>
      <c r="H641" s="29" t="s">
        <v>155</v>
      </c>
      <c r="I641" s="29" t="s">
        <v>89</v>
      </c>
      <c r="J641" s="29" t="s">
        <v>340</v>
      </c>
      <c r="K641" s="29" t="str">
        <f>VLOOKUP(LEFT(H641, 7), 'קטלוג תרחישים'!$A:$L, 12, FALSE)</f>
        <v>ב׳</v>
      </c>
      <c r="L641" s="29" t="str">
        <f>IF(J641="כן", K641, VLOOKUP(LEFT(H641, 7), 'קטלוג תרחישים'!$A:$M, 13, FALSE))</f>
        <v>ב׳</v>
      </c>
    </row>
    <row r="642" spans="1:12">
      <c r="A642" s="29" t="s">
        <v>171</v>
      </c>
      <c r="B642" s="29">
        <v>14</v>
      </c>
      <c r="C642" s="29" t="s">
        <v>341</v>
      </c>
      <c r="D642" s="29">
        <v>2</v>
      </c>
      <c r="E642" s="29" t="s">
        <v>92</v>
      </c>
      <c r="F642" s="29" t="s">
        <v>342</v>
      </c>
      <c r="G642" s="29" t="s">
        <v>111</v>
      </c>
      <c r="H642" s="29" t="s">
        <v>158</v>
      </c>
      <c r="I642" s="29" t="s">
        <v>94</v>
      </c>
      <c r="J642" s="29" t="s">
        <v>343</v>
      </c>
      <c r="K642" s="29" t="str">
        <f>VLOOKUP(LEFT(H642, 7), 'קטלוג תרחישים'!$A:$L, 12, FALSE)</f>
        <v>א׳</v>
      </c>
      <c r="L642" s="29" t="str">
        <f>IF(J642="כן", K642, VLOOKUP(LEFT(H642, 7), 'קטלוג תרחישים'!$A:$M, 13, FALSE))</f>
        <v>ג׳</v>
      </c>
    </row>
    <row r="643" spans="1:12">
      <c r="A643" s="29" t="s">
        <v>171</v>
      </c>
      <c r="B643" s="29">
        <v>15</v>
      </c>
      <c r="C643" s="29" t="s">
        <v>341</v>
      </c>
      <c r="D643" s="29">
        <v>3</v>
      </c>
      <c r="E643" s="29" t="s">
        <v>99</v>
      </c>
      <c r="F643" s="29" t="s">
        <v>342</v>
      </c>
      <c r="G643" s="29" t="s">
        <v>111</v>
      </c>
      <c r="H643" s="29" t="s">
        <v>159</v>
      </c>
      <c r="I643" s="29" t="s">
        <v>89</v>
      </c>
      <c r="J643" s="29" t="s">
        <v>343</v>
      </c>
      <c r="K643" s="29" t="str">
        <f>VLOOKUP(LEFT(H643, 7), 'קטלוג תרחישים'!$A:$L, 12, FALSE)</f>
        <v>ב׳</v>
      </c>
      <c r="L643" s="29" t="str">
        <f>IF(J643="כן", K643, VLOOKUP(LEFT(H643, 7), 'קטלוג תרחישים'!$A:$M, 13, FALSE))</f>
        <v>א׳</v>
      </c>
    </row>
    <row r="644" spans="1:12">
      <c r="A644" s="29" t="s">
        <v>171</v>
      </c>
      <c r="B644" s="29">
        <v>16</v>
      </c>
      <c r="C644" s="29" t="s">
        <v>341</v>
      </c>
      <c r="D644" s="29">
        <v>3</v>
      </c>
      <c r="E644" s="29" t="s">
        <v>99</v>
      </c>
      <c r="F644" s="29" t="s">
        <v>342</v>
      </c>
      <c r="G644" s="29" t="s">
        <v>111</v>
      </c>
      <c r="H644" s="29" t="s">
        <v>162</v>
      </c>
      <c r="I644" s="29" t="s">
        <v>94</v>
      </c>
      <c r="J644" s="29" t="s">
        <v>343</v>
      </c>
      <c r="K644" s="29" t="str">
        <f>VLOOKUP(LEFT(H644, 7), 'קטלוג תרחישים'!$A:$L, 12, FALSE)</f>
        <v>א׳</v>
      </c>
      <c r="L644" s="29" t="str">
        <f>IF(J644="כן", K644, VLOOKUP(LEFT(H644, 7), 'קטלוג תרחישים'!$A:$M, 13, FALSE))</f>
        <v>ב׳</v>
      </c>
    </row>
    <row r="645" spans="1:12">
      <c r="A645" s="29" t="s">
        <v>171</v>
      </c>
      <c r="B645" s="29">
        <v>17</v>
      </c>
      <c r="C645" s="29" t="s">
        <v>341</v>
      </c>
      <c r="D645" s="29">
        <v>3</v>
      </c>
      <c r="E645" s="29" t="s">
        <v>99</v>
      </c>
      <c r="F645" s="29" t="s">
        <v>342</v>
      </c>
      <c r="G645" s="29" t="s">
        <v>111</v>
      </c>
      <c r="H645" s="29" t="s">
        <v>161</v>
      </c>
      <c r="I645" s="29" t="s">
        <v>89</v>
      </c>
      <c r="J645" s="29" t="s">
        <v>340</v>
      </c>
      <c r="K645" s="29" t="str">
        <f>VLOOKUP(LEFT(H645, 7), 'קטלוג תרחישים'!$A:$L, 12, FALSE)</f>
        <v>ג׳</v>
      </c>
      <c r="L645" s="29" t="str">
        <f>IF(J645="כן", K645, VLOOKUP(LEFT(H645, 7), 'קטלוג תרחישים'!$A:$M, 13, FALSE))</f>
        <v>ג׳</v>
      </c>
    </row>
    <row r="646" spans="1:12">
      <c r="A646" s="29" t="s">
        <v>171</v>
      </c>
      <c r="B646" s="29">
        <v>18</v>
      </c>
      <c r="C646" s="29" t="s">
        <v>341</v>
      </c>
      <c r="D646" s="29">
        <v>3</v>
      </c>
      <c r="E646" s="29" t="s">
        <v>99</v>
      </c>
      <c r="F646" s="29" t="s">
        <v>342</v>
      </c>
      <c r="G646" s="29" t="s">
        <v>111</v>
      </c>
      <c r="H646" s="29" t="s">
        <v>160</v>
      </c>
      <c r="I646" s="29" t="s">
        <v>94</v>
      </c>
      <c r="J646" s="29" t="s">
        <v>340</v>
      </c>
      <c r="K646" s="29" t="str">
        <f>VLOOKUP(LEFT(H646, 7), 'קטלוג תרחישים'!$A:$L, 12, FALSE)</f>
        <v>ב׳</v>
      </c>
      <c r="L646" s="29" t="str">
        <f>IF(J646="כן", K646, VLOOKUP(LEFT(H646, 7), 'קטלוג תרחישים'!$A:$M, 13, FALSE))</f>
        <v>ב׳</v>
      </c>
    </row>
    <row r="647" spans="1:12">
      <c r="A647" s="29" t="s">
        <v>171</v>
      </c>
      <c r="B647" s="29">
        <v>19</v>
      </c>
      <c r="C647" s="29" t="s">
        <v>341</v>
      </c>
      <c r="D647" s="29">
        <v>1</v>
      </c>
      <c r="E647" s="29" t="s">
        <v>99</v>
      </c>
      <c r="F647" s="29" t="s">
        <v>344</v>
      </c>
      <c r="G647" s="29" t="s">
        <v>91</v>
      </c>
      <c r="H647" s="29" t="s">
        <v>136</v>
      </c>
      <c r="I647" s="29" t="s">
        <v>94</v>
      </c>
      <c r="J647" s="29" t="s">
        <v>340</v>
      </c>
      <c r="K647" s="29" t="str">
        <f>VLOOKUP(LEFT(H647, 7), 'קטלוג תרחישים'!$A:$L, 12, FALSE)</f>
        <v>ג׳</v>
      </c>
      <c r="L647" s="29" t="str">
        <f>IF(J647="כן", K647, VLOOKUP(LEFT(H647, 7), 'קטלוג תרחישים'!$A:$M, 13, FALSE))</f>
        <v>ג׳</v>
      </c>
    </row>
    <row r="648" spans="1:12">
      <c r="A648" s="29" t="s">
        <v>171</v>
      </c>
      <c r="B648" s="29">
        <v>20</v>
      </c>
      <c r="C648" s="29" t="s">
        <v>341</v>
      </c>
      <c r="D648" s="29">
        <v>1</v>
      </c>
      <c r="E648" s="29" t="s">
        <v>99</v>
      </c>
      <c r="F648" s="29" t="s">
        <v>344</v>
      </c>
      <c r="G648" s="29" t="s">
        <v>91</v>
      </c>
      <c r="H648" s="29" t="s">
        <v>139</v>
      </c>
      <c r="I648" s="29" t="s">
        <v>89</v>
      </c>
      <c r="J648" s="29" t="s">
        <v>340</v>
      </c>
      <c r="K648" s="29" t="str">
        <f>VLOOKUP(LEFT(H648, 7), 'קטלוג תרחישים'!$A:$L, 12, FALSE)</f>
        <v>ג׳</v>
      </c>
      <c r="L648" s="29" t="str">
        <f>IF(J648="כן", K648, VLOOKUP(LEFT(H648, 7), 'קטלוג תרחישים'!$A:$M, 13, FALSE))</f>
        <v>ג׳</v>
      </c>
    </row>
    <row r="649" spans="1:12">
      <c r="A649" s="29" t="s">
        <v>171</v>
      </c>
      <c r="B649" s="29">
        <v>21</v>
      </c>
      <c r="C649" s="29" t="s">
        <v>341</v>
      </c>
      <c r="D649" s="29">
        <v>1</v>
      </c>
      <c r="E649" s="29" t="s">
        <v>99</v>
      </c>
      <c r="F649" s="29" t="s">
        <v>344</v>
      </c>
      <c r="G649" s="29" t="s">
        <v>91</v>
      </c>
      <c r="H649" s="29" t="s">
        <v>138</v>
      </c>
      <c r="I649" s="29" t="s">
        <v>94</v>
      </c>
      <c r="J649" s="29" t="s">
        <v>343</v>
      </c>
      <c r="K649" s="29" t="str">
        <f>VLOOKUP(LEFT(H649, 7), 'קטלוג תרחישים'!$A:$L, 12, FALSE)</f>
        <v>ב׳</v>
      </c>
      <c r="L649" s="29" t="str">
        <f>IF(J649="כן", K649, VLOOKUP(LEFT(H649, 7), 'קטלוג תרחישים'!$A:$M, 13, FALSE))</f>
        <v>ג׳</v>
      </c>
    </row>
    <row r="650" spans="1:12">
      <c r="A650" s="29" t="s">
        <v>171</v>
      </c>
      <c r="B650" s="29">
        <v>22</v>
      </c>
      <c r="C650" s="29" t="s">
        <v>341</v>
      </c>
      <c r="D650" s="29">
        <v>1</v>
      </c>
      <c r="E650" s="29" t="s">
        <v>99</v>
      </c>
      <c r="F650" s="29" t="s">
        <v>344</v>
      </c>
      <c r="G650" s="29" t="s">
        <v>91</v>
      </c>
      <c r="H650" s="29" t="s">
        <v>137</v>
      </c>
      <c r="I650" s="29" t="s">
        <v>89</v>
      </c>
      <c r="J650" s="29" t="s">
        <v>340</v>
      </c>
      <c r="K650" s="29" t="str">
        <f>VLOOKUP(LEFT(H650, 7), 'קטלוג תרחישים'!$A:$L, 12, FALSE)</f>
        <v>ג׳</v>
      </c>
      <c r="L650" s="29" t="str">
        <f>IF(J650="כן", K650, VLOOKUP(LEFT(H650, 7), 'קטלוג תרחישים'!$A:$M, 13, FALSE))</f>
        <v>ג׳</v>
      </c>
    </row>
    <row r="651" spans="1:12">
      <c r="A651" s="29" t="s">
        <v>171</v>
      </c>
      <c r="B651" s="29">
        <v>23</v>
      </c>
      <c r="C651" s="29" t="s">
        <v>341</v>
      </c>
      <c r="D651" s="29">
        <v>1</v>
      </c>
      <c r="E651" s="29" t="s">
        <v>99</v>
      </c>
      <c r="F651" s="29" t="s">
        <v>344</v>
      </c>
      <c r="G651" s="29" t="s">
        <v>91</v>
      </c>
      <c r="H651" s="29" t="s">
        <v>140</v>
      </c>
      <c r="I651" s="29" t="s">
        <v>94</v>
      </c>
      <c r="J651" s="29" t="s">
        <v>340</v>
      </c>
      <c r="K651" s="29" t="str">
        <f>VLOOKUP(LEFT(H651, 7), 'קטלוג תרחישים'!$A:$L, 12, FALSE)</f>
        <v>א׳</v>
      </c>
      <c r="L651" s="29" t="str">
        <f>IF(J651="כן", K651, VLOOKUP(LEFT(H651, 7), 'קטלוג תרחישים'!$A:$M, 13, FALSE))</f>
        <v>א׳</v>
      </c>
    </row>
    <row r="652" spans="1:12">
      <c r="A652" s="29" t="s">
        <v>171</v>
      </c>
      <c r="B652" s="29">
        <v>24</v>
      </c>
      <c r="C652" s="29" t="s">
        <v>341</v>
      </c>
      <c r="D652" s="29">
        <v>2</v>
      </c>
      <c r="E652" s="29" t="s">
        <v>105</v>
      </c>
      <c r="F652" s="29" t="s">
        <v>344</v>
      </c>
      <c r="G652" s="29" t="s">
        <v>91</v>
      </c>
      <c r="H652" s="29" t="s">
        <v>141</v>
      </c>
      <c r="I652" s="29" t="s">
        <v>89</v>
      </c>
      <c r="J652" s="29" t="s">
        <v>340</v>
      </c>
      <c r="K652" s="29" t="str">
        <f>VLOOKUP(LEFT(H652, 7), 'קטלוג תרחישים'!$A:$L, 12, FALSE)</f>
        <v>ב׳</v>
      </c>
      <c r="L652" s="29" t="str">
        <f>IF(J652="כן", K652, VLOOKUP(LEFT(H652, 7), 'קטלוג תרחישים'!$A:$M, 13, FALSE))</f>
        <v>ב׳</v>
      </c>
    </row>
    <row r="653" spans="1:12">
      <c r="A653" s="29" t="s">
        <v>171</v>
      </c>
      <c r="B653" s="29">
        <v>25</v>
      </c>
      <c r="C653" s="29" t="s">
        <v>341</v>
      </c>
      <c r="D653" s="29">
        <v>2</v>
      </c>
      <c r="E653" s="29" t="s">
        <v>105</v>
      </c>
      <c r="F653" s="29" t="s">
        <v>344</v>
      </c>
      <c r="G653" s="29" t="s">
        <v>91</v>
      </c>
      <c r="H653" s="29" t="s">
        <v>142</v>
      </c>
      <c r="I653" s="29" t="s">
        <v>94</v>
      </c>
      <c r="J653" s="29" t="s">
        <v>340</v>
      </c>
      <c r="K653" s="29" t="str">
        <f>VLOOKUP(LEFT(H653, 7), 'קטלוג תרחישים'!$A:$L, 12, FALSE)</f>
        <v>א׳</v>
      </c>
      <c r="L653" s="29" t="str">
        <f>IF(J653="כן", K653, VLOOKUP(LEFT(H653, 7), 'קטלוג תרחישים'!$A:$M, 13, FALSE))</f>
        <v>א׳</v>
      </c>
    </row>
    <row r="654" spans="1:12">
      <c r="A654" s="29" t="s">
        <v>171</v>
      </c>
      <c r="B654" s="29">
        <v>26</v>
      </c>
      <c r="C654" s="29" t="s">
        <v>341</v>
      </c>
      <c r="D654" s="29">
        <v>2</v>
      </c>
      <c r="E654" s="29" t="s">
        <v>105</v>
      </c>
      <c r="F654" s="29" t="s">
        <v>344</v>
      </c>
      <c r="G654" s="29" t="s">
        <v>91</v>
      </c>
      <c r="H654" s="29" t="s">
        <v>143</v>
      </c>
      <c r="I654" s="29" t="s">
        <v>89</v>
      </c>
      <c r="J654" s="29" t="s">
        <v>340</v>
      </c>
      <c r="K654" s="29" t="str">
        <f>VLOOKUP(LEFT(H654, 7), 'קטלוג תרחישים'!$A:$L, 12, FALSE)</f>
        <v>א׳</v>
      </c>
      <c r="L654" s="29" t="str">
        <f>IF(J654="כן", K654, VLOOKUP(LEFT(H654, 7), 'קטלוג תרחישים'!$A:$M, 13, FALSE))</f>
        <v>א׳</v>
      </c>
    </row>
    <row r="655" spans="1:12">
      <c r="A655" s="29" t="s">
        <v>171</v>
      </c>
      <c r="B655" s="29">
        <v>27</v>
      </c>
      <c r="C655" s="29" t="s">
        <v>341</v>
      </c>
      <c r="D655" s="29">
        <v>2</v>
      </c>
      <c r="E655" s="29" t="s">
        <v>105</v>
      </c>
      <c r="F655" s="29" t="s">
        <v>344</v>
      </c>
      <c r="G655" s="29" t="s">
        <v>91</v>
      </c>
      <c r="H655" s="29" t="s">
        <v>144</v>
      </c>
      <c r="I655" s="29" t="s">
        <v>94</v>
      </c>
      <c r="J655" s="29" t="s">
        <v>343</v>
      </c>
      <c r="K655" s="29" t="str">
        <f>VLOOKUP(LEFT(H655, 7), 'קטלוג תרחישים'!$A:$L, 12, FALSE)</f>
        <v>ג׳</v>
      </c>
      <c r="L655" s="29" t="str">
        <f>IF(J655="כן", K655, VLOOKUP(LEFT(H655, 7), 'קטלוג תרחישים'!$A:$M, 13, FALSE))</f>
        <v>א׳</v>
      </c>
    </row>
    <row r="656" spans="1:12">
      <c r="A656" s="29" t="s">
        <v>171</v>
      </c>
      <c r="B656" s="29">
        <v>28</v>
      </c>
      <c r="C656" s="29" t="s">
        <v>341</v>
      </c>
      <c r="D656" s="29">
        <v>2</v>
      </c>
      <c r="E656" s="29" t="s">
        <v>105</v>
      </c>
      <c r="F656" s="29" t="s">
        <v>344</v>
      </c>
      <c r="G656" s="29" t="s">
        <v>91</v>
      </c>
      <c r="H656" s="29" t="s">
        <v>145</v>
      </c>
      <c r="I656" s="29" t="s">
        <v>89</v>
      </c>
      <c r="J656" s="29" t="s">
        <v>340</v>
      </c>
      <c r="K656" s="29" t="str">
        <f>VLOOKUP(LEFT(H656, 7), 'קטלוג תרחישים'!$A:$L, 12, FALSE)</f>
        <v>ב׳</v>
      </c>
      <c r="L656" s="29" t="str">
        <f>IF(J656="כן", K656, VLOOKUP(LEFT(H656, 7), 'קטלוג תרחישים'!$A:$M, 13, FALSE))</f>
        <v>ב׳</v>
      </c>
    </row>
    <row r="657" spans="1:12">
      <c r="A657" s="29" t="s">
        <v>171</v>
      </c>
      <c r="B657" s="29">
        <v>29</v>
      </c>
      <c r="C657" s="29" t="s">
        <v>341</v>
      </c>
      <c r="D657" s="29">
        <v>3</v>
      </c>
      <c r="E657" s="29" t="s">
        <v>92</v>
      </c>
      <c r="F657" s="29" t="s">
        <v>344</v>
      </c>
      <c r="G657" s="29" t="s">
        <v>91</v>
      </c>
      <c r="H657" s="29" t="s">
        <v>148</v>
      </c>
      <c r="I657" s="29" t="s">
        <v>89</v>
      </c>
      <c r="J657" s="29" t="s">
        <v>340</v>
      </c>
      <c r="K657" s="29" t="str">
        <f>VLOOKUP(LEFT(H657, 7), 'קטלוג תרחישים'!$A:$L, 12, FALSE)</f>
        <v>א׳</v>
      </c>
      <c r="L657" s="29" t="str">
        <f>IF(J657="כן", K657, VLOOKUP(LEFT(H657, 7), 'קטלוג תרחישים'!$A:$M, 13, FALSE))</f>
        <v>א׳</v>
      </c>
    </row>
    <row r="658" spans="1:12">
      <c r="A658" s="29" t="s">
        <v>171</v>
      </c>
      <c r="B658" s="29">
        <v>30</v>
      </c>
      <c r="C658" s="29" t="s">
        <v>341</v>
      </c>
      <c r="D658" s="29">
        <v>3</v>
      </c>
      <c r="E658" s="29" t="s">
        <v>92</v>
      </c>
      <c r="F658" s="29" t="s">
        <v>344</v>
      </c>
      <c r="G658" s="29" t="s">
        <v>91</v>
      </c>
      <c r="H658" s="29" t="s">
        <v>147</v>
      </c>
      <c r="I658" s="29" t="s">
        <v>94</v>
      </c>
      <c r="J658" s="29" t="s">
        <v>340</v>
      </c>
      <c r="K658" s="29" t="str">
        <f>VLOOKUP(LEFT(H658, 7), 'קטלוג תרחישים'!$A:$L, 12, FALSE)</f>
        <v>ב׳</v>
      </c>
      <c r="L658" s="29" t="str">
        <f>IF(J658="כן", K658, VLOOKUP(LEFT(H658, 7), 'קטלוג תרחישים'!$A:$M, 13, FALSE))</f>
        <v>ב׳</v>
      </c>
    </row>
    <row r="659" spans="1:12">
      <c r="A659" s="29" t="s">
        <v>171</v>
      </c>
      <c r="B659" s="29">
        <v>31</v>
      </c>
      <c r="C659" s="29" t="s">
        <v>341</v>
      </c>
      <c r="D659" s="29">
        <v>3</v>
      </c>
      <c r="E659" s="29" t="s">
        <v>92</v>
      </c>
      <c r="F659" s="29" t="s">
        <v>344</v>
      </c>
      <c r="G659" s="29" t="s">
        <v>91</v>
      </c>
      <c r="H659" s="29" t="s">
        <v>150</v>
      </c>
      <c r="I659" s="29" t="s">
        <v>89</v>
      </c>
      <c r="J659" s="29" t="s">
        <v>340</v>
      </c>
      <c r="K659" s="29" t="str">
        <f>VLOOKUP(LEFT(H659, 7), 'קטלוג תרחישים'!$A:$L, 12, FALSE)</f>
        <v>א׳</v>
      </c>
      <c r="L659" s="29" t="str">
        <f>IF(J659="כן", K659, VLOOKUP(LEFT(H659, 7), 'קטלוג תרחישים'!$A:$M, 13, FALSE))</f>
        <v>א׳</v>
      </c>
    </row>
    <row r="660" spans="1:12">
      <c r="A660" s="29" t="s">
        <v>171</v>
      </c>
      <c r="B660" s="29">
        <v>32</v>
      </c>
      <c r="C660" s="29" t="s">
        <v>341</v>
      </c>
      <c r="D660" s="29">
        <v>3</v>
      </c>
      <c r="E660" s="29" t="s">
        <v>92</v>
      </c>
      <c r="F660" s="29" t="s">
        <v>344</v>
      </c>
      <c r="G660" s="29" t="s">
        <v>91</v>
      </c>
      <c r="H660" s="29" t="s">
        <v>149</v>
      </c>
      <c r="I660" s="29" t="s">
        <v>94</v>
      </c>
      <c r="J660" s="29" t="s">
        <v>340</v>
      </c>
      <c r="K660" s="29" t="str">
        <f>VLOOKUP(LEFT(H660, 7), 'קטלוג תרחישים'!$A:$L, 12, FALSE)</f>
        <v>ג׳</v>
      </c>
      <c r="L660" s="29" t="str">
        <f>IF(J660="כן", K660, VLOOKUP(LEFT(H660, 7), 'קטלוג תרחישים'!$A:$M, 13, FALSE))</f>
        <v>ג׳</v>
      </c>
    </row>
    <row r="661" spans="1:12">
      <c r="A661" s="29" t="s">
        <v>171</v>
      </c>
      <c r="B661" s="29">
        <v>33</v>
      </c>
      <c r="C661" s="29" t="s">
        <v>341</v>
      </c>
      <c r="D661" s="29">
        <v>3</v>
      </c>
      <c r="E661" s="29" t="s">
        <v>92</v>
      </c>
      <c r="F661" s="29" t="s">
        <v>344</v>
      </c>
      <c r="G661" s="29" t="s">
        <v>91</v>
      </c>
      <c r="H661" s="29" t="s">
        <v>146</v>
      </c>
      <c r="I661" s="29" t="s">
        <v>89</v>
      </c>
      <c r="J661" s="29" t="s">
        <v>343</v>
      </c>
      <c r="K661" s="29" t="str">
        <f>VLOOKUP(LEFT(H661, 7), 'קטלוג תרחישים'!$A:$L, 12, FALSE)</f>
        <v>ג׳</v>
      </c>
      <c r="L661" s="29" t="str">
        <f>IF(J661="כן", K661, VLOOKUP(LEFT(H661, 7), 'קטלוג תרחישים'!$A:$M, 13, FALSE))</f>
        <v>ב׳</v>
      </c>
    </row>
    <row r="662" spans="1:12">
      <c r="A662" s="29" t="s">
        <v>172</v>
      </c>
      <c r="B662" s="29">
        <v>1</v>
      </c>
      <c r="C662" s="29" t="s">
        <v>339</v>
      </c>
      <c r="D662" s="29"/>
      <c r="E662" s="29" t="s">
        <v>92</v>
      </c>
      <c r="F662" s="29"/>
      <c r="G662" s="29"/>
      <c r="H662" s="30" t="s">
        <v>351</v>
      </c>
      <c r="I662" s="29" t="s">
        <v>89</v>
      </c>
      <c r="J662" s="29" t="s">
        <v>340</v>
      </c>
      <c r="K662" s="29" t="str">
        <f>VLOOKUP(LEFT(H662, 7), 'קטלוג תרחישים'!$A:$L, 12, FALSE)</f>
        <v>א׳</v>
      </c>
      <c r="L662" s="29" t="str">
        <f>IF(J662="כן", K662, VLOOKUP(LEFT(H662, 7), 'קטלוג תרחישים'!$A:$M, 13, FALSE))</f>
        <v>א׳</v>
      </c>
    </row>
    <row r="663" spans="1:12">
      <c r="A663" s="29" t="s">
        <v>172</v>
      </c>
      <c r="B663" s="29">
        <v>2</v>
      </c>
      <c r="C663" s="29" t="s">
        <v>339</v>
      </c>
      <c r="D663" s="29"/>
      <c r="E663" s="29" t="s">
        <v>92</v>
      </c>
      <c r="F663" s="29"/>
      <c r="G663" s="29"/>
      <c r="H663" s="30" t="s">
        <v>88</v>
      </c>
      <c r="I663" s="29" t="s">
        <v>89</v>
      </c>
      <c r="J663" s="29" t="s">
        <v>340</v>
      </c>
      <c r="K663" s="29" t="str">
        <f>VLOOKUP(LEFT(H663, 7), 'קטלוג תרחישים'!$A:$L, 12, FALSE)</f>
        <v>א׳</v>
      </c>
      <c r="L663" s="29" t="str">
        <f>IF(J663="כן", K663, VLOOKUP(LEFT(H663, 7), 'קטלוג תרחישים'!$A:$M, 13, FALSE))</f>
        <v>א׳</v>
      </c>
    </row>
    <row r="664" spans="1:12">
      <c r="A664" s="29" t="s">
        <v>172</v>
      </c>
      <c r="B664" s="29">
        <v>3</v>
      </c>
      <c r="C664" s="29" t="s">
        <v>339</v>
      </c>
      <c r="D664" s="29"/>
      <c r="E664" s="29" t="s">
        <v>99</v>
      </c>
      <c r="F664" s="29"/>
      <c r="G664" s="29"/>
      <c r="H664" s="30" t="s">
        <v>352</v>
      </c>
      <c r="I664" s="29" t="s">
        <v>89</v>
      </c>
      <c r="J664" s="29" t="s">
        <v>340</v>
      </c>
      <c r="K664" s="29" t="str">
        <f>VLOOKUP(LEFT(H664, 7), 'קטלוג תרחישים'!$A:$L, 12, FALSE)</f>
        <v>ב׳</v>
      </c>
      <c r="L664" s="29" t="str">
        <f>IF(J664="כן", K664, VLOOKUP(LEFT(H664, 7), 'קטלוג תרחישים'!$A:$M, 13, FALSE))</f>
        <v>ב׳</v>
      </c>
    </row>
    <row r="665" spans="1:12">
      <c r="A665" s="29" t="s">
        <v>172</v>
      </c>
      <c r="B665" s="29">
        <v>4</v>
      </c>
      <c r="C665" s="29" t="s">
        <v>339</v>
      </c>
      <c r="D665" s="29"/>
      <c r="E665" s="29" t="s">
        <v>99</v>
      </c>
      <c r="F665" s="29"/>
      <c r="G665" s="29"/>
      <c r="H665" s="30" t="s">
        <v>353</v>
      </c>
      <c r="I665" s="29" t="s">
        <v>89</v>
      </c>
      <c r="J665" s="29" t="s">
        <v>340</v>
      </c>
      <c r="K665" s="29" t="str">
        <f>VLOOKUP(LEFT(H665, 7), 'קטלוג תרחישים'!$A:$L, 12, FALSE)</f>
        <v>ב׳</v>
      </c>
      <c r="L665" s="29" t="str">
        <f>IF(J665="כן", K665, VLOOKUP(LEFT(H665, 7), 'קטלוג תרחישים'!$A:$M, 13, FALSE))</f>
        <v>ב׳</v>
      </c>
    </row>
    <row r="666" spans="1:12">
      <c r="A666" s="29" t="s">
        <v>172</v>
      </c>
      <c r="B666" s="29">
        <v>5</v>
      </c>
      <c r="C666" s="29" t="s">
        <v>339</v>
      </c>
      <c r="D666" s="29"/>
      <c r="E666" s="29" t="s">
        <v>105</v>
      </c>
      <c r="F666" s="29"/>
      <c r="G666" s="29"/>
      <c r="H666" s="30" t="s">
        <v>354</v>
      </c>
      <c r="I666" s="29" t="s">
        <v>89</v>
      </c>
      <c r="J666" s="29" t="s">
        <v>340</v>
      </c>
      <c r="K666" s="29" t="str">
        <f>VLOOKUP(LEFT(H666, 7), 'קטלוג תרחישים'!$A:$L, 12, FALSE)</f>
        <v>ג׳</v>
      </c>
      <c r="L666" s="29" t="str">
        <f>IF(J666="כן", K666, VLOOKUP(LEFT(H666, 7), 'קטלוג תרחישים'!$A:$M, 13, FALSE))</f>
        <v>ג׳</v>
      </c>
    </row>
    <row r="667" spans="1:12">
      <c r="A667" s="29" t="s">
        <v>172</v>
      </c>
      <c r="B667" s="29">
        <v>6</v>
      </c>
      <c r="C667" s="29" t="s">
        <v>339</v>
      </c>
      <c r="D667" s="29"/>
      <c r="E667" s="29" t="s">
        <v>105</v>
      </c>
      <c r="F667" s="29"/>
      <c r="G667" s="29"/>
      <c r="H667" s="30" t="s">
        <v>90</v>
      </c>
      <c r="I667" s="29" t="s">
        <v>89</v>
      </c>
      <c r="J667" s="29" t="s">
        <v>340</v>
      </c>
      <c r="K667" s="29" t="str">
        <f>VLOOKUP(LEFT(H667, 7), 'קטלוג תרחישים'!$A:$L, 12, FALSE)</f>
        <v>ג׳</v>
      </c>
      <c r="L667" s="29" t="str">
        <f>IF(J667="כן", K667, VLOOKUP(LEFT(H667, 7), 'קטלוג תרחישים'!$A:$M, 13, FALSE))</f>
        <v>ג׳</v>
      </c>
    </row>
    <row r="668" spans="1:12">
      <c r="A668" s="29" t="s">
        <v>172</v>
      </c>
      <c r="B668" s="29">
        <v>7</v>
      </c>
      <c r="C668" s="29" t="s">
        <v>341</v>
      </c>
      <c r="D668" s="29">
        <v>1</v>
      </c>
      <c r="E668" s="29" t="s">
        <v>105</v>
      </c>
      <c r="F668" s="29" t="s">
        <v>342</v>
      </c>
      <c r="G668" s="29" t="s">
        <v>91</v>
      </c>
      <c r="H668" s="29" t="s">
        <v>173</v>
      </c>
      <c r="I668" s="29" t="s">
        <v>94</v>
      </c>
      <c r="J668" s="29" t="s">
        <v>340</v>
      </c>
      <c r="K668" s="29" t="str">
        <f>VLOOKUP(LEFT(H668, 7), 'קטלוג תרחישים'!$A:$L, 12, FALSE)</f>
        <v>ג׳</v>
      </c>
      <c r="L668" s="29" t="str">
        <f>IF(J668="כן", K668, VLOOKUP(LEFT(H668, 7), 'קטלוג תרחישים'!$A:$M, 13, FALSE))</f>
        <v>ג׳</v>
      </c>
    </row>
    <row r="669" spans="1:12">
      <c r="A669" s="29" t="s">
        <v>172</v>
      </c>
      <c r="B669" s="29">
        <v>8</v>
      </c>
      <c r="C669" s="29" t="s">
        <v>341</v>
      </c>
      <c r="D669" s="29">
        <v>1</v>
      </c>
      <c r="E669" s="29" t="s">
        <v>105</v>
      </c>
      <c r="F669" s="29" t="s">
        <v>342</v>
      </c>
      <c r="G669" s="29" t="s">
        <v>91</v>
      </c>
      <c r="H669" s="29" t="s">
        <v>174</v>
      </c>
      <c r="I669" s="29" t="s">
        <v>89</v>
      </c>
      <c r="J669" s="29" t="s">
        <v>340</v>
      </c>
      <c r="K669" s="29" t="str">
        <f>VLOOKUP(LEFT(H669, 7), 'קטלוג תרחישים'!$A:$L, 12, FALSE)</f>
        <v>ג׳</v>
      </c>
      <c r="L669" s="29" t="str">
        <f>IF(J669="כן", K669, VLOOKUP(LEFT(H669, 7), 'קטלוג תרחישים'!$A:$M, 13, FALSE))</f>
        <v>ג׳</v>
      </c>
    </row>
    <row r="670" spans="1:12">
      <c r="A670" s="29" t="s">
        <v>172</v>
      </c>
      <c r="B670" s="29">
        <v>9</v>
      </c>
      <c r="C670" s="29" t="s">
        <v>341</v>
      </c>
      <c r="D670" s="29">
        <v>1</v>
      </c>
      <c r="E670" s="29" t="s">
        <v>105</v>
      </c>
      <c r="F670" s="29" t="s">
        <v>342</v>
      </c>
      <c r="G670" s="29" t="s">
        <v>91</v>
      </c>
      <c r="H670" s="29" t="s">
        <v>175</v>
      </c>
      <c r="I670" s="29" t="s">
        <v>94</v>
      </c>
      <c r="J670" s="29" t="s">
        <v>340</v>
      </c>
      <c r="K670" s="29" t="str">
        <f>VLOOKUP(LEFT(H670, 7), 'קטלוג תרחישים'!$A:$L, 12, FALSE)</f>
        <v>א׳</v>
      </c>
      <c r="L670" s="29" t="str">
        <f>IF(J670="כן", K670, VLOOKUP(LEFT(H670, 7), 'קטלוג תרחישים'!$A:$M, 13, FALSE))</f>
        <v>א׳</v>
      </c>
    </row>
    <row r="671" spans="1:12">
      <c r="A671" s="29" t="s">
        <v>172</v>
      </c>
      <c r="B671" s="29">
        <v>10</v>
      </c>
      <c r="C671" s="29" t="s">
        <v>341</v>
      </c>
      <c r="D671" s="29">
        <v>1</v>
      </c>
      <c r="E671" s="29" t="s">
        <v>105</v>
      </c>
      <c r="F671" s="29" t="s">
        <v>342</v>
      </c>
      <c r="G671" s="29" t="s">
        <v>91</v>
      </c>
      <c r="H671" s="29" t="s">
        <v>176</v>
      </c>
      <c r="I671" s="29" t="s">
        <v>89</v>
      </c>
      <c r="J671" s="29" t="s">
        <v>343</v>
      </c>
      <c r="K671" s="29" t="str">
        <f>VLOOKUP(LEFT(H671, 7), 'קטלוג תרחישים'!$A:$L, 12, FALSE)</f>
        <v>ג׳</v>
      </c>
      <c r="L671" s="29" t="str">
        <f>IF(J671="כן", K671, VLOOKUP(LEFT(H671, 7), 'קטלוג תרחישים'!$A:$M, 13, FALSE))</f>
        <v>ב׳</v>
      </c>
    </row>
    <row r="672" spans="1:12">
      <c r="A672" s="29" t="s">
        <v>172</v>
      </c>
      <c r="B672" s="29">
        <v>11</v>
      </c>
      <c r="C672" s="29" t="s">
        <v>341</v>
      </c>
      <c r="D672" s="29">
        <v>1</v>
      </c>
      <c r="E672" s="29" t="s">
        <v>105</v>
      </c>
      <c r="F672" s="29" t="s">
        <v>342</v>
      </c>
      <c r="G672" s="29" t="s">
        <v>91</v>
      </c>
      <c r="H672" s="29" t="s">
        <v>177</v>
      </c>
      <c r="I672" s="29" t="s">
        <v>94</v>
      </c>
      <c r="J672" s="29" t="s">
        <v>340</v>
      </c>
      <c r="K672" s="29" t="str">
        <f>VLOOKUP(LEFT(H672, 7), 'קטלוג תרחישים'!$A:$L, 12, FALSE)</f>
        <v>ב׳</v>
      </c>
      <c r="L672" s="29" t="str">
        <f>IF(J672="כן", K672, VLOOKUP(LEFT(H672, 7), 'קטלוג תרחישים'!$A:$M, 13, FALSE))</f>
        <v>ב׳</v>
      </c>
    </row>
    <row r="673" spans="1:12">
      <c r="A673" s="29" t="s">
        <v>172</v>
      </c>
      <c r="B673" s="29">
        <v>12</v>
      </c>
      <c r="C673" s="29" t="s">
        <v>341</v>
      </c>
      <c r="D673" s="29">
        <v>2</v>
      </c>
      <c r="E673" s="29" t="s">
        <v>92</v>
      </c>
      <c r="F673" s="29" t="s">
        <v>342</v>
      </c>
      <c r="G673" s="29" t="s">
        <v>91</v>
      </c>
      <c r="H673" s="29" t="s">
        <v>178</v>
      </c>
      <c r="I673" s="29" t="s">
        <v>89</v>
      </c>
      <c r="J673" s="29" t="s">
        <v>340</v>
      </c>
      <c r="K673" s="29" t="str">
        <f>VLOOKUP(LEFT(H673, 7), 'קטלוג תרחישים'!$A:$L, 12, FALSE)</f>
        <v>א׳</v>
      </c>
      <c r="L673" s="29" t="str">
        <f>IF(J673="כן", K673, VLOOKUP(LEFT(H673, 7), 'קטלוג תרחישים'!$A:$M, 13, FALSE))</f>
        <v>א׳</v>
      </c>
    </row>
    <row r="674" spans="1:12">
      <c r="A674" s="29" t="s">
        <v>172</v>
      </c>
      <c r="B674" s="29">
        <v>13</v>
      </c>
      <c r="C674" s="29" t="s">
        <v>341</v>
      </c>
      <c r="D674" s="29">
        <v>2</v>
      </c>
      <c r="E674" s="29" t="s">
        <v>92</v>
      </c>
      <c r="F674" s="29" t="s">
        <v>342</v>
      </c>
      <c r="G674" s="29" t="s">
        <v>91</v>
      </c>
      <c r="H674" s="29" t="s">
        <v>179</v>
      </c>
      <c r="I674" s="29" t="s">
        <v>94</v>
      </c>
      <c r="J674" s="29" t="s">
        <v>340</v>
      </c>
      <c r="K674" s="29" t="str">
        <f>VLOOKUP(LEFT(H674, 7), 'קטלוג תרחישים'!$A:$L, 12, FALSE)</f>
        <v>א׳</v>
      </c>
      <c r="L674" s="29" t="str">
        <f>IF(J674="כן", K674, VLOOKUP(LEFT(H674, 7), 'קטלוג תרחישים'!$A:$M, 13, FALSE))</f>
        <v>א׳</v>
      </c>
    </row>
    <row r="675" spans="1:12">
      <c r="A675" s="29" t="s">
        <v>172</v>
      </c>
      <c r="B675" s="29">
        <v>14</v>
      </c>
      <c r="C675" s="29" t="s">
        <v>341</v>
      </c>
      <c r="D675" s="29">
        <v>2</v>
      </c>
      <c r="E675" s="29" t="s">
        <v>92</v>
      </c>
      <c r="F675" s="29" t="s">
        <v>342</v>
      </c>
      <c r="G675" s="29" t="s">
        <v>91</v>
      </c>
      <c r="H675" s="29" t="s">
        <v>180</v>
      </c>
      <c r="I675" s="29" t="s">
        <v>89</v>
      </c>
      <c r="J675" s="29" t="s">
        <v>343</v>
      </c>
      <c r="K675" s="29" t="str">
        <f>VLOOKUP(LEFT(H675, 7), 'קטלוג תרחישים'!$A:$L, 12, FALSE)</f>
        <v>ב׳</v>
      </c>
      <c r="L675" s="29" t="str">
        <f>IF(J675="כן", K675, VLOOKUP(LEFT(H675, 7), 'קטלוג תרחישים'!$A:$M, 13, FALSE))</f>
        <v>ג׳</v>
      </c>
    </row>
    <row r="676" spans="1:12">
      <c r="A676" s="29" t="s">
        <v>172</v>
      </c>
      <c r="B676" s="29">
        <v>15</v>
      </c>
      <c r="C676" s="29" t="s">
        <v>341</v>
      </c>
      <c r="D676" s="29">
        <v>2</v>
      </c>
      <c r="E676" s="29" t="s">
        <v>92</v>
      </c>
      <c r="F676" s="29" t="s">
        <v>342</v>
      </c>
      <c r="G676" s="29" t="s">
        <v>91</v>
      </c>
      <c r="H676" s="29" t="s">
        <v>181</v>
      </c>
      <c r="I676" s="29" t="s">
        <v>94</v>
      </c>
      <c r="J676" s="29" t="s">
        <v>340</v>
      </c>
      <c r="K676" s="29" t="str">
        <f>VLOOKUP(LEFT(H676, 7), 'קטלוג תרחישים'!$A:$L, 12, FALSE)</f>
        <v>ג׳</v>
      </c>
      <c r="L676" s="29" t="str">
        <f>IF(J676="כן", K676, VLOOKUP(LEFT(H676, 7), 'קטלוג תרחישים'!$A:$M, 13, FALSE))</f>
        <v>ג׳</v>
      </c>
    </row>
    <row r="677" spans="1:12">
      <c r="A677" s="29" t="s">
        <v>172</v>
      </c>
      <c r="B677" s="29">
        <v>16</v>
      </c>
      <c r="C677" s="29" t="s">
        <v>341</v>
      </c>
      <c r="D677" s="29">
        <v>2</v>
      </c>
      <c r="E677" s="29" t="s">
        <v>92</v>
      </c>
      <c r="F677" s="29" t="s">
        <v>342</v>
      </c>
      <c r="G677" s="29" t="s">
        <v>91</v>
      </c>
      <c r="H677" s="29" t="s">
        <v>182</v>
      </c>
      <c r="I677" s="29" t="s">
        <v>89</v>
      </c>
      <c r="J677" s="29" t="s">
        <v>340</v>
      </c>
      <c r="K677" s="29" t="str">
        <f>VLOOKUP(LEFT(H677, 7), 'קטלוג תרחישים'!$A:$L, 12, FALSE)</f>
        <v>ב׳</v>
      </c>
      <c r="L677" s="29" t="str">
        <f>IF(J677="כן", K677, VLOOKUP(LEFT(H677, 7), 'קטלוג תרחישים'!$A:$M, 13, FALSE))</f>
        <v>ב׳</v>
      </c>
    </row>
    <row r="678" spans="1:12">
      <c r="A678" s="29" t="s">
        <v>172</v>
      </c>
      <c r="B678" s="29">
        <v>17</v>
      </c>
      <c r="C678" s="29" t="s">
        <v>341</v>
      </c>
      <c r="D678" s="29">
        <v>3</v>
      </c>
      <c r="E678" s="29" t="s">
        <v>99</v>
      </c>
      <c r="F678" s="29" t="s">
        <v>342</v>
      </c>
      <c r="G678" s="29" t="s">
        <v>91</v>
      </c>
      <c r="H678" s="29" t="s">
        <v>183</v>
      </c>
      <c r="I678" s="29" t="s">
        <v>89</v>
      </c>
      <c r="J678" s="29" t="s">
        <v>340</v>
      </c>
      <c r="K678" s="29" t="str">
        <f>VLOOKUP(LEFT(H678, 7), 'קטלוג תרחישים'!$A:$L, 12, FALSE)</f>
        <v>ג׳</v>
      </c>
      <c r="L678" s="29" t="str">
        <f>IF(J678="כן", K678, VLOOKUP(LEFT(H678, 7), 'קטלוג תרחישים'!$A:$M, 13, FALSE))</f>
        <v>ג׳</v>
      </c>
    </row>
    <row r="679" spans="1:12">
      <c r="A679" s="29" t="s">
        <v>172</v>
      </c>
      <c r="B679" s="29">
        <v>18</v>
      </c>
      <c r="C679" s="29" t="s">
        <v>341</v>
      </c>
      <c r="D679" s="29">
        <v>3</v>
      </c>
      <c r="E679" s="29" t="s">
        <v>99</v>
      </c>
      <c r="F679" s="29" t="s">
        <v>342</v>
      </c>
      <c r="G679" s="29" t="s">
        <v>91</v>
      </c>
      <c r="H679" s="29" t="s">
        <v>184</v>
      </c>
      <c r="I679" s="29" t="s">
        <v>94</v>
      </c>
      <c r="J679" s="29" t="s">
        <v>340</v>
      </c>
      <c r="K679" s="29" t="str">
        <f>VLOOKUP(LEFT(H679, 7), 'קטלוג תרחישים'!$A:$L, 12, FALSE)</f>
        <v>ג׳</v>
      </c>
      <c r="L679" s="29" t="str">
        <f>IF(J679="כן", K679, VLOOKUP(LEFT(H679, 7), 'קטלוג תרחישים'!$A:$M, 13, FALSE))</f>
        <v>ג׳</v>
      </c>
    </row>
    <row r="680" spans="1:12">
      <c r="A680" s="29" t="s">
        <v>172</v>
      </c>
      <c r="B680" s="29">
        <v>19</v>
      </c>
      <c r="C680" s="29" t="s">
        <v>341</v>
      </c>
      <c r="D680" s="29">
        <v>3</v>
      </c>
      <c r="E680" s="29" t="s">
        <v>99</v>
      </c>
      <c r="F680" s="29" t="s">
        <v>342</v>
      </c>
      <c r="G680" s="29" t="s">
        <v>91</v>
      </c>
      <c r="H680" s="29" t="s">
        <v>185</v>
      </c>
      <c r="I680" s="29" t="s">
        <v>89</v>
      </c>
      <c r="J680" s="29" t="s">
        <v>343</v>
      </c>
      <c r="K680" s="29" t="str">
        <f>VLOOKUP(LEFT(H680, 7), 'קטלוג תרחישים'!$A:$L, 12, FALSE)</f>
        <v>א׳</v>
      </c>
      <c r="L680" s="29" t="str">
        <f>IF(J680="כן", K680, VLOOKUP(LEFT(H680, 7), 'קטלוג תרחישים'!$A:$M, 13, FALSE))</f>
        <v>ב׳</v>
      </c>
    </row>
    <row r="681" spans="1:12">
      <c r="A681" s="29" t="s">
        <v>172</v>
      </c>
      <c r="B681" s="29">
        <v>20</v>
      </c>
      <c r="C681" s="29" t="s">
        <v>341</v>
      </c>
      <c r="D681" s="29">
        <v>3</v>
      </c>
      <c r="E681" s="29" t="s">
        <v>99</v>
      </c>
      <c r="F681" s="29" t="s">
        <v>342</v>
      </c>
      <c r="G681" s="29" t="s">
        <v>91</v>
      </c>
      <c r="H681" s="29" t="s">
        <v>186</v>
      </c>
      <c r="I681" s="29" t="s">
        <v>94</v>
      </c>
      <c r="J681" s="29" t="s">
        <v>340</v>
      </c>
      <c r="K681" s="29" t="str">
        <f>VLOOKUP(LEFT(H681, 7), 'קטלוג תרחישים'!$A:$L, 12, FALSE)</f>
        <v>ב׳</v>
      </c>
      <c r="L681" s="29" t="str">
        <f>IF(J681="כן", K681, VLOOKUP(LEFT(H681, 7), 'קטלוג תרחישים'!$A:$M, 13, FALSE))</f>
        <v>ב׳</v>
      </c>
    </row>
    <row r="682" spans="1:12">
      <c r="A682" s="29" t="s">
        <v>172</v>
      </c>
      <c r="B682" s="29">
        <v>21</v>
      </c>
      <c r="C682" s="29" t="s">
        <v>341</v>
      </c>
      <c r="D682" s="29">
        <v>3</v>
      </c>
      <c r="E682" s="29" t="s">
        <v>99</v>
      </c>
      <c r="F682" s="29" t="s">
        <v>342</v>
      </c>
      <c r="G682" s="29" t="s">
        <v>91</v>
      </c>
      <c r="H682" s="29" t="s">
        <v>187</v>
      </c>
      <c r="I682" s="29" t="s">
        <v>89</v>
      </c>
      <c r="J682" s="29" t="s">
        <v>340</v>
      </c>
      <c r="K682" s="29" t="str">
        <f>VLOOKUP(LEFT(H682, 7), 'קטלוג תרחישים'!$A:$L, 12, FALSE)</f>
        <v>א׳</v>
      </c>
      <c r="L682" s="29" t="str">
        <f>IF(J682="כן", K682, VLOOKUP(LEFT(H682, 7), 'קטלוג תרחישים'!$A:$M, 13, FALSE))</f>
        <v>א׳</v>
      </c>
    </row>
    <row r="683" spans="1:12">
      <c r="A683" s="29" t="s">
        <v>172</v>
      </c>
      <c r="B683" s="29">
        <v>22</v>
      </c>
      <c r="C683" s="29" t="s">
        <v>341</v>
      </c>
      <c r="D683" s="29">
        <v>1</v>
      </c>
      <c r="E683" s="29" t="s">
        <v>92</v>
      </c>
      <c r="F683" s="29" t="s">
        <v>344</v>
      </c>
      <c r="G683" s="29" t="s">
        <v>111</v>
      </c>
      <c r="H683" s="29" t="s">
        <v>188</v>
      </c>
      <c r="I683" s="29" t="s">
        <v>89</v>
      </c>
      <c r="J683" s="29" t="s">
        <v>340</v>
      </c>
      <c r="K683" s="29" t="str">
        <f>VLOOKUP(LEFT(H683, 7), 'קטלוג תרחישים'!$A:$L, 12, FALSE)</f>
        <v>ג׳</v>
      </c>
      <c r="L683" s="29" t="str">
        <f>IF(J683="כן", K683, VLOOKUP(LEFT(H683, 7), 'קטלוג תרחישים'!$A:$M, 13, FALSE))</f>
        <v>ג׳</v>
      </c>
    </row>
    <row r="684" spans="1:12">
      <c r="A684" s="29" t="s">
        <v>172</v>
      </c>
      <c r="B684" s="29">
        <v>23</v>
      </c>
      <c r="C684" s="29" t="s">
        <v>341</v>
      </c>
      <c r="D684" s="29">
        <v>1</v>
      </c>
      <c r="E684" s="29" t="s">
        <v>92</v>
      </c>
      <c r="F684" s="29" t="s">
        <v>344</v>
      </c>
      <c r="G684" s="29" t="s">
        <v>111</v>
      </c>
      <c r="H684" s="29" t="s">
        <v>189</v>
      </c>
      <c r="I684" s="29" t="s">
        <v>94</v>
      </c>
      <c r="J684" s="29" t="s">
        <v>340</v>
      </c>
      <c r="K684" s="29" t="str">
        <f>VLOOKUP(LEFT(H684, 7), 'קטלוג תרחישים'!$A:$L, 12, FALSE)</f>
        <v>ב׳</v>
      </c>
      <c r="L684" s="29" t="str">
        <f>IF(J684="כן", K684, VLOOKUP(LEFT(H684, 7), 'קטלוג תרחישים'!$A:$M, 13, FALSE))</f>
        <v>ב׳</v>
      </c>
    </row>
    <row r="685" spans="1:12">
      <c r="A685" s="29" t="s">
        <v>172</v>
      </c>
      <c r="B685" s="29">
        <v>24</v>
      </c>
      <c r="C685" s="29" t="s">
        <v>341</v>
      </c>
      <c r="D685" s="29">
        <v>1</v>
      </c>
      <c r="E685" s="29" t="s">
        <v>92</v>
      </c>
      <c r="F685" s="29" t="s">
        <v>344</v>
      </c>
      <c r="G685" s="29" t="s">
        <v>111</v>
      </c>
      <c r="H685" s="29" t="s">
        <v>190</v>
      </c>
      <c r="I685" s="29" t="s">
        <v>89</v>
      </c>
      <c r="J685" s="29" t="s">
        <v>343</v>
      </c>
      <c r="K685" s="29" t="str">
        <f>VLOOKUP(LEFT(H685, 7), 'קטלוג תרחישים'!$A:$L, 12, FALSE)</f>
        <v>א׳</v>
      </c>
      <c r="L685" s="29" t="str">
        <f>IF(J685="כן", K685, VLOOKUP(LEFT(H685, 7), 'קטלוג תרחישים'!$A:$M, 13, FALSE))</f>
        <v>ג׳</v>
      </c>
    </row>
    <row r="686" spans="1:12">
      <c r="A686" s="29" t="s">
        <v>172</v>
      </c>
      <c r="B686" s="29">
        <v>25</v>
      </c>
      <c r="C686" s="29" t="s">
        <v>341</v>
      </c>
      <c r="D686" s="29">
        <v>1</v>
      </c>
      <c r="E686" s="29" t="s">
        <v>92</v>
      </c>
      <c r="F686" s="29" t="s">
        <v>344</v>
      </c>
      <c r="G686" s="29" t="s">
        <v>111</v>
      </c>
      <c r="H686" s="29" t="s">
        <v>191</v>
      </c>
      <c r="I686" s="29" t="s">
        <v>94</v>
      </c>
      <c r="J686" s="29" t="s">
        <v>343</v>
      </c>
      <c r="K686" s="29" t="str">
        <f>VLOOKUP(LEFT(H686, 7), 'קטלוג תרחישים'!$A:$L, 12, FALSE)</f>
        <v>ג׳</v>
      </c>
      <c r="L686" s="29" t="str">
        <f>IF(J686="כן", K686, VLOOKUP(LEFT(H686, 7), 'קטלוג תרחישים'!$A:$M, 13, FALSE))</f>
        <v>א׳</v>
      </c>
    </row>
    <row r="687" spans="1:12">
      <c r="A687" s="29" t="s">
        <v>172</v>
      </c>
      <c r="B687" s="29">
        <v>26</v>
      </c>
      <c r="C687" s="29" t="s">
        <v>341</v>
      </c>
      <c r="D687" s="29">
        <v>2</v>
      </c>
      <c r="E687" s="29" t="s">
        <v>99</v>
      </c>
      <c r="F687" s="29" t="s">
        <v>344</v>
      </c>
      <c r="G687" s="29" t="s">
        <v>111</v>
      </c>
      <c r="H687" s="29" t="s">
        <v>192</v>
      </c>
      <c r="I687" s="29" t="s">
        <v>89</v>
      </c>
      <c r="J687" s="29" t="s">
        <v>340</v>
      </c>
      <c r="K687" s="29" t="str">
        <f>VLOOKUP(LEFT(H687, 7), 'קטלוג תרחישים'!$A:$L, 12, FALSE)</f>
        <v>ב׳</v>
      </c>
      <c r="L687" s="29" t="str">
        <f>IF(J687="כן", K687, VLOOKUP(LEFT(H687, 7), 'קטלוג תרחישים'!$A:$M, 13, FALSE))</f>
        <v>ב׳</v>
      </c>
    </row>
    <row r="688" spans="1:12">
      <c r="A688" s="29" t="s">
        <v>172</v>
      </c>
      <c r="B688" s="29">
        <v>27</v>
      </c>
      <c r="C688" s="29" t="s">
        <v>341</v>
      </c>
      <c r="D688" s="29">
        <v>2</v>
      </c>
      <c r="E688" s="29" t="s">
        <v>99</v>
      </c>
      <c r="F688" s="29" t="s">
        <v>344</v>
      </c>
      <c r="G688" s="29" t="s">
        <v>111</v>
      </c>
      <c r="H688" s="29" t="s">
        <v>193</v>
      </c>
      <c r="I688" s="29" t="s">
        <v>94</v>
      </c>
      <c r="J688" s="29" t="s">
        <v>343</v>
      </c>
      <c r="K688" s="29" t="str">
        <f>VLOOKUP(LEFT(H688, 7), 'קטלוג תרחישים'!$A:$L, 12, FALSE)</f>
        <v>א׳</v>
      </c>
      <c r="L688" s="29" t="str">
        <f>IF(J688="כן", K688, VLOOKUP(LEFT(H688, 7), 'קטלוג תרחישים'!$A:$M, 13, FALSE))</f>
        <v>ב׳</v>
      </c>
    </row>
    <row r="689" spans="1:12">
      <c r="A689" s="29" t="s">
        <v>172</v>
      </c>
      <c r="B689" s="29">
        <v>28</v>
      </c>
      <c r="C689" s="29" t="s">
        <v>341</v>
      </c>
      <c r="D689" s="29">
        <v>2</v>
      </c>
      <c r="E689" s="29" t="s">
        <v>99</v>
      </c>
      <c r="F689" s="29" t="s">
        <v>344</v>
      </c>
      <c r="G689" s="29" t="s">
        <v>111</v>
      </c>
      <c r="H689" s="29" t="s">
        <v>194</v>
      </c>
      <c r="I689" s="29" t="s">
        <v>89</v>
      </c>
      <c r="J689" s="29" t="s">
        <v>343</v>
      </c>
      <c r="K689" s="29" t="str">
        <f>VLOOKUP(LEFT(H689, 7), 'קטלוג תרחישים'!$A:$L, 12, FALSE)</f>
        <v>ב׳</v>
      </c>
      <c r="L689" s="29" t="str">
        <f>IF(J689="כן", K689, VLOOKUP(LEFT(H689, 7), 'קטלוג תרחישים'!$A:$M, 13, FALSE))</f>
        <v>א׳</v>
      </c>
    </row>
    <row r="690" spans="1:12">
      <c r="A690" s="29" t="s">
        <v>172</v>
      </c>
      <c r="B690" s="29">
        <v>29</v>
      </c>
      <c r="C690" s="29" t="s">
        <v>341</v>
      </c>
      <c r="D690" s="29">
        <v>2</v>
      </c>
      <c r="E690" s="29" t="s">
        <v>99</v>
      </c>
      <c r="F690" s="29" t="s">
        <v>344</v>
      </c>
      <c r="G690" s="29" t="s">
        <v>111</v>
      </c>
      <c r="H690" s="29" t="s">
        <v>195</v>
      </c>
      <c r="I690" s="29" t="s">
        <v>94</v>
      </c>
      <c r="J690" s="29" t="s">
        <v>340</v>
      </c>
      <c r="K690" s="29" t="str">
        <f>VLOOKUP(LEFT(H690, 7), 'קטלוג תרחישים'!$A:$L, 12, FALSE)</f>
        <v>א׳</v>
      </c>
      <c r="L690" s="29" t="str">
        <f>IF(J690="כן", K690, VLOOKUP(LEFT(H690, 7), 'קטלוג תרחישים'!$A:$M, 13, FALSE))</f>
        <v>א׳</v>
      </c>
    </row>
    <row r="691" spans="1:12">
      <c r="A691" s="29" t="s">
        <v>172</v>
      </c>
      <c r="B691" s="29">
        <v>30</v>
      </c>
      <c r="C691" s="29" t="s">
        <v>341</v>
      </c>
      <c r="D691" s="29">
        <v>3</v>
      </c>
      <c r="E691" s="29" t="s">
        <v>105</v>
      </c>
      <c r="F691" s="29" t="s">
        <v>344</v>
      </c>
      <c r="G691" s="29" t="s">
        <v>111</v>
      </c>
      <c r="H691" s="29" t="s">
        <v>196</v>
      </c>
      <c r="I691" s="29" t="s">
        <v>89</v>
      </c>
      <c r="J691" s="29" t="s">
        <v>343</v>
      </c>
      <c r="K691" s="29" t="str">
        <f>VLOOKUP(LEFT(H691, 7), 'קטלוג תרחישים'!$A:$L, 12, FALSE)</f>
        <v>ב׳</v>
      </c>
      <c r="L691" s="29" t="str">
        <f>IF(J691="כן", K691, VLOOKUP(LEFT(H691, 7), 'קטלוג תרחישים'!$A:$M, 13, FALSE))</f>
        <v>א׳</v>
      </c>
    </row>
    <row r="692" spans="1:12">
      <c r="A692" s="29" t="s">
        <v>172</v>
      </c>
      <c r="B692" s="29">
        <v>31</v>
      </c>
      <c r="C692" s="29" t="s">
        <v>341</v>
      </c>
      <c r="D692" s="29">
        <v>3</v>
      </c>
      <c r="E692" s="29" t="s">
        <v>105</v>
      </c>
      <c r="F692" s="29" t="s">
        <v>344</v>
      </c>
      <c r="G692" s="29" t="s">
        <v>111</v>
      </c>
      <c r="H692" s="29" t="s">
        <v>197</v>
      </c>
      <c r="I692" s="29" t="s">
        <v>94</v>
      </c>
      <c r="J692" s="29" t="s">
        <v>340</v>
      </c>
      <c r="K692" s="29" t="str">
        <f>VLOOKUP(LEFT(H692, 7), 'קטלוג תרחישים'!$A:$L, 12, FALSE)</f>
        <v>א׳</v>
      </c>
      <c r="L692" s="29" t="str">
        <f>IF(J692="כן", K692, VLOOKUP(LEFT(H692, 7), 'קטלוג תרחישים'!$A:$M, 13, FALSE))</f>
        <v>א׳</v>
      </c>
    </row>
    <row r="693" spans="1:12">
      <c r="A693" s="29" t="s">
        <v>172</v>
      </c>
      <c r="B693" s="29">
        <v>32</v>
      </c>
      <c r="C693" s="29" t="s">
        <v>341</v>
      </c>
      <c r="D693" s="29">
        <v>3</v>
      </c>
      <c r="E693" s="29" t="s">
        <v>105</v>
      </c>
      <c r="F693" s="29" t="s">
        <v>344</v>
      </c>
      <c r="G693" s="29" t="s">
        <v>111</v>
      </c>
      <c r="H693" s="29" t="s">
        <v>198</v>
      </c>
      <c r="I693" s="29" t="s">
        <v>89</v>
      </c>
      <c r="J693" s="29" t="s">
        <v>340</v>
      </c>
      <c r="K693" s="29" t="str">
        <f>VLOOKUP(LEFT(H693, 7), 'קטלוג תרחישים'!$A:$L, 12, FALSE)</f>
        <v>ג׳</v>
      </c>
      <c r="L693" s="29" t="str">
        <f>IF(J693="כן", K693, VLOOKUP(LEFT(H693, 7), 'קטלוג תרחישים'!$A:$M, 13, FALSE))</f>
        <v>ג׳</v>
      </c>
    </row>
    <row r="694" spans="1:12">
      <c r="A694" s="29" t="s">
        <v>172</v>
      </c>
      <c r="B694" s="29">
        <v>33</v>
      </c>
      <c r="C694" s="29" t="s">
        <v>341</v>
      </c>
      <c r="D694" s="29">
        <v>3</v>
      </c>
      <c r="E694" s="29" t="s">
        <v>105</v>
      </c>
      <c r="F694" s="29" t="s">
        <v>344</v>
      </c>
      <c r="G694" s="29" t="s">
        <v>111</v>
      </c>
      <c r="H694" s="29" t="s">
        <v>199</v>
      </c>
      <c r="I694" s="29" t="s">
        <v>94</v>
      </c>
      <c r="J694" s="29" t="s">
        <v>343</v>
      </c>
      <c r="K694" s="29" t="str">
        <f>VLOOKUP(LEFT(H694, 7), 'קטלוג תרחישים'!$A:$L, 12, FALSE)</f>
        <v>ב׳</v>
      </c>
      <c r="L694" s="29" t="str">
        <f>IF(J694="כן", K694, VLOOKUP(LEFT(H694, 7), 'קטלוג תרחישים'!$A:$M, 13, FALSE))</f>
        <v>א׳</v>
      </c>
    </row>
    <row r="695" spans="1:12">
      <c r="A695" s="29" t="s">
        <v>200</v>
      </c>
      <c r="B695" s="29">
        <v>1</v>
      </c>
      <c r="C695" s="29" t="s">
        <v>339</v>
      </c>
      <c r="D695" s="29"/>
      <c r="E695" s="29" t="s">
        <v>92</v>
      </c>
      <c r="F695" s="29"/>
      <c r="G695" s="29"/>
      <c r="H695" s="30" t="s">
        <v>351</v>
      </c>
      <c r="I695" s="29" t="s">
        <v>89</v>
      </c>
      <c r="J695" s="29" t="s">
        <v>340</v>
      </c>
      <c r="K695" s="29" t="str">
        <f>VLOOKUP(LEFT(H695, 7), 'קטלוג תרחישים'!$A:$L, 12, FALSE)</f>
        <v>א׳</v>
      </c>
      <c r="L695" s="29" t="str">
        <f>IF(J695="כן", K695, VLOOKUP(LEFT(H695, 7), 'קטלוג תרחישים'!$A:$M, 13, FALSE))</f>
        <v>א׳</v>
      </c>
    </row>
    <row r="696" spans="1:12">
      <c r="A696" s="29" t="s">
        <v>200</v>
      </c>
      <c r="B696" s="29">
        <v>2</v>
      </c>
      <c r="C696" s="29" t="s">
        <v>339</v>
      </c>
      <c r="D696" s="29"/>
      <c r="E696" s="29" t="s">
        <v>92</v>
      </c>
      <c r="F696" s="29"/>
      <c r="G696" s="29"/>
      <c r="H696" s="30" t="s">
        <v>88</v>
      </c>
      <c r="I696" s="29" t="s">
        <v>89</v>
      </c>
      <c r="J696" s="29" t="s">
        <v>340</v>
      </c>
      <c r="K696" s="29" t="str">
        <f>VLOOKUP(LEFT(H696, 7), 'קטלוג תרחישים'!$A:$L, 12, FALSE)</f>
        <v>א׳</v>
      </c>
      <c r="L696" s="29" t="str">
        <f>IF(J696="כן", K696, VLOOKUP(LEFT(H696, 7), 'קטלוג תרחישים'!$A:$M, 13, FALSE))</f>
        <v>א׳</v>
      </c>
    </row>
    <row r="697" spans="1:12">
      <c r="A697" s="29" t="s">
        <v>200</v>
      </c>
      <c r="B697" s="29">
        <v>3</v>
      </c>
      <c r="C697" s="29" t="s">
        <v>339</v>
      </c>
      <c r="D697" s="29"/>
      <c r="E697" s="29" t="s">
        <v>99</v>
      </c>
      <c r="F697" s="29"/>
      <c r="G697" s="29"/>
      <c r="H697" s="30" t="s">
        <v>352</v>
      </c>
      <c r="I697" s="29" t="s">
        <v>89</v>
      </c>
      <c r="J697" s="29" t="s">
        <v>340</v>
      </c>
      <c r="K697" s="29" t="str">
        <f>VLOOKUP(LEFT(H697, 7), 'קטלוג תרחישים'!$A:$L, 12, FALSE)</f>
        <v>ב׳</v>
      </c>
      <c r="L697" s="29" t="str">
        <f>IF(J697="כן", K697, VLOOKUP(LEFT(H697, 7), 'קטלוג תרחישים'!$A:$M, 13, FALSE))</f>
        <v>ב׳</v>
      </c>
    </row>
    <row r="698" spans="1:12">
      <c r="A698" s="29" t="s">
        <v>200</v>
      </c>
      <c r="B698" s="29">
        <v>4</v>
      </c>
      <c r="C698" s="29" t="s">
        <v>339</v>
      </c>
      <c r="D698" s="29"/>
      <c r="E698" s="29" t="s">
        <v>99</v>
      </c>
      <c r="F698" s="29"/>
      <c r="G698" s="29"/>
      <c r="H698" s="30" t="s">
        <v>353</v>
      </c>
      <c r="I698" s="29" t="s">
        <v>89</v>
      </c>
      <c r="J698" s="29" t="s">
        <v>340</v>
      </c>
      <c r="K698" s="29" t="str">
        <f>VLOOKUP(LEFT(H698, 7), 'קטלוג תרחישים'!$A:$L, 12, FALSE)</f>
        <v>ב׳</v>
      </c>
      <c r="L698" s="29" t="str">
        <f>IF(J698="כן", K698, VLOOKUP(LEFT(H698, 7), 'קטלוג תרחישים'!$A:$M, 13, FALSE))</f>
        <v>ב׳</v>
      </c>
    </row>
    <row r="699" spans="1:12">
      <c r="A699" s="29" t="s">
        <v>200</v>
      </c>
      <c r="B699" s="29">
        <v>5</v>
      </c>
      <c r="C699" s="29" t="s">
        <v>339</v>
      </c>
      <c r="D699" s="29"/>
      <c r="E699" s="29" t="s">
        <v>105</v>
      </c>
      <c r="F699" s="29"/>
      <c r="G699" s="29"/>
      <c r="H699" s="30" t="s">
        <v>354</v>
      </c>
      <c r="I699" s="29" t="s">
        <v>89</v>
      </c>
      <c r="J699" s="29" t="s">
        <v>340</v>
      </c>
      <c r="K699" s="29" t="str">
        <f>VLOOKUP(LEFT(H699, 7), 'קטלוג תרחישים'!$A:$L, 12, FALSE)</f>
        <v>ג׳</v>
      </c>
      <c r="L699" s="29" t="str">
        <f>IF(J699="כן", K699, VLOOKUP(LEFT(H699, 7), 'קטלוג תרחישים'!$A:$M, 13, FALSE))</f>
        <v>ג׳</v>
      </c>
    </row>
    <row r="700" spans="1:12">
      <c r="A700" s="29" t="s">
        <v>200</v>
      </c>
      <c r="B700" s="29">
        <v>6</v>
      </c>
      <c r="C700" s="29" t="s">
        <v>339</v>
      </c>
      <c r="D700" s="29"/>
      <c r="E700" s="29" t="s">
        <v>105</v>
      </c>
      <c r="F700" s="29"/>
      <c r="G700" s="29"/>
      <c r="H700" s="30" t="s">
        <v>90</v>
      </c>
      <c r="I700" s="29" t="s">
        <v>89</v>
      </c>
      <c r="J700" s="29" t="s">
        <v>340</v>
      </c>
      <c r="K700" s="29" t="str">
        <f>VLOOKUP(LEFT(H700, 7), 'קטלוג תרחישים'!$A:$L, 12, FALSE)</f>
        <v>ג׳</v>
      </c>
      <c r="L700" s="29" t="str">
        <f>IF(J700="כן", K700, VLOOKUP(LEFT(H700, 7), 'קטלוג תרחישים'!$A:$M, 13, FALSE))</f>
        <v>ג׳</v>
      </c>
    </row>
    <row r="701" spans="1:12">
      <c r="A701" s="29" t="s">
        <v>200</v>
      </c>
      <c r="B701" s="29">
        <v>7</v>
      </c>
      <c r="C701" s="29" t="s">
        <v>341</v>
      </c>
      <c r="D701" s="29">
        <v>1</v>
      </c>
      <c r="E701" s="29" t="s">
        <v>99</v>
      </c>
      <c r="F701" s="29" t="s">
        <v>342</v>
      </c>
      <c r="G701" s="29" t="s">
        <v>111</v>
      </c>
      <c r="H701" s="29" t="s">
        <v>194</v>
      </c>
      <c r="I701" s="29" t="s">
        <v>89</v>
      </c>
      <c r="J701" s="29" t="s">
        <v>340</v>
      </c>
      <c r="K701" s="29" t="str">
        <f>VLOOKUP(LEFT(H701, 7), 'קטלוג תרחישים'!$A:$L, 12, FALSE)</f>
        <v>ב׳</v>
      </c>
      <c r="L701" s="29" t="str">
        <f>IF(J701="כן", K701, VLOOKUP(LEFT(H701, 7), 'קטלוג תרחישים'!$A:$M, 13, FALSE))</f>
        <v>ב׳</v>
      </c>
    </row>
    <row r="702" spans="1:12">
      <c r="A702" s="29" t="s">
        <v>200</v>
      </c>
      <c r="B702" s="29">
        <v>8</v>
      </c>
      <c r="C702" s="29" t="s">
        <v>341</v>
      </c>
      <c r="D702" s="29">
        <v>1</v>
      </c>
      <c r="E702" s="29" t="s">
        <v>99</v>
      </c>
      <c r="F702" s="29" t="s">
        <v>342</v>
      </c>
      <c r="G702" s="29" t="s">
        <v>111</v>
      </c>
      <c r="H702" s="29" t="s">
        <v>195</v>
      </c>
      <c r="I702" s="29" t="s">
        <v>94</v>
      </c>
      <c r="J702" s="29" t="s">
        <v>340</v>
      </c>
      <c r="K702" s="29" t="str">
        <f>VLOOKUP(LEFT(H702, 7), 'קטלוג תרחישים'!$A:$L, 12, FALSE)</f>
        <v>א׳</v>
      </c>
      <c r="L702" s="29" t="str">
        <f>IF(J702="כן", K702, VLOOKUP(LEFT(H702, 7), 'קטלוג תרחישים'!$A:$M, 13, FALSE))</f>
        <v>א׳</v>
      </c>
    </row>
    <row r="703" spans="1:12">
      <c r="A703" s="29" t="s">
        <v>200</v>
      </c>
      <c r="B703" s="29">
        <v>9</v>
      </c>
      <c r="C703" s="29" t="s">
        <v>341</v>
      </c>
      <c r="D703" s="29">
        <v>1</v>
      </c>
      <c r="E703" s="29" t="s">
        <v>99</v>
      </c>
      <c r="F703" s="29" t="s">
        <v>342</v>
      </c>
      <c r="G703" s="29" t="s">
        <v>111</v>
      </c>
      <c r="H703" s="29" t="s">
        <v>192</v>
      </c>
      <c r="I703" s="29" t="s">
        <v>89</v>
      </c>
      <c r="J703" s="29" t="s">
        <v>343</v>
      </c>
      <c r="K703" s="29" t="str">
        <f>VLOOKUP(LEFT(H703, 7), 'קטלוג תרחישים'!$A:$L, 12, FALSE)</f>
        <v>ב׳</v>
      </c>
      <c r="L703" s="29" t="str">
        <f>IF(J703="כן", K703, VLOOKUP(LEFT(H703, 7), 'קטלוג תרחישים'!$A:$M, 13, FALSE))</f>
        <v>א׳</v>
      </c>
    </row>
    <row r="704" spans="1:12">
      <c r="A704" s="29" t="s">
        <v>200</v>
      </c>
      <c r="B704" s="29">
        <v>10</v>
      </c>
      <c r="C704" s="29" t="s">
        <v>341</v>
      </c>
      <c r="D704" s="29">
        <v>1</v>
      </c>
      <c r="E704" s="29" t="s">
        <v>99</v>
      </c>
      <c r="F704" s="29" t="s">
        <v>342</v>
      </c>
      <c r="G704" s="29" t="s">
        <v>111</v>
      </c>
      <c r="H704" s="29" t="s">
        <v>193</v>
      </c>
      <c r="I704" s="29" t="s">
        <v>94</v>
      </c>
      <c r="J704" s="29" t="s">
        <v>343</v>
      </c>
      <c r="K704" s="29" t="str">
        <f>VLOOKUP(LEFT(H704, 7), 'קטלוג תרחישים'!$A:$L, 12, FALSE)</f>
        <v>א׳</v>
      </c>
      <c r="L704" s="29" t="str">
        <f>IF(J704="כן", K704, VLOOKUP(LEFT(H704, 7), 'קטלוג תרחישים'!$A:$M, 13, FALSE))</f>
        <v>ב׳</v>
      </c>
    </row>
    <row r="705" spans="1:12">
      <c r="A705" s="29" t="s">
        <v>200</v>
      </c>
      <c r="B705" s="29">
        <v>11</v>
      </c>
      <c r="C705" s="29" t="s">
        <v>341</v>
      </c>
      <c r="D705" s="29">
        <v>2</v>
      </c>
      <c r="E705" s="29" t="s">
        <v>105</v>
      </c>
      <c r="F705" s="29" t="s">
        <v>342</v>
      </c>
      <c r="G705" s="29" t="s">
        <v>111</v>
      </c>
      <c r="H705" s="29" t="s">
        <v>198</v>
      </c>
      <c r="I705" s="29" t="s">
        <v>89</v>
      </c>
      <c r="J705" s="29" t="s">
        <v>343</v>
      </c>
      <c r="K705" s="29" t="str">
        <f>VLOOKUP(LEFT(H705, 7), 'קטלוג תרחישים'!$A:$L, 12, FALSE)</f>
        <v>ג׳</v>
      </c>
      <c r="L705" s="29" t="str">
        <f>IF(J705="כן", K705, VLOOKUP(LEFT(H705, 7), 'קטלוג תרחישים'!$A:$M, 13, FALSE))</f>
        <v>ב׳</v>
      </c>
    </row>
    <row r="706" spans="1:12">
      <c r="A706" s="29" t="s">
        <v>200</v>
      </c>
      <c r="B706" s="29">
        <v>12</v>
      </c>
      <c r="C706" s="29" t="s">
        <v>341</v>
      </c>
      <c r="D706" s="29">
        <v>2</v>
      </c>
      <c r="E706" s="29" t="s">
        <v>105</v>
      </c>
      <c r="F706" s="29" t="s">
        <v>342</v>
      </c>
      <c r="G706" s="29" t="s">
        <v>111</v>
      </c>
      <c r="H706" s="29" t="s">
        <v>199</v>
      </c>
      <c r="I706" s="29" t="s">
        <v>94</v>
      </c>
      <c r="J706" s="29" t="s">
        <v>343</v>
      </c>
      <c r="K706" s="29" t="str">
        <f>VLOOKUP(LEFT(H706, 7), 'קטלוג תרחישים'!$A:$L, 12, FALSE)</f>
        <v>ב׳</v>
      </c>
      <c r="L706" s="29" t="str">
        <f>IF(J706="כן", K706, VLOOKUP(LEFT(H706, 7), 'קטלוג תרחישים'!$A:$M, 13, FALSE))</f>
        <v>א׳</v>
      </c>
    </row>
    <row r="707" spans="1:12">
      <c r="A707" s="29" t="s">
        <v>200</v>
      </c>
      <c r="B707" s="29">
        <v>13</v>
      </c>
      <c r="C707" s="29" t="s">
        <v>341</v>
      </c>
      <c r="D707" s="29">
        <v>2</v>
      </c>
      <c r="E707" s="29" t="s">
        <v>105</v>
      </c>
      <c r="F707" s="29" t="s">
        <v>342</v>
      </c>
      <c r="G707" s="29" t="s">
        <v>111</v>
      </c>
      <c r="H707" s="29" t="s">
        <v>196</v>
      </c>
      <c r="I707" s="29" t="s">
        <v>89</v>
      </c>
      <c r="J707" s="29" t="s">
        <v>340</v>
      </c>
      <c r="K707" s="29" t="str">
        <f>VLOOKUP(LEFT(H707, 7), 'קטלוג תרחישים'!$A:$L, 12, FALSE)</f>
        <v>ב׳</v>
      </c>
      <c r="L707" s="29" t="str">
        <f>IF(J707="כן", K707, VLOOKUP(LEFT(H707, 7), 'קטלוג תרחישים'!$A:$M, 13, FALSE))</f>
        <v>ב׳</v>
      </c>
    </row>
    <row r="708" spans="1:12">
      <c r="A708" s="29" t="s">
        <v>200</v>
      </c>
      <c r="B708" s="29">
        <v>14</v>
      </c>
      <c r="C708" s="29" t="s">
        <v>341</v>
      </c>
      <c r="D708" s="29">
        <v>2</v>
      </c>
      <c r="E708" s="29" t="s">
        <v>105</v>
      </c>
      <c r="F708" s="29" t="s">
        <v>342</v>
      </c>
      <c r="G708" s="29" t="s">
        <v>111</v>
      </c>
      <c r="H708" s="29" t="s">
        <v>197</v>
      </c>
      <c r="I708" s="29" t="s">
        <v>94</v>
      </c>
      <c r="J708" s="29" t="s">
        <v>340</v>
      </c>
      <c r="K708" s="29" t="str">
        <f>VLOOKUP(LEFT(H708, 7), 'קטלוג תרחישים'!$A:$L, 12, FALSE)</f>
        <v>א׳</v>
      </c>
      <c r="L708" s="29" t="str">
        <f>IF(J708="כן", K708, VLOOKUP(LEFT(H708, 7), 'קטלוג תרחישים'!$A:$M, 13, FALSE))</f>
        <v>א׳</v>
      </c>
    </row>
    <row r="709" spans="1:12">
      <c r="A709" s="29" t="s">
        <v>200</v>
      </c>
      <c r="B709" s="29">
        <v>15</v>
      </c>
      <c r="C709" s="29" t="s">
        <v>341</v>
      </c>
      <c r="D709" s="29">
        <v>3</v>
      </c>
      <c r="E709" s="29" t="s">
        <v>92</v>
      </c>
      <c r="F709" s="29" t="s">
        <v>342</v>
      </c>
      <c r="G709" s="29" t="s">
        <v>111</v>
      </c>
      <c r="H709" s="29" t="s">
        <v>188</v>
      </c>
      <c r="I709" s="29" t="s">
        <v>89</v>
      </c>
      <c r="J709" s="29" t="s">
        <v>340</v>
      </c>
      <c r="K709" s="29" t="str">
        <f>VLOOKUP(LEFT(H709, 7), 'קטלוג תרחישים'!$A:$L, 12, FALSE)</f>
        <v>ג׳</v>
      </c>
      <c r="L709" s="29" t="str">
        <f>IF(J709="כן", K709, VLOOKUP(LEFT(H709, 7), 'קטלוג תרחישים'!$A:$M, 13, FALSE))</f>
        <v>ג׳</v>
      </c>
    </row>
    <row r="710" spans="1:12">
      <c r="A710" s="29" t="s">
        <v>200</v>
      </c>
      <c r="B710" s="29">
        <v>16</v>
      </c>
      <c r="C710" s="29" t="s">
        <v>341</v>
      </c>
      <c r="D710" s="29">
        <v>3</v>
      </c>
      <c r="E710" s="29" t="s">
        <v>92</v>
      </c>
      <c r="F710" s="29" t="s">
        <v>342</v>
      </c>
      <c r="G710" s="29" t="s">
        <v>111</v>
      </c>
      <c r="H710" s="29" t="s">
        <v>189</v>
      </c>
      <c r="I710" s="29" t="s">
        <v>94</v>
      </c>
      <c r="J710" s="29" t="s">
        <v>343</v>
      </c>
      <c r="K710" s="29" t="str">
        <f>VLOOKUP(LEFT(H710, 7), 'קטלוג תרחישים'!$A:$L, 12, FALSE)</f>
        <v>ב׳</v>
      </c>
      <c r="L710" s="29" t="str">
        <f>IF(J710="כן", K710, VLOOKUP(LEFT(H710, 7), 'קטלוג תרחישים'!$A:$M, 13, FALSE))</f>
        <v>ג׳</v>
      </c>
    </row>
    <row r="711" spans="1:12">
      <c r="A711" s="29" t="s">
        <v>200</v>
      </c>
      <c r="B711" s="29">
        <v>17</v>
      </c>
      <c r="C711" s="29" t="s">
        <v>341</v>
      </c>
      <c r="D711" s="29">
        <v>3</v>
      </c>
      <c r="E711" s="29" t="s">
        <v>92</v>
      </c>
      <c r="F711" s="29" t="s">
        <v>342</v>
      </c>
      <c r="G711" s="29" t="s">
        <v>111</v>
      </c>
      <c r="H711" s="29" t="s">
        <v>190</v>
      </c>
      <c r="I711" s="29" t="s">
        <v>89</v>
      </c>
      <c r="J711" s="29" t="s">
        <v>343</v>
      </c>
      <c r="K711" s="29" t="str">
        <f>VLOOKUP(LEFT(H711, 7), 'קטלוג תרחישים'!$A:$L, 12, FALSE)</f>
        <v>א׳</v>
      </c>
      <c r="L711" s="29" t="str">
        <f>IF(J711="כן", K711, VLOOKUP(LEFT(H711, 7), 'קטלוג תרחישים'!$A:$M, 13, FALSE))</f>
        <v>ג׳</v>
      </c>
    </row>
    <row r="712" spans="1:12">
      <c r="A712" s="29" t="s">
        <v>200</v>
      </c>
      <c r="B712" s="29">
        <v>18</v>
      </c>
      <c r="C712" s="29" t="s">
        <v>341</v>
      </c>
      <c r="D712" s="29">
        <v>3</v>
      </c>
      <c r="E712" s="29" t="s">
        <v>92</v>
      </c>
      <c r="F712" s="29" t="s">
        <v>342</v>
      </c>
      <c r="G712" s="29" t="s">
        <v>111</v>
      </c>
      <c r="H712" s="29" t="s">
        <v>191</v>
      </c>
      <c r="I712" s="29" t="s">
        <v>94</v>
      </c>
      <c r="J712" s="29" t="s">
        <v>340</v>
      </c>
      <c r="K712" s="29" t="str">
        <f>VLOOKUP(LEFT(H712, 7), 'קטלוג תרחישים'!$A:$L, 12, FALSE)</f>
        <v>ג׳</v>
      </c>
      <c r="L712" s="29" t="str">
        <f>IF(J712="כן", K712, VLOOKUP(LEFT(H712, 7), 'קטלוג תרחישים'!$A:$M, 13, FALSE))</f>
        <v>ג׳</v>
      </c>
    </row>
    <row r="713" spans="1:12">
      <c r="A713" s="29" t="s">
        <v>200</v>
      </c>
      <c r="B713" s="29">
        <v>19</v>
      </c>
      <c r="C713" s="29" t="s">
        <v>341</v>
      </c>
      <c r="D713" s="29">
        <v>1</v>
      </c>
      <c r="E713" s="29" t="s">
        <v>92</v>
      </c>
      <c r="F713" s="29" t="s">
        <v>344</v>
      </c>
      <c r="G713" s="29" t="s">
        <v>91</v>
      </c>
      <c r="H713" s="29" t="s">
        <v>182</v>
      </c>
      <c r="I713" s="29" t="s">
        <v>89</v>
      </c>
      <c r="J713" s="29" t="s">
        <v>340</v>
      </c>
      <c r="K713" s="29" t="str">
        <f>VLOOKUP(LEFT(H713, 7), 'קטלוג תרחישים'!$A:$L, 12, FALSE)</f>
        <v>ב׳</v>
      </c>
      <c r="L713" s="29" t="str">
        <f>IF(J713="כן", K713, VLOOKUP(LEFT(H713, 7), 'קטלוג תרחישים'!$A:$M, 13, FALSE))</f>
        <v>ב׳</v>
      </c>
    </row>
    <row r="714" spans="1:12">
      <c r="A714" s="29" t="s">
        <v>200</v>
      </c>
      <c r="B714" s="29">
        <v>20</v>
      </c>
      <c r="C714" s="29" t="s">
        <v>341</v>
      </c>
      <c r="D714" s="29">
        <v>1</v>
      </c>
      <c r="E714" s="29" t="s">
        <v>92</v>
      </c>
      <c r="F714" s="29" t="s">
        <v>344</v>
      </c>
      <c r="G714" s="29" t="s">
        <v>91</v>
      </c>
      <c r="H714" s="29" t="s">
        <v>181</v>
      </c>
      <c r="I714" s="29" t="s">
        <v>94</v>
      </c>
      <c r="J714" s="29" t="s">
        <v>340</v>
      </c>
      <c r="K714" s="29" t="str">
        <f>VLOOKUP(LEFT(H714, 7), 'קטלוג תרחישים'!$A:$L, 12, FALSE)</f>
        <v>ג׳</v>
      </c>
      <c r="L714" s="29" t="str">
        <f>IF(J714="כן", K714, VLOOKUP(LEFT(H714, 7), 'קטלוג תרחישים'!$A:$M, 13, FALSE))</f>
        <v>ג׳</v>
      </c>
    </row>
    <row r="715" spans="1:12">
      <c r="A715" s="29" t="s">
        <v>200</v>
      </c>
      <c r="B715" s="29">
        <v>21</v>
      </c>
      <c r="C715" s="29" t="s">
        <v>341</v>
      </c>
      <c r="D715" s="29">
        <v>1</v>
      </c>
      <c r="E715" s="29" t="s">
        <v>92</v>
      </c>
      <c r="F715" s="29" t="s">
        <v>344</v>
      </c>
      <c r="G715" s="29" t="s">
        <v>91</v>
      </c>
      <c r="H715" s="29" t="s">
        <v>178</v>
      </c>
      <c r="I715" s="29" t="s">
        <v>89</v>
      </c>
      <c r="J715" s="29" t="s">
        <v>340</v>
      </c>
      <c r="K715" s="29" t="str">
        <f>VLOOKUP(LEFT(H715, 7), 'קטלוג תרחישים'!$A:$L, 12, FALSE)</f>
        <v>א׳</v>
      </c>
      <c r="L715" s="29" t="str">
        <f>IF(J715="כן", K715, VLOOKUP(LEFT(H715, 7), 'קטלוג תרחישים'!$A:$M, 13, FALSE))</f>
        <v>א׳</v>
      </c>
    </row>
    <row r="716" spans="1:12">
      <c r="A716" s="29" t="s">
        <v>200</v>
      </c>
      <c r="B716" s="29">
        <v>22</v>
      </c>
      <c r="C716" s="29" t="s">
        <v>341</v>
      </c>
      <c r="D716" s="29">
        <v>1</v>
      </c>
      <c r="E716" s="29" t="s">
        <v>92</v>
      </c>
      <c r="F716" s="29" t="s">
        <v>344</v>
      </c>
      <c r="G716" s="29" t="s">
        <v>91</v>
      </c>
      <c r="H716" s="29" t="s">
        <v>179</v>
      </c>
      <c r="I716" s="29" t="s">
        <v>94</v>
      </c>
      <c r="J716" s="29" t="s">
        <v>343</v>
      </c>
      <c r="K716" s="29" t="str">
        <f>VLOOKUP(LEFT(H716, 7), 'קטלוג תרחישים'!$A:$L, 12, FALSE)</f>
        <v>א׳</v>
      </c>
      <c r="L716" s="29" t="str">
        <f>IF(J716="כן", K716, VLOOKUP(LEFT(H716, 7), 'קטלוג תרחישים'!$A:$M, 13, FALSE))</f>
        <v>ב׳</v>
      </c>
    </row>
    <row r="717" spans="1:12">
      <c r="A717" s="29" t="s">
        <v>200</v>
      </c>
      <c r="B717" s="29">
        <v>23</v>
      </c>
      <c r="C717" s="29" t="s">
        <v>341</v>
      </c>
      <c r="D717" s="29">
        <v>1</v>
      </c>
      <c r="E717" s="29" t="s">
        <v>92</v>
      </c>
      <c r="F717" s="29" t="s">
        <v>344</v>
      </c>
      <c r="G717" s="29" t="s">
        <v>91</v>
      </c>
      <c r="H717" s="29" t="s">
        <v>180</v>
      </c>
      <c r="I717" s="29" t="s">
        <v>89</v>
      </c>
      <c r="J717" s="29" t="s">
        <v>340</v>
      </c>
      <c r="K717" s="29" t="str">
        <f>VLOOKUP(LEFT(H717, 7), 'קטלוג תרחישים'!$A:$L, 12, FALSE)</f>
        <v>ב׳</v>
      </c>
      <c r="L717" s="29" t="str">
        <f>IF(J717="כן", K717, VLOOKUP(LEFT(H717, 7), 'קטלוג תרחישים'!$A:$M, 13, FALSE))</f>
        <v>ב׳</v>
      </c>
    </row>
    <row r="718" spans="1:12">
      <c r="A718" s="29" t="s">
        <v>200</v>
      </c>
      <c r="B718" s="29">
        <v>24</v>
      </c>
      <c r="C718" s="29" t="s">
        <v>341</v>
      </c>
      <c r="D718" s="29">
        <v>2</v>
      </c>
      <c r="E718" s="29" t="s">
        <v>99</v>
      </c>
      <c r="F718" s="29" t="s">
        <v>344</v>
      </c>
      <c r="G718" s="29" t="s">
        <v>91</v>
      </c>
      <c r="H718" s="29" t="s">
        <v>187</v>
      </c>
      <c r="I718" s="29" t="s">
        <v>89</v>
      </c>
      <c r="J718" s="29" t="s">
        <v>340</v>
      </c>
      <c r="K718" s="29" t="str">
        <f>VLOOKUP(LEFT(H718, 7), 'קטלוג תרחישים'!$A:$L, 12, FALSE)</f>
        <v>א׳</v>
      </c>
      <c r="L718" s="29" t="str">
        <f>IF(J718="כן", K718, VLOOKUP(LEFT(H718, 7), 'קטלוג תרחישים'!$A:$M, 13, FALSE))</f>
        <v>א׳</v>
      </c>
    </row>
    <row r="719" spans="1:12">
      <c r="A719" s="29" t="s">
        <v>200</v>
      </c>
      <c r="B719" s="29">
        <v>25</v>
      </c>
      <c r="C719" s="29" t="s">
        <v>341</v>
      </c>
      <c r="D719" s="29">
        <v>2</v>
      </c>
      <c r="E719" s="29" t="s">
        <v>99</v>
      </c>
      <c r="F719" s="29" t="s">
        <v>344</v>
      </c>
      <c r="G719" s="29" t="s">
        <v>91</v>
      </c>
      <c r="H719" s="29" t="s">
        <v>186</v>
      </c>
      <c r="I719" s="29" t="s">
        <v>94</v>
      </c>
      <c r="J719" s="29" t="s">
        <v>340</v>
      </c>
      <c r="K719" s="29" t="str">
        <f>VLOOKUP(LEFT(H719, 7), 'קטלוג תרחישים'!$A:$L, 12, FALSE)</f>
        <v>ב׳</v>
      </c>
      <c r="L719" s="29" t="str">
        <f>IF(J719="כן", K719, VLOOKUP(LEFT(H719, 7), 'קטלוג תרחישים'!$A:$M, 13, FALSE))</f>
        <v>ב׳</v>
      </c>
    </row>
    <row r="720" spans="1:12">
      <c r="A720" s="29" t="s">
        <v>200</v>
      </c>
      <c r="B720" s="29">
        <v>26</v>
      </c>
      <c r="C720" s="29" t="s">
        <v>341</v>
      </c>
      <c r="D720" s="29">
        <v>2</v>
      </c>
      <c r="E720" s="29" t="s">
        <v>99</v>
      </c>
      <c r="F720" s="29" t="s">
        <v>344</v>
      </c>
      <c r="G720" s="29" t="s">
        <v>91</v>
      </c>
      <c r="H720" s="29" t="s">
        <v>183</v>
      </c>
      <c r="I720" s="29" t="s">
        <v>89</v>
      </c>
      <c r="J720" s="29" t="s">
        <v>340</v>
      </c>
      <c r="K720" s="29" t="str">
        <f>VLOOKUP(LEFT(H720, 7), 'קטלוג תרחישים'!$A:$L, 12, FALSE)</f>
        <v>ג׳</v>
      </c>
      <c r="L720" s="29" t="str">
        <f>IF(J720="כן", K720, VLOOKUP(LEFT(H720, 7), 'קטלוג תרחישים'!$A:$M, 13, FALSE))</f>
        <v>ג׳</v>
      </c>
    </row>
    <row r="721" spans="1:12">
      <c r="A721" s="29" t="s">
        <v>200</v>
      </c>
      <c r="B721" s="29">
        <v>27</v>
      </c>
      <c r="C721" s="29" t="s">
        <v>341</v>
      </c>
      <c r="D721" s="29">
        <v>2</v>
      </c>
      <c r="E721" s="29" t="s">
        <v>99</v>
      </c>
      <c r="F721" s="29" t="s">
        <v>344</v>
      </c>
      <c r="G721" s="29" t="s">
        <v>91</v>
      </c>
      <c r="H721" s="29" t="s">
        <v>184</v>
      </c>
      <c r="I721" s="29" t="s">
        <v>94</v>
      </c>
      <c r="J721" s="29" t="s">
        <v>343</v>
      </c>
      <c r="K721" s="29" t="str">
        <f>VLOOKUP(LEFT(H721, 7), 'קטלוג תרחישים'!$A:$L, 12, FALSE)</f>
        <v>ג׳</v>
      </c>
      <c r="L721" s="29" t="str">
        <f>IF(J721="כן", K721, VLOOKUP(LEFT(H721, 7), 'קטלוג תרחישים'!$A:$M, 13, FALSE))</f>
        <v>א׳</v>
      </c>
    </row>
    <row r="722" spans="1:12">
      <c r="A722" s="29" t="s">
        <v>200</v>
      </c>
      <c r="B722" s="29">
        <v>28</v>
      </c>
      <c r="C722" s="29" t="s">
        <v>341</v>
      </c>
      <c r="D722" s="29">
        <v>2</v>
      </c>
      <c r="E722" s="29" t="s">
        <v>99</v>
      </c>
      <c r="F722" s="29" t="s">
        <v>344</v>
      </c>
      <c r="G722" s="29" t="s">
        <v>91</v>
      </c>
      <c r="H722" s="29" t="s">
        <v>185</v>
      </c>
      <c r="I722" s="29" t="s">
        <v>89</v>
      </c>
      <c r="J722" s="29" t="s">
        <v>340</v>
      </c>
      <c r="K722" s="29" t="str">
        <f>VLOOKUP(LEFT(H722, 7), 'קטלוג תרחישים'!$A:$L, 12, FALSE)</f>
        <v>א׳</v>
      </c>
      <c r="L722" s="29" t="str">
        <f>IF(J722="כן", K722, VLOOKUP(LEFT(H722, 7), 'קטלוג תרחישים'!$A:$M, 13, FALSE))</f>
        <v>א׳</v>
      </c>
    </row>
    <row r="723" spans="1:12">
      <c r="A723" s="29" t="s">
        <v>200</v>
      </c>
      <c r="B723" s="29">
        <v>29</v>
      </c>
      <c r="C723" s="29" t="s">
        <v>341</v>
      </c>
      <c r="D723" s="29">
        <v>3</v>
      </c>
      <c r="E723" s="29" t="s">
        <v>105</v>
      </c>
      <c r="F723" s="29" t="s">
        <v>344</v>
      </c>
      <c r="G723" s="29" t="s">
        <v>91</v>
      </c>
      <c r="H723" s="29" t="s">
        <v>175</v>
      </c>
      <c r="I723" s="29" t="s">
        <v>94</v>
      </c>
      <c r="J723" s="29" t="s">
        <v>343</v>
      </c>
      <c r="K723" s="29" t="str">
        <f>VLOOKUP(LEFT(H723, 7), 'קטלוג תרחישים'!$A:$L, 12, FALSE)</f>
        <v>א׳</v>
      </c>
      <c r="L723" s="29" t="str">
        <f>IF(J723="כן", K723, VLOOKUP(LEFT(H723, 7), 'קטלוג תרחישים'!$A:$M, 13, FALSE))</f>
        <v>ב׳</v>
      </c>
    </row>
    <row r="724" spans="1:12">
      <c r="A724" s="29" t="s">
        <v>200</v>
      </c>
      <c r="B724" s="29">
        <v>30</v>
      </c>
      <c r="C724" s="29" t="s">
        <v>341</v>
      </c>
      <c r="D724" s="29">
        <v>3</v>
      </c>
      <c r="E724" s="29" t="s">
        <v>105</v>
      </c>
      <c r="F724" s="29" t="s">
        <v>344</v>
      </c>
      <c r="G724" s="29" t="s">
        <v>91</v>
      </c>
      <c r="H724" s="29" t="s">
        <v>174</v>
      </c>
      <c r="I724" s="29" t="s">
        <v>89</v>
      </c>
      <c r="J724" s="29" t="s">
        <v>340</v>
      </c>
      <c r="K724" s="29" t="str">
        <f>VLOOKUP(LEFT(H724, 7), 'קטלוג תרחישים'!$A:$L, 12, FALSE)</f>
        <v>ג׳</v>
      </c>
      <c r="L724" s="29" t="str">
        <f>IF(J724="כן", K724, VLOOKUP(LEFT(H724, 7), 'קטלוג תרחישים'!$A:$M, 13, FALSE))</f>
        <v>ג׳</v>
      </c>
    </row>
    <row r="725" spans="1:12">
      <c r="A725" s="29" t="s">
        <v>200</v>
      </c>
      <c r="B725" s="29">
        <v>31</v>
      </c>
      <c r="C725" s="29" t="s">
        <v>341</v>
      </c>
      <c r="D725" s="29">
        <v>3</v>
      </c>
      <c r="E725" s="29" t="s">
        <v>105</v>
      </c>
      <c r="F725" s="29" t="s">
        <v>344</v>
      </c>
      <c r="G725" s="29" t="s">
        <v>91</v>
      </c>
      <c r="H725" s="29" t="s">
        <v>177</v>
      </c>
      <c r="I725" s="29" t="s">
        <v>94</v>
      </c>
      <c r="J725" s="29" t="s">
        <v>340</v>
      </c>
      <c r="K725" s="29" t="str">
        <f>VLOOKUP(LEFT(H725, 7), 'קטלוג תרחישים'!$A:$L, 12, FALSE)</f>
        <v>ב׳</v>
      </c>
      <c r="L725" s="29" t="str">
        <f>IF(J725="כן", K725, VLOOKUP(LEFT(H725, 7), 'קטלוג תרחישים'!$A:$M, 13, FALSE))</f>
        <v>ב׳</v>
      </c>
    </row>
    <row r="726" spans="1:12">
      <c r="A726" s="29" t="s">
        <v>200</v>
      </c>
      <c r="B726" s="29">
        <v>32</v>
      </c>
      <c r="C726" s="29" t="s">
        <v>341</v>
      </c>
      <c r="D726" s="29">
        <v>3</v>
      </c>
      <c r="E726" s="29" t="s">
        <v>105</v>
      </c>
      <c r="F726" s="29" t="s">
        <v>344</v>
      </c>
      <c r="G726" s="29" t="s">
        <v>91</v>
      </c>
      <c r="H726" s="29" t="s">
        <v>176</v>
      </c>
      <c r="I726" s="29" t="s">
        <v>89</v>
      </c>
      <c r="J726" s="29" t="s">
        <v>340</v>
      </c>
      <c r="K726" s="29" t="str">
        <f>VLOOKUP(LEFT(H726, 7), 'קטלוג תרחישים'!$A:$L, 12, FALSE)</f>
        <v>ג׳</v>
      </c>
      <c r="L726" s="29" t="str">
        <f>IF(J726="כן", K726, VLOOKUP(LEFT(H726, 7), 'קטלוג תרחישים'!$A:$M, 13, FALSE))</f>
        <v>ג׳</v>
      </c>
    </row>
    <row r="727" spans="1:12">
      <c r="A727" s="29" t="s">
        <v>200</v>
      </c>
      <c r="B727" s="29">
        <v>33</v>
      </c>
      <c r="C727" s="29" t="s">
        <v>341</v>
      </c>
      <c r="D727" s="29">
        <v>3</v>
      </c>
      <c r="E727" s="29" t="s">
        <v>105</v>
      </c>
      <c r="F727" s="29" t="s">
        <v>344</v>
      </c>
      <c r="G727" s="29" t="s">
        <v>91</v>
      </c>
      <c r="H727" s="29" t="s">
        <v>173</v>
      </c>
      <c r="I727" s="29" t="s">
        <v>94</v>
      </c>
      <c r="J727" s="29" t="s">
        <v>340</v>
      </c>
      <c r="K727" s="29" t="str">
        <f>VLOOKUP(LEFT(H727, 7), 'קטלוג תרחישים'!$A:$L, 12, FALSE)</f>
        <v>ג׳</v>
      </c>
      <c r="L727" s="29" t="str">
        <f>IF(J727="כן", K727, VLOOKUP(LEFT(H727, 7), 'קטלוג תרחישים'!$A:$M, 13, FALSE))</f>
        <v>ג׳</v>
      </c>
    </row>
    <row r="728" spans="1:12">
      <c r="A728" s="29" t="s">
        <v>201</v>
      </c>
      <c r="B728" s="29">
        <v>1</v>
      </c>
      <c r="C728" s="29" t="s">
        <v>339</v>
      </c>
      <c r="D728" s="29"/>
      <c r="E728" s="29" t="s">
        <v>92</v>
      </c>
      <c r="F728" s="29"/>
      <c r="G728" s="29"/>
      <c r="H728" s="30" t="s">
        <v>351</v>
      </c>
      <c r="I728" s="29" t="s">
        <v>89</v>
      </c>
      <c r="J728" s="29" t="s">
        <v>340</v>
      </c>
      <c r="K728" s="29" t="str">
        <f>VLOOKUP(LEFT(H728, 7), 'קטלוג תרחישים'!$A:$L, 12, FALSE)</f>
        <v>א׳</v>
      </c>
      <c r="L728" s="29" t="str">
        <f>IF(J728="כן", K728, VLOOKUP(LEFT(H728, 7), 'קטלוג תרחישים'!$A:$M, 13, FALSE))</f>
        <v>א׳</v>
      </c>
    </row>
    <row r="729" spans="1:12">
      <c r="A729" s="29" t="s">
        <v>201</v>
      </c>
      <c r="B729" s="29">
        <v>2</v>
      </c>
      <c r="C729" s="29" t="s">
        <v>339</v>
      </c>
      <c r="D729" s="29"/>
      <c r="E729" s="29" t="s">
        <v>92</v>
      </c>
      <c r="F729" s="29"/>
      <c r="G729" s="29"/>
      <c r="H729" s="30" t="s">
        <v>88</v>
      </c>
      <c r="I729" s="29" t="s">
        <v>89</v>
      </c>
      <c r="J729" s="29" t="s">
        <v>340</v>
      </c>
      <c r="K729" s="29" t="str">
        <f>VLOOKUP(LEFT(H729, 7), 'קטלוג תרחישים'!$A:$L, 12, FALSE)</f>
        <v>א׳</v>
      </c>
      <c r="L729" s="29" t="str">
        <f>IF(J729="כן", K729, VLOOKUP(LEFT(H729, 7), 'קטלוג תרחישים'!$A:$M, 13, FALSE))</f>
        <v>א׳</v>
      </c>
    </row>
    <row r="730" spans="1:12">
      <c r="A730" s="29" t="s">
        <v>201</v>
      </c>
      <c r="B730" s="29">
        <v>3</v>
      </c>
      <c r="C730" s="29" t="s">
        <v>339</v>
      </c>
      <c r="D730" s="29"/>
      <c r="E730" s="29" t="s">
        <v>99</v>
      </c>
      <c r="F730" s="29"/>
      <c r="G730" s="29"/>
      <c r="H730" s="30" t="s">
        <v>352</v>
      </c>
      <c r="I730" s="29" t="s">
        <v>89</v>
      </c>
      <c r="J730" s="29" t="s">
        <v>340</v>
      </c>
      <c r="K730" s="29" t="str">
        <f>VLOOKUP(LEFT(H730, 7), 'קטלוג תרחישים'!$A:$L, 12, FALSE)</f>
        <v>ב׳</v>
      </c>
      <c r="L730" s="29" t="str">
        <f>IF(J730="כן", K730, VLOOKUP(LEFT(H730, 7), 'קטלוג תרחישים'!$A:$M, 13, FALSE))</f>
        <v>ב׳</v>
      </c>
    </row>
    <row r="731" spans="1:12">
      <c r="A731" s="29" t="s">
        <v>201</v>
      </c>
      <c r="B731" s="29">
        <v>4</v>
      </c>
      <c r="C731" s="29" t="s">
        <v>339</v>
      </c>
      <c r="D731" s="29"/>
      <c r="E731" s="29" t="s">
        <v>99</v>
      </c>
      <c r="F731" s="29"/>
      <c r="G731" s="29"/>
      <c r="H731" s="30" t="s">
        <v>353</v>
      </c>
      <c r="I731" s="29" t="s">
        <v>89</v>
      </c>
      <c r="J731" s="29" t="s">
        <v>340</v>
      </c>
      <c r="K731" s="29" t="str">
        <f>VLOOKUP(LEFT(H731, 7), 'קטלוג תרחישים'!$A:$L, 12, FALSE)</f>
        <v>ב׳</v>
      </c>
      <c r="L731" s="29" t="str">
        <f>IF(J731="כן", K731, VLOOKUP(LEFT(H731, 7), 'קטלוג תרחישים'!$A:$M, 13, FALSE))</f>
        <v>ב׳</v>
      </c>
    </row>
    <row r="732" spans="1:12">
      <c r="A732" s="29" t="s">
        <v>201</v>
      </c>
      <c r="B732" s="29">
        <v>5</v>
      </c>
      <c r="C732" s="29" t="s">
        <v>339</v>
      </c>
      <c r="D732" s="29"/>
      <c r="E732" s="29" t="s">
        <v>105</v>
      </c>
      <c r="F732" s="29"/>
      <c r="G732" s="29"/>
      <c r="H732" s="30" t="s">
        <v>354</v>
      </c>
      <c r="I732" s="29" t="s">
        <v>89</v>
      </c>
      <c r="J732" s="29" t="s">
        <v>340</v>
      </c>
      <c r="K732" s="29" t="str">
        <f>VLOOKUP(LEFT(H732, 7), 'קטלוג תרחישים'!$A:$L, 12, FALSE)</f>
        <v>ג׳</v>
      </c>
      <c r="L732" s="29" t="str">
        <f>IF(J732="כן", K732, VLOOKUP(LEFT(H732, 7), 'קטלוג תרחישים'!$A:$M, 13, FALSE))</f>
        <v>ג׳</v>
      </c>
    </row>
    <row r="733" spans="1:12">
      <c r="A733" s="29" t="s">
        <v>201</v>
      </c>
      <c r="B733" s="29">
        <v>6</v>
      </c>
      <c r="C733" s="29" t="s">
        <v>339</v>
      </c>
      <c r="D733" s="29"/>
      <c r="E733" s="29" t="s">
        <v>105</v>
      </c>
      <c r="F733" s="29"/>
      <c r="G733" s="29"/>
      <c r="H733" s="30" t="s">
        <v>90</v>
      </c>
      <c r="I733" s="29" t="s">
        <v>89</v>
      </c>
      <c r="J733" s="29" t="s">
        <v>340</v>
      </c>
      <c r="K733" s="29" t="str">
        <f>VLOOKUP(LEFT(H733, 7), 'קטלוג תרחישים'!$A:$L, 12, FALSE)</f>
        <v>ג׳</v>
      </c>
      <c r="L733" s="29" t="str">
        <f>IF(J733="כן", K733, VLOOKUP(LEFT(H733, 7), 'קטלוג תרחישים'!$A:$M, 13, FALSE))</f>
        <v>ג׳</v>
      </c>
    </row>
    <row r="734" spans="1:12">
      <c r="A734" s="29" t="s">
        <v>201</v>
      </c>
      <c r="B734" s="29">
        <v>7</v>
      </c>
      <c r="C734" s="29" t="s">
        <v>341</v>
      </c>
      <c r="D734" s="29">
        <v>1</v>
      </c>
      <c r="E734" s="29" t="s">
        <v>99</v>
      </c>
      <c r="F734" s="29" t="s">
        <v>342</v>
      </c>
      <c r="G734" s="29" t="s">
        <v>91</v>
      </c>
      <c r="H734" s="29" t="s">
        <v>185</v>
      </c>
      <c r="I734" s="29" t="s">
        <v>89</v>
      </c>
      <c r="J734" s="29" t="s">
        <v>340</v>
      </c>
      <c r="K734" s="29" t="str">
        <f>VLOOKUP(LEFT(H734, 7), 'קטלוג תרחישים'!$A:$L, 12, FALSE)</f>
        <v>א׳</v>
      </c>
      <c r="L734" s="29" t="str">
        <f>IF(J734="כן", K734, VLOOKUP(LEFT(H734, 7), 'קטלוג תרחישים'!$A:$M, 13, FALSE))</f>
        <v>א׳</v>
      </c>
    </row>
    <row r="735" spans="1:12">
      <c r="A735" s="29" t="s">
        <v>201</v>
      </c>
      <c r="B735" s="29">
        <v>8</v>
      </c>
      <c r="C735" s="29" t="s">
        <v>341</v>
      </c>
      <c r="D735" s="29">
        <v>1</v>
      </c>
      <c r="E735" s="29" t="s">
        <v>99</v>
      </c>
      <c r="F735" s="29" t="s">
        <v>342</v>
      </c>
      <c r="G735" s="29" t="s">
        <v>91</v>
      </c>
      <c r="H735" s="29" t="s">
        <v>186</v>
      </c>
      <c r="I735" s="29" t="s">
        <v>94</v>
      </c>
      <c r="J735" s="29" t="s">
        <v>340</v>
      </c>
      <c r="K735" s="29" t="str">
        <f>VLOOKUP(LEFT(H735, 7), 'קטלוג תרחישים'!$A:$L, 12, FALSE)</f>
        <v>ב׳</v>
      </c>
      <c r="L735" s="29" t="str">
        <f>IF(J735="כן", K735, VLOOKUP(LEFT(H735, 7), 'קטלוג תרחישים'!$A:$M, 13, FALSE))</f>
        <v>ב׳</v>
      </c>
    </row>
    <row r="736" spans="1:12">
      <c r="A736" s="29" t="s">
        <v>201</v>
      </c>
      <c r="B736" s="29">
        <v>9</v>
      </c>
      <c r="C736" s="29" t="s">
        <v>341</v>
      </c>
      <c r="D736" s="29">
        <v>1</v>
      </c>
      <c r="E736" s="29" t="s">
        <v>99</v>
      </c>
      <c r="F736" s="29" t="s">
        <v>342</v>
      </c>
      <c r="G736" s="29" t="s">
        <v>91</v>
      </c>
      <c r="H736" s="29" t="s">
        <v>187</v>
      </c>
      <c r="I736" s="29" t="s">
        <v>89</v>
      </c>
      <c r="J736" s="29" t="s">
        <v>343</v>
      </c>
      <c r="K736" s="29" t="str">
        <f>VLOOKUP(LEFT(H736, 7), 'קטלוג תרחישים'!$A:$L, 12, FALSE)</f>
        <v>א׳</v>
      </c>
      <c r="L736" s="29" t="str">
        <f>IF(J736="כן", K736, VLOOKUP(LEFT(H736, 7), 'קטלוג תרחישים'!$A:$M, 13, FALSE))</f>
        <v>ג׳</v>
      </c>
    </row>
    <row r="737" spans="1:12">
      <c r="A737" s="29" t="s">
        <v>201</v>
      </c>
      <c r="B737" s="29">
        <v>10</v>
      </c>
      <c r="C737" s="29" t="s">
        <v>341</v>
      </c>
      <c r="D737" s="29">
        <v>1</v>
      </c>
      <c r="E737" s="29" t="s">
        <v>99</v>
      </c>
      <c r="F737" s="29" t="s">
        <v>342</v>
      </c>
      <c r="G737" s="29" t="s">
        <v>91</v>
      </c>
      <c r="H737" s="29" t="s">
        <v>184</v>
      </c>
      <c r="I737" s="29" t="s">
        <v>94</v>
      </c>
      <c r="J737" s="29" t="s">
        <v>340</v>
      </c>
      <c r="K737" s="29" t="str">
        <f>VLOOKUP(LEFT(H737, 7), 'קטלוג תרחישים'!$A:$L, 12, FALSE)</f>
        <v>ג׳</v>
      </c>
      <c r="L737" s="29" t="str">
        <f>IF(J737="כן", K737, VLOOKUP(LEFT(H737, 7), 'קטלוג תרחישים'!$A:$M, 13, FALSE))</f>
        <v>ג׳</v>
      </c>
    </row>
    <row r="738" spans="1:12">
      <c r="A738" s="29" t="s">
        <v>201</v>
      </c>
      <c r="B738" s="29">
        <v>11</v>
      </c>
      <c r="C738" s="29" t="s">
        <v>341</v>
      </c>
      <c r="D738" s="29">
        <v>1</v>
      </c>
      <c r="E738" s="29" t="s">
        <v>99</v>
      </c>
      <c r="F738" s="29" t="s">
        <v>342</v>
      </c>
      <c r="G738" s="29" t="s">
        <v>91</v>
      </c>
      <c r="H738" s="29" t="s">
        <v>183</v>
      </c>
      <c r="I738" s="29" t="s">
        <v>89</v>
      </c>
      <c r="J738" s="29" t="s">
        <v>340</v>
      </c>
      <c r="K738" s="29" t="str">
        <f>VLOOKUP(LEFT(H738, 7), 'קטלוג תרחישים'!$A:$L, 12, FALSE)</f>
        <v>ג׳</v>
      </c>
      <c r="L738" s="29" t="str">
        <f>IF(J738="כן", K738, VLOOKUP(LEFT(H738, 7), 'קטלוג תרחישים'!$A:$M, 13, FALSE))</f>
        <v>ג׳</v>
      </c>
    </row>
    <row r="739" spans="1:12">
      <c r="A739" s="29" t="s">
        <v>201</v>
      </c>
      <c r="B739" s="29">
        <v>12</v>
      </c>
      <c r="C739" s="29" t="s">
        <v>341</v>
      </c>
      <c r="D739" s="29">
        <v>2</v>
      </c>
      <c r="E739" s="29" t="s">
        <v>105</v>
      </c>
      <c r="F739" s="29" t="s">
        <v>342</v>
      </c>
      <c r="G739" s="29" t="s">
        <v>91</v>
      </c>
      <c r="H739" s="29" t="s">
        <v>175</v>
      </c>
      <c r="I739" s="29" t="s">
        <v>94</v>
      </c>
      <c r="J739" s="29" t="s">
        <v>340</v>
      </c>
      <c r="K739" s="29" t="str">
        <f>VLOOKUP(LEFT(H739, 7), 'קטלוג תרחישים'!$A:$L, 12, FALSE)</f>
        <v>א׳</v>
      </c>
      <c r="L739" s="29" t="str">
        <f>IF(J739="כן", K739, VLOOKUP(LEFT(H739, 7), 'קטלוג תרחישים'!$A:$M, 13, FALSE))</f>
        <v>א׳</v>
      </c>
    </row>
    <row r="740" spans="1:12">
      <c r="A740" s="29" t="s">
        <v>201</v>
      </c>
      <c r="B740" s="29">
        <v>13</v>
      </c>
      <c r="C740" s="29" t="s">
        <v>341</v>
      </c>
      <c r="D740" s="29">
        <v>2</v>
      </c>
      <c r="E740" s="29" t="s">
        <v>105</v>
      </c>
      <c r="F740" s="29" t="s">
        <v>342</v>
      </c>
      <c r="G740" s="29" t="s">
        <v>91</v>
      </c>
      <c r="H740" s="29" t="s">
        <v>176</v>
      </c>
      <c r="I740" s="29" t="s">
        <v>89</v>
      </c>
      <c r="J740" s="29" t="s">
        <v>340</v>
      </c>
      <c r="K740" s="29" t="str">
        <f>VLOOKUP(LEFT(H740, 7), 'קטלוג תרחישים'!$A:$L, 12, FALSE)</f>
        <v>ג׳</v>
      </c>
      <c r="L740" s="29" t="str">
        <f>IF(J740="כן", K740, VLOOKUP(LEFT(H740, 7), 'קטלוג תרחישים'!$A:$M, 13, FALSE))</f>
        <v>ג׳</v>
      </c>
    </row>
    <row r="741" spans="1:12">
      <c r="A741" s="29" t="s">
        <v>201</v>
      </c>
      <c r="B741" s="29">
        <v>14</v>
      </c>
      <c r="C741" s="29" t="s">
        <v>341</v>
      </c>
      <c r="D741" s="29">
        <v>2</v>
      </c>
      <c r="E741" s="29" t="s">
        <v>105</v>
      </c>
      <c r="F741" s="29" t="s">
        <v>342</v>
      </c>
      <c r="G741" s="29" t="s">
        <v>91</v>
      </c>
      <c r="H741" s="29" t="s">
        <v>177</v>
      </c>
      <c r="I741" s="29" t="s">
        <v>94</v>
      </c>
      <c r="J741" s="29" t="s">
        <v>340</v>
      </c>
      <c r="K741" s="29" t="str">
        <f>VLOOKUP(LEFT(H741, 7), 'קטלוג תרחישים'!$A:$L, 12, FALSE)</f>
        <v>ב׳</v>
      </c>
      <c r="L741" s="29" t="str">
        <f>IF(J741="כן", K741, VLOOKUP(LEFT(H741, 7), 'קטלוג תרחישים'!$A:$M, 13, FALSE))</f>
        <v>ב׳</v>
      </c>
    </row>
    <row r="742" spans="1:12">
      <c r="A742" s="29" t="s">
        <v>201</v>
      </c>
      <c r="B742" s="29">
        <v>15</v>
      </c>
      <c r="C742" s="29" t="s">
        <v>341</v>
      </c>
      <c r="D742" s="29">
        <v>2</v>
      </c>
      <c r="E742" s="29" t="s">
        <v>105</v>
      </c>
      <c r="F742" s="29" t="s">
        <v>342</v>
      </c>
      <c r="G742" s="29" t="s">
        <v>91</v>
      </c>
      <c r="H742" s="29" t="s">
        <v>174</v>
      </c>
      <c r="I742" s="29" t="s">
        <v>89</v>
      </c>
      <c r="J742" s="29" t="s">
        <v>343</v>
      </c>
      <c r="K742" s="29" t="str">
        <f>VLOOKUP(LEFT(H742, 7), 'קטלוג תרחישים'!$A:$L, 12, FALSE)</f>
        <v>ג׳</v>
      </c>
      <c r="L742" s="29" t="str">
        <f>IF(J742="כן", K742, VLOOKUP(LEFT(H742, 7), 'קטלוג תרחישים'!$A:$M, 13, FALSE))</f>
        <v>א׳</v>
      </c>
    </row>
    <row r="743" spans="1:12">
      <c r="A743" s="29" t="s">
        <v>201</v>
      </c>
      <c r="B743" s="29">
        <v>16</v>
      </c>
      <c r="C743" s="29" t="s">
        <v>341</v>
      </c>
      <c r="D743" s="29">
        <v>2</v>
      </c>
      <c r="E743" s="29" t="s">
        <v>105</v>
      </c>
      <c r="F743" s="29" t="s">
        <v>342</v>
      </c>
      <c r="G743" s="29" t="s">
        <v>91</v>
      </c>
      <c r="H743" s="29" t="s">
        <v>173</v>
      </c>
      <c r="I743" s="29" t="s">
        <v>94</v>
      </c>
      <c r="J743" s="29" t="s">
        <v>340</v>
      </c>
      <c r="K743" s="29" t="str">
        <f>VLOOKUP(LEFT(H743, 7), 'קטלוג תרחישים'!$A:$L, 12, FALSE)</f>
        <v>ג׳</v>
      </c>
      <c r="L743" s="29" t="str">
        <f>IF(J743="כן", K743, VLOOKUP(LEFT(H743, 7), 'קטלוג תרחישים'!$A:$M, 13, FALSE))</f>
        <v>ג׳</v>
      </c>
    </row>
    <row r="744" spans="1:12">
      <c r="A744" s="29" t="s">
        <v>201</v>
      </c>
      <c r="B744" s="29">
        <v>17</v>
      </c>
      <c r="C744" s="29" t="s">
        <v>341</v>
      </c>
      <c r="D744" s="29">
        <v>3</v>
      </c>
      <c r="E744" s="29" t="s">
        <v>92</v>
      </c>
      <c r="F744" s="29" t="s">
        <v>342</v>
      </c>
      <c r="G744" s="29" t="s">
        <v>91</v>
      </c>
      <c r="H744" s="29" t="s">
        <v>178</v>
      </c>
      <c r="I744" s="29" t="s">
        <v>89</v>
      </c>
      <c r="J744" s="29" t="s">
        <v>340</v>
      </c>
      <c r="K744" s="29" t="str">
        <f>VLOOKUP(LEFT(H744, 7), 'קטלוג תרחישים'!$A:$L, 12, FALSE)</f>
        <v>א׳</v>
      </c>
      <c r="L744" s="29" t="str">
        <f>IF(J744="כן", K744, VLOOKUP(LEFT(H744, 7), 'קטלוג תרחישים'!$A:$M, 13, FALSE))</f>
        <v>א׳</v>
      </c>
    </row>
    <row r="745" spans="1:12">
      <c r="A745" s="29" t="s">
        <v>201</v>
      </c>
      <c r="B745" s="29">
        <v>18</v>
      </c>
      <c r="C745" s="29" t="s">
        <v>341</v>
      </c>
      <c r="D745" s="29">
        <v>3</v>
      </c>
      <c r="E745" s="29" t="s">
        <v>92</v>
      </c>
      <c r="F745" s="29" t="s">
        <v>342</v>
      </c>
      <c r="G745" s="29" t="s">
        <v>91</v>
      </c>
      <c r="H745" s="29" t="s">
        <v>179</v>
      </c>
      <c r="I745" s="29" t="s">
        <v>94</v>
      </c>
      <c r="J745" s="29" t="s">
        <v>340</v>
      </c>
      <c r="K745" s="29" t="str">
        <f>VLOOKUP(LEFT(H745, 7), 'קטלוג תרחישים'!$A:$L, 12, FALSE)</f>
        <v>א׳</v>
      </c>
      <c r="L745" s="29" t="str">
        <f>IF(J745="כן", K745, VLOOKUP(LEFT(H745, 7), 'קטלוג תרחישים'!$A:$M, 13, FALSE))</f>
        <v>א׳</v>
      </c>
    </row>
    <row r="746" spans="1:12">
      <c r="A746" s="29" t="s">
        <v>201</v>
      </c>
      <c r="B746" s="29">
        <v>19</v>
      </c>
      <c r="C746" s="29" t="s">
        <v>341</v>
      </c>
      <c r="D746" s="29">
        <v>3</v>
      </c>
      <c r="E746" s="29" t="s">
        <v>92</v>
      </c>
      <c r="F746" s="29" t="s">
        <v>342</v>
      </c>
      <c r="G746" s="29" t="s">
        <v>91</v>
      </c>
      <c r="H746" s="29" t="s">
        <v>180</v>
      </c>
      <c r="I746" s="29" t="s">
        <v>89</v>
      </c>
      <c r="J746" s="29" t="s">
        <v>340</v>
      </c>
      <c r="K746" s="29" t="str">
        <f>VLOOKUP(LEFT(H746, 7), 'קטלוג תרחישים'!$A:$L, 12, FALSE)</f>
        <v>ב׳</v>
      </c>
      <c r="L746" s="29" t="str">
        <f>IF(J746="כן", K746, VLOOKUP(LEFT(H746, 7), 'קטלוג תרחישים'!$A:$M, 13, FALSE))</f>
        <v>ב׳</v>
      </c>
    </row>
    <row r="747" spans="1:12">
      <c r="A747" s="29" t="s">
        <v>201</v>
      </c>
      <c r="B747" s="29">
        <v>20</v>
      </c>
      <c r="C747" s="29" t="s">
        <v>341</v>
      </c>
      <c r="D747" s="29">
        <v>3</v>
      </c>
      <c r="E747" s="29" t="s">
        <v>92</v>
      </c>
      <c r="F747" s="29" t="s">
        <v>342</v>
      </c>
      <c r="G747" s="29" t="s">
        <v>91</v>
      </c>
      <c r="H747" s="29" t="s">
        <v>181</v>
      </c>
      <c r="I747" s="29" t="s">
        <v>94</v>
      </c>
      <c r="J747" s="29" t="s">
        <v>340</v>
      </c>
      <c r="K747" s="29" t="str">
        <f>VLOOKUP(LEFT(H747, 7), 'קטלוג תרחישים'!$A:$L, 12, FALSE)</f>
        <v>ג׳</v>
      </c>
      <c r="L747" s="29" t="str">
        <f>IF(J747="כן", K747, VLOOKUP(LEFT(H747, 7), 'קטלוג תרחישים'!$A:$M, 13, FALSE))</f>
        <v>ג׳</v>
      </c>
    </row>
    <row r="748" spans="1:12">
      <c r="A748" s="29" t="s">
        <v>201</v>
      </c>
      <c r="B748" s="29">
        <v>21</v>
      </c>
      <c r="C748" s="29" t="s">
        <v>341</v>
      </c>
      <c r="D748" s="29">
        <v>3</v>
      </c>
      <c r="E748" s="29" t="s">
        <v>92</v>
      </c>
      <c r="F748" s="29" t="s">
        <v>342</v>
      </c>
      <c r="G748" s="29" t="s">
        <v>91</v>
      </c>
      <c r="H748" s="29" t="s">
        <v>182</v>
      </c>
      <c r="I748" s="29" t="s">
        <v>89</v>
      </c>
      <c r="J748" s="29" t="s">
        <v>343</v>
      </c>
      <c r="K748" s="29" t="str">
        <f>VLOOKUP(LEFT(H748, 7), 'קטלוג תרחישים'!$A:$L, 12, FALSE)</f>
        <v>ב׳</v>
      </c>
      <c r="L748" s="29" t="str">
        <f>IF(J748="כן", K748, VLOOKUP(LEFT(H748, 7), 'קטלוג תרחישים'!$A:$M, 13, FALSE))</f>
        <v>א׳</v>
      </c>
    </row>
    <row r="749" spans="1:12">
      <c r="A749" s="29" t="s">
        <v>201</v>
      </c>
      <c r="B749" s="29">
        <v>22</v>
      </c>
      <c r="C749" s="29" t="s">
        <v>341</v>
      </c>
      <c r="D749" s="29">
        <v>1</v>
      </c>
      <c r="E749" s="29" t="s">
        <v>105</v>
      </c>
      <c r="F749" s="29" t="s">
        <v>344</v>
      </c>
      <c r="G749" s="29" t="s">
        <v>111</v>
      </c>
      <c r="H749" s="29" t="s">
        <v>196</v>
      </c>
      <c r="I749" s="29" t="s">
        <v>89</v>
      </c>
      <c r="J749" s="29" t="s">
        <v>340</v>
      </c>
      <c r="K749" s="29" t="str">
        <f>VLOOKUP(LEFT(H749, 7), 'קטלוג תרחישים'!$A:$L, 12, FALSE)</f>
        <v>ב׳</v>
      </c>
      <c r="L749" s="29" t="str">
        <f>IF(J749="כן", K749, VLOOKUP(LEFT(H749, 7), 'קטלוג תרחישים'!$A:$M, 13, FALSE))</f>
        <v>ב׳</v>
      </c>
    </row>
    <row r="750" spans="1:12">
      <c r="A750" s="29" t="s">
        <v>201</v>
      </c>
      <c r="B750" s="29">
        <v>23</v>
      </c>
      <c r="C750" s="29" t="s">
        <v>341</v>
      </c>
      <c r="D750" s="29">
        <v>1</v>
      </c>
      <c r="E750" s="29" t="s">
        <v>105</v>
      </c>
      <c r="F750" s="29" t="s">
        <v>344</v>
      </c>
      <c r="G750" s="29" t="s">
        <v>111</v>
      </c>
      <c r="H750" s="29" t="s">
        <v>199</v>
      </c>
      <c r="I750" s="29" t="s">
        <v>94</v>
      </c>
      <c r="J750" s="29" t="s">
        <v>340</v>
      </c>
      <c r="K750" s="29" t="str">
        <f>VLOOKUP(LEFT(H750, 7), 'קטלוג תרחישים'!$A:$L, 12, FALSE)</f>
        <v>ב׳</v>
      </c>
      <c r="L750" s="29" t="str">
        <f>IF(J750="כן", K750, VLOOKUP(LEFT(H750, 7), 'קטלוג תרחישים'!$A:$M, 13, FALSE))</f>
        <v>ב׳</v>
      </c>
    </row>
    <row r="751" spans="1:12">
      <c r="A751" s="29" t="s">
        <v>201</v>
      </c>
      <c r="B751" s="29">
        <v>24</v>
      </c>
      <c r="C751" s="29" t="s">
        <v>341</v>
      </c>
      <c r="D751" s="29">
        <v>1</v>
      </c>
      <c r="E751" s="29" t="s">
        <v>105</v>
      </c>
      <c r="F751" s="29" t="s">
        <v>344</v>
      </c>
      <c r="G751" s="29" t="s">
        <v>111</v>
      </c>
      <c r="H751" s="29" t="s">
        <v>198</v>
      </c>
      <c r="I751" s="29" t="s">
        <v>89</v>
      </c>
      <c r="J751" s="29" t="s">
        <v>343</v>
      </c>
      <c r="K751" s="29" t="str">
        <f>VLOOKUP(LEFT(H751, 7), 'קטלוג תרחישים'!$A:$L, 12, FALSE)</f>
        <v>ג׳</v>
      </c>
      <c r="L751" s="29" t="str">
        <f>IF(J751="כן", K751, VLOOKUP(LEFT(H751, 7), 'קטלוג תרחישים'!$A:$M, 13, FALSE))</f>
        <v>ב׳</v>
      </c>
    </row>
    <row r="752" spans="1:12">
      <c r="A752" s="29" t="s">
        <v>201</v>
      </c>
      <c r="B752" s="29">
        <v>25</v>
      </c>
      <c r="C752" s="29" t="s">
        <v>341</v>
      </c>
      <c r="D752" s="29">
        <v>1</v>
      </c>
      <c r="E752" s="29" t="s">
        <v>105</v>
      </c>
      <c r="F752" s="29" t="s">
        <v>344</v>
      </c>
      <c r="G752" s="29" t="s">
        <v>111</v>
      </c>
      <c r="H752" s="29" t="s">
        <v>197</v>
      </c>
      <c r="I752" s="29" t="s">
        <v>94</v>
      </c>
      <c r="J752" s="29" t="s">
        <v>343</v>
      </c>
      <c r="K752" s="29" t="str">
        <f>VLOOKUP(LEFT(H752, 7), 'קטלוג תרחישים'!$A:$L, 12, FALSE)</f>
        <v>א׳</v>
      </c>
      <c r="L752" s="29" t="str">
        <f>IF(J752="כן", K752, VLOOKUP(LEFT(H752, 7), 'קטלוג תרחישים'!$A:$M, 13, FALSE))</f>
        <v>ב׳</v>
      </c>
    </row>
    <row r="753" spans="1:12">
      <c r="A753" s="29" t="s">
        <v>201</v>
      </c>
      <c r="B753" s="29">
        <v>26</v>
      </c>
      <c r="C753" s="29" t="s">
        <v>341</v>
      </c>
      <c r="D753" s="29">
        <v>2</v>
      </c>
      <c r="E753" s="29" t="s">
        <v>92</v>
      </c>
      <c r="F753" s="29" t="s">
        <v>344</v>
      </c>
      <c r="G753" s="29" t="s">
        <v>111</v>
      </c>
      <c r="H753" s="29" t="s">
        <v>190</v>
      </c>
      <c r="I753" s="29" t="s">
        <v>89</v>
      </c>
      <c r="J753" s="29" t="s">
        <v>340</v>
      </c>
      <c r="K753" s="29" t="str">
        <f>VLOOKUP(LEFT(H753, 7), 'קטלוג תרחישים'!$A:$L, 12, FALSE)</f>
        <v>א׳</v>
      </c>
      <c r="L753" s="29" t="str">
        <f>IF(J753="כן", K753, VLOOKUP(LEFT(H753, 7), 'קטלוג תרחישים'!$A:$M, 13, FALSE))</f>
        <v>א׳</v>
      </c>
    </row>
    <row r="754" spans="1:12">
      <c r="A754" s="29" t="s">
        <v>201</v>
      </c>
      <c r="B754" s="29">
        <v>27</v>
      </c>
      <c r="C754" s="29" t="s">
        <v>341</v>
      </c>
      <c r="D754" s="29">
        <v>2</v>
      </c>
      <c r="E754" s="29" t="s">
        <v>92</v>
      </c>
      <c r="F754" s="29" t="s">
        <v>344</v>
      </c>
      <c r="G754" s="29" t="s">
        <v>111</v>
      </c>
      <c r="H754" s="29" t="s">
        <v>191</v>
      </c>
      <c r="I754" s="29" t="s">
        <v>94</v>
      </c>
      <c r="J754" s="29" t="s">
        <v>340</v>
      </c>
      <c r="K754" s="29" t="str">
        <f>VLOOKUP(LEFT(H754, 7), 'קטלוג תרחישים'!$A:$L, 12, FALSE)</f>
        <v>ג׳</v>
      </c>
      <c r="L754" s="29" t="str">
        <f>IF(J754="כן", K754, VLOOKUP(LEFT(H754, 7), 'קטלוג תרחישים'!$A:$M, 13, FALSE))</f>
        <v>ג׳</v>
      </c>
    </row>
    <row r="755" spans="1:12">
      <c r="A755" s="29" t="s">
        <v>201</v>
      </c>
      <c r="B755" s="29">
        <v>28</v>
      </c>
      <c r="C755" s="29" t="s">
        <v>341</v>
      </c>
      <c r="D755" s="29">
        <v>2</v>
      </c>
      <c r="E755" s="29" t="s">
        <v>92</v>
      </c>
      <c r="F755" s="29" t="s">
        <v>344</v>
      </c>
      <c r="G755" s="29" t="s">
        <v>111</v>
      </c>
      <c r="H755" s="29" t="s">
        <v>188</v>
      </c>
      <c r="I755" s="29" t="s">
        <v>89</v>
      </c>
      <c r="J755" s="29" t="s">
        <v>343</v>
      </c>
      <c r="K755" s="29" t="str">
        <f>VLOOKUP(LEFT(H755, 7), 'קטלוג תרחישים'!$A:$L, 12, FALSE)</f>
        <v>ג׳</v>
      </c>
      <c r="L755" s="29" t="str">
        <f>IF(J755="כן", K755, VLOOKUP(LEFT(H755, 7), 'קטלוג תרחישים'!$A:$M, 13, FALSE))</f>
        <v>ב׳</v>
      </c>
    </row>
    <row r="756" spans="1:12">
      <c r="A756" s="29" t="s">
        <v>201</v>
      </c>
      <c r="B756" s="29">
        <v>29</v>
      </c>
      <c r="C756" s="29" t="s">
        <v>341</v>
      </c>
      <c r="D756" s="29">
        <v>2</v>
      </c>
      <c r="E756" s="29" t="s">
        <v>92</v>
      </c>
      <c r="F756" s="29" t="s">
        <v>344</v>
      </c>
      <c r="G756" s="29" t="s">
        <v>111</v>
      </c>
      <c r="H756" s="29" t="s">
        <v>189</v>
      </c>
      <c r="I756" s="29" t="s">
        <v>94</v>
      </c>
      <c r="J756" s="29" t="s">
        <v>343</v>
      </c>
      <c r="K756" s="29" t="str">
        <f>VLOOKUP(LEFT(H756, 7), 'קטלוג תרחישים'!$A:$L, 12, FALSE)</f>
        <v>ב׳</v>
      </c>
      <c r="L756" s="29" t="str">
        <f>IF(J756="כן", K756, VLOOKUP(LEFT(H756, 7), 'קטלוג תרחישים'!$A:$M, 13, FALSE))</f>
        <v>ג׳</v>
      </c>
    </row>
    <row r="757" spans="1:12">
      <c r="A757" s="29" t="s">
        <v>201</v>
      </c>
      <c r="B757" s="29">
        <v>30</v>
      </c>
      <c r="C757" s="29" t="s">
        <v>341</v>
      </c>
      <c r="D757" s="29">
        <v>3</v>
      </c>
      <c r="E757" s="29" t="s">
        <v>99</v>
      </c>
      <c r="F757" s="29" t="s">
        <v>344</v>
      </c>
      <c r="G757" s="29" t="s">
        <v>111</v>
      </c>
      <c r="H757" s="29" t="s">
        <v>194</v>
      </c>
      <c r="I757" s="29" t="s">
        <v>89</v>
      </c>
      <c r="J757" s="29" t="s">
        <v>340</v>
      </c>
      <c r="K757" s="29" t="str">
        <f>VLOOKUP(LEFT(H757, 7), 'קטלוג תרחישים'!$A:$L, 12, FALSE)</f>
        <v>ב׳</v>
      </c>
      <c r="L757" s="29" t="str">
        <f>IF(J757="כן", K757, VLOOKUP(LEFT(H757, 7), 'קטלוג תרחישים'!$A:$M, 13, FALSE))</f>
        <v>ב׳</v>
      </c>
    </row>
    <row r="758" spans="1:12">
      <c r="A758" s="29" t="s">
        <v>201</v>
      </c>
      <c r="B758" s="29">
        <v>31</v>
      </c>
      <c r="C758" s="29" t="s">
        <v>341</v>
      </c>
      <c r="D758" s="29">
        <v>3</v>
      </c>
      <c r="E758" s="29" t="s">
        <v>99</v>
      </c>
      <c r="F758" s="29" t="s">
        <v>344</v>
      </c>
      <c r="G758" s="29" t="s">
        <v>111</v>
      </c>
      <c r="H758" s="29" t="s">
        <v>195</v>
      </c>
      <c r="I758" s="29" t="s">
        <v>94</v>
      </c>
      <c r="J758" s="29" t="s">
        <v>343</v>
      </c>
      <c r="K758" s="29" t="str">
        <f>VLOOKUP(LEFT(H758, 7), 'קטלוג תרחישים'!$A:$L, 12, FALSE)</f>
        <v>א׳</v>
      </c>
      <c r="L758" s="29" t="str">
        <f>IF(J758="כן", K758, VLOOKUP(LEFT(H758, 7), 'קטלוג תרחישים'!$A:$M, 13, FALSE))</f>
        <v>ג׳</v>
      </c>
    </row>
    <row r="759" spans="1:12">
      <c r="A759" s="29" t="s">
        <v>201</v>
      </c>
      <c r="B759" s="29">
        <v>32</v>
      </c>
      <c r="C759" s="29" t="s">
        <v>341</v>
      </c>
      <c r="D759" s="29">
        <v>3</v>
      </c>
      <c r="E759" s="29" t="s">
        <v>99</v>
      </c>
      <c r="F759" s="29" t="s">
        <v>344</v>
      </c>
      <c r="G759" s="29" t="s">
        <v>111</v>
      </c>
      <c r="H759" s="29" t="s">
        <v>192</v>
      </c>
      <c r="I759" s="29" t="s">
        <v>89</v>
      </c>
      <c r="J759" s="29" t="s">
        <v>343</v>
      </c>
      <c r="K759" s="29" t="str">
        <f>VLOOKUP(LEFT(H759, 7), 'קטלוג תרחישים'!$A:$L, 12, FALSE)</f>
        <v>ב׳</v>
      </c>
      <c r="L759" s="29" t="str">
        <f>IF(J759="כן", K759, VLOOKUP(LEFT(H759, 7), 'קטלוג תרחישים'!$A:$M, 13, FALSE))</f>
        <v>א׳</v>
      </c>
    </row>
    <row r="760" spans="1:12">
      <c r="A760" s="29" t="s">
        <v>201</v>
      </c>
      <c r="B760" s="29">
        <v>33</v>
      </c>
      <c r="C760" s="29" t="s">
        <v>341</v>
      </c>
      <c r="D760" s="29">
        <v>3</v>
      </c>
      <c r="E760" s="29" t="s">
        <v>99</v>
      </c>
      <c r="F760" s="29" t="s">
        <v>344</v>
      </c>
      <c r="G760" s="29" t="s">
        <v>111</v>
      </c>
      <c r="H760" s="29" t="s">
        <v>193</v>
      </c>
      <c r="I760" s="29" t="s">
        <v>94</v>
      </c>
      <c r="J760" s="29" t="s">
        <v>340</v>
      </c>
      <c r="K760" s="29" t="str">
        <f>VLOOKUP(LEFT(H760, 7), 'קטלוג תרחישים'!$A:$L, 12, FALSE)</f>
        <v>א׳</v>
      </c>
      <c r="L760" s="29" t="str">
        <f>IF(J760="כן", K760, VLOOKUP(LEFT(H760, 7), 'קטלוג תרחישים'!$A:$M, 13, FALSE))</f>
        <v>א׳</v>
      </c>
    </row>
    <row r="761" spans="1:12">
      <c r="A761" s="29" t="s">
        <v>202</v>
      </c>
      <c r="B761" s="29">
        <v>1</v>
      </c>
      <c r="C761" s="29" t="s">
        <v>339</v>
      </c>
      <c r="D761" s="29"/>
      <c r="E761" s="29" t="s">
        <v>92</v>
      </c>
      <c r="F761" s="29"/>
      <c r="G761" s="29"/>
      <c r="H761" s="30" t="s">
        <v>351</v>
      </c>
      <c r="I761" s="29" t="s">
        <v>89</v>
      </c>
      <c r="J761" s="29" t="s">
        <v>340</v>
      </c>
      <c r="K761" s="29" t="str">
        <f>VLOOKUP(LEFT(H761, 7), 'קטלוג תרחישים'!$A:$L, 12, FALSE)</f>
        <v>א׳</v>
      </c>
      <c r="L761" s="29" t="str">
        <f>IF(J761="כן", K761, VLOOKUP(LEFT(H761, 7), 'קטלוג תרחישים'!$A:$M, 13, FALSE))</f>
        <v>א׳</v>
      </c>
    </row>
    <row r="762" spans="1:12">
      <c r="A762" s="29" t="s">
        <v>202</v>
      </c>
      <c r="B762" s="29">
        <v>2</v>
      </c>
      <c r="C762" s="29" t="s">
        <v>339</v>
      </c>
      <c r="D762" s="29"/>
      <c r="E762" s="29" t="s">
        <v>92</v>
      </c>
      <c r="F762" s="29"/>
      <c r="G762" s="29"/>
      <c r="H762" s="30" t="s">
        <v>88</v>
      </c>
      <c r="I762" s="29" t="s">
        <v>89</v>
      </c>
      <c r="J762" s="29" t="s">
        <v>340</v>
      </c>
      <c r="K762" s="29" t="str">
        <f>VLOOKUP(LEFT(H762, 7), 'קטלוג תרחישים'!$A:$L, 12, FALSE)</f>
        <v>א׳</v>
      </c>
      <c r="L762" s="29" t="str">
        <f>IF(J762="כן", K762, VLOOKUP(LEFT(H762, 7), 'קטלוג תרחישים'!$A:$M, 13, FALSE))</f>
        <v>א׳</v>
      </c>
    </row>
    <row r="763" spans="1:12">
      <c r="A763" s="29" t="s">
        <v>202</v>
      </c>
      <c r="B763" s="29">
        <v>3</v>
      </c>
      <c r="C763" s="29" t="s">
        <v>339</v>
      </c>
      <c r="D763" s="29"/>
      <c r="E763" s="29" t="s">
        <v>99</v>
      </c>
      <c r="F763" s="29"/>
      <c r="G763" s="29"/>
      <c r="H763" s="30" t="s">
        <v>352</v>
      </c>
      <c r="I763" s="29" t="s">
        <v>89</v>
      </c>
      <c r="J763" s="29" t="s">
        <v>340</v>
      </c>
      <c r="K763" s="29" t="str">
        <f>VLOOKUP(LEFT(H763, 7), 'קטלוג תרחישים'!$A:$L, 12, FALSE)</f>
        <v>ב׳</v>
      </c>
      <c r="L763" s="29" t="str">
        <f>IF(J763="כן", K763, VLOOKUP(LEFT(H763, 7), 'קטלוג תרחישים'!$A:$M, 13, FALSE))</f>
        <v>ב׳</v>
      </c>
    </row>
    <row r="764" spans="1:12">
      <c r="A764" s="29" t="s">
        <v>202</v>
      </c>
      <c r="B764" s="29">
        <v>4</v>
      </c>
      <c r="C764" s="29" t="s">
        <v>339</v>
      </c>
      <c r="D764" s="29"/>
      <c r="E764" s="29" t="s">
        <v>99</v>
      </c>
      <c r="F764" s="29"/>
      <c r="G764" s="29"/>
      <c r="H764" s="30" t="s">
        <v>353</v>
      </c>
      <c r="I764" s="29" t="s">
        <v>89</v>
      </c>
      <c r="J764" s="29" t="s">
        <v>340</v>
      </c>
      <c r="K764" s="29" t="str">
        <f>VLOOKUP(LEFT(H764, 7), 'קטלוג תרחישים'!$A:$L, 12, FALSE)</f>
        <v>ב׳</v>
      </c>
      <c r="L764" s="29" t="str">
        <f>IF(J764="כן", K764, VLOOKUP(LEFT(H764, 7), 'קטלוג תרחישים'!$A:$M, 13, FALSE))</f>
        <v>ב׳</v>
      </c>
    </row>
    <row r="765" spans="1:12">
      <c r="A765" s="29" t="s">
        <v>202</v>
      </c>
      <c r="B765" s="29">
        <v>5</v>
      </c>
      <c r="C765" s="29" t="s">
        <v>339</v>
      </c>
      <c r="D765" s="29"/>
      <c r="E765" s="29" t="s">
        <v>105</v>
      </c>
      <c r="F765" s="29"/>
      <c r="G765" s="29"/>
      <c r="H765" s="30" t="s">
        <v>354</v>
      </c>
      <c r="I765" s="29" t="s">
        <v>89</v>
      </c>
      <c r="J765" s="29" t="s">
        <v>340</v>
      </c>
      <c r="K765" s="29" t="str">
        <f>VLOOKUP(LEFT(H765, 7), 'קטלוג תרחישים'!$A:$L, 12, FALSE)</f>
        <v>ג׳</v>
      </c>
      <c r="L765" s="29" t="str">
        <f>IF(J765="כן", K765, VLOOKUP(LEFT(H765, 7), 'קטלוג תרחישים'!$A:$M, 13, FALSE))</f>
        <v>ג׳</v>
      </c>
    </row>
    <row r="766" spans="1:12">
      <c r="A766" s="29" t="s">
        <v>202</v>
      </c>
      <c r="B766" s="29">
        <v>6</v>
      </c>
      <c r="C766" s="29" t="s">
        <v>339</v>
      </c>
      <c r="D766" s="29"/>
      <c r="E766" s="29" t="s">
        <v>105</v>
      </c>
      <c r="F766" s="29"/>
      <c r="G766" s="29"/>
      <c r="H766" s="30" t="s">
        <v>90</v>
      </c>
      <c r="I766" s="29" t="s">
        <v>89</v>
      </c>
      <c r="J766" s="29" t="s">
        <v>340</v>
      </c>
      <c r="K766" s="29" t="str">
        <f>VLOOKUP(LEFT(H766, 7), 'קטלוג תרחישים'!$A:$L, 12, FALSE)</f>
        <v>ג׳</v>
      </c>
      <c r="L766" s="29" t="str">
        <f>IF(J766="כן", K766, VLOOKUP(LEFT(H766, 7), 'קטלוג תרחישים'!$A:$M, 13, FALSE))</f>
        <v>ג׳</v>
      </c>
    </row>
    <row r="767" spans="1:12">
      <c r="A767" s="29" t="s">
        <v>202</v>
      </c>
      <c r="B767" s="29">
        <v>7</v>
      </c>
      <c r="C767" s="29" t="s">
        <v>341</v>
      </c>
      <c r="D767" s="29">
        <v>1</v>
      </c>
      <c r="E767" s="29" t="s">
        <v>92</v>
      </c>
      <c r="F767" s="29" t="s">
        <v>342</v>
      </c>
      <c r="G767" s="29" t="s">
        <v>111</v>
      </c>
      <c r="H767" s="29" t="s">
        <v>188</v>
      </c>
      <c r="I767" s="29" t="s">
        <v>89</v>
      </c>
      <c r="J767" s="29" t="s">
        <v>343</v>
      </c>
      <c r="K767" s="29" t="str">
        <f>VLOOKUP(LEFT(H767, 7), 'קטלוג תרחישים'!$A:$L, 12, FALSE)</f>
        <v>ג׳</v>
      </c>
      <c r="L767" s="29" t="str">
        <f>IF(J767="כן", K767, VLOOKUP(LEFT(H767, 7), 'קטלוג תרחישים'!$A:$M, 13, FALSE))</f>
        <v>ב׳</v>
      </c>
    </row>
    <row r="768" spans="1:12">
      <c r="A768" s="29" t="s">
        <v>202</v>
      </c>
      <c r="B768" s="29">
        <v>8</v>
      </c>
      <c r="C768" s="29" t="s">
        <v>341</v>
      </c>
      <c r="D768" s="29">
        <v>1</v>
      </c>
      <c r="E768" s="29" t="s">
        <v>92</v>
      </c>
      <c r="F768" s="29" t="s">
        <v>342</v>
      </c>
      <c r="G768" s="29" t="s">
        <v>111</v>
      </c>
      <c r="H768" s="29" t="s">
        <v>189</v>
      </c>
      <c r="I768" s="29" t="s">
        <v>94</v>
      </c>
      <c r="J768" s="29" t="s">
        <v>340</v>
      </c>
      <c r="K768" s="29" t="str">
        <f>VLOOKUP(LEFT(H768, 7), 'קטלוג תרחישים'!$A:$L, 12, FALSE)</f>
        <v>ב׳</v>
      </c>
      <c r="L768" s="29" t="str">
        <f>IF(J768="כן", K768, VLOOKUP(LEFT(H768, 7), 'קטלוג תרחישים'!$A:$M, 13, FALSE))</f>
        <v>ב׳</v>
      </c>
    </row>
    <row r="769" spans="1:12">
      <c r="A769" s="29" t="s">
        <v>202</v>
      </c>
      <c r="B769" s="29">
        <v>9</v>
      </c>
      <c r="C769" s="29" t="s">
        <v>341</v>
      </c>
      <c r="D769" s="29">
        <v>1</v>
      </c>
      <c r="E769" s="29" t="s">
        <v>92</v>
      </c>
      <c r="F769" s="29" t="s">
        <v>342</v>
      </c>
      <c r="G769" s="29" t="s">
        <v>111</v>
      </c>
      <c r="H769" s="29" t="s">
        <v>190</v>
      </c>
      <c r="I769" s="29" t="s">
        <v>89</v>
      </c>
      <c r="J769" s="29" t="s">
        <v>340</v>
      </c>
      <c r="K769" s="29" t="str">
        <f>VLOOKUP(LEFT(H769, 7), 'קטלוג תרחישים'!$A:$L, 12, FALSE)</f>
        <v>א׳</v>
      </c>
      <c r="L769" s="29" t="str">
        <f>IF(J769="כן", K769, VLOOKUP(LEFT(H769, 7), 'קטלוג תרחישים'!$A:$M, 13, FALSE))</f>
        <v>א׳</v>
      </c>
    </row>
    <row r="770" spans="1:12">
      <c r="A770" s="29" t="s">
        <v>202</v>
      </c>
      <c r="B770" s="29">
        <v>10</v>
      </c>
      <c r="C770" s="29" t="s">
        <v>341</v>
      </c>
      <c r="D770" s="29">
        <v>1</v>
      </c>
      <c r="E770" s="29" t="s">
        <v>92</v>
      </c>
      <c r="F770" s="29" t="s">
        <v>342</v>
      </c>
      <c r="G770" s="29" t="s">
        <v>111</v>
      </c>
      <c r="H770" s="29" t="s">
        <v>191</v>
      </c>
      <c r="I770" s="29" t="s">
        <v>94</v>
      </c>
      <c r="J770" s="29" t="s">
        <v>343</v>
      </c>
      <c r="K770" s="29" t="str">
        <f>VLOOKUP(LEFT(H770, 7), 'קטלוג תרחישים'!$A:$L, 12, FALSE)</f>
        <v>ג׳</v>
      </c>
      <c r="L770" s="29" t="str">
        <f>IF(J770="כן", K770, VLOOKUP(LEFT(H770, 7), 'קטלוג תרחישים'!$A:$M, 13, FALSE))</f>
        <v>א׳</v>
      </c>
    </row>
    <row r="771" spans="1:12">
      <c r="A771" s="29" t="s">
        <v>202</v>
      </c>
      <c r="B771" s="29">
        <v>11</v>
      </c>
      <c r="C771" s="29" t="s">
        <v>341</v>
      </c>
      <c r="D771" s="29">
        <v>2</v>
      </c>
      <c r="E771" s="29" t="s">
        <v>99</v>
      </c>
      <c r="F771" s="29" t="s">
        <v>342</v>
      </c>
      <c r="G771" s="29" t="s">
        <v>111</v>
      </c>
      <c r="H771" s="29" t="s">
        <v>194</v>
      </c>
      <c r="I771" s="29" t="s">
        <v>89</v>
      </c>
      <c r="J771" s="29" t="s">
        <v>343</v>
      </c>
      <c r="K771" s="29" t="str">
        <f>VLOOKUP(LEFT(H771, 7), 'קטלוג תרחישים'!$A:$L, 12, FALSE)</f>
        <v>ב׳</v>
      </c>
      <c r="L771" s="29" t="str">
        <f>IF(J771="כן", K771, VLOOKUP(LEFT(H771, 7), 'קטלוג תרחישים'!$A:$M, 13, FALSE))</f>
        <v>א׳</v>
      </c>
    </row>
    <row r="772" spans="1:12">
      <c r="A772" s="29" t="s">
        <v>202</v>
      </c>
      <c r="B772" s="29">
        <v>12</v>
      </c>
      <c r="C772" s="29" t="s">
        <v>341</v>
      </c>
      <c r="D772" s="29">
        <v>2</v>
      </c>
      <c r="E772" s="29" t="s">
        <v>99</v>
      </c>
      <c r="F772" s="29" t="s">
        <v>342</v>
      </c>
      <c r="G772" s="29" t="s">
        <v>111</v>
      </c>
      <c r="H772" s="29" t="s">
        <v>193</v>
      </c>
      <c r="I772" s="29" t="s">
        <v>94</v>
      </c>
      <c r="J772" s="29" t="s">
        <v>340</v>
      </c>
      <c r="K772" s="29" t="str">
        <f>VLOOKUP(LEFT(H772, 7), 'קטלוג תרחישים'!$A:$L, 12, FALSE)</f>
        <v>א׳</v>
      </c>
      <c r="L772" s="29" t="str">
        <f>IF(J772="כן", K772, VLOOKUP(LEFT(H772, 7), 'קטלוג תרחישים'!$A:$M, 13, FALSE))</f>
        <v>א׳</v>
      </c>
    </row>
    <row r="773" spans="1:12">
      <c r="A773" s="29" t="s">
        <v>202</v>
      </c>
      <c r="B773" s="29">
        <v>13</v>
      </c>
      <c r="C773" s="29" t="s">
        <v>341</v>
      </c>
      <c r="D773" s="29">
        <v>2</v>
      </c>
      <c r="E773" s="29" t="s">
        <v>99</v>
      </c>
      <c r="F773" s="29" t="s">
        <v>342</v>
      </c>
      <c r="G773" s="29" t="s">
        <v>111</v>
      </c>
      <c r="H773" s="29" t="s">
        <v>192</v>
      </c>
      <c r="I773" s="29" t="s">
        <v>89</v>
      </c>
      <c r="J773" s="29" t="s">
        <v>340</v>
      </c>
      <c r="K773" s="29" t="str">
        <f>VLOOKUP(LEFT(H773, 7), 'קטלוג תרחישים'!$A:$L, 12, FALSE)</f>
        <v>ב׳</v>
      </c>
      <c r="L773" s="29" t="str">
        <f>IF(J773="כן", K773, VLOOKUP(LEFT(H773, 7), 'קטלוג תרחישים'!$A:$M, 13, FALSE))</f>
        <v>ב׳</v>
      </c>
    </row>
    <row r="774" spans="1:12">
      <c r="A774" s="29" t="s">
        <v>202</v>
      </c>
      <c r="B774" s="29">
        <v>14</v>
      </c>
      <c r="C774" s="29" t="s">
        <v>341</v>
      </c>
      <c r="D774" s="29">
        <v>2</v>
      </c>
      <c r="E774" s="29" t="s">
        <v>99</v>
      </c>
      <c r="F774" s="29" t="s">
        <v>342</v>
      </c>
      <c r="G774" s="29" t="s">
        <v>111</v>
      </c>
      <c r="H774" s="29" t="s">
        <v>195</v>
      </c>
      <c r="I774" s="29" t="s">
        <v>94</v>
      </c>
      <c r="J774" s="29" t="s">
        <v>343</v>
      </c>
      <c r="K774" s="29" t="str">
        <f>VLOOKUP(LEFT(H774, 7), 'קטלוג תרחישים'!$A:$L, 12, FALSE)</f>
        <v>א׳</v>
      </c>
      <c r="L774" s="29" t="str">
        <f>IF(J774="כן", K774, VLOOKUP(LEFT(H774, 7), 'קטלוג תרחישים'!$A:$M, 13, FALSE))</f>
        <v>ג׳</v>
      </c>
    </row>
    <row r="775" spans="1:12">
      <c r="A775" s="29" t="s">
        <v>202</v>
      </c>
      <c r="B775" s="29">
        <v>15</v>
      </c>
      <c r="C775" s="29" t="s">
        <v>341</v>
      </c>
      <c r="D775" s="29">
        <v>3</v>
      </c>
      <c r="E775" s="29" t="s">
        <v>105</v>
      </c>
      <c r="F775" s="29" t="s">
        <v>342</v>
      </c>
      <c r="G775" s="29" t="s">
        <v>111</v>
      </c>
      <c r="H775" s="29" t="s">
        <v>196</v>
      </c>
      <c r="I775" s="29" t="s">
        <v>89</v>
      </c>
      <c r="J775" s="29" t="s">
        <v>343</v>
      </c>
      <c r="K775" s="29" t="str">
        <f>VLOOKUP(LEFT(H775, 7), 'קטלוג תרחישים'!$A:$L, 12, FALSE)</f>
        <v>ב׳</v>
      </c>
      <c r="L775" s="29" t="str">
        <f>IF(J775="כן", K775, VLOOKUP(LEFT(H775, 7), 'קטלוג תרחישים'!$A:$M, 13, FALSE))</f>
        <v>א׳</v>
      </c>
    </row>
    <row r="776" spans="1:12">
      <c r="A776" s="29" t="s">
        <v>202</v>
      </c>
      <c r="B776" s="29">
        <v>16</v>
      </c>
      <c r="C776" s="29" t="s">
        <v>341</v>
      </c>
      <c r="D776" s="29">
        <v>3</v>
      </c>
      <c r="E776" s="29" t="s">
        <v>105</v>
      </c>
      <c r="F776" s="29" t="s">
        <v>342</v>
      </c>
      <c r="G776" s="29" t="s">
        <v>111</v>
      </c>
      <c r="H776" s="29" t="s">
        <v>197</v>
      </c>
      <c r="I776" s="29" t="s">
        <v>94</v>
      </c>
      <c r="J776" s="29" t="s">
        <v>343</v>
      </c>
      <c r="K776" s="29" t="str">
        <f>VLOOKUP(LEFT(H776, 7), 'קטלוג תרחישים'!$A:$L, 12, FALSE)</f>
        <v>א׳</v>
      </c>
      <c r="L776" s="29" t="str">
        <f>IF(J776="כן", K776, VLOOKUP(LEFT(H776, 7), 'קטלוג תרחישים'!$A:$M, 13, FALSE))</f>
        <v>ב׳</v>
      </c>
    </row>
    <row r="777" spans="1:12">
      <c r="A777" s="29" t="s">
        <v>202</v>
      </c>
      <c r="B777" s="29">
        <v>17</v>
      </c>
      <c r="C777" s="29" t="s">
        <v>341</v>
      </c>
      <c r="D777" s="29">
        <v>3</v>
      </c>
      <c r="E777" s="29" t="s">
        <v>105</v>
      </c>
      <c r="F777" s="29" t="s">
        <v>342</v>
      </c>
      <c r="G777" s="29" t="s">
        <v>111</v>
      </c>
      <c r="H777" s="29" t="s">
        <v>198</v>
      </c>
      <c r="I777" s="29" t="s">
        <v>89</v>
      </c>
      <c r="J777" s="29" t="s">
        <v>340</v>
      </c>
      <c r="K777" s="29" t="str">
        <f>VLOOKUP(LEFT(H777, 7), 'קטלוג תרחישים'!$A:$L, 12, FALSE)</f>
        <v>ג׳</v>
      </c>
      <c r="L777" s="29" t="str">
        <f>IF(J777="כן", K777, VLOOKUP(LEFT(H777, 7), 'קטלוג תרחישים'!$A:$M, 13, FALSE))</f>
        <v>ג׳</v>
      </c>
    </row>
    <row r="778" spans="1:12">
      <c r="A778" s="29" t="s">
        <v>202</v>
      </c>
      <c r="B778" s="29">
        <v>18</v>
      </c>
      <c r="C778" s="29" t="s">
        <v>341</v>
      </c>
      <c r="D778" s="29">
        <v>3</v>
      </c>
      <c r="E778" s="29" t="s">
        <v>105</v>
      </c>
      <c r="F778" s="29" t="s">
        <v>342</v>
      </c>
      <c r="G778" s="29" t="s">
        <v>111</v>
      </c>
      <c r="H778" s="29" t="s">
        <v>199</v>
      </c>
      <c r="I778" s="29" t="s">
        <v>94</v>
      </c>
      <c r="J778" s="29" t="s">
        <v>340</v>
      </c>
      <c r="K778" s="29" t="str">
        <f>VLOOKUP(LEFT(H778, 7), 'קטלוג תרחישים'!$A:$L, 12, FALSE)</f>
        <v>ב׳</v>
      </c>
      <c r="L778" s="29" t="str">
        <f>IF(J778="כן", K778, VLOOKUP(LEFT(H778, 7), 'קטלוג תרחישים'!$A:$M, 13, FALSE))</f>
        <v>ב׳</v>
      </c>
    </row>
    <row r="779" spans="1:12">
      <c r="A779" s="29" t="s">
        <v>202</v>
      </c>
      <c r="B779" s="29">
        <v>19</v>
      </c>
      <c r="C779" s="29" t="s">
        <v>341</v>
      </c>
      <c r="D779" s="29">
        <v>1</v>
      </c>
      <c r="E779" s="29" t="s">
        <v>105</v>
      </c>
      <c r="F779" s="29" t="s">
        <v>344</v>
      </c>
      <c r="G779" s="29" t="s">
        <v>91</v>
      </c>
      <c r="H779" s="29" t="s">
        <v>177</v>
      </c>
      <c r="I779" s="29" t="s">
        <v>94</v>
      </c>
      <c r="J779" s="29" t="s">
        <v>340</v>
      </c>
      <c r="K779" s="29" t="str">
        <f>VLOOKUP(LEFT(H779, 7), 'קטלוג תרחישים'!$A:$L, 12, FALSE)</f>
        <v>ב׳</v>
      </c>
      <c r="L779" s="29" t="str">
        <f>IF(J779="כן", K779, VLOOKUP(LEFT(H779, 7), 'קטלוג תרחישים'!$A:$M, 13, FALSE))</f>
        <v>ב׳</v>
      </c>
    </row>
    <row r="780" spans="1:12">
      <c r="A780" s="29" t="s">
        <v>202</v>
      </c>
      <c r="B780" s="29">
        <v>20</v>
      </c>
      <c r="C780" s="29" t="s">
        <v>341</v>
      </c>
      <c r="D780" s="29">
        <v>1</v>
      </c>
      <c r="E780" s="29" t="s">
        <v>105</v>
      </c>
      <c r="F780" s="29" t="s">
        <v>344</v>
      </c>
      <c r="G780" s="29" t="s">
        <v>91</v>
      </c>
      <c r="H780" s="29" t="s">
        <v>176</v>
      </c>
      <c r="I780" s="29" t="s">
        <v>89</v>
      </c>
      <c r="J780" s="29" t="s">
        <v>340</v>
      </c>
      <c r="K780" s="29" t="str">
        <f>VLOOKUP(LEFT(H780, 7), 'קטלוג תרחישים'!$A:$L, 12, FALSE)</f>
        <v>ג׳</v>
      </c>
      <c r="L780" s="29" t="str">
        <f>IF(J780="כן", K780, VLOOKUP(LEFT(H780, 7), 'קטלוג תרחישים'!$A:$M, 13, FALSE))</f>
        <v>ג׳</v>
      </c>
    </row>
    <row r="781" spans="1:12">
      <c r="A781" s="29" t="s">
        <v>202</v>
      </c>
      <c r="B781" s="29">
        <v>21</v>
      </c>
      <c r="C781" s="29" t="s">
        <v>341</v>
      </c>
      <c r="D781" s="29">
        <v>1</v>
      </c>
      <c r="E781" s="29" t="s">
        <v>105</v>
      </c>
      <c r="F781" s="29" t="s">
        <v>344</v>
      </c>
      <c r="G781" s="29" t="s">
        <v>91</v>
      </c>
      <c r="H781" s="29" t="s">
        <v>173</v>
      </c>
      <c r="I781" s="29" t="s">
        <v>94</v>
      </c>
      <c r="J781" s="29" t="s">
        <v>343</v>
      </c>
      <c r="K781" s="29" t="str">
        <f>VLOOKUP(LEFT(H781, 7), 'קטלוג תרחישים'!$A:$L, 12, FALSE)</f>
        <v>ג׳</v>
      </c>
      <c r="L781" s="29" t="str">
        <f>IF(J781="כן", K781, VLOOKUP(LEFT(H781, 7), 'קטלוג תרחישים'!$A:$M, 13, FALSE))</f>
        <v>א׳</v>
      </c>
    </row>
    <row r="782" spans="1:12">
      <c r="A782" s="29" t="s">
        <v>202</v>
      </c>
      <c r="B782" s="29">
        <v>22</v>
      </c>
      <c r="C782" s="29" t="s">
        <v>341</v>
      </c>
      <c r="D782" s="29">
        <v>1</v>
      </c>
      <c r="E782" s="29" t="s">
        <v>105</v>
      </c>
      <c r="F782" s="29" t="s">
        <v>344</v>
      </c>
      <c r="G782" s="29" t="s">
        <v>91</v>
      </c>
      <c r="H782" s="29" t="s">
        <v>174</v>
      </c>
      <c r="I782" s="29" t="s">
        <v>89</v>
      </c>
      <c r="J782" s="29" t="s">
        <v>340</v>
      </c>
      <c r="K782" s="29" t="str">
        <f>VLOOKUP(LEFT(H782, 7), 'קטלוג תרחישים'!$A:$L, 12, FALSE)</f>
        <v>ג׳</v>
      </c>
      <c r="L782" s="29" t="str">
        <f>IF(J782="כן", K782, VLOOKUP(LEFT(H782, 7), 'קטלוג תרחישים'!$A:$M, 13, FALSE))</f>
        <v>ג׳</v>
      </c>
    </row>
    <row r="783" spans="1:12">
      <c r="A783" s="29" t="s">
        <v>202</v>
      </c>
      <c r="B783" s="29">
        <v>23</v>
      </c>
      <c r="C783" s="29" t="s">
        <v>341</v>
      </c>
      <c r="D783" s="29">
        <v>1</v>
      </c>
      <c r="E783" s="29" t="s">
        <v>105</v>
      </c>
      <c r="F783" s="29" t="s">
        <v>344</v>
      </c>
      <c r="G783" s="29" t="s">
        <v>91</v>
      </c>
      <c r="H783" s="29" t="s">
        <v>175</v>
      </c>
      <c r="I783" s="29" t="s">
        <v>94</v>
      </c>
      <c r="J783" s="29" t="s">
        <v>340</v>
      </c>
      <c r="K783" s="29" t="str">
        <f>VLOOKUP(LEFT(H783, 7), 'קטלוג תרחישים'!$A:$L, 12, FALSE)</f>
        <v>א׳</v>
      </c>
      <c r="L783" s="29" t="str">
        <f>IF(J783="כן", K783, VLOOKUP(LEFT(H783, 7), 'קטלוג תרחישים'!$A:$M, 13, FALSE))</f>
        <v>א׳</v>
      </c>
    </row>
    <row r="784" spans="1:12">
      <c r="A784" s="29" t="s">
        <v>202</v>
      </c>
      <c r="B784" s="29">
        <v>24</v>
      </c>
      <c r="C784" s="29" t="s">
        <v>341</v>
      </c>
      <c r="D784" s="29">
        <v>2</v>
      </c>
      <c r="E784" s="29" t="s">
        <v>92</v>
      </c>
      <c r="F784" s="29" t="s">
        <v>344</v>
      </c>
      <c r="G784" s="29" t="s">
        <v>91</v>
      </c>
      <c r="H784" s="29" t="s">
        <v>178</v>
      </c>
      <c r="I784" s="29" t="s">
        <v>89</v>
      </c>
      <c r="J784" s="29" t="s">
        <v>343</v>
      </c>
      <c r="K784" s="29" t="str">
        <f>VLOOKUP(LEFT(H784, 7), 'קטלוג תרחישים'!$A:$L, 12, FALSE)</f>
        <v>א׳</v>
      </c>
      <c r="L784" s="29" t="str">
        <f>IF(J784="כן", K784, VLOOKUP(LEFT(H784, 7), 'קטלוג תרחישים'!$A:$M, 13, FALSE))</f>
        <v>ג׳</v>
      </c>
    </row>
    <row r="785" spans="1:12">
      <c r="A785" s="29" t="s">
        <v>202</v>
      </c>
      <c r="B785" s="29">
        <v>25</v>
      </c>
      <c r="C785" s="29" t="s">
        <v>341</v>
      </c>
      <c r="D785" s="29">
        <v>2</v>
      </c>
      <c r="E785" s="29" t="s">
        <v>92</v>
      </c>
      <c r="F785" s="29" t="s">
        <v>344</v>
      </c>
      <c r="G785" s="29" t="s">
        <v>91</v>
      </c>
      <c r="H785" s="29" t="s">
        <v>181</v>
      </c>
      <c r="I785" s="29" t="s">
        <v>94</v>
      </c>
      <c r="J785" s="29" t="s">
        <v>340</v>
      </c>
      <c r="K785" s="29" t="str">
        <f>VLOOKUP(LEFT(H785, 7), 'קטלוג תרחישים'!$A:$L, 12, FALSE)</f>
        <v>ג׳</v>
      </c>
      <c r="L785" s="29" t="str">
        <f>IF(J785="כן", K785, VLOOKUP(LEFT(H785, 7), 'קטלוג תרחישים'!$A:$M, 13, FALSE))</f>
        <v>ג׳</v>
      </c>
    </row>
    <row r="786" spans="1:12">
      <c r="A786" s="29" t="s">
        <v>202</v>
      </c>
      <c r="B786" s="29">
        <v>26</v>
      </c>
      <c r="C786" s="29" t="s">
        <v>341</v>
      </c>
      <c r="D786" s="29">
        <v>2</v>
      </c>
      <c r="E786" s="29" t="s">
        <v>92</v>
      </c>
      <c r="F786" s="29" t="s">
        <v>344</v>
      </c>
      <c r="G786" s="29" t="s">
        <v>91</v>
      </c>
      <c r="H786" s="29" t="s">
        <v>180</v>
      </c>
      <c r="I786" s="29" t="s">
        <v>89</v>
      </c>
      <c r="J786" s="29" t="s">
        <v>340</v>
      </c>
      <c r="K786" s="29" t="str">
        <f>VLOOKUP(LEFT(H786, 7), 'קטלוג תרחישים'!$A:$L, 12, FALSE)</f>
        <v>ב׳</v>
      </c>
      <c r="L786" s="29" t="str">
        <f>IF(J786="כן", K786, VLOOKUP(LEFT(H786, 7), 'קטלוג תרחישים'!$A:$M, 13, FALSE))</f>
        <v>ב׳</v>
      </c>
    </row>
    <row r="787" spans="1:12">
      <c r="A787" s="29" t="s">
        <v>202</v>
      </c>
      <c r="B787" s="29">
        <v>27</v>
      </c>
      <c r="C787" s="29" t="s">
        <v>341</v>
      </c>
      <c r="D787" s="29">
        <v>2</v>
      </c>
      <c r="E787" s="29" t="s">
        <v>92</v>
      </c>
      <c r="F787" s="29" t="s">
        <v>344</v>
      </c>
      <c r="G787" s="29" t="s">
        <v>91</v>
      </c>
      <c r="H787" s="29" t="s">
        <v>179</v>
      </c>
      <c r="I787" s="29" t="s">
        <v>94</v>
      </c>
      <c r="J787" s="29" t="s">
        <v>340</v>
      </c>
      <c r="K787" s="29" t="str">
        <f>VLOOKUP(LEFT(H787, 7), 'קטלוג תרחישים'!$A:$L, 12, FALSE)</f>
        <v>א׳</v>
      </c>
      <c r="L787" s="29" t="str">
        <f>IF(J787="כן", K787, VLOOKUP(LEFT(H787, 7), 'קטלוג תרחישים'!$A:$M, 13, FALSE))</f>
        <v>א׳</v>
      </c>
    </row>
    <row r="788" spans="1:12">
      <c r="A788" s="29" t="s">
        <v>202</v>
      </c>
      <c r="B788" s="29">
        <v>28</v>
      </c>
      <c r="C788" s="29" t="s">
        <v>341</v>
      </c>
      <c r="D788" s="29">
        <v>2</v>
      </c>
      <c r="E788" s="29" t="s">
        <v>92</v>
      </c>
      <c r="F788" s="29" t="s">
        <v>344</v>
      </c>
      <c r="G788" s="29" t="s">
        <v>91</v>
      </c>
      <c r="H788" s="29" t="s">
        <v>182</v>
      </c>
      <c r="I788" s="29" t="s">
        <v>89</v>
      </c>
      <c r="J788" s="29" t="s">
        <v>340</v>
      </c>
      <c r="K788" s="29" t="str">
        <f>VLOOKUP(LEFT(H788, 7), 'קטלוג תרחישים'!$A:$L, 12, FALSE)</f>
        <v>ב׳</v>
      </c>
      <c r="L788" s="29" t="str">
        <f>IF(J788="כן", K788, VLOOKUP(LEFT(H788, 7), 'קטלוג תרחישים'!$A:$M, 13, FALSE))</f>
        <v>ב׳</v>
      </c>
    </row>
    <row r="789" spans="1:12">
      <c r="A789" s="29" t="s">
        <v>202</v>
      </c>
      <c r="B789" s="29">
        <v>29</v>
      </c>
      <c r="C789" s="29" t="s">
        <v>341</v>
      </c>
      <c r="D789" s="29">
        <v>3</v>
      </c>
      <c r="E789" s="29" t="s">
        <v>99</v>
      </c>
      <c r="F789" s="29" t="s">
        <v>344</v>
      </c>
      <c r="G789" s="29" t="s">
        <v>91</v>
      </c>
      <c r="H789" s="29" t="s">
        <v>185</v>
      </c>
      <c r="I789" s="29" t="s">
        <v>89</v>
      </c>
      <c r="J789" s="29" t="s">
        <v>340</v>
      </c>
      <c r="K789" s="29" t="str">
        <f>VLOOKUP(LEFT(H789, 7), 'קטלוג תרחישים'!$A:$L, 12, FALSE)</f>
        <v>א׳</v>
      </c>
      <c r="L789" s="29" t="str">
        <f>IF(J789="כן", K789, VLOOKUP(LEFT(H789, 7), 'קטלוג תרחישים'!$A:$M, 13, FALSE))</f>
        <v>א׳</v>
      </c>
    </row>
    <row r="790" spans="1:12">
      <c r="A790" s="29" t="s">
        <v>202</v>
      </c>
      <c r="B790" s="29">
        <v>30</v>
      </c>
      <c r="C790" s="29" t="s">
        <v>341</v>
      </c>
      <c r="D790" s="29">
        <v>3</v>
      </c>
      <c r="E790" s="29" t="s">
        <v>99</v>
      </c>
      <c r="F790" s="29" t="s">
        <v>344</v>
      </c>
      <c r="G790" s="29" t="s">
        <v>91</v>
      </c>
      <c r="H790" s="29" t="s">
        <v>186</v>
      </c>
      <c r="I790" s="29" t="s">
        <v>94</v>
      </c>
      <c r="J790" s="29" t="s">
        <v>343</v>
      </c>
      <c r="K790" s="29" t="str">
        <f>VLOOKUP(LEFT(H790, 7), 'קטלוג תרחישים'!$A:$L, 12, FALSE)</f>
        <v>ב׳</v>
      </c>
      <c r="L790" s="29" t="str">
        <f>IF(J790="כן", K790, VLOOKUP(LEFT(H790, 7), 'קטלוג תרחישים'!$A:$M, 13, FALSE))</f>
        <v>ג׳</v>
      </c>
    </row>
    <row r="791" spans="1:12">
      <c r="A791" s="29" t="s">
        <v>202</v>
      </c>
      <c r="B791" s="29">
        <v>31</v>
      </c>
      <c r="C791" s="29" t="s">
        <v>341</v>
      </c>
      <c r="D791" s="29">
        <v>3</v>
      </c>
      <c r="E791" s="29" t="s">
        <v>99</v>
      </c>
      <c r="F791" s="29" t="s">
        <v>344</v>
      </c>
      <c r="G791" s="29" t="s">
        <v>91</v>
      </c>
      <c r="H791" s="29" t="s">
        <v>183</v>
      </c>
      <c r="I791" s="29" t="s">
        <v>89</v>
      </c>
      <c r="J791" s="29" t="s">
        <v>340</v>
      </c>
      <c r="K791" s="29" t="str">
        <f>VLOOKUP(LEFT(H791, 7), 'קטלוג תרחישים'!$A:$L, 12, FALSE)</f>
        <v>ג׳</v>
      </c>
      <c r="L791" s="29" t="str">
        <f>IF(J791="כן", K791, VLOOKUP(LEFT(H791, 7), 'קטלוג תרחישים'!$A:$M, 13, FALSE))</f>
        <v>ג׳</v>
      </c>
    </row>
    <row r="792" spans="1:12">
      <c r="A792" s="29" t="s">
        <v>202</v>
      </c>
      <c r="B792" s="29">
        <v>32</v>
      </c>
      <c r="C792" s="29" t="s">
        <v>341</v>
      </c>
      <c r="D792" s="29">
        <v>3</v>
      </c>
      <c r="E792" s="29" t="s">
        <v>99</v>
      </c>
      <c r="F792" s="29" t="s">
        <v>344</v>
      </c>
      <c r="G792" s="29" t="s">
        <v>91</v>
      </c>
      <c r="H792" s="29" t="s">
        <v>184</v>
      </c>
      <c r="I792" s="29" t="s">
        <v>94</v>
      </c>
      <c r="J792" s="29" t="s">
        <v>340</v>
      </c>
      <c r="K792" s="29" t="str">
        <f>VLOOKUP(LEFT(H792, 7), 'קטלוג תרחישים'!$A:$L, 12, FALSE)</f>
        <v>ג׳</v>
      </c>
      <c r="L792" s="29" t="str">
        <f>IF(J792="כן", K792, VLOOKUP(LEFT(H792, 7), 'קטלוג תרחישים'!$A:$M, 13, FALSE))</f>
        <v>ג׳</v>
      </c>
    </row>
    <row r="793" spans="1:12">
      <c r="A793" s="29" t="s">
        <v>202</v>
      </c>
      <c r="B793" s="29">
        <v>33</v>
      </c>
      <c r="C793" s="29" t="s">
        <v>341</v>
      </c>
      <c r="D793" s="29">
        <v>3</v>
      </c>
      <c r="E793" s="29" t="s">
        <v>99</v>
      </c>
      <c r="F793" s="29" t="s">
        <v>344</v>
      </c>
      <c r="G793" s="29" t="s">
        <v>91</v>
      </c>
      <c r="H793" s="29" t="s">
        <v>187</v>
      </c>
      <c r="I793" s="29" t="s">
        <v>89</v>
      </c>
      <c r="J793" s="29" t="s">
        <v>340</v>
      </c>
      <c r="K793" s="29" t="str">
        <f>VLOOKUP(LEFT(H793, 7), 'קטלוג תרחישים'!$A:$L, 12, FALSE)</f>
        <v>א׳</v>
      </c>
      <c r="L793" s="29" t="str">
        <f>IF(J793="כן", K793, VLOOKUP(LEFT(H793, 7), 'קטלוג תרחישים'!$A:$M, 13, FALSE))</f>
        <v>א׳</v>
      </c>
    </row>
    <row r="794" spans="1:12">
      <c r="A794" s="29" t="s">
        <v>203</v>
      </c>
      <c r="B794" s="29">
        <v>1</v>
      </c>
      <c r="C794" s="29" t="s">
        <v>339</v>
      </c>
      <c r="D794" s="29"/>
      <c r="E794" s="29" t="s">
        <v>92</v>
      </c>
      <c r="F794" s="29"/>
      <c r="G794" s="29"/>
      <c r="H794" s="30" t="s">
        <v>351</v>
      </c>
      <c r="I794" s="29" t="s">
        <v>89</v>
      </c>
      <c r="J794" s="29" t="s">
        <v>340</v>
      </c>
      <c r="K794" s="29" t="str">
        <f>VLOOKUP(LEFT(H794, 7), 'קטלוג תרחישים'!$A:$L, 12, FALSE)</f>
        <v>א׳</v>
      </c>
      <c r="L794" s="29" t="str">
        <f>IF(J794="כן", K794, VLOOKUP(LEFT(H794, 7), 'קטלוג תרחישים'!$A:$M, 13, FALSE))</f>
        <v>א׳</v>
      </c>
    </row>
    <row r="795" spans="1:12">
      <c r="A795" s="29" t="s">
        <v>203</v>
      </c>
      <c r="B795" s="29">
        <v>2</v>
      </c>
      <c r="C795" s="29" t="s">
        <v>339</v>
      </c>
      <c r="D795" s="29"/>
      <c r="E795" s="29" t="s">
        <v>92</v>
      </c>
      <c r="F795" s="29"/>
      <c r="G795" s="29"/>
      <c r="H795" s="30" t="s">
        <v>88</v>
      </c>
      <c r="I795" s="29" t="s">
        <v>89</v>
      </c>
      <c r="J795" s="29" t="s">
        <v>340</v>
      </c>
      <c r="K795" s="29" t="str">
        <f>VLOOKUP(LEFT(H795, 7), 'קטלוג תרחישים'!$A:$L, 12, FALSE)</f>
        <v>א׳</v>
      </c>
      <c r="L795" s="29" t="str">
        <f>IF(J795="כן", K795, VLOOKUP(LEFT(H795, 7), 'קטלוג תרחישים'!$A:$M, 13, FALSE))</f>
        <v>א׳</v>
      </c>
    </row>
    <row r="796" spans="1:12">
      <c r="A796" s="29" t="s">
        <v>203</v>
      </c>
      <c r="B796" s="29">
        <v>3</v>
      </c>
      <c r="C796" s="29" t="s">
        <v>339</v>
      </c>
      <c r="D796" s="29"/>
      <c r="E796" s="29" t="s">
        <v>99</v>
      </c>
      <c r="F796" s="29"/>
      <c r="G796" s="29"/>
      <c r="H796" s="30" t="s">
        <v>352</v>
      </c>
      <c r="I796" s="29" t="s">
        <v>89</v>
      </c>
      <c r="J796" s="29" t="s">
        <v>340</v>
      </c>
      <c r="K796" s="29" t="str">
        <f>VLOOKUP(LEFT(H796, 7), 'קטלוג תרחישים'!$A:$L, 12, FALSE)</f>
        <v>ב׳</v>
      </c>
      <c r="L796" s="29" t="str">
        <f>IF(J796="כן", K796, VLOOKUP(LEFT(H796, 7), 'קטלוג תרחישים'!$A:$M, 13, FALSE))</f>
        <v>ב׳</v>
      </c>
    </row>
    <row r="797" spans="1:12">
      <c r="A797" s="29" t="s">
        <v>203</v>
      </c>
      <c r="B797" s="29">
        <v>4</v>
      </c>
      <c r="C797" s="29" t="s">
        <v>339</v>
      </c>
      <c r="D797" s="29"/>
      <c r="E797" s="29" t="s">
        <v>99</v>
      </c>
      <c r="F797" s="29"/>
      <c r="G797" s="29"/>
      <c r="H797" s="30" t="s">
        <v>353</v>
      </c>
      <c r="I797" s="29" t="s">
        <v>89</v>
      </c>
      <c r="J797" s="29" t="s">
        <v>340</v>
      </c>
      <c r="K797" s="29" t="str">
        <f>VLOOKUP(LEFT(H797, 7), 'קטלוג תרחישים'!$A:$L, 12, FALSE)</f>
        <v>ב׳</v>
      </c>
      <c r="L797" s="29" t="str">
        <f>IF(J797="כן", K797, VLOOKUP(LEFT(H797, 7), 'קטלוג תרחישים'!$A:$M, 13, FALSE))</f>
        <v>ב׳</v>
      </c>
    </row>
    <row r="798" spans="1:12">
      <c r="A798" s="29" t="s">
        <v>203</v>
      </c>
      <c r="B798" s="29">
        <v>5</v>
      </c>
      <c r="C798" s="29" t="s">
        <v>339</v>
      </c>
      <c r="D798" s="29"/>
      <c r="E798" s="29" t="s">
        <v>105</v>
      </c>
      <c r="F798" s="29"/>
      <c r="G798" s="29"/>
      <c r="H798" s="30" t="s">
        <v>354</v>
      </c>
      <c r="I798" s="29" t="s">
        <v>89</v>
      </c>
      <c r="J798" s="29" t="s">
        <v>340</v>
      </c>
      <c r="K798" s="29" t="str">
        <f>VLOOKUP(LEFT(H798, 7), 'קטלוג תרחישים'!$A:$L, 12, FALSE)</f>
        <v>ג׳</v>
      </c>
      <c r="L798" s="29" t="str">
        <f>IF(J798="כן", K798, VLOOKUP(LEFT(H798, 7), 'קטלוג תרחישים'!$A:$M, 13, FALSE))</f>
        <v>ג׳</v>
      </c>
    </row>
    <row r="799" spans="1:12">
      <c r="A799" s="29" t="s">
        <v>203</v>
      </c>
      <c r="B799" s="29">
        <v>6</v>
      </c>
      <c r="C799" s="29" t="s">
        <v>339</v>
      </c>
      <c r="D799" s="29"/>
      <c r="E799" s="29" t="s">
        <v>105</v>
      </c>
      <c r="F799" s="29"/>
      <c r="G799" s="29"/>
      <c r="H799" s="30" t="s">
        <v>90</v>
      </c>
      <c r="I799" s="29" t="s">
        <v>89</v>
      </c>
      <c r="J799" s="29" t="s">
        <v>340</v>
      </c>
      <c r="K799" s="29" t="str">
        <f>VLOOKUP(LEFT(H799, 7), 'קטלוג תרחישים'!$A:$L, 12, FALSE)</f>
        <v>ג׳</v>
      </c>
      <c r="L799" s="29" t="str">
        <f>IF(J799="כן", K799, VLOOKUP(LEFT(H799, 7), 'קטלוג תרחישים'!$A:$M, 13, FALSE))</f>
        <v>ג׳</v>
      </c>
    </row>
    <row r="800" spans="1:12">
      <c r="A800" s="29" t="s">
        <v>203</v>
      </c>
      <c r="B800" s="29">
        <v>7</v>
      </c>
      <c r="C800" s="29" t="s">
        <v>341</v>
      </c>
      <c r="D800" s="29">
        <v>1</v>
      </c>
      <c r="E800" s="29" t="s">
        <v>92</v>
      </c>
      <c r="F800" s="29" t="s">
        <v>342</v>
      </c>
      <c r="G800" s="29" t="s">
        <v>91</v>
      </c>
      <c r="H800" s="29" t="s">
        <v>178</v>
      </c>
      <c r="I800" s="29" t="s">
        <v>89</v>
      </c>
      <c r="J800" s="29" t="s">
        <v>340</v>
      </c>
      <c r="K800" s="29" t="str">
        <f>VLOOKUP(LEFT(H800, 7), 'קטלוג תרחישים'!$A:$L, 12, FALSE)</f>
        <v>א׳</v>
      </c>
      <c r="L800" s="29" t="str">
        <f>IF(J800="כן", K800, VLOOKUP(LEFT(H800, 7), 'קטלוג תרחישים'!$A:$M, 13, FALSE))</f>
        <v>א׳</v>
      </c>
    </row>
    <row r="801" spans="1:12">
      <c r="A801" s="29" t="s">
        <v>203</v>
      </c>
      <c r="B801" s="29">
        <v>8</v>
      </c>
      <c r="C801" s="29" t="s">
        <v>341</v>
      </c>
      <c r="D801" s="29">
        <v>1</v>
      </c>
      <c r="E801" s="29" t="s">
        <v>92</v>
      </c>
      <c r="F801" s="29" t="s">
        <v>342</v>
      </c>
      <c r="G801" s="29" t="s">
        <v>91</v>
      </c>
      <c r="H801" s="29" t="s">
        <v>179</v>
      </c>
      <c r="I801" s="29" t="s">
        <v>94</v>
      </c>
      <c r="J801" s="29" t="s">
        <v>340</v>
      </c>
      <c r="K801" s="29" t="str">
        <f>VLOOKUP(LEFT(H801, 7), 'קטלוג תרחישים'!$A:$L, 12, FALSE)</f>
        <v>א׳</v>
      </c>
      <c r="L801" s="29" t="str">
        <f>IF(J801="כן", K801, VLOOKUP(LEFT(H801, 7), 'קטלוג תרחישים'!$A:$M, 13, FALSE))</f>
        <v>א׳</v>
      </c>
    </row>
    <row r="802" spans="1:12">
      <c r="A802" s="29" t="s">
        <v>203</v>
      </c>
      <c r="B802" s="29">
        <v>9</v>
      </c>
      <c r="C802" s="29" t="s">
        <v>341</v>
      </c>
      <c r="D802" s="29">
        <v>1</v>
      </c>
      <c r="E802" s="29" t="s">
        <v>92</v>
      </c>
      <c r="F802" s="29" t="s">
        <v>342</v>
      </c>
      <c r="G802" s="29" t="s">
        <v>91</v>
      </c>
      <c r="H802" s="29" t="s">
        <v>180</v>
      </c>
      <c r="I802" s="29" t="s">
        <v>89</v>
      </c>
      <c r="J802" s="29" t="s">
        <v>340</v>
      </c>
      <c r="K802" s="29" t="str">
        <f>VLOOKUP(LEFT(H802, 7), 'קטלוג תרחישים'!$A:$L, 12, FALSE)</f>
        <v>ב׳</v>
      </c>
      <c r="L802" s="29" t="str">
        <f>IF(J802="כן", K802, VLOOKUP(LEFT(H802, 7), 'קטלוג תרחישים'!$A:$M, 13, FALSE))</f>
        <v>ב׳</v>
      </c>
    </row>
    <row r="803" spans="1:12">
      <c r="A803" s="29" t="s">
        <v>203</v>
      </c>
      <c r="B803" s="29">
        <v>10</v>
      </c>
      <c r="C803" s="29" t="s">
        <v>341</v>
      </c>
      <c r="D803" s="29">
        <v>1</v>
      </c>
      <c r="E803" s="29" t="s">
        <v>92</v>
      </c>
      <c r="F803" s="29" t="s">
        <v>342</v>
      </c>
      <c r="G803" s="29" t="s">
        <v>91</v>
      </c>
      <c r="H803" s="29" t="s">
        <v>181</v>
      </c>
      <c r="I803" s="29" t="s">
        <v>94</v>
      </c>
      <c r="J803" s="29" t="s">
        <v>343</v>
      </c>
      <c r="K803" s="29" t="str">
        <f>VLOOKUP(LEFT(H803, 7), 'קטלוג תרחישים'!$A:$L, 12, FALSE)</f>
        <v>ג׳</v>
      </c>
      <c r="L803" s="29" t="str">
        <f>IF(J803="כן", K803, VLOOKUP(LEFT(H803, 7), 'קטלוג תרחישים'!$A:$M, 13, FALSE))</f>
        <v>א׳</v>
      </c>
    </row>
    <row r="804" spans="1:12">
      <c r="A804" s="29" t="s">
        <v>203</v>
      </c>
      <c r="B804" s="29">
        <v>11</v>
      </c>
      <c r="C804" s="29" t="s">
        <v>341</v>
      </c>
      <c r="D804" s="29">
        <v>1</v>
      </c>
      <c r="E804" s="29" t="s">
        <v>92</v>
      </c>
      <c r="F804" s="29" t="s">
        <v>342</v>
      </c>
      <c r="G804" s="29" t="s">
        <v>91</v>
      </c>
      <c r="H804" s="29" t="s">
        <v>182</v>
      </c>
      <c r="I804" s="29" t="s">
        <v>89</v>
      </c>
      <c r="J804" s="29" t="s">
        <v>340</v>
      </c>
      <c r="K804" s="29" t="str">
        <f>VLOOKUP(LEFT(H804, 7), 'קטלוג תרחישים'!$A:$L, 12, FALSE)</f>
        <v>ב׳</v>
      </c>
      <c r="L804" s="29" t="str">
        <f>IF(J804="כן", K804, VLOOKUP(LEFT(H804, 7), 'קטלוג תרחישים'!$A:$M, 13, FALSE))</f>
        <v>ב׳</v>
      </c>
    </row>
    <row r="805" spans="1:12">
      <c r="A805" s="29" t="s">
        <v>203</v>
      </c>
      <c r="B805" s="29">
        <v>12</v>
      </c>
      <c r="C805" s="29" t="s">
        <v>341</v>
      </c>
      <c r="D805" s="29">
        <v>2</v>
      </c>
      <c r="E805" s="29" t="s">
        <v>99</v>
      </c>
      <c r="F805" s="29" t="s">
        <v>342</v>
      </c>
      <c r="G805" s="29" t="s">
        <v>91</v>
      </c>
      <c r="H805" s="29" t="s">
        <v>183</v>
      </c>
      <c r="I805" s="29" t="s">
        <v>89</v>
      </c>
      <c r="J805" s="29" t="s">
        <v>343</v>
      </c>
      <c r="K805" s="29" t="str">
        <f>VLOOKUP(LEFT(H805, 7), 'קטלוג תרחישים'!$A:$L, 12, FALSE)</f>
        <v>ג׳</v>
      </c>
      <c r="L805" s="29" t="str">
        <f>IF(J805="כן", K805, VLOOKUP(LEFT(H805, 7), 'קטלוג תרחישים'!$A:$M, 13, FALSE))</f>
        <v>ב׳</v>
      </c>
    </row>
    <row r="806" spans="1:12">
      <c r="A806" s="29" t="s">
        <v>203</v>
      </c>
      <c r="B806" s="29">
        <v>13</v>
      </c>
      <c r="C806" s="29" t="s">
        <v>341</v>
      </c>
      <c r="D806" s="29">
        <v>2</v>
      </c>
      <c r="E806" s="29" t="s">
        <v>99</v>
      </c>
      <c r="F806" s="29" t="s">
        <v>342</v>
      </c>
      <c r="G806" s="29" t="s">
        <v>91</v>
      </c>
      <c r="H806" s="29" t="s">
        <v>184</v>
      </c>
      <c r="I806" s="29" t="s">
        <v>94</v>
      </c>
      <c r="J806" s="29" t="s">
        <v>340</v>
      </c>
      <c r="K806" s="29" t="str">
        <f>VLOOKUP(LEFT(H806, 7), 'קטלוג תרחישים'!$A:$L, 12, FALSE)</f>
        <v>ג׳</v>
      </c>
      <c r="L806" s="29" t="str">
        <f>IF(J806="כן", K806, VLOOKUP(LEFT(H806, 7), 'קטלוג תרחישים'!$A:$M, 13, FALSE))</f>
        <v>ג׳</v>
      </c>
    </row>
    <row r="807" spans="1:12">
      <c r="A807" s="29" t="s">
        <v>203</v>
      </c>
      <c r="B807" s="29">
        <v>14</v>
      </c>
      <c r="C807" s="29" t="s">
        <v>341</v>
      </c>
      <c r="D807" s="29">
        <v>2</v>
      </c>
      <c r="E807" s="29" t="s">
        <v>99</v>
      </c>
      <c r="F807" s="29" t="s">
        <v>342</v>
      </c>
      <c r="G807" s="29" t="s">
        <v>91</v>
      </c>
      <c r="H807" s="29" t="s">
        <v>187</v>
      </c>
      <c r="I807" s="29" t="s">
        <v>89</v>
      </c>
      <c r="J807" s="29" t="s">
        <v>340</v>
      </c>
      <c r="K807" s="29" t="str">
        <f>VLOOKUP(LEFT(H807, 7), 'קטלוג תרחישים'!$A:$L, 12, FALSE)</f>
        <v>א׳</v>
      </c>
      <c r="L807" s="29" t="str">
        <f>IF(J807="כן", K807, VLOOKUP(LEFT(H807, 7), 'קטלוג תרחישים'!$A:$M, 13, FALSE))</f>
        <v>א׳</v>
      </c>
    </row>
    <row r="808" spans="1:12">
      <c r="A808" s="29" t="s">
        <v>203</v>
      </c>
      <c r="B808" s="29">
        <v>15</v>
      </c>
      <c r="C808" s="29" t="s">
        <v>341</v>
      </c>
      <c r="D808" s="29">
        <v>2</v>
      </c>
      <c r="E808" s="29" t="s">
        <v>99</v>
      </c>
      <c r="F808" s="29" t="s">
        <v>342</v>
      </c>
      <c r="G808" s="29" t="s">
        <v>91</v>
      </c>
      <c r="H808" s="29" t="s">
        <v>186</v>
      </c>
      <c r="I808" s="29" t="s">
        <v>94</v>
      </c>
      <c r="J808" s="29" t="s">
        <v>340</v>
      </c>
      <c r="K808" s="29" t="str">
        <f>VLOOKUP(LEFT(H808, 7), 'קטלוג תרחישים'!$A:$L, 12, FALSE)</f>
        <v>ב׳</v>
      </c>
      <c r="L808" s="29" t="str">
        <f>IF(J808="כן", K808, VLOOKUP(LEFT(H808, 7), 'קטלוג תרחישים'!$A:$M, 13, FALSE))</f>
        <v>ב׳</v>
      </c>
    </row>
    <row r="809" spans="1:12">
      <c r="A809" s="29" t="s">
        <v>203</v>
      </c>
      <c r="B809" s="29">
        <v>16</v>
      </c>
      <c r="C809" s="29" t="s">
        <v>341</v>
      </c>
      <c r="D809" s="29">
        <v>2</v>
      </c>
      <c r="E809" s="29" t="s">
        <v>99</v>
      </c>
      <c r="F809" s="29" t="s">
        <v>342</v>
      </c>
      <c r="G809" s="29" t="s">
        <v>91</v>
      </c>
      <c r="H809" s="29" t="s">
        <v>185</v>
      </c>
      <c r="I809" s="29" t="s">
        <v>89</v>
      </c>
      <c r="J809" s="29" t="s">
        <v>340</v>
      </c>
      <c r="K809" s="29" t="str">
        <f>VLOOKUP(LEFT(H809, 7), 'קטלוג תרחישים'!$A:$L, 12, FALSE)</f>
        <v>א׳</v>
      </c>
      <c r="L809" s="29" t="str">
        <f>IF(J809="כן", K809, VLOOKUP(LEFT(H809, 7), 'קטלוג תרחישים'!$A:$M, 13, FALSE))</f>
        <v>א׳</v>
      </c>
    </row>
    <row r="810" spans="1:12">
      <c r="A810" s="29" t="s">
        <v>203</v>
      </c>
      <c r="B810" s="29">
        <v>17</v>
      </c>
      <c r="C810" s="29" t="s">
        <v>341</v>
      </c>
      <c r="D810" s="29">
        <v>3</v>
      </c>
      <c r="E810" s="29" t="s">
        <v>105</v>
      </c>
      <c r="F810" s="29" t="s">
        <v>342</v>
      </c>
      <c r="G810" s="29" t="s">
        <v>91</v>
      </c>
      <c r="H810" s="29" t="s">
        <v>175</v>
      </c>
      <c r="I810" s="29" t="s">
        <v>94</v>
      </c>
      <c r="J810" s="29" t="s">
        <v>340</v>
      </c>
      <c r="K810" s="29" t="str">
        <f>VLOOKUP(LEFT(H810, 7), 'קטלוג תרחישים'!$A:$L, 12, FALSE)</f>
        <v>א׳</v>
      </c>
      <c r="L810" s="29" t="str">
        <f>IF(J810="כן", K810, VLOOKUP(LEFT(H810, 7), 'קטלוג תרחישים'!$A:$M, 13, FALSE))</f>
        <v>א׳</v>
      </c>
    </row>
    <row r="811" spans="1:12">
      <c r="A811" s="29" t="s">
        <v>203</v>
      </c>
      <c r="B811" s="29">
        <v>18</v>
      </c>
      <c r="C811" s="29" t="s">
        <v>341</v>
      </c>
      <c r="D811" s="29">
        <v>3</v>
      </c>
      <c r="E811" s="29" t="s">
        <v>105</v>
      </c>
      <c r="F811" s="29" t="s">
        <v>342</v>
      </c>
      <c r="G811" s="29" t="s">
        <v>91</v>
      </c>
      <c r="H811" s="29" t="s">
        <v>174</v>
      </c>
      <c r="I811" s="29" t="s">
        <v>89</v>
      </c>
      <c r="J811" s="29" t="s">
        <v>340</v>
      </c>
      <c r="K811" s="29" t="str">
        <f>VLOOKUP(LEFT(H811, 7), 'קטלוג תרחישים'!$A:$L, 12, FALSE)</f>
        <v>ג׳</v>
      </c>
      <c r="L811" s="29" t="str">
        <f>IF(J811="כן", K811, VLOOKUP(LEFT(H811, 7), 'קטלוג תרחישים'!$A:$M, 13, FALSE))</f>
        <v>ג׳</v>
      </c>
    </row>
    <row r="812" spans="1:12">
      <c r="A812" s="29" t="s">
        <v>203</v>
      </c>
      <c r="B812" s="29">
        <v>19</v>
      </c>
      <c r="C812" s="29" t="s">
        <v>341</v>
      </c>
      <c r="D812" s="29">
        <v>3</v>
      </c>
      <c r="E812" s="29" t="s">
        <v>105</v>
      </c>
      <c r="F812" s="29" t="s">
        <v>342</v>
      </c>
      <c r="G812" s="29" t="s">
        <v>91</v>
      </c>
      <c r="H812" s="29" t="s">
        <v>177</v>
      </c>
      <c r="I812" s="29" t="s">
        <v>94</v>
      </c>
      <c r="J812" s="29" t="s">
        <v>343</v>
      </c>
      <c r="K812" s="29" t="str">
        <f>VLOOKUP(LEFT(H812, 7), 'קטלוג תרחישים'!$A:$L, 12, FALSE)</f>
        <v>ב׳</v>
      </c>
      <c r="L812" s="29" t="str">
        <f>IF(J812="כן", K812, VLOOKUP(LEFT(H812, 7), 'קטלוג תרחישים'!$A:$M, 13, FALSE))</f>
        <v>ג׳</v>
      </c>
    </row>
    <row r="813" spans="1:12">
      <c r="A813" s="29" t="s">
        <v>203</v>
      </c>
      <c r="B813" s="29">
        <v>20</v>
      </c>
      <c r="C813" s="29" t="s">
        <v>341</v>
      </c>
      <c r="D813" s="29">
        <v>3</v>
      </c>
      <c r="E813" s="29" t="s">
        <v>105</v>
      </c>
      <c r="F813" s="29" t="s">
        <v>342</v>
      </c>
      <c r="G813" s="29" t="s">
        <v>91</v>
      </c>
      <c r="H813" s="29" t="s">
        <v>176</v>
      </c>
      <c r="I813" s="29" t="s">
        <v>89</v>
      </c>
      <c r="J813" s="29" t="s">
        <v>340</v>
      </c>
      <c r="K813" s="29" t="str">
        <f>VLOOKUP(LEFT(H813, 7), 'קטלוג תרחישים'!$A:$L, 12, FALSE)</f>
        <v>ג׳</v>
      </c>
      <c r="L813" s="29" t="str">
        <f>IF(J813="כן", K813, VLOOKUP(LEFT(H813, 7), 'קטלוג תרחישים'!$A:$M, 13, FALSE))</f>
        <v>ג׳</v>
      </c>
    </row>
    <row r="814" spans="1:12">
      <c r="A814" s="29" t="s">
        <v>203</v>
      </c>
      <c r="B814" s="29">
        <v>21</v>
      </c>
      <c r="C814" s="29" t="s">
        <v>341</v>
      </c>
      <c r="D814" s="29">
        <v>3</v>
      </c>
      <c r="E814" s="29" t="s">
        <v>105</v>
      </c>
      <c r="F814" s="29" t="s">
        <v>342</v>
      </c>
      <c r="G814" s="29" t="s">
        <v>91</v>
      </c>
      <c r="H814" s="29" t="s">
        <v>173</v>
      </c>
      <c r="I814" s="29" t="s">
        <v>94</v>
      </c>
      <c r="J814" s="29" t="s">
        <v>340</v>
      </c>
      <c r="K814" s="29" t="str">
        <f>VLOOKUP(LEFT(H814, 7), 'קטלוג תרחישים'!$A:$L, 12, FALSE)</f>
        <v>ג׳</v>
      </c>
      <c r="L814" s="29" t="str">
        <f>IF(J814="כן", K814, VLOOKUP(LEFT(H814, 7), 'קטלוג תרחישים'!$A:$M, 13, FALSE))</f>
        <v>ג׳</v>
      </c>
    </row>
    <row r="815" spans="1:12">
      <c r="A815" s="29" t="s">
        <v>203</v>
      </c>
      <c r="B815" s="29">
        <v>22</v>
      </c>
      <c r="C815" s="29" t="s">
        <v>341</v>
      </c>
      <c r="D815" s="29">
        <v>1</v>
      </c>
      <c r="E815" s="29" t="s">
        <v>99</v>
      </c>
      <c r="F815" s="29" t="s">
        <v>344</v>
      </c>
      <c r="G815" s="29" t="s">
        <v>111</v>
      </c>
      <c r="H815" s="29" t="s">
        <v>194</v>
      </c>
      <c r="I815" s="29" t="s">
        <v>89</v>
      </c>
      <c r="J815" s="29" t="s">
        <v>343</v>
      </c>
      <c r="K815" s="29" t="str">
        <f>VLOOKUP(LEFT(H815, 7), 'קטלוג תרחישים'!$A:$L, 12, FALSE)</f>
        <v>ב׳</v>
      </c>
      <c r="L815" s="29" t="str">
        <f>IF(J815="כן", K815, VLOOKUP(LEFT(H815, 7), 'קטלוג תרחישים'!$A:$M, 13, FALSE))</f>
        <v>א׳</v>
      </c>
    </row>
    <row r="816" spans="1:12">
      <c r="A816" s="29" t="s">
        <v>203</v>
      </c>
      <c r="B816" s="29">
        <v>23</v>
      </c>
      <c r="C816" s="29" t="s">
        <v>341</v>
      </c>
      <c r="D816" s="29">
        <v>1</v>
      </c>
      <c r="E816" s="29" t="s">
        <v>99</v>
      </c>
      <c r="F816" s="29" t="s">
        <v>344</v>
      </c>
      <c r="G816" s="29" t="s">
        <v>111</v>
      </c>
      <c r="H816" s="29" t="s">
        <v>195</v>
      </c>
      <c r="I816" s="29" t="s">
        <v>94</v>
      </c>
      <c r="J816" s="29" t="s">
        <v>340</v>
      </c>
      <c r="K816" s="29" t="str">
        <f>VLOOKUP(LEFT(H816, 7), 'קטלוג תרחישים'!$A:$L, 12, FALSE)</f>
        <v>א׳</v>
      </c>
      <c r="L816" s="29" t="str">
        <f>IF(J816="כן", K816, VLOOKUP(LEFT(H816, 7), 'קטלוג תרחישים'!$A:$M, 13, FALSE))</f>
        <v>א׳</v>
      </c>
    </row>
    <row r="817" spans="1:12">
      <c r="A817" s="29" t="s">
        <v>203</v>
      </c>
      <c r="B817" s="29">
        <v>24</v>
      </c>
      <c r="C817" s="29" t="s">
        <v>341</v>
      </c>
      <c r="D817" s="29">
        <v>1</v>
      </c>
      <c r="E817" s="29" t="s">
        <v>99</v>
      </c>
      <c r="F817" s="29" t="s">
        <v>344</v>
      </c>
      <c r="G817" s="29" t="s">
        <v>111</v>
      </c>
      <c r="H817" s="29" t="s">
        <v>192</v>
      </c>
      <c r="I817" s="29" t="s">
        <v>89</v>
      </c>
      <c r="J817" s="29" t="s">
        <v>340</v>
      </c>
      <c r="K817" s="29" t="str">
        <f>VLOOKUP(LEFT(H817, 7), 'קטלוג תרחישים'!$A:$L, 12, FALSE)</f>
        <v>ב׳</v>
      </c>
      <c r="L817" s="29" t="str">
        <f>IF(J817="כן", K817, VLOOKUP(LEFT(H817, 7), 'קטלוג תרחישים'!$A:$M, 13, FALSE))</f>
        <v>ב׳</v>
      </c>
    </row>
    <row r="818" spans="1:12">
      <c r="A818" s="29" t="s">
        <v>203</v>
      </c>
      <c r="B818" s="29">
        <v>25</v>
      </c>
      <c r="C818" s="29" t="s">
        <v>341</v>
      </c>
      <c r="D818" s="29">
        <v>1</v>
      </c>
      <c r="E818" s="29" t="s">
        <v>99</v>
      </c>
      <c r="F818" s="29" t="s">
        <v>344</v>
      </c>
      <c r="G818" s="29" t="s">
        <v>111</v>
      </c>
      <c r="H818" s="29" t="s">
        <v>193</v>
      </c>
      <c r="I818" s="29" t="s">
        <v>94</v>
      </c>
      <c r="J818" s="29" t="s">
        <v>343</v>
      </c>
      <c r="K818" s="29" t="str">
        <f>VLOOKUP(LEFT(H818, 7), 'קטלוג תרחישים'!$A:$L, 12, FALSE)</f>
        <v>א׳</v>
      </c>
      <c r="L818" s="29" t="str">
        <f>IF(J818="כן", K818, VLOOKUP(LEFT(H818, 7), 'קטלוג תרחישים'!$A:$M, 13, FALSE))</f>
        <v>ב׳</v>
      </c>
    </row>
    <row r="819" spans="1:12">
      <c r="A819" s="29" t="s">
        <v>203</v>
      </c>
      <c r="B819" s="29">
        <v>26</v>
      </c>
      <c r="C819" s="29" t="s">
        <v>341</v>
      </c>
      <c r="D819" s="29">
        <v>2</v>
      </c>
      <c r="E819" s="29" t="s">
        <v>105</v>
      </c>
      <c r="F819" s="29" t="s">
        <v>344</v>
      </c>
      <c r="G819" s="29" t="s">
        <v>111</v>
      </c>
      <c r="H819" s="29" t="s">
        <v>198</v>
      </c>
      <c r="I819" s="29" t="s">
        <v>89</v>
      </c>
      <c r="J819" s="29" t="s">
        <v>340</v>
      </c>
      <c r="K819" s="29" t="str">
        <f>VLOOKUP(LEFT(H819, 7), 'קטלוג תרחישים'!$A:$L, 12, FALSE)</f>
        <v>ג׳</v>
      </c>
      <c r="L819" s="29" t="str">
        <f>IF(J819="כן", K819, VLOOKUP(LEFT(H819, 7), 'קטלוג תרחישים'!$A:$M, 13, FALSE))</f>
        <v>ג׳</v>
      </c>
    </row>
    <row r="820" spans="1:12">
      <c r="A820" s="29" t="s">
        <v>203</v>
      </c>
      <c r="B820" s="29">
        <v>27</v>
      </c>
      <c r="C820" s="29" t="s">
        <v>341</v>
      </c>
      <c r="D820" s="29">
        <v>2</v>
      </c>
      <c r="E820" s="29" t="s">
        <v>105</v>
      </c>
      <c r="F820" s="29" t="s">
        <v>344</v>
      </c>
      <c r="G820" s="29" t="s">
        <v>111</v>
      </c>
      <c r="H820" s="29" t="s">
        <v>197</v>
      </c>
      <c r="I820" s="29" t="s">
        <v>94</v>
      </c>
      <c r="J820" s="29" t="s">
        <v>340</v>
      </c>
      <c r="K820" s="29" t="str">
        <f>VLOOKUP(LEFT(H820, 7), 'קטלוג תרחישים'!$A:$L, 12, FALSE)</f>
        <v>א׳</v>
      </c>
      <c r="L820" s="29" t="str">
        <f>IF(J820="כן", K820, VLOOKUP(LEFT(H820, 7), 'קטלוג תרחישים'!$A:$M, 13, FALSE))</f>
        <v>א׳</v>
      </c>
    </row>
    <row r="821" spans="1:12">
      <c r="A821" s="29" t="s">
        <v>203</v>
      </c>
      <c r="B821" s="29">
        <v>28</v>
      </c>
      <c r="C821" s="29" t="s">
        <v>341</v>
      </c>
      <c r="D821" s="29">
        <v>2</v>
      </c>
      <c r="E821" s="29" t="s">
        <v>105</v>
      </c>
      <c r="F821" s="29" t="s">
        <v>344</v>
      </c>
      <c r="G821" s="29" t="s">
        <v>111</v>
      </c>
      <c r="H821" s="29" t="s">
        <v>196</v>
      </c>
      <c r="I821" s="29" t="s">
        <v>89</v>
      </c>
      <c r="J821" s="29" t="s">
        <v>343</v>
      </c>
      <c r="K821" s="29" t="str">
        <f>VLOOKUP(LEFT(H821, 7), 'קטלוג תרחישים'!$A:$L, 12, FALSE)</f>
        <v>ב׳</v>
      </c>
      <c r="L821" s="29" t="str">
        <f>IF(J821="כן", K821, VLOOKUP(LEFT(H821, 7), 'קטלוג תרחישים'!$A:$M, 13, FALSE))</f>
        <v>א׳</v>
      </c>
    </row>
    <row r="822" spans="1:12">
      <c r="A822" s="29" t="s">
        <v>203</v>
      </c>
      <c r="B822" s="29">
        <v>29</v>
      </c>
      <c r="C822" s="29" t="s">
        <v>341</v>
      </c>
      <c r="D822" s="29">
        <v>2</v>
      </c>
      <c r="E822" s="29" t="s">
        <v>105</v>
      </c>
      <c r="F822" s="29" t="s">
        <v>344</v>
      </c>
      <c r="G822" s="29" t="s">
        <v>111</v>
      </c>
      <c r="H822" s="29" t="s">
        <v>199</v>
      </c>
      <c r="I822" s="29" t="s">
        <v>94</v>
      </c>
      <c r="J822" s="29" t="s">
        <v>343</v>
      </c>
      <c r="K822" s="29" t="str">
        <f>VLOOKUP(LEFT(H822, 7), 'קטלוג תרחישים'!$A:$L, 12, FALSE)</f>
        <v>ב׳</v>
      </c>
      <c r="L822" s="29" t="str">
        <f>IF(J822="כן", K822, VLOOKUP(LEFT(H822, 7), 'קטלוג תרחישים'!$A:$M, 13, FALSE))</f>
        <v>א׳</v>
      </c>
    </row>
    <row r="823" spans="1:12">
      <c r="A823" s="29" t="s">
        <v>203</v>
      </c>
      <c r="B823" s="29">
        <v>30</v>
      </c>
      <c r="C823" s="29" t="s">
        <v>341</v>
      </c>
      <c r="D823" s="29">
        <v>3</v>
      </c>
      <c r="E823" s="29" t="s">
        <v>92</v>
      </c>
      <c r="F823" s="29" t="s">
        <v>344</v>
      </c>
      <c r="G823" s="29" t="s">
        <v>111</v>
      </c>
      <c r="H823" s="29" t="s">
        <v>188</v>
      </c>
      <c r="I823" s="29" t="s">
        <v>89</v>
      </c>
      <c r="J823" s="29" t="s">
        <v>340</v>
      </c>
      <c r="K823" s="29" t="str">
        <f>VLOOKUP(LEFT(H823, 7), 'קטלוג תרחישים'!$A:$L, 12, FALSE)</f>
        <v>ג׳</v>
      </c>
      <c r="L823" s="29" t="str">
        <f>IF(J823="כן", K823, VLOOKUP(LEFT(H823, 7), 'קטלוג תרחישים'!$A:$M, 13, FALSE))</f>
        <v>ג׳</v>
      </c>
    </row>
    <row r="824" spans="1:12">
      <c r="A824" s="29" t="s">
        <v>203</v>
      </c>
      <c r="B824" s="29">
        <v>31</v>
      </c>
      <c r="C824" s="29" t="s">
        <v>341</v>
      </c>
      <c r="D824" s="29">
        <v>3</v>
      </c>
      <c r="E824" s="29" t="s">
        <v>92</v>
      </c>
      <c r="F824" s="29" t="s">
        <v>344</v>
      </c>
      <c r="G824" s="29" t="s">
        <v>111</v>
      </c>
      <c r="H824" s="29" t="s">
        <v>189</v>
      </c>
      <c r="I824" s="29" t="s">
        <v>94</v>
      </c>
      <c r="J824" s="29" t="s">
        <v>340</v>
      </c>
      <c r="K824" s="29" t="str">
        <f>VLOOKUP(LEFT(H824, 7), 'קטלוג תרחישים'!$A:$L, 12, FALSE)</f>
        <v>ב׳</v>
      </c>
      <c r="L824" s="29" t="str">
        <f>IF(J824="כן", K824, VLOOKUP(LEFT(H824, 7), 'קטלוג תרחישים'!$A:$M, 13, FALSE))</f>
        <v>ב׳</v>
      </c>
    </row>
    <row r="825" spans="1:12">
      <c r="A825" s="29" t="s">
        <v>203</v>
      </c>
      <c r="B825" s="29">
        <v>32</v>
      </c>
      <c r="C825" s="29" t="s">
        <v>341</v>
      </c>
      <c r="D825" s="29">
        <v>3</v>
      </c>
      <c r="E825" s="29" t="s">
        <v>92</v>
      </c>
      <c r="F825" s="29" t="s">
        <v>344</v>
      </c>
      <c r="G825" s="29" t="s">
        <v>111</v>
      </c>
      <c r="H825" s="29" t="s">
        <v>190</v>
      </c>
      <c r="I825" s="29" t="s">
        <v>89</v>
      </c>
      <c r="J825" s="29" t="s">
        <v>343</v>
      </c>
      <c r="K825" s="29" t="str">
        <f>VLOOKUP(LEFT(H825, 7), 'קטלוג תרחישים'!$A:$L, 12, FALSE)</f>
        <v>א׳</v>
      </c>
      <c r="L825" s="29" t="str">
        <f>IF(J825="כן", K825, VLOOKUP(LEFT(H825, 7), 'קטלוג תרחישים'!$A:$M, 13, FALSE))</f>
        <v>ג׳</v>
      </c>
    </row>
    <row r="826" spans="1:12">
      <c r="A826" s="29" t="s">
        <v>203</v>
      </c>
      <c r="B826" s="29">
        <v>33</v>
      </c>
      <c r="C826" s="29" t="s">
        <v>341</v>
      </c>
      <c r="D826" s="29">
        <v>3</v>
      </c>
      <c r="E826" s="29" t="s">
        <v>92</v>
      </c>
      <c r="F826" s="29" t="s">
        <v>344</v>
      </c>
      <c r="G826" s="29" t="s">
        <v>111</v>
      </c>
      <c r="H826" s="29" t="s">
        <v>191</v>
      </c>
      <c r="I826" s="29" t="s">
        <v>94</v>
      </c>
      <c r="J826" s="29" t="s">
        <v>343</v>
      </c>
      <c r="K826" s="29" t="str">
        <f>VLOOKUP(LEFT(H826, 7), 'קטלוג תרחישים'!$A:$L, 12, FALSE)</f>
        <v>ג׳</v>
      </c>
      <c r="L826" s="29" t="str">
        <f>IF(J826="כן", K826, VLOOKUP(LEFT(H826, 7), 'קטלוג תרחישים'!$A:$M, 13, FALSE))</f>
        <v>א׳</v>
      </c>
    </row>
    <row r="827" spans="1:12">
      <c r="A827" s="29" t="s">
        <v>204</v>
      </c>
      <c r="B827" s="29">
        <v>1</v>
      </c>
      <c r="C827" s="29" t="s">
        <v>339</v>
      </c>
      <c r="D827" s="29"/>
      <c r="E827" s="29" t="s">
        <v>92</v>
      </c>
      <c r="F827" s="29"/>
      <c r="G827" s="29"/>
      <c r="H827" s="30" t="s">
        <v>351</v>
      </c>
      <c r="I827" s="29" t="s">
        <v>89</v>
      </c>
      <c r="J827" s="29" t="s">
        <v>340</v>
      </c>
      <c r="K827" s="29" t="str">
        <f>VLOOKUP(LEFT(H827, 7), 'קטלוג תרחישים'!$A:$L, 12, FALSE)</f>
        <v>א׳</v>
      </c>
      <c r="L827" s="29" t="str">
        <f>IF(J827="כן", K827, VLOOKUP(LEFT(H827, 7), 'קטלוג תרחישים'!$A:$M, 13, FALSE))</f>
        <v>א׳</v>
      </c>
    </row>
    <row r="828" spans="1:12">
      <c r="A828" s="29" t="s">
        <v>204</v>
      </c>
      <c r="B828" s="29">
        <v>2</v>
      </c>
      <c r="C828" s="29" t="s">
        <v>339</v>
      </c>
      <c r="D828" s="29"/>
      <c r="E828" s="29" t="s">
        <v>92</v>
      </c>
      <c r="F828" s="29"/>
      <c r="G828" s="29"/>
      <c r="H828" s="30" t="s">
        <v>88</v>
      </c>
      <c r="I828" s="29" t="s">
        <v>89</v>
      </c>
      <c r="J828" s="29" t="s">
        <v>340</v>
      </c>
      <c r="K828" s="29" t="str">
        <f>VLOOKUP(LEFT(H828, 7), 'קטלוג תרחישים'!$A:$L, 12, FALSE)</f>
        <v>א׳</v>
      </c>
      <c r="L828" s="29" t="str">
        <f>IF(J828="כן", K828, VLOOKUP(LEFT(H828, 7), 'קטלוג תרחישים'!$A:$M, 13, FALSE))</f>
        <v>א׳</v>
      </c>
    </row>
    <row r="829" spans="1:12">
      <c r="A829" s="29" t="s">
        <v>204</v>
      </c>
      <c r="B829" s="29">
        <v>3</v>
      </c>
      <c r="C829" s="29" t="s">
        <v>339</v>
      </c>
      <c r="D829" s="29"/>
      <c r="E829" s="29" t="s">
        <v>99</v>
      </c>
      <c r="F829" s="29"/>
      <c r="G829" s="29"/>
      <c r="H829" s="30" t="s">
        <v>352</v>
      </c>
      <c r="I829" s="29" t="s">
        <v>89</v>
      </c>
      <c r="J829" s="29" t="s">
        <v>340</v>
      </c>
      <c r="K829" s="29" t="str">
        <f>VLOOKUP(LEFT(H829, 7), 'קטלוג תרחישים'!$A:$L, 12, FALSE)</f>
        <v>ב׳</v>
      </c>
      <c r="L829" s="29" t="str">
        <f>IF(J829="כן", K829, VLOOKUP(LEFT(H829, 7), 'קטלוג תרחישים'!$A:$M, 13, FALSE))</f>
        <v>ב׳</v>
      </c>
    </row>
    <row r="830" spans="1:12">
      <c r="A830" s="29" t="s">
        <v>204</v>
      </c>
      <c r="B830" s="29">
        <v>4</v>
      </c>
      <c r="C830" s="29" t="s">
        <v>339</v>
      </c>
      <c r="D830" s="29"/>
      <c r="E830" s="29" t="s">
        <v>99</v>
      </c>
      <c r="F830" s="29"/>
      <c r="G830" s="29"/>
      <c r="H830" s="30" t="s">
        <v>353</v>
      </c>
      <c r="I830" s="29" t="s">
        <v>89</v>
      </c>
      <c r="J830" s="29" t="s">
        <v>340</v>
      </c>
      <c r="K830" s="29" t="str">
        <f>VLOOKUP(LEFT(H830, 7), 'קטלוג תרחישים'!$A:$L, 12, FALSE)</f>
        <v>ב׳</v>
      </c>
      <c r="L830" s="29" t="str">
        <f>IF(J830="כן", K830, VLOOKUP(LEFT(H830, 7), 'קטלוג תרחישים'!$A:$M, 13, FALSE))</f>
        <v>ב׳</v>
      </c>
    </row>
    <row r="831" spans="1:12">
      <c r="A831" s="29" t="s">
        <v>204</v>
      </c>
      <c r="B831" s="29">
        <v>5</v>
      </c>
      <c r="C831" s="29" t="s">
        <v>339</v>
      </c>
      <c r="D831" s="29"/>
      <c r="E831" s="29" t="s">
        <v>105</v>
      </c>
      <c r="F831" s="29"/>
      <c r="G831" s="29"/>
      <c r="H831" s="30" t="s">
        <v>354</v>
      </c>
      <c r="I831" s="29" t="s">
        <v>89</v>
      </c>
      <c r="J831" s="29" t="s">
        <v>340</v>
      </c>
      <c r="K831" s="29" t="str">
        <f>VLOOKUP(LEFT(H831, 7), 'קטלוג תרחישים'!$A:$L, 12, FALSE)</f>
        <v>ג׳</v>
      </c>
      <c r="L831" s="29" t="str">
        <f>IF(J831="כן", K831, VLOOKUP(LEFT(H831, 7), 'קטלוג תרחישים'!$A:$M, 13, FALSE))</f>
        <v>ג׳</v>
      </c>
    </row>
    <row r="832" spans="1:12">
      <c r="A832" s="29" t="s">
        <v>204</v>
      </c>
      <c r="B832" s="29">
        <v>6</v>
      </c>
      <c r="C832" s="29" t="s">
        <v>339</v>
      </c>
      <c r="D832" s="29"/>
      <c r="E832" s="29" t="s">
        <v>105</v>
      </c>
      <c r="F832" s="29"/>
      <c r="G832" s="29"/>
      <c r="H832" s="30" t="s">
        <v>90</v>
      </c>
      <c r="I832" s="29" t="s">
        <v>89</v>
      </c>
      <c r="J832" s="29" t="s">
        <v>340</v>
      </c>
      <c r="K832" s="29" t="str">
        <f>VLOOKUP(LEFT(H832, 7), 'קטלוג תרחישים'!$A:$L, 12, FALSE)</f>
        <v>ג׳</v>
      </c>
      <c r="L832" s="29" t="str">
        <f>IF(J832="כן", K832, VLOOKUP(LEFT(H832, 7), 'קטלוג תרחישים'!$A:$M, 13, FALSE))</f>
        <v>ג׳</v>
      </c>
    </row>
    <row r="833" spans="1:12">
      <c r="A833" s="29" t="s">
        <v>204</v>
      </c>
      <c r="B833" s="29">
        <v>7</v>
      </c>
      <c r="C833" s="29" t="s">
        <v>341</v>
      </c>
      <c r="D833" s="29">
        <v>1</v>
      </c>
      <c r="E833" s="29" t="s">
        <v>105</v>
      </c>
      <c r="F833" s="29" t="s">
        <v>342</v>
      </c>
      <c r="G833" s="29" t="s">
        <v>111</v>
      </c>
      <c r="H833" s="29" t="s">
        <v>198</v>
      </c>
      <c r="I833" s="29" t="s">
        <v>89</v>
      </c>
      <c r="J833" s="29" t="s">
        <v>343</v>
      </c>
      <c r="K833" s="29" t="str">
        <f>VLOOKUP(LEFT(H833, 7), 'קטלוג תרחישים'!$A:$L, 12, FALSE)</f>
        <v>ג׳</v>
      </c>
      <c r="L833" s="29" t="str">
        <f>IF(J833="כן", K833, VLOOKUP(LEFT(H833, 7), 'קטלוג תרחישים'!$A:$M, 13, FALSE))</f>
        <v>ב׳</v>
      </c>
    </row>
    <row r="834" spans="1:12">
      <c r="A834" s="29" t="s">
        <v>204</v>
      </c>
      <c r="B834" s="29">
        <v>8</v>
      </c>
      <c r="C834" s="29" t="s">
        <v>341</v>
      </c>
      <c r="D834" s="29">
        <v>1</v>
      </c>
      <c r="E834" s="29" t="s">
        <v>105</v>
      </c>
      <c r="F834" s="29" t="s">
        <v>342</v>
      </c>
      <c r="G834" s="29" t="s">
        <v>111</v>
      </c>
      <c r="H834" s="29" t="s">
        <v>199</v>
      </c>
      <c r="I834" s="29" t="s">
        <v>94</v>
      </c>
      <c r="J834" s="29" t="s">
        <v>343</v>
      </c>
      <c r="K834" s="29" t="str">
        <f>VLOOKUP(LEFT(H834, 7), 'קטלוג תרחישים'!$A:$L, 12, FALSE)</f>
        <v>ב׳</v>
      </c>
      <c r="L834" s="29" t="str">
        <f>IF(J834="כן", K834, VLOOKUP(LEFT(H834, 7), 'קטלוג תרחישים'!$A:$M, 13, FALSE))</f>
        <v>א׳</v>
      </c>
    </row>
    <row r="835" spans="1:12">
      <c r="A835" s="29" t="s">
        <v>204</v>
      </c>
      <c r="B835" s="29">
        <v>9</v>
      </c>
      <c r="C835" s="29" t="s">
        <v>341</v>
      </c>
      <c r="D835" s="29">
        <v>1</v>
      </c>
      <c r="E835" s="29" t="s">
        <v>105</v>
      </c>
      <c r="F835" s="29" t="s">
        <v>342</v>
      </c>
      <c r="G835" s="29" t="s">
        <v>111</v>
      </c>
      <c r="H835" s="29" t="s">
        <v>196</v>
      </c>
      <c r="I835" s="29" t="s">
        <v>89</v>
      </c>
      <c r="J835" s="29" t="s">
        <v>340</v>
      </c>
      <c r="K835" s="29" t="str">
        <f>VLOOKUP(LEFT(H835, 7), 'קטלוג תרחישים'!$A:$L, 12, FALSE)</f>
        <v>ב׳</v>
      </c>
      <c r="L835" s="29" t="str">
        <f>IF(J835="כן", K835, VLOOKUP(LEFT(H835, 7), 'קטלוג תרחישים'!$A:$M, 13, FALSE))</f>
        <v>ב׳</v>
      </c>
    </row>
    <row r="836" spans="1:12">
      <c r="A836" s="29" t="s">
        <v>204</v>
      </c>
      <c r="B836" s="29">
        <v>10</v>
      </c>
      <c r="C836" s="29" t="s">
        <v>341</v>
      </c>
      <c r="D836" s="29">
        <v>1</v>
      </c>
      <c r="E836" s="29" t="s">
        <v>105</v>
      </c>
      <c r="F836" s="29" t="s">
        <v>342</v>
      </c>
      <c r="G836" s="29" t="s">
        <v>111</v>
      </c>
      <c r="H836" s="29" t="s">
        <v>197</v>
      </c>
      <c r="I836" s="29" t="s">
        <v>94</v>
      </c>
      <c r="J836" s="29" t="s">
        <v>340</v>
      </c>
      <c r="K836" s="29" t="str">
        <f>VLOOKUP(LEFT(H836, 7), 'קטלוג תרחישים'!$A:$L, 12, FALSE)</f>
        <v>א׳</v>
      </c>
      <c r="L836" s="29" t="str">
        <f>IF(J836="כן", K836, VLOOKUP(LEFT(H836, 7), 'קטלוג תרחישים'!$A:$M, 13, FALSE))</f>
        <v>א׳</v>
      </c>
    </row>
    <row r="837" spans="1:12">
      <c r="A837" s="29" t="s">
        <v>204</v>
      </c>
      <c r="B837" s="29">
        <v>11</v>
      </c>
      <c r="C837" s="29" t="s">
        <v>341</v>
      </c>
      <c r="D837" s="29">
        <v>2</v>
      </c>
      <c r="E837" s="29" t="s">
        <v>92</v>
      </c>
      <c r="F837" s="29" t="s">
        <v>342</v>
      </c>
      <c r="G837" s="29" t="s">
        <v>111</v>
      </c>
      <c r="H837" s="29" t="s">
        <v>190</v>
      </c>
      <c r="I837" s="29" t="s">
        <v>89</v>
      </c>
      <c r="J837" s="29" t="s">
        <v>343</v>
      </c>
      <c r="K837" s="29" t="str">
        <f>VLOOKUP(LEFT(H837, 7), 'קטלוג תרחישים'!$A:$L, 12, FALSE)</f>
        <v>א׳</v>
      </c>
      <c r="L837" s="29" t="str">
        <f>IF(J837="כן", K837, VLOOKUP(LEFT(H837, 7), 'קטלוג תרחישים'!$A:$M, 13, FALSE))</f>
        <v>ג׳</v>
      </c>
    </row>
    <row r="838" spans="1:12">
      <c r="A838" s="29" t="s">
        <v>204</v>
      </c>
      <c r="B838" s="29">
        <v>12</v>
      </c>
      <c r="C838" s="29" t="s">
        <v>341</v>
      </c>
      <c r="D838" s="29">
        <v>2</v>
      </c>
      <c r="E838" s="29" t="s">
        <v>92</v>
      </c>
      <c r="F838" s="29" t="s">
        <v>342</v>
      </c>
      <c r="G838" s="29" t="s">
        <v>111</v>
      </c>
      <c r="H838" s="29" t="s">
        <v>189</v>
      </c>
      <c r="I838" s="29" t="s">
        <v>94</v>
      </c>
      <c r="J838" s="29" t="s">
        <v>343</v>
      </c>
      <c r="K838" s="29" t="str">
        <f>VLOOKUP(LEFT(H838, 7), 'קטלוג תרחישים'!$A:$L, 12, FALSE)</f>
        <v>ב׳</v>
      </c>
      <c r="L838" s="29" t="str">
        <f>IF(J838="כן", K838, VLOOKUP(LEFT(H838, 7), 'קטלוג תרחישים'!$A:$M, 13, FALSE))</f>
        <v>ג׳</v>
      </c>
    </row>
    <row r="839" spans="1:12">
      <c r="A839" s="29" t="s">
        <v>204</v>
      </c>
      <c r="B839" s="29">
        <v>13</v>
      </c>
      <c r="C839" s="29" t="s">
        <v>341</v>
      </c>
      <c r="D839" s="29">
        <v>2</v>
      </c>
      <c r="E839" s="29" t="s">
        <v>92</v>
      </c>
      <c r="F839" s="29" t="s">
        <v>342</v>
      </c>
      <c r="G839" s="29" t="s">
        <v>111</v>
      </c>
      <c r="H839" s="29" t="s">
        <v>188</v>
      </c>
      <c r="I839" s="29" t="s">
        <v>89</v>
      </c>
      <c r="J839" s="29" t="s">
        <v>340</v>
      </c>
      <c r="K839" s="29" t="str">
        <f>VLOOKUP(LEFT(H839, 7), 'קטלוג תרחישים'!$A:$L, 12, FALSE)</f>
        <v>ג׳</v>
      </c>
      <c r="L839" s="29" t="str">
        <f>IF(J839="כן", K839, VLOOKUP(LEFT(H839, 7), 'קטלוג תרחישים'!$A:$M, 13, FALSE))</f>
        <v>ג׳</v>
      </c>
    </row>
    <row r="840" spans="1:12">
      <c r="A840" s="29" t="s">
        <v>204</v>
      </c>
      <c r="B840" s="29">
        <v>14</v>
      </c>
      <c r="C840" s="29" t="s">
        <v>341</v>
      </c>
      <c r="D840" s="29">
        <v>2</v>
      </c>
      <c r="E840" s="29" t="s">
        <v>92</v>
      </c>
      <c r="F840" s="29" t="s">
        <v>342</v>
      </c>
      <c r="G840" s="29" t="s">
        <v>111</v>
      </c>
      <c r="H840" s="29" t="s">
        <v>191</v>
      </c>
      <c r="I840" s="29" t="s">
        <v>94</v>
      </c>
      <c r="J840" s="29" t="s">
        <v>340</v>
      </c>
      <c r="K840" s="29" t="str">
        <f>VLOOKUP(LEFT(H840, 7), 'קטלוג תרחישים'!$A:$L, 12, FALSE)</f>
        <v>ג׳</v>
      </c>
      <c r="L840" s="29" t="str">
        <f>IF(J840="כן", K840, VLOOKUP(LEFT(H840, 7), 'קטלוג תרחישים'!$A:$M, 13, FALSE))</f>
        <v>ג׳</v>
      </c>
    </row>
    <row r="841" spans="1:12">
      <c r="A841" s="29" t="s">
        <v>204</v>
      </c>
      <c r="B841" s="29">
        <v>15</v>
      </c>
      <c r="C841" s="29" t="s">
        <v>341</v>
      </c>
      <c r="D841" s="29">
        <v>3</v>
      </c>
      <c r="E841" s="29" t="s">
        <v>99</v>
      </c>
      <c r="F841" s="29" t="s">
        <v>342</v>
      </c>
      <c r="G841" s="29" t="s">
        <v>111</v>
      </c>
      <c r="H841" s="29" t="s">
        <v>192</v>
      </c>
      <c r="I841" s="29" t="s">
        <v>89</v>
      </c>
      <c r="J841" s="29" t="s">
        <v>343</v>
      </c>
      <c r="K841" s="29" t="str">
        <f>VLOOKUP(LEFT(H841, 7), 'קטלוג תרחישים'!$A:$L, 12, FALSE)</f>
        <v>ב׳</v>
      </c>
      <c r="L841" s="29" t="str">
        <f>IF(J841="כן", K841, VLOOKUP(LEFT(H841, 7), 'קטלוג תרחישים'!$A:$M, 13, FALSE))</f>
        <v>א׳</v>
      </c>
    </row>
    <row r="842" spans="1:12">
      <c r="A842" s="29" t="s">
        <v>204</v>
      </c>
      <c r="B842" s="29">
        <v>16</v>
      </c>
      <c r="C842" s="29" t="s">
        <v>341</v>
      </c>
      <c r="D842" s="29">
        <v>3</v>
      </c>
      <c r="E842" s="29" t="s">
        <v>99</v>
      </c>
      <c r="F842" s="29" t="s">
        <v>342</v>
      </c>
      <c r="G842" s="29" t="s">
        <v>111</v>
      </c>
      <c r="H842" s="29" t="s">
        <v>195</v>
      </c>
      <c r="I842" s="29" t="s">
        <v>94</v>
      </c>
      <c r="J842" s="29" t="s">
        <v>340</v>
      </c>
      <c r="K842" s="29" t="str">
        <f>VLOOKUP(LEFT(H842, 7), 'קטלוג תרחישים'!$A:$L, 12, FALSE)</f>
        <v>א׳</v>
      </c>
      <c r="L842" s="29" t="str">
        <f>IF(J842="כן", K842, VLOOKUP(LEFT(H842, 7), 'קטלוג תרחישים'!$A:$M, 13, FALSE))</f>
        <v>א׳</v>
      </c>
    </row>
    <row r="843" spans="1:12">
      <c r="A843" s="29" t="s">
        <v>204</v>
      </c>
      <c r="B843" s="29">
        <v>17</v>
      </c>
      <c r="C843" s="29" t="s">
        <v>341</v>
      </c>
      <c r="D843" s="29">
        <v>3</v>
      </c>
      <c r="E843" s="29" t="s">
        <v>99</v>
      </c>
      <c r="F843" s="29" t="s">
        <v>342</v>
      </c>
      <c r="G843" s="29" t="s">
        <v>111</v>
      </c>
      <c r="H843" s="29" t="s">
        <v>194</v>
      </c>
      <c r="I843" s="29" t="s">
        <v>89</v>
      </c>
      <c r="J843" s="29" t="s">
        <v>340</v>
      </c>
      <c r="K843" s="29" t="str">
        <f>VLOOKUP(LEFT(H843, 7), 'קטלוג תרחישים'!$A:$L, 12, FALSE)</f>
        <v>ב׳</v>
      </c>
      <c r="L843" s="29" t="str">
        <f>IF(J843="כן", K843, VLOOKUP(LEFT(H843, 7), 'קטלוג תרחישים'!$A:$M, 13, FALSE))</f>
        <v>ב׳</v>
      </c>
    </row>
    <row r="844" spans="1:12">
      <c r="A844" s="29" t="s">
        <v>204</v>
      </c>
      <c r="B844" s="29">
        <v>18</v>
      </c>
      <c r="C844" s="29" t="s">
        <v>341</v>
      </c>
      <c r="D844" s="29">
        <v>3</v>
      </c>
      <c r="E844" s="29" t="s">
        <v>99</v>
      </c>
      <c r="F844" s="29" t="s">
        <v>342</v>
      </c>
      <c r="G844" s="29" t="s">
        <v>111</v>
      </c>
      <c r="H844" s="29" t="s">
        <v>193</v>
      </c>
      <c r="I844" s="29" t="s">
        <v>94</v>
      </c>
      <c r="J844" s="29" t="s">
        <v>343</v>
      </c>
      <c r="K844" s="29" t="str">
        <f>VLOOKUP(LEFT(H844, 7), 'קטלוג תרחישים'!$A:$L, 12, FALSE)</f>
        <v>א׳</v>
      </c>
      <c r="L844" s="29" t="str">
        <f>IF(J844="כן", K844, VLOOKUP(LEFT(H844, 7), 'קטלוג תרחישים'!$A:$M, 13, FALSE))</f>
        <v>ב׳</v>
      </c>
    </row>
    <row r="845" spans="1:12">
      <c r="A845" s="29" t="s">
        <v>204</v>
      </c>
      <c r="B845" s="29">
        <v>19</v>
      </c>
      <c r="C845" s="29" t="s">
        <v>341</v>
      </c>
      <c r="D845" s="29">
        <v>1</v>
      </c>
      <c r="E845" s="29" t="s">
        <v>99</v>
      </c>
      <c r="F845" s="29" t="s">
        <v>344</v>
      </c>
      <c r="G845" s="29" t="s">
        <v>91</v>
      </c>
      <c r="H845" s="29" t="s">
        <v>183</v>
      </c>
      <c r="I845" s="29" t="s">
        <v>89</v>
      </c>
      <c r="J845" s="29" t="s">
        <v>340</v>
      </c>
      <c r="K845" s="29" t="str">
        <f>VLOOKUP(LEFT(H845, 7), 'קטלוג תרחישים'!$A:$L, 12, FALSE)</f>
        <v>ג׳</v>
      </c>
      <c r="L845" s="29" t="str">
        <f>IF(J845="כן", K845, VLOOKUP(LEFT(H845, 7), 'קטלוג תרחישים'!$A:$M, 13, FALSE))</f>
        <v>ג׳</v>
      </c>
    </row>
    <row r="846" spans="1:12">
      <c r="A846" s="29" t="s">
        <v>204</v>
      </c>
      <c r="B846" s="29">
        <v>20</v>
      </c>
      <c r="C846" s="29" t="s">
        <v>341</v>
      </c>
      <c r="D846" s="29">
        <v>1</v>
      </c>
      <c r="E846" s="29" t="s">
        <v>99</v>
      </c>
      <c r="F846" s="29" t="s">
        <v>344</v>
      </c>
      <c r="G846" s="29" t="s">
        <v>91</v>
      </c>
      <c r="H846" s="29" t="s">
        <v>186</v>
      </c>
      <c r="I846" s="29" t="s">
        <v>94</v>
      </c>
      <c r="J846" s="29" t="s">
        <v>340</v>
      </c>
      <c r="K846" s="29" t="str">
        <f>VLOOKUP(LEFT(H846, 7), 'קטלוג תרחישים'!$A:$L, 12, FALSE)</f>
        <v>ב׳</v>
      </c>
      <c r="L846" s="29" t="str">
        <f>IF(J846="כן", K846, VLOOKUP(LEFT(H846, 7), 'קטלוג תרחישים'!$A:$M, 13, FALSE))</f>
        <v>ב׳</v>
      </c>
    </row>
    <row r="847" spans="1:12">
      <c r="A847" s="29" t="s">
        <v>204</v>
      </c>
      <c r="B847" s="29">
        <v>21</v>
      </c>
      <c r="C847" s="29" t="s">
        <v>341</v>
      </c>
      <c r="D847" s="29">
        <v>1</v>
      </c>
      <c r="E847" s="29" t="s">
        <v>99</v>
      </c>
      <c r="F847" s="29" t="s">
        <v>344</v>
      </c>
      <c r="G847" s="29" t="s">
        <v>91</v>
      </c>
      <c r="H847" s="29" t="s">
        <v>185</v>
      </c>
      <c r="I847" s="29" t="s">
        <v>89</v>
      </c>
      <c r="J847" s="29" t="s">
        <v>343</v>
      </c>
      <c r="K847" s="29" t="str">
        <f>VLOOKUP(LEFT(H847, 7), 'קטלוג תרחישים'!$A:$L, 12, FALSE)</f>
        <v>א׳</v>
      </c>
      <c r="L847" s="29" t="str">
        <f>IF(J847="כן", K847, VLOOKUP(LEFT(H847, 7), 'קטלוג תרחישים'!$A:$M, 13, FALSE))</f>
        <v>ב׳</v>
      </c>
    </row>
    <row r="848" spans="1:12">
      <c r="A848" s="29" t="s">
        <v>204</v>
      </c>
      <c r="B848" s="29">
        <v>22</v>
      </c>
      <c r="C848" s="29" t="s">
        <v>341</v>
      </c>
      <c r="D848" s="29">
        <v>1</v>
      </c>
      <c r="E848" s="29" t="s">
        <v>99</v>
      </c>
      <c r="F848" s="29" t="s">
        <v>344</v>
      </c>
      <c r="G848" s="29" t="s">
        <v>91</v>
      </c>
      <c r="H848" s="29" t="s">
        <v>184</v>
      </c>
      <c r="I848" s="29" t="s">
        <v>94</v>
      </c>
      <c r="J848" s="29" t="s">
        <v>340</v>
      </c>
      <c r="K848" s="29" t="str">
        <f>VLOOKUP(LEFT(H848, 7), 'קטלוג תרחישים'!$A:$L, 12, FALSE)</f>
        <v>ג׳</v>
      </c>
      <c r="L848" s="29" t="str">
        <f>IF(J848="כן", K848, VLOOKUP(LEFT(H848, 7), 'קטלוג תרחישים'!$A:$M, 13, FALSE))</f>
        <v>ג׳</v>
      </c>
    </row>
    <row r="849" spans="1:12">
      <c r="A849" s="29" t="s">
        <v>204</v>
      </c>
      <c r="B849" s="29">
        <v>23</v>
      </c>
      <c r="C849" s="29" t="s">
        <v>341</v>
      </c>
      <c r="D849" s="29">
        <v>1</v>
      </c>
      <c r="E849" s="29" t="s">
        <v>99</v>
      </c>
      <c r="F849" s="29" t="s">
        <v>344</v>
      </c>
      <c r="G849" s="29" t="s">
        <v>91</v>
      </c>
      <c r="H849" s="29" t="s">
        <v>187</v>
      </c>
      <c r="I849" s="29" t="s">
        <v>89</v>
      </c>
      <c r="J849" s="29" t="s">
        <v>340</v>
      </c>
      <c r="K849" s="29" t="str">
        <f>VLOOKUP(LEFT(H849, 7), 'קטלוג תרחישים'!$A:$L, 12, FALSE)</f>
        <v>א׳</v>
      </c>
      <c r="L849" s="29" t="str">
        <f>IF(J849="כן", K849, VLOOKUP(LEFT(H849, 7), 'קטלוג תרחישים'!$A:$M, 13, FALSE))</f>
        <v>א׳</v>
      </c>
    </row>
    <row r="850" spans="1:12">
      <c r="A850" s="29" t="s">
        <v>204</v>
      </c>
      <c r="B850" s="29">
        <v>24</v>
      </c>
      <c r="C850" s="29" t="s">
        <v>341</v>
      </c>
      <c r="D850" s="29">
        <v>2</v>
      </c>
      <c r="E850" s="29" t="s">
        <v>105</v>
      </c>
      <c r="F850" s="29" t="s">
        <v>344</v>
      </c>
      <c r="G850" s="29" t="s">
        <v>91</v>
      </c>
      <c r="H850" s="29" t="s">
        <v>173</v>
      </c>
      <c r="I850" s="29" t="s">
        <v>94</v>
      </c>
      <c r="J850" s="29" t="s">
        <v>340</v>
      </c>
      <c r="K850" s="29" t="str">
        <f>VLOOKUP(LEFT(H850, 7), 'קטלוג תרחישים'!$A:$L, 12, FALSE)</f>
        <v>ג׳</v>
      </c>
      <c r="L850" s="29" t="str">
        <f>IF(J850="כן", K850, VLOOKUP(LEFT(H850, 7), 'קטלוג תרחישים'!$A:$M, 13, FALSE))</f>
        <v>ג׳</v>
      </c>
    </row>
    <row r="851" spans="1:12">
      <c r="A851" s="29" t="s">
        <v>204</v>
      </c>
      <c r="B851" s="29">
        <v>25</v>
      </c>
      <c r="C851" s="29" t="s">
        <v>341</v>
      </c>
      <c r="D851" s="29">
        <v>2</v>
      </c>
      <c r="E851" s="29" t="s">
        <v>105</v>
      </c>
      <c r="F851" s="29" t="s">
        <v>344</v>
      </c>
      <c r="G851" s="29" t="s">
        <v>91</v>
      </c>
      <c r="H851" s="29" t="s">
        <v>176</v>
      </c>
      <c r="I851" s="29" t="s">
        <v>89</v>
      </c>
      <c r="J851" s="29" t="s">
        <v>343</v>
      </c>
      <c r="K851" s="29" t="str">
        <f>VLOOKUP(LEFT(H851, 7), 'קטלוג תרחישים'!$A:$L, 12, FALSE)</f>
        <v>ג׳</v>
      </c>
      <c r="L851" s="29" t="str">
        <f>IF(J851="כן", K851, VLOOKUP(LEFT(H851, 7), 'קטלוג תרחישים'!$A:$M, 13, FALSE))</f>
        <v>ב׳</v>
      </c>
    </row>
    <row r="852" spans="1:12">
      <c r="A852" s="29" t="s">
        <v>204</v>
      </c>
      <c r="B852" s="29">
        <v>26</v>
      </c>
      <c r="C852" s="29" t="s">
        <v>341</v>
      </c>
      <c r="D852" s="29">
        <v>2</v>
      </c>
      <c r="E852" s="29" t="s">
        <v>105</v>
      </c>
      <c r="F852" s="29" t="s">
        <v>344</v>
      </c>
      <c r="G852" s="29" t="s">
        <v>91</v>
      </c>
      <c r="H852" s="29" t="s">
        <v>175</v>
      </c>
      <c r="I852" s="29" t="s">
        <v>94</v>
      </c>
      <c r="J852" s="29" t="s">
        <v>340</v>
      </c>
      <c r="K852" s="29" t="str">
        <f>VLOOKUP(LEFT(H852, 7), 'קטלוג תרחישים'!$A:$L, 12, FALSE)</f>
        <v>א׳</v>
      </c>
      <c r="L852" s="29" t="str">
        <f>IF(J852="כן", K852, VLOOKUP(LEFT(H852, 7), 'קטלוג תרחישים'!$A:$M, 13, FALSE))</f>
        <v>א׳</v>
      </c>
    </row>
    <row r="853" spans="1:12">
      <c r="A853" s="29" t="s">
        <v>204</v>
      </c>
      <c r="B853" s="29">
        <v>27</v>
      </c>
      <c r="C853" s="29" t="s">
        <v>341</v>
      </c>
      <c r="D853" s="29">
        <v>2</v>
      </c>
      <c r="E853" s="29" t="s">
        <v>105</v>
      </c>
      <c r="F853" s="29" t="s">
        <v>344</v>
      </c>
      <c r="G853" s="29" t="s">
        <v>91</v>
      </c>
      <c r="H853" s="29" t="s">
        <v>174</v>
      </c>
      <c r="I853" s="29" t="s">
        <v>89</v>
      </c>
      <c r="J853" s="29" t="s">
        <v>340</v>
      </c>
      <c r="K853" s="29" t="str">
        <f>VLOOKUP(LEFT(H853, 7), 'קטלוג תרחישים'!$A:$L, 12, FALSE)</f>
        <v>ג׳</v>
      </c>
      <c r="L853" s="29" t="str">
        <f>IF(J853="כן", K853, VLOOKUP(LEFT(H853, 7), 'קטלוג תרחישים'!$A:$M, 13, FALSE))</f>
        <v>ג׳</v>
      </c>
    </row>
    <row r="854" spans="1:12">
      <c r="A854" s="29" t="s">
        <v>204</v>
      </c>
      <c r="B854" s="29">
        <v>28</v>
      </c>
      <c r="C854" s="29" t="s">
        <v>341</v>
      </c>
      <c r="D854" s="29">
        <v>2</v>
      </c>
      <c r="E854" s="29" t="s">
        <v>105</v>
      </c>
      <c r="F854" s="29" t="s">
        <v>344</v>
      </c>
      <c r="G854" s="29" t="s">
        <v>91</v>
      </c>
      <c r="H854" s="29" t="s">
        <v>177</v>
      </c>
      <c r="I854" s="29" t="s">
        <v>94</v>
      </c>
      <c r="J854" s="29" t="s">
        <v>340</v>
      </c>
      <c r="K854" s="29" t="str">
        <f>VLOOKUP(LEFT(H854, 7), 'קטלוג תרחישים'!$A:$L, 12, FALSE)</f>
        <v>ב׳</v>
      </c>
      <c r="L854" s="29" t="str">
        <f>IF(J854="כן", K854, VLOOKUP(LEFT(H854, 7), 'קטלוג תרחישים'!$A:$M, 13, FALSE))</f>
        <v>ב׳</v>
      </c>
    </row>
    <row r="855" spans="1:12">
      <c r="A855" s="29" t="s">
        <v>204</v>
      </c>
      <c r="B855" s="29">
        <v>29</v>
      </c>
      <c r="C855" s="29" t="s">
        <v>341</v>
      </c>
      <c r="D855" s="29">
        <v>3</v>
      </c>
      <c r="E855" s="29" t="s">
        <v>92</v>
      </c>
      <c r="F855" s="29" t="s">
        <v>344</v>
      </c>
      <c r="G855" s="29" t="s">
        <v>91</v>
      </c>
      <c r="H855" s="29" t="s">
        <v>180</v>
      </c>
      <c r="I855" s="29" t="s">
        <v>89</v>
      </c>
      <c r="J855" s="29" t="s">
        <v>343</v>
      </c>
      <c r="K855" s="29" t="str">
        <f>VLOOKUP(LEFT(H855, 7), 'קטלוג תרחישים'!$A:$L, 12, FALSE)</f>
        <v>ב׳</v>
      </c>
      <c r="L855" s="29" t="str">
        <f>IF(J855="כן", K855, VLOOKUP(LEFT(H855, 7), 'קטלוג תרחישים'!$A:$M, 13, FALSE))</f>
        <v>ג׳</v>
      </c>
    </row>
    <row r="856" spans="1:12">
      <c r="A856" s="29" t="s">
        <v>204</v>
      </c>
      <c r="B856" s="29">
        <v>30</v>
      </c>
      <c r="C856" s="29" t="s">
        <v>341</v>
      </c>
      <c r="D856" s="29">
        <v>3</v>
      </c>
      <c r="E856" s="29" t="s">
        <v>92</v>
      </c>
      <c r="F856" s="29" t="s">
        <v>344</v>
      </c>
      <c r="G856" s="29" t="s">
        <v>91</v>
      </c>
      <c r="H856" s="29" t="s">
        <v>179</v>
      </c>
      <c r="I856" s="29" t="s">
        <v>94</v>
      </c>
      <c r="J856" s="29" t="s">
        <v>340</v>
      </c>
      <c r="K856" s="29" t="str">
        <f>VLOOKUP(LEFT(H856, 7), 'קטלוג תרחישים'!$A:$L, 12, FALSE)</f>
        <v>א׳</v>
      </c>
      <c r="L856" s="29" t="str">
        <f>IF(J856="כן", K856, VLOOKUP(LEFT(H856, 7), 'קטלוג תרחישים'!$A:$M, 13, FALSE))</f>
        <v>א׳</v>
      </c>
    </row>
    <row r="857" spans="1:12">
      <c r="A857" s="29" t="s">
        <v>204</v>
      </c>
      <c r="B857" s="29">
        <v>31</v>
      </c>
      <c r="C857" s="29" t="s">
        <v>341</v>
      </c>
      <c r="D857" s="29">
        <v>3</v>
      </c>
      <c r="E857" s="29" t="s">
        <v>92</v>
      </c>
      <c r="F857" s="29" t="s">
        <v>344</v>
      </c>
      <c r="G857" s="29" t="s">
        <v>91</v>
      </c>
      <c r="H857" s="29" t="s">
        <v>178</v>
      </c>
      <c r="I857" s="29" t="s">
        <v>89</v>
      </c>
      <c r="J857" s="29" t="s">
        <v>340</v>
      </c>
      <c r="K857" s="29" t="str">
        <f>VLOOKUP(LEFT(H857, 7), 'קטלוג תרחישים'!$A:$L, 12, FALSE)</f>
        <v>א׳</v>
      </c>
      <c r="L857" s="29" t="str">
        <f>IF(J857="כן", K857, VLOOKUP(LEFT(H857, 7), 'קטלוג תרחישים'!$A:$M, 13, FALSE))</f>
        <v>א׳</v>
      </c>
    </row>
    <row r="858" spans="1:12">
      <c r="A858" s="29" t="s">
        <v>204</v>
      </c>
      <c r="B858" s="29">
        <v>32</v>
      </c>
      <c r="C858" s="29" t="s">
        <v>341</v>
      </c>
      <c r="D858" s="29">
        <v>3</v>
      </c>
      <c r="E858" s="29" t="s">
        <v>92</v>
      </c>
      <c r="F858" s="29" t="s">
        <v>344</v>
      </c>
      <c r="G858" s="29" t="s">
        <v>91</v>
      </c>
      <c r="H858" s="29" t="s">
        <v>181</v>
      </c>
      <c r="I858" s="29" t="s">
        <v>94</v>
      </c>
      <c r="J858" s="29" t="s">
        <v>340</v>
      </c>
      <c r="K858" s="29" t="str">
        <f>VLOOKUP(LEFT(H858, 7), 'קטלוג תרחישים'!$A:$L, 12, FALSE)</f>
        <v>ג׳</v>
      </c>
      <c r="L858" s="29" t="str">
        <f>IF(J858="כן", K858, VLOOKUP(LEFT(H858, 7), 'קטלוג תרחישים'!$A:$M, 13, FALSE))</f>
        <v>ג׳</v>
      </c>
    </row>
    <row r="859" spans="1:12">
      <c r="A859" s="29" t="s">
        <v>204</v>
      </c>
      <c r="B859" s="29">
        <v>33</v>
      </c>
      <c r="C859" s="29" t="s">
        <v>341</v>
      </c>
      <c r="D859" s="29">
        <v>3</v>
      </c>
      <c r="E859" s="29" t="s">
        <v>92</v>
      </c>
      <c r="F859" s="29" t="s">
        <v>344</v>
      </c>
      <c r="G859" s="29" t="s">
        <v>91</v>
      </c>
      <c r="H859" s="29" t="s">
        <v>182</v>
      </c>
      <c r="I859" s="29" t="s">
        <v>89</v>
      </c>
      <c r="J859" s="29" t="s">
        <v>340</v>
      </c>
      <c r="K859" s="29" t="str">
        <f>VLOOKUP(LEFT(H859, 7), 'קטלוג תרחישים'!$A:$L, 12, FALSE)</f>
        <v>ב׳</v>
      </c>
      <c r="L859" s="29" t="str">
        <f>IF(J859="כן", K859, VLOOKUP(LEFT(H859, 7), 'קטלוג תרחישים'!$A:$M, 13, FALSE))</f>
        <v>ב׳</v>
      </c>
    </row>
    <row r="860" spans="1:12">
      <c r="A860" s="29" t="s">
        <v>205</v>
      </c>
      <c r="B860" s="29">
        <v>1</v>
      </c>
      <c r="C860" s="29" t="s">
        <v>339</v>
      </c>
      <c r="D860" s="29"/>
      <c r="E860" s="29" t="s">
        <v>92</v>
      </c>
      <c r="F860" s="29"/>
      <c r="G860" s="29"/>
      <c r="H860" s="30" t="s">
        <v>351</v>
      </c>
      <c r="I860" s="29" t="s">
        <v>89</v>
      </c>
      <c r="J860" s="29" t="s">
        <v>340</v>
      </c>
      <c r="K860" s="29" t="str">
        <f>VLOOKUP(LEFT(H860, 7), 'קטלוג תרחישים'!$A:$L, 12, FALSE)</f>
        <v>א׳</v>
      </c>
      <c r="L860" s="29" t="str">
        <f>IF(J860="כן", K860, VLOOKUP(LEFT(H860, 7), 'קטלוג תרחישים'!$A:$M, 13, FALSE))</f>
        <v>א׳</v>
      </c>
    </row>
    <row r="861" spans="1:12">
      <c r="A861" s="29" t="s">
        <v>205</v>
      </c>
      <c r="B861" s="29">
        <v>2</v>
      </c>
      <c r="C861" s="29" t="s">
        <v>339</v>
      </c>
      <c r="D861" s="29"/>
      <c r="E861" s="29" t="s">
        <v>92</v>
      </c>
      <c r="F861" s="29"/>
      <c r="G861" s="29"/>
      <c r="H861" s="30" t="s">
        <v>88</v>
      </c>
      <c r="I861" s="29" t="s">
        <v>89</v>
      </c>
      <c r="J861" s="29" t="s">
        <v>340</v>
      </c>
      <c r="K861" s="29" t="str">
        <f>VLOOKUP(LEFT(H861, 7), 'קטלוג תרחישים'!$A:$L, 12, FALSE)</f>
        <v>א׳</v>
      </c>
      <c r="L861" s="29" t="str">
        <f>IF(J861="כן", K861, VLOOKUP(LEFT(H861, 7), 'קטלוג תרחישים'!$A:$M, 13, FALSE))</f>
        <v>א׳</v>
      </c>
    </row>
    <row r="862" spans="1:12">
      <c r="A862" s="29" t="s">
        <v>205</v>
      </c>
      <c r="B862" s="29">
        <v>3</v>
      </c>
      <c r="C862" s="29" t="s">
        <v>339</v>
      </c>
      <c r="D862" s="29"/>
      <c r="E862" s="29" t="s">
        <v>99</v>
      </c>
      <c r="F862" s="29"/>
      <c r="G862" s="29"/>
      <c r="H862" s="30" t="s">
        <v>352</v>
      </c>
      <c r="I862" s="29" t="s">
        <v>89</v>
      </c>
      <c r="J862" s="29" t="s">
        <v>340</v>
      </c>
      <c r="K862" s="29" t="str">
        <f>VLOOKUP(LEFT(H862, 7), 'קטלוג תרחישים'!$A:$L, 12, FALSE)</f>
        <v>ב׳</v>
      </c>
      <c r="L862" s="29" t="str">
        <f>IF(J862="כן", K862, VLOOKUP(LEFT(H862, 7), 'קטלוג תרחישים'!$A:$M, 13, FALSE))</f>
        <v>ב׳</v>
      </c>
    </row>
    <row r="863" spans="1:12">
      <c r="A863" s="29" t="s">
        <v>205</v>
      </c>
      <c r="B863" s="29">
        <v>4</v>
      </c>
      <c r="C863" s="29" t="s">
        <v>339</v>
      </c>
      <c r="D863" s="29"/>
      <c r="E863" s="29" t="s">
        <v>99</v>
      </c>
      <c r="F863" s="29"/>
      <c r="G863" s="29"/>
      <c r="H863" s="30" t="s">
        <v>353</v>
      </c>
      <c r="I863" s="29" t="s">
        <v>89</v>
      </c>
      <c r="J863" s="29" t="s">
        <v>340</v>
      </c>
      <c r="K863" s="29" t="str">
        <f>VLOOKUP(LEFT(H863, 7), 'קטלוג תרחישים'!$A:$L, 12, FALSE)</f>
        <v>ב׳</v>
      </c>
      <c r="L863" s="29" t="str">
        <f>IF(J863="כן", K863, VLOOKUP(LEFT(H863, 7), 'קטלוג תרחישים'!$A:$M, 13, FALSE))</f>
        <v>ב׳</v>
      </c>
    </row>
    <row r="864" spans="1:12">
      <c r="A864" s="29" t="s">
        <v>205</v>
      </c>
      <c r="B864" s="29">
        <v>5</v>
      </c>
      <c r="C864" s="29" t="s">
        <v>339</v>
      </c>
      <c r="D864" s="29"/>
      <c r="E864" s="29" t="s">
        <v>105</v>
      </c>
      <c r="F864" s="29"/>
      <c r="G864" s="29"/>
      <c r="H864" s="30" t="s">
        <v>354</v>
      </c>
      <c r="I864" s="29" t="s">
        <v>89</v>
      </c>
      <c r="J864" s="29" t="s">
        <v>340</v>
      </c>
      <c r="K864" s="29" t="str">
        <f>VLOOKUP(LEFT(H864, 7), 'קטלוג תרחישים'!$A:$L, 12, FALSE)</f>
        <v>ג׳</v>
      </c>
      <c r="L864" s="29" t="str">
        <f>IF(J864="כן", K864, VLOOKUP(LEFT(H864, 7), 'קטלוג תרחישים'!$A:$M, 13, FALSE))</f>
        <v>ג׳</v>
      </c>
    </row>
    <row r="865" spans="1:12">
      <c r="A865" s="29" t="s">
        <v>205</v>
      </c>
      <c r="B865" s="29">
        <v>6</v>
      </c>
      <c r="C865" s="29" t="s">
        <v>339</v>
      </c>
      <c r="D865" s="29"/>
      <c r="E865" s="29" t="s">
        <v>105</v>
      </c>
      <c r="F865" s="29"/>
      <c r="G865" s="29"/>
      <c r="H865" s="30" t="s">
        <v>90</v>
      </c>
      <c r="I865" s="29" t="s">
        <v>89</v>
      </c>
      <c r="J865" s="29" t="s">
        <v>340</v>
      </c>
      <c r="K865" s="29" t="str">
        <f>VLOOKUP(LEFT(H865, 7), 'קטלוג תרחישים'!$A:$L, 12, FALSE)</f>
        <v>ג׳</v>
      </c>
      <c r="L865" s="29" t="str">
        <f>IF(J865="כן", K865, VLOOKUP(LEFT(H865, 7), 'קטלוג תרחישים'!$A:$M, 13, FALSE))</f>
        <v>ג׳</v>
      </c>
    </row>
    <row r="866" spans="1:12">
      <c r="A866" s="29" t="s">
        <v>205</v>
      </c>
      <c r="B866" s="29">
        <v>7</v>
      </c>
      <c r="C866" s="29" t="s">
        <v>341</v>
      </c>
      <c r="D866" s="29">
        <v>1</v>
      </c>
      <c r="E866" s="29" t="s">
        <v>105</v>
      </c>
      <c r="F866" s="29" t="s">
        <v>342</v>
      </c>
      <c r="G866" s="29" t="s">
        <v>91</v>
      </c>
      <c r="H866" s="29" t="s">
        <v>177</v>
      </c>
      <c r="I866" s="29" t="s">
        <v>94</v>
      </c>
      <c r="J866" s="29" t="s">
        <v>340</v>
      </c>
      <c r="K866" s="29" t="str">
        <f>VLOOKUP(LEFT(H866, 7), 'קטלוג תרחישים'!$A:$L, 12, FALSE)</f>
        <v>ב׳</v>
      </c>
      <c r="L866" s="29" t="str">
        <f>IF(J866="כן", K866, VLOOKUP(LEFT(H866, 7), 'קטלוג תרחישים'!$A:$M, 13, FALSE))</f>
        <v>ב׳</v>
      </c>
    </row>
    <row r="867" spans="1:12">
      <c r="A867" s="29" t="s">
        <v>205</v>
      </c>
      <c r="B867" s="29">
        <v>8</v>
      </c>
      <c r="C867" s="29" t="s">
        <v>341</v>
      </c>
      <c r="D867" s="29">
        <v>1</v>
      </c>
      <c r="E867" s="29" t="s">
        <v>105</v>
      </c>
      <c r="F867" s="29" t="s">
        <v>342</v>
      </c>
      <c r="G867" s="29" t="s">
        <v>91</v>
      </c>
      <c r="H867" s="29" t="s">
        <v>174</v>
      </c>
      <c r="I867" s="29" t="s">
        <v>89</v>
      </c>
      <c r="J867" s="29" t="s">
        <v>340</v>
      </c>
      <c r="K867" s="29" t="str">
        <f>VLOOKUP(LEFT(H867, 7), 'קטלוג תרחישים'!$A:$L, 12, FALSE)</f>
        <v>ג׳</v>
      </c>
      <c r="L867" s="29" t="str">
        <f>IF(J867="כן", K867, VLOOKUP(LEFT(H867, 7), 'קטלוג תרחישים'!$A:$M, 13, FALSE))</f>
        <v>ג׳</v>
      </c>
    </row>
    <row r="868" spans="1:12">
      <c r="A868" s="29" t="s">
        <v>205</v>
      </c>
      <c r="B868" s="29">
        <v>9</v>
      </c>
      <c r="C868" s="29" t="s">
        <v>341</v>
      </c>
      <c r="D868" s="29">
        <v>1</v>
      </c>
      <c r="E868" s="29" t="s">
        <v>105</v>
      </c>
      <c r="F868" s="29" t="s">
        <v>342</v>
      </c>
      <c r="G868" s="29" t="s">
        <v>91</v>
      </c>
      <c r="H868" s="29" t="s">
        <v>175</v>
      </c>
      <c r="I868" s="29" t="s">
        <v>94</v>
      </c>
      <c r="J868" s="29" t="s">
        <v>343</v>
      </c>
      <c r="K868" s="29" t="str">
        <f>VLOOKUP(LEFT(H868, 7), 'קטלוג תרחישים'!$A:$L, 12, FALSE)</f>
        <v>א׳</v>
      </c>
      <c r="L868" s="29" t="str">
        <f>IF(J868="כן", K868, VLOOKUP(LEFT(H868, 7), 'קטלוג תרחישים'!$A:$M, 13, FALSE))</f>
        <v>ב׳</v>
      </c>
    </row>
    <row r="869" spans="1:12">
      <c r="A869" s="29" t="s">
        <v>205</v>
      </c>
      <c r="B869" s="29">
        <v>10</v>
      </c>
      <c r="C869" s="29" t="s">
        <v>341</v>
      </c>
      <c r="D869" s="29">
        <v>1</v>
      </c>
      <c r="E869" s="29" t="s">
        <v>105</v>
      </c>
      <c r="F869" s="29" t="s">
        <v>342</v>
      </c>
      <c r="G869" s="29" t="s">
        <v>91</v>
      </c>
      <c r="H869" s="29" t="s">
        <v>176</v>
      </c>
      <c r="I869" s="29" t="s">
        <v>89</v>
      </c>
      <c r="J869" s="29" t="s">
        <v>340</v>
      </c>
      <c r="K869" s="29" t="str">
        <f>VLOOKUP(LEFT(H869, 7), 'קטלוג תרחישים'!$A:$L, 12, FALSE)</f>
        <v>ג׳</v>
      </c>
      <c r="L869" s="29" t="str">
        <f>IF(J869="כן", K869, VLOOKUP(LEFT(H869, 7), 'קטלוג תרחישים'!$A:$M, 13, FALSE))</f>
        <v>ג׳</v>
      </c>
    </row>
    <row r="870" spans="1:12">
      <c r="A870" s="29" t="s">
        <v>205</v>
      </c>
      <c r="B870" s="29">
        <v>11</v>
      </c>
      <c r="C870" s="29" t="s">
        <v>341</v>
      </c>
      <c r="D870" s="29">
        <v>1</v>
      </c>
      <c r="E870" s="29" t="s">
        <v>105</v>
      </c>
      <c r="F870" s="29" t="s">
        <v>342</v>
      </c>
      <c r="G870" s="29" t="s">
        <v>91</v>
      </c>
      <c r="H870" s="29" t="s">
        <v>173</v>
      </c>
      <c r="I870" s="29" t="s">
        <v>94</v>
      </c>
      <c r="J870" s="29" t="s">
        <v>340</v>
      </c>
      <c r="K870" s="29" t="str">
        <f>VLOOKUP(LEFT(H870, 7), 'קטלוג תרחישים'!$A:$L, 12, FALSE)</f>
        <v>ג׳</v>
      </c>
      <c r="L870" s="29" t="str">
        <f>IF(J870="כן", K870, VLOOKUP(LEFT(H870, 7), 'קטלוג תרחישים'!$A:$M, 13, FALSE))</f>
        <v>ג׳</v>
      </c>
    </row>
    <row r="871" spans="1:12">
      <c r="A871" s="29" t="s">
        <v>205</v>
      </c>
      <c r="B871" s="29">
        <v>12</v>
      </c>
      <c r="C871" s="29" t="s">
        <v>341</v>
      </c>
      <c r="D871" s="29">
        <v>2</v>
      </c>
      <c r="E871" s="29" t="s">
        <v>92</v>
      </c>
      <c r="F871" s="29" t="s">
        <v>342</v>
      </c>
      <c r="G871" s="29" t="s">
        <v>91</v>
      </c>
      <c r="H871" s="29" t="s">
        <v>180</v>
      </c>
      <c r="I871" s="29" t="s">
        <v>89</v>
      </c>
      <c r="J871" s="29" t="s">
        <v>340</v>
      </c>
      <c r="K871" s="29" t="str">
        <f>VLOOKUP(LEFT(H871, 7), 'קטלוג תרחישים'!$A:$L, 12, FALSE)</f>
        <v>ב׳</v>
      </c>
      <c r="L871" s="29" t="str">
        <f>IF(J871="כן", K871, VLOOKUP(LEFT(H871, 7), 'קטלוג תרחישים'!$A:$M, 13, FALSE))</f>
        <v>ב׳</v>
      </c>
    </row>
    <row r="872" spans="1:12">
      <c r="A872" s="29" t="s">
        <v>205</v>
      </c>
      <c r="B872" s="29">
        <v>13</v>
      </c>
      <c r="C872" s="29" t="s">
        <v>341</v>
      </c>
      <c r="D872" s="29">
        <v>2</v>
      </c>
      <c r="E872" s="29" t="s">
        <v>92</v>
      </c>
      <c r="F872" s="29" t="s">
        <v>342</v>
      </c>
      <c r="G872" s="29" t="s">
        <v>91</v>
      </c>
      <c r="H872" s="29" t="s">
        <v>181</v>
      </c>
      <c r="I872" s="29" t="s">
        <v>94</v>
      </c>
      <c r="J872" s="29" t="s">
        <v>340</v>
      </c>
      <c r="K872" s="29" t="str">
        <f>VLOOKUP(LEFT(H872, 7), 'קטלוג תרחישים'!$A:$L, 12, FALSE)</f>
        <v>ג׳</v>
      </c>
      <c r="L872" s="29" t="str">
        <f>IF(J872="כן", K872, VLOOKUP(LEFT(H872, 7), 'קטלוג תרחישים'!$A:$M, 13, FALSE))</f>
        <v>ג׳</v>
      </c>
    </row>
    <row r="873" spans="1:12">
      <c r="A873" s="29" t="s">
        <v>205</v>
      </c>
      <c r="B873" s="29">
        <v>14</v>
      </c>
      <c r="C873" s="29" t="s">
        <v>341</v>
      </c>
      <c r="D873" s="29">
        <v>2</v>
      </c>
      <c r="E873" s="29" t="s">
        <v>92</v>
      </c>
      <c r="F873" s="29" t="s">
        <v>342</v>
      </c>
      <c r="G873" s="29" t="s">
        <v>91</v>
      </c>
      <c r="H873" s="29" t="s">
        <v>178</v>
      </c>
      <c r="I873" s="29" t="s">
        <v>89</v>
      </c>
      <c r="J873" s="29" t="s">
        <v>340</v>
      </c>
      <c r="K873" s="29" t="str">
        <f>VLOOKUP(LEFT(H873, 7), 'קטלוג תרחישים'!$A:$L, 12, FALSE)</f>
        <v>א׳</v>
      </c>
      <c r="L873" s="29" t="str">
        <f>IF(J873="כן", K873, VLOOKUP(LEFT(H873, 7), 'קטלוג תרחישים'!$A:$M, 13, FALSE))</f>
        <v>א׳</v>
      </c>
    </row>
    <row r="874" spans="1:12">
      <c r="A874" s="29" t="s">
        <v>205</v>
      </c>
      <c r="B874" s="29">
        <v>15</v>
      </c>
      <c r="C874" s="29" t="s">
        <v>341</v>
      </c>
      <c r="D874" s="29">
        <v>2</v>
      </c>
      <c r="E874" s="29" t="s">
        <v>92</v>
      </c>
      <c r="F874" s="29" t="s">
        <v>342</v>
      </c>
      <c r="G874" s="29" t="s">
        <v>91</v>
      </c>
      <c r="H874" s="29" t="s">
        <v>179</v>
      </c>
      <c r="I874" s="29" t="s">
        <v>94</v>
      </c>
      <c r="J874" s="29" t="s">
        <v>343</v>
      </c>
      <c r="K874" s="29" t="str">
        <f>VLOOKUP(LEFT(H874, 7), 'קטלוג תרחישים'!$A:$L, 12, FALSE)</f>
        <v>א׳</v>
      </c>
      <c r="L874" s="29" t="str">
        <f>IF(J874="כן", K874, VLOOKUP(LEFT(H874, 7), 'קטלוג תרחישים'!$A:$M, 13, FALSE))</f>
        <v>ב׳</v>
      </c>
    </row>
    <row r="875" spans="1:12">
      <c r="A875" s="29" t="s">
        <v>205</v>
      </c>
      <c r="B875" s="29">
        <v>16</v>
      </c>
      <c r="C875" s="29" t="s">
        <v>341</v>
      </c>
      <c r="D875" s="29">
        <v>2</v>
      </c>
      <c r="E875" s="29" t="s">
        <v>92</v>
      </c>
      <c r="F875" s="29" t="s">
        <v>342</v>
      </c>
      <c r="G875" s="29" t="s">
        <v>91</v>
      </c>
      <c r="H875" s="29" t="s">
        <v>182</v>
      </c>
      <c r="I875" s="29" t="s">
        <v>89</v>
      </c>
      <c r="J875" s="29" t="s">
        <v>340</v>
      </c>
      <c r="K875" s="29" t="str">
        <f>VLOOKUP(LEFT(H875, 7), 'קטלוג תרחישים'!$A:$L, 12, FALSE)</f>
        <v>ב׳</v>
      </c>
      <c r="L875" s="29" t="str">
        <f>IF(J875="כן", K875, VLOOKUP(LEFT(H875, 7), 'קטלוג תרחישים'!$A:$M, 13, FALSE))</f>
        <v>ב׳</v>
      </c>
    </row>
    <row r="876" spans="1:12">
      <c r="A876" s="29" t="s">
        <v>205</v>
      </c>
      <c r="B876" s="29">
        <v>17</v>
      </c>
      <c r="C876" s="29" t="s">
        <v>341</v>
      </c>
      <c r="D876" s="29">
        <v>3</v>
      </c>
      <c r="E876" s="29" t="s">
        <v>99</v>
      </c>
      <c r="F876" s="29" t="s">
        <v>342</v>
      </c>
      <c r="G876" s="29" t="s">
        <v>91</v>
      </c>
      <c r="H876" s="29" t="s">
        <v>187</v>
      </c>
      <c r="I876" s="29" t="s">
        <v>89</v>
      </c>
      <c r="J876" s="29" t="s">
        <v>340</v>
      </c>
      <c r="K876" s="29" t="str">
        <f>VLOOKUP(LEFT(H876, 7), 'קטלוג תרחישים'!$A:$L, 12, FALSE)</f>
        <v>א׳</v>
      </c>
      <c r="L876" s="29" t="str">
        <f>IF(J876="כן", K876, VLOOKUP(LEFT(H876, 7), 'קטלוג תרחישים'!$A:$M, 13, FALSE))</f>
        <v>א׳</v>
      </c>
    </row>
    <row r="877" spans="1:12">
      <c r="A877" s="29" t="s">
        <v>205</v>
      </c>
      <c r="B877" s="29">
        <v>18</v>
      </c>
      <c r="C877" s="29" t="s">
        <v>341</v>
      </c>
      <c r="D877" s="29">
        <v>3</v>
      </c>
      <c r="E877" s="29" t="s">
        <v>99</v>
      </c>
      <c r="F877" s="29" t="s">
        <v>342</v>
      </c>
      <c r="G877" s="29" t="s">
        <v>91</v>
      </c>
      <c r="H877" s="29" t="s">
        <v>186</v>
      </c>
      <c r="I877" s="29" t="s">
        <v>94</v>
      </c>
      <c r="J877" s="29" t="s">
        <v>340</v>
      </c>
      <c r="K877" s="29" t="str">
        <f>VLOOKUP(LEFT(H877, 7), 'קטלוג תרחישים'!$A:$L, 12, FALSE)</f>
        <v>ב׳</v>
      </c>
      <c r="L877" s="29" t="str">
        <f>IF(J877="כן", K877, VLOOKUP(LEFT(H877, 7), 'קטלוג תרחישים'!$A:$M, 13, FALSE))</f>
        <v>ב׳</v>
      </c>
    </row>
    <row r="878" spans="1:12">
      <c r="A878" s="29" t="s">
        <v>205</v>
      </c>
      <c r="B878" s="29">
        <v>19</v>
      </c>
      <c r="C878" s="29" t="s">
        <v>341</v>
      </c>
      <c r="D878" s="29">
        <v>3</v>
      </c>
      <c r="E878" s="29" t="s">
        <v>99</v>
      </c>
      <c r="F878" s="29" t="s">
        <v>342</v>
      </c>
      <c r="G878" s="29" t="s">
        <v>91</v>
      </c>
      <c r="H878" s="29" t="s">
        <v>183</v>
      </c>
      <c r="I878" s="29" t="s">
        <v>89</v>
      </c>
      <c r="J878" s="29" t="s">
        <v>340</v>
      </c>
      <c r="K878" s="29" t="str">
        <f>VLOOKUP(LEFT(H878, 7), 'קטלוג תרחישים'!$A:$L, 12, FALSE)</f>
        <v>ג׳</v>
      </c>
      <c r="L878" s="29" t="str">
        <f>IF(J878="כן", K878, VLOOKUP(LEFT(H878, 7), 'קטלוג תרחישים'!$A:$M, 13, FALSE))</f>
        <v>ג׳</v>
      </c>
    </row>
    <row r="879" spans="1:12">
      <c r="A879" s="29" t="s">
        <v>205</v>
      </c>
      <c r="B879" s="29">
        <v>20</v>
      </c>
      <c r="C879" s="29" t="s">
        <v>341</v>
      </c>
      <c r="D879" s="29">
        <v>3</v>
      </c>
      <c r="E879" s="29" t="s">
        <v>99</v>
      </c>
      <c r="F879" s="29" t="s">
        <v>342</v>
      </c>
      <c r="G879" s="29" t="s">
        <v>91</v>
      </c>
      <c r="H879" s="29" t="s">
        <v>184</v>
      </c>
      <c r="I879" s="29" t="s">
        <v>94</v>
      </c>
      <c r="J879" s="29" t="s">
        <v>343</v>
      </c>
      <c r="K879" s="29" t="str">
        <f>VLOOKUP(LEFT(H879, 7), 'קטלוג תרחישים'!$A:$L, 12, FALSE)</f>
        <v>ג׳</v>
      </c>
      <c r="L879" s="29" t="str">
        <f>IF(J879="כן", K879, VLOOKUP(LEFT(H879, 7), 'קטלוג תרחישים'!$A:$M, 13, FALSE))</f>
        <v>א׳</v>
      </c>
    </row>
    <row r="880" spans="1:12">
      <c r="A880" s="29" t="s">
        <v>205</v>
      </c>
      <c r="B880" s="29">
        <v>21</v>
      </c>
      <c r="C880" s="29" t="s">
        <v>341</v>
      </c>
      <c r="D880" s="29">
        <v>3</v>
      </c>
      <c r="E880" s="29" t="s">
        <v>99</v>
      </c>
      <c r="F880" s="29" t="s">
        <v>342</v>
      </c>
      <c r="G880" s="29" t="s">
        <v>91</v>
      </c>
      <c r="H880" s="29" t="s">
        <v>185</v>
      </c>
      <c r="I880" s="29" t="s">
        <v>89</v>
      </c>
      <c r="J880" s="29" t="s">
        <v>340</v>
      </c>
      <c r="K880" s="29" t="str">
        <f>VLOOKUP(LEFT(H880, 7), 'קטלוג תרחישים'!$A:$L, 12, FALSE)</f>
        <v>א׳</v>
      </c>
      <c r="L880" s="29" t="str">
        <f>IF(J880="כן", K880, VLOOKUP(LEFT(H880, 7), 'קטלוג תרחישים'!$A:$M, 13, FALSE))</f>
        <v>א׳</v>
      </c>
    </row>
    <row r="881" spans="1:12">
      <c r="A881" s="29" t="s">
        <v>205</v>
      </c>
      <c r="B881" s="29">
        <v>22</v>
      </c>
      <c r="C881" s="29" t="s">
        <v>341</v>
      </c>
      <c r="D881" s="29">
        <v>1</v>
      </c>
      <c r="E881" s="29" t="s">
        <v>92</v>
      </c>
      <c r="F881" s="29" t="s">
        <v>344</v>
      </c>
      <c r="G881" s="29" t="s">
        <v>111</v>
      </c>
      <c r="H881" s="29" t="s">
        <v>190</v>
      </c>
      <c r="I881" s="29" t="s">
        <v>89</v>
      </c>
      <c r="J881" s="29" t="s">
        <v>340</v>
      </c>
      <c r="K881" s="29" t="str">
        <f>VLOOKUP(LEFT(H881, 7), 'קטלוג תרחישים'!$A:$L, 12, FALSE)</f>
        <v>א׳</v>
      </c>
      <c r="L881" s="29" t="str">
        <f>IF(J881="כן", K881, VLOOKUP(LEFT(H881, 7), 'קטלוג תרחישים'!$A:$M, 13, FALSE))</f>
        <v>א׳</v>
      </c>
    </row>
    <row r="882" spans="1:12">
      <c r="A882" s="29" t="s">
        <v>205</v>
      </c>
      <c r="B882" s="29">
        <v>23</v>
      </c>
      <c r="C882" s="29" t="s">
        <v>341</v>
      </c>
      <c r="D882" s="29">
        <v>1</v>
      </c>
      <c r="E882" s="29" t="s">
        <v>92</v>
      </c>
      <c r="F882" s="29" t="s">
        <v>344</v>
      </c>
      <c r="G882" s="29" t="s">
        <v>111</v>
      </c>
      <c r="H882" s="29" t="s">
        <v>189</v>
      </c>
      <c r="I882" s="29" t="s">
        <v>94</v>
      </c>
      <c r="J882" s="29" t="s">
        <v>343</v>
      </c>
      <c r="K882" s="29" t="str">
        <f>VLOOKUP(LEFT(H882, 7), 'קטלוג תרחישים'!$A:$L, 12, FALSE)</f>
        <v>ב׳</v>
      </c>
      <c r="L882" s="29" t="str">
        <f>IF(J882="כן", K882, VLOOKUP(LEFT(H882, 7), 'קטלוג תרחישים'!$A:$M, 13, FALSE))</f>
        <v>ג׳</v>
      </c>
    </row>
    <row r="883" spans="1:12">
      <c r="A883" s="29" t="s">
        <v>205</v>
      </c>
      <c r="B883" s="29">
        <v>24</v>
      </c>
      <c r="C883" s="29" t="s">
        <v>341</v>
      </c>
      <c r="D883" s="29">
        <v>1</v>
      </c>
      <c r="E883" s="29" t="s">
        <v>92</v>
      </c>
      <c r="F883" s="29" t="s">
        <v>344</v>
      </c>
      <c r="G883" s="29" t="s">
        <v>111</v>
      </c>
      <c r="H883" s="29" t="s">
        <v>188</v>
      </c>
      <c r="I883" s="29" t="s">
        <v>89</v>
      </c>
      <c r="J883" s="29" t="s">
        <v>343</v>
      </c>
      <c r="K883" s="29" t="str">
        <f>VLOOKUP(LEFT(H883, 7), 'קטלוג תרחישים'!$A:$L, 12, FALSE)</f>
        <v>ג׳</v>
      </c>
      <c r="L883" s="29" t="str">
        <f>IF(J883="כן", K883, VLOOKUP(LEFT(H883, 7), 'קטלוג תרחישים'!$A:$M, 13, FALSE))</f>
        <v>ב׳</v>
      </c>
    </row>
    <row r="884" spans="1:12">
      <c r="A884" s="29" t="s">
        <v>205</v>
      </c>
      <c r="B884" s="29">
        <v>25</v>
      </c>
      <c r="C884" s="29" t="s">
        <v>341</v>
      </c>
      <c r="D884" s="29">
        <v>1</v>
      </c>
      <c r="E884" s="29" t="s">
        <v>92</v>
      </c>
      <c r="F884" s="29" t="s">
        <v>344</v>
      </c>
      <c r="G884" s="29" t="s">
        <v>111</v>
      </c>
      <c r="H884" s="29" t="s">
        <v>191</v>
      </c>
      <c r="I884" s="29" t="s">
        <v>94</v>
      </c>
      <c r="J884" s="29" t="s">
        <v>340</v>
      </c>
      <c r="K884" s="29" t="str">
        <f>VLOOKUP(LEFT(H884, 7), 'קטלוג תרחישים'!$A:$L, 12, FALSE)</f>
        <v>ג׳</v>
      </c>
      <c r="L884" s="29" t="str">
        <f>IF(J884="כן", K884, VLOOKUP(LEFT(H884, 7), 'קטלוג תרחישים'!$A:$M, 13, FALSE))</f>
        <v>ג׳</v>
      </c>
    </row>
    <row r="885" spans="1:12">
      <c r="A885" s="29" t="s">
        <v>205</v>
      </c>
      <c r="B885" s="29">
        <v>26</v>
      </c>
      <c r="C885" s="29" t="s">
        <v>341</v>
      </c>
      <c r="D885" s="29">
        <v>2</v>
      </c>
      <c r="E885" s="29" t="s">
        <v>99</v>
      </c>
      <c r="F885" s="29" t="s">
        <v>344</v>
      </c>
      <c r="G885" s="29" t="s">
        <v>111</v>
      </c>
      <c r="H885" s="29" t="s">
        <v>192</v>
      </c>
      <c r="I885" s="29" t="s">
        <v>89</v>
      </c>
      <c r="J885" s="29" t="s">
        <v>343</v>
      </c>
      <c r="K885" s="29" t="str">
        <f>VLOOKUP(LEFT(H885, 7), 'קטלוג תרחישים'!$A:$L, 12, FALSE)</f>
        <v>ב׳</v>
      </c>
      <c r="L885" s="29" t="str">
        <f>IF(J885="כן", K885, VLOOKUP(LEFT(H885, 7), 'קטלוג תרחישים'!$A:$M, 13, FALSE))</f>
        <v>א׳</v>
      </c>
    </row>
    <row r="886" spans="1:12">
      <c r="A886" s="29" t="s">
        <v>205</v>
      </c>
      <c r="B886" s="29">
        <v>27</v>
      </c>
      <c r="C886" s="29" t="s">
        <v>341</v>
      </c>
      <c r="D886" s="29">
        <v>2</v>
      </c>
      <c r="E886" s="29" t="s">
        <v>99</v>
      </c>
      <c r="F886" s="29" t="s">
        <v>344</v>
      </c>
      <c r="G886" s="29" t="s">
        <v>111</v>
      </c>
      <c r="H886" s="29" t="s">
        <v>193</v>
      </c>
      <c r="I886" s="29" t="s">
        <v>94</v>
      </c>
      <c r="J886" s="29" t="s">
        <v>340</v>
      </c>
      <c r="K886" s="29" t="str">
        <f>VLOOKUP(LEFT(H886, 7), 'קטלוג תרחישים'!$A:$L, 12, FALSE)</f>
        <v>א׳</v>
      </c>
      <c r="L886" s="29" t="str">
        <f>IF(J886="כן", K886, VLOOKUP(LEFT(H886, 7), 'קטלוג תרחישים'!$A:$M, 13, FALSE))</f>
        <v>א׳</v>
      </c>
    </row>
    <row r="887" spans="1:12">
      <c r="A887" s="29" t="s">
        <v>205</v>
      </c>
      <c r="B887" s="29">
        <v>28</v>
      </c>
      <c r="C887" s="29" t="s">
        <v>341</v>
      </c>
      <c r="D887" s="29">
        <v>2</v>
      </c>
      <c r="E887" s="29" t="s">
        <v>99</v>
      </c>
      <c r="F887" s="29" t="s">
        <v>344</v>
      </c>
      <c r="G887" s="29" t="s">
        <v>111</v>
      </c>
      <c r="H887" s="29" t="s">
        <v>194</v>
      </c>
      <c r="I887" s="29" t="s">
        <v>89</v>
      </c>
      <c r="J887" s="29" t="s">
        <v>340</v>
      </c>
      <c r="K887" s="29" t="str">
        <f>VLOOKUP(LEFT(H887, 7), 'קטלוג תרחישים'!$A:$L, 12, FALSE)</f>
        <v>ב׳</v>
      </c>
      <c r="L887" s="29" t="str">
        <f>IF(J887="כן", K887, VLOOKUP(LEFT(H887, 7), 'קטלוג תרחישים'!$A:$M, 13, FALSE))</f>
        <v>ב׳</v>
      </c>
    </row>
    <row r="888" spans="1:12">
      <c r="A888" s="29" t="s">
        <v>205</v>
      </c>
      <c r="B888" s="29">
        <v>29</v>
      </c>
      <c r="C888" s="29" t="s">
        <v>341</v>
      </c>
      <c r="D888" s="29">
        <v>2</v>
      </c>
      <c r="E888" s="29" t="s">
        <v>99</v>
      </c>
      <c r="F888" s="29" t="s">
        <v>344</v>
      </c>
      <c r="G888" s="29" t="s">
        <v>111</v>
      </c>
      <c r="H888" s="29" t="s">
        <v>195</v>
      </c>
      <c r="I888" s="29" t="s">
        <v>94</v>
      </c>
      <c r="J888" s="29" t="s">
        <v>343</v>
      </c>
      <c r="K888" s="29" t="str">
        <f>VLOOKUP(LEFT(H888, 7), 'קטלוג תרחישים'!$A:$L, 12, FALSE)</f>
        <v>א׳</v>
      </c>
      <c r="L888" s="29" t="str">
        <f>IF(J888="כן", K888, VLOOKUP(LEFT(H888, 7), 'קטלוג תרחישים'!$A:$M, 13, FALSE))</f>
        <v>ג׳</v>
      </c>
    </row>
    <row r="889" spans="1:12">
      <c r="A889" s="29" t="s">
        <v>205</v>
      </c>
      <c r="B889" s="29">
        <v>30</v>
      </c>
      <c r="C889" s="29" t="s">
        <v>341</v>
      </c>
      <c r="D889" s="29">
        <v>3</v>
      </c>
      <c r="E889" s="29" t="s">
        <v>105</v>
      </c>
      <c r="F889" s="29" t="s">
        <v>344</v>
      </c>
      <c r="G889" s="29" t="s">
        <v>111</v>
      </c>
      <c r="H889" s="29" t="s">
        <v>198</v>
      </c>
      <c r="I889" s="29" t="s">
        <v>89</v>
      </c>
      <c r="J889" s="29" t="s">
        <v>343</v>
      </c>
      <c r="K889" s="29" t="str">
        <f>VLOOKUP(LEFT(H889, 7), 'קטלוג תרחישים'!$A:$L, 12, FALSE)</f>
        <v>ג׳</v>
      </c>
      <c r="L889" s="29" t="str">
        <f>IF(J889="כן", K889, VLOOKUP(LEFT(H889, 7), 'קטלוג תרחישים'!$A:$M, 13, FALSE))</f>
        <v>ב׳</v>
      </c>
    </row>
    <row r="890" spans="1:12">
      <c r="A890" s="29" t="s">
        <v>205</v>
      </c>
      <c r="B890" s="29">
        <v>31</v>
      </c>
      <c r="C890" s="29" t="s">
        <v>341</v>
      </c>
      <c r="D890" s="29">
        <v>3</v>
      </c>
      <c r="E890" s="29" t="s">
        <v>105</v>
      </c>
      <c r="F890" s="29" t="s">
        <v>344</v>
      </c>
      <c r="G890" s="29" t="s">
        <v>111</v>
      </c>
      <c r="H890" s="29" t="s">
        <v>199</v>
      </c>
      <c r="I890" s="29" t="s">
        <v>94</v>
      </c>
      <c r="J890" s="29" t="s">
        <v>340</v>
      </c>
      <c r="K890" s="29" t="str">
        <f>VLOOKUP(LEFT(H890, 7), 'קטלוג תרחישים'!$A:$L, 12, FALSE)</f>
        <v>ב׳</v>
      </c>
      <c r="L890" s="29" t="str">
        <f>IF(J890="כן", K890, VLOOKUP(LEFT(H890, 7), 'קטלוג תרחישים'!$A:$M, 13, FALSE))</f>
        <v>ב׳</v>
      </c>
    </row>
    <row r="891" spans="1:12">
      <c r="A891" s="29" t="s">
        <v>205</v>
      </c>
      <c r="B891" s="29">
        <v>32</v>
      </c>
      <c r="C891" s="29" t="s">
        <v>341</v>
      </c>
      <c r="D891" s="29">
        <v>3</v>
      </c>
      <c r="E891" s="29" t="s">
        <v>105</v>
      </c>
      <c r="F891" s="29" t="s">
        <v>344</v>
      </c>
      <c r="G891" s="29" t="s">
        <v>111</v>
      </c>
      <c r="H891" s="29" t="s">
        <v>196</v>
      </c>
      <c r="I891" s="29" t="s">
        <v>89</v>
      </c>
      <c r="J891" s="29" t="s">
        <v>340</v>
      </c>
      <c r="K891" s="29" t="str">
        <f>VLOOKUP(LEFT(H891, 7), 'קטלוג תרחישים'!$A:$L, 12, FALSE)</f>
        <v>ב׳</v>
      </c>
      <c r="L891" s="29" t="str">
        <f>IF(J891="כן", K891, VLOOKUP(LEFT(H891, 7), 'קטלוג תרחישים'!$A:$M, 13, FALSE))</f>
        <v>ב׳</v>
      </c>
    </row>
    <row r="892" spans="1:12">
      <c r="A892" s="29" t="s">
        <v>205</v>
      </c>
      <c r="B892" s="29">
        <v>33</v>
      </c>
      <c r="C892" s="29" t="s">
        <v>341</v>
      </c>
      <c r="D892" s="29">
        <v>3</v>
      </c>
      <c r="E892" s="29" t="s">
        <v>105</v>
      </c>
      <c r="F892" s="29" t="s">
        <v>344</v>
      </c>
      <c r="G892" s="29" t="s">
        <v>111</v>
      </c>
      <c r="H892" s="29" t="s">
        <v>197</v>
      </c>
      <c r="I892" s="29" t="s">
        <v>94</v>
      </c>
      <c r="J892" s="29" t="s">
        <v>343</v>
      </c>
      <c r="K892" s="29" t="str">
        <f>VLOOKUP(LEFT(H892, 7), 'קטלוג תרחישים'!$A:$L, 12, FALSE)</f>
        <v>א׳</v>
      </c>
      <c r="L892" s="29" t="str">
        <f>IF(J892="כן", K892, VLOOKUP(LEFT(H892, 7), 'קטלוג תרחישים'!$A:$M, 13, FALSE))</f>
        <v>ב׳</v>
      </c>
    </row>
    <row r="893" spans="1:12">
      <c r="A893" s="29" t="s">
        <v>206</v>
      </c>
      <c r="B893" s="29">
        <v>1</v>
      </c>
      <c r="C893" s="29" t="s">
        <v>339</v>
      </c>
      <c r="D893" s="29"/>
      <c r="E893" s="29" t="s">
        <v>92</v>
      </c>
      <c r="F893" s="29"/>
      <c r="G893" s="29"/>
      <c r="H893" s="30" t="s">
        <v>351</v>
      </c>
      <c r="I893" s="29" t="s">
        <v>89</v>
      </c>
      <c r="J893" s="29" t="s">
        <v>340</v>
      </c>
      <c r="K893" s="29" t="str">
        <f>VLOOKUP(LEFT(H893, 7), 'קטלוג תרחישים'!$A:$L, 12, FALSE)</f>
        <v>א׳</v>
      </c>
      <c r="L893" s="29" t="str">
        <f>IF(J893="כן", K893, VLOOKUP(LEFT(H893, 7), 'קטלוג תרחישים'!$A:$M, 13, FALSE))</f>
        <v>א׳</v>
      </c>
    </row>
    <row r="894" spans="1:12">
      <c r="A894" s="29" t="s">
        <v>206</v>
      </c>
      <c r="B894" s="29">
        <v>2</v>
      </c>
      <c r="C894" s="29" t="s">
        <v>339</v>
      </c>
      <c r="D894" s="29"/>
      <c r="E894" s="29" t="s">
        <v>92</v>
      </c>
      <c r="F894" s="29"/>
      <c r="G894" s="29"/>
      <c r="H894" s="30" t="s">
        <v>88</v>
      </c>
      <c r="I894" s="29" t="s">
        <v>89</v>
      </c>
      <c r="J894" s="29" t="s">
        <v>340</v>
      </c>
      <c r="K894" s="29" t="str">
        <f>VLOOKUP(LEFT(H894, 7), 'קטלוג תרחישים'!$A:$L, 12, FALSE)</f>
        <v>א׳</v>
      </c>
      <c r="L894" s="29" t="str">
        <f>IF(J894="כן", K894, VLOOKUP(LEFT(H894, 7), 'קטלוג תרחישים'!$A:$M, 13, FALSE))</f>
        <v>א׳</v>
      </c>
    </row>
    <row r="895" spans="1:12">
      <c r="A895" s="29" t="s">
        <v>206</v>
      </c>
      <c r="B895" s="29">
        <v>3</v>
      </c>
      <c r="C895" s="29" t="s">
        <v>339</v>
      </c>
      <c r="D895" s="29"/>
      <c r="E895" s="29" t="s">
        <v>99</v>
      </c>
      <c r="F895" s="29"/>
      <c r="G895" s="29"/>
      <c r="H895" s="30" t="s">
        <v>352</v>
      </c>
      <c r="I895" s="29" t="s">
        <v>89</v>
      </c>
      <c r="J895" s="29" t="s">
        <v>340</v>
      </c>
      <c r="K895" s="29" t="str">
        <f>VLOOKUP(LEFT(H895, 7), 'קטלוג תרחישים'!$A:$L, 12, FALSE)</f>
        <v>ב׳</v>
      </c>
      <c r="L895" s="29" t="str">
        <f>IF(J895="כן", K895, VLOOKUP(LEFT(H895, 7), 'קטלוג תרחישים'!$A:$M, 13, FALSE))</f>
        <v>ב׳</v>
      </c>
    </row>
    <row r="896" spans="1:12">
      <c r="A896" s="29" t="s">
        <v>206</v>
      </c>
      <c r="B896" s="29">
        <v>4</v>
      </c>
      <c r="C896" s="29" t="s">
        <v>339</v>
      </c>
      <c r="D896" s="29"/>
      <c r="E896" s="29" t="s">
        <v>99</v>
      </c>
      <c r="F896" s="29"/>
      <c r="G896" s="29"/>
      <c r="H896" s="30" t="s">
        <v>353</v>
      </c>
      <c r="I896" s="29" t="s">
        <v>89</v>
      </c>
      <c r="J896" s="29" t="s">
        <v>340</v>
      </c>
      <c r="K896" s="29" t="str">
        <f>VLOOKUP(LEFT(H896, 7), 'קטלוג תרחישים'!$A:$L, 12, FALSE)</f>
        <v>ב׳</v>
      </c>
      <c r="L896" s="29" t="str">
        <f>IF(J896="כן", K896, VLOOKUP(LEFT(H896, 7), 'קטלוג תרחישים'!$A:$M, 13, FALSE))</f>
        <v>ב׳</v>
      </c>
    </row>
    <row r="897" spans="1:12">
      <c r="A897" s="29" t="s">
        <v>206</v>
      </c>
      <c r="B897" s="29">
        <v>5</v>
      </c>
      <c r="C897" s="29" t="s">
        <v>339</v>
      </c>
      <c r="D897" s="29"/>
      <c r="E897" s="29" t="s">
        <v>105</v>
      </c>
      <c r="F897" s="29"/>
      <c r="G897" s="29"/>
      <c r="H897" s="30" t="s">
        <v>354</v>
      </c>
      <c r="I897" s="29" t="s">
        <v>89</v>
      </c>
      <c r="J897" s="29" t="s">
        <v>340</v>
      </c>
      <c r="K897" s="29" t="str">
        <f>VLOOKUP(LEFT(H897, 7), 'קטלוג תרחישים'!$A:$L, 12, FALSE)</f>
        <v>ג׳</v>
      </c>
      <c r="L897" s="29" t="str">
        <f>IF(J897="כן", K897, VLOOKUP(LEFT(H897, 7), 'קטלוג תרחישים'!$A:$M, 13, FALSE))</f>
        <v>ג׳</v>
      </c>
    </row>
    <row r="898" spans="1:12">
      <c r="A898" s="29" t="s">
        <v>206</v>
      </c>
      <c r="B898" s="29">
        <v>6</v>
      </c>
      <c r="C898" s="29" t="s">
        <v>339</v>
      </c>
      <c r="D898" s="29"/>
      <c r="E898" s="29" t="s">
        <v>105</v>
      </c>
      <c r="F898" s="29"/>
      <c r="G898" s="29"/>
      <c r="H898" s="30" t="s">
        <v>90</v>
      </c>
      <c r="I898" s="29" t="s">
        <v>89</v>
      </c>
      <c r="J898" s="29" t="s">
        <v>340</v>
      </c>
      <c r="K898" s="29" t="str">
        <f>VLOOKUP(LEFT(H898, 7), 'קטלוג תרחישים'!$A:$L, 12, FALSE)</f>
        <v>ג׳</v>
      </c>
      <c r="L898" s="29" t="str">
        <f>IF(J898="כן", K898, VLOOKUP(LEFT(H898, 7), 'קטלוג תרחישים'!$A:$M, 13, FALSE))</f>
        <v>ג׳</v>
      </c>
    </row>
    <row r="899" spans="1:12">
      <c r="A899" s="29" t="s">
        <v>206</v>
      </c>
      <c r="B899" s="29">
        <v>7</v>
      </c>
      <c r="C899" s="29" t="s">
        <v>341</v>
      </c>
      <c r="D899" s="29">
        <v>1</v>
      </c>
      <c r="E899" s="29" t="s">
        <v>99</v>
      </c>
      <c r="F899" s="29" t="s">
        <v>342</v>
      </c>
      <c r="G899" s="29" t="s">
        <v>111</v>
      </c>
      <c r="H899" s="29" t="s">
        <v>194</v>
      </c>
      <c r="I899" s="29" t="s">
        <v>89</v>
      </c>
      <c r="J899" s="29" t="s">
        <v>343</v>
      </c>
      <c r="K899" s="29" t="str">
        <f>VLOOKUP(LEFT(H899, 7), 'קטלוג תרחישים'!$A:$L, 12, FALSE)</f>
        <v>ב׳</v>
      </c>
      <c r="L899" s="29" t="str">
        <f>IF(J899="כן", K899, VLOOKUP(LEFT(H899, 7), 'קטלוג תרחישים'!$A:$M, 13, FALSE))</f>
        <v>א׳</v>
      </c>
    </row>
    <row r="900" spans="1:12">
      <c r="A900" s="29" t="s">
        <v>206</v>
      </c>
      <c r="B900" s="29">
        <v>8</v>
      </c>
      <c r="C900" s="29" t="s">
        <v>341</v>
      </c>
      <c r="D900" s="29">
        <v>1</v>
      </c>
      <c r="E900" s="29" t="s">
        <v>99</v>
      </c>
      <c r="F900" s="29" t="s">
        <v>342</v>
      </c>
      <c r="G900" s="29" t="s">
        <v>111</v>
      </c>
      <c r="H900" s="29" t="s">
        <v>195</v>
      </c>
      <c r="I900" s="29" t="s">
        <v>94</v>
      </c>
      <c r="J900" s="29" t="s">
        <v>343</v>
      </c>
      <c r="K900" s="29" t="str">
        <f>VLOOKUP(LEFT(H900, 7), 'קטלוג תרחישים'!$A:$L, 12, FALSE)</f>
        <v>א׳</v>
      </c>
      <c r="L900" s="29" t="str">
        <f>IF(J900="כן", K900, VLOOKUP(LEFT(H900, 7), 'קטלוג תרחישים'!$A:$M, 13, FALSE))</f>
        <v>ג׳</v>
      </c>
    </row>
    <row r="901" spans="1:12">
      <c r="A901" s="29" t="s">
        <v>206</v>
      </c>
      <c r="B901" s="29">
        <v>9</v>
      </c>
      <c r="C901" s="29" t="s">
        <v>341</v>
      </c>
      <c r="D901" s="29">
        <v>1</v>
      </c>
      <c r="E901" s="29" t="s">
        <v>99</v>
      </c>
      <c r="F901" s="29" t="s">
        <v>342</v>
      </c>
      <c r="G901" s="29" t="s">
        <v>111</v>
      </c>
      <c r="H901" s="29" t="s">
        <v>192</v>
      </c>
      <c r="I901" s="29" t="s">
        <v>89</v>
      </c>
      <c r="J901" s="29" t="s">
        <v>340</v>
      </c>
      <c r="K901" s="29" t="str">
        <f>VLOOKUP(LEFT(H901, 7), 'קטלוג תרחישים'!$A:$L, 12, FALSE)</f>
        <v>ב׳</v>
      </c>
      <c r="L901" s="29" t="str">
        <f>IF(J901="כן", K901, VLOOKUP(LEFT(H901, 7), 'קטלוג תרחישים'!$A:$M, 13, FALSE))</f>
        <v>ב׳</v>
      </c>
    </row>
    <row r="902" spans="1:12">
      <c r="A902" s="29" t="s">
        <v>206</v>
      </c>
      <c r="B902" s="29">
        <v>10</v>
      </c>
      <c r="C902" s="29" t="s">
        <v>341</v>
      </c>
      <c r="D902" s="29">
        <v>1</v>
      </c>
      <c r="E902" s="29" t="s">
        <v>99</v>
      </c>
      <c r="F902" s="29" t="s">
        <v>342</v>
      </c>
      <c r="G902" s="29" t="s">
        <v>111</v>
      </c>
      <c r="H902" s="29" t="s">
        <v>193</v>
      </c>
      <c r="I902" s="29" t="s">
        <v>94</v>
      </c>
      <c r="J902" s="29" t="s">
        <v>340</v>
      </c>
      <c r="K902" s="29" t="str">
        <f>VLOOKUP(LEFT(H902, 7), 'קטלוג תרחישים'!$A:$L, 12, FALSE)</f>
        <v>א׳</v>
      </c>
      <c r="L902" s="29" t="str">
        <f>IF(J902="כן", K902, VLOOKUP(LEFT(H902, 7), 'קטלוג תרחישים'!$A:$M, 13, FALSE))</f>
        <v>א׳</v>
      </c>
    </row>
    <row r="903" spans="1:12">
      <c r="A903" s="29" t="s">
        <v>206</v>
      </c>
      <c r="B903" s="29">
        <v>11</v>
      </c>
      <c r="C903" s="29" t="s">
        <v>341</v>
      </c>
      <c r="D903" s="29">
        <v>2</v>
      </c>
      <c r="E903" s="29" t="s">
        <v>105</v>
      </c>
      <c r="F903" s="29" t="s">
        <v>342</v>
      </c>
      <c r="G903" s="29" t="s">
        <v>111</v>
      </c>
      <c r="H903" s="29" t="s">
        <v>198</v>
      </c>
      <c r="I903" s="29" t="s">
        <v>89</v>
      </c>
      <c r="J903" s="29" t="s">
        <v>340</v>
      </c>
      <c r="K903" s="29" t="str">
        <f>VLOOKUP(LEFT(H903, 7), 'קטלוג תרחישים'!$A:$L, 12, FALSE)</f>
        <v>ג׳</v>
      </c>
      <c r="L903" s="29" t="str">
        <f>IF(J903="כן", K903, VLOOKUP(LEFT(H903, 7), 'קטלוג תרחישים'!$A:$M, 13, FALSE))</f>
        <v>ג׳</v>
      </c>
    </row>
    <row r="904" spans="1:12">
      <c r="A904" s="29" t="s">
        <v>206</v>
      </c>
      <c r="B904" s="29">
        <v>12</v>
      </c>
      <c r="C904" s="29" t="s">
        <v>341</v>
      </c>
      <c r="D904" s="29">
        <v>2</v>
      </c>
      <c r="E904" s="29" t="s">
        <v>105</v>
      </c>
      <c r="F904" s="29" t="s">
        <v>342</v>
      </c>
      <c r="G904" s="29" t="s">
        <v>111</v>
      </c>
      <c r="H904" s="29" t="s">
        <v>199</v>
      </c>
      <c r="I904" s="29" t="s">
        <v>94</v>
      </c>
      <c r="J904" s="29" t="s">
        <v>340</v>
      </c>
      <c r="K904" s="29" t="str">
        <f>VLOOKUP(LEFT(H904, 7), 'קטלוג תרחישים'!$A:$L, 12, FALSE)</f>
        <v>ב׳</v>
      </c>
      <c r="L904" s="29" t="str">
        <f>IF(J904="כן", K904, VLOOKUP(LEFT(H904, 7), 'קטלוג תרחישים'!$A:$M, 13, FALSE))</f>
        <v>ב׳</v>
      </c>
    </row>
    <row r="905" spans="1:12">
      <c r="A905" s="29" t="s">
        <v>206</v>
      </c>
      <c r="B905" s="29">
        <v>13</v>
      </c>
      <c r="C905" s="29" t="s">
        <v>341</v>
      </c>
      <c r="D905" s="29">
        <v>2</v>
      </c>
      <c r="E905" s="29" t="s">
        <v>105</v>
      </c>
      <c r="F905" s="29" t="s">
        <v>342</v>
      </c>
      <c r="G905" s="29" t="s">
        <v>111</v>
      </c>
      <c r="H905" s="29" t="s">
        <v>196</v>
      </c>
      <c r="I905" s="29" t="s">
        <v>89</v>
      </c>
      <c r="J905" s="29" t="s">
        <v>343</v>
      </c>
      <c r="K905" s="29" t="str">
        <f>VLOOKUP(LEFT(H905, 7), 'קטלוג תרחישים'!$A:$L, 12, FALSE)</f>
        <v>ב׳</v>
      </c>
      <c r="L905" s="29" t="str">
        <f>IF(J905="כן", K905, VLOOKUP(LEFT(H905, 7), 'קטלוג תרחישים'!$A:$M, 13, FALSE))</f>
        <v>א׳</v>
      </c>
    </row>
    <row r="906" spans="1:12">
      <c r="A906" s="29" t="s">
        <v>206</v>
      </c>
      <c r="B906" s="29">
        <v>14</v>
      </c>
      <c r="C906" s="29" t="s">
        <v>341</v>
      </c>
      <c r="D906" s="29">
        <v>2</v>
      </c>
      <c r="E906" s="29" t="s">
        <v>105</v>
      </c>
      <c r="F906" s="29" t="s">
        <v>342</v>
      </c>
      <c r="G906" s="29" t="s">
        <v>111</v>
      </c>
      <c r="H906" s="29" t="s">
        <v>197</v>
      </c>
      <c r="I906" s="29" t="s">
        <v>94</v>
      </c>
      <c r="J906" s="29" t="s">
        <v>343</v>
      </c>
      <c r="K906" s="29" t="str">
        <f>VLOOKUP(LEFT(H906, 7), 'קטלוג תרחישים'!$A:$L, 12, FALSE)</f>
        <v>א׳</v>
      </c>
      <c r="L906" s="29" t="str">
        <f>IF(J906="כן", K906, VLOOKUP(LEFT(H906, 7), 'קטלוג תרחישים'!$A:$M, 13, FALSE))</f>
        <v>ב׳</v>
      </c>
    </row>
    <row r="907" spans="1:12">
      <c r="A907" s="29" t="s">
        <v>206</v>
      </c>
      <c r="B907" s="29">
        <v>15</v>
      </c>
      <c r="C907" s="29" t="s">
        <v>341</v>
      </c>
      <c r="D907" s="29">
        <v>3</v>
      </c>
      <c r="E907" s="29" t="s">
        <v>92</v>
      </c>
      <c r="F907" s="29" t="s">
        <v>342</v>
      </c>
      <c r="G907" s="29" t="s">
        <v>111</v>
      </c>
      <c r="H907" s="29" t="s">
        <v>190</v>
      </c>
      <c r="I907" s="29" t="s">
        <v>89</v>
      </c>
      <c r="J907" s="29" t="s">
        <v>340</v>
      </c>
      <c r="K907" s="29" t="str">
        <f>VLOOKUP(LEFT(H907, 7), 'קטלוג תרחישים'!$A:$L, 12, FALSE)</f>
        <v>א׳</v>
      </c>
      <c r="L907" s="29" t="str">
        <f>IF(J907="כן", K907, VLOOKUP(LEFT(H907, 7), 'קטלוג תרחישים'!$A:$M, 13, FALSE))</f>
        <v>א׳</v>
      </c>
    </row>
    <row r="908" spans="1:12">
      <c r="A908" s="29" t="s">
        <v>206</v>
      </c>
      <c r="B908" s="29">
        <v>16</v>
      </c>
      <c r="C908" s="29" t="s">
        <v>341</v>
      </c>
      <c r="D908" s="29">
        <v>3</v>
      </c>
      <c r="E908" s="29" t="s">
        <v>92</v>
      </c>
      <c r="F908" s="29" t="s">
        <v>342</v>
      </c>
      <c r="G908" s="29" t="s">
        <v>111</v>
      </c>
      <c r="H908" s="29" t="s">
        <v>191</v>
      </c>
      <c r="I908" s="29" t="s">
        <v>94</v>
      </c>
      <c r="J908" s="29" t="s">
        <v>343</v>
      </c>
      <c r="K908" s="29" t="str">
        <f>VLOOKUP(LEFT(H908, 7), 'קטלוג תרחישים'!$A:$L, 12, FALSE)</f>
        <v>ג׳</v>
      </c>
      <c r="L908" s="29" t="str">
        <f>IF(J908="כן", K908, VLOOKUP(LEFT(H908, 7), 'קטלוג תרחישים'!$A:$M, 13, FALSE))</f>
        <v>א׳</v>
      </c>
    </row>
    <row r="909" spans="1:12">
      <c r="A909" s="29" t="s">
        <v>206</v>
      </c>
      <c r="B909" s="29">
        <v>17</v>
      </c>
      <c r="C909" s="29" t="s">
        <v>341</v>
      </c>
      <c r="D909" s="29">
        <v>3</v>
      </c>
      <c r="E909" s="29" t="s">
        <v>92</v>
      </c>
      <c r="F909" s="29" t="s">
        <v>342</v>
      </c>
      <c r="G909" s="29" t="s">
        <v>111</v>
      </c>
      <c r="H909" s="29" t="s">
        <v>188</v>
      </c>
      <c r="I909" s="29" t="s">
        <v>89</v>
      </c>
      <c r="J909" s="29" t="s">
        <v>343</v>
      </c>
      <c r="K909" s="29" t="str">
        <f>VLOOKUP(LEFT(H909, 7), 'קטלוג תרחישים'!$A:$L, 12, FALSE)</f>
        <v>ג׳</v>
      </c>
      <c r="L909" s="29" t="str">
        <f>IF(J909="כן", K909, VLOOKUP(LEFT(H909, 7), 'קטלוג תרחישים'!$A:$M, 13, FALSE))</f>
        <v>ב׳</v>
      </c>
    </row>
    <row r="910" spans="1:12">
      <c r="A910" s="29" t="s">
        <v>206</v>
      </c>
      <c r="B910" s="29">
        <v>18</v>
      </c>
      <c r="C910" s="29" t="s">
        <v>341</v>
      </c>
      <c r="D910" s="29">
        <v>3</v>
      </c>
      <c r="E910" s="29" t="s">
        <v>92</v>
      </c>
      <c r="F910" s="29" t="s">
        <v>342</v>
      </c>
      <c r="G910" s="29" t="s">
        <v>111</v>
      </c>
      <c r="H910" s="29" t="s">
        <v>189</v>
      </c>
      <c r="I910" s="29" t="s">
        <v>94</v>
      </c>
      <c r="J910" s="29" t="s">
        <v>340</v>
      </c>
      <c r="K910" s="29" t="str">
        <f>VLOOKUP(LEFT(H910, 7), 'קטלוג תרחישים'!$A:$L, 12, FALSE)</f>
        <v>ב׳</v>
      </c>
      <c r="L910" s="29" t="str">
        <f>IF(J910="כן", K910, VLOOKUP(LEFT(H910, 7), 'קטלוג תרחישים'!$A:$M, 13, FALSE))</f>
        <v>ב׳</v>
      </c>
    </row>
    <row r="911" spans="1:12">
      <c r="A911" s="29" t="s">
        <v>206</v>
      </c>
      <c r="B911" s="29">
        <v>19</v>
      </c>
      <c r="C911" s="29" t="s">
        <v>341</v>
      </c>
      <c r="D911" s="29">
        <v>1</v>
      </c>
      <c r="E911" s="29" t="s">
        <v>92</v>
      </c>
      <c r="F911" s="29" t="s">
        <v>344</v>
      </c>
      <c r="G911" s="29" t="s">
        <v>91</v>
      </c>
      <c r="H911" s="29" t="s">
        <v>182</v>
      </c>
      <c r="I911" s="29" t="s">
        <v>89</v>
      </c>
      <c r="J911" s="29" t="s">
        <v>343</v>
      </c>
      <c r="K911" s="29" t="str">
        <f>VLOOKUP(LEFT(H911, 7), 'קטלוג תרחישים'!$A:$L, 12, FALSE)</f>
        <v>ב׳</v>
      </c>
      <c r="L911" s="29" t="str">
        <f>IF(J911="כן", K911, VLOOKUP(LEFT(H911, 7), 'קטלוג תרחישים'!$A:$M, 13, FALSE))</f>
        <v>א׳</v>
      </c>
    </row>
    <row r="912" spans="1:12">
      <c r="A912" s="29" t="s">
        <v>206</v>
      </c>
      <c r="B912" s="29">
        <v>20</v>
      </c>
      <c r="C912" s="29" t="s">
        <v>341</v>
      </c>
      <c r="D912" s="29">
        <v>1</v>
      </c>
      <c r="E912" s="29" t="s">
        <v>92</v>
      </c>
      <c r="F912" s="29" t="s">
        <v>344</v>
      </c>
      <c r="G912" s="29" t="s">
        <v>91</v>
      </c>
      <c r="H912" s="29" t="s">
        <v>181</v>
      </c>
      <c r="I912" s="29" t="s">
        <v>94</v>
      </c>
      <c r="J912" s="29" t="s">
        <v>340</v>
      </c>
      <c r="K912" s="29" t="str">
        <f>VLOOKUP(LEFT(H912, 7), 'קטלוג תרחישים'!$A:$L, 12, FALSE)</f>
        <v>ג׳</v>
      </c>
      <c r="L912" s="29" t="str">
        <f>IF(J912="כן", K912, VLOOKUP(LEFT(H912, 7), 'קטלוג תרחישים'!$A:$M, 13, FALSE))</f>
        <v>ג׳</v>
      </c>
    </row>
    <row r="913" spans="1:12">
      <c r="A913" s="29" t="s">
        <v>206</v>
      </c>
      <c r="B913" s="29">
        <v>21</v>
      </c>
      <c r="C913" s="29" t="s">
        <v>341</v>
      </c>
      <c r="D913" s="29">
        <v>1</v>
      </c>
      <c r="E913" s="29" t="s">
        <v>92</v>
      </c>
      <c r="F913" s="29" t="s">
        <v>344</v>
      </c>
      <c r="G913" s="29" t="s">
        <v>91</v>
      </c>
      <c r="H913" s="29" t="s">
        <v>178</v>
      </c>
      <c r="I913" s="29" t="s">
        <v>89</v>
      </c>
      <c r="J913" s="29" t="s">
        <v>340</v>
      </c>
      <c r="K913" s="29" t="str">
        <f>VLOOKUP(LEFT(H913, 7), 'קטלוג תרחישים'!$A:$L, 12, FALSE)</f>
        <v>א׳</v>
      </c>
      <c r="L913" s="29" t="str">
        <f>IF(J913="כן", K913, VLOOKUP(LEFT(H913, 7), 'קטלוג תרחישים'!$A:$M, 13, FALSE))</f>
        <v>א׳</v>
      </c>
    </row>
    <row r="914" spans="1:12">
      <c r="A914" s="29" t="s">
        <v>206</v>
      </c>
      <c r="B914" s="29">
        <v>22</v>
      </c>
      <c r="C914" s="29" t="s">
        <v>341</v>
      </c>
      <c r="D914" s="29">
        <v>1</v>
      </c>
      <c r="E914" s="29" t="s">
        <v>92</v>
      </c>
      <c r="F914" s="29" t="s">
        <v>344</v>
      </c>
      <c r="G914" s="29" t="s">
        <v>91</v>
      </c>
      <c r="H914" s="29" t="s">
        <v>179</v>
      </c>
      <c r="I914" s="29" t="s">
        <v>94</v>
      </c>
      <c r="J914" s="29" t="s">
        <v>340</v>
      </c>
      <c r="K914" s="29" t="str">
        <f>VLOOKUP(LEFT(H914, 7), 'קטלוג תרחישים'!$A:$L, 12, FALSE)</f>
        <v>א׳</v>
      </c>
      <c r="L914" s="29" t="str">
        <f>IF(J914="כן", K914, VLOOKUP(LEFT(H914, 7), 'קטלוג תרחישים'!$A:$M, 13, FALSE))</f>
        <v>א׳</v>
      </c>
    </row>
    <row r="915" spans="1:12">
      <c r="A915" s="29" t="s">
        <v>206</v>
      </c>
      <c r="B915" s="29">
        <v>23</v>
      </c>
      <c r="C915" s="29" t="s">
        <v>341</v>
      </c>
      <c r="D915" s="29">
        <v>1</v>
      </c>
      <c r="E915" s="29" t="s">
        <v>92</v>
      </c>
      <c r="F915" s="29" t="s">
        <v>344</v>
      </c>
      <c r="G915" s="29" t="s">
        <v>91</v>
      </c>
      <c r="H915" s="29" t="s">
        <v>180</v>
      </c>
      <c r="I915" s="29" t="s">
        <v>89</v>
      </c>
      <c r="J915" s="29" t="s">
        <v>340</v>
      </c>
      <c r="K915" s="29" t="str">
        <f>VLOOKUP(LEFT(H915, 7), 'קטלוג תרחישים'!$A:$L, 12, FALSE)</f>
        <v>ב׳</v>
      </c>
      <c r="L915" s="29" t="str">
        <f>IF(J915="כן", K915, VLOOKUP(LEFT(H915, 7), 'קטלוג תרחישים'!$A:$M, 13, FALSE))</f>
        <v>ב׳</v>
      </c>
    </row>
    <row r="916" spans="1:12">
      <c r="A916" s="29" t="s">
        <v>206</v>
      </c>
      <c r="B916" s="29">
        <v>24</v>
      </c>
      <c r="C916" s="29" t="s">
        <v>341</v>
      </c>
      <c r="D916" s="29">
        <v>2</v>
      </c>
      <c r="E916" s="29" t="s">
        <v>99</v>
      </c>
      <c r="F916" s="29" t="s">
        <v>344</v>
      </c>
      <c r="G916" s="29" t="s">
        <v>91</v>
      </c>
      <c r="H916" s="29" t="s">
        <v>185</v>
      </c>
      <c r="I916" s="29" t="s">
        <v>89</v>
      </c>
      <c r="J916" s="29" t="s">
        <v>340</v>
      </c>
      <c r="K916" s="29" t="str">
        <f>VLOOKUP(LEFT(H916, 7), 'קטלוג תרחישים'!$A:$L, 12, FALSE)</f>
        <v>א׳</v>
      </c>
      <c r="L916" s="29" t="str">
        <f>IF(J916="כן", K916, VLOOKUP(LEFT(H916, 7), 'קטלוג תרחישים'!$A:$M, 13, FALSE))</f>
        <v>א׳</v>
      </c>
    </row>
    <row r="917" spans="1:12">
      <c r="A917" s="29" t="s">
        <v>206</v>
      </c>
      <c r="B917" s="29">
        <v>25</v>
      </c>
      <c r="C917" s="29" t="s">
        <v>341</v>
      </c>
      <c r="D917" s="29">
        <v>2</v>
      </c>
      <c r="E917" s="29" t="s">
        <v>99</v>
      </c>
      <c r="F917" s="29" t="s">
        <v>344</v>
      </c>
      <c r="G917" s="29" t="s">
        <v>91</v>
      </c>
      <c r="H917" s="29" t="s">
        <v>184</v>
      </c>
      <c r="I917" s="29" t="s">
        <v>94</v>
      </c>
      <c r="J917" s="29" t="s">
        <v>340</v>
      </c>
      <c r="K917" s="29" t="str">
        <f>VLOOKUP(LEFT(H917, 7), 'קטלוג תרחישים'!$A:$L, 12, FALSE)</f>
        <v>ג׳</v>
      </c>
      <c r="L917" s="29" t="str">
        <f>IF(J917="כן", K917, VLOOKUP(LEFT(H917, 7), 'קטלוג תרחישים'!$A:$M, 13, FALSE))</f>
        <v>ג׳</v>
      </c>
    </row>
    <row r="918" spans="1:12">
      <c r="A918" s="29" t="s">
        <v>206</v>
      </c>
      <c r="B918" s="29">
        <v>26</v>
      </c>
      <c r="C918" s="29" t="s">
        <v>341</v>
      </c>
      <c r="D918" s="29">
        <v>2</v>
      </c>
      <c r="E918" s="29" t="s">
        <v>99</v>
      </c>
      <c r="F918" s="29" t="s">
        <v>344</v>
      </c>
      <c r="G918" s="29" t="s">
        <v>91</v>
      </c>
      <c r="H918" s="29" t="s">
        <v>187</v>
      </c>
      <c r="I918" s="29" t="s">
        <v>89</v>
      </c>
      <c r="J918" s="29" t="s">
        <v>343</v>
      </c>
      <c r="K918" s="29" t="str">
        <f>VLOOKUP(LEFT(H918, 7), 'קטלוג תרחישים'!$A:$L, 12, FALSE)</f>
        <v>א׳</v>
      </c>
      <c r="L918" s="29" t="str">
        <f>IF(J918="כן", K918, VLOOKUP(LEFT(H918, 7), 'קטלוג תרחישים'!$A:$M, 13, FALSE))</f>
        <v>ג׳</v>
      </c>
    </row>
    <row r="919" spans="1:12">
      <c r="A919" s="29" t="s">
        <v>206</v>
      </c>
      <c r="B919" s="29">
        <v>27</v>
      </c>
      <c r="C919" s="29" t="s">
        <v>341</v>
      </c>
      <c r="D919" s="29">
        <v>2</v>
      </c>
      <c r="E919" s="29" t="s">
        <v>99</v>
      </c>
      <c r="F919" s="29" t="s">
        <v>344</v>
      </c>
      <c r="G919" s="29" t="s">
        <v>91</v>
      </c>
      <c r="H919" s="29" t="s">
        <v>186</v>
      </c>
      <c r="I919" s="29" t="s">
        <v>94</v>
      </c>
      <c r="J919" s="29" t="s">
        <v>340</v>
      </c>
      <c r="K919" s="29" t="str">
        <f>VLOOKUP(LEFT(H919, 7), 'קטלוג תרחישים'!$A:$L, 12, FALSE)</f>
        <v>ב׳</v>
      </c>
      <c r="L919" s="29" t="str">
        <f>IF(J919="כן", K919, VLOOKUP(LEFT(H919, 7), 'קטלוג תרחישים'!$A:$M, 13, FALSE))</f>
        <v>ב׳</v>
      </c>
    </row>
    <row r="920" spans="1:12">
      <c r="A920" s="29" t="s">
        <v>206</v>
      </c>
      <c r="B920" s="29">
        <v>28</v>
      </c>
      <c r="C920" s="29" t="s">
        <v>341</v>
      </c>
      <c r="D920" s="29">
        <v>2</v>
      </c>
      <c r="E920" s="29" t="s">
        <v>99</v>
      </c>
      <c r="F920" s="29" t="s">
        <v>344</v>
      </c>
      <c r="G920" s="29" t="s">
        <v>91</v>
      </c>
      <c r="H920" s="29" t="s">
        <v>183</v>
      </c>
      <c r="I920" s="29" t="s">
        <v>89</v>
      </c>
      <c r="J920" s="29" t="s">
        <v>340</v>
      </c>
      <c r="K920" s="29" t="str">
        <f>VLOOKUP(LEFT(H920, 7), 'קטלוג תרחישים'!$A:$L, 12, FALSE)</f>
        <v>ג׳</v>
      </c>
      <c r="L920" s="29" t="str">
        <f>IF(J920="כן", K920, VLOOKUP(LEFT(H920, 7), 'קטלוג תרחישים'!$A:$M, 13, FALSE))</f>
        <v>ג׳</v>
      </c>
    </row>
    <row r="921" spans="1:12">
      <c r="A921" s="29" t="s">
        <v>206</v>
      </c>
      <c r="B921" s="29">
        <v>29</v>
      </c>
      <c r="C921" s="29" t="s">
        <v>341</v>
      </c>
      <c r="D921" s="29">
        <v>3</v>
      </c>
      <c r="E921" s="29" t="s">
        <v>105</v>
      </c>
      <c r="F921" s="29" t="s">
        <v>344</v>
      </c>
      <c r="G921" s="29" t="s">
        <v>91</v>
      </c>
      <c r="H921" s="29" t="s">
        <v>177</v>
      </c>
      <c r="I921" s="29" t="s">
        <v>94</v>
      </c>
      <c r="J921" s="29" t="s">
        <v>340</v>
      </c>
      <c r="K921" s="29" t="str">
        <f>VLOOKUP(LEFT(H921, 7), 'קטלוג תרחישים'!$A:$L, 12, FALSE)</f>
        <v>ב׳</v>
      </c>
      <c r="L921" s="29" t="str">
        <f>IF(J921="כן", K921, VLOOKUP(LEFT(H921, 7), 'קטלוג תרחישים'!$A:$M, 13, FALSE))</f>
        <v>ב׳</v>
      </c>
    </row>
    <row r="922" spans="1:12">
      <c r="A922" s="29" t="s">
        <v>206</v>
      </c>
      <c r="B922" s="29">
        <v>30</v>
      </c>
      <c r="C922" s="29" t="s">
        <v>341</v>
      </c>
      <c r="D922" s="29">
        <v>3</v>
      </c>
      <c r="E922" s="29" t="s">
        <v>105</v>
      </c>
      <c r="F922" s="29" t="s">
        <v>344</v>
      </c>
      <c r="G922" s="29" t="s">
        <v>91</v>
      </c>
      <c r="H922" s="29" t="s">
        <v>174</v>
      </c>
      <c r="I922" s="29" t="s">
        <v>89</v>
      </c>
      <c r="J922" s="29" t="s">
        <v>343</v>
      </c>
      <c r="K922" s="29" t="str">
        <f>VLOOKUP(LEFT(H922, 7), 'קטלוג תרחישים'!$A:$L, 12, FALSE)</f>
        <v>ג׳</v>
      </c>
      <c r="L922" s="29" t="str">
        <f>IF(J922="כן", K922, VLOOKUP(LEFT(H922, 7), 'קטלוג תרחישים'!$A:$M, 13, FALSE))</f>
        <v>א׳</v>
      </c>
    </row>
    <row r="923" spans="1:12">
      <c r="A923" s="29" t="s">
        <v>206</v>
      </c>
      <c r="B923" s="29">
        <v>31</v>
      </c>
      <c r="C923" s="29" t="s">
        <v>341</v>
      </c>
      <c r="D923" s="29">
        <v>3</v>
      </c>
      <c r="E923" s="29" t="s">
        <v>105</v>
      </c>
      <c r="F923" s="29" t="s">
        <v>344</v>
      </c>
      <c r="G923" s="29" t="s">
        <v>91</v>
      </c>
      <c r="H923" s="29" t="s">
        <v>175</v>
      </c>
      <c r="I923" s="29" t="s">
        <v>94</v>
      </c>
      <c r="J923" s="29" t="s">
        <v>340</v>
      </c>
      <c r="K923" s="29" t="str">
        <f>VLOOKUP(LEFT(H923, 7), 'קטלוג תרחישים'!$A:$L, 12, FALSE)</f>
        <v>א׳</v>
      </c>
      <c r="L923" s="29" t="str">
        <f>IF(J923="כן", K923, VLOOKUP(LEFT(H923, 7), 'קטלוג תרחישים'!$A:$M, 13, FALSE))</f>
        <v>א׳</v>
      </c>
    </row>
    <row r="924" spans="1:12">
      <c r="A924" s="29" t="s">
        <v>206</v>
      </c>
      <c r="B924" s="29">
        <v>32</v>
      </c>
      <c r="C924" s="29" t="s">
        <v>341</v>
      </c>
      <c r="D924" s="29">
        <v>3</v>
      </c>
      <c r="E924" s="29" t="s">
        <v>105</v>
      </c>
      <c r="F924" s="29" t="s">
        <v>344</v>
      </c>
      <c r="G924" s="29" t="s">
        <v>91</v>
      </c>
      <c r="H924" s="29" t="s">
        <v>176</v>
      </c>
      <c r="I924" s="29" t="s">
        <v>89</v>
      </c>
      <c r="J924" s="29" t="s">
        <v>340</v>
      </c>
      <c r="K924" s="29" t="str">
        <f>VLOOKUP(LEFT(H924, 7), 'קטלוג תרחישים'!$A:$L, 12, FALSE)</f>
        <v>ג׳</v>
      </c>
      <c r="L924" s="29" t="str">
        <f>IF(J924="כן", K924, VLOOKUP(LEFT(H924, 7), 'קטלוג תרחישים'!$A:$M, 13, FALSE))</f>
        <v>ג׳</v>
      </c>
    </row>
    <row r="925" spans="1:12">
      <c r="A925" s="29" t="s">
        <v>206</v>
      </c>
      <c r="B925" s="29">
        <v>33</v>
      </c>
      <c r="C925" s="29" t="s">
        <v>341</v>
      </c>
      <c r="D925" s="29">
        <v>3</v>
      </c>
      <c r="E925" s="29" t="s">
        <v>105</v>
      </c>
      <c r="F925" s="29" t="s">
        <v>344</v>
      </c>
      <c r="G925" s="29" t="s">
        <v>91</v>
      </c>
      <c r="H925" s="29" t="s">
        <v>173</v>
      </c>
      <c r="I925" s="29" t="s">
        <v>94</v>
      </c>
      <c r="J925" s="29" t="s">
        <v>340</v>
      </c>
      <c r="K925" s="29" t="str">
        <f>VLOOKUP(LEFT(H925, 7), 'קטלוג תרחישים'!$A:$L, 12, FALSE)</f>
        <v>ג׳</v>
      </c>
      <c r="L925" s="29" t="str">
        <f>IF(J925="כן", K925, VLOOKUP(LEFT(H925, 7), 'קטלוג תרחישים'!$A:$M, 13, FALSE))</f>
        <v>ג׳</v>
      </c>
    </row>
    <row r="926" spans="1:12">
      <c r="A926" s="29" t="s">
        <v>207</v>
      </c>
      <c r="B926" s="29">
        <v>1</v>
      </c>
      <c r="C926" s="29" t="s">
        <v>339</v>
      </c>
      <c r="D926" s="29"/>
      <c r="E926" s="29" t="s">
        <v>92</v>
      </c>
      <c r="F926" s="29"/>
      <c r="G926" s="29"/>
      <c r="H926" s="30" t="s">
        <v>351</v>
      </c>
      <c r="I926" s="29" t="s">
        <v>89</v>
      </c>
      <c r="J926" s="29" t="s">
        <v>340</v>
      </c>
      <c r="K926" s="29" t="str">
        <f>VLOOKUP(LEFT(H926, 7), 'קטלוג תרחישים'!$A:$L, 12, FALSE)</f>
        <v>א׳</v>
      </c>
      <c r="L926" s="29" t="str">
        <f>IF(J926="כן", K926, VLOOKUP(LEFT(H926, 7), 'קטלוג תרחישים'!$A:$M, 13, FALSE))</f>
        <v>א׳</v>
      </c>
    </row>
    <row r="927" spans="1:12">
      <c r="A927" s="29" t="s">
        <v>207</v>
      </c>
      <c r="B927" s="29">
        <v>2</v>
      </c>
      <c r="C927" s="29" t="s">
        <v>339</v>
      </c>
      <c r="D927" s="29"/>
      <c r="E927" s="29" t="s">
        <v>92</v>
      </c>
      <c r="F927" s="29"/>
      <c r="G927" s="29"/>
      <c r="H927" s="30" t="s">
        <v>88</v>
      </c>
      <c r="I927" s="29" t="s">
        <v>89</v>
      </c>
      <c r="J927" s="29" t="s">
        <v>340</v>
      </c>
      <c r="K927" s="29" t="str">
        <f>VLOOKUP(LEFT(H927, 7), 'קטלוג תרחישים'!$A:$L, 12, FALSE)</f>
        <v>א׳</v>
      </c>
      <c r="L927" s="29" t="str">
        <f>IF(J927="כן", K927, VLOOKUP(LEFT(H927, 7), 'קטלוג תרחישים'!$A:$M, 13, FALSE))</f>
        <v>א׳</v>
      </c>
    </row>
    <row r="928" spans="1:12">
      <c r="A928" s="29" t="s">
        <v>207</v>
      </c>
      <c r="B928" s="29">
        <v>3</v>
      </c>
      <c r="C928" s="29" t="s">
        <v>339</v>
      </c>
      <c r="D928" s="29"/>
      <c r="E928" s="29" t="s">
        <v>99</v>
      </c>
      <c r="F928" s="29"/>
      <c r="G928" s="29"/>
      <c r="H928" s="30" t="s">
        <v>352</v>
      </c>
      <c r="I928" s="29" t="s">
        <v>89</v>
      </c>
      <c r="J928" s="29" t="s">
        <v>340</v>
      </c>
      <c r="K928" s="29" t="str">
        <f>VLOOKUP(LEFT(H928, 7), 'קטלוג תרחישים'!$A:$L, 12, FALSE)</f>
        <v>ב׳</v>
      </c>
      <c r="L928" s="29" t="str">
        <f>IF(J928="כן", K928, VLOOKUP(LEFT(H928, 7), 'קטלוג תרחישים'!$A:$M, 13, FALSE))</f>
        <v>ב׳</v>
      </c>
    </row>
    <row r="929" spans="1:12">
      <c r="A929" s="29" t="s">
        <v>207</v>
      </c>
      <c r="B929" s="29">
        <v>4</v>
      </c>
      <c r="C929" s="29" t="s">
        <v>339</v>
      </c>
      <c r="D929" s="29"/>
      <c r="E929" s="29" t="s">
        <v>99</v>
      </c>
      <c r="F929" s="29"/>
      <c r="G929" s="29"/>
      <c r="H929" s="30" t="s">
        <v>353</v>
      </c>
      <c r="I929" s="29" t="s">
        <v>89</v>
      </c>
      <c r="J929" s="29" t="s">
        <v>340</v>
      </c>
      <c r="K929" s="29" t="str">
        <f>VLOOKUP(LEFT(H929, 7), 'קטלוג תרחישים'!$A:$L, 12, FALSE)</f>
        <v>ב׳</v>
      </c>
      <c r="L929" s="29" t="str">
        <f>IF(J929="כן", K929, VLOOKUP(LEFT(H929, 7), 'קטלוג תרחישים'!$A:$M, 13, FALSE))</f>
        <v>ב׳</v>
      </c>
    </row>
    <row r="930" spans="1:12">
      <c r="A930" s="29" t="s">
        <v>207</v>
      </c>
      <c r="B930" s="29">
        <v>5</v>
      </c>
      <c r="C930" s="29" t="s">
        <v>339</v>
      </c>
      <c r="D930" s="29"/>
      <c r="E930" s="29" t="s">
        <v>105</v>
      </c>
      <c r="F930" s="29"/>
      <c r="G930" s="29"/>
      <c r="H930" s="30" t="s">
        <v>354</v>
      </c>
      <c r="I930" s="29" t="s">
        <v>89</v>
      </c>
      <c r="J930" s="29" t="s">
        <v>340</v>
      </c>
      <c r="K930" s="29" t="str">
        <f>VLOOKUP(LEFT(H930, 7), 'קטלוג תרחישים'!$A:$L, 12, FALSE)</f>
        <v>ג׳</v>
      </c>
      <c r="L930" s="29" t="str">
        <f>IF(J930="כן", K930, VLOOKUP(LEFT(H930, 7), 'קטלוג תרחישים'!$A:$M, 13, FALSE))</f>
        <v>ג׳</v>
      </c>
    </row>
    <row r="931" spans="1:12">
      <c r="A931" s="29" t="s">
        <v>207</v>
      </c>
      <c r="B931" s="29">
        <v>6</v>
      </c>
      <c r="C931" s="29" t="s">
        <v>339</v>
      </c>
      <c r="D931" s="29"/>
      <c r="E931" s="29" t="s">
        <v>105</v>
      </c>
      <c r="F931" s="29"/>
      <c r="G931" s="29"/>
      <c r="H931" s="30" t="s">
        <v>90</v>
      </c>
      <c r="I931" s="29" t="s">
        <v>89</v>
      </c>
      <c r="J931" s="29" t="s">
        <v>340</v>
      </c>
      <c r="K931" s="29" t="str">
        <f>VLOOKUP(LEFT(H931, 7), 'קטלוג תרחישים'!$A:$L, 12, FALSE)</f>
        <v>ג׳</v>
      </c>
      <c r="L931" s="29" t="str">
        <f>IF(J931="כן", K931, VLOOKUP(LEFT(H931, 7), 'קטלוג תרחישים'!$A:$M, 13, FALSE))</f>
        <v>ג׳</v>
      </c>
    </row>
    <row r="932" spans="1:12">
      <c r="A932" s="29" t="s">
        <v>207</v>
      </c>
      <c r="B932" s="29">
        <v>7</v>
      </c>
      <c r="C932" s="29" t="s">
        <v>341</v>
      </c>
      <c r="D932" s="29">
        <v>1</v>
      </c>
      <c r="E932" s="29" t="s">
        <v>99</v>
      </c>
      <c r="F932" s="29" t="s">
        <v>342</v>
      </c>
      <c r="G932" s="29" t="s">
        <v>91</v>
      </c>
      <c r="H932" s="29" t="s">
        <v>185</v>
      </c>
      <c r="I932" s="29" t="s">
        <v>89</v>
      </c>
      <c r="J932" s="29" t="s">
        <v>340</v>
      </c>
      <c r="K932" s="29" t="str">
        <f>VLOOKUP(LEFT(H932, 7), 'קטלוג תרחישים'!$A:$L, 12, FALSE)</f>
        <v>א׳</v>
      </c>
      <c r="L932" s="29" t="str">
        <f>IF(J932="כן", K932, VLOOKUP(LEFT(H932, 7), 'קטלוג תרחישים'!$A:$M, 13, FALSE))</f>
        <v>א׳</v>
      </c>
    </row>
    <row r="933" spans="1:12">
      <c r="A933" s="29" t="s">
        <v>207</v>
      </c>
      <c r="B933" s="29">
        <v>8</v>
      </c>
      <c r="C933" s="29" t="s">
        <v>341</v>
      </c>
      <c r="D933" s="29">
        <v>1</v>
      </c>
      <c r="E933" s="29" t="s">
        <v>99</v>
      </c>
      <c r="F933" s="29" t="s">
        <v>342</v>
      </c>
      <c r="G933" s="29" t="s">
        <v>91</v>
      </c>
      <c r="H933" s="29" t="s">
        <v>184</v>
      </c>
      <c r="I933" s="29" t="s">
        <v>94</v>
      </c>
      <c r="J933" s="29" t="s">
        <v>340</v>
      </c>
      <c r="K933" s="29" t="str">
        <f>VLOOKUP(LEFT(H933, 7), 'קטלוג תרחישים'!$A:$L, 12, FALSE)</f>
        <v>ג׳</v>
      </c>
      <c r="L933" s="29" t="str">
        <f>IF(J933="כן", K933, VLOOKUP(LEFT(H933, 7), 'קטלוג תרחישים'!$A:$M, 13, FALSE))</f>
        <v>ג׳</v>
      </c>
    </row>
    <row r="934" spans="1:12">
      <c r="A934" s="29" t="s">
        <v>207</v>
      </c>
      <c r="B934" s="29">
        <v>9</v>
      </c>
      <c r="C934" s="29" t="s">
        <v>341</v>
      </c>
      <c r="D934" s="29">
        <v>1</v>
      </c>
      <c r="E934" s="29" t="s">
        <v>99</v>
      </c>
      <c r="F934" s="29" t="s">
        <v>342</v>
      </c>
      <c r="G934" s="29" t="s">
        <v>91</v>
      </c>
      <c r="H934" s="29" t="s">
        <v>183</v>
      </c>
      <c r="I934" s="29" t="s">
        <v>89</v>
      </c>
      <c r="J934" s="29" t="s">
        <v>340</v>
      </c>
      <c r="K934" s="29" t="str">
        <f>VLOOKUP(LEFT(H934, 7), 'קטלוג תרחישים'!$A:$L, 12, FALSE)</f>
        <v>ג׳</v>
      </c>
      <c r="L934" s="29" t="str">
        <f>IF(J934="כן", K934, VLOOKUP(LEFT(H934, 7), 'קטלוג תרחישים'!$A:$M, 13, FALSE))</f>
        <v>ג׳</v>
      </c>
    </row>
    <row r="935" spans="1:12">
      <c r="A935" s="29" t="s">
        <v>207</v>
      </c>
      <c r="B935" s="29">
        <v>10</v>
      </c>
      <c r="C935" s="29" t="s">
        <v>341</v>
      </c>
      <c r="D935" s="29">
        <v>1</v>
      </c>
      <c r="E935" s="29" t="s">
        <v>99</v>
      </c>
      <c r="F935" s="29" t="s">
        <v>342</v>
      </c>
      <c r="G935" s="29" t="s">
        <v>91</v>
      </c>
      <c r="H935" s="29" t="s">
        <v>186</v>
      </c>
      <c r="I935" s="29" t="s">
        <v>94</v>
      </c>
      <c r="J935" s="29" t="s">
        <v>343</v>
      </c>
      <c r="K935" s="29" t="str">
        <f>VLOOKUP(LEFT(H935, 7), 'קטלוג תרחישים'!$A:$L, 12, FALSE)</f>
        <v>ב׳</v>
      </c>
      <c r="L935" s="29" t="str">
        <f>IF(J935="כן", K935, VLOOKUP(LEFT(H935, 7), 'קטלוג תרחישים'!$A:$M, 13, FALSE))</f>
        <v>ג׳</v>
      </c>
    </row>
    <row r="936" spans="1:12">
      <c r="A936" s="29" t="s">
        <v>207</v>
      </c>
      <c r="B936" s="29">
        <v>11</v>
      </c>
      <c r="C936" s="29" t="s">
        <v>341</v>
      </c>
      <c r="D936" s="29">
        <v>1</v>
      </c>
      <c r="E936" s="29" t="s">
        <v>99</v>
      </c>
      <c r="F936" s="29" t="s">
        <v>342</v>
      </c>
      <c r="G936" s="29" t="s">
        <v>91</v>
      </c>
      <c r="H936" s="29" t="s">
        <v>187</v>
      </c>
      <c r="I936" s="29" t="s">
        <v>89</v>
      </c>
      <c r="J936" s="29" t="s">
        <v>340</v>
      </c>
      <c r="K936" s="29" t="str">
        <f>VLOOKUP(LEFT(H936, 7), 'קטלוג תרחישים'!$A:$L, 12, FALSE)</f>
        <v>א׳</v>
      </c>
      <c r="L936" s="29" t="str">
        <f>IF(J936="כן", K936, VLOOKUP(LEFT(H936, 7), 'קטלוג תרחישים'!$A:$M, 13, FALSE))</f>
        <v>א׳</v>
      </c>
    </row>
    <row r="937" spans="1:12">
      <c r="A937" s="29" t="s">
        <v>207</v>
      </c>
      <c r="B937" s="29">
        <v>12</v>
      </c>
      <c r="C937" s="29" t="s">
        <v>341</v>
      </c>
      <c r="D937" s="29">
        <v>2</v>
      </c>
      <c r="E937" s="29" t="s">
        <v>105</v>
      </c>
      <c r="F937" s="29" t="s">
        <v>342</v>
      </c>
      <c r="G937" s="29" t="s">
        <v>91</v>
      </c>
      <c r="H937" s="29" t="s">
        <v>175</v>
      </c>
      <c r="I937" s="29" t="s">
        <v>94</v>
      </c>
      <c r="J937" s="29" t="s">
        <v>340</v>
      </c>
      <c r="K937" s="29" t="str">
        <f>VLOOKUP(LEFT(H937, 7), 'קטלוג תרחישים'!$A:$L, 12, FALSE)</f>
        <v>א׳</v>
      </c>
      <c r="L937" s="29" t="str">
        <f>IF(J937="כן", K937, VLOOKUP(LEFT(H937, 7), 'קטלוג תרחישים'!$A:$M, 13, FALSE))</f>
        <v>א׳</v>
      </c>
    </row>
    <row r="938" spans="1:12">
      <c r="A938" s="29" t="s">
        <v>207</v>
      </c>
      <c r="B938" s="29">
        <v>13</v>
      </c>
      <c r="C938" s="29" t="s">
        <v>341</v>
      </c>
      <c r="D938" s="29">
        <v>2</v>
      </c>
      <c r="E938" s="29" t="s">
        <v>105</v>
      </c>
      <c r="F938" s="29" t="s">
        <v>342</v>
      </c>
      <c r="G938" s="29" t="s">
        <v>91</v>
      </c>
      <c r="H938" s="29" t="s">
        <v>174</v>
      </c>
      <c r="I938" s="29" t="s">
        <v>89</v>
      </c>
      <c r="J938" s="29" t="s">
        <v>340</v>
      </c>
      <c r="K938" s="29" t="str">
        <f>VLOOKUP(LEFT(H938, 7), 'קטלוג תרחישים'!$A:$L, 12, FALSE)</f>
        <v>ג׳</v>
      </c>
      <c r="L938" s="29" t="str">
        <f>IF(J938="כן", K938, VLOOKUP(LEFT(H938, 7), 'קטלוג תרחישים'!$A:$M, 13, FALSE))</f>
        <v>ג׳</v>
      </c>
    </row>
    <row r="939" spans="1:12">
      <c r="A939" s="29" t="s">
        <v>207</v>
      </c>
      <c r="B939" s="29">
        <v>14</v>
      </c>
      <c r="C939" s="29" t="s">
        <v>341</v>
      </c>
      <c r="D939" s="29">
        <v>2</v>
      </c>
      <c r="E939" s="29" t="s">
        <v>105</v>
      </c>
      <c r="F939" s="29" t="s">
        <v>342</v>
      </c>
      <c r="G939" s="29" t="s">
        <v>91</v>
      </c>
      <c r="H939" s="29" t="s">
        <v>173</v>
      </c>
      <c r="I939" s="29" t="s">
        <v>94</v>
      </c>
      <c r="J939" s="29" t="s">
        <v>343</v>
      </c>
      <c r="K939" s="29" t="str">
        <f>VLOOKUP(LEFT(H939, 7), 'קטלוג תרחישים'!$A:$L, 12, FALSE)</f>
        <v>ג׳</v>
      </c>
      <c r="L939" s="29" t="str">
        <f>IF(J939="כן", K939, VLOOKUP(LEFT(H939, 7), 'קטלוג תרחישים'!$A:$M, 13, FALSE))</f>
        <v>א׳</v>
      </c>
    </row>
    <row r="940" spans="1:12">
      <c r="A940" s="29" t="s">
        <v>207</v>
      </c>
      <c r="B940" s="29">
        <v>15</v>
      </c>
      <c r="C940" s="29" t="s">
        <v>341</v>
      </c>
      <c r="D940" s="29">
        <v>2</v>
      </c>
      <c r="E940" s="29" t="s">
        <v>105</v>
      </c>
      <c r="F940" s="29" t="s">
        <v>342</v>
      </c>
      <c r="G940" s="29" t="s">
        <v>91</v>
      </c>
      <c r="H940" s="29" t="s">
        <v>176</v>
      </c>
      <c r="I940" s="29" t="s">
        <v>89</v>
      </c>
      <c r="J940" s="29" t="s">
        <v>340</v>
      </c>
      <c r="K940" s="29" t="str">
        <f>VLOOKUP(LEFT(H940, 7), 'קטלוג תרחישים'!$A:$L, 12, FALSE)</f>
        <v>ג׳</v>
      </c>
      <c r="L940" s="29" t="str">
        <f>IF(J940="כן", K940, VLOOKUP(LEFT(H940, 7), 'קטלוג תרחישים'!$A:$M, 13, FALSE))</f>
        <v>ג׳</v>
      </c>
    </row>
    <row r="941" spans="1:12">
      <c r="A941" s="29" t="s">
        <v>207</v>
      </c>
      <c r="B941" s="29">
        <v>16</v>
      </c>
      <c r="C941" s="29" t="s">
        <v>341</v>
      </c>
      <c r="D941" s="29">
        <v>2</v>
      </c>
      <c r="E941" s="29" t="s">
        <v>105</v>
      </c>
      <c r="F941" s="29" t="s">
        <v>342</v>
      </c>
      <c r="G941" s="29" t="s">
        <v>91</v>
      </c>
      <c r="H941" s="29" t="s">
        <v>177</v>
      </c>
      <c r="I941" s="29" t="s">
        <v>94</v>
      </c>
      <c r="J941" s="29" t="s">
        <v>340</v>
      </c>
      <c r="K941" s="29" t="str">
        <f>VLOOKUP(LEFT(H941, 7), 'קטלוג תרחישים'!$A:$L, 12, FALSE)</f>
        <v>ב׳</v>
      </c>
      <c r="L941" s="29" t="str">
        <f>IF(J941="כן", K941, VLOOKUP(LEFT(H941, 7), 'קטלוג תרחישים'!$A:$M, 13, FALSE))</f>
        <v>ב׳</v>
      </c>
    </row>
    <row r="942" spans="1:12">
      <c r="A942" s="29" t="s">
        <v>207</v>
      </c>
      <c r="B942" s="29">
        <v>17</v>
      </c>
      <c r="C942" s="29" t="s">
        <v>341</v>
      </c>
      <c r="D942" s="29">
        <v>3</v>
      </c>
      <c r="E942" s="29" t="s">
        <v>92</v>
      </c>
      <c r="F942" s="29" t="s">
        <v>342</v>
      </c>
      <c r="G942" s="29" t="s">
        <v>91</v>
      </c>
      <c r="H942" s="29" t="s">
        <v>182</v>
      </c>
      <c r="I942" s="29" t="s">
        <v>89</v>
      </c>
      <c r="J942" s="29" t="s">
        <v>340</v>
      </c>
      <c r="K942" s="29" t="str">
        <f>VLOOKUP(LEFT(H942, 7), 'קטלוג תרחישים'!$A:$L, 12, FALSE)</f>
        <v>ב׳</v>
      </c>
      <c r="L942" s="29" t="str">
        <f>IF(J942="כן", K942, VLOOKUP(LEFT(H942, 7), 'קטלוג תרחישים'!$A:$M, 13, FALSE))</f>
        <v>ב׳</v>
      </c>
    </row>
    <row r="943" spans="1:12">
      <c r="A943" s="29" t="s">
        <v>207</v>
      </c>
      <c r="B943" s="29">
        <v>18</v>
      </c>
      <c r="C943" s="29" t="s">
        <v>341</v>
      </c>
      <c r="D943" s="29">
        <v>3</v>
      </c>
      <c r="E943" s="29" t="s">
        <v>92</v>
      </c>
      <c r="F943" s="29" t="s">
        <v>342</v>
      </c>
      <c r="G943" s="29" t="s">
        <v>91</v>
      </c>
      <c r="H943" s="29" t="s">
        <v>181</v>
      </c>
      <c r="I943" s="29" t="s">
        <v>94</v>
      </c>
      <c r="J943" s="29" t="s">
        <v>340</v>
      </c>
      <c r="K943" s="29" t="str">
        <f>VLOOKUP(LEFT(H943, 7), 'קטלוג תרחישים'!$A:$L, 12, FALSE)</f>
        <v>ג׳</v>
      </c>
      <c r="L943" s="29" t="str">
        <f>IF(J943="כן", K943, VLOOKUP(LEFT(H943, 7), 'קטלוג תרחישים'!$A:$M, 13, FALSE))</f>
        <v>ג׳</v>
      </c>
    </row>
    <row r="944" spans="1:12">
      <c r="A944" s="29" t="s">
        <v>207</v>
      </c>
      <c r="B944" s="29">
        <v>19</v>
      </c>
      <c r="C944" s="29" t="s">
        <v>341</v>
      </c>
      <c r="D944" s="29">
        <v>3</v>
      </c>
      <c r="E944" s="29" t="s">
        <v>92</v>
      </c>
      <c r="F944" s="29" t="s">
        <v>342</v>
      </c>
      <c r="G944" s="29" t="s">
        <v>91</v>
      </c>
      <c r="H944" s="29" t="s">
        <v>178</v>
      </c>
      <c r="I944" s="29" t="s">
        <v>89</v>
      </c>
      <c r="J944" s="29" t="s">
        <v>343</v>
      </c>
      <c r="K944" s="29" t="str">
        <f>VLOOKUP(LEFT(H944, 7), 'קטלוג תרחישים'!$A:$L, 12, FALSE)</f>
        <v>א׳</v>
      </c>
      <c r="L944" s="29" t="str">
        <f>IF(J944="כן", K944, VLOOKUP(LEFT(H944, 7), 'קטלוג תרחישים'!$A:$M, 13, FALSE))</f>
        <v>ג׳</v>
      </c>
    </row>
    <row r="945" spans="1:12">
      <c r="A945" s="29" t="s">
        <v>207</v>
      </c>
      <c r="B945" s="29">
        <v>20</v>
      </c>
      <c r="C945" s="29" t="s">
        <v>341</v>
      </c>
      <c r="D945" s="29">
        <v>3</v>
      </c>
      <c r="E945" s="29" t="s">
        <v>92</v>
      </c>
      <c r="F945" s="29" t="s">
        <v>342</v>
      </c>
      <c r="G945" s="29" t="s">
        <v>91</v>
      </c>
      <c r="H945" s="29" t="s">
        <v>179</v>
      </c>
      <c r="I945" s="29" t="s">
        <v>94</v>
      </c>
      <c r="J945" s="29" t="s">
        <v>340</v>
      </c>
      <c r="K945" s="29" t="str">
        <f>VLOOKUP(LEFT(H945, 7), 'קטלוג תרחישים'!$A:$L, 12, FALSE)</f>
        <v>א׳</v>
      </c>
      <c r="L945" s="29" t="str">
        <f>IF(J945="כן", K945, VLOOKUP(LEFT(H945, 7), 'קטלוג תרחישים'!$A:$M, 13, FALSE))</f>
        <v>א׳</v>
      </c>
    </row>
    <row r="946" spans="1:12">
      <c r="A946" s="29" t="s">
        <v>207</v>
      </c>
      <c r="B946" s="29">
        <v>21</v>
      </c>
      <c r="C946" s="29" t="s">
        <v>341</v>
      </c>
      <c r="D946" s="29">
        <v>3</v>
      </c>
      <c r="E946" s="29" t="s">
        <v>92</v>
      </c>
      <c r="F946" s="29" t="s">
        <v>342</v>
      </c>
      <c r="G946" s="29" t="s">
        <v>91</v>
      </c>
      <c r="H946" s="29" t="s">
        <v>180</v>
      </c>
      <c r="I946" s="29" t="s">
        <v>89</v>
      </c>
      <c r="J946" s="29" t="s">
        <v>340</v>
      </c>
      <c r="K946" s="29" t="str">
        <f>VLOOKUP(LEFT(H946, 7), 'קטלוג תרחישים'!$A:$L, 12, FALSE)</f>
        <v>ב׳</v>
      </c>
      <c r="L946" s="29" t="str">
        <f>IF(J946="כן", K946, VLOOKUP(LEFT(H946, 7), 'קטלוג תרחישים'!$A:$M, 13, FALSE))</f>
        <v>ב׳</v>
      </c>
    </row>
    <row r="947" spans="1:12">
      <c r="A947" s="29" t="s">
        <v>207</v>
      </c>
      <c r="B947" s="29">
        <v>22</v>
      </c>
      <c r="C947" s="29" t="s">
        <v>341</v>
      </c>
      <c r="D947" s="29">
        <v>1</v>
      </c>
      <c r="E947" s="29" t="s">
        <v>105</v>
      </c>
      <c r="F947" s="29" t="s">
        <v>344</v>
      </c>
      <c r="G947" s="29" t="s">
        <v>111</v>
      </c>
      <c r="H947" s="29" t="s">
        <v>198</v>
      </c>
      <c r="I947" s="29" t="s">
        <v>89</v>
      </c>
      <c r="J947" s="29" t="s">
        <v>340</v>
      </c>
      <c r="K947" s="29" t="str">
        <f>VLOOKUP(LEFT(H947, 7), 'קטלוג תרחישים'!$A:$L, 12, FALSE)</f>
        <v>ג׳</v>
      </c>
      <c r="L947" s="29" t="str">
        <f>IF(J947="כן", K947, VLOOKUP(LEFT(H947, 7), 'קטלוג תרחישים'!$A:$M, 13, FALSE))</f>
        <v>ג׳</v>
      </c>
    </row>
    <row r="948" spans="1:12">
      <c r="A948" s="29" t="s">
        <v>207</v>
      </c>
      <c r="B948" s="29">
        <v>23</v>
      </c>
      <c r="C948" s="29" t="s">
        <v>341</v>
      </c>
      <c r="D948" s="29">
        <v>1</v>
      </c>
      <c r="E948" s="29" t="s">
        <v>105</v>
      </c>
      <c r="F948" s="29" t="s">
        <v>344</v>
      </c>
      <c r="G948" s="29" t="s">
        <v>111</v>
      </c>
      <c r="H948" s="29" t="s">
        <v>199</v>
      </c>
      <c r="I948" s="29" t="s">
        <v>94</v>
      </c>
      <c r="J948" s="29" t="s">
        <v>343</v>
      </c>
      <c r="K948" s="29" t="str">
        <f>VLOOKUP(LEFT(H948, 7), 'קטלוג תרחישים'!$A:$L, 12, FALSE)</f>
        <v>ב׳</v>
      </c>
      <c r="L948" s="29" t="str">
        <f>IF(J948="כן", K948, VLOOKUP(LEFT(H948, 7), 'קטלוג תרחישים'!$A:$M, 13, FALSE))</f>
        <v>א׳</v>
      </c>
    </row>
    <row r="949" spans="1:12">
      <c r="A949" s="29" t="s">
        <v>207</v>
      </c>
      <c r="B949" s="29">
        <v>24</v>
      </c>
      <c r="C949" s="29" t="s">
        <v>341</v>
      </c>
      <c r="D949" s="29">
        <v>1</v>
      </c>
      <c r="E949" s="29" t="s">
        <v>105</v>
      </c>
      <c r="F949" s="29" t="s">
        <v>344</v>
      </c>
      <c r="G949" s="29" t="s">
        <v>111</v>
      </c>
      <c r="H949" s="29" t="s">
        <v>196</v>
      </c>
      <c r="I949" s="29" t="s">
        <v>89</v>
      </c>
      <c r="J949" s="29" t="s">
        <v>343</v>
      </c>
      <c r="K949" s="29" t="str">
        <f>VLOOKUP(LEFT(H949, 7), 'קטלוג תרחישים'!$A:$L, 12, FALSE)</f>
        <v>ב׳</v>
      </c>
      <c r="L949" s="29" t="str">
        <f>IF(J949="כן", K949, VLOOKUP(LEFT(H949, 7), 'קטלוג תרחישים'!$A:$M, 13, FALSE))</f>
        <v>א׳</v>
      </c>
    </row>
    <row r="950" spans="1:12">
      <c r="A950" s="29" t="s">
        <v>207</v>
      </c>
      <c r="B950" s="29">
        <v>25</v>
      </c>
      <c r="C950" s="29" t="s">
        <v>341</v>
      </c>
      <c r="D950" s="29">
        <v>1</v>
      </c>
      <c r="E950" s="29" t="s">
        <v>105</v>
      </c>
      <c r="F950" s="29" t="s">
        <v>344</v>
      </c>
      <c r="G950" s="29" t="s">
        <v>111</v>
      </c>
      <c r="H950" s="29" t="s">
        <v>197</v>
      </c>
      <c r="I950" s="29" t="s">
        <v>94</v>
      </c>
      <c r="J950" s="29" t="s">
        <v>340</v>
      </c>
      <c r="K950" s="29" t="str">
        <f>VLOOKUP(LEFT(H950, 7), 'קטלוג תרחישים'!$A:$L, 12, FALSE)</f>
        <v>א׳</v>
      </c>
      <c r="L950" s="29" t="str">
        <f>IF(J950="כן", K950, VLOOKUP(LEFT(H950, 7), 'קטלוג תרחישים'!$A:$M, 13, FALSE))</f>
        <v>א׳</v>
      </c>
    </row>
    <row r="951" spans="1:12">
      <c r="A951" s="29" t="s">
        <v>207</v>
      </c>
      <c r="B951" s="29">
        <v>26</v>
      </c>
      <c r="C951" s="29" t="s">
        <v>341</v>
      </c>
      <c r="D951" s="29">
        <v>2</v>
      </c>
      <c r="E951" s="29" t="s">
        <v>92</v>
      </c>
      <c r="F951" s="29" t="s">
        <v>344</v>
      </c>
      <c r="G951" s="29" t="s">
        <v>111</v>
      </c>
      <c r="H951" s="29" t="s">
        <v>190</v>
      </c>
      <c r="I951" s="29" t="s">
        <v>89</v>
      </c>
      <c r="J951" s="29" t="s">
        <v>343</v>
      </c>
      <c r="K951" s="29" t="str">
        <f>VLOOKUP(LEFT(H951, 7), 'קטלוג תרחישים'!$A:$L, 12, FALSE)</f>
        <v>א׳</v>
      </c>
      <c r="L951" s="29" t="str">
        <f>IF(J951="כן", K951, VLOOKUP(LEFT(H951, 7), 'קטלוג תרחישים'!$A:$M, 13, FALSE))</f>
        <v>ג׳</v>
      </c>
    </row>
    <row r="952" spans="1:12">
      <c r="A952" s="29" t="s">
        <v>207</v>
      </c>
      <c r="B952" s="29">
        <v>27</v>
      </c>
      <c r="C952" s="29" t="s">
        <v>341</v>
      </c>
      <c r="D952" s="29">
        <v>2</v>
      </c>
      <c r="E952" s="29" t="s">
        <v>92</v>
      </c>
      <c r="F952" s="29" t="s">
        <v>344</v>
      </c>
      <c r="G952" s="29" t="s">
        <v>111</v>
      </c>
      <c r="H952" s="29" t="s">
        <v>189</v>
      </c>
      <c r="I952" s="29" t="s">
        <v>94</v>
      </c>
      <c r="J952" s="29" t="s">
        <v>340</v>
      </c>
      <c r="K952" s="29" t="str">
        <f>VLOOKUP(LEFT(H952, 7), 'קטלוג תרחישים'!$A:$L, 12, FALSE)</f>
        <v>ב׳</v>
      </c>
      <c r="L952" s="29" t="str">
        <f>IF(J952="כן", K952, VLOOKUP(LEFT(H952, 7), 'קטלוג תרחישים'!$A:$M, 13, FALSE))</f>
        <v>ב׳</v>
      </c>
    </row>
    <row r="953" spans="1:12">
      <c r="A953" s="29" t="s">
        <v>207</v>
      </c>
      <c r="B953" s="29">
        <v>28</v>
      </c>
      <c r="C953" s="29" t="s">
        <v>341</v>
      </c>
      <c r="D953" s="29">
        <v>2</v>
      </c>
      <c r="E953" s="29" t="s">
        <v>92</v>
      </c>
      <c r="F953" s="29" t="s">
        <v>344</v>
      </c>
      <c r="G953" s="29" t="s">
        <v>111</v>
      </c>
      <c r="H953" s="29" t="s">
        <v>188</v>
      </c>
      <c r="I953" s="29" t="s">
        <v>89</v>
      </c>
      <c r="J953" s="29" t="s">
        <v>340</v>
      </c>
      <c r="K953" s="29" t="str">
        <f>VLOOKUP(LEFT(H953, 7), 'קטלוג תרחישים'!$A:$L, 12, FALSE)</f>
        <v>ג׳</v>
      </c>
      <c r="L953" s="29" t="str">
        <f>IF(J953="כן", K953, VLOOKUP(LEFT(H953, 7), 'קטלוג תרחישים'!$A:$M, 13, FALSE))</f>
        <v>ג׳</v>
      </c>
    </row>
    <row r="954" spans="1:12">
      <c r="A954" s="29" t="s">
        <v>207</v>
      </c>
      <c r="B954" s="29">
        <v>29</v>
      </c>
      <c r="C954" s="29" t="s">
        <v>341</v>
      </c>
      <c r="D954" s="29">
        <v>2</v>
      </c>
      <c r="E954" s="29" t="s">
        <v>92</v>
      </c>
      <c r="F954" s="29" t="s">
        <v>344</v>
      </c>
      <c r="G954" s="29" t="s">
        <v>111</v>
      </c>
      <c r="H954" s="29" t="s">
        <v>191</v>
      </c>
      <c r="I954" s="29" t="s">
        <v>94</v>
      </c>
      <c r="J954" s="29" t="s">
        <v>343</v>
      </c>
      <c r="K954" s="29" t="str">
        <f>VLOOKUP(LEFT(H954, 7), 'קטלוג תרחישים'!$A:$L, 12, FALSE)</f>
        <v>ג׳</v>
      </c>
      <c r="L954" s="29" t="str">
        <f>IF(J954="כן", K954, VLOOKUP(LEFT(H954, 7), 'קטלוג תרחישים'!$A:$M, 13, FALSE))</f>
        <v>א׳</v>
      </c>
    </row>
    <row r="955" spans="1:12">
      <c r="A955" s="29" t="s">
        <v>207</v>
      </c>
      <c r="B955" s="29">
        <v>30</v>
      </c>
      <c r="C955" s="29" t="s">
        <v>341</v>
      </c>
      <c r="D955" s="29">
        <v>3</v>
      </c>
      <c r="E955" s="29" t="s">
        <v>99</v>
      </c>
      <c r="F955" s="29" t="s">
        <v>344</v>
      </c>
      <c r="G955" s="29" t="s">
        <v>111</v>
      </c>
      <c r="H955" s="29" t="s">
        <v>194</v>
      </c>
      <c r="I955" s="29" t="s">
        <v>89</v>
      </c>
      <c r="J955" s="29" t="s">
        <v>343</v>
      </c>
      <c r="K955" s="29" t="str">
        <f>VLOOKUP(LEFT(H955, 7), 'קטלוג תרחישים'!$A:$L, 12, FALSE)</f>
        <v>ב׳</v>
      </c>
      <c r="L955" s="29" t="str">
        <f>IF(J955="כן", K955, VLOOKUP(LEFT(H955, 7), 'קטלוג תרחישים'!$A:$M, 13, FALSE))</f>
        <v>א׳</v>
      </c>
    </row>
    <row r="956" spans="1:12">
      <c r="A956" s="29" t="s">
        <v>207</v>
      </c>
      <c r="B956" s="29">
        <v>31</v>
      </c>
      <c r="C956" s="29" t="s">
        <v>341</v>
      </c>
      <c r="D956" s="29">
        <v>3</v>
      </c>
      <c r="E956" s="29" t="s">
        <v>99</v>
      </c>
      <c r="F956" s="29" t="s">
        <v>344</v>
      </c>
      <c r="G956" s="29" t="s">
        <v>111</v>
      </c>
      <c r="H956" s="29" t="s">
        <v>193</v>
      </c>
      <c r="I956" s="29" t="s">
        <v>94</v>
      </c>
      <c r="J956" s="29" t="s">
        <v>343</v>
      </c>
      <c r="K956" s="29" t="str">
        <f>VLOOKUP(LEFT(H956, 7), 'קטלוג תרחישים'!$A:$L, 12, FALSE)</f>
        <v>א׳</v>
      </c>
      <c r="L956" s="29" t="str">
        <f>IF(J956="כן", K956, VLOOKUP(LEFT(H956, 7), 'קטלוג תרחישים'!$A:$M, 13, FALSE))</f>
        <v>ב׳</v>
      </c>
    </row>
    <row r="957" spans="1:12">
      <c r="A957" s="29" t="s">
        <v>207</v>
      </c>
      <c r="B957" s="29">
        <v>32</v>
      </c>
      <c r="C957" s="29" t="s">
        <v>341</v>
      </c>
      <c r="D957" s="29">
        <v>3</v>
      </c>
      <c r="E957" s="29" t="s">
        <v>99</v>
      </c>
      <c r="F957" s="29" t="s">
        <v>344</v>
      </c>
      <c r="G957" s="29" t="s">
        <v>111</v>
      </c>
      <c r="H957" s="29" t="s">
        <v>192</v>
      </c>
      <c r="I957" s="29" t="s">
        <v>89</v>
      </c>
      <c r="J957" s="29" t="s">
        <v>340</v>
      </c>
      <c r="K957" s="29" t="str">
        <f>VLOOKUP(LEFT(H957, 7), 'קטלוג תרחישים'!$A:$L, 12, FALSE)</f>
        <v>ב׳</v>
      </c>
      <c r="L957" s="29" t="str">
        <f>IF(J957="כן", K957, VLOOKUP(LEFT(H957, 7), 'קטלוג תרחישים'!$A:$M, 13, FALSE))</f>
        <v>ב׳</v>
      </c>
    </row>
    <row r="958" spans="1:12">
      <c r="A958" s="29" t="s">
        <v>207</v>
      </c>
      <c r="B958" s="29">
        <v>33</v>
      </c>
      <c r="C958" s="29" t="s">
        <v>341</v>
      </c>
      <c r="D958" s="29">
        <v>3</v>
      </c>
      <c r="E958" s="29" t="s">
        <v>99</v>
      </c>
      <c r="F958" s="29" t="s">
        <v>344</v>
      </c>
      <c r="G958" s="29" t="s">
        <v>111</v>
      </c>
      <c r="H958" s="29" t="s">
        <v>195</v>
      </c>
      <c r="I958" s="29" t="s">
        <v>94</v>
      </c>
      <c r="J958" s="29" t="s">
        <v>340</v>
      </c>
      <c r="K958" s="29" t="str">
        <f>VLOOKUP(LEFT(H958, 7), 'קטלוג תרחישים'!$A:$L, 12, FALSE)</f>
        <v>א׳</v>
      </c>
      <c r="L958" s="29" t="str">
        <f>IF(J958="כן", K958, VLOOKUP(LEFT(H958, 7), 'קטלוג תרחישים'!$A:$M, 13, FALSE))</f>
        <v>א׳</v>
      </c>
    </row>
    <row r="959" spans="1:12">
      <c r="A959" s="29" t="s">
        <v>208</v>
      </c>
      <c r="B959" s="29">
        <v>1</v>
      </c>
      <c r="C959" s="29" t="s">
        <v>339</v>
      </c>
      <c r="D959" s="29"/>
      <c r="E959" s="29" t="s">
        <v>92</v>
      </c>
      <c r="F959" s="29"/>
      <c r="G959" s="29"/>
      <c r="H959" s="30" t="s">
        <v>351</v>
      </c>
      <c r="I959" s="29" t="s">
        <v>89</v>
      </c>
      <c r="J959" s="29" t="s">
        <v>340</v>
      </c>
      <c r="K959" s="29" t="str">
        <f>VLOOKUP(LEFT(H959, 7), 'קטלוג תרחישים'!$A:$L, 12, FALSE)</f>
        <v>א׳</v>
      </c>
      <c r="L959" s="29" t="str">
        <f>IF(J959="כן", K959, VLOOKUP(LEFT(H959, 7), 'קטלוג תרחישים'!$A:$M, 13, FALSE))</f>
        <v>א׳</v>
      </c>
    </row>
    <row r="960" spans="1:12">
      <c r="A960" s="29" t="s">
        <v>208</v>
      </c>
      <c r="B960" s="29">
        <v>2</v>
      </c>
      <c r="C960" s="29" t="s">
        <v>339</v>
      </c>
      <c r="D960" s="29"/>
      <c r="E960" s="29" t="s">
        <v>92</v>
      </c>
      <c r="F960" s="29"/>
      <c r="G960" s="29"/>
      <c r="H960" s="30" t="s">
        <v>88</v>
      </c>
      <c r="I960" s="29" t="s">
        <v>89</v>
      </c>
      <c r="J960" s="29" t="s">
        <v>340</v>
      </c>
      <c r="K960" s="29" t="str">
        <f>VLOOKUP(LEFT(H960, 7), 'קטלוג תרחישים'!$A:$L, 12, FALSE)</f>
        <v>א׳</v>
      </c>
      <c r="L960" s="29" t="str">
        <f>IF(J960="כן", K960, VLOOKUP(LEFT(H960, 7), 'קטלוג תרחישים'!$A:$M, 13, FALSE))</f>
        <v>א׳</v>
      </c>
    </row>
    <row r="961" spans="1:12">
      <c r="A961" s="29" t="s">
        <v>208</v>
      </c>
      <c r="B961" s="29">
        <v>3</v>
      </c>
      <c r="C961" s="29" t="s">
        <v>339</v>
      </c>
      <c r="D961" s="29"/>
      <c r="E961" s="29" t="s">
        <v>99</v>
      </c>
      <c r="F961" s="29"/>
      <c r="G961" s="29"/>
      <c r="H961" s="30" t="s">
        <v>352</v>
      </c>
      <c r="I961" s="29" t="s">
        <v>89</v>
      </c>
      <c r="J961" s="29" t="s">
        <v>340</v>
      </c>
      <c r="K961" s="29" t="str">
        <f>VLOOKUP(LEFT(H961, 7), 'קטלוג תרחישים'!$A:$L, 12, FALSE)</f>
        <v>ב׳</v>
      </c>
      <c r="L961" s="29" t="str">
        <f>IF(J961="כן", K961, VLOOKUP(LEFT(H961, 7), 'קטלוג תרחישים'!$A:$M, 13, FALSE))</f>
        <v>ב׳</v>
      </c>
    </row>
    <row r="962" spans="1:12">
      <c r="A962" s="29" t="s">
        <v>208</v>
      </c>
      <c r="B962" s="29">
        <v>4</v>
      </c>
      <c r="C962" s="29" t="s">
        <v>339</v>
      </c>
      <c r="D962" s="29"/>
      <c r="E962" s="29" t="s">
        <v>99</v>
      </c>
      <c r="F962" s="29"/>
      <c r="G962" s="29"/>
      <c r="H962" s="30" t="s">
        <v>353</v>
      </c>
      <c r="I962" s="29" t="s">
        <v>89</v>
      </c>
      <c r="J962" s="29" t="s">
        <v>340</v>
      </c>
      <c r="K962" s="29" t="str">
        <f>VLOOKUP(LEFT(H962, 7), 'קטלוג תרחישים'!$A:$L, 12, FALSE)</f>
        <v>ב׳</v>
      </c>
      <c r="L962" s="29" t="str">
        <f>IF(J962="כן", K962, VLOOKUP(LEFT(H962, 7), 'קטלוג תרחישים'!$A:$M, 13, FALSE))</f>
        <v>ב׳</v>
      </c>
    </row>
    <row r="963" spans="1:12">
      <c r="A963" s="29" t="s">
        <v>208</v>
      </c>
      <c r="B963" s="29">
        <v>5</v>
      </c>
      <c r="C963" s="29" t="s">
        <v>339</v>
      </c>
      <c r="D963" s="29"/>
      <c r="E963" s="29" t="s">
        <v>105</v>
      </c>
      <c r="F963" s="29"/>
      <c r="G963" s="29"/>
      <c r="H963" s="30" t="s">
        <v>354</v>
      </c>
      <c r="I963" s="29" t="s">
        <v>89</v>
      </c>
      <c r="J963" s="29" t="s">
        <v>340</v>
      </c>
      <c r="K963" s="29" t="str">
        <f>VLOOKUP(LEFT(H963, 7), 'קטלוג תרחישים'!$A:$L, 12, FALSE)</f>
        <v>ג׳</v>
      </c>
      <c r="L963" s="29" t="str">
        <f>IF(J963="כן", K963, VLOOKUP(LEFT(H963, 7), 'קטלוג תרחישים'!$A:$M, 13, FALSE))</f>
        <v>ג׳</v>
      </c>
    </row>
    <row r="964" spans="1:12">
      <c r="A964" s="29" t="s">
        <v>208</v>
      </c>
      <c r="B964" s="29">
        <v>6</v>
      </c>
      <c r="C964" s="29" t="s">
        <v>339</v>
      </c>
      <c r="D964" s="29"/>
      <c r="E964" s="29" t="s">
        <v>105</v>
      </c>
      <c r="F964" s="29"/>
      <c r="G964" s="29"/>
      <c r="H964" s="30" t="s">
        <v>90</v>
      </c>
      <c r="I964" s="29" t="s">
        <v>89</v>
      </c>
      <c r="J964" s="29" t="s">
        <v>340</v>
      </c>
      <c r="K964" s="29" t="str">
        <f>VLOOKUP(LEFT(H964, 7), 'קטלוג תרחישים'!$A:$L, 12, FALSE)</f>
        <v>ג׳</v>
      </c>
      <c r="L964" s="29" t="str">
        <f>IF(J964="כן", K964, VLOOKUP(LEFT(H964, 7), 'קטלוג תרחישים'!$A:$M, 13, FALSE))</f>
        <v>ג׳</v>
      </c>
    </row>
    <row r="965" spans="1:12">
      <c r="A965" s="29" t="s">
        <v>208</v>
      </c>
      <c r="B965" s="29">
        <v>7</v>
      </c>
      <c r="C965" s="29" t="s">
        <v>341</v>
      </c>
      <c r="D965" s="29">
        <v>1</v>
      </c>
      <c r="E965" s="29" t="s">
        <v>92</v>
      </c>
      <c r="F965" s="29" t="s">
        <v>342</v>
      </c>
      <c r="G965" s="29" t="s">
        <v>111</v>
      </c>
      <c r="H965" s="29" t="s">
        <v>188</v>
      </c>
      <c r="I965" s="29" t="s">
        <v>89</v>
      </c>
      <c r="J965" s="29" t="s">
        <v>340</v>
      </c>
      <c r="K965" s="29" t="str">
        <f>VLOOKUP(LEFT(H965, 7), 'קטלוג תרחישים'!$A:$L, 12, FALSE)</f>
        <v>ג׳</v>
      </c>
      <c r="L965" s="29" t="str">
        <f>IF(J965="כן", K965, VLOOKUP(LEFT(H965, 7), 'קטלוג תרחישים'!$A:$M, 13, FALSE))</f>
        <v>ג׳</v>
      </c>
    </row>
    <row r="966" spans="1:12">
      <c r="A966" s="29" t="s">
        <v>208</v>
      </c>
      <c r="B966" s="29">
        <v>8</v>
      </c>
      <c r="C966" s="29" t="s">
        <v>341</v>
      </c>
      <c r="D966" s="29">
        <v>1</v>
      </c>
      <c r="E966" s="29" t="s">
        <v>92</v>
      </c>
      <c r="F966" s="29" t="s">
        <v>342</v>
      </c>
      <c r="G966" s="29" t="s">
        <v>111</v>
      </c>
      <c r="H966" s="29" t="s">
        <v>189</v>
      </c>
      <c r="I966" s="29" t="s">
        <v>94</v>
      </c>
      <c r="J966" s="29" t="s">
        <v>343</v>
      </c>
      <c r="K966" s="29" t="str">
        <f>VLOOKUP(LEFT(H966, 7), 'קטלוג תרחישים'!$A:$L, 12, FALSE)</f>
        <v>ב׳</v>
      </c>
      <c r="L966" s="29" t="str">
        <f>IF(J966="כן", K966, VLOOKUP(LEFT(H966, 7), 'קטלוג תרחישים'!$A:$M, 13, FALSE))</f>
        <v>ג׳</v>
      </c>
    </row>
    <row r="967" spans="1:12">
      <c r="A967" s="29" t="s">
        <v>208</v>
      </c>
      <c r="B967" s="29">
        <v>9</v>
      </c>
      <c r="C967" s="29" t="s">
        <v>341</v>
      </c>
      <c r="D967" s="29">
        <v>1</v>
      </c>
      <c r="E967" s="29" t="s">
        <v>92</v>
      </c>
      <c r="F967" s="29" t="s">
        <v>342</v>
      </c>
      <c r="G967" s="29" t="s">
        <v>111</v>
      </c>
      <c r="H967" s="29" t="s">
        <v>190</v>
      </c>
      <c r="I967" s="29" t="s">
        <v>89</v>
      </c>
      <c r="J967" s="29" t="s">
        <v>343</v>
      </c>
      <c r="K967" s="29" t="str">
        <f>VLOOKUP(LEFT(H967, 7), 'קטלוג תרחישים'!$A:$L, 12, FALSE)</f>
        <v>א׳</v>
      </c>
      <c r="L967" s="29" t="str">
        <f>IF(J967="כן", K967, VLOOKUP(LEFT(H967, 7), 'קטלוג תרחישים'!$A:$M, 13, FALSE))</f>
        <v>ג׳</v>
      </c>
    </row>
    <row r="968" spans="1:12">
      <c r="A968" s="29" t="s">
        <v>208</v>
      </c>
      <c r="B968" s="29">
        <v>10</v>
      </c>
      <c r="C968" s="29" t="s">
        <v>341</v>
      </c>
      <c r="D968" s="29">
        <v>1</v>
      </c>
      <c r="E968" s="29" t="s">
        <v>92</v>
      </c>
      <c r="F968" s="29" t="s">
        <v>342</v>
      </c>
      <c r="G968" s="29" t="s">
        <v>111</v>
      </c>
      <c r="H968" s="29" t="s">
        <v>191</v>
      </c>
      <c r="I968" s="29" t="s">
        <v>94</v>
      </c>
      <c r="J968" s="29" t="s">
        <v>340</v>
      </c>
      <c r="K968" s="29" t="str">
        <f>VLOOKUP(LEFT(H968, 7), 'קטלוג תרחישים'!$A:$L, 12, FALSE)</f>
        <v>ג׳</v>
      </c>
      <c r="L968" s="29" t="str">
        <f>IF(J968="כן", K968, VLOOKUP(LEFT(H968, 7), 'קטלוג תרחישים'!$A:$M, 13, FALSE))</f>
        <v>ג׳</v>
      </c>
    </row>
    <row r="969" spans="1:12">
      <c r="A969" s="29" t="s">
        <v>208</v>
      </c>
      <c r="B969" s="29">
        <v>11</v>
      </c>
      <c r="C969" s="29" t="s">
        <v>341</v>
      </c>
      <c r="D969" s="29">
        <v>2</v>
      </c>
      <c r="E969" s="29" t="s">
        <v>99</v>
      </c>
      <c r="F969" s="29" t="s">
        <v>342</v>
      </c>
      <c r="G969" s="29" t="s">
        <v>111</v>
      </c>
      <c r="H969" s="29" t="s">
        <v>192</v>
      </c>
      <c r="I969" s="29" t="s">
        <v>89</v>
      </c>
      <c r="J969" s="29" t="s">
        <v>343</v>
      </c>
      <c r="K969" s="29" t="str">
        <f>VLOOKUP(LEFT(H969, 7), 'קטלוג תרחישים'!$A:$L, 12, FALSE)</f>
        <v>ב׳</v>
      </c>
      <c r="L969" s="29" t="str">
        <f>IF(J969="כן", K969, VLOOKUP(LEFT(H969, 7), 'קטלוג תרחישים'!$A:$M, 13, FALSE))</f>
        <v>א׳</v>
      </c>
    </row>
    <row r="970" spans="1:12">
      <c r="A970" s="29" t="s">
        <v>208</v>
      </c>
      <c r="B970" s="29">
        <v>12</v>
      </c>
      <c r="C970" s="29" t="s">
        <v>341</v>
      </c>
      <c r="D970" s="29">
        <v>2</v>
      </c>
      <c r="E970" s="29" t="s">
        <v>99</v>
      </c>
      <c r="F970" s="29" t="s">
        <v>342</v>
      </c>
      <c r="G970" s="29" t="s">
        <v>111</v>
      </c>
      <c r="H970" s="29" t="s">
        <v>195</v>
      </c>
      <c r="I970" s="29" t="s">
        <v>94</v>
      </c>
      <c r="J970" s="29" t="s">
        <v>340</v>
      </c>
      <c r="K970" s="29" t="str">
        <f>VLOOKUP(LEFT(H970, 7), 'קטלוג תרחישים'!$A:$L, 12, FALSE)</f>
        <v>א׳</v>
      </c>
      <c r="L970" s="29" t="str">
        <f>IF(J970="כן", K970, VLOOKUP(LEFT(H970, 7), 'קטלוג תרחישים'!$A:$M, 13, FALSE))</f>
        <v>א׳</v>
      </c>
    </row>
    <row r="971" spans="1:12">
      <c r="A971" s="29" t="s">
        <v>208</v>
      </c>
      <c r="B971" s="29">
        <v>13</v>
      </c>
      <c r="C971" s="29" t="s">
        <v>341</v>
      </c>
      <c r="D971" s="29">
        <v>2</v>
      </c>
      <c r="E971" s="29" t="s">
        <v>99</v>
      </c>
      <c r="F971" s="29" t="s">
        <v>342</v>
      </c>
      <c r="G971" s="29" t="s">
        <v>111</v>
      </c>
      <c r="H971" s="29" t="s">
        <v>194</v>
      </c>
      <c r="I971" s="29" t="s">
        <v>89</v>
      </c>
      <c r="J971" s="29" t="s">
        <v>340</v>
      </c>
      <c r="K971" s="29" t="str">
        <f>VLOOKUP(LEFT(H971, 7), 'קטלוג תרחישים'!$A:$L, 12, FALSE)</f>
        <v>ב׳</v>
      </c>
      <c r="L971" s="29" t="str">
        <f>IF(J971="כן", K971, VLOOKUP(LEFT(H971, 7), 'קטלוג תרחישים'!$A:$M, 13, FALSE))</f>
        <v>ב׳</v>
      </c>
    </row>
    <row r="972" spans="1:12">
      <c r="A972" s="29" t="s">
        <v>208</v>
      </c>
      <c r="B972" s="29">
        <v>14</v>
      </c>
      <c r="C972" s="29" t="s">
        <v>341</v>
      </c>
      <c r="D972" s="29">
        <v>2</v>
      </c>
      <c r="E972" s="29" t="s">
        <v>99</v>
      </c>
      <c r="F972" s="29" t="s">
        <v>342</v>
      </c>
      <c r="G972" s="29" t="s">
        <v>111</v>
      </c>
      <c r="H972" s="29" t="s">
        <v>193</v>
      </c>
      <c r="I972" s="29" t="s">
        <v>94</v>
      </c>
      <c r="J972" s="29" t="s">
        <v>343</v>
      </c>
      <c r="K972" s="29" t="str">
        <f>VLOOKUP(LEFT(H972, 7), 'קטלוג תרחישים'!$A:$L, 12, FALSE)</f>
        <v>א׳</v>
      </c>
      <c r="L972" s="29" t="str">
        <f>IF(J972="כן", K972, VLOOKUP(LEFT(H972, 7), 'קטלוג תרחישים'!$A:$M, 13, FALSE))</f>
        <v>ב׳</v>
      </c>
    </row>
    <row r="973" spans="1:12">
      <c r="A973" s="29" t="s">
        <v>208</v>
      </c>
      <c r="B973" s="29">
        <v>15</v>
      </c>
      <c r="C973" s="29" t="s">
        <v>341</v>
      </c>
      <c r="D973" s="29">
        <v>3</v>
      </c>
      <c r="E973" s="29" t="s">
        <v>105</v>
      </c>
      <c r="F973" s="29" t="s">
        <v>342</v>
      </c>
      <c r="G973" s="29" t="s">
        <v>111</v>
      </c>
      <c r="H973" s="29" t="s">
        <v>198</v>
      </c>
      <c r="I973" s="29" t="s">
        <v>89</v>
      </c>
      <c r="J973" s="29" t="s">
        <v>343</v>
      </c>
      <c r="K973" s="29" t="str">
        <f>VLOOKUP(LEFT(H973, 7), 'קטלוג תרחישים'!$A:$L, 12, FALSE)</f>
        <v>ג׳</v>
      </c>
      <c r="L973" s="29" t="str">
        <f>IF(J973="כן", K973, VLOOKUP(LEFT(H973, 7), 'קטלוג תרחישים'!$A:$M, 13, FALSE))</f>
        <v>ב׳</v>
      </c>
    </row>
    <row r="974" spans="1:12">
      <c r="A974" s="29" t="s">
        <v>208</v>
      </c>
      <c r="B974" s="29">
        <v>16</v>
      </c>
      <c r="C974" s="29" t="s">
        <v>341</v>
      </c>
      <c r="D974" s="29">
        <v>3</v>
      </c>
      <c r="E974" s="29" t="s">
        <v>105</v>
      </c>
      <c r="F974" s="29" t="s">
        <v>342</v>
      </c>
      <c r="G974" s="29" t="s">
        <v>111</v>
      </c>
      <c r="H974" s="29" t="s">
        <v>197</v>
      </c>
      <c r="I974" s="29" t="s">
        <v>94</v>
      </c>
      <c r="J974" s="29" t="s">
        <v>340</v>
      </c>
      <c r="K974" s="29" t="str">
        <f>VLOOKUP(LEFT(H974, 7), 'קטלוג תרחישים'!$A:$L, 12, FALSE)</f>
        <v>א׳</v>
      </c>
      <c r="L974" s="29" t="str">
        <f>IF(J974="כן", K974, VLOOKUP(LEFT(H974, 7), 'קטלוג תרחישים'!$A:$M, 13, FALSE))</f>
        <v>א׳</v>
      </c>
    </row>
    <row r="975" spans="1:12">
      <c r="A975" s="29" t="s">
        <v>208</v>
      </c>
      <c r="B975" s="29">
        <v>17</v>
      </c>
      <c r="C975" s="29" t="s">
        <v>341</v>
      </c>
      <c r="D975" s="29">
        <v>3</v>
      </c>
      <c r="E975" s="29" t="s">
        <v>105</v>
      </c>
      <c r="F975" s="29" t="s">
        <v>342</v>
      </c>
      <c r="G975" s="29" t="s">
        <v>111</v>
      </c>
      <c r="H975" s="29" t="s">
        <v>196</v>
      </c>
      <c r="I975" s="29" t="s">
        <v>89</v>
      </c>
      <c r="J975" s="29" t="s">
        <v>340</v>
      </c>
      <c r="K975" s="29" t="str">
        <f>VLOOKUP(LEFT(H975, 7), 'קטלוג תרחישים'!$A:$L, 12, FALSE)</f>
        <v>ב׳</v>
      </c>
      <c r="L975" s="29" t="str">
        <f>IF(J975="כן", K975, VLOOKUP(LEFT(H975, 7), 'קטלוג תרחישים'!$A:$M, 13, FALSE))</f>
        <v>ב׳</v>
      </c>
    </row>
    <row r="976" spans="1:12">
      <c r="A976" s="29" t="s">
        <v>208</v>
      </c>
      <c r="B976" s="29">
        <v>18</v>
      </c>
      <c r="C976" s="29" t="s">
        <v>341</v>
      </c>
      <c r="D976" s="29">
        <v>3</v>
      </c>
      <c r="E976" s="29" t="s">
        <v>105</v>
      </c>
      <c r="F976" s="29" t="s">
        <v>342</v>
      </c>
      <c r="G976" s="29" t="s">
        <v>111</v>
      </c>
      <c r="H976" s="29" t="s">
        <v>199</v>
      </c>
      <c r="I976" s="29" t="s">
        <v>94</v>
      </c>
      <c r="J976" s="29" t="s">
        <v>343</v>
      </c>
      <c r="K976" s="29" t="str">
        <f>VLOOKUP(LEFT(H976, 7), 'קטלוג תרחישים'!$A:$L, 12, FALSE)</f>
        <v>ב׳</v>
      </c>
      <c r="L976" s="29" t="str">
        <f>IF(J976="כן", K976, VLOOKUP(LEFT(H976, 7), 'קטלוג תרחישים'!$A:$M, 13, FALSE))</f>
        <v>א׳</v>
      </c>
    </row>
    <row r="977" spans="1:12">
      <c r="A977" s="29" t="s">
        <v>208</v>
      </c>
      <c r="B977" s="29">
        <v>19</v>
      </c>
      <c r="C977" s="29" t="s">
        <v>341</v>
      </c>
      <c r="D977" s="29">
        <v>1</v>
      </c>
      <c r="E977" s="29" t="s">
        <v>105</v>
      </c>
      <c r="F977" s="29" t="s">
        <v>344</v>
      </c>
      <c r="G977" s="29" t="s">
        <v>91</v>
      </c>
      <c r="H977" s="29" t="s">
        <v>177</v>
      </c>
      <c r="I977" s="29" t="s">
        <v>94</v>
      </c>
      <c r="J977" s="29" t="s">
        <v>343</v>
      </c>
      <c r="K977" s="29" t="str">
        <f>VLOOKUP(LEFT(H977, 7), 'קטלוג תרחישים'!$A:$L, 12, FALSE)</f>
        <v>ב׳</v>
      </c>
      <c r="L977" s="29" t="str">
        <f>IF(J977="כן", K977, VLOOKUP(LEFT(H977, 7), 'קטלוג תרחישים'!$A:$M, 13, FALSE))</f>
        <v>ג׳</v>
      </c>
    </row>
    <row r="978" spans="1:12">
      <c r="A978" s="29" t="s">
        <v>208</v>
      </c>
      <c r="B978" s="29">
        <v>20</v>
      </c>
      <c r="C978" s="29" t="s">
        <v>341</v>
      </c>
      <c r="D978" s="29">
        <v>1</v>
      </c>
      <c r="E978" s="29" t="s">
        <v>105</v>
      </c>
      <c r="F978" s="29" t="s">
        <v>344</v>
      </c>
      <c r="G978" s="29" t="s">
        <v>91</v>
      </c>
      <c r="H978" s="29" t="s">
        <v>176</v>
      </c>
      <c r="I978" s="29" t="s">
        <v>89</v>
      </c>
      <c r="J978" s="29" t="s">
        <v>340</v>
      </c>
      <c r="K978" s="29" t="str">
        <f>VLOOKUP(LEFT(H978, 7), 'קטלוג תרחישים'!$A:$L, 12, FALSE)</f>
        <v>ג׳</v>
      </c>
      <c r="L978" s="29" t="str">
        <f>IF(J978="כן", K978, VLOOKUP(LEFT(H978, 7), 'קטלוג תרחישים'!$A:$M, 13, FALSE))</f>
        <v>ג׳</v>
      </c>
    </row>
    <row r="979" spans="1:12">
      <c r="A979" s="29" t="s">
        <v>208</v>
      </c>
      <c r="B979" s="29">
        <v>21</v>
      </c>
      <c r="C979" s="29" t="s">
        <v>341</v>
      </c>
      <c r="D979" s="29">
        <v>1</v>
      </c>
      <c r="E979" s="29" t="s">
        <v>105</v>
      </c>
      <c r="F979" s="29" t="s">
        <v>344</v>
      </c>
      <c r="G979" s="29" t="s">
        <v>91</v>
      </c>
      <c r="H979" s="29" t="s">
        <v>175</v>
      </c>
      <c r="I979" s="29" t="s">
        <v>94</v>
      </c>
      <c r="J979" s="29" t="s">
        <v>340</v>
      </c>
      <c r="K979" s="29" t="str">
        <f>VLOOKUP(LEFT(H979, 7), 'קטלוג תרחישים'!$A:$L, 12, FALSE)</f>
        <v>א׳</v>
      </c>
      <c r="L979" s="29" t="str">
        <f>IF(J979="כן", K979, VLOOKUP(LEFT(H979, 7), 'קטלוג תרחישים'!$A:$M, 13, FALSE))</f>
        <v>א׳</v>
      </c>
    </row>
    <row r="980" spans="1:12">
      <c r="A980" s="29" t="s">
        <v>208</v>
      </c>
      <c r="B980" s="29">
        <v>22</v>
      </c>
      <c r="C980" s="29" t="s">
        <v>341</v>
      </c>
      <c r="D980" s="29">
        <v>1</v>
      </c>
      <c r="E980" s="29" t="s">
        <v>105</v>
      </c>
      <c r="F980" s="29" t="s">
        <v>344</v>
      </c>
      <c r="G980" s="29" t="s">
        <v>91</v>
      </c>
      <c r="H980" s="29" t="s">
        <v>174</v>
      </c>
      <c r="I980" s="29" t="s">
        <v>89</v>
      </c>
      <c r="J980" s="29" t="s">
        <v>340</v>
      </c>
      <c r="K980" s="29" t="str">
        <f>VLOOKUP(LEFT(H980, 7), 'קטלוג תרחישים'!$A:$L, 12, FALSE)</f>
        <v>ג׳</v>
      </c>
      <c r="L980" s="29" t="str">
        <f>IF(J980="כן", K980, VLOOKUP(LEFT(H980, 7), 'קטלוג תרחישים'!$A:$M, 13, FALSE))</f>
        <v>ג׳</v>
      </c>
    </row>
    <row r="981" spans="1:12">
      <c r="A981" s="29" t="s">
        <v>208</v>
      </c>
      <c r="B981" s="29">
        <v>23</v>
      </c>
      <c r="C981" s="29" t="s">
        <v>341</v>
      </c>
      <c r="D981" s="29">
        <v>1</v>
      </c>
      <c r="E981" s="29" t="s">
        <v>105</v>
      </c>
      <c r="F981" s="29" t="s">
        <v>344</v>
      </c>
      <c r="G981" s="29" t="s">
        <v>91</v>
      </c>
      <c r="H981" s="29" t="s">
        <v>173</v>
      </c>
      <c r="I981" s="29" t="s">
        <v>94</v>
      </c>
      <c r="J981" s="29" t="s">
        <v>340</v>
      </c>
      <c r="K981" s="29" t="str">
        <f>VLOOKUP(LEFT(H981, 7), 'קטלוג תרחישים'!$A:$L, 12, FALSE)</f>
        <v>ג׳</v>
      </c>
      <c r="L981" s="29" t="str">
        <f>IF(J981="כן", K981, VLOOKUP(LEFT(H981, 7), 'קטלוג תרחישים'!$A:$M, 13, FALSE))</f>
        <v>ג׳</v>
      </c>
    </row>
    <row r="982" spans="1:12">
      <c r="A982" s="29" t="s">
        <v>208</v>
      </c>
      <c r="B982" s="29">
        <v>24</v>
      </c>
      <c r="C982" s="29" t="s">
        <v>341</v>
      </c>
      <c r="D982" s="29">
        <v>2</v>
      </c>
      <c r="E982" s="29" t="s">
        <v>92</v>
      </c>
      <c r="F982" s="29" t="s">
        <v>344</v>
      </c>
      <c r="G982" s="29" t="s">
        <v>91</v>
      </c>
      <c r="H982" s="29" t="s">
        <v>180</v>
      </c>
      <c r="I982" s="29" t="s">
        <v>89</v>
      </c>
      <c r="J982" s="29" t="s">
        <v>340</v>
      </c>
      <c r="K982" s="29" t="str">
        <f>VLOOKUP(LEFT(H982, 7), 'קטלוג תרחישים'!$A:$L, 12, FALSE)</f>
        <v>ב׳</v>
      </c>
      <c r="L982" s="29" t="str">
        <f>IF(J982="כן", K982, VLOOKUP(LEFT(H982, 7), 'קטלוג תרחישים'!$A:$M, 13, FALSE))</f>
        <v>ב׳</v>
      </c>
    </row>
    <row r="983" spans="1:12">
      <c r="A983" s="29" t="s">
        <v>208</v>
      </c>
      <c r="B983" s="29">
        <v>25</v>
      </c>
      <c r="C983" s="29" t="s">
        <v>341</v>
      </c>
      <c r="D983" s="29">
        <v>2</v>
      </c>
      <c r="E983" s="29" t="s">
        <v>92</v>
      </c>
      <c r="F983" s="29" t="s">
        <v>344</v>
      </c>
      <c r="G983" s="29" t="s">
        <v>91</v>
      </c>
      <c r="H983" s="29" t="s">
        <v>181</v>
      </c>
      <c r="I983" s="29" t="s">
        <v>94</v>
      </c>
      <c r="J983" s="29" t="s">
        <v>343</v>
      </c>
      <c r="K983" s="29" t="str">
        <f>VLOOKUP(LEFT(H983, 7), 'קטלוג תרחישים'!$A:$L, 12, FALSE)</f>
        <v>ג׳</v>
      </c>
      <c r="L983" s="29" t="str">
        <f>IF(J983="כן", K983, VLOOKUP(LEFT(H983, 7), 'קטלוג תרחישים'!$A:$M, 13, FALSE))</f>
        <v>א׳</v>
      </c>
    </row>
    <row r="984" spans="1:12">
      <c r="A984" s="29" t="s">
        <v>208</v>
      </c>
      <c r="B984" s="29">
        <v>26</v>
      </c>
      <c r="C984" s="29" t="s">
        <v>341</v>
      </c>
      <c r="D984" s="29">
        <v>2</v>
      </c>
      <c r="E984" s="29" t="s">
        <v>92</v>
      </c>
      <c r="F984" s="29" t="s">
        <v>344</v>
      </c>
      <c r="G984" s="29" t="s">
        <v>91</v>
      </c>
      <c r="H984" s="29" t="s">
        <v>182</v>
      </c>
      <c r="I984" s="29" t="s">
        <v>89</v>
      </c>
      <c r="J984" s="29" t="s">
        <v>340</v>
      </c>
      <c r="K984" s="29" t="str">
        <f>VLOOKUP(LEFT(H984, 7), 'קטלוג תרחישים'!$A:$L, 12, FALSE)</f>
        <v>ב׳</v>
      </c>
      <c r="L984" s="29" t="str">
        <f>IF(J984="כן", K984, VLOOKUP(LEFT(H984, 7), 'קטלוג תרחישים'!$A:$M, 13, FALSE))</f>
        <v>ב׳</v>
      </c>
    </row>
    <row r="985" spans="1:12">
      <c r="A985" s="29" t="s">
        <v>208</v>
      </c>
      <c r="B985" s="29">
        <v>27</v>
      </c>
      <c r="C985" s="29" t="s">
        <v>341</v>
      </c>
      <c r="D985" s="29">
        <v>2</v>
      </c>
      <c r="E985" s="29" t="s">
        <v>92</v>
      </c>
      <c r="F985" s="29" t="s">
        <v>344</v>
      </c>
      <c r="G985" s="29" t="s">
        <v>91</v>
      </c>
      <c r="H985" s="29" t="s">
        <v>179</v>
      </c>
      <c r="I985" s="29" t="s">
        <v>94</v>
      </c>
      <c r="J985" s="29" t="s">
        <v>340</v>
      </c>
      <c r="K985" s="29" t="str">
        <f>VLOOKUP(LEFT(H985, 7), 'קטלוג תרחישים'!$A:$L, 12, FALSE)</f>
        <v>א׳</v>
      </c>
      <c r="L985" s="29" t="str">
        <f>IF(J985="כן", K985, VLOOKUP(LEFT(H985, 7), 'קטלוג תרחישים'!$A:$M, 13, FALSE))</f>
        <v>א׳</v>
      </c>
    </row>
    <row r="986" spans="1:12">
      <c r="A986" s="29" t="s">
        <v>208</v>
      </c>
      <c r="B986" s="29">
        <v>28</v>
      </c>
      <c r="C986" s="29" t="s">
        <v>341</v>
      </c>
      <c r="D986" s="29">
        <v>2</v>
      </c>
      <c r="E986" s="29" t="s">
        <v>92</v>
      </c>
      <c r="F986" s="29" t="s">
        <v>344</v>
      </c>
      <c r="G986" s="29" t="s">
        <v>91</v>
      </c>
      <c r="H986" s="29" t="s">
        <v>178</v>
      </c>
      <c r="I986" s="29" t="s">
        <v>89</v>
      </c>
      <c r="J986" s="29" t="s">
        <v>340</v>
      </c>
      <c r="K986" s="29" t="str">
        <f>VLOOKUP(LEFT(H986, 7), 'קטלוג תרחישים'!$A:$L, 12, FALSE)</f>
        <v>א׳</v>
      </c>
      <c r="L986" s="29" t="str">
        <f>IF(J986="כן", K986, VLOOKUP(LEFT(H986, 7), 'קטלוג תרחישים'!$A:$M, 13, FALSE))</f>
        <v>א׳</v>
      </c>
    </row>
    <row r="987" spans="1:12">
      <c r="A987" s="29" t="s">
        <v>208</v>
      </c>
      <c r="B987" s="29">
        <v>29</v>
      </c>
      <c r="C987" s="29" t="s">
        <v>341</v>
      </c>
      <c r="D987" s="29">
        <v>3</v>
      </c>
      <c r="E987" s="29" t="s">
        <v>99</v>
      </c>
      <c r="F987" s="29" t="s">
        <v>344</v>
      </c>
      <c r="G987" s="29" t="s">
        <v>91</v>
      </c>
      <c r="H987" s="29" t="s">
        <v>187</v>
      </c>
      <c r="I987" s="29" t="s">
        <v>89</v>
      </c>
      <c r="J987" s="29" t="s">
        <v>340</v>
      </c>
      <c r="K987" s="29" t="str">
        <f>VLOOKUP(LEFT(H987, 7), 'קטלוג תרחישים'!$A:$L, 12, FALSE)</f>
        <v>א׳</v>
      </c>
      <c r="L987" s="29" t="str">
        <f>IF(J987="כן", K987, VLOOKUP(LEFT(H987, 7), 'קטלוג תרחישים'!$A:$M, 13, FALSE))</f>
        <v>א׳</v>
      </c>
    </row>
    <row r="988" spans="1:12">
      <c r="A988" s="29" t="s">
        <v>208</v>
      </c>
      <c r="B988" s="29">
        <v>30</v>
      </c>
      <c r="C988" s="29" t="s">
        <v>341</v>
      </c>
      <c r="D988" s="29">
        <v>3</v>
      </c>
      <c r="E988" s="29" t="s">
        <v>99</v>
      </c>
      <c r="F988" s="29" t="s">
        <v>344</v>
      </c>
      <c r="G988" s="29" t="s">
        <v>91</v>
      </c>
      <c r="H988" s="29" t="s">
        <v>186</v>
      </c>
      <c r="I988" s="29" t="s">
        <v>94</v>
      </c>
      <c r="J988" s="29" t="s">
        <v>340</v>
      </c>
      <c r="K988" s="29" t="str">
        <f>VLOOKUP(LEFT(H988, 7), 'קטלוג תרחישים'!$A:$L, 12, FALSE)</f>
        <v>ב׳</v>
      </c>
      <c r="L988" s="29" t="str">
        <f>IF(J988="כן", K988, VLOOKUP(LEFT(H988, 7), 'קטלוג תרחישים'!$A:$M, 13, FALSE))</f>
        <v>ב׳</v>
      </c>
    </row>
    <row r="989" spans="1:12">
      <c r="A989" s="29" t="s">
        <v>208</v>
      </c>
      <c r="B989" s="29">
        <v>31</v>
      </c>
      <c r="C989" s="29" t="s">
        <v>341</v>
      </c>
      <c r="D989" s="29">
        <v>3</v>
      </c>
      <c r="E989" s="29" t="s">
        <v>99</v>
      </c>
      <c r="F989" s="29" t="s">
        <v>344</v>
      </c>
      <c r="G989" s="29" t="s">
        <v>91</v>
      </c>
      <c r="H989" s="29" t="s">
        <v>183</v>
      </c>
      <c r="I989" s="29" t="s">
        <v>89</v>
      </c>
      <c r="J989" s="29" t="s">
        <v>343</v>
      </c>
      <c r="K989" s="29" t="str">
        <f>VLOOKUP(LEFT(H989, 7), 'קטלוג תרחישים'!$A:$L, 12, FALSE)</f>
        <v>ג׳</v>
      </c>
      <c r="L989" s="29" t="str">
        <f>IF(J989="כן", K989, VLOOKUP(LEFT(H989, 7), 'קטלוג תרחישים'!$A:$M, 13, FALSE))</f>
        <v>ב׳</v>
      </c>
    </row>
    <row r="990" spans="1:12">
      <c r="A990" s="29" t="s">
        <v>208</v>
      </c>
      <c r="B990" s="29">
        <v>32</v>
      </c>
      <c r="C990" s="29" t="s">
        <v>341</v>
      </c>
      <c r="D990" s="29">
        <v>3</v>
      </c>
      <c r="E990" s="29" t="s">
        <v>99</v>
      </c>
      <c r="F990" s="29" t="s">
        <v>344</v>
      </c>
      <c r="G990" s="29" t="s">
        <v>91</v>
      </c>
      <c r="H990" s="29" t="s">
        <v>184</v>
      </c>
      <c r="I990" s="29" t="s">
        <v>94</v>
      </c>
      <c r="J990" s="29" t="s">
        <v>340</v>
      </c>
      <c r="K990" s="29" t="str">
        <f>VLOOKUP(LEFT(H990, 7), 'קטלוג תרחישים'!$A:$L, 12, FALSE)</f>
        <v>ג׳</v>
      </c>
      <c r="L990" s="29" t="str">
        <f>IF(J990="כן", K990, VLOOKUP(LEFT(H990, 7), 'קטלוג תרחישים'!$A:$M, 13, FALSE))</f>
        <v>ג׳</v>
      </c>
    </row>
    <row r="991" spans="1:12">
      <c r="A991" s="29" t="s">
        <v>208</v>
      </c>
      <c r="B991" s="29">
        <v>33</v>
      </c>
      <c r="C991" s="29" t="s">
        <v>341</v>
      </c>
      <c r="D991" s="29">
        <v>3</v>
      </c>
      <c r="E991" s="29" t="s">
        <v>99</v>
      </c>
      <c r="F991" s="29" t="s">
        <v>344</v>
      </c>
      <c r="G991" s="29" t="s">
        <v>91</v>
      </c>
      <c r="H991" s="29" t="s">
        <v>185</v>
      </c>
      <c r="I991" s="29" t="s">
        <v>89</v>
      </c>
      <c r="J991" s="29" t="s">
        <v>340</v>
      </c>
      <c r="K991" s="29" t="str">
        <f>VLOOKUP(LEFT(H991, 7), 'קטלוג תרחישים'!$A:$L, 12, FALSE)</f>
        <v>א׳</v>
      </c>
      <c r="L991" s="29" t="str">
        <f>IF(J991="כן", K991, VLOOKUP(LEFT(H991, 7), 'קטלוג תרחישים'!$A:$M, 13, FALSE))</f>
        <v>א׳</v>
      </c>
    </row>
  </sheetData>
  <conditionalFormatting sqref="E2:E991">
    <cfRule type="containsText" dxfId="25" priority="1" operator="containsText" text="עמודות נערמות">
      <formula>NOT(ISERROR(SEARCH("עמודות נערמות",E2)))</formula>
    </cfRule>
    <cfRule type="containsText" dxfId="24" priority="7" operator="containsText" text="מפת חום">
      <formula>NOT(ISERROR(SEARCH("מפת חום",E2)))</formula>
    </cfRule>
    <cfRule type="containsText" dxfId="23" priority="8" operator="containsText" text="רדאר">
      <formula>NOT(ISERROR(SEARCH("רדאר",E2)))</formula>
    </cfRule>
    <cfRule type="containsText" dxfId="22" priority="9" operator="containsText" text="עמודות נערמות">
      <formula>NOT(ISERROR(SEARCH("עמודות נערמות",E2)))</formula>
    </cfRule>
  </conditionalFormatting>
  <conditionalFormatting sqref="G2:G991">
    <cfRule type="containsText" dxfId="21" priority="5" operator="containsText" text="OPT">
      <formula>NOT(ISERROR(SEARCH("OPT",G2)))</formula>
    </cfRule>
    <cfRule type="containsText" dxfId="20" priority="6" operator="containsText" text="SUB">
      <formula>NOT(ISERROR(SEARCH("SUB",G2)))</formula>
    </cfRule>
  </conditionalFormatting>
  <conditionalFormatting sqref="I2:I991">
    <cfRule type="containsText" dxfId="19" priority="3" operator="containsText" text="H">
      <formula>NOT(ISERROR(SEARCH("H",I2)))</formula>
    </cfRule>
    <cfRule type="containsText" dxfId="18" priority="4" operator="containsText" text="E">
      <formula>NOT(ISERROR(SEARCH("E",I2)))</formula>
    </cfRule>
  </conditionalFormatting>
  <conditionalFormatting sqref="J2:J991">
    <cfRule type="containsText" dxfId="17" priority="2" operator="containsText" text="לא">
      <formula>NOT(ISERROR(SEARCH("לא",J2)))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rightToLeft="1" workbookViewId="0">
      <selection sqref="A1:E1"/>
    </sheetView>
  </sheetViews>
  <sheetFormatPr defaultRowHeight="15"/>
  <cols>
    <col min="1" max="1" width="21" customWidth="1"/>
    <col min="2" max="2" width="12" customWidth="1"/>
    <col min="3" max="3" width="13" customWidth="1"/>
    <col min="4" max="4" width="12" customWidth="1"/>
    <col min="5" max="5" width="13" customWidth="1"/>
  </cols>
  <sheetData>
    <row r="1" spans="1:5" ht="18.75" customHeight="1">
      <c r="A1" s="46" t="s">
        <v>345</v>
      </c>
      <c r="B1" s="47"/>
      <c r="C1" s="47"/>
      <c r="D1" s="47"/>
      <c r="E1" s="47"/>
    </row>
    <row r="3" spans="1:5" ht="14.45" customHeight="1">
      <c r="A3" s="11" t="s">
        <v>331</v>
      </c>
      <c r="B3" s="11" t="s">
        <v>89</v>
      </c>
      <c r="C3" s="11" t="s">
        <v>94</v>
      </c>
      <c r="D3" s="11" t="s">
        <v>346</v>
      </c>
    </row>
    <row r="4" spans="1:5">
      <c r="A4" s="8" t="s">
        <v>105</v>
      </c>
      <c r="B4" s="3">
        <v>140</v>
      </c>
      <c r="C4" s="3">
        <v>130</v>
      </c>
      <c r="D4" s="3">
        <v>270</v>
      </c>
    </row>
    <row r="5" spans="1:5">
      <c r="A5" s="7" t="s">
        <v>99</v>
      </c>
      <c r="B5" s="3">
        <v>140</v>
      </c>
      <c r="C5" s="3">
        <v>130</v>
      </c>
      <c r="D5" s="3">
        <v>270</v>
      </c>
    </row>
    <row r="6" spans="1:5">
      <c r="A6" s="6" t="s">
        <v>323</v>
      </c>
      <c r="B6" s="3">
        <v>140</v>
      </c>
      <c r="C6" s="3">
        <v>130</v>
      </c>
      <c r="D6" s="3">
        <v>270</v>
      </c>
    </row>
    <row r="8" spans="1:5" ht="14.45" customHeight="1">
      <c r="A8" s="11" t="s">
        <v>331</v>
      </c>
      <c r="B8" s="11" t="s">
        <v>347</v>
      </c>
      <c r="C8" s="11" t="s">
        <v>348</v>
      </c>
      <c r="D8" s="11" t="s">
        <v>349</v>
      </c>
      <c r="E8" s="11" t="s">
        <v>350</v>
      </c>
    </row>
    <row r="9" spans="1:5">
      <c r="A9" s="8" t="s">
        <v>105</v>
      </c>
      <c r="B9" s="3">
        <v>150</v>
      </c>
      <c r="C9" s="3">
        <v>120</v>
      </c>
      <c r="D9" s="3">
        <v>120</v>
      </c>
      <c r="E9" s="3">
        <v>60</v>
      </c>
    </row>
    <row r="10" spans="1:5">
      <c r="A10" s="7" t="s">
        <v>99</v>
      </c>
      <c r="B10" s="3">
        <v>150</v>
      </c>
      <c r="C10" s="3">
        <v>120</v>
      </c>
      <c r="D10" s="3">
        <v>120</v>
      </c>
      <c r="E10" s="3">
        <v>60</v>
      </c>
    </row>
    <row r="11" spans="1:5">
      <c r="A11" s="6" t="s">
        <v>323</v>
      </c>
      <c r="B11" s="3">
        <v>150</v>
      </c>
      <c r="C11" s="3">
        <v>120</v>
      </c>
      <c r="D11" s="3">
        <v>120</v>
      </c>
      <c r="E11" s="3">
        <v>60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</cp:lastModifiedBy>
  <dcterms:created xsi:type="dcterms:W3CDTF">2026-01-26T14:17:12Z</dcterms:created>
  <dcterms:modified xsi:type="dcterms:W3CDTF">2026-02-23T21:47:08Z</dcterms:modified>
</cp:coreProperties>
</file>