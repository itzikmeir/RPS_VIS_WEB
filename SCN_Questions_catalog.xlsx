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hammad\Documents\Itzik\"/>
    </mc:Choice>
  </mc:AlternateContent>
  <xr:revisionPtr revIDLastSave="0" documentId="13_ncr:1_{FB5D0C30-9BFF-4E14-84AB-FA3232AB3090}" xr6:coauthVersionLast="36" xr6:coauthVersionMax="36" xr10:uidLastSave="{00000000-0000-0000-0000-000000000000}"/>
  <bookViews>
    <workbookView xWindow="0" yWindow="0" windowWidth="23040" windowHeight="7506" xr2:uid="{2A2CAAD3-6A6D-4670-AD2C-AE18DB333C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3" i="1" l="1"/>
  <c r="E31" i="1"/>
  <c r="D31" i="1"/>
  <c r="C31" i="1"/>
  <c r="E30" i="1"/>
  <c r="D30" i="1"/>
  <c r="C30" i="1"/>
  <c r="E29" i="1"/>
  <c r="D29" i="1"/>
  <c r="C29" i="1"/>
  <c r="E28" i="1"/>
  <c r="D28" i="1"/>
  <c r="C28" i="1"/>
  <c r="E27" i="1"/>
  <c r="D27" i="1"/>
  <c r="C27" i="1"/>
  <c r="E26" i="1"/>
  <c r="D26" i="1"/>
  <c r="C26" i="1"/>
  <c r="E25" i="1"/>
  <c r="D25" i="1"/>
  <c r="C25" i="1"/>
  <c r="E24" i="1"/>
  <c r="D24" i="1"/>
  <c r="C24" i="1"/>
  <c r="D23" i="1"/>
  <c r="C23" i="1"/>
  <c r="E22" i="1"/>
  <c r="D22" i="1"/>
  <c r="C22" i="1"/>
  <c r="E21" i="1"/>
  <c r="D21" i="1"/>
  <c r="C21" i="1"/>
  <c r="E20" i="1"/>
  <c r="D20" i="1"/>
  <c r="C20" i="1"/>
  <c r="E19" i="1"/>
  <c r="D19" i="1"/>
  <c r="C19" i="1"/>
  <c r="E18" i="1"/>
  <c r="D18" i="1"/>
  <c r="C18" i="1"/>
  <c r="E17" i="1"/>
  <c r="D17" i="1"/>
  <c r="C17" i="1"/>
  <c r="E16" i="1"/>
  <c r="D16" i="1"/>
  <c r="C16" i="1"/>
  <c r="E15" i="1"/>
  <c r="D15" i="1"/>
  <c r="C15" i="1"/>
  <c r="E14" i="1"/>
  <c r="D14" i="1"/>
  <c r="C14" i="1"/>
  <c r="E13" i="1"/>
  <c r="D13" i="1"/>
  <c r="C13" i="1"/>
  <c r="E12" i="1"/>
  <c r="D12" i="1"/>
  <c r="C12" i="1"/>
  <c r="E11" i="1"/>
  <c r="D11" i="1"/>
  <c r="C11" i="1"/>
  <c r="E10" i="1"/>
  <c r="D10" i="1"/>
  <c r="C10" i="1"/>
  <c r="E9" i="1"/>
  <c r="D9" i="1"/>
  <c r="C9" i="1"/>
  <c r="E8" i="1"/>
  <c r="D8" i="1"/>
  <c r="C8" i="1"/>
  <c r="E7" i="1"/>
  <c r="D7" i="1"/>
  <c r="C7" i="1"/>
  <c r="E6" i="1"/>
  <c r="D6" i="1"/>
  <c r="C6" i="1"/>
  <c r="E5" i="1"/>
  <c r="D5" i="1"/>
  <c r="C5" i="1"/>
  <c r="E4" i="1"/>
  <c r="D4" i="1"/>
  <c r="C4" i="1"/>
  <c r="E3" i="1"/>
  <c r="D3" i="1"/>
  <c r="C3" i="1"/>
  <c r="E2" i="1"/>
  <c r="D2" i="1"/>
  <c r="C2" i="1"/>
</calcChain>
</file>

<file path=xl/sharedStrings.xml><?xml version="1.0" encoding="utf-8"?>
<sst xmlns="http://schemas.openxmlformats.org/spreadsheetml/2006/main" count="456" uniqueCount="108">
  <si>
    <t>Scenario_ID</t>
  </si>
  <si>
    <t>יישוב</t>
  </si>
  <si>
    <t>Scenario_ID_H</t>
  </si>
  <si>
    <t>Scenario_ID_R</t>
  </si>
  <si>
    <t>Scenario_ID_S</t>
  </si>
  <si>
    <t>Route_Direction</t>
  </si>
  <si>
    <t>Practice</t>
  </si>
  <si>
    <t>Base_Difficulty</t>
  </si>
  <si>
    <t>CORRECT_ROUTE</t>
  </si>
  <si>
    <t>REC_INACCURATE</t>
  </si>
  <si>
    <t>Q1</t>
  </si>
  <si>
    <t>O1</t>
  </si>
  <si>
    <t>A1</t>
  </si>
  <si>
    <t>Q2</t>
  </si>
  <si>
    <t>O2</t>
  </si>
  <si>
    <t>A2</t>
  </si>
  <si>
    <t>Q3</t>
  </si>
  <si>
    <t>O3</t>
  </si>
  <si>
    <t>A3</t>
  </si>
  <si>
    <t>Priority_Task2</t>
  </si>
  <si>
    <t>Participant_Task</t>
  </si>
  <si>
    <t>SCN_001</t>
  </si>
  <si>
    <t>Y</t>
  </si>
  <si>
    <t>E</t>
  </si>
  <si>
    <t>א׳</t>
  </si>
  <si>
    <t>ג׳</t>
  </si>
  <si>
    <t>מה היה המסלול בעל זמן הנסיעה הכולל הקצר ביותר בתרחיש?</t>
  </si>
  <si>
    <t>א
ב
ג
לא יודע/ת</t>
  </si>
  <si>
    <t>א</t>
  </si>
  <si>
    <t>מה היה המסלול בעל המרחק הכולל הקצר ביותר בתרחיש?</t>
  </si>
  <si>
    <t>ב</t>
  </si>
  <si>
    <t>כמה אזורי תקשורת (עיגולים סגולים) הוצגו על המפה בתרחיש?</t>
  </si>
  <si>
    <t>0
1
2
3
לא יודע/ת</t>
  </si>
  <si>
    <t>חיסכון + נוף</t>
  </si>
  <si>
    <t>חיסכון ונוף לאורך כל המקטעים, תוך העדפה לזמן הנסיעה הקצר ביותר</t>
  </si>
  <si>
    <t>SCN_002</t>
  </si>
  <si>
    <t>ב׳</t>
  </si>
  <si>
    <t>כמה קטעי כביש אגרה הופיעו בכל אחד משלושת המסלולים? (קטע = רצף צהוב רציף)</t>
  </si>
  <si>
    <t>קליטה + נוף</t>
  </si>
  <si>
    <t>קליטה ונוף לאורך כל המקטעים, תוך העדפה לזמן הנסיעה הקצר ביותר</t>
  </si>
  <si>
    <t>SCN_003</t>
  </si>
  <si>
    <t>ג</t>
  </si>
  <si>
    <t>כמה קטעי עומס הופיעו בכל אחד משלושת המסלולים? (קטע = רצף אדום רציף)</t>
  </si>
  <si>
    <t>מהירות + נוף</t>
  </si>
  <si>
    <t>מהירות (המנעות מעומסים) ונוף לאורך כל המקטעים, תוך העדפה לזמן הנסיעה הקצר ביותר</t>
  </si>
  <si>
    <t>SCN_004</t>
  </si>
  <si>
    <t>N</t>
  </si>
  <si>
    <t>קליטה + חיסכון</t>
  </si>
  <si>
    <t>קליטה וחיסכון לאורך כל המקטעים, תוך העדפה לזמן הנסיעה הקצר ביותר</t>
  </si>
  <si>
    <t>SCN_005</t>
  </si>
  <si>
    <t>קליטה + מהירות</t>
  </si>
  <si>
    <t>קליטה ומהירות (המנעות מעומסים) לאורך כל המקטעים, תוך העדפה לזמן הנסיעה הקצר ביותר</t>
  </si>
  <si>
    <t>SCN_006</t>
  </si>
  <si>
    <t>H</t>
  </si>
  <si>
    <t>חיסכון (לוקאלי-מקטע 1) + נוף (גלובלי)</t>
  </si>
  <si>
    <t>חיסכון במקטע 1 של המסלול, ונוף לאורך כל המקטעים, תוך העדפה לזמן הנסיעה הקצר ביותר</t>
  </si>
  <si>
    <t>SCN_007</t>
  </si>
  <si>
    <t>חיסכון + מהירות</t>
  </si>
  <si>
    <t>חיסכון והמנעות מעומסים (מהירות (המנעות מעומסים)) לאורך כל המקטעים, תוך העדפה לזמן הנסיעה הקצר ביותר</t>
  </si>
  <si>
    <t>SCN_008</t>
  </si>
  <si>
    <t>נוף (לוקאלי-מקטע 2) + קליטה (גלובלי)</t>
  </si>
  <si>
    <t>נוף במקטע 2 של המסלול, וקליטה לאורך כל המקטעים, תוך העדפה לזמן הנסיעה הקצר ביותר</t>
  </si>
  <si>
    <t>SCN_009</t>
  </si>
  <si>
    <t>SCN_010</t>
  </si>
  <si>
    <t>מהירות (לוקאלי-מקטע 3) + חיסכון (גלובלי)</t>
  </si>
  <si>
    <t>מהירות במקטע 3 של המסלול, וחיסכון לאורך כל המקטעים, תוך העדפה לזמן הנסיעה הקצר ביותר</t>
  </si>
  <si>
    <t>SCN_011</t>
  </si>
  <si>
    <t>SCN_012</t>
  </si>
  <si>
    <t>חיסכון (לוקאלי-מקטע 1) + מהירות (גלובלי)</t>
  </si>
  <si>
    <t>חיסכון במקטע 1 של המסלול, ומהירות לאורך כל המקטעים, תוך העדפה לזמן הנסיעה הקצר ביותר</t>
  </si>
  <si>
    <t>SCN_013</t>
  </si>
  <si>
    <t>קליטה (לוקאלי-מקטע 2) + נוף (גלובלי)</t>
  </si>
  <si>
    <t>קליטה במקטע 2 של המסלול, ונוף לאורך כל המקטעים, תוך העדפה לזמן הנסיעה הקצר ביותר</t>
  </si>
  <si>
    <t>SCN_014</t>
  </si>
  <si>
    <t>המנעות מעומסים (מהירות (המנעות מעומסים)) ונוף לאורך כל המקטעים, תוך העדפה לזמן הנסיעה הקצר ביותר</t>
  </si>
  <si>
    <t>SCN_015</t>
  </si>
  <si>
    <t>SCN_016</t>
  </si>
  <si>
    <t>נוף (לוקאלי-מקטע 3) + קליטה (גלובלי)</t>
  </si>
  <si>
    <t>נוף במקטע 3 של המסלול, וקליטה לאורך כל המקטעים, תוך העדפה לזמן הנסיעה הקצר ביותר</t>
  </si>
  <si>
    <t>SCN_017</t>
  </si>
  <si>
    <t>קליטה והמנעות מעומסים (מהירות (המנעות מעומסים)) לאורך כל המקטעים, תוך העדפה לזמן הנסיעה הקצר ביותר</t>
  </si>
  <si>
    <t>SCN_018</t>
  </si>
  <si>
    <t>מהירות (לוקאלי-מקטע 1) + חיסכון (גלובלי)</t>
  </si>
  <si>
    <t>מהירות במקטע 1 של המסלול, וחיסכון לאורך כל המקטעים, תוך העדפה לזמן הנסיעה הקצר ביותר</t>
  </si>
  <si>
    <t>SCN_019</t>
  </si>
  <si>
    <t>SCN_020</t>
  </si>
  <si>
    <t>חיסכון (לוקאלי-מקטע 2) + מהירות (גלובלי)</t>
  </si>
  <si>
    <t>חיסכון במקטע 2 של המסלול, ומהירות לאורך כל המקטעים, תוך העדפה לזמן הנסיעה הקצר ביותר</t>
  </si>
  <si>
    <t>SCN_021</t>
  </si>
  <si>
    <t>SCN_022</t>
  </si>
  <si>
    <t>קליטה (לוקאלי-מקטע 3) + נוף (גלובלי)</t>
  </si>
  <si>
    <t>קליטה במקטע 3 של המסלול, ונוף לאורך כל המקטעים, תוך העדפה לזמן הנסיעה הקצר ביותר</t>
  </si>
  <si>
    <t>SCN_023</t>
  </si>
  <si>
    <t>SCN_024</t>
  </si>
  <si>
    <t>נוף (לוקאלי-מקטע 1) + קליטה (גלובלי)</t>
  </si>
  <si>
    <t>נוף במקטע 1 של המסלול, וקליטה לאורך כל המקטעים, תוך העדפה לזמן הנסיעה הקצר ביותר</t>
  </si>
  <si>
    <t>SCN_025</t>
  </si>
  <si>
    <t>SCN_026</t>
  </si>
  <si>
    <t>מהירות (לוקאלי-מקטע 2) + חיסכון (גלובלי)</t>
  </si>
  <si>
    <t>מהירות במקטע 2 של המסלול, וחיסכון לאורך כל המקטעים, תוך העדפה לזמן הנסיעה הקצר ביותר</t>
  </si>
  <si>
    <t>SCN_027</t>
  </si>
  <si>
    <t>SCN_028</t>
  </si>
  <si>
    <t>חיסכון (לוקאלי-מקטע 3) + מהירות (גלובלי)</t>
  </si>
  <si>
    <t>חיסכון במקטע 3 של המסלול, ומהירות לאורך כל המקטעים, תוך העדפה לזמן הנסיעה הקצר ביותר</t>
  </si>
  <si>
    <t>SCN_029</t>
  </si>
  <si>
    <t>קליטה (לוקאלי-מקטע 1) + נוף (גלובלי)</t>
  </si>
  <si>
    <t>קליטה במקטע 1 של המסלול, ונוף לאורך כל המקטעים, תוך העדפה לזמן הנסיעה הקצר ביותר</t>
  </si>
  <si>
    <t>SCN_030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</si>
</sst>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1" fillId="2" borderId="0" xfId="0" applyFont="1" applyFill="1" applyAlignment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 applyAlignment="1"/>
    <xf numFmtId="0" fontId="0" fillId="0" borderId="0" xfId="0" applyAlignment="1"/>
  </cellXfs>
  <cellStyles count="1">
    <cellStyle name="Normal" xfId="0" builtinId="0"/>
  </cellStyles>
  <dxfs count="24"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3F0487-BE60-4965-A58D-1FEBB874B57D}" name="Table2" displayName="Table2" ref="A1:U31" headerRowDxfId="23" dataDxfId="22" totalsRowDxfId="21">
  <autoFilter ref="A1:U31" xr:uid="{B2E8CF05-B414-44E7-8343-AE0ECDEED35A}"/>
  <tableColumns count="21">
    <tableColumn id="1" xr3:uid="{34070985-634E-483C-A72E-8DE88AD015AF}" name="Scenario_ID" dataDxfId="20"/>
    <tableColumn id="2" xr3:uid="{0D2E0B63-0B63-4109-B0DE-8D602060E882}" name="Town" dataDxfId="19"/>
    <tableColumn id="3" xr3:uid="{A2E6E29C-87EB-48B6-BD8A-62931CDDD145}" name="Scenario_ID_H" dataDxfId="18">
      <calculatedColumnFormula>A2&amp;"_H"</calculatedColumnFormula>
    </tableColumn>
    <tableColumn id="4" xr3:uid="{89152D1F-D0D3-42CA-818B-E1BF2E3C1D0D}" name="Scenario_ID_R" dataDxfId="17">
      <calculatedColumnFormula>A2&amp;"_R"</calculatedColumnFormula>
    </tableColumn>
    <tableColumn id="5" xr3:uid="{56270646-4171-4C1C-B4DA-F7368974C9B6}" name="Scenario_ID_S" dataDxfId="16">
      <calculatedColumnFormula>A2&amp;"_S"</calculatedColumnFormula>
    </tableColumn>
    <tableColumn id="6" xr3:uid="{EC4EB4FC-9849-43BF-AA3C-6A305C3C4B40}" name="Route_Direction" dataDxfId="15"/>
    <tableColumn id="7" xr3:uid="{E4316DCC-7F3C-4689-84E1-481005F3C3B3}" name="Practice" dataDxfId="14"/>
    <tableColumn id="8" xr3:uid="{4BF94B2A-FA96-48A1-B14E-9014836C9008}" name="Base_Difficulty" dataDxfId="13"/>
    <tableColumn id="9" xr3:uid="{AB3B94A3-82D1-49AA-80D2-C75C7FC9781C}" name="Correct_Route" dataDxfId="12"/>
    <tableColumn id="16" xr3:uid="{B0F1981D-61B0-4F47-8C2A-0BE71D95DAFB}" name="Q1" dataDxfId="11"/>
    <tableColumn id="11" xr3:uid="{643C3226-13B4-4A73-8332-9A4655008A47}" name="O1" dataDxfId="10"/>
    <tableColumn id="12" xr3:uid="{257D30F3-A521-4A42-B5E8-58F9B85C7CFF}" name="A1" dataDxfId="9"/>
    <tableColumn id="18" xr3:uid="{4BE08019-49EB-40C8-8DDF-F4E934A50AD8}" name="Q2" dataDxfId="8"/>
    <tableColumn id="17" xr3:uid="{45A9EC68-CE61-469F-8222-1702319507AE}" name="O2" dataDxfId="7"/>
    <tableColumn id="20" xr3:uid="{E701B123-348E-4DEE-97A7-E9E86C1AB0DB}" name="A2" dataDxfId="6"/>
    <tableColumn id="22" xr3:uid="{2DC9AE3E-1F9E-476E-B5F6-E6335325EFF5}" name="Q3" dataDxfId="5"/>
    <tableColumn id="21" xr3:uid="{32F2EA8C-1B95-4B67-A2F3-9D51AB8D6E45}" name="O3" dataDxfId="4"/>
    <tableColumn id="13" xr3:uid="{7C2547D4-A737-4BFA-99D5-F452D34C8A8C}" name="A3" dataDxfId="3"/>
    <tableColumn id="19" xr3:uid="{13A2EA55-7B82-4ECA-8055-EF618317CD29}" name="Priority_Task2" dataDxfId="2"/>
    <tableColumn id="14" xr3:uid="{56E9B5DC-9517-4848-A93A-E41F905E5072}" name="Participant_Task" dataDxfId="1"/>
    <tableColumn id="15" xr3:uid="{16DC046B-4E51-4DE4-9003-F3BF3254A59A}" name="Status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CBBAD-BA0B-427E-B10E-258E4B7E7DB9}">
  <dimension ref="A1:U31"/>
  <sheetViews>
    <sheetView tabSelected="1" workbookViewId="0">
      <selection activeCellId="1" sqref="A2:XFD2 A1:XFD1"/>
    </sheetView>
  </sheetViews>
  <sheetFormatPr defaultRowHeight="14.4" x14ac:dyDescent="0.55000000000000004"/>
  <cols>
    <col min="3" max="3" width="13.15625" customWidth="1"/>
    <col min="4" max="4" width="22.41796875" customWidth="1"/>
    <col min="5" max="5" width="16" customWidth="1"/>
    <col min="6" max="6" width="16.47265625" customWidth="1"/>
    <col min="20" max="20" width="25.05078125" customWidth="1"/>
    <col min="21" max="21" width="14.05078125" customWidth="1"/>
  </cols>
  <sheetData>
    <row r="1" spans="1:21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55000000000000004">
      <c r="A2" s="4" t="s">
        <v>21</v>
      </c>
      <c r="B2" s="4"/>
      <c r="C2" s="4" t="str">
        <f t="shared" ref="C2:C31" si="0">A2&amp;"_H"</f>
        <v>SCN_001_H</v>
      </c>
      <c r="D2" s="4" t="str">
        <f t="shared" ref="D2:D31" si="1">A2&amp;"_R"</f>
        <v>SCN_001_R</v>
      </c>
      <c r="E2" s="4" t="str">
        <f t="shared" ref="E2:E31" si="2">A2&amp;"_S"</f>
        <v>SCN_001_S</v>
      </c>
      <c r="F2" s="4"/>
      <c r="G2" s="4" t="s">
        <v>22</v>
      </c>
      <c r="H2" s="4" t="s">
        <v>23</v>
      </c>
      <c r="I2" s="5" t="s">
        <v>24</v>
      </c>
      <c r="J2" s="6" t="s">
        <v>25</v>
      </c>
      <c r="K2" s="4" t="s">
        <v>26</v>
      </c>
      <c r="L2" s="7" t="s">
        <v>27</v>
      </c>
      <c r="M2" s="6" t="s">
        <v>28</v>
      </c>
      <c r="N2" s="7" t="s">
        <v>29</v>
      </c>
      <c r="O2" s="7" t="s">
        <v>27</v>
      </c>
      <c r="P2" s="6" t="s">
        <v>30</v>
      </c>
      <c r="Q2" s="7" t="s">
        <v>31</v>
      </c>
      <c r="R2" s="7" t="s">
        <v>32</v>
      </c>
      <c r="S2" s="6">
        <v>2</v>
      </c>
      <c r="T2" s="4" t="s">
        <v>33</v>
      </c>
      <c r="U2" s="7" t="s">
        <v>34</v>
      </c>
    </row>
    <row r="3" spans="1:21" x14ac:dyDescent="0.55000000000000004">
      <c r="A3" s="4" t="s">
        <v>35</v>
      </c>
      <c r="B3" s="4"/>
      <c r="C3" s="4" t="str">
        <f t="shared" si="0"/>
        <v>SCN_002_H</v>
      </c>
      <c r="D3" s="4" t="str">
        <f t="shared" si="1"/>
        <v>SCN_002_R</v>
      </c>
      <c r="E3" s="4" t="str">
        <f t="shared" si="2"/>
        <v>SCN_002_S</v>
      </c>
      <c r="F3" s="4"/>
      <c r="G3" s="4" t="s">
        <v>22</v>
      </c>
      <c r="H3" s="4" t="s">
        <v>23</v>
      </c>
      <c r="I3" s="5" t="s">
        <v>36</v>
      </c>
      <c r="J3" s="6" t="s">
        <v>25</v>
      </c>
      <c r="K3" s="4" t="s">
        <v>26</v>
      </c>
      <c r="L3" s="7" t="s">
        <v>27</v>
      </c>
      <c r="M3" s="6" t="s">
        <v>30</v>
      </c>
      <c r="N3" s="7" t="s">
        <v>37</v>
      </c>
      <c r="O3" s="7" t="s">
        <v>32</v>
      </c>
      <c r="P3" s="6">
        <v>2</v>
      </c>
      <c r="Q3" s="7" t="s">
        <v>29</v>
      </c>
      <c r="R3" s="7" t="s">
        <v>27</v>
      </c>
      <c r="S3" s="6" t="s">
        <v>28</v>
      </c>
      <c r="T3" s="4" t="s">
        <v>38</v>
      </c>
      <c r="U3" s="7" t="s">
        <v>39</v>
      </c>
    </row>
    <row r="4" spans="1:21" x14ac:dyDescent="0.55000000000000004">
      <c r="A4" s="4" t="s">
        <v>40</v>
      </c>
      <c r="B4" s="4"/>
      <c r="C4" s="4" t="str">
        <f t="shared" si="0"/>
        <v>SCN_003_H</v>
      </c>
      <c r="D4" s="4" t="str">
        <f t="shared" si="1"/>
        <v>SCN_003_R</v>
      </c>
      <c r="E4" s="4" t="str">
        <f t="shared" si="2"/>
        <v>SCN_003_S</v>
      </c>
      <c r="F4" s="4"/>
      <c r="G4" s="4" t="s">
        <v>22</v>
      </c>
      <c r="H4" s="4" t="s">
        <v>23</v>
      </c>
      <c r="I4" s="5" t="s">
        <v>25</v>
      </c>
      <c r="J4" s="6" t="s">
        <v>36</v>
      </c>
      <c r="K4" s="4" t="s">
        <v>26</v>
      </c>
      <c r="L4" s="7" t="s">
        <v>27</v>
      </c>
      <c r="M4" s="6" t="s">
        <v>41</v>
      </c>
      <c r="N4" s="7" t="s">
        <v>29</v>
      </c>
      <c r="O4" s="7" t="s">
        <v>27</v>
      </c>
      <c r="P4" s="6" t="s">
        <v>28</v>
      </c>
      <c r="Q4" s="7" t="s">
        <v>42</v>
      </c>
      <c r="R4" s="7" t="s">
        <v>32</v>
      </c>
      <c r="S4" s="6">
        <v>0</v>
      </c>
      <c r="T4" s="4" t="s">
        <v>43</v>
      </c>
      <c r="U4" s="7" t="s">
        <v>44</v>
      </c>
    </row>
    <row r="5" spans="1:21" x14ac:dyDescent="0.55000000000000004">
      <c r="A5" s="4" t="s">
        <v>45</v>
      </c>
      <c r="B5" s="4"/>
      <c r="C5" s="4" t="str">
        <f t="shared" si="0"/>
        <v>SCN_004_H</v>
      </c>
      <c r="D5" s="4" t="str">
        <f t="shared" si="1"/>
        <v>SCN_004_R</v>
      </c>
      <c r="E5" s="4" t="str">
        <f t="shared" si="2"/>
        <v>SCN_004_S</v>
      </c>
      <c r="F5" s="4"/>
      <c r="G5" s="4" t="s">
        <v>46</v>
      </c>
      <c r="H5" s="4" t="s">
        <v>23</v>
      </c>
      <c r="I5" s="5" t="s">
        <v>24</v>
      </c>
      <c r="J5" s="6" t="s">
        <v>36</v>
      </c>
      <c r="K5" s="4" t="s">
        <v>26</v>
      </c>
      <c r="L5" s="7" t="s">
        <v>27</v>
      </c>
      <c r="M5" s="6" t="s">
        <v>28</v>
      </c>
      <c r="N5" s="7" t="s">
        <v>37</v>
      </c>
      <c r="O5" s="7" t="s">
        <v>32</v>
      </c>
      <c r="P5" s="6">
        <v>0</v>
      </c>
      <c r="Q5" s="7" t="s">
        <v>31</v>
      </c>
      <c r="R5" s="7" t="s">
        <v>32</v>
      </c>
      <c r="S5" s="6">
        <v>1</v>
      </c>
      <c r="T5" s="4" t="s">
        <v>47</v>
      </c>
      <c r="U5" s="7" t="s">
        <v>48</v>
      </c>
    </row>
    <row r="6" spans="1:21" x14ac:dyDescent="0.55000000000000004">
      <c r="A6" s="4" t="s">
        <v>49</v>
      </c>
      <c r="B6" s="4"/>
      <c r="C6" s="4" t="str">
        <f t="shared" si="0"/>
        <v>SCN_005_H</v>
      </c>
      <c r="D6" s="4" t="str">
        <f t="shared" si="1"/>
        <v>SCN_005_R</v>
      </c>
      <c r="E6" s="4" t="str">
        <f t="shared" si="2"/>
        <v>SCN_005_S</v>
      </c>
      <c r="F6" s="4"/>
      <c r="G6" s="4" t="s">
        <v>46</v>
      </c>
      <c r="H6" s="4" t="s">
        <v>23</v>
      </c>
      <c r="I6" s="5" t="s">
        <v>36</v>
      </c>
      <c r="J6" s="6" t="s">
        <v>24</v>
      </c>
      <c r="K6" s="4" t="s">
        <v>26</v>
      </c>
      <c r="L6" s="7" t="s">
        <v>27</v>
      </c>
      <c r="M6" s="6" t="s">
        <v>30</v>
      </c>
      <c r="N6" s="7" t="s">
        <v>31</v>
      </c>
      <c r="O6" s="7" t="s">
        <v>32</v>
      </c>
      <c r="P6" s="6">
        <v>1</v>
      </c>
      <c r="Q6" s="7" t="s">
        <v>42</v>
      </c>
      <c r="R6" s="7" t="s">
        <v>32</v>
      </c>
      <c r="S6" s="6">
        <v>2</v>
      </c>
      <c r="T6" s="4" t="s">
        <v>50</v>
      </c>
      <c r="U6" s="7" t="s">
        <v>51</v>
      </c>
    </row>
    <row r="7" spans="1:21" x14ac:dyDescent="0.55000000000000004">
      <c r="A7" s="4" t="s">
        <v>52</v>
      </c>
      <c r="B7" s="4"/>
      <c r="C7" s="4" t="str">
        <f t="shared" si="0"/>
        <v>SCN_006_H</v>
      </c>
      <c r="D7" s="4" t="str">
        <f t="shared" si="1"/>
        <v>SCN_006_R</v>
      </c>
      <c r="E7" s="4" t="str">
        <f t="shared" si="2"/>
        <v>SCN_006_S</v>
      </c>
      <c r="F7" s="4"/>
      <c r="G7" s="4" t="s">
        <v>46</v>
      </c>
      <c r="H7" s="4" t="s">
        <v>53</v>
      </c>
      <c r="I7" s="5" t="s">
        <v>25</v>
      </c>
      <c r="J7" s="6" t="s">
        <v>24</v>
      </c>
      <c r="K7" s="4" t="s">
        <v>26</v>
      </c>
      <c r="L7" s="7" t="s">
        <v>27</v>
      </c>
      <c r="M7" s="6" t="s">
        <v>41</v>
      </c>
      <c r="N7" s="7" t="s">
        <v>42</v>
      </c>
      <c r="O7" s="7" t="s">
        <v>32</v>
      </c>
      <c r="P7" s="6">
        <v>2</v>
      </c>
      <c r="Q7" s="7" t="s">
        <v>37</v>
      </c>
      <c r="R7" s="7" t="s">
        <v>32</v>
      </c>
      <c r="S7" s="6">
        <v>3</v>
      </c>
      <c r="T7" s="4" t="s">
        <v>54</v>
      </c>
      <c r="U7" s="7" t="s">
        <v>55</v>
      </c>
    </row>
    <row r="8" spans="1:21" x14ac:dyDescent="0.55000000000000004">
      <c r="A8" s="4" t="s">
        <v>56</v>
      </c>
      <c r="B8" s="4"/>
      <c r="C8" s="4" t="str">
        <f t="shared" si="0"/>
        <v>SCN_007_H</v>
      </c>
      <c r="D8" s="4" t="str">
        <f t="shared" si="1"/>
        <v>SCN_007_R</v>
      </c>
      <c r="E8" s="4" t="str">
        <f t="shared" si="2"/>
        <v>SCN_007_S</v>
      </c>
      <c r="F8" s="4"/>
      <c r="G8" s="4" t="s">
        <v>46</v>
      </c>
      <c r="H8" s="4" t="s">
        <v>23</v>
      </c>
      <c r="I8" s="5" t="s">
        <v>24</v>
      </c>
      <c r="J8" s="6" t="s">
        <v>25</v>
      </c>
      <c r="K8" s="4" t="s">
        <v>26</v>
      </c>
      <c r="L8" s="7" t="s">
        <v>27</v>
      </c>
      <c r="M8" s="6" t="s">
        <v>28</v>
      </c>
      <c r="N8" s="7" t="s">
        <v>29</v>
      </c>
      <c r="O8" s="7" t="s">
        <v>27</v>
      </c>
      <c r="P8" s="6" t="s">
        <v>30</v>
      </c>
      <c r="Q8" s="7" t="s">
        <v>31</v>
      </c>
      <c r="R8" s="7" t="s">
        <v>32</v>
      </c>
      <c r="S8" s="6">
        <v>0</v>
      </c>
      <c r="T8" s="4" t="s">
        <v>57</v>
      </c>
      <c r="U8" s="7" t="s">
        <v>58</v>
      </c>
    </row>
    <row r="9" spans="1:21" x14ac:dyDescent="0.55000000000000004">
      <c r="A9" s="4" t="s">
        <v>59</v>
      </c>
      <c r="B9" s="4"/>
      <c r="C9" s="4" t="str">
        <f t="shared" si="0"/>
        <v>SCN_008_H</v>
      </c>
      <c r="D9" s="4" t="str">
        <f t="shared" si="1"/>
        <v>SCN_008_R</v>
      </c>
      <c r="E9" s="4" t="str">
        <f t="shared" si="2"/>
        <v>SCN_008_S</v>
      </c>
      <c r="F9" s="4"/>
      <c r="G9" s="4" t="s">
        <v>46</v>
      </c>
      <c r="H9" s="4" t="s">
        <v>53</v>
      </c>
      <c r="I9" s="5" t="s">
        <v>36</v>
      </c>
      <c r="J9" s="6" t="s">
        <v>25</v>
      </c>
      <c r="K9" s="4" t="s">
        <v>26</v>
      </c>
      <c r="L9" s="7" t="s">
        <v>27</v>
      </c>
      <c r="M9" s="6" t="s">
        <v>30</v>
      </c>
      <c r="N9" s="7" t="s">
        <v>37</v>
      </c>
      <c r="O9" s="7" t="s">
        <v>32</v>
      </c>
      <c r="P9" s="6">
        <v>0</v>
      </c>
      <c r="Q9" s="7" t="s">
        <v>29</v>
      </c>
      <c r="R9" s="7" t="s">
        <v>27</v>
      </c>
      <c r="S9" s="6" t="s">
        <v>28</v>
      </c>
      <c r="T9" s="4" t="s">
        <v>60</v>
      </c>
      <c r="U9" s="7" t="s">
        <v>61</v>
      </c>
    </row>
    <row r="10" spans="1:21" x14ac:dyDescent="0.55000000000000004">
      <c r="A10" s="4" t="s">
        <v>62</v>
      </c>
      <c r="B10" s="4"/>
      <c r="C10" s="4" t="str">
        <f t="shared" si="0"/>
        <v>SCN_009_H</v>
      </c>
      <c r="D10" s="4" t="str">
        <f t="shared" si="1"/>
        <v>SCN_009_R</v>
      </c>
      <c r="E10" s="4" t="str">
        <f t="shared" si="2"/>
        <v>SCN_009_S</v>
      </c>
      <c r="F10" s="4"/>
      <c r="G10" s="4" t="s">
        <v>46</v>
      </c>
      <c r="H10" s="4" t="s">
        <v>23</v>
      </c>
      <c r="I10" s="5" t="s">
        <v>25</v>
      </c>
      <c r="J10" s="6" t="s">
        <v>36</v>
      </c>
      <c r="K10" s="4" t="s">
        <v>26</v>
      </c>
      <c r="L10" s="7" t="s">
        <v>27</v>
      </c>
      <c r="M10" s="6" t="s">
        <v>41</v>
      </c>
      <c r="N10" s="7" t="s">
        <v>29</v>
      </c>
      <c r="O10" s="7" t="s">
        <v>27</v>
      </c>
      <c r="P10" s="6" t="s">
        <v>28</v>
      </c>
      <c r="Q10" s="7" t="s">
        <v>42</v>
      </c>
      <c r="R10" s="7" t="s">
        <v>32</v>
      </c>
      <c r="S10" s="6">
        <v>2</v>
      </c>
      <c r="T10" s="4" t="s">
        <v>33</v>
      </c>
      <c r="U10" s="7" t="s">
        <v>34</v>
      </c>
    </row>
    <row r="11" spans="1:21" x14ac:dyDescent="0.55000000000000004">
      <c r="A11" s="4" t="s">
        <v>63</v>
      </c>
      <c r="B11" s="4"/>
      <c r="C11" s="4" t="str">
        <f t="shared" si="0"/>
        <v>SCN_010_H</v>
      </c>
      <c r="D11" s="4" t="str">
        <f t="shared" si="1"/>
        <v>SCN_010_R</v>
      </c>
      <c r="E11" s="4" t="str">
        <f t="shared" si="2"/>
        <v>SCN_010_S</v>
      </c>
      <c r="F11" s="4"/>
      <c r="G11" s="4" t="s">
        <v>46</v>
      </c>
      <c r="H11" s="4" t="s">
        <v>53</v>
      </c>
      <c r="I11" s="5" t="s">
        <v>24</v>
      </c>
      <c r="J11" s="6" t="s">
        <v>36</v>
      </c>
      <c r="K11" s="4" t="s">
        <v>26</v>
      </c>
      <c r="L11" s="7" t="s">
        <v>27</v>
      </c>
      <c r="M11" s="6" t="s">
        <v>28</v>
      </c>
      <c r="N11" s="7" t="s">
        <v>37</v>
      </c>
      <c r="O11" s="7" t="s">
        <v>32</v>
      </c>
      <c r="P11" s="6">
        <v>2</v>
      </c>
      <c r="Q11" s="7" t="s">
        <v>31</v>
      </c>
      <c r="R11" s="7" t="s">
        <v>32</v>
      </c>
      <c r="S11" s="6">
        <v>3</v>
      </c>
      <c r="T11" s="4" t="s">
        <v>64</v>
      </c>
      <c r="U11" s="7" t="s">
        <v>65</v>
      </c>
    </row>
    <row r="12" spans="1:21" x14ac:dyDescent="0.55000000000000004">
      <c r="A12" s="4" t="s">
        <v>66</v>
      </c>
      <c r="B12" s="4"/>
      <c r="C12" s="4" t="str">
        <f t="shared" si="0"/>
        <v>SCN_011_H</v>
      </c>
      <c r="D12" s="4" t="str">
        <f t="shared" si="1"/>
        <v>SCN_011_R</v>
      </c>
      <c r="E12" s="4" t="str">
        <f t="shared" si="2"/>
        <v>SCN_011_S</v>
      </c>
      <c r="F12" s="4"/>
      <c r="G12" s="4" t="s">
        <v>46</v>
      </c>
      <c r="H12" s="4" t="s">
        <v>23</v>
      </c>
      <c r="I12" s="5" t="s">
        <v>36</v>
      </c>
      <c r="J12" s="6" t="s">
        <v>24</v>
      </c>
      <c r="K12" s="4" t="s">
        <v>26</v>
      </c>
      <c r="L12" s="7" t="s">
        <v>27</v>
      </c>
      <c r="M12" s="6" t="s">
        <v>30</v>
      </c>
      <c r="N12" s="7" t="s">
        <v>31</v>
      </c>
      <c r="O12" s="7" t="s">
        <v>32</v>
      </c>
      <c r="P12" s="6">
        <v>3</v>
      </c>
      <c r="Q12" s="7" t="s">
        <v>42</v>
      </c>
      <c r="R12" s="7" t="s">
        <v>32</v>
      </c>
      <c r="S12" s="6">
        <v>0</v>
      </c>
      <c r="T12" s="4" t="s">
        <v>38</v>
      </c>
      <c r="U12" s="7" t="s">
        <v>39</v>
      </c>
    </row>
    <row r="13" spans="1:21" x14ac:dyDescent="0.55000000000000004">
      <c r="A13" s="4" t="s">
        <v>67</v>
      </c>
      <c r="B13" s="4"/>
      <c r="C13" s="4" t="str">
        <f t="shared" si="0"/>
        <v>SCN_012_H</v>
      </c>
      <c r="D13" s="4" t="str">
        <f t="shared" si="1"/>
        <v>SCN_012_R</v>
      </c>
      <c r="E13" s="4" t="str">
        <f t="shared" si="2"/>
        <v>SCN_012_S</v>
      </c>
      <c r="F13" s="4"/>
      <c r="G13" s="4" t="s">
        <v>46</v>
      </c>
      <c r="H13" s="4" t="s">
        <v>53</v>
      </c>
      <c r="I13" s="5" t="s">
        <v>25</v>
      </c>
      <c r="J13" s="6" t="s">
        <v>24</v>
      </c>
      <c r="K13" s="4" t="s">
        <v>26</v>
      </c>
      <c r="L13" s="7" t="s">
        <v>27</v>
      </c>
      <c r="M13" s="6" t="s">
        <v>41</v>
      </c>
      <c r="N13" s="7" t="s">
        <v>42</v>
      </c>
      <c r="O13" s="7" t="s">
        <v>32</v>
      </c>
      <c r="P13" s="6">
        <v>0</v>
      </c>
      <c r="Q13" s="7" t="s">
        <v>37</v>
      </c>
      <c r="R13" s="7" t="s">
        <v>32</v>
      </c>
      <c r="S13" s="6">
        <v>1</v>
      </c>
      <c r="T13" s="4" t="s">
        <v>68</v>
      </c>
      <c r="U13" s="7" t="s">
        <v>69</v>
      </c>
    </row>
    <row r="14" spans="1:21" x14ac:dyDescent="0.55000000000000004">
      <c r="A14" s="4" t="s">
        <v>70</v>
      </c>
      <c r="B14" s="4"/>
      <c r="C14" s="4" t="str">
        <f t="shared" si="0"/>
        <v>SCN_013_H</v>
      </c>
      <c r="D14" s="4" t="str">
        <f t="shared" si="1"/>
        <v>SCN_013_R</v>
      </c>
      <c r="E14" s="4" t="str">
        <f t="shared" si="2"/>
        <v>SCN_013_S</v>
      </c>
      <c r="F14" s="4"/>
      <c r="G14" s="4" t="s">
        <v>46</v>
      </c>
      <c r="H14" s="4" t="s">
        <v>53</v>
      </c>
      <c r="I14" s="5" t="s">
        <v>24</v>
      </c>
      <c r="J14" s="6" t="s">
        <v>25</v>
      </c>
      <c r="K14" s="4" t="s">
        <v>26</v>
      </c>
      <c r="L14" s="7" t="s">
        <v>27</v>
      </c>
      <c r="M14" s="6" t="s">
        <v>28</v>
      </c>
      <c r="N14" s="7" t="s">
        <v>29</v>
      </c>
      <c r="O14" s="7" t="s">
        <v>27</v>
      </c>
      <c r="P14" s="6" t="s">
        <v>30</v>
      </c>
      <c r="Q14" s="7" t="s">
        <v>31</v>
      </c>
      <c r="R14" s="7" t="s">
        <v>32</v>
      </c>
      <c r="S14" s="6">
        <v>2</v>
      </c>
      <c r="T14" s="4" t="s">
        <v>71</v>
      </c>
      <c r="U14" s="7" t="s">
        <v>72</v>
      </c>
    </row>
    <row r="15" spans="1:21" x14ac:dyDescent="0.55000000000000004">
      <c r="A15" s="4" t="s">
        <v>73</v>
      </c>
      <c r="B15" s="4"/>
      <c r="C15" s="4" t="str">
        <f t="shared" si="0"/>
        <v>SCN_014_H</v>
      </c>
      <c r="D15" s="4" t="str">
        <f t="shared" si="1"/>
        <v>SCN_014_R</v>
      </c>
      <c r="E15" s="4" t="str">
        <f t="shared" si="2"/>
        <v>SCN_014_S</v>
      </c>
      <c r="F15" s="4"/>
      <c r="G15" s="4" t="s">
        <v>46</v>
      </c>
      <c r="H15" s="4" t="s">
        <v>23</v>
      </c>
      <c r="I15" s="5" t="s">
        <v>36</v>
      </c>
      <c r="J15" s="6" t="s">
        <v>25</v>
      </c>
      <c r="K15" s="4" t="s">
        <v>26</v>
      </c>
      <c r="L15" s="7" t="s">
        <v>27</v>
      </c>
      <c r="M15" s="6" t="s">
        <v>30</v>
      </c>
      <c r="N15" s="7" t="s">
        <v>37</v>
      </c>
      <c r="O15" s="7" t="s">
        <v>32</v>
      </c>
      <c r="P15" s="6">
        <v>2</v>
      </c>
      <c r="Q15" s="7" t="s">
        <v>29</v>
      </c>
      <c r="R15" s="7" t="s">
        <v>27</v>
      </c>
      <c r="S15" s="6" t="s">
        <v>28</v>
      </c>
      <c r="T15" s="4" t="s">
        <v>43</v>
      </c>
      <c r="U15" s="7" t="s">
        <v>74</v>
      </c>
    </row>
    <row r="16" spans="1:21" x14ac:dyDescent="0.55000000000000004">
      <c r="A16" s="4" t="s">
        <v>75</v>
      </c>
      <c r="B16" s="4"/>
      <c r="C16" s="4" t="str">
        <f t="shared" si="0"/>
        <v>SCN_015_H</v>
      </c>
      <c r="D16" s="4" t="str">
        <f t="shared" si="1"/>
        <v>SCN_015_R</v>
      </c>
      <c r="E16" s="4" t="str">
        <f t="shared" si="2"/>
        <v>SCN_015_S</v>
      </c>
      <c r="F16" s="4"/>
      <c r="G16" s="4" t="s">
        <v>46</v>
      </c>
      <c r="H16" s="4" t="s">
        <v>23</v>
      </c>
      <c r="I16" s="5" t="s">
        <v>25</v>
      </c>
      <c r="J16" s="6" t="s">
        <v>36</v>
      </c>
      <c r="K16" s="4" t="s">
        <v>26</v>
      </c>
      <c r="L16" s="7" t="s">
        <v>27</v>
      </c>
      <c r="M16" s="6" t="s">
        <v>41</v>
      </c>
      <c r="N16" s="7" t="s">
        <v>29</v>
      </c>
      <c r="O16" s="7" t="s">
        <v>27</v>
      </c>
      <c r="P16" s="6" t="s">
        <v>28</v>
      </c>
      <c r="Q16" s="7" t="s">
        <v>42</v>
      </c>
      <c r="R16" s="7" t="s">
        <v>32</v>
      </c>
      <c r="S16" s="6">
        <v>0</v>
      </c>
      <c r="T16" s="4" t="s">
        <v>47</v>
      </c>
      <c r="U16" s="7" t="s">
        <v>48</v>
      </c>
    </row>
    <row r="17" spans="1:21" x14ac:dyDescent="0.55000000000000004">
      <c r="A17" s="4" t="s">
        <v>76</v>
      </c>
      <c r="B17" s="4"/>
      <c r="C17" s="4" t="str">
        <f t="shared" si="0"/>
        <v>SCN_016_H</v>
      </c>
      <c r="D17" s="4" t="str">
        <f t="shared" si="1"/>
        <v>SCN_016_R</v>
      </c>
      <c r="E17" s="4" t="str">
        <f t="shared" si="2"/>
        <v>SCN_016_S</v>
      </c>
      <c r="F17" s="4"/>
      <c r="G17" s="4" t="s">
        <v>46</v>
      </c>
      <c r="H17" s="4" t="s">
        <v>53</v>
      </c>
      <c r="I17" s="5" t="s">
        <v>24</v>
      </c>
      <c r="J17" s="6" t="s">
        <v>36</v>
      </c>
      <c r="K17" s="4" t="s">
        <v>26</v>
      </c>
      <c r="L17" s="7" t="s">
        <v>27</v>
      </c>
      <c r="M17" s="6" t="s">
        <v>28</v>
      </c>
      <c r="N17" s="7" t="s">
        <v>37</v>
      </c>
      <c r="O17" s="7" t="s">
        <v>32</v>
      </c>
      <c r="P17" s="6">
        <v>0</v>
      </c>
      <c r="Q17" s="7" t="s">
        <v>31</v>
      </c>
      <c r="R17" s="7" t="s">
        <v>32</v>
      </c>
      <c r="S17" s="6">
        <v>1</v>
      </c>
      <c r="T17" s="4" t="s">
        <v>77</v>
      </c>
      <c r="U17" s="7" t="s">
        <v>78</v>
      </c>
    </row>
    <row r="18" spans="1:21" x14ac:dyDescent="0.55000000000000004">
      <c r="A18" s="4" t="s">
        <v>79</v>
      </c>
      <c r="B18" s="4"/>
      <c r="C18" s="4" t="str">
        <f t="shared" si="0"/>
        <v>SCN_017_H</v>
      </c>
      <c r="D18" s="4" t="str">
        <f t="shared" si="1"/>
        <v>SCN_017_R</v>
      </c>
      <c r="E18" s="4" t="str">
        <f t="shared" si="2"/>
        <v>SCN_017_S</v>
      </c>
      <c r="F18" s="4"/>
      <c r="G18" s="4" t="s">
        <v>46</v>
      </c>
      <c r="H18" s="4" t="s">
        <v>23</v>
      </c>
      <c r="I18" s="5" t="s">
        <v>36</v>
      </c>
      <c r="J18" s="6" t="s">
        <v>24</v>
      </c>
      <c r="K18" s="4" t="s">
        <v>26</v>
      </c>
      <c r="L18" s="7" t="s">
        <v>27</v>
      </c>
      <c r="M18" s="6" t="s">
        <v>30</v>
      </c>
      <c r="N18" s="7" t="s">
        <v>31</v>
      </c>
      <c r="O18" s="7" t="s">
        <v>32</v>
      </c>
      <c r="P18" s="6">
        <v>1</v>
      </c>
      <c r="Q18" s="7" t="s">
        <v>42</v>
      </c>
      <c r="R18" s="7" t="s">
        <v>32</v>
      </c>
      <c r="S18" s="6">
        <v>2</v>
      </c>
      <c r="T18" s="4" t="s">
        <v>50</v>
      </c>
      <c r="U18" s="7" t="s">
        <v>80</v>
      </c>
    </row>
    <row r="19" spans="1:21" x14ac:dyDescent="0.55000000000000004">
      <c r="A19" s="4" t="s">
        <v>81</v>
      </c>
      <c r="B19" s="4"/>
      <c r="C19" s="4" t="str">
        <f t="shared" si="0"/>
        <v>SCN_018_H</v>
      </c>
      <c r="D19" s="4" t="str">
        <f t="shared" si="1"/>
        <v>SCN_018_R</v>
      </c>
      <c r="E19" s="4" t="str">
        <f t="shared" si="2"/>
        <v>SCN_018_S</v>
      </c>
      <c r="F19" s="4"/>
      <c r="G19" s="4" t="s">
        <v>46</v>
      </c>
      <c r="H19" s="4" t="s">
        <v>53</v>
      </c>
      <c r="I19" s="5" t="s">
        <v>25</v>
      </c>
      <c r="J19" s="6" t="s">
        <v>24</v>
      </c>
      <c r="K19" s="4" t="s">
        <v>26</v>
      </c>
      <c r="L19" s="7" t="s">
        <v>27</v>
      </c>
      <c r="M19" s="6" t="s">
        <v>41</v>
      </c>
      <c r="N19" s="7" t="s">
        <v>42</v>
      </c>
      <c r="O19" s="7" t="s">
        <v>32</v>
      </c>
      <c r="P19" s="6">
        <v>2</v>
      </c>
      <c r="Q19" s="7" t="s">
        <v>37</v>
      </c>
      <c r="R19" s="7" t="s">
        <v>32</v>
      </c>
      <c r="S19" s="6">
        <v>3</v>
      </c>
      <c r="T19" s="4" t="s">
        <v>82</v>
      </c>
      <c r="U19" s="7" t="s">
        <v>83</v>
      </c>
    </row>
    <row r="20" spans="1:21" x14ac:dyDescent="0.55000000000000004">
      <c r="A20" s="4" t="s">
        <v>84</v>
      </c>
      <c r="B20" s="4"/>
      <c r="C20" s="4" t="str">
        <f t="shared" si="0"/>
        <v>SCN_019_H</v>
      </c>
      <c r="D20" s="4" t="str">
        <f t="shared" si="1"/>
        <v>SCN_019_R</v>
      </c>
      <c r="E20" s="4" t="str">
        <f t="shared" si="2"/>
        <v>SCN_019_S</v>
      </c>
      <c r="F20" s="4"/>
      <c r="G20" s="4" t="s">
        <v>46</v>
      </c>
      <c r="H20" s="4" t="s">
        <v>23</v>
      </c>
      <c r="I20" s="5" t="s">
        <v>24</v>
      </c>
      <c r="J20" s="6" t="s">
        <v>25</v>
      </c>
      <c r="K20" s="4" t="s">
        <v>26</v>
      </c>
      <c r="L20" s="7" t="s">
        <v>27</v>
      </c>
      <c r="M20" s="6" t="s">
        <v>28</v>
      </c>
      <c r="N20" s="7" t="s">
        <v>29</v>
      </c>
      <c r="O20" s="7" t="s">
        <v>27</v>
      </c>
      <c r="P20" s="6" t="s">
        <v>30</v>
      </c>
      <c r="Q20" s="7" t="s">
        <v>31</v>
      </c>
      <c r="R20" s="7" t="s">
        <v>32</v>
      </c>
      <c r="S20" s="6">
        <v>0</v>
      </c>
      <c r="T20" s="4" t="s">
        <v>57</v>
      </c>
      <c r="U20" s="7" t="s">
        <v>58</v>
      </c>
    </row>
    <row r="21" spans="1:21" x14ac:dyDescent="0.55000000000000004">
      <c r="A21" s="4" t="s">
        <v>85</v>
      </c>
      <c r="B21" s="4"/>
      <c r="C21" s="4" t="str">
        <f t="shared" si="0"/>
        <v>SCN_020_H</v>
      </c>
      <c r="D21" s="4" t="str">
        <f t="shared" si="1"/>
        <v>SCN_020_R</v>
      </c>
      <c r="E21" s="4" t="str">
        <f t="shared" si="2"/>
        <v>SCN_020_S</v>
      </c>
      <c r="F21" s="4"/>
      <c r="G21" s="4" t="s">
        <v>46</v>
      </c>
      <c r="H21" s="4" t="s">
        <v>53</v>
      </c>
      <c r="I21" s="5" t="s">
        <v>36</v>
      </c>
      <c r="J21" s="6" t="s">
        <v>25</v>
      </c>
      <c r="K21" s="4" t="s">
        <v>26</v>
      </c>
      <c r="L21" s="7" t="s">
        <v>27</v>
      </c>
      <c r="M21" s="6" t="s">
        <v>30</v>
      </c>
      <c r="N21" s="7" t="s">
        <v>37</v>
      </c>
      <c r="O21" s="7" t="s">
        <v>32</v>
      </c>
      <c r="P21" s="6">
        <v>0</v>
      </c>
      <c r="Q21" s="7" t="s">
        <v>29</v>
      </c>
      <c r="R21" s="7" t="s">
        <v>27</v>
      </c>
      <c r="S21" s="6" t="s">
        <v>28</v>
      </c>
      <c r="T21" s="4" t="s">
        <v>86</v>
      </c>
      <c r="U21" s="7" t="s">
        <v>87</v>
      </c>
    </row>
    <row r="22" spans="1:21" x14ac:dyDescent="0.55000000000000004">
      <c r="A22" s="4" t="s">
        <v>88</v>
      </c>
      <c r="B22" s="4"/>
      <c r="C22" s="4" t="str">
        <f t="shared" si="0"/>
        <v>SCN_021_H</v>
      </c>
      <c r="D22" s="4" t="str">
        <f t="shared" si="1"/>
        <v>SCN_021_R</v>
      </c>
      <c r="E22" s="4" t="str">
        <f t="shared" si="2"/>
        <v>SCN_021_S</v>
      </c>
      <c r="F22" s="4"/>
      <c r="G22" s="4" t="s">
        <v>46</v>
      </c>
      <c r="H22" s="4" t="s">
        <v>23</v>
      </c>
      <c r="I22" s="5" t="s">
        <v>25</v>
      </c>
      <c r="J22" s="6" t="s">
        <v>36</v>
      </c>
      <c r="K22" s="4" t="s">
        <v>26</v>
      </c>
      <c r="L22" s="7" t="s">
        <v>27</v>
      </c>
      <c r="M22" s="6" t="s">
        <v>41</v>
      </c>
      <c r="N22" s="7" t="s">
        <v>29</v>
      </c>
      <c r="O22" s="7" t="s">
        <v>27</v>
      </c>
      <c r="P22" s="6" t="s">
        <v>28</v>
      </c>
      <c r="Q22" s="7" t="s">
        <v>42</v>
      </c>
      <c r="R22" s="7" t="s">
        <v>32</v>
      </c>
      <c r="S22" s="6">
        <v>2</v>
      </c>
      <c r="T22" s="4" t="s">
        <v>33</v>
      </c>
      <c r="U22" s="7" t="s">
        <v>34</v>
      </c>
    </row>
    <row r="23" spans="1:21" x14ac:dyDescent="0.55000000000000004">
      <c r="A23" s="4" t="s">
        <v>89</v>
      </c>
      <c r="B23" s="4"/>
      <c r="C23" s="4" t="str">
        <f t="shared" si="0"/>
        <v>SCN_022_H</v>
      </c>
      <c r="D23" s="4" t="str">
        <f t="shared" si="1"/>
        <v>SCN_022_R</v>
      </c>
      <c r="E23" s="4" t="str">
        <f>A23&amp;"_S"</f>
        <v>SCN_022_S</v>
      </c>
      <c r="F23" s="4"/>
      <c r="G23" s="4" t="s">
        <v>46</v>
      </c>
      <c r="H23" s="4" t="s">
        <v>53</v>
      </c>
      <c r="I23" s="5" t="s">
        <v>24</v>
      </c>
      <c r="J23" s="6" t="s">
        <v>36</v>
      </c>
      <c r="K23" s="4" t="s">
        <v>26</v>
      </c>
      <c r="L23" s="7" t="s">
        <v>27</v>
      </c>
      <c r="M23" s="6" t="s">
        <v>28</v>
      </c>
      <c r="N23" s="7" t="s">
        <v>37</v>
      </c>
      <c r="O23" s="7" t="s">
        <v>32</v>
      </c>
      <c r="P23" s="6">
        <v>2</v>
      </c>
      <c r="Q23" s="7" t="s">
        <v>31</v>
      </c>
      <c r="R23" s="7" t="s">
        <v>32</v>
      </c>
      <c r="S23" s="6">
        <v>3</v>
      </c>
      <c r="T23" s="4" t="s">
        <v>90</v>
      </c>
      <c r="U23" s="7" t="s">
        <v>91</v>
      </c>
    </row>
    <row r="24" spans="1:21" x14ac:dyDescent="0.55000000000000004">
      <c r="A24" s="4" t="s">
        <v>92</v>
      </c>
      <c r="B24" s="4"/>
      <c r="C24" s="4" t="str">
        <f t="shared" si="0"/>
        <v>SCN_023_H</v>
      </c>
      <c r="D24" s="4" t="str">
        <f t="shared" si="1"/>
        <v>SCN_023_R</v>
      </c>
      <c r="E24" s="4" t="str">
        <f t="shared" si="2"/>
        <v>SCN_023_S</v>
      </c>
      <c r="F24" s="4"/>
      <c r="G24" s="4" t="s">
        <v>46</v>
      </c>
      <c r="H24" s="4" t="s">
        <v>23</v>
      </c>
      <c r="I24" s="5" t="s">
        <v>36</v>
      </c>
      <c r="J24" s="6" t="s">
        <v>24</v>
      </c>
      <c r="K24" s="4" t="s">
        <v>26</v>
      </c>
      <c r="L24" s="7" t="s">
        <v>27</v>
      </c>
      <c r="M24" s="6" t="s">
        <v>30</v>
      </c>
      <c r="N24" s="7" t="s">
        <v>31</v>
      </c>
      <c r="O24" s="7" t="s">
        <v>32</v>
      </c>
      <c r="P24" s="6">
        <v>3</v>
      </c>
      <c r="Q24" s="7" t="s">
        <v>42</v>
      </c>
      <c r="R24" s="7" t="s">
        <v>32</v>
      </c>
      <c r="S24" s="6">
        <v>0</v>
      </c>
      <c r="T24" s="4" t="s">
        <v>38</v>
      </c>
      <c r="U24" s="7" t="s">
        <v>39</v>
      </c>
    </row>
    <row r="25" spans="1:21" x14ac:dyDescent="0.55000000000000004">
      <c r="A25" s="4" t="s">
        <v>93</v>
      </c>
      <c r="B25" s="4"/>
      <c r="C25" s="4" t="str">
        <f t="shared" si="0"/>
        <v>SCN_024_H</v>
      </c>
      <c r="D25" s="4" t="str">
        <f t="shared" si="1"/>
        <v>SCN_024_R</v>
      </c>
      <c r="E25" s="4" t="str">
        <f t="shared" si="2"/>
        <v>SCN_024_S</v>
      </c>
      <c r="F25" s="4"/>
      <c r="G25" s="4" t="s">
        <v>46</v>
      </c>
      <c r="H25" s="4" t="s">
        <v>53</v>
      </c>
      <c r="I25" s="5" t="s">
        <v>25</v>
      </c>
      <c r="J25" s="6" t="s">
        <v>24</v>
      </c>
      <c r="K25" s="4" t="s">
        <v>26</v>
      </c>
      <c r="L25" s="7" t="s">
        <v>27</v>
      </c>
      <c r="M25" s="6" t="s">
        <v>41</v>
      </c>
      <c r="N25" s="7" t="s">
        <v>42</v>
      </c>
      <c r="O25" s="7" t="s">
        <v>32</v>
      </c>
      <c r="P25" s="6">
        <v>0</v>
      </c>
      <c r="Q25" s="7" t="s">
        <v>37</v>
      </c>
      <c r="R25" s="7" t="s">
        <v>32</v>
      </c>
      <c r="S25" s="6">
        <v>1</v>
      </c>
      <c r="T25" s="4" t="s">
        <v>94</v>
      </c>
      <c r="U25" s="7" t="s">
        <v>95</v>
      </c>
    </row>
    <row r="26" spans="1:21" x14ac:dyDescent="0.55000000000000004">
      <c r="A26" s="4" t="s">
        <v>96</v>
      </c>
      <c r="B26" s="4"/>
      <c r="C26" s="4" t="str">
        <f t="shared" si="0"/>
        <v>SCN_025_H</v>
      </c>
      <c r="D26" s="4" t="str">
        <f t="shared" si="1"/>
        <v>SCN_025_R</v>
      </c>
      <c r="E26" s="4" t="str">
        <f t="shared" si="2"/>
        <v>SCN_025_S</v>
      </c>
      <c r="F26" s="4"/>
      <c r="G26" s="4" t="s">
        <v>46</v>
      </c>
      <c r="H26" s="4" t="s">
        <v>23</v>
      </c>
      <c r="I26" s="5" t="s">
        <v>24</v>
      </c>
      <c r="J26" s="6" t="s">
        <v>25</v>
      </c>
      <c r="K26" s="4" t="s">
        <v>26</v>
      </c>
      <c r="L26" s="7" t="s">
        <v>27</v>
      </c>
      <c r="M26" s="6" t="s">
        <v>28</v>
      </c>
      <c r="N26" s="7" t="s">
        <v>29</v>
      </c>
      <c r="O26" s="7" t="s">
        <v>27</v>
      </c>
      <c r="P26" s="6" t="s">
        <v>30</v>
      </c>
      <c r="Q26" s="7" t="s">
        <v>31</v>
      </c>
      <c r="R26" s="7" t="s">
        <v>32</v>
      </c>
      <c r="S26" s="6">
        <v>2</v>
      </c>
      <c r="T26" s="4" t="s">
        <v>43</v>
      </c>
      <c r="U26" s="7" t="s">
        <v>74</v>
      </c>
    </row>
    <row r="27" spans="1:21" x14ac:dyDescent="0.55000000000000004">
      <c r="A27" s="4" t="s">
        <v>97</v>
      </c>
      <c r="B27" s="4"/>
      <c r="C27" s="4" t="str">
        <f t="shared" si="0"/>
        <v>SCN_026_H</v>
      </c>
      <c r="D27" s="4" t="str">
        <f t="shared" si="1"/>
        <v>SCN_026_R</v>
      </c>
      <c r="E27" s="4" t="str">
        <f t="shared" si="2"/>
        <v>SCN_026_S</v>
      </c>
      <c r="F27" s="4"/>
      <c r="G27" s="4" t="s">
        <v>46</v>
      </c>
      <c r="H27" s="4" t="s">
        <v>53</v>
      </c>
      <c r="I27" s="5" t="s">
        <v>36</v>
      </c>
      <c r="J27" s="6" t="s">
        <v>25</v>
      </c>
      <c r="K27" s="4" t="s">
        <v>26</v>
      </c>
      <c r="L27" s="7" t="s">
        <v>27</v>
      </c>
      <c r="M27" s="6" t="s">
        <v>30</v>
      </c>
      <c r="N27" s="7" t="s">
        <v>37</v>
      </c>
      <c r="O27" s="7" t="s">
        <v>32</v>
      </c>
      <c r="P27" s="6">
        <v>2</v>
      </c>
      <c r="Q27" s="7" t="s">
        <v>29</v>
      </c>
      <c r="R27" s="7" t="s">
        <v>27</v>
      </c>
      <c r="S27" s="6" t="s">
        <v>28</v>
      </c>
      <c r="T27" s="4" t="s">
        <v>98</v>
      </c>
      <c r="U27" s="7" t="s">
        <v>99</v>
      </c>
    </row>
    <row r="28" spans="1:21" x14ac:dyDescent="0.55000000000000004">
      <c r="A28" s="4" t="s">
        <v>100</v>
      </c>
      <c r="B28" s="4"/>
      <c r="C28" s="4" t="str">
        <f t="shared" si="0"/>
        <v>SCN_027_H</v>
      </c>
      <c r="D28" s="4" t="str">
        <f t="shared" si="1"/>
        <v>SCN_027_R</v>
      </c>
      <c r="E28" s="4" t="str">
        <f t="shared" si="2"/>
        <v>SCN_027_S</v>
      </c>
      <c r="F28" s="4"/>
      <c r="G28" s="4" t="s">
        <v>46</v>
      </c>
      <c r="H28" s="4" t="s">
        <v>23</v>
      </c>
      <c r="I28" s="5" t="s">
        <v>25</v>
      </c>
      <c r="J28" s="6" t="s">
        <v>36</v>
      </c>
      <c r="K28" s="4" t="s">
        <v>26</v>
      </c>
      <c r="L28" s="7" t="s">
        <v>27</v>
      </c>
      <c r="M28" s="6" t="s">
        <v>41</v>
      </c>
      <c r="N28" s="7" t="s">
        <v>29</v>
      </c>
      <c r="O28" s="7" t="s">
        <v>27</v>
      </c>
      <c r="P28" s="6" t="s">
        <v>28</v>
      </c>
      <c r="Q28" s="7" t="s">
        <v>42</v>
      </c>
      <c r="R28" s="7" t="s">
        <v>32</v>
      </c>
      <c r="S28" s="6">
        <v>0</v>
      </c>
      <c r="T28" s="4" t="s">
        <v>47</v>
      </c>
      <c r="U28" s="7" t="s">
        <v>48</v>
      </c>
    </row>
    <row r="29" spans="1:21" x14ac:dyDescent="0.55000000000000004">
      <c r="A29" s="4" t="s">
        <v>101</v>
      </c>
      <c r="B29" s="4"/>
      <c r="C29" s="4" t="str">
        <f t="shared" si="0"/>
        <v>SCN_028_H</v>
      </c>
      <c r="D29" s="4" t="str">
        <f t="shared" si="1"/>
        <v>SCN_028_R</v>
      </c>
      <c r="E29" s="4" t="str">
        <f t="shared" si="2"/>
        <v>SCN_028_S</v>
      </c>
      <c r="F29" s="4"/>
      <c r="G29" s="4" t="s">
        <v>46</v>
      </c>
      <c r="H29" s="4" t="s">
        <v>53</v>
      </c>
      <c r="I29" s="5" t="s">
        <v>24</v>
      </c>
      <c r="J29" s="6" t="s">
        <v>36</v>
      </c>
      <c r="K29" s="4" t="s">
        <v>26</v>
      </c>
      <c r="L29" s="7" t="s">
        <v>27</v>
      </c>
      <c r="M29" s="6" t="s">
        <v>28</v>
      </c>
      <c r="N29" s="7" t="s">
        <v>37</v>
      </c>
      <c r="O29" s="7" t="s">
        <v>32</v>
      </c>
      <c r="P29" s="6">
        <v>0</v>
      </c>
      <c r="Q29" s="7" t="s">
        <v>31</v>
      </c>
      <c r="R29" s="7" t="s">
        <v>32</v>
      </c>
      <c r="S29" s="6">
        <v>1</v>
      </c>
      <c r="T29" s="4" t="s">
        <v>102</v>
      </c>
      <c r="U29" s="7" t="s">
        <v>103</v>
      </c>
    </row>
    <row r="30" spans="1:21" x14ac:dyDescent="0.55000000000000004">
      <c r="A30" s="4" t="s">
        <v>104</v>
      </c>
      <c r="B30" s="4"/>
      <c r="C30" s="4" t="str">
        <f t="shared" si="0"/>
        <v>SCN_029_H</v>
      </c>
      <c r="D30" s="4" t="str">
        <f t="shared" si="1"/>
        <v>SCN_029_R</v>
      </c>
      <c r="E30" s="4" t="str">
        <f t="shared" si="2"/>
        <v>SCN_029_S</v>
      </c>
      <c r="F30" s="4"/>
      <c r="G30" s="4" t="s">
        <v>46</v>
      </c>
      <c r="H30" s="4" t="s">
        <v>53</v>
      </c>
      <c r="I30" s="5" t="s">
        <v>36</v>
      </c>
      <c r="J30" s="6" t="s">
        <v>24</v>
      </c>
      <c r="K30" s="4" t="s">
        <v>26</v>
      </c>
      <c r="L30" s="7" t="s">
        <v>27</v>
      </c>
      <c r="M30" s="6" t="s">
        <v>30</v>
      </c>
      <c r="N30" s="7" t="s">
        <v>31</v>
      </c>
      <c r="O30" s="7" t="s">
        <v>32</v>
      </c>
      <c r="P30" s="6">
        <v>1</v>
      </c>
      <c r="Q30" s="7" t="s">
        <v>42</v>
      </c>
      <c r="R30" s="7" t="s">
        <v>32</v>
      </c>
      <c r="S30" s="6">
        <v>2</v>
      </c>
      <c r="T30" s="4" t="s">
        <v>105</v>
      </c>
      <c r="U30" s="7" t="s">
        <v>106</v>
      </c>
    </row>
    <row r="31" spans="1:21" x14ac:dyDescent="0.55000000000000004">
      <c r="A31" s="4" t="s">
        <v>107</v>
      </c>
      <c r="B31" s="4"/>
      <c r="C31" s="4" t="str">
        <f t="shared" si="0"/>
        <v>SCN_030_H</v>
      </c>
      <c r="D31" s="4" t="str">
        <f t="shared" si="1"/>
        <v>SCN_030_R</v>
      </c>
      <c r="E31" s="4" t="str">
        <f t="shared" si="2"/>
        <v>SCN_030_S</v>
      </c>
      <c r="F31" s="4"/>
      <c r="G31" s="4" t="s">
        <v>46</v>
      </c>
      <c r="H31" s="4" t="s">
        <v>23</v>
      </c>
      <c r="I31" s="5" t="s">
        <v>25</v>
      </c>
      <c r="J31" s="6" t="s">
        <v>24</v>
      </c>
      <c r="K31" s="4" t="s">
        <v>26</v>
      </c>
      <c r="L31" s="7" t="s">
        <v>27</v>
      </c>
      <c r="M31" s="6" t="s">
        <v>41</v>
      </c>
      <c r="N31" s="7" t="s">
        <v>42</v>
      </c>
      <c r="O31" s="7" t="s">
        <v>32</v>
      </c>
      <c r="P31" s="6">
        <v>2</v>
      </c>
      <c r="Q31" s="7" t="s">
        <v>37</v>
      </c>
      <c r="R31" s="7" t="s">
        <v>32</v>
      </c>
      <c r="S31" s="6">
        <v>3</v>
      </c>
      <c r="T31" s="4" t="s">
        <v>50</v>
      </c>
      <c r="U31" s="7" t="s">
        <v>80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</dc:creator>
  <cp:lastModifiedBy>Muhammad</cp:lastModifiedBy>
  <dcterms:created xsi:type="dcterms:W3CDTF">2026-01-27T15:13:36Z</dcterms:created>
  <dcterms:modified xsi:type="dcterms:W3CDTF">2026-01-27T15:20:20Z</dcterms:modified>
</cp:coreProperties>
</file>